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1.xml" ContentType="application/vnd.openxmlformats-officedocument.spreadsheetml.comments+xml"/>
  <Override PartName="/xl/drawings/vmlDrawing1.xml" ContentType="application/vnd.openxmlformats-officedocument.vmlDrawing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IF" r:id="rId1" sheetId="1" state="hidden"/>
    <sheet name="NEW RANGE" r:id="rId2" sheetId="2" state="hidden"/>
    <sheet name="FYTM Sept" r:id="rId3" sheetId="3" state="hidden"/>
    <sheet name="IF MAR" r:id="rId4" sheetId="4"/>
    <sheet name="FYTM MAR" r:id="rId5" sheetId="5"/>
    <sheet name="READING LOG" r:id="rId6" sheetId="6" state="hidden"/>
    <sheet name="NEW RANGE Mar" r:id="rId7" sheetId="7"/>
    <sheet name="FYTM NEW" r:id="rId8" sheetId="8" state="hidden"/>
    <sheet name="IF JULY" r:id="rId9" sheetId="9" state="hidden"/>
    <sheet name="IF JULY NEW" r:id="rId10" sheetId="10" state="hidden"/>
    <sheet name="Planned order" r:id="rId11" sheetId="11"/>
    <sheet name="SOH" r:id="rId12" sheetId="12"/>
    <sheet name="MOQ" r:id="rId13" sheetId="13"/>
    <sheet name="PO" r:id="rId14" sheetId="14"/>
    <sheet name="list" r:id="rId15" sheetId="15"/>
    <sheet name="FYTM %" r:id="rId16" sheetId="16"/>
    <sheet name="Unit Value" r:id="rId17" sheetId="17"/>
  </sheets>
  <definedNames>
    <definedName name="MOQ">'MOQ'!$A:$C</definedName>
    <definedName name="UNITVALUE">'Unit Value'!$D:$G</definedName>
    <definedName name="FEB2SOH">#REF!</definedName>
    <definedName name="AFTERCNY">'PO'!$E$103:$G$116</definedName>
    <definedName name="CHINAMAR3">'PO'!$E$22:$G$101</definedName>
    <definedName name="FYTM">'PO'!$E$2:$G$20</definedName>
    <definedName name="FEB23SOH">'SOH'!$A:$C</definedName>
    <definedName name="VALUEFEB23">'Unit Value'!$B:$E</definedName>
    <definedName name="SOHFEB23">'Unit Value'!$A:$C</definedName>
  </definedNames>
  <extLst/>
</workbook>
</file>

<file path=xl/comments1.xml><?xml version="1.0" encoding="utf-8"?>
<comments xmlns="http://schemas.openxmlformats.org/spreadsheetml/2006/main">
  <authors>
    <author/>
  </authors>
  <commentList>
    <comment ref="C35" authorId="0">
      <text>
        <t xml:space="preserve">Mix of Designs 72 pieces
</t>
      </text>
    </comment>
  </commentList>
</comments>
</file>

<file path=xl/sharedStrings.xml><?xml version="1.0" encoding="utf-8"?>
<sst xmlns="http://schemas.openxmlformats.org/spreadsheetml/2006/main" count="7911" uniqueCount="7911">
  <si>
    <t>SET UP</t>
  </si>
  <si>
    <t>1 YEAR</t>
  </si>
  <si>
    <t>JAN-JUN</t>
  </si>
  <si>
    <t>TOTAL</t>
  </si>
  <si>
    <t>JUNE</t>
  </si>
  <si>
    <t>JULY</t>
  </si>
  <si>
    <t>AUGUST</t>
  </si>
  <si>
    <t>SEPTEMBER</t>
  </si>
  <si>
    <t>OCTOBER</t>
  </si>
  <si>
    <t>NOVEMBER</t>
  </si>
  <si>
    <t>DECEMBER</t>
  </si>
  <si>
    <t>UNTIL NOVEMBER</t>
  </si>
  <si>
    <t>Planning Group</t>
  </si>
  <si>
    <t>Product Category</t>
  </si>
  <si>
    <t>item_name</t>
  </si>
  <si>
    <t>sku</t>
  </si>
  <si>
    <t>sales</t>
  </si>
  <si>
    <t>ACTUAL + 10%</t>
  </si>
  <si>
    <t>FCST</t>
  </si>
  <si>
    <t>SOH as of
JUNE 30</t>
  </si>
  <si>
    <t>PENDING PO -ETA JULY</t>
  </si>
  <si>
    <t>PENDING PO -ETA AUGUST</t>
  </si>
  <si>
    <t>BALANCE</t>
  </si>
  <si>
    <t>MOQ</t>
  </si>
  <si>
    <t>ORDER</t>
  </si>
  <si>
    <t>Stock out month</t>
  </si>
  <si>
    <t>SOH</t>
  </si>
  <si>
    <t>PO</t>
  </si>
  <si>
    <t>STOCK</t>
  </si>
  <si>
    <t>divide 6</t>
  </si>
  <si>
    <t>round up</t>
  </si>
  <si>
    <t>to order / round up</t>
  </si>
  <si>
    <t>5 IF by Air</t>
  </si>
  <si>
    <t>Book Holder</t>
  </si>
  <si>
    <t>TRAVEL BOOK RESTS CDU</t>
  </si>
  <si>
    <t>CDU358</t>
  </si>
  <si>
    <t>Travel Book Rest Starter Pack</t>
  </si>
  <si>
    <t>SP358</t>
  </si>
  <si>
    <t>TRAVEL BOOK REST - BLUE</t>
  </si>
  <si>
    <t>TRAVEL BOOK REST - GREY</t>
  </si>
  <si>
    <t>NO STOCK/OCTOBER</t>
  </si>
  <si>
    <t>TRAVEL BOOK REST - MINT</t>
  </si>
  <si>
    <t>NO STOCK / NOVEMBER</t>
  </si>
  <si>
    <t>GIMBLE STARTER PACK</t>
  </si>
  <si>
    <t>SP368</t>
  </si>
  <si>
    <t>Display</t>
  </si>
  <si>
    <t>GIMBLE DISPLAY STAND</t>
  </si>
  <si>
    <t>CDU368</t>
  </si>
  <si>
    <t>GIMBLE - MINT</t>
  </si>
  <si>
    <t>GIMBLE - PINK</t>
  </si>
  <si>
    <t>GIMBLE - BLUE</t>
  </si>
  <si>
    <t>GIMBLE - GREY</t>
  </si>
  <si>
    <t>GIMBLE - FOREST GREEN</t>
  </si>
  <si>
    <t>Gift Journals</t>
  </si>
  <si>
    <t>JOURNALS FOR LIFE CDU</t>
  </si>
  <si>
    <t>CDU7100D</t>
  </si>
  <si>
    <t>JOURNALS FOR LIFE Set Up</t>
  </si>
  <si>
    <t>SP7100</t>
  </si>
  <si>
    <t>JOURNALS FOR LIFE - My Life Through Books</t>
  </si>
  <si>
    <t>JOURNALS FOR LIFE - Junk Drawer Folder</t>
  </si>
  <si>
    <t>JOURNALS FOR LIFE - Lists for Life</t>
  </si>
  <si>
    <t>JOURNALS FOR LIFE - Night Notes</t>
  </si>
  <si>
    <t>JOURNALS FOR LIFE - Everlasting Address Book</t>
  </si>
  <si>
    <t>Glasses Case</t>
  </si>
  <si>
    <t>BOOKAROO GLASSES CASE CDU</t>
  </si>
  <si>
    <t>CDU412</t>
  </si>
  <si>
    <t>BOOKAROO GLASSES CASE SET UP SET UP 15 pcs</t>
  </si>
  <si>
    <t>SP412</t>
  </si>
  <si>
    <t>BOOKAROO GLASSES CASE - BLACK</t>
  </si>
  <si>
    <t>BOOKAROO GLASSES CASE - BROWN</t>
  </si>
  <si>
    <t>BOOKAROO GLASSES CASE - GOLD</t>
  </si>
  <si>
    <t>BOOKAROO GLASSES CASE - CHARCOAL</t>
  </si>
  <si>
    <t>BOOKAROO GLASSES CASE - CREAM</t>
  </si>
  <si>
    <t>NO STOCK</t>
  </si>
  <si>
    <t>Large Pouch</t>
  </si>
  <si>
    <t>BOOKAROO BOOK &amp; STUFF POUCH SET UP 4 PCS</t>
  </si>
  <si>
    <t>SP433</t>
  </si>
  <si>
    <t>BOOKAROO BOOKS &amp; STUFF POUCH - BROWN</t>
  </si>
  <si>
    <t>BOOKAROO BOOKS &amp; STUFF POUCH - CHARTREUSE</t>
  </si>
  <si>
    <t>BOOKAROO BOOKS &amp; STUFF POUCH - TURQUOISE</t>
  </si>
  <si>
    <t>BOOKAROO BOOKS &amp; STUFF POUCH - BLUSH</t>
  </si>
  <si>
    <t>Notebooks</t>
  </si>
  <si>
    <t>BOOKAROO POCKET NOTEBOOK (A6) - SET UP 12 units</t>
  </si>
  <si>
    <t>SP430</t>
  </si>
  <si>
    <t>BOOKAROO POCKET NOTEBOOK ( A6) CDU</t>
  </si>
  <si>
    <t>CDU430</t>
  </si>
  <si>
    <t>BOOKAROO POCKET NOTEBOOK ( A6) - HOT PINK</t>
  </si>
  <si>
    <t>#N/A</t>
  </si>
  <si>
    <t>BOOKAROO POCKET NOTEBOOK ( A6) - LILAC</t>
  </si>
  <si>
    <t>BOOKAROO POCKET NOTEBOOK ( A6) - PURPLE</t>
  </si>
  <si>
    <t>BOOKAROO POCKET NOTEBOOK ( A6) - NAVY</t>
  </si>
  <si>
    <t>BOOKAROO POCKET NOTEBOOK ( A6) - BLACK</t>
  </si>
  <si>
    <t>BOOKAROO POCKET NOTEBOOK ( A6) - BROWN</t>
  </si>
  <si>
    <t>BOOKAROO POCKET NOTEBOOK ( A6) - TURQUOISE</t>
  </si>
  <si>
    <t>BOOKAROO POCKET NOTEBOOK ( A6) - BLUSH</t>
  </si>
  <si>
    <t>BOOKAROO POCKET NOTEBOOK ( A6) - CHARCOAL</t>
  </si>
  <si>
    <t>BOOKAROO POCKET NOTEBOOK ( A6) - CREAM</t>
  </si>
  <si>
    <t>BOOKAROO A5 NOTEBOOK SET UP 12 units</t>
  </si>
  <si>
    <t>SP432</t>
  </si>
  <si>
    <t>BOOKAROO NOTEBOOK ( A5) CDU</t>
  </si>
  <si>
    <t>CDU432</t>
  </si>
  <si>
    <t>BOOKAROO NOTEBOOK ( A5) - TURQUOISE</t>
  </si>
  <si>
    <t>BOOKAROO NOTEBOOK ( A5) - BLACK</t>
  </si>
  <si>
    <t>BOOKAROO NOTEBOOK ( A5) - LILAC</t>
  </si>
  <si>
    <t>BOOKAROO NOTEBOOK ( A5) - NAVY NEW 2023</t>
  </si>
  <si>
    <t>BOOKAROO NOTEBOOK ( A5) - PURPLE</t>
  </si>
  <si>
    <t>BOOKAROO NOTEBOOK ( A5) - BROWN</t>
  </si>
  <si>
    <t>BOOKAROO NOTEBOOK ( A5) - FOREST GREEN</t>
  </si>
  <si>
    <t>BOOKAROO NOTEBOOK ( A5) - BLUSH</t>
  </si>
  <si>
    <t>BOOKAROO DISPLAY - 12 CM</t>
  </si>
  <si>
    <t>Pen</t>
  </si>
  <si>
    <t>FABULOUSLY FLAT PENS STARTER PACK</t>
  </si>
  <si>
    <t>SP341</t>
  </si>
  <si>
    <t>FAB FLAT PEN DISPLAY</t>
  </si>
  <si>
    <t>90400D</t>
  </si>
  <si>
    <t>FABULOUSLY FLAT PAPER PENS</t>
  </si>
  <si>
    <t>BOOKAROO PEN SET UP 24 PCS</t>
  </si>
  <si>
    <t>SP431</t>
  </si>
  <si>
    <t>BOOKAROO PEN DISPLAY CDU</t>
  </si>
  <si>
    <t>CDU431</t>
  </si>
  <si>
    <t>BOOKAROO PEN - HOT PINK</t>
  </si>
  <si>
    <t>BOOKAROO PEN - PURPLE</t>
  </si>
  <si>
    <t>BOOKAROO PEN - ORANGE</t>
  </si>
  <si>
    <t>BOOKAROO PEN - NAVY</t>
  </si>
  <si>
    <t>BOOKAROO PEN - YELLOW</t>
  </si>
  <si>
    <t>BOOKAROO PEN - BLACK</t>
  </si>
  <si>
    <t>BOOKAROO PEN - GOLD</t>
  </si>
  <si>
    <t>BOOKAROO PEN - TURQUOISE</t>
  </si>
  <si>
    <t>BOOKAROO PEN - CHARCOAL</t>
  </si>
  <si>
    <t>NO STOCK / OCTOBER</t>
  </si>
  <si>
    <t>BOOKAROO PEN - CREAM</t>
  </si>
  <si>
    <t>BOOKAROO PEN - DARK RED</t>
  </si>
  <si>
    <t>BOOKAROO PEN - CHARTREUSE</t>
  </si>
  <si>
    <t>BOOKAROO PEN REFILLS - BLACK INK</t>
  </si>
  <si>
    <t>Pen Pouch</t>
  </si>
  <si>
    <t>BOOKAROO PEN POUCH SET UP SET UP</t>
  </si>
  <si>
    <t>SP407</t>
  </si>
  <si>
    <t>BOOKAROO PEN POUCH CDU</t>
  </si>
  <si>
    <t>CDU407</t>
  </si>
  <si>
    <t>BOOKAROO PEN POUCH - BLACK</t>
  </si>
  <si>
    <t>BOOKAROO PEN POUCH - BROWN</t>
  </si>
  <si>
    <t>BOOKAROO PEN POUCH - BLUSH</t>
  </si>
  <si>
    <t>BOOKAROO PEN POUCH - CREAM</t>
  </si>
  <si>
    <t>BOOKAROO PEN POUCH - NAVY</t>
  </si>
  <si>
    <t>Pens and Pencils</t>
  </si>
  <si>
    <t>BOOKAROO GRAPHITE PENCILS Starter Pack</t>
  </si>
  <si>
    <t>SP796</t>
  </si>
  <si>
    <t>Bookaroo Graphite Pencils - Pinks</t>
  </si>
  <si>
    <t>Bookaroo Graphite Pencils - Blues</t>
  </si>
  <si>
    <t>Bookaroo Graphite Pencils - Greens</t>
  </si>
  <si>
    <t>Bookaroo Graphite Pencils - Mono</t>
  </si>
  <si>
    <t>Bookaroo Graphite Pencils - Gold</t>
  </si>
  <si>
    <t>Bookaroo Graphite Pencils - Pastels</t>
  </si>
  <si>
    <t>Phone Pocket</t>
  </si>
  <si>
    <t>BOOKAROO PHONE POCKET SET UP 15 PCS</t>
  </si>
  <si>
    <t>SP405</t>
  </si>
  <si>
    <t>BOOKAROO PHONE POCKET CDU</t>
  </si>
  <si>
    <t>CDU405</t>
  </si>
  <si>
    <t>BOOKAROO PHONE POCKET - BLACK</t>
  </si>
  <si>
    <t>BOOKAROO PHONE POCKET - BROWN</t>
  </si>
  <si>
    <t>BOOKAROO PHONE POCKET - GOLD</t>
  </si>
  <si>
    <t>BOOKAROO PHONE POCKET - CHARCOAL</t>
  </si>
  <si>
    <t>BOOKAROO PHONE POCKET - CREAM</t>
  </si>
  <si>
    <t>Reading Glasses</t>
  </si>
  <si>
    <t>SPARE PAIR - READING GLASSES +1.5</t>
  </si>
  <si>
    <t>SPARE PAIR - READING GLASSES +2.0</t>
  </si>
  <si>
    <t>SPARE PAIR - READING GLASSES +2.5</t>
  </si>
  <si>
    <t>SPARE PAIR (BRIGHTS)- READING GLASSES +1.5</t>
  </si>
  <si>
    <t>SPARE PAIR (BRIGHTS)- READING GLASSES +2.0</t>
  </si>
  <si>
    <t>SPARE PAIR (BRIGHTS)- READING GLASSES +2.5</t>
  </si>
  <si>
    <t>Tech Tidy</t>
  </si>
  <si>
    <t>BOOKAROO TRAVEL TECH TIDY - BLACK</t>
  </si>
  <si>
    <t>BOOKAROO TRAVEL TECH TIDY - BROWN</t>
  </si>
  <si>
    <t>BOOKAROO TRAVEL TECH TIDY - GOLD</t>
  </si>
  <si>
    <t>BOOKAROO TRAVEL TECH TIDY - CREAM</t>
  </si>
  <si>
    <t>FEB-JULY</t>
  </si>
  <si>
    <t>SOH as of JULY 31</t>
  </si>
  <si>
    <t>PENDING PO -ETA AUG</t>
  </si>
  <si>
    <t>PENDING PO -ETA SEPT</t>
  </si>
  <si>
    <t>3 New Range</t>
  </si>
  <si>
    <t>Bamboo Fan</t>
  </si>
  <si>
    <t>Bamboo Fan - Australian Natives</t>
  </si>
  <si>
    <t>BF11</t>
  </si>
  <si>
    <t>Bamboo Fan - Golden Wattle</t>
  </si>
  <si>
    <t>BF12</t>
  </si>
  <si>
    <t>Bean Bag Book Holder Raspberry Blush</t>
  </si>
  <si>
    <t>BBBH1</t>
  </si>
  <si>
    <t>Bean Bag Book Holder Strawberry Thief</t>
  </si>
  <si>
    <t>BBBH4</t>
  </si>
  <si>
    <t>Bean Bag Book Holder Van Gogh's Sunflowers</t>
  </si>
  <si>
    <t>BBBH5</t>
  </si>
  <si>
    <t>Bean Bag Book Holder Monet's Water Lilies</t>
  </si>
  <si>
    <t>BBBH6</t>
  </si>
  <si>
    <t>Bean Bag Book Holder Peonie Rose</t>
  </si>
  <si>
    <t>BBBH7</t>
  </si>
  <si>
    <t>Bean Bag Book Holder Starter Pack</t>
  </si>
  <si>
    <t>BBBHSU</t>
  </si>
  <si>
    <t>Cardholder</t>
  </si>
  <si>
    <t>Cardholder - Australian Natives</t>
  </si>
  <si>
    <t>CH001</t>
  </si>
  <si>
    <t>Cardholder - Golden Wattle</t>
  </si>
  <si>
    <t>CH002</t>
  </si>
  <si>
    <t>Cardholder - Strawberry Thief Blue</t>
  </si>
  <si>
    <t>CH003</t>
  </si>
  <si>
    <t>Cardholder - Monet Water Lilies</t>
  </si>
  <si>
    <t>CH004</t>
  </si>
  <si>
    <t>Cardholder - Van Gogh's Sunflowers</t>
  </si>
  <si>
    <t>CH005</t>
  </si>
  <si>
    <t>Cosmetic Bag</t>
  </si>
  <si>
    <t>Cosmetic Bag - Strawberry Thief</t>
  </si>
  <si>
    <t>CB01</t>
  </si>
  <si>
    <t>Cosmetic Bag - Fruit</t>
  </si>
  <si>
    <t>CB02</t>
  </si>
  <si>
    <t>Cosmetic Bag - Peonie Rose</t>
  </si>
  <si>
    <t>CB03</t>
  </si>
  <si>
    <t>Cosmetic Bag - Kilburn</t>
  </si>
  <si>
    <t>CB04</t>
  </si>
  <si>
    <t>Cosmetic Bag - Sunflowers</t>
  </si>
  <si>
    <t>CB05</t>
  </si>
  <si>
    <t>Cosmetic Bag - Water Lilies</t>
  </si>
  <si>
    <t>CB06</t>
  </si>
  <si>
    <t>Cosmetic Bag - Australian Natives</t>
  </si>
  <si>
    <t>CB07</t>
  </si>
  <si>
    <t>Cosmetic Bag - Golden Wattle</t>
  </si>
  <si>
    <t>CB08</t>
  </si>
  <si>
    <t>Glasses Case - Australian Natives</t>
  </si>
  <si>
    <t>GC014</t>
  </si>
  <si>
    <t>Glasses Case - Golden Wattle</t>
  </si>
  <si>
    <t>GC015</t>
  </si>
  <si>
    <t>Travel Cases Setup</t>
  </si>
  <si>
    <t>SPTC</t>
  </si>
  <si>
    <t>Travel Case - Strawberry Thief Blue</t>
  </si>
  <si>
    <t>TC020</t>
  </si>
  <si>
    <t>Travel Case - Van Gogh Sunflowers</t>
  </si>
  <si>
    <t>TC021</t>
  </si>
  <si>
    <t>Travel Case - Monet Water Lilies</t>
  </si>
  <si>
    <t>TC024</t>
  </si>
  <si>
    <t>Travel Case - Australian Natives</t>
  </si>
  <si>
    <t>TC030</t>
  </si>
  <si>
    <t>Travel Case - Golden Wattle</t>
  </si>
  <si>
    <t>TC031</t>
  </si>
  <si>
    <t>Heat Pack</t>
  </si>
  <si>
    <t>Silicone Heat Bag - Strawberry Thief</t>
  </si>
  <si>
    <t>HP01</t>
  </si>
  <si>
    <t>No stock / August</t>
  </si>
  <si>
    <t>Silicone Heat Bag - Fruit</t>
  </si>
  <si>
    <t>HP02</t>
  </si>
  <si>
    <t>Silicone Heat Bag - Sunflowers</t>
  </si>
  <si>
    <t>HP03</t>
  </si>
  <si>
    <t>November</t>
  </si>
  <si>
    <t>Silicone Heat Bag - Peonie Rose</t>
  </si>
  <si>
    <t>HP04</t>
  </si>
  <si>
    <t>Hot Water Bottle</t>
  </si>
  <si>
    <t>Extra Long Hot Water Bottle - Strawberry Thief</t>
  </si>
  <si>
    <t>HWB01</t>
  </si>
  <si>
    <t>October</t>
  </si>
  <si>
    <t>Extra Long Hot Water Bottle - Fruit</t>
  </si>
  <si>
    <t>HWB02</t>
  </si>
  <si>
    <t>Extra Long Hot Water Bottle - Sunflowers</t>
  </si>
  <si>
    <t>HWB03</t>
  </si>
  <si>
    <t>Extra Long Hot Water Bottle - Peonie Rose</t>
  </si>
  <si>
    <t>HWB04</t>
  </si>
  <si>
    <t>Lunch Bags</t>
  </si>
  <si>
    <t>Lunch Bag - Australian Natives</t>
  </si>
  <si>
    <t>LB07</t>
  </si>
  <si>
    <t>Lunch Bag - Golden Wattle</t>
  </si>
  <si>
    <t>LB08</t>
  </si>
  <si>
    <t>Lunch Bag - Strawberry Thief Blue</t>
  </si>
  <si>
    <t>LB09</t>
  </si>
  <si>
    <t>Lunch Bag - Monet Water Lilies</t>
  </si>
  <si>
    <t>LB10</t>
  </si>
  <si>
    <t>Lunch Bag - Van Gogh's Sunflowers</t>
  </si>
  <si>
    <t>LB11</t>
  </si>
  <si>
    <t>Manicure Set</t>
  </si>
  <si>
    <t>Manicure Set - Australian Natives</t>
  </si>
  <si>
    <t>MCS012</t>
  </si>
  <si>
    <t>Manicure Set - Golden Wattle</t>
  </si>
  <si>
    <t>MCS013</t>
  </si>
  <si>
    <t>Mugs</t>
  </si>
  <si>
    <t>Tea Infuser Mug - Peonie Rose Bluhen</t>
  </si>
  <si>
    <t>BM01</t>
  </si>
  <si>
    <t>Tea Infuser Mug - Strawberry Thief William Morris</t>
  </si>
  <si>
    <t>BM03</t>
  </si>
  <si>
    <t>Tea Infuser Mug - Fruit William Morris</t>
  </si>
  <si>
    <t>BM04</t>
  </si>
  <si>
    <t>Tea Infuser Mug - Hampton Stripe Bluhen</t>
  </si>
  <si>
    <t>BM05</t>
  </si>
  <si>
    <t>Tea Infuser Mug - Kilburn Bluhen</t>
  </si>
  <si>
    <t>BM06</t>
  </si>
  <si>
    <t>Tea Infuser Mug - Strawberry Thief Red William Morris</t>
  </si>
  <si>
    <t>BM08</t>
  </si>
  <si>
    <t>Tea Infuser Mug - Monet's Water Lilies</t>
  </si>
  <si>
    <t>BM09</t>
  </si>
  <si>
    <t>Tea Infuser Mug - Van Gogh's Sunflowers</t>
  </si>
  <si>
    <t>BM10</t>
  </si>
  <si>
    <t>Tea Infuser Mug - Australian Natives</t>
  </si>
  <si>
    <t>BM11</t>
  </si>
  <si>
    <t>Tea Infuser Mug - Golden Wattle</t>
  </si>
  <si>
    <t>BM12</t>
  </si>
  <si>
    <t>Tea Infuser Mug - Read Books Drink Tea</t>
  </si>
  <si>
    <t>BM13</t>
  </si>
  <si>
    <t>Tea Infuser Mug - It's Not Hoarding If It's Books</t>
  </si>
  <si>
    <t>BM14</t>
  </si>
  <si>
    <t>Tea Infuser Mug - No Such Thing As Too Many Books</t>
  </si>
  <si>
    <t>BM15</t>
  </si>
  <si>
    <t>Tea For One - Strawberry Thief</t>
  </si>
  <si>
    <t>TFO01</t>
  </si>
  <si>
    <t>Tea For One - Fruit</t>
  </si>
  <si>
    <t>TFO02</t>
  </si>
  <si>
    <t>Tea For One - Van Gogh's Sunflowers</t>
  </si>
  <si>
    <t>TFO03</t>
  </si>
  <si>
    <t>Tea For One - Monet's Water Lilies</t>
  </si>
  <si>
    <t>TFO04</t>
  </si>
  <si>
    <t>Journal - A5 Australian Natives Lined</t>
  </si>
  <si>
    <t>J20</t>
  </si>
  <si>
    <t>Journal - A5 Golden Wattle Lined</t>
  </si>
  <si>
    <t>J21</t>
  </si>
  <si>
    <t>Journal - A6 Australian Natives</t>
  </si>
  <si>
    <t>JA608</t>
  </si>
  <si>
    <t>NO STOCK / JAN 26</t>
  </si>
  <si>
    <t>Journal - A6 Golden Wattle</t>
  </si>
  <si>
    <t>JA609</t>
  </si>
  <si>
    <t>Rollerball Pen - Strawberry Thief</t>
  </si>
  <si>
    <t>PEN01</t>
  </si>
  <si>
    <t>Rollerball Pen - Fruit</t>
  </si>
  <si>
    <t>PEN02</t>
  </si>
  <si>
    <t>Rollerball Pen - Peonie Rose</t>
  </si>
  <si>
    <t>PEN03</t>
  </si>
  <si>
    <t>Rollerball Pen - Kilburn</t>
  </si>
  <si>
    <t>PEN04</t>
  </si>
  <si>
    <t>December</t>
  </si>
  <si>
    <t>Rollerball Pen - Sunflowers</t>
  </si>
  <si>
    <t>PEN05</t>
  </si>
  <si>
    <t>Rollerball Pen - Water Lilies</t>
  </si>
  <si>
    <t>PEN06</t>
  </si>
  <si>
    <t>Rollerball Pen - Strawberry Thief Red</t>
  </si>
  <si>
    <t>PEN07</t>
  </si>
  <si>
    <t>Rollerball Pen - Australian Natives</t>
  </si>
  <si>
    <t>PEN08</t>
  </si>
  <si>
    <t>Rollerball Pen - Golden Wattle</t>
  </si>
  <si>
    <t>PEN09</t>
  </si>
  <si>
    <t>2-pack Pen Refill Black</t>
  </si>
  <si>
    <t>PENREF1</t>
  </si>
  <si>
    <t>2-pack Pen Refill Blue</t>
  </si>
  <si>
    <t>PENREF2</t>
  </si>
  <si>
    <t>Rollerball Pens Setup</t>
  </si>
  <si>
    <t>SPRB</t>
  </si>
  <si>
    <t>Pill Boxes</t>
  </si>
  <si>
    <t>Compact Mirrors and Pill Boxes - Fruit and Strawberry Thief 24 Units</t>
  </si>
  <si>
    <t>PB02</t>
  </si>
  <si>
    <t>September</t>
  </si>
  <si>
    <t>Compact Mirrors and Pill Boxes - Peonie Rose and Kilburn 24 Units</t>
  </si>
  <si>
    <t>PB03</t>
  </si>
  <si>
    <t>Compact Mirrors and Pill Boxes - Sunflowers and Water Lilies 24 Units</t>
  </si>
  <si>
    <t>PB04</t>
  </si>
  <si>
    <t>August</t>
  </si>
  <si>
    <t>Scarf</t>
  </si>
  <si>
    <t>Scarf - Golden Wattle</t>
  </si>
  <si>
    <t>SCA012</t>
  </si>
  <si>
    <t>Scarf - Australian Natives</t>
  </si>
  <si>
    <t>SCA013</t>
  </si>
  <si>
    <t>Small Pouch</t>
  </si>
  <si>
    <t>Small Pouch - Strawberry Thief</t>
  </si>
  <si>
    <t>SP01</t>
  </si>
  <si>
    <t>Small Pouch - Fruit</t>
  </si>
  <si>
    <t>SP02</t>
  </si>
  <si>
    <t>Small Pouch - Peonie Rose</t>
  </si>
  <si>
    <t>SP03</t>
  </si>
  <si>
    <t>Small Pouch - Kilburn</t>
  </si>
  <si>
    <t>SP04</t>
  </si>
  <si>
    <t>Small Pouch - Sunflowers</t>
  </si>
  <si>
    <t>SP05</t>
  </si>
  <si>
    <t>Small Pouch - Water Lilies</t>
  </si>
  <si>
    <t>SP06</t>
  </si>
  <si>
    <t>Small Pouch - Australian Natives</t>
  </si>
  <si>
    <t>SP07</t>
  </si>
  <si>
    <t>Small Pouch - Golden Wattle</t>
  </si>
  <si>
    <t>SP08</t>
  </si>
  <si>
    <t>Tea Towel</t>
  </si>
  <si>
    <t>Tea Towels Set Up</t>
  </si>
  <si>
    <t>SPTT</t>
  </si>
  <si>
    <t>Tea Towel - Strawberry Thief</t>
  </si>
  <si>
    <t>TT01</t>
  </si>
  <si>
    <t>Tea Towel - Fruit</t>
  </si>
  <si>
    <t>TT02</t>
  </si>
  <si>
    <t>Tea Towel - Kilburn</t>
  </si>
  <si>
    <t>TT03</t>
  </si>
  <si>
    <t>Tea Towel - Peonie Rose</t>
  </si>
  <si>
    <t>TT04</t>
  </si>
  <si>
    <t>Tea Towel - Van Gogh Sunflowers</t>
  </si>
  <si>
    <t>TT05</t>
  </si>
  <si>
    <t>Tea Towel - Monet Water Lilies</t>
  </si>
  <si>
    <t>TT06</t>
  </si>
  <si>
    <t>Tea Towel - Australian Natives</t>
  </si>
  <si>
    <t>TT07</t>
  </si>
  <si>
    <t>Tea Towel - Golden Wattle</t>
  </si>
  <si>
    <t>TT08</t>
  </si>
  <si>
    <t>Tote Bags</t>
  </si>
  <si>
    <t>Tote Bag - Bluhen Van Gogh Sunflowers</t>
  </si>
  <si>
    <t>TB022</t>
  </si>
  <si>
    <t>Tote Bag - Bluhen Monet's Water Lilies</t>
  </si>
  <si>
    <t>TB023</t>
  </si>
  <si>
    <t>Tote Bag - Cats, Coffee &amp; Books</t>
  </si>
  <si>
    <t>TB024</t>
  </si>
  <si>
    <t>Tote Bag - Dogs &amp; Books</t>
  </si>
  <si>
    <t>TB025</t>
  </si>
  <si>
    <t>Tote Bag - No such thing</t>
  </si>
  <si>
    <t>TB026</t>
  </si>
  <si>
    <t>Tote Bag - Australian Natives</t>
  </si>
  <si>
    <t>TB027</t>
  </si>
  <si>
    <t>Tote Bag - Golden Wattle</t>
  </si>
  <si>
    <t>TB028</t>
  </si>
  <si>
    <t>Tote Bag - Reading is Dreaming With Your Eyes Open</t>
  </si>
  <si>
    <t>TB029</t>
  </si>
  <si>
    <t>Water Bottle</t>
  </si>
  <si>
    <t>Water Bottle - Fruit William Morris</t>
  </si>
  <si>
    <t>WB02</t>
  </si>
  <si>
    <t>Water Bottle - Peonie Rose Blu-hen</t>
  </si>
  <si>
    <t>WB04</t>
  </si>
  <si>
    <t>Water Bottle - Strawberry Thief William Morris</t>
  </si>
  <si>
    <t>WB06</t>
  </si>
  <si>
    <t>Water Bottle - Kilburn Blu-hen</t>
  </si>
  <si>
    <t>WB07</t>
  </si>
  <si>
    <t>Water Bottle - Van Gogh Sunflowers Blu-hen</t>
  </si>
  <si>
    <t>WB09</t>
  </si>
  <si>
    <t>Water Bottle - Monet Water Lilies Blu-hen</t>
  </si>
  <si>
    <t>WB10</t>
  </si>
  <si>
    <t>OCT - MAR</t>
  </si>
  <si>
    <t>SOH as of SEPT 23</t>
  </si>
  <si>
    <t>PENDING PO -ETA OCT</t>
  </si>
  <si>
    <t>4 FYTM - From You To Me</t>
  </si>
  <si>
    <t>Baby Journals</t>
  </si>
  <si>
    <t>EARLY YEARS GREY</t>
  </si>
  <si>
    <t>EYG</t>
  </si>
  <si>
    <t>BUMP TO BIRTHDAY FABRIC</t>
  </si>
  <si>
    <t>F3A</t>
  </si>
  <si>
    <t>THE STORY OF US</t>
  </si>
  <si>
    <t>F3B</t>
  </si>
  <si>
    <t>Children's Books</t>
  </si>
  <si>
    <t>BABY BOOKS STARTER PACK</t>
  </si>
  <si>
    <t>BBSP</t>
  </si>
  <si>
    <t>WELCOME TO THE WORLD - Lucy Tapper</t>
  </si>
  <si>
    <t>T2A</t>
  </si>
  <si>
    <t>YOU'RE THE BIGGEST - Lucy Tapper</t>
  </si>
  <si>
    <t>T2B</t>
  </si>
  <si>
    <t>PROMISES FOR YOU</t>
  </si>
  <si>
    <t>T2I</t>
  </si>
  <si>
    <t>February</t>
  </si>
  <si>
    <t>THE ONLY BEAR FOR ME</t>
  </si>
  <si>
    <t>T8A</t>
  </si>
  <si>
    <t>March</t>
  </si>
  <si>
    <t>Everything is Better Because Of You</t>
  </si>
  <si>
    <t>T8B</t>
  </si>
  <si>
    <t>January</t>
  </si>
  <si>
    <t>Dear Mummy Love From Me</t>
  </si>
  <si>
    <t>T2K</t>
  </si>
  <si>
    <t>Dear Daddy Love from Me</t>
  </si>
  <si>
    <t>T2L</t>
  </si>
  <si>
    <t>Dear Mummy Love From Us</t>
  </si>
  <si>
    <t>T2M</t>
  </si>
  <si>
    <t>Dear Daddy Love from Us</t>
  </si>
  <si>
    <t>T2N</t>
  </si>
  <si>
    <t>A Tale for a Sleepy Bunny</t>
  </si>
  <si>
    <t>T4A</t>
  </si>
  <si>
    <t>HOPES AND WISHES FOR YOU</t>
  </si>
  <si>
    <t>T4B</t>
  </si>
  <si>
    <t>TIMELESS COLLECTION - DEAR MUM</t>
  </si>
  <si>
    <t>AT1</t>
  </si>
  <si>
    <t>TIMELESS COLLECTION - DEAR DAD</t>
  </si>
  <si>
    <t>AT2</t>
  </si>
  <si>
    <t>TIMELESS COLLECTION - DEAR GRANDMA</t>
  </si>
  <si>
    <t>AT3</t>
  </si>
  <si>
    <t>TIMELESS COLLECTION - DEAR GRANDAD</t>
  </si>
  <si>
    <t>AT4</t>
  </si>
  <si>
    <t>DEAR DAD - FYTM CONTEMPORAY</t>
  </si>
  <si>
    <t>DDC</t>
  </si>
  <si>
    <t>DEAR GRANDAD FYTM CONTEMPORAY</t>
  </si>
  <si>
    <t>DGDC</t>
  </si>
  <si>
    <t>DEAR GRANDMA FYTM CONTEMPORAY</t>
  </si>
  <si>
    <t>DGMC</t>
  </si>
  <si>
    <t>Oct / March</t>
  </si>
  <si>
    <t>DEAR MUM - FYTM CONTEMPORARY</t>
  </si>
  <si>
    <t>DMC</t>
  </si>
  <si>
    <t>THE READING LOG</t>
  </si>
  <si>
    <t>J4</t>
  </si>
  <si>
    <t>I Made a Book About You</t>
  </si>
  <si>
    <t>T1A</t>
  </si>
  <si>
    <t>MUM TO MUM Pass it on</t>
  </si>
  <si>
    <t>T4D</t>
  </si>
  <si>
    <t>Greeting Cards</t>
  </si>
  <si>
    <t>WOW Cards Set Up</t>
  </si>
  <si>
    <t>WOWSU</t>
  </si>
  <si>
    <t>WOW! YOU'RE 1</t>
  </si>
  <si>
    <t>WOW1</t>
  </si>
  <si>
    <t>Dec / March</t>
  </si>
  <si>
    <t>WOW! YOU'RE 2</t>
  </si>
  <si>
    <t>WOW2</t>
  </si>
  <si>
    <t>WOW! YOU'RE 3</t>
  </si>
  <si>
    <t>WOW3</t>
  </si>
  <si>
    <t>WOW! YOU'RE 4</t>
  </si>
  <si>
    <t>WOW4</t>
  </si>
  <si>
    <t>WOW! YOU'RE 5</t>
  </si>
  <si>
    <t>WOW5</t>
  </si>
  <si>
    <t>WOW! YOU'RE 6</t>
  </si>
  <si>
    <t>WOW6</t>
  </si>
  <si>
    <t>Oct / December</t>
  </si>
  <si>
    <t>WHITCOULLS ORDER (NOT YET CONFIRMED)</t>
  </si>
  <si>
    <t>SKU</t>
  </si>
  <si>
    <t>WHITCOULLS Forecast 
 OCT-JAN</t>
  </si>
  <si>
    <t>SEPT 23 SOH</t>
  </si>
  <si>
    <t>FORECAST
REG</t>
  </si>
  <si>
    <t>From You To Me Rec Bk Gpa Dear Grandad</t>
  </si>
  <si>
    <t>From You To Me Rec Bk Gma Dear Grandma</t>
  </si>
  <si>
    <t>From You To Me Rec Bk Dad Dear Dad</t>
  </si>
  <si>
    <t>From You To Me Rec Bk Mum Dear Mum</t>
  </si>
  <si>
    <t>NOV</t>
  </si>
  <si>
    <t>MAR-AUG</t>
  </si>
  <si>
    <t>FEB</t>
  </si>
  <si>
    <t>MARCH</t>
  </si>
  <si>
    <t>APRIL</t>
  </si>
  <si>
    <t>MAY</t>
  </si>
  <si>
    <t>AUG</t>
  </si>
  <si>
    <t>UNTIL February</t>
  </si>
  <si>
    <t>UNTIL MAY</t>
  </si>
  <si>
    <t>UNTIL JUNE</t>
  </si>
  <si>
    <t>UNTIL JULY</t>
  </si>
  <si>
    <t>SOH as of FEB 23</t>
  </si>
  <si>
    <t>Value per unit</t>
  </si>
  <si>
    <t>Stock value</t>
  </si>
  <si>
    <t>PENDING PO -ETA MAR</t>
  </si>
  <si>
    <t>Stock Value</t>
  </si>
  <si>
    <t>ECLECTIONARY JOURNAL TABS STARTER PACK</t>
  </si>
  <si>
    <t>SP376</t>
  </si>
  <si>
    <t>ECLECTIONARY JOURNAL TABS DISPLAY</t>
  </si>
  <si>
    <t>37600D</t>
  </si>
  <si>
    <t>ECLECTIONARY JOURNAL TABS - BOTANICAL</t>
  </si>
  <si>
    <t>ECLECTIONARY JOURNAL TABS - FANTASY</t>
  </si>
  <si>
    <t>ECLECTIONARY JOURNAL TABS - GOOD VIBES</t>
  </si>
  <si>
    <t>ECLECTIONARY JOURNAL TABS - VINTAGE</t>
  </si>
  <si>
    <t>Pens</t>
  </si>
  <si>
    <t>ECLECTIONARY BOOKMARKS PENS SET UP</t>
  </si>
  <si>
    <t>SP378</t>
  </si>
  <si>
    <t>MAR - AUG</t>
  </si>
  <si>
    <t>SEPT</t>
  </si>
  <si>
    <t>value per Unit</t>
  </si>
  <si>
    <t>PENDING PO -ETA TBA</t>
  </si>
  <si>
    <t>BBSPNO2</t>
  </si>
  <si>
    <t>THE WORLD WAITED FOR YOU</t>
  </si>
  <si>
    <t>T2W</t>
  </si>
  <si>
    <t>WHITCOULLS</t>
  </si>
  <si>
    <t>Main Runner (Whitcoulls)</t>
  </si>
  <si>
    <t>MR. HUW'S FORECAST - JULY 30</t>
  </si>
  <si>
    <t>New Customers</t>
  </si>
  <si>
    <t>Cum Customers</t>
  </si>
  <si>
    <t>New Customer Qty</t>
  </si>
  <si>
    <t>Replen 2 a month</t>
  </si>
  <si>
    <t>Total</t>
  </si>
  <si>
    <t>Cum Sales</t>
  </si>
  <si>
    <t>Stock Out Impact</t>
  </si>
  <si>
    <t>Month End</t>
  </si>
  <si>
    <t>Movement</t>
  </si>
  <si>
    <t>PO Arrival</t>
  </si>
  <si>
    <t>On The Reading Log please order 1900 pieces- we will have better data when we next order on 1 Nov.</t>
  </si>
  <si>
    <t>ARRIVE</t>
  </si>
  <si>
    <t>Feb 15 to 22</t>
  </si>
  <si>
    <t>Chinese new year</t>
  </si>
  <si>
    <t>6 MOS</t>
  </si>
  <si>
    <t>Value per uit</t>
  </si>
  <si>
    <t>STOCK VALUE</t>
  </si>
  <si>
    <t>3  New Range</t>
  </si>
  <si>
    <t>Cosmetic Bag - Tropical Koala</t>
  </si>
  <si>
    <t>CB09</t>
  </si>
  <si>
    <t>Glasses Case - Tropical Koala</t>
  </si>
  <si>
    <t>GC016</t>
  </si>
  <si>
    <t>Travel Case - Tropical Koala</t>
  </si>
  <si>
    <t>TC032</t>
  </si>
  <si>
    <t>HOLD</t>
  </si>
  <si>
    <t>DC</t>
  </si>
  <si>
    <t>Lunch Bag - Tropical Koala</t>
  </si>
  <si>
    <t>LB12</t>
  </si>
  <si>
    <t>Tea Infuser Mug - Tropical Koala</t>
  </si>
  <si>
    <t>BM16</t>
  </si>
  <si>
    <t>Rollerball Pen - Tropical Koala</t>
  </si>
  <si>
    <t>PEN10</t>
  </si>
  <si>
    <t>Scarf - Tropical Koala</t>
  </si>
  <si>
    <t>SCA014</t>
  </si>
  <si>
    <t>Tea Towel - Tropical Koala</t>
  </si>
  <si>
    <t>TT09</t>
  </si>
  <si>
    <t>Tote Bag - Tropical Koala</t>
  </si>
  <si>
    <t>TB030</t>
  </si>
  <si>
    <t>Tote Bag - Just One More Chapter</t>
  </si>
  <si>
    <t>TB031</t>
  </si>
  <si>
    <t>Romantasy Set Up - Bookmarks and Tote Bags</t>
  </si>
  <si>
    <t>BKTBSP</t>
  </si>
  <si>
    <t>Romantasy Tote Bag - To The Stars Who Listen</t>
  </si>
  <si>
    <t>TB037</t>
  </si>
  <si>
    <t>Romantasy Tote Bag - In My Romantasy Era</t>
  </si>
  <si>
    <t>TB032</t>
  </si>
  <si>
    <t>Romantasy Tote Bag - I don't Kneel To Fae Kings</t>
  </si>
  <si>
    <t>TB034</t>
  </si>
  <si>
    <t>Romantasy Tote Bag - I Can Fix Him Or Join Him</t>
  </si>
  <si>
    <t>TB036</t>
  </si>
  <si>
    <t>Romantasy Tote Bag - Fly Or Die</t>
  </si>
  <si>
    <t>TB033</t>
  </si>
  <si>
    <t>Romantasy Tote Bag - Enemies To Lovers</t>
  </si>
  <si>
    <t>TB035</t>
  </si>
  <si>
    <t>Water Bottle - Australian Natives</t>
  </si>
  <si>
    <t>WB11</t>
  </si>
  <si>
    <t>Water Bottle - Golden Wattle</t>
  </si>
  <si>
    <t>WB12</t>
  </si>
  <si>
    <t>Large Water Bottle - Strawberry Thief</t>
  </si>
  <si>
    <t>WBL01</t>
  </si>
  <si>
    <t>Large Water Bottle - Monet Water Lilies</t>
  </si>
  <si>
    <t>WBL02</t>
  </si>
  <si>
    <t>Large Water Bottle - Van Gogh Sunflowers</t>
  </si>
  <si>
    <t>WBL03</t>
  </si>
  <si>
    <t>Large Water Bottle - Australian Natives</t>
  </si>
  <si>
    <t>WBL04</t>
  </si>
  <si>
    <t>Large Water Bottle - Golden Wattle</t>
  </si>
  <si>
    <t>WBL05</t>
  </si>
  <si>
    <t>Compact Mirror</t>
  </si>
  <si>
    <t>Compact Mirror - Sunflowers</t>
  </si>
  <si>
    <t>CM06</t>
  </si>
  <si>
    <t>Compact Mirror - Water Lilies</t>
  </si>
  <si>
    <t>CM07</t>
  </si>
  <si>
    <t>Pill Box</t>
  </si>
  <si>
    <t>Pill Box - Strawberry Thief</t>
  </si>
  <si>
    <t>PB05</t>
  </si>
  <si>
    <t>Pill Box - Sunflowers</t>
  </si>
  <si>
    <t>PB09</t>
  </si>
  <si>
    <t>Umbrellas</t>
  </si>
  <si>
    <t>Umbrella Small-Van Gogh Sunflowers</t>
  </si>
  <si>
    <t>UMB009</t>
  </si>
  <si>
    <t>Umbrella Small-Strawberry Thief Blue</t>
  </si>
  <si>
    <t>UMB007</t>
  </si>
  <si>
    <t>Umbrella Small-Monet's Water Lilies</t>
  </si>
  <si>
    <t>UMB010</t>
  </si>
  <si>
    <t>Umbrella Small - Tropical Koala</t>
  </si>
  <si>
    <t>UMB011</t>
  </si>
  <si>
    <t>Umbrella Small - Golden Wattle</t>
  </si>
  <si>
    <t>UMB013</t>
  </si>
  <si>
    <t>Umbrella Small - Australian Natives</t>
  </si>
  <si>
    <t>UMB012</t>
  </si>
  <si>
    <t>NO STOCK/MAY</t>
  </si>
  <si>
    <t>Umbrella - Tropical Koala</t>
  </si>
  <si>
    <t>BH60</t>
  </si>
  <si>
    <t>Umbrella - Golden Wattle</t>
  </si>
  <si>
    <t>BH59</t>
  </si>
  <si>
    <t>Umbrella - Australian Natives</t>
  </si>
  <si>
    <t>BH58</t>
  </si>
  <si>
    <t>Twist Fan</t>
  </si>
  <si>
    <t>Twist Fan Set Up</t>
  </si>
  <si>
    <t>TFSU</t>
  </si>
  <si>
    <t>New Range</t>
  </si>
  <si>
    <t>Twist Fan CDU</t>
  </si>
  <si>
    <t>TFCDU</t>
  </si>
  <si>
    <t>Twist Fan - Strawberry Thief</t>
  </si>
  <si>
    <t>TF01</t>
  </si>
  <si>
    <t>Twist Fan - Sunflowers</t>
  </si>
  <si>
    <t>TF02</t>
  </si>
  <si>
    <t>Twist Fan - Monet's Water Lilies</t>
  </si>
  <si>
    <t>TF03</t>
  </si>
  <si>
    <t>Twist Fan - Australian Natives</t>
  </si>
  <si>
    <t>TF04</t>
  </si>
  <si>
    <t>Twist Fan - Golden Wattle</t>
  </si>
  <si>
    <t>TF05</t>
  </si>
  <si>
    <t>Twist Fan - Tropical Koala</t>
  </si>
  <si>
    <t>TF06</t>
  </si>
  <si>
    <t>Small Pouch - Tropical Koala</t>
  </si>
  <si>
    <t>SP09</t>
  </si>
  <si>
    <t>Oven Gloves</t>
  </si>
  <si>
    <t>Oven Glove - Tropical Koala</t>
  </si>
  <si>
    <t>OG06</t>
  </si>
  <si>
    <t>Oven Glove - Strawberry Thief</t>
  </si>
  <si>
    <t>OG01</t>
  </si>
  <si>
    <t>Oven Glove - Monet's Water Lilies</t>
  </si>
  <si>
    <t>OG03</t>
  </si>
  <si>
    <t>Oven Glove - Golden Wattle</t>
  </si>
  <si>
    <t>OG05</t>
  </si>
  <si>
    <t>Oven Glove - Australian Natives</t>
  </si>
  <si>
    <t>OG04</t>
  </si>
  <si>
    <t>Journal - A7 Water Lilies w/ Pen</t>
  </si>
  <si>
    <t>JA702</t>
  </si>
  <si>
    <t>Journal - A7 Tropical Koala  w/ Pen</t>
  </si>
  <si>
    <t>JA706</t>
  </si>
  <si>
    <t>Journal - A7 Sunflowers w/ Pen</t>
  </si>
  <si>
    <t>JA703</t>
  </si>
  <si>
    <t>Journal - A7 Strawberry Thief w/ Pen</t>
  </si>
  <si>
    <t>JA701</t>
  </si>
  <si>
    <t>Journal - A7 Golden Wattle w/ Pen</t>
  </si>
  <si>
    <t>JA705</t>
  </si>
  <si>
    <t>Journal - A7 Australian Natives w/ Pen</t>
  </si>
  <si>
    <t>JA704</t>
  </si>
  <si>
    <t>A7 FABRIC JOURNALS STARTER PACK</t>
  </si>
  <si>
    <t>SPJA7</t>
  </si>
  <si>
    <t>Journal - A6 Tropical Koala</t>
  </si>
  <si>
    <t>JA610</t>
  </si>
  <si>
    <t>Journal - A5 Tropical Koala Lined</t>
  </si>
  <si>
    <t>J22</t>
  </si>
  <si>
    <t>Aprons</t>
  </si>
  <si>
    <t>Apron - Tropical Koala</t>
  </si>
  <si>
    <t>AP06</t>
  </si>
  <si>
    <t>Apron - Sunflowers</t>
  </si>
  <si>
    <t>AP02</t>
  </si>
  <si>
    <t>Apron - Strawberry Thief</t>
  </si>
  <si>
    <t>AP01</t>
  </si>
  <si>
    <t>Apron - Monet's Water Lilies</t>
  </si>
  <si>
    <t>AP03</t>
  </si>
  <si>
    <t>Apron - Golden Wattle</t>
  </si>
  <si>
    <t>AP05</t>
  </si>
  <si>
    <t>Apron - Australian Natives</t>
  </si>
  <si>
    <t>AP04</t>
  </si>
  <si>
    <t>Ice Hair Wrap</t>
  </si>
  <si>
    <t>Ice Silk Wrap - Tropical Koala</t>
  </si>
  <si>
    <t>ISW06</t>
  </si>
  <si>
    <t>Ice Silk Wrap - Sunflowers</t>
  </si>
  <si>
    <t>ISW02</t>
  </si>
  <si>
    <t>Ice Silk Wrap - Strawberry Thief</t>
  </si>
  <si>
    <t>ISW01</t>
  </si>
  <si>
    <t>Ice Silk Wrap - Monet's Water Lilies</t>
  </si>
  <si>
    <t>ISW03</t>
  </si>
  <si>
    <t>Ice Silk Wrap - Golden Wattle</t>
  </si>
  <si>
    <t>ISW05</t>
  </si>
  <si>
    <t>Ice Silk Wrap - Australian Natives</t>
  </si>
  <si>
    <t>ISW04</t>
  </si>
  <si>
    <t>Creams</t>
  </si>
  <si>
    <t>Sugar Scrub Set - Tropical Koala</t>
  </si>
  <si>
    <t>CR045</t>
  </si>
  <si>
    <t>Sugar Scrub Set - Golden Wattle</t>
  </si>
  <si>
    <t>CR044</t>
  </si>
  <si>
    <t>Sugar Scrub Set - Australian Natives</t>
  </si>
  <si>
    <t>CR043</t>
  </si>
  <si>
    <t>Sleep Spray - Tropical Koala</t>
  </si>
  <si>
    <t>CR046</t>
  </si>
  <si>
    <t>Sleep Spray - Golden Wattle</t>
  </si>
  <si>
    <t>CR040</t>
  </si>
  <si>
    <t>Sleep Spray - Australian Natives</t>
  </si>
  <si>
    <t>CR039</t>
  </si>
  <si>
    <t>Pill Boxes - Assorted 24 Units</t>
  </si>
  <si>
    <t>PBASS24</t>
  </si>
  <si>
    <t>Pill Box - Water Lilies</t>
  </si>
  <si>
    <t>PB10</t>
  </si>
  <si>
    <t>Pill Box - Tropical Koala</t>
  </si>
  <si>
    <t>PB13</t>
  </si>
  <si>
    <t>Pill Box - Golden Wattle</t>
  </si>
  <si>
    <t>PB12</t>
  </si>
  <si>
    <t>Pill Box - Australian Natives</t>
  </si>
  <si>
    <t>PB11</t>
  </si>
  <si>
    <t>Oven Glove - Sunflowers</t>
  </si>
  <si>
    <t>OG02</t>
  </si>
  <si>
    <t>Large Hand Cream - Tropical Koala</t>
  </si>
  <si>
    <t>CR048</t>
  </si>
  <si>
    <t>Large Hand Cream - Golden Wattle</t>
  </si>
  <si>
    <t>CR038</t>
  </si>
  <si>
    <t>Large Hand Cream - Australian Natives</t>
  </si>
  <si>
    <t>CR037</t>
  </si>
  <si>
    <t>Hand Cream - Tropical Koala</t>
  </si>
  <si>
    <t>CR049</t>
  </si>
  <si>
    <t>Hand Cream - Golden Wattle</t>
  </si>
  <si>
    <t>CR036</t>
  </si>
  <si>
    <t>Hand Cream - Australian Natives</t>
  </si>
  <si>
    <t>CR035</t>
  </si>
  <si>
    <t>Compact Mirrors - Assorted 24 Units</t>
  </si>
  <si>
    <t>CMASS24</t>
  </si>
  <si>
    <t>Compact Mirror - Tropical Koala</t>
  </si>
  <si>
    <t>CM10</t>
  </si>
  <si>
    <t>Compact Mirror - Golden Wattle</t>
  </si>
  <si>
    <t>CM09</t>
  </si>
  <si>
    <t>Compact Mirror - Australian Natives</t>
  </si>
  <si>
    <t>CM08</t>
  </si>
  <si>
    <t>Black Floor Spinner</t>
  </si>
  <si>
    <t>BFS</t>
  </si>
  <si>
    <t>Bath Tea Bags - Tropical Koala</t>
  </si>
  <si>
    <t>CR047</t>
  </si>
  <si>
    <t>Bath Tea Bags - Golden Wattle</t>
  </si>
  <si>
    <t>CR042</t>
  </si>
  <si>
    <t>Bath Tea Bags - Australian Natives</t>
  </si>
  <si>
    <t>CR041</t>
  </si>
  <si>
    <t>Bamboo Fan - Tropical Koala</t>
  </si>
  <si>
    <t>BF13</t>
  </si>
  <si>
    <t>Tea Infuser Mug - Reading is Dreaming</t>
  </si>
  <si>
    <t>BM17</t>
  </si>
  <si>
    <t>Tea Infuser Mug - One More Chapter</t>
  </si>
  <si>
    <t>BM20</t>
  </si>
  <si>
    <t>Tea Infuser Mug - Dogs and Books</t>
  </si>
  <si>
    <t>BM18</t>
  </si>
  <si>
    <t>Tea Infuser Mug - Cats, Coffee, and Books</t>
  </si>
  <si>
    <t>BM19</t>
  </si>
  <si>
    <t>Tea Infuser Mug Set Up</t>
  </si>
  <si>
    <t>TIMSU</t>
  </si>
  <si>
    <t>Journal - A5 Reading is Dreaming With Your Eyes Open Lined</t>
  </si>
  <si>
    <t>J23</t>
  </si>
  <si>
    <t>Journal - A5 Read Books Drink Tea Be Happy Lined</t>
  </si>
  <si>
    <t>J26</t>
  </si>
  <si>
    <t>Journal - A5 No Such Thing As Too Many Books Lined</t>
  </si>
  <si>
    <t>J29</t>
  </si>
  <si>
    <t>Journal - A5 Just One More Chapter Lined</t>
  </si>
  <si>
    <t>J24</t>
  </si>
  <si>
    <t>Journal - A5 It's Not Hoarding If It's Books Lined</t>
  </si>
  <si>
    <t>J25</t>
  </si>
  <si>
    <t>Journal - A5 Dogs and Books Lined</t>
  </si>
  <si>
    <t>J28</t>
  </si>
  <si>
    <t>Journal - A5 Cats, Coffee and Books Lined</t>
  </si>
  <si>
    <t>J27</t>
  </si>
  <si>
    <t>A5 FABRIC JOURNAL SET UP - CHAPTER &amp; LIGHT</t>
  </si>
  <si>
    <t>SPFJCL</t>
  </si>
  <si>
    <t>FEB - JULY</t>
  </si>
  <si>
    <t>FIRST ORDER</t>
  </si>
  <si>
    <t>PENDING PO -ETA EN AUG</t>
  </si>
  <si>
    <t>UNTIL DEC</t>
  </si>
  <si>
    <t>balance for whitcoulls</t>
  </si>
  <si>
    <t>UNTIL JAN 26</t>
  </si>
  <si>
    <t>whitcoulls</t>
  </si>
  <si>
    <t>order</t>
  </si>
  <si>
    <t>soh</t>
  </si>
  <si>
    <t>po</t>
  </si>
  <si>
    <t>balance</t>
  </si>
  <si>
    <t>To order
eta NOV 1</t>
  </si>
  <si>
    <t>remaining for others</t>
  </si>
  <si>
    <t>2022-2024</t>
  </si>
  <si>
    <t>2023-2025</t>
  </si>
  <si>
    <t>2022-2025</t>
  </si>
  <si>
    <t>JANUARY</t>
  </si>
  <si>
    <t>UNTIL JANUARY</t>
  </si>
  <si>
    <t>SOH as of
JULY 31</t>
  </si>
  <si>
    <t>SOH as of
AUGUST 11</t>
  </si>
  <si>
    <t>No stock</t>
  </si>
  <si>
    <t>RECALCULATION - STOCK UPTO MAY 2026</t>
  </si>
  <si>
    <t>ITEM NAME</t>
  </si>
  <si>
    <t>FORECAST
UNTIL MAY</t>
  </si>
  <si>
    <t>SOH  as of FEB 23</t>
  </si>
  <si>
    <t>Stockout Month of current SOH</t>
  </si>
  <si>
    <t>ETA MAR</t>
  </si>
  <si>
    <t>ETA TBA</t>
  </si>
  <si>
    <t>Stockout Month after PO</t>
  </si>
  <si>
    <t>BALANCE UNTIL MAY</t>
  </si>
  <si>
    <t xml:space="preserve">QTY TO ORDER </t>
  </si>
  <si>
    <t>ROUNDED ORDER</t>
  </si>
  <si>
    <t>TO ORDER / ROUNDED</t>
  </si>
  <si>
    <t>CARTON QTY</t>
  </si>
  <si>
    <t>CARTON QTY
ROUNDED</t>
  </si>
  <si>
    <t>TO ORDER</t>
  </si>
  <si>
    <t>PO VALUE</t>
  </si>
  <si>
    <t>NO STOCK YET</t>
  </si>
  <si>
    <t>GBP ORDER AMOUNT:</t>
  </si>
  <si>
    <t>SPECIAL ORDER</t>
  </si>
  <si>
    <t>TOTAL GBP ORDER</t>
  </si>
  <si>
    <t>RECALCULATION - STOCK UPTO JUNE 2026</t>
  </si>
  <si>
    <t>FORECAST
UNTIL JUNE</t>
  </si>
  <si>
    <t>BALANCE UNTIL JUNE</t>
  </si>
  <si>
    <t>RECALCULATION - STOCK UPTO JULY 2026</t>
  </si>
  <si>
    <t>FORECAST
UNTIL JLY</t>
  </si>
  <si>
    <t>BALANCE UNTIL JULY</t>
  </si>
  <si>
    <t>RECALCULATION - STOCK UPTO AUGUST 2026</t>
  </si>
  <si>
    <t>FORECAST
UNTIL AUGUST</t>
  </si>
  <si>
    <t>BALANCE UNTIL AUGUST</t>
  </si>
  <si>
    <t>PO-00761</t>
  </si>
  <si>
    <t>UNTIL AUGUST</t>
  </si>
  <si>
    <t>FORECAST
UNTIL SEPT</t>
  </si>
  <si>
    <t>BALANCE UNTIL SEPT</t>
  </si>
  <si>
    <t>PO-00762</t>
  </si>
  <si>
    <t>with Whitcoulls</t>
  </si>
  <si>
    <t>last order is 11k  value</t>
  </si>
  <si>
    <t>REMARKS</t>
  </si>
  <si>
    <t>$ -</t>
  </si>
  <si>
    <t>waiting for new supplier</t>
  </si>
  <si>
    <t xml:space="preserve">new patterns in July (new) </t>
  </si>
  <si>
    <t>wait / hold</t>
  </si>
  <si>
    <t>PO-00763</t>
  </si>
  <si>
    <t>QBD MOM'S DAY</t>
  </si>
  <si>
    <t xml:space="preserve">new designs / </t>
  </si>
  <si>
    <t>wait / check if there are others</t>
  </si>
  <si>
    <t>wait</t>
  </si>
  <si>
    <t>LEAVE</t>
  </si>
  <si>
    <t>PO-00764</t>
  </si>
  <si>
    <t>PO-00765</t>
  </si>
  <si>
    <t>Journal - A7 Tropical Koala w/ Pen</t>
  </si>
  <si>
    <t>pages are upside down? photo?</t>
  </si>
  <si>
    <t>HOLD?</t>
  </si>
  <si>
    <t>shall we bloom?</t>
  </si>
  <si>
    <t>Pill Box CDU</t>
  </si>
  <si>
    <t>PBCDU</t>
  </si>
  <si>
    <t>$ (36.18)</t>
  </si>
  <si>
    <t>Compact Mirror - Strawberry Thief</t>
  </si>
  <si>
    <t>CM02</t>
  </si>
  <si>
    <t>Compact Mirror CDU</t>
  </si>
  <si>
    <t>CMCDU</t>
  </si>
  <si>
    <t>FOR DISCONTINUED ITEMS</t>
  </si>
  <si>
    <t>$ (28.76)</t>
  </si>
  <si>
    <t>SOH FEB 23</t>
  </si>
  <si>
    <t>Status</t>
  </si>
  <si>
    <t>unit</t>
  </si>
  <si>
    <t>1 Compact Lenses Chilli</t>
  </si>
  <si>
    <t>inactive</t>
  </si>
  <si>
    <t>pcs</t>
  </si>
  <si>
    <t>1 Compact Lenses Jet</t>
  </si>
  <si>
    <t>1 Compact Lenses Olive</t>
  </si>
  <si>
    <t>1 Compact Lenses Orchid</t>
  </si>
  <si>
    <t>1 Compact Lenses Storm</t>
  </si>
  <si>
    <t>1 Compact Lenses Twilight</t>
  </si>
  <si>
    <t>1.5 Compact Lenses Chilli</t>
  </si>
  <si>
    <t>1.5 Compact Lenses Olive</t>
  </si>
  <si>
    <t>1.5 Compact Lenses Orchid</t>
  </si>
  <si>
    <t>1.5 Compact Lenses Storm</t>
  </si>
  <si>
    <t>1.5 Compact Lenses Twilight</t>
  </si>
  <si>
    <t>RFS11363</t>
  </si>
  <si>
    <t>100 PIECE CUBE JIGSAW PUZZLE - EARTH</t>
  </si>
  <si>
    <t>RFS11364</t>
  </si>
  <si>
    <t>100 PIECE CUBE JIGSAW PUZZLE - SOLAR SYSTEM PLANET</t>
  </si>
  <si>
    <t>RFS11356</t>
  </si>
  <si>
    <t>100 PIECE CUBE JIGSAW PUZZLE - VINTAGE MAP</t>
  </si>
  <si>
    <t>PZT005</t>
  </si>
  <si>
    <t>1000 Puzzle Cinque Terre</t>
  </si>
  <si>
    <t>active</t>
  </si>
  <si>
    <t>PZT002</t>
  </si>
  <si>
    <t>1000 Puzzle Florence</t>
  </si>
  <si>
    <t>PZT004</t>
  </si>
  <si>
    <t>1000 Puzzle Roman Forum</t>
  </si>
  <si>
    <t>PZT003</t>
  </si>
  <si>
    <t>1000 Puzzle St Peter's</t>
  </si>
  <si>
    <t>PZT006</t>
  </si>
  <si>
    <t>1000 Puzzle Umbria</t>
  </si>
  <si>
    <t>PZT001</t>
  </si>
  <si>
    <t>1000 Puzzle Venice</t>
  </si>
  <si>
    <t>SM007</t>
  </si>
  <si>
    <t>101 Books Scratch Poster</t>
  </si>
  <si>
    <t>SM006</t>
  </si>
  <si>
    <t>101 Movies Scratch Poster</t>
  </si>
  <si>
    <t>DICD12</t>
  </si>
  <si>
    <t>12 HOOK MAGNET OR KEYRING DISPLAY</t>
  </si>
  <si>
    <t>RFS10493</t>
  </si>
  <si>
    <t>12 PENCILS IN CYLINDRICAL TIN/SHARPENER</t>
  </si>
  <si>
    <t>RFS11642</t>
  </si>
  <si>
    <t>125 PIECE MAGIC TRICK SET</t>
  </si>
  <si>
    <t>RFS11652</t>
  </si>
  <si>
    <t>2 CASTANETS IN A PRINTED BOX - HARLEQUIN</t>
  </si>
  <si>
    <t>2 Compact Lenses Chilli</t>
  </si>
  <si>
    <t>2 Compact Lenses Jet</t>
  </si>
  <si>
    <t>2 Compact Lenses Olive</t>
  </si>
  <si>
    <t>2 Compact Lenses Orchid</t>
  </si>
  <si>
    <t>2 Compact Lenses Storm</t>
  </si>
  <si>
    <t>2 Compact Lenses Twilight</t>
  </si>
  <si>
    <t>RFS11413</t>
  </si>
  <si>
    <t>2 DRAWER BABY KEEPSAKE BOX - PETER RABBIT ADVENTURES</t>
  </si>
  <si>
    <t>RFS11795</t>
  </si>
  <si>
    <t>2 TONE BLOCK IN A PRINTED BOX - HARLEQUIN</t>
  </si>
  <si>
    <t>RFS11651</t>
  </si>
  <si>
    <t>2 X 6" MARCHING CYMBALS IN A PRINTED BOX - HARLEQUIN</t>
  </si>
  <si>
    <t>2.5 Compact Lenses Chilli</t>
  </si>
  <si>
    <t>2.5 Compact Lenses Jet</t>
  </si>
  <si>
    <t>2.5 Compact Lenses Olive</t>
  </si>
  <si>
    <t>2.5 Compact Lenses Orchid</t>
  </si>
  <si>
    <t>2.5 Compact Lenses Storm</t>
  </si>
  <si>
    <t>2.5 Compact Lenses Twilight</t>
  </si>
  <si>
    <t>EIED02</t>
  </si>
  <si>
    <t>2018 A6 DIARIES WITH ELASTIC IN CDU - CLAIRE COXON ART DECO</t>
  </si>
  <si>
    <t>EICLD01-4</t>
  </si>
  <si>
    <t>2018 ILLUSTRATED DIARIES IN CDU - GREEN FLORAL, BUTTERFLIES, OWL, BLUE FLORAL</t>
  </si>
  <si>
    <t>EIJD01</t>
  </si>
  <si>
    <t>2018 JOURNAL DIARIES IN CDU - BEATRIX POTTER ADVENTURES</t>
  </si>
  <si>
    <t>EIJD02</t>
  </si>
  <si>
    <t>2018 JOURNAL DIARIES IN CDU - CLAIRE COXON ART DECO</t>
  </si>
  <si>
    <t>EIJD06</t>
  </si>
  <si>
    <t>2018 JOURNAL DIARIES IN CDU - MARZIPAN</t>
  </si>
  <si>
    <t>EIJD07</t>
  </si>
  <si>
    <t>2018 JOURNAL DIARIES IN CDU - PIZAZZ</t>
  </si>
  <si>
    <t>EIMD01</t>
  </si>
  <si>
    <t>2018 MINI MAGNETIC DIARIES IN CDU - BEATRIX POTTER ADVENTURES</t>
  </si>
  <si>
    <t>EIMD02</t>
  </si>
  <si>
    <t>2018 MINI MAGNETIC DIARIES IN CDU - CLAIRE COXON ART DECO</t>
  </si>
  <si>
    <t>EIMD04</t>
  </si>
  <si>
    <t>2018 MINI MAGNETIC DIARIES IN CDU - KIMBERLIN DOGS</t>
  </si>
  <si>
    <t>EIMD05</t>
  </si>
  <si>
    <t>2018 MINI MAGNETIC DIARIES IN CDU - KIMBERLIN KITTENS</t>
  </si>
  <si>
    <t>EIMD06</t>
  </si>
  <si>
    <t>2018 MINI MAGNETIC DIARIES IN CDU - MARZIPAN</t>
  </si>
  <si>
    <t>EIMD07</t>
  </si>
  <si>
    <t>2018 MINI MAGNETIC DIARIES IN CDU - PIZZAZ</t>
  </si>
  <si>
    <t>EIOD01</t>
  </si>
  <si>
    <t>2018 ORGANISER DIARY - CLAIRE COXON ART DECO</t>
  </si>
  <si>
    <t>EIPYP01</t>
  </si>
  <si>
    <t>2018 PADDED YEAR PLANNER - CLAIRE COXON ART DECO</t>
  </si>
  <si>
    <t>EIPYP03</t>
  </si>
  <si>
    <t>2018 PADDED YEAR PLANNER - PIZAZZ</t>
  </si>
  <si>
    <t>EISD01</t>
  </si>
  <si>
    <t>2018 SLIM CASED DIARIES IN CDU - BEATRIX POTTER ADVENTURES</t>
  </si>
  <si>
    <t>EISD02</t>
  </si>
  <si>
    <t>2018 SLIM CASED DIARIES IN CDU - CLAIRE COXON ART DECO</t>
  </si>
  <si>
    <t>EISD04</t>
  </si>
  <si>
    <t>2018 SLIM CASED DIARIES IN CDU - KIMBERLIN DOGS</t>
  </si>
  <si>
    <t>EISD05</t>
  </si>
  <si>
    <t>2018 SLIM CASED DIARIES IN CDU - KIMBERLIN KITTENS</t>
  </si>
  <si>
    <t>EISD06</t>
  </si>
  <si>
    <t>2018 SLIM CASED DIARIES IN CDU - MARZIPAN</t>
  </si>
  <si>
    <t>EISD07</t>
  </si>
  <si>
    <t>2018 SLIM CASED DIARIES IN CDU - PIZAZZ</t>
  </si>
  <si>
    <t>3DAG012</t>
  </si>
  <si>
    <t>3D AG Brush Tailed Possum</t>
  </si>
  <si>
    <t>3DAG007</t>
  </si>
  <si>
    <t>3D AG Butterfly</t>
  </si>
  <si>
    <t>3DAG010</t>
  </si>
  <si>
    <t>3D AG Clown Fish</t>
  </si>
  <si>
    <t>3DAG002</t>
  </si>
  <si>
    <t>3D AG Common Wombat in Snow</t>
  </si>
  <si>
    <t>3DAG014</t>
  </si>
  <si>
    <t>3D AG Kangaroo</t>
  </si>
  <si>
    <t>3DAG013</t>
  </si>
  <si>
    <t>3D AG Koala</t>
  </si>
  <si>
    <t>3DAG004</t>
  </si>
  <si>
    <t>3D AG Mainland Masked Owl</t>
  </si>
  <si>
    <t>3DAG001</t>
  </si>
  <si>
    <t>3D AG Milky Way Pilbara Tent</t>
  </si>
  <si>
    <t>3DAG008</t>
  </si>
  <si>
    <t>3D AG Rainbow Lorikeet</t>
  </si>
  <si>
    <t>3DAG005</t>
  </si>
  <si>
    <t>3D AG Saltwater Crocodile</t>
  </si>
  <si>
    <t>3DAG003</t>
  </si>
  <si>
    <t>3D AG Waterfall Pilbara</t>
  </si>
  <si>
    <t>3DAG006</t>
  </si>
  <si>
    <t>3D AG Yellow-Top Daisy</t>
  </si>
  <si>
    <t>SP301</t>
  </si>
  <si>
    <t>3D Animal Bookmarks Set Up 72 Units</t>
  </si>
  <si>
    <t>3DAGSP</t>
  </si>
  <si>
    <t>3D Australian Geographic Bookmark Set Up</t>
  </si>
  <si>
    <t>3D026</t>
  </si>
  <si>
    <t>3D Bkmk - Artic Wolf</t>
  </si>
  <si>
    <t>3D008</t>
  </si>
  <si>
    <t>3D Bkmk - Balloons</t>
  </si>
  <si>
    <t>3D003</t>
  </si>
  <si>
    <t>3D Bkmk - Be. Here. Now</t>
  </si>
  <si>
    <t>3D018</t>
  </si>
  <si>
    <t>3D Bkmk - Beagle</t>
  </si>
  <si>
    <t>3D014</t>
  </si>
  <si>
    <t>3D Bkmk - Black Lab</t>
  </si>
  <si>
    <t>3D035</t>
  </si>
  <si>
    <t>3D Bkmk - Brown Mare</t>
  </si>
  <si>
    <t>3D005</t>
  </si>
  <si>
    <t>3D Bkmk - Chimpanzee</t>
  </si>
  <si>
    <t>3D023</t>
  </si>
  <si>
    <t>3D Bkmk - Cocker Spaniel</t>
  </si>
  <si>
    <t>3D030</t>
  </si>
  <si>
    <t>3D Bkmk - Diplodocus</t>
  </si>
  <si>
    <t>3D032</t>
  </si>
  <si>
    <t>3D Bkmk - Dolphin</t>
  </si>
  <si>
    <t>3D002</t>
  </si>
  <si>
    <t>3D Bkmk - Dream with out fear</t>
  </si>
  <si>
    <t>3D028</t>
  </si>
  <si>
    <t>3D Bkmk - Elephant</t>
  </si>
  <si>
    <t>3D009</t>
  </si>
  <si>
    <t>3D Bkmk - English Bulldog Puppy</t>
  </si>
  <si>
    <t>3D025</t>
  </si>
  <si>
    <t>3D Bkmk - Foxes</t>
  </si>
  <si>
    <t>3D010</t>
  </si>
  <si>
    <t>3D Bkmk - French Bulldog Puppy</t>
  </si>
  <si>
    <t>3D034</t>
  </si>
  <si>
    <t>3D Bkmk - Ginger Cat</t>
  </si>
  <si>
    <t>3D013</t>
  </si>
  <si>
    <t>3D Bkmk - Giraffe</t>
  </si>
  <si>
    <t>3D019</t>
  </si>
  <si>
    <t>3D Bkmk - Grey Kitten</t>
  </si>
  <si>
    <t>3D001</t>
  </si>
  <si>
    <t>3D Bkmk - I love you to the moon and back</t>
  </si>
  <si>
    <t>3D016</t>
  </si>
  <si>
    <t>3D Bkmk - Kangaroo</t>
  </si>
  <si>
    <t>3D011</t>
  </si>
  <si>
    <t>3D Bkmk - Kitten and Puppies</t>
  </si>
  <si>
    <t>3D012</t>
  </si>
  <si>
    <t>3D Bkmk - Kitten sleeping</t>
  </si>
  <si>
    <t>3D039</t>
  </si>
  <si>
    <t>3D Bkmk - Kittens</t>
  </si>
  <si>
    <t>3D022</t>
  </si>
  <si>
    <t>3D Bkmk - Koala</t>
  </si>
  <si>
    <t>3D020</t>
  </si>
  <si>
    <t>3D Bkmk - Leopard</t>
  </si>
  <si>
    <t>3D037</t>
  </si>
  <si>
    <t>3D Bkmk - Lion</t>
  </si>
  <si>
    <t>3D007</t>
  </si>
  <si>
    <t>3D Bkmk - Live. Love. Sparkle</t>
  </si>
  <si>
    <t>3D021</t>
  </si>
  <si>
    <t>3D Bkmk - Lorikeet</t>
  </si>
  <si>
    <t>3D024</t>
  </si>
  <si>
    <t>3D Bkmk - Meerkat</t>
  </si>
  <si>
    <t>3D015</t>
  </si>
  <si>
    <t>3D Bkmk - Owl</t>
  </si>
  <si>
    <t>3D027</t>
  </si>
  <si>
    <t>3D Bkmk - Panda</t>
  </si>
  <si>
    <t>3D038</t>
  </si>
  <si>
    <t>3D Bkmk - Pug</t>
  </si>
  <si>
    <t>3D004</t>
  </si>
  <si>
    <t>3D Bkmk - Smile and the world smiles back</t>
  </si>
  <si>
    <t>3D006</t>
  </si>
  <si>
    <t>3D Bkmk - Solar System</t>
  </si>
  <si>
    <t>3D017</t>
  </si>
  <si>
    <t>3D Bkmk - Squirrel</t>
  </si>
  <si>
    <t>3D031</t>
  </si>
  <si>
    <t>3D Bkmk - T-Rex</t>
  </si>
  <si>
    <t>3D029</t>
  </si>
  <si>
    <t>3D Bkmk - Tiger</t>
  </si>
  <si>
    <t>3D036</t>
  </si>
  <si>
    <t>3D Bkmk - Tree Frog</t>
  </si>
  <si>
    <t>3D033</t>
  </si>
  <si>
    <t>3D Bkmk - White Stallion</t>
  </si>
  <si>
    <t>RFS11648</t>
  </si>
  <si>
    <t>4" MONKEY BLUE DRUM - HARLEQUIN</t>
  </si>
  <si>
    <t>5 Candle Goblet Stand - Smoked Glass 53x15cm</t>
  </si>
  <si>
    <t>5 Candle Holder - Smoked Glass 33x10cm</t>
  </si>
  <si>
    <t>5 Candle Stand - Circle, Smoked Glass 30cm</t>
  </si>
  <si>
    <t>RFS11368</t>
  </si>
  <si>
    <t>5 ROUND STORAGE BOX SETS - BEATRIX POTTER</t>
  </si>
  <si>
    <t>SM010</t>
  </si>
  <si>
    <t>50 TV Box Sets Scratch Poster</t>
  </si>
  <si>
    <t>RFS11177</t>
  </si>
  <si>
    <t>87 PIECE ART SET - PETER RABBIT ADVENTURES</t>
  </si>
  <si>
    <t>P5705</t>
  </si>
  <si>
    <t>A PRESENT FOR MY AUNT</t>
  </si>
  <si>
    <t>P5702</t>
  </si>
  <si>
    <t>A PRESENT FOR MY DAD</t>
  </si>
  <si>
    <t>P5701</t>
  </si>
  <si>
    <t>A PRESENT FOR MY GRANDMA</t>
  </si>
  <si>
    <t>P5700</t>
  </si>
  <si>
    <t>A PRESENT FOR MY GRANDPA</t>
  </si>
  <si>
    <t>P5703</t>
  </si>
  <si>
    <t>A PRESENT FOR MY MUM</t>
  </si>
  <si>
    <t>P5707</t>
  </si>
  <si>
    <t>A PRESENT FOR MY TEACHER FEMALE</t>
  </si>
  <si>
    <t>P5706</t>
  </si>
  <si>
    <t>A PRESENT FOR MY TEACHER MALE</t>
  </si>
  <si>
    <t>P5704</t>
  </si>
  <si>
    <t>A PRESENT FOR MY UNCLE</t>
  </si>
  <si>
    <t>Pieces</t>
  </si>
  <si>
    <t>RFS11210</t>
  </si>
  <si>
    <t>A4 WEEKLY PLANNER - PETER RABBIT ADVENTURES</t>
  </si>
  <si>
    <t>SPFJB</t>
  </si>
  <si>
    <t>A5 BLANK FABRIC JOURNALS STARTER PACK 8 pcs</t>
  </si>
  <si>
    <t>JSU</t>
  </si>
  <si>
    <t>A5 Fabric Journal</t>
  </si>
  <si>
    <t>SPFJ</t>
  </si>
  <si>
    <t>A5 FABRIC JOURNALS STARTER PACK</t>
  </si>
  <si>
    <t>CDUA5FJ</t>
  </si>
  <si>
    <t>A5 FABRIC JOURNALS WDU</t>
  </si>
  <si>
    <t>Each</t>
  </si>
  <si>
    <t>GR900077</t>
  </si>
  <si>
    <t>A5 JOURNAL - FIRST CLASS NOTEBOOK</t>
  </si>
  <si>
    <t>A57079</t>
  </si>
  <si>
    <t>A5 JOURNAL - I HATE TO WASTE SICK DAYS</t>
  </si>
  <si>
    <t>GR900075</t>
  </si>
  <si>
    <t>A5 JOURNAL - MULTICOLOUR STAMP</t>
  </si>
  <si>
    <t>GR900076</t>
  </si>
  <si>
    <t>A5 JOURNAL - RED AND BLUE STAMPS</t>
  </si>
  <si>
    <t>NBA5PC02</t>
  </si>
  <si>
    <t>A5 Notebook - Planet Cat (Life Is Simple)</t>
  </si>
  <si>
    <t>NBA5WM02</t>
  </si>
  <si>
    <t>A5 Notebook- William Morris (Willow Grey)</t>
  </si>
  <si>
    <t>A5RFNDLBLACK</t>
  </si>
  <si>
    <t>A5 Notes &amp; Doodles Black</t>
  </si>
  <si>
    <t>A5RFNDLGREEN</t>
  </si>
  <si>
    <t>A5 Notes &amp; Doodles Green</t>
  </si>
  <si>
    <t>A5RFNDLPINK</t>
  </si>
  <si>
    <t>A5 Notes &amp; Doodles Pink</t>
  </si>
  <si>
    <t>A5RFNDLPURPLE</t>
  </si>
  <si>
    <t>A5 Notes &amp; Doodles Purple</t>
  </si>
  <si>
    <t>A5RFNDLYELLOW</t>
  </si>
  <si>
    <t>A5 Notes &amp; Doodles Yellow</t>
  </si>
  <si>
    <t>A5RFLBLACK</t>
  </si>
  <si>
    <t>A5 Really Useful Journal Black</t>
  </si>
  <si>
    <t>A5RFLGREEN</t>
  </si>
  <si>
    <t>A5 Really Useful Journal Green</t>
  </si>
  <si>
    <t>A5RFLORANGE</t>
  </si>
  <si>
    <t>A5 Really Useful Journal Orange</t>
  </si>
  <si>
    <t>A5RFLPINK</t>
  </si>
  <si>
    <t>A5 Really Useful Journal Pink</t>
  </si>
  <si>
    <t>A5RFLPURPLE</t>
  </si>
  <si>
    <t>A5 Really Useful Journal Purple</t>
  </si>
  <si>
    <t>A5RFLRED</t>
  </si>
  <si>
    <t>A5 Really Useful Journal Red</t>
  </si>
  <si>
    <t>A5RFLYELLOW</t>
  </si>
  <si>
    <t>A5 Really Useful Journal Yellow</t>
  </si>
  <si>
    <t>SPA6FJ</t>
  </si>
  <si>
    <t>A6 FABRIC JOURNALS STARTER PACK</t>
  </si>
  <si>
    <t>CDUA6FJ</t>
  </si>
  <si>
    <t>A6 FABRIC JOURNALS WDU</t>
  </si>
  <si>
    <t>34A614</t>
  </si>
  <si>
    <t>A6 JOURNAL - CORONATION</t>
  </si>
  <si>
    <t>34A613</t>
  </si>
  <si>
    <t>A6 JOURNAL - ENO FAIRY</t>
  </si>
  <si>
    <t>GR900081</t>
  </si>
  <si>
    <t>A6 JOURNAL - FIRST CLASS NOTEBOOK</t>
  </si>
  <si>
    <t>AAAAA</t>
  </si>
  <si>
    <t>A6 JOURNAL - IT'S BETTER TO HAVE</t>
  </si>
  <si>
    <t>GR900082</t>
  </si>
  <si>
    <t>A6 JOURNAL - LITTLE BLACK BOOK</t>
  </si>
  <si>
    <t>GR900079</t>
  </si>
  <si>
    <t>A6 JOURNAL - MULTI COLOUR STAMP</t>
  </si>
  <si>
    <t>34A608</t>
  </si>
  <si>
    <t>A6 JOURNAL - NERVOUS PILLS</t>
  </si>
  <si>
    <t>GR900080</t>
  </si>
  <si>
    <t>A6 JOURNAL - RED AND BLUE STAMP</t>
  </si>
  <si>
    <t>34A602</t>
  </si>
  <si>
    <t>A6 JOURNAL - SEW &amp; SAVE</t>
  </si>
  <si>
    <t>A636062</t>
  </si>
  <si>
    <t>A6 JOURNAL - SO BLOODY BLONDE (NEW)</t>
  </si>
  <si>
    <t>34A609</t>
  </si>
  <si>
    <t>A6 JOURNAL - WE RECOMMEND CADBURYS</t>
  </si>
  <si>
    <t>donotORDER026</t>
  </si>
  <si>
    <t>A6 JOURNAL - YOU'RE ONLY NAUGHTY</t>
  </si>
  <si>
    <t>NBA6RHS02</t>
  </si>
  <si>
    <t>A6 Notebook (pen) - RHS (Geo Coral)</t>
  </si>
  <si>
    <t>NBA6RHS01</t>
  </si>
  <si>
    <t>A6 Notebook (pen) - RHS (Geo Navy)</t>
  </si>
  <si>
    <t>NBA6WM02</t>
  </si>
  <si>
    <t>A6 Notebook (pen) - William Morris (Willow Ochre)</t>
  </si>
  <si>
    <t>NBA6CR04</t>
  </si>
  <si>
    <t>A6 Notebook - MTTBWY (Dreams Do Come True)</t>
  </si>
  <si>
    <t>NBA6CR02</t>
  </si>
  <si>
    <t>A6 Notebook - MTTBWY (Following the Rules)</t>
  </si>
  <si>
    <t>NBA6CR03</t>
  </si>
  <si>
    <t>A6 Notebook - MTTBWY (Plan B)</t>
  </si>
  <si>
    <t>NBSTRHS01</t>
  </si>
  <si>
    <t>A6 Notebook Set 3 (Softback) - RHS (Irises &amp; Hellebores).</t>
  </si>
  <si>
    <t>A6RFNDSBLACK</t>
  </si>
  <si>
    <t>A6 Notes &amp; Doodles Black</t>
  </si>
  <si>
    <t>A6RFNDSGREEN</t>
  </si>
  <si>
    <t>A6 Notes &amp; Doodles Green</t>
  </si>
  <si>
    <t>A6RFNDSORANGE</t>
  </si>
  <si>
    <t>A6 Notes &amp; Doodles Orange</t>
  </si>
  <si>
    <t>A6RFNDSPINK</t>
  </si>
  <si>
    <t>A6 Notes &amp; Doodles Pink</t>
  </si>
  <si>
    <t>A6RFNDSPURPLE</t>
  </si>
  <si>
    <t>A6 Notes &amp; Doodles Purple</t>
  </si>
  <si>
    <t>A6RFNDSRED</t>
  </si>
  <si>
    <t>A6 Notes &amp; Doodles Red</t>
  </si>
  <si>
    <t>A6RFNDSYELLOW</t>
  </si>
  <si>
    <t>A6 Notes &amp; Doodles Yellow</t>
  </si>
  <si>
    <t>A6RFSBLACK</t>
  </si>
  <si>
    <t>A6 Really Useful Journal Black</t>
  </si>
  <si>
    <t>A6RFSGREEN</t>
  </si>
  <si>
    <t>A6 Really Useful Journal Green</t>
  </si>
  <si>
    <t>A6RFSORANGE</t>
  </si>
  <si>
    <t>A6 Really Useful Journal Orange</t>
  </si>
  <si>
    <t>A6RFSPINK</t>
  </si>
  <si>
    <t>A6 Really Useful Journal Pink</t>
  </si>
  <si>
    <t>A6RFSPURPLE</t>
  </si>
  <si>
    <t>A6 Really Useful Journal Purple</t>
  </si>
  <si>
    <t>A6RFSRED</t>
  </si>
  <si>
    <t>A6 Really Useful Journal Red</t>
  </si>
  <si>
    <t>A6RFSYELLOW</t>
  </si>
  <si>
    <t>A6 Really Useful Journal Yellow</t>
  </si>
  <si>
    <t>NBA7RHS02</t>
  </si>
  <si>
    <t>A7 Notebook (pen) - RHS (Geo Navy)</t>
  </si>
  <si>
    <t>NBA7RHS01</t>
  </si>
  <si>
    <t>A7 Notebook (pen) - RHS (Irises &amp; Hellebores)</t>
  </si>
  <si>
    <t>ACDU</t>
  </si>
  <si>
    <t>ACRYLIC CDU</t>
  </si>
  <si>
    <t>ADDWM01</t>
  </si>
  <si>
    <t>Address Book (Pen) - William Morris (Strawberry Thief)</t>
  </si>
  <si>
    <t>SM003</t>
  </si>
  <si>
    <t>AG Australia Scratch Map</t>
  </si>
  <si>
    <t>AGB015</t>
  </si>
  <si>
    <t>AG Bkmk Australian Butterflies</t>
  </si>
  <si>
    <t>AGB003</t>
  </si>
  <si>
    <t>AG Bkmk Brumby</t>
  </si>
  <si>
    <t>AGB002</t>
  </si>
  <si>
    <t>AG Bkmk Cassowary in Port Douglas</t>
  </si>
  <si>
    <t>AGB011</t>
  </si>
  <si>
    <t>AG Bkmk Cattle Muster</t>
  </si>
  <si>
    <t>AGB016</t>
  </si>
  <si>
    <t>AG Bkmk Desert</t>
  </si>
  <si>
    <t>AGB013</t>
  </si>
  <si>
    <t>AG Bkmk Emu</t>
  </si>
  <si>
    <t>AGB012</t>
  </si>
  <si>
    <t>AG Bkmk Hanging Rock</t>
  </si>
  <si>
    <t>AGB008</t>
  </si>
  <si>
    <t>AG Bkmk Kangaroo</t>
  </si>
  <si>
    <t>AGB006</t>
  </si>
  <si>
    <t>AG Bkmk Kookaburra</t>
  </si>
  <si>
    <t>AGB001</t>
  </si>
  <si>
    <t>AG Bkmk Leadbeater's Possum</t>
  </si>
  <si>
    <t>AGB010</t>
  </si>
  <si>
    <t>AG Bkmk Milky Way Pilbura Tree</t>
  </si>
  <si>
    <t>AGB004</t>
  </si>
  <si>
    <t>AG Bkmk Rainbow Lorikeets</t>
  </si>
  <si>
    <t>AGB005</t>
  </si>
  <si>
    <t>AG Bkmk Red Dirt Track</t>
  </si>
  <si>
    <t>AGB014</t>
  </si>
  <si>
    <t>AG Bkmk Termite Mound</t>
  </si>
  <si>
    <t>AGB009</t>
  </si>
  <si>
    <t>AG Bkmk Wombat</t>
  </si>
  <si>
    <t>AGB007</t>
  </si>
  <si>
    <t>AG Bkmk World Map</t>
  </si>
  <si>
    <t>AGBCDU</t>
  </si>
  <si>
    <t>AG Bookmark CDU</t>
  </si>
  <si>
    <t>AGGC014</t>
  </si>
  <si>
    <t>AG Cards Australian Butterflies</t>
  </si>
  <si>
    <t>AGGC001</t>
  </si>
  <si>
    <t>AG Cards Australian Map</t>
  </si>
  <si>
    <t>AGGC009</t>
  </si>
  <si>
    <t>AG Cards Brumby</t>
  </si>
  <si>
    <t>AGGC007</t>
  </si>
  <si>
    <t>AG Cards Ghost Gum Trees</t>
  </si>
  <si>
    <t>AGGC010</t>
  </si>
  <si>
    <t>AG Cards Little Penguins</t>
  </si>
  <si>
    <t>AGGC004</t>
  </si>
  <si>
    <t>AG Cards Milky Way Pilbura</t>
  </si>
  <si>
    <t>AGGC015</t>
  </si>
  <si>
    <t>AG Cards Mount Warning</t>
  </si>
  <si>
    <t>AGGC008</t>
  </si>
  <si>
    <t>AG Cards Rainbow Lorikeet</t>
  </si>
  <si>
    <t>AGGC011</t>
  </si>
  <si>
    <t>AG Cards Saltwater Crocodile</t>
  </si>
  <si>
    <t>AGGC016</t>
  </si>
  <si>
    <t>AG Cards Shingleback Lizard</t>
  </si>
  <si>
    <t>AGGC013</t>
  </si>
  <si>
    <t>AG Cards Southern Cassowary</t>
  </si>
  <si>
    <t>AGGC003</t>
  </si>
  <si>
    <t>AG Cards Uluru</t>
  </si>
  <si>
    <t>AGGC006</t>
  </si>
  <si>
    <t>AG Cards Waterfall Pilbura</t>
  </si>
  <si>
    <t>AGGC012</t>
  </si>
  <si>
    <t>AG Cards Weddell Seal</t>
  </si>
  <si>
    <t>AGGC005</t>
  </si>
  <si>
    <t>AG Cards Wombat Snow</t>
  </si>
  <si>
    <t>AGGC002</t>
  </si>
  <si>
    <t>AG Cards World Map</t>
  </si>
  <si>
    <t>AGC006</t>
  </si>
  <si>
    <t>AG Coasters Australia Map</t>
  </si>
  <si>
    <t>AGC016</t>
  </si>
  <si>
    <t>AG Coasters Australian Butterflies</t>
  </si>
  <si>
    <t>AGC010</t>
  </si>
  <si>
    <t>AG Coasters Brumby</t>
  </si>
  <si>
    <t>AGC003</t>
  </si>
  <si>
    <t>AG Coasters Desert</t>
  </si>
  <si>
    <t>AGC011</t>
  </si>
  <si>
    <t>AG Coasters Kangaroo</t>
  </si>
  <si>
    <t>AGC005</t>
  </si>
  <si>
    <t>AG Coasters Koala</t>
  </si>
  <si>
    <t>AGC009</t>
  </si>
  <si>
    <t>AG Coasters Little Penguins</t>
  </si>
  <si>
    <t>AGC014</t>
  </si>
  <si>
    <t>AG Coasters Milky Way Pilbura</t>
  </si>
  <si>
    <t>AGC008</t>
  </si>
  <si>
    <t>AG Coasters Saltwater Crocodile</t>
  </si>
  <si>
    <t>AGC004</t>
  </si>
  <si>
    <t>AG Coasters Shingleback Lizard</t>
  </si>
  <si>
    <t>AGC012</t>
  </si>
  <si>
    <t>AG Coasters Southern Cassowary</t>
  </si>
  <si>
    <t>AGC015</t>
  </si>
  <si>
    <t>AG Coasters Uluru</t>
  </si>
  <si>
    <t>AGC002</t>
  </si>
  <si>
    <t>AG Coasters Waterfall Pilbura</t>
  </si>
  <si>
    <t>AGC007</t>
  </si>
  <si>
    <t>AG Coasters Weddell Seal</t>
  </si>
  <si>
    <t>AGC013</t>
  </si>
  <si>
    <t>AG Coasters Wombat Snow</t>
  </si>
  <si>
    <t>AGC001</t>
  </si>
  <si>
    <t>AG Coasters World Map</t>
  </si>
  <si>
    <t>AGGCCDU</t>
  </si>
  <si>
    <t>AG Greeting Card CDU</t>
  </si>
  <si>
    <t>AGSPINNER</t>
  </si>
  <si>
    <t>AG SPINNER</t>
  </si>
  <si>
    <t>TJ001</t>
  </si>
  <si>
    <t>AG Travel Journal A5 Leatherette</t>
  </si>
  <si>
    <t>SM002</t>
  </si>
  <si>
    <t>AG World Scratch Map</t>
  </si>
  <si>
    <t>CDU6</t>
  </si>
  <si>
    <t>All Display 6</t>
  </si>
  <si>
    <t>CDU8</t>
  </si>
  <si>
    <t>All Display 8</t>
  </si>
  <si>
    <t>CDU37300D</t>
  </si>
  <si>
    <t>AlLPHABOOKS DISPLAY LARGE - HOLDS 78 PIECES</t>
  </si>
  <si>
    <t>CDU37399D</t>
  </si>
  <si>
    <t>AlLPHABOOKS DISPLAY MINI - HOLDS 9 PIECES</t>
  </si>
  <si>
    <t>00ab</t>
  </si>
  <si>
    <t>Alpha Books Set Up</t>
  </si>
  <si>
    <t>SP373</t>
  </si>
  <si>
    <t>Alpha Books Starter Pack</t>
  </si>
  <si>
    <t>ALPHABOOKS - A</t>
  </si>
  <si>
    <t>ALPHABOOKS - AMPERSAND &amp;</t>
  </si>
  <si>
    <t>ALPHABOOKS - B</t>
  </si>
  <si>
    <t>ALPHABOOKS - C</t>
  </si>
  <si>
    <t>ALPHABOOKS - D</t>
  </si>
  <si>
    <t>ALPHABOOKS - E</t>
  </si>
  <si>
    <t>ALPHABOOKS - F</t>
  </si>
  <si>
    <t>ALPHABOOKS - G</t>
  </si>
  <si>
    <t>ALPHABOOKS - H</t>
  </si>
  <si>
    <t>ALPHABOOKS - I</t>
  </si>
  <si>
    <t>ALPHABOOKS - J</t>
  </si>
  <si>
    <t>ALPHABOOKS - K</t>
  </si>
  <si>
    <t>ALPHABOOKS - L</t>
  </si>
  <si>
    <t>ALPHABOOKS - M</t>
  </si>
  <si>
    <t>ALPHABOOKS - N</t>
  </si>
  <si>
    <t>ALPHABOOKS - O</t>
  </si>
  <si>
    <t>ALPHABOOKS - P</t>
  </si>
  <si>
    <t>ALPHABOOKS - Q</t>
  </si>
  <si>
    <t>ALPHABOOKS - R</t>
  </si>
  <si>
    <t>ALPHABOOKS - S</t>
  </si>
  <si>
    <t>ALPHABOOKS - T</t>
  </si>
  <si>
    <t>ALPHABOOKS - U</t>
  </si>
  <si>
    <t>ALPHABOOKS - V</t>
  </si>
  <si>
    <t>ALPHABOOKS - W</t>
  </si>
  <si>
    <t>ALPHABOOKS - X</t>
  </si>
  <si>
    <t>ALPHABOOKS - Y</t>
  </si>
  <si>
    <t>ALPHABOOKS - Z</t>
  </si>
  <si>
    <t>ABL001</t>
  </si>
  <si>
    <t>Amber Book Light Rechargeable - Black</t>
  </si>
  <si>
    <t>ABL009</t>
  </si>
  <si>
    <t>Amber Book Light Rechargeable - White</t>
  </si>
  <si>
    <t>ABL006</t>
  </si>
  <si>
    <t>Amber Halo Lamp Rechargeable</t>
  </si>
  <si>
    <t>ABL008</t>
  </si>
  <si>
    <t>Amber Motion Sensor Light Rechargeable</t>
  </si>
  <si>
    <t>SL007</t>
  </si>
  <si>
    <t>Amber Smart Light - Black</t>
  </si>
  <si>
    <t>SL011</t>
  </si>
  <si>
    <t>Amber Smart Light - Blue</t>
  </si>
  <si>
    <t>SL009</t>
  </si>
  <si>
    <t>Amber Smart Light - Green</t>
  </si>
  <si>
    <t>SL010</t>
  </si>
  <si>
    <t>Amber Smart Light - Pink</t>
  </si>
  <si>
    <t>SL012</t>
  </si>
  <si>
    <t>Amber Smart Light - Red</t>
  </si>
  <si>
    <t>SL008</t>
  </si>
  <si>
    <t>Amber Smart Light - White</t>
  </si>
  <si>
    <t>SPASL</t>
  </si>
  <si>
    <t>Amber Smart Light Set Up</t>
  </si>
  <si>
    <t>ASLWD</t>
  </si>
  <si>
    <t>Amber Smart Lights Wooden Display</t>
  </si>
  <si>
    <t>HS003</t>
  </si>
  <si>
    <t>Amethyst - Creativity</t>
  </si>
  <si>
    <t>ABLCDU</t>
  </si>
  <si>
    <t>Animal Book Light CDU</t>
  </si>
  <si>
    <t>ABL005</t>
  </si>
  <si>
    <t>Animal Book Light Rechargeable - Bear</t>
  </si>
  <si>
    <t>ABL017</t>
  </si>
  <si>
    <t>Animal Book Light Rechargeable - Cat</t>
  </si>
  <si>
    <t>ABL018</t>
  </si>
  <si>
    <t>Animal Book Light Rechargeable - Cat (New)</t>
  </si>
  <si>
    <t>ABL019</t>
  </si>
  <si>
    <t>Animal Book Light Rechargeable - Dinosaur (New)</t>
  </si>
  <si>
    <t>ABL004</t>
  </si>
  <si>
    <t>Animal Book Light Rechargeable - Dog</t>
  </si>
  <si>
    <t>ABL020</t>
  </si>
  <si>
    <t>Animal Book Light Rechargeable - Dog (New)</t>
  </si>
  <si>
    <t>ABL021</t>
  </si>
  <si>
    <t>Animal Book Light Rechargeable - Rabbit (New)</t>
  </si>
  <si>
    <t>ABL003</t>
  </si>
  <si>
    <t>Animal Book Light Rechargeable - T-Rex</t>
  </si>
  <si>
    <t>ABL016</t>
  </si>
  <si>
    <t>Animal Book Light Rechargeable - Tiger</t>
  </si>
  <si>
    <t>ABL002</t>
  </si>
  <si>
    <t>Animal Book Light Rechargeable - Unicorn</t>
  </si>
  <si>
    <t>ABL023</t>
  </si>
  <si>
    <t>Animal Book Light Rechargeable - Unicorn (New)</t>
  </si>
  <si>
    <t>ABLSP</t>
  </si>
  <si>
    <t>Animal Book Light Rechargeable Set Up</t>
  </si>
  <si>
    <t>WBKASP</t>
  </si>
  <si>
    <t>Animal Set Up Australian Made Wooden Bookmarks 72 Units</t>
  </si>
  <si>
    <t>WAKRASP</t>
  </si>
  <si>
    <t>Animal Set Up Australian Made Wooden Keyrings 72 Units</t>
  </si>
  <si>
    <t>WAMGSP</t>
  </si>
  <si>
    <t>Animal Set Up Australian Made Wooden Magnets 72 Units</t>
  </si>
  <si>
    <t>GR170040</t>
  </si>
  <si>
    <t>APRON - BEST CHEF COLLECT 200</t>
  </si>
  <si>
    <t>GR170001</t>
  </si>
  <si>
    <t>APRON - COLONEL MUSTARD</t>
  </si>
  <si>
    <t>GR900059</t>
  </si>
  <si>
    <t>APRON - FIRST CLASS CHEF</t>
  </si>
  <si>
    <t>APRONVR3</t>
  </si>
  <si>
    <t>APRON - HAS EVERYONE GONE</t>
  </si>
  <si>
    <t>APRON6017</t>
  </si>
  <si>
    <t>APRON - HOORAY</t>
  </si>
  <si>
    <t>APRON3030</t>
  </si>
  <si>
    <t>APRON - I DON'T DO HOUSEWORK</t>
  </si>
  <si>
    <t>APRON6016</t>
  </si>
  <si>
    <t>APRON - I ONLY HAVE A KITCHEN</t>
  </si>
  <si>
    <t>APRONVR15</t>
  </si>
  <si>
    <t>APRON - LIFE IS A STRUGGLE</t>
  </si>
  <si>
    <t>GR170000</t>
  </si>
  <si>
    <t>APRON - MISS SCARLETT</t>
  </si>
  <si>
    <t>GR900063</t>
  </si>
  <si>
    <t>APRON - MULTICOLOUR STAMPS</t>
  </si>
  <si>
    <t>APRNPC01</t>
  </si>
  <si>
    <t>Apron - Planet Cat (Life Is Simple)</t>
  </si>
  <si>
    <t>APRON8528</t>
  </si>
  <si>
    <t>APRON - QUEEN OF EFFING EVERYTHING</t>
  </si>
  <si>
    <t>ADB002</t>
  </si>
  <si>
    <t>Art Deco Bookmark Black Notebook</t>
  </si>
  <si>
    <t>ADB004</t>
  </si>
  <si>
    <t>Art Deco Bookmark Copper Flower</t>
  </si>
  <si>
    <t>ADB003</t>
  </si>
  <si>
    <t>Art Deco Bookmark Gold World</t>
  </si>
  <si>
    <t>ADB001</t>
  </si>
  <si>
    <t>Art Deco Bookmark Red Scallop</t>
  </si>
  <si>
    <t>ADB006</t>
  </si>
  <si>
    <t>Art Deco Bookmark Silver Frame</t>
  </si>
  <si>
    <t>ADB005</t>
  </si>
  <si>
    <t>Art Deco Bookmark Silver House</t>
  </si>
  <si>
    <t>ACD001</t>
  </si>
  <si>
    <t>Artico Magnet Counter Display</t>
  </si>
  <si>
    <t>TAPE</t>
  </si>
  <si>
    <t>Artico Packaging Tape</t>
  </si>
  <si>
    <t>LABEL</t>
  </si>
  <si>
    <t>Artico Thermal Label</t>
  </si>
  <si>
    <t>LABEL2.0</t>
  </si>
  <si>
    <t>Artico Thermal Label New</t>
  </si>
  <si>
    <t>WO035</t>
  </si>
  <si>
    <t>Australia - Australian Made Wooden Ornament</t>
  </si>
  <si>
    <t>AGBSP</t>
  </si>
  <si>
    <t>Australian Geographic Bookmarks Starter Pack</t>
  </si>
  <si>
    <t>AGCSP</t>
  </si>
  <si>
    <t>Australian Geographic Coaster Starter Pack</t>
  </si>
  <si>
    <t>AGGCSP</t>
  </si>
  <si>
    <t>Australian Geographic Greeting Cards Starter Pack</t>
  </si>
  <si>
    <t>AGSP</t>
  </si>
  <si>
    <t>Australian Geographic Spinner Set Up</t>
  </si>
  <si>
    <t>WB054</t>
  </si>
  <si>
    <t>Australian Made Wooden Bookmark - A Book A Day</t>
  </si>
  <si>
    <t>WB025</t>
  </si>
  <si>
    <t>Australian Made Wooden Bookmark - Aussie Thongs</t>
  </si>
  <si>
    <t>WB007</t>
  </si>
  <si>
    <t>Australian Made Wooden Bookmark - Banksia</t>
  </si>
  <si>
    <t>WB026</t>
  </si>
  <si>
    <t>Australian Made Wooden Bookmark - Beach</t>
  </si>
  <si>
    <t>CUST01</t>
  </si>
  <si>
    <t>Australian Made Wooden Bookmark - Better Read Than Dead</t>
  </si>
  <si>
    <t>WB051</t>
  </si>
  <si>
    <t>Australian Made Wooden Bookmark - Bondi Beach Driving Kangaroo</t>
  </si>
  <si>
    <t>WB048</t>
  </si>
  <si>
    <t>Australian Made Wooden Bookmark - Bondi Beach Driving Koala</t>
  </si>
  <si>
    <t>WB049</t>
  </si>
  <si>
    <t>Australian Made Wooden Bookmark - Bondi Beach Kangaroo</t>
  </si>
  <si>
    <t>WB046</t>
  </si>
  <si>
    <t>Australian Made Wooden Bookmark - Bondi Beach Koala</t>
  </si>
  <si>
    <t>WB050</t>
  </si>
  <si>
    <t>Australian Made Wooden Bookmark - Bondi Beach Lifeguard Kangaroo</t>
  </si>
  <si>
    <t>WB047</t>
  </si>
  <si>
    <t>Australian Made Wooden Bookmark - Bondi Beach Lifeguard Koala</t>
  </si>
  <si>
    <t>WB045</t>
  </si>
  <si>
    <t>Australian Made Wooden Bookmark - Bondi Beach Surf Board</t>
  </si>
  <si>
    <t>WB008</t>
  </si>
  <si>
    <t>Australian Made Wooden Bookmark - Bottle Brush</t>
  </si>
  <si>
    <t>WB012</t>
  </si>
  <si>
    <t>Australian Made Wooden Bookmark - Canberra Bell</t>
  </si>
  <si>
    <t>WB004</t>
  </si>
  <si>
    <t>Australian Made Wooden Bookmark - Carnation</t>
  </si>
  <si>
    <t>WB013</t>
  </si>
  <si>
    <t>Australian Made Wooden Bookmark - Cassowary</t>
  </si>
  <si>
    <t>WB052</t>
  </si>
  <si>
    <t>Australian Made Wooden Bookmark - Cat's Coffee &amp; Books</t>
  </si>
  <si>
    <t>WB014</t>
  </si>
  <si>
    <t>Australian Made Wooden Bookmark - Cockatoo</t>
  </si>
  <si>
    <t>WB053</t>
  </si>
  <si>
    <t>Australian Made Wooden Bookmark - Dogs &amp; Books</t>
  </si>
  <si>
    <t>WB015</t>
  </si>
  <si>
    <t>Australian Made Wooden Bookmark - Echidna</t>
  </si>
  <si>
    <t>WB016</t>
  </si>
  <si>
    <t>Australian Made Wooden Bookmark - Emu</t>
  </si>
  <si>
    <t>WB042</t>
  </si>
  <si>
    <t>Australian Made Wooden Bookmark - Enemies to Lovers</t>
  </si>
  <si>
    <t>WB017</t>
  </si>
  <si>
    <t>Australian Made Wooden Bookmark - Fairy Penguin</t>
  </si>
  <si>
    <t>WB027</t>
  </si>
  <si>
    <t>Australian Made Wooden Bookmark - Flinders Street Station</t>
  </si>
  <si>
    <t>WB040</t>
  </si>
  <si>
    <t>Australian Made Wooden Bookmark - Fly or Die</t>
  </si>
  <si>
    <t>WB018</t>
  </si>
  <si>
    <t>Australian Made Wooden Bookmark - Galah</t>
  </si>
  <si>
    <t>WB010</t>
  </si>
  <si>
    <t>Australian Made Wooden Bookmark - Golden Wattle</t>
  </si>
  <si>
    <t>WB028</t>
  </si>
  <si>
    <t>Australian Made Wooden Bookmark - Great Barrier Reef</t>
  </si>
  <si>
    <t>WB005</t>
  </si>
  <si>
    <t>Australian Made Wooden Bookmark - Hydrangea</t>
  </si>
  <si>
    <t>WB043</t>
  </si>
  <si>
    <t>Australian Made Wooden Bookmark - I Can Fix Him Or Join Him</t>
  </si>
  <si>
    <t>WB041</t>
  </si>
  <si>
    <t>Australian Made Wooden Bookmark - I Don't Kneel to Fae Kings</t>
  </si>
  <si>
    <t>WB039</t>
  </si>
  <si>
    <t>Australian Made Wooden Bookmark - In My Romantasy Era</t>
  </si>
  <si>
    <t>WB055</t>
  </si>
  <si>
    <t>Australian Made Wooden Bookmark - It's Not Hoarding</t>
  </si>
  <si>
    <t>WB019</t>
  </si>
  <si>
    <t>Australian Made Wooden Bookmark - Kangaroo</t>
  </si>
  <si>
    <t>WB011</t>
  </si>
  <si>
    <t>Australian Made Wooden Bookmark - Kangaroo Paw</t>
  </si>
  <si>
    <t>WB020</t>
  </si>
  <si>
    <t>Australian Made Wooden Bookmark - Koala</t>
  </si>
  <si>
    <t>WB021</t>
  </si>
  <si>
    <t>Australian Made Wooden Bookmark - Kookaburra</t>
  </si>
  <si>
    <t>WB029</t>
  </si>
  <si>
    <t>Australian Made Wooden Bookmark - Opera House</t>
  </si>
  <si>
    <t>WB006</t>
  </si>
  <si>
    <t>Australian Made Wooden Bookmark - Pink Rock Lily</t>
  </si>
  <si>
    <t>WB022</t>
  </si>
  <si>
    <t>Australian Made Wooden Bookmark - Platypus</t>
  </si>
  <si>
    <t>WB023</t>
  </si>
  <si>
    <t>Australian Made Wooden Bookmark - Rainbow Lorikeet</t>
  </si>
  <si>
    <t>WB001</t>
  </si>
  <si>
    <t>Australian Made Wooden Bookmark - Rose</t>
  </si>
  <si>
    <t>WB030</t>
  </si>
  <si>
    <t>Australian Made Wooden Bookmark - Southern Lights</t>
  </si>
  <si>
    <t>WB003</t>
  </si>
  <si>
    <t>Australian Made Wooden Bookmark - Sunflower</t>
  </si>
  <si>
    <t>WB031</t>
  </si>
  <si>
    <t>Australian Made Wooden Bookmark - Surfing Kangaroo</t>
  </si>
  <si>
    <t>WB032</t>
  </si>
  <si>
    <t>Australian Made Wooden Bookmark - Surfing Koala</t>
  </si>
  <si>
    <t>WB034</t>
  </si>
  <si>
    <t>Australian Made Wooden Bookmark - Sydney Harbour</t>
  </si>
  <si>
    <t>WB033</t>
  </si>
  <si>
    <t>Australian Made Wooden Bookmark - Sydney Harbour Bridge</t>
  </si>
  <si>
    <t>WB024</t>
  </si>
  <si>
    <t>Australian Made Wooden Bookmark - Tasmanian Devil</t>
  </si>
  <si>
    <t>WB035</t>
  </si>
  <si>
    <t>Australian Made Wooden Bookmark - Three Sisters</t>
  </si>
  <si>
    <t>WB044</t>
  </si>
  <si>
    <t>Australian Made Wooden Bookmark - To The Stars Who Listen</t>
  </si>
  <si>
    <t>WB036</t>
  </si>
  <si>
    <t>Australian Made Wooden Bookmark - Tram</t>
  </si>
  <si>
    <t>WB002</t>
  </si>
  <si>
    <t>Australian Made Wooden Bookmark - Tulip</t>
  </si>
  <si>
    <t>WB037</t>
  </si>
  <si>
    <t>Australian Made Wooden Bookmark - Twelve Apostles</t>
  </si>
  <si>
    <t>WB038</t>
  </si>
  <si>
    <t>Australian Made Wooden Bookmark - Uluru</t>
  </si>
  <si>
    <t>WB009</t>
  </si>
  <si>
    <t>Australian Made Wooden Bookmark - Waratah</t>
  </si>
  <si>
    <t>WC007</t>
  </si>
  <si>
    <t>Australian Made Wooden Coasters - Banksia</t>
  </si>
  <si>
    <t>WC013</t>
  </si>
  <si>
    <t>Australian Made Wooden Coasters - Big Rocking Horse</t>
  </si>
  <si>
    <t>WC008</t>
  </si>
  <si>
    <t>Australian Made Wooden Coasters - Bottle Brush</t>
  </si>
  <si>
    <t>WC012</t>
  </si>
  <si>
    <t>Australian Made Wooden Coasters - Canberra Bell</t>
  </si>
  <si>
    <t>WC004</t>
  </si>
  <si>
    <t>Australian Made Wooden Coasters - Carnation</t>
  </si>
  <si>
    <t>WC010</t>
  </si>
  <si>
    <t>Australian Made Wooden Coasters - Golden Wattle</t>
  </si>
  <si>
    <t>WC005</t>
  </si>
  <si>
    <t>Australian Made Wooden Coasters - Hydrangea</t>
  </si>
  <si>
    <t>WC011</t>
  </si>
  <si>
    <t>Australian Made Wooden Coasters - Kangaroo Paw</t>
  </si>
  <si>
    <t>WC006</t>
  </si>
  <si>
    <t>Australian Made Wooden Coasters - Pink Rock Lily</t>
  </si>
  <si>
    <t>WC001</t>
  </si>
  <si>
    <t>Australian Made Wooden Coasters - Rose</t>
  </si>
  <si>
    <t>WC003</t>
  </si>
  <si>
    <t>Australian Made Wooden Coasters - Sunflower</t>
  </si>
  <si>
    <t>WC002</t>
  </si>
  <si>
    <t>Australian Made Wooden Coasters - Tulip</t>
  </si>
  <si>
    <t>WC009</t>
  </si>
  <si>
    <t>Australian Made Wooden Coasters - Waratah</t>
  </si>
  <si>
    <t>GCF001</t>
  </si>
  <si>
    <t>Australian Made Wooden Greeting Card - Australian Natives</t>
  </si>
  <si>
    <t>GCB001</t>
  </si>
  <si>
    <t>Australian Made Wooden Greeting Card - Book Lovers Cats</t>
  </si>
  <si>
    <t>GCB002</t>
  </si>
  <si>
    <t>Australian Made Wooden Greeting Card - Book Lovers Dogs</t>
  </si>
  <si>
    <t>GCB003</t>
  </si>
  <si>
    <t>Australian Made Wooden Greeting Card - Book Lovers Fly Or Die</t>
  </si>
  <si>
    <t>GCB004</t>
  </si>
  <si>
    <t>Australian Made Wooden Greeting Card - Book Lovers Hoarding</t>
  </si>
  <si>
    <t>GCB005</t>
  </si>
  <si>
    <t>Australian Made Wooden Greeting Card - Book Lovers In My Romantasy Era</t>
  </si>
  <si>
    <t>GCB006</t>
  </si>
  <si>
    <t>Australian Made Wooden Greeting Card - Book Lovers Tea</t>
  </si>
  <si>
    <t>GCF002</t>
  </si>
  <si>
    <t>Australian Made Wooden Greeting Card - Lilies</t>
  </si>
  <si>
    <t>GCF003</t>
  </si>
  <si>
    <t>Australian Made Wooden Greeting Card - Orchids</t>
  </si>
  <si>
    <t>GCF004</t>
  </si>
  <si>
    <t>Australian Made Wooden Greeting Card - Roses</t>
  </si>
  <si>
    <t>GCR001</t>
  </si>
  <si>
    <t>Australian Made Wooden Greeting Card - Rude Cake</t>
  </si>
  <si>
    <t>GCR002</t>
  </si>
  <si>
    <t>Australian Made Wooden Greeting Card - Rude Cheers</t>
  </si>
  <si>
    <t>GCR003</t>
  </si>
  <si>
    <t>Australian Made Wooden Greeting Card - Rude Dog</t>
  </si>
  <si>
    <t>GCR004</t>
  </si>
  <si>
    <t>Australian Made Wooden Greeting Card - Rude Love</t>
  </si>
  <si>
    <t>GCR005</t>
  </si>
  <si>
    <t>Australian Made Wooden Greeting Card - Rude Queen</t>
  </si>
  <si>
    <t>GCR006</t>
  </si>
  <si>
    <t>Australian Made Wooden Greeting Card - Rude Wine</t>
  </si>
  <si>
    <t>GCF005</t>
  </si>
  <si>
    <t>Australian Made Wooden Greeting Card - Sunflowers</t>
  </si>
  <si>
    <t>GCT001</t>
  </si>
  <si>
    <t>Australian Made Wooden Greeting Card - Tiny Emotional Support Apple</t>
  </si>
  <si>
    <t>GCT002</t>
  </si>
  <si>
    <t>Australian Made Wooden Greeting Card - Tiny Emotional Support Avocado</t>
  </si>
  <si>
    <t>GCT003</t>
  </si>
  <si>
    <t>Australian Made Wooden Greeting Card - Tiny Emotional Support Carrot</t>
  </si>
  <si>
    <t>GCT004</t>
  </si>
  <si>
    <t>Australian Made Wooden Greeting Card - Tiny Emotional Support Coffee</t>
  </si>
  <si>
    <t>GCT005</t>
  </si>
  <si>
    <t>Australian Made Wooden Greeting Card - Tiny Emotional Support Duck</t>
  </si>
  <si>
    <t>GCT006</t>
  </si>
  <si>
    <t>Australian Made Wooden Greeting Card - Tiny Emotional Support Frog</t>
  </si>
  <si>
    <t>GCT007</t>
  </si>
  <si>
    <t>Australian Made Wooden Greeting Card - Tiny Emotional Support Koala</t>
  </si>
  <si>
    <t>GCT008</t>
  </si>
  <si>
    <t>Australian Made Wooden Greeting Card - Tiny Emotional Support Pickle</t>
  </si>
  <si>
    <t>GCT009</t>
  </si>
  <si>
    <t>Australian Made Wooden Greeting Card - Tiny Emotional Support Plant</t>
  </si>
  <si>
    <t>GCT010</t>
  </si>
  <si>
    <t>Australian Made Wooden Greeting Card - Tiny Emotional Support Poo</t>
  </si>
  <si>
    <t>GCT011</t>
  </si>
  <si>
    <t>Australian Made Wooden Greeting Card - Tiny Emotional Support Potato</t>
  </si>
  <si>
    <t>GCT012</t>
  </si>
  <si>
    <t>Australian Made Wooden Greeting Card - Tiny Emotional Support Pug</t>
  </si>
  <si>
    <t>GCT013</t>
  </si>
  <si>
    <t>Australian Made Wooden Greeting Card - Tiny Emotional Support Quokka</t>
  </si>
  <si>
    <t>GCT014</t>
  </si>
  <si>
    <t>Australian Made Wooden Greeting Card - Tiny Emotional Support Sloth</t>
  </si>
  <si>
    <t>GCT015</t>
  </si>
  <si>
    <t>Australian Made Wooden Greeting Card - Tiny Emotional Support Sunflower</t>
  </si>
  <si>
    <t>GCT016</t>
  </si>
  <si>
    <t>Australian Made Wooden Greeting Card - Tiny Emotional Support Turtle</t>
  </si>
  <si>
    <t>GCT017</t>
  </si>
  <si>
    <t>Australian Made Wooden Greeting Card - Tiny Emotional Support Unicorn</t>
  </si>
  <si>
    <t>GCF006</t>
  </si>
  <si>
    <t>Australian Made Wooden Greeting Card - Tulips</t>
  </si>
  <si>
    <t>SPGC</t>
  </si>
  <si>
    <t>AUSTRALIAN MADE WOODEN GREETING CARDS SET UP 144pcs</t>
  </si>
  <si>
    <t>AMWL</t>
  </si>
  <si>
    <t>Australian Made Wooden LOGO</t>
  </si>
  <si>
    <t>WO034</t>
  </si>
  <si>
    <t>Australian Made Wooden Ornament - Best Teacher</t>
  </si>
  <si>
    <t>WO016</t>
  </si>
  <si>
    <t>Australian Made Wooden Ornament - Black Cat</t>
  </si>
  <si>
    <t>WO006</t>
  </si>
  <si>
    <t>Australian Made Wooden Ornament - Candy Cane</t>
  </si>
  <si>
    <t>WO004</t>
  </si>
  <si>
    <t>Australian Made Wooden Ornament - Christmas Tree</t>
  </si>
  <si>
    <t>WO022</t>
  </si>
  <si>
    <t>Australian Made Wooden Ornament - Cockatoo</t>
  </si>
  <si>
    <t>WO019</t>
  </si>
  <si>
    <t>Australian Made Wooden Ornament - Echidna</t>
  </si>
  <si>
    <t>WO015</t>
  </si>
  <si>
    <t>Australian Made Wooden Ornament - French Bulldog</t>
  </si>
  <si>
    <t>WO017</t>
  </si>
  <si>
    <t>Australian Made Wooden Ornament - Ginger Cat</t>
  </si>
  <si>
    <t>WO005</t>
  </si>
  <si>
    <t>Australian Made Wooden Ornament - Gingerbread Man</t>
  </si>
  <si>
    <t>WO029</t>
  </si>
  <si>
    <t>Australian Made Wooden Ornament - Horse</t>
  </si>
  <si>
    <t>WO025</t>
  </si>
  <si>
    <t>Australian Made Wooden Ornament - Kangaroo 1</t>
  </si>
  <si>
    <t>WO026</t>
  </si>
  <si>
    <t>Australian Made Wooden Ornament - Kangaroo 2</t>
  </si>
  <si>
    <t>WO027</t>
  </si>
  <si>
    <t>Australian Made Wooden Ornament - Koala 1</t>
  </si>
  <si>
    <t>WO028</t>
  </si>
  <si>
    <t>Australian Made Wooden Ornament - Koala 2</t>
  </si>
  <si>
    <t>WO033</t>
  </si>
  <si>
    <t>Australian Made Wooden Ornament - Kookaburra</t>
  </si>
  <si>
    <t>WO013</t>
  </si>
  <si>
    <t>Australian Made Wooden Ornament - Labrador</t>
  </si>
  <si>
    <t>WO032</t>
  </si>
  <si>
    <t>Australian Made Wooden Ornament - Penguin</t>
  </si>
  <si>
    <t>WO023</t>
  </si>
  <si>
    <t>Australian Made Wooden Ornament - Platypus 1</t>
  </si>
  <si>
    <t>WO024</t>
  </si>
  <si>
    <t>Australian Made Wooden Ornament - Platypus 2</t>
  </si>
  <si>
    <t>WO021</t>
  </si>
  <si>
    <t>Australian Made Wooden Ornament - Rainbow Lorikeet</t>
  </si>
  <si>
    <t>WO002</t>
  </si>
  <si>
    <t>Australian Made Wooden Ornament - Reindeer</t>
  </si>
  <si>
    <t>WO001</t>
  </si>
  <si>
    <t>Australian Made Wooden Ornament - Santa</t>
  </si>
  <si>
    <t>WO014</t>
  </si>
  <si>
    <t>Australian Made Wooden Ornament - Scruffy Dog</t>
  </si>
  <si>
    <t>WO008</t>
  </si>
  <si>
    <t>Australian Made Wooden Ornament - Sleigh</t>
  </si>
  <si>
    <t>WO007</t>
  </si>
  <si>
    <t>Australian Made Wooden Ornament - Snow Flake</t>
  </si>
  <si>
    <t>WO003</t>
  </si>
  <si>
    <t>Australian Made Wooden Ornament - Snowman</t>
  </si>
  <si>
    <t>WO010</t>
  </si>
  <si>
    <t>Australian Made Wooden Ornament - Star</t>
  </si>
  <si>
    <t>WO009</t>
  </si>
  <si>
    <t>Australian Made Wooden Ornament - Stocking</t>
  </si>
  <si>
    <t>WO011</t>
  </si>
  <si>
    <t>Australian Made Wooden Ornament - T Rex</t>
  </si>
  <si>
    <t>WO020</t>
  </si>
  <si>
    <t>Australian Made Wooden Ornament - Tasmanian Devil</t>
  </si>
  <si>
    <t>WO030</t>
  </si>
  <si>
    <t>Australian Made Wooden Ornament - Unicorn</t>
  </si>
  <si>
    <t>WO018</t>
  </si>
  <si>
    <t>Australian Made Wooden Ornament - White Cat</t>
  </si>
  <si>
    <t>WO031</t>
  </si>
  <si>
    <t>Australian Made Wooden Ornament - Wolf</t>
  </si>
  <si>
    <t>WO012</t>
  </si>
  <si>
    <t>Australian Made Wooden Ornament -Triceratops</t>
  </si>
  <si>
    <t>WOSU</t>
  </si>
  <si>
    <t>Australian Made Wooden Ornaments Christmas Set Up</t>
  </si>
  <si>
    <t>WO059</t>
  </si>
  <si>
    <t>Australian Map - Australian Made Wooden Ornament</t>
  </si>
  <si>
    <t>AZL01L1.5</t>
  </si>
  <si>
    <t>kg</t>
  </si>
  <si>
    <t>AZLSS</t>
  </si>
  <si>
    <t>Azzurri Blue Light Reading Glasses Back Up 1 of each SKU</t>
  </si>
  <si>
    <t>AZLSP</t>
  </si>
  <si>
    <t>Azzurri Blue Light Reading Glasses Setup 26D x 20W x 57Hcm</t>
  </si>
  <si>
    <t>AZB01</t>
  </si>
  <si>
    <t>Azzurri Reading Glasses Bari 1 L0</t>
  </si>
  <si>
    <t>AZB01L1</t>
  </si>
  <si>
    <t>Azzurri Reading Glasses Bari 1 L1</t>
  </si>
  <si>
    <t>AZB01L1.5</t>
  </si>
  <si>
    <t>Azzurri Reading Glasses Bari 1 L1.5</t>
  </si>
  <si>
    <t>AZB01L2</t>
  </si>
  <si>
    <t>Azzurri Reading Glasses Bari 1 L2</t>
  </si>
  <si>
    <t>AZB01L2.5</t>
  </si>
  <si>
    <t>Azzurri Reading Glasses Bari 1 L2.5</t>
  </si>
  <si>
    <t>AZB01L3</t>
  </si>
  <si>
    <t>Azzurri Reading Glasses Bari 1 L3</t>
  </si>
  <si>
    <t>AZB02</t>
  </si>
  <si>
    <t>Azzurri Reading Glasses Bari 2 L0</t>
  </si>
  <si>
    <t>AZB02L1</t>
  </si>
  <si>
    <t>Azzurri Reading Glasses Bari 2 L1</t>
  </si>
  <si>
    <t>AZB02L1.5</t>
  </si>
  <si>
    <t>Azzurri Reading Glasses Bari 2 L1.5</t>
  </si>
  <si>
    <t>AZB02L2</t>
  </si>
  <si>
    <t>Azzurri Reading Glasses Bari 2 L2</t>
  </si>
  <si>
    <t>AZB02L2.5</t>
  </si>
  <si>
    <t>Azzurri Reading Glasses Bari 2 L2.5</t>
  </si>
  <si>
    <t>AZB02L3</t>
  </si>
  <si>
    <t>Azzurri Reading Glasses Bari 2 L3</t>
  </si>
  <si>
    <t>AZC01</t>
  </si>
  <si>
    <t>Azzurri Reading Glasses Como 1 L0</t>
  </si>
  <si>
    <t>AZC01L1</t>
  </si>
  <si>
    <t>Azzurri Reading Glasses Como 1 L1</t>
  </si>
  <si>
    <t>AZC01L1.5</t>
  </si>
  <si>
    <t>Azzurri Reading Glasses Como 1 L1.5</t>
  </si>
  <si>
    <t>AZC01L2</t>
  </si>
  <si>
    <t>Azzurri Reading Glasses Como 1 L2</t>
  </si>
  <si>
    <t>AZC01L2.5</t>
  </si>
  <si>
    <t>Azzurri Reading Glasses Como 1 L2.5</t>
  </si>
  <si>
    <t>AZC01L3</t>
  </si>
  <si>
    <t>Azzurri Reading Glasses Como 1 L3</t>
  </si>
  <si>
    <t>AZC02</t>
  </si>
  <si>
    <t>Azzurri Reading Glasses Como 2 L0</t>
  </si>
  <si>
    <t>AZC02L1</t>
  </si>
  <si>
    <t>Azzurri Reading Glasses Como 2 L1</t>
  </si>
  <si>
    <t>AZC02L1.5</t>
  </si>
  <si>
    <t>Azzurri Reading Glasses Como 2 L1.5</t>
  </si>
  <si>
    <t>AZC02L2</t>
  </si>
  <si>
    <t>Azzurri Reading Glasses Como 2 L2</t>
  </si>
  <si>
    <t>AZC02L2.5</t>
  </si>
  <si>
    <t>Azzurri Reading Glasses Como 2 L2.5</t>
  </si>
  <si>
    <t>AZC02L3</t>
  </si>
  <si>
    <t>Azzurri Reading Glasses Como 2 L3</t>
  </si>
  <si>
    <t>AZD</t>
  </si>
  <si>
    <t>Azzurri Reading Glasses Display</t>
  </si>
  <si>
    <t>AZL01</t>
  </si>
  <si>
    <t>Azzurri Reading Glasses Lucca 1 L0</t>
  </si>
  <si>
    <t>AZL01L1</t>
  </si>
  <si>
    <t>Azzurri Reading Glasses Lucca 1 L1</t>
  </si>
  <si>
    <t>Azzurri Reading Glasses Lucca 1 L1.5</t>
  </si>
  <si>
    <t>AZL01L2</t>
  </si>
  <si>
    <t>Azzurri Reading Glasses Lucca 1 L2</t>
  </si>
  <si>
    <t>AZL01L2.5</t>
  </si>
  <si>
    <t>Azzurri Reading Glasses Lucca 1 L2.5</t>
  </si>
  <si>
    <t>AZL01L3</t>
  </si>
  <si>
    <t>Azzurri Reading Glasses Lucca 1 L3</t>
  </si>
  <si>
    <t>AZL02</t>
  </si>
  <si>
    <t>Azzurri Reading Glasses Lucca 2 L0</t>
  </si>
  <si>
    <t>AZL02L1</t>
  </si>
  <si>
    <t>Azzurri Reading Glasses Lucca 2 L1</t>
  </si>
  <si>
    <t>AZL02L1.5</t>
  </si>
  <si>
    <t>Azzurri Reading Glasses Lucca 2 L1.5</t>
  </si>
  <si>
    <t>AZL02L2</t>
  </si>
  <si>
    <t>Azzurri Reading Glasses Lucca 2 L2</t>
  </si>
  <si>
    <t>AZL02L2.5</t>
  </si>
  <si>
    <t>Azzurri Reading Glasses Lucca 2 L2.5</t>
  </si>
  <si>
    <t>AZL02L3</t>
  </si>
  <si>
    <t>Azzurri Reading Glasses Lucca 2 L3</t>
  </si>
  <si>
    <t>AZS</t>
  </si>
  <si>
    <t>Azzurri Sample Set</t>
  </si>
  <si>
    <t>BABY BOOKS STARTER PACK NO2</t>
  </si>
  <si>
    <t>BTB006</t>
  </si>
  <si>
    <t>Baby Talk BIBS - 50% Mum 50% Dad</t>
  </si>
  <si>
    <t>BTB005</t>
  </si>
  <si>
    <t>Baby Talk BIBS - 9 Months Inside</t>
  </si>
  <si>
    <t>BTB007</t>
  </si>
  <si>
    <t>Baby Talk BIBS - Am I on Social Media?</t>
  </si>
  <si>
    <t>BTB004</t>
  </si>
  <si>
    <t>Baby Talk BIBS - Bring Me Milk</t>
  </si>
  <si>
    <t>BTB003</t>
  </si>
  <si>
    <t>Baby Talk BIBS - Cape Backwards</t>
  </si>
  <si>
    <t>BTB009</t>
  </si>
  <si>
    <t>Baby Talk BIBS - Grandma Loves Me</t>
  </si>
  <si>
    <t>BTB001</t>
  </si>
  <si>
    <t>Baby Talk BIBS - I Drink Until</t>
  </si>
  <si>
    <t>BTB008</t>
  </si>
  <si>
    <t>Baby Talk BIBS - I'm not crying</t>
  </si>
  <si>
    <t>BTB002</t>
  </si>
  <si>
    <t>Baby Talk BIBS - Party At My Crib</t>
  </si>
  <si>
    <t>BTBBO</t>
  </si>
  <si>
    <t>Baby Talk Bibs Bibs Only</t>
  </si>
  <si>
    <t>BTBD</t>
  </si>
  <si>
    <t>BABY TALK BIBS DISPLAY</t>
  </si>
  <si>
    <t>BTB6PK</t>
  </si>
  <si>
    <t>Baby Talk Bibs Gift Pack of 6</t>
  </si>
  <si>
    <t>BTBSP</t>
  </si>
  <si>
    <t>BABY TALK BIBS SETUP</t>
  </si>
  <si>
    <t>Kit2</t>
  </si>
  <si>
    <t>Baby Talk Kit 1</t>
  </si>
  <si>
    <t>BTO001</t>
  </si>
  <si>
    <t>Baby Talk Onesies - 50% Mum 50% Dad</t>
  </si>
  <si>
    <t>BTO002</t>
  </si>
  <si>
    <t>Baby Talk Onesies - Get Milk</t>
  </si>
  <si>
    <t>BTO006</t>
  </si>
  <si>
    <t>Baby Talk Onesies - If you can read this</t>
  </si>
  <si>
    <t>BTO003</t>
  </si>
  <si>
    <t>Baby Talk Onesies - Its 5 O'Clock</t>
  </si>
  <si>
    <t>BTO005</t>
  </si>
  <si>
    <t>Baby Talk Onesies - Party at my Crib</t>
  </si>
  <si>
    <t>BTO004</t>
  </si>
  <si>
    <t>Baby Talk Onesies - That Smell</t>
  </si>
  <si>
    <t>BTS002</t>
  </si>
  <si>
    <t>Baby Talk Socks - 50% Mum 50% Dad</t>
  </si>
  <si>
    <t>BTS005</t>
  </si>
  <si>
    <t>Baby Talk Socks - Am I on Social Media Yet</t>
  </si>
  <si>
    <t>BTS004</t>
  </si>
  <si>
    <t>Baby Talk Socks - Bring Me Some Milk</t>
  </si>
  <si>
    <t>BTS008</t>
  </si>
  <si>
    <t>Baby Talk Socks - I Drink Until</t>
  </si>
  <si>
    <t>BTS006</t>
  </si>
  <si>
    <t>Baby Talk Socks - I'm Not Crying</t>
  </si>
  <si>
    <t>BTS001</t>
  </si>
  <si>
    <t>Baby Talk Socks - My Grandma Loves Me</t>
  </si>
  <si>
    <t>BTS003</t>
  </si>
  <si>
    <t>Baby Talk Socks - Of Course I'm Cute</t>
  </si>
  <si>
    <t>BTS007</t>
  </si>
  <si>
    <t>Baby Talk Socks - Party At My Crib</t>
  </si>
  <si>
    <t>BTSD</t>
  </si>
  <si>
    <t>BABY TALK SOCKS DISPLAY</t>
  </si>
  <si>
    <t>SPBTS</t>
  </si>
  <si>
    <t>BABY TALK SOCKS SETUP</t>
  </si>
  <si>
    <t>RFS11624</t>
  </si>
  <si>
    <t>Balloon Racing Cars</t>
  </si>
  <si>
    <t>BF08</t>
  </si>
  <si>
    <t>Bamboo Fan - Blue Larkspur</t>
  </si>
  <si>
    <t>BF04</t>
  </si>
  <si>
    <t>Bamboo Fan - Fruit</t>
  </si>
  <si>
    <t>BF01</t>
  </si>
  <si>
    <t>Bamboo Fan - Hampton Stripe</t>
  </si>
  <si>
    <t>BF03</t>
  </si>
  <si>
    <t>Bamboo Fan - Kilburn</t>
  </si>
  <si>
    <t>BF02</t>
  </si>
  <si>
    <t>Bamboo Fan - Leopard Print</t>
  </si>
  <si>
    <t>BF10</t>
  </si>
  <si>
    <t>Bamboo Fan - Monet Water Lilies</t>
  </si>
  <si>
    <t>BH040</t>
  </si>
  <si>
    <t>Bamboo Fan - Peonie Rose</t>
  </si>
  <si>
    <t>BF05</t>
  </si>
  <si>
    <t>Bamboo Fan - Strawberry Thief Blue</t>
  </si>
  <si>
    <t>BF06</t>
  </si>
  <si>
    <t>Bamboo Fan - Strawberry Thief Red</t>
  </si>
  <si>
    <t>BF09</t>
  </si>
  <si>
    <t>Bamboo Fan - Van Gogh Sunflowers</t>
  </si>
  <si>
    <t>BF07</t>
  </si>
  <si>
    <t>Bamboo Fan - Wild Tulip</t>
  </si>
  <si>
    <t>WM027</t>
  </si>
  <si>
    <t>Bamboo Fan - William Morris Lavendar Strawberry Thief</t>
  </si>
  <si>
    <t>WM009</t>
  </si>
  <si>
    <t>Bamboo Fan - William Morris Mint Larkspur</t>
  </si>
  <si>
    <t>Bamboo Fan - William Morris Strawberry Thief</t>
  </si>
  <si>
    <t>WM028</t>
  </si>
  <si>
    <t>Bamboo Fan - William Morris Sweet Briar</t>
  </si>
  <si>
    <t>BFSUBH</t>
  </si>
  <si>
    <t>Bamboo Fan Bluhen Set Up</t>
  </si>
  <si>
    <t>BFSU</t>
  </si>
  <si>
    <t>Bamboo Fan Set Up</t>
  </si>
  <si>
    <t>BFSUWM</t>
  </si>
  <si>
    <t>Bamboo Fan Set Up William Morris</t>
  </si>
  <si>
    <t>BFCDU</t>
  </si>
  <si>
    <t>Bamboo Fans CDU</t>
  </si>
  <si>
    <t>CDUBF</t>
  </si>
  <si>
    <t>Bamboo Fans WDU</t>
  </si>
  <si>
    <t>BRR01</t>
  </si>
  <si>
    <t>Bamboo Reading Rest</t>
  </si>
  <si>
    <t>WFM007</t>
  </si>
  <si>
    <t>Banksia - Australian Made Wooden Fridge Magnet</t>
  </si>
  <si>
    <t>WK007</t>
  </si>
  <si>
    <t>Banksia - Australian Made Wooden Key Ring</t>
  </si>
  <si>
    <t>BOOKRF01</t>
  </si>
  <si>
    <t>Banner Pad: Rupert Fawcett (Off the Leash Dogs)</t>
  </si>
  <si>
    <t>BOOKRF02</t>
  </si>
  <si>
    <t>Banner Pad: Rupert Fawcett (On the Prowl Cats)</t>
  </si>
  <si>
    <t>CS29</t>
  </si>
  <si>
    <t>Barn and Farm Animal Sleeve</t>
  </si>
  <si>
    <t>PLY8B</t>
  </si>
  <si>
    <t>Basswood Plywood 1.5mm 90cm x 30cm</t>
  </si>
  <si>
    <t>PLY8A</t>
  </si>
  <si>
    <t>Basswood Plywood 1.5mm 90cm x 60cm</t>
  </si>
  <si>
    <t>PLY8</t>
  </si>
  <si>
    <t>Basswood Plywood 1.5mm 90cm x 90cm</t>
  </si>
  <si>
    <t>PLY3B</t>
  </si>
  <si>
    <t>Basswood Plywood 3mm 90cm x 30cm</t>
  </si>
  <si>
    <t>PLY3A</t>
  </si>
  <si>
    <t>Basswood Plywood 3mm 90cm x 60cm</t>
  </si>
  <si>
    <t>PLY3</t>
  </si>
  <si>
    <t>Basswood Plywood 3mm 90cm x 90cm</t>
  </si>
  <si>
    <t>PLY6</t>
  </si>
  <si>
    <t>Basswood Plywood 6mm</t>
  </si>
  <si>
    <t>PLY6C</t>
  </si>
  <si>
    <t>Basswood Plywood 6mm 120cm x 70cm</t>
  </si>
  <si>
    <t>PLY6A</t>
  </si>
  <si>
    <t>Basswood Plywood 6mm 170cm x 90cm</t>
  </si>
  <si>
    <t>PLY5</t>
  </si>
  <si>
    <t>Basswood Plywood 6mm 70cm x 90cm</t>
  </si>
  <si>
    <t>PLY7</t>
  </si>
  <si>
    <t>Basswood Plywood 6mm 80cm x 30cm</t>
  </si>
  <si>
    <t>PLY6B</t>
  </si>
  <si>
    <t>Basswood Plywood 6mm  85cm x 30cm</t>
  </si>
  <si>
    <t>CR006</t>
  </si>
  <si>
    <t>Bath Bomb - Fruit William Morris</t>
  </si>
  <si>
    <t>CR005</t>
  </si>
  <si>
    <t>Bath Bomb - Strawberry Thief William Morris</t>
  </si>
  <si>
    <t>BABG088</t>
  </si>
  <si>
    <t>BATH GEL PENGUIN HONEYDEW</t>
  </si>
  <si>
    <t>BABG087</t>
  </si>
  <si>
    <t>BATH GEL POLAR BEAR PEACH</t>
  </si>
  <si>
    <t>BABM022</t>
  </si>
  <si>
    <t>BATH MAT TOWELLING WHALE</t>
  </si>
  <si>
    <t>CR024</t>
  </si>
  <si>
    <t>Bath Tea Bags - Fruit</t>
  </si>
  <si>
    <t>CR026</t>
  </si>
  <si>
    <t>Bath Tea Bags - Monet Water Lilies</t>
  </si>
  <si>
    <t>CR023</t>
  </si>
  <si>
    <t>Bath Tea Bags - Strawberry Thief</t>
  </si>
  <si>
    <t>CR025</t>
  </si>
  <si>
    <t>Bath Tea Bags - Van Gogh Sunflowers</t>
  </si>
  <si>
    <t>BAT</t>
  </si>
  <si>
    <t>BATHTIME ADVENTURE TOWER DISPLAY</t>
  </si>
  <si>
    <t>BBBH3</t>
  </si>
  <si>
    <t>Bean Bag Book Holder North Sea Green</t>
  </si>
  <si>
    <t>BBBH2</t>
  </si>
  <si>
    <t>Bean Bag Book Holder Tropical Blue</t>
  </si>
  <si>
    <t>Kit3</t>
  </si>
  <si>
    <t>Beer Kit 1</t>
  </si>
  <si>
    <t>31902P</t>
  </si>
  <si>
    <t>BFG MAGNET BOOK MARK</t>
  </si>
  <si>
    <t>BM180</t>
  </si>
  <si>
    <t>BIG MILESTONE 18TH CDCARD</t>
  </si>
  <si>
    <t>BM21</t>
  </si>
  <si>
    <t>BIG MILESTONE 21ST CDCARD</t>
  </si>
  <si>
    <t>BM30</t>
  </si>
  <si>
    <t>BIG MILESTONE 30TH CDCARD</t>
  </si>
  <si>
    <t>BM40</t>
  </si>
  <si>
    <t>BIG MILESTONE 40TH CDCARD</t>
  </si>
  <si>
    <t>BM50</t>
  </si>
  <si>
    <t>BIG MILESTONE 50TH CDCARD</t>
  </si>
  <si>
    <t>BM60</t>
  </si>
  <si>
    <t>BIG MILESTONE 60TH CDCARD</t>
  </si>
  <si>
    <t>BM70</t>
  </si>
  <si>
    <t>BIG MILESTONE 70TH CDCARD</t>
  </si>
  <si>
    <t>BM80</t>
  </si>
  <si>
    <t>BIG MILESTONE 80TH CDCARD</t>
  </si>
  <si>
    <t>BOX70170</t>
  </si>
  <si>
    <t>Big Tuck Box 70 x 5 x 170cm</t>
  </si>
  <si>
    <t>RFS11792</t>
  </si>
  <si>
    <t>Bike Lights &amp; Bell</t>
  </si>
  <si>
    <t>WO049</t>
  </si>
  <si>
    <t>Bin Chicken - Australian Made Wooden Ornament</t>
  </si>
  <si>
    <t>WO048</t>
  </si>
  <si>
    <t>Bin Cricket Stumps - Australian Made Wooden Ornament</t>
  </si>
  <si>
    <t>CS42</t>
  </si>
  <si>
    <t>Bird House Sleeve</t>
  </si>
  <si>
    <t>BB40</t>
  </si>
  <si>
    <t>BIRTHDAY BOX 40TH</t>
  </si>
  <si>
    <t>BB60</t>
  </si>
  <si>
    <t>BIRTHDAY BOX 60TH</t>
  </si>
  <si>
    <t>BB70</t>
  </si>
  <si>
    <t>BIRTHDAY BOX 70TH</t>
  </si>
  <si>
    <t>RFS11118</t>
  </si>
  <si>
    <t>BIRTHDAY CRACKERS WITH MINIATURE GAMES</t>
  </si>
  <si>
    <t>BS31</t>
  </si>
  <si>
    <t>BIRTHDAY STAR 1931</t>
  </si>
  <si>
    <t>BS32</t>
  </si>
  <si>
    <t>BIRTHDAY STAR 1932</t>
  </si>
  <si>
    <t>BS33</t>
  </si>
  <si>
    <t>BIRTHDAY STAR 1933</t>
  </si>
  <si>
    <t>BS34</t>
  </si>
  <si>
    <t>BIRTHDAY STAR 1934</t>
  </si>
  <si>
    <t>BS35</t>
  </si>
  <si>
    <t>BIRTHDAY STAR 1935</t>
  </si>
  <si>
    <t>BS36</t>
  </si>
  <si>
    <t>BIRTHDAY STAR 1936</t>
  </si>
  <si>
    <t>BS37</t>
  </si>
  <si>
    <t>BIRTHDAY STAR 1937</t>
  </si>
  <si>
    <t>BS38</t>
  </si>
  <si>
    <t>BIRTHDAY STAR 1938</t>
  </si>
  <si>
    <t>BS39</t>
  </si>
  <si>
    <t>BIRTHDAY STAR 1939</t>
  </si>
  <si>
    <t>BS40</t>
  </si>
  <si>
    <t>BIRTHDAY STAR 1940</t>
  </si>
  <si>
    <t>BS41</t>
  </si>
  <si>
    <t>BIRTHDAY STAR 1941</t>
  </si>
  <si>
    <t>BS42</t>
  </si>
  <si>
    <t>BIRTHDAY STAR 1942</t>
  </si>
  <si>
    <t>BS43</t>
  </si>
  <si>
    <t>BIRTHDAY STAR 1943</t>
  </si>
  <si>
    <t>BS44</t>
  </si>
  <si>
    <t>BIRTHDAY STAR 1944</t>
  </si>
  <si>
    <t>BS45</t>
  </si>
  <si>
    <t>BIRTHDAY STAR 1945</t>
  </si>
  <si>
    <t>BS46</t>
  </si>
  <si>
    <t>BIRTHDAY STAR 1946</t>
  </si>
  <si>
    <t>BS47</t>
  </si>
  <si>
    <t>BIRTHDAY STAR 1947</t>
  </si>
  <si>
    <t>BS48</t>
  </si>
  <si>
    <t>BIRTHDAY STAR 1948</t>
  </si>
  <si>
    <t>BS49</t>
  </si>
  <si>
    <t>BIRTHDAY STAR 1949</t>
  </si>
  <si>
    <t>BS50</t>
  </si>
  <si>
    <t>BIRTHDAY STAR 1950</t>
  </si>
  <si>
    <t>BS51</t>
  </si>
  <si>
    <t>BIRTHDAY STAR 1951</t>
  </si>
  <si>
    <t>BS52</t>
  </si>
  <si>
    <t>BIRTHDAY STAR 1952</t>
  </si>
  <si>
    <t>BS53</t>
  </si>
  <si>
    <t>BIRTHDAY STAR 1953</t>
  </si>
  <si>
    <t>BS54</t>
  </si>
  <si>
    <t>BIRTHDAY STAR 1954</t>
  </si>
  <si>
    <t>BS55</t>
  </si>
  <si>
    <t>BIRTHDAY STAR 1955</t>
  </si>
  <si>
    <t>BS56</t>
  </si>
  <si>
    <t>BIRTHDAY STAR 1956</t>
  </si>
  <si>
    <t>BS57</t>
  </si>
  <si>
    <t>BIRTHDAY STAR 1957</t>
  </si>
  <si>
    <t>BS58</t>
  </si>
  <si>
    <t>BIRTHDAY STAR 1958</t>
  </si>
  <si>
    <t>BS59</t>
  </si>
  <si>
    <t>BIRTHDAY STAR 1959</t>
  </si>
  <si>
    <t>BS60</t>
  </si>
  <si>
    <t>BIRTHDAY STAR 1960</t>
  </si>
  <si>
    <t>BS61</t>
  </si>
  <si>
    <t>BIRTHDAY STAR 1961</t>
  </si>
  <si>
    <t>BS62</t>
  </si>
  <si>
    <t>BIRTHDAY STAR 1962</t>
  </si>
  <si>
    <t>BS63</t>
  </si>
  <si>
    <t>BIRTHDAY STAR 1963</t>
  </si>
  <si>
    <t>BS64</t>
  </si>
  <si>
    <t>BIRTHDAY STAR 1964</t>
  </si>
  <si>
    <t>BS65</t>
  </si>
  <si>
    <t>BIRTHDAY STAR 1965</t>
  </si>
  <si>
    <t>BS66</t>
  </si>
  <si>
    <t>BIRTHDAY STAR 1966</t>
  </si>
  <si>
    <t>BS67</t>
  </si>
  <si>
    <t>BIRTHDAY STAR 1967</t>
  </si>
  <si>
    <t>BS68</t>
  </si>
  <si>
    <t>BIRTHDAY STAR 1968</t>
  </si>
  <si>
    <t>BS69</t>
  </si>
  <si>
    <t>BIRTHDAY STAR 1969</t>
  </si>
  <si>
    <t>BS70</t>
  </si>
  <si>
    <t>BIRTHDAY STAR 1970</t>
  </si>
  <si>
    <t>BS71</t>
  </si>
  <si>
    <t>BIRTHDAY STAR 1971</t>
  </si>
  <si>
    <t>BS72</t>
  </si>
  <si>
    <t>BIRTHDAY STAR 1972</t>
  </si>
  <si>
    <t>BS73</t>
  </si>
  <si>
    <t>BIRTHDAY STAR 1973</t>
  </si>
  <si>
    <t>BS74</t>
  </si>
  <si>
    <t>BIRTHDAY STAR 1974</t>
  </si>
  <si>
    <t>BS75</t>
  </si>
  <si>
    <t>BIRTHDAY STAR 1975</t>
  </si>
  <si>
    <t>BS76</t>
  </si>
  <si>
    <t>BIRTHDAY STAR 1976</t>
  </si>
  <si>
    <t>BS77</t>
  </si>
  <si>
    <t>BIRTHDAY STAR 1977</t>
  </si>
  <si>
    <t>BS78</t>
  </si>
  <si>
    <t>BIRTHDAY STAR 1978</t>
  </si>
  <si>
    <t>BS79</t>
  </si>
  <si>
    <t>BIRTHDAY STAR 1979</t>
  </si>
  <si>
    <t>BS80</t>
  </si>
  <si>
    <t>BIRTHDAY STAR 1980</t>
  </si>
  <si>
    <t>BS81</t>
  </si>
  <si>
    <t>BIRTHDAY STAR 1981</t>
  </si>
  <si>
    <t>BS82</t>
  </si>
  <si>
    <t>BIRTHDAY STAR 1982</t>
  </si>
  <si>
    <t>BS83</t>
  </si>
  <si>
    <t>BIRTHDAY STAR 1983</t>
  </si>
  <si>
    <t>BS84</t>
  </si>
  <si>
    <t>BIRTHDAY STAR 1984</t>
  </si>
  <si>
    <t>BS85</t>
  </si>
  <si>
    <t>BIRTHDAY STAR 1985</t>
  </si>
  <si>
    <t>BS86</t>
  </si>
  <si>
    <t>BIRTHDAY STAR 1986</t>
  </si>
  <si>
    <t>BS87</t>
  </si>
  <si>
    <t>BIRTHDAY STAR 1987</t>
  </si>
  <si>
    <t>BS88</t>
  </si>
  <si>
    <t>BIRTHDAY STAR 1988</t>
  </si>
  <si>
    <t>BS89</t>
  </si>
  <si>
    <t>BIRTHDAY STAR 1989</t>
  </si>
  <si>
    <t>BS90</t>
  </si>
  <si>
    <t>BIRTHDAY STAR 1990</t>
  </si>
  <si>
    <t>BS91</t>
  </si>
  <si>
    <t>BIRTHDAY STAR 1991</t>
  </si>
  <si>
    <t>BS92</t>
  </si>
  <si>
    <t>BIRTHDAY STAR 1992</t>
  </si>
  <si>
    <t>BS93</t>
  </si>
  <si>
    <t>BIRTHDAY STAR 1993</t>
  </si>
  <si>
    <t>BS94</t>
  </si>
  <si>
    <t>BIRTHDAY STAR 1994</t>
  </si>
  <si>
    <t>BS95</t>
  </si>
  <si>
    <t>BIRTHDAY STAR 1995</t>
  </si>
  <si>
    <t>BS96</t>
  </si>
  <si>
    <t>BIRTHDAY STAR 1996</t>
  </si>
  <si>
    <t>BS97</t>
  </si>
  <si>
    <t>BIRTHDAY STAR 1997</t>
  </si>
  <si>
    <t>BS98</t>
  </si>
  <si>
    <t>BIRTHDAY STAR 1998</t>
  </si>
  <si>
    <t>BS99</t>
  </si>
  <si>
    <t>BIRTHDAY STAR 1999</t>
  </si>
  <si>
    <t>BS00</t>
  </si>
  <si>
    <t>BIRTHDAY STAR 2000</t>
  </si>
  <si>
    <t>BS01</t>
  </si>
  <si>
    <t>BIRTHDAY STAR 2001</t>
  </si>
  <si>
    <t>BS02</t>
  </si>
  <si>
    <t>BIRTHDAY STAR 2002</t>
  </si>
  <si>
    <t>BSFS</t>
  </si>
  <si>
    <t>Birthday Star CD Set Up</t>
  </si>
  <si>
    <t>BSD</t>
  </si>
  <si>
    <t>BIRTHDAY STAR DVDS</t>
  </si>
  <si>
    <t>BFSRB</t>
  </si>
  <si>
    <t>Black Floor Spinner Rotating Base</t>
  </si>
  <si>
    <t>BMCD</t>
  </si>
  <si>
    <t>BLACK MESH COUNTER DISPLAY</t>
  </si>
  <si>
    <t>THROWM04</t>
  </si>
  <si>
    <t>Blanket (Jacquard) - William Morris (Grey 125x150)</t>
  </si>
  <si>
    <t>THROWM01</t>
  </si>
  <si>
    <t>Blanket (Jacquard) - William Morris (Willow Blue 125x150)</t>
  </si>
  <si>
    <t>THROWM02</t>
  </si>
  <si>
    <t>Blanket (Jacquard) - William Morris (Willow Ochre 125x150)</t>
  </si>
  <si>
    <t>BLOCK LIGHT - BLACK - ECLIPSE</t>
  </si>
  <si>
    <t>BLOCK LIGHT - BLUE - XRAY</t>
  </si>
  <si>
    <t>BLOCK LIGHT - GREEN - AURORA</t>
  </si>
  <si>
    <t>BLOCK LIGHT - PURPLE - UV</t>
  </si>
  <si>
    <t>BLOCK LIGHT - RED - NEON</t>
  </si>
  <si>
    <t>BLOCK LIGHT - WHITE - SUBZERO</t>
  </si>
  <si>
    <t>BH007</t>
  </si>
  <si>
    <t>Bluhen - Black Floral Hair Wrap</t>
  </si>
  <si>
    <t>BH015</t>
  </si>
  <si>
    <t>Bluhen - Black Floral Head Band</t>
  </si>
  <si>
    <t>BH011</t>
  </si>
  <si>
    <t>Bluhen - Black Floral Microfiber Scrunchie</t>
  </si>
  <si>
    <t>BH023</t>
  </si>
  <si>
    <t>Bluhen - Black Floral Satin Eyemask and Scrunchie</t>
  </si>
  <si>
    <t>BH031</t>
  </si>
  <si>
    <t>Bluhen - Black Floral Satin Pillow Case</t>
  </si>
  <si>
    <t>BH027</t>
  </si>
  <si>
    <t>Bluhen - Black Floral Satin Sleep Bonnet</t>
  </si>
  <si>
    <t>BH003</t>
  </si>
  <si>
    <t>Bluhen - Black Floral Shower Cap</t>
  </si>
  <si>
    <t>BH035</t>
  </si>
  <si>
    <t>Bluhen - Black Floral Slippers</t>
  </si>
  <si>
    <t>BH018</t>
  </si>
  <si>
    <t>Bluhen - Derma Roller</t>
  </si>
  <si>
    <t>BH056</t>
  </si>
  <si>
    <t>Bluhen - Hampton Stripe Hair Wrap</t>
  </si>
  <si>
    <t>SPC01</t>
  </si>
  <si>
    <t>Bluhen - Hampton Stripe Satin Pillow Case</t>
  </si>
  <si>
    <t>BH017</t>
  </si>
  <si>
    <t>Bluhen - Ice Roller</t>
  </si>
  <si>
    <t>BH019</t>
  </si>
  <si>
    <t>Bluhen - Jade Roller</t>
  </si>
  <si>
    <t>BH057</t>
  </si>
  <si>
    <t>Bluhen - Kilburn Hair Wrap</t>
  </si>
  <si>
    <t>SPC02</t>
  </si>
  <si>
    <t>Bluhen - Kilburn Satin Pillow Case</t>
  </si>
  <si>
    <t>BH024</t>
  </si>
  <si>
    <t>Bluhen - Lavender Scented Satin Eyemask Peonie Rose</t>
  </si>
  <si>
    <t>BH005</t>
  </si>
  <si>
    <t>Bluhen - Leopard Print Hair Wrap</t>
  </si>
  <si>
    <t>BH013</t>
  </si>
  <si>
    <t>Bluhen - Leopard Print Head Band</t>
  </si>
  <si>
    <t>BH009</t>
  </si>
  <si>
    <t>Bluhen - Leopard Print Microfiber Scrunchie</t>
  </si>
  <si>
    <t>BH021</t>
  </si>
  <si>
    <t>Bluhen - Leopard Print Satin Eyemask and Scrunchie</t>
  </si>
  <si>
    <t>BH029</t>
  </si>
  <si>
    <t>Bluhen - Leopard Print Satin Pillow Case</t>
  </si>
  <si>
    <t>BH025</t>
  </si>
  <si>
    <t>Bluhen - Leopard Print Satin Sleep Bonnet</t>
  </si>
  <si>
    <t>BH001</t>
  </si>
  <si>
    <t>Bluhen - Leopard Print Shower Cap</t>
  </si>
  <si>
    <t>BH033</t>
  </si>
  <si>
    <t>Bluhen - Leopard Print Slippers</t>
  </si>
  <si>
    <t>BH008</t>
  </si>
  <si>
    <t>Bluhen - Peonie Rose Hair Wrap</t>
  </si>
  <si>
    <t>BH016</t>
  </si>
  <si>
    <t>Bluhen - Peonie Rose Head Band</t>
  </si>
  <si>
    <t>BH032</t>
  </si>
  <si>
    <t>Bluhen - Peonie Rose Satin Pillow Case</t>
  </si>
  <si>
    <t>BH028</t>
  </si>
  <si>
    <t>Bluhen - Peonie Rose Satin Sleep Bonnet</t>
  </si>
  <si>
    <t>BH004</t>
  </si>
  <si>
    <t>Bluhen - Peonie Rose Shower Cap</t>
  </si>
  <si>
    <t>BH012</t>
  </si>
  <si>
    <t>Bluhen - Peonie Rose Towelling Scrunchie</t>
  </si>
  <si>
    <t>BH006</t>
  </si>
  <si>
    <t>Bluhen - Pink Polka Dot Hair Wrap</t>
  </si>
  <si>
    <t>BH014</t>
  </si>
  <si>
    <t>Bluhen - Pink Polka Dot Head Band</t>
  </si>
  <si>
    <t>BH022</t>
  </si>
  <si>
    <t>Bluhen - Pink Polka Dot Satin Eyemask and Scrunchie</t>
  </si>
  <si>
    <t>BH030</t>
  </si>
  <si>
    <t>Bluhen - Pink Polka Dot Satin Pillow Case</t>
  </si>
  <si>
    <t>BH026</t>
  </si>
  <si>
    <t>Bluhen - Pink Polka Dot Satin Sleep Bonnet</t>
  </si>
  <si>
    <t>BH002</t>
  </si>
  <si>
    <t>Bluhen - Pink Polka Dot Shower Cap</t>
  </si>
  <si>
    <t>BH034</t>
  </si>
  <si>
    <t>Bluhen - Pink Polka Dot Slippers</t>
  </si>
  <si>
    <t>BH010</t>
  </si>
  <si>
    <t>Bluhen - Pink Polka Dot Towelling Scrunchie</t>
  </si>
  <si>
    <t>BH020</t>
  </si>
  <si>
    <t>Bluhen - Rose Quartz Roller</t>
  </si>
  <si>
    <t>BHSHSU</t>
  </si>
  <si>
    <t>Bluhen - Shower Hub Set Up</t>
  </si>
  <si>
    <t>BHSCSU</t>
  </si>
  <si>
    <t>Bluhen - Sleep Center Set Up with 10Pct Discount</t>
  </si>
  <si>
    <t>BH047</t>
  </si>
  <si>
    <t>Bluhen 10pc Manicure Set - Black Floral</t>
  </si>
  <si>
    <t>BH048</t>
  </si>
  <si>
    <t>Bluhen 10pc Manicure Set - Peonie Rose</t>
  </si>
  <si>
    <t>BH039</t>
  </si>
  <si>
    <t>Bluhen Bamboo Fan - Black Floral</t>
  </si>
  <si>
    <t>BH41</t>
  </si>
  <si>
    <t>Bluhen Coin Pouch - Black Floral</t>
  </si>
  <si>
    <t>BH44</t>
  </si>
  <si>
    <t>Bluhen Coin Pouch - Peonie Rose</t>
  </si>
  <si>
    <t>BH037</t>
  </si>
  <si>
    <t>Bluhen Cosmetic Bag - Black Floral</t>
  </si>
  <si>
    <t>BH038</t>
  </si>
  <si>
    <t>Bluhen Cosmetics Bag - Peonie Rose</t>
  </si>
  <si>
    <t>BHD</t>
  </si>
  <si>
    <t>Bluhen Display</t>
  </si>
  <si>
    <t>BH045</t>
  </si>
  <si>
    <t>Bluhen Lunch Bag - Black Floral</t>
  </si>
  <si>
    <t>BH046</t>
  </si>
  <si>
    <t>Bluhen Lunch Bag - Peonie Rose</t>
  </si>
  <si>
    <t>BHMDO</t>
  </si>
  <si>
    <t>BLUHEN Mothers Day Offer</t>
  </si>
  <si>
    <t>BH50</t>
  </si>
  <si>
    <t>Bluhen Mug Boxed - Black Floral</t>
  </si>
  <si>
    <t>BH51</t>
  </si>
  <si>
    <t>Bluhen Mug Boxed - Peonie Rose</t>
  </si>
  <si>
    <t>BH55</t>
  </si>
  <si>
    <t>Bluhen Scarf - Black Floral</t>
  </si>
  <si>
    <t>BH042</t>
  </si>
  <si>
    <t>Bluhen Toiletry Bag - Black Floral</t>
  </si>
  <si>
    <t>BH043</t>
  </si>
  <si>
    <t>Bluhen Toiletry Bag - Peonie Rose</t>
  </si>
  <si>
    <t>BH49A</t>
  </si>
  <si>
    <t>Bluhen Umbrella - Black Floral ( Auto)</t>
  </si>
  <si>
    <t>BH46A</t>
  </si>
  <si>
    <t>Bluhen Umbrella - Peonie Rose ( Auto)</t>
  </si>
  <si>
    <t>WFM031</t>
  </si>
  <si>
    <t>Bondi Beach Driving Kangaroo - Australian Made Wooden Fridge Magnet</t>
  </si>
  <si>
    <t>WFM028</t>
  </si>
  <si>
    <t>Bondi Beach Driving Koala - Australian Made Wooden Fridge Magnet</t>
  </si>
  <si>
    <t>WFM029</t>
  </si>
  <si>
    <t>Bondi Beach Kangaroo - Australian Made Wooden Fridge Magnet</t>
  </si>
  <si>
    <t>WFM026</t>
  </si>
  <si>
    <t>Bondi Beach Koala - Australian Made Wooden Fridge Magnet</t>
  </si>
  <si>
    <t>WFM030</t>
  </si>
  <si>
    <t>Bondi Beach Lifeguard Kangaroo - Australian Made Wooden Fridge Magnet</t>
  </si>
  <si>
    <t>WFM027</t>
  </si>
  <si>
    <t>Bondi Beach Lifeguard Koala - Australian Made Wooden Fridge Magnet</t>
  </si>
  <si>
    <t>WFM025</t>
  </si>
  <si>
    <t>Bondi Beach Surf Board - Australian Made Wooden Fridge Magnet</t>
  </si>
  <si>
    <t>GR170007</t>
  </si>
  <si>
    <t>BONE CHINA MUG - COLONEL MUSTARD</t>
  </si>
  <si>
    <t>GR170008</t>
  </si>
  <si>
    <t>BONE CHINA MUG - MISS SCARLETT</t>
  </si>
  <si>
    <t>GR170009</t>
  </si>
  <si>
    <t>BONE CHINA MUG - MRS PEACOCK</t>
  </si>
  <si>
    <t>GR900010</t>
  </si>
  <si>
    <t>BONE CHINA MUG - SENT WITH LOVE</t>
  </si>
  <si>
    <t>BOOK FAN - BLUE</t>
  </si>
  <si>
    <t>BOOK FAN - GREEN</t>
  </si>
  <si>
    <t>BOOK FAN - PURPLE</t>
  </si>
  <si>
    <t>BOOK FAN - RED</t>
  </si>
  <si>
    <t>CDU348</t>
  </si>
  <si>
    <t>BOOK FANS CDU</t>
  </si>
  <si>
    <t>001BB</t>
  </si>
  <si>
    <t>Book Keepers Bookmarks</t>
  </si>
  <si>
    <t>Book Keepers Bookmarks - Letter A</t>
  </si>
  <si>
    <t>Book Keepers Bookmarks - Letter B</t>
  </si>
  <si>
    <t>Book Keepers Bookmarks - Letter C</t>
  </si>
  <si>
    <t>Book Keepers Bookmarks - Letter D</t>
  </si>
  <si>
    <t>Book Keepers Bookmarks - Letter E</t>
  </si>
  <si>
    <t>Book Keepers Bookmarks - Letter F</t>
  </si>
  <si>
    <t>Book Keepers Bookmarks - Letter G</t>
  </si>
  <si>
    <t>Book Keepers Bookmarks - Letter H</t>
  </si>
  <si>
    <t>Book Keepers Bookmarks - Letter I</t>
  </si>
  <si>
    <t>Book Keepers Bookmarks - Letter J</t>
  </si>
  <si>
    <t>Book Keepers Bookmarks - Letter K</t>
  </si>
  <si>
    <t>Book Keepers Bookmarks - Letter L</t>
  </si>
  <si>
    <t>Book Keepers Bookmarks - Letter M</t>
  </si>
  <si>
    <t>Book Keepers Bookmarks - Letter N</t>
  </si>
  <si>
    <t>Book Keepers Bookmarks - Letter O</t>
  </si>
  <si>
    <t>Book Keepers Bookmarks - Letter P</t>
  </si>
  <si>
    <t>Book Keepers Bookmarks - Letter R</t>
  </si>
  <si>
    <t>Book Keepers Bookmarks - Letter S</t>
  </si>
  <si>
    <t>Book Keepers Bookmarks - Letter T</t>
  </si>
  <si>
    <t>Book Keepers Bookmarks - Letter U</t>
  </si>
  <si>
    <t>Book Keepers Bookmarks - Letter V</t>
  </si>
  <si>
    <t>Book Keepers Bookmarks - Letter W</t>
  </si>
  <si>
    <t>Book Keepers Bookmarks - Letter Y</t>
  </si>
  <si>
    <t>Book Keepers Bookmarks - Letter Z</t>
  </si>
  <si>
    <t>92600P</t>
  </si>
  <si>
    <t>Book Keepers Bookmarks Starter Pack 33 Bookmarks</t>
  </si>
  <si>
    <t>BLB011</t>
  </si>
  <si>
    <t>Book Lover Bookmarks - Book by its Movie</t>
  </si>
  <si>
    <t>BLB003</t>
  </si>
  <si>
    <t>Book Lover Bookmarks - Book Hangover</t>
  </si>
  <si>
    <t>BLB009</t>
  </si>
  <si>
    <t>Book Lover Bookmarks - Books Need Me Too</t>
  </si>
  <si>
    <t>BLB005</t>
  </si>
  <si>
    <t>Book Lover Bookmarks - I Like To Party</t>
  </si>
  <si>
    <t>BLB002</t>
  </si>
  <si>
    <t>Book Lover Bookmarks - I Love Books</t>
  </si>
  <si>
    <t>BLB001</t>
  </si>
  <si>
    <t>Book Lover Bookmarks - Its Not Hoarding</t>
  </si>
  <si>
    <t>BLB004</t>
  </si>
  <si>
    <t>Book Lover Bookmarks - Just One More Chapter</t>
  </si>
  <si>
    <t>BLB007</t>
  </si>
  <si>
    <t>Book Lover Bookmarks - Man of My Dreams</t>
  </si>
  <si>
    <t>BLB012</t>
  </si>
  <si>
    <t>Book Lover Bookmarks - My Personality</t>
  </si>
  <si>
    <t>BLB008</t>
  </si>
  <si>
    <t>Book Lover Bookmarks - Read Books, Drink Tea</t>
  </si>
  <si>
    <t>BLB010</t>
  </si>
  <si>
    <t>Book Lover Bookmarks - Romantic Walks</t>
  </si>
  <si>
    <t>BLB006</t>
  </si>
  <si>
    <t>Book Lover Bookmarks - Too Many Books</t>
  </si>
  <si>
    <t>BLBMSP</t>
  </si>
  <si>
    <t>Book Lovers Bookmark Set Up 72 units Do not use</t>
  </si>
  <si>
    <t>SWC008</t>
  </si>
  <si>
    <t>Book Lovers Calendar</t>
  </si>
  <si>
    <t>SPGCBL</t>
  </si>
  <si>
    <t>Book Lovers Set Up Australian Made Wooden Greeting Cards 36pcs</t>
  </si>
  <si>
    <t>BOOK NOTES - FOODIE</t>
  </si>
  <si>
    <t>BOOK NOTES - GARDENING</t>
  </si>
  <si>
    <t>BOOK NOTES - MUSIC</t>
  </si>
  <si>
    <t>BOOK NOTES - SHOPPING</t>
  </si>
  <si>
    <t>BOOK NOTES - STUDY</t>
  </si>
  <si>
    <t>BOOK NOTES - TRAVEL</t>
  </si>
  <si>
    <t>BKO002</t>
  </si>
  <si>
    <t>Book Ogre Blue</t>
  </si>
  <si>
    <t>BKO003</t>
  </si>
  <si>
    <t>Book Ogre Green</t>
  </si>
  <si>
    <t>BOOK TAILS BOOKMARK - BEAR</t>
  </si>
  <si>
    <t>BOOK TAILS BOOKMARK - COW</t>
  </si>
  <si>
    <t>BOOK TAILS BOOKMARK - DOG</t>
  </si>
  <si>
    <t>BOOK TAILS BOOKMARK - JAGUAR</t>
  </si>
  <si>
    <t>BOOK TAILS BOOKMARK - PIG</t>
  </si>
  <si>
    <t>BOOK TAILS BOOKMARK - SHEEP</t>
  </si>
  <si>
    <t>CDU968</t>
  </si>
  <si>
    <t>BOOK TAILS DISPLAY STAND</t>
  </si>
  <si>
    <t>SP968</t>
  </si>
  <si>
    <t>Book Tails Set Up 36 units</t>
  </si>
  <si>
    <t>BOOKAROO A5 NOTEBOOK SET UP</t>
  </si>
  <si>
    <t>BOOKAROO BOOK &amp; STUFF POUCH SET UP 3 PCS</t>
  </si>
  <si>
    <t>BOOKAROO BOOKS &amp; STUFF POUCH</t>
  </si>
  <si>
    <t>BOOKAROO BOOKS &amp; STUFF POUCH - PALE PINK</t>
  </si>
  <si>
    <t>BOOKAROO DISPLAY - 15 CM</t>
  </si>
  <si>
    <t>BOOKAROO GLASSES CASE - PURPLE</t>
  </si>
  <si>
    <t>BOOKAROO GLASSES CASE - TURQUOISE</t>
  </si>
  <si>
    <t>CDU796</t>
  </si>
  <si>
    <t>BOOKAROO GRAPHITE PENCILS DISPLAY CDU</t>
  </si>
  <si>
    <t>BOOKAROO HANDY SPECS - BLACK</t>
  </si>
  <si>
    <t>BOOKAROO HANDY SPECS - BROWN</t>
  </si>
  <si>
    <t>BOOKAROO HANDY SPECS - GOLD</t>
  </si>
  <si>
    <t>BOOKAROO HANDY SPECS - RED</t>
  </si>
  <si>
    <t>CDU406</t>
  </si>
  <si>
    <t>BOOKAROO HANDY SPECS CDU</t>
  </si>
  <si>
    <t>SP406</t>
  </si>
  <si>
    <t>BOOKAROO HANDY SPECS SET UP 11 PCS</t>
  </si>
  <si>
    <t>BOOKAROO NOTEBOOK ( A5) - CREAM</t>
  </si>
  <si>
    <t>BOOKAROO NOTEBOOK ( A5) - NAVY</t>
  </si>
  <si>
    <t>BOOKAROO NOTEBOOK ( A5) - PINK</t>
  </si>
  <si>
    <t>BOOKAROO NOTEBOOK TIDY - CHARCOAL</t>
  </si>
  <si>
    <t>BOOKAROO NOTEBOOK TIDY - PURPLE</t>
  </si>
  <si>
    <t>BOOKAROO NOTEBOOK TIDY - RED</t>
  </si>
  <si>
    <t>BOOKAROO NOTEBOOK TIDY - ROSE GOLD</t>
  </si>
  <si>
    <t>BOOKAROO NOTEBOOK TIDY - TURQUOISE</t>
  </si>
  <si>
    <t>CDU409</t>
  </si>
  <si>
    <t>BOOKAROO NOTEBOOK TIDY CDU</t>
  </si>
  <si>
    <t>SP409</t>
  </si>
  <si>
    <t>BOOKAROO NOTEBOOK TIDY SET UP 12 units</t>
  </si>
  <si>
    <t>BOOKAROO PEN - FOREST GREEN</t>
  </si>
  <si>
    <t>BOOKAROO PEN - LILAC</t>
  </si>
  <si>
    <t>BOOKAROO PEN POUCH - FERN</t>
  </si>
  <si>
    <t>BOOKAROO PEN POUCH - GOLD</t>
  </si>
  <si>
    <t>BOOKAROO PEN POUCH - MINT</t>
  </si>
  <si>
    <t>BOOKAROO PEN POUCH - PINK</t>
  </si>
  <si>
    <t>BOOKAROO PEN POUCH - PURPLE</t>
  </si>
  <si>
    <t>BOOKAROO PEN POUCH - ROSE GOLD</t>
  </si>
  <si>
    <t>BOOKAROO PEN POUCH - TURQUOISE</t>
  </si>
  <si>
    <t>BOOKAROO PEN SET UP</t>
  </si>
  <si>
    <t>BOOKAROO PHONE HOLDER - BROWN</t>
  </si>
  <si>
    <t>BOOKAROO PHONE HOLDER - CHARCOAL</t>
  </si>
  <si>
    <t>BOOKAROO PHONE HOLDER - CREAM</t>
  </si>
  <si>
    <t>BOOKAROO PHONE HOLDER - DARK RED</t>
  </si>
  <si>
    <t>BOOKAROO PHONE HOLDER - TEAL</t>
  </si>
  <si>
    <t>SP538</t>
  </si>
  <si>
    <t>BOOKAROO PHONE HOLDER SET UP 15 units</t>
  </si>
  <si>
    <t>BOOKAROO PHONE POCKET - ROSE GOLD</t>
  </si>
  <si>
    <t>BOOKAROO PHONE POCKET - TURQUOISE</t>
  </si>
  <si>
    <t>BOOKAROO POCKET NOTEBOOK ( A6) - FOREST GREEN</t>
  </si>
  <si>
    <t>BOOKAROO Shelf Display 40cm</t>
  </si>
  <si>
    <t>BOOKAROO Shelf Display Insert</t>
  </si>
  <si>
    <t>BOOKAROO TOOL BELT - CHARCOAL</t>
  </si>
  <si>
    <t>BOOKAROO TOOL BELT - PURPLE</t>
  </si>
  <si>
    <t>BOOKAROO TOOL BELT - RED</t>
  </si>
  <si>
    <t>BOOKAROO TOOL BELT - TURQUOISE</t>
  </si>
  <si>
    <t>CDU411</t>
  </si>
  <si>
    <t>BOOKAROO TOOL BELT CDU</t>
  </si>
  <si>
    <t>SP411</t>
  </si>
  <si>
    <t>BOOKAROO TOOL BELT SET UP 18 PCS</t>
  </si>
  <si>
    <t>BOOKAROO TRAVEL TECH TIDY - COPPER</t>
  </si>
  <si>
    <t>BOOKAROO TRAVEL TECH TIDY - MINT</t>
  </si>
  <si>
    <t>BOOKAROO TRAVEL TECH TIDY - PINK</t>
  </si>
  <si>
    <t>RFS10501</t>
  </si>
  <si>
    <t>BOOKEND GIFT SET - VINTAGE MAP</t>
  </si>
  <si>
    <t>CDU92600</t>
  </si>
  <si>
    <t>BOOKKEEPER BOOKMARK 2021 DISPLAY</t>
  </si>
  <si>
    <t>BLSP</t>
  </si>
  <si>
    <t>Booklovers Bookmarks Starter Pack</t>
  </si>
  <si>
    <t>BLCAU</t>
  </si>
  <si>
    <t>BOOKLOVERS CORNER PACK AUSTRALIA</t>
  </si>
  <si>
    <t>BLD</t>
  </si>
  <si>
    <t>BOOKLOVERS DISPLAY</t>
  </si>
  <si>
    <t>BLD2</t>
  </si>
  <si>
    <t>BOOKLOVERS DISPLAY 2</t>
  </si>
  <si>
    <t>ABL111</t>
  </si>
  <si>
    <t>Bookmark Book Light</t>
  </si>
  <si>
    <t>BMWDU</t>
  </si>
  <si>
    <t>Bookmarks Display</t>
  </si>
  <si>
    <t>CS44</t>
  </si>
  <si>
    <t>Bookmarks Sleeve</t>
  </si>
  <si>
    <t>WO060</t>
  </si>
  <si>
    <t>Boomerang - Australian Made Wooden Ornament</t>
  </si>
  <si>
    <t>BPBB01-2</t>
  </si>
  <si>
    <t>BOTANICAL PUZZLE BAND BOOKS IN CDU - CROSSWORD, SUDOKU</t>
  </si>
  <si>
    <t>BPBB03-4</t>
  </si>
  <si>
    <t>BOTANICAL PUZZLE BAND BOOKS IN CDU - WORD SEARCH</t>
  </si>
  <si>
    <t>BBTA1</t>
  </si>
  <si>
    <t>BOTTLE BAG- WINE MAKES MUMMY CLEVER</t>
  </si>
  <si>
    <t>WFM008</t>
  </si>
  <si>
    <t>Bottle Brush - Australian Made Wooden Fridge Magnet</t>
  </si>
  <si>
    <t>WK008</t>
  </si>
  <si>
    <t>Bottle Brush - Australian Made Wooden Key Ring</t>
  </si>
  <si>
    <t>Bottle Opener - 16/A Bottles</t>
  </si>
  <si>
    <t>Bottle Stopper - Corkscrew S/3</t>
  </si>
  <si>
    <t>Box160</t>
  </si>
  <si>
    <t>Box 160*50*5</t>
  </si>
  <si>
    <t>Box4545</t>
  </si>
  <si>
    <t>Box 45cm * 45cm * 30cm</t>
  </si>
  <si>
    <t>Box6040</t>
  </si>
  <si>
    <t>Box 60cm * 40cm * 40cm</t>
  </si>
  <si>
    <t>Box6860</t>
  </si>
  <si>
    <t>Box 68cm * 60cm 8 60cm</t>
  </si>
  <si>
    <t>MUG6017</t>
  </si>
  <si>
    <t>BOXED MUG - HOORAY</t>
  </si>
  <si>
    <t>MUG7093</t>
  </si>
  <si>
    <t>BOXED MUG - I'M THE KIND OF DIRTY</t>
  </si>
  <si>
    <t>MUGPMU5</t>
  </si>
  <si>
    <t>BOXED MUG - PICK ME UP</t>
  </si>
  <si>
    <t>MUGPMU3</t>
  </si>
  <si>
    <t>BOXED MUG - PICK ME UP -WORK</t>
  </si>
  <si>
    <t>MUG7154</t>
  </si>
  <si>
    <t>BOXED MUG -START THE DAY WITH A SMILE</t>
  </si>
  <si>
    <t>MUGBTA04</t>
  </si>
  <si>
    <t>BOXED MUG- THE SHED</t>
  </si>
  <si>
    <t>WO062</t>
  </si>
  <si>
    <t>Bridge - Australian Made Wooden Ornament</t>
  </si>
  <si>
    <t>BRILLIANT READING REST AUBERGINE</t>
  </si>
  <si>
    <t>BRILLIANT READING REST BURNT ORANGE</t>
  </si>
  <si>
    <t>BRILLIANT READING REST BURNT SCARLET</t>
  </si>
  <si>
    <t>CDU96000</t>
  </si>
  <si>
    <t>BRILLIANT READING REST DISPLAY</t>
  </si>
  <si>
    <t>BRILLIANT READING REST DUCK EGG BLUE</t>
  </si>
  <si>
    <t>BRILLIANT READING REST LIME</t>
  </si>
  <si>
    <t>BTB</t>
  </si>
  <si>
    <t>BUMP TO BIRTHDAY</t>
  </si>
  <si>
    <t>CS43</t>
  </si>
  <si>
    <t>Butterfly House Sleeve</t>
  </si>
  <si>
    <t>C5WKE</t>
  </si>
  <si>
    <t>C5 White Kraft Envelope</t>
  </si>
  <si>
    <t>C6BKE</t>
  </si>
  <si>
    <t>C6 Brown Kraft Envelope</t>
  </si>
  <si>
    <t>MUGCAD01</t>
  </si>
  <si>
    <t>CADBURY CHUNK MUG</t>
  </si>
  <si>
    <t>WFM012</t>
  </si>
  <si>
    <t>Canberra Bell - Australian Made Wooden Fridge Magnet</t>
  </si>
  <si>
    <t>WK012</t>
  </si>
  <si>
    <t>Canberra Bell - Australian Made Wooden Key Ring</t>
  </si>
  <si>
    <t>CM004</t>
  </si>
  <si>
    <t>Candle Matches Black/Black</t>
  </si>
  <si>
    <t>CM002</t>
  </si>
  <si>
    <t>Candle Matches Black/Blue</t>
  </si>
  <si>
    <t>CM001</t>
  </si>
  <si>
    <t>Candle Matches Black/Pink</t>
  </si>
  <si>
    <t>CM003</t>
  </si>
  <si>
    <t>Candle Matches Black/White</t>
  </si>
  <si>
    <t>CM006</t>
  </si>
  <si>
    <t>Candle Matches LOVE</t>
  </si>
  <si>
    <t>CM005</t>
  </si>
  <si>
    <t>Candle Matches NA</t>
  </si>
  <si>
    <t>CARDIH02</t>
  </si>
  <si>
    <t>Card Game Pack IHB (A Lesson In Life &amp; Death)</t>
  </si>
  <si>
    <t>CARDIH03</t>
  </si>
  <si>
    <t>Card Game Pack IHB (Fake News: World History)</t>
  </si>
  <si>
    <t>RFS10934</t>
  </si>
  <si>
    <t>CARD GAMES SET IN A BOX - HARLEQUIN</t>
  </si>
  <si>
    <t>CARDCR01</t>
  </si>
  <si>
    <t>Card Pack: Charlotte Reed (MTTBWY Wisdom Cards)</t>
  </si>
  <si>
    <t>CARDIH01</t>
  </si>
  <si>
    <t>Card Pack: IHB (Date Night Cards)</t>
  </si>
  <si>
    <t>CS1</t>
  </si>
  <si>
    <t>Card Sleeve</t>
  </si>
  <si>
    <t>CDB01</t>
  </si>
  <si>
    <t>Cardboard Box 30 x 25 x 5</t>
  </si>
  <si>
    <t>CH006</t>
  </si>
  <si>
    <t>Cardholder - Tropical Koala</t>
  </si>
  <si>
    <t>WFM004</t>
  </si>
  <si>
    <t>Carnation - Australian Made Wooden Fridge Magnet</t>
  </si>
  <si>
    <t>WK004</t>
  </si>
  <si>
    <t>Carnation - Australian Made Wooden Key Ring</t>
  </si>
  <si>
    <t>CLR</t>
  </si>
  <si>
    <t>Carton Live Racking</t>
  </si>
  <si>
    <t>WFM013</t>
  </si>
  <si>
    <t>Cassowary - Australian Made Wooden Fridge Magnet</t>
  </si>
  <si>
    <t>WK013</t>
  </si>
  <si>
    <t>Cassowary - Australian Made Wooden Key Ring</t>
  </si>
  <si>
    <t>WO036</t>
  </si>
  <si>
    <t>Cassowary - Australian Made Wooden Ornament</t>
  </si>
  <si>
    <t>CDTN</t>
  </si>
  <si>
    <t>CD/DVD TOWER NEW</t>
  </si>
  <si>
    <t>A30</t>
  </si>
  <si>
    <t>CDCARD 1930</t>
  </si>
  <si>
    <t>A31</t>
  </si>
  <si>
    <t>CDCARD 1931</t>
  </si>
  <si>
    <t>A32</t>
  </si>
  <si>
    <t>CDCARD 1932</t>
  </si>
  <si>
    <t>A33</t>
  </si>
  <si>
    <t>CDCARD 1933</t>
  </si>
  <si>
    <t>A34</t>
  </si>
  <si>
    <t>CDCARD 1934</t>
  </si>
  <si>
    <t>A35</t>
  </si>
  <si>
    <t>CDCARD 1935</t>
  </si>
  <si>
    <t>A36</t>
  </si>
  <si>
    <t>CDCARD 1936</t>
  </si>
  <si>
    <t>A37</t>
  </si>
  <si>
    <t>CDCARD 1937</t>
  </si>
  <si>
    <t>A38</t>
  </si>
  <si>
    <t>CDCARD 1938</t>
  </si>
  <si>
    <t>A39</t>
  </si>
  <si>
    <t>CDCARD 1939</t>
  </si>
  <si>
    <t>A40</t>
  </si>
  <si>
    <t>CDCARD 1940</t>
  </si>
  <si>
    <t>A41</t>
  </si>
  <si>
    <t>CDCARD 1941</t>
  </si>
  <si>
    <t>A42</t>
  </si>
  <si>
    <t>CDCARD 1942</t>
  </si>
  <si>
    <t>A43</t>
  </si>
  <si>
    <t>CDCARD 1943</t>
  </si>
  <si>
    <t>A44</t>
  </si>
  <si>
    <t>CDCARD 1944</t>
  </si>
  <si>
    <t>A45</t>
  </si>
  <si>
    <t>CDCARD 1945</t>
  </si>
  <si>
    <t>A46</t>
  </si>
  <si>
    <t>CDCARD 1946</t>
  </si>
  <si>
    <t>A47</t>
  </si>
  <si>
    <t>CDCARD 1947</t>
  </si>
  <si>
    <t>A48</t>
  </si>
  <si>
    <t>CDCARD 1948</t>
  </si>
  <si>
    <t>A49</t>
  </si>
  <si>
    <t>CDCARD 1949</t>
  </si>
  <si>
    <t>A50</t>
  </si>
  <si>
    <t>CDCARD 1950</t>
  </si>
  <si>
    <t>A51</t>
  </si>
  <si>
    <t>CDCARD 1951</t>
  </si>
  <si>
    <t>A52</t>
  </si>
  <si>
    <t>CDCARD 1952</t>
  </si>
  <si>
    <t>A53</t>
  </si>
  <si>
    <t>CDCARD 1953</t>
  </si>
  <si>
    <t>A54</t>
  </si>
  <si>
    <t>CDCARD 1954</t>
  </si>
  <si>
    <t>A55</t>
  </si>
  <si>
    <t>CDCARD 1955</t>
  </si>
  <si>
    <t>A56</t>
  </si>
  <si>
    <t>CDCARD 1956</t>
  </si>
  <si>
    <t>A57</t>
  </si>
  <si>
    <t>CDCARD 1957</t>
  </si>
  <si>
    <t>A58</t>
  </si>
  <si>
    <t>CDCARD 1958</t>
  </si>
  <si>
    <t>A59</t>
  </si>
  <si>
    <t>CDCARD 1959</t>
  </si>
  <si>
    <t>A60</t>
  </si>
  <si>
    <t>CDCARD 1960</t>
  </si>
  <si>
    <t>A61</t>
  </si>
  <si>
    <t>CDCARD 1961</t>
  </si>
  <si>
    <t>A62</t>
  </si>
  <si>
    <t>CDCARD 1962</t>
  </si>
  <si>
    <t>A63</t>
  </si>
  <si>
    <t>CDCARD 1963</t>
  </si>
  <si>
    <t>A64</t>
  </si>
  <si>
    <t>CDCARD 1964</t>
  </si>
  <si>
    <t>A65</t>
  </si>
  <si>
    <t>CDCARD 1965</t>
  </si>
  <si>
    <t>A66</t>
  </si>
  <si>
    <t>CDCARD 1966</t>
  </si>
  <si>
    <t>A67</t>
  </si>
  <si>
    <t>CDCARD 1967</t>
  </si>
  <si>
    <t>A68</t>
  </si>
  <si>
    <t>CDCARD 1968</t>
  </si>
  <si>
    <t>A69</t>
  </si>
  <si>
    <t>CDCARD 1969</t>
  </si>
  <si>
    <t>A70</t>
  </si>
  <si>
    <t>CDCARD 1970</t>
  </si>
  <si>
    <t>A71</t>
  </si>
  <si>
    <t>CDCARD 1971</t>
  </si>
  <si>
    <t>A72</t>
  </si>
  <si>
    <t>CDCARD 1972</t>
  </si>
  <si>
    <t>A73</t>
  </si>
  <si>
    <t>CDCARD 1973</t>
  </si>
  <si>
    <t>A74</t>
  </si>
  <si>
    <t>CDCARD 1974</t>
  </si>
  <si>
    <t>A75</t>
  </si>
  <si>
    <t>CDCARD 1975</t>
  </si>
  <si>
    <t>A76</t>
  </si>
  <si>
    <t>CDCARD 1976</t>
  </si>
  <si>
    <t>A77</t>
  </si>
  <si>
    <t>CDCARD 1977</t>
  </si>
  <si>
    <t>A78</t>
  </si>
  <si>
    <t>CDCARD 1978</t>
  </si>
  <si>
    <t>A79</t>
  </si>
  <si>
    <t>CDCARD 1979</t>
  </si>
  <si>
    <t>A80</t>
  </si>
  <si>
    <t>CDCARD 1980</t>
  </si>
  <si>
    <t>A81</t>
  </si>
  <si>
    <t>CDCARD 1981</t>
  </si>
  <si>
    <t>A82</t>
  </si>
  <si>
    <t>CDCARD 1982</t>
  </si>
  <si>
    <t>A83</t>
  </si>
  <si>
    <t>CDCARD 1983</t>
  </si>
  <si>
    <t>A84</t>
  </si>
  <si>
    <t>CDCARD 1984</t>
  </si>
  <si>
    <t>A85</t>
  </si>
  <si>
    <t>CDCARD 1985</t>
  </si>
  <si>
    <t>A86</t>
  </si>
  <si>
    <t>CDCARD 1986</t>
  </si>
  <si>
    <t>A87</t>
  </si>
  <si>
    <t>CDCARD 1987</t>
  </si>
  <si>
    <t>A88</t>
  </si>
  <si>
    <t>CDCARD 1988</t>
  </si>
  <si>
    <t>A89</t>
  </si>
  <si>
    <t>CDCARD 1989</t>
  </si>
  <si>
    <t>A90</t>
  </si>
  <si>
    <t>CDCARD 1990</t>
  </si>
  <si>
    <t>A91</t>
  </si>
  <si>
    <t>CDCARD 1991</t>
  </si>
  <si>
    <t>A92</t>
  </si>
  <si>
    <t>CDCARD 1992</t>
  </si>
  <si>
    <t>A93</t>
  </si>
  <si>
    <t>CDCARD 1993</t>
  </si>
  <si>
    <t>A94</t>
  </si>
  <si>
    <t>CDCARD 1994</t>
  </si>
  <si>
    <t>A95</t>
  </si>
  <si>
    <t>CDCARD 1995</t>
  </si>
  <si>
    <t>A96</t>
  </si>
  <si>
    <t>CDCARD 1996</t>
  </si>
  <si>
    <t>A97</t>
  </si>
  <si>
    <t>CDCARD 1997</t>
  </si>
  <si>
    <t>A98</t>
  </si>
  <si>
    <t>CDCARD 1998</t>
  </si>
  <si>
    <t>A99</t>
  </si>
  <si>
    <t>CDCARD 1999</t>
  </si>
  <si>
    <t>A00</t>
  </si>
  <si>
    <t>CDCARD 2000</t>
  </si>
  <si>
    <t>A01</t>
  </si>
  <si>
    <t>CDCARD 2001</t>
  </si>
  <si>
    <t>A02</t>
  </si>
  <si>
    <t>CDCARD 2002</t>
  </si>
  <si>
    <t>A03</t>
  </si>
  <si>
    <t>CDCARD 2003</t>
  </si>
  <si>
    <t>A04</t>
  </si>
  <si>
    <t>CDCARD 2004</t>
  </si>
  <si>
    <t>A05</t>
  </si>
  <si>
    <t>CDCARD 2005</t>
  </si>
  <si>
    <t>RFS10814</t>
  </si>
  <si>
    <t>CDU 14 Units A5 ASSORTED ELASTIC LEATHERETTE NOTEBOOKS</t>
  </si>
  <si>
    <t>RFS11213</t>
  </si>
  <si>
    <t>CDU 14 Units A5 LEATHERETTE DOODLE BOOKS</t>
  </si>
  <si>
    <t>RFS10813</t>
  </si>
  <si>
    <t>CDU 28 Units A6 ASSORTED ELASTIC LEATHERETTE NOTEBOOKS</t>
  </si>
  <si>
    <t>RFS11214</t>
  </si>
  <si>
    <t>CDU 28 units A6 LEATHERETTE DOODLE BOOKS IN</t>
  </si>
  <si>
    <t>PACBIH01</t>
  </si>
  <si>
    <t>CDU : Ice House Books (Empty)</t>
  </si>
  <si>
    <t>CDUQ1</t>
  </si>
  <si>
    <t>CDU BTB and Story of Us</t>
  </si>
  <si>
    <t>CDUCCS</t>
  </si>
  <si>
    <t>CDU CUP CAKE SOCKS</t>
  </si>
  <si>
    <t>CDUQ2</t>
  </si>
  <si>
    <t>CDU Timeless</t>
  </si>
  <si>
    <t>CST005</t>
  </si>
  <si>
    <t>Ceramic Coaster Fruit William Morris</t>
  </si>
  <si>
    <t>CST003</t>
  </si>
  <si>
    <t>Ceramic Coaster Jasmine William Morris</t>
  </si>
  <si>
    <t>CST007</t>
  </si>
  <si>
    <t>Ceramic Coaster Larkspur Mint William Morris</t>
  </si>
  <si>
    <t>CST001</t>
  </si>
  <si>
    <t>Ceramic Coaster Marigold William Morris</t>
  </si>
  <si>
    <t>CST006</t>
  </si>
  <si>
    <t>Ceramic Coaster Strawberry Thief William Morris</t>
  </si>
  <si>
    <t>CST009</t>
  </si>
  <si>
    <t>Ceramic Coaster Sweet Briar William Morris</t>
  </si>
  <si>
    <t>CST008</t>
  </si>
  <si>
    <t>Ceramic Coaster Vintage Blume William Morris</t>
  </si>
  <si>
    <t>CST004</t>
  </si>
  <si>
    <t>Ceramic Coaster Wild Tulip William Morris</t>
  </si>
  <si>
    <t>CST002</t>
  </si>
  <si>
    <t>Ceramic Coaster Willow Bough William Morris</t>
  </si>
  <si>
    <t>CCFQ</t>
  </si>
  <si>
    <t>Ceramic Coasters Funny Quotes Set Up 42 pieces w Display</t>
  </si>
  <si>
    <t>RS037</t>
  </si>
  <si>
    <t>Chapter &amp; Sole - Cats, Coffee and Books</t>
  </si>
  <si>
    <t>RS038</t>
  </si>
  <si>
    <t>Chapter &amp; Sole - Dogs and Books</t>
  </si>
  <si>
    <t>RS035</t>
  </si>
  <si>
    <t>Chapter &amp; Sole - It's Not Hoarding If It's Books</t>
  </si>
  <si>
    <t>RS034</t>
  </si>
  <si>
    <t>Chapter &amp; Sole - Just One More Chapter</t>
  </si>
  <si>
    <t>RS039</t>
  </si>
  <si>
    <t>Chapter &amp; Sole - No Such Thing As Too Many Books</t>
  </si>
  <si>
    <t>RS036</t>
  </si>
  <si>
    <t>Chapter &amp; Sole - Read Books Drink Tea Be Happy</t>
  </si>
  <si>
    <t>RS033</t>
  </si>
  <si>
    <t>Chapter &amp; Sole - Reading is Dreaming With Your Eyes Open</t>
  </si>
  <si>
    <t>CSWDU</t>
  </si>
  <si>
    <t>Chapter &amp; Sole Sock Display</t>
  </si>
  <si>
    <t>CSRSSU</t>
  </si>
  <si>
    <t>Chapter &amp; Sole Sock Set Up</t>
  </si>
  <si>
    <t>CF1</t>
  </si>
  <si>
    <t>Charcoal Filter</t>
  </si>
  <si>
    <t>C1</t>
  </si>
  <si>
    <t>Charity Item</t>
  </si>
  <si>
    <t>Cheese Plates - Mahattan, S/4 18cm</t>
  </si>
  <si>
    <t>Cheese Stones - Black, S/6 4cm</t>
  </si>
  <si>
    <t>RFS10459</t>
  </si>
  <si>
    <t>Chess &amp; Backgammon Set Vintage</t>
  </si>
  <si>
    <t>CC01</t>
  </si>
  <si>
    <t>Christmas Crackers for Book Lovers - Box of 9</t>
  </si>
  <si>
    <t>RFS11232</t>
  </si>
  <si>
    <t>CHUNKY PHOTO ALBUM - PETER RABBIT STRIPES</t>
  </si>
  <si>
    <t>SPCD</t>
  </si>
  <si>
    <t>Classic CD Setup</t>
  </si>
  <si>
    <t>DVDSP</t>
  </si>
  <si>
    <t>Classic DVD Setup</t>
  </si>
  <si>
    <t>SM009</t>
  </si>
  <si>
    <t>Classic World Scratch Map</t>
  </si>
  <si>
    <t>CY18</t>
  </si>
  <si>
    <t>CLASSIC YEARS 18TH BIRTHDAY CDCARD</t>
  </si>
  <si>
    <t>CY21</t>
  </si>
  <si>
    <t>CLASSIC YEARS 21ST BIRTHDAY CDCARD</t>
  </si>
  <si>
    <t>CY30</t>
  </si>
  <si>
    <t>CLASSIC YEARS 30TH BIRTHDAY CDCARD</t>
  </si>
  <si>
    <t>CY40</t>
  </si>
  <si>
    <t>CLASSIC YEARS 40TH BIRTHDAY CDCARD</t>
  </si>
  <si>
    <t>CY50</t>
  </si>
  <si>
    <t>CLASSIC YEARS 50TH BIRTHDAY CDCARD</t>
  </si>
  <si>
    <t>CY60</t>
  </si>
  <si>
    <t>CLASSIC YEARS 60TH BIRTHDAY CDCARD</t>
  </si>
  <si>
    <t>CY70</t>
  </si>
  <si>
    <t>CLASSIC YEARS 70TH BIRTHDAY CDCARD</t>
  </si>
  <si>
    <t>SP929</t>
  </si>
  <si>
    <t>Clip On Letter Starter Pack 72 units</t>
  </si>
  <si>
    <t>CDU1400</t>
  </si>
  <si>
    <t>CLIP ON LETTER WIRE SPINNER</t>
  </si>
  <si>
    <t>CLIP STRIP FOR EDB</t>
  </si>
  <si>
    <t>GR170006</t>
  </si>
  <si>
    <t>CLUEDO - ESPRESSO CUP GIFT SET</t>
  </si>
  <si>
    <t>GR170005</t>
  </si>
  <si>
    <t>CLUEDO A5 NOTEBOOK - SECRET NOTES</t>
  </si>
  <si>
    <t>GR170004</t>
  </si>
  <si>
    <t>CLUEDO COASTERS SET OF 6</t>
  </si>
  <si>
    <t>GR170003</t>
  </si>
  <si>
    <t>CLUEDO PLACEMATS SET OF 6</t>
  </si>
  <si>
    <t>CST16582</t>
  </si>
  <si>
    <t>COASTER - A RECENT STUDY FOUND</t>
  </si>
  <si>
    <t>CST011</t>
  </si>
  <si>
    <t>Coaster - Adulting infused with wine and cake</t>
  </si>
  <si>
    <t>CST19706</t>
  </si>
  <si>
    <t>COASTER - BATTLE BODY</t>
  </si>
  <si>
    <t>CST8531</t>
  </si>
  <si>
    <t>COASTER - BEER, ITS CHEAPER</t>
  </si>
  <si>
    <t>CST012</t>
  </si>
  <si>
    <t>Coaster - Boss Lady</t>
  </si>
  <si>
    <t>CST6013</t>
  </si>
  <si>
    <t>COASTER - BOTH OF US CAN'T LOOK GOOD</t>
  </si>
  <si>
    <t>CST17020</t>
  </si>
  <si>
    <t>COASTER - CHILDREN : THE GIFT THAT KEEPS TAKING</t>
  </si>
  <si>
    <t>CSTTA7</t>
  </si>
  <si>
    <t>COASTER - DAD'S SHED</t>
  </si>
  <si>
    <t>CST16725</t>
  </si>
  <si>
    <t>COASTER - DIFFICULT CHILDHOODS</t>
  </si>
  <si>
    <t>CST9250</t>
  </si>
  <si>
    <t>COASTER - DRINK COFFEE</t>
  </si>
  <si>
    <t>CST014</t>
  </si>
  <si>
    <t>Coaster - Drink wine and judge</t>
  </si>
  <si>
    <t>CST19702</t>
  </si>
  <si>
    <t>COASTER - GAVE A SHIT</t>
  </si>
  <si>
    <t>CST17004</t>
  </si>
  <si>
    <t>COASTER - HIDING EVERYTHING IS</t>
  </si>
  <si>
    <t>CST16661</t>
  </si>
  <si>
    <t>COASTER - HIPSTERS ARE WHAT HAPPENS</t>
  </si>
  <si>
    <t>CST17518</t>
  </si>
  <si>
    <t>COASTER - I COOK WITH WINE</t>
  </si>
  <si>
    <t>CST3030</t>
  </si>
  <si>
    <t>COASTER - I DON"T DO HOUSEWORK</t>
  </si>
  <si>
    <t>CST17073</t>
  </si>
  <si>
    <t>COASTER - I DRINK COFFEE BECAUSE I NEED IT</t>
  </si>
  <si>
    <t>CST013</t>
  </si>
  <si>
    <t>Coaster - I enjoy being used</t>
  </si>
  <si>
    <t>CST16728</t>
  </si>
  <si>
    <t>COASTER - I LIKE TO THINK COFFEE</t>
  </si>
  <si>
    <t>CST16727</t>
  </si>
  <si>
    <t>COASTER - I LOOKED UP FROM MY PHONE</t>
  </si>
  <si>
    <t>CST7182</t>
  </si>
  <si>
    <t>COASTER - I NEED A LOT OF COFFEE</t>
  </si>
  <si>
    <t>CST6016</t>
  </si>
  <si>
    <t>COASTER - I ONLY HAVE A KITCHEN</t>
  </si>
  <si>
    <t>CST16723</t>
  </si>
  <si>
    <t>COASTER - I REALLY NEED A DAY BETWEEN</t>
  </si>
  <si>
    <t>CST016</t>
  </si>
  <si>
    <t>Coaster - I think you are really funny - Vodka</t>
  </si>
  <si>
    <t>CST16881</t>
  </si>
  <si>
    <t>COASTER - I WEAR THE PANTS</t>
  </si>
  <si>
    <t>CST010</t>
  </si>
  <si>
    <t>Coaster - I'm here for the wine</t>
  </si>
  <si>
    <t>CST16963</t>
  </si>
  <si>
    <t>COASTER - I'M NOT OLD. I'M RETRO.</t>
  </si>
  <si>
    <t>CST19991</t>
  </si>
  <si>
    <t>COASTER - IF I AGREED WITH YOU</t>
  </si>
  <si>
    <t>CST9366</t>
  </si>
  <si>
    <t>COASTER - IT'S BETTER TO HAVE LOVED</t>
  </si>
  <si>
    <t>CST7409</t>
  </si>
  <si>
    <t>COASTER - JUST BECAUSE I WORK HERE</t>
  </si>
  <si>
    <t>CST19719</t>
  </si>
  <si>
    <t>COASTER - MY COFFEE NEEDS COFFEE</t>
  </si>
  <si>
    <t>CST16869</t>
  </si>
  <si>
    <t>COASTER - MY FANTASY</t>
  </si>
  <si>
    <t>CST16665</t>
  </si>
  <si>
    <t>COASTER - MY PROBLEM IS THAT</t>
  </si>
  <si>
    <t>CST16824</t>
  </si>
  <si>
    <t>COASTER - NEVER LAUGH</t>
  </si>
  <si>
    <t>CST8545</t>
  </si>
  <si>
    <t>COASTER - OF COURSE I LOVE YOU</t>
  </si>
  <si>
    <t>CSTPMU5</t>
  </si>
  <si>
    <t>COASTER - PICK ME UP - ALCOHOL</t>
  </si>
  <si>
    <t>CSTPMU1</t>
  </si>
  <si>
    <t>COASTER - PICK ME UP - COFFEE</t>
  </si>
  <si>
    <t>CSTPMU4</t>
  </si>
  <si>
    <t>COASTER - PICK ME UP - SHOPPING</t>
  </si>
  <si>
    <t>CSTPMU2</t>
  </si>
  <si>
    <t>COASTER - PICK ME UP - TEA</t>
  </si>
  <si>
    <t>CSTPMU3</t>
  </si>
  <si>
    <t>COASTER - PICK ME UP - WORK</t>
  </si>
  <si>
    <t>CST018</t>
  </si>
  <si>
    <t>Coaster - Please leave by 9</t>
  </si>
  <si>
    <t>CST19709</t>
  </si>
  <si>
    <t>COASTER - REALIZE NO SENSE</t>
  </si>
  <si>
    <t>CST19704</t>
  </si>
  <si>
    <t>COASTER - SOMETIMES PEOPLE SEE ME</t>
  </si>
  <si>
    <t>CST19701</t>
  </si>
  <si>
    <t>COASTER - TEMPTATION</t>
  </si>
  <si>
    <t>CST7811</t>
  </si>
  <si>
    <t>COASTER - THE FIRST 50 YEARS</t>
  </si>
  <si>
    <t>CST017</t>
  </si>
  <si>
    <t>Coaster - They are definitely into you - Rum</t>
  </si>
  <si>
    <t>CST19710</t>
  </si>
  <si>
    <t>COASTER - TIME IN THE DAY</t>
  </si>
  <si>
    <t>CST17492</t>
  </si>
  <si>
    <t>COASTER - TO SAVE TIME</t>
  </si>
  <si>
    <t>CST015</t>
  </si>
  <si>
    <t>Coaster - Trust me you can dance - Gin</t>
  </si>
  <si>
    <t>CST7548</t>
  </si>
  <si>
    <t>COASTER - YOU MEAN DRINKING BEER</t>
  </si>
  <si>
    <t>AGCCDU</t>
  </si>
  <si>
    <t>Coaster CDU</t>
  </si>
  <si>
    <t>DICSO1B</t>
  </si>
  <si>
    <t>COASTER COUNTER 40 POCKET SPINNER</t>
  </si>
  <si>
    <t>CTDC</t>
  </si>
  <si>
    <t>Coaster Display Card</t>
  </si>
  <si>
    <t>DISP16</t>
  </si>
  <si>
    <t>Coaster Display Starter Pack 54 units</t>
  </si>
  <si>
    <t>CST7474</t>
  </si>
  <si>
    <t>COASTER-COFFEE!</t>
  </si>
  <si>
    <t>CSTTA3</t>
  </si>
  <si>
    <t>COASTER-DAD'S TAXI</t>
  </si>
  <si>
    <t>CST16917</t>
  </si>
  <si>
    <t>COASTER-I JUST WANT PEOPLE TO ACCEPT ME</t>
  </si>
  <si>
    <t>CST6005</t>
  </si>
  <si>
    <t>COASTER-I'M NOT HARD TO PLEASE</t>
  </si>
  <si>
    <t>CSTTA5</t>
  </si>
  <si>
    <t>COASTER-LATTE AFTER THE SCHOOL RUN</t>
  </si>
  <si>
    <t>CST8528</t>
  </si>
  <si>
    <t>COASTER-QUEEN OF F'ING EVERYTHING</t>
  </si>
  <si>
    <t>CST4WM01</t>
  </si>
  <si>
    <t>Coasters Set of 4 - William Morris (Blue &amp; Ochre Mixed)</t>
  </si>
  <si>
    <t>CST1PC02</t>
  </si>
  <si>
    <t>Coasters Single - Planet Cat (Great Thoughts)</t>
  </si>
  <si>
    <t>CST1PC04</t>
  </si>
  <si>
    <t>Coasters Single - Planet Cat (Greater Love)</t>
  </si>
  <si>
    <t>CST1PC06</t>
  </si>
  <si>
    <t>Coasters Single - Planet Cat (Mysterious Folk)</t>
  </si>
  <si>
    <t>CST1PC03</t>
  </si>
  <si>
    <t>Coasters Single - Planet Cat (Simple Life)</t>
  </si>
  <si>
    <t>CST1PC05</t>
  </si>
  <si>
    <t>Coasters Single - Planet Cat (Slow Down)</t>
  </si>
  <si>
    <t>CST1PC01</t>
  </si>
  <si>
    <t>Coasters Single - Planet Cat (Time Spent)</t>
  </si>
  <si>
    <t>CCWM</t>
  </si>
  <si>
    <t>Coasters William Morris Set Up 36 pieces w Display</t>
  </si>
  <si>
    <t>WFM014</t>
  </si>
  <si>
    <t>Cockatoo - Australian Made Wooden Fridge Magnet</t>
  </si>
  <si>
    <t>WK014</t>
  </si>
  <si>
    <t>Cockatoo - Australian Made Wooden Key Ring</t>
  </si>
  <si>
    <t>WO037</t>
  </si>
  <si>
    <t>Cockatoo - Australian Made Wooden Ornament</t>
  </si>
  <si>
    <t>WM016</t>
  </si>
  <si>
    <t>Coin Pouch - William Morris (Grey Larkspur)</t>
  </si>
  <si>
    <t>WM006</t>
  </si>
  <si>
    <t>Coin Pouch - William Morris (Mint Larkspur)</t>
  </si>
  <si>
    <t>WM015</t>
  </si>
  <si>
    <t>Coin Pouch - William Morris (Rose Gold Larkspur)</t>
  </si>
  <si>
    <t>WM029</t>
  </si>
  <si>
    <t>Coin Pouch - William Morris Lavender Strawberry Thief</t>
  </si>
  <si>
    <t>WM030</t>
  </si>
  <si>
    <t>Coin Pouch - William Morris Sweet Briar</t>
  </si>
  <si>
    <t>PURSRHS02</t>
  </si>
  <si>
    <t>Coin Purse - RHS (PVC Coral)</t>
  </si>
  <si>
    <t>ROTOT</t>
  </si>
  <si>
    <t>COLLECTORS TIN</t>
  </si>
  <si>
    <t>CDU917D24</t>
  </si>
  <si>
    <t>COMPACT LENS 24 HOOK STAND</t>
  </si>
  <si>
    <t>CM03</t>
  </si>
  <si>
    <t>Compact Mirror Fruit</t>
  </si>
  <si>
    <t>CM05</t>
  </si>
  <si>
    <t>Compact Mirror Kilburn</t>
  </si>
  <si>
    <t>CM04</t>
  </si>
  <si>
    <t>Compact Mirror Peonie Rose</t>
  </si>
  <si>
    <t>CM01</t>
  </si>
  <si>
    <t>Compact Mirrors - William Morris 24 Units</t>
  </si>
  <si>
    <t>BH007C</t>
  </si>
  <si>
    <t>Component - Black Floral Hair Wrap</t>
  </si>
  <si>
    <t>BH023C</t>
  </si>
  <si>
    <t>Component - Black Floral Satin Eyemask and Scrunchie</t>
  </si>
  <si>
    <t>BH031C</t>
  </si>
  <si>
    <t>Component - Black Floral Satin Pillow</t>
  </si>
  <si>
    <t>BH027C</t>
  </si>
  <si>
    <t>Component - Black Floral Satin Sleep Cap</t>
  </si>
  <si>
    <t>BH003C</t>
  </si>
  <si>
    <t>Component - Black Floral Shower Cap</t>
  </si>
  <si>
    <t>BH035C</t>
  </si>
  <si>
    <t>Component - Black Floral Slippers</t>
  </si>
  <si>
    <t>BH015C</t>
  </si>
  <si>
    <t>Component - Black Floral Spa Head Band</t>
  </si>
  <si>
    <t>BH011C</t>
  </si>
  <si>
    <t>Component - Black Floral Towling Scrunchie</t>
  </si>
  <si>
    <t>BH018C</t>
  </si>
  <si>
    <t>Component - Derma Roller</t>
  </si>
  <si>
    <t>BH017C</t>
  </si>
  <si>
    <t>Component - Ice Roller</t>
  </si>
  <si>
    <t>BH019C</t>
  </si>
  <si>
    <t>Component - Jade Roller</t>
  </si>
  <si>
    <t>BH005C</t>
  </si>
  <si>
    <t>Component - Leopard Print Hair Wrap</t>
  </si>
  <si>
    <t>BH021C</t>
  </si>
  <si>
    <t>Component - Leopard Print Satin Eyemask and Scrunchie</t>
  </si>
  <si>
    <t>BH029C</t>
  </si>
  <si>
    <t>Component - Leopard Print Satin Pillow</t>
  </si>
  <si>
    <t>BH025C</t>
  </si>
  <si>
    <t>Component - Leopard Print Satin Sleep Cap</t>
  </si>
  <si>
    <t>BH001C</t>
  </si>
  <si>
    <t>Component - Leopard Print Shower Cap</t>
  </si>
  <si>
    <t>BH033C</t>
  </si>
  <si>
    <t>Component - Leopard Print Slippers</t>
  </si>
  <si>
    <t>BH013C</t>
  </si>
  <si>
    <t>Component - Leopard Print Spa Head Band</t>
  </si>
  <si>
    <t>BH009C</t>
  </si>
  <si>
    <t>Component - Leopard Print Towling Scrunchie</t>
  </si>
  <si>
    <t>BH008C</t>
  </si>
  <si>
    <t>Component - Peonie Rose Hair Wrap</t>
  </si>
  <si>
    <t>BH024C</t>
  </si>
  <si>
    <t>Component - Peonie Rose Satin Eyemask and Scrunchie</t>
  </si>
  <si>
    <t>BH032C</t>
  </si>
  <si>
    <t>Component - Peonie Rose Satin Pillow</t>
  </si>
  <si>
    <t>BH028C</t>
  </si>
  <si>
    <t>Component - Peonie Rose Satin Sleep Cap</t>
  </si>
  <si>
    <t>BH004C</t>
  </si>
  <si>
    <t>Component - Peonie Rose Shower Cap</t>
  </si>
  <si>
    <t>BH036C</t>
  </si>
  <si>
    <t>Component - Peonie Rose Slippers</t>
  </si>
  <si>
    <t>BH016C</t>
  </si>
  <si>
    <t>Component - Peonie Rose Spa Head Band</t>
  </si>
  <si>
    <t>BH012C</t>
  </si>
  <si>
    <t>Component - Peonie Rose Towling Scrunchie</t>
  </si>
  <si>
    <t>BH006C</t>
  </si>
  <si>
    <t>Component - Pink Polka Dot Hair Wrap</t>
  </si>
  <si>
    <t>BH022C</t>
  </si>
  <si>
    <t>Component - Pink Polka Dot Satin Eyemask and Scrunchie</t>
  </si>
  <si>
    <t>BH030C</t>
  </si>
  <si>
    <t>Component - Pink Polka Dot Satin Pillow</t>
  </si>
  <si>
    <t>BH026C</t>
  </si>
  <si>
    <t>Component - Pink Polka Dot Satin Sleep Cap</t>
  </si>
  <si>
    <t>BH002C</t>
  </si>
  <si>
    <t>Component - Pink Polka Dot Shower Cap</t>
  </si>
  <si>
    <t>BH034C</t>
  </si>
  <si>
    <t>Component - Pink Polka Dot Slippers</t>
  </si>
  <si>
    <t>BH014C</t>
  </si>
  <si>
    <t>Component - Pink Polka Dot Spa Head Band</t>
  </si>
  <si>
    <t>BH010C</t>
  </si>
  <si>
    <t>Component - Pink Polka Dot Towling Scrunchie</t>
  </si>
  <si>
    <t>BH020C</t>
  </si>
  <si>
    <t>Component - Rose Quartz Roller</t>
  </si>
  <si>
    <t>JOCM</t>
  </si>
  <si>
    <t>COOKING UP MEMORIES, FROM YOU TO ME</t>
  </si>
  <si>
    <t>Cooling Cubes - S/4 3cm</t>
  </si>
  <si>
    <t>CB11</t>
  </si>
  <si>
    <t>Cosmetic Bag - Falling Free</t>
  </si>
  <si>
    <t>MAKEPC01</t>
  </si>
  <si>
    <t>Cosmetic Bag - Planet Cat (Simple Life)</t>
  </si>
  <si>
    <t>CB10</t>
  </si>
  <si>
    <t>Cosmetic Bag - Quiet Blossom</t>
  </si>
  <si>
    <t>MAKERHS01</t>
  </si>
  <si>
    <t>Cosmetic Bag - RHS (Oilcloth Irises &amp; Hellebores)</t>
  </si>
  <si>
    <t>MAKERHS05</t>
  </si>
  <si>
    <t>Cosmetic bag - RHS (PVC Coral)</t>
  </si>
  <si>
    <t>MAKEWM01</t>
  </si>
  <si>
    <t>Cosmetic Bag - William Morris (Strawberry Thief Blue)</t>
  </si>
  <si>
    <t>WM020</t>
  </si>
  <si>
    <t>Cosmetics Bag - William Morris Lavender Strawberry Thief</t>
  </si>
  <si>
    <t>WM019</t>
  </si>
  <si>
    <t>Cosmetics Bag - William Morris Mint Larkspur</t>
  </si>
  <si>
    <t>WM021</t>
  </si>
  <si>
    <t>Cosmetics Bag - William Morris Sweet Briar</t>
  </si>
  <si>
    <t>CSD</t>
  </si>
  <si>
    <t>Counter Stand Display</t>
  </si>
  <si>
    <t>RFS11116</t>
  </si>
  <si>
    <t>CRACKERS WITH MAGIC GAMES</t>
  </si>
  <si>
    <t>TC007</t>
  </si>
  <si>
    <t>Craftsman - BBQ Master Set</t>
  </si>
  <si>
    <t>TC006</t>
  </si>
  <si>
    <t>Craftsman - Beard Shaping Kit</t>
  </si>
  <si>
    <t>TC003</t>
  </si>
  <si>
    <t>Craftsman - Docking Station</t>
  </si>
  <si>
    <t>TC004</t>
  </si>
  <si>
    <t>Craftsman - Large Valet Tray</t>
  </si>
  <si>
    <t>TC002</t>
  </si>
  <si>
    <t>Craftsman - Leather Shoe Cleaning Kit</t>
  </si>
  <si>
    <t>TC001</t>
  </si>
  <si>
    <t>Craftsman - Sneaker Cleaning Kit</t>
  </si>
  <si>
    <t>TC011</t>
  </si>
  <si>
    <t>Craftsman - Toiletry Bag</t>
  </si>
  <si>
    <t>TC008</t>
  </si>
  <si>
    <t>Craftsman - Twin Hip Flask</t>
  </si>
  <si>
    <t>TC012</t>
  </si>
  <si>
    <t>Craftsman - Watch Roll</t>
  </si>
  <si>
    <t>CFD22</t>
  </si>
  <si>
    <t>Craftsman Fathers Day Offer 2022 Pack of each at 10 Pct Discount</t>
  </si>
  <si>
    <t>CRD</t>
  </si>
  <si>
    <t>Creams Display</t>
  </si>
  <si>
    <t>credit</t>
  </si>
  <si>
    <t>Credit</t>
  </si>
  <si>
    <t>CREDIT CARD MAGNIFIER</t>
  </si>
  <si>
    <t>CBALL01</t>
  </si>
  <si>
    <t>CRICKET BALL - VINTAGE RED &amp; WHITE STRIPE</t>
  </si>
  <si>
    <t>BAGRHS02</t>
  </si>
  <si>
    <t>Cross Body Bag - RHS (Irises &amp; Hellebores)</t>
  </si>
  <si>
    <t>ZCUPTA03</t>
  </si>
  <si>
    <t>CUP &amp; SAUCER - MUM'S TAXI</t>
  </si>
  <si>
    <t>ZCUP7290</t>
  </si>
  <si>
    <t>CUP &amp; SAUCER-COFFEE, I BELIEVE IN COFFEE</t>
  </si>
  <si>
    <t>CCSCDU</t>
  </si>
  <si>
    <t>Cup Cake Socks CDU</t>
  </si>
  <si>
    <t>CS003</t>
  </si>
  <si>
    <t>Cupcake Socks - Berry Bang</t>
  </si>
  <si>
    <t>CS002</t>
  </si>
  <si>
    <t>Cupcake Socks - Blue Frosted</t>
  </si>
  <si>
    <t>CS005</t>
  </si>
  <si>
    <t>Cupcake Socks - Dark Infusion</t>
  </si>
  <si>
    <t>CS001</t>
  </si>
  <si>
    <t>Cupcake Socks - Hundreds and Thousands</t>
  </si>
  <si>
    <t>CS004</t>
  </si>
  <si>
    <t>Cupcake Socks - Rasberry Swirl</t>
  </si>
  <si>
    <t>CS006</t>
  </si>
  <si>
    <t>Cupcake Socks - Strawberry Love</t>
  </si>
  <si>
    <t>CSSU</t>
  </si>
  <si>
    <t>Cupcake Socks Set Up</t>
  </si>
  <si>
    <t>CUSHWM06</t>
  </si>
  <si>
    <t>Cushion (30x50) - William Morris (Willow Grey)</t>
  </si>
  <si>
    <t>CUSHWM05</t>
  </si>
  <si>
    <t>Cushion (30x50) - William Morris (Willow Ochre)</t>
  </si>
  <si>
    <t>CUSHWM01</t>
  </si>
  <si>
    <t>Cushion (40 x 40) - William Morris (Strawberry Thief Blue)</t>
  </si>
  <si>
    <t>WM002</t>
  </si>
  <si>
    <t>Cushion - William Morris (Blue Larkspur)</t>
  </si>
  <si>
    <t>WM003</t>
  </si>
  <si>
    <t>Cushion - William Morris (Rose Gold Larkspur)</t>
  </si>
  <si>
    <t>CUSHPC01</t>
  </si>
  <si>
    <t>Cushion Filled - Planet Cat (Slow Down)</t>
  </si>
  <si>
    <t>RFS11628</t>
  </si>
  <si>
    <t>Cylinder Tin Compendium</t>
  </si>
  <si>
    <t>DMJ</t>
  </si>
  <si>
    <t>DAD &amp; ME JOURNAL</t>
  </si>
  <si>
    <t>BSS001</t>
  </si>
  <si>
    <t>DARK FLORAL STATIONARY SET</t>
  </si>
  <si>
    <t>DBCDU</t>
  </si>
  <si>
    <t>Dartboard CDU</t>
  </si>
  <si>
    <t>DBB</t>
  </si>
  <si>
    <t>DEAR BABY GUEST BOOK - BLUE</t>
  </si>
  <si>
    <t>DBG</t>
  </si>
  <si>
    <t>DEAR BABY GUEST BOOK - GREEN</t>
  </si>
  <si>
    <t>DBP</t>
  </si>
  <si>
    <t>DEAR BABY GUEST BOOK - PINK</t>
  </si>
  <si>
    <t>JOB</t>
  </si>
  <si>
    <t>DEAR BROTHER, FROM YOU TO ME</t>
  </si>
  <si>
    <t>JOD</t>
  </si>
  <si>
    <t>DEAR DAD, FROM YOU TO ME</t>
  </si>
  <si>
    <t>JOF</t>
  </si>
  <si>
    <t>DEAR FRIEND, FROM YOU TO ME</t>
  </si>
  <si>
    <t>JOGD</t>
  </si>
  <si>
    <t>DEAR GRANDAD, FROM YOU TO ME</t>
  </si>
  <si>
    <t>JOGM</t>
  </si>
  <si>
    <t>DEAR GRANDMA, FROM YOU TO ME</t>
  </si>
  <si>
    <t>JOM</t>
  </si>
  <si>
    <t>DEAR MUM, FROM YOU TO ME</t>
  </si>
  <si>
    <t>JOSIS</t>
  </si>
  <si>
    <t>DEAR SISTER, FROM YOU TO ME</t>
  </si>
  <si>
    <t>JOSON</t>
  </si>
  <si>
    <t>DEAR SON, FROM YOU TO ME</t>
  </si>
  <si>
    <t>xxzz</t>
  </si>
  <si>
    <t>Deleted item</t>
  </si>
  <si>
    <t>HQ001C</t>
  </si>
  <si>
    <t>Dice Cup, Dice &amp; Playing Cards - HARLEQUIN GAMES Dice Cup</t>
  </si>
  <si>
    <t>HQ001P</t>
  </si>
  <si>
    <t>Dice Cup, Dice &amp; Playing Cards - HARLEQUIN GAMES Playing Cards</t>
  </si>
  <si>
    <t>35BN06</t>
  </si>
  <si>
    <t>DIE CUT NOTEBOOK - DORMOBILE</t>
  </si>
  <si>
    <t>JODM</t>
  </si>
  <si>
    <t>DIGGING UP MEMORIES, FROM YOU TO ME</t>
  </si>
  <si>
    <t>CS32</t>
  </si>
  <si>
    <t>Dinosaur Range Sleeve</t>
  </si>
  <si>
    <t>Discontinued Products</t>
  </si>
  <si>
    <t>CDUBJ</t>
  </si>
  <si>
    <t>Display Baby Journals</t>
  </si>
  <si>
    <t>CDUFYTMC</t>
  </si>
  <si>
    <t>Display From You To Me</t>
  </si>
  <si>
    <t>DOG EARS BOOKMARK - BULLDOG</t>
  </si>
  <si>
    <t>DOG EARS BOOKMARK - DACHSHUND</t>
  </si>
  <si>
    <t>DOG EARS BOOKMARK - GOLDEN RETRIEVER</t>
  </si>
  <si>
    <t>DOG EARS BOOKMARK - LABRADOR</t>
  </si>
  <si>
    <t>DOG EARS BOOKMARK - PUG</t>
  </si>
  <si>
    <t>DOG EARS BOOKMARK - TERRIER</t>
  </si>
  <si>
    <t>CDU374</t>
  </si>
  <si>
    <t>DOG EARS BOOKMARKS DISPLAY STAND</t>
  </si>
  <si>
    <t>SWC005</t>
  </si>
  <si>
    <t>Dog Shaming Calendar</t>
  </si>
  <si>
    <t>DSTD</t>
  </si>
  <si>
    <t>Double Sided Table Top Display (Christmas Ornaments)</t>
  </si>
  <si>
    <t>GLSVR22</t>
  </si>
  <si>
    <t>DRINKING GLASSES - SET OF TWO</t>
  </si>
  <si>
    <t>DTFA</t>
  </si>
  <si>
    <t>DTF Adhesive 1KG</t>
  </si>
  <si>
    <t>DTFHP</t>
  </si>
  <si>
    <t>DTF Hot Peel 60cm x 100m</t>
  </si>
  <si>
    <t>DTFC</t>
  </si>
  <si>
    <t>DTF Ink - Cyan  1 Litre</t>
  </si>
  <si>
    <t>DTFK</t>
  </si>
  <si>
    <t>DTF Ink - Key  1 Litre</t>
  </si>
  <si>
    <t>DTFM</t>
  </si>
  <si>
    <t>DTF Ink - Magenta  1 Litre</t>
  </si>
  <si>
    <t>DTFW</t>
  </si>
  <si>
    <t>DTF Ink - White 1 Litre</t>
  </si>
  <si>
    <t>DTFY</t>
  </si>
  <si>
    <t>DTF Ink - Yellow  1 Litre</t>
  </si>
  <si>
    <t>DVDFS</t>
  </si>
  <si>
    <t>DVD CARD SPINNER</t>
  </si>
  <si>
    <t>DVDFSC</t>
  </si>
  <si>
    <t>DVD CARD SPINNER HEADER CARD</t>
  </si>
  <si>
    <t>DVDCDT</t>
  </si>
  <si>
    <t>DVD CD Tower</t>
  </si>
  <si>
    <t>D30</t>
  </si>
  <si>
    <t>DVDCARD 1930</t>
  </si>
  <si>
    <t>D31</t>
  </si>
  <si>
    <t>DVDCARD 1931</t>
  </si>
  <si>
    <t>D32</t>
  </si>
  <si>
    <t>DVDCARD 1932</t>
  </si>
  <si>
    <t>D33</t>
  </si>
  <si>
    <t>DVDCARD 1933</t>
  </si>
  <si>
    <t>D34</t>
  </si>
  <si>
    <t>DVDCARD 1934</t>
  </si>
  <si>
    <t>D35</t>
  </si>
  <si>
    <t>DVDCARD 1935</t>
  </si>
  <si>
    <t>D36</t>
  </si>
  <si>
    <t>DVDCARD 1936</t>
  </si>
  <si>
    <t>D37</t>
  </si>
  <si>
    <t>DVDCARD 1937</t>
  </si>
  <si>
    <t>D38</t>
  </si>
  <si>
    <t>DVDCARD 1938</t>
  </si>
  <si>
    <t>D39</t>
  </si>
  <si>
    <t>DVDCARD 1939</t>
  </si>
  <si>
    <t>D40</t>
  </si>
  <si>
    <t>DVDCARD 1940</t>
  </si>
  <si>
    <t>D41</t>
  </si>
  <si>
    <t>DVDCARD 1941</t>
  </si>
  <si>
    <t>D42</t>
  </si>
  <si>
    <t>DVDCARD 1942</t>
  </si>
  <si>
    <t>D43</t>
  </si>
  <si>
    <t>DVDCARD 1943</t>
  </si>
  <si>
    <t>D44</t>
  </si>
  <si>
    <t>DVDCARD 1944</t>
  </si>
  <si>
    <t>D45</t>
  </si>
  <si>
    <t>DVDCARD 1945</t>
  </si>
  <si>
    <t>D46</t>
  </si>
  <si>
    <t>DVDCARD 1946</t>
  </si>
  <si>
    <t>D47</t>
  </si>
  <si>
    <t>DVDCARD 1947</t>
  </si>
  <si>
    <t>D48</t>
  </si>
  <si>
    <t>DVDCARD 1948</t>
  </si>
  <si>
    <t>D49</t>
  </si>
  <si>
    <t>DVDCARD 1949</t>
  </si>
  <si>
    <t>D50</t>
  </si>
  <si>
    <t>DVDCARD 1950</t>
  </si>
  <si>
    <t>D51</t>
  </si>
  <si>
    <t>DVDCARD 1951</t>
  </si>
  <si>
    <t>D52</t>
  </si>
  <si>
    <t>DVDCARD 1952</t>
  </si>
  <si>
    <t>D53</t>
  </si>
  <si>
    <t>DVDCARD 1953</t>
  </si>
  <si>
    <t>D54</t>
  </si>
  <si>
    <t>DVDCARD 1954</t>
  </si>
  <si>
    <t>D55</t>
  </si>
  <si>
    <t>DVDCARD 1955</t>
  </si>
  <si>
    <t>D56</t>
  </si>
  <si>
    <t>DVDCARD 1956</t>
  </si>
  <si>
    <t>D57</t>
  </si>
  <si>
    <t>DVDCARD 1957</t>
  </si>
  <si>
    <t>D58</t>
  </si>
  <si>
    <t>DVDCARD 1958</t>
  </si>
  <si>
    <t>D59</t>
  </si>
  <si>
    <t>DVDCARD 1959</t>
  </si>
  <si>
    <t>D60</t>
  </si>
  <si>
    <t>DVDCARD 1960</t>
  </si>
  <si>
    <t>D61</t>
  </si>
  <si>
    <t>DVDCARD 1961</t>
  </si>
  <si>
    <t>D62</t>
  </si>
  <si>
    <t>DVDCARD 1962</t>
  </si>
  <si>
    <t>D63</t>
  </si>
  <si>
    <t>DVDCARD 1963</t>
  </si>
  <si>
    <t>D64</t>
  </si>
  <si>
    <t>DVDCARD 1964</t>
  </si>
  <si>
    <t>D65</t>
  </si>
  <si>
    <t>DVDCARD 1965</t>
  </si>
  <si>
    <t>D66</t>
  </si>
  <si>
    <t>DVDCARD 1966</t>
  </si>
  <si>
    <t>D67</t>
  </si>
  <si>
    <t>DVDCARD 1967</t>
  </si>
  <si>
    <t>D68</t>
  </si>
  <si>
    <t>DVDCARD 1968</t>
  </si>
  <si>
    <t>D69</t>
  </si>
  <si>
    <t>DVDCARD 1969</t>
  </si>
  <si>
    <t>D70</t>
  </si>
  <si>
    <t>DVDCARD 1970</t>
  </si>
  <si>
    <t>D71</t>
  </si>
  <si>
    <t>DVDCARD 1971</t>
  </si>
  <si>
    <t>D72</t>
  </si>
  <si>
    <t>DVDCARD 1972</t>
  </si>
  <si>
    <t>D73</t>
  </si>
  <si>
    <t>DVDCARD 1973</t>
  </si>
  <si>
    <t>D74</t>
  </si>
  <si>
    <t>DVDCARD 1974</t>
  </si>
  <si>
    <t>D75</t>
  </si>
  <si>
    <t>DVDCARD 1975</t>
  </si>
  <si>
    <t>D76</t>
  </si>
  <si>
    <t>DVDCARD 1976</t>
  </si>
  <si>
    <t>D77</t>
  </si>
  <si>
    <t>DVDCARD 1977</t>
  </si>
  <si>
    <t>D78</t>
  </si>
  <si>
    <t>DVDCARD 1978</t>
  </si>
  <si>
    <t>D79</t>
  </si>
  <si>
    <t>DVDCARD 1979</t>
  </si>
  <si>
    <t>D80</t>
  </si>
  <si>
    <t>DVDCARD 1980</t>
  </si>
  <si>
    <t>D81</t>
  </si>
  <si>
    <t>DVDCARD 1981</t>
  </si>
  <si>
    <t>D82</t>
  </si>
  <si>
    <t>DVDCARD 1982</t>
  </si>
  <si>
    <t>D83</t>
  </si>
  <si>
    <t>DVDCARD 1983</t>
  </si>
  <si>
    <t>D84</t>
  </si>
  <si>
    <t>DVDCARD 1984</t>
  </si>
  <si>
    <t>D85</t>
  </si>
  <si>
    <t>DVDCARD 1985</t>
  </si>
  <si>
    <t>D86</t>
  </si>
  <si>
    <t>DVDCARD 1986</t>
  </si>
  <si>
    <t>D87</t>
  </si>
  <si>
    <t>DVDCARD 1987</t>
  </si>
  <si>
    <t>D88</t>
  </si>
  <si>
    <t>DVDCARD 1988</t>
  </si>
  <si>
    <t>D89</t>
  </si>
  <si>
    <t>DVDCARD 1989</t>
  </si>
  <si>
    <t>D90</t>
  </si>
  <si>
    <t>DVDCARD 1990</t>
  </si>
  <si>
    <t>D91</t>
  </si>
  <si>
    <t>DVDCARD 1991</t>
  </si>
  <si>
    <t>D92</t>
  </si>
  <si>
    <t>DVDCARD 1992</t>
  </si>
  <si>
    <t>D93</t>
  </si>
  <si>
    <t>DVDCARD 1993</t>
  </si>
  <si>
    <t>D94</t>
  </si>
  <si>
    <t>DVDCARD 1994</t>
  </si>
  <si>
    <t>D95</t>
  </si>
  <si>
    <t>DVDCARD 1995</t>
  </si>
  <si>
    <t>DM40</t>
  </si>
  <si>
    <t>DVDCARD MILESTONE YEARS - 40TH</t>
  </si>
  <si>
    <t>DM50</t>
  </si>
  <si>
    <t>DVDCARD MILESTONE YEARS - 50TH</t>
  </si>
  <si>
    <t>DM60</t>
  </si>
  <si>
    <t>DVDCARD MILESTONE YEARS - 60TH</t>
  </si>
  <si>
    <t>DM70</t>
  </si>
  <si>
    <t>DVDCARD MILESTONE YEARS - 70TH</t>
  </si>
  <si>
    <t>EYB</t>
  </si>
  <si>
    <t>EARLY YEARS BLUE</t>
  </si>
  <si>
    <t>EYP</t>
  </si>
  <si>
    <t>EARLY YEARS PINK</t>
  </si>
  <si>
    <t>WFM015</t>
  </si>
  <si>
    <t>Echidna - Australian Made Wooden Fridge Magnet</t>
  </si>
  <si>
    <t>WK015</t>
  </si>
  <si>
    <t>Echidna - Australian Made Wooden Key Ring</t>
  </si>
  <si>
    <t>WO038</t>
  </si>
  <si>
    <t>Echidna - Australian Made Wooden Ornament</t>
  </si>
  <si>
    <t>ECLECTIONARY JOURNAL TABS  DISPLAY</t>
  </si>
  <si>
    <t>ECLECTIONARY JOURNAL TABS -  BOTANICAL</t>
  </si>
  <si>
    <t>ECLECTIONARY JOURNAL TABS -  FANTASY</t>
  </si>
  <si>
    <t>WS101</t>
  </si>
  <si>
    <t>Economy Wooden Spinner</t>
  </si>
  <si>
    <t>SP907</t>
  </si>
  <si>
    <t>ELECTRONIC DICTIONARY 2019 STARTER PACK - 6 of Each</t>
  </si>
  <si>
    <t>ELECTRONIC DICTIONARY B'MK 2019 - GREY</t>
  </si>
  <si>
    <t>ELECTRONIC DICTIONARY B'MK 2019 - PINK</t>
  </si>
  <si>
    <t>ELECTRONIC DICTIONARY B'MK 2019 - WHITE</t>
  </si>
  <si>
    <t>ELECTRONIC DICTIONARY B'MK GREY</t>
  </si>
  <si>
    <t>ELECTRONIC DICTIONARY B'MK WHITE</t>
  </si>
  <si>
    <t>ELECTRONIC DICTIONARY BILINGUAL - ARABIC ENGLISH</t>
  </si>
  <si>
    <t>ELECTRONIC DICTIONARY BILINGUAL - FRENCH - ENGLISH</t>
  </si>
  <si>
    <t>ELECTRONIC DICTIONARY BILINGUAL - GERMAN - ENGLISH</t>
  </si>
  <si>
    <t>ELECTRONIC DICTIONARY BILINGUAL - ITALIAN - ENGLISH</t>
  </si>
  <si>
    <t>ELECTRONIC DICTIONARY BILINGUAL - SPANISH - ENGLISH</t>
  </si>
  <si>
    <t>CDU907</t>
  </si>
  <si>
    <t>ELECTRONIC DICTIONARY BKMK STAND</t>
  </si>
  <si>
    <t>ELECTRONIC DICTIONARYB'MK PINK</t>
  </si>
  <si>
    <t>WFM016</t>
  </si>
  <si>
    <t>Emu - Australian Made Wooden Fridge Magnet</t>
  </si>
  <si>
    <t>WK016</t>
  </si>
  <si>
    <t>Emu - Australian Made Wooden Key Ring</t>
  </si>
  <si>
    <t>WO039</t>
  </si>
  <si>
    <t>Emu - Australian Made Wooden Ornament</t>
  </si>
  <si>
    <t>GR170096</t>
  </si>
  <si>
    <t>ENAMEL MUG - FLEET ST / OLD KENT ROAD</t>
  </si>
  <si>
    <t>E0019</t>
  </si>
  <si>
    <t>EXECUTIVE BLACK LEATHER LOOK W/POCKET</t>
  </si>
  <si>
    <t>E0013</t>
  </si>
  <si>
    <t>EXECUTIVE CAMEL LEATHER LOOK W/POCKET</t>
  </si>
  <si>
    <t>E0038</t>
  </si>
  <si>
    <t>EXECUTIVE FLORAL W/POCKET</t>
  </si>
  <si>
    <t>E0040</t>
  </si>
  <si>
    <t>EXECUTIVE LONDON W/ POCKET</t>
  </si>
  <si>
    <t>E0015</t>
  </si>
  <si>
    <t>EXECUTIVE RED LEATHER LOOK W/POCKET</t>
  </si>
  <si>
    <t>E0039</t>
  </si>
  <si>
    <t>EXECUTIVE UNION JACK W/POCKET</t>
  </si>
  <si>
    <t>E0031</t>
  </si>
  <si>
    <t>EXECUTIVE XTRA BROWN CROC</t>
  </si>
  <si>
    <t>HWB05</t>
  </si>
  <si>
    <t>Extra Long Hot Water Bottle - Australian Natives</t>
  </si>
  <si>
    <t>HWB06</t>
  </si>
  <si>
    <t>Extra Long Hot Water Bottle - Golden Wattle</t>
  </si>
  <si>
    <t>HWB07</t>
  </si>
  <si>
    <t>Extra Long Hot Water Bottle - Tropical Koala</t>
  </si>
  <si>
    <t>SPEM</t>
  </si>
  <si>
    <t>Eye Mask Set Up</t>
  </si>
  <si>
    <t>CDUEM</t>
  </si>
  <si>
    <t>Eye Masks WDU</t>
  </si>
  <si>
    <t>E004b</t>
  </si>
  <si>
    <t>Eyemask Blue Box Component</t>
  </si>
  <si>
    <t>E004</t>
  </si>
  <si>
    <t>Eyemask Blue Mask Component</t>
  </si>
  <si>
    <t>E012b</t>
  </si>
  <si>
    <t>Eyemask Grey Box Component</t>
  </si>
  <si>
    <t>E012</t>
  </si>
  <si>
    <t>Eyemask Grey Mask Component</t>
  </si>
  <si>
    <t>E011b</t>
  </si>
  <si>
    <t>Eyemask Rose Gold Box Component</t>
  </si>
  <si>
    <t>E011</t>
  </si>
  <si>
    <t>Eyemask Rose Gold Mask Component</t>
  </si>
  <si>
    <t>FPJSP</t>
  </si>
  <si>
    <t>Fabric Plain Journal Set Up A5</t>
  </si>
  <si>
    <t>BAFC207</t>
  </si>
  <si>
    <t>FACE CLOTH COMPRESSED POLAR BEAR</t>
  </si>
  <si>
    <t>BAFC112</t>
  </si>
  <si>
    <t>FACE CLOTH POLAR BEAR</t>
  </si>
  <si>
    <t>CS24</t>
  </si>
  <si>
    <t>Fairy Garden Set Sleeve</t>
  </si>
  <si>
    <t>WFM017</t>
  </si>
  <si>
    <t>Fairy Penguin - Australian Made Wooden Fridge Magnet</t>
  </si>
  <si>
    <t>WK017</t>
  </si>
  <si>
    <t>Fairy Penguin - Australian Made Wooden Key Ring</t>
  </si>
  <si>
    <t>WO040</t>
  </si>
  <si>
    <t>Fairy Penguin - Australian Made Wooden Ornament</t>
  </si>
  <si>
    <t>FDLS Deal 3</t>
  </si>
  <si>
    <t>Father's Day Life Style Deal 3</t>
  </si>
  <si>
    <t>FDMSD1</t>
  </si>
  <si>
    <t>Father's Day Mug Set Deal 1</t>
  </si>
  <si>
    <t>FDMTS Deal 2</t>
  </si>
  <si>
    <t>Father's Day Multi Tool Set Deal 2</t>
  </si>
  <si>
    <t>FBTBLRSP</t>
  </si>
  <si>
    <t>Flexi and Traveller Book Light Rechargeable Set Up</t>
  </si>
  <si>
    <t>FBSP</t>
  </si>
  <si>
    <t>Flexi Book Light Battery Set Up 24 units</t>
  </si>
  <si>
    <t>FBLRSP</t>
  </si>
  <si>
    <t>Flexi Book Light Rechargeable Set Up</t>
  </si>
  <si>
    <t>WBKMSP</t>
  </si>
  <si>
    <t>Floral Set Up Australian Made Wooden Bookmarks  72 Units</t>
  </si>
  <si>
    <t>WKRASP</t>
  </si>
  <si>
    <t>Floral Set Up Australian Made Wooden Keyrings 72 Units</t>
  </si>
  <si>
    <t>WFMGSP</t>
  </si>
  <si>
    <t>Floral Set Up Australian Made Wooden Magnets 72 Units</t>
  </si>
  <si>
    <t>WP008</t>
  </si>
  <si>
    <t>Flowers &amp; Vase - Worlds Best Grandmother</t>
  </si>
  <si>
    <t>WP007</t>
  </si>
  <si>
    <t>Flowers &amp; Vase - Worlds Best Mum</t>
  </si>
  <si>
    <t>WP009</t>
  </si>
  <si>
    <t>Flowers &amp; Vase - Worlds Best Sister</t>
  </si>
  <si>
    <t>SPGCF</t>
  </si>
  <si>
    <t>Flowers Set Up Australian Made Wooden Greeting Cards 36pcs</t>
  </si>
  <si>
    <t>FABH1</t>
  </si>
  <si>
    <t>Fold Away Book Holder - A Room Without A Book</t>
  </si>
  <si>
    <t>FABH3</t>
  </si>
  <si>
    <t>Fold Away Book Holder - It's Not Hoarding</t>
  </si>
  <si>
    <t>FABH2</t>
  </si>
  <si>
    <t>Fold Away Book Holder - You Only Live Once</t>
  </si>
  <si>
    <t>FABHCDU</t>
  </si>
  <si>
    <t>Fold Away Book Holder CDU On Own</t>
  </si>
  <si>
    <t>FABHSP</t>
  </si>
  <si>
    <t>Fold Away Book Holder CDU Set Up</t>
  </si>
  <si>
    <t>FC</t>
  </si>
  <si>
    <t>Food Cart</t>
  </si>
  <si>
    <t>FCSU</t>
  </si>
  <si>
    <t>Food Cart Set Up</t>
  </si>
  <si>
    <t>CS009</t>
  </si>
  <si>
    <t>Food Socks - Burger</t>
  </si>
  <si>
    <t>CS012</t>
  </si>
  <si>
    <t>Food Socks - Dark Chocolate</t>
  </si>
  <si>
    <t>CS015</t>
  </si>
  <si>
    <t>Food Socks - Fries</t>
  </si>
  <si>
    <t>CS014</t>
  </si>
  <si>
    <t>Food Socks - Pink Donut</t>
  </si>
  <si>
    <t>CS010</t>
  </si>
  <si>
    <t>Food Socks - Pizza Square</t>
  </si>
  <si>
    <t>CS011</t>
  </si>
  <si>
    <t>Food Socks - Pizza Triangle</t>
  </si>
  <si>
    <t>CS007</t>
  </si>
  <si>
    <t>Food Socks - Sushi Avo</t>
  </si>
  <si>
    <t>CS008</t>
  </si>
  <si>
    <t>Food Socks - Sushi Salmon</t>
  </si>
  <si>
    <t>CS013</t>
  </si>
  <si>
    <t>Food Socks - White Chocolate</t>
  </si>
  <si>
    <t>CROO4</t>
  </si>
  <si>
    <t>Foot Care Set</t>
  </si>
  <si>
    <t>CR004</t>
  </si>
  <si>
    <t>Foot Care Set - Fruit William Morris</t>
  </si>
  <si>
    <t>CR003</t>
  </si>
  <si>
    <t>Foot Care Set - Strawberry Thief William Morris</t>
  </si>
  <si>
    <t>HERAU</t>
  </si>
  <si>
    <t>FOR HER GIFT SET UP AUSTRALIAN NATIVES</t>
  </si>
  <si>
    <t>HERGW</t>
  </si>
  <si>
    <t>FOR HER GIFT SET UP GOLDEN WATTLE</t>
  </si>
  <si>
    <t>HERST</t>
  </si>
  <si>
    <t>FOR HER GIFT SET UP STRAWBERRY THIEF</t>
  </si>
  <si>
    <t>HERSF</t>
  </si>
  <si>
    <t>FOR HER GIFT SET UP SUNFLOWERS</t>
  </si>
  <si>
    <t>HERWL</t>
  </si>
  <si>
    <t>FOR HER GIFT SET UP WATER LILLIES</t>
  </si>
  <si>
    <t>MUMAU</t>
  </si>
  <si>
    <t>FOR MUM GIFT SET UP AUSTRALIAN NATIVES</t>
  </si>
  <si>
    <t>MUMGW</t>
  </si>
  <si>
    <t>FOR MUM GIFT SET UP GOLDEN WATTLE</t>
  </si>
  <si>
    <t>MUMST</t>
  </si>
  <si>
    <t>FOR MUM GIFT SET UP STRAWBERRY THIEF</t>
  </si>
  <si>
    <t>MUMSF</t>
  </si>
  <si>
    <t>FOR MUM GIFT SET UP SUNFLOWERS</t>
  </si>
  <si>
    <t>MUMWL</t>
  </si>
  <si>
    <t>FOR MUM GIFT SET UP WATER LILLIES</t>
  </si>
  <si>
    <t>CS47</t>
  </si>
  <si>
    <t>Fridge Magnet Painting Kit - Australian Animals Sleeve</t>
  </si>
  <si>
    <t>CS48</t>
  </si>
  <si>
    <t>Fridge Magnet Painting Kit - Dinosaur Sleeve</t>
  </si>
  <si>
    <t>CS46</t>
  </si>
  <si>
    <t>Fridge Magnet Painting Kit - Trucks and Rockets Sleeve</t>
  </si>
  <si>
    <t>CS45</t>
  </si>
  <si>
    <t>Fridge Magnet Painting Kit - Unicorn and Mermaid Sleeve</t>
  </si>
  <si>
    <t>CDUFYTML</t>
  </si>
  <si>
    <t>FROM YOU TO ME BABY JOURNAL DISPLAY</t>
  </si>
  <si>
    <t>CDUFYTMS</t>
  </si>
  <si>
    <t>FROM YOU TO ME CONTEMPORARY JOURNAL DISPLAY</t>
  </si>
  <si>
    <t>FRZCDU</t>
  </si>
  <si>
    <t>FROZEN 3D EMBOSSED STICKERS - 300CDU ASSORTED</t>
  </si>
  <si>
    <t>Kit5</t>
  </si>
  <si>
    <t>Fruit Kit 1</t>
  </si>
  <si>
    <t>WT3</t>
  </si>
  <si>
    <t>Fumigation</t>
  </si>
  <si>
    <t>CTPOS</t>
  </si>
  <si>
    <t>FYTM COUNTER TOP POS</t>
  </si>
  <si>
    <t>WFM018</t>
  </si>
  <si>
    <t>Galah - Australian Made Wooden Fridge Magnet</t>
  </si>
  <si>
    <t>WK018</t>
  </si>
  <si>
    <t>Galah - Australian Made Wooden Key Ring</t>
  </si>
  <si>
    <t>WO041</t>
  </si>
  <si>
    <t>Galah - Australian Made Wooden Ornament</t>
  </si>
  <si>
    <t>RFS11735</t>
  </si>
  <si>
    <t>GARDEN TOOLS SET - MIDNIGHT GROVE</t>
  </si>
  <si>
    <t>RFS11962</t>
  </si>
  <si>
    <t>Gentlemen's 5 Piece Grooming Kit in a Flat Brushed Tin</t>
  </si>
  <si>
    <t>RFS11629</t>
  </si>
  <si>
    <t>Giant Pick Up Sticks</t>
  </si>
  <si>
    <t>GIFT WRAP FOR BOOKS - BOOK BADGES</t>
  </si>
  <si>
    <t>GIFT WRAP FOR BOOKS - BROWN PAPER PARCEL</t>
  </si>
  <si>
    <t>GIFT WRAP FOR BOOKS - DECO CLASSIC</t>
  </si>
  <si>
    <t>GIFT WRAP FOR BOOKS - LEATHER SATCHEL</t>
  </si>
  <si>
    <t>GIFT WRAP FOR BOOKS - MARBLED PAPER</t>
  </si>
  <si>
    <t>GIFT WRAP FOR BOOKS - NOT TO BE MISSED</t>
  </si>
  <si>
    <t>GIFT WRAP FOR BOOKS - NOVEL SIGNPOSTS</t>
  </si>
  <si>
    <t>GIFT WRAP FOR BOOKS - READING REST</t>
  </si>
  <si>
    <t>GIFT WRAP FOR BOOKS - TOP SECRET</t>
  </si>
  <si>
    <t>GIFT WRAP FOR BOOKS - VICTORIANA</t>
  </si>
  <si>
    <t>GIFT WRAP FOR BOOKS - VINTAGE BOOKS</t>
  </si>
  <si>
    <t>GIFT WRAP FOR BOOKS - WHO SAID THAT?</t>
  </si>
  <si>
    <t>CDU92400P</t>
  </si>
  <si>
    <t>GIFT WRAP FOR BOOKS DISPLAY</t>
  </si>
  <si>
    <t>BOOKBC03</t>
  </si>
  <si>
    <t>Giftbook Mini 48pp: Beryl Cook (Little Book of Appreciation)</t>
  </si>
  <si>
    <t>BOOKRF03</t>
  </si>
  <si>
    <t>Giftbook Mini 48pp: Off the Leash (Doodle Your Doggy)</t>
  </si>
  <si>
    <t>BOOKPC02</t>
  </si>
  <si>
    <t>Giftbook Mini 48pp: Planet Cat (Cat Wisdom)</t>
  </si>
  <si>
    <t>BOOKSP02</t>
  </si>
  <si>
    <t>Giftbook Portrait 64pp: MAMIL (How to Look Pro)</t>
  </si>
  <si>
    <t>BOOKAA04</t>
  </si>
  <si>
    <t>Giftbook Small Portrait 64pp: Wallace &amp; Gromit (A Grand )</t>
  </si>
  <si>
    <t>BOOKAA05</t>
  </si>
  <si>
    <t>Giftbook Small Portrait 64pp: Wallace &amp; Gromit (The Wrong)</t>
  </si>
  <si>
    <t>BOOKIH09</t>
  </si>
  <si>
    <t>Giftbook Square 40pp: IHB (Classic Moment Pride &amp; Prejudice</t>
  </si>
  <si>
    <t>BOOKIH10</t>
  </si>
  <si>
    <t>Giftbook Square 40pp: IHB (Classic Moments Alice Wonderland</t>
  </si>
  <si>
    <t>BOOKIH12</t>
  </si>
  <si>
    <t>Giftbook Square 40pp: IHB (Classic Moments Little Women)</t>
  </si>
  <si>
    <t>BOOKIH11</t>
  </si>
  <si>
    <t>Giftbook Square 40pp: IHB (Classic Moments Romeo &amp; Juliet)</t>
  </si>
  <si>
    <t>BOOKAA02</t>
  </si>
  <si>
    <t>Giftbook Square 40pp: Shaun Sheep (Save the Tree)</t>
  </si>
  <si>
    <t>BOOKIH01</t>
  </si>
  <si>
    <t>Giftbook Square 64pp IHB (Potent Potions)</t>
  </si>
  <si>
    <t>BOOKIH02</t>
  </si>
  <si>
    <t>Giftbook Square 64pp IHB (Spell: icious)</t>
  </si>
  <si>
    <t>BOOKTB02</t>
  </si>
  <si>
    <t>Giftbook Square 64pp Thunderbirds (Classic Hero Handbook)</t>
  </si>
  <si>
    <t>BOOKBC01</t>
  </si>
  <si>
    <t>Giftbook Square 64pp: Beryl Cook (30 Ways to Grow Old)</t>
  </si>
  <si>
    <t>BOOKIH08</t>
  </si>
  <si>
    <t>Giftbook Square 64pp: IHB (Self: Help For Superheroes)</t>
  </si>
  <si>
    <t>BOOKIH18</t>
  </si>
  <si>
    <t>Giftbook Square 64pp: IHB (So You Want to Heal The Planet )</t>
  </si>
  <si>
    <t>BOOKIH05</t>
  </si>
  <si>
    <t>Giftbook Square 64pp: IHB (Survival Guide: Aliens)</t>
  </si>
  <si>
    <t>BOOKIH04</t>
  </si>
  <si>
    <t>Giftbook Square 64pp: IHB (Survival Guide: Vampires)</t>
  </si>
  <si>
    <t>BOOKIH03</t>
  </si>
  <si>
    <t>Giftbook Square 64pp: IHB (Survival Guide: Zombies)</t>
  </si>
  <si>
    <t>BOOKIH17</t>
  </si>
  <si>
    <t>Giftbook Square 64pp: IHB(So You Want to Heal Your Hangover</t>
  </si>
  <si>
    <t>BOOKJA02</t>
  </si>
  <si>
    <t>Giftbook Square 64pp: Jolly Awesome (Let the Fun Be Gin)</t>
  </si>
  <si>
    <t>BOOKJA01</t>
  </si>
  <si>
    <t>Giftbook Square 64pp: Jolly Awesome (Tastes Like Magic)</t>
  </si>
  <si>
    <t>BOOKPC01</t>
  </si>
  <si>
    <t>Giftbook Square 64pp: Planet Cat (Cat Wisdom)</t>
  </si>
  <si>
    <t>BOOKTB01</t>
  </si>
  <si>
    <t>Giftbook Square 64pp: Thunderbirds (Boss Lady Handbook)</t>
  </si>
  <si>
    <t>BOOKAA01</t>
  </si>
  <si>
    <t>Giftbook Square 64pp: W&amp;G (Lovely Cheese Gromit)</t>
  </si>
  <si>
    <t>CDUCT</t>
  </si>
  <si>
    <t>GIFTING TREE WDU</t>
  </si>
  <si>
    <t>MBMGBC03</t>
  </si>
  <si>
    <t>Giftset Mini Book &amp; Espresso Cup: Beryl Cook</t>
  </si>
  <si>
    <t>MBMGRF03</t>
  </si>
  <si>
    <t>Giftset Mini Book &amp; Espresso Cup: Off The Leash</t>
  </si>
  <si>
    <t>MBMGPC02</t>
  </si>
  <si>
    <t>Giftset Mini Book &amp; Espresso Cup: Planet Cat</t>
  </si>
  <si>
    <t>MBMGAA03</t>
  </si>
  <si>
    <t>Giftset Mini Book &amp; Espresso Cup: Wallace &amp; Gromit</t>
  </si>
  <si>
    <t>BKMGTB01</t>
  </si>
  <si>
    <t>Giftset Mug &amp; Book : Thunderbirds (Boss Lady Book &amp; Mug Set)</t>
  </si>
  <si>
    <t>BKMGIH09</t>
  </si>
  <si>
    <t>Giftset Mug &amp; Book IHB (Classic Moments Pride &amp; Prejudice)</t>
  </si>
  <si>
    <t>BKMGTB02</t>
  </si>
  <si>
    <t>Giftset Mug &amp; Book Thunderbirds (Classic Hero)</t>
  </si>
  <si>
    <t>BKMGAA05</t>
  </si>
  <si>
    <t>Giftset Mug &amp; Book Wallace &amp; Gromit (The Wrong Trousers)</t>
  </si>
  <si>
    <t>BKMGBC01</t>
  </si>
  <si>
    <t>Giftset Mug &amp; Book: Beryl Cook (30 Ways to Grow Old)</t>
  </si>
  <si>
    <t>BKMGIH10</t>
  </si>
  <si>
    <t>Giftset Mug &amp; Book: IHB (Classic Moments Alice Wonderland)</t>
  </si>
  <si>
    <t>BKMGAA04</t>
  </si>
  <si>
    <t>Giftset Mug &amp; Book: Wallace &amp; Gromit (A Grand Day Out)</t>
  </si>
  <si>
    <t>GIMBLE - PURPLE</t>
  </si>
  <si>
    <t>GIMBLE TRAVELLER PINK</t>
  </si>
  <si>
    <t>Gin Stones - S/9, 9cm</t>
  </si>
  <si>
    <t>GC018</t>
  </si>
  <si>
    <t>Glasses Case - Falling Free</t>
  </si>
  <si>
    <t>GC002</t>
  </si>
  <si>
    <t>Glasses Case - Fruit William Morris</t>
  </si>
  <si>
    <t>GC008</t>
  </si>
  <si>
    <t>Glasses Case - Gingham Blue Bluhen</t>
  </si>
  <si>
    <t>GC010</t>
  </si>
  <si>
    <t>Glasses Case - Hampton Stripe</t>
  </si>
  <si>
    <t>GC006</t>
  </si>
  <si>
    <t>Glasses Case - Houndtooth Bluhen</t>
  </si>
  <si>
    <t>GC009</t>
  </si>
  <si>
    <t>Glasses Case - Kilburn Bluhen</t>
  </si>
  <si>
    <t>GC004</t>
  </si>
  <si>
    <t>Glasses Case - Larkspur William Morris</t>
  </si>
  <si>
    <t>GC007</t>
  </si>
  <si>
    <t>Glasses Case - Leopard Print Bluhen</t>
  </si>
  <si>
    <t>GC013</t>
  </si>
  <si>
    <t>Glasses Case - Monet Water Lilies</t>
  </si>
  <si>
    <t>GC005</t>
  </si>
  <si>
    <t>Glasses Case - Peonie Rose Bluhen</t>
  </si>
  <si>
    <t>GLSCSPC01</t>
  </si>
  <si>
    <t>Glasses Case - Planet Cat (Smallest Feline)</t>
  </si>
  <si>
    <t>GC017</t>
  </si>
  <si>
    <t>Glasses Case - Quiet Blossom</t>
  </si>
  <si>
    <t>GC011</t>
  </si>
  <si>
    <t>Glasses Case - Strawberry Thief Red</t>
  </si>
  <si>
    <t>GC003</t>
  </si>
  <si>
    <t>Glasses Case - Strawberry Thief William Morris</t>
  </si>
  <si>
    <t>GC012</t>
  </si>
  <si>
    <t>Glasses Case - Van Gogh Sunflowers</t>
  </si>
  <si>
    <t>GC001</t>
  </si>
  <si>
    <t>Glasses Case - Wild Tulip William Morris</t>
  </si>
  <si>
    <t>GLSCSWM01</t>
  </si>
  <si>
    <t>Glasses Case - William Morris (Willow Blue)</t>
  </si>
  <si>
    <t>GLSCSWM02</t>
  </si>
  <si>
    <t>Glasses Case - William Morris (Willow Ochre)</t>
  </si>
  <si>
    <t>GCSP</t>
  </si>
  <si>
    <t>GLASSES CASES STARTER PACK</t>
  </si>
  <si>
    <t>CDUGC</t>
  </si>
  <si>
    <t>Glasses Cases WDU</t>
  </si>
  <si>
    <t>GW013</t>
  </si>
  <si>
    <t>GlassWear Black &amp; White Striped Crystal - Silver Alloy</t>
  </si>
  <si>
    <t>GW003</t>
  </si>
  <si>
    <t>GlassWear Black Rubber - Stainless</t>
  </si>
  <si>
    <t>GW002</t>
  </si>
  <si>
    <t>GlassWear Black Spinal - Stainless Steel</t>
  </si>
  <si>
    <t>GW005</t>
  </si>
  <si>
    <t>GlassWear Black Stretch Silk - Silver Alloy</t>
  </si>
  <si>
    <t>GW008</t>
  </si>
  <si>
    <t>GlassWear Black Twisted Leather - Stainless</t>
  </si>
  <si>
    <t>GW006</t>
  </si>
  <si>
    <t>GlassWear Burgandy Leather - Rose Gold</t>
  </si>
  <si>
    <t>GW012</t>
  </si>
  <si>
    <t>GlassWear Faceted Spaced Beads - Silver Alloy</t>
  </si>
  <si>
    <t>CDUGW</t>
  </si>
  <si>
    <t>GLASSWEAR MDF STAND</t>
  </si>
  <si>
    <t>GW014</t>
  </si>
  <si>
    <t>GlassWear Roma Red Acrylic Seed - Silver Alloy</t>
  </si>
  <si>
    <t>GW004</t>
  </si>
  <si>
    <t>GlassWear Silver Chain - Stainless Steel</t>
  </si>
  <si>
    <t>SPGW</t>
  </si>
  <si>
    <t>GlassWear Starter Pack 24 units</t>
  </si>
  <si>
    <t>GW009</t>
  </si>
  <si>
    <t>GlassWear Striped Pyrite - Silver Alloy</t>
  </si>
  <si>
    <t>GW001</t>
  </si>
  <si>
    <t>GlassWear Tortoise - Stainless Steel</t>
  </si>
  <si>
    <t>GW010</t>
  </si>
  <si>
    <t>GlassWear Turquoise Acrylic Seed - Silver Alloy</t>
  </si>
  <si>
    <t>GW007</t>
  </si>
  <si>
    <t>GlassWear White Twisted Leather - Rose Gold</t>
  </si>
  <si>
    <t>GW011</t>
  </si>
  <si>
    <t>GlassWear Wood Bead - Silver Alloy</t>
  </si>
  <si>
    <t>RFS11737</t>
  </si>
  <si>
    <t>GLOVES &amp; SECATEURS SET - MIDNIGHT GROVE</t>
  </si>
  <si>
    <t>RFS11736</t>
  </si>
  <si>
    <t>GLOVES &amp; TROWEL SET - MIDNIGHT GROVE</t>
  </si>
  <si>
    <t>GT</t>
  </si>
  <si>
    <t>Gold Tassel</t>
  </si>
  <si>
    <t>WFM010</t>
  </si>
  <si>
    <t>Golden Wattle - Australian Made Wooden Fridge Magnet</t>
  </si>
  <si>
    <t>WK010</t>
  </si>
  <si>
    <t>Golden Wattle - Australian Made Wooden Key Ring</t>
  </si>
  <si>
    <t>GDMJ</t>
  </si>
  <si>
    <t>GRANDAD &amp; ME JOURNAL</t>
  </si>
  <si>
    <t>GMMJ</t>
  </si>
  <si>
    <t>GRANDMA &amp; ME JOURNAL</t>
  </si>
  <si>
    <t>HS005</t>
  </si>
  <si>
    <t>Green Fluorite - Inner Peace</t>
  </si>
  <si>
    <t>GCFS</t>
  </si>
  <si>
    <t>Greeting Cards Floor Stand</t>
  </si>
  <si>
    <t>GCTD</t>
  </si>
  <si>
    <t>Greeting Cards Table Top Display</t>
  </si>
  <si>
    <t>WBG018</t>
  </si>
  <si>
    <t>Grooved Wooden Bookmark - Galah</t>
  </si>
  <si>
    <t>WBG005</t>
  </si>
  <si>
    <t>Grooved Wooden Bookmark - Hydangea</t>
  </si>
  <si>
    <t>WBG020</t>
  </si>
  <si>
    <t>Grooved Wooden Bookmark - Koala</t>
  </si>
  <si>
    <t>WBG023</t>
  </si>
  <si>
    <t>Grooved Wooden Bookmark - Rainbow Lorikeet</t>
  </si>
  <si>
    <t>WBG003</t>
  </si>
  <si>
    <t>Grooved Wooden Bookmark - Sunflower</t>
  </si>
  <si>
    <t>WBG002</t>
  </si>
  <si>
    <t>Grooved Wooden Bookmark - Tulip</t>
  </si>
  <si>
    <t>SWC007</t>
  </si>
  <si>
    <t>Grumpy Cat Calendar</t>
  </si>
  <si>
    <t>GR170112</t>
  </si>
  <si>
    <t>GUESS WHO - A5 NOTEBOOK</t>
  </si>
  <si>
    <t>GR170111</t>
  </si>
  <si>
    <t>GUESS WHO - PORCELAIN MUG</t>
  </si>
  <si>
    <t>GR170110</t>
  </si>
  <si>
    <t>GUESS WHO - TEA TOWEL</t>
  </si>
  <si>
    <t>GUINNESS WORLD RECORD CARDS</t>
  </si>
  <si>
    <t>GUINNESS WORLD RECORD CARDS EDITION</t>
  </si>
  <si>
    <t>HW09</t>
  </si>
  <si>
    <t>Hair Wrap - Black</t>
  </si>
  <si>
    <t>HW08</t>
  </si>
  <si>
    <t>Hair Wrap - Blush</t>
  </si>
  <si>
    <t>HW07</t>
  </si>
  <si>
    <t>Hair Wrap - Monet's Water Lilies</t>
  </si>
  <si>
    <t>HW06</t>
  </si>
  <si>
    <t>Hair Wrap - Van Gogh's Sunflowers</t>
  </si>
  <si>
    <t>HW01</t>
  </si>
  <si>
    <t>Hair Wrap - William Morris Blue Larkspur</t>
  </si>
  <si>
    <t>HW02</t>
  </si>
  <si>
    <t>Hair Wrap - William Morris Fruit</t>
  </si>
  <si>
    <t>HW03</t>
  </si>
  <si>
    <t>Hair Wrap - William Morris Strawberry Thief</t>
  </si>
  <si>
    <t>HW05</t>
  </si>
  <si>
    <t>Hair Wrap - William Morris Strawberry Thief Red</t>
  </si>
  <si>
    <t>HW04</t>
  </si>
  <si>
    <t>Hair Wrap - William Morris Wild Tulip</t>
  </si>
  <si>
    <t>HWSU Deleted</t>
  </si>
  <si>
    <t>Hair Wrap Set Up</t>
  </si>
  <si>
    <t>CDUHW</t>
  </si>
  <si>
    <t>Hair Wraps WDU</t>
  </si>
  <si>
    <t>CR051</t>
  </si>
  <si>
    <t>Hand Cream - Falling Free</t>
  </si>
  <si>
    <t>CR002</t>
  </si>
  <si>
    <t>Hand Cream - Fruit William Morris</t>
  </si>
  <si>
    <t>CR010</t>
  </si>
  <si>
    <t>Hand Cream - Kilburn</t>
  </si>
  <si>
    <t>CR008</t>
  </si>
  <si>
    <t>Hand Cream - Monet's Water Lilies</t>
  </si>
  <si>
    <t>CR009</t>
  </si>
  <si>
    <t>Hand Cream - Peonie Rose</t>
  </si>
  <si>
    <t>CR050</t>
  </si>
  <si>
    <t>Hand Cream - Quiet Blossom</t>
  </si>
  <si>
    <t>CR001</t>
  </si>
  <si>
    <t>Hand Cream - Strawberry Thief William Morris</t>
  </si>
  <si>
    <t>CR007</t>
  </si>
  <si>
    <t>Hand Cream - Van Gogh Sunflower</t>
  </si>
  <si>
    <t>CRT05</t>
  </si>
  <si>
    <t>Hand Cream Tester - Australian Natives</t>
  </si>
  <si>
    <t>CRT09</t>
  </si>
  <si>
    <t>Hand Cream Tester - Falling Free</t>
  </si>
  <si>
    <t>CRT04</t>
  </si>
  <si>
    <t>Hand Cream Tester - Fruit</t>
  </si>
  <si>
    <t>CRT06</t>
  </si>
  <si>
    <t>Hand Cream Tester - Golden Wattle</t>
  </si>
  <si>
    <t>CRT03</t>
  </si>
  <si>
    <t>Hand Cream Tester - Monet Water Lilies</t>
  </si>
  <si>
    <t>CRT08</t>
  </si>
  <si>
    <t>Hand Cream Tester - Quiet Blossom</t>
  </si>
  <si>
    <t>CRT01</t>
  </si>
  <si>
    <t>Hand Cream Tester - Strawberry Thief</t>
  </si>
  <si>
    <t>CRT07</t>
  </si>
  <si>
    <t>Hand Cream Tester - Tropical Koala</t>
  </si>
  <si>
    <t>CRT02</t>
  </si>
  <si>
    <t>Hand Cream Tester - Van Gogh Sunflowers</t>
  </si>
  <si>
    <t>HBA001</t>
  </si>
  <si>
    <t>Handbag Organiser Large</t>
  </si>
  <si>
    <t>HBA002</t>
  </si>
  <si>
    <t>Handbag Organiser Medium</t>
  </si>
  <si>
    <t>HBA003</t>
  </si>
  <si>
    <t>Handbag Organiser Small</t>
  </si>
  <si>
    <t>GR170048</t>
  </si>
  <si>
    <t>HARDBACK NOTEBOOK - BRIGHT IDEAS</t>
  </si>
  <si>
    <t>GR170047</t>
  </si>
  <si>
    <t>HARDBACK NOTEBOOK - SHOPPING LIST</t>
  </si>
  <si>
    <t>HGSLO</t>
  </si>
  <si>
    <t>HARLEQUIN GAMES - SEPT LAUNCH OFFER MINOR</t>
  </si>
  <si>
    <t>HQ017</t>
  </si>
  <si>
    <t>Harlequin Games Airplane</t>
  </si>
  <si>
    <t>HQ009</t>
  </si>
  <si>
    <t>HARLEQUIN GAMES Bag Toss</t>
  </si>
  <si>
    <t>HQ021</t>
  </si>
  <si>
    <t>Harlequin Games Balloon Modelling Kit</t>
  </si>
  <si>
    <t>HQ008</t>
  </si>
  <si>
    <t>Harlequin Games Bocce</t>
  </si>
  <si>
    <t>HQ002</t>
  </si>
  <si>
    <t>Harlequin Games Chess Checkers &amp; Backgammon</t>
  </si>
  <si>
    <t>HQ006</t>
  </si>
  <si>
    <t>Harlequin Games Croquet Set</t>
  </si>
  <si>
    <t>HQ026</t>
  </si>
  <si>
    <t>Harlequin Games Deluxe Bingo</t>
  </si>
  <si>
    <t>HQ019</t>
  </si>
  <si>
    <t>Harlequin Games Diabolo</t>
  </si>
  <si>
    <t>HQ027</t>
  </si>
  <si>
    <t>Harlequin Games Dice &amp; Playing Cards</t>
  </si>
  <si>
    <t>HQ001</t>
  </si>
  <si>
    <t>Harlequin Games Dice Cup Dice &amp; Playing Cards</t>
  </si>
  <si>
    <t>HQ003</t>
  </si>
  <si>
    <t>Harlequin Games Dominoes</t>
  </si>
  <si>
    <t>HQ022</t>
  </si>
  <si>
    <t>Harlequin Games Jacks</t>
  </si>
  <si>
    <t>HQ025</t>
  </si>
  <si>
    <t>Harlequin Games Juggling Set</t>
  </si>
  <si>
    <t>HQ015</t>
  </si>
  <si>
    <t>Harlequin Games Kite</t>
  </si>
  <si>
    <t>HQ024</t>
  </si>
  <si>
    <t>Harlequin Games Lawn Darts</t>
  </si>
  <si>
    <t>HQ020</t>
  </si>
  <si>
    <t>Harlequin Games Magic Floating Ball</t>
  </si>
  <si>
    <t>HQ018</t>
  </si>
  <si>
    <t>Harlequin Games Magic Spring</t>
  </si>
  <si>
    <t>HQ012</t>
  </si>
  <si>
    <t>Harlequin Games Magnetic Dart Board</t>
  </si>
  <si>
    <t>HQ014</t>
  </si>
  <si>
    <t>Harlequin Games Marbles</t>
  </si>
  <si>
    <t>HQ010</t>
  </si>
  <si>
    <t>Harlequin Games Mini Bowling</t>
  </si>
  <si>
    <t>HQ005</t>
  </si>
  <si>
    <t>Harlequin Games Noughts &amp; Crosses</t>
  </si>
  <si>
    <t>HQ004</t>
  </si>
  <si>
    <t>Harlequin Games Pick Up Sticks</t>
  </si>
  <si>
    <t>HQ011</t>
  </si>
  <si>
    <t>Harlequin Games Poker Set</t>
  </si>
  <si>
    <t>HQ007</t>
  </si>
  <si>
    <t>Harlequin Games Ring Toss</t>
  </si>
  <si>
    <t>HQRS</t>
  </si>
  <si>
    <t>Harlequin Games Rocket Ship Set Up</t>
  </si>
  <si>
    <t>HQ028</t>
  </si>
  <si>
    <t>Harlequin Games Self Inflating Whoopee Cushion</t>
  </si>
  <si>
    <t>HQMAJ</t>
  </si>
  <si>
    <t>HARLEQUIN GAMES SEP LAUNCH OFFER - MAJOR</t>
  </si>
  <si>
    <t>HQMIN</t>
  </si>
  <si>
    <t>HARLEQUIN GAMES SEP LAUNCH OFFER - MINOR</t>
  </si>
  <si>
    <t>HQSU</t>
  </si>
  <si>
    <t>Harlequin Games Set Up</t>
  </si>
  <si>
    <t>HQ013</t>
  </si>
  <si>
    <t>Harlequin Games Table Tennis Set</t>
  </si>
  <si>
    <t>HQ023</t>
  </si>
  <si>
    <t>Harlequin Games Tumble Tower</t>
  </si>
  <si>
    <t>HQ016</t>
  </si>
  <si>
    <t>Harlequin Games Yoyo</t>
  </si>
  <si>
    <t>SPHB</t>
  </si>
  <si>
    <t>Head Band Set Up</t>
  </si>
  <si>
    <t>SPHBFS</t>
  </si>
  <si>
    <t>Head Band Set Up and free scrunchies</t>
  </si>
  <si>
    <t>CDUHB</t>
  </si>
  <si>
    <t>Head Bands WDU</t>
  </si>
  <si>
    <t>HSDISP</t>
  </si>
  <si>
    <t>Heart Stones Display Box</t>
  </si>
  <si>
    <t>HB</t>
  </si>
  <si>
    <t>Heat Belt</t>
  </si>
  <si>
    <t>HSCDU</t>
  </si>
  <si>
    <t>Heatstones Set Up</t>
  </si>
  <si>
    <t>00HB</t>
  </si>
  <si>
    <t>Helvetica Clip On Bookmark Set Up</t>
  </si>
  <si>
    <t>HELVETICA CLIP-ON BOOKMARK A</t>
  </si>
  <si>
    <t>HELVETICA CLIP-ON BOOKMARK B</t>
  </si>
  <si>
    <t>HELVETICA CLIP-ON BOOKMARK C</t>
  </si>
  <si>
    <t>HELVETICA CLIP-ON BOOKMARK D</t>
  </si>
  <si>
    <t>HELVETICA CLIP-ON BOOKMARK E</t>
  </si>
  <si>
    <t>HELVETICA CLIP-ON BOOKMARK F</t>
  </si>
  <si>
    <t>HELVETICA CLIP-ON BOOKMARK G</t>
  </si>
  <si>
    <t>HELVETICA CLIP-ON BOOKMARK H</t>
  </si>
  <si>
    <t>HELVETICA CLIP-ON BOOKMARK I</t>
  </si>
  <si>
    <t>HELVETICA CLIP-ON BOOKMARK J</t>
  </si>
  <si>
    <t>HELVETICA CLIP-ON BOOKMARK K</t>
  </si>
  <si>
    <t>HELVETICA CLIP-ON BOOKMARK L</t>
  </si>
  <si>
    <t>HELVETICA CLIP-ON BOOKMARK M</t>
  </si>
  <si>
    <t>HELVETICA CLIP-ON BOOKMARK N</t>
  </si>
  <si>
    <t>HELVETICA CLIP-ON BOOKMARK O</t>
  </si>
  <si>
    <t>HELVETICA CLIP-ON BOOKMARK P</t>
  </si>
  <si>
    <t>HELVETICA CLIP-ON BOOKMARK R</t>
  </si>
  <si>
    <t>HELVETICA CLIP-ON BOOKMARK S</t>
  </si>
  <si>
    <t>CDU929</t>
  </si>
  <si>
    <t>HELVETICA CLIP-ON BOOKMARK STAND</t>
  </si>
  <si>
    <t>HELVETICA CLIP-ON BOOKMARK T</t>
  </si>
  <si>
    <t>HELVETICA CLIP-ON BOOKMARK U</t>
  </si>
  <si>
    <t>HELVETICA CLIP-ON BOOKMARK V</t>
  </si>
  <si>
    <t>HELVETICA CLIP-ON BOOKMARK W</t>
  </si>
  <si>
    <t>HELVETICA CLIP-ON BOOKMARK Y</t>
  </si>
  <si>
    <t>HELVETICA CLIP-ON BOOKMARK Z</t>
  </si>
  <si>
    <t>HER BOOKMARK</t>
  </si>
  <si>
    <t>RSHV</t>
  </si>
  <si>
    <t>HI VIX STICKER 1200 SET UP: 25 EACH OF DESIGNS PLUS STAND</t>
  </si>
  <si>
    <t>SGAL</t>
  </si>
  <si>
    <t>HI VIZ- GREEN ALIEN</t>
  </si>
  <si>
    <t>SGBA</t>
  </si>
  <si>
    <t>HI VIZ- GREEN BATS</t>
  </si>
  <si>
    <t>SGBU</t>
  </si>
  <si>
    <t>HI VIZ- GREEN BUTTERFLIY</t>
  </si>
  <si>
    <t>SGCA</t>
  </si>
  <si>
    <t>HI VIZ- GREEN CATS</t>
  </si>
  <si>
    <t>SGEL</t>
  </si>
  <si>
    <t>HI VIZ- GREEN ELEPHANT</t>
  </si>
  <si>
    <t>SGFE</t>
  </si>
  <si>
    <t>HI VIZ- GREEN FEET</t>
  </si>
  <si>
    <t>SGHE</t>
  </si>
  <si>
    <t>HI VIZ- GREEN HEARTS</t>
  </si>
  <si>
    <t>SGLI</t>
  </si>
  <si>
    <t>HI VIZ- GREEN LIPS</t>
  </si>
  <si>
    <t>SGLO</t>
  </si>
  <si>
    <t>HI VIZ- GREEN LOVE</t>
  </si>
  <si>
    <t>SGPE</t>
  </si>
  <si>
    <t>HI VIZ- GREEN PENGUIN</t>
  </si>
  <si>
    <t>SGRA</t>
  </si>
  <si>
    <t>HI VIZ- GREEN RABBITS</t>
  </si>
  <si>
    <t>SGSM</t>
  </si>
  <si>
    <t>HI VIZ- GREEN SMILEY</t>
  </si>
  <si>
    <t>SOAL</t>
  </si>
  <si>
    <t>HI VIZ- ORANGE ALIEN</t>
  </si>
  <si>
    <t>SOBA</t>
  </si>
  <si>
    <t>HI VIZ- ORANGE BATS</t>
  </si>
  <si>
    <t>SOBU</t>
  </si>
  <si>
    <t>HI VIZ- ORANGE BUTTERFLY</t>
  </si>
  <si>
    <t>SOCA</t>
  </si>
  <si>
    <t>HI VIZ- ORANGE CATS</t>
  </si>
  <si>
    <t>SOEL</t>
  </si>
  <si>
    <t>HI VIZ- ORANGE ELEPHANT</t>
  </si>
  <si>
    <t>SOFE</t>
  </si>
  <si>
    <t>HI VIZ- ORANGE FEET</t>
  </si>
  <si>
    <t>SOHE</t>
  </si>
  <si>
    <t>HI VIZ- ORANGE HEARTS</t>
  </si>
  <si>
    <t>SOLI</t>
  </si>
  <si>
    <t>HI VIZ- ORANGE LIPS</t>
  </si>
  <si>
    <t>SOLO</t>
  </si>
  <si>
    <t>HI VIZ- ORANGE LOVE</t>
  </si>
  <si>
    <t>SOPE</t>
  </si>
  <si>
    <t>HI VIZ- ORANGE PENGUIN</t>
  </si>
  <si>
    <t>SORA</t>
  </si>
  <si>
    <t>HI VIZ- ORANGE RABBITS</t>
  </si>
  <si>
    <t>SOSM</t>
  </si>
  <si>
    <t>HI VIZ- ORANGE SMILEY</t>
  </si>
  <si>
    <t>SRAL</t>
  </si>
  <si>
    <t>HI VIZ- RED ALIEN</t>
  </si>
  <si>
    <t>SRBA</t>
  </si>
  <si>
    <t>HI VIZ- RED BATS</t>
  </si>
  <si>
    <t>SRBU</t>
  </si>
  <si>
    <t>HI VIZ- RED BUTTERFLY</t>
  </si>
  <si>
    <t>SRCA</t>
  </si>
  <si>
    <t>HI VIZ- RED CATS</t>
  </si>
  <si>
    <t>SREL</t>
  </si>
  <si>
    <t>HI VIZ- RED ELEPHANT</t>
  </si>
  <si>
    <t>SRFE</t>
  </si>
  <si>
    <t>HI VIZ- RED FEET</t>
  </si>
  <si>
    <t>SRHE</t>
  </si>
  <si>
    <t>HI VIZ- RED HEARTS</t>
  </si>
  <si>
    <t>SRLI</t>
  </si>
  <si>
    <t>HI VIZ- RED LIPS</t>
  </si>
  <si>
    <t>SRLO</t>
  </si>
  <si>
    <t>HI VIZ- RED LOVE</t>
  </si>
  <si>
    <t>SRPE</t>
  </si>
  <si>
    <t>HI VIZ- RED PENGUIN</t>
  </si>
  <si>
    <t>SRRA</t>
  </si>
  <si>
    <t>HI VIZ- RED RABBITS</t>
  </si>
  <si>
    <t>SRSM</t>
  </si>
  <si>
    <t>HI VIZ- RED SMILEY</t>
  </si>
  <si>
    <t>SYAL</t>
  </si>
  <si>
    <t>HI VIZ- YELLOW ALIEN</t>
  </si>
  <si>
    <t>SYBA</t>
  </si>
  <si>
    <t>HI VIZ- YELLOW BATS</t>
  </si>
  <si>
    <t>SYBU</t>
  </si>
  <si>
    <t>HI VIZ- YELLOW BUTTERFLY</t>
  </si>
  <si>
    <t>SYCA</t>
  </si>
  <si>
    <t>HI VIZ- YELLOW CATS</t>
  </si>
  <si>
    <t>SYEL</t>
  </si>
  <si>
    <t>HI VIZ- YELLOW ELEPHANT</t>
  </si>
  <si>
    <t>SYFE</t>
  </si>
  <si>
    <t>HI VIZ- YELLOW FEET</t>
  </si>
  <si>
    <t>SYHE</t>
  </si>
  <si>
    <t>HI VIZ- YELLOW HEARTS</t>
  </si>
  <si>
    <t>SYLI</t>
  </si>
  <si>
    <t>HI VIZ- YELLOW LIPS</t>
  </si>
  <si>
    <t>SYLO</t>
  </si>
  <si>
    <t>HI VIZ- YELLOW LOVE</t>
  </si>
  <si>
    <t>SYPE</t>
  </si>
  <si>
    <t>HI VIZ- YELLOW PENGUIN</t>
  </si>
  <si>
    <t>SYRA</t>
  </si>
  <si>
    <t>HI VIZ- YELLOW RABBITS</t>
  </si>
  <si>
    <t>SYSM</t>
  </si>
  <si>
    <t>HI VIZ- YELLOW SMILEY</t>
  </si>
  <si>
    <t>TINZ7518</t>
  </si>
  <si>
    <t>HINGED COFFEE TIN - I COOK WITH WINE</t>
  </si>
  <si>
    <t>HIP11</t>
  </si>
  <si>
    <t>Hip Flask</t>
  </si>
  <si>
    <t>HIP04</t>
  </si>
  <si>
    <t>HIP FLASK - VINTAGE MAP</t>
  </si>
  <si>
    <t>00hm</t>
  </si>
  <si>
    <t>Historic Map Bookmark Set Up</t>
  </si>
  <si>
    <t>HMC002</t>
  </si>
  <si>
    <t>Historic Maps Slim Calendar</t>
  </si>
  <si>
    <t>HMC001</t>
  </si>
  <si>
    <t>Historic Maps Square Calendar</t>
  </si>
  <si>
    <t>HMC003</t>
  </si>
  <si>
    <t>Historic Maps Year Planner</t>
  </si>
  <si>
    <t>HSD</t>
  </si>
  <si>
    <t>Historical Sales Data</t>
  </si>
  <si>
    <t>HH03</t>
  </si>
  <si>
    <t>Hobby House - Baby Closet Dividers</t>
  </si>
  <si>
    <t>HH01</t>
  </si>
  <si>
    <t>Hobby House - Baby Milestones Set 1</t>
  </si>
  <si>
    <t>HH02</t>
  </si>
  <si>
    <t>Hobby House - Baby Milestones Set 2</t>
  </si>
  <si>
    <t>CS30</t>
  </si>
  <si>
    <t>Horses &amp; Stable Sleeve</t>
  </si>
  <si>
    <t>WFM005</t>
  </si>
  <si>
    <t>Hydrangea - Australian Made Wooden Fridge Magnet</t>
  </si>
  <si>
    <t>WK005</t>
  </si>
  <si>
    <t>Hydrangea - Australian Made Wooden Key Ring</t>
  </si>
  <si>
    <t>HBB05</t>
  </si>
  <si>
    <t>Hydrate, Bath &amp; Beauty Set Up Australian Natives &amp; Golden Wattle</t>
  </si>
  <si>
    <t>HBB02</t>
  </si>
  <si>
    <t>Hydrate, Bath &amp; Beauty Set Up Fruit</t>
  </si>
  <si>
    <t>HBB04</t>
  </si>
  <si>
    <t>Hydrate, Bath &amp; Beauty Set Up Fruit &amp; Strawberry Thief</t>
  </si>
  <si>
    <t>HBB01</t>
  </si>
  <si>
    <t>Hydrate, Bath &amp; Beauty Set Up Strawberry Thief</t>
  </si>
  <si>
    <t>HBB03</t>
  </si>
  <si>
    <t>Hydrate, Bath &amp; Beauty Set Up Water Lilies &amp; Sunflower</t>
  </si>
  <si>
    <t>CDUHBB</t>
  </si>
  <si>
    <t>Hydrate, Bath &amp; Beauty WDU</t>
  </si>
  <si>
    <t>ISW08</t>
  </si>
  <si>
    <t>Ice Silk Wrap - Falling Free</t>
  </si>
  <si>
    <t>ISW07</t>
  </si>
  <si>
    <t>Ice Silk Wrap - Quiet Blossom</t>
  </si>
  <si>
    <t>PUZZ6725</t>
  </si>
  <si>
    <t>IN TIN(150 PCS) - DIFFICULT CHILDHOODS</t>
  </si>
  <si>
    <t>PUZZ7157</t>
  </si>
  <si>
    <t>IN TIN(150 PCS) - IF I AGREED WITH YOU</t>
  </si>
  <si>
    <t>Incorrect Old SKU1</t>
  </si>
  <si>
    <t>Del2</t>
  </si>
  <si>
    <t>Incorrect Old SKU2</t>
  </si>
  <si>
    <t>Inspectors Blue</t>
  </si>
  <si>
    <t>Inspectors Green</t>
  </si>
  <si>
    <t>Inspectors Red</t>
  </si>
  <si>
    <t>RFS11630</t>
  </si>
  <si>
    <t>JACKS SET IN A BOX - HARLEQUIN</t>
  </si>
  <si>
    <t>C0038</t>
  </si>
  <si>
    <t>JACQUELINE WILSON BAGABOOK</t>
  </si>
  <si>
    <t>DICS07</t>
  </si>
  <si>
    <t>JIGSAW COUNTER SPINNER</t>
  </si>
  <si>
    <t>PUZZ6758</t>
  </si>
  <si>
    <t>JIGSAW IN TIN(150 PCS) - GUYS HAVE FEELINGS TOO!</t>
  </si>
  <si>
    <t>PUZZ6867</t>
  </si>
  <si>
    <t>JIGSAW IN TIN(150 PCS) - I PICK SHOES</t>
  </si>
  <si>
    <t>PUZZ6665</t>
  </si>
  <si>
    <t>JIGSAW IN TIN(150 PCS) - MY PROBLEM</t>
  </si>
  <si>
    <t>PUZZ6709</t>
  </si>
  <si>
    <t>JIGSAW IN TIN(150 PCS) - TOO MUCH CAFFEINE</t>
  </si>
  <si>
    <t>NBA6PC01</t>
  </si>
  <si>
    <t>Journal (Lockable) - Planet Cat (Great Thoughts)</t>
  </si>
  <si>
    <t>J16</t>
  </si>
  <si>
    <t>Journal - A5 Black Lined</t>
  </si>
  <si>
    <t>J18</t>
  </si>
  <si>
    <t>Journal - A5 Blush Lined</t>
  </si>
  <si>
    <t>J19</t>
  </si>
  <si>
    <t>Journal - A5 Emerald Lined</t>
  </si>
  <si>
    <t>J12</t>
  </si>
  <si>
    <t>Journal - A5 Fruit Blank</t>
  </si>
  <si>
    <t>J03</t>
  </si>
  <si>
    <t>Journal - A5 Fruit Lined</t>
  </si>
  <si>
    <t>J08</t>
  </si>
  <si>
    <t>Journal - A5 Hampton Stripe Lined</t>
  </si>
  <si>
    <t>J10</t>
  </si>
  <si>
    <t>Journal - A5 Kilburn Blank</t>
  </si>
  <si>
    <t>J06</t>
  </si>
  <si>
    <t>Journal - A5 Kilburn Lined</t>
  </si>
  <si>
    <t>J02</t>
  </si>
  <si>
    <t>Journal - A5 Larkspur Lined</t>
  </si>
  <si>
    <t>J07</t>
  </si>
  <si>
    <t>Journal - A5 Leopard Print Lined</t>
  </si>
  <si>
    <t>J17</t>
  </si>
  <si>
    <t>Journal - A5 Navy Lined</t>
  </si>
  <si>
    <t>J09</t>
  </si>
  <si>
    <t>Journal - A5 Peonie Rose Blank</t>
  </si>
  <si>
    <t>J05</t>
  </si>
  <si>
    <t>Journal - A5 Peonie Rose Lined</t>
  </si>
  <si>
    <t>J11</t>
  </si>
  <si>
    <t>Journal - A5 Strawberry Thief Blank</t>
  </si>
  <si>
    <t>J01</t>
  </si>
  <si>
    <t>Journal - A5 Strawberry Thief Lined</t>
  </si>
  <si>
    <t>J13</t>
  </si>
  <si>
    <t>Journal - A5 Strawberry Thief Red Lined</t>
  </si>
  <si>
    <t>J14</t>
  </si>
  <si>
    <t>Journal - A5 Sunflower Lined</t>
  </si>
  <si>
    <t>J15</t>
  </si>
  <si>
    <t>Journal - A5 Water Lilies Lined</t>
  </si>
  <si>
    <t>J04</t>
  </si>
  <si>
    <t>Journal - A5 Wild Tulip Lined</t>
  </si>
  <si>
    <t>JA602</t>
  </si>
  <si>
    <t>Journal - A6 Fruit</t>
  </si>
  <si>
    <t>JA604</t>
  </si>
  <si>
    <t>Journal - A6 Kilburn</t>
  </si>
  <si>
    <t>JA603</t>
  </si>
  <si>
    <t>Journal - A6 Peonie Rose</t>
  </si>
  <si>
    <t>JA601</t>
  </si>
  <si>
    <t>Journal - A6 Strawberry Thief</t>
  </si>
  <si>
    <t>JA607</t>
  </si>
  <si>
    <t>Journal - A6 Strawberry Thief Red</t>
  </si>
  <si>
    <t>JA605</t>
  </si>
  <si>
    <t>Journal - A6 Sunflowers</t>
  </si>
  <si>
    <t>JA606</t>
  </si>
  <si>
    <t>Journal - A6 Water Lilies</t>
  </si>
  <si>
    <t>J33</t>
  </si>
  <si>
    <t>Journal A5 - Enemies To Lovers</t>
  </si>
  <si>
    <t>J37</t>
  </si>
  <si>
    <t>Journal A5 - Falling Free</t>
  </si>
  <si>
    <t>J31</t>
  </si>
  <si>
    <t>Journal A5 - Fly Or Die</t>
  </si>
  <si>
    <t>J34</t>
  </si>
  <si>
    <t>Journal A5 - I Can Fix Him Or Join Him</t>
  </si>
  <si>
    <t>J32</t>
  </si>
  <si>
    <t>Journal A5 - I don't Kneel To Fae Kings</t>
  </si>
  <si>
    <t>J30</t>
  </si>
  <si>
    <t>Journal A5 - In My Romantasy Era</t>
  </si>
  <si>
    <t>J36</t>
  </si>
  <si>
    <t>Journal A5 - Quiet Blossom</t>
  </si>
  <si>
    <t>J35</t>
  </si>
  <si>
    <t>Journal A5 - To The Stars Who Listen</t>
  </si>
  <si>
    <t>JA612</t>
  </si>
  <si>
    <t>Journal A6 - Falling Free</t>
  </si>
  <si>
    <t>JA611</t>
  </si>
  <si>
    <t>Journal A6 - Quiet Blossom</t>
  </si>
  <si>
    <t>JA708</t>
  </si>
  <si>
    <t>Journal A7 w/ Pen - Falling Free</t>
  </si>
  <si>
    <t>JA707</t>
  </si>
  <si>
    <t>Journal A7 w/ Pen - Quiet Blossom</t>
  </si>
  <si>
    <t>NJCDU</t>
  </si>
  <si>
    <t>Journal CDU</t>
  </si>
  <si>
    <t>BOOKBC02</t>
  </si>
  <si>
    <t>Journal Flexibound 128pp: Beryl Cook (Naked Truth Journal)</t>
  </si>
  <si>
    <t>BOOKSP01</t>
  </si>
  <si>
    <t>Journal Flexibound 128pp: Spencer Wilson (Jog On Journal)</t>
  </si>
  <si>
    <t>WFM019</t>
  </si>
  <si>
    <t>Kangaroo - Australian Made Wooden Fridge Magnet</t>
  </si>
  <si>
    <t>WK019</t>
  </si>
  <si>
    <t>Kangaroo - Australian Made Wooden Key Ring</t>
  </si>
  <si>
    <t>WO042</t>
  </si>
  <si>
    <t>Kangaroo - Australian Made Wooden Ornament</t>
  </si>
  <si>
    <t>WO055</t>
  </si>
  <si>
    <t>Kangaroo Boxing - Australian Made Wooden Ornament</t>
  </si>
  <si>
    <t>WFM011</t>
  </si>
  <si>
    <t>Kangaroo Paw - Australian Made Wooden Fridge Magnet</t>
  </si>
  <si>
    <t>WK011</t>
  </si>
  <si>
    <t>Kangaroo Paw - Australian Made Wooden Key Ring</t>
  </si>
  <si>
    <t>WO051</t>
  </si>
  <si>
    <t>Kangaroo Surf - Australian Made Wooden Ornament</t>
  </si>
  <si>
    <t>KRWDU</t>
  </si>
  <si>
    <t>Key Ring Display</t>
  </si>
  <si>
    <t>KEYRING</t>
  </si>
  <si>
    <t>Key Ring with Clip</t>
  </si>
  <si>
    <t>KRDC</t>
  </si>
  <si>
    <t>Keyring Display Card</t>
  </si>
  <si>
    <t>KRCDU</t>
  </si>
  <si>
    <t>Keyring Rotating Display</t>
  </si>
  <si>
    <t>SM004</t>
  </si>
  <si>
    <t>Kids Animal Scratch Map</t>
  </si>
  <si>
    <t>C0070</t>
  </si>
  <si>
    <t>KINDLE CASE BAGABOOK RED WITH POCKET</t>
  </si>
  <si>
    <t>KSC002</t>
  </si>
  <si>
    <t>Kittens Sleeping Slim Calendar</t>
  </si>
  <si>
    <t>SWC002</t>
  </si>
  <si>
    <t>Kittens Sleeping Square Calendar</t>
  </si>
  <si>
    <t>KSC003</t>
  </si>
  <si>
    <t>Kittens Sleeping Year Planner</t>
  </si>
  <si>
    <t>WO065</t>
  </si>
  <si>
    <t>Kiwi - Australian Made Wooden Ornament</t>
  </si>
  <si>
    <t>WFM020</t>
  </si>
  <si>
    <t>Koala - Australian Made Wooden Fridge Magnet</t>
  </si>
  <si>
    <t>WK020</t>
  </si>
  <si>
    <t>Koala - Australian Made Wooden Key Ring</t>
  </si>
  <si>
    <t>WO043</t>
  </si>
  <si>
    <t>Koala - Australian Made Wooden Ornament</t>
  </si>
  <si>
    <t>WO053</t>
  </si>
  <si>
    <t>Koala Jet Ski  - Australian Made Wooden Ornament</t>
  </si>
  <si>
    <t>WO052</t>
  </si>
  <si>
    <t>Koala Surf - Australian Made Wooden Ornament</t>
  </si>
  <si>
    <t>WFM021</t>
  </si>
  <si>
    <t>Kookaburra - Australian Made Wooden Fridge Magnet</t>
  </si>
  <si>
    <t>xxWK021</t>
  </si>
  <si>
    <t>Kookaburra - Australian Made Wooden Key Ring</t>
  </si>
  <si>
    <t>WO044</t>
  </si>
  <si>
    <t>Kookaburra - Australian Made Wooden Ornament</t>
  </si>
  <si>
    <t>WK021</t>
  </si>
  <si>
    <t>Koookaburra - Australian Made Wooden Key Ring</t>
  </si>
  <si>
    <t>MT09</t>
  </si>
  <si>
    <t>Krafftman - 6-in-1 Pen</t>
  </si>
  <si>
    <t>MT06</t>
  </si>
  <si>
    <t>Krafftman - BBQ Multi Tool 5 in 1</t>
  </si>
  <si>
    <t>MT01</t>
  </si>
  <si>
    <t>Krafftman - Camping Utensils Multi Tool 7 in 1</t>
  </si>
  <si>
    <t>MT13</t>
  </si>
  <si>
    <t>Krafftman - Carabiner Mug - Escape The Ordinary</t>
  </si>
  <si>
    <t>MT14</t>
  </si>
  <si>
    <t>Krafftman - Carabiner Mug - Not All Who Wander</t>
  </si>
  <si>
    <t>MT15</t>
  </si>
  <si>
    <t>Krafftman - Carabiner Mug - The Adventure Awaits</t>
  </si>
  <si>
    <t>MT07</t>
  </si>
  <si>
    <t>Krafftman - Card Multi Tool 10 in 1</t>
  </si>
  <si>
    <t>MT05</t>
  </si>
  <si>
    <t>Krafftman - Compact Pliers Multi Tool 12 in 1</t>
  </si>
  <si>
    <t>MT10</t>
  </si>
  <si>
    <t>Krafftman - Enamel Mug - Adventure Fills The Soul</t>
  </si>
  <si>
    <t>MT11</t>
  </si>
  <si>
    <t>Krafftman - Enamel Mug - The Journeyman</t>
  </si>
  <si>
    <t>MT12</t>
  </si>
  <si>
    <t>Krafftman - Enamel Mug - Trip Stumble Fall</t>
  </si>
  <si>
    <t>TC005</t>
  </si>
  <si>
    <t>Krafftman - Grooming Set</t>
  </si>
  <si>
    <t>TC009</t>
  </si>
  <si>
    <t>Krafftman - Hammer Multi Tool 14 in 1</t>
  </si>
  <si>
    <t>MT04</t>
  </si>
  <si>
    <t>Krafftman - Pliers Multi Tool 12 in 1</t>
  </si>
  <si>
    <t>MT08</t>
  </si>
  <si>
    <t>Krafftman - Poker Set</t>
  </si>
  <si>
    <t>MT03</t>
  </si>
  <si>
    <t>Krafftman - Swiss Pocket Knife 28 in 1</t>
  </si>
  <si>
    <t>Kit1</t>
  </si>
  <si>
    <t>Krafftman Kit 1</t>
  </si>
  <si>
    <t>TC010</t>
  </si>
  <si>
    <t>Krafftman- Swiss Pocket Knife 15 in 1</t>
  </si>
  <si>
    <t>KPBAG</t>
  </si>
  <si>
    <t>Kraft Paper Bag 16x25cm</t>
  </si>
  <si>
    <t>KS02</t>
  </si>
  <si>
    <t>Kraft Shredded 1kg</t>
  </si>
  <si>
    <t>KS01</t>
  </si>
  <si>
    <t>Kraft Shredded Blue 1kg</t>
  </si>
  <si>
    <t>LSD</t>
  </si>
  <si>
    <t>Ladder Stand Display 30cmD x 50cmW x 165cmH</t>
  </si>
  <si>
    <t>WBLMSP</t>
  </si>
  <si>
    <t>Landmark Australian Made Wooden Bookmarks  72 Units</t>
  </si>
  <si>
    <t>LP001</t>
  </si>
  <si>
    <t>Laptop Pouch - Australian Natives</t>
  </si>
  <si>
    <t>LP002</t>
  </si>
  <si>
    <t>Laptop Pouch - Golden Wattle</t>
  </si>
  <si>
    <t>LP004</t>
  </si>
  <si>
    <t>Laptop Pouch - Monet Water Lilies</t>
  </si>
  <si>
    <t>LP003</t>
  </si>
  <si>
    <t>Laptop Pouch - Strawberry Thief Blue</t>
  </si>
  <si>
    <t>LP005</t>
  </si>
  <si>
    <t>Laptop Pouch - Van Gogh's Sunflowers</t>
  </si>
  <si>
    <t>CR053</t>
  </si>
  <si>
    <t>Large Hand Cream - Falling Free</t>
  </si>
  <si>
    <t>CR020</t>
  </si>
  <si>
    <t>Large Hand Cream - Fruit</t>
  </si>
  <si>
    <t>CR022</t>
  </si>
  <si>
    <t>Large Hand Cream - Monet Water Lilies</t>
  </si>
  <si>
    <t>CR052</t>
  </si>
  <si>
    <t>Large Hand Cream - Quiet Blossom</t>
  </si>
  <si>
    <t>CR019</t>
  </si>
  <si>
    <t>Large Hand Cream - Strawberry Thief</t>
  </si>
  <si>
    <t>CR021</t>
  </si>
  <si>
    <t>Large Hand Cream - Van Gogh Sunflowers</t>
  </si>
  <si>
    <t>WDULHC</t>
  </si>
  <si>
    <t>Large Hand Cream Display</t>
  </si>
  <si>
    <t>LHCSU</t>
  </si>
  <si>
    <t>Large Hand Cream Set Up</t>
  </si>
  <si>
    <t>LP02</t>
  </si>
  <si>
    <t>Large Pouch - Fruit</t>
  </si>
  <si>
    <t>LP04</t>
  </si>
  <si>
    <t>Large Pouch - Kilburn</t>
  </si>
  <si>
    <t>LP03</t>
  </si>
  <si>
    <t>Large Pouch - Peonie Rose</t>
  </si>
  <si>
    <t>LP01</t>
  </si>
  <si>
    <t>Large Pouch - Strawberry Thief</t>
  </si>
  <si>
    <t>LP05</t>
  </si>
  <si>
    <t>Large Pouch - Sunflowers</t>
  </si>
  <si>
    <t>LP06</t>
  </si>
  <si>
    <t>Large Pouch - Water Lilies</t>
  </si>
  <si>
    <t>RFS11907</t>
  </si>
  <si>
    <t>LARGE PU JOURNAL - BLACK</t>
  </si>
  <si>
    <t>RFS11908</t>
  </si>
  <si>
    <t>LARGE PU JOURNAL - BOWLING GREEN</t>
  </si>
  <si>
    <t>RFS11911</t>
  </si>
  <si>
    <t>LARGE PU JOURNAL - DEEP PURPLE</t>
  </si>
  <si>
    <t>RFS11913</t>
  </si>
  <si>
    <t>LARGE PU JOURNAL - JADE GREEN</t>
  </si>
  <si>
    <t>RFS11915</t>
  </si>
  <si>
    <t>LARGE PU JOURNAL - MIDNIGHT BLUE</t>
  </si>
  <si>
    <t>RFS12105</t>
  </si>
  <si>
    <t>LARGE PU JOURNAL - NICE PINK</t>
  </si>
  <si>
    <t>BGJLSP</t>
  </si>
  <si>
    <t>Large PU Journal Large Set Up 12 units</t>
  </si>
  <si>
    <t>WBL08</t>
  </si>
  <si>
    <t>Large Water Bottle - Falling Free</t>
  </si>
  <si>
    <t>WBL07</t>
  </si>
  <si>
    <t>Large Water Bottle - Quiet Blossom</t>
  </si>
  <si>
    <t>WBL06</t>
  </si>
  <si>
    <t>Large Water Bottle - Tropical Koala</t>
  </si>
  <si>
    <t>EM09</t>
  </si>
  <si>
    <t>Lavender Scented Eyemask - Black</t>
  </si>
  <si>
    <t>BH060</t>
  </si>
  <si>
    <t>Lavender Scented Eyemask - Bluhen Hampton Stripe</t>
  </si>
  <si>
    <t>BH061</t>
  </si>
  <si>
    <t>Lavender Scented Eyemask - Bluhen Kilburn</t>
  </si>
  <si>
    <t>EM08</t>
  </si>
  <si>
    <t>Lavender Scented Eyemask - Blush</t>
  </si>
  <si>
    <t>EM07</t>
  </si>
  <si>
    <t>Lavender Scented Eyemask - Monet's Water Lilies</t>
  </si>
  <si>
    <t>EM06</t>
  </si>
  <si>
    <t>Lavender Scented Eyemask - Van Gogh's Sunflowers</t>
  </si>
  <si>
    <t>EM01</t>
  </si>
  <si>
    <t>Lavender Scented Eyemask - William Morris Blue Larkspur</t>
  </si>
  <si>
    <t>EM02</t>
  </si>
  <si>
    <t>Lavender Scented Eyemask - William Morris Fruit</t>
  </si>
  <si>
    <t>EM03</t>
  </si>
  <si>
    <t>Lavender Scented Eyemask - William Morris Strawberry Thief</t>
  </si>
  <si>
    <t>EM05</t>
  </si>
  <si>
    <t>Lavender Scented Eyemask - William Morris Wild Tulip</t>
  </si>
  <si>
    <t>EM04</t>
  </si>
  <si>
    <t>Lavender Scented Eyemask William Morris Strawberry Thief Red</t>
  </si>
  <si>
    <t>Kit7</t>
  </si>
  <si>
    <t>Leopard Kit 1</t>
  </si>
  <si>
    <t>LETTER BOOK PLATES - A</t>
  </si>
  <si>
    <t>LETTER BOOK PLATES - B</t>
  </si>
  <si>
    <t>LETTER BOOK PLATES - C</t>
  </si>
  <si>
    <t>LETTER BOOK PLATES - D</t>
  </si>
  <si>
    <t>LETTER BOOK PLATES - E</t>
  </si>
  <si>
    <t>LETTER BOOK PLATES - H</t>
  </si>
  <si>
    <t>LETTER BOOK PLATES - J</t>
  </si>
  <si>
    <t>LETTER BOOK PLATES - K</t>
  </si>
  <si>
    <t>LETTER BOOK PLATES - L</t>
  </si>
  <si>
    <t>LETTER BOOK PLATES - M</t>
  </si>
  <si>
    <t>LETTER BOOK PLATES - R</t>
  </si>
  <si>
    <t>LETTER BOOK PLATES - S</t>
  </si>
  <si>
    <t>CDU415</t>
  </si>
  <si>
    <t>LETTER BOOKPLATES CDU</t>
  </si>
  <si>
    <t>SP415</t>
  </si>
  <si>
    <t>LETTER BOOKPLATES SET UP 36 PIECES</t>
  </si>
  <si>
    <t>LITTLE BOOK HOLDER - BLACK</t>
  </si>
  <si>
    <t>LITTLE BOOK HOLDER - BLUE</t>
  </si>
  <si>
    <t>LITTLE BOOK HOLDER - GREY</t>
  </si>
  <si>
    <t>LITTLE BOOK HOLDER - LILAC</t>
  </si>
  <si>
    <t>LITTLE BOOK HOLDER - MINT</t>
  </si>
  <si>
    <t>LITTLE BOOK HOLDER - PINK</t>
  </si>
  <si>
    <t>LITTLE BOOK HOLDER - WHITE</t>
  </si>
  <si>
    <t>SP70</t>
  </si>
  <si>
    <t>LITTLE BOOK HOLDER SET UP</t>
  </si>
  <si>
    <t>CDU7000C</t>
  </si>
  <si>
    <t>LITTLE BOOKHOLDER CDU</t>
  </si>
  <si>
    <t>SWC006</t>
  </si>
  <si>
    <t>Llama Love Calendar</t>
  </si>
  <si>
    <t>LM038</t>
  </si>
  <si>
    <t>Loudmouth - Barbie</t>
  </si>
  <si>
    <t>LM031</t>
  </si>
  <si>
    <t>Loudmouth - Batman</t>
  </si>
  <si>
    <t>LM024</t>
  </si>
  <si>
    <t>Loudmouth - Beyonce</t>
  </si>
  <si>
    <t>LM028</t>
  </si>
  <si>
    <t>Loudmouth - Boris</t>
  </si>
  <si>
    <t>LM026</t>
  </si>
  <si>
    <t>Loudmouth - Cher</t>
  </si>
  <si>
    <t>LM002</t>
  </si>
  <si>
    <t>Loudmouth - Christopher Walken</t>
  </si>
  <si>
    <t>LM003</t>
  </si>
  <si>
    <t>Loudmouth - Dame Edna</t>
  </si>
  <si>
    <t>LM022</t>
  </si>
  <si>
    <t>Loudmouth - Darth Vadar</t>
  </si>
  <si>
    <t>LM004</t>
  </si>
  <si>
    <t>Loudmouth - David Attenborough</t>
  </si>
  <si>
    <t>LM005</t>
  </si>
  <si>
    <t>Loudmouth - Donald Trump</t>
  </si>
  <si>
    <t>LM042</t>
  </si>
  <si>
    <t>Loudmouth - Donald Trump 18th</t>
  </si>
  <si>
    <t>LM043</t>
  </si>
  <si>
    <t>Loudmouth - Donald Trump 21st</t>
  </si>
  <si>
    <t>LM044</t>
  </si>
  <si>
    <t>Loudmouth - Donald Trump 30th</t>
  </si>
  <si>
    <t>LM045</t>
  </si>
  <si>
    <t>Loudmouth - Donald Trump 40th</t>
  </si>
  <si>
    <t>LM046</t>
  </si>
  <si>
    <t>Loudmouth - Donald Trump 50th</t>
  </si>
  <si>
    <t>LM047</t>
  </si>
  <si>
    <t>Loudmouth - Donald Trump 60th</t>
  </si>
  <si>
    <t>LM048</t>
  </si>
  <si>
    <t>Loudmouth - Donald Trump 70th</t>
  </si>
  <si>
    <t>LM049</t>
  </si>
  <si>
    <t>Loudmouth - Donald Trump 80th</t>
  </si>
  <si>
    <t>LM039</t>
  </si>
  <si>
    <t>Loudmouth - Dwayne Johnson</t>
  </si>
  <si>
    <t>LM006</t>
  </si>
  <si>
    <t>Loudmouth - Ed Sheeran</t>
  </si>
  <si>
    <t>LM041</t>
  </si>
  <si>
    <t>Loudmouth - Elon Musk</t>
  </si>
  <si>
    <t>LM027</t>
  </si>
  <si>
    <t>Loudmouth - Elvis</t>
  </si>
  <si>
    <t>LM007</t>
  </si>
  <si>
    <t>Loudmouth - Emma Stone</t>
  </si>
  <si>
    <t>LM034</t>
  </si>
  <si>
    <t>Loudmouth - Gandalf</t>
  </si>
  <si>
    <t>LM017</t>
  </si>
  <si>
    <t>Loudmouth - Harrison Ford</t>
  </si>
  <si>
    <t>LM029</t>
  </si>
  <si>
    <t>Loudmouth - Harry Potter</t>
  </si>
  <si>
    <t>LM009</t>
  </si>
  <si>
    <t>Loudmouth - Jack Nicholson</t>
  </si>
  <si>
    <t>LM025</t>
  </si>
  <si>
    <t>Loudmouth - Jack Sparrow</t>
  </si>
  <si>
    <t>LM010</t>
  </si>
  <si>
    <t>Loudmouth - Jon Snow</t>
  </si>
  <si>
    <t>LM037</t>
  </si>
  <si>
    <t>Loudmouth - Justin Bieber</t>
  </si>
  <si>
    <t>LM035</t>
  </si>
  <si>
    <t>Loudmouth - Kim Kardashian</t>
  </si>
  <si>
    <t>LM036</t>
  </si>
  <si>
    <t>Loudmouth - King Charles</t>
  </si>
  <si>
    <t>LM011</t>
  </si>
  <si>
    <t>Loudmouth - Liam Neeson</t>
  </si>
  <si>
    <t>LM012</t>
  </si>
  <si>
    <t>Loudmouth - Marilyn Monroe</t>
  </si>
  <si>
    <t>LM013</t>
  </si>
  <si>
    <t>Loudmouth - Matthew McConaughey</t>
  </si>
  <si>
    <t>LM014</t>
  </si>
  <si>
    <t>Loudmouth - Morgan Freeman</t>
  </si>
  <si>
    <t>LM001</t>
  </si>
  <si>
    <t>Loudmouth - Muhammad Ali</t>
  </si>
  <si>
    <t>LM015</t>
  </si>
  <si>
    <t>Loudmouth - Pink</t>
  </si>
  <si>
    <t>LM018</t>
  </si>
  <si>
    <t>Loudmouth - Professor Snape</t>
  </si>
  <si>
    <t>LM040</t>
  </si>
  <si>
    <t>Loudmouth - Ryan Gosling</t>
  </si>
  <si>
    <t>LM016</t>
  </si>
  <si>
    <t>Loudmouth - Sean Connery</t>
  </si>
  <si>
    <t>LM032</t>
  </si>
  <si>
    <t>Loudmouth - Spiderman</t>
  </si>
  <si>
    <t>LM019</t>
  </si>
  <si>
    <t>Loudmouth - Taylor Swift</t>
  </si>
  <si>
    <t>LM008</t>
  </si>
  <si>
    <t>Loudmouth - The Godfather</t>
  </si>
  <si>
    <t>LM021</t>
  </si>
  <si>
    <t>Loudmouth - The Queen</t>
  </si>
  <si>
    <t>LM023</t>
  </si>
  <si>
    <t>Loudmouth - The Terminator</t>
  </si>
  <si>
    <t>LM020</t>
  </si>
  <si>
    <t>Loudmouth - Thor</t>
  </si>
  <si>
    <t>LM030</t>
  </si>
  <si>
    <t>Loudmouth - Voldemort</t>
  </si>
  <si>
    <t>LM033</t>
  </si>
  <si>
    <t>Loudmouth - Yoda</t>
  </si>
  <si>
    <t>LMSU</t>
  </si>
  <si>
    <t>Loudmouth Sounds Cards Set Up</t>
  </si>
  <si>
    <t>LMWS</t>
  </si>
  <si>
    <t>Loudmouth Wire Spinner</t>
  </si>
  <si>
    <t>LS</t>
  </si>
  <si>
    <t>LOVE STORIES</t>
  </si>
  <si>
    <t>SWS004</t>
  </si>
  <si>
    <t>LOVE YOU</t>
  </si>
  <si>
    <t>LYB001</t>
  </si>
  <si>
    <t>Love You Dad</t>
  </si>
  <si>
    <t>LYB004</t>
  </si>
  <si>
    <t>Love You Grandma</t>
  </si>
  <si>
    <t>LYB003</t>
  </si>
  <si>
    <t>Love You Grandpa</t>
  </si>
  <si>
    <t>LYB002</t>
  </si>
  <si>
    <t>Love You Mum</t>
  </si>
  <si>
    <t>CDU70</t>
  </si>
  <si>
    <t>LTTLE BOOK HOLDER CDU</t>
  </si>
  <si>
    <t>LB03</t>
  </si>
  <si>
    <t>Lunch Bag - Fruit</t>
  </si>
  <si>
    <t>LB01</t>
  </si>
  <si>
    <t>Lunch Bag - Larkspur</t>
  </si>
  <si>
    <t>LB06</t>
  </si>
  <si>
    <t>Lunch Bag - Leopard Print</t>
  </si>
  <si>
    <t>LB05</t>
  </si>
  <si>
    <t>Lunch Bag - Peonie Rose</t>
  </si>
  <si>
    <t>LB02</t>
  </si>
  <si>
    <t>Lunch Bag - Strawberry Thief</t>
  </si>
  <si>
    <t>LB04</t>
  </si>
  <si>
    <t>Lunch Bag - Wild Tulip</t>
  </si>
  <si>
    <t>WM014</t>
  </si>
  <si>
    <t>Lunch Bag - William Morris (Grey Larkspur)</t>
  </si>
  <si>
    <t>WM005</t>
  </si>
  <si>
    <t>Lunch bag - William Morris (Mint Larkspur)</t>
  </si>
  <si>
    <t>WM013</t>
  </si>
  <si>
    <t>Lunch Bag - William Morris (Peach Larkspur)</t>
  </si>
  <si>
    <t>WM031</t>
  </si>
  <si>
    <t>Lunch Bag - William Morris Lavender Strawberry Thief</t>
  </si>
  <si>
    <t>WM032</t>
  </si>
  <si>
    <t>Lunch Bag - William Morris Sweet Briar</t>
  </si>
  <si>
    <t>CR012</t>
  </si>
  <si>
    <t>Luxury Bath Salts - Fruit</t>
  </si>
  <si>
    <t>CR014</t>
  </si>
  <si>
    <t>Luxury Bath Salts - Monet Water Lilies</t>
  </si>
  <si>
    <t>CR011</t>
  </si>
  <si>
    <t>Luxury Bath Salts - Strawberry Thief</t>
  </si>
  <si>
    <t>CR013</t>
  </si>
  <si>
    <t>Luxury Bath Salts - Van Gogh Sunflowers</t>
  </si>
  <si>
    <t>MMEM6829</t>
  </si>
  <si>
    <t>MAG PAD - DRINKING CAN CAUSE</t>
  </si>
  <si>
    <t>MMEM7661</t>
  </si>
  <si>
    <t>MAG PAD - I CAN ONLY PLEASE</t>
  </si>
  <si>
    <t>MMEM7537</t>
  </si>
  <si>
    <t>MAG PAD - MAKE CHOCOLATE CAKE</t>
  </si>
  <si>
    <t>MMEM6737</t>
  </si>
  <si>
    <t>MAG PAD - THE HOURS BETWEEN</t>
  </si>
  <si>
    <t>MPOT8545</t>
  </si>
  <si>
    <t>MAG PEN POT - OF COURSE I LOVE YOU</t>
  </si>
  <si>
    <t>MAG SONGWRITERS KIT - BLUES</t>
  </si>
  <si>
    <t>MAG SONGWRITERS KIT - COUNTRY</t>
  </si>
  <si>
    <t>MAG SONGWRITERS KIT - GIRL GROUP</t>
  </si>
  <si>
    <t>MAG SONGWRITERS KIT - HEAVY METAL</t>
  </si>
  <si>
    <t>MAG SONGWRITERS KIT - HIP HOP</t>
  </si>
  <si>
    <t>MAG SONGWRITERS KIT - POWER BALLADS</t>
  </si>
  <si>
    <t>RFS10908</t>
  </si>
  <si>
    <t>MAGIC BALL &amp; VASE SET IN A BOX</t>
  </si>
  <si>
    <t>RFS10909</t>
  </si>
  <si>
    <t>MAGIC COIN CASE SET IN A BOX</t>
  </si>
  <si>
    <t>RFS10911</t>
  </si>
  <si>
    <t>MAGIC CUP &amp; BALL SET IN A BOX</t>
  </si>
  <si>
    <t>RFS11046</t>
  </si>
  <si>
    <t>MAGIC ROPE TRICK</t>
  </si>
  <si>
    <t>RFS10912</t>
  </si>
  <si>
    <t>MAGIC SPIKED COIN SET IN A BOX</t>
  </si>
  <si>
    <t>MG7020</t>
  </si>
  <si>
    <t>MAGNET - CHILDREN:THE GIFT THAT KEEPS ON TAKING</t>
  </si>
  <si>
    <t>MG6725</t>
  </si>
  <si>
    <t>MAGNET - DIFFICULT CHILDHOODS</t>
  </si>
  <si>
    <t>EPH9250</t>
  </si>
  <si>
    <t>MAGNET - DRINK COFFEE , DO STUPID THINGS</t>
  </si>
  <si>
    <t>MG6758</t>
  </si>
  <si>
    <t>MAGNET - GUYS HAVE FEELINGS TOO!</t>
  </si>
  <si>
    <t>MG7004</t>
  </si>
  <si>
    <t>MAGNET - HIDING EVERYTHING IS SO MUCH</t>
  </si>
  <si>
    <t>MG6661</t>
  </si>
  <si>
    <t>MAGNET - HIPSTERS ARE WHAT</t>
  </si>
  <si>
    <t>MG6017</t>
  </si>
  <si>
    <t>MAGNET - HOORAY !</t>
  </si>
  <si>
    <t>MG7661</t>
  </si>
  <si>
    <t>MAGNET - I CAN ONLY PLEASE ONE PERSON PER</t>
  </si>
  <si>
    <t>MG6709</t>
  </si>
  <si>
    <t>MAGNET - I CAN TELL I'VE HAD TOO MUCH</t>
  </si>
  <si>
    <t>MG7518</t>
  </si>
  <si>
    <t>MAGNET - I COOK WITH WINE</t>
  </si>
  <si>
    <t>MG7073</t>
  </si>
  <si>
    <t>MAGNET - I DRINK COFFEE BECAUSE I NEED IT</t>
  </si>
  <si>
    <t>EPH8077</t>
  </si>
  <si>
    <t>MAGNET - I HAD A MIND ONCE</t>
  </si>
  <si>
    <t>MG6917</t>
  </si>
  <si>
    <t>MAGNET - I JUST WANT PEOPLE</t>
  </si>
  <si>
    <t>MG6728</t>
  </si>
  <si>
    <t>MAGNET - I LIKETO THINK COFFEE</t>
  </si>
  <si>
    <t>MG6727</t>
  </si>
  <si>
    <t>MAGNET - I LOOKED UP</t>
  </si>
  <si>
    <t>MG6663</t>
  </si>
  <si>
    <t>MAGNET - I MAKE BAD DECISIONS</t>
  </si>
  <si>
    <t>MG6614</t>
  </si>
  <si>
    <t>MAGNET - I TRIED BEING NICE</t>
  </si>
  <si>
    <t>MG6963</t>
  </si>
  <si>
    <t>MAGNET - I'M NOT OLD. I'M RETRO</t>
  </si>
  <si>
    <t>MG7402</t>
  </si>
  <si>
    <t>MAGNET - IF YOU WANT TO CHANGE MAN</t>
  </si>
  <si>
    <t>MG05</t>
  </si>
  <si>
    <t>MAGNET - IT'S NOT REALLY HOARDING</t>
  </si>
  <si>
    <t>EPH9366</t>
  </si>
  <si>
    <t>MAGNET - ITS BETTER TO HAVE LOVED</t>
  </si>
  <si>
    <t>MG6984</t>
  </si>
  <si>
    <t>MAGNET - LET ME GET THIS STRAIGHT</t>
  </si>
  <si>
    <t>MG7537</t>
  </si>
  <si>
    <t>MAGNET - MAKE CHOCOLATE CAKE</t>
  </si>
  <si>
    <t>MG6869</t>
  </si>
  <si>
    <t>MAGNET - MY FANTASY</t>
  </si>
  <si>
    <t>EPH7978</t>
  </si>
  <si>
    <t>MAGNET - MY KIDS DRIVE ME CRAZY</t>
  </si>
  <si>
    <t>MG6665</t>
  </si>
  <si>
    <t>MAGNET - MY PROBLEM IS</t>
  </si>
  <si>
    <t>MG6824</t>
  </si>
  <si>
    <t>MAGNET - NEVER LAUGH</t>
  </si>
  <si>
    <t>MG7998</t>
  </si>
  <si>
    <t>MAGNET - OH. I 'M SORRY YOU MUST BE</t>
  </si>
  <si>
    <t>MG6858</t>
  </si>
  <si>
    <t>MAGNET - PEOPLE WHO GO</t>
  </si>
  <si>
    <t>EPH8528</t>
  </si>
  <si>
    <t>MAGNET - QUEEN OF EVERYTHING</t>
  </si>
  <si>
    <t>MG7023</t>
  </si>
  <si>
    <t>MAGNET - SMILE AND THE WORLD THINKS</t>
  </si>
  <si>
    <t>MG6919</t>
  </si>
  <si>
    <t>MAGNET - SOMETIMES I WRESTLE WITH MY DEMONS</t>
  </si>
  <si>
    <t>MG7539</t>
  </si>
  <si>
    <t>MAGNET - TEQUILA!</t>
  </si>
  <si>
    <t>MG6737</t>
  </si>
  <si>
    <t>MAGNET - THE HOURS BETWEEN</t>
  </si>
  <si>
    <t>MG02</t>
  </si>
  <si>
    <t>MAGNET - THE OLDER I GET</t>
  </si>
  <si>
    <t>MG7492</t>
  </si>
  <si>
    <t>MAGNET - TO SAVE TIME</t>
  </si>
  <si>
    <t>MG7528</t>
  </si>
  <si>
    <t>MAGNET - TRY ORGANIC FOOD</t>
  </si>
  <si>
    <t>MG7517</t>
  </si>
  <si>
    <t>MAGNET - WINE!</t>
  </si>
  <si>
    <t>MG11</t>
  </si>
  <si>
    <t>MAGNET - YEAH, I'M INTO FITNESS</t>
  </si>
  <si>
    <t>MG8298</t>
  </si>
  <si>
    <t>MAGNET - YOU'RE NEVER TOO OLD TO LAUGH AT</t>
  </si>
  <si>
    <t>mg7154</t>
  </si>
  <si>
    <t>MAGNET -START THE DAY WITH A SMILE</t>
  </si>
  <si>
    <t>MG30</t>
  </si>
  <si>
    <t>Magnet 30x30mm</t>
  </si>
  <si>
    <t>FMWDU</t>
  </si>
  <si>
    <t>Magnet Display</t>
  </si>
  <si>
    <t>DICD35B</t>
  </si>
  <si>
    <t>MAGNET DISPLAY 16 HOOK</t>
  </si>
  <si>
    <t>FMWDU2</t>
  </si>
  <si>
    <t>Magnet Display 2</t>
  </si>
  <si>
    <t>MGDC</t>
  </si>
  <si>
    <t>Magnet Display Card</t>
  </si>
  <si>
    <t>DICD35BS</t>
  </si>
  <si>
    <t>Magnet Display Stand Set UP 96 units</t>
  </si>
  <si>
    <t>DISDO3</t>
  </si>
  <si>
    <t>MAGNET SPINNER COUNTER</t>
  </si>
  <si>
    <t>MG6582</t>
  </si>
  <si>
    <t>MAGNET-A RECENT STUDY</t>
  </si>
  <si>
    <t>MG6013</t>
  </si>
  <si>
    <t>MAGNET-BOTH OF US</t>
  </si>
  <si>
    <t>MG6643</t>
  </si>
  <si>
    <t>MAGNET-I INVENTED A NEW YOGA</t>
  </si>
  <si>
    <t>MG6587</t>
  </si>
  <si>
    <t>MAGNET-I'VE BEEN ON A DIET</t>
  </si>
  <si>
    <t>MG6714</t>
  </si>
  <si>
    <t>MAGNET-NO-ONE LOOKS BACK ON A LIFE</t>
  </si>
  <si>
    <t>RFS11634</t>
  </si>
  <si>
    <t>Magnetic Dart Board</t>
  </si>
  <si>
    <t>MCB</t>
  </si>
  <si>
    <t>Magnetic Roll Up Chess &amp; Backgammon</t>
  </si>
  <si>
    <t>MLS</t>
  </si>
  <si>
    <t>Magnetic Roll Up Ludo + Snakes &amp; Ladders</t>
  </si>
  <si>
    <t>RFS9568</t>
  </si>
  <si>
    <t>MAGNETIC SHOPPING PLANNER - VINTAGE MAP</t>
  </si>
  <si>
    <t>MAGNIFYING BOOKMARK</t>
  </si>
  <si>
    <t>MBAVR21</t>
  </si>
  <si>
    <t>MAKE UP BAG - FACIAL FIRST</t>
  </si>
  <si>
    <t>MBAVR5</t>
  </si>
  <si>
    <t>MAKE UP BAG - GIRLS LIKE US</t>
  </si>
  <si>
    <t>MBA36062</t>
  </si>
  <si>
    <t>MAKE UP BAG - SO BLOODY BLONDE NEW</t>
  </si>
  <si>
    <t>MBA6025</t>
  </si>
  <si>
    <t>MAKE UP BAG ABSOLUTELY GORGEOUS</t>
  </si>
  <si>
    <t>MCDU</t>
  </si>
  <si>
    <t>Manicure CDU</t>
  </si>
  <si>
    <t>MCS010</t>
  </si>
  <si>
    <t>Manicure Set - Black</t>
  </si>
  <si>
    <t>MCS011</t>
  </si>
  <si>
    <t>Manicure Set - Blush</t>
  </si>
  <si>
    <t>MCS005</t>
  </si>
  <si>
    <t>Manicure Set - Fruit William Morris</t>
  </si>
  <si>
    <t>MCS001</t>
  </si>
  <si>
    <t>Manicure Set - Leopard</t>
  </si>
  <si>
    <t>MCS002</t>
  </si>
  <si>
    <t>Manicure Set - Pink Polka Dots</t>
  </si>
  <si>
    <t>MCS007</t>
  </si>
  <si>
    <t>Manicure Set - Strawberry Thief Red</t>
  </si>
  <si>
    <t>MCS004</t>
  </si>
  <si>
    <t>Manicure Set - Strawberry Thief William Morris</t>
  </si>
  <si>
    <t>MCS008</t>
  </si>
  <si>
    <t>Manicure Set - Sunflowers</t>
  </si>
  <si>
    <t>MCS009</t>
  </si>
  <si>
    <t>Manicure Set - Water Lilies</t>
  </si>
  <si>
    <t>MCS003</t>
  </si>
  <si>
    <t>Manicure Set - Wild Tulip William Morris</t>
  </si>
  <si>
    <t>WM025</t>
  </si>
  <si>
    <t>Manicure Set - William Morris Lavender Strawberry Thief</t>
  </si>
  <si>
    <t>MCS006</t>
  </si>
  <si>
    <t>Manicure Set - William Morris Mint Larkspur</t>
  </si>
  <si>
    <t>WM010</t>
  </si>
  <si>
    <t>Manicure Set - William Morris Rose Gold Larkspur</t>
  </si>
  <si>
    <t>WM026</t>
  </si>
  <si>
    <t>Manicure Set - William Morris Sweet Briar</t>
  </si>
  <si>
    <t>MSU1</t>
  </si>
  <si>
    <t>Manicure Set Up Bluhen</t>
  </si>
  <si>
    <t>CDUMS</t>
  </si>
  <si>
    <t>Manicure Sets WDU</t>
  </si>
  <si>
    <t>MA027</t>
  </si>
  <si>
    <t>Manitools - 2 in 1 Cleaner and Pusher</t>
  </si>
  <si>
    <t>MA001</t>
  </si>
  <si>
    <t>Manitools - 2 in 1 Cuticle Pusher and File</t>
  </si>
  <si>
    <t>MA012</t>
  </si>
  <si>
    <t>Manitools - Baby Emery Boards - Fine/ Extra Fine - 3pk</t>
  </si>
  <si>
    <t>MA032</t>
  </si>
  <si>
    <t>Manitools - Baby Nail Clippers with Nail File</t>
  </si>
  <si>
    <t>MA008</t>
  </si>
  <si>
    <t>Manitools - Baby Safety Scissors</t>
  </si>
  <si>
    <t>MA030</t>
  </si>
  <si>
    <t>Manitools - Chiropody Pliers 100mm</t>
  </si>
  <si>
    <t>MA017</t>
  </si>
  <si>
    <t>Manitools - Crystal Nail File</t>
  </si>
  <si>
    <t>MA031</t>
  </si>
  <si>
    <t>Manitools - Cuticle Clippers</t>
  </si>
  <si>
    <t>MA037</t>
  </si>
  <si>
    <t>Manitools - Cuticle Scissors Curved</t>
  </si>
  <si>
    <t>MA039</t>
  </si>
  <si>
    <t>Manitools - Cuticle Scissors Curved Extra Large Grip</t>
  </si>
  <si>
    <t>MA038</t>
  </si>
  <si>
    <t>Manitools - Cuticle Scissors Straight</t>
  </si>
  <si>
    <t>MA029</t>
  </si>
  <si>
    <t>Manitools - Cuticle Sticks 10pk</t>
  </si>
  <si>
    <t>MA028</t>
  </si>
  <si>
    <t>Manitools - Cuticle Trimmer and Pusher</t>
  </si>
  <si>
    <t>MA019</t>
  </si>
  <si>
    <t>Manitools - Emery Boards 120mm - Coarse/Fine - 8pk</t>
  </si>
  <si>
    <t>MA018</t>
  </si>
  <si>
    <t>Manitools - Emery Boards 170mm - Coarse/Fine - 8pk</t>
  </si>
  <si>
    <t>MA046</t>
  </si>
  <si>
    <t>Manitools - Eyebrow Tweezer - Scissor Style</t>
  </si>
  <si>
    <t>MA045</t>
  </si>
  <si>
    <t>Manitools - Eyelash Curler</t>
  </si>
  <si>
    <t>MA048</t>
  </si>
  <si>
    <t>Manitools - Eyelash Curler with Comb</t>
  </si>
  <si>
    <t>MA042</t>
  </si>
  <si>
    <t>Manitools - Flat Tweezers</t>
  </si>
  <si>
    <t>MA041</t>
  </si>
  <si>
    <t>Manitools - Flat Tweezers - Gold Tipped</t>
  </si>
  <si>
    <t>MA023</t>
  </si>
  <si>
    <t>Manitools - Grooming Set 4pcs</t>
  </si>
  <si>
    <t>MA050</t>
  </si>
  <si>
    <t>Manitools - Hairdressing Thinning Scissors Gold Plated Handle</t>
  </si>
  <si>
    <t>MA021</t>
  </si>
  <si>
    <t>Manitools - Maxi Buffer</t>
  </si>
  <si>
    <t>MA022</t>
  </si>
  <si>
    <t>Manitools - Miracle Shiner 2pk</t>
  </si>
  <si>
    <t>MA036</t>
  </si>
  <si>
    <t>Manitools - Nail Clippers with Nail File 6cm</t>
  </si>
  <si>
    <t>MA006</t>
  </si>
  <si>
    <t>Manitools - Nail Scissors Curved</t>
  </si>
  <si>
    <t>MA007</t>
  </si>
  <si>
    <t>Manitools - Nail Scissors Curved Extra Large</t>
  </si>
  <si>
    <t>MA005</t>
  </si>
  <si>
    <t>Manitools - Nail Scissors Straight</t>
  </si>
  <si>
    <t>MA016</t>
  </si>
  <si>
    <t>Manitools - Nail Shaper - 2pk</t>
  </si>
  <si>
    <t>MA014</t>
  </si>
  <si>
    <t>Manitools - Nail Shaper - Coarse Medium - 2pk</t>
  </si>
  <si>
    <t>MA015</t>
  </si>
  <si>
    <t>Manitools - Nail Shaper - Extra Fine/Fine - 2pk</t>
  </si>
  <si>
    <t>MA013</t>
  </si>
  <si>
    <t>Manitools - Nail Shaper - Medium/Fine - 2pk</t>
  </si>
  <si>
    <t>MA020</t>
  </si>
  <si>
    <t>Manitools - Nail Shapers 140mm - Medium/Fine 2pk</t>
  </si>
  <si>
    <t>MA047</t>
  </si>
  <si>
    <t>Manitools - Nasal Safety Scissors</t>
  </si>
  <si>
    <t>MA009</t>
  </si>
  <si>
    <t>Manitools - Nurse's Scissors</t>
  </si>
  <si>
    <t>MA040</t>
  </si>
  <si>
    <t>Manitools - Pimple and Blackhead Remover</t>
  </si>
  <si>
    <t>MA011</t>
  </si>
  <si>
    <t>Manitools - Point Tweezers</t>
  </si>
  <si>
    <t>MA043</t>
  </si>
  <si>
    <t>Manitools - Precise Grip Tweezers</t>
  </si>
  <si>
    <t>MA010</t>
  </si>
  <si>
    <t>Manitools - Precision Tweezers</t>
  </si>
  <si>
    <t>MA024</t>
  </si>
  <si>
    <t>Manitools - Sapphire Nail File No.1 9cm</t>
  </si>
  <si>
    <t>MA025</t>
  </si>
  <si>
    <t>Manitools - Sapphire Nail File No.2 13cm</t>
  </si>
  <si>
    <t>MA026</t>
  </si>
  <si>
    <t>Manitools - Sapphire Nail File No.5 18cm</t>
  </si>
  <si>
    <t>MA003</t>
  </si>
  <si>
    <t>Manitools - Soft Touch Baby Nail Clipper</t>
  </si>
  <si>
    <t>MA044</t>
  </si>
  <si>
    <t>Manitools - Soft Touch Tweezer Slant Tips</t>
  </si>
  <si>
    <t>MA002</t>
  </si>
  <si>
    <t>Manitools - Stainless Steel Pedicure File</t>
  </si>
  <si>
    <t>MA033</t>
  </si>
  <si>
    <t>Manitools - Toe Nail Clippers with Nail File</t>
  </si>
  <si>
    <t>MA034</t>
  </si>
  <si>
    <t>Manitools - Toe Nail Clippers with Nail File and Catcher</t>
  </si>
  <si>
    <t>MA035</t>
  </si>
  <si>
    <t>Manitools - Toe Nail Clippers with Nail File and Key Chain</t>
  </si>
  <si>
    <t>MA004</t>
  </si>
  <si>
    <t>Manitools - Toenail Scissors</t>
  </si>
  <si>
    <t>MA049</t>
  </si>
  <si>
    <t>Manitools -Hairdressing Scissors Gold Plated Handle</t>
  </si>
  <si>
    <t>MBM008</t>
  </si>
  <si>
    <t>Map Bkmk - Alexander the Great</t>
  </si>
  <si>
    <t>MBM004</t>
  </si>
  <si>
    <t>Map Bkmk - Australia</t>
  </si>
  <si>
    <t>MBM006</t>
  </si>
  <si>
    <t>Map Bkmk - British Empire</t>
  </si>
  <si>
    <t>MBM002</t>
  </si>
  <si>
    <t>Map Bkmk - Cantino</t>
  </si>
  <si>
    <t>MBM005</t>
  </si>
  <si>
    <t>Map Bkmk - Chinese World</t>
  </si>
  <si>
    <t>MBM003</t>
  </si>
  <si>
    <t>Map Bkmk - Dutch World</t>
  </si>
  <si>
    <t>MBM001</t>
  </si>
  <si>
    <t>Map Bkmk - Frau Mauro</t>
  </si>
  <si>
    <t>MBM009</t>
  </si>
  <si>
    <t>Map Bkmk - New Zealand</t>
  </si>
  <si>
    <t>MBM007</t>
  </si>
  <si>
    <t>Map Bkmk - Roman Empire</t>
  </si>
  <si>
    <t>MBM010</t>
  </si>
  <si>
    <t>Map Bkmk - USA Original 13 States</t>
  </si>
  <si>
    <t>MBMSP</t>
  </si>
  <si>
    <t>Map Bookmark Set Up 60 units</t>
  </si>
  <si>
    <t>CDUMBM</t>
  </si>
  <si>
    <t>MAP BOOKMARKS DISPLAY</t>
  </si>
  <si>
    <t>CDUMN</t>
  </si>
  <si>
    <t>MARANDA NOTEBOOK DISPLAY</t>
  </si>
  <si>
    <t>MPUCM24</t>
  </si>
  <si>
    <t>Maranda Pu Compact Mirrors</t>
  </si>
  <si>
    <t>MPUPB24</t>
  </si>
  <si>
    <t>Maranda Pu Pill Boxes</t>
  </si>
  <si>
    <t>CDUMT</t>
  </si>
  <si>
    <t>MARANDA TORCHES DISPLAY</t>
  </si>
  <si>
    <t>T2J</t>
  </si>
  <si>
    <t>MERRY CHRISTMAS - THIS IS YOUR ELF</t>
  </si>
  <si>
    <t>MYSD</t>
  </si>
  <si>
    <t>MESSAGES - ON YOUR SPECIAL DAY</t>
  </si>
  <si>
    <t>MWYG</t>
  </si>
  <si>
    <t>MESSAGES - WHILE YOU GROW</t>
  </si>
  <si>
    <t>MWYA</t>
  </si>
  <si>
    <t>MESSAGES - WHILE YOU'RE AWAY</t>
  </si>
  <si>
    <t>MIN006</t>
  </si>
  <si>
    <t>Mi Note Amelia</t>
  </si>
  <si>
    <t>MINBLUE</t>
  </si>
  <si>
    <t>Mi Note BLUE</t>
  </si>
  <si>
    <t>MIN009</t>
  </si>
  <si>
    <t>Mi Note Noir</t>
  </si>
  <si>
    <t>MIN008</t>
  </si>
  <si>
    <t>Mi Note Piano</t>
  </si>
  <si>
    <t>MIN007</t>
  </si>
  <si>
    <t>Mi Note Sophia</t>
  </si>
  <si>
    <t>MT151</t>
  </si>
  <si>
    <t>MI Torch - Poetry</t>
  </si>
  <si>
    <t>MTK48</t>
  </si>
  <si>
    <t>Mi Torch 8 Designs Kimono Setup 48 units</t>
  </si>
  <si>
    <t>MTF48</t>
  </si>
  <si>
    <t>Mi Torch 8 Francois Setup 48 units</t>
  </si>
  <si>
    <t>MTG48</t>
  </si>
  <si>
    <t>Mi Torch 8 Glamour Setup 48 units</t>
  </si>
  <si>
    <t>MT115</t>
  </si>
  <si>
    <t>Mi Torch Amelia</t>
  </si>
  <si>
    <t>MT242</t>
  </si>
  <si>
    <t>Mi Torch Arc de Triomphe</t>
  </si>
  <si>
    <t>MT247</t>
  </si>
  <si>
    <t>Mi Torch Boulevard Cafe</t>
  </si>
  <si>
    <t>MT255</t>
  </si>
  <si>
    <t>Mi Torch Butterfly Silk</t>
  </si>
  <si>
    <t>MT250</t>
  </si>
  <si>
    <t>Mi Torch China Blue</t>
  </si>
  <si>
    <t>MT244</t>
  </si>
  <si>
    <t>Mi Torch Eiffel Tower Cafe</t>
  </si>
  <si>
    <t>MT253</t>
  </si>
  <si>
    <t>Mi Torch Grace</t>
  </si>
  <si>
    <t>MT119</t>
  </si>
  <si>
    <t>Mi Torch Le Jardin</t>
  </si>
  <si>
    <t>MT150</t>
  </si>
  <si>
    <t>Mi Torch Magnolia</t>
  </si>
  <si>
    <t>MT221</t>
  </si>
  <si>
    <t>Mi Torch Mystique</t>
  </si>
  <si>
    <t>MT112</t>
  </si>
  <si>
    <t>Mi Torch Noir</t>
  </si>
  <si>
    <t>MT223</t>
  </si>
  <si>
    <t>Mi Torch Oriental Rose</t>
  </si>
  <si>
    <t>MT251</t>
  </si>
  <si>
    <t>Mi Torch Painted Silk</t>
  </si>
  <si>
    <t>MT254</t>
  </si>
  <si>
    <t>Mi Torch Paper Lanterns</t>
  </si>
  <si>
    <t>MT252</t>
  </si>
  <si>
    <t>Mi Torch Peacock Blue</t>
  </si>
  <si>
    <t>MT152</t>
  </si>
  <si>
    <t>Mi Torch Piano</t>
  </si>
  <si>
    <t>MT222</t>
  </si>
  <si>
    <t>Mi Torch Pimlico with flowers</t>
  </si>
  <si>
    <t>MT240</t>
  </si>
  <si>
    <t>Mi Torch Pinot Noir</t>
  </si>
  <si>
    <t>MT114</t>
  </si>
  <si>
    <t>Mi Torch Sophia</t>
  </si>
  <si>
    <t>MT243</t>
  </si>
  <si>
    <t>Mi Torch Tour de Eiffel</t>
  </si>
  <si>
    <t>MT241</t>
  </si>
  <si>
    <t>Mi Torch Travel to Paris</t>
  </si>
  <si>
    <t>MT245</t>
  </si>
  <si>
    <t>Mi Torch Vintage Love</t>
  </si>
  <si>
    <t>MT246</t>
  </si>
  <si>
    <t>Mi Torch Wine Store Errand</t>
  </si>
  <si>
    <t>HWSU</t>
  </si>
  <si>
    <t>Microfibre Hair Wraps Set Up</t>
  </si>
  <si>
    <t>RFS11645</t>
  </si>
  <si>
    <t>MIND READING MAGIC TRICKS</t>
  </si>
  <si>
    <t>SWC004</t>
  </si>
  <si>
    <t>Mindful Sloth Calendar</t>
  </si>
  <si>
    <t>CDU250</t>
  </si>
  <si>
    <t>MINI MARKS DISPLAY</t>
  </si>
  <si>
    <t>MINI-MARK - THE BEETLE</t>
  </si>
  <si>
    <t>MINI-MARK - THE FLINTSTONES</t>
  </si>
  <si>
    <t>MINI-MARK COOKERY</t>
  </si>
  <si>
    <t>MINI-MARK GARDENING</t>
  </si>
  <si>
    <t>MINI-MARK HORROR</t>
  </si>
  <si>
    <t>MINI-MARK MIND BODY SPIRIT</t>
  </si>
  <si>
    <t>MINI-MARK MUSIC</t>
  </si>
  <si>
    <t>MINI-MARK ROMANCE</t>
  </si>
  <si>
    <t>MINI-MARK SCI FI</t>
  </si>
  <si>
    <t>MINI-MARK TRAVEL</t>
  </si>
  <si>
    <t>MINI-MARK WILDLIFE</t>
  </si>
  <si>
    <t>RFS11636</t>
  </si>
  <si>
    <t>MODEL PLANE - HARLEQUIN</t>
  </si>
  <si>
    <t>MBOX6858</t>
  </si>
  <si>
    <t>MONEY BOX - CAR FUND</t>
  </si>
  <si>
    <t>MT7426</t>
  </si>
  <si>
    <t>MONEY BOX - EARLY RETIREMENT FUND</t>
  </si>
  <si>
    <t>MTVR24</t>
  </si>
  <si>
    <t>MONEY BOX - IF I HAD LOTS OF MONEY</t>
  </si>
  <si>
    <t>MBOX7788</t>
  </si>
  <si>
    <t>MONEY BOX - SAVING UP FOR A DEPOSIT</t>
  </si>
  <si>
    <t>MT7422</t>
  </si>
  <si>
    <t>MONEY BOX - SAVING UP TO BUY SHOES</t>
  </si>
  <si>
    <t>MBOXEP07</t>
  </si>
  <si>
    <t>MONEY BOX - SWEAR BOX</t>
  </si>
  <si>
    <t>MBOX7020</t>
  </si>
  <si>
    <t>MONEY BOX - THE GIFT THAT KEEPS ON TAKING</t>
  </si>
  <si>
    <t>WM008</t>
  </si>
  <si>
    <t>Money Box - William Morris (Mint Larkspur)</t>
  </si>
  <si>
    <t>GR170102</t>
  </si>
  <si>
    <t>MONOPOLY COIN PURSE 10</t>
  </si>
  <si>
    <t>HS006</t>
  </si>
  <si>
    <t>Moon Stone - Protection</t>
  </si>
  <si>
    <t>RFS11985</t>
  </si>
  <si>
    <t>MOTIF JOURNAL - BEE - DARK BLUE</t>
  </si>
  <si>
    <t>RFS11986</t>
  </si>
  <si>
    <t>MOTIF JOURNAL - BIKE - FAWN</t>
  </si>
  <si>
    <t>RFS11982</t>
  </si>
  <si>
    <t>MOTIF JOURNAL - BRIGHT SPARK -RED</t>
  </si>
  <si>
    <t>RFS11974</t>
  </si>
  <si>
    <t>MOTIF JOURNAL - CAT - DEEP PURPLE</t>
  </si>
  <si>
    <t>RFS11971</t>
  </si>
  <si>
    <t>MOTIF JOURNAL - HAWK - DARK BLUE</t>
  </si>
  <si>
    <t>RFS11970</t>
  </si>
  <si>
    <t>MOTIF JOURNAL - TURD - BLACK</t>
  </si>
  <si>
    <t>RFS11981</t>
  </si>
  <si>
    <t>MOTIF JOURNAL -BIRD -TEAL</t>
  </si>
  <si>
    <t>RFS11983</t>
  </si>
  <si>
    <t>MOTIF JOURNAL -DOG - DARK GREEN</t>
  </si>
  <si>
    <t>RFS11973</t>
  </si>
  <si>
    <t>MOTIF JOURNAL -LIPS - LIGHT PINK</t>
  </si>
  <si>
    <t>SPMOTIF</t>
  </si>
  <si>
    <t>Motif Notebook 24 units</t>
  </si>
  <si>
    <t>MS005</t>
  </si>
  <si>
    <t>Movie Socks - Cable Knot Women</t>
  </si>
  <si>
    <t>MS004</t>
  </si>
  <si>
    <t>Movie Socks - Grey and White Top</t>
  </si>
  <si>
    <t>MS002</t>
  </si>
  <si>
    <t>Movie Socks - Grey Plait Knot Womens</t>
  </si>
  <si>
    <t>MS001</t>
  </si>
  <si>
    <t>Movie Socks - Pink Cable Knot Women</t>
  </si>
  <si>
    <t>MS003</t>
  </si>
  <si>
    <t>Movie Socks - Pink Llama Women</t>
  </si>
  <si>
    <t>MS006</t>
  </si>
  <si>
    <t>Movie Socks - Silver Fox</t>
  </si>
  <si>
    <t>MR BUMP MINI MAG BOOKMARKS</t>
  </si>
  <si>
    <t>MR STRONG MINI MAG BOOKMARKS</t>
  </si>
  <si>
    <t>MUGLTA1</t>
  </si>
  <si>
    <t>MUG - LATTE AFTER SCHOOL RUN</t>
  </si>
  <si>
    <t>MUGBWM01</t>
  </si>
  <si>
    <t>Mug Boxed (350ml) - William Morris (Have Nothing)</t>
  </si>
  <si>
    <t>MUGBWM02</t>
  </si>
  <si>
    <t>Mug Boxed (350ml) - William Morris (True Secret)</t>
  </si>
  <si>
    <t>BH050</t>
  </si>
  <si>
    <t>Mug Boxed - Bluhen (Black Floral)</t>
  </si>
  <si>
    <t>BH051</t>
  </si>
  <si>
    <t>Mug Boxed - Bluhen (Peonie Rose)</t>
  </si>
  <si>
    <t>MUGBPC01</t>
  </si>
  <si>
    <t>Mug Boxed - Planet Cat (Time Spent With A Cat)</t>
  </si>
  <si>
    <t>MUGBPC02</t>
  </si>
  <si>
    <t>Mug Boxed - Planet Cat (What Greater Love)</t>
  </si>
  <si>
    <t>WM037</t>
  </si>
  <si>
    <t>Mug Boxed - William Morris (Lavender Strawberry Thief)</t>
  </si>
  <si>
    <t>WM036</t>
  </si>
  <si>
    <t>Mug Boxed - William Morris (Mint Larkspur)</t>
  </si>
  <si>
    <t>WM038</t>
  </si>
  <si>
    <t>Mug Boxed - William Morris (Sweet Briar)</t>
  </si>
  <si>
    <t>MMJ</t>
  </si>
  <si>
    <t>MUM &amp; ME JOURNAL</t>
  </si>
  <si>
    <t>MTM</t>
  </si>
  <si>
    <t>MUM TO MUM</t>
  </si>
  <si>
    <t>RFS11796</t>
  </si>
  <si>
    <t>MUSICAL GIFT SET IN A PRINTED BOX - HARLEQUIN</t>
  </si>
  <si>
    <t>NS001</t>
  </si>
  <si>
    <t>NAME A STAR</t>
  </si>
  <si>
    <t>NASCE</t>
  </si>
  <si>
    <t>Name A Star Certificate Envelope</t>
  </si>
  <si>
    <t>NBL01</t>
  </si>
  <si>
    <t>Nano Book Light Rechargeable - Black</t>
  </si>
  <si>
    <t>NBL03</t>
  </si>
  <si>
    <t>Nano Book Light Rechargeable - Blue</t>
  </si>
  <si>
    <t>NBL04</t>
  </si>
  <si>
    <t>Nano Book Light Rechargeable - Pink</t>
  </si>
  <si>
    <t>NBL02</t>
  </si>
  <si>
    <t>Nano Book Light Rechargeable - White</t>
  </si>
  <si>
    <t>SPNL</t>
  </si>
  <si>
    <t>Nano Light Set Up</t>
  </si>
  <si>
    <t>NLWD</t>
  </si>
  <si>
    <t>Nano Lights Wooden Display</t>
  </si>
  <si>
    <t>Napkins - 9 to Wine, Pk20, 25cm</t>
  </si>
  <si>
    <t>Napkins - Lemons, Pk20, 25cm</t>
  </si>
  <si>
    <t>Napkins - Prosecco, Pk20, 25cm</t>
  </si>
  <si>
    <t>NAT GEO 52 AMAZING ANIMALS</t>
  </si>
  <si>
    <t>NAT GEO 52 BRILLIANT BIRDS</t>
  </si>
  <si>
    <t>NAT GEO 52 EXTRAORDINARY EARTH</t>
  </si>
  <si>
    <t>NAT GEO 52 MAGNIFICENT MANKIND</t>
  </si>
  <si>
    <t>NAT GEO 52 SPECTACULAR SEA LIFE</t>
  </si>
  <si>
    <t>NAT GEO 52 WEIRD BUT TRUE</t>
  </si>
  <si>
    <t>NAT GEO AFRICAN LIONS</t>
  </si>
  <si>
    <t>NAT GEO BARN OWL</t>
  </si>
  <si>
    <t>NAT GEO BOTTLENOSE DOLPHIN</t>
  </si>
  <si>
    <t>NAT GEO CLOWN ANEMONEFISH</t>
  </si>
  <si>
    <t>NAT GEO EMPEROR PENGUIN</t>
  </si>
  <si>
    <t>NAT GEO GIRAFFES</t>
  </si>
  <si>
    <t>NAT GEO MOON JELLY FISH</t>
  </si>
  <si>
    <t>NAT GEO SPACE SHUTTLE DISCOVERY</t>
  </si>
  <si>
    <t>HQSEP22</t>
  </si>
  <si>
    <t>NEW HARLEQUIN SEP OFFER 5 PCT DISCOUNT</t>
  </si>
  <si>
    <t>NZ003</t>
  </si>
  <si>
    <t>NZ Bkmk - Captain Cook</t>
  </si>
  <si>
    <t>NZ011</t>
  </si>
  <si>
    <t>NZ Bkmk - Hooker's Sea Bear</t>
  </si>
  <si>
    <t>NZ009</t>
  </si>
  <si>
    <t>NZ Bkmk - Kakapo</t>
  </si>
  <si>
    <t>NZ010</t>
  </si>
  <si>
    <t>NZ Bkmk - King Fisher</t>
  </si>
  <si>
    <t>NZ007</t>
  </si>
  <si>
    <t>NZ Bkmk - Kiwi</t>
  </si>
  <si>
    <t>NZ005</t>
  </si>
  <si>
    <t>NZ Bkmk - Little Spotted Kiwi</t>
  </si>
  <si>
    <t>NZ002</t>
  </si>
  <si>
    <t>NZ Bkmk - Maori War Canoe</t>
  </si>
  <si>
    <t>NZ012</t>
  </si>
  <si>
    <t>NZ Bkmk - Map NZ</t>
  </si>
  <si>
    <t>NZ004</t>
  </si>
  <si>
    <t>NZ Bkmk - Moa</t>
  </si>
  <si>
    <t>NZ008</t>
  </si>
  <si>
    <t>NZ Bkmk - Moho</t>
  </si>
  <si>
    <t>NZ001</t>
  </si>
  <si>
    <t>NZ Bkmk - New Zealand Man</t>
  </si>
  <si>
    <t>NZ006</t>
  </si>
  <si>
    <t>NZ Bkmk - Penguin</t>
  </si>
  <si>
    <t>NZBMSP</t>
  </si>
  <si>
    <t>NZ Bookmark Set Up 72 units</t>
  </si>
  <si>
    <t>CDUNZBM</t>
  </si>
  <si>
    <t>NZ BOOKMARKS DISPLAY</t>
  </si>
  <si>
    <t>WFM033</t>
  </si>
  <si>
    <t>Ocean Grove Driving Kangaroo - Australian Made Wooden Fridge Magnet</t>
  </si>
  <si>
    <t>WK026</t>
  </si>
  <si>
    <t>Ocean Grove Driving Kangaroo - Australian Made Wooden Key Ring</t>
  </si>
  <si>
    <t>WFM032</t>
  </si>
  <si>
    <t>Ocean Grove Surfing Koala - Australian Made Wooden Fridge Magnet</t>
  </si>
  <si>
    <t>WK025</t>
  </si>
  <si>
    <t>Ocean Grove Surfing Koala - Australian Made Wooden Key Ring</t>
  </si>
  <si>
    <t>Oh! Mag Light Blue</t>
  </si>
  <si>
    <t>Oh! Mag Purple Hue</t>
  </si>
  <si>
    <t>Oh! Mag Radient Red</t>
  </si>
  <si>
    <t>Oh! Mag Vivid Grey</t>
  </si>
  <si>
    <t>CDU918</t>
  </si>
  <si>
    <t>OH! MAGNIFIER DISPLAY</t>
  </si>
  <si>
    <t>GR10004</t>
  </si>
  <si>
    <t>OLD NAME A STAR</t>
  </si>
  <si>
    <t>WO061</t>
  </si>
  <si>
    <t>Opera House - Australian Made Wooden Ornament</t>
  </si>
  <si>
    <t>OTD</t>
  </si>
  <si>
    <t>Ornament Tree Display</t>
  </si>
  <si>
    <t>OSD</t>
  </si>
  <si>
    <t>OUR STORY - FOR MY DAUGHTER</t>
  </si>
  <si>
    <t>OSS</t>
  </si>
  <si>
    <t>OUR STORY - FOR MY SON</t>
  </si>
  <si>
    <t>GR900061</t>
  </si>
  <si>
    <t>OVEN GLOVES - FIRST CLASS CHEF</t>
  </si>
  <si>
    <t>GR900065</t>
  </si>
  <si>
    <t>OVEN GLOVES - MULTI COLOUR STAMP</t>
  </si>
  <si>
    <t>OGTA1</t>
  </si>
  <si>
    <t>OVEN MITT SINGLE - THE BARBEQUE</t>
  </si>
  <si>
    <t>BH007B</t>
  </si>
  <si>
    <t>Packaging - Black Floral Hair Wrap</t>
  </si>
  <si>
    <t>BH023B</t>
  </si>
  <si>
    <t>Packaging - Black Floral Satin Eyemask and Scrunchie</t>
  </si>
  <si>
    <t>BH031B</t>
  </si>
  <si>
    <t>Packaging - Black Floral Satin Pillow</t>
  </si>
  <si>
    <t>BH027B</t>
  </si>
  <si>
    <t>Packaging - Black Floral Satin Sleep Bonnet</t>
  </si>
  <si>
    <t>BH003B</t>
  </si>
  <si>
    <t>Packaging - Black Floral Shower Cap</t>
  </si>
  <si>
    <t>BH035B</t>
  </si>
  <si>
    <t>Packaging - Black Floral Slippers</t>
  </si>
  <si>
    <t>BH015B</t>
  </si>
  <si>
    <t>Packaging - Black Floral Spa Head Band</t>
  </si>
  <si>
    <t>BH011B</t>
  </si>
  <si>
    <t>Packaging - Black Floral Towling Scrunchie</t>
  </si>
  <si>
    <t>BH017B</t>
  </si>
  <si>
    <t>Packaging - Ice Roller</t>
  </si>
  <si>
    <t>BH019B</t>
  </si>
  <si>
    <t>Packaging - Jade Roller</t>
  </si>
  <si>
    <t>BH005B</t>
  </si>
  <si>
    <t>Packaging - Leopard Print Hair Wrap</t>
  </si>
  <si>
    <t>BH021B</t>
  </si>
  <si>
    <t>Packaging - Leopard Print Satin Eyemask and Scrunchie</t>
  </si>
  <si>
    <t>BH029B</t>
  </si>
  <si>
    <t>Packaging - Leopard Print Satin Pillow</t>
  </si>
  <si>
    <t>BH025B</t>
  </si>
  <si>
    <t>Packaging - Leopard Print Satin Sleep Bonnet</t>
  </si>
  <si>
    <t>BH001B</t>
  </si>
  <si>
    <t>Packaging - Leopard Print Shower Cap</t>
  </si>
  <si>
    <t>BH033B</t>
  </si>
  <si>
    <t>Packaging - Leopard Print Slippers</t>
  </si>
  <si>
    <t>BH013B</t>
  </si>
  <si>
    <t>Packaging - Leopard Print Spa Head Band</t>
  </si>
  <si>
    <t>BH009B</t>
  </si>
  <si>
    <t>Packaging - Leopard Print Towling Scrunchie</t>
  </si>
  <si>
    <t>BH018B</t>
  </si>
  <si>
    <t>Packaging - Micro Derma Roller</t>
  </si>
  <si>
    <t>BH008B</t>
  </si>
  <si>
    <t>Packaging - Peonie Rose Hair Wrap</t>
  </si>
  <si>
    <t>BH024B</t>
  </si>
  <si>
    <t>Packaging - Peonie Rose Satin Eyemask and Scrunchie</t>
  </si>
  <si>
    <t>BH032B</t>
  </si>
  <si>
    <t>Packaging - Peonie Rose Satin Pillow</t>
  </si>
  <si>
    <t>BH028B</t>
  </si>
  <si>
    <t>Packaging - Peonie Rose Satin Sleep Bonnet</t>
  </si>
  <si>
    <t>BH004B</t>
  </si>
  <si>
    <t>Packaging - Peonie Rose Shower Cap</t>
  </si>
  <si>
    <t>BH036B</t>
  </si>
  <si>
    <t>Packaging - Peonie Rose Slippers</t>
  </si>
  <si>
    <t>BH016B</t>
  </si>
  <si>
    <t>Packaging - Peonie Rose Spa Head Band</t>
  </si>
  <si>
    <t>BH012B</t>
  </si>
  <si>
    <t>Packaging - Peonie Rose Towling Scrunchie</t>
  </si>
  <si>
    <t>BH006B</t>
  </si>
  <si>
    <t>Packaging - Pink Polka Dot Hair Wrap</t>
  </si>
  <si>
    <t>BH022B</t>
  </si>
  <si>
    <t>Packaging - Pink Polka Dot Satin Eyemask and Scrunchie</t>
  </si>
  <si>
    <t>BH030B</t>
  </si>
  <si>
    <t>Packaging - Pink Polka Dot Satin Pillow</t>
  </si>
  <si>
    <t>BH026B</t>
  </si>
  <si>
    <t>Packaging - Pink Polka Dot Satin Sleep Bonnet</t>
  </si>
  <si>
    <t>BH002B</t>
  </si>
  <si>
    <t>Packaging - Pink Polka Dot Shower Cap</t>
  </si>
  <si>
    <t>BH034B</t>
  </si>
  <si>
    <t>Packaging - Pink Polka Dot Slippers</t>
  </si>
  <si>
    <t>BH014B</t>
  </si>
  <si>
    <t>Packaging - Pink Polka Dot Spa Head Band</t>
  </si>
  <si>
    <t>BH010B</t>
  </si>
  <si>
    <t>Packaging - Pink Polka Dot Towling Scrunchie</t>
  </si>
  <si>
    <t>BH020B</t>
  </si>
  <si>
    <t>Packaging - Rose Quartz Roller</t>
  </si>
  <si>
    <t>PABL001</t>
  </si>
  <si>
    <t>Packaging for Amber Rechargeable Black</t>
  </si>
  <si>
    <t>PABL009</t>
  </si>
  <si>
    <t>Packaging for Amber Rechargeable White</t>
  </si>
  <si>
    <t>PSL007</t>
  </si>
  <si>
    <t>Packaging for Amber Smart Light - Black</t>
  </si>
  <si>
    <t>PSL011</t>
  </si>
  <si>
    <t>Packaging for Amber Smart Light - Blue</t>
  </si>
  <si>
    <t>PSL009</t>
  </si>
  <si>
    <t>Packaging for Amber Smart Light - Green</t>
  </si>
  <si>
    <t>PSL012</t>
  </si>
  <si>
    <t>Packaging for Amber Smart Light - Red</t>
  </si>
  <si>
    <t>PSL008</t>
  </si>
  <si>
    <t>Packaging for Amber Smart Light - White</t>
  </si>
  <si>
    <t>PSL010</t>
  </si>
  <si>
    <t>Packaging for Amber Smart Light -Pink</t>
  </si>
  <si>
    <t>PFB001</t>
  </si>
  <si>
    <t>Packaging for Flexi Booklight Battery - Black</t>
  </si>
  <si>
    <t>PFB003</t>
  </si>
  <si>
    <t>Packaging for Flexi Booklight Battery - Blue</t>
  </si>
  <si>
    <t>PFB004</t>
  </si>
  <si>
    <t>Packaging for Flexi Booklight Battery - Pink</t>
  </si>
  <si>
    <t>PFB002</t>
  </si>
  <si>
    <t>Packaging for Flexi Booklight Battery - White</t>
  </si>
  <si>
    <t>PRCBL001</t>
  </si>
  <si>
    <t>Packaging for Flexi Rechargeable - Blank</t>
  </si>
  <si>
    <t>PRCBL003</t>
  </si>
  <si>
    <t>Packaging for Flexi Rechargeable - Blue</t>
  </si>
  <si>
    <t>PRCBL002</t>
  </si>
  <si>
    <t>Packaging for Flexi Rechargeable - Pink</t>
  </si>
  <si>
    <t>PRCBL004</t>
  </si>
  <si>
    <t>Packaging for Flexi Rechargeable - White</t>
  </si>
  <si>
    <t>PUBL01</t>
  </si>
  <si>
    <t>Packaging for Ultra Rechargeable Black</t>
  </si>
  <si>
    <t>PWL002</t>
  </si>
  <si>
    <t>Packaging for Wrap Light Rechargeable Black</t>
  </si>
  <si>
    <t>PWL003</t>
  </si>
  <si>
    <t>Packaging for Wrap Light Rechargeable White</t>
  </si>
  <si>
    <t>HH03P</t>
  </si>
  <si>
    <t>Packaging Hobby House - Baby Closet Dividers</t>
  </si>
  <si>
    <t>HH01P</t>
  </si>
  <si>
    <t>Packaging Hobby House - Baby Milestones Set 1</t>
  </si>
  <si>
    <t>HH02P</t>
  </si>
  <si>
    <t>Packaging Hobby House - Baby Milestones Set 2</t>
  </si>
  <si>
    <t>PC02P</t>
  </si>
  <si>
    <t>Packaging Paint &amp; Create - African Safari</t>
  </si>
  <si>
    <t>PC01P</t>
  </si>
  <si>
    <t>Packaging Paint &amp; Create - Australian Animals</t>
  </si>
  <si>
    <t>PC12P</t>
  </si>
  <si>
    <t>Packaging Paint &amp; Create - Christmas House 1</t>
  </si>
  <si>
    <t>PC13P</t>
  </si>
  <si>
    <t>Packaging Paint &amp; Create - Christmas House 2</t>
  </si>
  <si>
    <t>PC08P</t>
  </si>
  <si>
    <t>Packaging Paint &amp; Create - Christmas Ornaments 1</t>
  </si>
  <si>
    <t>PC09P</t>
  </si>
  <si>
    <t>Packaging Paint &amp; Create - Christmas Ornaments 2</t>
  </si>
  <si>
    <t>PC14P</t>
  </si>
  <si>
    <t>Packaging Paint &amp; Create - Christmas Wreath</t>
  </si>
  <si>
    <t>PC03P</t>
  </si>
  <si>
    <t>Packaging Paint &amp; Create - Dinosaurs</t>
  </si>
  <si>
    <t>PC04P</t>
  </si>
  <si>
    <t>Packaging Paint &amp; Create - Mermaids</t>
  </si>
  <si>
    <t>PC15P</t>
  </si>
  <si>
    <t>Packaging Paint &amp; Create - Merry Christmas</t>
  </si>
  <si>
    <t>PC10P</t>
  </si>
  <si>
    <t>Packaging Paint &amp; Create - Nativity Set</t>
  </si>
  <si>
    <t>PC06P</t>
  </si>
  <si>
    <t>Packaging Paint &amp; Create - Rockets &amp; Space</t>
  </si>
  <si>
    <t>PC11P</t>
  </si>
  <si>
    <t>Packaging Paint &amp; Create - Santa's Letter Box</t>
  </si>
  <si>
    <t>PC07P</t>
  </si>
  <si>
    <t>Packaging Paint &amp; Create - Trucks</t>
  </si>
  <si>
    <t>PC05P</t>
  </si>
  <si>
    <t>Packaging Paint &amp; Create - Unicorns</t>
  </si>
  <si>
    <t>PC19P</t>
  </si>
  <si>
    <t>Packaging Paint &amp; Create - World's Best Auntie</t>
  </si>
  <si>
    <t>PC16P</t>
  </si>
  <si>
    <t>Packaging Paint &amp; Create - World's Best Dad</t>
  </si>
  <si>
    <t>PC20P</t>
  </si>
  <si>
    <t>Packaging Paint &amp; Create - World's Best Grandad</t>
  </si>
  <si>
    <t>PC21P</t>
  </si>
  <si>
    <t>Packaging Paint &amp; Create - World's Best Grandma</t>
  </si>
  <si>
    <t>PC17P</t>
  </si>
  <si>
    <t>Packaging Paint &amp; Create - World's Best Mum</t>
  </si>
  <si>
    <t>PC22P</t>
  </si>
  <si>
    <t>Packaging Paint &amp; Create - World's Best Nanna</t>
  </si>
  <si>
    <t>PC23P</t>
  </si>
  <si>
    <t>Packaging Paint &amp; Create - World's Best Pop</t>
  </si>
  <si>
    <t>PC18P</t>
  </si>
  <si>
    <t>Packaging Paint &amp; Create - World's Best Uncle</t>
  </si>
  <si>
    <t>Page Corner Green</t>
  </si>
  <si>
    <t>Page Corner Purple</t>
  </si>
  <si>
    <t>Page Corners Orange</t>
  </si>
  <si>
    <t>PAGE POINTERS - BLUE</t>
  </si>
  <si>
    <t>PAGE POINTERS - GREEN</t>
  </si>
  <si>
    <t>PAGE POINTERS - GREY</t>
  </si>
  <si>
    <t>PAGE POINTERS - ORANGE</t>
  </si>
  <si>
    <t>PAGE POINTERS - PINK</t>
  </si>
  <si>
    <t>PAGE POINTERS - PURPLE</t>
  </si>
  <si>
    <t>PC02</t>
  </si>
  <si>
    <t>Paint &amp; Create - African Safari</t>
  </si>
  <si>
    <t>PC01</t>
  </si>
  <si>
    <t>Paint &amp; Create - Australian Animals</t>
  </si>
  <si>
    <t>PC29</t>
  </si>
  <si>
    <t>Paint &amp; Create - Barn &amp; Farm Animals Painting Kit</t>
  </si>
  <si>
    <t>PC27</t>
  </si>
  <si>
    <t>Paint &amp; Create - Bunny Painting Kit</t>
  </si>
  <si>
    <t>PC12</t>
  </si>
  <si>
    <t>Paint &amp; Create - Christmas Gingerbread House</t>
  </si>
  <si>
    <t>PC08</t>
  </si>
  <si>
    <t>Paint &amp; Create - Christmas Ornaments 1</t>
  </si>
  <si>
    <t>PC09</t>
  </si>
  <si>
    <t>Paint &amp; Create - Christmas Ornaments 2</t>
  </si>
  <si>
    <t>PC13</t>
  </si>
  <si>
    <t>Paint &amp; Create - Christmas Snowman House</t>
  </si>
  <si>
    <t>PC14</t>
  </si>
  <si>
    <t>Paint &amp; Create - Christmas Wreath</t>
  </si>
  <si>
    <t>PC32</t>
  </si>
  <si>
    <t>Paint &amp; Create - Dinosaur Range Painting Kit</t>
  </si>
  <si>
    <t>PC03</t>
  </si>
  <si>
    <t>Paint &amp; Create - Dinosaurs</t>
  </si>
  <si>
    <t>PC25</t>
  </si>
  <si>
    <t>Paint &amp; Create - Easter Eggs</t>
  </si>
  <si>
    <t>PC26</t>
  </si>
  <si>
    <t>Paint &amp; Create - Easter Eggs Hunting Kit</t>
  </si>
  <si>
    <t>PC28</t>
  </si>
  <si>
    <t>Paint &amp; Create - Egg Carrier Painting Kit</t>
  </si>
  <si>
    <t>PC24</t>
  </si>
  <si>
    <t>Paint &amp; Create - Fairy Garden Set</t>
  </si>
  <si>
    <t>PC30</t>
  </si>
  <si>
    <t>Paint &amp; Create - Horses &amp; Stable Painting Kit</t>
  </si>
  <si>
    <t>PC04</t>
  </si>
  <si>
    <t>Paint &amp; Create - Mermaids</t>
  </si>
  <si>
    <t>PC15</t>
  </si>
  <si>
    <t>Paint &amp; Create - Merry Christmas</t>
  </si>
  <si>
    <t>PC10</t>
  </si>
  <si>
    <t>Paint &amp; Create - Nativity Set</t>
  </si>
  <si>
    <t>PC06</t>
  </si>
  <si>
    <t>Paint &amp; Create - Rockets &amp; Space</t>
  </si>
  <si>
    <t>PC11</t>
  </si>
  <si>
    <t>Paint &amp; Create - Santa's Letter Box</t>
  </si>
  <si>
    <t>PC34</t>
  </si>
  <si>
    <t>Paint &amp; Create - Sew &amp; Create Tote Bag - Brown AUS Animals</t>
  </si>
  <si>
    <t>PC33</t>
  </si>
  <si>
    <t>Paint &amp; Create - Sew &amp; Create Tote Bag - Pink Unicorn</t>
  </si>
  <si>
    <t>PC07</t>
  </si>
  <si>
    <t>Paint &amp; Create - Trucks</t>
  </si>
  <si>
    <t>PC05</t>
  </si>
  <si>
    <t>Paint &amp; Create - Unicorns</t>
  </si>
  <si>
    <t>PC31</t>
  </si>
  <si>
    <t>Paint &amp; Create - Unicorns &amp; Rainbow Painting Kit</t>
  </si>
  <si>
    <t>PC19</t>
  </si>
  <si>
    <t>Paint &amp; Create - World's Best Auntie</t>
  </si>
  <si>
    <t>PC16</t>
  </si>
  <si>
    <t>Paint &amp; Create - World's Best Dad</t>
  </si>
  <si>
    <t>PC20</t>
  </si>
  <si>
    <t>Paint &amp; Create - World's Best Grandad</t>
  </si>
  <si>
    <t>PC21</t>
  </si>
  <si>
    <t>Paint &amp; Create - World's Best Grandma</t>
  </si>
  <si>
    <t>PC17</t>
  </si>
  <si>
    <t>Paint &amp; Create - World's Best Mum</t>
  </si>
  <si>
    <t>PC22</t>
  </si>
  <si>
    <t>Paint &amp; Create - World's Best Nanna</t>
  </si>
  <si>
    <t>PC23</t>
  </si>
  <si>
    <t>Paint &amp; Create - World's Best Pop</t>
  </si>
  <si>
    <t>PC18</t>
  </si>
  <si>
    <t>Paint &amp; Create - World's Best Uncle</t>
  </si>
  <si>
    <t>PCCSU</t>
  </si>
  <si>
    <t>Paint &amp; Create Christmas Set Up</t>
  </si>
  <si>
    <t>PC47</t>
  </si>
  <si>
    <t>Paint &amp; Create Fridge Magnet Painting Kit - Australian Animals</t>
  </si>
  <si>
    <t>PC48</t>
  </si>
  <si>
    <t>Paint &amp; Create Fridge Magnet Painting Kit - Dinosaur</t>
  </si>
  <si>
    <t>PC46</t>
  </si>
  <si>
    <t>Paint &amp; Create Fridge Magnet Painting Kit - Trucks and Rockets</t>
  </si>
  <si>
    <t>PC45</t>
  </si>
  <si>
    <t>Paint &amp; Create Fridge Magnet Painting Kit - Unicorn and Mermaid</t>
  </si>
  <si>
    <t>PC42</t>
  </si>
  <si>
    <t>Paint &amp; Create- Bird House Painting Kit</t>
  </si>
  <si>
    <t>PC44</t>
  </si>
  <si>
    <t>Paint &amp; Create- Bookmarks Painting Kit</t>
  </si>
  <si>
    <t>PC43</t>
  </si>
  <si>
    <t>Paint &amp; Create- Butterfly House Painting Kit</t>
  </si>
  <si>
    <t>PC38</t>
  </si>
  <si>
    <t>Paint &amp; Create- Sew &amp; Create Coin Purse - Blue Dinosaur</t>
  </si>
  <si>
    <t>PC37</t>
  </si>
  <si>
    <t>Paint &amp; Create- Sew &amp; Create Coin Purse - Brown AUS Animals</t>
  </si>
  <si>
    <t>PC36</t>
  </si>
  <si>
    <t>Paint &amp; Create- Sew &amp; Create Coin Purse - Pink Unicorn</t>
  </si>
  <si>
    <t>PC35</t>
  </si>
  <si>
    <t>Paint &amp; Create- Sew &amp; Create Hand Bag - Pink Unicorn</t>
  </si>
  <si>
    <t>PC41</t>
  </si>
  <si>
    <t>Paint &amp; Create- Sew &amp; Create Pencil Case - Blue Dinosaur</t>
  </si>
  <si>
    <t>PC40</t>
  </si>
  <si>
    <t>Paint &amp; Create- Sew &amp; Create Pencil Case - Brown AUS Animals</t>
  </si>
  <si>
    <t>PC39</t>
  </si>
  <si>
    <t>Paint &amp; Create- Sew &amp; Create Pencil Case - Pink Unicorn</t>
  </si>
  <si>
    <t>DIY1</t>
  </si>
  <si>
    <t>Paint Set 8/2</t>
  </si>
  <si>
    <t>Pallet</t>
  </si>
  <si>
    <t>PFHS20</t>
  </si>
  <si>
    <t>Paper Film Heat Seal 20cm</t>
  </si>
  <si>
    <t>PFHS35</t>
  </si>
  <si>
    <t>Paper Film Heat Seal 35cm</t>
  </si>
  <si>
    <t>Party Stones - Warming</t>
  </si>
  <si>
    <t>Party Stones - Whisky S/9 Natural 9cm</t>
  </si>
  <si>
    <t>WFM022</t>
  </si>
  <si>
    <t>Patypus - Australian Made Wooden Fridge Magnet</t>
  </si>
  <si>
    <t>PP04</t>
  </si>
  <si>
    <t>Pen Pouch - Australian Natives</t>
  </si>
  <si>
    <t>PP08</t>
  </si>
  <si>
    <t>Pen Pouch - Falling Free</t>
  </si>
  <si>
    <t>PP05</t>
  </si>
  <si>
    <t>Pen Pouch - Golden Wattle</t>
  </si>
  <si>
    <t>PP03</t>
  </si>
  <si>
    <t>Pen Pouch - Monet's Water Lilies</t>
  </si>
  <si>
    <t>PP07</t>
  </si>
  <si>
    <t>Pen Pouch - Quiet Blossom</t>
  </si>
  <si>
    <t>PP01</t>
  </si>
  <si>
    <t>Pen Pouch - Strawberry Thief</t>
  </si>
  <si>
    <t>PP02</t>
  </si>
  <si>
    <t>Pen Pouch - Sunflowers</t>
  </si>
  <si>
    <t>PP06</t>
  </si>
  <si>
    <t>Pen Pouch - Tropical Koala</t>
  </si>
  <si>
    <t>PENCWM01</t>
  </si>
  <si>
    <t>Pencil Case - William Morris (Strawberry Thief Blue)</t>
  </si>
  <si>
    <t>PENCWM02</t>
  </si>
  <si>
    <t>Pencil Case - William Morris (Willow Ochre)</t>
  </si>
  <si>
    <t>STATPC01</t>
  </si>
  <si>
    <t>Pencils Set of 6 - Planet Cat (Great Thoughts)</t>
  </si>
  <si>
    <t>STATRHS01</t>
  </si>
  <si>
    <t>Pencils Set Of 6 - RHS (Irises &amp; Hellebores)</t>
  </si>
  <si>
    <t>Kit6</t>
  </si>
  <si>
    <t>Peonie Rose Kit 1</t>
  </si>
  <si>
    <t>WM018</t>
  </si>
  <si>
    <t>Photo Frame 5 x 7 - William Morris (Grey Larkspur)</t>
  </si>
  <si>
    <t>WM007</t>
  </si>
  <si>
    <t>Photo Frame 5 x 7 - William Morris (Mint Larkspur)</t>
  </si>
  <si>
    <t>WM017</t>
  </si>
  <si>
    <t>Photo Frame 5 x 7 - William Morris (Rose Gold Larkspur)</t>
  </si>
  <si>
    <t>FRAMWM01</t>
  </si>
  <si>
    <t>Photo Frame 5x7 - William Morris (Willow Blue)</t>
  </si>
  <si>
    <t>FRAMWM02</t>
  </si>
  <si>
    <t>Photo Frame 5x7 - William Morris (Willow Ochre)</t>
  </si>
  <si>
    <t>PB06</t>
  </si>
  <si>
    <t>Pill Box Fruit</t>
  </si>
  <si>
    <t>PB08</t>
  </si>
  <si>
    <t>Pill Box Kilburn</t>
  </si>
  <si>
    <t>PB07</t>
  </si>
  <si>
    <t>Pill Box Peonie Rose</t>
  </si>
  <si>
    <t>PB01</t>
  </si>
  <si>
    <t>Pill Boxes - William Morris 24 Units</t>
  </si>
  <si>
    <t>WFM006</t>
  </si>
  <si>
    <t>Pink Rock Lily - Australian Made Wooden Fridge Magnet</t>
  </si>
  <si>
    <t>WK006</t>
  </si>
  <si>
    <t>Pink Rock Lily - Australian Made Wooden Key Ring</t>
  </si>
  <si>
    <t>PISU</t>
  </si>
  <si>
    <t>PISU - Politically Incorrect Set Up</t>
  </si>
  <si>
    <t>CDUPCC</t>
  </si>
  <si>
    <t>PLANET CAT COASTERS DISPLAY</t>
  </si>
  <si>
    <t>PACBPC02</t>
  </si>
  <si>
    <t>Planet Cat Coasters Set Up 36 Units</t>
  </si>
  <si>
    <t>PH</t>
  </si>
  <si>
    <t>Plastic Hooks for Display</t>
  </si>
  <si>
    <t>WK022</t>
  </si>
  <si>
    <t>Platypus - Australian Made Wooden Key Ring</t>
  </si>
  <si>
    <t>WO045</t>
  </si>
  <si>
    <t>Platypus - Australian Made Wooden Ornament</t>
  </si>
  <si>
    <t>RFS11559</t>
  </si>
  <si>
    <t>Playing Card &amp; Dice Set in a Flat Brushed Tin</t>
  </si>
  <si>
    <t>PS06</t>
  </si>
  <si>
    <t>Plush Slippers 6-8 Size - Fruit</t>
  </si>
  <si>
    <t>PS02</t>
  </si>
  <si>
    <t>Plush Slippers 6-8 Size - Kilburn</t>
  </si>
  <si>
    <t>PS10</t>
  </si>
  <si>
    <t>Plush Slippers 6-8 Size - Monet Water Lilies</t>
  </si>
  <si>
    <t>BH052</t>
  </si>
  <si>
    <t>Plush Slippers 6-8 Size - Peonie Rose</t>
  </si>
  <si>
    <t>PS04</t>
  </si>
  <si>
    <t>Plush Slippers 6-8 Size - Strawberry Thief</t>
  </si>
  <si>
    <t>PS08</t>
  </si>
  <si>
    <t>Plush Slippers 6-8 Size - Van Gogh Sunflowers</t>
  </si>
  <si>
    <t>BH036</t>
  </si>
  <si>
    <t>Plush slippers 8-10  Size- Peonie Rose</t>
  </si>
  <si>
    <t>PS05</t>
  </si>
  <si>
    <t>Plush Slippers 8-10 Size - Fruit</t>
  </si>
  <si>
    <t>PS01</t>
  </si>
  <si>
    <t>Plush Slippers 8-10 Size - Kilburn</t>
  </si>
  <si>
    <t>PS09</t>
  </si>
  <si>
    <t>Plush Slippers 8-10 Size - Monet Water Lilies</t>
  </si>
  <si>
    <t>PS03</t>
  </si>
  <si>
    <t>Plush Slippers 8-10 Size - Strawberry Thief</t>
  </si>
  <si>
    <t>PS07</t>
  </si>
  <si>
    <t>Plush Slippers 8-10 Size - Van Gogh Sunflowers</t>
  </si>
  <si>
    <t>SPPS</t>
  </si>
  <si>
    <t>Plush Slippers Set Up</t>
  </si>
  <si>
    <t>CDUPS</t>
  </si>
  <si>
    <t>Plush Slippers WDU</t>
  </si>
  <si>
    <t>PB005</t>
  </si>
  <si>
    <t>Pocket Bag - Bee</t>
  </si>
  <si>
    <t>PB003</t>
  </si>
  <si>
    <t>Pocket Bag - Duck</t>
  </si>
  <si>
    <t>PB002</t>
  </si>
  <si>
    <t>Pocket Bag - Fish</t>
  </si>
  <si>
    <t>PB008</t>
  </si>
  <si>
    <t>Pocket Bag - Grape</t>
  </si>
  <si>
    <t>PB004</t>
  </si>
  <si>
    <t>Pocket Bag - Monkey</t>
  </si>
  <si>
    <t>PB009</t>
  </si>
  <si>
    <t>Pocket Bag - Pineapple</t>
  </si>
  <si>
    <t>PB007</t>
  </si>
  <si>
    <t>Pocket Bag - Rose Purple</t>
  </si>
  <si>
    <t>PB006</t>
  </si>
  <si>
    <t>Pocket Bag - Rose Red</t>
  </si>
  <si>
    <t>PB010</t>
  </si>
  <si>
    <t>Pocket Bag - Strawberry</t>
  </si>
  <si>
    <t>PB001</t>
  </si>
  <si>
    <t>Pocket Bag -Dog</t>
  </si>
  <si>
    <t>RFS12035</t>
  </si>
  <si>
    <t>POCKET PU JOURNAL - BLACK</t>
  </si>
  <si>
    <t>RFS12036</t>
  </si>
  <si>
    <t>POCKET PU JOURNAL - BOWLING GREEN</t>
  </si>
  <si>
    <t>RFS12038</t>
  </si>
  <si>
    <t>POCKET PU JOURNAL - DEEP PURPLE</t>
  </si>
  <si>
    <t>RFS12039</t>
  </si>
  <si>
    <t>POCKET PU JOURNAL - JADE GREEN</t>
  </si>
  <si>
    <t>RFS12040</t>
  </si>
  <si>
    <t>POCKET PU JOURNAL - MIDNIGHT BLUE</t>
  </si>
  <si>
    <t>RFS12041</t>
  </si>
  <si>
    <t>POCKET PU JOURNAL - RASPBERRY PINK</t>
  </si>
  <si>
    <t>PI3506</t>
  </si>
  <si>
    <t>Politically Incorrect - David Attenborough</t>
  </si>
  <si>
    <t>PI3500</t>
  </si>
  <si>
    <t>Politically Incorrect - Donald Trump</t>
  </si>
  <si>
    <t>PI3503</t>
  </si>
  <si>
    <t>Politically Incorrect - Gordon Ramsey</t>
  </si>
  <si>
    <t>PI3511</t>
  </si>
  <si>
    <t>Politically Incorrect - Jeremy Clarkson</t>
  </si>
  <si>
    <t>PI3502</t>
  </si>
  <si>
    <t>Politically Incorrect - Simon Cowell</t>
  </si>
  <si>
    <t>PI4001</t>
  </si>
  <si>
    <t>Politically Incorrect - Trump 40th</t>
  </si>
  <si>
    <t>PI4002</t>
  </si>
  <si>
    <t>Politically Incorrect - Trump 50th</t>
  </si>
  <si>
    <t>PI4003</t>
  </si>
  <si>
    <t>Politically Incorrect - Trump 60th</t>
  </si>
  <si>
    <t>SCD</t>
  </si>
  <si>
    <t>POLITICALLY INCORRECT DISPLAY</t>
  </si>
  <si>
    <t>PYFABAN</t>
  </si>
  <si>
    <t>Polyester Fabric - Australian Natives</t>
  </si>
  <si>
    <t>Yards</t>
  </si>
  <si>
    <t>PYFABGW</t>
  </si>
  <si>
    <t>Polyester Fabric - Golden Wattle</t>
  </si>
  <si>
    <t>PYFABST</t>
  </si>
  <si>
    <t>Polyester Fabric - Strawberry Thief</t>
  </si>
  <si>
    <t>PYFABSF</t>
  </si>
  <si>
    <t>Polyester Fabric - Sunflowers</t>
  </si>
  <si>
    <t>PYFABWL</t>
  </si>
  <si>
    <t>Polyester Fabric - Water Lilies</t>
  </si>
  <si>
    <t>VAWM01</t>
  </si>
  <si>
    <t>Porcelain Bud Vase - (Strawberry Thief Blue)</t>
  </si>
  <si>
    <t>VOWM01</t>
  </si>
  <si>
    <t>Porcelain Votive - William Morris (Strawberry Thief Blue)</t>
  </si>
  <si>
    <t>01WH06</t>
  </si>
  <si>
    <t>Postcards WORTH SAVING</t>
  </si>
  <si>
    <t>01FAD02</t>
  </si>
  <si>
    <t>Postcards WORTHINGTON</t>
  </si>
  <si>
    <t>01CAD13</t>
  </si>
  <si>
    <t>Postcards WRAPPERS</t>
  </si>
  <si>
    <t>01BA04</t>
  </si>
  <si>
    <t>Postcards WRIGHTS SOAP</t>
  </si>
  <si>
    <t>RFS11499</t>
  </si>
  <si>
    <t>POSTER ART SET SQUARE - PETER RABBIT ADVENTURES</t>
  </si>
  <si>
    <t>RFS10042</t>
  </si>
  <si>
    <t>POSTER ART SET SQUARE - PETER RABBIT BLUE</t>
  </si>
  <si>
    <t>RFS10112</t>
  </si>
  <si>
    <t>POSTER ART SET SQUARE - PETER RABBIT BLUE PETER</t>
  </si>
  <si>
    <t>PLCORD</t>
  </si>
  <si>
    <t>Pre-tied Leather Cord</t>
  </si>
  <si>
    <t>PUFABAN</t>
  </si>
  <si>
    <t>PU Fabric - Australian Natives</t>
  </si>
  <si>
    <t>PUFABGW</t>
  </si>
  <si>
    <t>PU Fabric - Golden Wattle</t>
  </si>
  <si>
    <t>PUFABST</t>
  </si>
  <si>
    <t>PU Fabric - Strawberry Thief</t>
  </si>
  <si>
    <t>PUFABSF</t>
  </si>
  <si>
    <t>PU Fabric - Sunflowers</t>
  </si>
  <si>
    <t>PUFABWL</t>
  </si>
  <si>
    <t>PU Fabric - Water Lilies</t>
  </si>
  <si>
    <t>BGJPSP</t>
  </si>
  <si>
    <t>PU Journal Pocket Set Up 12 units</t>
  </si>
  <si>
    <t>Y1570Blue</t>
  </si>
  <si>
    <t>Pu Leather Y1570 Blue</t>
  </si>
  <si>
    <t>Y1570Pink</t>
  </si>
  <si>
    <t>Pu Leather Y1570 Pink</t>
  </si>
  <si>
    <t>Y569Brown</t>
  </si>
  <si>
    <t>Pu Leather Y569 Brown</t>
  </si>
  <si>
    <t>RFS11788</t>
  </si>
  <si>
    <t>Puncture Repair Kit</t>
  </si>
  <si>
    <t>PRC002</t>
  </si>
  <si>
    <t>Puppies Running Slim Calendar</t>
  </si>
  <si>
    <t>PRC001</t>
  </si>
  <si>
    <t>Puppies Running Square Calendar</t>
  </si>
  <si>
    <t>PRC003</t>
  </si>
  <si>
    <t>Puppies Running Year Planner</t>
  </si>
  <si>
    <t>HS004</t>
  </si>
  <si>
    <t>Purple Apatite - Strength</t>
  </si>
  <si>
    <t>BOOKTB03</t>
  </si>
  <si>
    <t>Puzzle Book 128pp: Thunderbirds (Games for Brains)</t>
  </si>
  <si>
    <t>QBDDSTD</t>
  </si>
  <si>
    <t>QBD Double Sided Table Top Display (Christmas Ornaments)</t>
  </si>
  <si>
    <t>WFM023</t>
  </si>
  <si>
    <t>Rainbow Lorikeet - Australian Made Wooden Fridge Magnet</t>
  </si>
  <si>
    <t>WK023</t>
  </si>
  <si>
    <t>Rainbow Lorikeet - Australian Made Wooden Key Ring</t>
  </si>
  <si>
    <t>WO046</t>
  </si>
  <si>
    <t>Rainbow Lorikeet - Australian Made Wooden Ornament</t>
  </si>
  <si>
    <t>RTFD</t>
  </si>
  <si>
    <t>Rattle Display</t>
  </si>
  <si>
    <t>RTF06</t>
  </si>
  <si>
    <t>Rattling Friends - Dinosaur</t>
  </si>
  <si>
    <t>RTF03</t>
  </si>
  <si>
    <t>Rattling Friends - Dog</t>
  </si>
  <si>
    <t>RTF05</t>
  </si>
  <si>
    <t>Rattling Friends - Fox</t>
  </si>
  <si>
    <t>RTF02</t>
  </si>
  <si>
    <t>Rattling Friends - Koala</t>
  </si>
  <si>
    <t>RTF04</t>
  </si>
  <si>
    <t>Rattling Friends - Rabbit</t>
  </si>
  <si>
    <t>RTF01</t>
  </si>
  <si>
    <t>Rattling Friends - Unicorn</t>
  </si>
  <si>
    <t>CDURTF</t>
  </si>
  <si>
    <t>Rattling Friends Display WDU</t>
  </si>
  <si>
    <t>RTFSU</t>
  </si>
  <si>
    <t>Rattling Friends Set Up</t>
  </si>
  <si>
    <t>RTFSP</t>
  </si>
  <si>
    <t>Rattling Friends Starter Pack</t>
  </si>
  <si>
    <t>RCBLRL</t>
  </si>
  <si>
    <t>RCBL Replacement Lead</t>
  </si>
  <si>
    <t>CDURC</t>
  </si>
  <si>
    <t>READERS CLASSICS CDU</t>
  </si>
  <si>
    <t>RF007</t>
  </si>
  <si>
    <t>Reading Friend - Bear</t>
  </si>
  <si>
    <t>RF004</t>
  </si>
  <si>
    <t>Reading Friend - Cat</t>
  </si>
  <si>
    <t>RF022</t>
  </si>
  <si>
    <t>Reading Friend - Crocodile</t>
  </si>
  <si>
    <t>RF010</t>
  </si>
  <si>
    <t>Reading Friend - Dinosaur</t>
  </si>
  <si>
    <t>RF003</t>
  </si>
  <si>
    <t>Reading Friend - Dog</t>
  </si>
  <si>
    <t>RF013</t>
  </si>
  <si>
    <t>Reading Friend - Elephant</t>
  </si>
  <si>
    <t>RF016</t>
  </si>
  <si>
    <t>Reading Friend - Flamingo</t>
  </si>
  <si>
    <t>RF011</t>
  </si>
  <si>
    <t>Reading Friend - Fox</t>
  </si>
  <si>
    <t>RF021</t>
  </si>
  <si>
    <t>Reading Friend - Ginger Cat</t>
  </si>
  <si>
    <t>RF015</t>
  </si>
  <si>
    <t>Reading Friend - Giraffe</t>
  </si>
  <si>
    <t>RF014</t>
  </si>
  <si>
    <t>Reading Friend - Horse</t>
  </si>
  <si>
    <t>RF006</t>
  </si>
  <si>
    <t>Reading Friend - Kangaroo</t>
  </si>
  <si>
    <t>RF008</t>
  </si>
  <si>
    <t>Reading Friend - Kiwi</t>
  </si>
  <si>
    <t>RF005</t>
  </si>
  <si>
    <t>Reading Friend - Koala</t>
  </si>
  <si>
    <t>RF023</t>
  </si>
  <si>
    <t>Reading Friend - Labrador</t>
  </si>
  <si>
    <t>RF002</t>
  </si>
  <si>
    <t>Reading Friend - Llama</t>
  </si>
  <si>
    <t>RF018</t>
  </si>
  <si>
    <t>Reading Friend - Owl</t>
  </si>
  <si>
    <t>RF020</t>
  </si>
  <si>
    <t>Reading Friend - Panda</t>
  </si>
  <si>
    <t>RF024</t>
  </si>
  <si>
    <t>Reading Friend - Pink Unicorn</t>
  </si>
  <si>
    <t>RF017</t>
  </si>
  <si>
    <t>Reading Friend - Platypus</t>
  </si>
  <si>
    <t>RF012</t>
  </si>
  <si>
    <t>Reading Friend - Rabbit</t>
  </si>
  <si>
    <t>RF001</t>
  </si>
  <si>
    <t>Reading Friend - Unicorn</t>
  </si>
  <si>
    <t>RF009</t>
  </si>
  <si>
    <t>Reading Friend - Wolf</t>
  </si>
  <si>
    <t>RF019</t>
  </si>
  <si>
    <t>Reading Friend 3 Pack - Unicorn, Koala, Dog</t>
  </si>
  <si>
    <t>SPRFNZ</t>
  </si>
  <si>
    <t>Reading Friends NZ Set Up 36 units</t>
  </si>
  <si>
    <t>SPRF</t>
  </si>
  <si>
    <t>Reading Friends Set Up 36 units</t>
  </si>
  <si>
    <t>RFWD</t>
  </si>
  <si>
    <t>Reading Friends Wooden Display</t>
  </si>
  <si>
    <t>RFS11547+1</t>
  </si>
  <si>
    <t>READING GLASSES - DAVID COPPERFIELD - Strength +1</t>
  </si>
  <si>
    <t>RFS11547+3</t>
  </si>
  <si>
    <t>READING GLASSES - DAVID COPPERFIELD - Strength +3</t>
  </si>
  <si>
    <t>RFS11549+1</t>
  </si>
  <si>
    <t>READING GLASSES - GREAT EXPECTATIONS - Strength +1</t>
  </si>
  <si>
    <t>RFS11549+2.5</t>
  </si>
  <si>
    <t>READING GLASSES - GREAT EXPECTATIONS - Strength +2.5</t>
  </si>
  <si>
    <t>RFS11549+3</t>
  </si>
  <si>
    <t>READING GLASSES - GREAT EXPECTATIONS - Strength +3</t>
  </si>
  <si>
    <t>RFS11551+1</t>
  </si>
  <si>
    <t>READING GLASSES - GREAT GATSBY - Strength +1</t>
  </si>
  <si>
    <t>RFS11551+3</t>
  </si>
  <si>
    <t>READING GLASSES - GREAT GATSBY - Strength +3</t>
  </si>
  <si>
    <t>RFS11546+1</t>
  </si>
  <si>
    <t>READING GLASSES - JANE EYRE - Strength +1</t>
  </si>
  <si>
    <t>RFS11546+3</t>
  </si>
  <si>
    <t>READING GLASSES - JANE EYRE - Strength +3</t>
  </si>
  <si>
    <t>READING GLASSES - SPARE PAIR - Strength +2.5</t>
  </si>
  <si>
    <t>RFS11550+3</t>
  </si>
  <si>
    <t>READING GLASSES - WAR &amp; PEACE - Strengths +3</t>
  </si>
  <si>
    <t>RS006</t>
  </si>
  <si>
    <t>Reading Socks - Black Cable Knot Men</t>
  </si>
  <si>
    <t>RS001</t>
  </si>
  <si>
    <t>Reading Socks - Black Llama Kids</t>
  </si>
  <si>
    <t>RS002</t>
  </si>
  <si>
    <t>Reading Socks - Black Llama Women</t>
  </si>
  <si>
    <t>RS021</t>
  </si>
  <si>
    <t>Reading Socks - Blush Cable Knots Medium</t>
  </si>
  <si>
    <t>RS019</t>
  </si>
  <si>
    <t>Reading Socks - Bunny Medium</t>
  </si>
  <si>
    <t>RS046</t>
  </si>
  <si>
    <t>Reading Socks - Bunny Small</t>
  </si>
  <si>
    <t>RS047</t>
  </si>
  <si>
    <t>Reading Socks - Cats, Coffee and Books</t>
  </si>
  <si>
    <t>RS051</t>
  </si>
  <si>
    <t>Reading Socks - Enemies To Lovers</t>
  </si>
  <si>
    <t>RS052</t>
  </si>
  <si>
    <t>Reading Socks - Fly or Die</t>
  </si>
  <si>
    <t>RS030</t>
  </si>
  <si>
    <t>Reading Socks - Forest Green Knot Large</t>
  </si>
  <si>
    <t>RS032</t>
  </si>
  <si>
    <t>Reading Socks - Forest Green Knot Medium</t>
  </si>
  <si>
    <t>RS025</t>
  </si>
  <si>
    <t>Reading Socks - Ginger Cat Medium</t>
  </si>
  <si>
    <t>RS004</t>
  </si>
  <si>
    <t>Reading Socks - Glitter Women</t>
  </si>
  <si>
    <t>RS005</t>
  </si>
  <si>
    <t>Reading Socks - Grey Cable Knot Women</t>
  </si>
  <si>
    <t>RS010</t>
  </si>
  <si>
    <t>Reading Socks - Grey Cat Medium</t>
  </si>
  <si>
    <t>RS041</t>
  </si>
  <si>
    <t>Reading Socks - Grey Cat Small</t>
  </si>
  <si>
    <t>RS012</t>
  </si>
  <si>
    <t>Reading Socks - Grey Mix Cable Knot Large</t>
  </si>
  <si>
    <t>RS011</t>
  </si>
  <si>
    <t>Reading Socks - Grey Plait Knot Womens</t>
  </si>
  <si>
    <t>RS028</t>
  </si>
  <si>
    <t>Reading Socks - Horse</t>
  </si>
  <si>
    <t>RS050</t>
  </si>
  <si>
    <t>Reading Socks - In My Romantasy Era</t>
  </si>
  <si>
    <t>RS049</t>
  </si>
  <si>
    <t>Reading Socks - It's Not Hoarding If It's Books</t>
  </si>
  <si>
    <t>RS048</t>
  </si>
  <si>
    <t>Reading Socks - Just One More Chapter</t>
  </si>
  <si>
    <t>RS027</t>
  </si>
  <si>
    <t>Reading Socks - Kangaroo</t>
  </si>
  <si>
    <t>RS053</t>
  </si>
  <si>
    <t>Reading Socks - Kangaroo New</t>
  </si>
  <si>
    <t>RS018</t>
  </si>
  <si>
    <t>Reading Socks - Koala Medium</t>
  </si>
  <si>
    <t>RS054</t>
  </si>
  <si>
    <t>Reading Socks - Koala New</t>
  </si>
  <si>
    <t>RS029</t>
  </si>
  <si>
    <t>Reading Socks - Labrador Medium</t>
  </si>
  <si>
    <t>RS044</t>
  </si>
  <si>
    <t>Reading Socks - Labrador Small</t>
  </si>
  <si>
    <t>RS016</t>
  </si>
  <si>
    <t>Reading Socks - Mottled Dog Medium</t>
  </si>
  <si>
    <t>RS040</t>
  </si>
  <si>
    <t>Reading Socks - Mottled Dog Small</t>
  </si>
  <si>
    <t>RS013</t>
  </si>
  <si>
    <t>Reading Socks - Navy Cable Knot Large</t>
  </si>
  <si>
    <t>RS008</t>
  </si>
  <si>
    <t>Reading Socks - Navy Cable Knot Medium</t>
  </si>
  <si>
    <t>RS042</t>
  </si>
  <si>
    <t>Reading Socks - Navy Cable Knot Small</t>
  </si>
  <si>
    <t>00rd</t>
  </si>
  <si>
    <t>Reading Socks - Navy Cable Knot Womens</t>
  </si>
  <si>
    <t>RS024</t>
  </si>
  <si>
    <t>Reading Socks - Nordic Blue Medium</t>
  </si>
  <si>
    <t>RS022</t>
  </si>
  <si>
    <t>Reading Socks - Nordic Heart Large</t>
  </si>
  <si>
    <t>RS023</t>
  </si>
  <si>
    <t>Reading Socks - Nordic Star Medium</t>
  </si>
  <si>
    <t>RS020</t>
  </si>
  <si>
    <t>Reading Socks - Pig Medium</t>
  </si>
  <si>
    <t>RS007</t>
  </si>
  <si>
    <t>Reading Socks - Pink Cable Knot Women</t>
  </si>
  <si>
    <t>RS003</t>
  </si>
  <si>
    <t>Reading Socks - Pink Llama Women</t>
  </si>
  <si>
    <t>RS026</t>
  </si>
  <si>
    <t>Reading Socks - Rainbow Unicorn Medium</t>
  </si>
  <si>
    <t>RS043</t>
  </si>
  <si>
    <t>Reading Socks - Rainbow Unicorn Small</t>
  </si>
  <si>
    <t>RS031</t>
  </si>
  <si>
    <t>Reading Socks - Red Fox Medium</t>
  </si>
  <si>
    <t>RS045</t>
  </si>
  <si>
    <t>Reading Socks - Red Fox Small</t>
  </si>
  <si>
    <t>RS014</t>
  </si>
  <si>
    <t>Reading Socks - Silver Wolf Medium</t>
  </si>
  <si>
    <t>RS017</t>
  </si>
  <si>
    <t>Reading Socks - Unicorn</t>
  </si>
  <si>
    <t>RS015</t>
  </si>
  <si>
    <t>Reading Socks - White and Grey Top</t>
  </si>
  <si>
    <t>RSD</t>
  </si>
  <si>
    <t>Reading Socks Display</t>
  </si>
  <si>
    <t>RSSUD50</t>
  </si>
  <si>
    <t>Reading Socks Half Set Up 2022 Presale</t>
  </si>
  <si>
    <t>RSSUD1</t>
  </si>
  <si>
    <t>Reading Socks Option 1 2023</t>
  </si>
  <si>
    <t>RSSUD124</t>
  </si>
  <si>
    <t>Reading Socks Option 1 2024</t>
  </si>
  <si>
    <t>RSSUD125</t>
  </si>
  <si>
    <t>Reading Socks Option 1 2025</t>
  </si>
  <si>
    <t>RSSUD2</t>
  </si>
  <si>
    <t>Reading Socks Option 2 2023</t>
  </si>
  <si>
    <t>RSSUD224</t>
  </si>
  <si>
    <t>Reading Socks Option 2 2024</t>
  </si>
  <si>
    <t>RSSUD225</t>
  </si>
  <si>
    <t>Reading Socks Option 2 2025</t>
  </si>
  <si>
    <t>RSSUD3</t>
  </si>
  <si>
    <t>Reading Socks Option 3 2023</t>
  </si>
  <si>
    <t>RSSUD324</t>
  </si>
  <si>
    <t>Reading Socks Option 3 2024</t>
  </si>
  <si>
    <t>RSSUD325</t>
  </si>
  <si>
    <t>Reading Socks Option 3 2025</t>
  </si>
  <si>
    <t>RSSUD425</t>
  </si>
  <si>
    <t>Reading Socks Option 4 2025</t>
  </si>
  <si>
    <t>RSPG</t>
  </si>
  <si>
    <t>Reading Socks Packaging</t>
  </si>
  <si>
    <t>RSSUD</t>
  </si>
  <si>
    <t>Reading Socks Set Up</t>
  </si>
  <si>
    <t>RSNS</t>
  </si>
  <si>
    <t>Reading Socks Set Up NO STAND</t>
  </si>
  <si>
    <t>RSSUD126</t>
  </si>
  <si>
    <t>Reading Socks Set Up Option 1 2026</t>
  </si>
  <si>
    <t>RSSUD226</t>
  </si>
  <si>
    <t>Reading Socks Set Up Option 2 2026</t>
  </si>
  <si>
    <t>RSSUD326</t>
  </si>
  <si>
    <t>Reading Socks Set Up Option 3 2026</t>
  </si>
  <si>
    <t>REALLY TINY B'KLIGHT BLACK</t>
  </si>
  <si>
    <t>REALLY TINY B'KLIGHT BLUE</t>
  </si>
  <si>
    <t>REALLY TINY B'KLIGHT MINT GREEN</t>
  </si>
  <si>
    <t>REALLY TINY B'KLIGHT PINK</t>
  </si>
  <si>
    <t>REALLY TINY B'KLIGHT PURPLE</t>
  </si>
  <si>
    <t>REALLY TINY B'KLIGHT RED</t>
  </si>
  <si>
    <t>REALLY TINY B'KLIGHT SKY BLUE</t>
  </si>
  <si>
    <t>REALLY TINY B'KLIGHT YELLOW</t>
  </si>
  <si>
    <t>REALLY TINY BOOK LIGHT WHITE</t>
  </si>
  <si>
    <t>SP51</t>
  </si>
  <si>
    <t>Really Tiny Booklight Starter Pack 36 units</t>
  </si>
  <si>
    <t>CDURBL</t>
  </si>
  <si>
    <t>RECHARGEABLE BOOKLIGHT DISPLAY</t>
  </si>
  <si>
    <t>WP006</t>
  </si>
  <si>
    <t>Recipe for a Perfect Brother</t>
  </si>
  <si>
    <t>WP004</t>
  </si>
  <si>
    <t>Recipe for a Perfect Dad</t>
  </si>
  <si>
    <t>WP005</t>
  </si>
  <si>
    <t>Recipe for a Perfect Grandad</t>
  </si>
  <si>
    <t>WP002</t>
  </si>
  <si>
    <t>Recipe for a Perfect Grandmother</t>
  </si>
  <si>
    <t>WP001</t>
  </si>
  <si>
    <t>Recipe for a Perfect Mum</t>
  </si>
  <si>
    <t>WP003</t>
  </si>
  <si>
    <t>Recipe for a Perfect Sister</t>
  </si>
  <si>
    <t>RFS10940</t>
  </si>
  <si>
    <t>RECORDER IN A BOX IN CDU - HARLEQUIN</t>
  </si>
  <si>
    <t>RCD</t>
  </si>
  <si>
    <t>Rocket Ship Display WDU</t>
  </si>
  <si>
    <t>PEN12</t>
  </si>
  <si>
    <t>Rollerball Pen - Falling Free</t>
  </si>
  <si>
    <t>PEN11</t>
  </si>
  <si>
    <t>Rollerball Pen - Quiet Blossom</t>
  </si>
  <si>
    <t>CDURB</t>
  </si>
  <si>
    <t>Rollerball Pens WDU</t>
  </si>
  <si>
    <t>SPR</t>
  </si>
  <si>
    <t>Rollers Set Up</t>
  </si>
  <si>
    <t>CDUR</t>
  </si>
  <si>
    <t>Rollers WDU</t>
  </si>
  <si>
    <t>WFM001</t>
  </si>
  <si>
    <t>Rose - Australian Made Wooden Fridge Magnet</t>
  </si>
  <si>
    <t>WK001</t>
  </si>
  <si>
    <t>Rose - Australian Made Wooden Key Ring</t>
  </si>
  <si>
    <t>HS002</t>
  </si>
  <si>
    <t>Rose Quartz - Love</t>
  </si>
  <si>
    <t>RSSU</t>
  </si>
  <si>
    <t>RSSU Reading Socks Set Up</t>
  </si>
  <si>
    <t>FC007</t>
  </si>
  <si>
    <t>Rude Card - Congratulations</t>
  </si>
  <si>
    <t>FC005</t>
  </si>
  <si>
    <t>Rude Card - Happy Anniversary</t>
  </si>
  <si>
    <t>FC001</t>
  </si>
  <si>
    <t>Rude Card - Happy Birthday</t>
  </si>
  <si>
    <t>FC003</t>
  </si>
  <si>
    <t>Rude Card - I Love You</t>
  </si>
  <si>
    <t>FC008</t>
  </si>
  <si>
    <t>Rude Card - Legend</t>
  </si>
  <si>
    <t>FC004</t>
  </si>
  <si>
    <t>Rude Card - Queen of Everything</t>
  </si>
  <si>
    <t>FC006</t>
  </si>
  <si>
    <t>Rude Card - You Magnificent</t>
  </si>
  <si>
    <t>FC002</t>
  </si>
  <si>
    <t>Rude Card - You're How Old</t>
  </si>
  <si>
    <t>SPGCR</t>
  </si>
  <si>
    <t>Rude Set Up Australian Made Wooden Greeting Cards 36pcs</t>
  </si>
  <si>
    <t>WO054</t>
  </si>
  <si>
    <t>Santa Dirt Bike  - Australian Made Wooden Ornament</t>
  </si>
  <si>
    <t>WO050</t>
  </si>
  <si>
    <t>Santa Surf - Australian Made Wooden Ornament</t>
  </si>
  <si>
    <t>SSC006</t>
  </si>
  <si>
    <t>Sassy Scent Candle - Adulting</t>
  </si>
  <si>
    <t>SSC004</t>
  </si>
  <si>
    <t>Sassy Scent Candle - Best Bitches</t>
  </si>
  <si>
    <t>SSC002</t>
  </si>
  <si>
    <t>Sassy Scent Candle - Boss Lady</t>
  </si>
  <si>
    <t>SSC001</t>
  </si>
  <si>
    <t>Sassy Scent Candle - Happy Birthday</t>
  </si>
  <si>
    <t>SSC003</t>
  </si>
  <si>
    <t>Sassy Scent Candle - Keep Going</t>
  </si>
  <si>
    <t>SSC005</t>
  </si>
  <si>
    <t>Sassy Scent Candle - Queen of</t>
  </si>
  <si>
    <t>WM004</t>
  </si>
  <si>
    <t>Satin Eyemask - William Morris (Blue Larkspur)</t>
  </si>
  <si>
    <t>WM012</t>
  </si>
  <si>
    <t>Satin Eyemask - William Morris (Grey Larkspur)</t>
  </si>
  <si>
    <t>WM011</t>
  </si>
  <si>
    <t>Satin Eyemask - William Morris (Rose Gold Larkspur)</t>
  </si>
  <si>
    <t>SPC04</t>
  </si>
  <si>
    <t>Satin Pillow Case - Blue Larkspur</t>
  </si>
  <si>
    <t>SPC05</t>
  </si>
  <si>
    <t>Satin Pillow Case - Fruit</t>
  </si>
  <si>
    <t>SPC03</t>
  </si>
  <si>
    <t>Satin Pillow Case - Strawberry Thief</t>
  </si>
  <si>
    <t>SPC07</t>
  </si>
  <si>
    <t>Satin Pillow Case - Strawberry Thief Red</t>
  </si>
  <si>
    <t>SPC06</t>
  </si>
  <si>
    <t>Satin Pillow Case - Wild Tulip</t>
  </si>
  <si>
    <t>SPSP</t>
  </si>
  <si>
    <t>Satin Pillowcases Set Up</t>
  </si>
  <si>
    <t>CDUSP</t>
  </si>
  <si>
    <t>Satin Pillowcases WDU</t>
  </si>
  <si>
    <t>SPSSB</t>
  </si>
  <si>
    <t>Satin Sleep Bonnets Set Up</t>
  </si>
  <si>
    <t>CDUSSB</t>
  </si>
  <si>
    <t>Satin Sleep Bonnets WDU</t>
  </si>
  <si>
    <t>SA001</t>
  </si>
  <si>
    <t>Save A Koala</t>
  </si>
  <si>
    <t>SA002</t>
  </si>
  <si>
    <t>Save The Reef</t>
  </si>
  <si>
    <t>SWS001</t>
  </si>
  <si>
    <t>SAY IT WITH SOCKS - BEST DAD</t>
  </si>
  <si>
    <t>SWS002</t>
  </si>
  <si>
    <t>SAY IT WITH SOCKS - BEST GRANDPA</t>
  </si>
  <si>
    <t>SWS005</t>
  </si>
  <si>
    <t>SAY IT WITH SOCKS - CONGRATS!</t>
  </si>
  <si>
    <t>SWS008</t>
  </si>
  <si>
    <t>SAY IT WITH SOCKS - HAPPY BIRTHDAY</t>
  </si>
  <si>
    <t>SWS003</t>
  </si>
  <si>
    <t>SAY IT WITH SOCKS - LEGEND</t>
  </si>
  <si>
    <t>SWS007</t>
  </si>
  <si>
    <t>SAY IT WITH SOCKS - SO PROUD</t>
  </si>
  <si>
    <t>SWS009S</t>
  </si>
  <si>
    <t>SAY IT WITH SOCKS - SOCK IT TO ME SANTA</t>
  </si>
  <si>
    <t>SWS006</t>
  </si>
  <si>
    <t>SAY IT WITH SOCKS - THANK YOU</t>
  </si>
  <si>
    <t>SWS009T</t>
  </si>
  <si>
    <t>SAY IT WITH SOCKS - XMAS SANTA FACE</t>
  </si>
  <si>
    <t>SCA011</t>
  </si>
  <si>
    <t>Scarf - Black</t>
  </si>
  <si>
    <t>WM042</t>
  </si>
  <si>
    <t>Scarf - Blue Larkspur</t>
  </si>
  <si>
    <t>SCA010</t>
  </si>
  <si>
    <t>Scarf - Blush</t>
  </si>
  <si>
    <t>SCA016</t>
  </si>
  <si>
    <t>Scarf - Falling Free</t>
  </si>
  <si>
    <t>SCA001</t>
  </si>
  <si>
    <t>Scarf - Fruit</t>
  </si>
  <si>
    <t>SCA006</t>
  </si>
  <si>
    <t>Scarf - Hampton Stripe</t>
  </si>
  <si>
    <t>SCA005</t>
  </si>
  <si>
    <t>Scarf - Kilburn</t>
  </si>
  <si>
    <t>WM040</t>
  </si>
  <si>
    <t>Scarf - Lavender Strawberry Thief</t>
  </si>
  <si>
    <t>SCA002</t>
  </si>
  <si>
    <t>Scarf - Leopard</t>
  </si>
  <si>
    <t>SCA009</t>
  </si>
  <si>
    <t>Scarf - Monet Water Lilies</t>
  </si>
  <si>
    <t>BH54</t>
  </si>
  <si>
    <t>Scarf - Peonie Rose</t>
  </si>
  <si>
    <t>SCA015</t>
  </si>
  <si>
    <t>Scarf - Quiet Blossom</t>
  </si>
  <si>
    <t>SCARHS01</t>
  </si>
  <si>
    <t>Scarf - RHS (Geo Coral)</t>
  </si>
  <si>
    <t>SCARHS02</t>
  </si>
  <si>
    <t>Scarf - RHS (Geo Mint)</t>
  </si>
  <si>
    <t>SCARHS04</t>
  </si>
  <si>
    <t>Scarf - RHS (Irises &amp; Hellebores)</t>
  </si>
  <si>
    <t>SCA004</t>
  </si>
  <si>
    <t>Scarf - Strawberry Thief Original</t>
  </si>
  <si>
    <t>SCA007</t>
  </si>
  <si>
    <t>Scarf - Strawberry Thief Red</t>
  </si>
  <si>
    <t>SCA008</t>
  </si>
  <si>
    <t>Scarf - Van Gogh Sunflowers</t>
  </si>
  <si>
    <t>SCA003</t>
  </si>
  <si>
    <t>Scarf - Wild Tulip</t>
  </si>
  <si>
    <t>SCAWM01</t>
  </si>
  <si>
    <t>Scarf - William Morris (Strawberry Thief Blue)</t>
  </si>
  <si>
    <t>SCAWM02</t>
  </si>
  <si>
    <t>Scarf - William Morris (Willow Grey)</t>
  </si>
  <si>
    <t>SCASU</t>
  </si>
  <si>
    <t>Scarf Set Up 30cmD x 50cmW x 165cmH</t>
  </si>
  <si>
    <t>CR032</t>
  </si>
  <si>
    <t>Scented Sachets - Fruit</t>
  </si>
  <si>
    <t>CR034</t>
  </si>
  <si>
    <t>Scented Sachets - Monet Water Lilies</t>
  </si>
  <si>
    <t>CR031</t>
  </si>
  <si>
    <t>Scented Sachets - Strawberry Thief</t>
  </si>
  <si>
    <t>CR033</t>
  </si>
  <si>
    <t>Scented Sachets - Van Gogh Sunflowers</t>
  </si>
  <si>
    <t>SPS</t>
  </si>
  <si>
    <t>Scrunchies Set Up</t>
  </si>
  <si>
    <t>CDUS</t>
  </si>
  <si>
    <t>Scrunchies WDU</t>
  </si>
  <si>
    <t>CS37</t>
  </si>
  <si>
    <t>Sew &amp; Create AUS Animals Coin Purse Sleeve</t>
  </si>
  <si>
    <t>CS40</t>
  </si>
  <si>
    <t>Sew &amp; Create AUS Animals Pencil Case Sleeve</t>
  </si>
  <si>
    <t>CS34</t>
  </si>
  <si>
    <t>Sew &amp; Create AUS Animals Tote Bag Sleeve</t>
  </si>
  <si>
    <t>CS38</t>
  </si>
  <si>
    <t>Sew &amp; Create Dinosaur Coin Purse Sleeve</t>
  </si>
  <si>
    <t>CS41</t>
  </si>
  <si>
    <t>Sew &amp; Create Dinosaur Pencil Case Sleeve</t>
  </si>
  <si>
    <t>CS36</t>
  </si>
  <si>
    <t>Sew &amp; Create Unicorn Coin Purse Sleeve</t>
  </si>
  <si>
    <t>CS35</t>
  </si>
  <si>
    <t>Sew &amp; Create Unicorn Hand Bag Sleeve</t>
  </si>
  <si>
    <t>CS39</t>
  </si>
  <si>
    <t>Sew &amp; Create Unicorn Pencil Case Sleeve</t>
  </si>
  <si>
    <t>CS33</t>
  </si>
  <si>
    <t>Sew &amp; Create Unicorn Tote Bag Sleeve</t>
  </si>
  <si>
    <t>SHELF HOOK</t>
  </si>
  <si>
    <t>RFS11965</t>
  </si>
  <si>
    <t>Shoe Polish Set in a Flat Brushed Tin</t>
  </si>
  <si>
    <t>SB6020</t>
  </si>
  <si>
    <t>SHOPPER BAG - DOMESTIC GODDESS</t>
  </si>
  <si>
    <t>CDU327</t>
  </si>
  <si>
    <t>SHOW OFF KEY RINGS DISPLAY STAND</t>
  </si>
  <si>
    <t>SHOW OFF KEYS - ADRENALINE JUNKIE</t>
  </si>
  <si>
    <t>SHOW OFF KEYS - BANK VAULT</t>
  </si>
  <si>
    <t>SHOW OFF KEYS - BIKE</t>
  </si>
  <si>
    <t>SHOW OFF KEYS - BILLIONAIRE</t>
  </si>
  <si>
    <t>SHOW OFF KEYS - BROOMSTICK</t>
  </si>
  <si>
    <t>SHOW OFF KEYS - CHASTITY BELT</t>
  </si>
  <si>
    <t>SHOW OFF KEYS - GENIUS</t>
  </si>
  <si>
    <t>SHOW OFF KEYS - GETAWAY CAR</t>
  </si>
  <si>
    <t>SHOW OFF KEYS - GYM GOD</t>
  </si>
  <si>
    <t>SHOW OFF KEYS - HQ</t>
  </si>
  <si>
    <t>SHOW OFF KEYS - INTERNET SENSATION</t>
  </si>
  <si>
    <t>SHOW OFF KEYS - MAN CAVE</t>
  </si>
  <si>
    <t>SHOW OFF KEYS - MIDLIFE CRISIS</t>
  </si>
  <si>
    <t>SHOW OFF KEYS - OCD</t>
  </si>
  <si>
    <t>SHOW OFF KEYS - PENTHOUSE</t>
  </si>
  <si>
    <t>SHOW OFF KEYS - PRIVATE JET</t>
  </si>
  <si>
    <t>SHOW OFF KEYS - REALITY TV STAR</t>
  </si>
  <si>
    <t>SHOW OFF KEYS - SERVANTS</t>
  </si>
  <si>
    <t>00sok</t>
  </si>
  <si>
    <t>SHOW OFF KEYS - Set Up</t>
  </si>
  <si>
    <t>SHOW OFF KEYS - SHOW OFF</t>
  </si>
  <si>
    <t>SHOW OFF KEYS - STOLEN</t>
  </si>
  <si>
    <t>SHOW OFF KEYS - TAXI</t>
  </si>
  <si>
    <t>SHOW OFF KEYS - THE BOSS</t>
  </si>
  <si>
    <t>SHOW OFF KEYS - THE YACHT</t>
  </si>
  <si>
    <t>SHOW OFF KEYS - WHATEVER</t>
  </si>
  <si>
    <t>SHOW OFF KEYS - WHITE VAN</t>
  </si>
  <si>
    <t>SHOW OFF KEYS - WINE TASTER</t>
  </si>
  <si>
    <t>SP327</t>
  </si>
  <si>
    <t>SHOW OFF KEYS STARTER PACK 54 units</t>
  </si>
  <si>
    <t>BASC131</t>
  </si>
  <si>
    <t>SHOWER CAP TOWELLING POLAR BEAR</t>
  </si>
  <si>
    <t>SPSC</t>
  </si>
  <si>
    <t>Shower Caps Set Up</t>
  </si>
  <si>
    <t>CDUSC</t>
  </si>
  <si>
    <t>Shower Caps WDU</t>
  </si>
  <si>
    <t>ABL115</t>
  </si>
  <si>
    <t>Silicone Bear and Box</t>
  </si>
  <si>
    <t>ABL117</t>
  </si>
  <si>
    <t>Silicone Cat and Box</t>
  </si>
  <si>
    <t>ABL118</t>
  </si>
  <si>
    <t>Silicone Cat and Box (New)</t>
  </si>
  <si>
    <t>ABL119</t>
  </si>
  <si>
    <t>Silicone Dinosaur and Box (New)</t>
  </si>
  <si>
    <t>ABL114</t>
  </si>
  <si>
    <t>Silicone Dog and Box</t>
  </si>
  <si>
    <t>ABL120</t>
  </si>
  <si>
    <t>Silicone Dog and Box (New)</t>
  </si>
  <si>
    <t>HP05</t>
  </si>
  <si>
    <t>Silicone Heat Bag - Australian Natives</t>
  </si>
  <si>
    <t>HP06</t>
  </si>
  <si>
    <t>Silicone Heat Bag - Golden Wattle</t>
  </si>
  <si>
    <t>HP07</t>
  </si>
  <si>
    <t>Silicone Heat Bag - Tropical Koala</t>
  </si>
  <si>
    <t>ABL121</t>
  </si>
  <si>
    <t>Silicone Rabbit and Box (New)</t>
  </si>
  <si>
    <t>ABL112</t>
  </si>
  <si>
    <t>Silicone T-Rex and Box</t>
  </si>
  <si>
    <t>ABL113</t>
  </si>
  <si>
    <t>Silicone Unicorn and Box</t>
  </si>
  <si>
    <t>ABL122</t>
  </si>
  <si>
    <t>ABL123</t>
  </si>
  <si>
    <t>Silicone Unicorn and Box (New)</t>
  </si>
  <si>
    <t>WO066</t>
  </si>
  <si>
    <t>Silver - Australian Made Wooden Ornament</t>
  </si>
  <si>
    <t>32CAN04</t>
  </si>
  <si>
    <t>SINGLE CANISTER - CADBURY</t>
  </si>
  <si>
    <t>32NC03</t>
  </si>
  <si>
    <t>SINGLE CANISTER - TYPHOO TEA</t>
  </si>
  <si>
    <t>RFS11878</t>
  </si>
  <si>
    <t>SINGLE PLAYING CARD TIN IN CDU - BOLD STRIPE &amp; GEO SPOT</t>
  </si>
  <si>
    <t>RFS11879</t>
  </si>
  <si>
    <t>SINGLE PLAYING CARD TIN IN CDU - PIZAZZ CACTUS PRINT</t>
  </si>
  <si>
    <t>RFS10996</t>
  </si>
  <si>
    <t>SINGLE PLAYING CARD TIN IN CDU - VINTAGE MAP</t>
  </si>
  <si>
    <t>CR028</t>
  </si>
  <si>
    <t>Sleep Spray - Fruit</t>
  </si>
  <si>
    <t>CR030</t>
  </si>
  <si>
    <t>Sleep Spray - Monet Water Lilies</t>
  </si>
  <si>
    <t>CR027</t>
  </si>
  <si>
    <t>Sleep Spray - Strawberry Thief</t>
  </si>
  <si>
    <t>CR029</t>
  </si>
  <si>
    <t>Sleep Spray - Van Gogh Sunflowers</t>
  </si>
  <si>
    <t>SF06</t>
  </si>
  <si>
    <t>Sleepy Friends - Dinosaur</t>
  </si>
  <si>
    <t>SF03</t>
  </si>
  <si>
    <t>Sleepy Friends - Dog</t>
  </si>
  <si>
    <t>SF05</t>
  </si>
  <si>
    <t>Sleepy Friends - Fox</t>
  </si>
  <si>
    <t>SF02</t>
  </si>
  <si>
    <t>Sleepy Friends - Koala</t>
  </si>
  <si>
    <t>SF04</t>
  </si>
  <si>
    <t>Sleepy Friends - Rabbit</t>
  </si>
  <si>
    <t>SF01</t>
  </si>
  <si>
    <t>Sleepy Friends - Unicorn</t>
  </si>
  <si>
    <t>SFSP</t>
  </si>
  <si>
    <t>Sleepy Friends Starter Pack</t>
  </si>
  <si>
    <t>SMS</t>
  </si>
  <si>
    <t>SLIM MESH SPINNER</t>
  </si>
  <si>
    <t>SWD</t>
  </si>
  <si>
    <t>SLIM WOODEN DISPLAY</t>
  </si>
  <si>
    <t>SP011</t>
  </si>
  <si>
    <t>Small Pouch - Falling Free</t>
  </si>
  <si>
    <t>SP010</t>
  </si>
  <si>
    <t>Small Pouch - Quiet Blossom</t>
  </si>
  <si>
    <t>SK001</t>
  </si>
  <si>
    <t>Snow Kiln Keep Cup - Angel Falls</t>
  </si>
  <si>
    <t>SK002</t>
  </si>
  <si>
    <t>Snow Kiln Keep Cup - Cherry Blossom</t>
  </si>
  <si>
    <t>SK006</t>
  </si>
  <si>
    <t>Snow Kiln Keep Cup - Midnight Grove</t>
  </si>
  <si>
    <t>SK005</t>
  </si>
  <si>
    <t>Snow Kiln Keep Cup - Peacock</t>
  </si>
  <si>
    <t>SK004</t>
  </si>
  <si>
    <t>Snow Kiln Keep Cup - Raspberry Field</t>
  </si>
  <si>
    <t>SKSU</t>
  </si>
  <si>
    <t>Snow Kiln Keep Cup Set Up</t>
  </si>
  <si>
    <t>SK003</t>
  </si>
  <si>
    <t>Snow Kiln Keep Cup- Snow White</t>
  </si>
  <si>
    <t>SS002</t>
  </si>
  <si>
    <t>Sofa Socks - Beer</t>
  </si>
  <si>
    <t>SS007</t>
  </si>
  <si>
    <t>Sofa Socks - Chocolate</t>
  </si>
  <si>
    <t>SS003</t>
  </si>
  <si>
    <t>Sofa Socks - Coffee</t>
  </si>
  <si>
    <t>SS005</t>
  </si>
  <si>
    <t>Sofa Socks - Gaming</t>
  </si>
  <si>
    <t>SS006</t>
  </si>
  <si>
    <t>Sofa Socks - Pizza</t>
  </si>
  <si>
    <t>SS004</t>
  </si>
  <si>
    <t>Sofa Socks - Reading</t>
  </si>
  <si>
    <t>SS008</t>
  </si>
  <si>
    <t>Sofa Socks - Tea</t>
  </si>
  <si>
    <t>SS001</t>
  </si>
  <si>
    <t>Sofa Socks - Wine</t>
  </si>
  <si>
    <t>SSCDU</t>
  </si>
  <si>
    <t>Sofa Socks CDU</t>
  </si>
  <si>
    <t>SSSP</t>
  </si>
  <si>
    <t>SOFA SOCKS SET UP</t>
  </si>
  <si>
    <t>SSSP2</t>
  </si>
  <si>
    <t>SOFA SOCKS SET UP TWO</t>
  </si>
  <si>
    <t>SWC001</t>
  </si>
  <si>
    <t>Space Calendar</t>
  </si>
  <si>
    <t>SC002</t>
  </si>
  <si>
    <t>Space Slim Calendar</t>
  </si>
  <si>
    <t>SC001</t>
  </si>
  <si>
    <t>Space Square Calendar</t>
  </si>
  <si>
    <t>SC003</t>
  </si>
  <si>
    <t>Space Year Planner</t>
  </si>
  <si>
    <t>SB001</t>
  </si>
  <si>
    <t>Spare Boxes for Tea For One</t>
  </si>
  <si>
    <t>pieces</t>
  </si>
  <si>
    <t>SO</t>
  </si>
  <si>
    <t>RFS9795</t>
  </si>
  <si>
    <t>Square Memo Block</t>
  </si>
  <si>
    <t>SM005</t>
  </si>
  <si>
    <t>Star Scratch Map</t>
  </si>
  <si>
    <t>CDU330</t>
  </si>
  <si>
    <t>STAR TREK B/M DISPLAY</t>
  </si>
  <si>
    <t>Star Trek Bookmark Bones</t>
  </si>
  <si>
    <t>Star Trek Bookmark James T Kirk</t>
  </si>
  <si>
    <t>Star Trek Bookmark Scotty</t>
  </si>
  <si>
    <t>Star Trek Bookmark Uhura</t>
  </si>
  <si>
    <t>Star Trek Clip-on Metal Bookmark</t>
  </si>
  <si>
    <t>CDU331</t>
  </si>
  <si>
    <t>STAR TREK METAL B/M DISPLAY</t>
  </si>
  <si>
    <t>92400P</t>
  </si>
  <si>
    <t>STARTER PACK</t>
  </si>
  <si>
    <t>RFS12068</t>
  </si>
  <si>
    <t>Steam Punk Ukulele</t>
  </si>
  <si>
    <t>RSSGR</t>
  </si>
  <si>
    <t>STICKA GLITTER</t>
  </si>
  <si>
    <t>RSSG</t>
  </si>
  <si>
    <t>STICKA GLITTER 1300 SET UP: 25 EACH OF 52 PLUS STAND</t>
  </si>
  <si>
    <t>STG120</t>
  </si>
  <si>
    <t>STICKER GLITTER 120 PACK</t>
  </si>
  <si>
    <t>ST4F</t>
  </si>
  <si>
    <t>STICKERS 4 FUN 120 PACK</t>
  </si>
  <si>
    <t>RSS4M</t>
  </si>
  <si>
    <t>STICKERS 4 FUN 1300 SET UP: 25 EACH OF DESIGNS PLUS STAND</t>
  </si>
  <si>
    <t>RSS4M R</t>
  </si>
  <si>
    <t>STICKERS 4 FUN REFILL</t>
  </si>
  <si>
    <t>STNTPC01</t>
  </si>
  <si>
    <t>Sticky Notes (Folio) - Planet Cat (Time Spent)</t>
  </si>
  <si>
    <t>HS001</t>
  </si>
  <si>
    <t>Strawberry Quartz - Friendship</t>
  </si>
  <si>
    <t>Kit8</t>
  </si>
  <si>
    <t>Strawberry Thief Blue Kit 1</t>
  </si>
  <si>
    <t>SDB02</t>
  </si>
  <si>
    <t>Strip Display Box - Flexible Booklight</t>
  </si>
  <si>
    <t>SDB01</t>
  </si>
  <si>
    <t>Strip Display Box - Smart Light</t>
  </si>
  <si>
    <t>SBM005</t>
  </si>
  <si>
    <t>Success Albert Einstein</t>
  </si>
  <si>
    <t>SBMSP</t>
  </si>
  <si>
    <t>Success Bookmark Set Up 72 units</t>
  </si>
  <si>
    <t>CDUSBM</t>
  </si>
  <si>
    <t>SUCCESS BOOKMARKS DISPLAY</t>
  </si>
  <si>
    <t>001SM</t>
  </si>
  <si>
    <t>Success Bookmarks False Item</t>
  </si>
  <si>
    <t>SBM006</t>
  </si>
  <si>
    <t>Success Charlie Chaplin</t>
  </si>
  <si>
    <t>SBM001</t>
  </si>
  <si>
    <t>Success Eleanor Roosevelt</t>
  </si>
  <si>
    <t>SBM011</t>
  </si>
  <si>
    <t>Success Ernest Hemingway</t>
  </si>
  <si>
    <t>SBM012</t>
  </si>
  <si>
    <t>Success Mao's Last Dancer</t>
  </si>
  <si>
    <t>SBM008</t>
  </si>
  <si>
    <t>Success Marilyn Monroe</t>
  </si>
  <si>
    <t>SBM010</t>
  </si>
  <si>
    <t>Success Mark Twain</t>
  </si>
  <si>
    <t>SBM003</t>
  </si>
  <si>
    <t>Success Muhammad Ali</t>
  </si>
  <si>
    <t>SBM007</t>
  </si>
  <si>
    <t>Success Nelson Mandela</t>
  </si>
  <si>
    <t>SBM002</t>
  </si>
  <si>
    <t>Success Oscar Wilde</t>
  </si>
  <si>
    <t>SBM009</t>
  </si>
  <si>
    <t>Success Thomas Edison</t>
  </si>
  <si>
    <t>SBM004</t>
  </si>
  <si>
    <t>Success Winston Churchill</t>
  </si>
  <si>
    <t>CR016</t>
  </si>
  <si>
    <t>Sugar Scrub Set - Fruit</t>
  </si>
  <si>
    <t>CR018</t>
  </si>
  <si>
    <t>Sugar Scrub Set - Monet Water Lilies</t>
  </si>
  <si>
    <t>CR015</t>
  </si>
  <si>
    <t>Sugar Scrub Set - Strawberry Thief</t>
  </si>
  <si>
    <t>CR017</t>
  </si>
  <si>
    <t>Sugar Scrub Set - Van Gogh Sunflowers</t>
  </si>
  <si>
    <t>POSTOP01</t>
  </si>
  <si>
    <t>Summer Cruises</t>
  </si>
  <si>
    <t>WFM003</t>
  </si>
  <si>
    <t>Sunflower - Australian Made Wooden Fridge Magnet</t>
  </si>
  <si>
    <t>WK003</t>
  </si>
  <si>
    <t>Sunflower - Australian Made Wooden Key Ring</t>
  </si>
  <si>
    <t>SA003</t>
  </si>
  <si>
    <t>Support A Farmer</t>
  </si>
  <si>
    <t>WO058</t>
  </si>
  <si>
    <t>Surfboard - Australian Made Wooden Ornament</t>
  </si>
  <si>
    <t>RFS10233</t>
  </si>
  <si>
    <t>Table Tennis Set</t>
  </si>
  <si>
    <t>RFS11650</t>
  </si>
  <si>
    <t>TAMBOURINE IN A PRINTED BOX - HARLEQUIN</t>
  </si>
  <si>
    <t>WFM024</t>
  </si>
  <si>
    <t>Tasmanian Devil - Australian Made Wooden Fridge Magnet</t>
  </si>
  <si>
    <t>WK024</t>
  </si>
  <si>
    <t>Tasmanian Devil - Australian Made Wooden Key Ring</t>
  </si>
  <si>
    <t>WO047</t>
  </si>
  <si>
    <t>Tasmanian Devil - Australian Made Wooden Ornament</t>
  </si>
  <si>
    <t>BM07</t>
  </si>
  <si>
    <t>Tea Infuser Mug - Blue Larkspur William Morris</t>
  </si>
  <si>
    <t>BM23</t>
  </si>
  <si>
    <t>Tea Infuser Mug - Falling Free</t>
  </si>
  <si>
    <t>BM02</t>
  </si>
  <si>
    <t>Tea Infuser Mug - Leopard Bluhen</t>
  </si>
  <si>
    <t>BM22</t>
  </si>
  <si>
    <t>Tea Infuser Mug - Quiet Blossom</t>
  </si>
  <si>
    <t>TEA6013</t>
  </si>
  <si>
    <t>TEA TOWEL - BOTH OF US CAN'T LOOK</t>
  </si>
  <si>
    <t>GR170002</t>
  </si>
  <si>
    <t>TEA TOWEL - DRYING UP IS MURDER</t>
  </si>
  <si>
    <t>GR900060</t>
  </si>
  <si>
    <t>TEA TOWEL - FIRST CLASS CHEF</t>
  </si>
  <si>
    <t>TEAVR3</t>
  </si>
  <si>
    <t>TEA TOWEL - HAS EVERYONE GONE</t>
  </si>
  <si>
    <t>TEA6017</t>
  </si>
  <si>
    <t>TEA TOWEL - HOORAY</t>
  </si>
  <si>
    <t>TEA3030</t>
  </si>
  <si>
    <t>TEA TOWEL - I DON'T DO HOUSEWORK</t>
  </si>
  <si>
    <t>TEA6016</t>
  </si>
  <si>
    <t>TEA TOWEL - I ONLY HAVE A KITCHEN</t>
  </si>
  <si>
    <t>TEAVR15</t>
  </si>
  <si>
    <t>TEA TOWEL - LIFE IS A STRUGGLE</t>
  </si>
  <si>
    <t>GR170041</t>
  </si>
  <si>
    <t>TEA TOWEL - MONOPOLY BOARD</t>
  </si>
  <si>
    <t>GR900064</t>
  </si>
  <si>
    <t>TEA TOWEL - MULTICOLOUR STAMP</t>
  </si>
  <si>
    <t>TWTLPC01</t>
  </si>
  <si>
    <t>Tea Towel - Planet Cat (Life Is Simple)</t>
  </si>
  <si>
    <t>TEA36062</t>
  </si>
  <si>
    <t>TEA TOWEL SO BLOODY BLONDE NEW</t>
  </si>
  <si>
    <t>each</t>
  </si>
  <si>
    <t>Teeth Marks - Bat</t>
  </si>
  <si>
    <t>00tm</t>
  </si>
  <si>
    <t>Teeth Marks Set Up</t>
  </si>
  <si>
    <t>SP369</t>
  </si>
  <si>
    <t>Teeth Marks Starter Pack 36 units</t>
  </si>
  <si>
    <t>Teeth Marks-Bear</t>
  </si>
  <si>
    <t>Teeth Marks-Hippo</t>
  </si>
  <si>
    <t>Teeth Marks-Shark</t>
  </si>
  <si>
    <t>Teeth Marks-T-Rex</t>
  </si>
  <si>
    <t>Teeth Marks-Wolf</t>
  </si>
  <si>
    <t>CDU369</t>
  </si>
  <si>
    <t>TEETHMARKS DISPLAY</t>
  </si>
  <si>
    <t>TELEPHONE NUMBERS</t>
  </si>
  <si>
    <t>TP03</t>
  </si>
  <si>
    <t>Telescopic Pouch - Fruit</t>
  </si>
  <si>
    <t>TP01</t>
  </si>
  <si>
    <t>Telescopic Pouch - Larkspur</t>
  </si>
  <si>
    <t>TP06</t>
  </si>
  <si>
    <t>Telescopic Pouch - Leopard Print</t>
  </si>
  <si>
    <t>TP05</t>
  </si>
  <si>
    <t>Telescopic Pouch - Peonie Rose</t>
  </si>
  <si>
    <t>TP02</t>
  </si>
  <si>
    <t>Telescopic Pouch - Strawberry Thief</t>
  </si>
  <si>
    <t>TP04</t>
  </si>
  <si>
    <t>Telescopic Pouch - Wild Tulip</t>
  </si>
  <si>
    <t>TA006</t>
  </si>
  <si>
    <t>Terra Aus Bkmk - Echidna</t>
  </si>
  <si>
    <t>TA003</t>
  </si>
  <si>
    <t>Terra Aus Bkmk - Emu of Port Jackson</t>
  </si>
  <si>
    <t>TA004</t>
  </si>
  <si>
    <t>Terra Aus Bkmk - King Island Wombat</t>
  </si>
  <si>
    <t>TA009</t>
  </si>
  <si>
    <t>Terra Aus Bkmk - Koalas</t>
  </si>
  <si>
    <t>TA010</t>
  </si>
  <si>
    <t>Terra Aus Bkmk - Kongouro</t>
  </si>
  <si>
    <t>TA011</t>
  </si>
  <si>
    <t>Terra Aus Bkmk - Kookaburra</t>
  </si>
  <si>
    <t>TA008</t>
  </si>
  <si>
    <t>Terra Aus Bkmk - Leafy Sea Dragon</t>
  </si>
  <si>
    <t>TA001</t>
  </si>
  <si>
    <t>Terra Aus Bkmk - Parakeet</t>
  </si>
  <si>
    <t>TA012</t>
  </si>
  <si>
    <t>Terra Aus Bkmk - Platypus</t>
  </si>
  <si>
    <t>TA002</t>
  </si>
  <si>
    <t>Terra Aus Bkmk - Salvadori's Cassowary</t>
  </si>
  <si>
    <t>TA005</t>
  </si>
  <si>
    <t>Terra Aus Bkmk - Tasmanian Devil</t>
  </si>
  <si>
    <t>TA007</t>
  </si>
  <si>
    <t>Terra Aus Bkmk - Tasmanian Tiger</t>
  </si>
  <si>
    <t>TASP</t>
  </si>
  <si>
    <t>Terra Australis Bookmarks 72 units</t>
  </si>
  <si>
    <t>CDUTA</t>
  </si>
  <si>
    <t>TERRA AUSTRALIS BOOKMARKS DISPLAY</t>
  </si>
  <si>
    <t>91716a</t>
  </si>
  <si>
    <t>Test FF Beta</t>
  </si>
  <si>
    <t>TTT01</t>
  </si>
  <si>
    <t>Test Wooden Product</t>
  </si>
  <si>
    <t>The BFG Bookmark Refill</t>
  </si>
  <si>
    <t>THE BFG DREAM JAR READING LIGHT</t>
  </si>
  <si>
    <t>SP348</t>
  </si>
  <si>
    <t>THE BOOK FAN SET UP 24 units</t>
  </si>
  <si>
    <t>THE BOOK LAMP - CLASSIC CREAM</t>
  </si>
  <si>
    <t>THE BOOK LAMP - RETRO RED</t>
  </si>
  <si>
    <t>FB001</t>
  </si>
  <si>
    <t>The Flexi Book Light Battery - Black</t>
  </si>
  <si>
    <t>FB003</t>
  </si>
  <si>
    <t>The Flexi Book Light Battery - Blue</t>
  </si>
  <si>
    <t>FB004</t>
  </si>
  <si>
    <t>The Flexi Book Light Battery - Pink</t>
  </si>
  <si>
    <t>FB002</t>
  </si>
  <si>
    <t>The Flexi Book Light Battery - White</t>
  </si>
  <si>
    <t>RCBL001</t>
  </si>
  <si>
    <t>The Flexi Book Light Rechargeable - Black</t>
  </si>
  <si>
    <t>RCBL003</t>
  </si>
  <si>
    <t>The Flexi Book Light Rechargeable - Blue</t>
  </si>
  <si>
    <t>RCBL002</t>
  </si>
  <si>
    <t>The Flexi Book Light Rechargeable - Pink</t>
  </si>
  <si>
    <t>RCBL004</t>
  </si>
  <si>
    <t>The Flexi Book Light Rechargeable - White</t>
  </si>
  <si>
    <t>FBL01</t>
  </si>
  <si>
    <t>The Flexi Book Light Rechargeable New - Black</t>
  </si>
  <si>
    <t>FBL03</t>
  </si>
  <si>
    <t>The Flexi Book Light Rechargeable New - Blue</t>
  </si>
  <si>
    <t>FBL02</t>
  </si>
  <si>
    <t>The Flexi Book Light Rechargeable New - Pink</t>
  </si>
  <si>
    <t>FBL04</t>
  </si>
  <si>
    <t>The Flexi Book Light Rechargeable New - White</t>
  </si>
  <si>
    <t>RCBLSP</t>
  </si>
  <si>
    <t>The Flexi Book Light Rechargeable Set Up</t>
  </si>
  <si>
    <t>THE HANDS STAND - AUBERGINE</t>
  </si>
  <si>
    <t>THE HANDS STAND - CORAL</t>
  </si>
  <si>
    <t>THE HANDS STAND - SCARLET</t>
  </si>
  <si>
    <t>THE POP UP BOOK END PINK</t>
  </si>
  <si>
    <t>THE POP UP BOOKEND - GREY MATTER</t>
  </si>
  <si>
    <t>THE POP UP BOOKEND - RED ALERT</t>
  </si>
  <si>
    <t>THE POP UP BOOKEND BLACK</t>
  </si>
  <si>
    <t>THE POP UP BOOKEND BLUE</t>
  </si>
  <si>
    <t>THE POP UP BOOKEND GREEN</t>
  </si>
  <si>
    <t>THE POP UP BOOKEND WHITE</t>
  </si>
  <si>
    <t>00RB</t>
  </si>
  <si>
    <t>The Rechargeable Book Light Set Up False Item</t>
  </si>
  <si>
    <t>SL001</t>
  </si>
  <si>
    <t>The Smart Light - Black</t>
  </si>
  <si>
    <t>SL005</t>
  </si>
  <si>
    <t>The Smart Light - Midnight Blue</t>
  </si>
  <si>
    <t>SL004</t>
  </si>
  <si>
    <t>The Smart Light - Pink</t>
  </si>
  <si>
    <t>SL002</t>
  </si>
  <si>
    <t>The Smart Light - Purple</t>
  </si>
  <si>
    <t>SL006</t>
  </si>
  <si>
    <t>The Smart Light - Red</t>
  </si>
  <si>
    <t>SL003</t>
  </si>
  <si>
    <t>The Smart Light - Turquoise</t>
  </si>
  <si>
    <t>THE TABLET HOLDER - GREY</t>
  </si>
  <si>
    <t>THE TABLET HOLDER - RED</t>
  </si>
  <si>
    <t>ULB001</t>
  </si>
  <si>
    <t>The Ultimate Book Light BATTERY - Black</t>
  </si>
  <si>
    <t>ULB002</t>
  </si>
  <si>
    <t>The Ultimate Book Light BATTERY - White</t>
  </si>
  <si>
    <t>UBR001</t>
  </si>
  <si>
    <t>The Ultimate Book Light Rechargeable - Black</t>
  </si>
  <si>
    <t>UBR002</t>
  </si>
  <si>
    <t>The Ultimate Book Light Rechargeable - White</t>
  </si>
  <si>
    <t>JTWTD</t>
  </si>
  <si>
    <t>THESE WERE THE DAYS, FROM YOU TO ME</t>
  </si>
  <si>
    <t>WO057</t>
  </si>
  <si>
    <t>Thong - Australian Made Wooden Ornament</t>
  </si>
  <si>
    <t>POSTTC02</t>
  </si>
  <si>
    <t>THOS. CRAPPER</t>
  </si>
  <si>
    <t>FSNC3</t>
  </si>
  <si>
    <t>THREE SIDED SPINNER</t>
  </si>
  <si>
    <t>CDUNJ</t>
  </si>
  <si>
    <t>TIMELESS COLLECTION CDU</t>
  </si>
  <si>
    <t>CDU51</t>
  </si>
  <si>
    <t>TINY BOOK LIGHT STAND</t>
  </si>
  <si>
    <t>TINY BOOKLIGHT WITH E READER ADAPTER - GREY</t>
  </si>
  <si>
    <t>TINY BOOKLIGHT WITH E READER ADAPTER - WHITE</t>
  </si>
  <si>
    <t>SPGCTES</t>
  </si>
  <si>
    <t>Tiny Emotional Support Set Up Australian Made Wooden Greeting Cards 36pcs</t>
  </si>
  <si>
    <t>TO USE FOR OTHER SKU</t>
  </si>
  <si>
    <t>TO USE FOR OTHER ITEM</t>
  </si>
  <si>
    <t>TST004</t>
  </si>
  <si>
    <t>Toasties Bodacious - Large</t>
  </si>
  <si>
    <t>TST009</t>
  </si>
  <si>
    <t>Toasties Bodacious - Small</t>
  </si>
  <si>
    <t>TSTDISP</t>
  </si>
  <si>
    <t>Toasties Display</t>
  </si>
  <si>
    <t>TST005</t>
  </si>
  <si>
    <t>Toasties Dusty Cedar - Large</t>
  </si>
  <si>
    <t>TST010</t>
  </si>
  <si>
    <t>Toasties Dusty Cedar - Small</t>
  </si>
  <si>
    <t>TST001</t>
  </si>
  <si>
    <t>Toasties Jet Black - Large</t>
  </si>
  <si>
    <t>TST006</t>
  </si>
  <si>
    <t>Toasties Jet Black - Small</t>
  </si>
  <si>
    <t>TST003</t>
  </si>
  <si>
    <t>Toasties Riverside - Large</t>
  </si>
  <si>
    <t>TST008</t>
  </si>
  <si>
    <t>Toasties Riverside - Small</t>
  </si>
  <si>
    <t>TST002</t>
  </si>
  <si>
    <t>Toasties Sharkskin - Large</t>
  </si>
  <si>
    <t>TST007</t>
  </si>
  <si>
    <t>Toasties Sharkskin - Small</t>
  </si>
  <si>
    <t>WM023</t>
  </si>
  <si>
    <t>Toiletry Bag - William Morris Lavender Strawberry Thief</t>
  </si>
  <si>
    <t>WM022</t>
  </si>
  <si>
    <t>Toiletry Bag - William Morris Mint Larkspur</t>
  </si>
  <si>
    <t>WM024</t>
  </si>
  <si>
    <t>Toiletry Bag - William Morris Sweet Briar</t>
  </si>
  <si>
    <t>WP012</t>
  </si>
  <si>
    <t>Tool Box - Worlds Best Brother</t>
  </si>
  <si>
    <t>WP010</t>
  </si>
  <si>
    <t>Tool Box - Worlds Best Dad</t>
  </si>
  <si>
    <t>WP011</t>
  </si>
  <si>
    <t>Tool Box - Worlds Best Grandad</t>
  </si>
  <si>
    <t>TB005</t>
  </si>
  <si>
    <t>Tote Bag - be here now</t>
  </si>
  <si>
    <t>TB040</t>
  </si>
  <si>
    <t>Tote Bag - Black Canvas</t>
  </si>
  <si>
    <t>TB020</t>
  </si>
  <si>
    <t>Tote Bag - Bluhen Hampton Stripe</t>
  </si>
  <si>
    <t>TB019</t>
  </si>
  <si>
    <t>Tote Bag - Bluhen Kilburn</t>
  </si>
  <si>
    <t>TB018</t>
  </si>
  <si>
    <t>Tote Bag - Bluhen Leopard Print</t>
  </si>
  <si>
    <t>TB017</t>
  </si>
  <si>
    <t>Tote Bag - Bluhen Peonie Rose</t>
  </si>
  <si>
    <t>TB001</t>
  </si>
  <si>
    <t>Tote Bag - Book Hangover</t>
  </si>
  <si>
    <t>TB012</t>
  </si>
  <si>
    <t>Tote Bag - Books Need Me Too</t>
  </si>
  <si>
    <t>TB039</t>
  </si>
  <si>
    <t>Tote Bag - Falling Free</t>
  </si>
  <si>
    <t>TB007</t>
  </si>
  <si>
    <t>Tote Bag - I Like To Party</t>
  </si>
  <si>
    <t>TB002</t>
  </si>
  <si>
    <t>Tote Bag - I Love Books</t>
  </si>
  <si>
    <t>TB003</t>
  </si>
  <si>
    <t>Tote Bag - Its Not Hoarding</t>
  </si>
  <si>
    <t>TB011</t>
  </si>
  <si>
    <t>Tote Bag - Man of My Dreams</t>
  </si>
  <si>
    <t>TB004</t>
  </si>
  <si>
    <t>Tote Bag - No Drama Llama</t>
  </si>
  <si>
    <t>TB008</t>
  </si>
  <si>
    <t>Tote Bag - One More Chapter</t>
  </si>
  <si>
    <t>TB038</t>
  </si>
  <si>
    <t>Tote Bag - Quiet Blossom</t>
  </si>
  <si>
    <t>TB010</t>
  </si>
  <si>
    <t>Tote Bag - Read Books Drink Tea</t>
  </si>
  <si>
    <t>TB006</t>
  </si>
  <si>
    <t>Tote Bag - Smile</t>
  </si>
  <si>
    <t>TB009</t>
  </si>
  <si>
    <t>Tote Bag - Too Many Books</t>
  </si>
  <si>
    <t>TB013</t>
  </si>
  <si>
    <t>Tote Bag - William Morris Blue Larkspur</t>
  </si>
  <si>
    <t>TB015</t>
  </si>
  <si>
    <t>Tote Bag - William Morris Fruit</t>
  </si>
  <si>
    <t>TB014</t>
  </si>
  <si>
    <t>Tote Bag - William Morris Strawberry Thief</t>
  </si>
  <si>
    <t>TB021</t>
  </si>
  <si>
    <t>Tote Bag - William Morris Strawberry Thief Red</t>
  </si>
  <si>
    <t>TB016</t>
  </si>
  <si>
    <t>Tote Bag - William Morris Wild Tulip</t>
  </si>
  <si>
    <t>WO064</t>
  </si>
  <si>
    <t>Tram Green - Australian Made Wooden Ornament</t>
  </si>
  <si>
    <t>WO063</t>
  </si>
  <si>
    <t>Tram Red - Australian Made Wooden Ornament</t>
  </si>
  <si>
    <t>TC034</t>
  </si>
  <si>
    <t>Travel Case - Falling Free</t>
  </si>
  <si>
    <t>TC023</t>
  </si>
  <si>
    <t>Travel Case - Fruit</t>
  </si>
  <si>
    <t>TC029</t>
  </si>
  <si>
    <t>Travel Case - Hampton Stripe</t>
  </si>
  <si>
    <t>TC027</t>
  </si>
  <si>
    <t>Travel Case - Kilburn</t>
  </si>
  <si>
    <t>TC026</t>
  </si>
  <si>
    <t>Travel Case - Larkspur</t>
  </si>
  <si>
    <t>TC028</t>
  </si>
  <si>
    <t>Travel Case - Leopard Print</t>
  </si>
  <si>
    <t>TC022</t>
  </si>
  <si>
    <t>Travel Case - Peonie Rose</t>
  </si>
  <si>
    <t>TC033</t>
  </si>
  <si>
    <t>Travel Case - Quiet Blossom</t>
  </si>
  <si>
    <t>TC025</t>
  </si>
  <si>
    <t>Travel Case - Wild Tulip</t>
  </si>
  <si>
    <t>TCD</t>
  </si>
  <si>
    <t>Travel Case Display WDU</t>
  </si>
  <si>
    <t>CDUTJ</t>
  </si>
  <si>
    <t>TRAVEL JOURNAL DISPLAY</t>
  </si>
  <si>
    <t>MUGTPC01</t>
  </si>
  <si>
    <t>Travel Mug (Bamboo) - Planet Cat (Slow Down)</t>
  </si>
  <si>
    <t>TRAVEL READING REST - SCARLET</t>
  </si>
  <si>
    <t>TRAVEL READING REST - TAN</t>
  </si>
  <si>
    <t>TBL01</t>
  </si>
  <si>
    <t>Traveller Book Light Rechargeable - Black</t>
  </si>
  <si>
    <t>TBL02</t>
  </si>
  <si>
    <t>Traveller Book Light Rechargeable - White</t>
  </si>
  <si>
    <t>TBLRSP</t>
  </si>
  <si>
    <t>Traveller Book Light Rechargeable Set Up</t>
  </si>
  <si>
    <t>TKE</t>
  </si>
  <si>
    <t>Triangle Kraft Envelope</t>
  </si>
  <si>
    <t>WFM002</t>
  </si>
  <si>
    <t>Tulip - Australian Made Wooden Fridge Magnet</t>
  </si>
  <si>
    <t>WK002</t>
  </si>
  <si>
    <t>Tulip - Australian Made Wooden Key Ring</t>
  </si>
  <si>
    <t>BH058</t>
  </si>
  <si>
    <t>Turban Shower Cap - Bluhen Hampton Stripe</t>
  </si>
  <si>
    <t>BH059</t>
  </si>
  <si>
    <t>Turban Shower Cap - Bluhen Kilburn</t>
  </si>
  <si>
    <t>SC01</t>
  </si>
  <si>
    <t>Turban Shower Cap - William Morris Blue Larkspur</t>
  </si>
  <si>
    <t>SC02</t>
  </si>
  <si>
    <t>Turban Shower Cap - William Morris Fruit</t>
  </si>
  <si>
    <t>SC03</t>
  </si>
  <si>
    <t>Turban Shower Cap - William Morris Strawberry Thief</t>
  </si>
  <si>
    <t>SC04</t>
  </si>
  <si>
    <t>Turban Shower Cap - William Morris Strawberry Thief Red</t>
  </si>
  <si>
    <t>SC05</t>
  </si>
  <si>
    <t>Turban Shower Cap - William Morris Wild Tulip</t>
  </si>
  <si>
    <t>UBL01</t>
  </si>
  <si>
    <t>Ultra Book Light Rechargeable - Black</t>
  </si>
  <si>
    <t>UMB001</t>
  </si>
  <si>
    <t>Umbrella - Black</t>
  </si>
  <si>
    <t>BH57</t>
  </si>
  <si>
    <t>Umbrella - Bluhen (Monet's Water Lilies)</t>
  </si>
  <si>
    <t>BH56</t>
  </si>
  <si>
    <t>Umbrella - Bluhen (Van Gogh Sunflowers)</t>
  </si>
  <si>
    <t>BH49</t>
  </si>
  <si>
    <t>Umbrella - BluHen - Black Floral</t>
  </si>
  <si>
    <t>BH52</t>
  </si>
  <si>
    <t>Umbrella - Bluhen - Leopard</t>
  </si>
  <si>
    <t>BH46</t>
  </si>
  <si>
    <t>Umbrella - BluHen - Peonie Rose</t>
  </si>
  <si>
    <t>BH53</t>
  </si>
  <si>
    <t>Umbrella - BluHen - Pink Polka Dot</t>
  </si>
  <si>
    <t>UMB003</t>
  </si>
  <si>
    <t>Umbrella - Green</t>
  </si>
  <si>
    <t>UMB002</t>
  </si>
  <si>
    <t>Umbrella - Navy</t>
  </si>
  <si>
    <t>UMB004</t>
  </si>
  <si>
    <t>Umbrella - Red</t>
  </si>
  <si>
    <t>UMBRRHS01</t>
  </si>
  <si>
    <t>Umbrella - RHS (Irises &amp; Hellebores)</t>
  </si>
  <si>
    <t>WM034</t>
  </si>
  <si>
    <t>Umbrella - William Morris (Blue Larkspur)</t>
  </si>
  <si>
    <t>WM043</t>
  </si>
  <si>
    <t>Umbrella - William Morris (Fruit)</t>
  </si>
  <si>
    <t>WM033</t>
  </si>
  <si>
    <t>Umbrella - William Morris (Lavender Strawberry Thief)</t>
  </si>
  <si>
    <t>WM044</t>
  </si>
  <si>
    <t>Umbrella - William Morris (Strawberry Thief Original)</t>
  </si>
  <si>
    <t>WM045</t>
  </si>
  <si>
    <t>Umbrella - William Morris (Strawberry Thief Red)</t>
  </si>
  <si>
    <t>UMBRWM01</t>
  </si>
  <si>
    <t>Umbrella - William Morris (Strawberry Thief)</t>
  </si>
  <si>
    <t>WM035</t>
  </si>
  <si>
    <t>Umbrella - William Morris (Sweet Briar)</t>
  </si>
  <si>
    <t>WM039</t>
  </si>
  <si>
    <t>Umbrella - William Morris (Wild Tulip)</t>
  </si>
  <si>
    <t>WM033A</t>
  </si>
  <si>
    <t>Umbrella - William Morris Lavender Strawberry Thief ( Original)</t>
  </si>
  <si>
    <t>WM035A</t>
  </si>
  <si>
    <t>Umbrella - William Morris Sweet Briar (Auto)</t>
  </si>
  <si>
    <t>UBFSU</t>
  </si>
  <si>
    <t>Umbrella Full Set Up 30cmD x 50cmW x 165cmH</t>
  </si>
  <si>
    <t>UMS1</t>
  </si>
  <si>
    <t>Umbrella Metal Stand</t>
  </si>
  <si>
    <t>UBSUBH</t>
  </si>
  <si>
    <t>Umbrella Set Up - BluHen 30cmD x 50cmW x 165cmH</t>
  </si>
  <si>
    <t>UBSU</t>
  </si>
  <si>
    <t>Umbrella Set Up - Mixed</t>
  </si>
  <si>
    <t>UBSUWM</t>
  </si>
  <si>
    <t>Umbrella Set Up - William Morris 30cmD x 50cmW x 165cmH</t>
  </si>
  <si>
    <t>UMBSU</t>
  </si>
  <si>
    <t>Umbrella Set Up- Colored 30cmD x 50cmW x 165cmH</t>
  </si>
  <si>
    <t>UMB015</t>
  </si>
  <si>
    <t>Umbrella Small - Falling Free</t>
  </si>
  <si>
    <t>UMB014</t>
  </si>
  <si>
    <t>Umbrella Small - Quiet Blossom</t>
  </si>
  <si>
    <t>UMB005</t>
  </si>
  <si>
    <t>Umbrella Small-Fruit</t>
  </si>
  <si>
    <t>UMB006</t>
  </si>
  <si>
    <t>Umbrella Small-Kilburn</t>
  </si>
  <si>
    <t>UMB008</t>
  </si>
  <si>
    <t>Umbrella Small-Strawberry Thief Red</t>
  </si>
  <si>
    <t>00uaz</t>
  </si>
  <si>
    <t>Unicorn Calendar Amz</t>
  </si>
  <si>
    <t>UC002</t>
  </si>
  <si>
    <t>Unicorn Slim Calendar</t>
  </si>
  <si>
    <t>SWC003</t>
  </si>
  <si>
    <t>Unicorn Square Calendar</t>
  </si>
  <si>
    <t>UC003</t>
  </si>
  <si>
    <t>Unicorn Year Planner</t>
  </si>
  <si>
    <t>CS31</t>
  </si>
  <si>
    <t>Unicorns &amp; Rainbows Sleeve</t>
  </si>
  <si>
    <t>USWLBRF009</t>
  </si>
  <si>
    <t>US WLB Reading Friend - Wolf</t>
  </si>
  <si>
    <t>USFBASM006</t>
  </si>
  <si>
    <t>USFBA 101 Movies Scratch Poster</t>
  </si>
  <si>
    <t>USFBAABL002</t>
  </si>
  <si>
    <t>USFBA Animal Book Light Rechargeable - Unicorn</t>
  </si>
  <si>
    <t>USFBABTB6PK</t>
  </si>
  <si>
    <t>USFBA Baby Talk Bibs Gift Pack of 6</t>
  </si>
  <si>
    <t>USFBASWC015</t>
  </si>
  <si>
    <t>USFBA Beaches Calendar</t>
  </si>
  <si>
    <t>CA2604</t>
  </si>
  <si>
    <t>USFBA Beaches Calendar 2026</t>
  </si>
  <si>
    <t>USFBASWC008</t>
  </si>
  <si>
    <t>USFBA Book Lovers Calendar 2026</t>
  </si>
  <si>
    <t>USFBASWC002</t>
  </si>
  <si>
    <t>USFBA Cat Dreams Square Calendar</t>
  </si>
  <si>
    <t>USFBASWC016</t>
  </si>
  <si>
    <t>USFBA Cats and Flowers</t>
  </si>
  <si>
    <t>CA2607</t>
  </si>
  <si>
    <t>USFBA Cats and Flowers 2026</t>
  </si>
  <si>
    <t>USFBASWC007</t>
  </si>
  <si>
    <t>USFBA Dinosaur Calendar</t>
  </si>
  <si>
    <t>CA2609</t>
  </si>
  <si>
    <t>USFBA Dinosaur Calendar 2026</t>
  </si>
  <si>
    <t>USFBASWC009</t>
  </si>
  <si>
    <t>USFBA Dog Pooping Calendar</t>
  </si>
  <si>
    <t>75-3J8M-MNKY</t>
  </si>
  <si>
    <t>USFBA Dog Pooping Calendar 2026</t>
  </si>
  <si>
    <t>USFBASWC005</t>
  </si>
  <si>
    <t>USFBA Dog Shaming Calendar</t>
  </si>
  <si>
    <t>USFBAFABH1</t>
  </si>
  <si>
    <t>USFBA Fold Away Book Holder - A Room Without A Book</t>
  </si>
  <si>
    <t>USFBAGW005</t>
  </si>
  <si>
    <t>USFBA GlassWear Black Stretch Silk - Silver Alloy</t>
  </si>
  <si>
    <t>USFBASWC013</t>
  </si>
  <si>
    <t>USFBA Horses Calendar</t>
  </si>
  <si>
    <t>CA2602</t>
  </si>
  <si>
    <t>USFBA Horses Calendar 2026</t>
  </si>
  <si>
    <t>CA2611</t>
  </si>
  <si>
    <t>USFBA Kitten Dreams 2026</t>
  </si>
  <si>
    <t>USFBASWC006</t>
  </si>
  <si>
    <t>USFBA Llama Love Calendar</t>
  </si>
  <si>
    <t>USFBALM005</t>
  </si>
  <si>
    <t>USFBA Loudmouth - Donald Trump</t>
  </si>
  <si>
    <t>USFBALM012</t>
  </si>
  <si>
    <t>USFBA Loudmouth - Marilyn Monroe</t>
  </si>
  <si>
    <t>USFBASWC004</t>
  </si>
  <si>
    <t>USFBA Love Sloth Calendar</t>
  </si>
  <si>
    <t>USFBASWC011</t>
  </si>
  <si>
    <t>USFBA National Parks Calendar</t>
  </si>
  <si>
    <t>USFBASWC012</t>
  </si>
  <si>
    <t>USFBA Nature's Dicks Calendar</t>
  </si>
  <si>
    <t>CG-0CZX-IK8G</t>
  </si>
  <si>
    <t>USFBA Nature's Dicks Calendar 2026</t>
  </si>
  <si>
    <t>USFBARF010</t>
  </si>
  <si>
    <t>USFBA Reading Friend - Dinosaur</t>
  </si>
  <si>
    <t>USFBARF005</t>
  </si>
  <si>
    <t>USFBA Reading Friend - Koala</t>
  </si>
  <si>
    <t>USFBARF001</t>
  </si>
  <si>
    <t>USFBA Reading Friend - Unicorn</t>
  </si>
  <si>
    <t>USFBARF009</t>
  </si>
  <si>
    <t>USFBA Reading Friend - Wolf</t>
  </si>
  <si>
    <t>USFBARFUDK</t>
  </si>
  <si>
    <t>USFBA Reading Friend Unicorn Dog Koala</t>
  </si>
  <si>
    <t>CA2610</t>
  </si>
  <si>
    <t>USFBA Sloth Calendar 2026</t>
  </si>
  <si>
    <t>USFBASWC001</t>
  </si>
  <si>
    <t>USFBA Space Calendar</t>
  </si>
  <si>
    <t>CA2608</t>
  </si>
  <si>
    <t>USFBA Space Calendar 2026</t>
  </si>
  <si>
    <t>USFBAUBR001</t>
  </si>
  <si>
    <t>USFBA The Ultimate Book Light Rechargeable - Black</t>
  </si>
  <si>
    <t>USFBAUBL002</t>
  </si>
  <si>
    <t>USFBA The Ultimate Book Light Rechargeable - White</t>
  </si>
  <si>
    <t>CA2605</t>
  </si>
  <si>
    <t>USFBA Unicorn Calendar 2026</t>
  </si>
  <si>
    <t>USFBASWC003</t>
  </si>
  <si>
    <t>USFBA Unicorn Square Calendar</t>
  </si>
  <si>
    <t>USFBASM001</t>
  </si>
  <si>
    <t>USFBA USA World Scratch Map</t>
  </si>
  <si>
    <t>USFBASWC014</t>
  </si>
  <si>
    <t>USFBA Wolves Calendar</t>
  </si>
  <si>
    <t>CA2603</t>
  </si>
  <si>
    <t>USFBA Wolves Calendar 2026</t>
  </si>
  <si>
    <t>USFBASM008</t>
  </si>
  <si>
    <t>USFBAUSA Flag Scratch Map</t>
  </si>
  <si>
    <t>USFBMSWC008</t>
  </si>
  <si>
    <t>USFBM Book Lovers Calendar</t>
  </si>
  <si>
    <t>USFBMSWC002</t>
  </si>
  <si>
    <t>USFBM Cat Dreams Square Calendar</t>
  </si>
  <si>
    <t>USFBMSWC009</t>
  </si>
  <si>
    <t>USFBM Dog Pooping Calendar</t>
  </si>
  <si>
    <t>USFBMSWC005</t>
  </si>
  <si>
    <t>USFBM Dog Shaming Calendar</t>
  </si>
  <si>
    <t>USFBMSWC006</t>
  </si>
  <si>
    <t>USFBM Llama Love Calendar</t>
  </si>
  <si>
    <t>USFBMSWC004</t>
  </si>
  <si>
    <t>USFBM Mindful Sloth Calendar</t>
  </si>
  <si>
    <t>USFBMSWC012</t>
  </si>
  <si>
    <t>USFBM Nature's Dicks Calendar</t>
  </si>
  <si>
    <t>USFBMSWC003</t>
  </si>
  <si>
    <t>USFBM Unicorn Square Calendar</t>
  </si>
  <si>
    <t>USWLBSM007</t>
  </si>
  <si>
    <t>USWLB 101 Books Scratch Poster</t>
  </si>
  <si>
    <t>USWLBRF005</t>
  </si>
  <si>
    <t>USWLB BReading Friend - Koala</t>
  </si>
  <si>
    <t>USWLBSM004</t>
  </si>
  <si>
    <t>USWLB Kids Animal Scratch Map</t>
  </si>
  <si>
    <t>USWLBRF007</t>
  </si>
  <si>
    <t>USWLB Reading Friend - Bear</t>
  </si>
  <si>
    <t>USWLBRF003</t>
  </si>
  <si>
    <t>USWLB Reading Friend - Dog</t>
  </si>
  <si>
    <t>USWLBRF006</t>
  </si>
  <si>
    <t>USWLB Reading Friend - Kangaroo</t>
  </si>
  <si>
    <t>USWLBRF002</t>
  </si>
  <si>
    <t>USWLB Reading Friend - Llama</t>
  </si>
  <si>
    <t>USWLBRF001</t>
  </si>
  <si>
    <t>USWLB Reading Friend - Unicorn</t>
  </si>
  <si>
    <t>USWLBRS006</t>
  </si>
  <si>
    <t>USWLB Reading Socks - Black Cable Knot Men</t>
  </si>
  <si>
    <t>USWLBRS001</t>
  </si>
  <si>
    <t>USWLB Reading Socks - Black Llama Kids</t>
  </si>
  <si>
    <t>USWLBRS002</t>
  </si>
  <si>
    <t>USWLB Reading Socks - Black Llama Women</t>
  </si>
  <si>
    <t>USWLBRS004</t>
  </si>
  <si>
    <t>USWLB Reading Socks - Glitter Women</t>
  </si>
  <si>
    <t>USWLBRS005</t>
  </si>
  <si>
    <t>USWLB Reading Socks - Grey Cable Knot Women</t>
  </si>
  <si>
    <t>USWLBRS003</t>
  </si>
  <si>
    <t>USWLB Reading Socks - Pink Llama Women</t>
  </si>
  <si>
    <t>USWLBSM005</t>
  </si>
  <si>
    <t>USWLB Star Scratch Map</t>
  </si>
  <si>
    <t>USWLBRCBL001</t>
  </si>
  <si>
    <t>USWLB The Flexi Book Light Rechargeable - Black</t>
  </si>
  <si>
    <t>USWLBRCBL003</t>
  </si>
  <si>
    <t>USWLB The Flexi Book Light Rechargeable - Blue</t>
  </si>
  <si>
    <t>USWLBRCBL002</t>
  </si>
  <si>
    <t>USWLB The Flexi Book Light Rechargeable - Pink</t>
  </si>
  <si>
    <t>USWLBRCBL004</t>
  </si>
  <si>
    <t>USWLB The Flexi Book Light Rechargeable - White</t>
  </si>
  <si>
    <t>USWLBSL001</t>
  </si>
  <si>
    <t>USWLB The Smart Light - Black</t>
  </si>
  <si>
    <t>USWLBSL005</t>
  </si>
  <si>
    <t>USWLB The Smart Light - Midnight Blue</t>
  </si>
  <si>
    <t>USWLBSL004</t>
  </si>
  <si>
    <t>USWLB The Smart Light - Pink</t>
  </si>
  <si>
    <t>USWLBSL002</t>
  </si>
  <si>
    <t>USWLB The Smart Light - Purple</t>
  </si>
  <si>
    <t>USWLBSL006</t>
  </si>
  <si>
    <t>USWLB The Smart Light - Red</t>
  </si>
  <si>
    <t>USWLBSL003</t>
  </si>
  <si>
    <t>USWLB The Smart Light - Turquoise</t>
  </si>
  <si>
    <t>V&amp;A BOOK JACKET BORAGE</t>
  </si>
  <si>
    <t>V&amp;A BOOK JACKET MEMPHIS</t>
  </si>
  <si>
    <t>V&amp;A BOOK JACKET ORCHARD</t>
  </si>
  <si>
    <t>V&amp;A BOOK JACKET TEXTILE</t>
  </si>
  <si>
    <t>CDU972</t>
  </si>
  <si>
    <t>V&amp;A BOOK JACKETS DISPLAY STAND</t>
  </si>
  <si>
    <t>V&amp;A BOOKMKS - CRAY</t>
  </si>
  <si>
    <t>V&amp;A BOOKMKS - DESIGN</t>
  </si>
  <si>
    <t>V&amp;A BOOKMKS - DRESS FABRIC</t>
  </si>
  <si>
    <t>V&amp;A BOOKMKS - MICHAELMAS</t>
  </si>
  <si>
    <t>V&amp;A BOOKMKS - POMEGRANITE</t>
  </si>
  <si>
    <t>V&amp;A BOOKMKS - SEAGULLS</t>
  </si>
  <si>
    <t>V&amp;A BOOKMKS - STRAWBERRY THIEF</t>
  </si>
  <si>
    <t>V&amp;A BOOKMKS - THE OWL</t>
  </si>
  <si>
    <t>RFS11647</t>
  </si>
  <si>
    <t>VARIETY OF MAGIC TRICKS</t>
  </si>
  <si>
    <t>RFS11561</t>
  </si>
  <si>
    <t>VINTAGE MAP P/CARD &amp; DICE SET IN A FLAT BRUSHED TIN</t>
  </si>
  <si>
    <t>DA004</t>
  </si>
  <si>
    <t>Vitals - Beer Chillers Pair</t>
  </si>
  <si>
    <t>DA008</t>
  </si>
  <si>
    <t>Vitals - Cocktail Shaker Set</t>
  </si>
  <si>
    <t>DA014</t>
  </si>
  <si>
    <t>Vitals - Double Wall Beer Glass</t>
  </si>
  <si>
    <t>DA018</t>
  </si>
  <si>
    <t>Vitals - Double Wall Coffee Mug</t>
  </si>
  <si>
    <t>DA015</t>
  </si>
  <si>
    <t>Vitals - Double Wall Wine Glass</t>
  </si>
  <si>
    <t>DA001</t>
  </si>
  <si>
    <t>Vitals - Gin Stones</t>
  </si>
  <si>
    <t>DA016</t>
  </si>
  <si>
    <t>Vitals - Glass Tea Cup w Infuser</t>
  </si>
  <si>
    <t>DA013</t>
  </si>
  <si>
    <t>Vitals - Ice Cube Silicon Tray</t>
  </si>
  <si>
    <t>DA012</t>
  </si>
  <si>
    <t>Vitals - Ice Sphere Silicon Tray</t>
  </si>
  <si>
    <t>DA002</t>
  </si>
  <si>
    <t>Vitals - Spritz Stones</t>
  </si>
  <si>
    <t>DA017</t>
  </si>
  <si>
    <t>Vitals - Storage Jar w Cork</t>
  </si>
  <si>
    <t>DA003</t>
  </si>
  <si>
    <t>Vitals - Whiskey Stones</t>
  </si>
  <si>
    <t>DA006</t>
  </si>
  <si>
    <t>Vitals - Wine Aerator</t>
  </si>
  <si>
    <t>DA010</t>
  </si>
  <si>
    <t>Vitals - Wine Bottle Gift Set Large</t>
  </si>
  <si>
    <t>DA011</t>
  </si>
  <si>
    <t>Vitals - Wine Bottle Gift Set Medium</t>
  </si>
  <si>
    <t>DA005</t>
  </si>
  <si>
    <t>Vitals - Wine Chiller</t>
  </si>
  <si>
    <t>DA007</t>
  </si>
  <si>
    <t>Vitals - Wine Pourer Aerator</t>
  </si>
  <si>
    <t>DA009</t>
  </si>
  <si>
    <t>Vitals - Wine Vacuum Pump</t>
  </si>
  <si>
    <t>Vitals Homewares- Double Walled Coffee Mug</t>
  </si>
  <si>
    <t>SPVS</t>
  </si>
  <si>
    <t>Vitals Stones Set Up</t>
  </si>
  <si>
    <t>CDUVS</t>
  </si>
  <si>
    <t>Vitals Stones WDU</t>
  </si>
  <si>
    <t>POSTSG02</t>
  </si>
  <si>
    <t>VOTES FOR WOMEN</t>
  </si>
  <si>
    <t>BOOKAA03</t>
  </si>
  <si>
    <t>Wallace &amp; Gromit: Little Book of Cheese</t>
  </si>
  <si>
    <t>WFM009</t>
  </si>
  <si>
    <t>Waratah - Australian Made Wooden Fridge Magnet</t>
  </si>
  <si>
    <t>WK009</t>
  </si>
  <si>
    <t>Waratah - Australian Made Wooden Key Ring</t>
  </si>
  <si>
    <t>WMC006</t>
  </si>
  <si>
    <t>Warming Coaster Court Date</t>
  </si>
  <si>
    <t>WCD</t>
  </si>
  <si>
    <t>WARMING COASTER DISPLAY</t>
  </si>
  <si>
    <t>WMC004</t>
  </si>
  <si>
    <t>Warming Coaster Drink Coffee</t>
  </si>
  <si>
    <t>WMC001</t>
  </si>
  <si>
    <t>Warming Coaster My Farts</t>
  </si>
  <si>
    <t>WMC002</t>
  </si>
  <si>
    <t>Warming Coaster Queen of</t>
  </si>
  <si>
    <t>WMC003</t>
  </si>
  <si>
    <t>Warming Coaster Stop to think</t>
  </si>
  <si>
    <t>WMC005</t>
  </si>
  <si>
    <t>Warming Coaster Ways to heart</t>
  </si>
  <si>
    <t>WMC010</t>
  </si>
  <si>
    <t>Warming Coasters Hug in a Cup</t>
  </si>
  <si>
    <t>WMC009</t>
  </si>
  <si>
    <t>Warming Coasters I Like To Party</t>
  </si>
  <si>
    <t>WMC012</t>
  </si>
  <si>
    <t>Warming Coasters Liquid Wisdom</t>
  </si>
  <si>
    <t>WMC011</t>
  </si>
  <si>
    <t>Warming Coasters Moon and Back</t>
  </si>
  <si>
    <t>WMC008</t>
  </si>
  <si>
    <t>Warming Coasters No Tea No Work</t>
  </si>
  <si>
    <t>WMCCSP</t>
  </si>
  <si>
    <t>Warming Coasters Set Up Coffee</t>
  </si>
  <si>
    <t>WMCTSP</t>
  </si>
  <si>
    <t>Warming Coasters Set Up Tea</t>
  </si>
  <si>
    <t>WMC007</t>
  </si>
  <si>
    <t>Warming Coasters Whisky Tea</t>
  </si>
  <si>
    <t>BAWB211</t>
  </si>
  <si>
    <t>WASH BAG DRAWSTRING TOWELLING POLAR BEAR</t>
  </si>
  <si>
    <t>BAWB021</t>
  </si>
  <si>
    <t>WASH BAG DRAWSTRING TOWELLING WHALE</t>
  </si>
  <si>
    <t>BAWB210</t>
  </si>
  <si>
    <t>WASH BAG TOWELLING POLAR BEAR</t>
  </si>
  <si>
    <t>BAWB006</t>
  </si>
  <si>
    <t>WASH BAG TOWELLING WHALE</t>
  </si>
  <si>
    <t>WBAGPC01</t>
  </si>
  <si>
    <t>Washbag - Planet Cat (Mysterious Folk)</t>
  </si>
  <si>
    <t>MAKERHS04</t>
  </si>
  <si>
    <t>Washbag - RHS (PVC Coral)</t>
  </si>
  <si>
    <t>WBOTBA01</t>
  </si>
  <si>
    <t>Water Bottle (Metal) - Batman</t>
  </si>
  <si>
    <t>WTRBPC01</t>
  </si>
  <si>
    <t>Water Bottle (Metal) 500ml – Planet Cat (Eat, Drink &amp; Pet)</t>
  </si>
  <si>
    <t>WB01</t>
  </si>
  <si>
    <t>Water Bottle - Blue Larkspur William Morris</t>
  </si>
  <si>
    <t>WB15</t>
  </si>
  <si>
    <t>Water Bottle - Falling Free</t>
  </si>
  <si>
    <t>WB04a</t>
  </si>
  <si>
    <t>Water Bottle - Leopard Print Blu-hen</t>
  </si>
  <si>
    <t>WB14</t>
  </si>
  <si>
    <t>Water Bottle - Quiet Blossom</t>
  </si>
  <si>
    <t>WB13</t>
  </si>
  <si>
    <t>Water Bottle - Tropical Koala</t>
  </si>
  <si>
    <t>WB08</t>
  </si>
  <si>
    <t>Water Bottle - Wild Tulip William Morris</t>
  </si>
  <si>
    <t>WBPG</t>
  </si>
  <si>
    <t>Water Bottle Packaging</t>
  </si>
  <si>
    <t>BAWS047</t>
  </si>
  <si>
    <t>WATER SQUIRTERS POLAR REGIONS</t>
  </si>
  <si>
    <t>oo1WTTW</t>
  </si>
  <si>
    <t>Welcome To The World</t>
  </si>
  <si>
    <t>CSTWAL01</t>
  </si>
  <si>
    <t>WHERE'S WALLY - SET OF 4 COASTERS</t>
  </si>
  <si>
    <t>CSTWAL02</t>
  </si>
  <si>
    <t>WHERE'S WALLY - SINGLE COASTER</t>
  </si>
  <si>
    <t>TTWAL02</t>
  </si>
  <si>
    <t>WHERE'S WALLY - TIN TOTE</t>
  </si>
  <si>
    <t>WWWAL01</t>
  </si>
  <si>
    <t>WHERE'S WALLY - WALLET</t>
  </si>
  <si>
    <t>WBWAL01</t>
  </si>
  <si>
    <t>WHERE'S WALLY - WASH BAG</t>
  </si>
  <si>
    <t>ABL007</t>
  </si>
  <si>
    <t>White Noise Machine Rechargeable</t>
  </si>
  <si>
    <t>WRD</t>
  </si>
  <si>
    <t>White Round 3 Tier display</t>
  </si>
  <si>
    <t>WMB012</t>
  </si>
  <si>
    <t>William Morris Bookmark Bluten</t>
  </si>
  <si>
    <t>WMB010</t>
  </si>
  <si>
    <t>William Morris Bookmark Cherwell</t>
  </si>
  <si>
    <t>WMB003</t>
  </si>
  <si>
    <t>William Morris Bookmark Fruit</t>
  </si>
  <si>
    <t>WMB002</t>
  </si>
  <si>
    <t>William Morris Bookmark Jasmine</t>
  </si>
  <si>
    <t>WMB008</t>
  </si>
  <si>
    <t>William Morris Bookmark Larkspur</t>
  </si>
  <si>
    <t>WMB001</t>
  </si>
  <si>
    <t>William Morris Bookmark Marigold</t>
  </si>
  <si>
    <t>WMB011</t>
  </si>
  <si>
    <t>William Morris Bookmark Muster</t>
  </si>
  <si>
    <t>WMB006</t>
  </si>
  <si>
    <t>William Morris Bookmark Strawberry Thief</t>
  </si>
  <si>
    <t>WMB007</t>
  </si>
  <si>
    <t>William Morris Bookmark Sunflower</t>
  </si>
  <si>
    <t>WMB009</t>
  </si>
  <si>
    <t>William Morris Bookmark Sweet Briar</t>
  </si>
  <si>
    <t>WMB005</t>
  </si>
  <si>
    <t>William Morris Bookmark Wild Tulip</t>
  </si>
  <si>
    <t>WMB004</t>
  </si>
  <si>
    <t>William Morris Bookmark Willow Bough</t>
  </si>
  <si>
    <t>WMBSP</t>
  </si>
  <si>
    <t>William Morris Bookmarks Starter Pack</t>
  </si>
  <si>
    <t>WM041</t>
  </si>
  <si>
    <t>William Morris Scarf - Sweet Briar</t>
  </si>
  <si>
    <t>WMMDO</t>
  </si>
  <si>
    <t>WILLIAM MORRIS STORY Mothers Day Offer</t>
  </si>
  <si>
    <t>WMMDO2023</t>
  </si>
  <si>
    <t>WILLIAM MORRIS STORY Mothers Day Offer 2023</t>
  </si>
  <si>
    <t>Wine Kit - Connosieur 32cm</t>
  </si>
  <si>
    <t>Wine Kit - Friends 32cm</t>
  </si>
  <si>
    <t>Kit4</t>
  </si>
  <si>
    <t>Wine Kit 1</t>
  </si>
  <si>
    <t>Wine Opening Tool - w/Box</t>
  </si>
  <si>
    <t>Wine Pourer - Chill Rod</t>
  </si>
  <si>
    <t>BMWS</t>
  </si>
  <si>
    <t>WIRE BOOKMARK STAND</t>
  </si>
  <si>
    <t>BMWS2</t>
  </si>
  <si>
    <t>WIRE BOOKMARK STAND - New</t>
  </si>
  <si>
    <t>WH1</t>
  </si>
  <si>
    <t>Wire Hooks</t>
  </si>
  <si>
    <t>WO056</t>
  </si>
  <si>
    <t>Wombat - Australian Made Wooden Ornament</t>
  </si>
  <si>
    <t>WOLNMS02A</t>
  </si>
  <si>
    <t>WONDERS OF LEARNING MODEL SET - DINOSAUR</t>
  </si>
  <si>
    <t>00wm2</t>
  </si>
  <si>
    <t>Wonders of Learning Model Set - Dinosaurs False Item</t>
  </si>
  <si>
    <t>WOLNMS04A</t>
  </si>
  <si>
    <t>Wonders of Learning Model Set - Human Body</t>
  </si>
  <si>
    <t>00wol1</t>
  </si>
  <si>
    <t>Wonders of learning Model Set - Mega Structures False Item</t>
  </si>
  <si>
    <t>WOLNMS06A</t>
  </si>
  <si>
    <t>WONDERS OF LEARNING MODEL SET - MEGASTRUCTURES</t>
  </si>
  <si>
    <t>WOLNMSO5A</t>
  </si>
  <si>
    <t>Wonders of Learning Model Set - Space</t>
  </si>
  <si>
    <t>WOLSP</t>
  </si>
  <si>
    <t>Wonders of Learning Set Up 18 units</t>
  </si>
  <si>
    <t>WOLNTS02</t>
  </si>
  <si>
    <t>WONDERS OF LEARNING TIN SET - BUGS</t>
  </si>
  <si>
    <t>WOLNTS03</t>
  </si>
  <si>
    <t>WONDERS OF LEARNING TIN SET - DINOSAURS</t>
  </si>
  <si>
    <t>WOLNTS05</t>
  </si>
  <si>
    <t>WONDERS OF LEARNING TIN SET - EARTH</t>
  </si>
  <si>
    <t>WOLNTS04</t>
  </si>
  <si>
    <t>WONDERS OF LEARNING TIN SET - SPACE</t>
  </si>
  <si>
    <t>WOLNTS01</t>
  </si>
  <si>
    <t>WONDERS OF LEARNING TIN SET - THE HUMAN BODY</t>
  </si>
  <si>
    <t>WOLNTS07</t>
  </si>
  <si>
    <t>WONDERS OF LEARNING TIN SET - VOLCANO</t>
  </si>
  <si>
    <t>FBLD</t>
  </si>
  <si>
    <t>Wood Flexible Booklight Display</t>
  </si>
  <si>
    <t>DIY2</t>
  </si>
  <si>
    <t>Wood Glue</t>
  </si>
  <si>
    <t>WT2</t>
  </si>
  <si>
    <t>Wooden Bench</t>
  </si>
  <si>
    <t>AWBSS</t>
  </si>
  <si>
    <t>Wooden Bookmarks Barcode Sticker Set</t>
  </si>
  <si>
    <t>RFS11639</t>
  </si>
  <si>
    <t>WOODEN NOUGHTS &amp; CROSSES SET - HARLEQUIN</t>
  </si>
  <si>
    <t>WT1</t>
  </si>
  <si>
    <t>Wooden Table</t>
  </si>
  <si>
    <t>CS21</t>
  </si>
  <si>
    <t>World's Best Grandma Sleeve</t>
  </si>
  <si>
    <t>CDUWOW</t>
  </si>
  <si>
    <t>WOW WDU</t>
  </si>
  <si>
    <t>WL001</t>
  </si>
  <si>
    <t>Wrap Light Rechargeable</t>
  </si>
  <si>
    <t>WL002</t>
  </si>
  <si>
    <t>Wrap Light Rechargeable - Black</t>
  </si>
  <si>
    <t>WL003</t>
  </si>
  <si>
    <t>Wrap Light Rechargeable - White</t>
  </si>
  <si>
    <t>SSETRHS01</t>
  </si>
  <si>
    <t>Writing Set - RHS (Irises &amp; Hellebores)</t>
  </si>
  <si>
    <t>RFS9969</t>
  </si>
  <si>
    <t>WRITING SETS - VINTAGE MAP</t>
  </si>
  <si>
    <t>MBAG6008</t>
  </si>
  <si>
    <t>X - MEDIUM BAG - A GIRLS GOT TO LOOK HER BEST</t>
  </si>
  <si>
    <t>MBAG8528</t>
  </si>
  <si>
    <t>X - MEDIUM BAG - QUEEN OF EFFING</t>
  </si>
  <si>
    <t>SBAG8528</t>
  </si>
  <si>
    <t>X - SMALL BAG - QUEEN OF EFFING</t>
  </si>
  <si>
    <t>aXM1</t>
  </si>
  <si>
    <t>Xmas Header</t>
  </si>
  <si>
    <t>XMS1</t>
  </si>
  <si>
    <t>Xmas Sign</t>
  </si>
  <si>
    <t>xxWB032</t>
  </si>
  <si>
    <t>xSurfing Koala - Australian Made Wooden Bookmark</t>
  </si>
  <si>
    <t>xxCDUA5FJ</t>
  </si>
  <si>
    <t>xxA5 FABRIC JOURNALS WDU</t>
  </si>
  <si>
    <t>xxCDUA6FJ</t>
  </si>
  <si>
    <t>xxA6 FABRIC JOURNALS WDU</t>
  </si>
  <si>
    <t>xxCDU6</t>
  </si>
  <si>
    <t>xxAll Display 6</t>
  </si>
  <si>
    <t>xxCDU8</t>
  </si>
  <si>
    <t>xxAll Display 8</t>
  </si>
  <si>
    <t>xxWB025</t>
  </si>
  <si>
    <t>xxAusie Thongs - Australian Made Wooden Bookmark</t>
  </si>
  <si>
    <t>xxWO035</t>
  </si>
  <si>
    <t>xxAustralia - Australian Made Wooden Ornament</t>
  </si>
  <si>
    <t>xxAMWL</t>
  </si>
  <si>
    <t>xxAustralian Made Wooden LOGO</t>
  </si>
  <si>
    <t>xxWO034</t>
  </si>
  <si>
    <t>xxAustralian Made Wooden Ornament - Best Teacher</t>
  </si>
  <si>
    <t>xxWO016</t>
  </si>
  <si>
    <t>xxAustralian Made Wooden Ornament - Black Cat</t>
  </si>
  <si>
    <t>xxWO006</t>
  </si>
  <si>
    <t>xxAustralian Made Wooden Ornament - Candy Cane</t>
  </si>
  <si>
    <t>xxWO004</t>
  </si>
  <si>
    <t>xxAustralian Made Wooden Ornament - Christmas Tree</t>
  </si>
  <si>
    <t>xxWO022</t>
  </si>
  <si>
    <t>xxAustralian Made Wooden Ornament - Cockatoo</t>
  </si>
  <si>
    <t>xxWO019</t>
  </si>
  <si>
    <t>xxAustralian Made Wooden Ornament - Echidna</t>
  </si>
  <si>
    <t>xxWO015</t>
  </si>
  <si>
    <t>xxAustralian Made Wooden Ornament - French Bulldog</t>
  </si>
  <si>
    <t>xxWO017</t>
  </si>
  <si>
    <t>xxAustralian Made Wooden Ornament - Ginger Cat</t>
  </si>
  <si>
    <t>xxWO005</t>
  </si>
  <si>
    <t>xxAustralian Made Wooden Ornament - Gingerbread Man</t>
  </si>
  <si>
    <t>xxWO029</t>
  </si>
  <si>
    <t>xxAustralian Made Wooden Ornament - Horse</t>
  </si>
  <si>
    <t>xxWO025</t>
  </si>
  <si>
    <t>xxAustralian Made Wooden Ornament - Kangaroo 1</t>
  </si>
  <si>
    <t>xxWO027</t>
  </si>
  <si>
    <t>xxAustralian Made Wooden Ornament - Koala 1</t>
  </si>
  <si>
    <t>xxWO028</t>
  </si>
  <si>
    <t>xxAustralian Made Wooden Ornament - Koala 2</t>
  </si>
  <si>
    <t>xxWO033</t>
  </si>
  <si>
    <t>xxAustralian Made Wooden Ornament - Kookaburra</t>
  </si>
  <si>
    <t>xxWO013</t>
  </si>
  <si>
    <t>xxAustralian Made Wooden Ornament - Labrador</t>
  </si>
  <si>
    <t>xxWO032</t>
  </si>
  <si>
    <t>xxAustralian Made Wooden Ornament - Penguin</t>
  </si>
  <si>
    <t>xxWO023</t>
  </si>
  <si>
    <t>xxAustralian Made Wooden Ornament - Platypus 1</t>
  </si>
  <si>
    <t>xxWO024</t>
  </si>
  <si>
    <t>xxAustralian Made Wooden Ornament - Platypus 2</t>
  </si>
  <si>
    <t>xxWO021</t>
  </si>
  <si>
    <t>xxAustralian Made Wooden Ornament - Rainbow Lorikeet</t>
  </si>
  <si>
    <t>xxWO002</t>
  </si>
  <si>
    <t>xxAustralian Made Wooden Ornament - Reindeer</t>
  </si>
  <si>
    <t>xxWO001</t>
  </si>
  <si>
    <t>xxAustralian Made Wooden Ornament - Santa</t>
  </si>
  <si>
    <t>xxWO014</t>
  </si>
  <si>
    <t>xxAustralian Made Wooden Ornament - Scruffy Dog</t>
  </si>
  <si>
    <t>xxWO008</t>
  </si>
  <si>
    <t>xxAustralian Made Wooden Ornament - Sleigh</t>
  </si>
  <si>
    <t>xxWO007</t>
  </si>
  <si>
    <t>xxAustralian Made Wooden Ornament - Snow Flake</t>
  </si>
  <si>
    <t>xxWO003</t>
  </si>
  <si>
    <t>xxAustralian Made Wooden Ornament - Snowman</t>
  </si>
  <si>
    <t>xxWO010</t>
  </si>
  <si>
    <t>xxAustralian Made Wooden Ornament - Star</t>
  </si>
  <si>
    <t>xxWO009</t>
  </si>
  <si>
    <t>xxAustralian Made Wooden Ornament - Stocking</t>
  </si>
  <si>
    <t>xxWO011</t>
  </si>
  <si>
    <t>xxAustralian Made Wooden Ornament - T Rex</t>
  </si>
  <si>
    <t>xxWO020</t>
  </si>
  <si>
    <t>xxAustralian Made Wooden Ornament - Tasmanian Devil</t>
  </si>
  <si>
    <t>xxWO030</t>
  </si>
  <si>
    <t>xxAustralian Made Wooden Ornament - Unicorn</t>
  </si>
  <si>
    <t>xxWO018</t>
  </si>
  <si>
    <t>xxAustralian Made Wooden Ornament - White Cat</t>
  </si>
  <si>
    <t>xxWO012</t>
  </si>
  <si>
    <t>xxAustralian Made Wooden Ornament -Triceratops</t>
  </si>
  <si>
    <t>xxWO031</t>
  </si>
  <si>
    <t>xxAustralian Made Wooden Ornament -Wolf</t>
  </si>
  <si>
    <t>xxWO059</t>
  </si>
  <si>
    <t>xxAustralian Map - Australian Made Wooden Ornament</t>
  </si>
  <si>
    <t>xxCDUBF</t>
  </si>
  <si>
    <t>xxBamboo Fans WDU</t>
  </si>
  <si>
    <t>xxWB007</t>
  </si>
  <si>
    <t>xxBanksia - Australian Made Wooden Bookmark</t>
  </si>
  <si>
    <t>xxWFM007</t>
  </si>
  <si>
    <t>xxBanksia - Australian Made Wooden Fridge Magnet</t>
  </si>
  <si>
    <t>xxWK007</t>
  </si>
  <si>
    <t>xxBanksia - Australian Made Wooden Key Ring</t>
  </si>
  <si>
    <t>xxWB026</t>
  </si>
  <si>
    <t>xxBeach - Australian Made Wooden Bookmark</t>
  </si>
  <si>
    <t>xxWO049</t>
  </si>
  <si>
    <t>xxBin Chicken - Australian Made Wooden Ornament</t>
  </si>
  <si>
    <t>xxWO048</t>
  </si>
  <si>
    <t>xxBin Cricket Stumps - Australian Made Wooden Ornament</t>
  </si>
  <si>
    <t>xxWB051</t>
  </si>
  <si>
    <t>xxBondi Beach Driving Kangaroo - Australian Made Custom Wooden Bookmark</t>
  </si>
  <si>
    <t>xxWFM031</t>
  </si>
  <si>
    <t>xxBondi Beach Driving Kangaroo - Australian Made Custom Wooden Fridge Magnet</t>
  </si>
  <si>
    <t>xxWB048</t>
  </si>
  <si>
    <t>xxBondi Beach Driving Koala - Australian Made Custom Wooden Bookmark</t>
  </si>
  <si>
    <t>xxWFM028</t>
  </si>
  <si>
    <t>xxBondi Beach Driving Koala - Australian Made Custom Wooden Fridge Magnet</t>
  </si>
  <si>
    <t>xxWB049</t>
  </si>
  <si>
    <t>xxBondi Beach Kangaroo - Australian Made Custom Wooden Bookmark</t>
  </si>
  <si>
    <t>xxWFM029</t>
  </si>
  <si>
    <t>xxBondi Beach Kangaroo - Australian Made Custom Wooden Fridge Magnet</t>
  </si>
  <si>
    <t>xxWB046</t>
  </si>
  <si>
    <t>xxBondi Beach Koala - Australian Made Custom Wooden Bookmark</t>
  </si>
  <si>
    <t>xxWFM026</t>
  </si>
  <si>
    <t>xxBondi Beach Koala - Australian Made Custom Wooden Fridge Magnet</t>
  </si>
  <si>
    <t>xxWB050</t>
  </si>
  <si>
    <t>xxBondi Beach Lifeguard Kangaroo - Australian Made Custom Wooden Bookmark</t>
  </si>
  <si>
    <t>xxWFM030</t>
  </si>
  <si>
    <t>xxBondi Beach Lifeguard Kangaroo - Australian Made Custom Wooden Fridge Magnet</t>
  </si>
  <si>
    <t>xxWB047</t>
  </si>
  <si>
    <t>xxBondi Beach Lifeguard Koala - Australian Made Custom Wooden Bookmark</t>
  </si>
  <si>
    <t>xxWFM027</t>
  </si>
  <si>
    <t>xxBondi Beach Lifeguard Koala - Australian Made Custom Wooden Fridge Magnet</t>
  </si>
  <si>
    <t>xxWB045</t>
  </si>
  <si>
    <t>xxBondi Beach Surf Board - Australian Made Custom Wooden Bookmark</t>
  </si>
  <si>
    <t>xxWFM025</t>
  </si>
  <si>
    <t>xxBondi Beach Surf Board - Australian Made Custom Wooden Fridge Magnet</t>
  </si>
  <si>
    <t>xxWO060</t>
  </si>
  <si>
    <t>xxBoomerang - Australian Made Wooden Ornament</t>
  </si>
  <si>
    <t>xxWB008</t>
  </si>
  <si>
    <t>xxBottle Brush - Australian Made Wooden Bookmark</t>
  </si>
  <si>
    <t>xxWFM008</t>
  </si>
  <si>
    <t>xxBottle Brush - Australian Made Wooden Fridge Magnet</t>
  </si>
  <si>
    <t>xxWK008</t>
  </si>
  <si>
    <t>xxBottle Brush - Australian Made Wooden Key Ring</t>
  </si>
  <si>
    <t>xxWO062</t>
  </si>
  <si>
    <t>xxBridge - Australian Made Wooden Ornament</t>
  </si>
  <si>
    <t>xxWB012</t>
  </si>
  <si>
    <t>xxCanberra Bell - Australian Made Wooden Bookmark</t>
  </si>
  <si>
    <t>xxWFM012</t>
  </si>
  <si>
    <t>xxCanberra Bell - Australian Made Wooden Fridge Magnet</t>
  </si>
  <si>
    <t>xxWK012</t>
  </si>
  <si>
    <t>xxCanberra Bell - Australian Made Wooden Key Ring</t>
  </si>
  <si>
    <t>xxWB004</t>
  </si>
  <si>
    <t>xxCarnation - Australian Made Wooden Bookmark</t>
  </si>
  <si>
    <t>xxWFM004</t>
  </si>
  <si>
    <t>xxCarnation - Australian Made Wooden Fridge Magnet</t>
  </si>
  <si>
    <t>xxWK004</t>
  </si>
  <si>
    <t>xxCarnation - Australian Made Wooden Key Ring</t>
  </si>
  <si>
    <t>xxWB013</t>
  </si>
  <si>
    <t>xxCassowary - Australian Made Wooden Bookmark</t>
  </si>
  <si>
    <t>xxWFM013</t>
  </si>
  <si>
    <t>xxCassowary - Australian Made Wooden Fridge Magnet</t>
  </si>
  <si>
    <t>xxWK013</t>
  </si>
  <si>
    <t>xxCassowary - Australian Made Wooden Key Ring</t>
  </si>
  <si>
    <t>xxWO036</t>
  </si>
  <si>
    <t>xxCassowary - Australian Made Wooden Ornament</t>
  </si>
  <si>
    <t>xxCDUQ1</t>
  </si>
  <si>
    <t>xxCDU BTB and Story of Us</t>
  </si>
  <si>
    <t>xxCDUQ2</t>
  </si>
  <si>
    <t>xxCDU Timeless</t>
  </si>
  <si>
    <t>xxCSWDU</t>
  </si>
  <si>
    <t>xxChapter &amp; Sole Sock Display</t>
  </si>
  <si>
    <t>xxWB014</t>
  </si>
  <si>
    <t>xxCockatoo - Australian Made Wooden Bookmark</t>
  </si>
  <si>
    <t>xxWFM014</t>
  </si>
  <si>
    <t>xxCockatoo - Australian Made Wooden Fridge Magnet</t>
  </si>
  <si>
    <t>xxWK014</t>
  </si>
  <si>
    <t>xxCockatoo - Australian Made Wooden Key Ring</t>
  </si>
  <si>
    <t>xxWO037</t>
  </si>
  <si>
    <t>xxCockatoo - Australian Made Wooden Ornament</t>
  </si>
  <si>
    <t>xxDSTD</t>
  </si>
  <si>
    <t>xxDouble Sided Table Top Display (Christmas Ornaments)</t>
  </si>
  <si>
    <t>xxWB015</t>
  </si>
  <si>
    <t>xxEchidna  - Australian Made Wooden Bookmark</t>
  </si>
  <si>
    <t>xxWFM015</t>
  </si>
  <si>
    <t>xxEchidna - Australian Made Wooden Fridge Magnet</t>
  </si>
  <si>
    <t>xxWK015</t>
  </si>
  <si>
    <t>xxEchidna - Australian Made Wooden Key Ring</t>
  </si>
  <si>
    <t>xxWO038</t>
  </si>
  <si>
    <t>xxEchidna - Australian Made Wooden Ornament</t>
  </si>
  <si>
    <t>xxWB016</t>
  </si>
  <si>
    <t>xxEmu - Australian Made Wooden Bookmark</t>
  </si>
  <si>
    <t>xxWFM016</t>
  </si>
  <si>
    <t>xxEmu - Australian Made Wooden Fridge Magnet</t>
  </si>
  <si>
    <t>xxWK016</t>
  </si>
  <si>
    <t>xxEmu - Australian Made Wooden Key Ring</t>
  </si>
  <si>
    <t>xxWO039</t>
  </si>
  <si>
    <t>xxEmu - Australian Made Wooden Ornament</t>
  </si>
  <si>
    <t>xxWB042</t>
  </si>
  <si>
    <t>xxEnemies To Lovers - Australian Made Wooden Bookmark</t>
  </si>
  <si>
    <t>xxCDUEM</t>
  </si>
  <si>
    <t>xxEye Masks WDU</t>
  </si>
  <si>
    <t>xxWB017</t>
  </si>
  <si>
    <t>xxFairy Penguin - Australian Made Wooden Bookmark</t>
  </si>
  <si>
    <t>xxWFM017</t>
  </si>
  <si>
    <t>xxFairy Penguin - Australian Made Wooden Fridge Magnet</t>
  </si>
  <si>
    <t>xxWK017</t>
  </si>
  <si>
    <t>xxFairy Penguin - Australian Made Wooden Key Ring</t>
  </si>
  <si>
    <t>xxWO040</t>
  </si>
  <si>
    <t>xxFairy Penguin - Australian Made Wooden Ornament</t>
  </si>
  <si>
    <t>xxCDUFB</t>
  </si>
  <si>
    <t>xxFLEXIBLE BOOKLIGHT DISPLAY</t>
  </si>
  <si>
    <t>xxWB027</t>
  </si>
  <si>
    <t>xxFlinders Street Station - Australian Made Wooden Bookmark</t>
  </si>
  <si>
    <t>xxWB040</t>
  </si>
  <si>
    <t>xxFly Or Die - Australian Made Wooden Bookmark</t>
  </si>
  <si>
    <t>xxFC</t>
  </si>
  <si>
    <t>xxFood Cart</t>
  </si>
  <si>
    <t>xxWB018</t>
  </si>
  <si>
    <t>xxGalah - Australian Made Wooden Bookmark</t>
  </si>
  <si>
    <t>xxWFM018</t>
  </si>
  <si>
    <t>xxGalah - Australian Made Wooden Fridge Magnet</t>
  </si>
  <si>
    <t>xxWK018</t>
  </si>
  <si>
    <t>xxGalah - Australian Made Wooden Key Ring</t>
  </si>
  <si>
    <t>xxWO041</t>
  </si>
  <si>
    <t>xxGalah - Australian Made Wooden Ornament</t>
  </si>
  <si>
    <t>xxCDUCT</t>
  </si>
  <si>
    <t>xxGIFTING TREE WDU</t>
  </si>
  <si>
    <t>xxCDUGC</t>
  </si>
  <si>
    <t>xxGlasses Cases WDU</t>
  </si>
  <si>
    <t>xxWB010</t>
  </si>
  <si>
    <t>xxGolden Wattle - Australian Made Wooden Bookmark</t>
  </si>
  <si>
    <t>xxWFM010</t>
  </si>
  <si>
    <t>xxGolden Wattle - Australian Made Wooden Fridge Magnet</t>
  </si>
  <si>
    <t>xxWK010</t>
  </si>
  <si>
    <t>xxGolden Wattle - Australian Made Wooden Key Ring</t>
  </si>
  <si>
    <t>xxWB028</t>
  </si>
  <si>
    <t>xxGreat Barrier Reef - Australian Made Wooden Bookmark</t>
  </si>
  <si>
    <t>xxGCFS</t>
  </si>
  <si>
    <t>xxGreeting Cards Floor Stand</t>
  </si>
  <si>
    <t>xxGCTD</t>
  </si>
  <si>
    <t>xxGreeting Cards Table Top Display</t>
  </si>
  <si>
    <t>xxWBG018</t>
  </si>
  <si>
    <t>xxGrooved Wooden Bookmark - Galah</t>
  </si>
  <si>
    <t>xxWBG005</t>
  </si>
  <si>
    <t>xxGrooved Wooden Bookmark - Hydrangea</t>
  </si>
  <si>
    <t>xxWBG020</t>
  </si>
  <si>
    <t>xxGrooved Wooden Bookmark - Koala</t>
  </si>
  <si>
    <t>xxWBG023</t>
  </si>
  <si>
    <t>xxGrooved Wooden Bookmark - Rainbow Lorikeet</t>
  </si>
  <si>
    <t>xxWBG003</t>
  </si>
  <si>
    <t>xxGrooved Wooden Bookmark - Sunflower</t>
  </si>
  <si>
    <t>xxWBG002</t>
  </si>
  <si>
    <t>xxGrooved Wooden Bookmark - Tulip</t>
  </si>
  <si>
    <t>xxCDUHB</t>
  </si>
  <si>
    <t>xxHead Bands WDU</t>
  </si>
  <si>
    <t>xxWB005</t>
  </si>
  <si>
    <t>xxHydrangea - Australian Made Wooden Bookmark</t>
  </si>
  <si>
    <t>xxWFM005</t>
  </si>
  <si>
    <t>xxHydrangea - Australian Made Wooden Fridge Magnet</t>
  </si>
  <si>
    <t>xxWK005</t>
  </si>
  <si>
    <t>xxHydrangea - Australian Made Wooden Key Ring</t>
  </si>
  <si>
    <t>xxCDUHBB</t>
  </si>
  <si>
    <t>xxHydrate, Bath &amp; Beauty WDU</t>
  </si>
  <si>
    <t>xxWB043</t>
  </si>
  <si>
    <t>xxI Can Fix Him Or Join Him - Australian Made Wooden Bookmark</t>
  </si>
  <si>
    <t>xxWB041</t>
  </si>
  <si>
    <t>xxI Don't Kneel To Fae Kings - Australian Made Wooden Bookmark</t>
  </si>
  <si>
    <t>xxWB039</t>
  </si>
  <si>
    <t>xxIn My Romantasy Era - Australian Made Wooden Bookmark</t>
  </si>
  <si>
    <t>xxWB019</t>
  </si>
  <si>
    <t>xxKangaroo - Australian Made Wooden Bookmark</t>
  </si>
  <si>
    <t>xxWFM019</t>
  </si>
  <si>
    <t>xxKangaroo - Australian Made Wooden Fridge Magnet</t>
  </si>
  <si>
    <t>xxWK019</t>
  </si>
  <si>
    <t>xxKangaroo - Australian Made Wooden Key Ring</t>
  </si>
  <si>
    <t>xxWO042</t>
  </si>
  <si>
    <t>xxKangaroo - Australian Made Wooden Ornament</t>
  </si>
  <si>
    <t>xxWO055</t>
  </si>
  <si>
    <t>xxKangaroo Boxing - Australian Made Wooden Ornament</t>
  </si>
  <si>
    <t>xxWB011</t>
  </si>
  <si>
    <t>xxKangaroo Paw - Australian Made Wooden Bookmark</t>
  </si>
  <si>
    <t>xxWFM011</t>
  </si>
  <si>
    <t>xxKangaroo Paw - Australian Made Wooden Fridge Magnet</t>
  </si>
  <si>
    <t>xxWK011</t>
  </si>
  <si>
    <t>xxKangaroo Paw - Australian Made Wooden Key Ring</t>
  </si>
  <si>
    <t>xxWO051</t>
  </si>
  <si>
    <t>xxKangaroo Surf - Australian Made Wooden Ornament</t>
  </si>
  <si>
    <t>xxKRWDU</t>
  </si>
  <si>
    <t>xxKey Ring Display</t>
  </si>
  <si>
    <t>xxWO065</t>
  </si>
  <si>
    <t>xxKiwi - Australian Made Wooden Ornament</t>
  </si>
  <si>
    <t>xxWB020</t>
  </si>
  <si>
    <t>xxKoala - Australian Made Wooden Bookmark</t>
  </si>
  <si>
    <t>xxWFM020</t>
  </si>
  <si>
    <t>xxKoala - Australian Made Wooden Fridge Magnet</t>
  </si>
  <si>
    <t>xxWK020</t>
  </si>
  <si>
    <t>xxKoala - Australian Made Wooden Key Ring</t>
  </si>
  <si>
    <t>xxWO043</t>
  </si>
  <si>
    <t>xxKoala - Australian Made Wooden Ornament</t>
  </si>
  <si>
    <t>xxWO053</t>
  </si>
  <si>
    <t>xxKoala Jet Ski - Australian Made Wooden Ornament</t>
  </si>
  <si>
    <t>xxWO052</t>
  </si>
  <si>
    <t>xxKoala Surf - Australian Made Wooden Ornament</t>
  </si>
  <si>
    <t>xxWB021</t>
  </si>
  <si>
    <t>xxKookaburra - Australian Made Wooden Bookmark</t>
  </si>
  <si>
    <t>xxWFM021</t>
  </si>
  <si>
    <t>xxKookaburra - Australian Made Wooden Fridge Magnet</t>
  </si>
  <si>
    <t>xxWO044</t>
  </si>
  <si>
    <t>xxKookaburra - Australian Made Wooden Ornament</t>
  </si>
  <si>
    <t>xxWDULHC</t>
  </si>
  <si>
    <t>xxLarge Hand Cream Display</t>
  </si>
  <si>
    <t>xxFMWDU2</t>
  </si>
  <si>
    <t>xxMagnet Display 2</t>
  </si>
  <si>
    <t>xxCDUMS</t>
  </si>
  <si>
    <t>xxManicure Sets WDU</t>
  </si>
  <si>
    <t>xxMWDU</t>
  </si>
  <si>
    <t>xxManicure WDU</t>
  </si>
  <si>
    <t>xxNLWD</t>
  </si>
  <si>
    <t>xxNano Lights Wooden Display</t>
  </si>
  <si>
    <t>xxWFM033</t>
  </si>
  <si>
    <t>xxOcean Grove Driving Kangaroo - Australian Made Custom Wooden Fridge Magnet</t>
  </si>
  <si>
    <t>xxWK026</t>
  </si>
  <si>
    <t>xxOcean Grove Driving Kangaroo - Australian Made Custom Wooden Key Ring</t>
  </si>
  <si>
    <t>xxWFM032</t>
  </si>
  <si>
    <t>xxOcean Grove Surfing Koala - Australian Made Custom Wooden Fridge Magnet</t>
  </si>
  <si>
    <t>xxWK025</t>
  </si>
  <si>
    <t>xxOcean Grove Surfing Koala - Australian Made Custom Wooden Key Ring</t>
  </si>
  <si>
    <t>xxWB029</t>
  </si>
  <si>
    <t>xxOpera House - Australian Made Wooden Bookmark</t>
  </si>
  <si>
    <t>xxWO061</t>
  </si>
  <si>
    <t>xxOpera House - Australian Made Wooden Ornament</t>
  </si>
  <si>
    <t>xxOTD</t>
  </si>
  <si>
    <t>xxOrnament Tree Display</t>
  </si>
  <si>
    <t>xxWB006</t>
  </si>
  <si>
    <t>xxPink Rock Lily - Australian Made Wooden Bookmark</t>
  </si>
  <si>
    <t>xxWFM006</t>
  </si>
  <si>
    <t>xxPink Rock Lily - Australian Made Wooden Fridge Magnet</t>
  </si>
  <si>
    <t>xxWK006</t>
  </si>
  <si>
    <t>xxPink Rock Lily - Australian Made Wooden Key Ring</t>
  </si>
  <si>
    <t>xxWB022</t>
  </si>
  <si>
    <t>xxPlatypus - Australian Made Wooden Bookmark</t>
  </si>
  <si>
    <t>xxWFM022</t>
  </si>
  <si>
    <t>xxPlatypus - Australian Made Wooden Fridge Magnet</t>
  </si>
  <si>
    <t>xxWK022</t>
  </si>
  <si>
    <t>xxPlatypus - Australian Made Wooden Key Ring</t>
  </si>
  <si>
    <t>xxWO045</t>
  </si>
  <si>
    <t>xxPlatypus - Australian Made Wooden Ornament</t>
  </si>
  <si>
    <t>xxCDUPS</t>
  </si>
  <si>
    <t>xxPlush Slippers WDU</t>
  </si>
  <si>
    <t>xxQBDDSTD</t>
  </si>
  <si>
    <t>xxQBD Double Sided Table Top Display (Christmas Ornaments)</t>
  </si>
  <si>
    <t>xxWB023</t>
  </si>
  <si>
    <t>xxRainbow Lorikeet - Australian Made Wooden Bookmark</t>
  </si>
  <si>
    <t>xxWFM023</t>
  </si>
  <si>
    <t>xxRainbow Lorikeet - Australian Made Wooden Fridge Magnet</t>
  </si>
  <si>
    <t>xxWK023</t>
  </si>
  <si>
    <t>xxRainbow Lorikeet - Australian Made Wooden Key Ring</t>
  </si>
  <si>
    <t>xxWO046</t>
  </si>
  <si>
    <t>xxRainbow Lorikeet - Australian Made Wooden Ornament</t>
  </si>
  <si>
    <t>xxRFWD</t>
  </si>
  <si>
    <t>xxReading Friends Wooden Display</t>
  </si>
  <si>
    <t>xxRCD</t>
  </si>
  <si>
    <t>xxRocket Ship Display WDU</t>
  </si>
  <si>
    <t>xxCDURB</t>
  </si>
  <si>
    <t>xxRollerball Pens WDU</t>
  </si>
  <si>
    <t>xxCDUR</t>
  </si>
  <si>
    <t>xxRollers WDU</t>
  </si>
  <si>
    <t>xxWB001</t>
  </si>
  <si>
    <t>xxRose - Australian Made Wooden Bookmark</t>
  </si>
  <si>
    <t>xxWFM001</t>
  </si>
  <si>
    <t>xxRose - Australian Made Wooden Fridge Magnet</t>
  </si>
  <si>
    <t>xxWK001</t>
  </si>
  <si>
    <t>xxRose - Australian Made Wooden Key Ring</t>
  </si>
  <si>
    <t>xxWO054</t>
  </si>
  <si>
    <t>xxSanta Dirt Bike - Australian Made Wooden Ornament</t>
  </si>
  <si>
    <t>xxWO050</t>
  </si>
  <si>
    <t>xxSanta Surf - Australian Made Wooden Ornament</t>
  </si>
  <si>
    <t>xxCDUS</t>
  </si>
  <si>
    <t>xxScrunchies WDU</t>
  </si>
  <si>
    <t>xxWO066</t>
  </si>
  <si>
    <t>xxSilver Fern - Australian Made Wooden Ornament</t>
  </si>
  <si>
    <t>xxWB030</t>
  </si>
  <si>
    <t>xxSouthern Lights - Australian Made Wooden Bookmark</t>
  </si>
  <si>
    <t>xxWB003</t>
  </si>
  <si>
    <t>xxSunflower - Australian Made Wooden Bookmark</t>
  </si>
  <si>
    <t>xxWFM003</t>
  </si>
  <si>
    <t>xxSunflower - Australian Made Wooden Fridge Magnet</t>
  </si>
  <si>
    <t>xxWK003</t>
  </si>
  <si>
    <t>xxSunflower - Australian Made Wooden Key Ring</t>
  </si>
  <si>
    <t>xxWO058</t>
  </si>
  <si>
    <t>xxSurfboard - Australian Made Wooden Ornament</t>
  </si>
  <si>
    <t>xxWB031</t>
  </si>
  <si>
    <t>xxSurfing Kangaroo - Australian Made Wooden Bookmark</t>
  </si>
  <si>
    <t>xxWB034</t>
  </si>
  <si>
    <t>xxSydney Harbour - Australian Made Wooden Bookmark</t>
  </si>
  <si>
    <t>xxWB033</t>
  </si>
  <si>
    <t>xxSydney Harbour Bridge - Australian Made Wooden Bookmark</t>
  </si>
  <si>
    <t>xxWB024</t>
  </si>
  <si>
    <t>xxTasmanian Devil - Australian Made Wooden Bookmark</t>
  </si>
  <si>
    <t>xxWFM024</t>
  </si>
  <si>
    <t>xxTasmanian Devil - Australian Made Wooden Fridge Magnet</t>
  </si>
  <si>
    <t>xxWK024</t>
  </si>
  <si>
    <t>xxTasmanian Devil - Australian Made Wooden Key Ring</t>
  </si>
  <si>
    <t>xxWO047</t>
  </si>
  <si>
    <t>xxTasmanian Devil - Australian Made Wooden Ornament</t>
  </si>
  <si>
    <t>xxWO057</t>
  </si>
  <si>
    <t>xxThong - Australian Made Wooden Ornament</t>
  </si>
  <si>
    <t>xxWB035</t>
  </si>
  <si>
    <t>xxThree Sisters - Australian Made Wooden Bookmark</t>
  </si>
  <si>
    <t>xxWB044</t>
  </si>
  <si>
    <t>xxTo The Stars Who Listen - Australian Made Wooden Bookmark</t>
  </si>
  <si>
    <t>xxWB036</t>
  </si>
  <si>
    <t>xxTram - Australian Made Wooden Bookmark</t>
  </si>
  <si>
    <t>xxWO064</t>
  </si>
  <si>
    <t>xxTram Green - Australian Made Wooden Ornament</t>
  </si>
  <si>
    <t>xxWO063</t>
  </si>
  <si>
    <t>xxTram Red - Australian Made Wooden Ornament</t>
  </si>
  <si>
    <t>xxTCD</t>
  </si>
  <si>
    <t>xxTravel Case Display WDU</t>
  </si>
  <si>
    <t>xxWB002</t>
  </si>
  <si>
    <t>xxTulip - Australian Made Wooden Bookmark</t>
  </si>
  <si>
    <t>xxWFM002</t>
  </si>
  <si>
    <t>xxTulip - Australian Made Wooden Fridge Magnet</t>
  </si>
  <si>
    <t>xxWK002</t>
  </si>
  <si>
    <t>xxTulip - Australian Made Wooden Key Ring</t>
  </si>
  <si>
    <t>xxWB037</t>
  </si>
  <si>
    <t>xxTwelve Apostles - Australian Made Wooden Bookmark</t>
  </si>
  <si>
    <t>xxWB038</t>
  </si>
  <si>
    <t>xxUluru - Australian Made Wooden Bookmark</t>
  </si>
  <si>
    <t>xxWO026</t>
  </si>
  <si>
    <t>xxustralian Made Wooden Ornament - Kangaroo 2</t>
  </si>
  <si>
    <t>xxWB009</t>
  </si>
  <si>
    <t>xxWaratah - Australian Made Wooden Bookmark</t>
  </si>
  <si>
    <t>xxWFM009</t>
  </si>
  <si>
    <t>xxWaratah - Australian Made Wooden Fridge Magnet</t>
  </si>
  <si>
    <t>xxWK009</t>
  </si>
  <si>
    <t>xxWaratah - Australian Made Wooden Key Ring</t>
  </si>
  <si>
    <t>xxWO056</t>
  </si>
  <si>
    <t>xxWombat - Australian Made Wooden Ornament</t>
  </si>
  <si>
    <t>xxFBLD</t>
  </si>
  <si>
    <t>xxWood Flexi Book Light Display</t>
  </si>
  <si>
    <t>xxCDUWOW</t>
  </si>
  <si>
    <t>xxWOW WDU</t>
  </si>
  <si>
    <t>P5716</t>
  </si>
  <si>
    <t>YOU'RE GOING TO BE A BROTHER</t>
  </si>
  <si>
    <t>P5712</t>
  </si>
  <si>
    <t>YOU'RE GOING TO BE A DAD</t>
  </si>
  <si>
    <t>P5718</t>
  </si>
  <si>
    <t>YOU'RE GOING TO BE A GODFATHER</t>
  </si>
  <si>
    <t>P5719</t>
  </si>
  <si>
    <t>YOU'RE GOING TO BE A GODMOTHER</t>
  </si>
  <si>
    <t>P5710</t>
  </si>
  <si>
    <t>YOU'RE GOING TO BE A GRANDFATHER</t>
  </si>
  <si>
    <t>P5711</t>
  </si>
  <si>
    <t>YOU'RE GOING TO BE A GRANDMOTHER</t>
  </si>
  <si>
    <t>P5713</t>
  </si>
  <si>
    <t>YOU'RE GOING TO BE A MUM</t>
  </si>
  <si>
    <t>P5717</t>
  </si>
  <si>
    <t>YOU'RE GOING TO BE A SISTER</t>
  </si>
  <si>
    <t>P5715</t>
  </si>
  <si>
    <t>YOU'RE GOING TO BE AN AUNT</t>
  </si>
  <si>
    <t>P5714</t>
  </si>
  <si>
    <t>YOU'RE GOING TO BE AN UNCLE</t>
  </si>
  <si>
    <t>RFS12004</t>
  </si>
  <si>
    <t>Zip Portfolio Black Big Plan</t>
  </si>
  <si>
    <t>RFS12005</t>
  </si>
  <si>
    <t>Zip Portfolio Black Genius at Work</t>
  </si>
  <si>
    <t>RFS12006</t>
  </si>
  <si>
    <t>Zip Portfolio Black Gents Take Note</t>
  </si>
  <si>
    <t>RFS12007</t>
  </si>
  <si>
    <t>Zip Portfolio Black Life's An Adventure</t>
  </si>
  <si>
    <t>RFS12009</t>
  </si>
  <si>
    <t>Zip Portfolio Dark Blue with Light Bulb Icon in gold foil with gold zip</t>
  </si>
  <si>
    <t>RFS12011</t>
  </si>
  <si>
    <t>Zip Portfolio Dark Brown with Bike Icon with brown zip</t>
  </si>
  <si>
    <t>RFS12008</t>
  </si>
  <si>
    <t>Zip Portfolio Purple with Bee Icon in gold foil with gold zip and tassel</t>
  </si>
  <si>
    <t>RFS12010</t>
  </si>
  <si>
    <t>Zip Portfolio Silver with embossed Butterfly Icon white zip with tassel</t>
  </si>
  <si>
    <t>zzBLD</t>
  </si>
  <si>
    <t>zzBOOKLOVERS DISPLAY</t>
  </si>
  <si>
    <t>Item Name</t>
  </si>
  <si>
    <t>CONTINUE /
DISCONTINUE</t>
  </si>
  <si>
    <t>C</t>
  </si>
  <si>
    <t>3D Bookmarks Set Up 72 Units</t>
  </si>
  <si>
    <t>3DBKMSP</t>
  </si>
  <si>
    <t>A5 FABRIC JOURNALS CDU</t>
  </si>
  <si>
    <t>A5 FABRIC JOURNALS STARTER PACK 18 pcs</t>
  </si>
  <si>
    <t>Artico Ceramic Coaster Counter Display</t>
  </si>
  <si>
    <t>Bamboo Fan CDU</t>
  </si>
  <si>
    <t>Bamboo Fans Wooden CDU</t>
  </si>
  <si>
    <t>Bean Bag Book Holder Set Up</t>
  </si>
  <si>
    <t>Bluhen - Black Floral Towelling Scrunchie</t>
  </si>
  <si>
    <t>Bluhen - Leopard Print Towelling Scrunchie</t>
  </si>
  <si>
    <t>Bluhen - Peonie Rose Slippers</t>
  </si>
  <si>
    <t>Bluhen Cosmetics Bag - Black Floral</t>
  </si>
  <si>
    <t>Scarf - Black Floral</t>
  </si>
  <si>
    <t>BOOKAROO TOOL BELT SET UP 24 PCS</t>
  </si>
  <si>
    <t>Ceramic Coaster - Adulting infused with wine and cake</t>
  </si>
  <si>
    <t>Ceramic Coaster - Boss Lady</t>
  </si>
  <si>
    <t>Ceramic Coaster - Drink wine and judge</t>
  </si>
  <si>
    <t>Ceramic Coaster - I enjoy being used</t>
  </si>
  <si>
    <t>Ceramic Coaster - I think you are really funny - Vodka</t>
  </si>
  <si>
    <t>Ceramic Coaster - I'm here for the wine</t>
  </si>
  <si>
    <t>Ceramic Coaster - Please leave by 9</t>
  </si>
  <si>
    <t>Ceramic Coaster - They are definitely into you - Rum</t>
  </si>
  <si>
    <t>Ceramic Coaster - Trust me you can dance - Gin</t>
  </si>
  <si>
    <t>Ceramic Coasters Funny Quotes Set Up 48 pieces w Display</t>
  </si>
  <si>
    <t>Ceramic Coasters William Morris Set Up 48 pieces w Display</t>
  </si>
  <si>
    <t>Compact Mirrors &amp; Pill Boxes - Fruit &amp; Strawberry Thief 24 Units</t>
  </si>
  <si>
    <t>Compact Mirrors &amp; Pill Boxes - Peonie Rose &amp; Kilburn 24 Units</t>
  </si>
  <si>
    <t>Compact Mirrors &amp; Pill Boxes - Sunflowers and Water Lilies 24 Units</t>
  </si>
  <si>
    <t>Tote Bag  - William Morris Blue Larkspur</t>
  </si>
  <si>
    <t>Tote Bag  - William Morris Fruit</t>
  </si>
  <si>
    <t>Tote Bag  - William Morris Strawberry Thief</t>
  </si>
  <si>
    <t>Tote Bag  - William Morris Wild Tulip</t>
  </si>
  <si>
    <t>Eye Masks CDU</t>
  </si>
  <si>
    <t>FLEXIBLE BOOKLIGHT DISPLAY</t>
  </si>
  <si>
    <t>CDUFB</t>
  </si>
  <si>
    <t>Glasses Cases CDU</t>
  </si>
  <si>
    <t>GLASSES CASES STARTER PACK 20 pcs</t>
  </si>
  <si>
    <t>Hair Wraps CDU</t>
  </si>
  <si>
    <t>Hair Wraps Set Up</t>
  </si>
  <si>
    <t>SPHW</t>
  </si>
  <si>
    <t>Head Bands CDU</t>
  </si>
  <si>
    <t>Manicure Set Up WM</t>
  </si>
  <si>
    <t>MSU2</t>
  </si>
  <si>
    <t>Mark Down Assistance</t>
  </si>
  <si>
    <t>Paint &amp; Create - Christmas House 1</t>
  </si>
  <si>
    <t>Paint &amp; Create - Christmas House 2</t>
  </si>
  <si>
    <t>Rattling Friends - Dinosuar</t>
  </si>
  <si>
    <t>Rattling Friends Display</t>
  </si>
  <si>
    <t>Reading Socks - Ginger Cat mEDIUM</t>
  </si>
  <si>
    <t>Reading Socks - Koala</t>
  </si>
  <si>
    <t>Reading Socks - Labrador</t>
  </si>
  <si>
    <t>Reading Socks - Mottled Dog</t>
  </si>
  <si>
    <t>Reading Socks - Rainbow Unicorn</t>
  </si>
  <si>
    <t>Reading Socks - Red Fox</t>
  </si>
  <si>
    <t>Rollers CDU</t>
  </si>
  <si>
    <t>Satin Pillowcases CDU</t>
  </si>
  <si>
    <t>Satin Sleep Bonnets CDU</t>
  </si>
  <si>
    <t>Scrunchies CDU</t>
  </si>
  <si>
    <t>Shipping Australia</t>
  </si>
  <si>
    <t>Shipping New Zealand</t>
  </si>
  <si>
    <t>Shower Caps CDU</t>
  </si>
  <si>
    <t>The Ultimate Book Light Rechargeable - Black (ULR001)</t>
  </si>
  <si>
    <t>ULR001</t>
  </si>
  <si>
    <t>USFBA Book Lovers Calendar</t>
  </si>
  <si>
    <t>Vitals Stones CDU</t>
  </si>
  <si>
    <t>WB05</t>
  </si>
  <si>
    <t>William Moris Bookmarks Starter Pack</t>
  </si>
  <si>
    <t>Scarf - Sweet Briar</t>
  </si>
  <si>
    <t>WOW CDU</t>
  </si>
  <si>
    <t>Purchase Order Date</t>
  </si>
  <si>
    <t>Purchase Order Number</t>
  </si>
  <si>
    <t>Purchase Order Status</t>
  </si>
  <si>
    <t>Vendor Name</t>
  </si>
  <si>
    <t>Quantity Ordered</t>
  </si>
  <si>
    <t>Item Price</t>
  </si>
  <si>
    <t>SHIPMENT</t>
  </si>
  <si>
    <t>PO-00711</t>
  </si>
  <si>
    <t>Issued</t>
  </si>
  <si>
    <t>From You To Me Limited</t>
  </si>
  <si>
    <t>ETA FEB 5 SYDNEY</t>
  </si>
  <si>
    <t>PO-00713</t>
  </si>
  <si>
    <t>ZHEJIANG XINHONGZHOU TRADING CO., LTD.</t>
  </si>
  <si>
    <t>ETA MAR 3</t>
  </si>
  <si>
    <t>NEW ITEM</t>
  </si>
  <si>
    <t>PO-00718</t>
  </si>
  <si>
    <t>Dongguan Zhong Fan Packaging Products Co.,Ltd</t>
  </si>
  <si>
    <t>PO-00719</t>
  </si>
  <si>
    <t>Yiwu Boutique Accessories</t>
  </si>
  <si>
    <t>PO-00720</t>
  </si>
  <si>
    <t>Cangnan County Rhythm Packaging Bag-Manufacturing Co., Ltd.</t>
  </si>
  <si>
    <t>PO-00721</t>
  </si>
  <si>
    <t>Yongkang Fuxin Vacuum Containers Co., Ltd.</t>
  </si>
  <si>
    <t>PO-00722</t>
  </si>
  <si>
    <t>The Source Design Collections Fujian</t>
  </si>
  <si>
    <t>PO-00723</t>
  </si>
  <si>
    <t>Xiamen Green Field Co., Ltd.</t>
  </si>
  <si>
    <t>PO-00724</t>
  </si>
  <si>
    <t>TianTian Xing Pens Manufacturer Co.,Ltd</t>
  </si>
  <si>
    <t>PO-00726</t>
  </si>
  <si>
    <t>SHENZEN RUIMEI DISPLAY INDUSTRY</t>
  </si>
  <si>
    <t>PO-00729</t>
  </si>
  <si>
    <t>PO-00730</t>
  </si>
  <si>
    <t>Hebei Tsibo Textile Import And Export Co., Ltd.</t>
  </si>
  <si>
    <t>PO-00731</t>
  </si>
  <si>
    <t>Huizhou Hesanjiang Umbrella Co., Ltd.</t>
  </si>
  <si>
    <t>PO-00733</t>
  </si>
  <si>
    <t>LIAOCHENG XIANMING LASER CO., LTD.</t>
  </si>
  <si>
    <t>MACHINE PARTS</t>
  </si>
  <si>
    <t>PO-00734</t>
  </si>
  <si>
    <t>LINYI SHUOWO INTERNATIONAL TRADECO., LTD</t>
  </si>
  <si>
    <t>BALANCE / AFTER CNY</t>
  </si>
  <si>
    <t>PO-00735</t>
  </si>
  <si>
    <t>NEW ORDER</t>
  </si>
  <si>
    <t xml:space="preserve">AFTER  CNY </t>
  </si>
  <si>
    <t>PO-00736</t>
  </si>
  <si>
    <t>Draft</t>
  </si>
  <si>
    <t>PO-00727</t>
  </si>
  <si>
    <t>Shenzhen Hua Mei Industry Development Limited</t>
  </si>
  <si>
    <t>Tea Infuser Mug - The Reset</t>
  </si>
  <si>
    <t>PO-00717</t>
  </si>
  <si>
    <t>Wuxi Best Packaging Product Co., Ltd.</t>
  </si>
  <si>
    <t>TO FINISH MID MARCH (NEW SUPPLIER)</t>
  </si>
  <si>
    <t>IF BY AIR</t>
  </si>
  <si>
    <t>To Last to FEBRUARY</t>
  </si>
  <si>
    <t>Calculated</t>
  </si>
  <si>
    <t>Rounded in 6s</t>
  </si>
  <si>
    <t>NOT AVAILABLE UNTIL SEPT 22</t>
  </si>
  <si>
    <t>TOTALS</t>
  </si>
  <si>
    <t>2022 - 2023</t>
  </si>
  <si>
    <t>2023 - 2024</t>
  </si>
  <si>
    <t>2024-2025</t>
  </si>
  <si>
    <t>Average</t>
  </si>
  <si>
    <t>3 years</t>
  </si>
  <si>
    <t>2022 - 2024
2 years</t>
  </si>
  <si>
    <t>2023 - 2025
2 years</t>
  </si>
  <si>
    <t>INVENTORY VALUATION FEB 23 SOH</t>
  </si>
  <si>
    <t>Stock On Hand</t>
  </si>
  <si>
    <t>Inventory Asset Value</t>
  </si>
  <si>
    <t>inventory_account</t>
  </si>
  <si>
    <t>status</t>
  </si>
  <si>
    <t>item.CF.Planning Group</t>
  </si>
  <si>
    <t>item.CF.Product Category</t>
  </si>
  <si>
    <t>Finished Goods</t>
  </si>
  <si>
    <t>DELETED</t>
  </si>
  <si>
    <t>Puzzles Jigsaw</t>
  </si>
  <si>
    <t>9Z Do Not Reorder- Discontinued</t>
  </si>
  <si>
    <t>Jigsaw Puzzles</t>
  </si>
  <si>
    <t>Scratch Off</t>
  </si>
  <si>
    <t>Games</t>
  </si>
  <si>
    <t>Peter Rabbit</t>
  </si>
  <si>
    <t>Bookmarks</t>
  </si>
  <si>
    <t>Inventory Asset</t>
  </si>
  <si>
    <t>2 China Standard</t>
  </si>
  <si>
    <t>4 FYTM  - From You To Me</t>
  </si>
  <si>
    <t>Notebooks Clearance</t>
  </si>
  <si>
    <t>Planet Cat</t>
  </si>
  <si>
    <t>William Morris</t>
  </si>
  <si>
    <t>RHS Irises &amp; Hellebores</t>
  </si>
  <si>
    <t>Scratch Maps</t>
  </si>
  <si>
    <t>Coasters</t>
  </si>
  <si>
    <t>Alpha Books</t>
  </si>
  <si>
    <t>Book Light</t>
  </si>
  <si>
    <t>Lights</t>
  </si>
  <si>
    <t>1 MAIN RUNNER</t>
  </si>
  <si>
    <t>Heart Stones</t>
  </si>
  <si>
    <t>9 Local Manufacture</t>
  </si>
  <si>
    <t>Key Ring</t>
  </si>
  <si>
    <t>Magnets</t>
  </si>
  <si>
    <t>Monopoly</t>
  </si>
  <si>
    <t>Cluedo</t>
  </si>
  <si>
    <t>Homeware Clearance</t>
  </si>
  <si>
    <t>Work In Progress</t>
  </si>
  <si>
    <t>9D Consumables Pick Packing</t>
  </si>
  <si>
    <t>9C Consumables Manufacturing</t>
  </si>
  <si>
    <t>Flowers</t>
  </si>
  <si>
    <t>Book Lovers</t>
  </si>
  <si>
    <t>Rude</t>
  </si>
  <si>
    <t>Tiny Emotional Support</t>
  </si>
  <si>
    <t>Christmas</t>
  </si>
  <si>
    <t>Baby Bibs</t>
  </si>
  <si>
    <t>Onesie</t>
  </si>
  <si>
    <t>Socks</t>
  </si>
  <si>
    <t>Key Rings</t>
  </si>
  <si>
    <t>Ice House Books</t>
  </si>
  <si>
    <t>9B Component/Packaging</t>
  </si>
  <si>
    <t>CD Card Classic</t>
  </si>
  <si>
    <t>Mens Gifts</t>
  </si>
  <si>
    <t>CD Card Birthday Star</t>
  </si>
  <si>
    <t>Book Related Clearance</t>
  </si>
  <si>
    <t>Hair Wrap</t>
  </si>
  <si>
    <t>Head Band</t>
  </si>
  <si>
    <t>Scrunchie</t>
  </si>
  <si>
    <t>Eyemask</t>
  </si>
  <si>
    <t>Pillow Cases</t>
  </si>
  <si>
    <t>Sleep Bonnet</t>
  </si>
  <si>
    <t>Shower Cap</t>
  </si>
  <si>
    <t>Slippers</t>
  </si>
  <si>
    <t>Face Roller</t>
  </si>
  <si>
    <t>Bluhen Set Up</t>
  </si>
  <si>
    <t>Coin Pouch</t>
  </si>
  <si>
    <t>Cosmetics Bag</t>
  </si>
  <si>
    <t>Toiletry Bag</t>
  </si>
  <si>
    <t>Fans</t>
  </si>
  <si>
    <t>Book Other</t>
  </si>
  <si>
    <t>Calendars &amp; Diaries</t>
  </si>
  <si>
    <t>Handy Specs</t>
  </si>
  <si>
    <t>Notebook Tidy</t>
  </si>
  <si>
    <t>Phone Holder</t>
  </si>
  <si>
    <t>Tool Belt</t>
  </si>
  <si>
    <t>Puzzle Books</t>
  </si>
  <si>
    <t>Shruti</t>
  </si>
  <si>
    <t>Baby Books</t>
  </si>
  <si>
    <t>Candle Matches</t>
  </si>
  <si>
    <t>MTTBWY</t>
  </si>
  <si>
    <t>Signage</t>
  </si>
  <si>
    <t>CDCARD</t>
  </si>
  <si>
    <t>8 Reading Socks</t>
  </si>
  <si>
    <t>DVDCARD</t>
  </si>
  <si>
    <t>Coasters Clearance</t>
  </si>
  <si>
    <t>Compact Mirrors</t>
  </si>
  <si>
    <t>Bluhen</t>
  </si>
  <si>
    <t>Mugs Clearance</t>
  </si>
  <si>
    <t>Cushion</t>
  </si>
  <si>
    <t>Harlequin Games</t>
  </si>
  <si>
    <t>DVD Card Classic</t>
  </si>
  <si>
    <t>Eye Mask</t>
  </si>
  <si>
    <t>Gift sets</t>
  </si>
  <si>
    <t>Stickers Clearance</t>
  </si>
  <si>
    <t>Garden Tools</t>
  </si>
  <si>
    <t>USA ONLY</t>
  </si>
  <si>
    <t>GlassWear</t>
  </si>
  <si>
    <t>Craft</t>
  </si>
  <si>
    <t>Sound Cards</t>
  </si>
  <si>
    <t>Magnet</t>
  </si>
  <si>
    <t>Torches</t>
  </si>
  <si>
    <t>Reading Socks</t>
  </si>
  <si>
    <t>Name A Star</t>
  </si>
  <si>
    <t>Photo Frame</t>
  </si>
  <si>
    <t>Shoppers</t>
  </si>
  <si>
    <t>Rattling friends</t>
  </si>
  <si>
    <t>Baby Rattle</t>
  </si>
  <si>
    <t>Drinking Accessories</t>
  </si>
  <si>
    <t>Romantasy</t>
  </si>
  <si>
    <t>Candles</t>
  </si>
  <si>
    <t>Baby Blanket</t>
  </si>
  <si>
    <t>Keep Cup</t>
  </si>
  <si>
    <t>Telescopic Pouch</t>
  </si>
  <si>
    <t>Reading Friends</t>
  </si>
  <si>
    <t>Amazon</t>
  </si>
  <si>
    <t>Calendars and Diaries</t>
  </si>
  <si>
    <t>Where's Wally</t>
  </si>
  <si>
    <t>Wonders of Learning</t>
  </si>
  <si>
    <t>Eye Masks</t>
  </si>
  <si>
    <t>Head Bands</t>
  </si>
  <si>
    <t>Booklights</t>
  </si>
</sst>
</file>

<file path=xl/styles.xml><?xml version="1.0" encoding="utf-8"?>
<styleSheet xmlns="http://schemas.openxmlformats.org/spreadsheetml/2006/main">
  <numFmts count="21">
    <numFmt formatCode="#0" numFmtId="164"/>
    <numFmt formatCode="[&gt;0]_(* #,##0_);[&lt;0]_(* (#,##0);_(* &quot;-&quot;#??_);_(@_)" numFmtId="165"/>
    <numFmt formatCode="#0.00%" numFmtId="166"/>
    <numFmt formatCode="mmm-d" numFmtId="167"/>
    <numFmt formatCode="#0.0" numFmtId="168"/>
    <numFmt formatCode="#0.0%" numFmtId="169"/>
    <numFmt formatCode="mmmm yyyy" numFmtId="170"/>
    <numFmt formatCode="#0%" numFmtId="171"/>
    <numFmt formatCode="[&gt;0]_(&quot;$&quot;* #,##0.00_);[&lt;0]_(&quot;$&quot;* (#,##0.00);_(&quot;$&quot;* &quot;-&quot;#??_);_(@_)" numFmtId="172"/>
    <numFmt formatCode="#0.00" numFmtId="173"/>
    <numFmt formatCode="mmm d - yy" numFmtId="174"/>
    <numFmt formatCode="&quot;$&quot;#,##0.00" numFmtId="175"/>
    <numFmt formatCode="mmm yyyy" numFmtId="176"/>
    <numFmt formatCode="mmmm d" numFmtId="177"/>
    <numFmt formatCode="[&gt;0]_([$£]* #,##0.00_);[&lt;0]_([$£]* (#,##0.00);_([$£]* &quot;-&quot;#??_);_(@_)" numFmtId="178"/>
    <numFmt formatCode="yyyy-m-d" numFmtId="179"/>
    <numFmt formatCode="yyyy-m-dd" numFmtId="180"/>
    <numFmt formatCode="yyyy-mm-d" numFmtId="181"/>
    <numFmt formatCode="yyyy-mm-dd" numFmtId="182"/>
    <numFmt formatCode="#0.0000" numFmtId="183"/>
    <numFmt formatCode="mmm d" numFmtId="184"/>
  </numFmts>
  <fonts count="70">
    <font>
      <sz val="10"/>
      <color rgb="FF000000"/>
      <name val="Roboto"/>
    </font>
    <font>
      <sz val="10"/>
      <name val="Calibri"/>
    </font>
    <font>
      <b/>
      <sz val="10"/>
      <name val="Calibri"/>
    </font>
    <font>
      <sz val="10"/>
      <name val="Calibri"/>
    </font>
    <font>
      <b/>
      <sz val="11"/>
      <name val="Calibri"/>
    </font>
    <font>
      <b/>
      <sz val="10"/>
      <name val="Roboto"/>
    </font>
    <font>
      <b/>
      <sz val="11.0"/>
      <name val="Calibri"/>
    </font>
    <font>
      <b/>
      <sz val="10"/>
      <name val="Calibri"/>
    </font>
    <font>
      <sz val="10"/>
      <name val="Calibri"/>
    </font>
    <font>
      <b/>
      <sz val="10"/>
      <name val="Calibri"/>
    </font>
    <font>
      <b/>
      <sz val="10"/>
      <color rgb="FF0070C0"/>
      <name val="Calibri"/>
    </font>
    <font>
      <b/>
      <sz val="10"/>
      <color rgb="FFFF0000"/>
      <name val="Calibri"/>
    </font>
    <font>
      <sz val="10"/>
      <name val="Roboto"/>
    </font>
    <font>
      <sz val="11"/>
      <name val="Calibri"/>
    </font>
    <font>
      <b/>
      <sz val="11"/>
      <name val="Calibri"/>
    </font>
    <font>
      <sz val="11"/>
      <name val="Calibri"/>
    </font>
    <font>
      <b/>
      <sz val="11"/>
      <color rgb="FFE31414"/>
      <name val="Calibri"/>
    </font>
    <font>
      <sz val="11"/>
      <name val="Calibri"/>
    </font>
    <font>
      <sz val="11"/>
      <name val="Roboto"/>
    </font>
    <font>
      <b/>
      <sz val="11"/>
      <color rgb="FFE31414"/>
      <name val="Roboto"/>
    </font>
    <font>
      <sz val="11"/>
      <color rgb="FFFFFFFF"/>
      <name val="Calibri"/>
    </font>
    <font>
      <sz val="11"/>
      <color rgb="FFFF0000"/>
      <name val="Calibri"/>
    </font>
    <font>
      <sz val="11"/>
      <color rgb="FFFF0000"/>
      <name val="Roboto"/>
    </font>
    <font>
      <b/>
      <sz val="11"/>
      <name val="Roboto"/>
    </font>
    <font>
      <b/>
      <sz val="11"/>
      <name val="Roboto"/>
    </font>
    <font>
      <sz val="11"/>
      <name val="Roboto"/>
    </font>
    <font>
      <b/>
      <sz val="11"/>
      <name val="Roboto"/>
    </font>
    <font>
      <b/>
      <sz val="11"/>
      <color rgb="FF0070C0"/>
      <name val="Roboto"/>
    </font>
    <font>
      <b/>
      <sz val="11"/>
      <color rgb="FFFF0000"/>
      <name val="Roboto"/>
    </font>
    <font>
      <sz val="11"/>
      <name val="Roboto"/>
    </font>
    <font>
      <sz val="10.0"/>
      <name val="Calibri"/>
    </font>
    <font>
      <sz val="10"/>
      <name val="Calibri"/>
    </font>
    <font>
      <sz val="10"/>
      <color rgb="FF9B59B6"/>
      <name val="Roboto"/>
    </font>
    <font>
      <b/>
      <sz val="10"/>
      <name val="Roboto"/>
    </font>
    <font>
      <b/>
      <sz val="10"/>
      <color rgb="FF9B59B6"/>
      <name val="Roboto"/>
    </font>
    <font>
      <sz val="10"/>
      <name val="Roboto"/>
    </font>
    <font>
      <sz val="10"/>
      <color rgb="FFEE4675"/>
      <name val="Roboto"/>
    </font>
    <font>
      <sz val="10"/>
      <name val="Roboto"/>
    </font>
    <font>
      <b/>
      <sz val="10"/>
      <name val="Roboto"/>
    </font>
    <font>
      <b/>
      <sz val="10"/>
      <color rgb="FF9B59B6"/>
      <name val="Roboto"/>
    </font>
    <font>
      <b/>
      <sz val="10"/>
      <color rgb="FFFF0000"/>
      <name val="Roboto"/>
    </font>
    <font>
      <sz val="10"/>
      <name val="Roboto"/>
    </font>
    <font>
      <sz val="11"/>
      <color rgb="FF9B59B6"/>
      <name val="Roboto"/>
    </font>
    <font>
      <b/>
      <sz val="11"/>
      <color rgb="FF9B59B6"/>
      <name val="Roboto"/>
    </font>
    <font>
      <b/>
      <sz val="11"/>
      <color rgb="FF9B59B6"/>
      <name val="Roboto"/>
    </font>
    <font>
      <b/>
      <sz val="10.0"/>
      <name val="Arial"/>
    </font>
    <font>
      <sz val="10.0"/>
      <name val="Arial"/>
    </font>
    <font>
      <b/>
      <sz val="11.0"/>
      <color rgb="FF242424"/>
      <name val="Aptos"/>
    </font>
    <font>
      <sz val="11"/>
      <color rgb="FFE31414"/>
      <name val="Roboto"/>
    </font>
    <font>
      <sz val="11"/>
      <color rgb="FF9B59B6"/>
      <name val="Roboto"/>
    </font>
    <font>
      <sz val="11"/>
      <name val="Roboto"/>
    </font>
    <font>
      <b/>
      <sz val="11"/>
      <color rgb="FFE31414"/>
      <name val="Roboto"/>
    </font>
    <font>
      <sz val="11"/>
      <name val="Roboto"/>
    </font>
    <font>
      <sz val="11.0"/>
      <name val="Aptos Narrow"/>
    </font>
    <font>
      <sz val="11.0"/>
      <name val="Calibri"/>
    </font>
    <font>
      <b/>
      <sz val="10"/>
      <color rgb="FFE31414"/>
      <name val="Roboto"/>
    </font>
    <font>
      <b/>
      <sz val="11"/>
      <color rgb="FFFF0000"/>
      <name val="Roboto"/>
    </font>
    <font>
      <b/>
      <sz val="11"/>
      <color rgb="FF9B59B6"/>
      <name val="Roboto"/>
    </font>
    <font>
      <b/>
      <sz val="11"/>
      <color rgb="FFFF0000"/>
      <name val="Roboto"/>
    </font>
    <font>
      <b/>
      <sz val="11"/>
      <color rgb="FFE31414"/>
      <name val="Roboto"/>
    </font>
    <font>
      <sz val="11"/>
      <color rgb="FFFF0000"/>
      <name val="Roboto"/>
    </font>
    <font>
      <sz val="11"/>
      <color rgb="FFFF0000"/>
      <name val="Roboto"/>
    </font>
    <font>
      <sz val="11"/>
      <color rgb="FFE7484D"/>
      <name val="Roboto"/>
    </font>
    <font>
      <sz val="11"/>
      <color rgb="FFFF0000"/>
      <name val="Roboto"/>
    </font>
    <font>
      <sz val="10"/>
      <name val="Inter"/>
    </font>
    <font>
      <sz val="11.0"/>
      <name val="Roboto"/>
    </font>
    <font>
      <sz val="10"/>
      <color rgb="FFE31414"/>
      <name val="Roboto"/>
    </font>
    <font>
      <sz val="10"/>
      <color rgb="FFE31414"/>
      <name val="Roboto"/>
    </font>
    <font>
      <sz val="10.0"/>
      <name val="Roboto"/>
    </font>
    <font>
      <b/>
      <sz val="10"/>
      <color rgb="FF7030A0"/>
      <name val="Roboto"/>
    </font>
  </fonts>
  <fills count="25">
    <fill>
      <patternFill patternType="none"/>
    </fill>
    <fill>
      <patternFill patternType="gray125"/>
    </fill>
    <fill>
      <patternFill patternType="solid">
        <fgColor rgb="FFF1C40F"/>
        <bgColor rgb="FFF1C40F"/>
      </patternFill>
    </fill>
    <fill>
      <patternFill patternType="solid">
        <fgColor rgb="FF3498DB"/>
        <bgColor rgb="FF3498DB"/>
      </patternFill>
    </fill>
    <fill>
      <patternFill patternType="solid">
        <fgColor rgb="FF2ECC71"/>
        <bgColor rgb="FF2ECC71"/>
      </patternFill>
    </fill>
    <fill>
      <patternFill patternType="solid">
        <fgColor rgb="FFFFF2CC"/>
        <bgColor rgb="FFFFF2CC"/>
      </patternFill>
    </fill>
    <fill>
      <patternFill patternType="solid">
        <fgColor rgb="FFD6EAF8"/>
        <bgColor rgb="FFD6EAF8"/>
      </patternFill>
    </fill>
    <fill>
      <patternFill patternType="solid">
        <fgColor rgb="FFFFFF00"/>
        <bgColor rgb="FFFFFF00"/>
      </patternFill>
    </fill>
    <fill>
      <patternFill patternType="solid">
        <fgColor rgb="FFFCF3CF"/>
        <bgColor rgb="FFFCF3CF"/>
      </patternFill>
    </fill>
    <fill>
      <patternFill patternType="solid">
        <fgColor rgb="FFFF0000"/>
        <bgColor rgb="FFFF0000"/>
      </patternFill>
    </fill>
    <fill>
      <patternFill patternType="solid">
        <fgColor rgb="FFFCDAE3"/>
        <bgColor rgb="FFFCDAE3"/>
      </patternFill>
    </fill>
    <fill>
      <patternFill patternType="solid">
        <fgColor rgb="FFD5F5E3"/>
        <bgColor rgb="FFD5F5E3"/>
      </patternFill>
    </fill>
    <fill>
      <patternFill patternType="solid">
        <fgColor rgb="FFEBDEF0"/>
        <bgColor rgb="FFEBDEF0"/>
      </patternFill>
    </fill>
    <fill>
      <patternFill patternType="solid">
        <fgColor rgb="FFFCF3CF"/>
        <bgColor rgb="FFFCF3CF"/>
      </patternFill>
    </fill>
    <fill>
      <patternFill patternType="solid">
        <fgColor rgb="FF00B0F0"/>
        <bgColor rgb="FF00B0F0"/>
      </patternFill>
    </fill>
    <fill>
      <patternFill patternType="solid">
        <fgColor rgb="FFD7BDE2"/>
        <bgColor rgb="FFD7BDE2"/>
      </patternFill>
    </fill>
    <fill>
      <patternFill patternType="solid">
        <fgColor rgb="FFF2CEEF"/>
        <bgColor rgb="FFF2CEEF"/>
      </patternFill>
    </fill>
    <fill>
      <patternFill patternType="solid">
        <fgColor rgb="FFFAE4D3"/>
        <bgColor rgb="FFFAE4D3"/>
      </patternFill>
    </fill>
    <fill>
      <patternFill patternType="solid">
        <fgColor rgb="FFD3DCE5"/>
        <bgColor rgb="FFD3DCE5"/>
      </patternFill>
    </fill>
    <fill>
      <patternFill patternType="solid">
        <fgColor rgb="FFEBDEF0"/>
        <bgColor rgb="FFEBDEF0"/>
      </patternFill>
    </fill>
    <fill>
      <patternFill patternType="solid">
        <fgColor rgb="FF9BDEB4"/>
        <bgColor rgb="FF9BDEB4"/>
      </patternFill>
    </fill>
    <fill>
      <patternFill patternType="solid">
        <fgColor rgb="FFE7EBEB"/>
        <bgColor rgb="FFE7EBEB"/>
      </patternFill>
    </fill>
    <fill>
      <patternFill patternType="solid">
        <fgColor rgb="FFE9F0FE"/>
        <bgColor rgb="FFE9F0FE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">
    <xf borderId="0" fillId="0" fontId="0" numFmtId="0" xfId="0">
      <alignment vertical="top"/>
    </xf>
  </cellStyleXfs>
  <cellXfs count="531">
    <xf borderId="0" fillId="0" fontId="0" numFmtId="0" xfId="0">
      <alignment vertical="top"/>
    </xf>
    <xf borderId="0" fillId="0" fontId="1" numFmtId="0" xfId="0">
      <alignment vertical="top"/>
    </xf>
    <xf borderId="0" fillId="0" fontId="2" numFmtId="0" xfId="0">
      <alignment vertical="top"/>
    </xf>
    <xf borderId="0" fillId="0" fontId="3" numFmtId="0" xfId="0">
      <alignment vertical="top"/>
    </xf>
    <xf borderId="0" fillId="0" fontId="1" numFmtId="164" xfId="0">
      <alignment vertical="top"/>
    </xf>
    <xf borderId="0" fillId="0" fontId="2" numFmtId="0" xfId="0">
      <alignment horizontal="right" vertical="top"/>
    </xf>
    <xf borderId="0" fillId="0" fontId="3" numFmtId="0" xfId="0">
      <alignment horizontal="right" vertical="top"/>
    </xf>
    <xf borderId="0" fillId="0" fontId="2" numFmtId="165" xfId="0">
      <alignment vertical="top"/>
    </xf>
    <xf borderId="0" fillId="0" fontId="2" numFmtId="164" xfId="0">
      <alignment vertical="top"/>
    </xf>
    <xf borderId="0" fillId="0" fontId="3" numFmtId="0" xfId="0">
      <alignment horizontal="left" vertical="top"/>
    </xf>
    <xf borderId="0" fillId="0" fontId="2" numFmtId="9" xfId="0">
      <alignment vertical="top"/>
    </xf>
    <xf borderId="0" fillId="0" fontId="4" numFmtId="9" xfId="0">
      <alignment vertical="top"/>
    </xf>
    <xf borderId="0" fillId="0" fontId="5" numFmtId="9" xfId="0">
      <alignment vertical="top"/>
    </xf>
    <xf borderId="0" fillId="0" fontId="2" numFmtId="166" xfId="0">
      <alignment vertical="top"/>
    </xf>
    <xf borderId="0" fillId="0" fontId="2" numFmtId="0" xfId="0">
      <alignment horizontal="center" vertical="center"/>
    </xf>
    <xf borderId="0" fillId="2" fontId="6" numFmtId="167" xfId="0">
      <alignment horizontal="center" vertical="center"/>
    </xf>
    <xf borderId="0" fillId="3" fontId="6" numFmtId="167" xfId="0">
      <alignment horizontal="center" vertical="center"/>
    </xf>
    <xf borderId="0" fillId="4" fontId="6" numFmtId="167" xfId="0">
      <alignment horizontal="center" vertical="center"/>
    </xf>
    <xf borderId="0" fillId="0" fontId="2" numFmtId="165" xfId="0">
      <alignment horizontal="center" vertical="center"/>
    </xf>
    <xf borderId="0" fillId="0" fontId="2" numFmtId="164" xfId="0">
      <alignment horizontal="center" vertical="center"/>
    </xf>
    <xf borderId="0" fillId="0" fontId="2" numFmtId="0" xfId="0">
      <alignment horizontal="right" vertical="center"/>
    </xf>
    <xf borderId="0" fillId="0" fontId="3" numFmtId="0" xfId="0">
      <alignment horizontal="left" vertical="center"/>
    </xf>
    <xf borderId="0" fillId="0" fontId="2" numFmtId="0" xfId="0">
      <alignment horizontal="center" vertical="center" wrapText="1"/>
    </xf>
    <xf borderId="0" fillId="0" fontId="5" numFmtId="0" xfId="0">
      <alignment vertical="center"/>
    </xf>
    <xf borderId="0" fillId="0" fontId="4" numFmtId="0" xfId="0">
      <alignment horizontal="left" vertical="center" wrapText="1"/>
    </xf>
    <xf borderId="0" fillId="0" fontId="4" numFmtId="0" xfId="0">
      <alignment horizontal="center" vertical="center" wrapText="1"/>
    </xf>
    <xf borderId="0" fillId="0" fontId="7" numFmtId="0" xfId="0">
      <alignment horizontal="center" vertical="center" wrapText="1" textRotation="0"/>
    </xf>
    <xf borderId="0" fillId="0" fontId="7" numFmtId="165" xfId="0">
      <alignment horizontal="center" vertical="center" wrapText="1" textRotation="0"/>
    </xf>
    <xf borderId="0" fillId="5" fontId="8" numFmtId="164" xfId="0">
      <alignment horizontal="center" vertical="center" textRotation="0"/>
    </xf>
    <xf borderId="0" fillId="5" fontId="9" numFmtId="164" xfId="0">
      <alignment horizontal="center" vertical="center" textRotation="0"/>
    </xf>
    <xf borderId="0" fillId="0" fontId="10" numFmtId="0" xfId="0">
      <alignment horizontal="center" vertical="center" wrapText="1" textRotation="0"/>
    </xf>
    <xf borderId="0" fillId="0" fontId="11" numFmtId="0" xfId="0">
      <alignment horizontal="center" vertical="center" wrapText="1" textRotation="0"/>
    </xf>
    <xf borderId="0" fillId="0" fontId="11" numFmtId="164" xfId="0">
      <alignment horizontal="left" vertical="center" wrapText="1"/>
    </xf>
    <xf borderId="0" fillId="0" fontId="7" numFmtId="0" xfId="0">
      <alignment horizontal="right" vertical="center" wrapText="1" textRotation="0"/>
    </xf>
    <xf borderId="0" fillId="0" fontId="7" numFmtId="0" xfId="0">
      <alignment horizontal="left" vertical="center" wrapText="1"/>
    </xf>
    <xf borderId="0" fillId="0" fontId="1" numFmtId="0" xfId="0">
      <alignment vertical="center"/>
    </xf>
    <xf borderId="0" fillId="0" fontId="12" numFmtId="0" xfId="0">
      <alignment vertical="top"/>
    </xf>
    <xf borderId="0" fillId="0" fontId="13" numFmtId="0" xfId="0">
      <alignment vertical="top"/>
    </xf>
    <xf borderId="0" fillId="0" fontId="13" numFmtId="0" xfId="0">
      <alignment horizontal="center" vertical="top"/>
    </xf>
    <xf borderId="0" fillId="0" fontId="14" numFmtId="164" xfId="0">
      <alignment vertical="top"/>
    </xf>
    <xf borderId="0" fillId="6" fontId="15" numFmtId="0" xfId="0">
      <alignment vertical="top"/>
    </xf>
    <xf borderId="0" fillId="0" fontId="14" numFmtId="0" xfId="0">
      <alignment vertical="top"/>
    </xf>
    <xf borderId="0" fillId="0" fontId="16" numFmtId="0" xfId="0">
      <alignment vertical="top"/>
    </xf>
    <xf borderId="0" fillId="0" fontId="17" numFmtId="0" xfId="0">
      <alignment vertical="top"/>
    </xf>
    <xf borderId="0" fillId="0" fontId="14" numFmtId="0" xfId="0">
      <alignment horizontal="right" vertical="top"/>
    </xf>
    <xf borderId="0" fillId="0" fontId="15" numFmtId="0" xfId="0">
      <alignment horizontal="right" vertical="top"/>
    </xf>
    <xf borderId="0" fillId="0" fontId="17" numFmtId="164" xfId="0">
      <alignment vertical="top"/>
    </xf>
    <xf borderId="0" fillId="0" fontId="18" numFmtId="0" xfId="0">
      <alignment vertical="top"/>
    </xf>
    <xf borderId="0" fillId="7" fontId="16" numFmtId="164" xfId="0">
      <alignment vertical="top"/>
    </xf>
    <xf borderId="0" fillId="0" fontId="16" numFmtId="0" xfId="0">
      <alignment horizontal="right" vertical="top"/>
    </xf>
    <xf borderId="0" fillId="0" fontId="19" numFmtId="0" xfId="0">
      <alignment vertical="top"/>
    </xf>
    <xf borderId="0" fillId="0" fontId="15" numFmtId="0" xfId="0">
      <alignment vertical="top"/>
    </xf>
    <xf borderId="0" fillId="0" fontId="16" numFmtId="168" xfId="0">
      <alignment vertical="top"/>
    </xf>
    <xf borderId="0" fillId="8" fontId="16" numFmtId="164" xfId="0">
      <alignment vertical="top"/>
    </xf>
    <xf borderId="0" fillId="0" fontId="15" numFmtId="0" xfId="0">
      <alignment horizontal="left" vertical="top"/>
    </xf>
    <xf borderId="0" fillId="6" fontId="13" numFmtId="0" xfId="0">
      <alignment vertical="top"/>
    </xf>
    <xf borderId="0" fillId="9" fontId="13" numFmtId="0" xfId="0">
      <alignment vertical="top"/>
    </xf>
    <xf borderId="0" fillId="9" fontId="20" numFmtId="0" xfId="0">
      <alignment horizontal="right" vertical="top"/>
    </xf>
    <xf borderId="0" fillId="10" fontId="17" numFmtId="164" xfId="0">
      <alignment vertical="top"/>
    </xf>
    <xf borderId="0" fillId="0" fontId="15" numFmtId="164" xfId="0">
      <alignment vertical="top"/>
    </xf>
    <xf borderId="0" fillId="0" fontId="16" numFmtId="164" xfId="0">
      <alignment vertical="top"/>
    </xf>
    <xf borderId="0" fillId="0" fontId="21" numFmtId="0" xfId="0">
      <alignment vertical="top"/>
    </xf>
    <xf borderId="0" fillId="0" fontId="22" numFmtId="0" xfId="0">
      <alignment vertical="top"/>
    </xf>
    <xf borderId="0" fillId="7" fontId="13" numFmtId="0" xfId="0">
      <alignment vertical="top"/>
    </xf>
    <xf borderId="0" fillId="0" fontId="23" numFmtId="0" xfId="0">
      <alignment vertical="top"/>
    </xf>
    <xf borderId="0" fillId="0" fontId="18" numFmtId="164" xfId="0">
      <alignment vertical="top"/>
    </xf>
    <xf borderId="0" fillId="0" fontId="23" numFmtId="0" xfId="0">
      <alignment horizontal="right" vertical="top"/>
    </xf>
    <xf borderId="0" fillId="0" fontId="18" numFmtId="0" xfId="0">
      <alignment horizontal="right" vertical="top"/>
    </xf>
    <xf borderId="0" fillId="0" fontId="23" numFmtId="165" xfId="0">
      <alignment vertical="top"/>
    </xf>
    <xf borderId="0" fillId="0" fontId="23" numFmtId="164" xfId="0">
      <alignment vertical="top"/>
    </xf>
    <xf borderId="0" fillId="0" fontId="23" numFmtId="0" xfId="0">
      <alignment horizontal="left" vertical="top"/>
    </xf>
    <xf borderId="0" fillId="0" fontId="23" numFmtId="9" xfId="0">
      <alignment vertical="top"/>
    </xf>
    <xf borderId="0" fillId="0" fontId="23" numFmtId="169" xfId="0">
      <alignment vertical="top"/>
    </xf>
    <xf borderId="0" fillId="0" fontId="23" numFmtId="0" xfId="0">
      <alignment horizontal="center" vertical="center"/>
    </xf>
    <xf borderId="0" fillId="2" fontId="24" numFmtId="167" xfId="0">
      <alignment horizontal="center" vertical="center"/>
    </xf>
    <xf borderId="0" fillId="3" fontId="24" numFmtId="167" xfId="0">
      <alignment horizontal="center" vertical="center"/>
    </xf>
    <xf borderId="0" fillId="4" fontId="24" numFmtId="167" xfId="0">
      <alignment horizontal="center" vertical="center"/>
    </xf>
    <xf borderId="0" fillId="0" fontId="23" numFmtId="165" xfId="0">
      <alignment horizontal="center" vertical="center"/>
    </xf>
    <xf borderId="0" fillId="0" fontId="23" numFmtId="0" xfId="0">
      <alignment horizontal="center" vertical="top"/>
    </xf>
    <xf borderId="0" fillId="0" fontId="23" numFmtId="164" xfId="0">
      <alignment horizontal="center" vertical="center"/>
    </xf>
    <xf borderId="0" fillId="0" fontId="23" numFmtId="0" xfId="0">
      <alignment horizontal="right" vertical="center"/>
    </xf>
    <xf borderId="0" fillId="0" fontId="25" numFmtId="0" xfId="0">
      <alignment horizontal="left" vertical="center"/>
    </xf>
    <xf borderId="0" fillId="0" fontId="23" numFmtId="170" xfId="0">
      <alignment horizontal="center" vertical="center"/>
    </xf>
    <xf borderId="0" fillId="0" fontId="23" numFmtId="0" xfId="0">
      <alignment vertical="center"/>
    </xf>
    <xf borderId="0" fillId="0" fontId="18" numFmtId="0" xfId="0">
      <alignment vertical="center"/>
    </xf>
    <xf borderId="0" fillId="0" fontId="24" numFmtId="0" xfId="0">
      <alignment horizontal="left" vertical="center" wrapText="1"/>
    </xf>
    <xf borderId="0" fillId="0" fontId="24" numFmtId="0" xfId="0">
      <alignment horizontal="center" vertical="center" wrapText="1"/>
    </xf>
    <xf borderId="0" fillId="0" fontId="24" numFmtId="0" xfId="0">
      <alignment horizontal="center" vertical="center" wrapText="1" textRotation="0"/>
    </xf>
    <xf borderId="0" fillId="0" fontId="24" numFmtId="165" xfId="0">
      <alignment horizontal="center" vertical="center" wrapText="1" textRotation="0"/>
    </xf>
    <xf borderId="0" fillId="5" fontId="26" numFmtId="164" xfId="0">
      <alignment horizontal="center" vertical="center" textRotation="0"/>
    </xf>
    <xf borderId="0" fillId="0" fontId="27" numFmtId="0" xfId="0">
      <alignment horizontal="center" vertical="center" wrapText="1" textRotation="0"/>
    </xf>
    <xf borderId="0" fillId="0" fontId="28" numFmtId="164" xfId="0">
      <alignment horizontal="left" vertical="center" wrapText="1"/>
    </xf>
    <xf borderId="0" fillId="0" fontId="24" numFmtId="0" xfId="0">
      <alignment horizontal="right" vertical="center" wrapText="1" textRotation="0"/>
    </xf>
    <xf borderId="0" fillId="0" fontId="29" numFmtId="0" xfId="0">
      <alignment vertical="top"/>
    </xf>
    <xf borderId="0" fillId="6" fontId="18" numFmtId="0" xfId="0">
      <alignment vertical="top"/>
    </xf>
    <xf borderId="0" fillId="0" fontId="18" numFmtId="164" xfId="0">
      <alignment horizontal="right" vertical="top"/>
    </xf>
    <xf borderId="0" fillId="8" fontId="18" numFmtId="0" xfId="0">
      <alignment vertical="top"/>
    </xf>
    <xf borderId="0" fillId="7" fontId="18" numFmtId="164" xfId="0">
      <alignment vertical="top"/>
    </xf>
    <xf borderId="0" fillId="9" fontId="29" numFmtId="0" xfId="0">
      <alignment vertical="top"/>
    </xf>
    <xf borderId="0" fillId="9" fontId="18" numFmtId="0" xfId="0">
      <alignment vertical="top"/>
    </xf>
    <xf borderId="0" fillId="0" fontId="25" numFmtId="170" xfId="0">
      <alignment horizontal="left" vertical="top"/>
    </xf>
    <xf borderId="0" fillId="6" fontId="18" numFmtId="164" xfId="0">
      <alignment vertical="top"/>
    </xf>
    <xf borderId="0" fillId="8" fontId="18" numFmtId="164" xfId="0">
      <alignment vertical="top"/>
    </xf>
    <xf borderId="0" fillId="0" fontId="25" numFmtId="0" xfId="0">
      <alignment horizontal="left" vertical="top"/>
    </xf>
    <xf borderId="0" fillId="0" fontId="24" numFmtId="9" xfId="0">
      <alignment vertical="top"/>
    </xf>
    <xf borderId="0" fillId="0" fontId="24" numFmtId="166" xfId="0">
      <alignment vertical="top"/>
    </xf>
    <xf borderId="0" fillId="0" fontId="23" numFmtId="166" xfId="0">
      <alignment vertical="top"/>
    </xf>
    <xf borderId="0" fillId="0" fontId="23" numFmtId="171" xfId="0">
      <alignment vertical="top"/>
    </xf>
    <xf borderId="0" fillId="0" fontId="23" numFmtId="164" xfId="0">
      <alignment horizontal="right" vertical="center"/>
    </xf>
    <xf borderId="0" fillId="0" fontId="28" numFmtId="164" xfId="0">
      <alignment horizontal="center" vertical="center" wrapText="1"/>
    </xf>
    <xf borderId="0" fillId="7" fontId="29" numFmtId="0" xfId="0">
      <alignment vertical="top"/>
    </xf>
    <xf borderId="0" fillId="0" fontId="24" numFmtId="0" xfId="0">
      <alignment vertical="top"/>
    </xf>
    <xf borderId="0" fillId="8" fontId="29" numFmtId="0" xfId="0">
      <alignment vertical="top"/>
    </xf>
    <xf borderId="0" fillId="11" fontId="29" numFmtId="0" xfId="0">
      <alignment vertical="top"/>
    </xf>
    <xf borderId="0" fillId="12" fontId="29" numFmtId="0" xfId="0">
      <alignment vertical="top"/>
    </xf>
    <xf borderId="0" fillId="13" fontId="7" numFmtId="0" xfId="0">
      <alignment horizontal="left" vertical="top"/>
    </xf>
    <xf borderId="0" fillId="13" fontId="7" numFmtId="0" xfId="0">
      <alignment horizontal="center" vertical="top"/>
    </xf>
    <xf borderId="0" fillId="13" fontId="7" numFmtId="0" xfId="0">
      <alignment horizontal="center" vertical="top" wrapText="1"/>
    </xf>
    <xf borderId="0" fillId="0" fontId="23" numFmtId="0" xfId="0">
      <alignment vertical="top" wrapText="1"/>
    </xf>
    <xf borderId="0" fillId="0" fontId="30" numFmtId="0" xfId="0">
      <alignment horizontal="center" vertical="top"/>
    </xf>
    <xf borderId="0" fillId="0" fontId="31" numFmtId="0" xfId="0">
      <alignment horizontal="left" vertical="top"/>
    </xf>
    <xf borderId="0" fillId="0" fontId="31" numFmtId="0" xfId="0">
      <alignment horizontal="center" vertical="top"/>
    </xf>
    <xf borderId="0" fillId="0" fontId="7" numFmtId="0" xfId="0">
      <alignment horizontal="center" vertical="top"/>
    </xf>
    <xf borderId="0" fillId="0" fontId="5" numFmtId="0" xfId="0">
      <alignment vertical="top"/>
    </xf>
    <xf borderId="0" fillId="0" fontId="32" numFmtId="0" xfId="0">
      <alignment vertical="top"/>
    </xf>
    <xf borderId="0" fillId="0" fontId="12" numFmtId="0" xfId="0">
      <alignment horizontal="center" vertical="top"/>
    </xf>
    <xf borderId="0" fillId="0" fontId="32" numFmtId="172" xfId="0">
      <alignment vertical="top"/>
    </xf>
    <xf borderId="0" fillId="0" fontId="5" numFmtId="0" xfId="0">
      <alignment horizontal="center" vertical="top"/>
    </xf>
    <xf borderId="0" fillId="12" fontId="5" numFmtId="166" xfId="0">
      <alignment vertical="top"/>
    </xf>
    <xf borderId="0" fillId="12" fontId="5" numFmtId="166" xfId="0">
      <alignment vertical="center"/>
    </xf>
    <xf borderId="0" fillId="0" fontId="12" numFmtId="0" xfId="0">
      <alignment vertical="center"/>
    </xf>
    <xf borderId="0" fillId="0" fontId="12" numFmtId="0" xfId="0">
      <alignment horizontal="center" vertical="center"/>
    </xf>
    <xf borderId="0" fillId="0" fontId="33" numFmtId="9" xfId="0">
      <alignment vertical="center"/>
    </xf>
    <xf borderId="0" fillId="0" fontId="5" numFmtId="9" xfId="0">
      <alignment vertical="center"/>
    </xf>
    <xf borderId="0" fillId="0" fontId="33" numFmtId="169" xfId="0">
      <alignment vertical="center"/>
    </xf>
    <xf borderId="0" fillId="0" fontId="5" numFmtId="169" xfId="0">
      <alignment vertical="center"/>
    </xf>
    <xf borderId="0" fillId="0" fontId="5" numFmtId="166" xfId="0">
      <alignment vertical="center"/>
    </xf>
    <xf borderId="0" fillId="0" fontId="34" numFmtId="172" xfId="0">
      <alignment vertical="center"/>
    </xf>
    <xf borderId="0" fillId="0" fontId="32" numFmtId="0" xfId="0">
      <alignment vertical="center"/>
    </xf>
    <xf borderId="0" fillId="0" fontId="5" numFmtId="164" xfId="0">
      <alignment vertical="center"/>
    </xf>
    <xf borderId="0" fillId="0" fontId="5" numFmtId="0" xfId="0">
      <alignment horizontal="center" vertical="center"/>
    </xf>
    <xf borderId="0" fillId="0" fontId="35" numFmtId="0" xfId="0">
      <alignment horizontal="left" vertical="center"/>
    </xf>
    <xf borderId="0" fillId="0" fontId="32" numFmtId="172" xfId="0">
      <alignment vertical="center"/>
    </xf>
    <xf borderId="0" fillId="0" fontId="36" numFmtId="0" xfId="0">
      <alignment vertical="center"/>
    </xf>
    <xf borderId="0" fillId="0" fontId="33" numFmtId="167" xfId="0">
      <alignment horizontal="center" vertical="center"/>
    </xf>
    <xf borderId="0" fillId="2" fontId="33" numFmtId="167" xfId="0">
      <alignment horizontal="center" vertical="center"/>
    </xf>
    <xf borderId="0" fillId="3" fontId="33" numFmtId="167" xfId="0">
      <alignment horizontal="center" vertical="center"/>
    </xf>
    <xf borderId="0" fillId="4" fontId="33" numFmtId="167" xfId="0">
      <alignment horizontal="center" vertical="center"/>
    </xf>
    <xf borderId="0" fillId="0" fontId="5" numFmtId="165" xfId="0">
      <alignment horizontal="center" vertical="center"/>
    </xf>
    <xf borderId="0" fillId="0" fontId="34" numFmtId="172" xfId="0">
      <alignment horizontal="center" vertical="center"/>
    </xf>
    <xf borderId="0" fillId="0" fontId="34" numFmtId="0" xfId="0">
      <alignment horizontal="center" vertical="center"/>
    </xf>
    <xf borderId="0" fillId="0" fontId="5" numFmtId="164" xfId="0">
      <alignment horizontal="center" vertical="center"/>
    </xf>
    <xf borderId="0" fillId="0" fontId="5" numFmtId="0" xfId="0">
      <alignment horizontal="center" vertical="center" wrapText="1"/>
    </xf>
    <xf borderId="0" fillId="0" fontId="33" numFmtId="0" xfId="0">
      <alignment horizontal="left" vertical="center" wrapText="1"/>
    </xf>
    <xf borderId="0" fillId="0" fontId="33" numFmtId="0" xfId="0">
      <alignment horizontal="center" vertical="center" wrapText="1"/>
    </xf>
    <xf borderId="0" fillId="0" fontId="33" numFmtId="0" xfId="0">
      <alignment horizontal="center" vertical="center" wrapText="1" textRotation="0"/>
    </xf>
    <xf borderId="0" fillId="0" fontId="33" numFmtId="165" xfId="0">
      <alignment horizontal="center" vertical="center" wrapText="1" textRotation="0"/>
    </xf>
    <xf borderId="0" fillId="5" fontId="37" numFmtId="164" xfId="0">
      <alignment horizontal="center" vertical="center" textRotation="0"/>
    </xf>
    <xf borderId="0" fillId="5" fontId="38" numFmtId="164" xfId="0">
      <alignment horizontal="center" vertical="center" textRotation="0"/>
    </xf>
    <xf borderId="0" fillId="0" fontId="39" numFmtId="172" xfId="0">
      <alignment horizontal="center" vertical="center" wrapText="1" textRotation="0"/>
    </xf>
    <xf borderId="0" fillId="0" fontId="39" numFmtId="0" xfId="0">
      <alignment horizontal="center" vertical="center" wrapText="1" textRotation="0"/>
    </xf>
    <xf borderId="0" fillId="0" fontId="40" numFmtId="0" xfId="0">
      <alignment horizontal="center" vertical="center" wrapText="1" textRotation="0"/>
    </xf>
    <xf borderId="0" fillId="0" fontId="40" numFmtId="164" xfId="0">
      <alignment horizontal="center" vertical="center" wrapText="1"/>
    </xf>
    <xf borderId="0" fillId="0" fontId="41" numFmtId="0" xfId="0">
      <alignment vertical="top"/>
    </xf>
    <xf borderId="0" fillId="0" fontId="41" numFmtId="0" xfId="0">
      <alignment horizontal="center" vertical="top"/>
    </xf>
    <xf borderId="0" fillId="7" fontId="12" numFmtId="0" xfId="0">
      <alignment vertical="top"/>
    </xf>
    <xf borderId="0" fillId="0" fontId="5" numFmtId="164" xfId="0">
      <alignment vertical="top"/>
    </xf>
    <xf borderId="0" fillId="0" fontId="34" numFmtId="172" xfId="0">
      <alignment vertical="top"/>
    </xf>
    <xf borderId="0" fillId="0" fontId="12" numFmtId="164" xfId="0">
      <alignment vertical="top"/>
    </xf>
    <xf borderId="0" fillId="6" fontId="12" numFmtId="164" xfId="0">
      <alignment vertical="top"/>
    </xf>
    <xf borderId="0" fillId="0" fontId="5" numFmtId="0" xfId="0">
      <alignment horizontal="right" vertical="top"/>
    </xf>
    <xf borderId="0" fillId="0" fontId="35" numFmtId="0" xfId="0">
      <alignment vertical="top"/>
    </xf>
    <xf borderId="0" fillId="0" fontId="12" numFmtId="173" xfId="0">
      <alignment vertical="top"/>
    </xf>
    <xf borderId="0" fillId="6" fontId="12" numFmtId="0" xfId="0">
      <alignment vertical="top"/>
    </xf>
    <xf borderId="0" fillId="14" fontId="41" numFmtId="0" xfId="0">
      <alignment vertical="top"/>
    </xf>
    <xf borderId="0" fillId="9" fontId="41" numFmtId="0" xfId="0">
      <alignment vertical="top"/>
    </xf>
    <xf borderId="0" fillId="9" fontId="41" numFmtId="0" xfId="0">
      <alignment horizontal="center" vertical="top"/>
    </xf>
    <xf borderId="0" fillId="9" fontId="12" numFmtId="0" xfId="0">
      <alignment vertical="top"/>
    </xf>
    <xf borderId="0" fillId="0" fontId="32" numFmtId="173" xfId="0">
      <alignment vertical="top"/>
    </xf>
    <xf borderId="0" fillId="12" fontId="41" numFmtId="0" xfId="0">
      <alignment vertical="top"/>
    </xf>
    <xf borderId="0" fillId="11" fontId="41" numFmtId="0" xfId="0">
      <alignment vertical="top"/>
    </xf>
    <xf borderId="0" fillId="7" fontId="41" numFmtId="0" xfId="0">
      <alignment vertical="top"/>
    </xf>
    <xf borderId="0" fillId="0" fontId="12" numFmtId="169" xfId="0">
      <alignment vertical="top"/>
    </xf>
    <xf borderId="0" fillId="0" fontId="34" numFmtId="0" xfId="0">
      <alignment vertical="top"/>
    </xf>
    <xf borderId="0" fillId="0" fontId="42" numFmtId="0" xfId="0">
      <alignment vertical="top"/>
    </xf>
    <xf borderId="0" fillId="0" fontId="18" numFmtId="0" xfId="0">
      <alignment horizontal="center" vertical="top"/>
    </xf>
    <xf borderId="0" fillId="11" fontId="23" numFmtId="0" xfId="0">
      <alignment vertical="top"/>
    </xf>
    <xf borderId="0" fillId="11" fontId="23" numFmtId="171" xfId="0">
      <alignment vertical="top"/>
    </xf>
    <xf borderId="0" fillId="0" fontId="43" numFmtId="0" xfId="0">
      <alignment horizontal="right" vertical="center"/>
    </xf>
    <xf borderId="0" fillId="0" fontId="25" numFmtId="0" xfId="0">
      <alignment horizontal="center" vertical="center"/>
    </xf>
    <xf borderId="0" fillId="0" fontId="44" numFmtId="0" xfId="0">
      <alignment horizontal="center" vertical="center" wrapText="1" textRotation="0"/>
    </xf>
    <xf borderId="0" fillId="0" fontId="44" numFmtId="172" xfId="0">
      <alignment horizontal="center" vertical="center" wrapText="1" textRotation="0"/>
    </xf>
    <xf borderId="0" fillId="0" fontId="44" numFmtId="172" xfId="0">
      <alignment horizontal="right" vertical="center" wrapText="1" textRotation="0"/>
    </xf>
    <xf borderId="0" fillId="0" fontId="23" numFmtId="164" xfId="0">
      <alignment horizontal="right" vertical="top"/>
    </xf>
    <xf borderId="0" fillId="0" fontId="42" numFmtId="172" xfId="0">
      <alignment vertical="top"/>
    </xf>
    <xf borderId="0" fillId="0" fontId="42" numFmtId="172" xfId="0">
      <alignment horizontal="right" vertical="top"/>
    </xf>
    <xf borderId="0" fillId="10" fontId="18" numFmtId="164" xfId="0">
      <alignment vertical="top"/>
    </xf>
    <xf borderId="0" fillId="3" fontId="29" numFmtId="0" xfId="0">
      <alignment vertical="top"/>
    </xf>
    <xf borderId="0" fillId="3" fontId="18" numFmtId="164" xfId="0">
      <alignment vertical="top"/>
    </xf>
    <xf borderId="0" fillId="11" fontId="23" numFmtId="164" xfId="0">
      <alignment vertical="top"/>
    </xf>
    <xf borderId="0" fillId="3" fontId="29" numFmtId="164" xfId="0">
      <alignment vertical="top"/>
    </xf>
    <xf borderId="0" fillId="0" fontId="43" numFmtId="172" xfId="0">
      <alignment vertical="top"/>
    </xf>
    <xf borderId="0" fillId="12" fontId="43" numFmtId="172" xfId="0">
      <alignment vertical="top"/>
    </xf>
    <xf borderId="0" fillId="12" fontId="43" numFmtId="172" xfId="0">
      <alignment horizontal="right" vertical="top"/>
    </xf>
    <xf borderId="0" fillId="15" fontId="18" numFmtId="0" xfId="0">
      <alignment vertical="top"/>
    </xf>
    <xf borderId="0" fillId="15" fontId="23" numFmtId="0" xfId="0">
      <alignment vertical="top"/>
    </xf>
    <xf borderId="0" fillId="15" fontId="23" numFmtId="0" xfId="0">
      <alignment horizontal="left" vertical="top"/>
    </xf>
    <xf borderId="0" fillId="0" fontId="29" numFmtId="164" xfId="0">
      <alignment horizontal="right" vertical="top"/>
    </xf>
    <xf borderId="0" fillId="10" fontId="29" numFmtId="164" xfId="0">
      <alignment horizontal="right" vertical="top"/>
    </xf>
    <xf borderId="0" fillId="3" fontId="18" numFmtId="164" xfId="0">
      <alignment horizontal="right" vertical="top"/>
    </xf>
    <xf borderId="0" fillId="0" fontId="42" numFmtId="164" xfId="0">
      <alignment vertical="top"/>
    </xf>
    <xf borderId="0" fillId="0" fontId="45" numFmtId="0" xfId="0">
      <alignment vertical="top"/>
    </xf>
    <xf borderId="0" fillId="0" fontId="46" numFmtId="0" xfId="0">
      <alignment vertical="top"/>
    </xf>
    <xf borderId="0" fillId="16" fontId="46" numFmtId="0" xfId="0">
      <alignment vertical="top"/>
    </xf>
    <xf borderId="0" fillId="0" fontId="47" numFmtId="0" xfId="0">
      <alignment vertical="top"/>
    </xf>
    <xf borderId="0" fillId="0" fontId="43" numFmtId="0" xfId="0">
      <alignment vertical="top"/>
    </xf>
    <xf borderId="0" fillId="0" fontId="43" numFmtId="0" xfId="0">
      <alignment horizontal="right" vertical="top"/>
    </xf>
    <xf borderId="0" fillId="0" fontId="25" numFmtId="164" xfId="0">
      <alignment vertical="top"/>
    </xf>
    <xf borderId="0" fillId="0" fontId="25" numFmtId="0" xfId="0">
      <alignment horizontal="right" vertical="top"/>
    </xf>
    <xf borderId="0" fillId="12" fontId="23" numFmtId="165" xfId="0">
      <alignment horizontal="center" vertical="top"/>
    </xf>
    <xf borderId="0" fillId="12" fontId="23" numFmtId="166" xfId="0">
      <alignment horizontal="right" vertical="top"/>
    </xf>
    <xf borderId="0" fillId="12" fontId="23" numFmtId="169" xfId="0">
      <alignment horizontal="right" vertical="top"/>
    </xf>
    <xf borderId="0" fillId="0" fontId="48" numFmtId="174" xfId="0">
      <alignment vertical="top"/>
    </xf>
    <xf borderId="0" fillId="12" fontId="23" numFmtId="9" xfId="0">
      <alignment vertical="top"/>
    </xf>
    <xf borderId="0" fillId="8" fontId="23" numFmtId="9" xfId="0">
      <alignment vertical="top"/>
    </xf>
    <xf borderId="0" fillId="17" fontId="23" numFmtId="169" xfId="0">
      <alignment horizontal="right" vertical="top"/>
    </xf>
    <xf borderId="0" fillId="0" fontId="48" numFmtId="0" xfId="0">
      <alignment vertical="top"/>
    </xf>
    <xf borderId="0" fillId="0" fontId="24" numFmtId="167" xfId="0">
      <alignment horizontal="center" vertical="center"/>
    </xf>
    <xf borderId="0" fillId="0" fontId="43" numFmtId="0" xfId="0">
      <alignment horizontal="center" vertical="center"/>
    </xf>
    <xf borderId="0" fillId="0" fontId="29" numFmtId="0" xfId="0">
      <alignment horizontal="center" vertical="top"/>
    </xf>
    <xf borderId="0" fillId="17" fontId="29" numFmtId="0" xfId="0">
      <alignment vertical="top"/>
    </xf>
    <xf borderId="0" fillId="17" fontId="29" numFmtId="0" xfId="0">
      <alignment horizontal="right" vertical="top"/>
    </xf>
    <xf borderId="0" fillId="18" fontId="18" numFmtId="0" xfId="0">
      <alignment horizontal="center" vertical="top"/>
    </xf>
    <xf borderId="0" fillId="0" fontId="29" numFmtId="0" xfId="0">
      <alignment horizontal="right" vertical="top"/>
    </xf>
    <xf borderId="0" fillId="9" fontId="29" numFmtId="0" xfId="0">
      <alignment horizontal="center" vertical="top"/>
    </xf>
    <xf borderId="0" fillId="7" fontId="18" numFmtId="0" xfId="0">
      <alignment vertical="top"/>
    </xf>
    <xf borderId="0" fillId="9" fontId="18" numFmtId="0" xfId="0">
      <alignment horizontal="center" vertical="top"/>
    </xf>
    <xf borderId="0" fillId="17" fontId="18" numFmtId="0" xfId="0">
      <alignment vertical="top"/>
    </xf>
    <xf borderId="0" fillId="0" fontId="25" numFmtId="0" xfId="0">
      <alignment vertical="top"/>
    </xf>
    <xf borderId="0" fillId="18" fontId="18" numFmtId="0" xfId="0">
      <alignment vertical="top"/>
    </xf>
    <xf borderId="0" fillId="0" fontId="29" numFmtId="0" xfId="0">
      <alignment horizontal="left" vertical="top" wrapText="1"/>
    </xf>
    <xf borderId="0" fillId="0" fontId="29" numFmtId="0" xfId="0">
      <alignment horizontal="center" vertical="top" wrapText="1"/>
    </xf>
    <xf borderId="0" fillId="0" fontId="29" numFmtId="0" xfId="0">
      <alignment horizontal="right" vertical="top" wrapText="1"/>
    </xf>
    <xf borderId="0" fillId="19" fontId="29" numFmtId="0" xfId="0">
      <alignment horizontal="right" vertical="top" wrapText="1"/>
    </xf>
    <xf borderId="0" fillId="17" fontId="29" numFmtId="0" xfId="0">
      <alignment horizontal="right" vertical="top" wrapText="1"/>
    </xf>
    <xf borderId="0" fillId="0" fontId="24" numFmtId="0" xfId="0">
      <alignment horizontal="right" vertical="top" wrapText="1"/>
    </xf>
    <xf borderId="0" fillId="0" fontId="49" numFmtId="175" xfId="0">
      <alignment horizontal="right" vertical="top" wrapText="1"/>
    </xf>
    <xf borderId="0" fillId="6" fontId="18" numFmtId="0" xfId="0">
      <alignment horizontal="center" vertical="top"/>
    </xf>
    <xf borderId="0" fillId="7" fontId="18" numFmtId="0" xfId="0">
      <alignment horizontal="center" vertical="top"/>
    </xf>
    <xf borderId="0" fillId="7" fontId="23" numFmtId="0" xfId="0">
      <alignment vertical="top"/>
    </xf>
    <xf borderId="0" fillId="6" fontId="29" numFmtId="0" xfId="0">
      <alignment horizontal="center" vertical="top"/>
    </xf>
    <xf borderId="0" fillId="0" fontId="29" numFmtId="167" xfId="0">
      <alignment vertical="top"/>
    </xf>
    <xf borderId="0" fillId="0" fontId="29" numFmtId="169" xfId="0">
      <alignment vertical="top"/>
    </xf>
    <xf borderId="0" fillId="0" fontId="29" numFmtId="9" xfId="0">
      <alignment vertical="top"/>
    </xf>
    <xf borderId="0" fillId="0" fontId="24" numFmtId="171" xfId="0">
      <alignment vertical="top"/>
    </xf>
    <xf borderId="0" fillId="2" fontId="24" numFmtId="167" xfId="0">
      <alignment vertical="top"/>
    </xf>
    <xf borderId="0" fillId="14" fontId="24" numFmtId="167" xfId="0">
      <alignment vertical="top"/>
    </xf>
    <xf borderId="0" fillId="4" fontId="24" numFmtId="167" xfId="0">
      <alignment vertical="top"/>
    </xf>
    <xf borderId="0" fillId="0" fontId="24" numFmtId="0" xfId="0">
      <alignment horizontal="center" vertical="top"/>
    </xf>
    <xf borderId="0" fillId="4" fontId="24" numFmtId="167" xfId="0">
      <alignment horizontal="center" vertical="top"/>
    </xf>
    <xf borderId="0" fillId="20" fontId="23" numFmtId="0" xfId="0">
      <alignment horizontal="center" vertical="top"/>
    </xf>
    <xf borderId="0" fillId="0" fontId="23" numFmtId="170" xfId="0">
      <alignment horizontal="center" vertical="top"/>
    </xf>
    <xf borderId="0" fillId="0" fontId="23" numFmtId="176" xfId="0">
      <alignment horizontal="center" vertical="top"/>
    </xf>
    <xf borderId="0" fillId="0" fontId="24" numFmtId="0" xfId="0">
      <alignment vertical="center"/>
    </xf>
    <xf borderId="0" fillId="0" fontId="24" numFmtId="0" xfId="0">
      <alignment horizontal="center" vertical="center"/>
    </xf>
    <xf borderId="0" fillId="5" fontId="50" numFmtId="164" xfId="0">
      <alignment horizontal="center" vertical="center" textRotation="0"/>
    </xf>
    <xf borderId="0" fillId="0" fontId="51" numFmtId="0" xfId="0">
      <alignment horizontal="center" vertical="center" wrapText="1"/>
    </xf>
    <xf borderId="0" fillId="20" fontId="24" numFmtId="0" xfId="0">
      <alignment horizontal="center" vertical="center" wrapText="1" textRotation="0"/>
    </xf>
    <xf borderId="0" fillId="0" fontId="23" numFmtId="0" xfId="0">
      <alignment horizontal="center" vertical="center" wrapText="1"/>
    </xf>
    <xf borderId="0" fillId="0" fontId="18" numFmtId="0" xfId="0">
      <alignment horizontal="center" vertical="center" wrapText="1"/>
    </xf>
    <xf borderId="0" fillId="10" fontId="29" numFmtId="164" xfId="0">
      <alignment vertical="top"/>
    </xf>
    <xf borderId="0" fillId="15" fontId="18" numFmtId="164" xfId="0">
      <alignment vertical="top"/>
    </xf>
    <xf borderId="0" fillId="15" fontId="29" numFmtId="0" xfId="0">
      <alignment vertical="top"/>
    </xf>
    <xf borderId="0" fillId="0" fontId="51" numFmtId="0" xfId="0">
      <alignment vertical="top"/>
    </xf>
    <xf borderId="0" fillId="7" fontId="51" numFmtId="0" xfId="0">
      <alignment vertical="top"/>
    </xf>
    <xf borderId="0" fillId="8" fontId="51" numFmtId="0" xfId="0">
      <alignment horizontal="center" vertical="top"/>
    </xf>
    <xf borderId="0" fillId="0" fontId="19" numFmtId="164" xfId="0">
      <alignment vertical="top"/>
    </xf>
    <xf borderId="0" fillId="8" fontId="29" numFmtId="0" xfId="0">
      <alignment horizontal="center" vertical="top"/>
    </xf>
    <xf borderId="0" fillId="0" fontId="24" numFmtId="167" xfId="0">
      <alignment vertical="top"/>
    </xf>
    <xf borderId="0" fillId="0" fontId="52" numFmtId="166" xfId="0">
      <alignment vertical="top"/>
    </xf>
    <xf borderId="0" fillId="5" fontId="29" numFmtId="0" xfId="0">
      <alignment horizontal="center" vertical="center" textRotation="0"/>
    </xf>
    <xf borderId="0" fillId="10" fontId="29" numFmtId="0" xfId="0">
      <alignment vertical="top"/>
    </xf>
    <xf borderId="1" fillId="0" fontId="23" numFmtId="0" xfId="0">
      <alignment vertical="top"/>
    </xf>
    <xf borderId="0" fillId="0" fontId="53" numFmtId="0" xfId="0">
      <alignment vertical="top"/>
    </xf>
    <xf borderId="0" fillId="0" fontId="18" numFmtId="166" xfId="0">
      <alignment vertical="top"/>
    </xf>
    <xf borderId="0" fillId="0" fontId="24" numFmtId="169" xfId="0">
      <alignment vertical="top"/>
    </xf>
    <xf borderId="0" fillId="14" fontId="24" numFmtId="167" xfId="0">
      <alignment horizontal="center" vertical="center"/>
    </xf>
    <xf borderId="0" fillId="0" fontId="28" numFmtId="0" xfId="0">
      <alignment horizontal="center" vertical="center" wrapText="1" textRotation="0"/>
    </xf>
    <xf borderId="0" fillId="0" fontId="18" numFmtId="177" xfId="0">
      <alignment horizontal="left" vertical="top"/>
    </xf>
    <xf borderId="0" fillId="0" fontId="18" numFmtId="0" xfId="0">
      <alignment horizontal="center" vertical="center"/>
    </xf>
    <xf borderId="0" fillId="0" fontId="24" numFmtId="9" xfId="0">
      <alignment vertical="center"/>
    </xf>
    <xf borderId="0" fillId="0" fontId="23" numFmtId="9" xfId="0">
      <alignment vertical="center"/>
    </xf>
    <xf borderId="0" fillId="0" fontId="24" numFmtId="169" xfId="0">
      <alignment vertical="center"/>
    </xf>
    <xf borderId="0" fillId="0" fontId="23" numFmtId="169" xfId="0">
      <alignment vertical="center"/>
    </xf>
    <xf borderId="0" fillId="0" fontId="23" numFmtId="166" xfId="0">
      <alignment vertical="center"/>
    </xf>
    <xf borderId="0" fillId="0" fontId="23" numFmtId="164" xfId="0">
      <alignment vertical="center"/>
    </xf>
    <xf borderId="0" fillId="0" fontId="54" numFmtId="0" xfId="0">
      <alignment vertical="center"/>
    </xf>
    <xf borderId="0" fillId="0" fontId="54" numFmtId="0" xfId="0">
      <alignment horizontal="center" vertical="center"/>
    </xf>
    <xf borderId="0" fillId="0" fontId="12" numFmtId="164" xfId="0">
      <alignment vertical="center"/>
    </xf>
    <xf borderId="0" fillId="7" fontId="55" numFmtId="0" xfId="0">
      <alignment vertical="center"/>
    </xf>
    <xf borderId="0" fillId="0" fontId="12" numFmtId="168" xfId="0">
      <alignment vertical="center"/>
    </xf>
    <xf borderId="0" fillId="0" fontId="6" numFmtId="0" xfId="0">
      <alignment vertical="center"/>
    </xf>
    <xf borderId="0" fillId="0" fontId="35" numFmtId="0" xfId="0">
      <alignment vertical="center"/>
    </xf>
    <xf borderId="0" fillId="11" fontId="54" numFmtId="0" xfId="0">
      <alignment vertical="center"/>
    </xf>
    <xf borderId="0" fillId="7" fontId="55" numFmtId="164" xfId="0">
      <alignment vertical="center"/>
    </xf>
    <xf borderId="0" fillId="8" fontId="54" numFmtId="0" xfId="0">
      <alignment vertical="center"/>
    </xf>
    <xf borderId="0" fillId="0" fontId="42" numFmtId="0" xfId="0">
      <alignment horizontal="right" vertical="top"/>
    </xf>
    <xf borderId="0" fillId="0" fontId="56" numFmtId="0" xfId="0">
      <alignment vertical="top"/>
    </xf>
    <xf borderId="0" fillId="0" fontId="43" numFmtId="172" xfId="0">
      <alignment horizontal="right" vertical="top"/>
    </xf>
    <xf borderId="2" fillId="2" fontId="23" numFmtId="0" xfId="0">
      <alignment horizontal="center" vertical="center" wrapText="1"/>
    </xf>
    <xf borderId="2" fillId="2" fontId="26" numFmtId="0" xfId="0">
      <alignment horizontal="center" vertical="center" wrapText="1" textRotation="0"/>
    </xf>
    <xf borderId="3" fillId="2" fontId="26" numFmtId="0" xfId="0">
      <alignment horizontal="center" vertical="center" wrapText="1" textRotation="0"/>
    </xf>
    <xf borderId="2" fillId="12" fontId="57" numFmtId="172" xfId="0">
      <alignment horizontal="center" vertical="center" wrapText="1" textRotation="0"/>
    </xf>
    <xf borderId="2" fillId="2" fontId="24" numFmtId="0" xfId="0">
      <alignment horizontal="center" vertical="center" wrapText="1" textRotation="0"/>
    </xf>
    <xf borderId="2" fillId="2" fontId="58" numFmtId="164" xfId="0">
      <alignment horizontal="center" vertical="center" wrapText="1" textRotation="0"/>
    </xf>
    <xf borderId="2" fillId="2" fontId="26" numFmtId="164" xfId="0">
      <alignment horizontal="center" vertical="center" wrapText="1" textRotation="0"/>
    </xf>
    <xf borderId="2" fillId="2" fontId="26" numFmtId="164" xfId="0">
      <alignment horizontal="right" vertical="center" wrapText="1" textRotation="0"/>
    </xf>
    <xf borderId="2" fillId="4" fontId="23" numFmtId="0" xfId="0">
      <alignment horizontal="center" vertical="center" wrapText="1"/>
    </xf>
    <xf borderId="2" fillId="0" fontId="18" numFmtId="0" xfId="0">
      <alignment vertical="top"/>
    </xf>
    <xf borderId="2" fillId="0" fontId="23" numFmtId="0" xfId="0">
      <alignment horizontal="center" vertical="center"/>
    </xf>
    <xf borderId="2" fillId="0" fontId="23" numFmtId="0" xfId="0">
      <alignment horizontal="center" vertical="center" wrapText="1"/>
    </xf>
    <xf borderId="2" fillId="4" fontId="23" numFmtId="0" xfId="0">
      <alignment horizontal="center" vertical="center"/>
    </xf>
    <xf borderId="4" fillId="0" fontId="29" numFmtId="0" xfId="0">
      <alignment vertical="center"/>
    </xf>
    <xf borderId="4" fillId="0" fontId="29" numFmtId="0" xfId="0">
      <alignment horizontal="center" vertical="center"/>
    </xf>
    <xf borderId="4" fillId="0" fontId="23" numFmtId="0" xfId="0">
      <alignment vertical="center"/>
    </xf>
    <xf borderId="4" fillId="0" fontId="43" numFmtId="175" xfId="0">
      <alignment horizontal="right" vertical="center"/>
    </xf>
    <xf borderId="5" fillId="0" fontId="43" numFmtId="172" xfId="0">
      <alignment horizontal="right" vertical="center"/>
    </xf>
    <xf borderId="4" fillId="0" fontId="19" numFmtId="0" xfId="0">
      <alignment horizontal="center" vertical="top"/>
    </xf>
    <xf borderId="6" fillId="0" fontId="18" numFmtId="0" xfId="0">
      <alignment vertical="center"/>
    </xf>
    <xf borderId="4" fillId="0" fontId="18" numFmtId="0" xfId="0">
      <alignment vertical="center"/>
    </xf>
    <xf borderId="4" fillId="0" fontId="56" numFmtId="0" xfId="0">
      <alignment vertical="center"/>
    </xf>
    <xf borderId="4" fillId="0" fontId="25" numFmtId="0" xfId="0">
      <alignment horizontal="right" vertical="center"/>
    </xf>
    <xf borderId="4" fillId="8" fontId="23" numFmtId="0" xfId="0">
      <alignment horizontal="right" vertical="center"/>
    </xf>
    <xf borderId="4" fillId="0" fontId="42" numFmtId="172" xfId="0">
      <alignment vertical="center"/>
    </xf>
    <xf borderId="4" fillId="6" fontId="29" numFmtId="0" xfId="0">
      <alignment vertical="center"/>
    </xf>
    <xf borderId="4" fillId="6" fontId="29" numFmtId="0" xfId="0">
      <alignment horizontal="center" vertical="center"/>
    </xf>
    <xf borderId="4" fillId="6" fontId="23" numFmtId="0" xfId="0">
      <alignment vertical="center"/>
    </xf>
    <xf borderId="4" fillId="6" fontId="43" numFmtId="172" xfId="0">
      <alignment horizontal="right" vertical="center"/>
    </xf>
    <xf borderId="5" fillId="6" fontId="43" numFmtId="172" xfId="0">
      <alignment horizontal="right" vertical="center"/>
    </xf>
    <xf borderId="4" fillId="6" fontId="18" numFmtId="0" xfId="0">
      <alignment horizontal="center" vertical="top"/>
    </xf>
    <xf borderId="4" fillId="0" fontId="18" numFmtId="0" xfId="0">
      <alignment horizontal="center" vertical="top"/>
    </xf>
    <xf borderId="4" fillId="6" fontId="43" numFmtId="175" xfId="0">
      <alignment horizontal="right" vertical="center"/>
    </xf>
    <xf borderId="4" fillId="0" fontId="25" numFmtId="0" xfId="0">
      <alignment horizontal="center" vertical="top"/>
    </xf>
    <xf borderId="4" fillId="18" fontId="29" numFmtId="0" xfId="0">
      <alignment vertical="center"/>
    </xf>
    <xf borderId="4" fillId="18" fontId="29" numFmtId="0" xfId="0">
      <alignment horizontal="center" vertical="center"/>
    </xf>
    <xf borderId="4" fillId="18" fontId="23" numFmtId="0" xfId="0">
      <alignment vertical="center"/>
    </xf>
    <xf borderId="4" fillId="18" fontId="43" numFmtId="175" xfId="0">
      <alignment horizontal="right" vertical="center"/>
    </xf>
    <xf borderId="5" fillId="18" fontId="43" numFmtId="172" xfId="0">
      <alignment horizontal="right" vertical="center"/>
    </xf>
    <xf borderId="6" fillId="18" fontId="18" numFmtId="0" xfId="0">
      <alignment vertical="center"/>
    </xf>
    <xf borderId="4" fillId="18" fontId="18" numFmtId="0" xfId="0">
      <alignment vertical="center"/>
    </xf>
    <xf borderId="4" fillId="18" fontId="56" numFmtId="0" xfId="0">
      <alignment vertical="center"/>
    </xf>
    <xf borderId="4" fillId="18" fontId="25" numFmtId="0" xfId="0">
      <alignment horizontal="right" vertical="center"/>
    </xf>
    <xf borderId="4" fillId="18" fontId="23" numFmtId="0" xfId="0">
      <alignment horizontal="right" vertical="center"/>
    </xf>
    <xf borderId="4" fillId="18" fontId="42" numFmtId="172" xfId="0">
      <alignment vertical="center"/>
    </xf>
    <xf borderId="0" fillId="18" fontId="59" numFmtId="0" xfId="0">
      <alignment vertical="center"/>
    </xf>
    <xf borderId="0" fillId="0" fontId="23" numFmtId="172" xfId="0">
      <alignment vertical="top"/>
    </xf>
    <xf borderId="0" fillId="0" fontId="25" numFmtId="178" xfId="0">
      <alignment vertical="top"/>
    </xf>
    <xf borderId="0" fillId="0" fontId="18" numFmtId="178" xfId="0">
      <alignment vertical="top"/>
    </xf>
    <xf borderId="4" fillId="2" fontId="23" numFmtId="0" xfId="0">
      <alignment horizontal="center" vertical="center" wrapText="1"/>
    </xf>
    <xf borderId="4" fillId="2" fontId="26" numFmtId="0" xfId="0">
      <alignment horizontal="center" vertical="center" wrapText="1" textRotation="0"/>
    </xf>
    <xf borderId="4" fillId="12" fontId="57" numFmtId="172" xfId="0">
      <alignment horizontal="center" vertical="center" wrapText="1" textRotation="0"/>
    </xf>
    <xf borderId="4" fillId="2" fontId="58" numFmtId="164" xfId="0">
      <alignment horizontal="center" vertical="center" wrapText="1" textRotation="0"/>
    </xf>
    <xf borderId="4" fillId="2" fontId="26" numFmtId="164" xfId="0">
      <alignment horizontal="center" vertical="center" wrapText="1" textRotation="0"/>
    </xf>
    <xf borderId="4" fillId="2" fontId="26" numFmtId="164" xfId="0">
      <alignment horizontal="right" vertical="center" wrapText="1" textRotation="0"/>
    </xf>
    <xf borderId="4" fillId="4" fontId="23" numFmtId="0" xfId="0">
      <alignment horizontal="center" vertical="center" wrapText="1"/>
    </xf>
    <xf borderId="4" fillId="0" fontId="18" numFmtId="0" xfId="0">
      <alignment vertical="top"/>
    </xf>
    <xf borderId="4" fillId="0" fontId="23" numFmtId="0" xfId="0">
      <alignment horizontal="center" vertical="center"/>
    </xf>
    <xf borderId="4" fillId="0" fontId="23" numFmtId="0" xfId="0">
      <alignment horizontal="center" vertical="center" wrapText="1"/>
    </xf>
    <xf borderId="4" fillId="4" fontId="23" numFmtId="0" xfId="0">
      <alignment horizontal="center" vertical="center"/>
    </xf>
    <xf borderId="7" fillId="12" fontId="57" numFmtId="172" xfId="0">
      <alignment horizontal="center" vertical="center" wrapText="1" textRotation="0"/>
    </xf>
    <xf borderId="4" fillId="0" fontId="23" numFmtId="0" xfId="0">
      <alignment vertical="top"/>
    </xf>
    <xf borderId="4" fillId="0" fontId="43" numFmtId="175" xfId="0">
      <alignment horizontal="right" vertical="top"/>
    </xf>
    <xf borderId="4" fillId="0" fontId="43" numFmtId="172" xfId="0">
      <alignment horizontal="right" vertical="top"/>
    </xf>
    <xf borderId="4" fillId="0" fontId="56" numFmtId="164" xfId="0">
      <alignment vertical="top"/>
    </xf>
    <xf borderId="5" fillId="0" fontId="25" numFmtId="0" xfId="0">
      <alignment horizontal="right" vertical="center"/>
    </xf>
    <xf borderId="4" fillId="8" fontId="23" numFmtId="0" xfId="0">
      <alignment vertical="top"/>
    </xf>
    <xf borderId="6" fillId="0" fontId="18" numFmtId="0" xfId="0">
      <alignment vertical="top"/>
    </xf>
    <xf borderId="4" fillId="6" fontId="18" numFmtId="0" xfId="0">
      <alignment vertical="top"/>
    </xf>
    <xf borderId="4" fillId="6" fontId="23" numFmtId="0" xfId="0">
      <alignment vertical="top"/>
    </xf>
    <xf borderId="4" fillId="6" fontId="43" numFmtId="172" xfId="0">
      <alignment horizontal="right" vertical="top"/>
    </xf>
    <xf borderId="4" fillId="6" fontId="43" numFmtId="175" xfId="0">
      <alignment horizontal="right" vertical="top"/>
    </xf>
    <xf borderId="2" fillId="0" fontId="18" numFmtId="0" xfId="0">
      <alignment horizontal="center" vertical="top"/>
    </xf>
    <xf borderId="2" fillId="0" fontId="23" numFmtId="0" xfId="0">
      <alignment vertical="top"/>
    </xf>
    <xf borderId="2" fillId="0" fontId="43" numFmtId="175" xfId="0">
      <alignment horizontal="right" vertical="top"/>
    </xf>
    <xf borderId="2" fillId="0" fontId="43" numFmtId="172" xfId="0">
      <alignment horizontal="right" vertical="top"/>
    </xf>
    <xf borderId="2" fillId="0" fontId="56" numFmtId="164" xfId="0">
      <alignment vertical="top"/>
    </xf>
    <xf borderId="3" fillId="0" fontId="25" numFmtId="0" xfId="0">
      <alignment horizontal="right" vertical="center"/>
    </xf>
    <xf borderId="2" fillId="8" fontId="23" numFmtId="0" xfId="0">
      <alignment vertical="top"/>
    </xf>
    <xf borderId="8" fillId="0" fontId="18" numFmtId="0" xfId="0">
      <alignment vertical="top"/>
    </xf>
    <xf borderId="2" fillId="0" fontId="42" numFmtId="172" xfId="0">
      <alignment vertical="center"/>
    </xf>
    <xf borderId="4" fillId="18" fontId="18" numFmtId="0" xfId="0">
      <alignment vertical="top"/>
    </xf>
    <xf borderId="4" fillId="18" fontId="18" numFmtId="0" xfId="0">
      <alignment horizontal="center" vertical="top"/>
    </xf>
    <xf borderId="4" fillId="18" fontId="23" numFmtId="0" xfId="0">
      <alignment vertical="top"/>
    </xf>
    <xf borderId="4" fillId="18" fontId="43" numFmtId="175" xfId="0">
      <alignment horizontal="right" vertical="top"/>
    </xf>
    <xf borderId="4" fillId="18" fontId="43" numFmtId="172" xfId="0">
      <alignment horizontal="right" vertical="top"/>
    </xf>
    <xf borderId="4" fillId="18" fontId="56" numFmtId="164" xfId="0">
      <alignment vertical="top"/>
    </xf>
    <xf borderId="7" fillId="0" fontId="18" numFmtId="0" xfId="0">
      <alignment vertical="top"/>
    </xf>
    <xf borderId="7" fillId="0" fontId="18" numFmtId="0" xfId="0">
      <alignment horizontal="center" vertical="top"/>
    </xf>
    <xf borderId="7" fillId="0" fontId="23" numFmtId="0" xfId="0">
      <alignment vertical="top"/>
    </xf>
    <xf borderId="7" fillId="0" fontId="43" numFmtId="175" xfId="0">
      <alignment horizontal="right" vertical="top"/>
    </xf>
    <xf borderId="7" fillId="0" fontId="43" numFmtId="172" xfId="0">
      <alignment horizontal="right" vertical="top"/>
    </xf>
    <xf borderId="7" fillId="0" fontId="56" numFmtId="164" xfId="0">
      <alignment vertical="top"/>
    </xf>
    <xf borderId="9" fillId="0" fontId="25" numFmtId="0" xfId="0">
      <alignment horizontal="right" vertical="center"/>
    </xf>
    <xf borderId="7" fillId="8" fontId="23" numFmtId="0" xfId="0">
      <alignment vertical="top"/>
    </xf>
    <xf borderId="10" fillId="0" fontId="18" numFmtId="0" xfId="0">
      <alignment vertical="top"/>
    </xf>
    <xf borderId="7" fillId="0" fontId="42" numFmtId="172" xfId="0">
      <alignment vertical="center"/>
    </xf>
    <xf borderId="4" fillId="2" fontId="24" numFmtId="0" xfId="0">
      <alignment horizontal="center" vertical="center" wrapText="1" textRotation="0"/>
    </xf>
    <xf borderId="5" fillId="0" fontId="18" numFmtId="0" xfId="0">
      <alignment vertical="top"/>
    </xf>
    <xf borderId="4" fillId="0" fontId="56" numFmtId="0" xfId="0">
      <alignment vertical="top"/>
    </xf>
    <xf borderId="4" fillId="8" fontId="23" numFmtId="0" xfId="0">
      <alignment horizontal="right" vertical="top"/>
    </xf>
    <xf borderId="4" fillId="18" fontId="56" numFmtId="0" xfId="0">
      <alignment vertical="top"/>
    </xf>
    <xf borderId="4" fillId="18" fontId="23" numFmtId="0" xfId="0">
      <alignment horizontal="right" vertical="top"/>
    </xf>
    <xf borderId="4" fillId="0" fontId="42" numFmtId="175" xfId="0">
      <alignment horizontal="right" vertical="top"/>
    </xf>
    <xf borderId="4" fillId="0" fontId="18" numFmtId="0" xfId="0">
      <alignment horizontal="right" vertical="top"/>
    </xf>
    <xf borderId="4" fillId="0" fontId="25" numFmtId="0" xfId="0">
      <alignment horizontal="right" vertical="top"/>
    </xf>
    <xf borderId="4" fillId="0" fontId="42" numFmtId="0" xfId="0">
      <alignment vertical="top"/>
    </xf>
    <xf borderId="4" fillId="0" fontId="42" numFmtId="0" xfId="0">
      <alignment horizontal="right" vertical="top"/>
    </xf>
    <xf borderId="4" fillId="18" fontId="25" numFmtId="0" xfId="0">
      <alignment horizontal="right" vertical="top"/>
    </xf>
    <xf borderId="4" fillId="18" fontId="42" numFmtId="0" xfId="0">
      <alignment vertical="top"/>
    </xf>
    <xf borderId="0" fillId="10" fontId="18" numFmtId="178" xfId="0">
      <alignment vertical="top"/>
    </xf>
    <xf borderId="0" fillId="7" fontId="23" numFmtId="0" xfId="0">
      <alignment vertical="center"/>
    </xf>
    <xf borderId="4" fillId="0" fontId="25" numFmtId="0" xfId="0">
      <alignment vertical="top"/>
    </xf>
    <xf borderId="4" fillId="0" fontId="42" numFmtId="172" xfId="0">
      <alignment vertical="top"/>
    </xf>
    <xf borderId="0" fillId="0" fontId="18" numFmtId="168" xfId="0">
      <alignment vertical="top"/>
    </xf>
    <xf borderId="4" fillId="0" fontId="18" numFmtId="164" xfId="0">
      <alignment vertical="top"/>
    </xf>
    <xf borderId="2" fillId="2" fontId="60" numFmtId="164" xfId="0">
      <alignment horizontal="center" vertical="center" wrapText="1" textRotation="0"/>
    </xf>
    <xf borderId="4" fillId="21" fontId="18" numFmtId="0" xfId="0">
      <alignment vertical="top"/>
    </xf>
    <xf borderId="4" fillId="21" fontId="18" numFmtId="0" xfId="0">
      <alignment horizontal="center" vertical="top"/>
    </xf>
    <xf borderId="4" fillId="21" fontId="23" numFmtId="0" xfId="0">
      <alignment vertical="top"/>
    </xf>
    <xf borderId="4" fillId="21" fontId="43" numFmtId="172" xfId="0">
      <alignment horizontal="right" vertical="top"/>
    </xf>
    <xf borderId="4" fillId="21" fontId="18" numFmtId="0" xfId="0">
      <alignment horizontal="right" vertical="top"/>
    </xf>
    <xf borderId="4" fillId="21" fontId="61" numFmtId="0" xfId="0">
      <alignment horizontal="right" vertical="top"/>
    </xf>
    <xf borderId="4" fillId="21" fontId="25" numFmtId="0" xfId="0">
      <alignment horizontal="right" vertical="top"/>
    </xf>
    <xf borderId="4" fillId="8" fontId="25" numFmtId="0" xfId="0">
      <alignment horizontal="right" vertical="top"/>
    </xf>
    <xf borderId="4" fillId="21" fontId="25" numFmtId="0" xfId="0">
      <alignment horizontal="left" vertical="top"/>
    </xf>
    <xf borderId="4" fillId="21" fontId="42" numFmtId="172" xfId="0">
      <alignment vertical="top"/>
    </xf>
    <xf borderId="4" fillId="0" fontId="61" numFmtId="0" xfId="0">
      <alignment horizontal="right" vertical="top"/>
    </xf>
    <xf borderId="4" fillId="0" fontId="25" numFmtId="0" xfId="0">
      <alignment horizontal="left" vertical="top"/>
    </xf>
    <xf borderId="4" fillId="10" fontId="18" numFmtId="0" xfId="0">
      <alignment horizontal="center" vertical="top"/>
    </xf>
    <xf borderId="4" fillId="0" fontId="56" numFmtId="0" xfId="0">
      <alignment horizontal="center" vertical="top"/>
    </xf>
    <xf borderId="4" fillId="7" fontId="25" numFmtId="0" xfId="0">
      <alignment horizontal="left" vertical="top"/>
    </xf>
    <xf borderId="5" fillId="0" fontId="42" numFmtId="172" xfId="0">
      <alignment vertical="top"/>
    </xf>
    <xf borderId="4" fillId="7" fontId="18" numFmtId="0" xfId="0">
      <alignment vertical="top"/>
    </xf>
    <xf borderId="4" fillId="7" fontId="18" numFmtId="0" xfId="0">
      <alignment horizontal="center" vertical="top"/>
    </xf>
    <xf borderId="4" fillId="21" fontId="56" numFmtId="0" xfId="0">
      <alignment horizontal="center" vertical="top"/>
    </xf>
    <xf borderId="2" fillId="0" fontId="56" numFmtId="0" xfId="0">
      <alignment vertical="top"/>
    </xf>
    <xf borderId="2" fillId="0" fontId="18" numFmtId="0" xfId="0">
      <alignment horizontal="right" vertical="top"/>
    </xf>
    <xf borderId="2" fillId="0" fontId="61" numFmtId="0" xfId="0">
      <alignment horizontal="right" vertical="top"/>
    </xf>
    <xf borderId="2" fillId="0" fontId="25" numFmtId="0" xfId="0">
      <alignment horizontal="right" vertical="top"/>
    </xf>
    <xf borderId="2" fillId="8" fontId="25" numFmtId="0" xfId="0">
      <alignment horizontal="right" vertical="top"/>
    </xf>
    <xf borderId="2" fillId="0" fontId="42" numFmtId="172" xfId="0">
      <alignment vertical="top"/>
    </xf>
    <xf borderId="2" fillId="0" fontId="25" numFmtId="0" xfId="0">
      <alignment horizontal="left" vertical="top"/>
    </xf>
    <xf borderId="7" fillId="21" fontId="18" numFmtId="0" xfId="0">
      <alignment vertical="top"/>
    </xf>
    <xf borderId="7" fillId="21" fontId="18" numFmtId="0" xfId="0">
      <alignment horizontal="center" vertical="top"/>
    </xf>
    <xf borderId="7" fillId="21" fontId="23" numFmtId="0" xfId="0">
      <alignment vertical="top"/>
    </xf>
    <xf borderId="7" fillId="21" fontId="43" numFmtId="172" xfId="0">
      <alignment horizontal="right" vertical="top"/>
    </xf>
    <xf borderId="7" fillId="21" fontId="56" numFmtId="0" xfId="0">
      <alignment horizontal="center" vertical="top"/>
    </xf>
    <xf borderId="7" fillId="21" fontId="18" numFmtId="0" xfId="0">
      <alignment horizontal="right" vertical="top"/>
    </xf>
    <xf borderId="7" fillId="21" fontId="61" numFmtId="0" xfId="0">
      <alignment horizontal="right" vertical="top"/>
    </xf>
    <xf borderId="7" fillId="21" fontId="25" numFmtId="0" xfId="0">
      <alignment horizontal="right" vertical="top"/>
    </xf>
    <xf borderId="7" fillId="21" fontId="19" numFmtId="0" xfId="0">
      <alignment vertical="top"/>
    </xf>
    <xf borderId="7" fillId="21" fontId="42" numFmtId="172" xfId="0">
      <alignment vertical="top"/>
    </xf>
    <xf borderId="4" fillId="21" fontId="19" numFmtId="0" xfId="0">
      <alignment vertical="top"/>
    </xf>
    <xf borderId="4" fillId="21" fontId="23" numFmtId="0" xfId="0">
      <alignment horizontal="center" vertical="top"/>
    </xf>
    <xf borderId="4" fillId="21" fontId="29" numFmtId="0" xfId="0">
      <alignment horizontal="left" vertical="top"/>
    </xf>
    <xf borderId="4" fillId="21" fontId="29" numFmtId="0" xfId="0">
      <alignment horizontal="center" vertical="top"/>
    </xf>
    <xf borderId="4" fillId="21" fontId="29" numFmtId="0" xfId="0">
      <alignment horizontal="right" vertical="top"/>
    </xf>
    <xf borderId="4" fillId="21" fontId="44" numFmtId="0" xfId="0">
      <alignment horizontal="right" vertical="top"/>
    </xf>
    <xf borderId="4" fillId="21" fontId="62" numFmtId="0" xfId="0">
      <alignment horizontal="center" vertical="top"/>
    </xf>
    <xf borderId="4" fillId="21" fontId="28" numFmtId="0" xfId="0">
      <alignment horizontal="right" vertical="top"/>
    </xf>
    <xf borderId="4" fillId="21" fontId="44" numFmtId="0" xfId="0">
      <alignment horizontal="left" vertical="top"/>
    </xf>
    <xf borderId="4" fillId="21" fontId="43" numFmtId="172" xfId="0">
      <alignment vertical="top"/>
    </xf>
    <xf borderId="4" fillId="21" fontId="44" numFmtId="175" xfId="0">
      <alignment horizontal="right" vertical="top"/>
    </xf>
    <xf borderId="4" fillId="21" fontId="28" numFmtId="0" xfId="0">
      <alignment horizontal="center" vertical="top"/>
    </xf>
    <xf borderId="4" fillId="2" fontId="60" numFmtId="164" xfId="0">
      <alignment horizontal="center" vertical="center" wrapText="1" textRotation="0"/>
    </xf>
    <xf borderId="4" fillId="9" fontId="18" numFmtId="0" xfId="0">
      <alignment horizontal="center" vertical="top"/>
    </xf>
    <xf borderId="4" fillId="0" fontId="22" numFmtId="0" xfId="0">
      <alignment vertical="top"/>
    </xf>
    <xf borderId="5" fillId="0" fontId="25" numFmtId="0" xfId="0">
      <alignment vertical="top"/>
    </xf>
    <xf borderId="4" fillId="0" fontId="63" numFmtId="0" xfId="0">
      <alignment vertical="top"/>
    </xf>
    <xf borderId="5" fillId="0" fontId="25" numFmtId="0" xfId="0">
      <alignment horizontal="right" vertical="top"/>
    </xf>
    <xf borderId="0" fillId="0" fontId="43" numFmtId="172" xfId="0">
      <alignment horizontal="right" vertical="center"/>
    </xf>
    <xf borderId="0" fillId="0" fontId="23" numFmtId="172" xfId="0">
      <alignment horizontal="right" vertical="top"/>
    </xf>
    <xf borderId="0" fillId="0" fontId="12" numFmtId="0" xfId="0">
      <alignment horizontal="left" vertical="top"/>
    </xf>
    <xf borderId="0" fillId="8" fontId="41" numFmtId="0" xfId="0">
      <alignment horizontal="left" vertical="top"/>
    </xf>
    <xf borderId="0" fillId="8" fontId="5" numFmtId="0" xfId="0">
      <alignment horizontal="left" vertical="top"/>
    </xf>
    <xf borderId="0" fillId="0" fontId="41" numFmtId="0" xfId="0">
      <alignment horizontal="left" vertical="top"/>
    </xf>
    <xf borderId="0" fillId="0" fontId="17" numFmtId="0" xfId="0">
      <alignment vertical="bottom"/>
    </xf>
    <xf borderId="0" fillId="0" fontId="64" numFmtId="0" xfId="0">
      <alignment horizontal="left" vertical="top"/>
    </xf>
    <xf borderId="0" fillId="22" fontId="24" numFmtId="0" xfId="0">
      <alignment horizontal="center" vertical="center" wrapText="1"/>
    </xf>
    <xf borderId="0" fillId="22" fontId="24" numFmtId="0" xfId="0">
      <alignment horizontal="center" vertical="center"/>
    </xf>
    <xf borderId="0" fillId="6" fontId="23" numFmtId="0" xfId="0">
      <alignment horizontal="center" vertical="center"/>
    </xf>
    <xf borderId="0" fillId="0" fontId="29" numFmtId="179" xfId="0">
      <alignment horizontal="center" vertical="top"/>
    </xf>
    <xf borderId="0" fillId="0" fontId="65" numFmtId="0" xfId="0">
      <alignment vertical="top"/>
    </xf>
    <xf borderId="0" fillId="0" fontId="66" numFmtId="0" xfId="0">
      <alignment horizontal="center" vertical="top"/>
    </xf>
    <xf borderId="0" fillId="0" fontId="29" numFmtId="180" xfId="0">
      <alignment horizontal="center" vertical="top"/>
    </xf>
    <xf borderId="0" fillId="0" fontId="29" numFmtId="181" xfId="0">
      <alignment horizontal="center" vertical="top"/>
    </xf>
    <xf borderId="0" fillId="18" fontId="29" numFmtId="179" xfId="0">
      <alignment horizontal="center" vertical="top"/>
    </xf>
    <xf borderId="0" fillId="18" fontId="29" numFmtId="0" xfId="0">
      <alignment horizontal="center" vertical="top"/>
    </xf>
    <xf borderId="0" fillId="18" fontId="29" numFmtId="0" xfId="0">
      <alignment vertical="top"/>
    </xf>
    <xf borderId="0" fillId="18" fontId="61" numFmtId="0" xfId="0">
      <alignment vertical="top"/>
    </xf>
    <xf borderId="0" fillId="0" fontId="61" numFmtId="0" xfId="0">
      <alignment vertical="top"/>
    </xf>
    <xf borderId="0" fillId="0" fontId="29" numFmtId="182" xfId="0">
      <alignment horizontal="center" vertical="top"/>
    </xf>
    <xf borderId="0" fillId="0" fontId="67" numFmtId="0" xfId="0">
      <alignment vertical="top"/>
    </xf>
    <xf borderId="0" fillId="0" fontId="30" numFmtId="0" xfId="0">
      <alignment vertical="top" wrapText="1"/>
    </xf>
    <xf borderId="4" fillId="0" fontId="30" numFmtId="0" xfId="0">
      <alignment horizontal="center" vertical="top"/>
    </xf>
    <xf borderId="0" fillId="0" fontId="30" numFmtId="0" xfId="0">
      <alignment vertical="top"/>
    </xf>
    <xf borderId="4" fillId="23" fontId="30" numFmtId="0" xfId="0">
      <alignment horizontal="center" vertical="top"/>
    </xf>
    <xf borderId="4" fillId="0" fontId="68" numFmtId="0" xfId="0">
      <alignment vertical="top" wrapText="1"/>
    </xf>
    <xf borderId="4" fillId="0" fontId="68" numFmtId="0" xfId="0">
      <alignment horizontal="center" vertical="top" wrapText="1"/>
    </xf>
    <xf borderId="7" fillId="0" fontId="68" numFmtId="0" xfId="0">
      <alignment horizontal="right" vertical="top" wrapText="1"/>
    </xf>
    <xf borderId="4" fillId="0" fontId="68" numFmtId="0" xfId="0">
      <alignment horizontal="right" vertical="top" wrapText="1"/>
    </xf>
    <xf borderId="4" fillId="9" fontId="68" numFmtId="0" xfId="0">
      <alignment vertical="top" wrapText="1"/>
    </xf>
    <xf borderId="4" fillId="9" fontId="68" numFmtId="0" xfId="0">
      <alignment horizontal="center" vertical="top" wrapText="1"/>
    </xf>
    <xf borderId="4" fillId="9" fontId="68" numFmtId="0" xfId="0">
      <alignment horizontal="right" vertical="top" wrapText="1"/>
    </xf>
    <xf borderId="4" fillId="24" fontId="68" numFmtId="0" xfId="0">
      <alignment vertical="top" wrapText="1"/>
    </xf>
    <xf borderId="4" fillId="24" fontId="68" numFmtId="0" xfId="0">
      <alignment horizontal="center" vertical="top" wrapText="1"/>
    </xf>
    <xf borderId="4" fillId="24" fontId="68" numFmtId="0" xfId="0">
      <alignment horizontal="right" vertical="top" wrapText="1"/>
    </xf>
    <xf borderId="0" fillId="24" fontId="30" numFmtId="0" xfId="0">
      <alignment vertical="top"/>
    </xf>
    <xf borderId="0" fillId="0" fontId="6" numFmtId="0" xfId="0">
      <alignment horizontal="right" vertical="top" wrapText="1"/>
    </xf>
    <xf borderId="0" fillId="0" fontId="6" numFmtId="0" xfId="0">
      <alignment horizontal="center" vertical="top"/>
    </xf>
    <xf borderId="0" fillId="0" fontId="6" numFmtId="0" xfId="0">
      <alignment vertical="top"/>
    </xf>
    <xf borderId="0" fillId="0" fontId="54" numFmtId="0" xfId="0">
      <alignment vertical="top"/>
    </xf>
    <xf borderId="0" fillId="0" fontId="12" numFmtId="166" xfId="0">
      <alignment vertical="top"/>
    </xf>
    <xf borderId="0" fillId="0" fontId="5" numFmtId="166" xfId="0">
      <alignment vertical="top"/>
    </xf>
    <xf borderId="0" fillId="0" fontId="5" numFmtId="169" xfId="0">
      <alignment vertical="top"/>
    </xf>
    <xf borderId="0" fillId="0" fontId="5" numFmtId="0" xfId="0">
      <alignment vertical="top" wrapText="1"/>
    </xf>
    <xf borderId="0" fillId="0" fontId="69" numFmtId="0" xfId="0">
      <alignment horizontal="center" vertical="top"/>
    </xf>
    <xf borderId="0" fillId="0" fontId="12" numFmtId="0" xfId="0">
      <alignment horizontal="right" vertical="top"/>
    </xf>
    <xf borderId="0" fillId="0" fontId="12" numFmtId="183" xfId="0">
      <alignment horizontal="right" vertical="top"/>
    </xf>
    <xf borderId="0" fillId="7" fontId="69" numFmtId="184" xfId="0">
      <alignment horizontal="center" vertical="top"/>
    </xf>
    <xf borderId="0" fillId="0" fontId="5" numFmtId="183" xfId="0">
      <alignment horizontal="right" vertical="top"/>
    </xf>
  </cellXfs>
  <cellStyles count="1">
    <cellStyle name="Normal" xfId="0" builtinId="0" customBuiltin="1"/>
  </cellStyles>
  <dxfs count="13"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8CDCF"/>
          <bgColor rgb="FFF8CDCF"/>
        </patternFill>
      </fill>
    </dxf>
    <dxf>
      <font>
        <color rgb="FFE7484D"/>
      </font>
      <fill>
        <patternFill patternType="solid">
          <fgColor rgb="FFF8CDCF"/>
          <bgColor rgb="FFF8CDCF"/>
        </patternFill>
      </fill>
    </dxf>
    <dxf>
      <font>
        <b/>
      </font>
      <fill>
        <patternFill patternType="solid">
          <fgColor rgb="FF9BDEB4"/>
          <bgColor rgb="FF9BDEB4"/>
        </patternFill>
      </fill>
    </dxf>
    <dxf>
      <fill>
        <patternFill patternType="solid">
          <fgColor rgb="FFD6EAF8"/>
          <bgColor rgb="FFD6EAF8"/>
        </patternFill>
      </fill>
    </dxf>
    <dxf>
      <font>
        <b/>
        <color rgb="FFE7484D"/>
      </font>
      <fill>
        <patternFill patternType="solid">
          <fgColor rgb="FFF8CDCF"/>
          <bgColor rgb="FFF8CDCF"/>
        </patternFill>
      </fill>
    </dxf>
    <dxf>
      <fill>
        <patternFill patternType="solid">
          <fgColor rgb="FFFCF3CF"/>
          <bgColor rgb="FFFCF3C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307BBB"/>
      </font>
      <fill>
        <patternFill patternType="solid">
          <fgColor rgb="FFD1E8FB"/>
          <bgColor rgb="FFD1E8FB"/>
        </patternFill>
      </fill>
    </dxf>
    <dxf>
      <fill>
        <patternFill patternType="solid">
          <fgColor rgb="FF9BDEB4"/>
          <bgColor rgb="FF9BDEB4"/>
        </patternFill>
      </fill>
    </dxf>
    <dxf>
      <font>
        <b/>
      </font>
      <fill>
        <patternFill patternType="solid">
          <fgColor rgb="FFF8CDCF"/>
          <bgColor rgb="FFF8CDCF"/>
        </patternFill>
      </fill>
    </dxf>
    <dxf>
      <font>
        <b/>
        <color rgb="FFFF0000"/>
      </font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worksheets/sheet5.xml" Id="rId5" Type="http://schemas.openxmlformats.org/officeDocument/2006/relationships/worksheet"/><Relationship Target="worksheets/sheet6.xml" Id="rId6" Type="http://schemas.openxmlformats.org/officeDocument/2006/relationships/worksheet"/><Relationship Target="worksheets/sheet7.xml" Id="rId7" Type="http://schemas.openxmlformats.org/officeDocument/2006/relationships/worksheet"/><Relationship Target="worksheets/sheet8.xml" Id="rId8" Type="http://schemas.openxmlformats.org/officeDocument/2006/relationships/worksheet"/><Relationship Target="worksheets/sheet9.xml" Id="rId9" Type="http://schemas.openxmlformats.org/officeDocument/2006/relationships/worksheet"/><Relationship Target="worksheets/sheet10.xml" Id="rId10" Type="http://schemas.openxmlformats.org/officeDocument/2006/relationships/worksheet"/><Relationship Target="worksheets/sheet11.xml" Id="rId11" Type="http://schemas.openxmlformats.org/officeDocument/2006/relationships/worksheet"/><Relationship Target="worksheets/sheet12.xml" Id="rId12" Type="http://schemas.openxmlformats.org/officeDocument/2006/relationships/worksheet"/><Relationship Target="worksheets/sheet13.xml" Id="rId13" Type="http://schemas.openxmlformats.org/officeDocument/2006/relationships/worksheet"/><Relationship Target="worksheets/sheet14.xml" Id="rId14" Type="http://schemas.openxmlformats.org/officeDocument/2006/relationships/worksheet"/><Relationship Target="worksheets/sheet15.xml" Id="rId15" Type="http://schemas.openxmlformats.org/officeDocument/2006/relationships/worksheet"/><Relationship Target="worksheets/sheet16.xml" Id="rId16" Type="http://schemas.openxmlformats.org/officeDocument/2006/relationships/worksheet"/><Relationship Target="worksheets/sheet17.xml" Id="rId17" Type="http://schemas.openxmlformats.org/officeDocument/2006/relationships/worksheet"/><Relationship Target="sharedStrings.xml" Id="rId18" Type="http://schemas.openxmlformats.org/officeDocument/2006/relationships/sharedStrings"/><Relationship Target="styles.xml" Id="rId19" Type="http://schemas.openxmlformats.org/officeDocument/2006/relationships/styles"/></Relationships>
</file>

<file path=xl/drawings/vmlDrawing1.xml><?xml version="1.0" encoding="utf-8"?>
<xml xmlns:v="urn:schemas-microsoft-com:vml" xmlns:o="urn:schemas-microsoft-com:office:office" xmlns:x="urn:schemas-microsoft-com:office:excel" xmlns:w10="urn:schemas-microsoft-com:office:word">
  <v:shapetype id="_x005F_x0000_t202" coordsize="21600,21600" o:spt="202" path="m,l,21600l21600,21600l21600,xe">
    <v:stroke joinstyle="miter"/>
    <v:path gradientshapeok="t" o:connecttype="rect"/>
  </v:shapetype>
  <v:shape id="shape_1" fillcolor="#ffffc0" stroked="t" type="_x005F_x0000_t202" style="position:absolute;margin-left:97pt;margin-top:0pt;width:82.15pt;height:17.3pt;visibility:hidden">
    <v:shadow on="t" obscured="t" color="black"/>
    <w10:wrap type="none"/>
    <v:fill o:detectmouseclick="t" type="solid" color2="#00003f"/>
    <v:stroke color="#3465a4" startarrow="block" startarrowwidth="medium" startarrowlength="medium" joinstyle="round" endcap="flat"/>
    <x:ClientData ObjectType="Note">
      <x:MoveWithCells/>
      <x:SizeWithCells/>
      <x:Anchor>0, 0, 0, 0, 3, 0, 10, 0</x:Anchor>
      <x:AutoFill>False</x:AutoFill>
      <x:Row>34</x:Row>
      <x:Column>2</x:Column>
    </x:ClientData>
  </v:shape>
</xml>
</file>

<file path=xl/worksheets/_rels/sheet10.xml.rels><?xml version="1.0" encoding="UTF-8" standalone="yes"?><Relationships xmlns="http://schemas.openxmlformats.org/package/2006/relationships"><Relationship Target="../comments1.xml" Id="rId1" Type="http://schemas.openxmlformats.org/officeDocument/2006/relationships/comments"/><Relationship Target="../drawings/vmlDrawing1.xml" Id="rId2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C109"/>
  <sheetViews>
    <sheetView workbookViewId="0">
      <pane xSplit="4" ySplit="6" topLeftCell="E7" state="frozen"/>
    </sheetView>
  </sheetViews>
  <sheetFormatPr defaultRowHeight="14.0" customHeight="1"/>
  <cols>
    <col min="1" max="1" style="1" width="28.08"/>
    <col min="2" max="2" style="1" width="13.24"/>
    <col min="3" max="3" style="1" width="49.28"/>
    <col min="4" max="4" style="1" width="12.71"/>
    <col min="5" max="5" hidden="1" style="1" width="0.0" outlineLevel="2"/>
    <col min="6" max="6" hidden="1" style="1" width="0.0" outlineLevel="2"/>
    <col min="7" max="8" hidden="1" style="1" width="0.0" outlineLevel="2"/>
    <col min="9" max="9" hidden="1" style="1" width="0.0" outlineLevel="2"/>
    <col min="10" max="11" hidden="1" style="1" width="0.0" outlineLevel="2"/>
    <col min="12" max="12" hidden="1" style="1" width="0.0" outlineLevel="2"/>
    <col min="13" max="13" hidden="1" style="1" width="0.0" outlineLevel="2"/>
    <col min="14" max="14" hidden="1" style="1" width="0.0" outlineLevel="2"/>
    <col min="15" max="15" hidden="1" style="1" width="0.0" outlineLevel="1"/>
    <col min="16" max="16" hidden="1" style="1" width="0.0" outlineLevel="1"/>
    <col min="17" max="17" hidden="1" style="1" width="0.0" outlineLevel="1"/>
    <col min="18" max="18" hidden="1" style="1" width="0.0" outlineLevel="1"/>
    <col min="19" max="20" hidden="1" style="1" width="0.0" outlineLevel="1"/>
    <col min="21" max="21" hidden="1" style="1" width="0.0" outlineLevel="1"/>
    <col min="22" max="23" hidden="1" style="1" width="0.0" outlineLevel="1"/>
    <col min="24" max="24" hidden="1" style="1" width="0.0" outlineLevel="1"/>
    <col min="25" max="25" hidden="1" style="1" width="0.0" outlineLevel="1"/>
    <col min="26" max="26" hidden="1" style="1" width="0.0" outlineLevel="1"/>
    <col min="27" max="27" hidden="1" style="1" width="0.0" outlineLevel="1"/>
    <col min="28" max="28" hidden="1" style="1" width="0.0" outlineLevel="1"/>
    <col min="29" max="29" style="1" width="7.28" collapsed="1"/>
    <col min="30" max="30" style="1" width="6.49"/>
    <col min="31" max="32" style="1" width="8.21"/>
    <col min="33" max="33" style="1" width="7.94"/>
    <col min="34" max="35" style="1" width="8.21"/>
    <col min="36" max="36" style="1" width="7.28"/>
    <col min="37" max="37" style="1" width="8.08"/>
    <col min="38" max="38" style="1" width="8.21"/>
    <col min="39" max="40" style="1" width="8.21"/>
    <col min="41" max="43" style="2" width="8.61"/>
    <col min="44" max="44" style="3" width="7.81"/>
    <col min="45" max="45" style="3" width="8.47"/>
    <col min="46" max="46" style="3" width="7.28"/>
    <col min="47" max="47" style="3" width="6.49"/>
    <col min="48" max="49" style="3" width="8.21"/>
    <col min="50" max="51" style="2" width="9.67"/>
    <col min="52" max="53" style="1" width="13.24"/>
    <col min="54" max="54" style="4" width="10.06"/>
    <col min="55" max="55" style="1" width="6.62"/>
    <col min="56" max="56" style="5" width="12.05"/>
    <col min="57" max="57" style="6" width="21.86"/>
    <col min="58" max="58" style="1" width="8.87"/>
    <col min="59" max="76" style="1" width="7.41"/>
    <col min="77" max="77" style="1" width="4.5"/>
    <col min="78" max="78" style="1" width="10.73"/>
    <col min="79" max="80" style="1" width="5.82"/>
    <col min="81" max="81" style="1" width="11.52"/>
    <col min="82" max="1019" style="1" width="13.24"/>
    <col min="1020" max="1023" width="13.24"/>
    <col min="1024" max="1025" width="13.24"/>
  </cols>
  <sheetData>
    <row r="1">
      <c r="C1" s="1" t="s">
        <v>0</v>
      </c>
      <c r="AO1" s="7"/>
      <c r="AP1" s="7"/>
      <c r="AQ1" s="7"/>
      <c r="BB1" s="8"/>
      <c r="BE1" s="9"/>
    </row>
    <row r="2">
      <c r="AO2" s="7"/>
      <c r="AP2" s="7"/>
      <c r="AQ2" s="7"/>
      <c r="BB2" s="8"/>
      <c r="BE2" s="9"/>
    </row>
    <row r="3">
      <c r="AO3" s="7"/>
      <c r="AP3" s="7"/>
      <c r="AQ3" s="7"/>
      <c r="BB3" s="8"/>
      <c r="BE3" s="9"/>
    </row>
    <row r="4" ht="14.0"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>
        <v>0.08</v>
      </c>
      <c r="AB4" s="11">
        <v>0.06</v>
      </c>
      <c r="AC4" s="11">
        <v>0.06</v>
      </c>
      <c r="AD4" s="11">
        <v>0.08</v>
      </c>
      <c r="AE4" s="11">
        <v>0.1</v>
      </c>
      <c r="AF4" s="11">
        <v>0.1</v>
      </c>
      <c r="AG4" s="11">
        <v>0.1</v>
      </c>
      <c r="AH4" s="11">
        <v>0.1</v>
      </c>
      <c r="AI4" s="11">
        <v>0.06</v>
      </c>
      <c r="AJ4" s="11">
        <v>0.09</v>
      </c>
      <c r="AK4" s="12">
        <v>0.065</v>
      </c>
      <c r="AL4" s="11">
        <v>0.08</v>
      </c>
      <c r="AM4" s="11">
        <v>0.08</v>
      </c>
      <c r="AN4" s="11">
        <v>0.06</v>
      </c>
      <c r="AO4" s="7">
        <f>SUM(AC4:AN4)</f>
        <v>0.975</v>
      </c>
      <c r="AP4" s="13">
        <f>SUM(AI4:AN4)</f>
        <v>0.435</v>
      </c>
      <c r="AQ4" s="13">
        <f>AP4*1.1</f>
        <v>0.4785</v>
      </c>
      <c r="AR4" s="11">
        <v>0.06</v>
      </c>
      <c r="AS4" s="11">
        <v>0.08</v>
      </c>
      <c r="AT4" s="11">
        <v>0.1</v>
      </c>
      <c r="AU4" s="11">
        <v>0.1</v>
      </c>
      <c r="AV4" s="11">
        <v>0.1</v>
      </c>
      <c r="AW4" s="11">
        <v>0.1</v>
      </c>
      <c r="BB4" s="8"/>
      <c r="BE4" s="9"/>
    </row>
    <row r="5" ht="27.0">
      <c r="A5" s="14"/>
      <c r="B5" s="14"/>
      <c r="C5" s="14"/>
      <c r="D5" s="14"/>
      <c r="E5" s="15">
        <v>45860</v>
      </c>
      <c r="F5" s="15">
        <v>45891</v>
      </c>
      <c r="G5" s="15">
        <v>45922</v>
      </c>
      <c r="H5" s="15">
        <v>45952</v>
      </c>
      <c r="I5" s="15">
        <v>45983</v>
      </c>
      <c r="J5" s="15">
        <v>46013</v>
      </c>
      <c r="K5" s="15">
        <v>45680</v>
      </c>
      <c r="L5" s="15">
        <v>45711</v>
      </c>
      <c r="M5" s="15">
        <v>45739</v>
      </c>
      <c r="N5" s="15">
        <v>45770</v>
      </c>
      <c r="O5" s="15">
        <v>45800</v>
      </c>
      <c r="P5" s="15">
        <v>45831</v>
      </c>
      <c r="Q5" s="16">
        <v>45861</v>
      </c>
      <c r="R5" s="16">
        <v>45892</v>
      </c>
      <c r="S5" s="16">
        <v>45923</v>
      </c>
      <c r="T5" s="16">
        <v>45953</v>
      </c>
      <c r="U5" s="16">
        <v>45984</v>
      </c>
      <c r="V5" s="16">
        <v>46014</v>
      </c>
      <c r="W5" s="16">
        <v>45681</v>
      </c>
      <c r="X5" s="16">
        <v>45712</v>
      </c>
      <c r="Y5" s="16">
        <v>45740</v>
      </c>
      <c r="Z5" s="16">
        <v>45771</v>
      </c>
      <c r="AA5" s="16">
        <v>45801</v>
      </c>
      <c r="AB5" s="16">
        <v>45832</v>
      </c>
      <c r="AC5" s="17">
        <v>45862</v>
      </c>
      <c r="AD5" s="17">
        <v>45893</v>
      </c>
      <c r="AE5" s="17">
        <v>45924</v>
      </c>
      <c r="AF5" s="17">
        <v>45954</v>
      </c>
      <c r="AG5" s="17">
        <v>45985</v>
      </c>
      <c r="AH5" s="17">
        <v>46015</v>
      </c>
      <c r="AI5" s="17">
        <v>45682</v>
      </c>
      <c r="AJ5" s="17">
        <v>45713</v>
      </c>
      <c r="AK5" s="17">
        <v>45741</v>
      </c>
      <c r="AL5" s="17">
        <v>45772</v>
      </c>
      <c r="AM5" s="17">
        <v>45802</v>
      </c>
      <c r="AN5" s="17">
        <v>45833</v>
      </c>
      <c r="AO5" s="18" t="s">
        <v>1</v>
      </c>
      <c r="AP5" s="18" t="s">
        <v>2</v>
      </c>
      <c r="AQ5" s="18" t="s">
        <v>2</v>
      </c>
      <c r="AR5" s="17">
        <v>45862</v>
      </c>
      <c r="AS5" s="17">
        <v>45893</v>
      </c>
      <c r="AT5" s="17">
        <v>45924</v>
      </c>
      <c r="AU5" s="17">
        <v>45954</v>
      </c>
      <c r="AV5" s="17">
        <v>45985</v>
      </c>
      <c r="AW5" s="17">
        <v>46015</v>
      </c>
      <c r="AX5" s="14" t="s">
        <v>3</v>
      </c>
      <c r="AY5" s="14" t="s">
        <v>3</v>
      </c>
      <c r="AZ5" s="14" t="s">
        <v>3</v>
      </c>
      <c r="BA5" s="14" t="s">
        <v>3</v>
      </c>
      <c r="BB5" s="19" t="s">
        <v>3</v>
      </c>
      <c r="BC5" s="14" t="s">
        <v>3</v>
      </c>
      <c r="BD5" s="20" t="s">
        <v>3</v>
      </c>
      <c r="BE5" s="21"/>
      <c r="BF5" s="14" t="s">
        <v>4</v>
      </c>
      <c r="BG5" s="14" t="s">
        <v>5</v>
      </c>
      <c r="BH5" s="14"/>
      <c r="BI5" s="14"/>
      <c r="BJ5" s="14" t="s">
        <v>6</v>
      </c>
      <c r="BK5" s="14"/>
      <c r="BL5" s="14"/>
      <c r="BM5" s="14" t="s">
        <v>7</v>
      </c>
      <c r="BN5" s="14"/>
      <c r="BO5" s="14"/>
      <c r="BP5" s="14" t="s">
        <v>8</v>
      </c>
      <c r="BQ5" s="14"/>
      <c r="BR5" s="14"/>
      <c r="BS5" s="14" t="s">
        <v>9</v>
      </c>
      <c r="BT5" s="14"/>
      <c r="BU5" s="14"/>
      <c r="BV5" s="14" t="s">
        <v>10</v>
      </c>
      <c r="BW5" s="14"/>
      <c r="BX5" s="14"/>
      <c r="BY5" s="14"/>
      <c r="BZ5" s="14"/>
      <c r="CA5" s="14"/>
      <c r="CB5" s="14"/>
      <c r="CC5" s="22" t="s">
        <v>11</v>
      </c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AMF5" s="23"/>
      <c r="AMG5" s="23"/>
      <c r="AMH5" s="23"/>
      <c r="AMI5" s="23"/>
    </row>
    <row r="6" ht="29.0">
      <c r="A6" s="24" t="s">
        <v>12</v>
      </c>
      <c r="B6" s="24" t="s">
        <v>13</v>
      </c>
      <c r="C6" s="24" t="s">
        <v>14</v>
      </c>
      <c r="D6" s="25" t="s">
        <v>15</v>
      </c>
      <c r="E6" s="26" t="s">
        <v>16</v>
      </c>
      <c r="F6" s="26" t="s">
        <v>16</v>
      </c>
      <c r="G6" s="26" t="s">
        <v>16</v>
      </c>
      <c r="H6" s="26" t="s">
        <v>16</v>
      </c>
      <c r="I6" s="26" t="s">
        <v>16</v>
      </c>
      <c r="J6" s="26" t="s">
        <v>16</v>
      </c>
      <c r="K6" s="26" t="s">
        <v>16</v>
      </c>
      <c r="L6" s="26" t="s">
        <v>16</v>
      </c>
      <c r="M6" s="26" t="s">
        <v>16</v>
      </c>
      <c r="N6" s="26" t="s">
        <v>16</v>
      </c>
      <c r="O6" s="26" t="s">
        <v>16</v>
      </c>
      <c r="P6" s="26" t="s">
        <v>16</v>
      </c>
      <c r="Q6" s="26" t="s">
        <v>16</v>
      </c>
      <c r="R6" s="26" t="s">
        <v>16</v>
      </c>
      <c r="S6" s="26" t="s">
        <v>16</v>
      </c>
      <c r="T6" s="26" t="s">
        <v>16</v>
      </c>
      <c r="U6" s="26" t="s">
        <v>16</v>
      </c>
      <c r="V6" s="26" t="s">
        <v>16</v>
      </c>
      <c r="W6" s="26" t="s">
        <v>16</v>
      </c>
      <c r="X6" s="26" t="s">
        <v>16</v>
      </c>
      <c r="Y6" s="26" t="s">
        <v>16</v>
      </c>
      <c r="Z6" s="26" t="s">
        <v>16</v>
      </c>
      <c r="AA6" s="26" t="s">
        <v>16</v>
      </c>
      <c r="AB6" s="26" t="s">
        <v>16</v>
      </c>
      <c r="AC6" s="26" t="s">
        <v>16</v>
      </c>
      <c r="AD6" s="26" t="s">
        <v>16</v>
      </c>
      <c r="AE6" s="26" t="s">
        <v>16</v>
      </c>
      <c r="AF6" s="26" t="s">
        <v>16</v>
      </c>
      <c r="AG6" s="26" t="s">
        <v>16</v>
      </c>
      <c r="AH6" s="26" t="s">
        <v>16</v>
      </c>
      <c r="AI6" s="26" t="s">
        <v>16</v>
      </c>
      <c r="AJ6" s="26" t="s">
        <v>16</v>
      </c>
      <c r="AK6" s="26" t="s">
        <v>16</v>
      </c>
      <c r="AL6" s="26" t="s">
        <v>16</v>
      </c>
      <c r="AM6" s="26" t="s">
        <v>16</v>
      </c>
      <c r="AN6" s="26"/>
      <c r="AO6" s="27" t="s">
        <v>3</v>
      </c>
      <c r="AP6" s="27" t="s">
        <v>3</v>
      </c>
      <c r="AQ6" s="27" t="s">
        <v>17</v>
      </c>
      <c r="AR6" s="28" t="s">
        <v>18</v>
      </c>
      <c r="AS6" s="28" t="s">
        <v>18</v>
      </c>
      <c r="AT6" s="28" t="s">
        <v>18</v>
      </c>
      <c r="AU6" s="28" t="s">
        <v>18</v>
      </c>
      <c r="AV6" s="28" t="s">
        <v>18</v>
      </c>
      <c r="AW6" s="28" t="s">
        <v>18</v>
      </c>
      <c r="AX6" s="29" t="s">
        <v>18</v>
      </c>
      <c r="AY6" s="26" t="s">
        <v>19</v>
      </c>
      <c r="AZ6" s="30" t="s">
        <v>20</v>
      </c>
      <c r="BA6" s="31" t="s">
        <v>21</v>
      </c>
      <c r="BB6" s="32" t="s">
        <v>22</v>
      </c>
      <c r="BC6" s="26" t="s">
        <v>23</v>
      </c>
      <c r="BD6" s="33" t="s">
        <v>24</v>
      </c>
      <c r="BE6" s="34" t="s">
        <v>25</v>
      </c>
      <c r="BF6" s="26" t="s">
        <v>26</v>
      </c>
      <c r="BG6" s="26" t="s">
        <v>18</v>
      </c>
      <c r="BH6" s="26" t="s">
        <v>27</v>
      </c>
      <c r="BI6" s="26" t="s">
        <v>28</v>
      </c>
      <c r="BJ6" s="26" t="s">
        <v>18</v>
      </c>
      <c r="BK6" s="26" t="s">
        <v>27</v>
      </c>
      <c r="BL6" s="26" t="s">
        <v>28</v>
      </c>
      <c r="BM6" s="26" t="s">
        <v>18</v>
      </c>
      <c r="BN6" s="26" t="s">
        <v>27</v>
      </c>
      <c r="BO6" s="26" t="s">
        <v>28</v>
      </c>
      <c r="BP6" s="26" t="s">
        <v>18</v>
      </c>
      <c r="BQ6" s="26" t="s">
        <v>27</v>
      </c>
      <c r="BR6" s="26" t="s">
        <v>28</v>
      </c>
      <c r="BS6" s="26" t="s">
        <v>18</v>
      </c>
      <c r="BT6" s="26" t="s">
        <v>27</v>
      </c>
      <c r="BU6" s="26" t="s">
        <v>28</v>
      </c>
      <c r="BV6" s="26" t="s">
        <v>18</v>
      </c>
      <c r="BW6" s="26" t="s">
        <v>27</v>
      </c>
      <c r="BX6" s="26" t="s">
        <v>28</v>
      </c>
      <c r="BY6" s="35"/>
      <c r="BZ6" s="22" t="s">
        <v>11</v>
      </c>
      <c r="CA6" s="22" t="s">
        <v>29</v>
      </c>
      <c r="CB6" s="22" t="s">
        <v>30</v>
      </c>
      <c r="CC6" s="22" t="s">
        <v>31</v>
      </c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AMF6" s="36"/>
      <c r="AMG6" s="36"/>
      <c r="AMH6" s="36"/>
      <c r="AMI6" s="36"/>
    </row>
    <row r="7" ht="14.0">
      <c r="A7" s="37" t="s">
        <v>32</v>
      </c>
      <c r="B7" s="37" t="s">
        <v>33</v>
      </c>
      <c r="C7" s="37" t="s">
        <v>34</v>
      </c>
      <c r="D7" s="38" t="s">
        <v>35</v>
      </c>
      <c r="E7" s="37">
        <v>0.0</v>
      </c>
      <c r="F7" s="37">
        <v>0.0</v>
      </c>
      <c r="G7" s="37">
        <v>0.0</v>
      </c>
      <c r="H7" s="37">
        <v>1.0</v>
      </c>
      <c r="I7" s="37">
        <v>2.0</v>
      </c>
      <c r="J7" s="37">
        <v>0.0</v>
      </c>
      <c r="K7" s="37">
        <v>0.0</v>
      </c>
      <c r="L7" s="37">
        <v>0.0</v>
      </c>
      <c r="M7" s="37">
        <v>-1.0</v>
      </c>
      <c r="N7" s="37">
        <v>0.0</v>
      </c>
      <c r="O7" s="37">
        <v>0.0</v>
      </c>
      <c r="P7" s="37">
        <v>0.0</v>
      </c>
      <c r="Q7" s="37">
        <v>0.0</v>
      </c>
      <c r="R7" s="37">
        <v>0.0</v>
      </c>
      <c r="S7" s="37">
        <v>0.0</v>
      </c>
      <c r="T7" s="37">
        <v>1.0</v>
      </c>
      <c r="U7" s="37">
        <v>1.0</v>
      </c>
      <c r="V7" s="37">
        <v>0.0</v>
      </c>
      <c r="W7" s="37">
        <v>1.0</v>
      </c>
      <c r="X7" s="37">
        <v>0.0</v>
      </c>
      <c r="Y7" s="37">
        <v>1.0</v>
      </c>
      <c r="Z7" s="37">
        <v>1.0</v>
      </c>
      <c r="AA7" s="37">
        <v>0.0</v>
      </c>
      <c r="AB7" s="37">
        <v>0.0</v>
      </c>
      <c r="AC7" s="37">
        <v>0.0</v>
      </c>
      <c r="AD7" s="37">
        <v>0.0</v>
      </c>
      <c r="AE7" s="37">
        <v>0.0</v>
      </c>
      <c r="AF7" s="37">
        <v>0.0</v>
      </c>
      <c r="AG7" s="37">
        <v>1.0</v>
      </c>
      <c r="AH7" s="37">
        <v>0.0</v>
      </c>
      <c r="AI7" s="37">
        <v>0.0</v>
      </c>
      <c r="AJ7" s="37">
        <v>1.0</v>
      </c>
      <c r="AK7" s="37">
        <v>0.0</v>
      </c>
      <c r="AL7" s="37">
        <v>0.0</v>
      </c>
      <c r="AM7" s="37">
        <v>0.0</v>
      </c>
      <c r="AN7" s="37">
        <v>0.0</v>
      </c>
      <c r="AO7" s="39">
        <f t="shared" ref="AO7:AO109" si="3">SUM(AC7:AN7)</f>
        <v>2.0</v>
      </c>
      <c r="AP7" s="39">
        <f t="shared" ref="AP7:AP109" si="4">SUM(AI7:AN7)</f>
        <v>1.0</v>
      </c>
      <c r="AQ7" s="39">
        <f t="shared" ref="AQ7:AQ109" si="5">AP7*1.1</f>
        <v>1.1</v>
      </c>
      <c r="AR7" s="40">
        <f>AR8</f>
        <v>1.0</v>
      </c>
      <c r="AS7" s="40">
        <f>AS8</f>
        <v>1.0</v>
      </c>
      <c r="AT7" s="40">
        <f>AT8</f>
        <v>1.0</v>
      </c>
      <c r="AU7" s="40">
        <f>AU8</f>
        <v>1.0</v>
      </c>
      <c r="AV7" s="40">
        <f>AV8</f>
        <v>1.0</v>
      </c>
      <c r="AW7" s="40">
        <f>AW8</f>
        <v>1.0</v>
      </c>
      <c r="AX7" s="41">
        <f t="shared" ref="AX7:AX109" si="12">SUM(AR7:AW7)</f>
        <v>6.0</v>
      </c>
      <c r="AY7" s="41" t="e">
        <f t="shared" ref="AY7:AY109" si="13">VLOOKUP(D7,JUNE30SOH,3,false)</f>
        <v>#REF!</v>
      </c>
      <c r="AZ7" s="42"/>
      <c r="BA7" s="42"/>
      <c r="BB7" s="39" t="e">
        <f>AY7+AZ7+BA7-AX7</f>
        <v>#REF!</v>
      </c>
      <c r="BC7" s="43">
        <f>VLOOKUP(C7,MOQ,3,FALSE())</f>
      </c>
      <c r="BD7" s="44"/>
      <c r="BE7" s="45"/>
      <c r="BF7" s="43" t="e">
        <f>AY7</f>
        <v>#REF!</v>
      </c>
      <c r="BG7" s="43">
        <f>AR7</f>
        <v>1.0</v>
      </c>
      <c r="BH7" s="43">
        <f>AZ7</f>
      </c>
      <c r="BI7" s="46" t="e">
        <f>BF7+BH7-BG7</f>
        <v>#REF!</v>
      </c>
      <c r="BJ7" s="43">
        <f>AS7</f>
        <v>1.0</v>
      </c>
      <c r="BK7" s="43">
        <f>BA7</f>
      </c>
      <c r="BL7" s="46" t="e">
        <f>BI7+BK7-BJ7</f>
        <v>#REF!</v>
      </c>
      <c r="BM7" s="43">
        <f>AT7</f>
        <v>1.0</v>
      </c>
      <c r="BN7" s="43"/>
      <c r="BO7" s="46" t="e">
        <f>BL7+BN7-BM7</f>
        <v>#REF!</v>
      </c>
      <c r="BP7" s="43">
        <f>AU7</f>
        <v>1.0</v>
      </c>
      <c r="BQ7" s="43"/>
      <c r="BR7" s="46" t="e">
        <f>BO7+BQ7-BP7</f>
        <v>#REF!</v>
      </c>
      <c r="BS7" s="43">
        <f>AV7</f>
        <v>1.0</v>
      </c>
      <c r="BT7" s="43"/>
      <c r="BU7" s="46" t="e">
        <f>BR7+BT7-BS7</f>
        <v>#REF!</v>
      </c>
      <c r="BV7" s="43">
        <f>AW7</f>
        <v>1.0</v>
      </c>
      <c r="BW7" s="43"/>
      <c r="BX7" s="46" t="e">
        <f>BU7+BW7-BV7</f>
        <v>#REF!</v>
      </c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AMF7" s="47"/>
      <c r="AMG7" s="47"/>
      <c r="AMH7" s="47"/>
      <c r="AMI7" s="47"/>
      <c r="AMJ7" s="47"/>
    </row>
    <row r="8" ht="14.0">
      <c r="A8" s="37" t="s">
        <v>32</v>
      </c>
      <c r="B8" s="37" t="s">
        <v>33</v>
      </c>
      <c r="C8" s="37" t="s">
        <v>36</v>
      </c>
      <c r="D8" s="38" t="s">
        <v>37</v>
      </c>
      <c r="E8" s="37">
        <v>4.0</v>
      </c>
      <c r="F8" s="37">
        <v>2.0</v>
      </c>
      <c r="G8" s="37">
        <v>1.0</v>
      </c>
      <c r="H8" s="37">
        <v>0.0</v>
      </c>
      <c r="I8" s="37">
        <v>0.0</v>
      </c>
      <c r="J8" s="37">
        <v>0.0</v>
      </c>
      <c r="K8" s="37">
        <v>2.0</v>
      </c>
      <c r="L8" s="37">
        <v>2.0</v>
      </c>
      <c r="M8" s="37">
        <v>1.0</v>
      </c>
      <c r="N8" s="37">
        <v>2.0</v>
      </c>
      <c r="O8" s="37">
        <v>1.0</v>
      </c>
      <c r="P8" s="37">
        <v>1.0</v>
      </c>
      <c r="Q8" s="37">
        <v>1.0</v>
      </c>
      <c r="R8" s="37">
        <v>2.0</v>
      </c>
      <c r="S8" s="37">
        <v>2.0</v>
      </c>
      <c r="T8" s="37">
        <v>0.0</v>
      </c>
      <c r="U8" s="37">
        <v>0.0</v>
      </c>
      <c r="V8" s="37">
        <v>0.0</v>
      </c>
      <c r="W8" s="37">
        <v>0.0</v>
      </c>
      <c r="X8" s="37">
        <v>0.0</v>
      </c>
      <c r="Y8" s="37">
        <v>0.0</v>
      </c>
      <c r="Z8" s="37">
        <v>0.0</v>
      </c>
      <c r="AA8" s="37">
        <v>0.0</v>
      </c>
      <c r="AB8" s="37">
        <v>0.0</v>
      </c>
      <c r="AC8" s="37">
        <v>0.0</v>
      </c>
      <c r="AD8" s="37">
        <v>0.0</v>
      </c>
      <c r="AE8" s="37">
        <v>0.0</v>
      </c>
      <c r="AF8" s="37">
        <v>1.0</v>
      </c>
      <c r="AG8" s="37">
        <v>0.0</v>
      </c>
      <c r="AH8" s="37">
        <v>0.0</v>
      </c>
      <c r="AI8" s="37">
        <v>0.0</v>
      </c>
      <c r="AJ8" s="37">
        <v>0.0</v>
      </c>
      <c r="AK8" s="37">
        <v>2.0</v>
      </c>
      <c r="AL8" s="37">
        <v>1.0</v>
      </c>
      <c r="AM8" s="37">
        <v>0.0</v>
      </c>
      <c r="AN8" s="37">
        <v>0.0</v>
      </c>
      <c r="AO8" s="39">
        <f t="shared" si="3"/>
        <v>4.0</v>
      </c>
      <c r="AP8" s="39">
        <f t="shared" si="4"/>
        <v>3.0</v>
      </c>
      <c r="AQ8" s="39">
        <f t="shared" si="5"/>
        <v>3.3</v>
      </c>
      <c r="AR8" s="48">
        <v>1.0</v>
      </c>
      <c r="AS8" s="48">
        <v>1.0</v>
      </c>
      <c r="AT8" s="48">
        <v>1.0</v>
      </c>
      <c r="AU8" s="48">
        <v>1.0</v>
      </c>
      <c r="AV8" s="48">
        <v>1.0</v>
      </c>
      <c r="AW8" s="48">
        <v>1.0</v>
      </c>
      <c r="AX8" s="41">
        <f t="shared" si="12"/>
        <v>6.0</v>
      </c>
      <c r="AY8" s="41" t="e">
        <f t="shared" si="13"/>
        <v>#REF!</v>
      </c>
      <c r="AZ8" s="42"/>
      <c r="BA8" s="42"/>
      <c r="BB8" s="39"/>
      <c r="BC8" s="43"/>
      <c r="BD8" s="49"/>
      <c r="BE8" s="45"/>
      <c r="BF8" s="43"/>
      <c r="BG8" s="43"/>
      <c r="BH8" s="43"/>
      <c r="BI8" s="46"/>
      <c r="BJ8" s="43"/>
      <c r="BK8" s="43"/>
      <c r="BL8" s="46"/>
      <c r="BM8" s="43"/>
      <c r="BN8" s="43"/>
      <c r="BO8" s="46"/>
      <c r="BP8" s="43"/>
      <c r="BQ8" s="43"/>
      <c r="BR8" s="46"/>
      <c r="BS8" s="43"/>
      <c r="BT8" s="43"/>
      <c r="BU8" s="46"/>
      <c r="BV8" s="43"/>
      <c r="BW8" s="43"/>
      <c r="BX8" s="46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AMF8" s="50"/>
      <c r="AMG8" s="50"/>
      <c r="AMH8" s="50"/>
      <c r="AMI8" s="50"/>
    </row>
    <row r="9" ht="14.0">
      <c r="A9" s="37" t="s">
        <v>32</v>
      </c>
      <c r="B9" s="37" t="s">
        <v>33</v>
      </c>
      <c r="C9" s="37" t="s">
        <v>38</v>
      </c>
      <c r="D9" s="38">
        <v>35801.0</v>
      </c>
      <c r="E9" s="37">
        <v>18.0</v>
      </c>
      <c r="F9" s="37">
        <v>102.0</v>
      </c>
      <c r="G9" s="37">
        <v>78.0</v>
      </c>
      <c r="H9" s="37">
        <v>54.0</v>
      </c>
      <c r="I9" s="37">
        <v>0.0</v>
      </c>
      <c r="J9" s="37">
        <v>90.0</v>
      </c>
      <c r="K9" s="37">
        <v>24.0</v>
      </c>
      <c r="L9" s="37">
        <v>12.0</v>
      </c>
      <c r="M9" s="37">
        <v>0.0</v>
      </c>
      <c r="N9" s="37">
        <v>24.0</v>
      </c>
      <c r="O9" s="37">
        <v>30.0</v>
      </c>
      <c r="P9" s="37">
        <v>6.0</v>
      </c>
      <c r="Q9" s="37">
        <v>12.0</v>
      </c>
      <c r="R9" s="37">
        <v>6.0</v>
      </c>
      <c r="S9" s="37">
        <v>30.0</v>
      </c>
      <c r="T9" s="37">
        <v>24.0</v>
      </c>
      <c r="U9" s="37">
        <v>42.0</v>
      </c>
      <c r="V9" s="37">
        <v>48.0</v>
      </c>
      <c r="W9" s="37">
        <v>37.0</v>
      </c>
      <c r="X9" s="37">
        <v>30.0</v>
      </c>
      <c r="Y9" s="37">
        <v>60.0</v>
      </c>
      <c r="Z9" s="37">
        <v>30.0</v>
      </c>
      <c r="AA9" s="37">
        <v>18.0</v>
      </c>
      <c r="AB9" s="37">
        <v>6.0</v>
      </c>
      <c r="AC9" s="37">
        <v>37.0</v>
      </c>
      <c r="AD9" s="37">
        <v>24.0</v>
      </c>
      <c r="AE9" s="37">
        <v>30.0</v>
      </c>
      <c r="AF9" s="37">
        <v>48.0</v>
      </c>
      <c r="AG9" s="37">
        <v>18.0</v>
      </c>
      <c r="AH9" s="37">
        <v>18.0</v>
      </c>
      <c r="AI9" s="37">
        <v>24.0</v>
      </c>
      <c r="AJ9" s="37">
        <v>24.0</v>
      </c>
      <c r="AK9" s="37">
        <v>6.0</v>
      </c>
      <c r="AL9" s="37">
        <v>18.0</v>
      </c>
      <c r="AM9" s="37">
        <v>18.0</v>
      </c>
      <c r="AN9" s="37">
        <v>13.0</v>
      </c>
      <c r="AO9" s="39">
        <f t="shared" si="3"/>
        <v>278.0</v>
      </c>
      <c r="AP9" s="39">
        <f t="shared" si="4"/>
        <v>103.0</v>
      </c>
      <c r="AQ9" s="39">
        <f t="shared" si="5"/>
        <v>113.3</v>
      </c>
      <c r="AR9" s="51">
        <f t="shared" ref="AR9:AR11" si="31">AQ9*$AR$4/$AQ$4+6*$AR$8</f>
        <v>20.2068965517241</v>
      </c>
      <c r="AS9" s="51">
        <f t="shared" ref="AS9:AS11" si="32">AQ9*$AS$4/$AQ$4+6*$AS$8</f>
        <v>24.9425287356321</v>
      </c>
      <c r="AT9" s="51">
        <f t="shared" ref="AT9:AT11" si="33">AQ9*$AT$4/$AQ$4+6*$AT$8</f>
        <v>29.6781609195402</v>
      </c>
      <c r="AU9" s="51">
        <f t="shared" ref="AU9:AU11" si="34">AQ9*$AU$4/$AQ$4+6*$AU$8</f>
        <v>29.6781609195402</v>
      </c>
      <c r="AV9" s="51">
        <f t="shared" ref="AV9:AV11" si="35">AQ9*$AV$4/$AQ$4+6*$AV$8</f>
        <v>29.6781609195402</v>
      </c>
      <c r="AW9" s="51">
        <f t="shared" ref="AW9:AW11" si="36">AQ9*$AW$4/$AQ$4+6*$AW$8</f>
        <v>29.6781609195402</v>
      </c>
      <c r="AX9" s="41">
        <f t="shared" si="12"/>
        <v>163.862068965517</v>
      </c>
      <c r="AY9" s="41" t="e">
        <f t="shared" si="13"/>
        <v>#REF!</v>
      </c>
      <c r="AZ9" s="42" t="e">
        <f t="shared" ref="AZ9:AZ11" si="37">VLOOKUP(C9,IFUKJULY,3,false)</f>
        <v>#REF!</v>
      </c>
      <c r="BA9" s="42"/>
      <c r="BB9" s="39" t="e">
        <f t="shared" ref="BB9:BB11" si="38">AY9+AZ9+BA9-AX9</f>
        <v>#REF!</v>
      </c>
      <c r="BC9" s="43">
        <f>VLOOKUP(C9,MOQ,3,FALSE())</f>
      </c>
      <c r="BD9" s="49" t="e">
        <f t="shared" ref="BD9:BD11" si="40">BB9*-1</f>
        <v>#REF!</v>
      </c>
      <c r="BE9" s="45" t="s">
        <v>8</v>
      </c>
      <c r="BF9" s="43" t="e">
        <f t="shared" ref="BF9:BF11" si="41">AY9</f>
        <v>#REF!</v>
      </c>
      <c r="BG9" s="43">
        <f t="shared" ref="BG9:BG11" si="42">AR9</f>
        <v>20.2068965517241</v>
      </c>
      <c r="BH9" s="43" t="e">
        <f t="shared" ref="BH9:BH11" si="43">AZ9</f>
        <v>#REF!</v>
      </c>
      <c r="BI9" s="46" t="e">
        <f t="shared" ref="BI9:BI11" si="44">BF9+BH9-BG9</f>
        <v>#REF!</v>
      </c>
      <c r="BJ9" s="43">
        <f t="shared" ref="BJ9:BJ11" si="45">AS9</f>
        <v>24.9425287356321</v>
      </c>
      <c r="BK9" s="43">
        <f t="shared" ref="BK9:BK11" si="46">BA9</f>
      </c>
      <c r="BL9" s="46" t="e">
        <f t="shared" ref="BL9:BL11" si="47">BI9+BK9-BJ9</f>
        <v>#REF!</v>
      </c>
      <c r="BM9" s="43">
        <f t="shared" ref="BM9:BM11" si="48">AT9</f>
        <v>29.6781609195402</v>
      </c>
      <c r="BN9" s="43"/>
      <c r="BO9" s="46" t="e">
        <f t="shared" ref="BO9:BO11" si="49">BL9+BN9-BM9</f>
        <v>#REF!</v>
      </c>
      <c r="BP9" s="43">
        <f t="shared" ref="BP9:BP11" si="50">AU9</f>
        <v>29.6781609195402</v>
      </c>
      <c r="BQ9" s="43"/>
      <c r="BR9" s="46" t="e">
        <f t="shared" ref="BR9:BR11" si="51">BO9+BQ9-BP9</f>
        <v>#REF!</v>
      </c>
      <c r="BS9" s="43">
        <f t="shared" ref="BS9:BS11" si="52">AV9</f>
        <v>29.6781609195402</v>
      </c>
      <c r="BT9" s="43"/>
      <c r="BU9" s="46" t="e">
        <f t="shared" ref="BU9:BU11" si="53">BR9+BT9-BS9</f>
        <v>#REF!</v>
      </c>
      <c r="BV9" s="43">
        <f t="shared" ref="BV9:BV11" si="54">AW9</f>
        <v>29.6781609195402</v>
      </c>
      <c r="BW9" s="43"/>
      <c r="BX9" s="46" t="e">
        <f t="shared" ref="BX9:BX11" si="55">BU9+BW9-BV9</f>
        <v>#REF!</v>
      </c>
      <c r="BY9" s="42"/>
      <c r="BZ9" s="42" t="e">
        <f t="shared" ref="BZ9:BZ11" si="56">BU9*-1</f>
        <v>#REF!</v>
      </c>
      <c r="CA9" s="52" t="e">
        <f t="shared" ref="CA9:CA11" si="57">BZ9/6</f>
        <v>#REF!</v>
      </c>
      <c r="CB9" s="42" t="e">
        <f t="shared" ref="CB9:CB11" si="58">ROUNDUP(CA9,0)</f>
        <v>#REF!</v>
      </c>
      <c r="CC9" s="53" t="e">
        <f t="shared" ref="CC9:CC11" si="59">CB9*6</f>
        <v>#REF!</v>
      </c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AMF9" s="50"/>
      <c r="AMG9" s="50"/>
      <c r="AMH9" s="50"/>
      <c r="AMI9" s="50"/>
    </row>
    <row r="10" ht="14.0">
      <c r="A10" s="37" t="s">
        <v>32</v>
      </c>
      <c r="B10" s="37" t="s">
        <v>33</v>
      </c>
      <c r="C10" s="37" t="s">
        <v>39</v>
      </c>
      <c r="D10" s="38">
        <v>35804.0</v>
      </c>
      <c r="E10" s="37">
        <v>12.0</v>
      </c>
      <c r="F10" s="37">
        <v>30.0</v>
      </c>
      <c r="G10" s="37">
        <v>-6.0</v>
      </c>
      <c r="H10" s="37">
        <v>0.0</v>
      </c>
      <c r="I10" s="37">
        <v>18.0</v>
      </c>
      <c r="J10" s="37">
        <v>96.0</v>
      </c>
      <c r="K10" s="37">
        <v>12.0</v>
      </c>
      <c r="L10" s="37">
        <v>12.0</v>
      </c>
      <c r="M10" s="37">
        <v>6.0</v>
      </c>
      <c r="N10" s="37">
        <v>6.0</v>
      </c>
      <c r="O10" s="37">
        <v>12.0</v>
      </c>
      <c r="P10" s="37">
        <v>24.0</v>
      </c>
      <c r="Q10" s="37">
        <v>18.0</v>
      </c>
      <c r="R10" s="37">
        <v>66.0</v>
      </c>
      <c r="S10" s="37">
        <v>24.0</v>
      </c>
      <c r="T10" s="37">
        <v>0.0</v>
      </c>
      <c r="U10" s="37">
        <v>0.0</v>
      </c>
      <c r="V10" s="37">
        <v>6.0</v>
      </c>
      <c r="W10" s="37">
        <v>0.0</v>
      </c>
      <c r="X10" s="37">
        <v>6.0</v>
      </c>
      <c r="Y10" s="37">
        <v>30.0</v>
      </c>
      <c r="Z10" s="37">
        <v>42.0</v>
      </c>
      <c r="AA10" s="37">
        <v>30.0</v>
      </c>
      <c r="AB10" s="37">
        <v>0.0</v>
      </c>
      <c r="AC10" s="37">
        <v>7.0</v>
      </c>
      <c r="AD10" s="37">
        <v>24.0</v>
      </c>
      <c r="AE10" s="37">
        <v>12.0</v>
      </c>
      <c r="AF10" s="37">
        <v>36.0</v>
      </c>
      <c r="AG10" s="37">
        <v>6.0</v>
      </c>
      <c r="AH10" s="37">
        <v>0.0</v>
      </c>
      <c r="AI10" s="37">
        <v>30.0</v>
      </c>
      <c r="AJ10" s="37">
        <v>18.0</v>
      </c>
      <c r="AK10" s="37">
        <v>0.0</v>
      </c>
      <c r="AL10" s="37">
        <v>18.0</v>
      </c>
      <c r="AM10" s="37">
        <v>12.0</v>
      </c>
      <c r="AN10" s="37">
        <v>6.0</v>
      </c>
      <c r="AO10" s="39">
        <f t="shared" si="3"/>
        <v>169.0</v>
      </c>
      <c r="AP10" s="39">
        <f t="shared" si="4"/>
        <v>84.0</v>
      </c>
      <c r="AQ10" s="39">
        <f t="shared" si="5"/>
        <v>92.4</v>
      </c>
      <c r="AR10" s="51">
        <f t="shared" si="31"/>
        <v>17.5862068965517</v>
      </c>
      <c r="AS10" s="51">
        <f t="shared" si="32"/>
        <v>21.448275862069</v>
      </c>
      <c r="AT10" s="51">
        <f t="shared" si="33"/>
        <v>25.3103448275862</v>
      </c>
      <c r="AU10" s="51">
        <f t="shared" si="34"/>
        <v>25.3103448275862</v>
      </c>
      <c r="AV10" s="51">
        <f t="shared" si="35"/>
        <v>25.3103448275862</v>
      </c>
      <c r="AW10" s="51">
        <f t="shared" si="36"/>
        <v>25.3103448275862</v>
      </c>
      <c r="AX10" s="41">
        <f t="shared" si="12"/>
        <v>140.275862068965</v>
      </c>
      <c r="AY10" s="41" t="e">
        <f t="shared" si="13"/>
        <v>#REF!</v>
      </c>
      <c r="AZ10" s="42" t="e">
        <f t="shared" si="37"/>
        <v>#REF!</v>
      </c>
      <c r="BA10" s="42"/>
      <c r="BB10" s="39" t="e">
        <f t="shared" si="38"/>
        <v>#REF!</v>
      </c>
      <c r="BC10" s="43">
        <f>VLOOKUP(C10,MOQ,3,FALSE())</f>
      </c>
      <c r="BD10" s="49" t="e">
        <f t="shared" si="40"/>
        <v>#REF!</v>
      </c>
      <c r="BE10" s="54" t="s">
        <v>40</v>
      </c>
      <c r="BF10" s="43" t="e">
        <f t="shared" si="41"/>
        <v>#REF!</v>
      </c>
      <c r="BG10" s="43">
        <f t="shared" si="42"/>
        <v>17.5862068965517</v>
      </c>
      <c r="BH10" s="43" t="e">
        <f t="shared" si="43"/>
        <v>#REF!</v>
      </c>
      <c r="BI10" s="46" t="e">
        <f t="shared" si="44"/>
        <v>#REF!</v>
      </c>
      <c r="BJ10" s="43">
        <f t="shared" si="45"/>
        <v>21.448275862069</v>
      </c>
      <c r="BK10" s="43">
        <f t="shared" si="46"/>
      </c>
      <c r="BL10" s="46" t="e">
        <f t="shared" si="47"/>
        <v>#REF!</v>
      </c>
      <c r="BM10" s="43">
        <f t="shared" si="48"/>
        <v>25.3103448275862</v>
      </c>
      <c r="BN10" s="43"/>
      <c r="BO10" s="46" t="e">
        <f t="shared" si="49"/>
        <v>#REF!</v>
      </c>
      <c r="BP10" s="43">
        <f t="shared" si="50"/>
        <v>25.3103448275862</v>
      </c>
      <c r="BQ10" s="43"/>
      <c r="BR10" s="46" t="e">
        <f t="shared" si="51"/>
        <v>#REF!</v>
      </c>
      <c r="BS10" s="43">
        <f t="shared" si="52"/>
        <v>25.3103448275862</v>
      </c>
      <c r="BT10" s="43"/>
      <c r="BU10" s="46" t="e">
        <f t="shared" si="53"/>
        <v>#REF!</v>
      </c>
      <c r="BV10" s="43">
        <f t="shared" si="54"/>
        <v>25.3103448275862</v>
      </c>
      <c r="BW10" s="43"/>
      <c r="BX10" s="46" t="e">
        <f t="shared" si="55"/>
        <v>#REF!</v>
      </c>
      <c r="BY10" s="43"/>
      <c r="BZ10" s="42" t="e">
        <f t="shared" si="56"/>
        <v>#REF!</v>
      </c>
      <c r="CA10" s="52" t="e">
        <f t="shared" si="57"/>
        <v>#REF!</v>
      </c>
      <c r="CB10" s="42" t="e">
        <f t="shared" si="58"/>
        <v>#REF!</v>
      </c>
      <c r="CC10" s="53" t="e">
        <f t="shared" si="59"/>
        <v>#REF!</v>
      </c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AMF10" s="47"/>
      <c r="AMG10" s="47"/>
      <c r="AMH10" s="47"/>
      <c r="AMI10" s="47"/>
      <c r="AMJ10" s="47"/>
    </row>
    <row r="11" ht="14.0">
      <c r="A11" s="37" t="s">
        <v>32</v>
      </c>
      <c r="B11" s="37" t="s">
        <v>33</v>
      </c>
      <c r="C11" s="37" t="s">
        <v>41</v>
      </c>
      <c r="D11" s="38">
        <v>35805.0</v>
      </c>
      <c r="E11" s="37">
        <v>12.0</v>
      </c>
      <c r="F11" s="37">
        <v>18.0</v>
      </c>
      <c r="G11" s="37">
        <v>0.0</v>
      </c>
      <c r="H11" s="37">
        <v>0.0</v>
      </c>
      <c r="I11" s="37">
        <v>18.0</v>
      </c>
      <c r="J11" s="37">
        <v>90.0</v>
      </c>
      <c r="K11" s="37">
        <v>6.0</v>
      </c>
      <c r="L11" s="37">
        <v>6.0</v>
      </c>
      <c r="M11" s="37">
        <v>6.0</v>
      </c>
      <c r="N11" s="37">
        <v>0.0</v>
      </c>
      <c r="O11" s="37">
        <v>12.0</v>
      </c>
      <c r="P11" s="37">
        <v>6.0</v>
      </c>
      <c r="Q11" s="37">
        <v>12.0</v>
      </c>
      <c r="R11" s="37">
        <v>54.0</v>
      </c>
      <c r="S11" s="37">
        <v>12.0</v>
      </c>
      <c r="T11" s="37">
        <v>42.0</v>
      </c>
      <c r="U11" s="37">
        <v>54.0</v>
      </c>
      <c r="V11" s="37">
        <v>60.0</v>
      </c>
      <c r="W11" s="37">
        <v>6.0</v>
      </c>
      <c r="X11" s="37">
        <v>30.0</v>
      </c>
      <c r="Y11" s="37">
        <v>54.0</v>
      </c>
      <c r="Z11" s="37">
        <v>30.0</v>
      </c>
      <c r="AA11" s="37">
        <v>48.0</v>
      </c>
      <c r="AB11" s="37">
        <v>12.0</v>
      </c>
      <c r="AC11" s="37">
        <v>13.0</v>
      </c>
      <c r="AD11" s="37">
        <v>18.0</v>
      </c>
      <c r="AE11" s="37">
        <v>12.0</v>
      </c>
      <c r="AF11" s="37">
        <v>18.0</v>
      </c>
      <c r="AG11" s="37">
        <v>18.0</v>
      </c>
      <c r="AH11" s="37">
        <v>18.0</v>
      </c>
      <c r="AI11" s="37">
        <v>12.0</v>
      </c>
      <c r="AJ11" s="37">
        <v>18.0</v>
      </c>
      <c r="AK11" s="37">
        <v>12.0</v>
      </c>
      <c r="AL11" s="37">
        <v>12.0</v>
      </c>
      <c r="AM11" s="37">
        <v>6.0</v>
      </c>
      <c r="AN11" s="37">
        <v>-6.0</v>
      </c>
      <c r="AO11" s="39">
        <f t="shared" si="3"/>
        <v>151.0</v>
      </c>
      <c r="AP11" s="39">
        <f t="shared" si="4"/>
        <v>54.0</v>
      </c>
      <c r="AQ11" s="39">
        <f t="shared" si="5"/>
        <v>59.4</v>
      </c>
      <c r="AR11" s="51">
        <f t="shared" si="31"/>
        <v>13.448275862069</v>
      </c>
      <c r="AS11" s="51">
        <f t="shared" si="32"/>
        <v>15.9310344827586</v>
      </c>
      <c r="AT11" s="51">
        <f t="shared" si="33"/>
        <v>18.4137931034482</v>
      </c>
      <c r="AU11" s="51">
        <f t="shared" si="34"/>
        <v>18.4137931034482</v>
      </c>
      <c r="AV11" s="51">
        <f t="shared" si="35"/>
        <v>18.4137931034482</v>
      </c>
      <c r="AW11" s="51">
        <f t="shared" si="36"/>
        <v>18.4137931034482</v>
      </c>
      <c r="AX11" s="41">
        <f t="shared" si="12"/>
        <v>103.03448275862</v>
      </c>
      <c r="AY11" s="41" t="e">
        <f t="shared" si="13"/>
        <v>#REF!</v>
      </c>
      <c r="AZ11" s="42" t="e">
        <f t="shared" si="37"/>
        <v>#REF!</v>
      </c>
      <c r="BA11" s="42"/>
      <c r="BB11" s="39" t="e">
        <f t="shared" si="38"/>
        <v>#REF!</v>
      </c>
      <c r="BC11" s="43">
        <f>VLOOKUP(C11,MOQ,3,FALSE())</f>
      </c>
      <c r="BD11" s="49" t="e">
        <f t="shared" si="40"/>
        <v>#REF!</v>
      </c>
      <c r="BE11" s="45" t="s">
        <v>42</v>
      </c>
      <c r="BF11" s="43" t="e">
        <f t="shared" si="41"/>
        <v>#REF!</v>
      </c>
      <c r="BG11" s="43">
        <f t="shared" si="42"/>
        <v>13.448275862069</v>
      </c>
      <c r="BH11" s="43" t="e">
        <f t="shared" si="43"/>
        <v>#REF!</v>
      </c>
      <c r="BI11" s="46" t="e">
        <f t="shared" si="44"/>
        <v>#REF!</v>
      </c>
      <c r="BJ11" s="43">
        <f t="shared" si="45"/>
        <v>15.9310344827586</v>
      </c>
      <c r="BK11" s="43">
        <f t="shared" si="46"/>
      </c>
      <c r="BL11" s="46" t="e">
        <f t="shared" si="47"/>
        <v>#REF!</v>
      </c>
      <c r="BM11" s="43">
        <f t="shared" si="48"/>
        <v>18.4137931034482</v>
      </c>
      <c r="BN11" s="43"/>
      <c r="BO11" s="46" t="e">
        <f t="shared" si="49"/>
        <v>#REF!</v>
      </c>
      <c r="BP11" s="43">
        <f t="shared" si="50"/>
        <v>18.4137931034482</v>
      </c>
      <c r="BQ11" s="43"/>
      <c r="BR11" s="46" t="e">
        <f t="shared" si="51"/>
        <v>#REF!</v>
      </c>
      <c r="BS11" s="43">
        <f t="shared" si="52"/>
        <v>18.4137931034482</v>
      </c>
      <c r="BT11" s="43"/>
      <c r="BU11" s="46" t="e">
        <f t="shared" si="53"/>
        <v>#REF!</v>
      </c>
      <c r="BV11" s="43">
        <f t="shared" si="54"/>
        <v>18.4137931034482</v>
      </c>
      <c r="BW11" s="43"/>
      <c r="BX11" s="46" t="e">
        <f t="shared" si="55"/>
        <v>#REF!</v>
      </c>
      <c r="BY11" s="43"/>
      <c r="BZ11" s="42" t="e">
        <f t="shared" si="56"/>
        <v>#REF!</v>
      </c>
      <c r="CA11" s="52" t="e">
        <f t="shared" si="57"/>
        <v>#REF!</v>
      </c>
      <c r="CB11" s="42" t="e">
        <f t="shared" si="58"/>
        <v>#REF!</v>
      </c>
      <c r="CC11" s="53" t="e">
        <f t="shared" si="59"/>
        <v>#REF!</v>
      </c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AMF11" s="47"/>
      <c r="AMG11" s="47"/>
      <c r="AMH11" s="47"/>
      <c r="AMI11" s="47"/>
      <c r="AMJ11" s="47"/>
    </row>
    <row r="12" ht="14.0">
      <c r="A12" s="37" t="s">
        <v>32</v>
      </c>
      <c r="B12" s="37" t="s">
        <v>33</v>
      </c>
      <c r="C12" s="37" t="s">
        <v>43</v>
      </c>
      <c r="D12" s="38" t="s">
        <v>44</v>
      </c>
      <c r="E12" s="37">
        <v>2.0</v>
      </c>
      <c r="F12" s="37">
        <v>0.0</v>
      </c>
      <c r="G12" s="37">
        <v>0.0</v>
      </c>
      <c r="H12" s="37">
        <v>2.0</v>
      </c>
      <c r="I12" s="37">
        <v>3.0</v>
      </c>
      <c r="J12" s="37">
        <v>2.0</v>
      </c>
      <c r="K12" s="37">
        <v>0.0</v>
      </c>
      <c r="L12" s="37">
        <v>2.0</v>
      </c>
      <c r="M12" s="37">
        <v>1.0</v>
      </c>
      <c r="N12" s="37">
        <v>1.0</v>
      </c>
      <c r="O12" s="37">
        <v>1.0</v>
      </c>
      <c r="P12" s="37">
        <v>2.0</v>
      </c>
      <c r="Q12" s="37">
        <v>0.0</v>
      </c>
      <c r="R12" s="37">
        <v>1.0</v>
      </c>
      <c r="S12" s="37">
        <v>2.0</v>
      </c>
      <c r="T12" s="37">
        <v>0.0</v>
      </c>
      <c r="U12" s="37">
        <v>1.0</v>
      </c>
      <c r="V12" s="37">
        <v>0.0</v>
      </c>
      <c r="W12" s="37">
        <v>0.0</v>
      </c>
      <c r="X12" s="37">
        <v>0.0</v>
      </c>
      <c r="Y12" s="37">
        <v>2.0</v>
      </c>
      <c r="Z12" s="37">
        <v>1.0</v>
      </c>
      <c r="AA12" s="37">
        <v>0.0</v>
      </c>
      <c r="AB12" s="37">
        <v>1.0</v>
      </c>
      <c r="AC12" s="37">
        <v>1.0</v>
      </c>
      <c r="AD12" s="37">
        <v>1.0</v>
      </c>
      <c r="AE12" s="37">
        <v>4.0</v>
      </c>
      <c r="AF12" s="37">
        <v>2.0</v>
      </c>
      <c r="AG12" s="37">
        <v>5.0</v>
      </c>
      <c r="AH12" s="37">
        <v>0.0</v>
      </c>
      <c r="AI12" s="37">
        <v>3.0</v>
      </c>
      <c r="AJ12" s="37">
        <v>2.0</v>
      </c>
      <c r="AK12" s="37">
        <v>3.0</v>
      </c>
      <c r="AL12" s="37">
        <v>1.0</v>
      </c>
      <c r="AM12" s="37">
        <v>2.0</v>
      </c>
      <c r="AN12" s="37">
        <v>1.0</v>
      </c>
      <c r="AO12" s="39">
        <f t="shared" si="3"/>
        <v>25.0</v>
      </c>
      <c r="AP12" s="39">
        <f t="shared" si="4"/>
        <v>12.0</v>
      </c>
      <c r="AQ12" s="39">
        <f t="shared" si="5"/>
        <v>13.2</v>
      </c>
      <c r="AR12" s="48">
        <v>2.0</v>
      </c>
      <c r="AS12" s="48">
        <v>2.0</v>
      </c>
      <c r="AT12" s="48">
        <v>2.0</v>
      </c>
      <c r="AU12" s="48">
        <v>3.0</v>
      </c>
      <c r="AV12" s="48">
        <v>3.0</v>
      </c>
      <c r="AW12" s="48">
        <v>3.0</v>
      </c>
      <c r="AX12" s="41">
        <f t="shared" si="12"/>
        <v>15.0</v>
      </c>
      <c r="AY12" s="41" t="e">
        <f t="shared" si="13"/>
        <v>#REF!</v>
      </c>
      <c r="AZ12" s="42"/>
      <c r="BA12" s="42"/>
      <c r="BB12" s="39"/>
      <c r="BC12" s="43"/>
      <c r="BD12" s="44"/>
      <c r="BE12" s="45"/>
      <c r="BF12" s="43"/>
      <c r="BG12" s="43"/>
      <c r="BH12" s="43"/>
      <c r="BI12" s="46"/>
      <c r="BJ12" s="43"/>
      <c r="BK12" s="43"/>
      <c r="BL12" s="46"/>
      <c r="BM12" s="43"/>
      <c r="BN12" s="43"/>
      <c r="BO12" s="46"/>
      <c r="BP12" s="43"/>
      <c r="BQ12" s="43"/>
      <c r="BR12" s="46"/>
      <c r="BS12" s="43"/>
      <c r="BT12" s="43"/>
      <c r="BU12" s="46"/>
      <c r="BV12" s="43"/>
      <c r="BW12" s="43"/>
      <c r="BX12" s="46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AMF12" s="47"/>
      <c r="AMG12" s="47"/>
      <c r="AMH12" s="47"/>
      <c r="AMI12" s="47"/>
    </row>
    <row r="13" ht="14.0">
      <c r="A13" s="37" t="s">
        <v>32</v>
      </c>
      <c r="B13" s="37" t="s">
        <v>45</v>
      </c>
      <c r="C13" s="37" t="s">
        <v>46</v>
      </c>
      <c r="D13" s="38" t="s">
        <v>47</v>
      </c>
      <c r="E13" s="37">
        <v>0.0</v>
      </c>
      <c r="F13" s="37">
        <v>0.0</v>
      </c>
      <c r="G13" s="37">
        <v>1.0</v>
      </c>
      <c r="H13" s="37">
        <v>0.0</v>
      </c>
      <c r="I13" s="37">
        <v>0.0</v>
      </c>
      <c r="J13" s="37">
        <v>0.0</v>
      </c>
      <c r="K13" s="37">
        <v>0.0</v>
      </c>
      <c r="L13" s="37">
        <v>0.0</v>
      </c>
      <c r="M13" s="37">
        <v>0.0</v>
      </c>
      <c r="N13" s="37">
        <v>0.0</v>
      </c>
      <c r="O13" s="37">
        <v>0.0</v>
      </c>
      <c r="P13" s="37">
        <v>0.0</v>
      </c>
      <c r="Q13" s="37">
        <v>0.0</v>
      </c>
      <c r="R13" s="37">
        <v>0.0</v>
      </c>
      <c r="S13" s="37">
        <v>0.0</v>
      </c>
      <c r="T13" s="37">
        <v>0.0</v>
      </c>
      <c r="U13" s="37">
        <v>0.0</v>
      </c>
      <c r="V13" s="37">
        <v>0.0</v>
      </c>
      <c r="W13" s="37">
        <v>3.0</v>
      </c>
      <c r="X13" s="37">
        <v>0.0</v>
      </c>
      <c r="Y13" s="37">
        <v>0.0</v>
      </c>
      <c r="Z13" s="37">
        <v>1.0</v>
      </c>
      <c r="AA13" s="37">
        <v>0.0</v>
      </c>
      <c r="AB13" s="37">
        <v>0.0</v>
      </c>
      <c r="AC13" s="37">
        <v>1.0</v>
      </c>
      <c r="AD13" s="37">
        <v>0.0</v>
      </c>
      <c r="AE13" s="37">
        <v>0.0</v>
      </c>
      <c r="AF13" s="37">
        <v>1.0</v>
      </c>
      <c r="AG13" s="37">
        <v>0.0</v>
      </c>
      <c r="AH13" s="37">
        <v>0.0</v>
      </c>
      <c r="AI13" s="37">
        <v>0.0</v>
      </c>
      <c r="AJ13" s="37">
        <v>0.0</v>
      </c>
      <c r="AK13" s="37">
        <v>1.0</v>
      </c>
      <c r="AL13" s="37">
        <v>0.0</v>
      </c>
      <c r="AM13" s="37">
        <v>0.0</v>
      </c>
      <c r="AN13" s="37">
        <v>0.0</v>
      </c>
      <c r="AO13" s="39">
        <f t="shared" si="3"/>
        <v>3.0</v>
      </c>
      <c r="AP13" s="39">
        <f t="shared" si="4"/>
        <v>1.0</v>
      </c>
      <c r="AQ13" s="39">
        <f t="shared" si="5"/>
        <v>1.1</v>
      </c>
      <c r="AR13" s="40">
        <f>AR12</f>
        <v>2.0</v>
      </c>
      <c r="AS13" s="40">
        <f>AS12</f>
        <v>2.0</v>
      </c>
      <c r="AT13" s="40">
        <f>AT12</f>
        <v>2.0</v>
      </c>
      <c r="AU13" s="40">
        <f>AU12</f>
        <v>3.0</v>
      </c>
      <c r="AV13" s="40">
        <f>AV12</f>
        <v>3.0</v>
      </c>
      <c r="AW13" s="40">
        <f>AW12</f>
        <v>3.0</v>
      </c>
      <c r="AX13" s="41">
        <f t="shared" si="12"/>
        <v>15.0</v>
      </c>
      <c r="AY13" s="41" t="e">
        <f t="shared" si="13"/>
        <v>#REF!</v>
      </c>
      <c r="AZ13" s="42"/>
      <c r="BA13" s="42"/>
      <c r="BB13" s="39" t="e">
        <f t="shared" ref="BB13:BB19" si="66">AY13+AZ13+BA13-AX13</f>
        <v>#REF!</v>
      </c>
      <c r="BC13" s="43">
        <f>VLOOKUP(C13,MOQ,3,FALSE())</f>
      </c>
      <c r="BD13" s="49"/>
      <c r="BE13" s="45"/>
      <c r="BF13" s="43" t="e">
        <f t="shared" ref="BF13:BF19" si="68">AY13</f>
        <v>#REF!</v>
      </c>
      <c r="BG13" s="43">
        <f t="shared" ref="BG13:BG19" si="69">AR13</f>
        <v>2.0</v>
      </c>
      <c r="BH13" s="43">
        <f t="shared" ref="BH13:BH19" si="70">AZ13</f>
      </c>
      <c r="BI13" s="46" t="e">
        <f t="shared" ref="BI13:BI19" si="71">BF13+BH13-BG13</f>
        <v>#REF!</v>
      </c>
      <c r="BJ13" s="43">
        <f t="shared" ref="BJ13:BJ19" si="72">AS13</f>
        <v>2.0</v>
      </c>
      <c r="BK13" s="43">
        <f t="shared" ref="BK13:BK19" si="73">BA13</f>
      </c>
      <c r="BL13" s="46" t="e">
        <f t="shared" ref="BL13:BL19" si="74">BI13+BK13-BJ13</f>
        <v>#REF!</v>
      </c>
      <c r="BM13" s="43">
        <f t="shared" ref="BM13:BM19" si="75">AT13</f>
        <v>2.0</v>
      </c>
      <c r="BN13" s="43"/>
      <c r="BO13" s="46" t="e">
        <f t="shared" ref="BO13:BO19" si="76">BL13+BN13-BM13</f>
        <v>#REF!</v>
      </c>
      <c r="BP13" s="43">
        <f t="shared" ref="BP13:BP19" si="77">AU13</f>
        <v>3.0</v>
      </c>
      <c r="BQ13" s="43"/>
      <c r="BR13" s="46" t="e">
        <f t="shared" ref="BR13:BR19" si="78">BO13+BQ13-BP13</f>
        <v>#REF!</v>
      </c>
      <c r="BS13" s="43">
        <f t="shared" ref="BS13:BS19" si="79">AV13</f>
        <v>3.0</v>
      </c>
      <c r="BT13" s="43"/>
      <c r="BU13" s="46" t="e">
        <f t="shared" ref="BU13:BU19" si="80">BR13+BT13-BS13</f>
        <v>#REF!</v>
      </c>
      <c r="BV13" s="43">
        <f t="shared" ref="BV13:BV19" si="81">AW13</f>
        <v>3.0</v>
      </c>
      <c r="BW13" s="43"/>
      <c r="BX13" s="46" t="e">
        <f t="shared" ref="BX13:BX19" si="82">BU13+BW13-BV13</f>
        <v>#REF!</v>
      </c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AMF13" s="50"/>
      <c r="AMG13" s="50"/>
      <c r="AMH13" s="50"/>
      <c r="AMI13" s="50"/>
    </row>
    <row r="14" ht="14.0">
      <c r="A14" s="37" t="s">
        <v>32</v>
      </c>
      <c r="B14" s="37" t="s">
        <v>33</v>
      </c>
      <c r="C14" s="37" t="s">
        <v>48</v>
      </c>
      <c r="D14" s="38">
        <v>36801.0</v>
      </c>
      <c r="E14" s="37">
        <v>15.0</v>
      </c>
      <c r="F14" s="37">
        <v>24.0</v>
      </c>
      <c r="G14" s="37">
        <v>66.0</v>
      </c>
      <c r="H14" s="37">
        <v>15.0</v>
      </c>
      <c r="I14" s="37">
        <v>54.0</v>
      </c>
      <c r="J14" s="37">
        <v>39.0</v>
      </c>
      <c r="K14" s="37">
        <v>12.0</v>
      </c>
      <c r="L14" s="37">
        <v>15.0</v>
      </c>
      <c r="M14" s="37">
        <v>24.0</v>
      </c>
      <c r="N14" s="37">
        <v>30.0</v>
      </c>
      <c r="O14" s="37">
        <v>21.0</v>
      </c>
      <c r="P14" s="37">
        <v>21.0</v>
      </c>
      <c r="Q14" s="37">
        <v>24.0</v>
      </c>
      <c r="R14" s="37">
        <v>18.0</v>
      </c>
      <c r="S14" s="37">
        <v>30.0</v>
      </c>
      <c r="T14" s="37">
        <v>27.0</v>
      </c>
      <c r="U14" s="37">
        <v>3.0</v>
      </c>
      <c r="V14" s="37">
        <v>63.0</v>
      </c>
      <c r="W14" s="37">
        <v>18.0</v>
      </c>
      <c r="X14" s="37">
        <v>12.0</v>
      </c>
      <c r="Y14" s="37">
        <v>24.0</v>
      </c>
      <c r="Z14" s="37">
        <v>1.0</v>
      </c>
      <c r="AA14" s="37">
        <v>39.0</v>
      </c>
      <c r="AB14" s="37">
        <v>30.0</v>
      </c>
      <c r="AC14" s="37">
        <v>13.0</v>
      </c>
      <c r="AD14" s="37">
        <v>18.0</v>
      </c>
      <c r="AE14" s="37">
        <v>33.0</v>
      </c>
      <c r="AF14" s="37">
        <v>45.0</v>
      </c>
      <c r="AG14" s="37">
        <v>3.0</v>
      </c>
      <c r="AH14" s="37">
        <v>33.0</v>
      </c>
      <c r="AI14" s="37">
        <v>39.0</v>
      </c>
      <c r="AJ14" s="37">
        <v>15.0</v>
      </c>
      <c r="AK14" s="37">
        <v>27.0</v>
      </c>
      <c r="AL14" s="37">
        <v>18.0</v>
      </c>
      <c r="AM14" s="37">
        <v>24.0</v>
      </c>
      <c r="AN14" s="37">
        <v>9.0</v>
      </c>
      <c r="AO14" s="39">
        <f t="shared" si="3"/>
        <v>277.0</v>
      </c>
      <c r="AP14" s="39">
        <f t="shared" si="4"/>
        <v>132.0</v>
      </c>
      <c r="AQ14" s="39">
        <f t="shared" si="5"/>
        <v>145.2</v>
      </c>
      <c r="AR14" s="51">
        <f t="shared" ref="AR14:AR18" si="83">AQ14*$AR$4/$AQ$4+3*$AR$13</f>
        <v>24.2068965517241</v>
      </c>
      <c r="AS14" s="51">
        <f t="shared" ref="AS14:AS18" si="84">AQ14*$AS$4/$AQ$4+3*$AS$13</f>
        <v>30.2758620689655</v>
      </c>
      <c r="AT14" s="51">
        <f t="shared" ref="AT14:AT18" si="85">AQ14*$AT$4/$AQ$4+3*$AT$13</f>
        <v>36.3448275862069</v>
      </c>
      <c r="AU14" s="51">
        <f t="shared" ref="AU14:AU18" si="86">AQ14*$AU$4/$AQ$4+3*$AU$13</f>
        <v>39.3448275862069</v>
      </c>
      <c r="AV14" s="51">
        <f t="shared" ref="AV14:AV18" si="87">AQ14*$AV$4/$AQ$4+3*$AV$13</f>
        <v>39.3448275862069</v>
      </c>
      <c r="AW14" s="51">
        <f t="shared" ref="AW14:AW18" si="88">AQ14*$AW$4/$AQ$4+3*$AW$13</f>
        <v>39.3448275862069</v>
      </c>
      <c r="AX14" s="41">
        <f t="shared" si="12"/>
        <v>208.862068965517</v>
      </c>
      <c r="AY14" s="41" t="e">
        <f t="shared" si="13"/>
        <v>#REF!</v>
      </c>
      <c r="AZ14" s="42" t="e">
        <f t="shared" ref="AZ14:AZ17" si="89">VLOOKUP(C14,IFUKJULY,3,false)</f>
        <v>#REF!</v>
      </c>
      <c r="BA14" s="42"/>
      <c r="BB14" s="39" t="e">
        <f t="shared" si="66"/>
        <v>#REF!</v>
      </c>
      <c r="BC14" s="43">
        <f>VLOOKUP(C14,MOQ,3,FALSE())</f>
      </c>
      <c r="BD14" s="49" t="e">
        <f t="shared" ref="BD14:BD18" si="90">BB14*-1</f>
        <v>#REF!</v>
      </c>
      <c r="BE14" s="45" t="s">
        <v>8</v>
      </c>
      <c r="BF14" s="43" t="e">
        <f t="shared" si="68"/>
        <v>#REF!</v>
      </c>
      <c r="BG14" s="43">
        <f t="shared" si="69"/>
        <v>24.2068965517241</v>
      </c>
      <c r="BH14" s="43" t="e">
        <f t="shared" si="70"/>
        <v>#REF!</v>
      </c>
      <c r="BI14" s="46" t="e">
        <f t="shared" si="71"/>
        <v>#REF!</v>
      </c>
      <c r="BJ14" s="43">
        <f t="shared" si="72"/>
        <v>30.2758620689655</v>
      </c>
      <c r="BK14" s="43">
        <f t="shared" si="73"/>
      </c>
      <c r="BL14" s="46" t="e">
        <f t="shared" si="74"/>
        <v>#REF!</v>
      </c>
      <c r="BM14" s="43">
        <f t="shared" si="75"/>
        <v>36.3448275862069</v>
      </c>
      <c r="BN14" s="43"/>
      <c r="BO14" s="46" t="e">
        <f t="shared" si="76"/>
        <v>#REF!</v>
      </c>
      <c r="BP14" s="43">
        <f t="shared" si="77"/>
        <v>39.3448275862069</v>
      </c>
      <c r="BQ14" s="43"/>
      <c r="BR14" s="46" t="e">
        <f t="shared" si="78"/>
        <v>#REF!</v>
      </c>
      <c r="BS14" s="43">
        <f t="shared" si="79"/>
        <v>39.3448275862069</v>
      </c>
      <c r="BT14" s="43"/>
      <c r="BU14" s="46" t="e">
        <f t="shared" si="80"/>
        <v>#REF!</v>
      </c>
      <c r="BV14" s="43">
        <f t="shared" si="81"/>
        <v>39.3448275862069</v>
      </c>
      <c r="BW14" s="43"/>
      <c r="BX14" s="46" t="e">
        <f t="shared" si="82"/>
        <v>#REF!</v>
      </c>
      <c r="BY14" s="43"/>
      <c r="BZ14" s="42" t="e">
        <f t="shared" ref="BZ14:BZ18" si="91">BU14*-1</f>
        <v>#REF!</v>
      </c>
      <c r="CA14" s="52" t="e">
        <f t="shared" ref="CA14:CA18" si="92">BZ14/6</f>
        <v>#REF!</v>
      </c>
      <c r="CB14" s="42" t="e">
        <f t="shared" ref="CB14:CB18" si="93">ROUNDUP(CA14,0)</f>
        <v>#REF!</v>
      </c>
      <c r="CC14" s="53" t="e">
        <f t="shared" ref="CC14:CC18" si="94">CB14*6</f>
        <v>#REF!</v>
      </c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AMF14" s="47"/>
      <c r="AMG14" s="47"/>
      <c r="AMH14" s="47"/>
      <c r="AMI14" s="47"/>
      <c r="AMJ14" s="47"/>
    </row>
    <row r="15" ht="14.0">
      <c r="A15" s="37" t="s">
        <v>32</v>
      </c>
      <c r="B15" s="37" t="s">
        <v>33</v>
      </c>
      <c r="C15" s="37" t="s">
        <v>49</v>
      </c>
      <c r="D15" s="38">
        <v>36803.0</v>
      </c>
      <c r="E15" s="37">
        <v>0.0</v>
      </c>
      <c r="F15" s="37">
        <v>9.0</v>
      </c>
      <c r="G15" s="37">
        <v>33.0</v>
      </c>
      <c r="H15" s="37">
        <v>18.0</v>
      </c>
      <c r="I15" s="37">
        <v>33.0</v>
      </c>
      <c r="J15" s="37">
        <v>24.0</v>
      </c>
      <c r="K15" s="37">
        <v>12.0</v>
      </c>
      <c r="L15" s="37">
        <v>12.0</v>
      </c>
      <c r="M15" s="37">
        <v>15.0</v>
      </c>
      <c r="N15" s="37">
        <v>21.0</v>
      </c>
      <c r="O15" s="37">
        <v>12.0</v>
      </c>
      <c r="P15" s="37">
        <v>9.0</v>
      </c>
      <c r="Q15" s="37">
        <v>21.0</v>
      </c>
      <c r="R15" s="37">
        <v>9.0</v>
      </c>
      <c r="S15" s="37">
        <v>21.0</v>
      </c>
      <c r="T15" s="37">
        <v>12.0</v>
      </c>
      <c r="U15" s="37">
        <v>15.0</v>
      </c>
      <c r="V15" s="37">
        <v>48.0</v>
      </c>
      <c r="W15" s="37">
        <v>15.0</v>
      </c>
      <c r="X15" s="37">
        <v>6.0</v>
      </c>
      <c r="Y15" s="37">
        <v>30.0</v>
      </c>
      <c r="Z15" s="37">
        <v>42.0</v>
      </c>
      <c r="AA15" s="37">
        <v>9.0</v>
      </c>
      <c r="AB15" s="37">
        <v>0.0</v>
      </c>
      <c r="AC15" s="37">
        <v>7.0</v>
      </c>
      <c r="AD15" s="37">
        <v>18.0</v>
      </c>
      <c r="AE15" s="37">
        <v>18.0</v>
      </c>
      <c r="AF15" s="37">
        <v>22.0</v>
      </c>
      <c r="AG15" s="37">
        <v>24.0</v>
      </c>
      <c r="AH15" s="37">
        <v>29.0</v>
      </c>
      <c r="AI15" s="37">
        <v>24.0</v>
      </c>
      <c r="AJ15" s="37">
        <v>6.0</v>
      </c>
      <c r="AK15" s="37">
        <v>24.0</v>
      </c>
      <c r="AL15" s="37">
        <v>15.0</v>
      </c>
      <c r="AM15" s="37">
        <v>42.0</v>
      </c>
      <c r="AN15" s="37">
        <v>0.0</v>
      </c>
      <c r="AO15" s="39">
        <f t="shared" si="3"/>
        <v>229.0</v>
      </c>
      <c r="AP15" s="39">
        <f t="shared" si="4"/>
        <v>111.0</v>
      </c>
      <c r="AQ15" s="39">
        <f t="shared" si="5"/>
        <v>122.1</v>
      </c>
      <c r="AR15" s="51">
        <f t="shared" si="83"/>
        <v>21.3103448275862</v>
      </c>
      <c r="AS15" s="51">
        <f t="shared" si="84"/>
        <v>26.4137931034482</v>
      </c>
      <c r="AT15" s="51">
        <f t="shared" si="85"/>
        <v>31.5172413793103</v>
      </c>
      <c r="AU15" s="51">
        <f t="shared" si="86"/>
        <v>34.5172413793103</v>
      </c>
      <c r="AV15" s="51">
        <f t="shared" si="87"/>
        <v>34.5172413793103</v>
      </c>
      <c r="AW15" s="51">
        <f t="shared" si="88"/>
        <v>34.5172413793103</v>
      </c>
      <c r="AX15" s="41">
        <f t="shared" si="12"/>
        <v>182.79310344828</v>
      </c>
      <c r="AY15" s="41" t="e">
        <f t="shared" si="13"/>
        <v>#REF!</v>
      </c>
      <c r="AZ15" s="42" t="e">
        <f t="shared" si="89"/>
        <v>#REF!</v>
      </c>
      <c r="BA15" s="42"/>
      <c r="BB15" s="39" t="e">
        <f t="shared" si="66"/>
        <v>#REF!</v>
      </c>
      <c r="BC15" s="43">
        <f>VLOOKUP(C15,MOQ,3,FALSE())</f>
      </c>
      <c r="BD15" s="49" t="e">
        <f t="shared" si="90"/>
        <v>#REF!</v>
      </c>
      <c r="BE15" s="45" t="s">
        <v>42</v>
      </c>
      <c r="BF15" s="43" t="e">
        <f t="shared" si="68"/>
        <v>#REF!</v>
      </c>
      <c r="BG15" s="43">
        <f t="shared" si="69"/>
        <v>21.3103448275862</v>
      </c>
      <c r="BH15" s="43" t="e">
        <f t="shared" si="70"/>
        <v>#REF!</v>
      </c>
      <c r="BI15" s="46" t="e">
        <f t="shared" si="71"/>
        <v>#REF!</v>
      </c>
      <c r="BJ15" s="43">
        <f t="shared" si="72"/>
        <v>26.4137931034482</v>
      </c>
      <c r="BK15" s="43">
        <f t="shared" si="73"/>
      </c>
      <c r="BL15" s="46" t="e">
        <f t="shared" si="74"/>
        <v>#REF!</v>
      </c>
      <c r="BM15" s="43">
        <f t="shared" si="75"/>
        <v>31.5172413793103</v>
      </c>
      <c r="BN15" s="43"/>
      <c r="BO15" s="46" t="e">
        <f t="shared" si="76"/>
        <v>#REF!</v>
      </c>
      <c r="BP15" s="43">
        <f t="shared" si="77"/>
        <v>34.5172413793103</v>
      </c>
      <c r="BQ15" s="43"/>
      <c r="BR15" s="46" t="e">
        <f t="shared" si="78"/>
        <v>#REF!</v>
      </c>
      <c r="BS15" s="43">
        <f t="shared" si="79"/>
        <v>34.5172413793103</v>
      </c>
      <c r="BT15" s="43"/>
      <c r="BU15" s="46" t="e">
        <f t="shared" si="80"/>
        <v>#REF!</v>
      </c>
      <c r="BV15" s="43">
        <f t="shared" si="81"/>
        <v>34.5172413793103</v>
      </c>
      <c r="BW15" s="43"/>
      <c r="BX15" s="46" t="e">
        <f t="shared" si="82"/>
        <v>#REF!</v>
      </c>
      <c r="BY15" s="43"/>
      <c r="BZ15" s="42" t="e">
        <f t="shared" si="91"/>
        <v>#REF!</v>
      </c>
      <c r="CA15" s="52" t="e">
        <f t="shared" si="92"/>
        <v>#REF!</v>
      </c>
      <c r="CB15" s="42" t="e">
        <f t="shared" si="93"/>
        <v>#REF!</v>
      </c>
      <c r="CC15" s="53" t="e">
        <f t="shared" si="94"/>
        <v>#REF!</v>
      </c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AMF15" s="47"/>
      <c r="AMG15" s="47"/>
      <c r="AMH15" s="47"/>
      <c r="AMI15" s="47"/>
    </row>
    <row r="16" ht="14.0">
      <c r="A16" s="37" t="s">
        <v>32</v>
      </c>
      <c r="B16" s="37" t="s">
        <v>33</v>
      </c>
      <c r="C16" s="37" t="s">
        <v>50</v>
      </c>
      <c r="D16" s="38">
        <v>36804.0</v>
      </c>
      <c r="E16" s="37">
        <v>15.0</v>
      </c>
      <c r="F16" s="37">
        <v>9.0</v>
      </c>
      <c r="G16" s="37">
        <v>57.0</v>
      </c>
      <c r="H16" s="37">
        <v>15.0</v>
      </c>
      <c r="I16" s="37">
        <v>39.0</v>
      </c>
      <c r="J16" s="37">
        <v>36.0</v>
      </c>
      <c r="K16" s="37">
        <v>27.0</v>
      </c>
      <c r="L16" s="37">
        <v>12.0</v>
      </c>
      <c r="M16" s="37">
        <v>18.0</v>
      </c>
      <c r="N16" s="37">
        <v>30.0</v>
      </c>
      <c r="O16" s="37">
        <v>18.0</v>
      </c>
      <c r="P16" s="37">
        <v>6.0</v>
      </c>
      <c r="Q16" s="37">
        <v>12.0</v>
      </c>
      <c r="R16" s="37">
        <v>24.0</v>
      </c>
      <c r="S16" s="37">
        <v>21.0</v>
      </c>
      <c r="T16" s="37">
        <v>30.0</v>
      </c>
      <c r="U16" s="37">
        <v>9.0</v>
      </c>
      <c r="V16" s="37">
        <v>51.0</v>
      </c>
      <c r="W16" s="37">
        <v>12.0</v>
      </c>
      <c r="X16" s="37">
        <v>15.0</v>
      </c>
      <c r="Y16" s="37">
        <v>27.0</v>
      </c>
      <c r="Z16" s="37">
        <v>36.0</v>
      </c>
      <c r="AA16" s="37">
        <v>15.0</v>
      </c>
      <c r="AB16" s="37">
        <v>0.0</v>
      </c>
      <c r="AC16" s="37">
        <v>13.0</v>
      </c>
      <c r="AD16" s="37">
        <v>15.0</v>
      </c>
      <c r="AE16" s="37">
        <v>15.0</v>
      </c>
      <c r="AF16" s="37">
        <v>48.0</v>
      </c>
      <c r="AG16" s="37">
        <v>3.0</v>
      </c>
      <c r="AH16" s="37">
        <v>12.0</v>
      </c>
      <c r="AI16" s="37">
        <v>45.0</v>
      </c>
      <c r="AJ16" s="37">
        <v>9.0</v>
      </c>
      <c r="AK16" s="37">
        <v>27.0</v>
      </c>
      <c r="AL16" s="37">
        <v>15.0</v>
      </c>
      <c r="AM16" s="37">
        <v>21.0</v>
      </c>
      <c r="AN16" s="37">
        <v>6.0</v>
      </c>
      <c r="AO16" s="39">
        <f t="shared" si="3"/>
        <v>229.0</v>
      </c>
      <c r="AP16" s="39">
        <f t="shared" si="4"/>
        <v>123.0</v>
      </c>
      <c r="AQ16" s="39">
        <f t="shared" si="5"/>
        <v>135.3</v>
      </c>
      <c r="AR16" s="51">
        <f t="shared" si="83"/>
        <v>22.9655172413793</v>
      </c>
      <c r="AS16" s="51">
        <f t="shared" si="84"/>
        <v>28.6206896551724</v>
      </c>
      <c r="AT16" s="51">
        <f t="shared" si="85"/>
        <v>34.2758620689654</v>
      </c>
      <c r="AU16" s="51">
        <f t="shared" si="86"/>
        <v>37.2758620689654</v>
      </c>
      <c r="AV16" s="51">
        <f t="shared" si="87"/>
        <v>37.2758620689654</v>
      </c>
      <c r="AW16" s="51">
        <f t="shared" si="88"/>
        <v>37.2758620689654</v>
      </c>
      <c r="AX16" s="41">
        <f t="shared" si="12"/>
        <v>197.689655172413</v>
      </c>
      <c r="AY16" s="41" t="e">
        <f t="shared" si="13"/>
        <v>#REF!</v>
      </c>
      <c r="AZ16" s="42" t="e">
        <f t="shared" si="89"/>
        <v>#REF!</v>
      </c>
      <c r="BA16" s="42"/>
      <c r="BB16" s="39" t="e">
        <f t="shared" si="66"/>
        <v>#REF!</v>
      </c>
      <c r="BC16" s="43">
        <f>VLOOKUP(C16,MOQ,3,FALSE())</f>
      </c>
      <c r="BD16" s="49" t="e">
        <f t="shared" si="90"/>
        <v>#REF!</v>
      </c>
      <c r="BE16" s="45" t="s">
        <v>8</v>
      </c>
      <c r="BF16" s="43" t="e">
        <f t="shared" si="68"/>
        <v>#REF!</v>
      </c>
      <c r="BG16" s="43">
        <f t="shared" si="69"/>
        <v>22.9655172413793</v>
      </c>
      <c r="BH16" s="43" t="e">
        <f t="shared" si="70"/>
        <v>#REF!</v>
      </c>
      <c r="BI16" s="46" t="e">
        <f t="shared" si="71"/>
        <v>#REF!</v>
      </c>
      <c r="BJ16" s="43">
        <f t="shared" si="72"/>
        <v>28.6206896551724</v>
      </c>
      <c r="BK16" s="43">
        <f t="shared" si="73"/>
      </c>
      <c r="BL16" s="46" t="e">
        <f t="shared" si="74"/>
        <v>#REF!</v>
      </c>
      <c r="BM16" s="43">
        <f t="shared" si="75"/>
        <v>34.2758620689654</v>
      </c>
      <c r="BN16" s="43"/>
      <c r="BO16" s="46" t="e">
        <f t="shared" si="76"/>
        <v>#REF!</v>
      </c>
      <c r="BP16" s="43">
        <f t="shared" si="77"/>
        <v>37.2758620689654</v>
      </c>
      <c r="BQ16" s="43"/>
      <c r="BR16" s="46" t="e">
        <f t="shared" si="78"/>
        <v>#REF!</v>
      </c>
      <c r="BS16" s="43">
        <f t="shared" si="79"/>
        <v>37.2758620689654</v>
      </c>
      <c r="BT16" s="43"/>
      <c r="BU16" s="46" t="e">
        <f t="shared" si="80"/>
        <v>#REF!</v>
      </c>
      <c r="BV16" s="43">
        <f t="shared" si="81"/>
        <v>37.2758620689654</v>
      </c>
      <c r="BW16" s="43"/>
      <c r="BX16" s="46" t="e">
        <f t="shared" si="82"/>
        <v>#REF!</v>
      </c>
      <c r="BY16" s="42"/>
      <c r="BZ16" s="42" t="e">
        <f t="shared" si="91"/>
        <v>#REF!</v>
      </c>
      <c r="CA16" s="52" t="e">
        <f t="shared" si="92"/>
        <v>#REF!</v>
      </c>
      <c r="CB16" s="42" t="e">
        <f t="shared" si="93"/>
        <v>#REF!</v>
      </c>
      <c r="CC16" s="53" t="e">
        <f t="shared" si="94"/>
        <v>#REF!</v>
      </c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AMF16" s="50"/>
      <c r="AMG16" s="50"/>
      <c r="AMH16" s="50"/>
      <c r="AMI16" s="50"/>
    </row>
    <row r="17" ht="14.0">
      <c r="A17" s="37" t="s">
        <v>32</v>
      </c>
      <c r="B17" s="37" t="s">
        <v>33</v>
      </c>
      <c r="C17" s="37" t="s">
        <v>51</v>
      </c>
      <c r="D17" s="38">
        <v>36805.0</v>
      </c>
      <c r="E17" s="37">
        <v>9.0</v>
      </c>
      <c r="F17" s="37">
        <v>9.0</v>
      </c>
      <c r="G17" s="37">
        <v>60.0</v>
      </c>
      <c r="H17" s="37">
        <v>24.0</v>
      </c>
      <c r="I17" s="37">
        <v>36.0</v>
      </c>
      <c r="J17" s="37">
        <v>27.0</v>
      </c>
      <c r="K17" s="37">
        <v>12.0</v>
      </c>
      <c r="L17" s="37">
        <v>9.0</v>
      </c>
      <c r="M17" s="37">
        <v>24.0</v>
      </c>
      <c r="N17" s="37">
        <v>27.0</v>
      </c>
      <c r="O17" s="37">
        <v>15.0</v>
      </c>
      <c r="P17" s="37">
        <v>15.0</v>
      </c>
      <c r="Q17" s="37">
        <v>33.0</v>
      </c>
      <c r="R17" s="37">
        <v>15.0</v>
      </c>
      <c r="S17" s="37">
        <v>27.0</v>
      </c>
      <c r="T17" s="37">
        <v>27.0</v>
      </c>
      <c r="U17" s="37">
        <v>27.0</v>
      </c>
      <c r="V17" s="37">
        <v>42.0</v>
      </c>
      <c r="W17" s="37">
        <v>6.0</v>
      </c>
      <c r="X17" s="37">
        <v>18.0</v>
      </c>
      <c r="Y17" s="37">
        <v>42.0</v>
      </c>
      <c r="Z17" s="37">
        <v>39.0</v>
      </c>
      <c r="AA17" s="37">
        <v>12.0</v>
      </c>
      <c r="AB17" s="37">
        <v>9.0</v>
      </c>
      <c r="AC17" s="37">
        <v>7.0</v>
      </c>
      <c r="AD17" s="37">
        <v>30.0</v>
      </c>
      <c r="AE17" s="37">
        <v>24.0</v>
      </c>
      <c r="AF17" s="37">
        <v>42.0</v>
      </c>
      <c r="AG17" s="37">
        <v>30.0</v>
      </c>
      <c r="AH17" s="37">
        <v>18.0</v>
      </c>
      <c r="AI17" s="37">
        <v>39.0</v>
      </c>
      <c r="AJ17" s="37">
        <v>33.0</v>
      </c>
      <c r="AK17" s="37">
        <v>37.0</v>
      </c>
      <c r="AL17" s="37">
        <v>3.0</v>
      </c>
      <c r="AM17" s="37">
        <v>39.0</v>
      </c>
      <c r="AN17" s="37">
        <v>24.0</v>
      </c>
      <c r="AO17" s="39">
        <f t="shared" si="3"/>
        <v>326.0</v>
      </c>
      <c r="AP17" s="39">
        <f t="shared" si="4"/>
        <v>175.0</v>
      </c>
      <c r="AQ17" s="39">
        <f t="shared" si="5"/>
        <v>192.5</v>
      </c>
      <c r="AR17" s="51">
        <f t="shared" si="83"/>
        <v>30.1379310344828</v>
      </c>
      <c r="AS17" s="51">
        <f t="shared" si="84"/>
        <v>38.183908045977</v>
      </c>
      <c r="AT17" s="51">
        <f t="shared" si="85"/>
        <v>46.2298850574712</v>
      </c>
      <c r="AU17" s="51">
        <f t="shared" si="86"/>
        <v>49.2298850574712</v>
      </c>
      <c r="AV17" s="51">
        <f t="shared" si="87"/>
        <v>49.2298850574712</v>
      </c>
      <c r="AW17" s="51">
        <f t="shared" si="88"/>
        <v>49.2298850574712</v>
      </c>
      <c r="AX17" s="41">
        <f t="shared" si="12"/>
        <v>262.241379310344</v>
      </c>
      <c r="AY17" s="41" t="e">
        <f t="shared" si="13"/>
        <v>#REF!</v>
      </c>
      <c r="AZ17" s="42" t="e">
        <f t="shared" si="89"/>
        <v>#REF!</v>
      </c>
      <c r="BA17" s="42"/>
      <c r="BB17" s="39" t="e">
        <f t="shared" si="66"/>
        <v>#REF!</v>
      </c>
      <c r="BC17" s="43">
        <f>VLOOKUP(C17,MOQ,3,FALSE())</f>
      </c>
      <c r="BD17" s="49" t="e">
        <f t="shared" si="90"/>
        <v>#REF!</v>
      </c>
      <c r="BE17" s="45" t="s">
        <v>7</v>
      </c>
      <c r="BF17" s="43" t="e">
        <f t="shared" si="68"/>
        <v>#REF!</v>
      </c>
      <c r="BG17" s="43">
        <f t="shared" si="69"/>
        <v>30.1379310344828</v>
      </c>
      <c r="BH17" s="43" t="e">
        <f t="shared" si="70"/>
        <v>#REF!</v>
      </c>
      <c r="BI17" s="46" t="e">
        <f t="shared" si="71"/>
        <v>#REF!</v>
      </c>
      <c r="BJ17" s="43">
        <f t="shared" si="72"/>
        <v>38.183908045977</v>
      </c>
      <c r="BK17" s="43">
        <f t="shared" si="73"/>
      </c>
      <c r="BL17" s="46" t="e">
        <f t="shared" si="74"/>
        <v>#REF!</v>
      </c>
      <c r="BM17" s="43">
        <f t="shared" si="75"/>
        <v>46.2298850574712</v>
      </c>
      <c r="BN17" s="43"/>
      <c r="BO17" s="46" t="e">
        <f t="shared" si="76"/>
        <v>#REF!</v>
      </c>
      <c r="BP17" s="43">
        <f t="shared" si="77"/>
        <v>49.2298850574712</v>
      </c>
      <c r="BQ17" s="43"/>
      <c r="BR17" s="46" t="e">
        <f t="shared" si="78"/>
        <v>#REF!</v>
      </c>
      <c r="BS17" s="43">
        <f t="shared" si="79"/>
        <v>49.2298850574712</v>
      </c>
      <c r="BT17" s="43"/>
      <c r="BU17" s="46" t="e">
        <f t="shared" si="80"/>
        <v>#REF!</v>
      </c>
      <c r="BV17" s="43">
        <f t="shared" si="81"/>
        <v>49.2298850574712</v>
      </c>
      <c r="BW17" s="43"/>
      <c r="BX17" s="46" t="e">
        <f t="shared" si="82"/>
        <v>#REF!</v>
      </c>
      <c r="BY17" s="43"/>
      <c r="BZ17" s="42" t="e">
        <f t="shared" si="91"/>
        <v>#REF!</v>
      </c>
      <c r="CA17" s="52" t="e">
        <f t="shared" si="92"/>
        <v>#REF!</v>
      </c>
      <c r="CB17" s="42" t="e">
        <f t="shared" si="93"/>
        <v>#REF!</v>
      </c>
      <c r="CC17" s="53" t="e">
        <f t="shared" si="94"/>
        <v>#REF!</v>
      </c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AMF17" s="47"/>
      <c r="AMG17" s="47"/>
      <c r="AMH17" s="47"/>
      <c r="AMI17" s="47"/>
      <c r="AMJ17" s="47"/>
    </row>
    <row r="18" ht="14.0">
      <c r="A18" s="37" t="s">
        <v>32</v>
      </c>
      <c r="B18" s="37" t="s">
        <v>33</v>
      </c>
      <c r="C18" s="37" t="s">
        <v>52</v>
      </c>
      <c r="D18" s="38">
        <v>36806.0</v>
      </c>
      <c r="E18" s="37">
        <v>0.0</v>
      </c>
      <c r="F18" s="37">
        <v>0.0</v>
      </c>
      <c r="G18" s="37">
        <v>0.0</v>
      </c>
      <c r="H18" s="37">
        <v>0.0</v>
      </c>
      <c r="I18" s="37">
        <v>0.0</v>
      </c>
      <c r="J18" s="37">
        <v>0.0</v>
      </c>
      <c r="K18" s="37">
        <v>0.0</v>
      </c>
      <c r="L18" s="37">
        <v>0.0</v>
      </c>
      <c r="M18" s="37">
        <v>0.0</v>
      </c>
      <c r="N18" s="37">
        <v>0.0</v>
      </c>
      <c r="O18" s="37">
        <v>0.0</v>
      </c>
      <c r="P18" s="37">
        <v>0.0</v>
      </c>
      <c r="Q18" s="37">
        <v>0.0</v>
      </c>
      <c r="R18" s="37">
        <v>0.0</v>
      </c>
      <c r="S18" s="37">
        <v>0.0</v>
      </c>
      <c r="T18" s="37">
        <v>0.0</v>
      </c>
      <c r="U18" s="37">
        <v>0.0</v>
      </c>
      <c r="V18" s="37">
        <v>0.0</v>
      </c>
      <c r="W18" s="37">
        <v>0.0</v>
      </c>
      <c r="X18" s="37">
        <v>0.0</v>
      </c>
      <c r="Y18" s="37">
        <v>0.0</v>
      </c>
      <c r="Z18" s="37">
        <v>0.0</v>
      </c>
      <c r="AA18" s="37">
        <v>0.0</v>
      </c>
      <c r="AB18" s="37">
        <v>0.0</v>
      </c>
      <c r="AC18" s="37">
        <v>1.0</v>
      </c>
      <c r="AD18" s="37">
        <v>12.0</v>
      </c>
      <c r="AE18" s="37">
        <v>12.0</v>
      </c>
      <c r="AF18" s="37">
        <v>15.0</v>
      </c>
      <c r="AG18" s="37">
        <v>0.0</v>
      </c>
      <c r="AH18" s="37">
        <v>0.0</v>
      </c>
      <c r="AI18" s="37">
        <v>0.0</v>
      </c>
      <c r="AJ18" s="37">
        <v>0.0</v>
      </c>
      <c r="AK18" s="37">
        <v>18.0</v>
      </c>
      <c r="AL18" s="37">
        <v>0.0</v>
      </c>
      <c r="AM18" s="37">
        <v>39.0</v>
      </c>
      <c r="AN18" s="37">
        <v>30.0</v>
      </c>
      <c r="AO18" s="39">
        <f t="shared" si="3"/>
        <v>127.0</v>
      </c>
      <c r="AP18" s="39">
        <f t="shared" si="4"/>
        <v>87.0</v>
      </c>
      <c r="AQ18" s="39">
        <f t="shared" si="5"/>
        <v>95.7</v>
      </c>
      <c r="AR18" s="51">
        <f t="shared" si="83"/>
        <v>18.0</v>
      </c>
      <c r="AS18" s="51">
        <f t="shared" si="84"/>
        <v>22.0</v>
      </c>
      <c r="AT18" s="51">
        <f t="shared" si="85"/>
        <v>26.0</v>
      </c>
      <c r="AU18" s="51">
        <f t="shared" si="86"/>
        <v>29.0</v>
      </c>
      <c r="AV18" s="51">
        <f t="shared" si="87"/>
        <v>29.0</v>
      </c>
      <c r="AW18" s="51">
        <f t="shared" si="88"/>
        <v>29.0</v>
      </c>
      <c r="AX18" s="41">
        <f t="shared" si="12"/>
        <v>153.0</v>
      </c>
      <c r="AY18" s="41" t="e">
        <f t="shared" si="13"/>
        <v>#REF!</v>
      </c>
      <c r="AZ18" s="42"/>
      <c r="BA18" s="42"/>
      <c r="BB18" s="39" t="e">
        <f t="shared" si="66"/>
        <v>#REF!</v>
      </c>
      <c r="BC18" s="43"/>
      <c r="BD18" s="49" t="e">
        <f t="shared" si="90"/>
        <v>#REF!</v>
      </c>
      <c r="BE18" s="45" t="s">
        <v>6</v>
      </c>
      <c r="BF18" s="43" t="e">
        <f t="shared" si="68"/>
        <v>#REF!</v>
      </c>
      <c r="BG18" s="43">
        <f t="shared" si="69"/>
        <v>18.0</v>
      </c>
      <c r="BH18" s="43">
        <f t="shared" si="70"/>
      </c>
      <c r="BI18" s="46" t="e">
        <f t="shared" si="71"/>
        <v>#REF!</v>
      </c>
      <c r="BJ18" s="43">
        <f t="shared" si="72"/>
        <v>22.0</v>
      </c>
      <c r="BK18" s="43">
        <f t="shared" si="73"/>
      </c>
      <c r="BL18" s="46" t="e">
        <f t="shared" si="74"/>
        <v>#REF!</v>
      </c>
      <c r="BM18" s="43">
        <f t="shared" si="75"/>
        <v>26.0</v>
      </c>
      <c r="BN18" s="43"/>
      <c r="BO18" s="46" t="e">
        <f t="shared" si="76"/>
        <v>#REF!</v>
      </c>
      <c r="BP18" s="43">
        <f t="shared" si="77"/>
        <v>29.0</v>
      </c>
      <c r="BQ18" s="43"/>
      <c r="BR18" s="46" t="e">
        <f t="shared" si="78"/>
        <v>#REF!</v>
      </c>
      <c r="BS18" s="43">
        <f t="shared" si="79"/>
        <v>29.0</v>
      </c>
      <c r="BT18" s="43"/>
      <c r="BU18" s="46" t="e">
        <f t="shared" si="80"/>
        <v>#REF!</v>
      </c>
      <c r="BV18" s="43">
        <f t="shared" si="81"/>
        <v>29.0</v>
      </c>
      <c r="BW18" s="43"/>
      <c r="BX18" s="46" t="e">
        <f t="shared" si="82"/>
        <v>#REF!</v>
      </c>
      <c r="BY18" s="43"/>
      <c r="BZ18" s="42" t="e">
        <f t="shared" si="91"/>
        <v>#REF!</v>
      </c>
      <c r="CA18" s="52" t="e">
        <f t="shared" si="92"/>
        <v>#REF!</v>
      </c>
      <c r="CB18" s="42" t="e">
        <f t="shared" si="93"/>
        <v>#REF!</v>
      </c>
      <c r="CC18" s="53" t="e">
        <f t="shared" si="94"/>
        <v>#REF!</v>
      </c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AMF18" s="47"/>
      <c r="AMG18" s="47"/>
      <c r="AMH18" s="47"/>
      <c r="AMI18" s="47"/>
    </row>
    <row r="19" ht="14.0">
      <c r="A19" s="37" t="s">
        <v>32</v>
      </c>
      <c r="B19" s="37" t="s">
        <v>53</v>
      </c>
      <c r="C19" s="37" t="s">
        <v>54</v>
      </c>
      <c r="D19" s="38" t="s">
        <v>55</v>
      </c>
      <c r="E19" s="37">
        <v>0.0</v>
      </c>
      <c r="F19" s="37">
        <v>0.0</v>
      </c>
      <c r="G19" s="37">
        <v>0.0</v>
      </c>
      <c r="H19" s="37">
        <v>0.0</v>
      </c>
      <c r="I19" s="37">
        <v>0.0</v>
      </c>
      <c r="J19" s="37">
        <v>0.0</v>
      </c>
      <c r="K19" s="37">
        <v>0.0</v>
      </c>
      <c r="L19" s="37">
        <v>0.0</v>
      </c>
      <c r="M19" s="37">
        <v>0.0</v>
      </c>
      <c r="N19" s="37">
        <v>0.0</v>
      </c>
      <c r="O19" s="37">
        <v>0.0</v>
      </c>
      <c r="P19" s="37">
        <v>0.0</v>
      </c>
      <c r="Q19" s="37">
        <v>0.0</v>
      </c>
      <c r="R19" s="37">
        <v>0.0</v>
      </c>
      <c r="S19" s="37">
        <v>0.0</v>
      </c>
      <c r="T19" s="37">
        <v>0.0</v>
      </c>
      <c r="U19" s="37">
        <v>0.0</v>
      </c>
      <c r="V19" s="37">
        <v>0.0</v>
      </c>
      <c r="W19" s="37">
        <v>0.0</v>
      </c>
      <c r="X19" s="37">
        <v>0.0</v>
      </c>
      <c r="Y19" s="37">
        <v>0.0</v>
      </c>
      <c r="Z19" s="37">
        <v>0.0</v>
      </c>
      <c r="AA19" s="37">
        <v>0.0</v>
      </c>
      <c r="AB19" s="37">
        <v>0.0</v>
      </c>
      <c r="AC19" s="37">
        <v>0.0</v>
      </c>
      <c r="AD19" s="37">
        <v>0.0</v>
      </c>
      <c r="AE19" s="37">
        <v>0.0</v>
      </c>
      <c r="AF19" s="37">
        <v>0.0</v>
      </c>
      <c r="AG19" s="37">
        <v>0.0</v>
      </c>
      <c r="AH19" s="37">
        <v>0.0</v>
      </c>
      <c r="AI19" s="37">
        <v>0.0</v>
      </c>
      <c r="AJ19" s="37">
        <v>0.0</v>
      </c>
      <c r="AK19" s="37">
        <v>0.0</v>
      </c>
      <c r="AL19" s="37">
        <v>0.0</v>
      </c>
      <c r="AM19" s="37">
        <v>1.0</v>
      </c>
      <c r="AN19" s="37">
        <v>0.0</v>
      </c>
      <c r="AO19" s="39">
        <f t="shared" si="3"/>
        <v>1.0</v>
      </c>
      <c r="AP19" s="39">
        <f t="shared" si="4"/>
        <v>1.0</v>
      </c>
      <c r="AQ19" s="39">
        <f t="shared" si="5"/>
        <v>1.1</v>
      </c>
      <c r="AR19" s="40">
        <f>AR20</f>
        <v>1.0</v>
      </c>
      <c r="AS19" s="40">
        <f>AS20</f>
        <v>1.0</v>
      </c>
      <c r="AT19" s="40">
        <f>AT20</f>
        <v>0.919540229885058</v>
      </c>
      <c r="AU19" s="40">
        <f>AU20</f>
        <v>2.0</v>
      </c>
      <c r="AV19" s="40">
        <f>AV20</f>
        <v>2.0</v>
      </c>
      <c r="AW19" s="40">
        <f>AW20</f>
        <v>2.0</v>
      </c>
      <c r="AX19" s="41">
        <f t="shared" si="12"/>
        <v>8.91954022988506</v>
      </c>
      <c r="AY19" s="41" t="e">
        <f t="shared" si="13"/>
        <v>#REF!</v>
      </c>
      <c r="AZ19" s="42"/>
      <c r="BA19" s="42"/>
      <c r="BB19" s="39" t="e">
        <f t="shared" si="66"/>
        <v>#REF!</v>
      </c>
      <c r="BC19" s="43"/>
      <c r="BD19" s="49"/>
      <c r="BE19" s="45"/>
      <c r="BF19" s="43" t="e">
        <f t="shared" si="68"/>
        <v>#REF!</v>
      </c>
      <c r="BG19" s="43">
        <f t="shared" si="69"/>
        <v>1.0</v>
      </c>
      <c r="BH19" s="43">
        <f t="shared" si="70"/>
      </c>
      <c r="BI19" s="46" t="e">
        <f t="shared" si="71"/>
        <v>#REF!</v>
      </c>
      <c r="BJ19" s="43">
        <f t="shared" si="72"/>
        <v>1.0</v>
      </c>
      <c r="BK19" s="43">
        <f t="shared" si="73"/>
      </c>
      <c r="BL19" s="46" t="e">
        <f t="shared" si="74"/>
        <v>#REF!</v>
      </c>
      <c r="BM19" s="43">
        <f t="shared" si="75"/>
        <v>0.919540229885058</v>
      </c>
      <c r="BN19" s="43"/>
      <c r="BO19" s="46" t="e">
        <f t="shared" si="76"/>
        <v>#REF!</v>
      </c>
      <c r="BP19" s="43">
        <f t="shared" si="77"/>
        <v>2.0</v>
      </c>
      <c r="BQ19" s="43"/>
      <c r="BR19" s="46" t="e">
        <f t="shared" si="78"/>
        <v>#REF!</v>
      </c>
      <c r="BS19" s="43">
        <f t="shared" si="79"/>
        <v>2.0</v>
      </c>
      <c r="BT19" s="43"/>
      <c r="BU19" s="46" t="e">
        <f t="shared" si="80"/>
        <v>#REF!</v>
      </c>
      <c r="BV19" s="43">
        <f t="shared" si="81"/>
        <v>2.0</v>
      </c>
      <c r="BW19" s="43"/>
      <c r="BX19" s="46" t="e">
        <f t="shared" si="82"/>
        <v>#REF!</v>
      </c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  <c r="CS19" s="42"/>
      <c r="CT19" s="42"/>
      <c r="CU19" s="42"/>
      <c r="CV19" s="42"/>
      <c r="CW19" s="42"/>
      <c r="CX19" s="42"/>
      <c r="AMF19" s="50"/>
      <c r="AMG19" s="50"/>
      <c r="AMH19" s="50"/>
      <c r="AMI19" s="50"/>
    </row>
    <row r="20" ht="14.0">
      <c r="A20" s="37" t="s">
        <v>32</v>
      </c>
      <c r="B20" s="37" t="s">
        <v>53</v>
      </c>
      <c r="C20" s="37" t="s">
        <v>56</v>
      </c>
      <c r="D20" s="38" t="s">
        <v>57</v>
      </c>
      <c r="E20" s="37">
        <v>0.0</v>
      </c>
      <c r="F20" s="37">
        <v>0.0</v>
      </c>
      <c r="G20" s="37">
        <v>0.0</v>
      </c>
      <c r="H20" s="37">
        <v>0.0</v>
      </c>
      <c r="I20" s="37">
        <v>0.0</v>
      </c>
      <c r="J20" s="37">
        <v>0.0</v>
      </c>
      <c r="K20" s="37">
        <v>0.0</v>
      </c>
      <c r="L20" s="37">
        <v>0.0</v>
      </c>
      <c r="M20" s="37">
        <v>0.0</v>
      </c>
      <c r="N20" s="37">
        <v>0.0</v>
      </c>
      <c r="O20" s="37">
        <v>0.0</v>
      </c>
      <c r="P20" s="37">
        <v>0.0</v>
      </c>
      <c r="Q20" s="37">
        <v>0.0</v>
      </c>
      <c r="R20" s="37">
        <v>0.0</v>
      </c>
      <c r="S20" s="37">
        <v>0.0</v>
      </c>
      <c r="T20" s="37">
        <v>0.0</v>
      </c>
      <c r="U20" s="37">
        <v>0.0</v>
      </c>
      <c r="V20" s="37">
        <v>0.0</v>
      </c>
      <c r="W20" s="37">
        <v>0.0</v>
      </c>
      <c r="X20" s="37">
        <v>0.0</v>
      </c>
      <c r="Y20" s="37">
        <v>0.0</v>
      </c>
      <c r="Z20" s="37">
        <v>0.0</v>
      </c>
      <c r="AA20" s="37">
        <v>0.0</v>
      </c>
      <c r="AB20" s="37">
        <v>0.0</v>
      </c>
      <c r="AC20" s="37">
        <v>3.0</v>
      </c>
      <c r="AD20" s="37">
        <v>2.0</v>
      </c>
      <c r="AE20" s="37">
        <v>6.0</v>
      </c>
      <c r="AF20" s="37">
        <v>4.0</v>
      </c>
      <c r="AG20" s="37">
        <v>2.0</v>
      </c>
      <c r="AH20" s="37">
        <v>2.0</v>
      </c>
      <c r="AI20" s="37">
        <v>0.0</v>
      </c>
      <c r="AJ20" s="37">
        <v>3.0</v>
      </c>
      <c r="AK20" s="37">
        <v>0.0</v>
      </c>
      <c r="AL20" s="37">
        <v>1.0</v>
      </c>
      <c r="AM20" s="37">
        <v>0.0</v>
      </c>
      <c r="AN20" s="37">
        <v>0.0</v>
      </c>
      <c r="AO20" s="39">
        <f t="shared" si="3"/>
        <v>23.0</v>
      </c>
      <c r="AP20" s="39">
        <f t="shared" si="4"/>
        <v>4.0</v>
      </c>
      <c r="AQ20" s="39">
        <f t="shared" si="5"/>
        <v>4.4</v>
      </c>
      <c r="AR20" s="48">
        <v>1.0</v>
      </c>
      <c r="AS20" s="48">
        <v>1.0</v>
      </c>
      <c r="AT20" s="48">
        <f>AQ20*$AT$4/$AQ$4</f>
        <v>0.919540229885058</v>
      </c>
      <c r="AU20" s="48">
        <v>2.0</v>
      </c>
      <c r="AV20" s="48">
        <v>2.0</v>
      </c>
      <c r="AW20" s="48">
        <v>2.0</v>
      </c>
      <c r="AX20" s="41">
        <f t="shared" si="12"/>
        <v>8.91954022988506</v>
      </c>
      <c r="AY20" s="41" t="e">
        <f t="shared" si="13"/>
        <v>#REF!</v>
      </c>
      <c r="AZ20" s="42"/>
      <c r="BA20" s="42"/>
      <c r="BB20" s="39"/>
      <c r="BC20" s="43"/>
      <c r="BD20" s="44"/>
      <c r="BE20" s="45"/>
      <c r="BF20" s="43"/>
      <c r="BG20" s="43"/>
      <c r="BH20" s="43"/>
      <c r="BI20" s="46"/>
      <c r="BJ20" s="43"/>
      <c r="BK20" s="43"/>
      <c r="BL20" s="46"/>
      <c r="BM20" s="43"/>
      <c r="BN20" s="43"/>
      <c r="BO20" s="46"/>
      <c r="BP20" s="43"/>
      <c r="BQ20" s="43"/>
      <c r="BR20" s="46"/>
      <c r="BS20" s="43"/>
      <c r="BT20" s="43"/>
      <c r="BU20" s="46"/>
      <c r="BV20" s="43"/>
      <c r="BW20" s="43"/>
      <c r="BX20" s="46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AMF20" s="47"/>
      <c r="AMG20" s="47"/>
      <c r="AMH20" s="47"/>
      <c r="AMI20" s="47"/>
    </row>
    <row r="21" ht="14.0">
      <c r="A21" s="37" t="s">
        <v>32</v>
      </c>
      <c r="B21" s="37" t="s">
        <v>53</v>
      </c>
      <c r="C21" s="37" t="s">
        <v>58</v>
      </c>
      <c r="D21" s="38">
        <v>71101.0</v>
      </c>
      <c r="E21" s="37">
        <v>0.0</v>
      </c>
      <c r="F21" s="37">
        <v>0.0</v>
      </c>
      <c r="G21" s="37">
        <v>0.0</v>
      </c>
      <c r="H21" s="37">
        <v>0.0</v>
      </c>
      <c r="I21" s="37">
        <v>0.0</v>
      </c>
      <c r="J21" s="37">
        <v>0.0</v>
      </c>
      <c r="K21" s="37">
        <v>0.0</v>
      </c>
      <c r="L21" s="37">
        <v>0.0</v>
      </c>
      <c r="M21" s="37">
        <v>0.0</v>
      </c>
      <c r="N21" s="37">
        <v>0.0</v>
      </c>
      <c r="O21" s="37">
        <v>0.0</v>
      </c>
      <c r="P21" s="37">
        <v>0.0</v>
      </c>
      <c r="Q21" s="37">
        <v>0.0</v>
      </c>
      <c r="R21" s="37">
        <v>0.0</v>
      </c>
      <c r="S21" s="37">
        <v>0.0</v>
      </c>
      <c r="T21" s="37">
        <v>0.0</v>
      </c>
      <c r="U21" s="37">
        <v>0.0</v>
      </c>
      <c r="V21" s="37">
        <v>0.0</v>
      </c>
      <c r="W21" s="37">
        <v>0.0</v>
      </c>
      <c r="X21" s="37">
        <v>0.0</v>
      </c>
      <c r="Y21" s="37">
        <v>0.0</v>
      </c>
      <c r="Z21" s="37">
        <v>0.0</v>
      </c>
      <c r="AA21" s="37">
        <v>0.0</v>
      </c>
      <c r="AB21" s="37">
        <v>5.0</v>
      </c>
      <c r="AC21" s="37">
        <v>107.0</v>
      </c>
      <c r="AD21" s="37">
        <v>57.0</v>
      </c>
      <c r="AE21" s="37">
        <v>63.0</v>
      </c>
      <c r="AF21" s="37">
        <v>42.0</v>
      </c>
      <c r="AG21" s="37">
        <v>63.0</v>
      </c>
      <c r="AH21" s="37">
        <v>45.0</v>
      </c>
      <c r="AI21" s="37">
        <v>48.0</v>
      </c>
      <c r="AJ21" s="37">
        <v>30.0</v>
      </c>
      <c r="AK21" s="37">
        <v>42.0</v>
      </c>
      <c r="AL21" s="37">
        <v>18.0</v>
      </c>
      <c r="AM21" s="37">
        <v>42.0</v>
      </c>
      <c r="AN21" s="37">
        <v>16.0</v>
      </c>
      <c r="AO21" s="39">
        <f t="shared" si="3"/>
        <v>573.0</v>
      </c>
      <c r="AP21" s="39">
        <f t="shared" si="4"/>
        <v>196.0</v>
      </c>
      <c r="AQ21" s="39">
        <f t="shared" si="5"/>
        <v>215.6</v>
      </c>
      <c r="AR21" s="51">
        <f t="shared" ref="AR21:AR25" si="102">AQ21*$AR$4/$AQ$4+3*$AR$20</f>
        <v>30.0344827586207</v>
      </c>
      <c r="AS21" s="51">
        <f t="shared" ref="AS21:AS25" si="103">AQ21*$AS$4/$AQ$4+3*$AS$20</f>
        <v>39.0459770114942</v>
      </c>
      <c r="AT21" s="51">
        <f t="shared" ref="AT21:AT25" si="104">AQ21*$AT$4/$AQ$4+3*$AT$20</f>
        <v>47.816091954023</v>
      </c>
      <c r="AU21" s="51">
        <f t="shared" ref="AU21:AU25" si="105">AQ21*$AU$4/$AQ$4+3*$AU$20</f>
        <v>51.0574712643678</v>
      </c>
      <c r="AV21" s="51">
        <f t="shared" ref="AV21:AV25" si="106">AQ21*$AV$4/$AQ$4+3*$AV$20</f>
        <v>51.0574712643678</v>
      </c>
      <c r="AW21" s="51">
        <f t="shared" ref="AW21:AW25" si="107">AQ21*$AW$4/$AQ$4+3*$AW$20</f>
        <v>51.0574712643678</v>
      </c>
      <c r="AX21" s="41">
        <f t="shared" si="12"/>
        <v>270.068965517241</v>
      </c>
      <c r="AY21" s="41" t="e">
        <f t="shared" si="13"/>
        <v>#REF!</v>
      </c>
      <c r="AZ21" s="42"/>
      <c r="BA21" s="42"/>
      <c r="BB21" s="39" t="e">
        <f t="shared" ref="BB21:BB26" si="108">AY21+AZ21+BA21-AX21</f>
        <v>#REF!</v>
      </c>
      <c r="BC21" s="43"/>
      <c r="BD21" s="49" t="e">
        <f>BB21*-1</f>
        <v>#REF!</v>
      </c>
      <c r="BE21" s="45" t="s">
        <v>8</v>
      </c>
      <c r="BF21" s="43" t="e">
        <f t="shared" ref="BF21:BF26" si="110">AY21</f>
        <v>#REF!</v>
      </c>
      <c r="BG21" s="43">
        <f t="shared" ref="BG21:BG26" si="111">AR21</f>
        <v>30.0344827586207</v>
      </c>
      <c r="BH21" s="43">
        <f t="shared" ref="BH21:BH26" si="112">AZ21</f>
      </c>
      <c r="BI21" s="46" t="e">
        <f t="shared" ref="BI21:BI26" si="113">BF21+BH21-BG21</f>
        <v>#REF!</v>
      </c>
      <c r="BJ21" s="43">
        <f t="shared" ref="BJ21:BJ26" si="114">AS21</f>
        <v>39.0459770114942</v>
      </c>
      <c r="BK21" s="43">
        <f t="shared" ref="BK21:BK26" si="115">BA21</f>
      </c>
      <c r="BL21" s="46" t="e">
        <f t="shared" ref="BL21:BL26" si="116">BI21+BK21-BJ21</f>
        <v>#REF!</v>
      </c>
      <c r="BM21" s="43">
        <f t="shared" ref="BM21:BM26" si="117">AT21</f>
        <v>47.816091954023</v>
      </c>
      <c r="BN21" s="43"/>
      <c r="BO21" s="46" t="e">
        <f t="shared" ref="BO21:BO26" si="118">BL21+BN21-BM21</f>
        <v>#REF!</v>
      </c>
      <c r="BP21" s="43">
        <f t="shared" ref="BP21:BP26" si="119">AU21</f>
        <v>51.0574712643678</v>
      </c>
      <c r="BQ21" s="43"/>
      <c r="BR21" s="46" t="e">
        <f t="shared" ref="BR21:BR26" si="120">BO21+BQ21-BP21</f>
        <v>#REF!</v>
      </c>
      <c r="BS21" s="43">
        <f t="shared" ref="BS21:BS26" si="121">AV21</f>
        <v>51.0574712643678</v>
      </c>
      <c r="BT21" s="43"/>
      <c r="BU21" s="46" t="e">
        <f t="shared" ref="BU21:BU26" si="122">BR21+BT21-BS21</f>
        <v>#REF!</v>
      </c>
      <c r="BV21" s="43">
        <f t="shared" ref="BV21:BV26" si="123">AW21</f>
        <v>51.0574712643678</v>
      </c>
      <c r="BW21" s="43"/>
      <c r="BX21" s="46" t="e">
        <f t="shared" ref="BX21:BX26" si="124">BU21+BW21-BV21</f>
        <v>#REF!</v>
      </c>
      <c r="BY21" s="43"/>
      <c r="BZ21" s="42" t="e">
        <f>BU21*-1</f>
        <v>#REF!</v>
      </c>
      <c r="CA21" s="52" t="e">
        <f>BZ21/6</f>
        <v>#REF!</v>
      </c>
      <c r="CB21" s="42" t="e">
        <f>ROUNDUP(CA21,0)</f>
        <v>#REF!</v>
      </c>
      <c r="CC21" s="53" t="e">
        <f>CB21*6</f>
        <v>#REF!</v>
      </c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AMF21" s="47"/>
      <c r="AMG21" s="47"/>
      <c r="AMH21" s="47"/>
      <c r="AMI21" s="47"/>
      <c r="AMJ21" s="47"/>
    </row>
    <row r="22" ht="14.0">
      <c r="A22" s="37" t="s">
        <v>32</v>
      </c>
      <c r="B22" s="37" t="s">
        <v>53</v>
      </c>
      <c r="C22" s="37" t="s">
        <v>59</v>
      </c>
      <c r="D22" s="38">
        <v>71201.0</v>
      </c>
      <c r="E22" s="37">
        <v>0.0</v>
      </c>
      <c r="F22" s="37">
        <v>0.0</v>
      </c>
      <c r="G22" s="37">
        <v>0.0</v>
      </c>
      <c r="H22" s="37">
        <v>0.0</v>
      </c>
      <c r="I22" s="37">
        <v>0.0</v>
      </c>
      <c r="J22" s="37">
        <v>0.0</v>
      </c>
      <c r="K22" s="37">
        <v>0.0</v>
      </c>
      <c r="L22" s="37">
        <v>0.0</v>
      </c>
      <c r="M22" s="37">
        <v>0.0</v>
      </c>
      <c r="N22" s="37">
        <v>0.0</v>
      </c>
      <c r="O22" s="37">
        <v>0.0</v>
      </c>
      <c r="P22" s="37">
        <v>0.0</v>
      </c>
      <c r="Q22" s="37">
        <v>0.0</v>
      </c>
      <c r="R22" s="37">
        <v>0.0</v>
      </c>
      <c r="S22" s="37">
        <v>0.0</v>
      </c>
      <c r="T22" s="37">
        <v>0.0</v>
      </c>
      <c r="U22" s="37">
        <v>0.0</v>
      </c>
      <c r="V22" s="37">
        <v>0.0</v>
      </c>
      <c r="W22" s="37">
        <v>0.0</v>
      </c>
      <c r="X22" s="37">
        <v>34.0</v>
      </c>
      <c r="Y22" s="37">
        <v>33.0</v>
      </c>
      <c r="Z22" s="37">
        <v>9.0</v>
      </c>
      <c r="AA22" s="37">
        <v>6.0</v>
      </c>
      <c r="AB22" s="37">
        <v>3.0</v>
      </c>
      <c r="AC22" s="37">
        <v>24.0</v>
      </c>
      <c r="AD22" s="37">
        <v>10.0</v>
      </c>
      <c r="AE22" s="37">
        <v>9.0</v>
      </c>
      <c r="AF22" s="37">
        <v>3.0</v>
      </c>
      <c r="AG22" s="37">
        <v>6.0</v>
      </c>
      <c r="AH22" s="37">
        <v>12.0</v>
      </c>
      <c r="AI22" s="37">
        <v>3.0</v>
      </c>
      <c r="AJ22" s="37">
        <v>0.0</v>
      </c>
      <c r="AK22" s="37">
        <v>6.0</v>
      </c>
      <c r="AL22" s="37">
        <v>9.0</v>
      </c>
      <c r="AM22" s="37">
        <v>3.0</v>
      </c>
      <c r="AN22" s="37">
        <v>0.0</v>
      </c>
      <c r="AO22" s="39">
        <f t="shared" si="3"/>
        <v>85.0</v>
      </c>
      <c r="AP22" s="39">
        <f t="shared" si="4"/>
        <v>21.0</v>
      </c>
      <c r="AQ22" s="39">
        <f t="shared" si="5"/>
        <v>23.1</v>
      </c>
      <c r="AR22" s="51">
        <f t="shared" si="102"/>
        <v>5.89655172413793</v>
      </c>
      <c r="AS22" s="51">
        <f t="shared" si="103"/>
        <v>6.86206896551724</v>
      </c>
      <c r="AT22" s="51">
        <f t="shared" si="104"/>
        <v>7.58620689655172</v>
      </c>
      <c r="AU22" s="51">
        <f t="shared" si="105"/>
        <v>10.8275862068966</v>
      </c>
      <c r="AV22" s="51">
        <f t="shared" si="106"/>
        <v>10.8275862068966</v>
      </c>
      <c r="AW22" s="51">
        <f t="shared" si="107"/>
        <v>10.8275862068966</v>
      </c>
      <c r="AX22" s="41">
        <f t="shared" si="12"/>
        <v>52.8275862068967</v>
      </c>
      <c r="AY22" s="41" t="e">
        <f t="shared" si="13"/>
        <v>#REF!</v>
      </c>
      <c r="AZ22" s="42"/>
      <c r="BA22" s="42"/>
      <c r="BB22" s="39" t="e">
        <f t="shared" si="108"/>
        <v>#REF!</v>
      </c>
      <c r="BC22" s="43"/>
      <c r="BD22" s="44"/>
      <c r="BE22" s="45"/>
      <c r="BF22" s="43" t="e">
        <f t="shared" si="110"/>
        <v>#REF!</v>
      </c>
      <c r="BG22" s="43">
        <f t="shared" si="111"/>
        <v>5.89655172413793</v>
      </c>
      <c r="BH22" s="43">
        <f t="shared" si="112"/>
      </c>
      <c r="BI22" s="46" t="e">
        <f t="shared" si="113"/>
        <v>#REF!</v>
      </c>
      <c r="BJ22" s="43">
        <f t="shared" si="114"/>
        <v>6.86206896551724</v>
      </c>
      <c r="BK22" s="43">
        <f t="shared" si="115"/>
      </c>
      <c r="BL22" s="46" t="e">
        <f t="shared" si="116"/>
        <v>#REF!</v>
      </c>
      <c r="BM22" s="43">
        <f t="shared" si="117"/>
        <v>7.58620689655172</v>
      </c>
      <c r="BN22" s="43"/>
      <c r="BO22" s="46" t="e">
        <f t="shared" si="118"/>
        <v>#REF!</v>
      </c>
      <c r="BP22" s="43">
        <f t="shared" si="119"/>
        <v>10.8275862068966</v>
      </c>
      <c r="BQ22" s="43"/>
      <c r="BR22" s="46" t="e">
        <f t="shared" si="120"/>
        <v>#REF!</v>
      </c>
      <c r="BS22" s="43">
        <f t="shared" si="121"/>
        <v>10.8275862068966</v>
      </c>
      <c r="BT22" s="43"/>
      <c r="BU22" s="46" t="e">
        <f t="shared" si="122"/>
        <v>#REF!</v>
      </c>
      <c r="BV22" s="43">
        <f t="shared" si="123"/>
        <v>10.8275862068966</v>
      </c>
      <c r="BW22" s="43"/>
      <c r="BX22" s="46" t="e">
        <f t="shared" si="124"/>
        <v>#REF!</v>
      </c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AMF22" s="47"/>
      <c r="AMG22" s="47"/>
      <c r="AMH22" s="47"/>
      <c r="AMI22" s="47"/>
      <c r="AMJ22" s="47"/>
    </row>
    <row r="23" ht="14.0">
      <c r="A23" s="37" t="s">
        <v>32</v>
      </c>
      <c r="B23" s="37" t="s">
        <v>53</v>
      </c>
      <c r="C23" s="37" t="s">
        <v>60</v>
      </c>
      <c r="D23" s="38">
        <v>71301.0</v>
      </c>
      <c r="E23" s="37">
        <v>0.0</v>
      </c>
      <c r="F23" s="37">
        <v>0.0</v>
      </c>
      <c r="G23" s="37">
        <v>0.0</v>
      </c>
      <c r="H23" s="37">
        <v>0.0</v>
      </c>
      <c r="I23" s="37">
        <v>0.0</v>
      </c>
      <c r="J23" s="37">
        <v>0.0</v>
      </c>
      <c r="K23" s="37">
        <v>0.0</v>
      </c>
      <c r="L23" s="37">
        <v>0.0</v>
      </c>
      <c r="M23" s="37">
        <v>0.0</v>
      </c>
      <c r="N23" s="37">
        <v>0.0</v>
      </c>
      <c r="O23" s="37">
        <v>0.0</v>
      </c>
      <c r="P23" s="37">
        <v>0.0</v>
      </c>
      <c r="Q23" s="37">
        <v>0.0</v>
      </c>
      <c r="R23" s="37">
        <v>0.0</v>
      </c>
      <c r="S23" s="37">
        <v>0.0</v>
      </c>
      <c r="T23" s="37">
        <v>0.0</v>
      </c>
      <c r="U23" s="37">
        <v>0.0</v>
      </c>
      <c r="V23" s="37">
        <v>0.0</v>
      </c>
      <c r="W23" s="37">
        <v>0.0</v>
      </c>
      <c r="X23" s="37">
        <v>0.0</v>
      </c>
      <c r="Y23" s="37">
        <v>0.0</v>
      </c>
      <c r="Z23" s="37">
        <v>0.0</v>
      </c>
      <c r="AA23" s="37">
        <v>0.0</v>
      </c>
      <c r="AB23" s="37">
        <v>5.0</v>
      </c>
      <c r="AC23" s="37">
        <v>61.0</v>
      </c>
      <c r="AD23" s="37">
        <v>33.0</v>
      </c>
      <c r="AE23" s="37">
        <v>33.0</v>
      </c>
      <c r="AF23" s="37">
        <v>36.0</v>
      </c>
      <c r="AG23" s="37">
        <v>27.0</v>
      </c>
      <c r="AH23" s="37">
        <v>24.0</v>
      </c>
      <c r="AI23" s="37">
        <v>18.0</v>
      </c>
      <c r="AJ23" s="37">
        <v>21.0</v>
      </c>
      <c r="AK23" s="37">
        <v>15.0</v>
      </c>
      <c r="AL23" s="37">
        <v>6.0</v>
      </c>
      <c r="AM23" s="37">
        <v>15.0</v>
      </c>
      <c r="AN23" s="37">
        <v>0.0</v>
      </c>
      <c r="AO23" s="39">
        <f t="shared" si="3"/>
        <v>289.0</v>
      </c>
      <c r="AP23" s="39">
        <f t="shared" si="4"/>
        <v>75.0</v>
      </c>
      <c r="AQ23" s="39">
        <f t="shared" si="5"/>
        <v>82.5</v>
      </c>
      <c r="AR23" s="51">
        <f t="shared" si="102"/>
        <v>13.3448275862069</v>
      </c>
      <c r="AS23" s="51">
        <f t="shared" si="103"/>
        <v>16.7931034482759</v>
      </c>
      <c r="AT23" s="51">
        <f t="shared" si="104"/>
        <v>20.0</v>
      </c>
      <c r="AU23" s="51">
        <f t="shared" si="105"/>
        <v>23.2413793103448</v>
      </c>
      <c r="AV23" s="51">
        <f t="shared" si="106"/>
        <v>23.2413793103448</v>
      </c>
      <c r="AW23" s="51">
        <f t="shared" si="107"/>
        <v>23.2413793103448</v>
      </c>
      <c r="AX23" s="41">
        <f t="shared" si="12"/>
        <v>119.862068965517</v>
      </c>
      <c r="AY23" s="41" t="e">
        <f t="shared" si="13"/>
        <v>#REF!</v>
      </c>
      <c r="AZ23" s="42"/>
      <c r="BA23" s="42"/>
      <c r="BB23" s="39" t="e">
        <f t="shared" si="108"/>
        <v>#REF!</v>
      </c>
      <c r="BC23" s="43"/>
      <c r="BD23" s="44"/>
      <c r="BE23" s="45"/>
      <c r="BF23" s="43" t="e">
        <f t="shared" si="110"/>
        <v>#REF!</v>
      </c>
      <c r="BG23" s="43">
        <f t="shared" si="111"/>
        <v>13.3448275862069</v>
      </c>
      <c r="BH23" s="43">
        <f t="shared" si="112"/>
      </c>
      <c r="BI23" s="46" t="e">
        <f t="shared" si="113"/>
        <v>#REF!</v>
      </c>
      <c r="BJ23" s="43">
        <f t="shared" si="114"/>
        <v>16.7931034482759</v>
      </c>
      <c r="BK23" s="43">
        <f t="shared" si="115"/>
      </c>
      <c r="BL23" s="46" t="e">
        <f t="shared" si="116"/>
        <v>#REF!</v>
      </c>
      <c r="BM23" s="43">
        <f t="shared" si="117"/>
        <v>20.0</v>
      </c>
      <c r="BN23" s="43"/>
      <c r="BO23" s="46" t="e">
        <f t="shared" si="118"/>
        <v>#REF!</v>
      </c>
      <c r="BP23" s="43">
        <f t="shared" si="119"/>
        <v>23.2413793103448</v>
      </c>
      <c r="BQ23" s="43"/>
      <c r="BR23" s="46" t="e">
        <f t="shared" si="120"/>
        <v>#REF!</v>
      </c>
      <c r="BS23" s="43">
        <f t="shared" si="121"/>
        <v>23.2413793103448</v>
      </c>
      <c r="BT23" s="43"/>
      <c r="BU23" s="46" t="e">
        <f t="shared" si="122"/>
        <v>#REF!</v>
      </c>
      <c r="BV23" s="43">
        <f t="shared" si="123"/>
        <v>23.2413793103448</v>
      </c>
      <c r="BW23" s="43"/>
      <c r="BX23" s="46" t="e">
        <f t="shared" si="124"/>
        <v>#REF!</v>
      </c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AMF23" s="47"/>
      <c r="AMG23" s="47"/>
      <c r="AMH23" s="47"/>
      <c r="AMI23" s="47"/>
      <c r="AMJ23" s="47"/>
    </row>
    <row r="24" ht="14.0">
      <c r="A24" s="37" t="s">
        <v>32</v>
      </c>
      <c r="B24" s="37" t="s">
        <v>53</v>
      </c>
      <c r="C24" s="37" t="s">
        <v>61</v>
      </c>
      <c r="D24" s="38">
        <v>71401.0</v>
      </c>
      <c r="E24" s="37">
        <v>0.0</v>
      </c>
      <c r="F24" s="37">
        <v>0.0</v>
      </c>
      <c r="G24" s="37">
        <v>0.0</v>
      </c>
      <c r="H24" s="37">
        <v>0.0</v>
      </c>
      <c r="I24" s="37">
        <v>0.0</v>
      </c>
      <c r="J24" s="37">
        <v>0.0</v>
      </c>
      <c r="K24" s="37">
        <v>0.0</v>
      </c>
      <c r="L24" s="37">
        <v>0.0</v>
      </c>
      <c r="M24" s="37">
        <v>0.0</v>
      </c>
      <c r="N24" s="37">
        <v>0.0</v>
      </c>
      <c r="O24" s="37">
        <v>0.0</v>
      </c>
      <c r="P24" s="37">
        <v>0.0</v>
      </c>
      <c r="Q24" s="37">
        <v>0.0</v>
      </c>
      <c r="R24" s="37">
        <v>0.0</v>
      </c>
      <c r="S24" s="37">
        <v>0.0</v>
      </c>
      <c r="T24" s="37">
        <v>0.0</v>
      </c>
      <c r="U24" s="37">
        <v>0.0</v>
      </c>
      <c r="V24" s="37">
        <v>0.0</v>
      </c>
      <c r="W24" s="37">
        <v>0.0</v>
      </c>
      <c r="X24" s="37">
        <v>0.0</v>
      </c>
      <c r="Y24" s="37">
        <v>0.0</v>
      </c>
      <c r="Z24" s="37">
        <v>0.0</v>
      </c>
      <c r="AA24" s="37">
        <v>0.0</v>
      </c>
      <c r="AB24" s="37">
        <v>5.0</v>
      </c>
      <c r="AC24" s="37">
        <v>79.0</v>
      </c>
      <c r="AD24" s="37">
        <v>39.0</v>
      </c>
      <c r="AE24" s="37">
        <v>30.0</v>
      </c>
      <c r="AF24" s="37">
        <v>27.0</v>
      </c>
      <c r="AG24" s="37">
        <v>15.0</v>
      </c>
      <c r="AH24" s="37">
        <v>15.0</v>
      </c>
      <c r="AI24" s="37">
        <v>24.0</v>
      </c>
      <c r="AJ24" s="37">
        <v>12.0</v>
      </c>
      <c r="AK24" s="37">
        <v>18.0</v>
      </c>
      <c r="AL24" s="37">
        <v>9.0</v>
      </c>
      <c r="AM24" s="37">
        <v>18.0</v>
      </c>
      <c r="AN24" s="37">
        <v>3.0</v>
      </c>
      <c r="AO24" s="39">
        <f t="shared" si="3"/>
        <v>289.0</v>
      </c>
      <c r="AP24" s="39">
        <f t="shared" si="4"/>
        <v>84.0</v>
      </c>
      <c r="AQ24" s="39">
        <f t="shared" si="5"/>
        <v>92.4</v>
      </c>
      <c r="AR24" s="51">
        <f t="shared" si="102"/>
        <v>14.5862068965517</v>
      </c>
      <c r="AS24" s="51">
        <f t="shared" si="103"/>
        <v>18.448275862069</v>
      </c>
      <c r="AT24" s="51">
        <f t="shared" si="104"/>
        <v>22.0689655172413</v>
      </c>
      <c r="AU24" s="51">
        <f t="shared" si="105"/>
        <v>25.3103448275862</v>
      </c>
      <c r="AV24" s="51">
        <f t="shared" si="106"/>
        <v>25.3103448275862</v>
      </c>
      <c r="AW24" s="51">
        <f t="shared" si="107"/>
        <v>25.3103448275862</v>
      </c>
      <c r="AX24" s="41">
        <f t="shared" si="12"/>
        <v>131.03448275862</v>
      </c>
      <c r="AY24" s="41" t="e">
        <f t="shared" si="13"/>
        <v>#REF!</v>
      </c>
      <c r="AZ24" s="42"/>
      <c r="BA24" s="42"/>
      <c r="BB24" s="39" t="e">
        <f t="shared" si="108"/>
        <v>#REF!</v>
      </c>
      <c r="BC24" s="43"/>
      <c r="BD24" s="44"/>
      <c r="BE24" s="45"/>
      <c r="BF24" s="43" t="e">
        <f t="shared" si="110"/>
        <v>#REF!</v>
      </c>
      <c r="BG24" s="43">
        <f t="shared" si="111"/>
        <v>14.5862068965517</v>
      </c>
      <c r="BH24" s="43">
        <f t="shared" si="112"/>
      </c>
      <c r="BI24" s="46" t="e">
        <f t="shared" si="113"/>
        <v>#REF!</v>
      </c>
      <c r="BJ24" s="43">
        <f t="shared" si="114"/>
        <v>18.448275862069</v>
      </c>
      <c r="BK24" s="43">
        <f t="shared" si="115"/>
      </c>
      <c r="BL24" s="46" t="e">
        <f t="shared" si="116"/>
        <v>#REF!</v>
      </c>
      <c r="BM24" s="43">
        <f t="shared" si="117"/>
        <v>22.0689655172413</v>
      </c>
      <c r="BN24" s="43"/>
      <c r="BO24" s="46" t="e">
        <f t="shared" si="118"/>
        <v>#REF!</v>
      </c>
      <c r="BP24" s="43">
        <f t="shared" si="119"/>
        <v>25.3103448275862</v>
      </c>
      <c r="BQ24" s="43"/>
      <c r="BR24" s="46" t="e">
        <f t="shared" si="120"/>
        <v>#REF!</v>
      </c>
      <c r="BS24" s="43">
        <f t="shared" si="121"/>
        <v>25.3103448275862</v>
      </c>
      <c r="BT24" s="43"/>
      <c r="BU24" s="46" t="e">
        <f t="shared" si="122"/>
        <v>#REF!</v>
      </c>
      <c r="BV24" s="43">
        <f t="shared" si="123"/>
        <v>25.3103448275862</v>
      </c>
      <c r="BW24" s="43"/>
      <c r="BX24" s="46" t="e">
        <f t="shared" si="124"/>
        <v>#REF!</v>
      </c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AMF24" s="47"/>
      <c r="AMG24" s="47"/>
      <c r="AMH24" s="47"/>
      <c r="AMI24" s="47"/>
      <c r="AMJ24" s="47"/>
    </row>
    <row r="25" ht="14.0">
      <c r="A25" s="37" t="s">
        <v>32</v>
      </c>
      <c r="B25" s="37" t="s">
        <v>53</v>
      </c>
      <c r="C25" s="37" t="s">
        <v>62</v>
      </c>
      <c r="D25" s="38">
        <v>71501.0</v>
      </c>
      <c r="E25" s="37">
        <v>0.0</v>
      </c>
      <c r="F25" s="37">
        <v>0.0</v>
      </c>
      <c r="G25" s="37">
        <v>0.0</v>
      </c>
      <c r="H25" s="37">
        <v>0.0</v>
      </c>
      <c r="I25" s="37">
        <v>0.0</v>
      </c>
      <c r="J25" s="37">
        <v>0.0</v>
      </c>
      <c r="K25" s="37">
        <v>0.0</v>
      </c>
      <c r="L25" s="37">
        <v>0.0</v>
      </c>
      <c r="M25" s="37">
        <v>0.0</v>
      </c>
      <c r="N25" s="37">
        <v>0.0</v>
      </c>
      <c r="O25" s="37">
        <v>0.0</v>
      </c>
      <c r="P25" s="37">
        <v>0.0</v>
      </c>
      <c r="Q25" s="37">
        <v>0.0</v>
      </c>
      <c r="R25" s="37">
        <v>0.0</v>
      </c>
      <c r="S25" s="37">
        <v>0.0</v>
      </c>
      <c r="T25" s="37">
        <v>0.0</v>
      </c>
      <c r="U25" s="37">
        <v>0.0</v>
      </c>
      <c r="V25" s="37">
        <v>0.0</v>
      </c>
      <c r="W25" s="37">
        <v>0.0</v>
      </c>
      <c r="X25" s="37">
        <v>43.0</v>
      </c>
      <c r="Y25" s="37">
        <v>90.0</v>
      </c>
      <c r="Z25" s="37">
        <v>30.0</v>
      </c>
      <c r="AA25" s="37">
        <v>6.0</v>
      </c>
      <c r="AB25" s="37">
        <v>15.0</v>
      </c>
      <c r="AC25" s="37">
        <v>36.0</v>
      </c>
      <c r="AD25" s="37">
        <v>7.0</v>
      </c>
      <c r="AE25" s="37">
        <v>15.0</v>
      </c>
      <c r="AF25" s="37">
        <v>21.0</v>
      </c>
      <c r="AG25" s="37">
        <v>6.0</v>
      </c>
      <c r="AH25" s="37">
        <v>9.0</v>
      </c>
      <c r="AI25" s="37">
        <v>21.0</v>
      </c>
      <c r="AJ25" s="37">
        <v>6.0</v>
      </c>
      <c r="AK25" s="37">
        <v>9.0</v>
      </c>
      <c r="AL25" s="37">
        <v>3.0</v>
      </c>
      <c r="AM25" s="37">
        <v>18.0</v>
      </c>
      <c r="AN25" s="37">
        <v>0.0</v>
      </c>
      <c r="AO25" s="39">
        <f t="shared" si="3"/>
        <v>151.0</v>
      </c>
      <c r="AP25" s="39">
        <f t="shared" si="4"/>
        <v>57.0</v>
      </c>
      <c r="AQ25" s="39">
        <f t="shared" si="5"/>
        <v>62.7</v>
      </c>
      <c r="AR25" s="51">
        <f t="shared" si="102"/>
        <v>10.8620689655172</v>
      </c>
      <c r="AS25" s="51">
        <f t="shared" si="103"/>
        <v>13.4827586206897</v>
      </c>
      <c r="AT25" s="51">
        <f t="shared" si="104"/>
        <v>15.8620689655171</v>
      </c>
      <c r="AU25" s="51">
        <f t="shared" si="105"/>
        <v>19.103448275862</v>
      </c>
      <c r="AV25" s="51">
        <f t="shared" si="106"/>
        <v>19.103448275862</v>
      </c>
      <c r="AW25" s="51">
        <f t="shared" si="107"/>
        <v>19.103448275862</v>
      </c>
      <c r="AX25" s="41">
        <f t="shared" si="12"/>
        <v>97.51724137931</v>
      </c>
      <c r="AY25" s="41" t="e">
        <f t="shared" si="13"/>
        <v>#REF!</v>
      </c>
      <c r="AZ25" s="42"/>
      <c r="BA25" s="42"/>
      <c r="BB25" s="39" t="e">
        <f t="shared" si="108"/>
        <v>#REF!</v>
      </c>
      <c r="BC25" s="43">
        <f>VLOOKUP(C25,MOQ,3,FALSE())</f>
      </c>
      <c r="BD25" s="44"/>
      <c r="BE25" s="45"/>
      <c r="BF25" s="43" t="e">
        <f t="shared" si="110"/>
        <v>#REF!</v>
      </c>
      <c r="BG25" s="43">
        <f t="shared" si="111"/>
        <v>10.8620689655172</v>
      </c>
      <c r="BH25" s="43">
        <f t="shared" si="112"/>
      </c>
      <c r="BI25" s="46" t="e">
        <f t="shared" si="113"/>
        <v>#REF!</v>
      </c>
      <c r="BJ25" s="43">
        <f t="shared" si="114"/>
        <v>13.4827586206897</v>
      </c>
      <c r="BK25" s="43">
        <f t="shared" si="115"/>
      </c>
      <c r="BL25" s="46" t="e">
        <f t="shared" si="116"/>
        <v>#REF!</v>
      </c>
      <c r="BM25" s="43">
        <f t="shared" si="117"/>
        <v>15.8620689655171</v>
      </c>
      <c r="BN25" s="43"/>
      <c r="BO25" s="46" t="e">
        <f t="shared" si="118"/>
        <v>#REF!</v>
      </c>
      <c r="BP25" s="43">
        <f t="shared" si="119"/>
        <v>19.103448275862</v>
      </c>
      <c r="BQ25" s="43"/>
      <c r="BR25" s="46" t="e">
        <f t="shared" si="120"/>
        <v>#REF!</v>
      </c>
      <c r="BS25" s="43">
        <f t="shared" si="121"/>
        <v>19.103448275862</v>
      </c>
      <c r="BT25" s="43"/>
      <c r="BU25" s="46" t="e">
        <f t="shared" si="122"/>
        <v>#REF!</v>
      </c>
      <c r="BV25" s="43">
        <f t="shared" si="123"/>
        <v>19.103448275862</v>
      </c>
      <c r="BW25" s="43"/>
      <c r="BX25" s="46" t="e">
        <f t="shared" si="124"/>
        <v>#REF!</v>
      </c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AMF25" s="47"/>
      <c r="AMG25" s="47"/>
      <c r="AMH25" s="47"/>
      <c r="AMI25" s="47"/>
      <c r="AMJ25" s="47"/>
    </row>
    <row r="26" ht="14.0">
      <c r="A26" s="37" t="s">
        <v>32</v>
      </c>
      <c r="B26" s="37" t="s">
        <v>63</v>
      </c>
      <c r="C26" s="37" t="s">
        <v>64</v>
      </c>
      <c r="D26" s="38" t="s">
        <v>65</v>
      </c>
      <c r="E26" s="37">
        <v>0.0</v>
      </c>
      <c r="F26" s="37">
        <v>0.0</v>
      </c>
      <c r="G26" s="37">
        <v>0.0</v>
      </c>
      <c r="H26" s="37">
        <v>0.0</v>
      </c>
      <c r="I26" s="37">
        <v>0.0</v>
      </c>
      <c r="J26" s="37">
        <v>2.0</v>
      </c>
      <c r="K26" s="37">
        <v>0.0</v>
      </c>
      <c r="L26" s="37">
        <v>0.0</v>
      </c>
      <c r="M26" s="37">
        <v>0.0</v>
      </c>
      <c r="N26" s="37">
        <v>0.0</v>
      </c>
      <c r="O26" s="37">
        <v>0.0</v>
      </c>
      <c r="P26" s="37">
        <v>0.0</v>
      </c>
      <c r="Q26" s="37">
        <v>0.0</v>
      </c>
      <c r="R26" s="37">
        <v>0.0</v>
      </c>
      <c r="S26" s="37">
        <v>1.0</v>
      </c>
      <c r="T26" s="37">
        <v>0.0</v>
      </c>
      <c r="U26" s="37">
        <v>0.0</v>
      </c>
      <c r="V26" s="37">
        <v>0.0</v>
      </c>
      <c r="W26" s="37">
        <v>0.0</v>
      </c>
      <c r="X26" s="37">
        <v>0.0</v>
      </c>
      <c r="Y26" s="37">
        <v>0.0</v>
      </c>
      <c r="Z26" s="37">
        <v>1.0</v>
      </c>
      <c r="AA26" s="37">
        <v>0.0</v>
      </c>
      <c r="AB26" s="37">
        <v>0.0</v>
      </c>
      <c r="AC26" s="37">
        <v>0.0</v>
      </c>
      <c r="AD26" s="37">
        <v>0.0</v>
      </c>
      <c r="AE26" s="37">
        <v>0.0</v>
      </c>
      <c r="AF26" s="37">
        <v>0.0</v>
      </c>
      <c r="AG26" s="37">
        <v>0.0</v>
      </c>
      <c r="AH26" s="37">
        <v>0.0</v>
      </c>
      <c r="AI26" s="37">
        <v>0.0</v>
      </c>
      <c r="AJ26" s="37">
        <v>0.0</v>
      </c>
      <c r="AK26" s="37">
        <v>0.0</v>
      </c>
      <c r="AL26" s="37">
        <v>0.0</v>
      </c>
      <c r="AM26" s="37">
        <v>0.0</v>
      </c>
      <c r="AN26" s="37">
        <v>0.0</v>
      </c>
      <c r="AO26" s="39">
        <f t="shared" si="3"/>
        <v>0.0</v>
      </c>
      <c r="AP26" s="39">
        <f t="shared" si="4"/>
        <v>0.0</v>
      </c>
      <c r="AQ26" s="39">
        <f t="shared" si="5"/>
        <v>0.0</v>
      </c>
      <c r="AR26" s="40">
        <f>AR27</f>
        <v>1.0</v>
      </c>
      <c r="AS26" s="40">
        <f>AS27</f>
        <v>1.0</v>
      </c>
      <c r="AT26" s="40">
        <f>AT27</f>
        <v>1.0</v>
      </c>
      <c r="AU26" s="40">
        <f>AU27</f>
        <v>1.0</v>
      </c>
      <c r="AV26" s="40">
        <f>AV27</f>
        <v>1.0</v>
      </c>
      <c r="AW26" s="40">
        <f>AW27</f>
        <v>1.0</v>
      </c>
      <c r="AX26" s="41">
        <f t="shared" si="12"/>
        <v>6.0</v>
      </c>
      <c r="AY26" s="41" t="e">
        <f t="shared" si="13"/>
        <v>#REF!</v>
      </c>
      <c r="AZ26" s="42"/>
      <c r="BA26" s="42"/>
      <c r="BB26" s="39" t="e">
        <f t="shared" si="108"/>
        <v>#REF!</v>
      </c>
      <c r="BC26" s="43">
        <f>VLOOKUP(C26,MOQ,3,FALSE())</f>
      </c>
      <c r="BD26" s="49"/>
      <c r="BE26" s="45"/>
      <c r="BF26" s="43" t="e">
        <f t="shared" si="110"/>
        <v>#REF!</v>
      </c>
      <c r="BG26" s="43">
        <f t="shared" si="111"/>
        <v>1.0</v>
      </c>
      <c r="BH26" s="43">
        <f t="shared" si="112"/>
      </c>
      <c r="BI26" s="46" t="e">
        <f t="shared" si="113"/>
        <v>#REF!</v>
      </c>
      <c r="BJ26" s="43">
        <f t="shared" si="114"/>
        <v>1.0</v>
      </c>
      <c r="BK26" s="43">
        <f t="shared" si="115"/>
      </c>
      <c r="BL26" s="46" t="e">
        <f t="shared" si="116"/>
        <v>#REF!</v>
      </c>
      <c r="BM26" s="43">
        <f t="shared" si="117"/>
        <v>1.0</v>
      </c>
      <c r="BN26" s="43"/>
      <c r="BO26" s="46" t="e">
        <f t="shared" si="118"/>
        <v>#REF!</v>
      </c>
      <c r="BP26" s="43">
        <f t="shared" si="119"/>
        <v>1.0</v>
      </c>
      <c r="BQ26" s="43"/>
      <c r="BR26" s="46" t="e">
        <f t="shared" si="120"/>
        <v>#REF!</v>
      </c>
      <c r="BS26" s="43">
        <f t="shared" si="121"/>
        <v>1.0</v>
      </c>
      <c r="BT26" s="43"/>
      <c r="BU26" s="46" t="e">
        <f t="shared" si="122"/>
        <v>#REF!</v>
      </c>
      <c r="BV26" s="43">
        <f t="shared" si="123"/>
        <v>1.0</v>
      </c>
      <c r="BW26" s="43"/>
      <c r="BX26" s="46" t="e">
        <f t="shared" si="124"/>
        <v>#REF!</v>
      </c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  <c r="CN26" s="42"/>
      <c r="CO26" s="42"/>
      <c r="CP26" s="42"/>
      <c r="CQ26" s="42"/>
      <c r="CR26" s="42"/>
      <c r="CS26" s="42"/>
      <c r="CT26" s="42"/>
      <c r="CU26" s="42"/>
      <c r="CV26" s="42"/>
      <c r="CW26" s="42"/>
      <c r="CX26" s="42"/>
      <c r="AMF26" s="50"/>
      <c r="AMG26" s="50"/>
      <c r="AMH26" s="50"/>
      <c r="AMI26" s="50"/>
    </row>
    <row r="27" ht="14.0">
      <c r="A27" s="37" t="s">
        <v>32</v>
      </c>
      <c r="B27" s="37" t="s">
        <v>63</v>
      </c>
      <c r="C27" s="37" t="s">
        <v>66</v>
      </c>
      <c r="D27" s="38" t="s">
        <v>67</v>
      </c>
      <c r="E27" s="37">
        <v>1.0</v>
      </c>
      <c r="F27" s="37">
        <v>4.0</v>
      </c>
      <c r="G27" s="37">
        <v>3.0</v>
      </c>
      <c r="H27" s="37">
        <v>6.0</v>
      </c>
      <c r="I27" s="37">
        <v>2.0</v>
      </c>
      <c r="J27" s="37">
        <v>2.0</v>
      </c>
      <c r="K27" s="37">
        <v>0.0</v>
      </c>
      <c r="L27" s="37">
        <v>4.0</v>
      </c>
      <c r="M27" s="37">
        <v>4.0</v>
      </c>
      <c r="N27" s="37">
        <v>1.0</v>
      </c>
      <c r="O27" s="37">
        <v>7.0</v>
      </c>
      <c r="P27" s="37">
        <v>2.0</v>
      </c>
      <c r="Q27" s="37">
        <v>0.0</v>
      </c>
      <c r="R27" s="37">
        <v>1.0</v>
      </c>
      <c r="S27" s="37">
        <v>1.0</v>
      </c>
      <c r="T27" s="37">
        <v>3.0</v>
      </c>
      <c r="U27" s="37">
        <v>0.0</v>
      </c>
      <c r="V27" s="37">
        <v>0.0</v>
      </c>
      <c r="W27" s="37">
        <v>2.0</v>
      </c>
      <c r="X27" s="37">
        <v>1.0</v>
      </c>
      <c r="Y27" s="37">
        <v>5.0</v>
      </c>
      <c r="Z27" s="37">
        <v>1.0</v>
      </c>
      <c r="AA27" s="37">
        <v>0.0</v>
      </c>
      <c r="AB27" s="37">
        <v>2.0</v>
      </c>
      <c r="AC27" s="37">
        <v>1.0</v>
      </c>
      <c r="AD27" s="37">
        <v>0.0</v>
      </c>
      <c r="AE27" s="37">
        <v>2.0</v>
      </c>
      <c r="AF27" s="37">
        <v>3.0</v>
      </c>
      <c r="AG27" s="37">
        <v>2.0</v>
      </c>
      <c r="AH27" s="37">
        <v>0.0</v>
      </c>
      <c r="AI27" s="37">
        <v>1.0</v>
      </c>
      <c r="AJ27" s="37">
        <v>0.0</v>
      </c>
      <c r="AK27" s="37">
        <v>1.0</v>
      </c>
      <c r="AL27" s="37">
        <v>0.0</v>
      </c>
      <c r="AM27" s="37">
        <v>2.0</v>
      </c>
      <c r="AN27" s="37">
        <v>1.0</v>
      </c>
      <c r="AO27" s="39">
        <f t="shared" si="3"/>
        <v>13.0</v>
      </c>
      <c r="AP27" s="39">
        <f t="shared" si="4"/>
        <v>5.0</v>
      </c>
      <c r="AQ27" s="39">
        <f t="shared" si="5"/>
        <v>5.5</v>
      </c>
      <c r="AR27" s="48">
        <v>1.0</v>
      </c>
      <c r="AS27" s="48">
        <v>1.0</v>
      </c>
      <c r="AT27" s="48">
        <v>1.0</v>
      </c>
      <c r="AU27" s="48">
        <v>1.0</v>
      </c>
      <c r="AV27" s="48">
        <v>1.0</v>
      </c>
      <c r="AW27" s="48">
        <v>1.0</v>
      </c>
      <c r="AX27" s="41">
        <f t="shared" si="12"/>
        <v>6.0</v>
      </c>
      <c r="AY27" s="41" t="e">
        <f t="shared" si="13"/>
        <v>#REF!</v>
      </c>
      <c r="AZ27" s="42"/>
      <c r="BA27" s="42"/>
      <c r="BB27" s="39"/>
      <c r="BC27" s="43"/>
      <c r="BD27" s="44"/>
      <c r="BE27" s="45"/>
      <c r="BF27" s="43"/>
      <c r="BG27" s="43"/>
      <c r="BH27" s="43"/>
      <c r="BI27" s="46"/>
      <c r="BJ27" s="43"/>
      <c r="BK27" s="43"/>
      <c r="BL27" s="46"/>
      <c r="BM27" s="43"/>
      <c r="BN27" s="43"/>
      <c r="BO27" s="46"/>
      <c r="BP27" s="43"/>
      <c r="BQ27" s="43"/>
      <c r="BR27" s="46"/>
      <c r="BS27" s="43"/>
      <c r="BT27" s="43"/>
      <c r="BU27" s="46"/>
      <c r="BV27" s="43"/>
      <c r="BW27" s="43"/>
      <c r="BX27" s="46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AMF27" s="47"/>
      <c r="AMG27" s="47"/>
      <c r="AMH27" s="47"/>
      <c r="AMI27" s="47"/>
      <c r="AMJ27" s="47"/>
    </row>
    <row r="28" ht="14.0">
      <c r="A28" s="37" t="s">
        <v>32</v>
      </c>
      <c r="B28" s="37" t="s">
        <v>63</v>
      </c>
      <c r="C28" s="37" t="s">
        <v>68</v>
      </c>
      <c r="D28" s="38">
        <v>41201.0</v>
      </c>
      <c r="E28" s="37">
        <v>10.0</v>
      </c>
      <c r="F28" s="37">
        <v>28.0</v>
      </c>
      <c r="G28" s="37">
        <v>9.0</v>
      </c>
      <c r="H28" s="37">
        <v>24.0</v>
      </c>
      <c r="I28" s="37">
        <v>20.0</v>
      </c>
      <c r="J28" s="37">
        <v>34.0</v>
      </c>
      <c r="K28" s="37">
        <v>0.0</v>
      </c>
      <c r="L28" s="37">
        <v>13.0</v>
      </c>
      <c r="M28" s="37">
        <v>17.0</v>
      </c>
      <c r="N28" s="37">
        <v>8.0</v>
      </c>
      <c r="O28" s="37">
        <v>7.0</v>
      </c>
      <c r="P28" s="37">
        <v>10.0</v>
      </c>
      <c r="Q28" s="37">
        <v>8.0</v>
      </c>
      <c r="R28" s="37">
        <v>30.0</v>
      </c>
      <c r="S28" s="37">
        <v>15.0</v>
      </c>
      <c r="T28" s="37">
        <v>3.0</v>
      </c>
      <c r="U28" s="37">
        <v>15.0</v>
      </c>
      <c r="V28" s="37">
        <v>11.0</v>
      </c>
      <c r="W28" s="37">
        <v>39.0</v>
      </c>
      <c r="X28" s="37">
        <v>6.0</v>
      </c>
      <c r="Y28" s="37">
        <v>15.0</v>
      </c>
      <c r="Z28" s="37">
        <v>9.0</v>
      </c>
      <c r="AA28" s="37">
        <v>51.0</v>
      </c>
      <c r="AB28" s="37">
        <v>9.0</v>
      </c>
      <c r="AC28" s="37">
        <v>6.0</v>
      </c>
      <c r="AD28" s="37">
        <v>3.0</v>
      </c>
      <c r="AE28" s="37">
        <v>9.0</v>
      </c>
      <c r="AF28" s="37">
        <v>15.0</v>
      </c>
      <c r="AG28" s="37">
        <v>24.0</v>
      </c>
      <c r="AH28" s="37">
        <v>28.0</v>
      </c>
      <c r="AI28" s="37">
        <v>18.0</v>
      </c>
      <c r="AJ28" s="37">
        <v>9.0</v>
      </c>
      <c r="AK28" s="37">
        <v>6.0</v>
      </c>
      <c r="AL28" s="37">
        <v>6.0</v>
      </c>
      <c r="AM28" s="37">
        <v>12.0</v>
      </c>
      <c r="AN28" s="37">
        <v>6.0</v>
      </c>
      <c r="AO28" s="39">
        <f t="shared" si="3"/>
        <v>142.0</v>
      </c>
      <c r="AP28" s="39">
        <f t="shared" si="4"/>
        <v>57.0</v>
      </c>
      <c r="AQ28" s="39">
        <f t="shared" si="5"/>
        <v>62.7</v>
      </c>
      <c r="AR28" s="51">
        <f t="shared" ref="AR28:AR32" si="136">AQ28*$AR$4/$AQ$4+3*$AR$27</f>
        <v>10.8620689655172</v>
      </c>
      <c r="AS28" s="51">
        <f t="shared" ref="AS28:AS32" si="137">AQ28*$AS$4/$AQ$4+3*$AS$27</f>
        <v>13.4827586206897</v>
      </c>
      <c r="AT28" s="51">
        <f t="shared" ref="AT28:AT32" si="138">AQ28*$AT$4/$AQ$4+3*$AT$27</f>
        <v>16.103448275862</v>
      </c>
      <c r="AU28" s="51">
        <f t="shared" ref="AU28:AU32" si="139">AQ28*$AU$4/$AQ$4+3*$AU$27</f>
        <v>16.103448275862</v>
      </c>
      <c r="AV28" s="51">
        <f t="shared" ref="AV28:AV32" si="140">AQ28*$AV$4/$AQ$4+3*$AV$27</f>
        <v>16.103448275862</v>
      </c>
      <c r="AW28" s="51">
        <f t="shared" ref="AW28:AW32" si="141">AQ28*$AW$4/$AQ$4+3*$AW$27</f>
        <v>16.103448275862</v>
      </c>
      <c r="AX28" s="41">
        <f t="shared" si="12"/>
        <v>88.7586206896549</v>
      </c>
      <c r="AY28" s="41" t="e">
        <f t="shared" si="13"/>
        <v>#REF!</v>
      </c>
      <c r="AZ28" s="42"/>
      <c r="BA28" s="42"/>
      <c r="BB28" s="39" t="e">
        <f t="shared" ref="BB28:BB32" si="142">AY28+AZ28+BA28-AX28</f>
        <v>#REF!</v>
      </c>
      <c r="BC28" s="43">
        <f>VLOOKUP(C28,MOQ,3,FALSE())</f>
      </c>
      <c r="BD28" s="49" t="e">
        <f t="shared" ref="BD28:BD32" si="144">BB28*-1</f>
        <v>#REF!</v>
      </c>
      <c r="BE28" s="45" t="s">
        <v>7</v>
      </c>
      <c r="BF28" s="43" t="e">
        <f t="shared" ref="BF28:BF32" si="145">AY28</f>
        <v>#REF!</v>
      </c>
      <c r="BG28" s="43">
        <f t="shared" ref="BG28:BG32" si="146">AR28</f>
        <v>10.8620689655172</v>
      </c>
      <c r="BH28" s="43">
        <f t="shared" ref="BH28:BH32" si="147">AZ28</f>
      </c>
      <c r="BI28" s="46" t="e">
        <f t="shared" ref="BI28:BI32" si="148">BF28+BH28-BG28</f>
        <v>#REF!</v>
      </c>
      <c r="BJ28" s="43">
        <f t="shared" ref="BJ28:BJ32" si="149">AS28</f>
        <v>13.4827586206897</v>
      </c>
      <c r="BK28" s="43">
        <f t="shared" ref="BK28:BK32" si="150">BA28</f>
      </c>
      <c r="BL28" s="46" t="e">
        <f t="shared" ref="BL28:BL32" si="151">BI28+BK28-BJ28</f>
        <v>#REF!</v>
      </c>
      <c r="BM28" s="43">
        <f t="shared" ref="BM28:BM32" si="152">AT28</f>
        <v>16.103448275862</v>
      </c>
      <c r="BN28" s="43"/>
      <c r="BO28" s="46" t="e">
        <f t="shared" ref="BO28:BO32" si="153">BL28+BN28-BM28</f>
        <v>#REF!</v>
      </c>
      <c r="BP28" s="43">
        <f t="shared" ref="BP28:BP32" si="154">AU28</f>
        <v>16.103448275862</v>
      </c>
      <c r="BQ28" s="43"/>
      <c r="BR28" s="46" t="e">
        <f t="shared" ref="BR28:BR32" si="155">BO28+BQ28-BP28</f>
        <v>#REF!</v>
      </c>
      <c r="BS28" s="43">
        <f t="shared" ref="BS28:BS32" si="156">AV28</f>
        <v>16.103448275862</v>
      </c>
      <c r="BT28" s="43"/>
      <c r="BU28" s="46" t="e">
        <f t="shared" ref="BU28:BU32" si="157">BR28+BT28-BS28</f>
        <v>#REF!</v>
      </c>
      <c r="BV28" s="43">
        <f t="shared" ref="BV28:BV32" si="158">AW28</f>
        <v>16.103448275862</v>
      </c>
      <c r="BW28" s="43"/>
      <c r="BX28" s="46" t="e">
        <f t="shared" ref="BX28:BX32" si="159">BU28+BW28-BV28</f>
        <v>#REF!</v>
      </c>
      <c r="BY28" s="43"/>
      <c r="BZ28" s="42" t="e">
        <f t="shared" ref="BZ28:BZ32" si="160">BU28*-1</f>
        <v>#REF!</v>
      </c>
      <c r="CA28" s="52" t="e">
        <f t="shared" ref="CA28:CA32" si="161">BZ28/6</f>
        <v>#REF!</v>
      </c>
      <c r="CB28" s="42" t="e">
        <f t="shared" ref="CB28:CB32" si="162">ROUNDUP(CA28,0)</f>
        <v>#REF!</v>
      </c>
      <c r="CC28" s="53" t="e">
        <f t="shared" ref="CC28:CC32" si="163">CB28*6</f>
        <v>#REF!</v>
      </c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AMF28" s="47"/>
      <c r="AMG28" s="47"/>
      <c r="AMH28" s="47"/>
      <c r="AMI28" s="47"/>
      <c r="AMJ28" s="47"/>
    </row>
    <row r="29" ht="14.0">
      <c r="A29" s="37" t="s">
        <v>32</v>
      </c>
      <c r="B29" s="37" t="s">
        <v>63</v>
      </c>
      <c r="C29" s="37" t="s">
        <v>69</v>
      </c>
      <c r="D29" s="38">
        <v>41202.0</v>
      </c>
      <c r="E29" s="37">
        <v>6.0</v>
      </c>
      <c r="F29" s="37">
        <v>10.0</v>
      </c>
      <c r="G29" s="37">
        <v>10.0</v>
      </c>
      <c r="H29" s="37">
        <v>22.0</v>
      </c>
      <c r="I29" s="37">
        <v>21.0</v>
      </c>
      <c r="J29" s="37">
        <v>15.0</v>
      </c>
      <c r="K29" s="37">
        <v>12.0</v>
      </c>
      <c r="L29" s="37">
        <v>15.0</v>
      </c>
      <c r="M29" s="37">
        <v>15.0</v>
      </c>
      <c r="N29" s="37">
        <v>16.0</v>
      </c>
      <c r="O29" s="37">
        <v>10.0</v>
      </c>
      <c r="P29" s="37">
        <v>4.0</v>
      </c>
      <c r="Q29" s="37">
        <v>4.0</v>
      </c>
      <c r="R29" s="37">
        <v>12.0</v>
      </c>
      <c r="S29" s="37">
        <v>9.0</v>
      </c>
      <c r="T29" s="37">
        <v>7.0</v>
      </c>
      <c r="U29" s="37">
        <v>15.0</v>
      </c>
      <c r="V29" s="37">
        <v>31.0</v>
      </c>
      <c r="W29" s="37">
        <v>21.0</v>
      </c>
      <c r="X29" s="37">
        <v>18.0</v>
      </c>
      <c r="Y29" s="37">
        <v>3.0</v>
      </c>
      <c r="Z29" s="37">
        <v>9.0</v>
      </c>
      <c r="AA29" s="37">
        <v>36.0</v>
      </c>
      <c r="AB29" s="37">
        <v>0.0</v>
      </c>
      <c r="AC29" s="37">
        <v>9.0</v>
      </c>
      <c r="AD29" s="37">
        <v>3.0</v>
      </c>
      <c r="AE29" s="37">
        <v>6.0</v>
      </c>
      <c r="AF29" s="37">
        <v>21.0</v>
      </c>
      <c r="AG29" s="37">
        <v>17.0</v>
      </c>
      <c r="AH29" s="37">
        <v>15.0</v>
      </c>
      <c r="AI29" s="37">
        <v>16.0</v>
      </c>
      <c r="AJ29" s="37">
        <v>9.0</v>
      </c>
      <c r="AK29" s="37">
        <v>9.0</v>
      </c>
      <c r="AL29" s="37">
        <v>3.0</v>
      </c>
      <c r="AM29" s="37">
        <v>6.0</v>
      </c>
      <c r="AN29" s="37">
        <v>0.0</v>
      </c>
      <c r="AO29" s="39">
        <f t="shared" si="3"/>
        <v>114.0</v>
      </c>
      <c r="AP29" s="39">
        <f t="shared" si="4"/>
        <v>43.0</v>
      </c>
      <c r="AQ29" s="39">
        <f t="shared" si="5"/>
        <v>47.3</v>
      </c>
      <c r="AR29" s="51">
        <f t="shared" si="136"/>
        <v>8.93103448275862</v>
      </c>
      <c r="AS29" s="51">
        <f t="shared" si="137"/>
        <v>10.9080459770114</v>
      </c>
      <c r="AT29" s="51">
        <f t="shared" si="138"/>
        <v>12.8850574712643</v>
      </c>
      <c r="AU29" s="51">
        <f t="shared" si="139"/>
        <v>12.8850574712643</v>
      </c>
      <c r="AV29" s="51">
        <f t="shared" si="140"/>
        <v>12.8850574712643</v>
      </c>
      <c r="AW29" s="51">
        <f t="shared" si="141"/>
        <v>12.8850574712643</v>
      </c>
      <c r="AX29" s="41">
        <f t="shared" si="12"/>
        <v>71.3793103448272</v>
      </c>
      <c r="AY29" s="41" t="e">
        <f t="shared" si="13"/>
        <v>#REF!</v>
      </c>
      <c r="AZ29" s="42"/>
      <c r="BA29" s="42"/>
      <c r="BB29" s="39" t="e">
        <f t="shared" si="142"/>
        <v>#REF!</v>
      </c>
      <c r="BC29" s="43">
        <f>VLOOKUP(C29,MOQ,3,FALSE())</f>
      </c>
      <c r="BD29" s="49" t="e">
        <f t="shared" si="144"/>
        <v>#REF!</v>
      </c>
      <c r="BE29" s="45" t="s">
        <v>7</v>
      </c>
      <c r="BF29" s="43" t="e">
        <f t="shared" si="145"/>
        <v>#REF!</v>
      </c>
      <c r="BG29" s="43">
        <f t="shared" si="146"/>
        <v>8.93103448275862</v>
      </c>
      <c r="BH29" s="43">
        <f t="shared" si="147"/>
      </c>
      <c r="BI29" s="46" t="e">
        <f t="shared" si="148"/>
        <v>#REF!</v>
      </c>
      <c r="BJ29" s="43">
        <f t="shared" si="149"/>
        <v>10.9080459770114</v>
      </c>
      <c r="BK29" s="43">
        <f t="shared" si="150"/>
      </c>
      <c r="BL29" s="46" t="e">
        <f t="shared" si="151"/>
        <v>#REF!</v>
      </c>
      <c r="BM29" s="43">
        <f t="shared" si="152"/>
        <v>12.8850574712643</v>
      </c>
      <c r="BN29" s="43"/>
      <c r="BO29" s="46" t="e">
        <f t="shared" si="153"/>
        <v>#REF!</v>
      </c>
      <c r="BP29" s="43">
        <f t="shared" si="154"/>
        <v>12.8850574712643</v>
      </c>
      <c r="BQ29" s="43"/>
      <c r="BR29" s="46" t="e">
        <f t="shared" si="155"/>
        <v>#REF!</v>
      </c>
      <c r="BS29" s="43">
        <f t="shared" si="156"/>
        <v>12.8850574712643</v>
      </c>
      <c r="BT29" s="43"/>
      <c r="BU29" s="46" t="e">
        <f t="shared" si="157"/>
        <v>#REF!</v>
      </c>
      <c r="BV29" s="43">
        <f t="shared" si="158"/>
        <v>12.8850574712643</v>
      </c>
      <c r="BW29" s="43"/>
      <c r="BX29" s="46" t="e">
        <f t="shared" si="159"/>
        <v>#REF!</v>
      </c>
      <c r="BY29" s="43"/>
      <c r="BZ29" s="42" t="e">
        <f t="shared" si="160"/>
        <v>#REF!</v>
      </c>
      <c r="CA29" s="52" t="e">
        <f t="shared" si="161"/>
        <v>#REF!</v>
      </c>
      <c r="CB29" s="42" t="e">
        <f t="shared" si="162"/>
        <v>#REF!</v>
      </c>
      <c r="CC29" s="53" t="e">
        <f t="shared" si="163"/>
        <v>#REF!</v>
      </c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  <c r="CV29" s="43"/>
      <c r="CW29" s="43"/>
      <c r="CX29" s="43"/>
      <c r="CY29" s="43"/>
      <c r="CZ29" s="43"/>
      <c r="DA29" s="43"/>
      <c r="DB29" s="43"/>
      <c r="DC29" s="43"/>
      <c r="AMF29" s="47"/>
      <c r="AMG29" s="47"/>
      <c r="AMH29" s="47"/>
      <c r="AMI29" s="47"/>
      <c r="AMJ29" s="47"/>
    </row>
    <row r="30" ht="14.0">
      <c r="A30" s="37" t="s">
        <v>32</v>
      </c>
      <c r="B30" s="37" t="s">
        <v>63</v>
      </c>
      <c r="C30" s="37" t="s">
        <v>70</v>
      </c>
      <c r="D30" s="38">
        <v>41205.0</v>
      </c>
      <c r="E30" s="37">
        <v>10.0</v>
      </c>
      <c r="F30" s="37">
        <v>9.0</v>
      </c>
      <c r="G30" s="37">
        <v>0.0</v>
      </c>
      <c r="H30" s="37">
        <v>6.0</v>
      </c>
      <c r="I30" s="37">
        <v>10.0</v>
      </c>
      <c r="J30" s="37">
        <v>10.0</v>
      </c>
      <c r="K30" s="37">
        <v>1.0</v>
      </c>
      <c r="L30" s="37">
        <v>5.0</v>
      </c>
      <c r="M30" s="37">
        <v>11.0</v>
      </c>
      <c r="N30" s="37">
        <v>7.0</v>
      </c>
      <c r="O30" s="37">
        <v>1.0</v>
      </c>
      <c r="P30" s="37">
        <v>5.0</v>
      </c>
      <c r="Q30" s="37">
        <v>10.0</v>
      </c>
      <c r="R30" s="37">
        <v>4.0</v>
      </c>
      <c r="S30" s="37">
        <v>9.0</v>
      </c>
      <c r="T30" s="37">
        <v>6.0</v>
      </c>
      <c r="U30" s="37">
        <v>7.0</v>
      </c>
      <c r="V30" s="37">
        <v>15.0</v>
      </c>
      <c r="W30" s="37">
        <v>17.0</v>
      </c>
      <c r="X30" s="37">
        <v>7.0</v>
      </c>
      <c r="Y30" s="37">
        <v>6.0</v>
      </c>
      <c r="Z30" s="37">
        <v>0.0</v>
      </c>
      <c r="AA30" s="37">
        <v>29.0</v>
      </c>
      <c r="AB30" s="37">
        <v>6.0</v>
      </c>
      <c r="AC30" s="37">
        <v>9.0</v>
      </c>
      <c r="AD30" s="37">
        <v>-6.0</v>
      </c>
      <c r="AE30" s="37">
        <v>6.0</v>
      </c>
      <c r="AF30" s="37">
        <v>0.0</v>
      </c>
      <c r="AG30" s="37">
        <v>12.0</v>
      </c>
      <c r="AH30" s="37">
        <v>6.0</v>
      </c>
      <c r="AI30" s="37">
        <v>7.0</v>
      </c>
      <c r="AJ30" s="37">
        <v>0.0</v>
      </c>
      <c r="AK30" s="37">
        <v>3.0</v>
      </c>
      <c r="AL30" s="37">
        <v>3.0</v>
      </c>
      <c r="AM30" s="37">
        <v>4.0</v>
      </c>
      <c r="AN30" s="37">
        <v>0.0</v>
      </c>
      <c r="AO30" s="39">
        <f t="shared" si="3"/>
        <v>44.0</v>
      </c>
      <c r="AP30" s="39">
        <f t="shared" si="4"/>
        <v>17.0</v>
      </c>
      <c r="AQ30" s="39">
        <f t="shared" si="5"/>
        <v>18.7</v>
      </c>
      <c r="AR30" s="51">
        <f t="shared" si="136"/>
        <v>5.3448275862069</v>
      </c>
      <c r="AS30" s="51">
        <f t="shared" si="137"/>
        <v>6.1264367816092</v>
      </c>
      <c r="AT30" s="51">
        <f t="shared" si="138"/>
        <v>6.9080459770115</v>
      </c>
      <c r="AU30" s="51">
        <f t="shared" si="139"/>
        <v>6.9080459770115</v>
      </c>
      <c r="AV30" s="51">
        <f t="shared" si="140"/>
        <v>6.9080459770115</v>
      </c>
      <c r="AW30" s="51">
        <f t="shared" si="141"/>
        <v>6.9080459770115</v>
      </c>
      <c r="AX30" s="41">
        <f t="shared" si="12"/>
        <v>39.1034482758621</v>
      </c>
      <c r="AY30" s="41" t="e">
        <f t="shared" si="13"/>
        <v>#REF!</v>
      </c>
      <c r="AZ30" s="42"/>
      <c r="BA30" s="42"/>
      <c r="BB30" s="39" t="e">
        <f t="shared" si="142"/>
        <v>#REF!</v>
      </c>
      <c r="BC30" s="43">
        <f>VLOOKUP(C30,MOQ,3,FALSE())</f>
      </c>
      <c r="BD30" s="49" t="e">
        <f t="shared" si="144"/>
        <v>#REF!</v>
      </c>
      <c r="BE30" s="45" t="s">
        <v>7</v>
      </c>
      <c r="BF30" s="43" t="e">
        <f t="shared" si="145"/>
        <v>#REF!</v>
      </c>
      <c r="BG30" s="43">
        <f t="shared" si="146"/>
        <v>5.3448275862069</v>
      </c>
      <c r="BH30" s="43">
        <f t="shared" si="147"/>
      </c>
      <c r="BI30" s="46" t="e">
        <f t="shared" si="148"/>
        <v>#REF!</v>
      </c>
      <c r="BJ30" s="43">
        <f t="shared" si="149"/>
        <v>6.1264367816092</v>
      </c>
      <c r="BK30" s="43">
        <f t="shared" si="150"/>
      </c>
      <c r="BL30" s="46" t="e">
        <f t="shared" si="151"/>
        <v>#REF!</v>
      </c>
      <c r="BM30" s="43">
        <f t="shared" si="152"/>
        <v>6.9080459770115</v>
      </c>
      <c r="BN30" s="43"/>
      <c r="BO30" s="46" t="e">
        <f t="shared" si="153"/>
        <v>#REF!</v>
      </c>
      <c r="BP30" s="43">
        <f t="shared" si="154"/>
        <v>6.9080459770115</v>
      </c>
      <c r="BQ30" s="43"/>
      <c r="BR30" s="46" t="e">
        <f t="shared" si="155"/>
        <v>#REF!</v>
      </c>
      <c r="BS30" s="43">
        <f t="shared" si="156"/>
        <v>6.9080459770115</v>
      </c>
      <c r="BT30" s="43"/>
      <c r="BU30" s="46" t="e">
        <f t="shared" si="157"/>
        <v>#REF!</v>
      </c>
      <c r="BV30" s="43">
        <f t="shared" si="158"/>
        <v>6.9080459770115</v>
      </c>
      <c r="BW30" s="43"/>
      <c r="BX30" s="46" t="e">
        <f t="shared" si="159"/>
        <v>#REF!</v>
      </c>
      <c r="BY30" s="43"/>
      <c r="BZ30" s="42" t="e">
        <f t="shared" si="160"/>
        <v>#REF!</v>
      </c>
      <c r="CA30" s="52" t="e">
        <f t="shared" si="161"/>
        <v>#REF!</v>
      </c>
      <c r="CB30" s="42" t="e">
        <f t="shared" si="162"/>
        <v>#REF!</v>
      </c>
      <c r="CC30" s="53" t="e">
        <f t="shared" si="163"/>
        <v>#REF!</v>
      </c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/>
      <c r="CU30" s="43"/>
      <c r="CV30" s="43"/>
      <c r="CW30" s="43"/>
      <c r="CX30" s="43"/>
      <c r="CY30" s="43"/>
      <c r="CZ30" s="43"/>
      <c r="DA30" s="43"/>
      <c r="DB30" s="43"/>
      <c r="DC30" s="43"/>
      <c r="AMF30" s="47"/>
      <c r="AMG30" s="47"/>
      <c r="AMH30" s="47"/>
      <c r="AMI30" s="47"/>
      <c r="AMJ30" s="47"/>
    </row>
    <row r="31" ht="14.0">
      <c r="A31" s="37" t="s">
        <v>32</v>
      </c>
      <c r="B31" s="37" t="s">
        <v>63</v>
      </c>
      <c r="C31" s="37" t="s">
        <v>71</v>
      </c>
      <c r="D31" s="38">
        <v>41233.0</v>
      </c>
      <c r="E31" s="37">
        <v>0.0</v>
      </c>
      <c r="F31" s="37">
        <v>0.0</v>
      </c>
      <c r="G31" s="37">
        <v>0.0</v>
      </c>
      <c r="H31" s="37">
        <v>0.0</v>
      </c>
      <c r="I31" s="37">
        <v>0.0</v>
      </c>
      <c r="J31" s="37">
        <v>0.0</v>
      </c>
      <c r="K31" s="37">
        <v>0.0</v>
      </c>
      <c r="L31" s="37">
        <v>3.0</v>
      </c>
      <c r="M31" s="37">
        <v>9.0</v>
      </c>
      <c r="N31" s="37">
        <v>6.0</v>
      </c>
      <c r="O31" s="37">
        <v>6.0</v>
      </c>
      <c r="P31" s="37">
        <v>6.0</v>
      </c>
      <c r="Q31" s="37">
        <v>15.0</v>
      </c>
      <c r="R31" s="37">
        <v>6.0</v>
      </c>
      <c r="S31" s="37">
        <v>3.0</v>
      </c>
      <c r="T31" s="37">
        <v>6.0</v>
      </c>
      <c r="U31" s="37">
        <v>6.0</v>
      </c>
      <c r="V31" s="37">
        <v>36.0</v>
      </c>
      <c r="W31" s="37">
        <v>0.0</v>
      </c>
      <c r="X31" s="37">
        <v>21.0</v>
      </c>
      <c r="Y31" s="37">
        <v>12.0</v>
      </c>
      <c r="Z31" s="37">
        <v>6.0</v>
      </c>
      <c r="AA31" s="37">
        <v>6.0</v>
      </c>
      <c r="AB31" s="37">
        <v>9.0</v>
      </c>
      <c r="AC31" s="37">
        <v>12.0</v>
      </c>
      <c r="AD31" s="37">
        <v>-3.0</v>
      </c>
      <c r="AE31" s="37">
        <v>9.0</v>
      </c>
      <c r="AF31" s="37">
        <v>6.0</v>
      </c>
      <c r="AG31" s="37">
        <v>12.0</v>
      </c>
      <c r="AH31" s="37">
        <v>3.0</v>
      </c>
      <c r="AI31" s="37">
        <v>6.0</v>
      </c>
      <c r="AJ31" s="37">
        <v>3.0</v>
      </c>
      <c r="AK31" s="37">
        <v>0.0</v>
      </c>
      <c r="AL31" s="37">
        <v>3.0</v>
      </c>
      <c r="AM31" s="37">
        <v>3.0</v>
      </c>
      <c r="AN31" s="37">
        <v>0.0</v>
      </c>
      <c r="AO31" s="39">
        <f t="shared" si="3"/>
        <v>54.0</v>
      </c>
      <c r="AP31" s="39">
        <f t="shared" si="4"/>
        <v>15.0</v>
      </c>
      <c r="AQ31" s="39">
        <f t="shared" si="5"/>
        <v>16.5</v>
      </c>
      <c r="AR31" s="51">
        <f t="shared" si="136"/>
        <v>5.0689655172413</v>
      </c>
      <c r="AS31" s="51">
        <f t="shared" si="137"/>
        <v>5.75862068965517</v>
      </c>
      <c r="AT31" s="51">
        <f t="shared" si="138"/>
        <v>6.44827586206897</v>
      </c>
      <c r="AU31" s="51">
        <f t="shared" si="139"/>
        <v>6.44827586206897</v>
      </c>
      <c r="AV31" s="51">
        <f t="shared" si="140"/>
        <v>6.44827586206897</v>
      </c>
      <c r="AW31" s="51">
        <f t="shared" si="141"/>
        <v>6.44827586206897</v>
      </c>
      <c r="AX31" s="41">
        <f t="shared" si="12"/>
        <v>36.6206896551723</v>
      </c>
      <c r="AY31" s="41" t="e">
        <f t="shared" si="13"/>
        <v>#REF!</v>
      </c>
      <c r="AZ31" s="42"/>
      <c r="BA31" s="42"/>
      <c r="BB31" s="39" t="e">
        <f t="shared" si="142"/>
        <v>#REF!</v>
      </c>
      <c r="BC31" s="43">
        <f>VLOOKUP(C31,MOQ,3,FALSE())</f>
      </c>
      <c r="BD31" s="49" t="e">
        <f t="shared" si="144"/>
        <v>#REF!</v>
      </c>
      <c r="BE31" s="45" t="s">
        <v>8</v>
      </c>
      <c r="BF31" s="43" t="e">
        <f t="shared" si="145"/>
        <v>#REF!</v>
      </c>
      <c r="BG31" s="43">
        <f t="shared" si="146"/>
        <v>5.0689655172413</v>
      </c>
      <c r="BH31" s="43">
        <f t="shared" si="147"/>
      </c>
      <c r="BI31" s="46" t="e">
        <f t="shared" si="148"/>
        <v>#REF!</v>
      </c>
      <c r="BJ31" s="43">
        <f t="shared" si="149"/>
        <v>5.75862068965517</v>
      </c>
      <c r="BK31" s="43">
        <f t="shared" si="150"/>
      </c>
      <c r="BL31" s="46" t="e">
        <f t="shared" si="151"/>
        <v>#REF!</v>
      </c>
      <c r="BM31" s="43">
        <f t="shared" si="152"/>
        <v>6.44827586206897</v>
      </c>
      <c r="BN31" s="43"/>
      <c r="BO31" s="46" t="e">
        <f t="shared" si="153"/>
        <v>#REF!</v>
      </c>
      <c r="BP31" s="43">
        <f t="shared" si="154"/>
        <v>6.44827586206897</v>
      </c>
      <c r="BQ31" s="43"/>
      <c r="BR31" s="46" t="e">
        <f t="shared" si="155"/>
        <v>#REF!</v>
      </c>
      <c r="BS31" s="43">
        <f t="shared" si="156"/>
        <v>6.44827586206897</v>
      </c>
      <c r="BT31" s="43"/>
      <c r="BU31" s="46" t="e">
        <f t="shared" si="157"/>
        <v>#REF!</v>
      </c>
      <c r="BV31" s="43">
        <f t="shared" si="158"/>
        <v>6.44827586206897</v>
      </c>
      <c r="BW31" s="43"/>
      <c r="BX31" s="46" t="e">
        <f t="shared" si="159"/>
        <v>#REF!</v>
      </c>
      <c r="BY31" s="43"/>
      <c r="BZ31" s="42" t="e">
        <f t="shared" si="160"/>
        <v>#REF!</v>
      </c>
      <c r="CA31" s="52" t="e">
        <f t="shared" si="161"/>
        <v>#REF!</v>
      </c>
      <c r="CB31" s="42" t="e">
        <f t="shared" si="162"/>
        <v>#REF!</v>
      </c>
      <c r="CC31" s="53" t="e">
        <f t="shared" si="163"/>
        <v>#REF!</v>
      </c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43"/>
      <c r="CY31" s="43"/>
      <c r="CZ31" s="43"/>
      <c r="DA31" s="43"/>
      <c r="DB31" s="43"/>
      <c r="DC31" s="43"/>
      <c r="AMF31" s="47"/>
      <c r="AMG31" s="47"/>
      <c r="AMH31" s="47"/>
      <c r="AMI31" s="47"/>
      <c r="AMJ31" s="47"/>
    </row>
    <row r="32" ht="14.0">
      <c r="A32" s="37" t="s">
        <v>32</v>
      </c>
      <c r="B32" s="37" t="s">
        <v>63</v>
      </c>
      <c r="C32" s="37" t="s">
        <v>72</v>
      </c>
      <c r="D32" s="38">
        <v>41234.0</v>
      </c>
      <c r="E32" s="37">
        <v>0.0</v>
      </c>
      <c r="F32" s="37">
        <v>0.0</v>
      </c>
      <c r="G32" s="37">
        <v>0.0</v>
      </c>
      <c r="H32" s="37">
        <v>0.0</v>
      </c>
      <c r="I32" s="37">
        <v>0.0</v>
      </c>
      <c r="J32" s="37">
        <v>0.0</v>
      </c>
      <c r="K32" s="37">
        <v>0.0</v>
      </c>
      <c r="L32" s="37">
        <v>9.0</v>
      </c>
      <c r="M32" s="37">
        <v>12.0</v>
      </c>
      <c r="N32" s="37">
        <v>0.0</v>
      </c>
      <c r="O32" s="37">
        <v>0.0</v>
      </c>
      <c r="P32" s="37">
        <v>6.0</v>
      </c>
      <c r="Q32" s="37">
        <v>9.0</v>
      </c>
      <c r="R32" s="37">
        <v>6.0</v>
      </c>
      <c r="S32" s="37">
        <v>3.0</v>
      </c>
      <c r="T32" s="37">
        <v>3.0</v>
      </c>
      <c r="U32" s="37">
        <v>0.0</v>
      </c>
      <c r="V32" s="37">
        <v>0.0</v>
      </c>
      <c r="W32" s="37">
        <v>0.0</v>
      </c>
      <c r="X32" s="37">
        <v>0.0</v>
      </c>
      <c r="Y32" s="37">
        <v>0.0</v>
      </c>
      <c r="Z32" s="37">
        <v>3.0</v>
      </c>
      <c r="AA32" s="37">
        <v>4.0</v>
      </c>
      <c r="AB32" s="37">
        <v>0.0</v>
      </c>
      <c r="AC32" s="37">
        <v>0.0</v>
      </c>
      <c r="AD32" s="37">
        <v>0.0</v>
      </c>
      <c r="AE32" s="37">
        <v>0.0</v>
      </c>
      <c r="AF32" s="37">
        <v>0.0</v>
      </c>
      <c r="AG32" s="37">
        <v>0.0</v>
      </c>
      <c r="AH32" s="37">
        <v>0.0</v>
      </c>
      <c r="AI32" s="37">
        <v>3.0</v>
      </c>
      <c r="AJ32" s="37">
        <v>0.0</v>
      </c>
      <c r="AK32" s="37">
        <v>0.0</v>
      </c>
      <c r="AL32" s="37">
        <v>0.0</v>
      </c>
      <c r="AM32" s="37">
        <v>6.0</v>
      </c>
      <c r="AN32" s="37">
        <v>0.0</v>
      </c>
      <c r="AO32" s="39">
        <f t="shared" si="3"/>
        <v>9.0</v>
      </c>
      <c r="AP32" s="39">
        <f t="shared" si="4"/>
        <v>9.0</v>
      </c>
      <c r="AQ32" s="39">
        <f t="shared" si="5"/>
        <v>9.9</v>
      </c>
      <c r="AR32" s="51">
        <f t="shared" si="136"/>
        <v>4.24137931034482</v>
      </c>
      <c r="AS32" s="51">
        <f t="shared" si="137"/>
        <v>4.6551724137931</v>
      </c>
      <c r="AT32" s="51">
        <f t="shared" si="138"/>
        <v>5.0689655172413</v>
      </c>
      <c r="AU32" s="51">
        <f t="shared" si="139"/>
        <v>5.0689655172413</v>
      </c>
      <c r="AV32" s="51">
        <f t="shared" si="140"/>
        <v>5.0689655172413</v>
      </c>
      <c r="AW32" s="51">
        <f t="shared" si="141"/>
        <v>5.0689655172413</v>
      </c>
      <c r="AX32" s="41">
        <f t="shared" si="12"/>
        <v>29.1724137931031</v>
      </c>
      <c r="AY32" s="41" t="e">
        <f t="shared" si="13"/>
        <v>#REF!</v>
      </c>
      <c r="AZ32" s="42"/>
      <c r="BA32" s="42"/>
      <c r="BB32" s="39" t="e">
        <f t="shared" si="142"/>
        <v>#REF!</v>
      </c>
      <c r="BC32" s="43">
        <f>VLOOKUP(C32,MOQ,3,FALSE())</f>
      </c>
      <c r="BD32" s="49" t="e">
        <f t="shared" si="144"/>
        <v>#REF!</v>
      </c>
      <c r="BE32" s="54" t="s">
        <v>73</v>
      </c>
      <c r="BF32" s="43" t="e">
        <f t="shared" si="145"/>
        <v>#REF!</v>
      </c>
      <c r="BG32" s="43">
        <f t="shared" si="146"/>
        <v>4.24137931034482</v>
      </c>
      <c r="BH32" s="43">
        <f t="shared" si="147"/>
      </c>
      <c r="BI32" s="46" t="e">
        <f t="shared" si="148"/>
        <v>#REF!</v>
      </c>
      <c r="BJ32" s="43">
        <f t="shared" si="149"/>
        <v>4.6551724137931</v>
      </c>
      <c r="BK32" s="43">
        <f t="shared" si="150"/>
      </c>
      <c r="BL32" s="46" t="e">
        <f t="shared" si="151"/>
        <v>#REF!</v>
      </c>
      <c r="BM32" s="43">
        <f t="shared" si="152"/>
        <v>5.0689655172413</v>
      </c>
      <c r="BN32" s="43"/>
      <c r="BO32" s="46" t="e">
        <f t="shared" si="153"/>
        <v>#REF!</v>
      </c>
      <c r="BP32" s="43">
        <f t="shared" si="154"/>
        <v>5.0689655172413</v>
      </c>
      <c r="BQ32" s="43"/>
      <c r="BR32" s="46" t="e">
        <f t="shared" si="155"/>
        <v>#REF!</v>
      </c>
      <c r="BS32" s="43">
        <f t="shared" si="156"/>
        <v>5.0689655172413</v>
      </c>
      <c r="BT32" s="43"/>
      <c r="BU32" s="46" t="e">
        <f t="shared" si="157"/>
        <v>#REF!</v>
      </c>
      <c r="BV32" s="43">
        <f t="shared" si="158"/>
        <v>5.0689655172413</v>
      </c>
      <c r="BW32" s="43"/>
      <c r="BX32" s="46" t="e">
        <f t="shared" si="159"/>
        <v>#REF!</v>
      </c>
      <c r="BY32" s="43"/>
      <c r="BZ32" s="42" t="e">
        <f t="shared" si="160"/>
        <v>#REF!</v>
      </c>
      <c r="CA32" s="52" t="e">
        <f t="shared" si="161"/>
        <v>#REF!</v>
      </c>
      <c r="CB32" s="42" t="e">
        <f t="shared" si="162"/>
        <v>#REF!</v>
      </c>
      <c r="CC32" s="53" t="e">
        <f t="shared" si="163"/>
        <v>#REF!</v>
      </c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AMF32" s="47"/>
      <c r="AMG32" s="47"/>
      <c r="AMH32" s="47"/>
      <c r="AMI32" s="47"/>
      <c r="AMJ32" s="47"/>
    </row>
    <row r="33" ht="14.0">
      <c r="A33" s="37" t="s">
        <v>32</v>
      </c>
      <c r="B33" s="37" t="s">
        <v>74</v>
      </c>
      <c r="C33" s="37" t="s">
        <v>75</v>
      </c>
      <c r="D33" s="38" t="s">
        <v>76</v>
      </c>
      <c r="E33" s="37">
        <v>3.0</v>
      </c>
      <c r="F33" s="37">
        <v>1.0</v>
      </c>
      <c r="G33" s="37">
        <v>4.0</v>
      </c>
      <c r="H33" s="37">
        <v>1.0</v>
      </c>
      <c r="I33" s="37">
        <v>1.0</v>
      </c>
      <c r="J33" s="37">
        <v>5.0</v>
      </c>
      <c r="K33" s="37">
        <v>0.0</v>
      </c>
      <c r="L33" s="37">
        <v>1.0</v>
      </c>
      <c r="M33" s="37">
        <v>3.0</v>
      </c>
      <c r="N33" s="37">
        <v>2.0</v>
      </c>
      <c r="O33" s="37">
        <v>1.0</v>
      </c>
      <c r="P33" s="37">
        <v>1.0</v>
      </c>
      <c r="Q33" s="37">
        <v>3.0</v>
      </c>
      <c r="R33" s="37">
        <v>1.0</v>
      </c>
      <c r="S33" s="37">
        <v>0.0</v>
      </c>
      <c r="T33" s="37">
        <v>2.0</v>
      </c>
      <c r="U33" s="37">
        <v>0.0</v>
      </c>
      <c r="V33" s="37">
        <v>1.0</v>
      </c>
      <c r="W33" s="37">
        <v>0.0</v>
      </c>
      <c r="X33" s="37">
        <v>1.0</v>
      </c>
      <c r="Y33" s="37">
        <v>1.0</v>
      </c>
      <c r="Z33" s="37">
        <v>0.0</v>
      </c>
      <c r="AA33" s="37">
        <v>3.0</v>
      </c>
      <c r="AB33" s="37">
        <v>1.0</v>
      </c>
      <c r="AC33" s="37">
        <v>0.0</v>
      </c>
      <c r="AD33" s="37">
        <v>2.0</v>
      </c>
      <c r="AE33" s="37">
        <v>1.0</v>
      </c>
      <c r="AF33" s="37">
        <v>2.0</v>
      </c>
      <c r="AG33" s="37">
        <v>2.0</v>
      </c>
      <c r="AH33" s="37">
        <v>0.0</v>
      </c>
      <c r="AI33" s="37">
        <v>1.0</v>
      </c>
      <c r="AJ33" s="37">
        <v>0.0</v>
      </c>
      <c r="AK33" s="37">
        <v>1.0</v>
      </c>
      <c r="AL33" s="37">
        <v>0.0</v>
      </c>
      <c r="AM33" s="37">
        <v>2.0</v>
      </c>
      <c r="AN33" s="37">
        <v>0.0</v>
      </c>
      <c r="AO33" s="39">
        <f t="shared" si="3"/>
        <v>11.0</v>
      </c>
      <c r="AP33" s="39">
        <f t="shared" si="4"/>
        <v>4.0</v>
      </c>
      <c r="AQ33" s="39">
        <f t="shared" si="5"/>
        <v>4.4</v>
      </c>
      <c r="AR33" s="48">
        <v>1.0</v>
      </c>
      <c r="AS33" s="48">
        <v>1.0</v>
      </c>
      <c r="AT33" s="48">
        <v>1.0</v>
      </c>
      <c r="AU33" s="48">
        <v>1.0</v>
      </c>
      <c r="AV33" s="48">
        <v>1.0</v>
      </c>
      <c r="AW33" s="48">
        <v>1.0</v>
      </c>
      <c r="AX33" s="41">
        <f t="shared" si="12"/>
        <v>6.0</v>
      </c>
      <c r="AY33" s="41" t="e">
        <f t="shared" si="13"/>
        <v>#REF!</v>
      </c>
      <c r="AZ33" s="42"/>
      <c r="BA33" s="43"/>
      <c r="BB33" s="39"/>
      <c r="BC33" s="43"/>
      <c r="BD33" s="44"/>
      <c r="BE33" s="45"/>
      <c r="BF33" s="43"/>
      <c r="BG33" s="43"/>
      <c r="BH33" s="43"/>
      <c r="BI33" s="46"/>
      <c r="BJ33" s="43"/>
      <c r="BK33" s="43"/>
      <c r="BL33" s="46"/>
      <c r="BM33" s="43"/>
      <c r="BN33" s="43"/>
      <c r="BO33" s="46"/>
      <c r="BP33" s="43"/>
      <c r="BQ33" s="43"/>
      <c r="BR33" s="46"/>
      <c r="BS33" s="43"/>
      <c r="BT33" s="43"/>
      <c r="BU33" s="46"/>
      <c r="BV33" s="43"/>
      <c r="BW33" s="43"/>
      <c r="BX33" s="46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CW33" s="43"/>
      <c r="CX33" s="43"/>
      <c r="AMF33" s="47"/>
      <c r="AMG33" s="47"/>
      <c r="AMH33" s="47"/>
      <c r="AMI33" s="47"/>
      <c r="AMJ33" s="47"/>
    </row>
    <row r="34" ht="14.0">
      <c r="A34" s="37" t="s">
        <v>32</v>
      </c>
      <c r="B34" s="37" t="s">
        <v>74</v>
      </c>
      <c r="C34" s="37" t="s">
        <v>77</v>
      </c>
      <c r="D34" s="38">
        <v>43301.0</v>
      </c>
      <c r="E34" s="37">
        <v>24.0</v>
      </c>
      <c r="F34" s="37">
        <v>24.0</v>
      </c>
      <c r="G34" s="37">
        <v>18.0</v>
      </c>
      <c r="H34" s="37">
        <v>18.0</v>
      </c>
      <c r="I34" s="37">
        <v>21.0</v>
      </c>
      <c r="J34" s="37">
        <v>21.0</v>
      </c>
      <c r="K34" s="37">
        <v>12.0</v>
      </c>
      <c r="L34" s="37">
        <v>15.0</v>
      </c>
      <c r="M34" s="37">
        <v>15.0</v>
      </c>
      <c r="N34" s="37">
        <v>6.0</v>
      </c>
      <c r="O34" s="37">
        <v>12.0</v>
      </c>
      <c r="P34" s="37">
        <v>33.0</v>
      </c>
      <c r="Q34" s="37">
        <v>30.0</v>
      </c>
      <c r="R34" s="37">
        <v>66.0</v>
      </c>
      <c r="S34" s="37">
        <v>70.0</v>
      </c>
      <c r="T34" s="37">
        <v>21.0</v>
      </c>
      <c r="U34" s="37">
        <v>3.0</v>
      </c>
      <c r="V34" s="37">
        <v>2.0</v>
      </c>
      <c r="W34" s="37">
        <v>0.0</v>
      </c>
      <c r="X34" s="37">
        <v>153.0</v>
      </c>
      <c r="Y34" s="37">
        <v>30.0</v>
      </c>
      <c r="Z34" s="37">
        <v>18.0</v>
      </c>
      <c r="AA34" s="37">
        <v>12.0</v>
      </c>
      <c r="AB34" s="37">
        <v>15.0</v>
      </c>
      <c r="AC34" s="37">
        <v>16.0</v>
      </c>
      <c r="AD34" s="37">
        <v>15.0</v>
      </c>
      <c r="AE34" s="37">
        <v>18.0</v>
      </c>
      <c r="AF34" s="37">
        <v>18.0</v>
      </c>
      <c r="AG34" s="37">
        <v>18.0</v>
      </c>
      <c r="AH34" s="37">
        <v>24.0</v>
      </c>
      <c r="AI34" s="37">
        <v>12.0</v>
      </c>
      <c r="AJ34" s="37">
        <v>15.0</v>
      </c>
      <c r="AK34" s="37">
        <v>15.0</v>
      </c>
      <c r="AL34" s="37">
        <v>9.0</v>
      </c>
      <c r="AM34" s="37">
        <v>3.0</v>
      </c>
      <c r="AN34" s="37">
        <v>0.0</v>
      </c>
      <c r="AO34" s="39">
        <f t="shared" si="3"/>
        <v>163.0</v>
      </c>
      <c r="AP34" s="39">
        <f t="shared" si="4"/>
        <v>54.0</v>
      </c>
      <c r="AQ34" s="39">
        <f t="shared" si="5"/>
        <v>59.4</v>
      </c>
      <c r="AR34" s="51">
        <f t="shared" ref="AR34:AR37" si="164">AQ34*$AR$4/$AQ$4+1*$AR$33</f>
        <v>8.44827586206897</v>
      </c>
      <c r="AS34" s="51">
        <f t="shared" ref="AS34:AS37" si="165">AQ34*$AS$4/$AQ$4+1*$AS$33</f>
        <v>10.9310344827586</v>
      </c>
      <c r="AT34" s="51">
        <f t="shared" ref="AT34:AT37" si="166">AQ34*$AT$4/$AQ$4+1*$AT$33</f>
        <v>13.4137931034482</v>
      </c>
      <c r="AU34" s="51">
        <f t="shared" ref="AU34:AU37" si="167">AQ34*$AU$4/$AQ$4+1*$AU$33</f>
        <v>13.4137931034482</v>
      </c>
      <c r="AV34" s="51">
        <f t="shared" ref="AV34:AV37" si="168">AQ34*$AV$4/$AQ$4+1*$AV$33</f>
        <v>13.4137931034482</v>
      </c>
      <c r="AW34" s="51">
        <f t="shared" ref="AW34:AW37" si="169">AQ34*$AW$4/$AQ$4+1*$AW$33</f>
        <v>13.4137931034482</v>
      </c>
      <c r="AX34" s="41">
        <f t="shared" si="12"/>
        <v>73.0344827586203</v>
      </c>
      <c r="AY34" s="41" t="e">
        <f t="shared" si="13"/>
        <v>#REF!</v>
      </c>
      <c r="AZ34" s="42"/>
      <c r="BA34" s="42"/>
      <c r="BB34" s="39" t="e">
        <f t="shared" ref="BB34:BB37" si="170">AY34+AZ34+BA34-AX34</f>
        <v>#REF!</v>
      </c>
      <c r="BC34" s="43">
        <f>VLOOKUP(C34,MOQ,3,FALSE())</f>
      </c>
      <c r="BD34" s="49" t="e">
        <f t="shared" ref="BD34:BD37" si="172">BB34*-1</f>
        <v>#REF!</v>
      </c>
      <c r="BE34" s="45" t="s">
        <v>10</v>
      </c>
      <c r="BF34" s="43" t="e">
        <f t="shared" ref="BF34:BF37" si="173">AY34</f>
        <v>#REF!</v>
      </c>
      <c r="BG34" s="43">
        <f t="shared" ref="BG34:BG37" si="174">AR34</f>
        <v>8.44827586206897</v>
      </c>
      <c r="BH34" s="43">
        <f t="shared" ref="BH34:BH37" si="175">AZ34</f>
      </c>
      <c r="BI34" s="46" t="e">
        <f t="shared" ref="BI34:BI37" si="176">BF34+BH34-BG34</f>
        <v>#REF!</v>
      </c>
      <c r="BJ34" s="43">
        <f t="shared" ref="BJ34:BJ37" si="177">AS34</f>
        <v>10.9310344827586</v>
      </c>
      <c r="BK34" s="43">
        <f t="shared" ref="BK34:BK37" si="178">BA34</f>
      </c>
      <c r="BL34" s="46" t="e">
        <f t="shared" ref="BL34:BL37" si="179">BI34+BK34-BJ34</f>
        <v>#REF!</v>
      </c>
      <c r="BM34" s="43">
        <f t="shared" ref="BM34:BM37" si="180">AT34</f>
        <v>13.4137931034482</v>
      </c>
      <c r="BN34" s="43"/>
      <c r="BO34" s="46" t="e">
        <f t="shared" ref="BO34:BO37" si="181">BL34+BN34-BM34</f>
        <v>#REF!</v>
      </c>
      <c r="BP34" s="43">
        <f t="shared" ref="BP34:BP37" si="182">AU34</f>
        <v>13.4137931034482</v>
      </c>
      <c r="BQ34" s="43"/>
      <c r="BR34" s="46" t="e">
        <f t="shared" ref="BR34:BR37" si="183">BO34+BQ34-BP34</f>
        <v>#REF!</v>
      </c>
      <c r="BS34" s="43">
        <f t="shared" ref="BS34:BS37" si="184">AV34</f>
        <v>13.4137931034482</v>
      </c>
      <c r="BT34" s="43"/>
      <c r="BU34" s="46" t="e">
        <f t="shared" ref="BU34:BU37" si="185">BR34+BT34-BS34</f>
        <v>#REF!</v>
      </c>
      <c r="BV34" s="43">
        <f t="shared" ref="BV34:BV37" si="186">AW34</f>
        <v>13.4137931034482</v>
      </c>
      <c r="BW34" s="43"/>
      <c r="BX34" s="46" t="e">
        <f t="shared" ref="BX34:BX37" si="187">BU34+BW34-BV34</f>
        <v>#REF!</v>
      </c>
      <c r="BY34" s="43"/>
      <c r="BZ34" s="42"/>
      <c r="CA34" s="52"/>
      <c r="CB34" s="42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  <c r="CZ34" s="43"/>
      <c r="DA34" s="43"/>
      <c r="DB34" s="43"/>
      <c r="AMF34" s="47"/>
      <c r="AMG34" s="47"/>
      <c r="AMH34" s="47"/>
      <c r="AMI34" s="47"/>
      <c r="AMJ34" s="47"/>
    </row>
    <row r="35" ht="14.0">
      <c r="A35" s="37" t="s">
        <v>32</v>
      </c>
      <c r="B35" s="37" t="s">
        <v>74</v>
      </c>
      <c r="C35" s="37" t="s">
        <v>78</v>
      </c>
      <c r="D35" s="38">
        <v>43302.0</v>
      </c>
      <c r="E35" s="37">
        <v>12.0</v>
      </c>
      <c r="F35" s="37">
        <v>12.0</v>
      </c>
      <c r="G35" s="37">
        <v>12.0</v>
      </c>
      <c r="H35" s="37">
        <v>12.0</v>
      </c>
      <c r="I35" s="37">
        <v>30.0</v>
      </c>
      <c r="J35" s="37">
        <v>24.0</v>
      </c>
      <c r="K35" s="37">
        <v>3.0</v>
      </c>
      <c r="L35" s="37">
        <v>6.0</v>
      </c>
      <c r="M35" s="37">
        <v>3.0</v>
      </c>
      <c r="N35" s="37">
        <v>0.0</v>
      </c>
      <c r="O35" s="37">
        <v>0.0</v>
      </c>
      <c r="P35" s="37">
        <v>12.0</v>
      </c>
      <c r="Q35" s="37">
        <v>15.0</v>
      </c>
      <c r="R35" s="37">
        <v>9.0</v>
      </c>
      <c r="S35" s="37">
        <v>6.0</v>
      </c>
      <c r="T35" s="37">
        <v>12.0</v>
      </c>
      <c r="U35" s="37">
        <v>6.0</v>
      </c>
      <c r="V35" s="37">
        <v>9.0</v>
      </c>
      <c r="W35" s="37">
        <v>9.0</v>
      </c>
      <c r="X35" s="37">
        <v>9.0</v>
      </c>
      <c r="Y35" s="37">
        <v>3.0</v>
      </c>
      <c r="Z35" s="37">
        <v>9.0</v>
      </c>
      <c r="AA35" s="37">
        <v>9.0</v>
      </c>
      <c r="AB35" s="37">
        <v>0.0</v>
      </c>
      <c r="AC35" s="37">
        <v>10.0</v>
      </c>
      <c r="AD35" s="37">
        <v>3.0</v>
      </c>
      <c r="AE35" s="37">
        <v>18.0</v>
      </c>
      <c r="AF35" s="37">
        <v>15.0</v>
      </c>
      <c r="AG35" s="37">
        <v>3.0</v>
      </c>
      <c r="AH35" s="37">
        <v>9.0</v>
      </c>
      <c r="AI35" s="37">
        <v>6.0</v>
      </c>
      <c r="AJ35" s="37">
        <v>0.0</v>
      </c>
      <c r="AK35" s="37">
        <v>3.0</v>
      </c>
      <c r="AL35" s="37">
        <v>3.0</v>
      </c>
      <c r="AM35" s="37">
        <v>3.0</v>
      </c>
      <c r="AN35" s="37">
        <v>0.0</v>
      </c>
      <c r="AO35" s="39">
        <f t="shared" si="3"/>
        <v>73.0</v>
      </c>
      <c r="AP35" s="39">
        <f t="shared" si="4"/>
        <v>15.0</v>
      </c>
      <c r="AQ35" s="39">
        <f t="shared" si="5"/>
        <v>16.5</v>
      </c>
      <c r="AR35" s="51">
        <f t="shared" si="164"/>
        <v>3.0689655172413</v>
      </c>
      <c r="AS35" s="51">
        <f t="shared" si="165"/>
        <v>3.75862068965517</v>
      </c>
      <c r="AT35" s="51">
        <f t="shared" si="166"/>
        <v>4.44827586206897</v>
      </c>
      <c r="AU35" s="51">
        <f t="shared" si="167"/>
        <v>4.44827586206897</v>
      </c>
      <c r="AV35" s="51">
        <f t="shared" si="168"/>
        <v>4.44827586206897</v>
      </c>
      <c r="AW35" s="51">
        <f t="shared" si="169"/>
        <v>4.44827586206897</v>
      </c>
      <c r="AX35" s="41">
        <f t="shared" si="12"/>
        <v>24.6206896551723</v>
      </c>
      <c r="AY35" s="41" t="e">
        <f t="shared" si="13"/>
        <v>#REF!</v>
      </c>
      <c r="AZ35" s="42"/>
      <c r="BA35" s="42"/>
      <c r="BB35" s="39" t="e">
        <f t="shared" si="170"/>
        <v>#REF!</v>
      </c>
      <c r="BC35" s="43">
        <f>VLOOKUP(C35,MOQ,3,FALSE())</f>
      </c>
      <c r="BD35" s="49" t="e">
        <f t="shared" si="172"/>
        <v>#REF!</v>
      </c>
      <c r="BE35" s="45" t="s">
        <v>10</v>
      </c>
      <c r="BF35" s="43" t="e">
        <f t="shared" si="173"/>
        <v>#REF!</v>
      </c>
      <c r="BG35" s="43">
        <f t="shared" si="174"/>
        <v>3.0689655172413</v>
      </c>
      <c r="BH35" s="43">
        <f t="shared" si="175"/>
      </c>
      <c r="BI35" s="46" t="e">
        <f t="shared" si="176"/>
        <v>#REF!</v>
      </c>
      <c r="BJ35" s="43">
        <f t="shared" si="177"/>
        <v>3.75862068965517</v>
      </c>
      <c r="BK35" s="43">
        <f t="shared" si="178"/>
      </c>
      <c r="BL35" s="46" t="e">
        <f t="shared" si="179"/>
        <v>#REF!</v>
      </c>
      <c r="BM35" s="43">
        <f t="shared" si="180"/>
        <v>4.44827586206897</v>
      </c>
      <c r="BN35" s="43"/>
      <c r="BO35" s="46" t="e">
        <f t="shared" si="181"/>
        <v>#REF!</v>
      </c>
      <c r="BP35" s="43">
        <f t="shared" si="182"/>
        <v>4.44827586206897</v>
      </c>
      <c r="BQ35" s="43"/>
      <c r="BR35" s="46" t="e">
        <f t="shared" si="183"/>
        <v>#REF!</v>
      </c>
      <c r="BS35" s="43">
        <f t="shared" si="184"/>
        <v>4.44827586206897</v>
      </c>
      <c r="BT35" s="43"/>
      <c r="BU35" s="46" t="e">
        <f t="shared" si="185"/>
        <v>#REF!</v>
      </c>
      <c r="BV35" s="43">
        <f t="shared" si="186"/>
        <v>4.44827586206897</v>
      </c>
      <c r="BW35" s="43"/>
      <c r="BX35" s="46" t="e">
        <f t="shared" si="187"/>
        <v>#REF!</v>
      </c>
      <c r="BY35" s="43"/>
      <c r="BZ35" s="42"/>
      <c r="CA35" s="52"/>
      <c r="CB35" s="42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  <c r="CZ35" s="43"/>
      <c r="DA35" s="43"/>
      <c r="DB35" s="43"/>
      <c r="AMF35" s="47"/>
      <c r="AMG35" s="47"/>
      <c r="AMH35" s="47"/>
      <c r="AMI35" s="47"/>
      <c r="AMJ35" s="47"/>
    </row>
    <row r="36" ht="14.0">
      <c r="A36" s="37" t="s">
        <v>32</v>
      </c>
      <c r="B36" s="37" t="s">
        <v>74</v>
      </c>
      <c r="C36" s="37" t="s">
        <v>79</v>
      </c>
      <c r="D36" s="38">
        <v>43304.0</v>
      </c>
      <c r="E36" s="37">
        <v>12.0</v>
      </c>
      <c r="F36" s="37">
        <v>15.0</v>
      </c>
      <c r="G36" s="37">
        <v>15.0</v>
      </c>
      <c r="H36" s="37">
        <v>12.0</v>
      </c>
      <c r="I36" s="37">
        <v>30.0</v>
      </c>
      <c r="J36" s="37">
        <v>30.0</v>
      </c>
      <c r="K36" s="37">
        <v>0.0</v>
      </c>
      <c r="L36" s="37">
        <v>12.0</v>
      </c>
      <c r="M36" s="37">
        <v>8.0</v>
      </c>
      <c r="N36" s="37">
        <v>3.0</v>
      </c>
      <c r="O36" s="37">
        <v>4.0</v>
      </c>
      <c r="P36" s="37">
        <v>9.0</v>
      </c>
      <c r="Q36" s="37">
        <v>6.0</v>
      </c>
      <c r="R36" s="37">
        <v>9.0</v>
      </c>
      <c r="S36" s="37">
        <v>9.0</v>
      </c>
      <c r="T36" s="37">
        <v>3.0</v>
      </c>
      <c r="U36" s="37">
        <v>12.0</v>
      </c>
      <c r="V36" s="37">
        <v>12.0</v>
      </c>
      <c r="W36" s="37">
        <v>18.0</v>
      </c>
      <c r="X36" s="37">
        <v>6.0</v>
      </c>
      <c r="Y36" s="37">
        <v>9.0</v>
      </c>
      <c r="Z36" s="37">
        <v>11.0</v>
      </c>
      <c r="AA36" s="37">
        <v>9.0</v>
      </c>
      <c r="AB36" s="37">
        <v>3.0</v>
      </c>
      <c r="AC36" s="37">
        <v>1.0</v>
      </c>
      <c r="AD36" s="37">
        <v>12.0</v>
      </c>
      <c r="AE36" s="37">
        <v>3.0</v>
      </c>
      <c r="AF36" s="37">
        <v>12.0</v>
      </c>
      <c r="AG36" s="37">
        <v>6.0</v>
      </c>
      <c r="AH36" s="37">
        <v>6.0</v>
      </c>
      <c r="AI36" s="37">
        <v>18.0</v>
      </c>
      <c r="AJ36" s="37">
        <v>0.0</v>
      </c>
      <c r="AK36" s="37">
        <v>6.0</v>
      </c>
      <c r="AL36" s="37">
        <v>3.0</v>
      </c>
      <c r="AM36" s="37">
        <v>6.0</v>
      </c>
      <c r="AN36" s="37">
        <v>3.0</v>
      </c>
      <c r="AO36" s="39">
        <f t="shared" si="3"/>
        <v>76.0</v>
      </c>
      <c r="AP36" s="39">
        <f t="shared" si="4"/>
        <v>36.0</v>
      </c>
      <c r="AQ36" s="39">
        <f t="shared" si="5"/>
        <v>39.6</v>
      </c>
      <c r="AR36" s="51">
        <f t="shared" si="164"/>
        <v>5.96551724137931</v>
      </c>
      <c r="AS36" s="51">
        <f t="shared" si="165"/>
        <v>7.62068965517241</v>
      </c>
      <c r="AT36" s="51">
        <f t="shared" si="166"/>
        <v>9.27586206896551</v>
      </c>
      <c r="AU36" s="51">
        <f t="shared" si="167"/>
        <v>9.27586206896551</v>
      </c>
      <c r="AV36" s="51">
        <f t="shared" si="168"/>
        <v>9.27586206896551</v>
      </c>
      <c r="AW36" s="51">
        <f t="shared" si="169"/>
        <v>9.27586206896551</v>
      </c>
      <c r="AX36" s="41">
        <f t="shared" si="12"/>
        <v>50.6896551724138</v>
      </c>
      <c r="AY36" s="41" t="e">
        <f t="shared" si="13"/>
        <v>#REF!</v>
      </c>
      <c r="AZ36" s="42" t="e">
        <f t="shared" ref="AZ36:AZ37" si="188">VLOOKUP(C36,IFUKJULY,3,false)</f>
        <v>#REF!</v>
      </c>
      <c r="BA36" s="43"/>
      <c r="BB36" s="39" t="e">
        <f t="shared" si="170"/>
        <v>#REF!</v>
      </c>
      <c r="BC36" s="43">
        <f>VLOOKUP(C36,MOQ,3,FALSE())</f>
      </c>
      <c r="BD36" s="49" t="e">
        <f t="shared" si="172"/>
        <v>#REF!</v>
      </c>
      <c r="BE36" s="45" t="s">
        <v>8</v>
      </c>
      <c r="BF36" s="43" t="e">
        <f t="shared" si="173"/>
        <v>#REF!</v>
      </c>
      <c r="BG36" s="43">
        <f t="shared" si="174"/>
        <v>5.96551724137931</v>
      </c>
      <c r="BH36" s="43" t="e">
        <f t="shared" si="175"/>
        <v>#REF!</v>
      </c>
      <c r="BI36" s="46" t="e">
        <f t="shared" si="176"/>
        <v>#REF!</v>
      </c>
      <c r="BJ36" s="43">
        <f t="shared" si="177"/>
        <v>7.62068965517241</v>
      </c>
      <c r="BK36" s="43">
        <f t="shared" si="178"/>
      </c>
      <c r="BL36" s="46" t="e">
        <f t="shared" si="179"/>
        <v>#REF!</v>
      </c>
      <c r="BM36" s="43">
        <f t="shared" si="180"/>
        <v>9.27586206896551</v>
      </c>
      <c r="BN36" s="43"/>
      <c r="BO36" s="46" t="e">
        <f t="shared" si="181"/>
        <v>#REF!</v>
      </c>
      <c r="BP36" s="43">
        <f t="shared" si="182"/>
        <v>9.27586206896551</v>
      </c>
      <c r="BQ36" s="43"/>
      <c r="BR36" s="46" t="e">
        <f t="shared" si="183"/>
        <v>#REF!</v>
      </c>
      <c r="BS36" s="43">
        <f t="shared" si="184"/>
        <v>9.27586206896551</v>
      </c>
      <c r="BT36" s="43"/>
      <c r="BU36" s="46" t="e">
        <f t="shared" si="185"/>
        <v>#REF!</v>
      </c>
      <c r="BV36" s="43">
        <f t="shared" si="186"/>
        <v>9.27586206896551</v>
      </c>
      <c r="BW36" s="43"/>
      <c r="BX36" s="46" t="e">
        <f t="shared" si="187"/>
        <v>#REF!</v>
      </c>
      <c r="BY36" s="43"/>
      <c r="BZ36" s="42" t="e">
        <f t="shared" ref="BZ36:BZ37" si="189">BU36*-1</f>
        <v>#REF!</v>
      </c>
      <c r="CA36" s="52" t="e">
        <f t="shared" ref="CA36:CA37" si="190">BZ36/6</f>
        <v>#REF!</v>
      </c>
      <c r="CB36" s="42" t="e">
        <f t="shared" ref="CB36:CB37" si="191">ROUNDUP(CA36,0)</f>
        <v>#REF!</v>
      </c>
      <c r="CC36" s="53" t="e">
        <f t="shared" ref="CC36:CC37" si="192">CB36*6</f>
        <v>#REF!</v>
      </c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  <c r="CW36" s="43"/>
      <c r="CX36" s="43"/>
      <c r="CY36" s="43"/>
      <c r="CZ36" s="43"/>
      <c r="DA36" s="43"/>
      <c r="DB36" s="43"/>
      <c r="DC36" s="43"/>
      <c r="AMF36" s="47"/>
      <c r="AMG36" s="47"/>
      <c r="AMH36" s="47"/>
      <c r="AMI36" s="47"/>
    </row>
    <row r="37" ht="14.0">
      <c r="A37" s="37" t="s">
        <v>32</v>
      </c>
      <c r="B37" s="37" t="s">
        <v>74</v>
      </c>
      <c r="C37" s="37" t="s">
        <v>80</v>
      </c>
      <c r="D37" s="38">
        <v>43332.0</v>
      </c>
      <c r="E37" s="37">
        <v>0.0</v>
      </c>
      <c r="F37" s="37">
        <v>0.0</v>
      </c>
      <c r="G37" s="37">
        <v>0.0</v>
      </c>
      <c r="H37" s="37">
        <v>0.0</v>
      </c>
      <c r="I37" s="37">
        <v>0.0</v>
      </c>
      <c r="J37" s="37">
        <v>0.0</v>
      </c>
      <c r="K37" s="37">
        <v>0.0</v>
      </c>
      <c r="L37" s="37">
        <v>15.0</v>
      </c>
      <c r="M37" s="37">
        <v>9.0</v>
      </c>
      <c r="N37" s="37">
        <v>9.0</v>
      </c>
      <c r="O37" s="37">
        <v>0.0</v>
      </c>
      <c r="P37" s="37">
        <v>0.0</v>
      </c>
      <c r="Q37" s="37">
        <v>0.0</v>
      </c>
      <c r="R37" s="37">
        <v>0.0</v>
      </c>
      <c r="S37" s="37">
        <v>9.0</v>
      </c>
      <c r="T37" s="37">
        <v>15.0</v>
      </c>
      <c r="U37" s="37">
        <v>15.0</v>
      </c>
      <c r="V37" s="37">
        <v>24.0</v>
      </c>
      <c r="W37" s="37">
        <v>0.0</v>
      </c>
      <c r="X37" s="37">
        <v>9.0</v>
      </c>
      <c r="Y37" s="37">
        <v>9.0</v>
      </c>
      <c r="Z37" s="37">
        <v>18.0</v>
      </c>
      <c r="AA37" s="37">
        <v>14.0</v>
      </c>
      <c r="AB37" s="37">
        <v>3.0</v>
      </c>
      <c r="AC37" s="37">
        <v>4.0</v>
      </c>
      <c r="AD37" s="37">
        <v>9.0</v>
      </c>
      <c r="AE37" s="37">
        <v>6.0</v>
      </c>
      <c r="AF37" s="37">
        <v>6.0</v>
      </c>
      <c r="AG37" s="37">
        <v>15.0</v>
      </c>
      <c r="AH37" s="37">
        <v>18.0</v>
      </c>
      <c r="AI37" s="37">
        <v>6.0</v>
      </c>
      <c r="AJ37" s="37">
        <v>9.0</v>
      </c>
      <c r="AK37" s="37">
        <v>9.0</v>
      </c>
      <c r="AL37" s="37">
        <v>6.0</v>
      </c>
      <c r="AM37" s="37">
        <v>3.0</v>
      </c>
      <c r="AN37" s="37">
        <v>3.0</v>
      </c>
      <c r="AO37" s="39">
        <f t="shared" si="3"/>
        <v>94.0</v>
      </c>
      <c r="AP37" s="39">
        <f t="shared" si="4"/>
        <v>36.0</v>
      </c>
      <c r="AQ37" s="39">
        <f t="shared" si="5"/>
        <v>39.6</v>
      </c>
      <c r="AR37" s="51">
        <f t="shared" si="164"/>
        <v>5.96551724137931</v>
      </c>
      <c r="AS37" s="51">
        <f t="shared" si="165"/>
        <v>7.62068965517241</v>
      </c>
      <c r="AT37" s="51">
        <f t="shared" si="166"/>
        <v>9.27586206896551</v>
      </c>
      <c r="AU37" s="51">
        <f t="shared" si="167"/>
        <v>9.27586206896551</v>
      </c>
      <c r="AV37" s="51">
        <f t="shared" si="168"/>
        <v>9.27586206896551</v>
      </c>
      <c r="AW37" s="51">
        <f t="shared" si="169"/>
        <v>9.27586206896551</v>
      </c>
      <c r="AX37" s="41">
        <f t="shared" si="12"/>
        <v>50.6896551724138</v>
      </c>
      <c r="AY37" s="41" t="e">
        <f t="shared" si="13"/>
        <v>#REF!</v>
      </c>
      <c r="AZ37" s="42" t="e">
        <f t="shared" si="188"/>
        <v>#REF!</v>
      </c>
      <c r="BA37" s="42"/>
      <c r="BB37" s="39" t="e">
        <f t="shared" si="170"/>
        <v>#REF!</v>
      </c>
      <c r="BC37" s="43">
        <f>VLOOKUP(C37,MOQ,3,FALSE())</f>
      </c>
      <c r="BD37" s="49" t="e">
        <f t="shared" si="172"/>
        <v>#REF!</v>
      </c>
      <c r="BE37" s="45" t="s">
        <v>9</v>
      </c>
      <c r="BF37" s="43" t="e">
        <f t="shared" si="173"/>
        <v>#REF!</v>
      </c>
      <c r="BG37" s="43">
        <f t="shared" si="174"/>
        <v>5.96551724137931</v>
      </c>
      <c r="BH37" s="43" t="e">
        <f t="shared" si="175"/>
        <v>#REF!</v>
      </c>
      <c r="BI37" s="46" t="e">
        <f t="shared" si="176"/>
        <v>#REF!</v>
      </c>
      <c r="BJ37" s="43">
        <f t="shared" si="177"/>
        <v>7.62068965517241</v>
      </c>
      <c r="BK37" s="43">
        <f t="shared" si="178"/>
      </c>
      <c r="BL37" s="46" t="e">
        <f t="shared" si="179"/>
        <v>#REF!</v>
      </c>
      <c r="BM37" s="43">
        <f t="shared" si="180"/>
        <v>9.27586206896551</v>
      </c>
      <c r="BN37" s="43"/>
      <c r="BO37" s="46" t="e">
        <f t="shared" si="181"/>
        <v>#REF!</v>
      </c>
      <c r="BP37" s="43">
        <f t="shared" si="182"/>
        <v>9.27586206896551</v>
      </c>
      <c r="BQ37" s="43"/>
      <c r="BR37" s="46" t="e">
        <f t="shared" si="183"/>
        <v>#REF!</v>
      </c>
      <c r="BS37" s="43">
        <f t="shared" si="184"/>
        <v>9.27586206896551</v>
      </c>
      <c r="BT37" s="43"/>
      <c r="BU37" s="46" t="e">
        <f t="shared" si="185"/>
        <v>#REF!</v>
      </c>
      <c r="BV37" s="43">
        <f t="shared" si="186"/>
        <v>9.27586206896551</v>
      </c>
      <c r="BW37" s="43"/>
      <c r="BX37" s="46" t="e">
        <f t="shared" si="187"/>
        <v>#REF!</v>
      </c>
      <c r="BY37" s="42"/>
      <c r="BZ37" s="42" t="e">
        <f t="shared" si="189"/>
        <v>#REF!</v>
      </c>
      <c r="CA37" s="52" t="e">
        <f t="shared" si="190"/>
        <v>#REF!</v>
      </c>
      <c r="CB37" s="42" t="e">
        <f t="shared" si="191"/>
        <v>#REF!</v>
      </c>
      <c r="CC37" s="53" t="e">
        <f t="shared" si="192"/>
        <v>#REF!</v>
      </c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  <c r="CT37" s="42"/>
      <c r="CU37" s="42"/>
      <c r="CV37" s="42"/>
      <c r="CW37" s="42"/>
      <c r="CX37" s="42"/>
      <c r="CY37" s="42"/>
      <c r="CZ37" s="42"/>
      <c r="DA37" s="42"/>
      <c r="DB37" s="42"/>
      <c r="DC37" s="42"/>
      <c r="AMF37" s="50"/>
      <c r="AMG37" s="50"/>
      <c r="AMH37" s="50"/>
      <c r="AMI37" s="50"/>
    </row>
    <row r="38" ht="14.0">
      <c r="A38" s="37" t="s">
        <v>32</v>
      </c>
      <c r="B38" s="37" t="s">
        <v>81</v>
      </c>
      <c r="C38" s="37" t="s">
        <v>82</v>
      </c>
      <c r="D38" s="38" t="s">
        <v>83</v>
      </c>
      <c r="E38" s="37">
        <v>1.0</v>
      </c>
      <c r="F38" s="37">
        <v>4.0</v>
      </c>
      <c r="G38" s="37">
        <v>7.0</v>
      </c>
      <c r="H38" s="37">
        <v>3.0</v>
      </c>
      <c r="I38" s="37">
        <v>0.0</v>
      </c>
      <c r="J38" s="37">
        <v>0.0</v>
      </c>
      <c r="K38" s="37">
        <v>0.0</v>
      </c>
      <c r="L38" s="37">
        <v>6.0</v>
      </c>
      <c r="M38" s="37">
        <v>3.0</v>
      </c>
      <c r="N38" s="37">
        <v>4.0</v>
      </c>
      <c r="O38" s="37">
        <v>2.0</v>
      </c>
      <c r="P38" s="37">
        <v>2.0</v>
      </c>
      <c r="Q38" s="37">
        <v>7.0</v>
      </c>
      <c r="R38" s="37">
        <v>5.0</v>
      </c>
      <c r="S38" s="37">
        <v>3.0</v>
      </c>
      <c r="T38" s="37">
        <v>1.0</v>
      </c>
      <c r="U38" s="37">
        <v>8.0</v>
      </c>
      <c r="V38" s="37">
        <v>4.0</v>
      </c>
      <c r="W38" s="37">
        <v>1.0</v>
      </c>
      <c r="X38" s="37">
        <v>4.0</v>
      </c>
      <c r="Y38" s="37">
        <v>8.0</v>
      </c>
      <c r="Z38" s="37">
        <v>4.0</v>
      </c>
      <c r="AA38" s="37">
        <v>0.0</v>
      </c>
      <c r="AB38" s="37">
        <v>2.0</v>
      </c>
      <c r="AC38" s="37">
        <v>3.0</v>
      </c>
      <c r="AD38" s="37">
        <v>3.0</v>
      </c>
      <c r="AE38" s="37">
        <v>0.0</v>
      </c>
      <c r="AF38" s="37">
        <v>3.0</v>
      </c>
      <c r="AG38" s="37">
        <v>4.0</v>
      </c>
      <c r="AH38" s="37">
        <v>2.0</v>
      </c>
      <c r="AI38" s="37">
        <v>2.0</v>
      </c>
      <c r="AJ38" s="37">
        <v>2.0</v>
      </c>
      <c r="AK38" s="37">
        <v>4.0</v>
      </c>
      <c r="AL38" s="37">
        <v>3.0</v>
      </c>
      <c r="AM38" s="37">
        <v>3.0</v>
      </c>
      <c r="AN38" s="37">
        <v>4.0</v>
      </c>
      <c r="AO38" s="39">
        <f t="shared" si="3"/>
        <v>33.0</v>
      </c>
      <c r="AP38" s="39">
        <f t="shared" si="4"/>
        <v>18.0</v>
      </c>
      <c r="AQ38" s="39">
        <f t="shared" si="5"/>
        <v>19.8</v>
      </c>
      <c r="AR38" s="48">
        <v>2.0</v>
      </c>
      <c r="AS38" s="48">
        <v>2.0</v>
      </c>
      <c r="AT38" s="48">
        <v>3.0</v>
      </c>
      <c r="AU38" s="48">
        <v>4.0</v>
      </c>
      <c r="AV38" s="48">
        <v>4.0</v>
      </c>
      <c r="AW38" s="48">
        <v>4.0</v>
      </c>
      <c r="AX38" s="41">
        <f t="shared" si="12"/>
        <v>19.0</v>
      </c>
      <c r="AY38" s="41" t="e">
        <f t="shared" si="13"/>
        <v>#REF!</v>
      </c>
      <c r="AZ38" s="42"/>
      <c r="BA38" s="42"/>
      <c r="BB38" s="39"/>
      <c r="BC38" s="43"/>
      <c r="BD38" s="49"/>
      <c r="BE38" s="45"/>
      <c r="BF38" s="43"/>
      <c r="BG38" s="43"/>
      <c r="BH38" s="43"/>
      <c r="BI38" s="46"/>
      <c r="BJ38" s="43"/>
      <c r="BK38" s="43"/>
      <c r="BL38" s="46"/>
      <c r="BM38" s="43"/>
      <c r="BN38" s="43"/>
      <c r="BO38" s="46"/>
      <c r="BP38" s="43"/>
      <c r="BQ38" s="43"/>
      <c r="BR38" s="46"/>
      <c r="BS38" s="43"/>
      <c r="BT38" s="43"/>
      <c r="BU38" s="46"/>
      <c r="BV38" s="43"/>
      <c r="BW38" s="43"/>
      <c r="BX38" s="46"/>
      <c r="BY38" s="42"/>
      <c r="BZ38" s="42"/>
      <c r="CA38" s="42"/>
      <c r="CB38" s="42"/>
      <c r="CC38" s="42"/>
      <c r="CD38" s="42"/>
      <c r="CE38" s="42"/>
      <c r="CF38" s="42"/>
      <c r="CG38" s="42"/>
      <c r="CH38" s="42"/>
      <c r="CI38" s="42"/>
      <c r="CJ38" s="42"/>
      <c r="CK38" s="42"/>
      <c r="CL38" s="42"/>
      <c r="CM38" s="42"/>
      <c r="CN38" s="42"/>
      <c r="CO38" s="42"/>
      <c r="CP38" s="42"/>
      <c r="CQ38" s="42"/>
      <c r="CR38" s="42"/>
      <c r="CS38" s="42"/>
      <c r="CT38" s="42"/>
      <c r="CU38" s="42"/>
      <c r="CV38" s="42"/>
      <c r="CW38" s="42"/>
      <c r="CX38" s="42"/>
      <c r="AMF38" s="50"/>
      <c r="AMG38" s="50"/>
      <c r="AMH38" s="50"/>
      <c r="AMI38" s="50"/>
    </row>
    <row r="39" ht="14.0">
      <c r="A39" s="37" t="s">
        <v>32</v>
      </c>
      <c r="B39" s="37" t="s">
        <v>81</v>
      </c>
      <c r="C39" s="55" t="s">
        <v>84</v>
      </c>
      <c r="D39" s="38" t="s">
        <v>85</v>
      </c>
      <c r="E39" s="37">
        <v>2.0</v>
      </c>
      <c r="F39" s="37">
        <v>0.0</v>
      </c>
      <c r="G39" s="37">
        <v>1.0</v>
      </c>
      <c r="H39" s="37">
        <v>1.0</v>
      </c>
      <c r="I39" s="37">
        <v>0.0</v>
      </c>
      <c r="J39" s="37">
        <v>0.0</v>
      </c>
      <c r="K39" s="37">
        <v>0.0</v>
      </c>
      <c r="L39" s="37">
        <v>0.0</v>
      </c>
      <c r="M39" s="37">
        <v>0.0</v>
      </c>
      <c r="N39" s="37">
        <v>0.0</v>
      </c>
      <c r="O39" s="37">
        <v>4.0</v>
      </c>
      <c r="P39" s="37">
        <v>0.0</v>
      </c>
      <c r="Q39" s="37">
        <v>0.0</v>
      </c>
      <c r="R39" s="37">
        <v>0.0</v>
      </c>
      <c r="S39" s="37">
        <v>3.0</v>
      </c>
      <c r="T39" s="37">
        <v>0.0</v>
      </c>
      <c r="U39" s="37">
        <v>0.0</v>
      </c>
      <c r="V39" s="37">
        <v>0.0</v>
      </c>
      <c r="W39" s="37">
        <v>0.0</v>
      </c>
      <c r="X39" s="37">
        <v>0.0</v>
      </c>
      <c r="Y39" s="37">
        <v>0.0</v>
      </c>
      <c r="Z39" s="37">
        <v>0.0</v>
      </c>
      <c r="AA39" s="37">
        <v>0.0</v>
      </c>
      <c r="AB39" s="37">
        <v>0.0</v>
      </c>
      <c r="AC39" s="37">
        <v>0.0</v>
      </c>
      <c r="AD39" s="37">
        <v>0.0</v>
      </c>
      <c r="AE39" s="37">
        <v>0.0</v>
      </c>
      <c r="AF39" s="37">
        <v>0.0</v>
      </c>
      <c r="AG39" s="37">
        <v>0.0</v>
      </c>
      <c r="AH39" s="37">
        <v>0.0</v>
      </c>
      <c r="AI39" s="37">
        <v>0.0</v>
      </c>
      <c r="AJ39" s="37">
        <v>0.0</v>
      </c>
      <c r="AK39" s="37">
        <v>1.0</v>
      </c>
      <c r="AL39" s="37">
        <v>0.0</v>
      </c>
      <c r="AM39" s="37">
        <v>0.0</v>
      </c>
      <c r="AN39" s="37">
        <v>0.0</v>
      </c>
      <c r="AO39" s="39">
        <f t="shared" si="3"/>
        <v>1.0</v>
      </c>
      <c r="AP39" s="39">
        <f t="shared" si="4"/>
        <v>1.0</v>
      </c>
      <c r="AQ39" s="39">
        <f t="shared" si="5"/>
        <v>1.1</v>
      </c>
      <c r="AR39" s="40">
        <f>AR38</f>
        <v>2.0</v>
      </c>
      <c r="AS39" s="40">
        <f>AS38</f>
        <v>2.0</v>
      </c>
      <c r="AT39" s="40">
        <f>AT38</f>
        <v>3.0</v>
      </c>
      <c r="AU39" s="40">
        <f>AU38</f>
        <v>4.0</v>
      </c>
      <c r="AV39" s="40">
        <f>AV38</f>
        <v>4.0</v>
      </c>
      <c r="AW39" s="40">
        <f>AW38</f>
        <v>4.0</v>
      </c>
      <c r="AX39" s="41">
        <f t="shared" si="12"/>
        <v>19.0</v>
      </c>
      <c r="AY39" s="41" t="e">
        <f t="shared" si="13"/>
        <v>#REF!</v>
      </c>
      <c r="AZ39" s="42"/>
      <c r="BA39" s="43"/>
      <c r="BB39" s="39" t="e">
        <f t="shared" ref="BB39:BB49" si="199">AY39+AZ39+BA39-AX39</f>
        <v>#REF!</v>
      </c>
      <c r="BC39" s="43">
        <f>VLOOKUP(C39,MOQ,3,FALSE())</f>
      </c>
      <c r="BD39" s="44"/>
      <c r="BE39" s="45"/>
      <c r="BF39" s="43" t="e">
        <f t="shared" ref="BF39:BF49" si="201">AY39</f>
        <v>#REF!</v>
      </c>
      <c r="BG39" s="43">
        <f t="shared" ref="BG39:BG49" si="202">AR39</f>
        <v>2.0</v>
      </c>
      <c r="BH39" s="43">
        <f t="shared" ref="BH39:BH49" si="203">AZ39</f>
      </c>
      <c r="BI39" s="46" t="e">
        <f t="shared" ref="BI39:BI49" si="204">BF39+BH39-BG39</f>
        <v>#REF!</v>
      </c>
      <c r="BJ39" s="43">
        <f t="shared" ref="BJ39:BJ49" si="205">AS39</f>
        <v>2.0</v>
      </c>
      <c r="BK39" s="43">
        <f t="shared" ref="BK39:BK49" si="206">BA39</f>
      </c>
      <c r="BL39" s="46" t="e">
        <f t="shared" ref="BL39:BL49" si="207">BI39+BK39-BJ39</f>
        <v>#REF!</v>
      </c>
      <c r="BM39" s="43">
        <f t="shared" ref="BM39:BM49" si="208">AT39</f>
        <v>3.0</v>
      </c>
      <c r="BN39" s="43"/>
      <c r="BO39" s="46" t="e">
        <f t="shared" ref="BO39:BO49" si="209">BL39+BN39-BM39</f>
        <v>#REF!</v>
      </c>
      <c r="BP39" s="43">
        <f t="shared" ref="BP39:BP49" si="210">AU39</f>
        <v>4.0</v>
      </c>
      <c r="BQ39" s="43"/>
      <c r="BR39" s="46" t="e">
        <f t="shared" ref="BR39:BR49" si="211">BO39+BQ39-BP39</f>
        <v>#REF!</v>
      </c>
      <c r="BS39" s="43">
        <f t="shared" ref="BS39:BS49" si="212">AV39</f>
        <v>4.0</v>
      </c>
      <c r="BT39" s="43"/>
      <c r="BU39" s="46" t="e">
        <f t="shared" ref="BU39:BU49" si="213">BR39+BT39-BS39</f>
        <v>#REF!</v>
      </c>
      <c r="BV39" s="43">
        <f t="shared" ref="BV39:BV49" si="214">AW39</f>
        <v>4.0</v>
      </c>
      <c r="BW39" s="43"/>
      <c r="BX39" s="46" t="e">
        <f t="shared" ref="BX39:BX49" si="215">BU39+BW39-BV39</f>
        <v>#REF!</v>
      </c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AMF39" s="47"/>
      <c r="AMG39" s="47"/>
      <c r="AMH39" s="47"/>
      <c r="AMI39" s="47"/>
    </row>
    <row r="40" ht="14.0">
      <c r="A40" s="37" t="s">
        <v>32</v>
      </c>
      <c r="B40" s="37" t="s">
        <v>81</v>
      </c>
      <c r="C40" s="56" t="s">
        <v>86</v>
      </c>
      <c r="D40" s="38">
        <v>43001.0</v>
      </c>
      <c r="E40" s="37">
        <v>15.0</v>
      </c>
      <c r="F40" s="37">
        <v>3.0</v>
      </c>
      <c r="G40" s="37">
        <v>21.0</v>
      </c>
      <c r="H40" s="37">
        <v>21.0</v>
      </c>
      <c r="I40" s="37">
        <v>14.0</v>
      </c>
      <c r="J40" s="37">
        <v>21.0</v>
      </c>
      <c r="K40" s="37">
        <v>3.0</v>
      </c>
      <c r="L40" s="37">
        <v>12.0</v>
      </c>
      <c r="M40" s="37">
        <v>12.0</v>
      </c>
      <c r="N40" s="37">
        <v>21.0</v>
      </c>
      <c r="O40" s="37">
        <v>15.0</v>
      </c>
      <c r="P40" s="37">
        <v>3.0</v>
      </c>
      <c r="Q40" s="37">
        <v>27.0</v>
      </c>
      <c r="R40" s="37">
        <v>3.0</v>
      </c>
      <c r="S40" s="37">
        <v>12.0</v>
      </c>
      <c r="T40" s="37">
        <v>6.0</v>
      </c>
      <c r="U40" s="37">
        <v>14.0</v>
      </c>
      <c r="V40" s="37">
        <v>15.0</v>
      </c>
      <c r="W40" s="37">
        <v>15.0</v>
      </c>
      <c r="X40" s="37">
        <v>12.0</v>
      </c>
      <c r="Y40" s="37">
        <v>12.0</v>
      </c>
      <c r="Z40" s="37">
        <v>3.0</v>
      </c>
      <c r="AA40" s="37">
        <v>6.0</v>
      </c>
      <c r="AB40" s="37">
        <v>3.0</v>
      </c>
      <c r="AC40" s="37">
        <v>6.0</v>
      </c>
      <c r="AD40" s="37">
        <v>3.0</v>
      </c>
      <c r="AE40" s="37">
        <v>0.0</v>
      </c>
      <c r="AF40" s="37">
        <v>6.0</v>
      </c>
      <c r="AG40" s="37">
        <v>8.0</v>
      </c>
      <c r="AH40" s="37">
        <v>3.0</v>
      </c>
      <c r="AI40" s="37">
        <v>3.0</v>
      </c>
      <c r="AJ40" s="37">
        <v>0.0</v>
      </c>
      <c r="AK40" s="37">
        <v>18.0</v>
      </c>
      <c r="AL40" s="37">
        <v>9.0</v>
      </c>
      <c r="AM40" s="37">
        <v>0.0</v>
      </c>
      <c r="AN40" s="37" t="s">
        <v>87</v>
      </c>
      <c r="AO40" s="39">
        <f t="shared" si="3"/>
        <v>56.0</v>
      </c>
      <c r="AP40" s="39">
        <f t="shared" si="4"/>
        <v>30.0</v>
      </c>
      <c r="AQ40" s="39">
        <f t="shared" si="5"/>
        <v>33.0</v>
      </c>
      <c r="AR40" s="51">
        <f t="shared" ref="AR40:AR43" si="216">AQ40*$AR$4/$AQ$4+1*$AR$38</f>
        <v>6.13793103448276</v>
      </c>
      <c r="AS40" s="51">
        <f t="shared" ref="AS40:AS43" si="217">AQ40*$AS$4/$AQ$4+1*$AS$38</f>
        <v>7.51724137931034</v>
      </c>
      <c r="AT40" s="51">
        <f t="shared" ref="AT40:AT43" si="218">AQ40*$AT$4/$AQ$4+1*$AT$38</f>
        <v>9.89655172413792</v>
      </c>
      <c r="AU40" s="51">
        <f t="shared" ref="AU40:AU43" si="219">AQ40*$AU$4/$AQ$4+1*$AU$38</f>
        <v>10.8965517241379</v>
      </c>
      <c r="AV40" s="51">
        <f t="shared" ref="AV40:AV43" si="220">AQ40*$AV$4/$AQ$4+1*$AV$38</f>
        <v>10.8965517241379</v>
      </c>
      <c r="AW40" s="51">
        <f t="shared" ref="AW40:AW43" si="221">AQ40*$AW$4/$AQ$4+1*$AW$38</f>
        <v>10.8965517241379</v>
      </c>
      <c r="AX40" s="41">
        <f t="shared" si="12"/>
        <v>56.2413793103447</v>
      </c>
      <c r="AY40" s="41" t="e">
        <f t="shared" si="13"/>
        <v>#REF!</v>
      </c>
      <c r="AZ40" s="42"/>
      <c r="BA40" s="43"/>
      <c r="BB40" s="39" t="e">
        <f t="shared" si="199"/>
        <v>#REF!</v>
      </c>
      <c r="BC40" s="43">
        <f>VLOOKUP(C40,MOQ,3,FALSE())</f>
      </c>
      <c r="BD40" s="49" t="e">
        <f>BB40*-1</f>
        <v>#REF!</v>
      </c>
      <c r="BE40" s="57" t="s">
        <v>9</v>
      </c>
      <c r="BF40" s="43" t="e">
        <f t="shared" si="201"/>
        <v>#REF!</v>
      </c>
      <c r="BG40" s="43">
        <f t="shared" si="202"/>
        <v>6.13793103448276</v>
      </c>
      <c r="BH40" s="43">
        <f t="shared" si="203"/>
      </c>
      <c r="BI40" s="46" t="e">
        <f t="shared" si="204"/>
        <v>#REF!</v>
      </c>
      <c r="BJ40" s="43">
        <f t="shared" si="205"/>
        <v>7.51724137931034</v>
      </c>
      <c r="BK40" s="43">
        <f t="shared" si="206"/>
      </c>
      <c r="BL40" s="46" t="e">
        <f t="shared" si="207"/>
        <v>#REF!</v>
      </c>
      <c r="BM40" s="43">
        <f t="shared" si="208"/>
        <v>9.89655172413792</v>
      </c>
      <c r="BN40" s="43"/>
      <c r="BO40" s="46" t="e">
        <f t="shared" si="209"/>
        <v>#REF!</v>
      </c>
      <c r="BP40" s="43">
        <f t="shared" si="210"/>
        <v>10.8965517241379</v>
      </c>
      <c r="BQ40" s="43"/>
      <c r="BR40" s="46" t="e">
        <f t="shared" si="211"/>
        <v>#REF!</v>
      </c>
      <c r="BS40" s="43">
        <f t="shared" si="212"/>
        <v>10.8965517241379</v>
      </c>
      <c r="BT40" s="43"/>
      <c r="BU40" s="46" t="e">
        <f t="shared" si="213"/>
        <v>#REF!</v>
      </c>
      <c r="BV40" s="43">
        <f t="shared" si="214"/>
        <v>10.8965517241379</v>
      </c>
      <c r="BW40" s="43"/>
      <c r="BX40" s="46" t="e">
        <f t="shared" si="215"/>
        <v>#REF!</v>
      </c>
      <c r="BY40" s="43"/>
      <c r="BZ40" s="42" t="e">
        <f>BU40*-1</f>
        <v>#REF!</v>
      </c>
      <c r="CA40" s="52" t="e">
        <f>BZ40/6</f>
        <v>#REF!</v>
      </c>
      <c r="CB40" s="42" t="e">
        <f>ROUNDUP(CA40,0)</f>
        <v>#REF!</v>
      </c>
      <c r="CC40" s="53" t="e">
        <f>CB40*6</f>
        <v>#REF!</v>
      </c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  <c r="CS40" s="43"/>
      <c r="CT40" s="43"/>
      <c r="CU40" s="43"/>
      <c r="CV40" s="43"/>
      <c r="CW40" s="43"/>
      <c r="CX40" s="43"/>
      <c r="CY40" s="43"/>
      <c r="CZ40" s="43"/>
      <c r="DA40" s="43"/>
      <c r="DB40" s="43"/>
      <c r="DC40" s="43"/>
      <c r="AMF40" s="47"/>
      <c r="AMG40" s="47"/>
      <c r="AMH40" s="47"/>
      <c r="AMI40" s="47"/>
    </row>
    <row r="41" ht="14.0">
      <c r="A41" s="37" t="s">
        <v>32</v>
      </c>
      <c r="B41" s="37" t="s">
        <v>81</v>
      </c>
      <c r="C41" s="56" t="s">
        <v>88</v>
      </c>
      <c r="D41" s="38">
        <v>43003.0</v>
      </c>
      <c r="E41" s="37">
        <v>12.0</v>
      </c>
      <c r="F41" s="37">
        <v>3.0</v>
      </c>
      <c r="G41" s="37">
        <v>12.0</v>
      </c>
      <c r="H41" s="37">
        <v>15.0</v>
      </c>
      <c r="I41" s="37">
        <v>22.0</v>
      </c>
      <c r="J41" s="37">
        <v>12.0</v>
      </c>
      <c r="K41" s="37">
        <v>0.0</v>
      </c>
      <c r="L41" s="37">
        <v>6.0</v>
      </c>
      <c r="M41" s="37">
        <v>6.0</v>
      </c>
      <c r="N41" s="37">
        <v>9.0</v>
      </c>
      <c r="O41" s="37">
        <v>9.0</v>
      </c>
      <c r="P41" s="37">
        <v>0.0</v>
      </c>
      <c r="Q41" s="37">
        <v>21.0</v>
      </c>
      <c r="R41" s="37">
        <v>9.0</v>
      </c>
      <c r="S41" s="37">
        <v>8.0</v>
      </c>
      <c r="T41" s="37">
        <v>12.0</v>
      </c>
      <c r="U41" s="37">
        <v>6.0</v>
      </c>
      <c r="V41" s="37">
        <v>15.0</v>
      </c>
      <c r="W41" s="37">
        <v>3.0</v>
      </c>
      <c r="X41" s="37">
        <v>12.0</v>
      </c>
      <c r="Y41" s="37">
        <v>9.0</v>
      </c>
      <c r="Z41" s="37">
        <v>4.0</v>
      </c>
      <c r="AA41" s="37">
        <v>0.0</v>
      </c>
      <c r="AB41" s="37">
        <v>4.0</v>
      </c>
      <c r="AC41" s="37">
        <v>6.0</v>
      </c>
      <c r="AD41" s="37">
        <v>0.0</v>
      </c>
      <c r="AE41" s="37">
        <v>9.0</v>
      </c>
      <c r="AF41" s="37">
        <v>9.0</v>
      </c>
      <c r="AG41" s="37">
        <v>1.0</v>
      </c>
      <c r="AH41" s="37">
        <v>15.0</v>
      </c>
      <c r="AI41" s="37">
        <v>9.0</v>
      </c>
      <c r="AJ41" s="37">
        <v>3.0</v>
      </c>
      <c r="AK41" s="37">
        <v>3.0</v>
      </c>
      <c r="AL41" s="37">
        <v>0.0</v>
      </c>
      <c r="AM41" s="37">
        <v>0.0</v>
      </c>
      <c r="AN41" s="37" t="s">
        <v>87</v>
      </c>
      <c r="AO41" s="39">
        <f t="shared" si="3"/>
        <v>55.0</v>
      </c>
      <c r="AP41" s="39">
        <f t="shared" si="4"/>
        <v>15.0</v>
      </c>
      <c r="AQ41" s="39">
        <f t="shared" si="5"/>
        <v>16.5</v>
      </c>
      <c r="AR41" s="51">
        <f t="shared" si="216"/>
        <v>4.0689655172413</v>
      </c>
      <c r="AS41" s="51">
        <f t="shared" si="217"/>
        <v>4.75862068965517</v>
      </c>
      <c r="AT41" s="51">
        <f t="shared" si="218"/>
        <v>6.44827586206897</v>
      </c>
      <c r="AU41" s="51">
        <f t="shared" si="219"/>
        <v>7.44827586206897</v>
      </c>
      <c r="AV41" s="51">
        <f t="shared" si="220"/>
        <v>7.44827586206897</v>
      </c>
      <c r="AW41" s="51">
        <f t="shared" si="221"/>
        <v>7.44827586206897</v>
      </c>
      <c r="AX41" s="41">
        <f t="shared" si="12"/>
        <v>37.6206896551723</v>
      </c>
      <c r="AY41" s="41" t="e">
        <f t="shared" si="13"/>
        <v>#REF!</v>
      </c>
      <c r="AZ41" s="42"/>
      <c r="BA41" s="43"/>
      <c r="BB41" s="39" t="e">
        <f t="shared" si="199"/>
        <v>#REF!</v>
      </c>
      <c r="BC41" s="43">
        <f>VLOOKUP(C41,MOQ,3,FALSE())</f>
      </c>
      <c r="BD41" s="44"/>
      <c r="BE41" s="57"/>
      <c r="BF41" s="43" t="e">
        <f t="shared" si="201"/>
        <v>#REF!</v>
      </c>
      <c r="BG41" s="43">
        <f t="shared" si="202"/>
        <v>4.0689655172413</v>
      </c>
      <c r="BH41" s="43">
        <f t="shared" si="203"/>
      </c>
      <c r="BI41" s="46" t="e">
        <f t="shared" si="204"/>
        <v>#REF!</v>
      </c>
      <c r="BJ41" s="43">
        <f t="shared" si="205"/>
        <v>4.75862068965517</v>
      </c>
      <c r="BK41" s="43">
        <f t="shared" si="206"/>
      </c>
      <c r="BL41" s="46" t="e">
        <f t="shared" si="207"/>
        <v>#REF!</v>
      </c>
      <c r="BM41" s="43">
        <f t="shared" si="208"/>
        <v>6.44827586206897</v>
      </c>
      <c r="BN41" s="43"/>
      <c r="BO41" s="46" t="e">
        <f t="shared" si="209"/>
        <v>#REF!</v>
      </c>
      <c r="BP41" s="43">
        <f t="shared" si="210"/>
        <v>7.44827586206897</v>
      </c>
      <c r="BQ41" s="43"/>
      <c r="BR41" s="46" t="e">
        <f t="shared" si="211"/>
        <v>#REF!</v>
      </c>
      <c r="BS41" s="43">
        <f t="shared" si="212"/>
        <v>7.44827586206897</v>
      </c>
      <c r="BT41" s="43"/>
      <c r="BU41" s="46" t="e">
        <f t="shared" si="213"/>
        <v>#REF!</v>
      </c>
      <c r="BV41" s="43">
        <f t="shared" si="214"/>
        <v>7.44827586206897</v>
      </c>
      <c r="BW41" s="43"/>
      <c r="BX41" s="46" t="e">
        <f t="shared" si="215"/>
        <v>#REF!</v>
      </c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3"/>
      <c r="CS41" s="43"/>
      <c r="CT41" s="43"/>
      <c r="CU41" s="43"/>
      <c r="CV41" s="43"/>
      <c r="CW41" s="43"/>
      <c r="CX41" s="43"/>
      <c r="AMF41" s="47"/>
      <c r="AMG41" s="47"/>
      <c r="AMH41" s="47"/>
      <c r="AMI41" s="47"/>
    </row>
    <row r="42" ht="14.0">
      <c r="A42" s="37" t="s">
        <v>32</v>
      </c>
      <c r="B42" s="37" t="s">
        <v>81</v>
      </c>
      <c r="C42" s="56" t="s">
        <v>89</v>
      </c>
      <c r="D42" s="38">
        <v>43004.0</v>
      </c>
      <c r="E42" s="37">
        <v>9.0</v>
      </c>
      <c r="F42" s="37">
        <v>9.0</v>
      </c>
      <c r="G42" s="37">
        <v>6.0</v>
      </c>
      <c r="H42" s="37">
        <v>9.0</v>
      </c>
      <c r="I42" s="37">
        <v>10.0</v>
      </c>
      <c r="J42" s="37">
        <v>18.0</v>
      </c>
      <c r="K42" s="37">
        <v>3.0</v>
      </c>
      <c r="L42" s="37">
        <v>3.0</v>
      </c>
      <c r="M42" s="37">
        <v>6.0</v>
      </c>
      <c r="N42" s="37">
        <v>6.0</v>
      </c>
      <c r="O42" s="37">
        <v>12.0</v>
      </c>
      <c r="P42" s="37">
        <v>3.0</v>
      </c>
      <c r="Q42" s="37">
        <v>15.0</v>
      </c>
      <c r="R42" s="37">
        <v>3.0</v>
      </c>
      <c r="S42" s="37">
        <v>5.0</v>
      </c>
      <c r="T42" s="37">
        <v>3.0</v>
      </c>
      <c r="U42" s="37">
        <v>6.0</v>
      </c>
      <c r="V42" s="37">
        <v>15.0</v>
      </c>
      <c r="W42" s="37">
        <v>3.0</v>
      </c>
      <c r="X42" s="37">
        <v>9.0</v>
      </c>
      <c r="Y42" s="37">
        <v>9.0</v>
      </c>
      <c r="Z42" s="37">
        <v>3.0</v>
      </c>
      <c r="AA42" s="37">
        <v>3.0</v>
      </c>
      <c r="AB42" s="37">
        <v>12.0</v>
      </c>
      <c r="AC42" s="37">
        <v>3.0</v>
      </c>
      <c r="AD42" s="37">
        <v>3.0</v>
      </c>
      <c r="AE42" s="37">
        <v>3.0</v>
      </c>
      <c r="AF42" s="37">
        <v>6.0</v>
      </c>
      <c r="AG42" s="37">
        <v>4.0</v>
      </c>
      <c r="AH42" s="37">
        <v>0.0</v>
      </c>
      <c r="AI42" s="37">
        <v>9.0</v>
      </c>
      <c r="AJ42" s="37">
        <v>0.0</v>
      </c>
      <c r="AK42" s="37">
        <v>3.0</v>
      </c>
      <c r="AL42" s="37">
        <v>0.0</v>
      </c>
      <c r="AM42" s="37">
        <v>3.0</v>
      </c>
      <c r="AN42" s="37" t="s">
        <v>87</v>
      </c>
      <c r="AO42" s="39">
        <f t="shared" si="3"/>
        <v>34.0</v>
      </c>
      <c r="AP42" s="39">
        <f t="shared" si="4"/>
        <v>15.0</v>
      </c>
      <c r="AQ42" s="39">
        <f t="shared" si="5"/>
        <v>16.5</v>
      </c>
      <c r="AR42" s="51">
        <f t="shared" si="216"/>
        <v>4.0689655172413</v>
      </c>
      <c r="AS42" s="51">
        <f t="shared" si="217"/>
        <v>4.75862068965517</v>
      </c>
      <c r="AT42" s="51">
        <f t="shared" si="218"/>
        <v>6.44827586206897</v>
      </c>
      <c r="AU42" s="51">
        <f t="shared" si="219"/>
        <v>7.44827586206897</v>
      </c>
      <c r="AV42" s="51">
        <f t="shared" si="220"/>
        <v>7.44827586206897</v>
      </c>
      <c r="AW42" s="51">
        <f t="shared" si="221"/>
        <v>7.44827586206897</v>
      </c>
      <c r="AX42" s="41">
        <f t="shared" si="12"/>
        <v>37.6206896551723</v>
      </c>
      <c r="AY42" s="41" t="e">
        <f t="shared" si="13"/>
        <v>#REF!</v>
      </c>
      <c r="AZ42" s="42"/>
      <c r="BA42" s="43"/>
      <c r="BB42" s="39" t="e">
        <f t="shared" si="199"/>
        <v>#REF!</v>
      </c>
      <c r="BC42" s="43">
        <f>VLOOKUP(C42,MOQ,3,FALSE())</f>
      </c>
      <c r="BD42" s="44"/>
      <c r="BE42" s="57"/>
      <c r="BF42" s="43" t="e">
        <f t="shared" si="201"/>
        <v>#REF!</v>
      </c>
      <c r="BG42" s="43">
        <f t="shared" si="202"/>
        <v>4.0689655172413</v>
      </c>
      <c r="BH42" s="43">
        <f t="shared" si="203"/>
      </c>
      <c r="BI42" s="46" t="e">
        <f t="shared" si="204"/>
        <v>#REF!</v>
      </c>
      <c r="BJ42" s="43">
        <f t="shared" si="205"/>
        <v>4.75862068965517</v>
      </c>
      <c r="BK42" s="43">
        <f t="shared" si="206"/>
      </c>
      <c r="BL42" s="46" t="e">
        <f t="shared" si="207"/>
        <v>#REF!</v>
      </c>
      <c r="BM42" s="43">
        <f t="shared" si="208"/>
        <v>6.44827586206897</v>
      </c>
      <c r="BN42" s="43"/>
      <c r="BO42" s="46" t="e">
        <f t="shared" si="209"/>
        <v>#REF!</v>
      </c>
      <c r="BP42" s="43">
        <f t="shared" si="210"/>
        <v>7.44827586206897</v>
      </c>
      <c r="BQ42" s="43"/>
      <c r="BR42" s="46" t="e">
        <f t="shared" si="211"/>
        <v>#REF!</v>
      </c>
      <c r="BS42" s="43">
        <f t="shared" si="212"/>
        <v>7.44827586206897</v>
      </c>
      <c r="BT42" s="43"/>
      <c r="BU42" s="46" t="e">
        <f t="shared" si="213"/>
        <v>#REF!</v>
      </c>
      <c r="BV42" s="43">
        <f t="shared" si="214"/>
        <v>7.44827586206897</v>
      </c>
      <c r="BW42" s="43"/>
      <c r="BX42" s="46" t="e">
        <f t="shared" si="215"/>
        <v>#REF!</v>
      </c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3"/>
      <c r="CT42" s="43"/>
      <c r="CU42" s="43"/>
      <c r="CV42" s="43"/>
      <c r="CW42" s="43"/>
      <c r="CX42" s="43"/>
      <c r="AMF42" s="47"/>
      <c r="AMG42" s="47"/>
      <c r="AMH42" s="47"/>
      <c r="AMI42" s="47"/>
      <c r="AMJ42" s="47"/>
    </row>
    <row r="43" ht="14.0">
      <c r="A43" s="37" t="s">
        <v>32</v>
      </c>
      <c r="B43" s="37" t="s">
        <v>81</v>
      </c>
      <c r="C43" s="37" t="s">
        <v>90</v>
      </c>
      <c r="D43" s="38">
        <v>43006.0</v>
      </c>
      <c r="E43" s="37">
        <v>27.0</v>
      </c>
      <c r="F43" s="37">
        <v>15.0</v>
      </c>
      <c r="G43" s="37">
        <v>27.0</v>
      </c>
      <c r="H43" s="37">
        <v>39.0</v>
      </c>
      <c r="I43" s="37">
        <v>26.0</v>
      </c>
      <c r="J43" s="37">
        <v>27.0</v>
      </c>
      <c r="K43" s="37">
        <v>15.0</v>
      </c>
      <c r="L43" s="37">
        <v>15.0</v>
      </c>
      <c r="M43" s="37">
        <v>15.0</v>
      </c>
      <c r="N43" s="37">
        <v>18.0</v>
      </c>
      <c r="O43" s="37">
        <v>34.0</v>
      </c>
      <c r="P43" s="37">
        <v>12.0</v>
      </c>
      <c r="Q43" s="37">
        <v>21.0</v>
      </c>
      <c r="R43" s="37">
        <v>15.0</v>
      </c>
      <c r="S43" s="37">
        <v>14.0</v>
      </c>
      <c r="T43" s="37">
        <v>3.0</v>
      </c>
      <c r="U43" s="37">
        <v>26.0</v>
      </c>
      <c r="V43" s="37">
        <v>21.0</v>
      </c>
      <c r="W43" s="37">
        <v>12.0</v>
      </c>
      <c r="X43" s="37">
        <v>27.0</v>
      </c>
      <c r="Y43" s="37">
        <v>15.0</v>
      </c>
      <c r="Z43" s="37">
        <v>15.0</v>
      </c>
      <c r="AA43" s="37">
        <v>15.0</v>
      </c>
      <c r="AB43" s="37">
        <v>27.0</v>
      </c>
      <c r="AC43" s="37">
        <v>9.0</v>
      </c>
      <c r="AD43" s="37">
        <v>6.0</v>
      </c>
      <c r="AE43" s="37">
        <v>18.0</v>
      </c>
      <c r="AF43" s="37">
        <v>6.0</v>
      </c>
      <c r="AG43" s="37">
        <v>12.0</v>
      </c>
      <c r="AH43" s="37">
        <v>12.0</v>
      </c>
      <c r="AI43" s="37">
        <v>6.0</v>
      </c>
      <c r="AJ43" s="37">
        <v>3.0</v>
      </c>
      <c r="AK43" s="37">
        <v>15.0</v>
      </c>
      <c r="AL43" s="37">
        <v>9.0</v>
      </c>
      <c r="AM43" s="37">
        <v>9.0</v>
      </c>
      <c r="AN43" s="37">
        <v>9.0</v>
      </c>
      <c r="AO43" s="39">
        <f t="shared" si="3"/>
        <v>114.0</v>
      </c>
      <c r="AP43" s="39">
        <f t="shared" si="4"/>
        <v>51.0</v>
      </c>
      <c r="AQ43" s="39">
        <f t="shared" si="5"/>
        <v>56.1</v>
      </c>
      <c r="AR43" s="51">
        <f t="shared" si="216"/>
        <v>9.03448275862069</v>
      </c>
      <c r="AS43" s="51">
        <f t="shared" si="217"/>
        <v>11.3793103448276</v>
      </c>
      <c r="AT43" s="51">
        <f t="shared" si="218"/>
        <v>14.7241379310344</v>
      </c>
      <c r="AU43" s="51">
        <f t="shared" si="219"/>
        <v>15.7241379310344</v>
      </c>
      <c r="AV43" s="51">
        <f t="shared" si="220"/>
        <v>15.7241379310344</v>
      </c>
      <c r="AW43" s="51">
        <f t="shared" si="221"/>
        <v>15.7241379310344</v>
      </c>
      <c r="AX43" s="41">
        <f t="shared" si="12"/>
        <v>82.3103448275859</v>
      </c>
      <c r="AY43" s="41" t="e">
        <f t="shared" si="13"/>
        <v>#REF!</v>
      </c>
      <c r="AZ43" s="42"/>
      <c r="BA43" s="43"/>
      <c r="BB43" s="39" t="e">
        <f t="shared" si="199"/>
        <v>#REF!</v>
      </c>
      <c r="BC43" s="43">
        <f>VLOOKUP(C43,MOQ,3,FALSE())</f>
      </c>
      <c r="BD43" s="49" t="e">
        <f t="shared" ref="BD43:BD45" si="227">BB43*-1</f>
        <v>#REF!</v>
      </c>
      <c r="BE43" s="45" t="s">
        <v>7</v>
      </c>
      <c r="BF43" s="43" t="e">
        <f t="shared" si="201"/>
        <v>#REF!</v>
      </c>
      <c r="BG43" s="43">
        <f t="shared" si="202"/>
        <v>9.03448275862069</v>
      </c>
      <c r="BH43" s="43">
        <f t="shared" si="203"/>
      </c>
      <c r="BI43" s="46" t="e">
        <f t="shared" si="204"/>
        <v>#REF!</v>
      </c>
      <c r="BJ43" s="43">
        <f t="shared" si="205"/>
        <v>11.3793103448276</v>
      </c>
      <c r="BK43" s="43">
        <f t="shared" si="206"/>
      </c>
      <c r="BL43" s="46" t="e">
        <f t="shared" si="207"/>
        <v>#REF!</v>
      </c>
      <c r="BM43" s="43">
        <f t="shared" si="208"/>
        <v>14.7241379310344</v>
      </c>
      <c r="BN43" s="43"/>
      <c r="BO43" s="46" t="e">
        <f t="shared" si="209"/>
        <v>#REF!</v>
      </c>
      <c r="BP43" s="43">
        <f t="shared" si="210"/>
        <v>15.7241379310344</v>
      </c>
      <c r="BQ43" s="43"/>
      <c r="BR43" s="46" t="e">
        <f t="shared" si="211"/>
        <v>#REF!</v>
      </c>
      <c r="BS43" s="43">
        <f t="shared" si="212"/>
        <v>15.7241379310344</v>
      </c>
      <c r="BT43" s="43"/>
      <c r="BU43" s="46" t="e">
        <f t="shared" si="213"/>
        <v>#REF!</v>
      </c>
      <c r="BV43" s="43">
        <f t="shared" si="214"/>
        <v>15.7241379310344</v>
      </c>
      <c r="BW43" s="43"/>
      <c r="BX43" s="46" t="e">
        <f t="shared" si="215"/>
        <v>#REF!</v>
      </c>
      <c r="BY43" s="43"/>
      <c r="BZ43" s="42" t="e">
        <f t="shared" ref="BZ43:BZ45" si="228">BU43*-1</f>
        <v>#REF!</v>
      </c>
      <c r="CA43" s="52" t="e">
        <f t="shared" ref="CA43:CA45" si="229">BZ43/6</f>
        <v>#REF!</v>
      </c>
      <c r="CB43" s="42" t="e">
        <f t="shared" ref="CB43:CB45" si="230">ROUNDUP(CA43,0)</f>
        <v>#REF!</v>
      </c>
      <c r="CC43" s="53" t="e">
        <f t="shared" ref="CC43:CC45" si="231">CB43*6</f>
        <v>#REF!</v>
      </c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CR43" s="43"/>
      <c r="CS43" s="43"/>
      <c r="CT43" s="43"/>
      <c r="CU43" s="43"/>
      <c r="CV43" s="43"/>
      <c r="CW43" s="43"/>
      <c r="CX43" s="43"/>
      <c r="CY43" s="43"/>
      <c r="CZ43" s="43"/>
      <c r="DA43" s="43"/>
      <c r="DB43" s="43"/>
      <c r="DC43" s="43"/>
      <c r="AMF43" s="47"/>
      <c r="AMG43" s="47"/>
      <c r="AMH43" s="47"/>
      <c r="AMI43" s="47"/>
      <c r="AMJ43" s="47"/>
    </row>
    <row r="44" ht="14.0">
      <c r="A44" s="37" t="s">
        <v>32</v>
      </c>
      <c r="B44" s="37" t="s">
        <v>81</v>
      </c>
      <c r="C44" s="37" t="s">
        <v>91</v>
      </c>
      <c r="D44" s="38">
        <v>43010.0</v>
      </c>
      <c r="E44" s="37">
        <v>27.0</v>
      </c>
      <c r="F44" s="37">
        <v>12.0</v>
      </c>
      <c r="G44" s="37">
        <v>39.0</v>
      </c>
      <c r="H44" s="37">
        <v>39.0</v>
      </c>
      <c r="I44" s="37">
        <v>20.0</v>
      </c>
      <c r="J44" s="37">
        <v>15.0</v>
      </c>
      <c r="K44" s="37">
        <v>15.0</v>
      </c>
      <c r="L44" s="37">
        <v>18.0</v>
      </c>
      <c r="M44" s="37">
        <v>24.0</v>
      </c>
      <c r="N44" s="37">
        <v>21.0</v>
      </c>
      <c r="O44" s="37">
        <v>36.0</v>
      </c>
      <c r="P44" s="37">
        <v>9.0</v>
      </c>
      <c r="Q44" s="37">
        <v>21.0</v>
      </c>
      <c r="R44" s="37">
        <v>18.0</v>
      </c>
      <c r="S44" s="37">
        <v>17.0</v>
      </c>
      <c r="T44" s="37">
        <v>6.0</v>
      </c>
      <c r="U44" s="37">
        <v>15.0</v>
      </c>
      <c r="V44" s="37">
        <v>24.0</v>
      </c>
      <c r="W44" s="37">
        <v>15.0</v>
      </c>
      <c r="X44" s="37">
        <v>21.0</v>
      </c>
      <c r="Y44" s="37">
        <v>18.0</v>
      </c>
      <c r="Z44" s="37">
        <v>9.0</v>
      </c>
      <c r="AA44" s="37">
        <v>12.0</v>
      </c>
      <c r="AB44" s="37">
        <v>18.0</v>
      </c>
      <c r="AC44" s="37">
        <v>9.0</v>
      </c>
      <c r="AD44" s="37">
        <v>12.0</v>
      </c>
      <c r="AE44" s="37">
        <v>24.0</v>
      </c>
      <c r="AF44" s="37">
        <v>18.0</v>
      </c>
      <c r="AG44" s="37">
        <v>11.0</v>
      </c>
      <c r="AH44" s="37">
        <v>18.0</v>
      </c>
      <c r="AI44" s="37">
        <v>15.0</v>
      </c>
      <c r="AJ44" s="37">
        <v>6.0</v>
      </c>
      <c r="AK44" s="37">
        <v>15.0</v>
      </c>
      <c r="AL44" s="37">
        <v>3.0</v>
      </c>
      <c r="AM44" s="37">
        <v>9.0</v>
      </c>
      <c r="AN44" s="37">
        <v>6.0</v>
      </c>
      <c r="AO44" s="39">
        <f t="shared" si="3"/>
        <v>146.0</v>
      </c>
      <c r="AP44" s="39">
        <f t="shared" si="4"/>
        <v>54.0</v>
      </c>
      <c r="AQ44" s="39">
        <f t="shared" si="5"/>
        <v>59.4</v>
      </c>
      <c r="AR44" s="51">
        <f>AQ44*$AR$4/$AQ$4+2*$AR$38</f>
        <v>11.448275862069</v>
      </c>
      <c r="AS44" s="51">
        <f>AQ44*$AS$4/$AQ$4+2*$AS$38</f>
        <v>13.9310344827586</v>
      </c>
      <c r="AT44" s="51">
        <f>AQ44*$AT$4/$AQ$4+2*$AT$38</f>
        <v>18.4137931034482</v>
      </c>
      <c r="AU44" s="51">
        <f>AQ44*$AU$4/$AQ$4+2*$AU$38</f>
        <v>20.4137931034482</v>
      </c>
      <c r="AV44" s="51">
        <f>AQ44*$AV$4/$AQ$4+2*$AV$38</f>
        <v>20.4137931034482</v>
      </c>
      <c r="AW44" s="51">
        <f>AQ44*$AW$4/$AQ$4+2*$AW$38</f>
        <v>20.4137931034482</v>
      </c>
      <c r="AX44" s="41">
        <f t="shared" si="12"/>
        <v>105.03448275862</v>
      </c>
      <c r="AY44" s="41" t="e">
        <f t="shared" si="13"/>
        <v>#REF!</v>
      </c>
      <c r="AZ44" s="42"/>
      <c r="BA44" s="43"/>
      <c r="BB44" s="39" t="e">
        <f t="shared" si="199"/>
        <v>#REF!</v>
      </c>
      <c r="BC44" s="43">
        <f>VLOOKUP(C44,MOQ,3,FALSE())</f>
      </c>
      <c r="BD44" s="49" t="e">
        <f t="shared" si="227"/>
        <v>#REF!</v>
      </c>
      <c r="BE44" s="45" t="s">
        <v>7</v>
      </c>
      <c r="BF44" s="43" t="e">
        <f t="shared" si="201"/>
        <v>#REF!</v>
      </c>
      <c r="BG44" s="43">
        <f t="shared" si="202"/>
        <v>11.448275862069</v>
      </c>
      <c r="BH44" s="43">
        <f t="shared" si="203"/>
      </c>
      <c r="BI44" s="46" t="e">
        <f t="shared" si="204"/>
        <v>#REF!</v>
      </c>
      <c r="BJ44" s="43">
        <f t="shared" si="205"/>
        <v>13.9310344827586</v>
      </c>
      <c r="BK44" s="43">
        <f t="shared" si="206"/>
      </c>
      <c r="BL44" s="46" t="e">
        <f t="shared" si="207"/>
        <v>#REF!</v>
      </c>
      <c r="BM44" s="43">
        <f t="shared" si="208"/>
        <v>18.4137931034482</v>
      </c>
      <c r="BN44" s="43"/>
      <c r="BO44" s="46" t="e">
        <f t="shared" si="209"/>
        <v>#REF!</v>
      </c>
      <c r="BP44" s="43">
        <f t="shared" si="210"/>
        <v>20.4137931034482</v>
      </c>
      <c r="BQ44" s="43"/>
      <c r="BR44" s="46" t="e">
        <f t="shared" si="211"/>
        <v>#REF!</v>
      </c>
      <c r="BS44" s="43">
        <f t="shared" si="212"/>
        <v>20.4137931034482</v>
      </c>
      <c r="BT44" s="43"/>
      <c r="BU44" s="46" t="e">
        <f t="shared" si="213"/>
        <v>#REF!</v>
      </c>
      <c r="BV44" s="43">
        <f t="shared" si="214"/>
        <v>20.4137931034482</v>
      </c>
      <c r="BW44" s="43"/>
      <c r="BX44" s="46" t="e">
        <f t="shared" si="215"/>
        <v>#REF!</v>
      </c>
      <c r="BY44" s="43"/>
      <c r="BZ44" s="42" t="e">
        <f t="shared" si="228"/>
        <v>#REF!</v>
      </c>
      <c r="CA44" s="52" t="e">
        <f t="shared" si="229"/>
        <v>#REF!</v>
      </c>
      <c r="CB44" s="42" t="e">
        <f t="shared" si="230"/>
        <v>#REF!</v>
      </c>
      <c r="CC44" s="53" t="e">
        <f t="shared" si="231"/>
        <v>#REF!</v>
      </c>
      <c r="CD44" s="43"/>
      <c r="CE44" s="43"/>
      <c r="CF44" s="43"/>
      <c r="CG44" s="43"/>
      <c r="CH44" s="43"/>
      <c r="CI44" s="43"/>
      <c r="CJ44" s="43"/>
      <c r="CK44" s="43"/>
      <c r="CL44" s="43"/>
      <c r="CM44" s="43"/>
      <c r="CN44" s="43"/>
      <c r="CO44" s="43"/>
      <c r="CP44" s="43"/>
      <c r="CQ44" s="43"/>
      <c r="CR44" s="43"/>
      <c r="CS44" s="43"/>
      <c r="CT44" s="43"/>
      <c r="CU44" s="43"/>
      <c r="CV44" s="43"/>
      <c r="CW44" s="43"/>
      <c r="CX44" s="43"/>
      <c r="CY44" s="43"/>
      <c r="CZ44" s="43"/>
      <c r="DA44" s="43"/>
      <c r="DB44" s="43"/>
      <c r="DC44" s="43"/>
      <c r="AMF44" s="47"/>
      <c r="AMG44" s="47"/>
      <c r="AMH44" s="47"/>
      <c r="AMI44" s="47"/>
      <c r="AMJ44" s="47"/>
    </row>
    <row r="45" ht="14.0">
      <c r="A45" s="37" t="s">
        <v>32</v>
      </c>
      <c r="B45" s="37" t="s">
        <v>81</v>
      </c>
      <c r="C45" s="37" t="s">
        <v>92</v>
      </c>
      <c r="D45" s="38">
        <v>43011.0</v>
      </c>
      <c r="E45" s="37">
        <v>18.0</v>
      </c>
      <c r="F45" s="37">
        <v>15.0</v>
      </c>
      <c r="G45" s="37">
        <v>30.0</v>
      </c>
      <c r="H45" s="37">
        <v>39.0</v>
      </c>
      <c r="I45" s="37">
        <v>19.0</v>
      </c>
      <c r="J45" s="37">
        <v>39.0</v>
      </c>
      <c r="K45" s="37">
        <v>0.0</v>
      </c>
      <c r="L45" s="37">
        <v>18.0</v>
      </c>
      <c r="M45" s="37">
        <v>30.0</v>
      </c>
      <c r="N45" s="37">
        <v>15.0</v>
      </c>
      <c r="O45" s="37">
        <v>45.0</v>
      </c>
      <c r="P45" s="37">
        <v>3.0</v>
      </c>
      <c r="Q45" s="37">
        <v>30.0</v>
      </c>
      <c r="R45" s="37">
        <v>18.0</v>
      </c>
      <c r="S45" s="37">
        <v>13.0</v>
      </c>
      <c r="T45" s="37">
        <v>18.0</v>
      </c>
      <c r="U45" s="37">
        <v>18.0</v>
      </c>
      <c r="V45" s="37">
        <v>24.0</v>
      </c>
      <c r="W45" s="37">
        <v>15.0</v>
      </c>
      <c r="X45" s="37">
        <v>18.0</v>
      </c>
      <c r="Y45" s="37">
        <v>18.0</v>
      </c>
      <c r="Z45" s="37">
        <v>3.0</v>
      </c>
      <c r="AA45" s="37">
        <v>9.0</v>
      </c>
      <c r="AB45" s="37">
        <v>24.0</v>
      </c>
      <c r="AC45" s="37">
        <v>9.0</v>
      </c>
      <c r="AD45" s="37">
        <v>15.0</v>
      </c>
      <c r="AE45" s="37">
        <v>3.0</v>
      </c>
      <c r="AF45" s="37">
        <v>9.0</v>
      </c>
      <c r="AG45" s="37">
        <v>7.0</v>
      </c>
      <c r="AH45" s="37">
        <v>15.0</v>
      </c>
      <c r="AI45" s="37">
        <v>9.0</v>
      </c>
      <c r="AJ45" s="37">
        <v>3.0</v>
      </c>
      <c r="AK45" s="37">
        <v>15.0</v>
      </c>
      <c r="AL45" s="37">
        <v>3.0</v>
      </c>
      <c r="AM45" s="37">
        <v>12.0</v>
      </c>
      <c r="AN45" s="37">
        <v>3.0</v>
      </c>
      <c r="AO45" s="39">
        <f t="shared" si="3"/>
        <v>103.0</v>
      </c>
      <c r="AP45" s="39">
        <f t="shared" si="4"/>
        <v>45.0</v>
      </c>
      <c r="AQ45" s="39">
        <f t="shared" si="5"/>
        <v>49.5</v>
      </c>
      <c r="AR45" s="51">
        <f>AQ45*$AR$4/$AQ$4+1*$AR$38</f>
        <v>8.20689655172413</v>
      </c>
      <c r="AS45" s="51">
        <f>AQ45*$AS$4/$AQ$4+1*$AS$38</f>
        <v>10.2758620689655</v>
      </c>
      <c r="AT45" s="51">
        <f>AQ45*$AT$4/$AQ$4+1*$AT$38</f>
        <v>13.3448275862069</v>
      </c>
      <c r="AU45" s="51">
        <f>AQ45*$AU$4/$AQ$4+1*$AU$38</f>
        <v>14.3448275862069</v>
      </c>
      <c r="AV45" s="51">
        <f>AQ45*$AV$4/$AQ$4+1*$AV$38</f>
        <v>14.3448275862069</v>
      </c>
      <c r="AW45" s="51">
        <f>AQ45*$AW$4/$AQ$4+1*$AW$38</f>
        <v>14.3448275862069</v>
      </c>
      <c r="AX45" s="41">
        <f t="shared" si="12"/>
        <v>74.8620689655172</v>
      </c>
      <c r="AY45" s="41" t="e">
        <f t="shared" si="13"/>
        <v>#REF!</v>
      </c>
      <c r="AZ45" s="42"/>
      <c r="BA45" s="43"/>
      <c r="BB45" s="39" t="e">
        <f t="shared" si="199"/>
        <v>#REF!</v>
      </c>
      <c r="BC45" s="43">
        <f>VLOOKUP(C45,MOQ,3,FALSE())</f>
      </c>
      <c r="BD45" s="49" t="e">
        <f t="shared" si="227"/>
        <v>#REF!</v>
      </c>
      <c r="BE45" s="45" t="s">
        <v>7</v>
      </c>
      <c r="BF45" s="43" t="e">
        <f t="shared" si="201"/>
        <v>#REF!</v>
      </c>
      <c r="BG45" s="43">
        <f t="shared" si="202"/>
        <v>8.20689655172413</v>
      </c>
      <c r="BH45" s="43">
        <f t="shared" si="203"/>
      </c>
      <c r="BI45" s="46" t="e">
        <f t="shared" si="204"/>
        <v>#REF!</v>
      </c>
      <c r="BJ45" s="43">
        <f t="shared" si="205"/>
        <v>10.2758620689655</v>
      </c>
      <c r="BK45" s="43">
        <f t="shared" si="206"/>
      </c>
      <c r="BL45" s="46" t="e">
        <f t="shared" si="207"/>
        <v>#REF!</v>
      </c>
      <c r="BM45" s="43">
        <f t="shared" si="208"/>
        <v>13.3448275862069</v>
      </c>
      <c r="BN45" s="43"/>
      <c r="BO45" s="46" t="e">
        <f t="shared" si="209"/>
        <v>#REF!</v>
      </c>
      <c r="BP45" s="43">
        <f t="shared" si="210"/>
        <v>14.3448275862069</v>
      </c>
      <c r="BQ45" s="43"/>
      <c r="BR45" s="46" t="e">
        <f t="shared" si="211"/>
        <v>#REF!</v>
      </c>
      <c r="BS45" s="43">
        <f t="shared" si="212"/>
        <v>14.3448275862069</v>
      </c>
      <c r="BT45" s="43"/>
      <c r="BU45" s="46" t="e">
        <f t="shared" si="213"/>
        <v>#REF!</v>
      </c>
      <c r="BV45" s="43">
        <f t="shared" si="214"/>
        <v>14.3448275862069</v>
      </c>
      <c r="BW45" s="43"/>
      <c r="BX45" s="46" t="e">
        <f t="shared" si="215"/>
        <v>#REF!</v>
      </c>
      <c r="BY45" s="43"/>
      <c r="BZ45" s="42" t="e">
        <f t="shared" si="228"/>
        <v>#REF!</v>
      </c>
      <c r="CA45" s="52" t="e">
        <f t="shared" si="229"/>
        <v>#REF!</v>
      </c>
      <c r="CB45" s="42" t="e">
        <f t="shared" si="230"/>
        <v>#REF!</v>
      </c>
      <c r="CC45" s="53" t="e">
        <f t="shared" si="231"/>
        <v>#REF!</v>
      </c>
      <c r="CD45" s="43"/>
      <c r="CE45" s="43"/>
      <c r="CF45" s="43"/>
      <c r="CG45" s="43"/>
      <c r="CH45" s="43"/>
      <c r="CI45" s="43"/>
      <c r="CJ45" s="43"/>
      <c r="CK45" s="43"/>
      <c r="CL45" s="43"/>
      <c r="CM45" s="43"/>
      <c r="CN45" s="43"/>
      <c r="CO45" s="43"/>
      <c r="CP45" s="43"/>
      <c r="CQ45" s="43"/>
      <c r="CR45" s="43"/>
      <c r="CS45" s="43"/>
      <c r="CT45" s="43"/>
      <c r="CU45" s="43"/>
      <c r="CV45" s="43"/>
      <c r="CW45" s="43"/>
      <c r="CX45" s="43"/>
      <c r="CY45" s="43"/>
      <c r="CZ45" s="43"/>
      <c r="DA45" s="43"/>
      <c r="DB45" s="43"/>
      <c r="DC45" s="43"/>
      <c r="AMF45" s="47"/>
      <c r="AMG45" s="47"/>
      <c r="AMH45" s="47"/>
      <c r="AMI45" s="47"/>
      <c r="AMJ45" s="47"/>
    </row>
    <row r="46" ht="14.0">
      <c r="A46" s="37" t="s">
        <v>32</v>
      </c>
      <c r="B46" s="37" t="s">
        <v>81</v>
      </c>
      <c r="C46" s="37" t="s">
        <v>93</v>
      </c>
      <c r="D46" s="38">
        <v>43012.0</v>
      </c>
      <c r="E46" s="37">
        <v>12.0</v>
      </c>
      <c r="F46" s="37">
        <v>6.0</v>
      </c>
      <c r="G46" s="37">
        <v>15.0</v>
      </c>
      <c r="H46" s="37">
        <v>24.0</v>
      </c>
      <c r="I46" s="37">
        <v>20.0</v>
      </c>
      <c r="J46" s="37">
        <v>21.0</v>
      </c>
      <c r="K46" s="37">
        <v>12.0</v>
      </c>
      <c r="L46" s="37">
        <v>9.0</v>
      </c>
      <c r="M46" s="37">
        <v>12.0</v>
      </c>
      <c r="N46" s="37">
        <v>24.0</v>
      </c>
      <c r="O46" s="37">
        <v>24.0</v>
      </c>
      <c r="P46" s="37">
        <v>3.0</v>
      </c>
      <c r="Q46" s="37">
        <v>21.0</v>
      </c>
      <c r="R46" s="37">
        <v>3.0</v>
      </c>
      <c r="S46" s="37">
        <v>10.0</v>
      </c>
      <c r="T46" s="37">
        <v>12.0</v>
      </c>
      <c r="U46" s="37">
        <v>19.0</v>
      </c>
      <c r="V46" s="37">
        <v>22.0</v>
      </c>
      <c r="W46" s="37">
        <v>6.0</v>
      </c>
      <c r="X46" s="37">
        <v>12.0</v>
      </c>
      <c r="Y46" s="37">
        <v>9.0</v>
      </c>
      <c r="Z46" s="37">
        <v>14.0</v>
      </c>
      <c r="AA46" s="37">
        <v>12.0</v>
      </c>
      <c r="AB46" s="37">
        <v>3.0</v>
      </c>
      <c r="AC46" s="37">
        <v>12.0</v>
      </c>
      <c r="AD46" s="37">
        <v>3.0</v>
      </c>
      <c r="AE46" s="37">
        <v>15.0</v>
      </c>
      <c r="AF46" s="37">
        <v>6.0</v>
      </c>
      <c r="AG46" s="37">
        <v>5.0</v>
      </c>
      <c r="AH46" s="37">
        <v>15.0</v>
      </c>
      <c r="AI46" s="37">
        <v>3.0</v>
      </c>
      <c r="AJ46" s="37">
        <v>9.0</v>
      </c>
      <c r="AK46" s="37">
        <v>12.0</v>
      </c>
      <c r="AL46" s="37">
        <v>6.0</v>
      </c>
      <c r="AM46" s="37">
        <v>0.0</v>
      </c>
      <c r="AN46" s="37">
        <v>6.0</v>
      </c>
      <c r="AO46" s="39">
        <f t="shared" si="3"/>
        <v>92.0</v>
      </c>
      <c r="AP46" s="39">
        <f t="shared" si="4"/>
        <v>36.0</v>
      </c>
      <c r="AQ46" s="39">
        <f t="shared" si="5"/>
        <v>39.6</v>
      </c>
      <c r="AR46" s="51">
        <f>AQ46*$AR$4/$AQ$4+2*$AR$38</f>
        <v>8.96551724137931</v>
      </c>
      <c r="AS46" s="51">
        <f>AQ46*$AS$4/$AQ$4+2*$AS$38</f>
        <v>10.6206896551724</v>
      </c>
      <c r="AT46" s="51">
        <f>AQ46*$AT$4/$AQ$4+2*$AT$38</f>
        <v>14.2758620689655</v>
      </c>
      <c r="AU46" s="51">
        <f>AQ46*$AU$4/$AQ$4+2*$AU$38</f>
        <v>16.2758620689655</v>
      </c>
      <c r="AV46" s="51">
        <f>AQ46*$AV$4/$AQ$4+2*$AV$38</f>
        <v>16.2758620689655</v>
      </c>
      <c r="AW46" s="51">
        <f>AQ46*$AW$4/$AQ$4+2*$AW$38</f>
        <v>16.2758620689655</v>
      </c>
      <c r="AX46" s="41">
        <f t="shared" si="12"/>
        <v>82.6896551724137</v>
      </c>
      <c r="AY46" s="41" t="e">
        <f t="shared" si="13"/>
        <v>#REF!</v>
      </c>
      <c r="AZ46" s="42"/>
      <c r="BA46" s="43"/>
      <c r="BB46" s="39" t="e">
        <f t="shared" si="199"/>
        <v>#REF!</v>
      </c>
      <c r="BC46" s="43">
        <f>VLOOKUP(C46,MOQ,3,FALSE())</f>
      </c>
      <c r="BD46" s="44"/>
      <c r="BE46" s="45"/>
      <c r="BF46" s="43" t="e">
        <f t="shared" si="201"/>
        <v>#REF!</v>
      </c>
      <c r="BG46" s="43">
        <f t="shared" si="202"/>
        <v>8.96551724137931</v>
      </c>
      <c r="BH46" s="43">
        <f t="shared" si="203"/>
      </c>
      <c r="BI46" s="46" t="e">
        <f t="shared" si="204"/>
        <v>#REF!</v>
      </c>
      <c r="BJ46" s="43">
        <f t="shared" si="205"/>
        <v>10.6206896551724</v>
      </c>
      <c r="BK46" s="43">
        <f t="shared" si="206"/>
      </c>
      <c r="BL46" s="46" t="e">
        <f t="shared" si="207"/>
        <v>#REF!</v>
      </c>
      <c r="BM46" s="43">
        <f t="shared" si="208"/>
        <v>14.2758620689655</v>
      </c>
      <c r="BN46" s="43"/>
      <c r="BO46" s="46" t="e">
        <f t="shared" si="209"/>
        <v>#REF!</v>
      </c>
      <c r="BP46" s="43">
        <f t="shared" si="210"/>
        <v>16.2758620689655</v>
      </c>
      <c r="BQ46" s="43"/>
      <c r="BR46" s="46" t="e">
        <f t="shared" si="211"/>
        <v>#REF!</v>
      </c>
      <c r="BS46" s="43">
        <f t="shared" si="212"/>
        <v>16.2758620689655</v>
      </c>
      <c r="BT46" s="43"/>
      <c r="BU46" s="46" t="e">
        <f t="shared" si="213"/>
        <v>#REF!</v>
      </c>
      <c r="BV46" s="43">
        <f t="shared" si="214"/>
        <v>16.2758620689655</v>
      </c>
      <c r="BW46" s="43"/>
      <c r="BX46" s="46" t="e">
        <f t="shared" si="215"/>
        <v>#REF!</v>
      </c>
      <c r="BY46" s="43"/>
      <c r="BZ46" s="43"/>
      <c r="CA46" s="43"/>
      <c r="CB46" s="43"/>
      <c r="CC46" s="43"/>
      <c r="CD46" s="43"/>
      <c r="CE46" s="43"/>
      <c r="CF46" s="43"/>
      <c r="CG46" s="43"/>
      <c r="CH46" s="43"/>
      <c r="CI46" s="43"/>
      <c r="CJ46" s="43"/>
      <c r="CK46" s="43"/>
      <c r="CL46" s="43"/>
      <c r="CM46" s="43"/>
      <c r="CN46" s="43"/>
      <c r="CO46" s="43"/>
      <c r="CP46" s="43"/>
      <c r="CQ46" s="43"/>
      <c r="CR46" s="43"/>
      <c r="CS46" s="43"/>
      <c r="CT46" s="43"/>
      <c r="CU46" s="43"/>
      <c r="CV46" s="43"/>
      <c r="CW46" s="43"/>
      <c r="CX46" s="43"/>
      <c r="AMF46" s="47"/>
      <c r="AMG46" s="47"/>
      <c r="AMH46" s="47"/>
      <c r="AMI46" s="47"/>
      <c r="AMJ46" s="47"/>
    </row>
    <row r="47" ht="14.0">
      <c r="A47" s="37" t="s">
        <v>32</v>
      </c>
      <c r="B47" s="37" t="s">
        <v>81</v>
      </c>
      <c r="C47" s="37" t="s">
        <v>94</v>
      </c>
      <c r="D47" s="38">
        <v>43032.0</v>
      </c>
      <c r="E47" s="37">
        <v>0.0</v>
      </c>
      <c r="F47" s="37">
        <v>0.0</v>
      </c>
      <c r="G47" s="37">
        <v>0.0</v>
      </c>
      <c r="H47" s="37">
        <v>0.0</v>
      </c>
      <c r="I47" s="37">
        <v>0.0</v>
      </c>
      <c r="J47" s="37">
        <v>0.0</v>
      </c>
      <c r="K47" s="37">
        <v>0.0</v>
      </c>
      <c r="L47" s="37">
        <v>0.0</v>
      </c>
      <c r="M47" s="37">
        <v>0.0</v>
      </c>
      <c r="N47" s="37">
        <v>0.0</v>
      </c>
      <c r="O47" s="37">
        <v>0.0</v>
      </c>
      <c r="P47" s="37">
        <v>0.0</v>
      </c>
      <c r="Q47" s="37">
        <v>0.0</v>
      </c>
      <c r="R47" s="37">
        <v>0.0</v>
      </c>
      <c r="S47" s="37">
        <v>0.0</v>
      </c>
      <c r="T47" s="37">
        <v>0.0</v>
      </c>
      <c r="U47" s="37">
        <v>0.0</v>
      </c>
      <c r="V47" s="37">
        <v>0.0</v>
      </c>
      <c r="W47" s="37">
        <v>0.0</v>
      </c>
      <c r="X47" s="37">
        <v>0.0</v>
      </c>
      <c r="Y47" s="37">
        <v>0.0</v>
      </c>
      <c r="Z47" s="37">
        <v>0.0</v>
      </c>
      <c r="AA47" s="37">
        <v>0.0</v>
      </c>
      <c r="AB47" s="37">
        <v>0.0</v>
      </c>
      <c r="AC47" s="37">
        <v>0.0</v>
      </c>
      <c r="AD47" s="37">
        <v>0.0</v>
      </c>
      <c r="AE47" s="37">
        <v>3.0</v>
      </c>
      <c r="AF47" s="37">
        <v>6.0</v>
      </c>
      <c r="AG47" s="37">
        <v>0.0</v>
      </c>
      <c r="AH47" s="37">
        <v>3.0</v>
      </c>
      <c r="AI47" s="37">
        <v>0.0</v>
      </c>
      <c r="AJ47" s="37">
        <v>0.0</v>
      </c>
      <c r="AK47" s="37">
        <v>3.0</v>
      </c>
      <c r="AL47" s="37">
        <v>9.0</v>
      </c>
      <c r="AM47" s="37">
        <v>0.0</v>
      </c>
      <c r="AN47" s="37">
        <v>0.0</v>
      </c>
      <c r="AO47" s="39">
        <f t="shared" si="3"/>
        <v>24.0</v>
      </c>
      <c r="AP47" s="39">
        <f t="shared" si="4"/>
        <v>12.0</v>
      </c>
      <c r="AQ47" s="39">
        <f t="shared" si="5"/>
        <v>13.2</v>
      </c>
      <c r="AR47" s="51">
        <f t="shared" ref="AR47:AR49" si="250">AQ47*$AR$4/$AQ$4+1*$AR$38</f>
        <v>3.6551724137931</v>
      </c>
      <c r="AS47" s="51">
        <f t="shared" ref="AS47:AS49" si="251">AQ47*$AS$4/$AQ$4+1*$AS$38</f>
        <v>4.20689655172413</v>
      </c>
      <c r="AT47" s="51">
        <f t="shared" ref="AT47:AT49" si="252">AQ47*$AT$4/$AQ$4+1*$AT$38</f>
        <v>5.75862068965517</v>
      </c>
      <c r="AU47" s="51">
        <f t="shared" ref="AU47:AU49" si="253">AQ47*$AU$4/$AQ$4+1*$AU$38</f>
        <v>6.75862068965517</v>
      </c>
      <c r="AV47" s="51">
        <f t="shared" ref="AV47:AV49" si="254">AQ47*$AV$4/$AQ$4+1*$AV$38</f>
        <v>6.75862068965517</v>
      </c>
      <c r="AW47" s="51">
        <f t="shared" ref="AW47:AW49" si="255">AQ47*$AW$4/$AQ$4+1*$AW$38</f>
        <v>6.75862068965517</v>
      </c>
      <c r="AX47" s="41">
        <f t="shared" si="12"/>
        <v>33.8965517241379</v>
      </c>
      <c r="AY47" s="41" t="e">
        <f t="shared" si="13"/>
        <v>#REF!</v>
      </c>
      <c r="AZ47" s="42"/>
      <c r="BA47" s="43"/>
      <c r="BB47" s="39" t="e">
        <f t="shared" si="199"/>
        <v>#REF!</v>
      </c>
      <c r="BC47" s="43"/>
      <c r="BD47" s="44"/>
      <c r="BE47" s="45"/>
      <c r="BF47" s="43" t="e">
        <f t="shared" si="201"/>
        <v>#REF!</v>
      </c>
      <c r="BG47" s="43">
        <f t="shared" si="202"/>
        <v>3.6551724137931</v>
      </c>
      <c r="BH47" s="43">
        <f t="shared" si="203"/>
      </c>
      <c r="BI47" s="46" t="e">
        <f t="shared" si="204"/>
        <v>#REF!</v>
      </c>
      <c r="BJ47" s="43">
        <f t="shared" si="205"/>
        <v>4.20689655172413</v>
      </c>
      <c r="BK47" s="43">
        <f t="shared" si="206"/>
      </c>
      <c r="BL47" s="46" t="e">
        <f t="shared" si="207"/>
        <v>#REF!</v>
      </c>
      <c r="BM47" s="43">
        <f t="shared" si="208"/>
        <v>5.75862068965517</v>
      </c>
      <c r="BN47" s="43"/>
      <c r="BO47" s="46" t="e">
        <f t="shared" si="209"/>
        <v>#REF!</v>
      </c>
      <c r="BP47" s="43">
        <f t="shared" si="210"/>
        <v>6.75862068965517</v>
      </c>
      <c r="BQ47" s="43"/>
      <c r="BR47" s="46" t="e">
        <f t="shared" si="211"/>
        <v>#REF!</v>
      </c>
      <c r="BS47" s="43">
        <f t="shared" si="212"/>
        <v>6.75862068965517</v>
      </c>
      <c r="BT47" s="43"/>
      <c r="BU47" s="46" t="e">
        <f t="shared" si="213"/>
        <v>#REF!</v>
      </c>
      <c r="BV47" s="43">
        <f t="shared" si="214"/>
        <v>6.75862068965517</v>
      </c>
      <c r="BW47" s="43"/>
      <c r="BX47" s="46" t="e">
        <f t="shared" si="215"/>
        <v>#REF!</v>
      </c>
      <c r="BY47" s="43"/>
      <c r="BZ47" s="43"/>
      <c r="CA47" s="43"/>
      <c r="CB47" s="43"/>
      <c r="CC47" s="43"/>
      <c r="CD47" s="43"/>
      <c r="CE47" s="43"/>
      <c r="CF47" s="43"/>
      <c r="CG47" s="43"/>
      <c r="CH47" s="43"/>
      <c r="CI47" s="43"/>
      <c r="CJ47" s="43"/>
      <c r="CK47" s="43"/>
      <c r="CL47" s="43"/>
      <c r="CM47" s="43"/>
      <c r="CN47" s="43"/>
      <c r="CO47" s="43"/>
      <c r="CP47" s="43"/>
      <c r="CQ47" s="43"/>
      <c r="CR47" s="43"/>
      <c r="CS47" s="43"/>
      <c r="CT47" s="43"/>
      <c r="CU47" s="43"/>
      <c r="CV47" s="43"/>
      <c r="CW47" s="43"/>
      <c r="CX47" s="43"/>
      <c r="AMF47" s="47"/>
      <c r="AMG47" s="47"/>
      <c r="AMH47" s="47"/>
      <c r="AMI47" s="47"/>
      <c r="AMJ47" s="47"/>
    </row>
    <row r="48" ht="14.0">
      <c r="A48" s="37" t="s">
        <v>32</v>
      </c>
      <c r="B48" s="37" t="s">
        <v>81</v>
      </c>
      <c r="C48" s="37" t="s">
        <v>95</v>
      </c>
      <c r="D48" s="38">
        <v>43033.0</v>
      </c>
      <c r="E48" s="37">
        <v>0.0</v>
      </c>
      <c r="F48" s="37">
        <v>0.0</v>
      </c>
      <c r="G48" s="37">
        <v>0.0</v>
      </c>
      <c r="H48" s="37">
        <v>0.0</v>
      </c>
      <c r="I48" s="37">
        <v>0.0</v>
      </c>
      <c r="J48" s="37">
        <v>0.0</v>
      </c>
      <c r="K48" s="37">
        <v>0.0</v>
      </c>
      <c r="L48" s="37">
        <v>0.0</v>
      </c>
      <c r="M48" s="37">
        <v>0.0</v>
      </c>
      <c r="N48" s="37">
        <v>0.0</v>
      </c>
      <c r="O48" s="37">
        <v>0.0</v>
      </c>
      <c r="P48" s="37">
        <v>0.0</v>
      </c>
      <c r="Q48" s="37">
        <v>0.0</v>
      </c>
      <c r="R48" s="37">
        <v>0.0</v>
      </c>
      <c r="S48" s="37">
        <v>0.0</v>
      </c>
      <c r="T48" s="37">
        <v>0.0</v>
      </c>
      <c r="U48" s="37">
        <v>0.0</v>
      </c>
      <c r="V48" s="37">
        <v>0.0</v>
      </c>
      <c r="W48" s="37">
        <v>0.0</v>
      </c>
      <c r="X48" s="37">
        <v>0.0</v>
      </c>
      <c r="Y48" s="37">
        <v>0.0</v>
      </c>
      <c r="Z48" s="37">
        <v>0.0</v>
      </c>
      <c r="AA48" s="37">
        <v>0.0</v>
      </c>
      <c r="AB48" s="37">
        <v>3.0</v>
      </c>
      <c r="AC48" s="37">
        <v>3.0</v>
      </c>
      <c r="AD48" s="37">
        <v>0.0</v>
      </c>
      <c r="AE48" s="37">
        <v>0.0</v>
      </c>
      <c r="AF48" s="37">
        <v>9.0</v>
      </c>
      <c r="AG48" s="37">
        <v>3.0</v>
      </c>
      <c r="AH48" s="37">
        <v>3.0</v>
      </c>
      <c r="AI48" s="37">
        <v>3.0</v>
      </c>
      <c r="AJ48" s="37">
        <v>0.0</v>
      </c>
      <c r="AK48" s="37">
        <v>0.0</v>
      </c>
      <c r="AL48" s="37">
        <v>0.0</v>
      </c>
      <c r="AM48" s="37">
        <v>3.0</v>
      </c>
      <c r="AN48" s="37">
        <v>0.0</v>
      </c>
      <c r="AO48" s="39">
        <f t="shared" si="3"/>
        <v>24.0</v>
      </c>
      <c r="AP48" s="39">
        <f t="shared" si="4"/>
        <v>6.0</v>
      </c>
      <c r="AQ48" s="39">
        <f t="shared" si="5"/>
        <v>6.6</v>
      </c>
      <c r="AR48" s="51">
        <f t="shared" si="250"/>
        <v>2.82758620689655</v>
      </c>
      <c r="AS48" s="51">
        <f t="shared" si="251"/>
        <v>3.10344827586207</v>
      </c>
      <c r="AT48" s="51">
        <f t="shared" si="252"/>
        <v>4.37931034482759</v>
      </c>
      <c r="AU48" s="51">
        <f t="shared" si="253"/>
        <v>5.37931034482759</v>
      </c>
      <c r="AV48" s="51">
        <f t="shared" si="254"/>
        <v>5.37931034482759</v>
      </c>
      <c r="AW48" s="51">
        <f t="shared" si="255"/>
        <v>5.37931034482759</v>
      </c>
      <c r="AX48" s="41">
        <f t="shared" si="12"/>
        <v>26.448275862069</v>
      </c>
      <c r="AY48" s="41" t="e">
        <f t="shared" si="13"/>
        <v>#REF!</v>
      </c>
      <c r="AZ48" s="42"/>
      <c r="BA48" s="43"/>
      <c r="BB48" s="39" t="e">
        <f t="shared" si="199"/>
        <v>#REF!</v>
      </c>
      <c r="BC48" s="43"/>
      <c r="BD48" s="44"/>
      <c r="BE48" s="45"/>
      <c r="BF48" s="43" t="e">
        <f t="shared" si="201"/>
        <v>#REF!</v>
      </c>
      <c r="BG48" s="43">
        <f t="shared" si="202"/>
        <v>2.82758620689655</v>
      </c>
      <c r="BH48" s="43">
        <f t="shared" si="203"/>
      </c>
      <c r="BI48" s="46" t="e">
        <f t="shared" si="204"/>
        <v>#REF!</v>
      </c>
      <c r="BJ48" s="43">
        <f t="shared" si="205"/>
        <v>3.10344827586207</v>
      </c>
      <c r="BK48" s="43">
        <f t="shared" si="206"/>
      </c>
      <c r="BL48" s="46" t="e">
        <f t="shared" si="207"/>
        <v>#REF!</v>
      </c>
      <c r="BM48" s="43">
        <f t="shared" si="208"/>
        <v>4.37931034482759</v>
      </c>
      <c r="BN48" s="43"/>
      <c r="BO48" s="46" t="e">
        <f t="shared" si="209"/>
        <v>#REF!</v>
      </c>
      <c r="BP48" s="43">
        <f t="shared" si="210"/>
        <v>5.37931034482759</v>
      </c>
      <c r="BQ48" s="43"/>
      <c r="BR48" s="46" t="e">
        <f t="shared" si="211"/>
        <v>#REF!</v>
      </c>
      <c r="BS48" s="43">
        <f t="shared" si="212"/>
        <v>5.37931034482759</v>
      </c>
      <c r="BT48" s="43"/>
      <c r="BU48" s="46" t="e">
        <f t="shared" si="213"/>
        <v>#REF!</v>
      </c>
      <c r="BV48" s="43">
        <f t="shared" si="214"/>
        <v>5.37931034482759</v>
      </c>
      <c r="BW48" s="43"/>
      <c r="BX48" s="46" t="e">
        <f t="shared" si="215"/>
        <v>#REF!</v>
      </c>
      <c r="BY48" s="43"/>
      <c r="BZ48" s="43"/>
      <c r="CA48" s="43"/>
      <c r="CB48" s="43"/>
      <c r="CC48" s="43"/>
      <c r="CD48" s="43"/>
      <c r="CE48" s="43"/>
      <c r="CF48" s="43"/>
      <c r="CG48" s="43"/>
      <c r="CH48" s="43"/>
      <c r="CI48" s="43"/>
      <c r="CJ48" s="43"/>
      <c r="CK48" s="43"/>
      <c r="CL48" s="43"/>
      <c r="CM48" s="43"/>
      <c r="CN48" s="43"/>
      <c r="CO48" s="43"/>
      <c r="CP48" s="43"/>
      <c r="CQ48" s="43"/>
      <c r="CR48" s="43"/>
      <c r="CS48" s="43"/>
      <c r="CT48" s="43"/>
      <c r="CU48" s="43"/>
      <c r="CV48" s="43"/>
      <c r="CW48" s="43"/>
      <c r="CX48" s="43"/>
      <c r="AMF48" s="47"/>
      <c r="AMG48" s="47"/>
      <c r="AMH48" s="47"/>
      <c r="AMI48" s="47"/>
      <c r="AMJ48" s="47"/>
    </row>
    <row r="49" ht="14.0">
      <c r="A49" s="37" t="s">
        <v>32</v>
      </c>
      <c r="B49" s="37" t="s">
        <v>81</v>
      </c>
      <c r="C49" s="37" t="s">
        <v>96</v>
      </c>
      <c r="D49" s="38">
        <v>43034.0</v>
      </c>
      <c r="E49" s="37">
        <v>0.0</v>
      </c>
      <c r="F49" s="37">
        <v>0.0</v>
      </c>
      <c r="G49" s="37">
        <v>0.0</v>
      </c>
      <c r="H49" s="37">
        <v>0.0</v>
      </c>
      <c r="I49" s="37">
        <v>0.0</v>
      </c>
      <c r="J49" s="37">
        <v>0.0</v>
      </c>
      <c r="K49" s="37">
        <v>0.0</v>
      </c>
      <c r="L49" s="37">
        <v>0.0</v>
      </c>
      <c r="M49" s="37">
        <v>0.0</v>
      </c>
      <c r="N49" s="37">
        <v>0.0</v>
      </c>
      <c r="O49" s="37">
        <v>0.0</v>
      </c>
      <c r="P49" s="37">
        <v>0.0</v>
      </c>
      <c r="Q49" s="37">
        <v>0.0</v>
      </c>
      <c r="R49" s="37">
        <v>0.0</v>
      </c>
      <c r="S49" s="37">
        <v>0.0</v>
      </c>
      <c r="T49" s="37">
        <v>0.0</v>
      </c>
      <c r="U49" s="37">
        <v>0.0</v>
      </c>
      <c r="V49" s="37">
        <v>0.0</v>
      </c>
      <c r="W49" s="37">
        <v>0.0</v>
      </c>
      <c r="X49" s="37">
        <v>0.0</v>
      </c>
      <c r="Y49" s="37">
        <v>0.0</v>
      </c>
      <c r="Z49" s="37">
        <v>0.0</v>
      </c>
      <c r="AA49" s="37">
        <v>0.0</v>
      </c>
      <c r="AB49" s="37">
        <v>3.0</v>
      </c>
      <c r="AC49" s="37">
        <v>6.0</v>
      </c>
      <c r="AD49" s="37">
        <v>3.0</v>
      </c>
      <c r="AE49" s="37">
        <v>3.0</v>
      </c>
      <c r="AF49" s="37">
        <v>6.0</v>
      </c>
      <c r="AG49" s="37">
        <v>2.0</v>
      </c>
      <c r="AH49" s="37">
        <v>3.0</v>
      </c>
      <c r="AI49" s="37">
        <v>0.0</v>
      </c>
      <c r="AJ49" s="37">
        <v>0.0</v>
      </c>
      <c r="AK49" s="37">
        <v>0.0</v>
      </c>
      <c r="AL49" s="37">
        <v>3.0</v>
      </c>
      <c r="AM49" s="37">
        <v>0.0</v>
      </c>
      <c r="AN49" s="37">
        <v>3.0</v>
      </c>
      <c r="AO49" s="39">
        <f t="shared" si="3"/>
        <v>29.0</v>
      </c>
      <c r="AP49" s="39">
        <f t="shared" si="4"/>
        <v>6.0</v>
      </c>
      <c r="AQ49" s="39">
        <f t="shared" si="5"/>
        <v>6.6</v>
      </c>
      <c r="AR49" s="51">
        <f t="shared" si="250"/>
        <v>2.82758620689655</v>
      </c>
      <c r="AS49" s="51">
        <f t="shared" si="251"/>
        <v>3.10344827586207</v>
      </c>
      <c r="AT49" s="51">
        <f t="shared" si="252"/>
        <v>4.37931034482759</v>
      </c>
      <c r="AU49" s="51">
        <f t="shared" si="253"/>
        <v>5.37931034482759</v>
      </c>
      <c r="AV49" s="51">
        <f t="shared" si="254"/>
        <v>5.37931034482759</v>
      </c>
      <c r="AW49" s="51">
        <f t="shared" si="255"/>
        <v>5.37931034482759</v>
      </c>
      <c r="AX49" s="41">
        <f t="shared" si="12"/>
        <v>26.448275862069</v>
      </c>
      <c r="AY49" s="41" t="e">
        <f t="shared" si="13"/>
        <v>#REF!</v>
      </c>
      <c r="AZ49" s="42"/>
      <c r="BA49" s="43"/>
      <c r="BB49" s="39" t="e">
        <f t="shared" si="199"/>
        <v>#REF!</v>
      </c>
      <c r="BC49" s="43"/>
      <c r="BD49" s="44"/>
      <c r="BE49" s="45"/>
      <c r="BF49" s="43" t="e">
        <f t="shared" si="201"/>
        <v>#REF!</v>
      </c>
      <c r="BG49" s="43">
        <f t="shared" si="202"/>
        <v>2.82758620689655</v>
      </c>
      <c r="BH49" s="43">
        <f t="shared" si="203"/>
      </c>
      <c r="BI49" s="46" t="e">
        <f t="shared" si="204"/>
        <v>#REF!</v>
      </c>
      <c r="BJ49" s="43">
        <f t="shared" si="205"/>
        <v>3.10344827586207</v>
      </c>
      <c r="BK49" s="43">
        <f t="shared" si="206"/>
      </c>
      <c r="BL49" s="46" t="e">
        <f t="shared" si="207"/>
        <v>#REF!</v>
      </c>
      <c r="BM49" s="43">
        <f t="shared" si="208"/>
        <v>4.37931034482759</v>
      </c>
      <c r="BN49" s="43"/>
      <c r="BO49" s="46" t="e">
        <f t="shared" si="209"/>
        <v>#REF!</v>
      </c>
      <c r="BP49" s="43">
        <f t="shared" si="210"/>
        <v>5.37931034482759</v>
      </c>
      <c r="BQ49" s="43"/>
      <c r="BR49" s="46" t="e">
        <f t="shared" si="211"/>
        <v>#REF!</v>
      </c>
      <c r="BS49" s="43">
        <f t="shared" si="212"/>
        <v>5.37931034482759</v>
      </c>
      <c r="BT49" s="43"/>
      <c r="BU49" s="46" t="e">
        <f t="shared" si="213"/>
        <v>#REF!</v>
      </c>
      <c r="BV49" s="43">
        <f t="shared" si="214"/>
        <v>5.37931034482759</v>
      </c>
      <c r="BW49" s="43"/>
      <c r="BX49" s="46" t="e">
        <f t="shared" si="215"/>
        <v>#REF!</v>
      </c>
      <c r="BY49" s="43"/>
      <c r="BZ49" s="43"/>
      <c r="CA49" s="43"/>
      <c r="CB49" s="43"/>
      <c r="CC49" s="43"/>
      <c r="CD49" s="43"/>
      <c r="CE49" s="43"/>
      <c r="CF49" s="43"/>
      <c r="CG49" s="43"/>
      <c r="CH49" s="43"/>
      <c r="CI49" s="43"/>
      <c r="CJ49" s="43"/>
      <c r="CK49" s="43"/>
      <c r="CL49" s="43"/>
      <c r="CM49" s="43"/>
      <c r="CN49" s="43"/>
      <c r="CO49" s="43"/>
      <c r="CP49" s="43"/>
      <c r="CQ49" s="43"/>
      <c r="CR49" s="43"/>
      <c r="CS49" s="43"/>
      <c r="CT49" s="43"/>
      <c r="CU49" s="43"/>
      <c r="CV49" s="43"/>
      <c r="CW49" s="43"/>
      <c r="CX49" s="43"/>
      <c r="AMF49" s="47"/>
      <c r="AMG49" s="47"/>
      <c r="AMH49" s="47"/>
      <c r="AMI49" s="47"/>
      <c r="AMJ49" s="47"/>
    </row>
    <row r="50" ht="14.0">
      <c r="A50" s="37" t="s">
        <v>32</v>
      </c>
      <c r="B50" s="37" t="s">
        <v>81</v>
      </c>
      <c r="C50" s="37" t="s">
        <v>97</v>
      </c>
      <c r="D50" s="38" t="s">
        <v>98</v>
      </c>
      <c r="E50" s="37">
        <v>0.0</v>
      </c>
      <c r="F50" s="37">
        <v>3.0</v>
      </c>
      <c r="G50" s="37">
        <v>6.0</v>
      </c>
      <c r="H50" s="37">
        <v>4.0</v>
      </c>
      <c r="I50" s="37">
        <v>1.0</v>
      </c>
      <c r="J50" s="37">
        <v>0.0</v>
      </c>
      <c r="K50" s="37">
        <v>0.0</v>
      </c>
      <c r="L50" s="37">
        <v>7.0</v>
      </c>
      <c r="M50" s="37">
        <v>2.0</v>
      </c>
      <c r="N50" s="37">
        <v>4.0</v>
      </c>
      <c r="O50" s="37">
        <v>2.0</v>
      </c>
      <c r="P50" s="37">
        <v>0.0</v>
      </c>
      <c r="Q50" s="37">
        <v>5.0</v>
      </c>
      <c r="R50" s="37">
        <v>4.0</v>
      </c>
      <c r="S50" s="37">
        <v>6.0</v>
      </c>
      <c r="T50" s="37">
        <v>4.0</v>
      </c>
      <c r="U50" s="37">
        <v>6.0</v>
      </c>
      <c r="V50" s="37">
        <v>3.0</v>
      </c>
      <c r="W50" s="37">
        <v>0.0</v>
      </c>
      <c r="X50" s="37">
        <v>2.0</v>
      </c>
      <c r="Y50" s="37">
        <v>6.0</v>
      </c>
      <c r="Z50" s="37">
        <v>2.0</v>
      </c>
      <c r="AA50" s="37">
        <v>1.0</v>
      </c>
      <c r="AB50" s="37">
        <v>1.0</v>
      </c>
      <c r="AC50" s="37">
        <v>1.0</v>
      </c>
      <c r="AD50" s="37">
        <v>1.0</v>
      </c>
      <c r="AE50" s="37">
        <v>1.0</v>
      </c>
      <c r="AF50" s="37">
        <v>3.0</v>
      </c>
      <c r="AG50" s="37">
        <v>4.0</v>
      </c>
      <c r="AH50" s="37">
        <v>0.0</v>
      </c>
      <c r="AI50" s="37">
        <v>1.0</v>
      </c>
      <c r="AJ50" s="37">
        <v>1.0</v>
      </c>
      <c r="AK50" s="37">
        <v>3.0</v>
      </c>
      <c r="AL50" s="37">
        <v>1.0</v>
      </c>
      <c r="AM50" s="37">
        <v>2.0</v>
      </c>
      <c r="AN50" s="37">
        <v>0.0</v>
      </c>
      <c r="AO50" s="39">
        <f t="shared" si="3"/>
        <v>18.0</v>
      </c>
      <c r="AP50" s="39">
        <f t="shared" si="4"/>
        <v>8.0</v>
      </c>
      <c r="AQ50" s="39">
        <f t="shared" si="5"/>
        <v>8.8</v>
      </c>
      <c r="AR50" s="48">
        <f>AQ50*$AR$4/$AQ$4</f>
        <v>1.10344827586207</v>
      </c>
      <c r="AS50" s="48">
        <f>AQ50*$AS$4/$AQ$4</f>
        <v>1.47126436781609</v>
      </c>
      <c r="AT50" s="48">
        <v>2.0</v>
      </c>
      <c r="AU50" s="48">
        <v>2.0</v>
      </c>
      <c r="AV50" s="48">
        <v>2.0</v>
      </c>
      <c r="AW50" s="48">
        <v>2.0</v>
      </c>
      <c r="AX50" s="41">
        <f t="shared" si="12"/>
        <v>10.5747126436781</v>
      </c>
      <c r="AY50" s="41" t="e">
        <f t="shared" si="13"/>
        <v>#REF!</v>
      </c>
      <c r="AZ50" s="42"/>
      <c r="BA50" s="43"/>
      <c r="BB50" s="39"/>
      <c r="BC50" s="43"/>
      <c r="BD50" s="44"/>
      <c r="BE50" s="45"/>
      <c r="BF50" s="43"/>
      <c r="BG50" s="43"/>
      <c r="BH50" s="43"/>
      <c r="BI50" s="46"/>
      <c r="BJ50" s="43"/>
      <c r="BK50" s="43"/>
      <c r="BL50" s="46"/>
      <c r="BM50" s="43"/>
      <c r="BN50" s="43"/>
      <c r="BO50" s="46"/>
      <c r="BP50" s="43"/>
      <c r="BQ50" s="43"/>
      <c r="BR50" s="46"/>
      <c r="BS50" s="43"/>
      <c r="BT50" s="43"/>
      <c r="BU50" s="46"/>
      <c r="BV50" s="43"/>
      <c r="BW50" s="43"/>
      <c r="BX50" s="46"/>
      <c r="BY50" s="43"/>
      <c r="BZ50" s="43"/>
      <c r="CA50" s="43"/>
      <c r="CB50" s="43"/>
      <c r="CC50" s="43"/>
      <c r="CD50" s="43"/>
      <c r="CE50" s="43"/>
      <c r="CF50" s="43"/>
      <c r="CG50" s="43"/>
      <c r="CH50" s="43"/>
      <c r="CI50" s="43"/>
      <c r="CJ50" s="43"/>
      <c r="CK50" s="43"/>
      <c r="CL50" s="43"/>
      <c r="CM50" s="43"/>
      <c r="CN50" s="43"/>
      <c r="CO50" s="43"/>
      <c r="CP50" s="43"/>
      <c r="CQ50" s="43"/>
      <c r="CR50" s="43"/>
      <c r="CS50" s="43"/>
      <c r="CT50" s="43"/>
      <c r="CU50" s="43"/>
      <c r="CV50" s="43"/>
      <c r="CW50" s="43"/>
      <c r="CX50" s="43"/>
      <c r="AMF50" s="47"/>
      <c r="AMG50" s="47"/>
      <c r="AMH50" s="47"/>
      <c r="AMI50" s="47"/>
    </row>
    <row r="51" ht="14.0">
      <c r="A51" s="37" t="s">
        <v>32</v>
      </c>
      <c r="B51" s="37" t="s">
        <v>81</v>
      </c>
      <c r="C51" s="55" t="s">
        <v>99</v>
      </c>
      <c r="D51" s="38" t="s">
        <v>100</v>
      </c>
      <c r="E51" s="37">
        <v>1.0</v>
      </c>
      <c r="F51" s="37">
        <v>0.0</v>
      </c>
      <c r="G51" s="37">
        <v>0.0</v>
      </c>
      <c r="H51" s="37">
        <v>1.0</v>
      </c>
      <c r="I51" s="37">
        <v>2.0</v>
      </c>
      <c r="J51" s="37">
        <v>0.0</v>
      </c>
      <c r="K51" s="37">
        <v>0.0</v>
      </c>
      <c r="L51" s="37">
        <v>1.0</v>
      </c>
      <c r="M51" s="37">
        <v>1.0</v>
      </c>
      <c r="N51" s="37">
        <v>0.0</v>
      </c>
      <c r="O51" s="37">
        <v>1.0</v>
      </c>
      <c r="P51" s="37">
        <v>0.0</v>
      </c>
      <c r="Q51" s="37">
        <v>0.0</v>
      </c>
      <c r="R51" s="37">
        <v>1.0</v>
      </c>
      <c r="S51" s="37">
        <v>0.0</v>
      </c>
      <c r="T51" s="37">
        <v>0.0</v>
      </c>
      <c r="U51" s="37">
        <v>1.0</v>
      </c>
      <c r="V51" s="37">
        <v>0.0</v>
      </c>
      <c r="W51" s="37">
        <v>0.0</v>
      </c>
      <c r="X51" s="37">
        <v>0.0</v>
      </c>
      <c r="Y51" s="37">
        <v>1.0</v>
      </c>
      <c r="Z51" s="37">
        <v>0.0</v>
      </c>
      <c r="AA51" s="37">
        <v>0.0</v>
      </c>
      <c r="AB51" s="37">
        <v>1.0</v>
      </c>
      <c r="AC51" s="37">
        <v>0.0</v>
      </c>
      <c r="AD51" s="37">
        <v>0.0</v>
      </c>
      <c r="AE51" s="37">
        <v>0.0</v>
      </c>
      <c r="AF51" s="37">
        <v>1.0</v>
      </c>
      <c r="AG51" s="37">
        <v>0.0</v>
      </c>
      <c r="AH51" s="37">
        <v>0.0</v>
      </c>
      <c r="AI51" s="37">
        <v>0.0</v>
      </c>
      <c r="AJ51" s="37">
        <v>0.0</v>
      </c>
      <c r="AK51" s="37">
        <v>1.0</v>
      </c>
      <c r="AL51" s="37">
        <v>0.0</v>
      </c>
      <c r="AM51" s="37">
        <v>0.0</v>
      </c>
      <c r="AN51" s="37">
        <v>0.0</v>
      </c>
      <c r="AO51" s="39">
        <f t="shared" si="3"/>
        <v>2.0</v>
      </c>
      <c r="AP51" s="39">
        <f t="shared" si="4"/>
        <v>1.0</v>
      </c>
      <c r="AQ51" s="39">
        <f t="shared" si="5"/>
        <v>1.1</v>
      </c>
      <c r="AR51" s="40">
        <f>AR50</f>
        <v>1.10344827586207</v>
      </c>
      <c r="AS51" s="40">
        <f>AS50</f>
        <v>1.47126436781609</v>
      </c>
      <c r="AT51" s="40">
        <f>AT50</f>
        <v>2.0</v>
      </c>
      <c r="AU51" s="40">
        <f>AU50</f>
        <v>2.0</v>
      </c>
      <c r="AV51" s="40">
        <f>AV50</f>
        <v>2.0</v>
      </c>
      <c r="AW51" s="40">
        <f>AW50</f>
        <v>2.0</v>
      </c>
      <c r="AX51" s="41">
        <f t="shared" si="12"/>
        <v>10.5747126436781</v>
      </c>
      <c r="AY51" s="41" t="e">
        <f t="shared" si="13"/>
        <v>#REF!</v>
      </c>
      <c r="AZ51" s="42"/>
      <c r="BA51" s="43"/>
      <c r="BB51" s="39" t="e">
        <f t="shared" ref="BB51:BB60" si="264">AY51+AZ51+BA51-AX51</f>
        <v>#REF!</v>
      </c>
      <c r="BC51" s="43"/>
      <c r="BD51" s="49" t="e">
        <f t="shared" ref="BD51:BD53" si="265">BB51*-1</f>
        <v>#REF!</v>
      </c>
      <c r="BE51" s="45" t="s">
        <v>9</v>
      </c>
      <c r="BF51" s="43" t="e">
        <f t="shared" ref="BF51:BF60" si="266">AY51</f>
        <v>#REF!</v>
      </c>
      <c r="BG51" s="43">
        <f t="shared" ref="BG51:BG60" si="267">AR51</f>
        <v>1.10344827586207</v>
      </c>
      <c r="BH51" s="43">
        <f t="shared" ref="BH51:BH60" si="268">AZ51</f>
      </c>
      <c r="BI51" s="46" t="e">
        <f t="shared" ref="BI51:BI60" si="269">BF51+BH51-BG51</f>
        <v>#REF!</v>
      </c>
      <c r="BJ51" s="43">
        <f t="shared" ref="BJ51:BJ60" si="270">AS51</f>
        <v>1.47126436781609</v>
      </c>
      <c r="BK51" s="43">
        <f t="shared" ref="BK51:BK60" si="271">BA51</f>
      </c>
      <c r="BL51" s="46" t="e">
        <f t="shared" ref="BL51:BL60" si="272">BI51+BK51-BJ51</f>
        <v>#REF!</v>
      </c>
      <c r="BM51" s="43">
        <f t="shared" ref="BM51:BM60" si="273">AT51</f>
        <v>2.0</v>
      </c>
      <c r="BN51" s="43"/>
      <c r="BO51" s="46" t="e">
        <f t="shared" ref="BO51:BO60" si="274">BL51+BN51-BM51</f>
        <v>#REF!</v>
      </c>
      <c r="BP51" s="43">
        <f t="shared" ref="BP51:BP60" si="275">AU51</f>
        <v>2.0</v>
      </c>
      <c r="BQ51" s="43"/>
      <c r="BR51" s="46" t="e">
        <f t="shared" ref="BR51:BR60" si="276">BO51+BQ51-BP51</f>
        <v>#REF!</v>
      </c>
      <c r="BS51" s="43">
        <f t="shared" ref="BS51:BS60" si="277">AV51</f>
        <v>2.0</v>
      </c>
      <c r="BT51" s="43"/>
      <c r="BU51" s="46" t="e">
        <f t="shared" ref="BU51:BU60" si="278">BR51+BT51-BS51</f>
        <v>#REF!</v>
      </c>
      <c r="BV51" s="43">
        <f t="shared" ref="BV51:BV60" si="279">AW51</f>
        <v>2.0</v>
      </c>
      <c r="BW51" s="43"/>
      <c r="BX51" s="46" t="e">
        <f t="shared" ref="BX51:BX60" si="280">BU51+BW51-BV51</f>
        <v>#REF!</v>
      </c>
      <c r="BY51" s="43"/>
      <c r="BZ51" s="42" t="e">
        <f t="shared" ref="BZ51:BZ53" si="281">BU51*-1</f>
        <v>#REF!</v>
      </c>
      <c r="CA51" s="52" t="e">
        <f t="shared" ref="CA51:CA53" si="282">BZ51/6</f>
        <v>#REF!</v>
      </c>
      <c r="CB51" s="42" t="e">
        <f t="shared" ref="CB51:CB53" si="283">ROUNDUP(CA51,0)</f>
        <v>#REF!</v>
      </c>
      <c r="CC51" s="53" t="e">
        <f t="shared" ref="CC51:CC53" si="284">CB51*6</f>
        <v>#REF!</v>
      </c>
      <c r="CD51" s="43"/>
      <c r="CE51" s="43"/>
      <c r="CF51" s="43"/>
      <c r="CG51" s="43"/>
      <c r="CH51" s="43"/>
      <c r="CI51" s="43"/>
      <c r="CJ51" s="43"/>
      <c r="CK51" s="43"/>
      <c r="CL51" s="43"/>
      <c r="CM51" s="43"/>
      <c r="CN51" s="43"/>
      <c r="CO51" s="43"/>
      <c r="CP51" s="43"/>
      <c r="CQ51" s="43"/>
      <c r="CR51" s="43"/>
      <c r="CS51" s="43"/>
      <c r="CT51" s="43"/>
      <c r="CU51" s="43"/>
      <c r="CV51" s="43"/>
      <c r="CW51" s="43"/>
      <c r="CX51" s="43"/>
      <c r="CY51" s="43"/>
      <c r="CZ51" s="43"/>
      <c r="DA51" s="43"/>
      <c r="DB51" s="43"/>
      <c r="DC51" s="43"/>
      <c r="AMF51" s="47"/>
      <c r="AMG51" s="47"/>
      <c r="AMH51" s="47"/>
      <c r="AMI51" s="47"/>
    </row>
    <row r="52" ht="14.0">
      <c r="A52" s="37" t="s">
        <v>32</v>
      </c>
      <c r="B52" s="37" t="s">
        <v>81</v>
      </c>
      <c r="C52" s="37" t="s">
        <v>101</v>
      </c>
      <c r="D52" s="38">
        <v>43201.0</v>
      </c>
      <c r="E52" s="37">
        <v>12.0</v>
      </c>
      <c r="F52" s="37">
        <v>9.0</v>
      </c>
      <c r="G52" s="37">
        <v>15.0</v>
      </c>
      <c r="H52" s="37">
        <v>21.0</v>
      </c>
      <c r="I52" s="37">
        <v>24.0</v>
      </c>
      <c r="J52" s="37">
        <v>15.0</v>
      </c>
      <c r="K52" s="37">
        <v>6.0</v>
      </c>
      <c r="L52" s="37">
        <v>15.0</v>
      </c>
      <c r="M52" s="37">
        <v>6.0</v>
      </c>
      <c r="N52" s="37">
        <v>3.0</v>
      </c>
      <c r="O52" s="37">
        <v>17.0</v>
      </c>
      <c r="P52" s="37">
        <v>12.0</v>
      </c>
      <c r="Q52" s="37">
        <v>15.0</v>
      </c>
      <c r="R52" s="37">
        <v>12.0</v>
      </c>
      <c r="S52" s="37">
        <v>7.0</v>
      </c>
      <c r="T52" s="37">
        <v>3.0</v>
      </c>
      <c r="U52" s="37">
        <v>17.0</v>
      </c>
      <c r="V52" s="37">
        <v>6.0</v>
      </c>
      <c r="W52" s="37">
        <v>3.0</v>
      </c>
      <c r="X52" s="37">
        <v>24.0</v>
      </c>
      <c r="Y52" s="37">
        <v>21.0</v>
      </c>
      <c r="Z52" s="37">
        <v>9.0</v>
      </c>
      <c r="AA52" s="37">
        <v>18.0</v>
      </c>
      <c r="AB52" s="37">
        <v>6.0</v>
      </c>
      <c r="AC52" s="37">
        <v>6.0</v>
      </c>
      <c r="AD52" s="37">
        <v>6.0</v>
      </c>
      <c r="AE52" s="37">
        <v>3.0</v>
      </c>
      <c r="AF52" s="37">
        <v>21.0</v>
      </c>
      <c r="AG52" s="37">
        <v>15.0</v>
      </c>
      <c r="AH52" s="37">
        <v>3.0</v>
      </c>
      <c r="AI52" s="37">
        <v>18.0</v>
      </c>
      <c r="AJ52" s="37">
        <v>3.0</v>
      </c>
      <c r="AK52" s="37">
        <v>3.0</v>
      </c>
      <c r="AL52" s="37">
        <v>6.0</v>
      </c>
      <c r="AM52" s="37">
        <v>0.0</v>
      </c>
      <c r="AN52" s="37">
        <v>0.0</v>
      </c>
      <c r="AO52" s="39">
        <f t="shared" si="3"/>
        <v>84.0</v>
      </c>
      <c r="AP52" s="39">
        <f t="shared" si="4"/>
        <v>30.0</v>
      </c>
      <c r="AQ52" s="39">
        <f t="shared" si="5"/>
        <v>33.0</v>
      </c>
      <c r="AR52" s="51">
        <f t="shared" ref="AR52:AR55" si="285">AQ52*$AR$4/$AQ$4+2*$AR$50</f>
        <v>6.3448275862069</v>
      </c>
      <c r="AS52" s="51">
        <f t="shared" ref="AS52:AS55" si="286">AQ52*$AS$4/$AQ$4+2*$AS$50</f>
        <v>8.45977011494252</v>
      </c>
      <c r="AT52" s="51">
        <f t="shared" ref="AT52:AT55" si="287">AQ52*$AT$4/$AQ$4+2*$AT$50</f>
        <v>10.8965517241379</v>
      </c>
      <c r="AU52" s="51">
        <f t="shared" ref="AU52:AU55" si="288">AQ52*$AU$4/$AQ$4+2*$AU$50</f>
        <v>10.8965517241379</v>
      </c>
      <c r="AV52" s="51">
        <f t="shared" ref="AV52:AV55" si="289">AQ52*$AV$4/$AQ$4+2*$AV$50</f>
        <v>10.8965517241379</v>
      </c>
      <c r="AW52" s="51">
        <f t="shared" ref="AW52:AW55" si="290">AQ52*$AW$4/$AQ$4+2*$AW$50</f>
        <v>10.8965517241379</v>
      </c>
      <c r="AX52" s="41">
        <f t="shared" si="12"/>
        <v>58.390804597701</v>
      </c>
      <c r="AY52" s="41" t="e">
        <f t="shared" si="13"/>
        <v>#REF!</v>
      </c>
      <c r="AZ52" s="42"/>
      <c r="BA52" s="43"/>
      <c r="BB52" s="39" t="e">
        <f t="shared" si="264"/>
        <v>#REF!</v>
      </c>
      <c r="BC52" s="43"/>
      <c r="BD52" s="49" t="e">
        <f t="shared" si="265"/>
        <v>#REF!</v>
      </c>
      <c r="BE52" s="45" t="s">
        <v>9</v>
      </c>
      <c r="BF52" s="43" t="e">
        <f t="shared" si="266"/>
        <v>#REF!</v>
      </c>
      <c r="BG52" s="43">
        <f t="shared" si="267"/>
        <v>6.3448275862069</v>
      </c>
      <c r="BH52" s="43">
        <f t="shared" si="268"/>
      </c>
      <c r="BI52" s="46" t="e">
        <f t="shared" si="269"/>
        <v>#REF!</v>
      </c>
      <c r="BJ52" s="43">
        <f t="shared" si="270"/>
        <v>8.45977011494252</v>
      </c>
      <c r="BK52" s="43">
        <f t="shared" si="271"/>
      </c>
      <c r="BL52" s="46" t="e">
        <f t="shared" si="272"/>
        <v>#REF!</v>
      </c>
      <c r="BM52" s="43">
        <f t="shared" si="273"/>
        <v>10.8965517241379</v>
      </c>
      <c r="BN52" s="43"/>
      <c r="BO52" s="46" t="e">
        <f t="shared" si="274"/>
        <v>#REF!</v>
      </c>
      <c r="BP52" s="43">
        <f t="shared" si="275"/>
        <v>10.8965517241379</v>
      </c>
      <c r="BQ52" s="43"/>
      <c r="BR52" s="46" t="e">
        <f t="shared" si="276"/>
        <v>#REF!</v>
      </c>
      <c r="BS52" s="43">
        <f t="shared" si="277"/>
        <v>10.8965517241379</v>
      </c>
      <c r="BT52" s="43"/>
      <c r="BU52" s="46" t="e">
        <f t="shared" si="278"/>
        <v>#REF!</v>
      </c>
      <c r="BV52" s="43">
        <f t="shared" si="279"/>
        <v>10.8965517241379</v>
      </c>
      <c r="BW52" s="43"/>
      <c r="BX52" s="46" t="e">
        <f t="shared" si="280"/>
        <v>#REF!</v>
      </c>
      <c r="BY52" s="43"/>
      <c r="BZ52" s="42" t="e">
        <f t="shared" si="281"/>
        <v>#REF!</v>
      </c>
      <c r="CA52" s="52" t="e">
        <f t="shared" si="282"/>
        <v>#REF!</v>
      </c>
      <c r="CB52" s="42" t="e">
        <f t="shared" si="283"/>
        <v>#REF!</v>
      </c>
      <c r="CC52" s="53" t="e">
        <f t="shared" si="284"/>
        <v>#REF!</v>
      </c>
      <c r="CD52" s="43"/>
      <c r="CE52" s="43"/>
      <c r="CF52" s="43"/>
      <c r="CG52" s="43"/>
      <c r="CH52" s="43"/>
      <c r="CI52" s="43"/>
      <c r="CJ52" s="43"/>
      <c r="CK52" s="43"/>
      <c r="CL52" s="43"/>
      <c r="CM52" s="43"/>
      <c r="CN52" s="43"/>
      <c r="CO52" s="43"/>
      <c r="CP52" s="43"/>
      <c r="CQ52" s="43"/>
      <c r="CR52" s="43"/>
      <c r="CS52" s="43"/>
      <c r="CT52" s="43"/>
      <c r="CU52" s="43"/>
      <c r="CV52" s="43"/>
      <c r="CW52" s="43"/>
      <c r="CX52" s="43"/>
      <c r="CY52" s="43"/>
      <c r="CZ52" s="43"/>
      <c r="DA52" s="43"/>
      <c r="DB52" s="43"/>
      <c r="DC52" s="43"/>
      <c r="AMF52" s="47"/>
      <c r="AMG52" s="47"/>
      <c r="AMH52" s="47"/>
      <c r="AMI52" s="47"/>
      <c r="AMJ52" s="47"/>
    </row>
    <row r="53" ht="14.0">
      <c r="A53" s="37" t="s">
        <v>32</v>
      </c>
      <c r="B53" s="37" t="s">
        <v>81</v>
      </c>
      <c r="C53" s="37" t="s">
        <v>102</v>
      </c>
      <c r="D53" s="38">
        <v>43203.0</v>
      </c>
      <c r="E53" s="37">
        <v>6.0</v>
      </c>
      <c r="F53" s="37">
        <v>12.0</v>
      </c>
      <c r="G53" s="37">
        <v>21.0</v>
      </c>
      <c r="H53" s="37">
        <v>37.0</v>
      </c>
      <c r="I53" s="37">
        <v>36.0</v>
      </c>
      <c r="J53" s="37">
        <v>9.0</v>
      </c>
      <c r="K53" s="37">
        <v>15.0</v>
      </c>
      <c r="L53" s="37">
        <v>21.0</v>
      </c>
      <c r="M53" s="37">
        <v>18.0</v>
      </c>
      <c r="N53" s="37">
        <v>21.0</v>
      </c>
      <c r="O53" s="37">
        <v>24.0</v>
      </c>
      <c r="P53" s="37">
        <v>6.0</v>
      </c>
      <c r="Q53" s="37">
        <v>12.0</v>
      </c>
      <c r="R53" s="37">
        <v>15.0</v>
      </c>
      <c r="S53" s="37">
        <v>30.0</v>
      </c>
      <c r="T53" s="37">
        <v>9.0</v>
      </c>
      <c r="U53" s="37">
        <v>21.0</v>
      </c>
      <c r="V53" s="37">
        <v>39.0</v>
      </c>
      <c r="W53" s="37">
        <v>6.0</v>
      </c>
      <c r="X53" s="37">
        <v>19.0</v>
      </c>
      <c r="Y53" s="37">
        <v>33.0</v>
      </c>
      <c r="Z53" s="37">
        <v>12.0</v>
      </c>
      <c r="AA53" s="37">
        <v>33.0</v>
      </c>
      <c r="AB53" s="37">
        <v>24.0</v>
      </c>
      <c r="AC53" s="37">
        <v>12.0</v>
      </c>
      <c r="AD53" s="37">
        <v>3.0</v>
      </c>
      <c r="AE53" s="37">
        <v>6.0</v>
      </c>
      <c r="AF53" s="37">
        <v>24.0</v>
      </c>
      <c r="AG53" s="37">
        <v>21.0</v>
      </c>
      <c r="AH53" s="37">
        <v>15.0</v>
      </c>
      <c r="AI53" s="37">
        <v>15.0</v>
      </c>
      <c r="AJ53" s="37">
        <v>21.0</v>
      </c>
      <c r="AK53" s="37">
        <v>12.0</v>
      </c>
      <c r="AL53" s="37">
        <v>12.0</v>
      </c>
      <c r="AM53" s="37">
        <v>4.0</v>
      </c>
      <c r="AN53" s="37">
        <v>0.0</v>
      </c>
      <c r="AO53" s="39">
        <f t="shared" si="3"/>
        <v>145.0</v>
      </c>
      <c r="AP53" s="39">
        <f t="shared" si="4"/>
        <v>64.0</v>
      </c>
      <c r="AQ53" s="39">
        <f t="shared" si="5"/>
        <v>70.4</v>
      </c>
      <c r="AR53" s="51">
        <f t="shared" si="285"/>
        <v>11.0344827586207</v>
      </c>
      <c r="AS53" s="51">
        <f t="shared" si="286"/>
        <v>14.7126436781609</v>
      </c>
      <c r="AT53" s="51">
        <f t="shared" si="287"/>
        <v>18.7126436781609</v>
      </c>
      <c r="AU53" s="51">
        <f t="shared" si="288"/>
        <v>18.7126436781609</v>
      </c>
      <c r="AV53" s="51">
        <f t="shared" si="289"/>
        <v>18.7126436781609</v>
      </c>
      <c r="AW53" s="51">
        <f t="shared" si="290"/>
        <v>18.7126436781609</v>
      </c>
      <c r="AX53" s="41">
        <f t="shared" si="12"/>
        <v>100.597701149425</v>
      </c>
      <c r="AY53" s="41" t="e">
        <f t="shared" si="13"/>
        <v>#REF!</v>
      </c>
      <c r="AZ53" s="42"/>
      <c r="BA53" s="42"/>
      <c r="BB53" s="39" t="e">
        <f t="shared" si="264"/>
        <v>#REF!</v>
      </c>
      <c r="BC53" s="43"/>
      <c r="BD53" s="49" t="e">
        <f t="shared" si="265"/>
        <v>#REF!</v>
      </c>
      <c r="BE53" s="45" t="s">
        <v>73</v>
      </c>
      <c r="BF53" s="43" t="e">
        <f t="shared" si="266"/>
        <v>#REF!</v>
      </c>
      <c r="BG53" s="43">
        <f t="shared" si="267"/>
        <v>11.0344827586207</v>
      </c>
      <c r="BH53" s="43">
        <f t="shared" si="268"/>
      </c>
      <c r="BI53" s="46" t="e">
        <f t="shared" si="269"/>
        <v>#REF!</v>
      </c>
      <c r="BJ53" s="43">
        <f t="shared" si="270"/>
        <v>14.7126436781609</v>
      </c>
      <c r="BK53" s="43">
        <f t="shared" si="271"/>
      </c>
      <c r="BL53" s="46" t="e">
        <f t="shared" si="272"/>
        <v>#REF!</v>
      </c>
      <c r="BM53" s="43">
        <f t="shared" si="273"/>
        <v>18.7126436781609</v>
      </c>
      <c r="BN53" s="43"/>
      <c r="BO53" s="46" t="e">
        <f t="shared" si="274"/>
        <v>#REF!</v>
      </c>
      <c r="BP53" s="43">
        <f t="shared" si="275"/>
        <v>18.7126436781609</v>
      </c>
      <c r="BQ53" s="43"/>
      <c r="BR53" s="46" t="e">
        <f t="shared" si="276"/>
        <v>#REF!</v>
      </c>
      <c r="BS53" s="43">
        <f t="shared" si="277"/>
        <v>18.7126436781609</v>
      </c>
      <c r="BT53" s="43"/>
      <c r="BU53" s="46" t="e">
        <f t="shared" si="278"/>
        <v>#REF!</v>
      </c>
      <c r="BV53" s="43">
        <f t="shared" si="279"/>
        <v>18.7126436781609</v>
      </c>
      <c r="BW53" s="43"/>
      <c r="BX53" s="46" t="e">
        <f t="shared" si="280"/>
        <v>#REF!</v>
      </c>
      <c r="BY53" s="42"/>
      <c r="BZ53" s="42" t="e">
        <f t="shared" si="281"/>
        <v>#REF!</v>
      </c>
      <c r="CA53" s="52" t="e">
        <f t="shared" si="282"/>
        <v>#REF!</v>
      </c>
      <c r="CB53" s="42" t="e">
        <f t="shared" si="283"/>
        <v>#REF!</v>
      </c>
      <c r="CC53" s="53" t="e">
        <f t="shared" si="284"/>
        <v>#REF!</v>
      </c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  <c r="CP53" s="42"/>
      <c r="CQ53" s="42"/>
      <c r="CR53" s="42"/>
      <c r="CS53" s="42"/>
      <c r="CT53" s="42"/>
      <c r="CU53" s="42"/>
      <c r="CV53" s="42"/>
      <c r="CW53" s="42"/>
      <c r="CX53" s="42"/>
      <c r="CY53" s="42"/>
      <c r="CZ53" s="42"/>
      <c r="DA53" s="42"/>
      <c r="DB53" s="42"/>
      <c r="DC53" s="42"/>
      <c r="AMF53" s="50"/>
      <c r="AMG53" s="50"/>
      <c r="AMH53" s="50"/>
      <c r="AMI53" s="50"/>
    </row>
    <row r="54" ht="14.0">
      <c r="A54" s="37" t="s">
        <v>32</v>
      </c>
      <c r="B54" s="37" t="s">
        <v>81</v>
      </c>
      <c r="C54" s="56" t="s">
        <v>103</v>
      </c>
      <c r="D54" s="38">
        <v>43213.0</v>
      </c>
      <c r="E54" s="37">
        <v>9.0</v>
      </c>
      <c r="F54" s="37">
        <v>0.0</v>
      </c>
      <c r="G54" s="37">
        <v>6.0</v>
      </c>
      <c r="H54" s="37">
        <v>15.0</v>
      </c>
      <c r="I54" s="37">
        <v>18.0</v>
      </c>
      <c r="J54" s="37">
        <v>0.0</v>
      </c>
      <c r="K54" s="37">
        <v>9.0</v>
      </c>
      <c r="L54" s="37">
        <v>15.0</v>
      </c>
      <c r="M54" s="37">
        <v>9.0</v>
      </c>
      <c r="N54" s="37">
        <v>9.0</v>
      </c>
      <c r="O54" s="37">
        <v>15.0</v>
      </c>
      <c r="P54" s="37">
        <v>12.0</v>
      </c>
      <c r="Q54" s="37">
        <v>9.0</v>
      </c>
      <c r="R54" s="37">
        <v>6.0</v>
      </c>
      <c r="S54" s="37">
        <v>15.0</v>
      </c>
      <c r="T54" s="37">
        <v>6.0</v>
      </c>
      <c r="U54" s="37">
        <v>16.0</v>
      </c>
      <c r="V54" s="37">
        <v>18.0</v>
      </c>
      <c r="W54" s="37">
        <v>3.0</v>
      </c>
      <c r="X54" s="37">
        <v>3.0</v>
      </c>
      <c r="Y54" s="37">
        <v>18.0</v>
      </c>
      <c r="Z54" s="37">
        <v>8.0</v>
      </c>
      <c r="AA54" s="37">
        <v>30.0</v>
      </c>
      <c r="AB54" s="37">
        <v>3.0</v>
      </c>
      <c r="AC54" s="37">
        <v>9.0</v>
      </c>
      <c r="AD54" s="37">
        <v>0.0</v>
      </c>
      <c r="AE54" s="37">
        <v>6.0</v>
      </c>
      <c r="AF54" s="37">
        <v>9.0</v>
      </c>
      <c r="AG54" s="37">
        <v>6.0</v>
      </c>
      <c r="AH54" s="37">
        <v>3.0</v>
      </c>
      <c r="AI54" s="37">
        <v>6.0</v>
      </c>
      <c r="AJ54" s="37">
        <v>0.0</v>
      </c>
      <c r="AK54" s="37">
        <v>3.0</v>
      </c>
      <c r="AL54" s="37">
        <v>6.0</v>
      </c>
      <c r="AM54" s="37">
        <v>6.0</v>
      </c>
      <c r="AN54" s="37" t="s">
        <v>87</v>
      </c>
      <c r="AO54" s="39">
        <f t="shared" si="3"/>
        <v>54.0</v>
      </c>
      <c r="AP54" s="39">
        <f t="shared" si="4"/>
        <v>21.0</v>
      </c>
      <c r="AQ54" s="39">
        <f t="shared" si="5"/>
        <v>23.1</v>
      </c>
      <c r="AR54" s="51">
        <f t="shared" si="285"/>
        <v>5.10344827586207</v>
      </c>
      <c r="AS54" s="51">
        <f t="shared" si="286"/>
        <v>6.80459770114942</v>
      </c>
      <c r="AT54" s="51">
        <f t="shared" si="287"/>
        <v>8.82758620689655</v>
      </c>
      <c r="AU54" s="51">
        <f t="shared" si="288"/>
        <v>8.82758620689655</v>
      </c>
      <c r="AV54" s="51">
        <f t="shared" si="289"/>
        <v>8.82758620689655</v>
      </c>
      <c r="AW54" s="51">
        <f t="shared" si="290"/>
        <v>8.82758620689655</v>
      </c>
      <c r="AX54" s="41">
        <f t="shared" si="12"/>
        <v>47.218390804598</v>
      </c>
      <c r="AY54" s="41" t="e">
        <f t="shared" si="13"/>
        <v>#REF!</v>
      </c>
      <c r="AZ54" s="42"/>
      <c r="BA54" s="43"/>
      <c r="BB54" s="39" t="e">
        <f t="shared" si="264"/>
        <v>#REF!</v>
      </c>
      <c r="BC54" s="43"/>
      <c r="BD54" s="44"/>
      <c r="BE54" s="57"/>
      <c r="BF54" s="43" t="e">
        <f t="shared" si="266"/>
        <v>#REF!</v>
      </c>
      <c r="BG54" s="43">
        <f t="shared" si="267"/>
        <v>5.10344827586207</v>
      </c>
      <c r="BH54" s="43">
        <f t="shared" si="268"/>
      </c>
      <c r="BI54" s="46" t="e">
        <f t="shared" si="269"/>
        <v>#REF!</v>
      </c>
      <c r="BJ54" s="43">
        <f t="shared" si="270"/>
        <v>6.80459770114942</v>
      </c>
      <c r="BK54" s="43">
        <f t="shared" si="271"/>
      </c>
      <c r="BL54" s="46" t="e">
        <f t="shared" si="272"/>
        <v>#REF!</v>
      </c>
      <c r="BM54" s="43">
        <f t="shared" si="273"/>
        <v>8.82758620689655</v>
      </c>
      <c r="BN54" s="43"/>
      <c r="BO54" s="46" t="e">
        <f t="shared" si="274"/>
        <v>#REF!</v>
      </c>
      <c r="BP54" s="43">
        <f t="shared" si="275"/>
        <v>8.82758620689655</v>
      </c>
      <c r="BQ54" s="43"/>
      <c r="BR54" s="46" t="e">
        <f t="shared" si="276"/>
        <v>#REF!</v>
      </c>
      <c r="BS54" s="43">
        <f t="shared" si="277"/>
        <v>8.82758620689655</v>
      </c>
      <c r="BT54" s="43"/>
      <c r="BU54" s="46" t="e">
        <f t="shared" si="278"/>
        <v>#REF!</v>
      </c>
      <c r="BV54" s="43">
        <f t="shared" si="279"/>
        <v>8.82758620689655</v>
      </c>
      <c r="BW54" s="43"/>
      <c r="BX54" s="46" t="e">
        <f t="shared" si="280"/>
        <v>#REF!</v>
      </c>
      <c r="BY54" s="43"/>
      <c r="BZ54" s="43"/>
      <c r="CA54" s="43"/>
      <c r="CB54" s="43"/>
      <c r="CC54" s="43"/>
      <c r="CD54" s="43"/>
      <c r="CE54" s="43"/>
      <c r="CF54" s="43"/>
      <c r="CG54" s="43"/>
      <c r="CH54" s="43"/>
      <c r="CI54" s="43"/>
      <c r="CJ54" s="43"/>
      <c r="CK54" s="43"/>
      <c r="CL54" s="43"/>
      <c r="CM54" s="43"/>
      <c r="CN54" s="43"/>
      <c r="CO54" s="43"/>
      <c r="CP54" s="43"/>
      <c r="CQ54" s="43"/>
      <c r="CR54" s="43"/>
      <c r="CS54" s="43"/>
      <c r="CT54" s="43"/>
      <c r="CU54" s="43"/>
      <c r="CV54" s="43"/>
      <c r="CW54" s="43"/>
      <c r="CX54" s="43"/>
      <c r="AMF54" s="47"/>
      <c r="AMG54" s="47"/>
      <c r="AMH54" s="47"/>
      <c r="AMI54" s="47"/>
      <c r="AMJ54" s="47"/>
    </row>
    <row r="55" ht="14.0">
      <c r="A55" s="37" t="s">
        <v>32</v>
      </c>
      <c r="B55" s="37" t="s">
        <v>81</v>
      </c>
      <c r="C55" s="37" t="s">
        <v>104</v>
      </c>
      <c r="D55" s="38">
        <v>43245.0</v>
      </c>
      <c r="E55" s="37">
        <v>0.0</v>
      </c>
      <c r="F55" s="37">
        <v>0.0</v>
      </c>
      <c r="G55" s="37">
        <v>0.0</v>
      </c>
      <c r="H55" s="37">
        <v>0.0</v>
      </c>
      <c r="I55" s="37">
        <v>0.0</v>
      </c>
      <c r="J55" s="37">
        <v>0.0</v>
      </c>
      <c r="K55" s="37">
        <v>0.0</v>
      </c>
      <c r="L55" s="37">
        <v>0.0</v>
      </c>
      <c r="M55" s="37">
        <v>0.0</v>
      </c>
      <c r="N55" s="37">
        <v>0.0</v>
      </c>
      <c r="O55" s="37">
        <v>0.0</v>
      </c>
      <c r="P55" s="37">
        <v>0.0</v>
      </c>
      <c r="Q55" s="37">
        <v>0.0</v>
      </c>
      <c r="R55" s="37">
        <v>0.0</v>
      </c>
      <c r="S55" s="37">
        <v>0.0</v>
      </c>
      <c r="T55" s="37">
        <v>0.0</v>
      </c>
      <c r="U55" s="37">
        <v>0.0</v>
      </c>
      <c r="V55" s="37">
        <v>0.0</v>
      </c>
      <c r="W55" s="37">
        <v>3.0</v>
      </c>
      <c r="X55" s="37">
        <v>0.0</v>
      </c>
      <c r="Y55" s="37">
        <v>30.0</v>
      </c>
      <c r="Z55" s="37">
        <v>6.0</v>
      </c>
      <c r="AA55" s="37">
        <v>21.0</v>
      </c>
      <c r="AB55" s="37">
        <v>12.0</v>
      </c>
      <c r="AC55" s="37">
        <v>15.0</v>
      </c>
      <c r="AD55" s="37">
        <v>0.0</v>
      </c>
      <c r="AE55" s="37">
        <v>9.0</v>
      </c>
      <c r="AF55" s="37">
        <v>21.0</v>
      </c>
      <c r="AG55" s="37">
        <v>0.0</v>
      </c>
      <c r="AH55" s="37">
        <v>3.0</v>
      </c>
      <c r="AI55" s="37">
        <v>6.0</v>
      </c>
      <c r="AJ55" s="37">
        <v>18.0</v>
      </c>
      <c r="AK55" s="37">
        <v>0.0</v>
      </c>
      <c r="AL55" s="37">
        <v>3.0</v>
      </c>
      <c r="AM55" s="37">
        <v>6.0</v>
      </c>
      <c r="AN55" s="37">
        <v>0.0</v>
      </c>
      <c r="AO55" s="39">
        <f t="shared" si="3"/>
        <v>81.0</v>
      </c>
      <c r="AP55" s="39">
        <f t="shared" si="4"/>
        <v>33.0</v>
      </c>
      <c r="AQ55" s="39">
        <f t="shared" si="5"/>
        <v>36.3</v>
      </c>
      <c r="AR55" s="51">
        <f t="shared" si="285"/>
        <v>6.75862068965517</v>
      </c>
      <c r="AS55" s="51">
        <f t="shared" si="286"/>
        <v>9.01149425287356</v>
      </c>
      <c r="AT55" s="51">
        <f t="shared" si="287"/>
        <v>11.5862068965517</v>
      </c>
      <c r="AU55" s="51">
        <f t="shared" si="288"/>
        <v>11.5862068965517</v>
      </c>
      <c r="AV55" s="51">
        <f t="shared" si="289"/>
        <v>11.5862068965517</v>
      </c>
      <c r="AW55" s="51">
        <f t="shared" si="290"/>
        <v>11.5862068965517</v>
      </c>
      <c r="AX55" s="41">
        <f t="shared" si="12"/>
        <v>62.1149425287355</v>
      </c>
      <c r="AY55" s="41" t="e">
        <f t="shared" si="13"/>
        <v>#REF!</v>
      </c>
      <c r="AZ55" s="42"/>
      <c r="BA55" s="43"/>
      <c r="BB55" s="39" t="e">
        <f t="shared" si="264"/>
        <v>#REF!</v>
      </c>
      <c r="BC55" s="43"/>
      <c r="BD55" s="49" t="e">
        <f>BB55*-1</f>
        <v>#REF!</v>
      </c>
      <c r="BE55" s="45" t="s">
        <v>6</v>
      </c>
      <c r="BF55" s="43" t="e">
        <f t="shared" si="266"/>
        <v>#REF!</v>
      </c>
      <c r="BG55" s="43">
        <f t="shared" si="267"/>
        <v>6.75862068965517</v>
      </c>
      <c r="BH55" s="43">
        <f t="shared" si="268"/>
      </c>
      <c r="BI55" s="46" t="e">
        <f t="shared" si="269"/>
        <v>#REF!</v>
      </c>
      <c r="BJ55" s="43">
        <f t="shared" si="270"/>
        <v>9.01149425287356</v>
      </c>
      <c r="BK55" s="43">
        <f t="shared" si="271"/>
      </c>
      <c r="BL55" s="46" t="e">
        <f t="shared" si="272"/>
        <v>#REF!</v>
      </c>
      <c r="BM55" s="43">
        <f t="shared" si="273"/>
        <v>11.5862068965517</v>
      </c>
      <c r="BN55" s="43"/>
      <c r="BO55" s="46" t="e">
        <f t="shared" si="274"/>
        <v>#REF!</v>
      </c>
      <c r="BP55" s="43">
        <f t="shared" si="275"/>
        <v>11.5862068965517</v>
      </c>
      <c r="BQ55" s="43"/>
      <c r="BR55" s="46" t="e">
        <f t="shared" si="276"/>
        <v>#REF!</v>
      </c>
      <c r="BS55" s="43">
        <f t="shared" si="277"/>
        <v>11.5862068965517</v>
      </c>
      <c r="BT55" s="43"/>
      <c r="BU55" s="46" t="e">
        <f t="shared" si="278"/>
        <v>#REF!</v>
      </c>
      <c r="BV55" s="43">
        <f t="shared" si="279"/>
        <v>11.5862068965517</v>
      </c>
      <c r="BW55" s="43"/>
      <c r="BX55" s="46" t="e">
        <f t="shared" si="280"/>
        <v>#REF!</v>
      </c>
      <c r="BY55" s="43"/>
      <c r="BZ55" s="42" t="e">
        <f>BU55*-1</f>
        <v>#REF!</v>
      </c>
      <c r="CA55" s="52" t="e">
        <f>BZ55/6</f>
        <v>#REF!</v>
      </c>
      <c r="CB55" s="42" t="e">
        <f>ROUNDUP(CA55,0)</f>
        <v>#REF!</v>
      </c>
      <c r="CC55" s="53" t="e">
        <f>CB55*6</f>
        <v>#REF!</v>
      </c>
      <c r="CD55" s="43"/>
      <c r="CE55" s="43"/>
      <c r="CF55" s="43"/>
      <c r="CG55" s="43"/>
      <c r="CH55" s="43"/>
      <c r="CI55" s="43"/>
      <c r="CJ55" s="43"/>
      <c r="CK55" s="43"/>
      <c r="CL55" s="43"/>
      <c r="CM55" s="43"/>
      <c r="CN55" s="43"/>
      <c r="CO55" s="43"/>
      <c r="CP55" s="43"/>
      <c r="CQ55" s="43"/>
      <c r="CR55" s="43"/>
      <c r="CS55" s="43"/>
      <c r="CT55" s="43"/>
      <c r="CU55" s="43"/>
      <c r="CV55" s="43"/>
      <c r="CW55" s="43"/>
      <c r="CX55" s="43"/>
      <c r="CY55" s="43"/>
      <c r="CZ55" s="43"/>
      <c r="DA55" s="43"/>
      <c r="DB55" s="43"/>
      <c r="DC55" s="43"/>
      <c r="AMF55" s="47"/>
      <c r="AMG55" s="47"/>
      <c r="AMH55" s="47"/>
      <c r="AMI55" s="47"/>
      <c r="AMJ55" s="47"/>
    </row>
    <row r="56" ht="14.0">
      <c r="A56" s="37" t="s">
        <v>32</v>
      </c>
      <c r="B56" s="37" t="s">
        <v>81</v>
      </c>
      <c r="C56" s="56" t="s">
        <v>105</v>
      </c>
      <c r="D56" s="38">
        <v>43204.0</v>
      </c>
      <c r="E56" s="37">
        <v>12.0</v>
      </c>
      <c r="F56" s="37">
        <v>3.0</v>
      </c>
      <c r="G56" s="37">
        <v>3.0</v>
      </c>
      <c r="H56" s="37">
        <v>12.0</v>
      </c>
      <c r="I56" s="37">
        <v>21.0</v>
      </c>
      <c r="J56" s="37">
        <v>15.0</v>
      </c>
      <c r="K56" s="37">
        <v>3.0</v>
      </c>
      <c r="L56" s="37">
        <v>6.0</v>
      </c>
      <c r="M56" s="37">
        <v>6.0</v>
      </c>
      <c r="N56" s="37">
        <v>6.0</v>
      </c>
      <c r="O56" s="37">
        <v>15.0</v>
      </c>
      <c r="P56" s="37">
        <v>6.0</v>
      </c>
      <c r="Q56" s="37">
        <v>9.0</v>
      </c>
      <c r="R56" s="37">
        <v>3.0</v>
      </c>
      <c r="S56" s="37">
        <v>16.0</v>
      </c>
      <c r="T56" s="37">
        <v>6.0</v>
      </c>
      <c r="U56" s="37">
        <v>18.0</v>
      </c>
      <c r="V56" s="37">
        <v>13.0</v>
      </c>
      <c r="W56" s="37">
        <v>7.0</v>
      </c>
      <c r="X56" s="37">
        <v>3.0</v>
      </c>
      <c r="Y56" s="37">
        <v>12.0</v>
      </c>
      <c r="Z56" s="37">
        <v>3.0</v>
      </c>
      <c r="AA56" s="37">
        <v>15.0</v>
      </c>
      <c r="AB56" s="37">
        <v>6.0</v>
      </c>
      <c r="AC56" s="37">
        <v>3.0</v>
      </c>
      <c r="AD56" s="37">
        <v>0.0</v>
      </c>
      <c r="AE56" s="37">
        <v>6.0</v>
      </c>
      <c r="AF56" s="37">
        <v>12.0</v>
      </c>
      <c r="AG56" s="37">
        <v>0.0</v>
      </c>
      <c r="AH56" s="37">
        <v>0.0</v>
      </c>
      <c r="AI56" s="37">
        <v>3.0</v>
      </c>
      <c r="AJ56" s="37">
        <v>9.0</v>
      </c>
      <c r="AK56" s="37">
        <v>0.0</v>
      </c>
      <c r="AL56" s="37">
        <v>3.0</v>
      </c>
      <c r="AM56" s="37">
        <v>6.0</v>
      </c>
      <c r="AN56" s="37" t="s">
        <v>87</v>
      </c>
      <c r="AO56" s="39">
        <f t="shared" si="3"/>
        <v>42.0</v>
      </c>
      <c r="AP56" s="39">
        <f t="shared" si="4"/>
        <v>21.0</v>
      </c>
      <c r="AQ56" s="39">
        <f t="shared" si="5"/>
        <v>23.1</v>
      </c>
      <c r="AR56" s="51">
        <f t="shared" ref="AR56:AR59" si="296">AQ56*$AR$4/$AQ$4+1*$AR$50</f>
        <v>4.0</v>
      </c>
      <c r="AS56" s="51">
        <f t="shared" ref="AS56:AS59" si="297">AQ56*$AS$4/$AQ$4+1*$AS$50</f>
        <v>5.33333333333333</v>
      </c>
      <c r="AT56" s="51">
        <f t="shared" ref="AT56:AT59" si="298">AQ56*$AT$4/$AQ$4+1*$AT$50</f>
        <v>6.82758620689655</v>
      </c>
      <c r="AU56" s="51">
        <f t="shared" ref="AU56:AU59" si="299">AQ56*$AU$4/$AQ$4+1*$AU$50</f>
        <v>6.82758620689655</v>
      </c>
      <c r="AV56" s="51">
        <f t="shared" ref="AV56:AV59" si="300">AQ56*$AV$4/$AQ$4+1*$AV$50</f>
        <v>6.82758620689655</v>
      </c>
      <c r="AW56" s="51">
        <f t="shared" ref="AW56:AW59" si="301">AQ56*$AW$4/$AQ$4+1*$AW$50</f>
        <v>6.82758620689655</v>
      </c>
      <c r="AX56" s="41">
        <f t="shared" si="12"/>
        <v>36.6436781609195</v>
      </c>
      <c r="AY56" s="41" t="e">
        <f t="shared" si="13"/>
        <v>#REF!</v>
      </c>
      <c r="AZ56" s="42"/>
      <c r="BA56" s="43"/>
      <c r="BB56" s="39" t="e">
        <f t="shared" si="264"/>
        <v>#REF!</v>
      </c>
      <c r="BC56" s="43"/>
      <c r="BD56" s="44"/>
      <c r="BE56" s="57"/>
      <c r="BF56" s="43" t="e">
        <f t="shared" si="266"/>
        <v>#REF!</v>
      </c>
      <c r="BG56" s="43">
        <f t="shared" si="267"/>
        <v>4.0</v>
      </c>
      <c r="BH56" s="43">
        <f t="shared" si="268"/>
      </c>
      <c r="BI56" s="46" t="e">
        <f t="shared" si="269"/>
        <v>#REF!</v>
      </c>
      <c r="BJ56" s="43">
        <f t="shared" si="270"/>
        <v>5.33333333333333</v>
      </c>
      <c r="BK56" s="43">
        <f t="shared" si="271"/>
      </c>
      <c r="BL56" s="46" t="e">
        <f t="shared" si="272"/>
        <v>#REF!</v>
      </c>
      <c r="BM56" s="43">
        <f t="shared" si="273"/>
        <v>6.82758620689655</v>
      </c>
      <c r="BN56" s="43"/>
      <c r="BO56" s="46" t="e">
        <f t="shared" si="274"/>
        <v>#REF!</v>
      </c>
      <c r="BP56" s="43">
        <f t="shared" si="275"/>
        <v>6.82758620689655</v>
      </c>
      <c r="BQ56" s="43"/>
      <c r="BR56" s="46" t="e">
        <f t="shared" si="276"/>
        <v>#REF!</v>
      </c>
      <c r="BS56" s="43">
        <f t="shared" si="277"/>
        <v>6.82758620689655</v>
      </c>
      <c r="BT56" s="43"/>
      <c r="BU56" s="46" t="e">
        <f t="shared" si="278"/>
        <v>#REF!</v>
      </c>
      <c r="BV56" s="43">
        <f t="shared" si="279"/>
        <v>6.82758620689655</v>
      </c>
      <c r="BW56" s="43"/>
      <c r="BX56" s="46" t="e">
        <f t="shared" si="280"/>
        <v>#REF!</v>
      </c>
      <c r="BY56" s="43"/>
      <c r="BZ56" s="43"/>
      <c r="CA56" s="43"/>
      <c r="CB56" s="43"/>
      <c r="CC56" s="43"/>
      <c r="CD56" s="43"/>
      <c r="CE56" s="43"/>
      <c r="CF56" s="43"/>
      <c r="CG56" s="43"/>
      <c r="CH56" s="43"/>
      <c r="CI56" s="43"/>
      <c r="CJ56" s="43"/>
      <c r="CK56" s="43"/>
      <c r="CL56" s="43"/>
      <c r="CM56" s="43"/>
      <c r="CN56" s="43"/>
      <c r="CO56" s="43"/>
      <c r="CP56" s="43"/>
      <c r="CQ56" s="43"/>
      <c r="CR56" s="43"/>
      <c r="CS56" s="43"/>
      <c r="CT56" s="43"/>
      <c r="CU56" s="43"/>
      <c r="CV56" s="43"/>
      <c r="CW56" s="43"/>
      <c r="CX56" s="43"/>
      <c r="AMF56" s="47"/>
      <c r="AMG56" s="47"/>
      <c r="AMH56" s="47"/>
      <c r="AMI56" s="47"/>
    </row>
    <row r="57" ht="14.0">
      <c r="A57" s="37" t="s">
        <v>32</v>
      </c>
      <c r="B57" s="37" t="s">
        <v>81</v>
      </c>
      <c r="C57" s="37" t="s">
        <v>106</v>
      </c>
      <c r="D57" s="38">
        <v>43206.0</v>
      </c>
      <c r="E57" s="37">
        <v>24.0</v>
      </c>
      <c r="F57" s="37">
        <v>6.0</v>
      </c>
      <c r="G57" s="37">
        <v>18.0</v>
      </c>
      <c r="H57" s="37">
        <v>30.0</v>
      </c>
      <c r="I57" s="37">
        <v>24.0</v>
      </c>
      <c r="J57" s="37">
        <v>24.0</v>
      </c>
      <c r="K57" s="37">
        <v>12.0</v>
      </c>
      <c r="L57" s="37">
        <v>24.0</v>
      </c>
      <c r="M57" s="37">
        <v>24.0</v>
      </c>
      <c r="N57" s="37">
        <v>15.0</v>
      </c>
      <c r="O57" s="37">
        <v>39.0</v>
      </c>
      <c r="P57" s="37">
        <v>12.0</v>
      </c>
      <c r="Q57" s="37">
        <v>24.0</v>
      </c>
      <c r="R57" s="37">
        <v>24.0</v>
      </c>
      <c r="S57" s="37">
        <v>40.0</v>
      </c>
      <c r="T57" s="37">
        <v>9.0</v>
      </c>
      <c r="U57" s="37">
        <v>36.0</v>
      </c>
      <c r="V57" s="37">
        <v>30.0</v>
      </c>
      <c r="W57" s="37">
        <v>18.0</v>
      </c>
      <c r="X57" s="37">
        <v>34.0</v>
      </c>
      <c r="Y57" s="37">
        <v>24.0</v>
      </c>
      <c r="Z57" s="37">
        <v>12.0</v>
      </c>
      <c r="AA57" s="37">
        <v>30.0</v>
      </c>
      <c r="AB57" s="37">
        <v>24.0</v>
      </c>
      <c r="AC57" s="37">
        <v>18.0</v>
      </c>
      <c r="AD57" s="37">
        <v>12.0</v>
      </c>
      <c r="AE57" s="37">
        <v>6.0</v>
      </c>
      <c r="AF57" s="37">
        <v>21.0</v>
      </c>
      <c r="AG57" s="37">
        <v>6.0</v>
      </c>
      <c r="AH57" s="37">
        <v>15.0</v>
      </c>
      <c r="AI57" s="37">
        <v>24.0</v>
      </c>
      <c r="AJ57" s="37">
        <v>9.0</v>
      </c>
      <c r="AK57" s="37">
        <v>6.0</v>
      </c>
      <c r="AL57" s="37">
        <v>9.0</v>
      </c>
      <c r="AM57" s="37">
        <v>12.0</v>
      </c>
      <c r="AN57" s="37">
        <v>3.0</v>
      </c>
      <c r="AO57" s="39">
        <f t="shared" si="3"/>
        <v>141.0</v>
      </c>
      <c r="AP57" s="39">
        <f t="shared" si="4"/>
        <v>63.0</v>
      </c>
      <c r="AQ57" s="39">
        <f t="shared" si="5"/>
        <v>69.3</v>
      </c>
      <c r="AR57" s="51">
        <f t="shared" si="296"/>
        <v>9.79310344827586</v>
      </c>
      <c r="AS57" s="51">
        <f t="shared" si="297"/>
        <v>13.0574712643678</v>
      </c>
      <c r="AT57" s="51">
        <f t="shared" si="298"/>
        <v>16.4827586206897</v>
      </c>
      <c r="AU57" s="51">
        <f t="shared" si="299"/>
        <v>16.4827586206897</v>
      </c>
      <c r="AV57" s="51">
        <f t="shared" si="300"/>
        <v>16.4827586206897</v>
      </c>
      <c r="AW57" s="51">
        <f t="shared" si="301"/>
        <v>16.4827586206897</v>
      </c>
      <c r="AX57" s="41">
        <f t="shared" si="12"/>
        <v>88.7816091954024</v>
      </c>
      <c r="AY57" s="41" t="e">
        <f t="shared" si="13"/>
        <v>#REF!</v>
      </c>
      <c r="AZ57" s="42"/>
      <c r="BA57" s="43"/>
      <c r="BB57" s="39" t="e">
        <f t="shared" si="264"/>
        <v>#REF!</v>
      </c>
      <c r="BC57" s="43"/>
      <c r="BD57" s="49" t="e">
        <f t="shared" ref="BD57:BD58" si="302">BB57*-1</f>
        <v>#REF!</v>
      </c>
      <c r="BE57" s="45" t="s">
        <v>8</v>
      </c>
      <c r="BF57" s="43" t="e">
        <f t="shared" si="266"/>
        <v>#REF!</v>
      </c>
      <c r="BG57" s="43">
        <f t="shared" si="267"/>
        <v>9.79310344827586</v>
      </c>
      <c r="BH57" s="43">
        <f t="shared" si="268"/>
      </c>
      <c r="BI57" s="46" t="e">
        <f t="shared" si="269"/>
        <v>#REF!</v>
      </c>
      <c r="BJ57" s="43">
        <f t="shared" si="270"/>
        <v>13.0574712643678</v>
      </c>
      <c r="BK57" s="43">
        <f t="shared" si="271"/>
      </c>
      <c r="BL57" s="46" t="e">
        <f t="shared" si="272"/>
        <v>#REF!</v>
      </c>
      <c r="BM57" s="43">
        <f t="shared" si="273"/>
        <v>16.4827586206897</v>
      </c>
      <c r="BN57" s="43"/>
      <c r="BO57" s="46" t="e">
        <f t="shared" si="274"/>
        <v>#REF!</v>
      </c>
      <c r="BP57" s="43">
        <f t="shared" si="275"/>
        <v>16.4827586206897</v>
      </c>
      <c r="BQ57" s="43"/>
      <c r="BR57" s="46" t="e">
        <f t="shared" si="276"/>
        <v>#REF!</v>
      </c>
      <c r="BS57" s="43">
        <f t="shared" si="277"/>
        <v>16.4827586206897</v>
      </c>
      <c r="BT57" s="43"/>
      <c r="BU57" s="46" t="e">
        <f t="shared" si="278"/>
        <v>#REF!</v>
      </c>
      <c r="BV57" s="43">
        <f t="shared" si="279"/>
        <v>16.4827586206897</v>
      </c>
      <c r="BW57" s="43"/>
      <c r="BX57" s="46" t="e">
        <f t="shared" si="280"/>
        <v>#REF!</v>
      </c>
      <c r="BY57" s="43"/>
      <c r="BZ57" s="42" t="e">
        <f t="shared" ref="BZ57:BZ58" si="303">BU57*-1</f>
        <v>#REF!</v>
      </c>
      <c r="CA57" s="52" t="e">
        <f t="shared" ref="CA57:CA58" si="304">BZ57/6</f>
        <v>#REF!</v>
      </c>
      <c r="CB57" s="42" t="e">
        <f t="shared" ref="CB57:CB58" si="305">ROUNDUP(CA57,0)</f>
        <v>#REF!</v>
      </c>
      <c r="CC57" s="53" t="e">
        <f t="shared" ref="CC57:CC58" si="306">CB57*6</f>
        <v>#REF!</v>
      </c>
      <c r="CD57" s="43"/>
      <c r="CE57" s="43"/>
      <c r="CF57" s="43"/>
      <c r="CG57" s="43"/>
      <c r="CH57" s="43"/>
      <c r="CI57" s="43"/>
      <c r="CJ57" s="43"/>
      <c r="CK57" s="43"/>
      <c r="CL57" s="43"/>
      <c r="CM57" s="43"/>
      <c r="CN57" s="43"/>
      <c r="CO57" s="43"/>
      <c r="CP57" s="43"/>
      <c r="CQ57" s="43"/>
      <c r="CR57" s="43"/>
      <c r="CS57" s="43"/>
      <c r="CT57" s="43"/>
      <c r="CU57" s="43"/>
      <c r="CV57" s="43"/>
      <c r="CW57" s="43"/>
      <c r="CX57" s="43"/>
      <c r="CY57" s="43"/>
      <c r="CZ57" s="43"/>
      <c r="DA57" s="43"/>
      <c r="DB57" s="43"/>
      <c r="DC57" s="43"/>
      <c r="AMF57" s="47"/>
      <c r="AMG57" s="47"/>
      <c r="AMH57" s="47"/>
      <c r="AMI57" s="47"/>
      <c r="AMJ57" s="47"/>
    </row>
    <row r="58" ht="14.0">
      <c r="A58" s="37" t="s">
        <v>32</v>
      </c>
      <c r="B58" s="37" t="s">
        <v>81</v>
      </c>
      <c r="C58" s="37" t="s">
        <v>107</v>
      </c>
      <c r="D58" s="38">
        <v>43215.0</v>
      </c>
      <c r="E58" s="37">
        <v>15.0</v>
      </c>
      <c r="F58" s="37">
        <v>12.0</v>
      </c>
      <c r="G58" s="37">
        <v>15.0</v>
      </c>
      <c r="H58" s="37">
        <v>30.0</v>
      </c>
      <c r="I58" s="37">
        <v>18.0</v>
      </c>
      <c r="J58" s="37">
        <v>21.0</v>
      </c>
      <c r="K58" s="37">
        <v>9.0</v>
      </c>
      <c r="L58" s="37">
        <v>21.0</v>
      </c>
      <c r="M58" s="37">
        <v>21.0</v>
      </c>
      <c r="N58" s="37">
        <v>21.0</v>
      </c>
      <c r="O58" s="37">
        <v>36.0</v>
      </c>
      <c r="P58" s="37">
        <v>15.0</v>
      </c>
      <c r="Q58" s="37">
        <v>21.0</v>
      </c>
      <c r="R58" s="37">
        <v>12.0</v>
      </c>
      <c r="S58" s="37">
        <v>33.0</v>
      </c>
      <c r="T58" s="37">
        <v>9.0</v>
      </c>
      <c r="U58" s="37">
        <v>18.0</v>
      </c>
      <c r="V58" s="37">
        <v>18.0</v>
      </c>
      <c r="W58" s="37">
        <v>12.0</v>
      </c>
      <c r="X58" s="37">
        <v>18.0</v>
      </c>
      <c r="Y58" s="37">
        <v>39.0</v>
      </c>
      <c r="Z58" s="37">
        <v>12.0</v>
      </c>
      <c r="AA58" s="37">
        <v>18.0</v>
      </c>
      <c r="AB58" s="37">
        <v>21.0</v>
      </c>
      <c r="AC58" s="37">
        <v>18.0</v>
      </c>
      <c r="AD58" s="37">
        <v>6.0</v>
      </c>
      <c r="AE58" s="37">
        <v>12.0</v>
      </c>
      <c r="AF58" s="37">
        <v>21.0</v>
      </c>
      <c r="AG58" s="37">
        <v>9.0</v>
      </c>
      <c r="AH58" s="37">
        <v>18.0</v>
      </c>
      <c r="AI58" s="37">
        <v>12.0</v>
      </c>
      <c r="AJ58" s="37">
        <v>12.0</v>
      </c>
      <c r="AK58" s="37">
        <v>15.0</v>
      </c>
      <c r="AL58" s="37">
        <v>3.0</v>
      </c>
      <c r="AM58" s="37">
        <v>12.0</v>
      </c>
      <c r="AN58" s="37">
        <v>0.0</v>
      </c>
      <c r="AO58" s="39">
        <f t="shared" si="3"/>
        <v>138.0</v>
      </c>
      <c r="AP58" s="39">
        <f t="shared" si="4"/>
        <v>54.0</v>
      </c>
      <c r="AQ58" s="39">
        <f t="shared" si="5"/>
        <v>59.4</v>
      </c>
      <c r="AR58" s="51">
        <f t="shared" si="296"/>
        <v>8.55172413793104</v>
      </c>
      <c r="AS58" s="51">
        <f t="shared" si="297"/>
        <v>11.4022988505747</v>
      </c>
      <c r="AT58" s="51">
        <f t="shared" si="298"/>
        <v>14.4137931034482</v>
      </c>
      <c r="AU58" s="51">
        <f t="shared" si="299"/>
        <v>14.4137931034482</v>
      </c>
      <c r="AV58" s="51">
        <f t="shared" si="300"/>
        <v>14.4137931034482</v>
      </c>
      <c r="AW58" s="51">
        <f t="shared" si="301"/>
        <v>14.4137931034482</v>
      </c>
      <c r="AX58" s="41">
        <f t="shared" si="12"/>
        <v>77.6091954022985</v>
      </c>
      <c r="AY58" s="41" t="e">
        <f t="shared" si="13"/>
        <v>#REF!</v>
      </c>
      <c r="AZ58" s="42"/>
      <c r="BA58" s="43"/>
      <c r="BB58" s="39" t="e">
        <f t="shared" si="264"/>
        <v>#REF!</v>
      </c>
      <c r="BC58" s="43"/>
      <c r="BD58" s="49" t="e">
        <f t="shared" si="302"/>
        <v>#REF!</v>
      </c>
      <c r="BE58" s="45" t="s">
        <v>8</v>
      </c>
      <c r="BF58" s="43" t="e">
        <f t="shared" si="266"/>
        <v>#REF!</v>
      </c>
      <c r="BG58" s="43">
        <f t="shared" si="267"/>
        <v>8.55172413793104</v>
      </c>
      <c r="BH58" s="43">
        <f t="shared" si="268"/>
      </c>
      <c r="BI58" s="46" t="e">
        <f t="shared" si="269"/>
        <v>#REF!</v>
      </c>
      <c r="BJ58" s="43">
        <f t="shared" si="270"/>
        <v>11.4022988505747</v>
      </c>
      <c r="BK58" s="43">
        <f t="shared" si="271"/>
      </c>
      <c r="BL58" s="46" t="e">
        <f t="shared" si="272"/>
        <v>#REF!</v>
      </c>
      <c r="BM58" s="43">
        <f t="shared" si="273"/>
        <v>14.4137931034482</v>
      </c>
      <c r="BN58" s="43"/>
      <c r="BO58" s="46" t="e">
        <f t="shared" si="274"/>
        <v>#REF!</v>
      </c>
      <c r="BP58" s="43">
        <f t="shared" si="275"/>
        <v>14.4137931034482</v>
      </c>
      <c r="BQ58" s="43"/>
      <c r="BR58" s="46" t="e">
        <f t="shared" si="276"/>
        <v>#REF!</v>
      </c>
      <c r="BS58" s="43">
        <f t="shared" si="277"/>
        <v>14.4137931034482</v>
      </c>
      <c r="BT58" s="43"/>
      <c r="BU58" s="46" t="e">
        <f t="shared" si="278"/>
        <v>#REF!</v>
      </c>
      <c r="BV58" s="43">
        <f t="shared" si="279"/>
        <v>14.4137931034482</v>
      </c>
      <c r="BW58" s="43"/>
      <c r="BX58" s="46" t="e">
        <f t="shared" si="280"/>
        <v>#REF!</v>
      </c>
      <c r="BY58" s="43"/>
      <c r="BZ58" s="42" t="e">
        <f t="shared" si="303"/>
        <v>#REF!</v>
      </c>
      <c r="CA58" s="52" t="e">
        <f t="shared" si="304"/>
        <v>#REF!</v>
      </c>
      <c r="CB58" s="42" t="e">
        <f t="shared" si="305"/>
        <v>#REF!</v>
      </c>
      <c r="CC58" s="53" t="e">
        <f t="shared" si="306"/>
        <v>#REF!</v>
      </c>
      <c r="CD58" s="43"/>
      <c r="CE58" s="43"/>
      <c r="CF58" s="43"/>
      <c r="CG58" s="43"/>
      <c r="CH58" s="43"/>
      <c r="CI58" s="43"/>
      <c r="CJ58" s="43"/>
      <c r="CK58" s="43"/>
      <c r="CL58" s="43"/>
      <c r="CM58" s="43"/>
      <c r="CN58" s="43"/>
      <c r="CO58" s="43"/>
      <c r="CP58" s="43"/>
      <c r="CQ58" s="43"/>
      <c r="CR58" s="43"/>
      <c r="CS58" s="43"/>
      <c r="CT58" s="43"/>
      <c r="CU58" s="43"/>
      <c r="CV58" s="43"/>
      <c r="CW58" s="43"/>
      <c r="CX58" s="43"/>
      <c r="CY58" s="43"/>
      <c r="CZ58" s="43"/>
      <c r="DA58" s="43"/>
      <c r="DB58" s="43"/>
      <c r="DC58" s="43"/>
      <c r="AMF58" s="47"/>
      <c r="AMG58" s="47"/>
      <c r="AMH58" s="47"/>
      <c r="AMI58" s="47"/>
      <c r="AMJ58" s="47"/>
    </row>
    <row r="59" ht="14.0">
      <c r="A59" s="37" t="s">
        <v>32</v>
      </c>
      <c r="B59" s="37" t="s">
        <v>81</v>
      </c>
      <c r="C59" s="37" t="s">
        <v>108</v>
      </c>
      <c r="D59" s="38">
        <v>43232.0</v>
      </c>
      <c r="E59" s="37">
        <v>0.0</v>
      </c>
      <c r="F59" s="37">
        <v>0.0</v>
      </c>
      <c r="G59" s="37">
        <v>0.0</v>
      </c>
      <c r="H59" s="37">
        <v>0.0</v>
      </c>
      <c r="I59" s="37">
        <v>0.0</v>
      </c>
      <c r="J59" s="37">
        <v>0.0</v>
      </c>
      <c r="K59" s="37">
        <v>0.0</v>
      </c>
      <c r="L59" s="37">
        <v>13.0</v>
      </c>
      <c r="M59" s="37">
        <v>18.0</v>
      </c>
      <c r="N59" s="37">
        <v>9.0</v>
      </c>
      <c r="O59" s="37">
        <v>24.0</v>
      </c>
      <c r="P59" s="37">
        <v>12.0</v>
      </c>
      <c r="Q59" s="37">
        <v>6.0</v>
      </c>
      <c r="R59" s="37">
        <v>10.0</v>
      </c>
      <c r="S59" s="37">
        <v>18.0</v>
      </c>
      <c r="T59" s="37">
        <v>6.0</v>
      </c>
      <c r="U59" s="37">
        <v>15.0</v>
      </c>
      <c r="V59" s="37">
        <v>21.0</v>
      </c>
      <c r="W59" s="37">
        <v>0.0</v>
      </c>
      <c r="X59" s="37">
        <v>6.0</v>
      </c>
      <c r="Y59" s="37">
        <v>15.0</v>
      </c>
      <c r="Z59" s="37">
        <v>12.0</v>
      </c>
      <c r="AA59" s="37">
        <v>6.0</v>
      </c>
      <c r="AB59" s="37">
        <v>0.0</v>
      </c>
      <c r="AC59" s="37">
        <v>6.0</v>
      </c>
      <c r="AD59" s="37">
        <v>0.0</v>
      </c>
      <c r="AE59" s="37">
        <v>6.0</v>
      </c>
      <c r="AF59" s="37">
        <v>15.0</v>
      </c>
      <c r="AG59" s="37">
        <v>0.0</v>
      </c>
      <c r="AH59" s="37">
        <v>3.0</v>
      </c>
      <c r="AI59" s="37">
        <v>12.0</v>
      </c>
      <c r="AJ59" s="37">
        <v>0.0</v>
      </c>
      <c r="AK59" s="37">
        <v>3.0</v>
      </c>
      <c r="AL59" s="37">
        <v>6.0</v>
      </c>
      <c r="AM59" s="37">
        <v>0.0</v>
      </c>
      <c r="AN59" s="37">
        <v>0.0</v>
      </c>
      <c r="AO59" s="39">
        <f t="shared" si="3"/>
        <v>51.0</v>
      </c>
      <c r="AP59" s="39">
        <f t="shared" si="4"/>
        <v>21.0</v>
      </c>
      <c r="AQ59" s="39">
        <f t="shared" si="5"/>
        <v>23.1</v>
      </c>
      <c r="AR59" s="51">
        <f t="shared" si="296"/>
        <v>4.0</v>
      </c>
      <c r="AS59" s="51">
        <f t="shared" si="297"/>
        <v>5.33333333333333</v>
      </c>
      <c r="AT59" s="51">
        <f t="shared" si="298"/>
        <v>6.82758620689655</v>
      </c>
      <c r="AU59" s="51">
        <f t="shared" si="299"/>
        <v>6.82758620689655</v>
      </c>
      <c r="AV59" s="51">
        <f t="shared" si="300"/>
        <v>6.82758620689655</v>
      </c>
      <c r="AW59" s="51">
        <f t="shared" si="301"/>
        <v>6.82758620689655</v>
      </c>
      <c r="AX59" s="41">
        <f t="shared" si="12"/>
        <v>36.6436781609195</v>
      </c>
      <c r="AY59" s="41" t="e">
        <f t="shared" si="13"/>
        <v>#REF!</v>
      </c>
      <c r="AZ59" s="42"/>
      <c r="BA59" s="43"/>
      <c r="BB59" s="39" t="e">
        <f t="shared" si="264"/>
        <v>#REF!</v>
      </c>
      <c r="BC59" s="43"/>
      <c r="BD59" s="44"/>
      <c r="BE59" s="45"/>
      <c r="BF59" s="43" t="e">
        <f t="shared" si="266"/>
        <v>#REF!</v>
      </c>
      <c r="BG59" s="43">
        <f t="shared" si="267"/>
        <v>4.0</v>
      </c>
      <c r="BH59" s="43">
        <f t="shared" si="268"/>
      </c>
      <c r="BI59" s="46" t="e">
        <f t="shared" si="269"/>
        <v>#REF!</v>
      </c>
      <c r="BJ59" s="43">
        <f t="shared" si="270"/>
        <v>5.33333333333333</v>
      </c>
      <c r="BK59" s="43">
        <f t="shared" si="271"/>
      </c>
      <c r="BL59" s="46" t="e">
        <f t="shared" si="272"/>
        <v>#REF!</v>
      </c>
      <c r="BM59" s="43">
        <f t="shared" si="273"/>
        <v>6.82758620689655</v>
      </c>
      <c r="BN59" s="43"/>
      <c r="BO59" s="46" t="e">
        <f t="shared" si="274"/>
        <v>#REF!</v>
      </c>
      <c r="BP59" s="43">
        <f t="shared" si="275"/>
        <v>6.82758620689655</v>
      </c>
      <c r="BQ59" s="43"/>
      <c r="BR59" s="46" t="e">
        <f t="shared" si="276"/>
        <v>#REF!</v>
      </c>
      <c r="BS59" s="43">
        <f t="shared" si="277"/>
        <v>6.82758620689655</v>
      </c>
      <c r="BT59" s="43"/>
      <c r="BU59" s="46" t="e">
        <f t="shared" si="278"/>
        <v>#REF!</v>
      </c>
      <c r="BV59" s="43">
        <f t="shared" si="279"/>
        <v>6.82758620689655</v>
      </c>
      <c r="BW59" s="43"/>
      <c r="BX59" s="46" t="e">
        <f t="shared" si="280"/>
        <v>#REF!</v>
      </c>
      <c r="BY59" s="43"/>
      <c r="BZ59" s="43"/>
      <c r="CA59" s="43"/>
      <c r="CB59" s="43"/>
      <c r="CC59" s="43"/>
      <c r="CD59" s="43"/>
      <c r="CE59" s="43"/>
      <c r="CF59" s="43"/>
      <c r="CG59" s="43"/>
      <c r="CH59" s="43"/>
      <c r="CI59" s="43"/>
      <c r="CJ59" s="43"/>
      <c r="CK59" s="43"/>
      <c r="CL59" s="43"/>
      <c r="CM59" s="43"/>
      <c r="CN59" s="43"/>
      <c r="CO59" s="43"/>
      <c r="CP59" s="43"/>
      <c r="CQ59" s="43"/>
      <c r="CR59" s="43"/>
      <c r="CS59" s="43"/>
      <c r="CT59" s="43"/>
      <c r="CU59" s="43"/>
      <c r="CV59" s="43"/>
      <c r="CW59" s="43"/>
      <c r="CX59" s="43"/>
      <c r="AMF59" s="47"/>
      <c r="AMG59" s="47"/>
      <c r="AMH59" s="47"/>
      <c r="AMI59" s="47"/>
      <c r="AMJ59" s="47"/>
    </row>
    <row r="60" ht="14.0">
      <c r="A60" s="37" t="s">
        <v>32</v>
      </c>
      <c r="B60" s="37" t="s">
        <v>81</v>
      </c>
      <c r="C60" s="55" t="s">
        <v>109</v>
      </c>
      <c r="D60" s="38">
        <v>992432.0</v>
      </c>
      <c r="E60" s="37">
        <v>0.0</v>
      </c>
      <c r="F60" s="37">
        <v>0.0</v>
      </c>
      <c r="G60" s="37">
        <v>0.0</v>
      </c>
      <c r="H60" s="37">
        <v>0.0</v>
      </c>
      <c r="I60" s="37">
        <v>0.0</v>
      </c>
      <c r="J60" s="37">
        <v>0.0</v>
      </c>
      <c r="K60" s="37">
        <v>0.0</v>
      </c>
      <c r="L60" s="37">
        <v>0.0</v>
      </c>
      <c r="M60" s="37">
        <v>0.0</v>
      </c>
      <c r="N60" s="37">
        <v>0.0</v>
      </c>
      <c r="O60" s="37">
        <v>0.0</v>
      </c>
      <c r="P60" s="37">
        <v>0.0</v>
      </c>
      <c r="Q60" s="37">
        <v>0.0</v>
      </c>
      <c r="R60" s="37">
        <v>0.0</v>
      </c>
      <c r="S60" s="37">
        <v>0.0</v>
      </c>
      <c r="T60" s="37">
        <v>1.0</v>
      </c>
      <c r="U60" s="37">
        <v>0.0</v>
      </c>
      <c r="V60" s="37">
        <v>0.0</v>
      </c>
      <c r="W60" s="37">
        <v>0.0</v>
      </c>
      <c r="X60" s="37">
        <v>0.0</v>
      </c>
      <c r="Y60" s="37">
        <v>0.0</v>
      </c>
      <c r="Z60" s="37">
        <v>0.0</v>
      </c>
      <c r="AA60" s="37">
        <v>0.0</v>
      </c>
      <c r="AB60" s="37">
        <v>1.0</v>
      </c>
      <c r="AC60" s="37">
        <v>1.0</v>
      </c>
      <c r="AD60" s="37">
        <v>0.0</v>
      </c>
      <c r="AE60" s="37">
        <v>0.0</v>
      </c>
      <c r="AF60" s="37">
        <v>1.0</v>
      </c>
      <c r="AG60" s="37">
        <v>2.0</v>
      </c>
      <c r="AH60" s="37">
        <v>0.0</v>
      </c>
      <c r="AI60" s="37">
        <v>0.0</v>
      </c>
      <c r="AJ60" s="37">
        <v>0.0</v>
      </c>
      <c r="AK60" s="37">
        <v>0.0</v>
      </c>
      <c r="AL60" s="37">
        <v>0.0</v>
      </c>
      <c r="AM60" s="37">
        <v>0.0</v>
      </c>
      <c r="AN60" s="37">
        <v>0.0</v>
      </c>
      <c r="AO60" s="39">
        <f t="shared" si="3"/>
        <v>4.0</v>
      </c>
      <c r="AP60" s="39">
        <f t="shared" si="4"/>
        <v>0.0</v>
      </c>
      <c r="AQ60" s="39">
        <f t="shared" si="5"/>
        <v>0.0</v>
      </c>
      <c r="AR60" s="40">
        <f>AR38+AR50</f>
        <v>3.10344827586207</v>
      </c>
      <c r="AS60" s="40">
        <f>AS38+AS50</f>
        <v>3.47126436781609</v>
      </c>
      <c r="AT60" s="40">
        <f>AT38+AT50</f>
        <v>5.0</v>
      </c>
      <c r="AU60" s="40">
        <f>AU38+AU50</f>
        <v>6.0</v>
      </c>
      <c r="AV60" s="40">
        <f>AV38+AV50</f>
        <v>6.0</v>
      </c>
      <c r="AW60" s="40">
        <f>AW38+AW50</f>
        <v>6.0</v>
      </c>
      <c r="AX60" s="41">
        <f t="shared" si="12"/>
        <v>29.5747126436781</v>
      </c>
      <c r="AY60" s="41" t="e">
        <f t="shared" si="13"/>
        <v>#REF!</v>
      </c>
      <c r="AZ60" s="42" t="e">
        <f>VLOOKUP(C60,IFUKJULY,3,false)</f>
        <v>#REF!</v>
      </c>
      <c r="BA60" s="43"/>
      <c r="BB60" s="39" t="e">
        <f t="shared" si="264"/>
        <v>#REF!</v>
      </c>
      <c r="BC60" s="43"/>
      <c r="BD60" s="44"/>
      <c r="BE60" s="45"/>
      <c r="BF60" s="43" t="e">
        <f t="shared" si="266"/>
        <v>#REF!</v>
      </c>
      <c r="BG60" s="43">
        <f t="shared" si="267"/>
        <v>3.10344827586207</v>
      </c>
      <c r="BH60" s="43" t="e">
        <f t="shared" si="268"/>
        <v>#REF!</v>
      </c>
      <c r="BI60" s="46" t="e">
        <f t="shared" si="269"/>
        <v>#REF!</v>
      </c>
      <c r="BJ60" s="43">
        <f t="shared" si="270"/>
        <v>3.47126436781609</v>
      </c>
      <c r="BK60" s="43">
        <f t="shared" si="271"/>
      </c>
      <c r="BL60" s="46" t="e">
        <f t="shared" si="272"/>
        <v>#REF!</v>
      </c>
      <c r="BM60" s="43">
        <f t="shared" si="273"/>
        <v>5.0</v>
      </c>
      <c r="BN60" s="43"/>
      <c r="BO60" s="46" t="e">
        <f t="shared" si="274"/>
        <v>#REF!</v>
      </c>
      <c r="BP60" s="43">
        <f t="shared" si="275"/>
        <v>6.0</v>
      </c>
      <c r="BQ60" s="43"/>
      <c r="BR60" s="46" t="e">
        <f t="shared" si="276"/>
        <v>#REF!</v>
      </c>
      <c r="BS60" s="43">
        <f t="shared" si="277"/>
        <v>6.0</v>
      </c>
      <c r="BT60" s="43"/>
      <c r="BU60" s="46" t="e">
        <f t="shared" si="278"/>
        <v>#REF!</v>
      </c>
      <c r="BV60" s="43">
        <f t="shared" si="279"/>
        <v>6.0</v>
      </c>
      <c r="BW60" s="43"/>
      <c r="BX60" s="46" t="e">
        <f t="shared" si="280"/>
        <v>#REF!</v>
      </c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  <c r="CN60" s="43"/>
      <c r="CO60" s="43"/>
      <c r="CP60" s="43"/>
      <c r="CQ60" s="43"/>
      <c r="CR60" s="43"/>
      <c r="CS60" s="43"/>
      <c r="CT60" s="43"/>
      <c r="CU60" s="43"/>
      <c r="CV60" s="43"/>
      <c r="CW60" s="43"/>
      <c r="CX60" s="43"/>
      <c r="AMF60" s="47"/>
      <c r="AMG60" s="47"/>
      <c r="AMH60" s="47"/>
      <c r="AMI60" s="47"/>
      <c r="AMJ60" s="47"/>
    </row>
    <row r="61" ht="14.0">
      <c r="A61" s="37" t="s">
        <v>32</v>
      </c>
      <c r="B61" s="37" t="s">
        <v>110</v>
      </c>
      <c r="C61" s="37" t="s">
        <v>111</v>
      </c>
      <c r="D61" s="38" t="s">
        <v>112</v>
      </c>
      <c r="E61" s="37">
        <v>0.0</v>
      </c>
      <c r="F61" s="37">
        <v>0.0</v>
      </c>
      <c r="G61" s="37">
        <v>0.0</v>
      </c>
      <c r="H61" s="37">
        <v>0.0</v>
      </c>
      <c r="I61" s="37">
        <v>0.0</v>
      </c>
      <c r="J61" s="37">
        <v>0.0</v>
      </c>
      <c r="K61" s="37">
        <v>0.0</v>
      </c>
      <c r="L61" s="37">
        <v>0.0</v>
      </c>
      <c r="M61" s="37">
        <v>0.0</v>
      </c>
      <c r="N61" s="37">
        <v>0.0</v>
      </c>
      <c r="O61" s="37">
        <v>0.0</v>
      </c>
      <c r="P61" s="37">
        <v>0.0</v>
      </c>
      <c r="Q61" s="37">
        <v>0.0</v>
      </c>
      <c r="R61" s="37">
        <v>0.0</v>
      </c>
      <c r="S61" s="37">
        <v>8.0</v>
      </c>
      <c r="T61" s="37">
        <v>26.0</v>
      </c>
      <c r="U61" s="37">
        <v>34.0</v>
      </c>
      <c r="V61" s="37">
        <v>16.0</v>
      </c>
      <c r="W61" s="37">
        <v>0.0</v>
      </c>
      <c r="X61" s="37">
        <v>26.0</v>
      </c>
      <c r="Y61" s="37">
        <v>38.0</v>
      </c>
      <c r="Z61" s="37">
        <v>7.0</v>
      </c>
      <c r="AA61" s="37">
        <v>17.0</v>
      </c>
      <c r="AB61" s="37">
        <v>17.0</v>
      </c>
      <c r="AC61" s="37">
        <v>18.0</v>
      </c>
      <c r="AD61" s="37">
        <v>21.0</v>
      </c>
      <c r="AE61" s="37">
        <v>24.0</v>
      </c>
      <c r="AF61" s="37">
        <v>18.0</v>
      </c>
      <c r="AG61" s="37">
        <v>13.0</v>
      </c>
      <c r="AH61" s="37">
        <v>0.0</v>
      </c>
      <c r="AI61" s="37">
        <v>0.0</v>
      </c>
      <c r="AJ61" s="37">
        <v>3.0</v>
      </c>
      <c r="AK61" s="37">
        <v>8.0</v>
      </c>
      <c r="AL61" s="37">
        <v>14.0</v>
      </c>
      <c r="AM61" s="37">
        <v>8.0</v>
      </c>
      <c r="AN61" s="37">
        <v>5.0</v>
      </c>
      <c r="AO61" s="39">
        <f t="shared" si="3"/>
        <v>132.0</v>
      </c>
      <c r="AP61" s="39">
        <f t="shared" si="4"/>
        <v>38.0</v>
      </c>
      <c r="AQ61" s="39">
        <f t="shared" si="5"/>
        <v>41.8</v>
      </c>
      <c r="AR61" s="48">
        <v>5.0</v>
      </c>
      <c r="AS61" s="48">
        <v>5.0</v>
      </c>
      <c r="AT61" s="48">
        <v>6.0</v>
      </c>
      <c r="AU61" s="48">
        <v>7.0</v>
      </c>
      <c r="AV61" s="48">
        <v>7.0</v>
      </c>
      <c r="AW61" s="48">
        <v>7.0</v>
      </c>
      <c r="AX61" s="41">
        <f t="shared" si="12"/>
        <v>37.0</v>
      </c>
      <c r="AY61" s="41" t="e">
        <f t="shared" si="13"/>
        <v>#REF!</v>
      </c>
      <c r="AZ61" s="42"/>
      <c r="BA61" s="43"/>
      <c r="BB61" s="39"/>
      <c r="BC61" s="43"/>
      <c r="BD61" s="44"/>
      <c r="BE61" s="45"/>
      <c r="BF61" s="43"/>
      <c r="BG61" s="43"/>
      <c r="BH61" s="43"/>
      <c r="BI61" s="46"/>
      <c r="BJ61" s="43"/>
      <c r="BK61" s="43"/>
      <c r="BL61" s="46"/>
      <c r="BM61" s="43"/>
      <c r="BN61" s="43"/>
      <c r="BO61" s="46"/>
      <c r="BP61" s="43"/>
      <c r="BQ61" s="43"/>
      <c r="BR61" s="46"/>
      <c r="BS61" s="43"/>
      <c r="BT61" s="43"/>
      <c r="BU61" s="46"/>
      <c r="BV61" s="43"/>
      <c r="BW61" s="43"/>
      <c r="BX61" s="46"/>
      <c r="BY61" s="43"/>
      <c r="BZ61" s="43"/>
      <c r="CA61" s="43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  <c r="CR61" s="43"/>
      <c r="CS61" s="43"/>
      <c r="CT61" s="43"/>
      <c r="CU61" s="43"/>
      <c r="CV61" s="43"/>
      <c r="CW61" s="43"/>
      <c r="CX61" s="43"/>
      <c r="AMF61" s="47"/>
      <c r="AMG61" s="47"/>
      <c r="AMH61" s="47"/>
      <c r="AMI61" s="47"/>
    </row>
    <row r="62" ht="14.0">
      <c r="A62" s="37" t="s">
        <v>32</v>
      </c>
      <c r="B62" s="37" t="s">
        <v>110</v>
      </c>
      <c r="C62" s="55" t="s">
        <v>113</v>
      </c>
      <c r="D62" s="38" t="s">
        <v>114</v>
      </c>
      <c r="E62" s="37">
        <v>0.0</v>
      </c>
      <c r="F62" s="37">
        <v>0.0</v>
      </c>
      <c r="G62" s="37">
        <v>0.0</v>
      </c>
      <c r="H62" s="37">
        <v>0.0</v>
      </c>
      <c r="I62" s="37">
        <v>0.0</v>
      </c>
      <c r="J62" s="37">
        <v>0.0</v>
      </c>
      <c r="K62" s="37">
        <v>0.0</v>
      </c>
      <c r="L62" s="37">
        <v>0.0</v>
      </c>
      <c r="M62" s="37">
        <v>0.0</v>
      </c>
      <c r="N62" s="37">
        <v>0.0</v>
      </c>
      <c r="O62" s="37">
        <v>0.0</v>
      </c>
      <c r="P62" s="37">
        <v>0.0</v>
      </c>
      <c r="Q62" s="37">
        <v>0.0</v>
      </c>
      <c r="R62" s="37">
        <v>0.0</v>
      </c>
      <c r="S62" s="37">
        <v>0.0</v>
      </c>
      <c r="T62" s="37">
        <v>0.0</v>
      </c>
      <c r="U62" s="37">
        <v>0.0</v>
      </c>
      <c r="V62" s="37">
        <v>1.0</v>
      </c>
      <c r="W62" s="37">
        <v>0.0</v>
      </c>
      <c r="X62" s="37">
        <v>0.0</v>
      </c>
      <c r="Y62" s="37">
        <v>0.0</v>
      </c>
      <c r="Z62" s="37">
        <v>0.0</v>
      </c>
      <c r="AA62" s="37">
        <v>0.0</v>
      </c>
      <c r="AB62" s="37">
        <v>0.0</v>
      </c>
      <c r="AC62" s="37">
        <v>1.0</v>
      </c>
      <c r="AD62" s="37">
        <v>0.0</v>
      </c>
      <c r="AE62" s="37">
        <v>0.0</v>
      </c>
      <c r="AF62" s="37">
        <v>0.0</v>
      </c>
      <c r="AG62" s="37">
        <v>0.0</v>
      </c>
      <c r="AH62" s="37">
        <v>0.0</v>
      </c>
      <c r="AI62" s="37">
        <v>0.0</v>
      </c>
      <c r="AJ62" s="37">
        <v>0.0</v>
      </c>
      <c r="AK62" s="37">
        <v>0.0</v>
      </c>
      <c r="AL62" s="37">
        <v>0.0</v>
      </c>
      <c r="AM62" s="37">
        <v>0.0</v>
      </c>
      <c r="AN62" s="37">
        <v>0.0</v>
      </c>
      <c r="AO62" s="39">
        <f t="shared" si="3"/>
        <v>1.0</v>
      </c>
      <c r="AP62" s="39">
        <f t="shared" si="4"/>
        <v>0.0</v>
      </c>
      <c r="AQ62" s="39">
        <f t="shared" si="5"/>
        <v>0.0</v>
      </c>
      <c r="AR62" s="40">
        <f>AR61</f>
        <v>5.0</v>
      </c>
      <c r="AS62" s="40">
        <f>AS61</f>
        <v>5.0</v>
      </c>
      <c r="AT62" s="40">
        <f>AT61</f>
        <v>6.0</v>
      </c>
      <c r="AU62" s="40">
        <f>AU61</f>
        <v>7.0</v>
      </c>
      <c r="AV62" s="40">
        <f>AV61</f>
        <v>7.0</v>
      </c>
      <c r="AW62" s="40">
        <f>AW61</f>
        <v>7.0</v>
      </c>
      <c r="AX62" s="41">
        <f t="shared" si="12"/>
        <v>37.0</v>
      </c>
      <c r="AY62" s="41" t="e">
        <f t="shared" si="13"/>
        <v>#REF!</v>
      </c>
      <c r="AZ62" s="42"/>
      <c r="BA62" s="43"/>
      <c r="BB62" s="39" t="e">
        <f t="shared" ref="BB62:BB63" si="320">AY62+AZ62+BA62-AX62</f>
        <v>#REF!</v>
      </c>
      <c r="BC62" s="43">
        <f>VLOOKUP(C62,MOQ,3,FALSE())</f>
        <v>60.0</v>
      </c>
      <c r="BD62" s="44"/>
      <c r="BE62" s="45"/>
      <c r="BF62" s="43" t="e">
        <f t="shared" ref="BF62:BF63" si="322">AY62</f>
        <v>#REF!</v>
      </c>
      <c r="BG62" s="43">
        <f t="shared" ref="BG62:BG63" si="323">AR62</f>
        <v>5.0</v>
      </c>
      <c r="BH62" s="43">
        <f t="shared" ref="BH62:BH63" si="324">AZ62</f>
      </c>
      <c r="BI62" s="46" t="e">
        <f t="shared" ref="BI62:BI63" si="325">BF62+BH62-BG62</f>
        <v>#REF!</v>
      </c>
      <c r="BJ62" s="43">
        <f t="shared" ref="BJ62:BJ63" si="326">AS62</f>
        <v>5.0</v>
      </c>
      <c r="BK62" s="43">
        <f t="shared" ref="BK62:BK63" si="327">BA62</f>
      </c>
      <c r="BL62" s="46" t="e">
        <f t="shared" ref="BL62:BL63" si="328">BI62+BK62-BJ62</f>
        <v>#REF!</v>
      </c>
      <c r="BM62" s="43">
        <f t="shared" ref="BM62:BM63" si="329">AT62</f>
        <v>6.0</v>
      </c>
      <c r="BN62" s="43"/>
      <c r="BO62" s="46" t="e">
        <f t="shared" ref="BO62:BO63" si="330">BL62+BN62-BM62</f>
        <v>#REF!</v>
      </c>
      <c r="BP62" s="43">
        <f t="shared" ref="BP62:BP63" si="331">AU62</f>
        <v>7.0</v>
      </c>
      <c r="BQ62" s="43"/>
      <c r="BR62" s="46" t="e">
        <f t="shared" ref="BR62:BR63" si="332">BO62+BQ62-BP62</f>
        <v>#REF!</v>
      </c>
      <c r="BS62" s="43">
        <f t="shared" ref="BS62:BS63" si="333">AV62</f>
        <v>7.0</v>
      </c>
      <c r="BT62" s="43"/>
      <c r="BU62" s="46" t="e">
        <f t="shared" ref="BU62:BU63" si="334">BR62+BT62-BS62</f>
        <v>#REF!</v>
      </c>
      <c r="BV62" s="43">
        <f t="shared" ref="BV62:BV63" si="335">AW62</f>
        <v>7.0</v>
      </c>
      <c r="BW62" s="43"/>
      <c r="BX62" s="58" t="e">
        <f t="shared" ref="BX62:BX63" si="336">BU62+BW62-BV62</f>
        <v>#REF!</v>
      </c>
      <c r="BY62" s="43"/>
      <c r="BZ62" s="43"/>
      <c r="CA62" s="43"/>
      <c r="CB62" s="43"/>
      <c r="CC62" s="43"/>
      <c r="CD62" s="43"/>
      <c r="CE62" s="43"/>
      <c r="CF62" s="43"/>
      <c r="CG62" s="43"/>
      <c r="CH62" s="43"/>
      <c r="CI62" s="43"/>
      <c r="CJ62" s="43"/>
      <c r="CK62" s="43"/>
      <c r="CL62" s="43"/>
      <c r="CM62" s="43"/>
      <c r="CN62" s="43"/>
      <c r="CO62" s="43"/>
      <c r="CP62" s="43"/>
      <c r="CQ62" s="43"/>
      <c r="CR62" s="43"/>
      <c r="CS62" s="43"/>
      <c r="CT62" s="43"/>
      <c r="CU62" s="43"/>
      <c r="CV62" s="43"/>
      <c r="CW62" s="43"/>
      <c r="CX62" s="43"/>
      <c r="AMF62" s="47"/>
      <c r="AMG62" s="47"/>
      <c r="AMH62" s="47"/>
      <c r="AMI62" s="47"/>
      <c r="AMJ62" s="47"/>
    </row>
    <row r="63" ht="14.0">
      <c r="A63" s="37" t="s">
        <v>32</v>
      </c>
      <c r="B63" s="37" t="s">
        <v>110</v>
      </c>
      <c r="C63" s="37" t="s">
        <v>115</v>
      </c>
      <c r="D63" s="38">
        <v>34101.0</v>
      </c>
      <c r="E63" s="37">
        <v>0.0</v>
      </c>
      <c r="F63" s="37">
        <v>0.0</v>
      </c>
      <c r="G63" s="37">
        <v>0.0</v>
      </c>
      <c r="H63" s="37">
        <v>0.0</v>
      </c>
      <c r="I63" s="37">
        <v>0.0</v>
      </c>
      <c r="J63" s="37">
        <v>0.0</v>
      </c>
      <c r="K63" s="37">
        <v>0.0</v>
      </c>
      <c r="L63" s="37">
        <v>0.0</v>
      </c>
      <c r="M63" s="37">
        <v>0.0</v>
      </c>
      <c r="N63" s="37">
        <v>0.0</v>
      </c>
      <c r="O63" s="37">
        <v>0.0</v>
      </c>
      <c r="P63" s="37">
        <v>0.0</v>
      </c>
      <c r="Q63" s="37">
        <v>0.0</v>
      </c>
      <c r="R63" s="37">
        <v>0.0</v>
      </c>
      <c r="S63" s="37">
        <v>6.0</v>
      </c>
      <c r="T63" s="37">
        <v>84.0</v>
      </c>
      <c r="U63" s="37">
        <v>46.0</v>
      </c>
      <c r="V63" s="37">
        <v>45.0</v>
      </c>
      <c r="W63" s="37">
        <v>0.0</v>
      </c>
      <c r="X63" s="37">
        <v>243.0</v>
      </c>
      <c r="Y63" s="37">
        <v>156.0</v>
      </c>
      <c r="Z63" s="37">
        <v>133.0</v>
      </c>
      <c r="AA63" s="37">
        <v>162.0</v>
      </c>
      <c r="AB63" s="37">
        <v>123.0</v>
      </c>
      <c r="AC63" s="37">
        <v>180.0</v>
      </c>
      <c r="AD63" s="37">
        <v>168.0</v>
      </c>
      <c r="AE63" s="37">
        <v>313.0</v>
      </c>
      <c r="AF63" s="37">
        <v>576.0</v>
      </c>
      <c r="AG63" s="37">
        <v>473.0</v>
      </c>
      <c r="AH63" s="37">
        <v>0.0</v>
      </c>
      <c r="AI63" s="37">
        <v>0.0</v>
      </c>
      <c r="AJ63" s="37">
        <v>240.0</v>
      </c>
      <c r="AK63" s="37">
        <v>276.0</v>
      </c>
      <c r="AL63" s="37">
        <v>229.0</v>
      </c>
      <c r="AM63" s="37">
        <v>240.0</v>
      </c>
      <c r="AN63" s="37">
        <v>159.0</v>
      </c>
      <c r="AO63" s="39">
        <f t="shared" si="3"/>
        <v>2854.0</v>
      </c>
      <c r="AP63" s="39">
        <f t="shared" si="4"/>
        <v>1144.0</v>
      </c>
      <c r="AQ63" s="39">
        <f t="shared" si="5"/>
        <v>1258.4</v>
      </c>
      <c r="AR63" s="59">
        <f>AB63*1.1+12*$AR$61</f>
        <v>195.3</v>
      </c>
      <c r="AS63" s="59">
        <f>AC63*1.1+12*$AS$61</f>
        <v>258.0</v>
      </c>
      <c r="AT63" s="59">
        <f>AD63*1.1+12*$AT$61</f>
        <v>256.8</v>
      </c>
      <c r="AU63" s="59">
        <f>AE63*1.1+12*$AU$61</f>
        <v>428.3</v>
      </c>
      <c r="AV63" s="59">
        <f>AF63*1.1+12*$AV$61</f>
        <v>717.6</v>
      </c>
      <c r="AW63" s="59">
        <f>AG63*1.1+12*$AW$61</f>
        <v>604.3</v>
      </c>
      <c r="AX63" s="41">
        <f t="shared" si="12"/>
        <v>2460.3</v>
      </c>
      <c r="AY63" s="41" t="e">
        <f t="shared" si="13"/>
        <v>#REF!</v>
      </c>
      <c r="AZ63" s="42" t="e">
        <f>VLOOKUP(C63,IFUKJULY,3,false)</f>
        <v>#REF!</v>
      </c>
      <c r="BA63" s="43"/>
      <c r="BB63" s="39" t="e">
        <f t="shared" si="320"/>
        <v>#REF!</v>
      </c>
      <c r="BC63" s="43">
        <f>VLOOKUP(C63,MOQ,3,FALSE())</f>
      </c>
      <c r="BD63" s="49" t="e">
        <f>BB63*-1</f>
        <v>#REF!</v>
      </c>
      <c r="BE63" s="45" t="s">
        <v>8</v>
      </c>
      <c r="BF63" s="43" t="e">
        <f t="shared" si="322"/>
        <v>#REF!</v>
      </c>
      <c r="BG63" s="43">
        <f t="shared" si="323"/>
        <v>195.3</v>
      </c>
      <c r="BH63" s="43" t="e">
        <f t="shared" si="324"/>
        <v>#REF!</v>
      </c>
      <c r="BI63" s="46" t="e">
        <f t="shared" si="325"/>
        <v>#REF!</v>
      </c>
      <c r="BJ63" s="43">
        <f t="shared" si="326"/>
        <v>258.0</v>
      </c>
      <c r="BK63" s="43">
        <f t="shared" si="327"/>
      </c>
      <c r="BL63" s="46" t="e">
        <f t="shared" si="328"/>
        <v>#REF!</v>
      </c>
      <c r="BM63" s="43">
        <f t="shared" si="329"/>
        <v>256.8</v>
      </c>
      <c r="BN63" s="43"/>
      <c r="BO63" s="46" t="e">
        <f t="shared" si="330"/>
        <v>#REF!</v>
      </c>
      <c r="BP63" s="43">
        <f t="shared" si="331"/>
        <v>428.3</v>
      </c>
      <c r="BQ63" s="43"/>
      <c r="BR63" s="46" t="e">
        <f t="shared" si="332"/>
        <v>#REF!</v>
      </c>
      <c r="BS63" s="43">
        <f t="shared" si="333"/>
        <v>717.6</v>
      </c>
      <c r="BT63" s="43"/>
      <c r="BU63" s="46" t="e">
        <f t="shared" si="334"/>
        <v>#REF!</v>
      </c>
      <c r="BV63" s="43">
        <f t="shared" si="335"/>
        <v>604.3</v>
      </c>
      <c r="BW63" s="43"/>
      <c r="BX63" s="46" t="e">
        <f t="shared" si="336"/>
        <v>#REF!</v>
      </c>
      <c r="BY63" s="43"/>
      <c r="BZ63" s="42" t="e">
        <f>BU63*-1</f>
        <v>#REF!</v>
      </c>
      <c r="CA63" s="52" t="e">
        <f>BZ63/6</f>
        <v>#REF!</v>
      </c>
      <c r="CB63" s="42" t="e">
        <f>ROUNDUP(CA63,0)</f>
        <v>#REF!</v>
      </c>
      <c r="CC63" s="53" t="e">
        <f>CB63*6</f>
        <v>#REF!</v>
      </c>
      <c r="CD63" s="43"/>
      <c r="CE63" s="43"/>
      <c r="CF63" s="43"/>
      <c r="CG63" s="43"/>
      <c r="CH63" s="43"/>
      <c r="CI63" s="43"/>
      <c r="CJ63" s="43"/>
      <c r="CK63" s="43"/>
      <c r="CL63" s="43"/>
      <c r="CM63" s="43"/>
      <c r="CN63" s="43"/>
      <c r="CO63" s="43"/>
      <c r="CP63" s="43"/>
      <c r="CQ63" s="43"/>
      <c r="CR63" s="43"/>
      <c r="CS63" s="43"/>
      <c r="CT63" s="43"/>
      <c r="CU63" s="43"/>
      <c r="CV63" s="43"/>
      <c r="CW63" s="43"/>
      <c r="CX63" s="43"/>
      <c r="CY63" s="43"/>
      <c r="CZ63" s="43"/>
      <c r="DA63" s="43"/>
      <c r="DB63" s="43"/>
      <c r="DC63" s="43"/>
      <c r="AMF63" s="47"/>
      <c r="AMG63" s="47"/>
      <c r="AMH63" s="47"/>
      <c r="AMI63" s="47"/>
    </row>
    <row r="64" ht="14.0">
      <c r="A64" s="37" t="s">
        <v>32</v>
      </c>
      <c r="B64" s="37" t="s">
        <v>110</v>
      </c>
      <c r="C64" s="37" t="s">
        <v>116</v>
      </c>
      <c r="D64" s="38" t="s">
        <v>117</v>
      </c>
      <c r="E64" s="37">
        <v>4.0</v>
      </c>
      <c r="F64" s="37">
        <v>13.0</v>
      </c>
      <c r="G64" s="37">
        <v>10.0</v>
      </c>
      <c r="H64" s="37">
        <v>12.0</v>
      </c>
      <c r="I64" s="37">
        <v>3.0</v>
      </c>
      <c r="J64" s="37">
        <v>10.0</v>
      </c>
      <c r="K64" s="37">
        <v>4.0</v>
      </c>
      <c r="L64" s="37">
        <v>19.0</v>
      </c>
      <c r="M64" s="37">
        <v>6.0</v>
      </c>
      <c r="N64" s="37">
        <v>5.0</v>
      </c>
      <c r="O64" s="37">
        <v>4.0</v>
      </c>
      <c r="P64" s="37">
        <v>8.0</v>
      </c>
      <c r="Q64" s="37">
        <v>5.0</v>
      </c>
      <c r="R64" s="37">
        <v>9.0</v>
      </c>
      <c r="S64" s="37">
        <v>15.0</v>
      </c>
      <c r="T64" s="37">
        <v>10.0</v>
      </c>
      <c r="U64" s="37">
        <v>5.0</v>
      </c>
      <c r="V64" s="37">
        <v>5.0</v>
      </c>
      <c r="W64" s="37">
        <v>1.0</v>
      </c>
      <c r="X64" s="37">
        <v>8.0</v>
      </c>
      <c r="Y64" s="37">
        <v>11.0</v>
      </c>
      <c r="Z64" s="37">
        <v>3.0</v>
      </c>
      <c r="AA64" s="37">
        <v>3.0</v>
      </c>
      <c r="AB64" s="37">
        <v>4.0</v>
      </c>
      <c r="AC64" s="37">
        <v>3.0</v>
      </c>
      <c r="AD64" s="37">
        <v>8.0</v>
      </c>
      <c r="AE64" s="37">
        <v>7.0</v>
      </c>
      <c r="AF64" s="37">
        <v>7.0</v>
      </c>
      <c r="AG64" s="37">
        <v>7.0</v>
      </c>
      <c r="AH64" s="37">
        <v>2.0</v>
      </c>
      <c r="AI64" s="37">
        <v>4.0</v>
      </c>
      <c r="AJ64" s="37">
        <v>5.0</v>
      </c>
      <c r="AK64" s="37">
        <v>0.0</v>
      </c>
      <c r="AL64" s="37">
        <v>0.0</v>
      </c>
      <c r="AM64" s="37">
        <v>5.0</v>
      </c>
      <c r="AN64" s="37">
        <v>5.0</v>
      </c>
      <c r="AO64" s="39">
        <f t="shared" si="3"/>
        <v>53.0</v>
      </c>
      <c r="AP64" s="39">
        <f t="shared" si="4"/>
        <v>19.0</v>
      </c>
      <c r="AQ64" s="39">
        <f t="shared" si="5"/>
        <v>20.9</v>
      </c>
      <c r="AR64" s="48">
        <f>AQ64*$AR$4/$AQ$4</f>
        <v>2.62068965517241</v>
      </c>
      <c r="AS64" s="48">
        <f>AQ64*$AS$4/$AQ$4</f>
        <v>3.49425287356321</v>
      </c>
      <c r="AT64" s="48">
        <v>3.0</v>
      </c>
      <c r="AU64" s="48">
        <v>4.0</v>
      </c>
      <c r="AV64" s="48">
        <v>4.0</v>
      </c>
      <c r="AW64" s="48">
        <v>4.0</v>
      </c>
      <c r="AX64" s="41">
        <f t="shared" si="12"/>
        <v>21.1149425287356</v>
      </c>
      <c r="AY64" s="41" t="e">
        <f t="shared" si="13"/>
        <v>#REF!</v>
      </c>
      <c r="AZ64" s="42"/>
      <c r="BA64" s="42"/>
      <c r="BB64" s="39"/>
      <c r="BC64" s="43"/>
      <c r="BD64" s="49"/>
      <c r="BE64" s="45"/>
      <c r="BF64" s="43"/>
      <c r="BG64" s="43"/>
      <c r="BH64" s="43"/>
      <c r="BI64" s="46"/>
      <c r="BJ64" s="43"/>
      <c r="BK64" s="43"/>
      <c r="BL64" s="46"/>
      <c r="BM64" s="43"/>
      <c r="BN64" s="43"/>
      <c r="BO64" s="46"/>
      <c r="BP64" s="43"/>
      <c r="BQ64" s="43"/>
      <c r="BR64" s="46"/>
      <c r="BS64" s="43"/>
      <c r="BT64" s="43"/>
      <c r="BU64" s="46"/>
      <c r="BV64" s="43"/>
      <c r="BW64" s="43"/>
      <c r="BX64" s="46"/>
      <c r="BY64" s="42"/>
      <c r="BZ64" s="42"/>
      <c r="CA64" s="42"/>
      <c r="CB64" s="42"/>
      <c r="CC64" s="42"/>
      <c r="CD64" s="42"/>
      <c r="CE64" s="42"/>
      <c r="CF64" s="42"/>
      <c r="CG64" s="42"/>
      <c r="CH64" s="42"/>
      <c r="CI64" s="42"/>
      <c r="CJ64" s="42"/>
      <c r="CK64" s="42"/>
      <c r="CL64" s="42"/>
      <c r="CM64" s="42"/>
      <c r="CN64" s="42"/>
      <c r="CO64" s="42"/>
      <c r="CP64" s="42"/>
      <c r="CQ64" s="42"/>
      <c r="CR64" s="42"/>
      <c r="CS64" s="42"/>
      <c r="CT64" s="42"/>
      <c r="CU64" s="42"/>
      <c r="CV64" s="42"/>
      <c r="CW64" s="42"/>
      <c r="CX64" s="42"/>
      <c r="AMF64" s="50"/>
      <c r="AMG64" s="50"/>
      <c r="AMH64" s="50"/>
      <c r="AMI64" s="50"/>
    </row>
    <row r="65" ht="14.0">
      <c r="A65" s="37" t="s">
        <v>32</v>
      </c>
      <c r="B65" s="37" t="s">
        <v>45</v>
      </c>
      <c r="C65" s="37" t="s">
        <v>118</v>
      </c>
      <c r="D65" s="38" t="s">
        <v>119</v>
      </c>
      <c r="E65" s="37">
        <v>1.0</v>
      </c>
      <c r="F65" s="37">
        <v>0.0</v>
      </c>
      <c r="G65" s="37">
        <v>0.0</v>
      </c>
      <c r="H65" s="37">
        <v>0.0</v>
      </c>
      <c r="I65" s="37">
        <v>0.0</v>
      </c>
      <c r="J65" s="37">
        <v>0.0</v>
      </c>
      <c r="K65" s="37">
        <v>0.0</v>
      </c>
      <c r="L65" s="37">
        <v>1.0</v>
      </c>
      <c r="M65" s="37">
        <v>1.0</v>
      </c>
      <c r="N65" s="37">
        <v>0.0</v>
      </c>
      <c r="O65" s="37">
        <v>0.0</v>
      </c>
      <c r="P65" s="37">
        <v>2.0</v>
      </c>
      <c r="Q65" s="37">
        <v>0.0</v>
      </c>
      <c r="R65" s="37">
        <v>1.0</v>
      </c>
      <c r="S65" s="37">
        <v>0.0</v>
      </c>
      <c r="T65" s="37">
        <v>0.0</v>
      </c>
      <c r="U65" s="37">
        <v>0.0</v>
      </c>
      <c r="V65" s="37">
        <v>0.0</v>
      </c>
      <c r="W65" s="37">
        <v>0.0</v>
      </c>
      <c r="X65" s="37">
        <v>0.0</v>
      </c>
      <c r="Y65" s="37">
        <v>3.0</v>
      </c>
      <c r="Z65" s="37">
        <v>5.0</v>
      </c>
      <c r="AA65" s="37">
        <v>0.0</v>
      </c>
      <c r="AB65" s="37">
        <v>1.0</v>
      </c>
      <c r="AC65" s="37">
        <v>0.0</v>
      </c>
      <c r="AD65" s="37">
        <v>0.0</v>
      </c>
      <c r="AE65" s="37">
        <v>0.0</v>
      </c>
      <c r="AF65" s="37">
        <v>0.0</v>
      </c>
      <c r="AG65" s="37">
        <v>0.0</v>
      </c>
      <c r="AH65" s="37">
        <v>0.0</v>
      </c>
      <c r="AI65" s="37">
        <v>0.0</v>
      </c>
      <c r="AJ65" s="37">
        <v>3.0</v>
      </c>
      <c r="AK65" s="37">
        <v>4.0</v>
      </c>
      <c r="AL65" s="37">
        <v>0.0</v>
      </c>
      <c r="AM65" s="37">
        <v>0.0</v>
      </c>
      <c r="AN65" s="37">
        <v>0.0</v>
      </c>
      <c r="AO65" s="39">
        <f t="shared" si="3"/>
        <v>7.0</v>
      </c>
      <c r="AP65" s="39">
        <f t="shared" si="4"/>
        <v>7.0</v>
      </c>
      <c r="AQ65" s="39">
        <f t="shared" si="5"/>
        <v>7.7</v>
      </c>
      <c r="AR65" s="40">
        <f>AR64</f>
        <v>2.62068965517241</v>
      </c>
      <c r="AS65" s="40">
        <f>AS64</f>
        <v>3.49425287356321</v>
      </c>
      <c r="AT65" s="40">
        <f>AT64</f>
        <v>3.0</v>
      </c>
      <c r="AU65" s="40">
        <f>AU64</f>
        <v>4.0</v>
      </c>
      <c r="AV65" s="40">
        <f>AV64</f>
        <v>4.0</v>
      </c>
      <c r="AW65" s="40">
        <f>AW64</f>
        <v>4.0</v>
      </c>
      <c r="AX65" s="41">
        <f t="shared" si="12"/>
        <v>21.1149425287356</v>
      </c>
      <c r="AY65" s="41" t="e">
        <f t="shared" si="13"/>
        <v>#REF!</v>
      </c>
      <c r="AZ65" s="42"/>
      <c r="BA65" s="42"/>
      <c r="BB65" s="39" t="e">
        <f t="shared" ref="BB65:BB78" si="357">AY65+AZ65+BA65-AX65</f>
        <v>#REF!</v>
      </c>
      <c r="BC65" s="43">
        <f>VLOOKUP(C65,MOQ,3,FALSE())</f>
      </c>
      <c r="BD65" s="44">
        <v>21.0</v>
      </c>
      <c r="BE65" s="45" t="s">
        <v>73</v>
      </c>
      <c r="BF65" s="43" t="e">
        <f t="shared" ref="BF65:BF78" si="359">AY65</f>
        <v>#REF!</v>
      </c>
      <c r="BG65" s="43">
        <f t="shared" ref="BG65:BG78" si="360">AR65</f>
        <v>2.62068965517241</v>
      </c>
      <c r="BH65" s="43">
        <f t="shared" ref="BH65:BH78" si="361">AZ65</f>
      </c>
      <c r="BI65" s="46" t="e">
        <f t="shared" ref="BI65:BI78" si="362">BF65+BH65-BG65</f>
        <v>#REF!</v>
      </c>
      <c r="BJ65" s="43">
        <f t="shared" ref="BJ65:BJ78" si="363">AS65</f>
        <v>3.49425287356321</v>
      </c>
      <c r="BK65" s="43">
        <f t="shared" ref="BK65:BK78" si="364">BA65</f>
      </c>
      <c r="BL65" s="46" t="e">
        <f t="shared" ref="BL65:BL78" si="365">BI65+BK65-BJ65</f>
        <v>#REF!</v>
      </c>
      <c r="BM65" s="43">
        <f t="shared" ref="BM65:BM78" si="366">AT65</f>
        <v>3.0</v>
      </c>
      <c r="BN65" s="43"/>
      <c r="BO65" s="46" t="e">
        <f t="shared" ref="BO65:BO78" si="367">BL65+BN65-BM65</f>
        <v>#REF!</v>
      </c>
      <c r="BP65" s="43">
        <f t="shared" ref="BP65:BP78" si="368">AU65</f>
        <v>4.0</v>
      </c>
      <c r="BQ65" s="43"/>
      <c r="BR65" s="46" t="e">
        <f t="shared" ref="BR65:BR78" si="369">BO65+BQ65-BP65</f>
        <v>#REF!</v>
      </c>
      <c r="BS65" s="43">
        <f t="shared" ref="BS65:BS78" si="370">AV65</f>
        <v>4.0</v>
      </c>
      <c r="BT65" s="43"/>
      <c r="BU65" s="46" t="e">
        <f t="shared" ref="BU65:BU78" si="371">BR65+BT65-BS65</f>
        <v>#REF!</v>
      </c>
      <c r="BV65" s="43">
        <f t="shared" ref="BV65:BV78" si="372">AW65</f>
        <v>4.0</v>
      </c>
      <c r="BW65" s="43"/>
      <c r="BX65" s="46" t="e">
        <f t="shared" ref="BX65:BX78" si="373">BU65+BW65-BV65</f>
        <v>#REF!</v>
      </c>
      <c r="BY65" s="43"/>
      <c r="BZ65" s="42" t="e">
        <f t="shared" ref="BZ65:BZ67" si="374">BU65*-1</f>
        <v>#REF!</v>
      </c>
      <c r="CA65" s="52" t="e">
        <f t="shared" ref="CA65:CA67" si="375">BZ65/6</f>
        <v>#REF!</v>
      </c>
      <c r="CB65" s="42" t="e">
        <f t="shared" ref="CB65:CB67" si="376">ROUNDUP(CA65,0)</f>
        <v>#REF!</v>
      </c>
      <c r="CC65" s="53" t="e">
        <f t="shared" ref="CC65:CC67" si="377">CB65*6</f>
        <v>#REF!</v>
      </c>
      <c r="CD65" s="43"/>
      <c r="CE65" s="43"/>
      <c r="CF65" s="43"/>
      <c r="CG65" s="43"/>
      <c r="CH65" s="43"/>
      <c r="CI65" s="43"/>
      <c r="CJ65" s="43"/>
      <c r="CK65" s="43"/>
      <c r="CL65" s="43"/>
      <c r="CM65" s="43"/>
      <c r="CN65" s="43"/>
      <c r="CO65" s="43"/>
      <c r="CP65" s="43"/>
      <c r="CQ65" s="43"/>
      <c r="CR65" s="43"/>
      <c r="CS65" s="43"/>
      <c r="CT65" s="43"/>
      <c r="CU65" s="43"/>
      <c r="CV65" s="43"/>
      <c r="CW65" s="43"/>
      <c r="CX65" s="43"/>
      <c r="CY65" s="43"/>
      <c r="CZ65" s="43"/>
      <c r="DA65" s="43"/>
      <c r="DB65" s="43"/>
      <c r="DC65" s="43"/>
      <c r="AMF65" s="47"/>
      <c r="AMG65" s="47"/>
      <c r="AMH65" s="47"/>
      <c r="AMI65" s="47"/>
    </row>
    <row r="66" ht="14.0">
      <c r="A66" s="37" t="s">
        <v>32</v>
      </c>
      <c r="B66" s="37" t="s">
        <v>110</v>
      </c>
      <c r="C66" s="55" t="s">
        <v>120</v>
      </c>
      <c r="D66" s="38">
        <v>43101.0</v>
      </c>
      <c r="E66" s="37">
        <v>36.0</v>
      </c>
      <c r="F66" s="37">
        <v>18.0</v>
      </c>
      <c r="G66" s="37">
        <v>21.0</v>
      </c>
      <c r="H66" s="37">
        <v>12.0</v>
      </c>
      <c r="I66" s="37">
        <v>30.0</v>
      </c>
      <c r="J66" s="37">
        <v>39.0</v>
      </c>
      <c r="K66" s="37">
        <v>18.0</v>
      </c>
      <c r="L66" s="37">
        <v>18.0</v>
      </c>
      <c r="M66" s="37">
        <v>27.0</v>
      </c>
      <c r="N66" s="37">
        <v>18.0</v>
      </c>
      <c r="O66" s="37">
        <v>21.0</v>
      </c>
      <c r="P66" s="37">
        <v>24.0</v>
      </c>
      <c r="Q66" s="37">
        <v>15.0</v>
      </c>
      <c r="R66" s="37">
        <v>34.0</v>
      </c>
      <c r="S66" s="37">
        <v>24.0</v>
      </c>
      <c r="T66" s="37">
        <v>15.0</v>
      </c>
      <c r="U66" s="37">
        <v>21.0</v>
      </c>
      <c r="V66" s="37">
        <v>42.0</v>
      </c>
      <c r="W66" s="37">
        <v>12.0</v>
      </c>
      <c r="X66" s="37">
        <v>30.0</v>
      </c>
      <c r="Y66" s="37">
        <v>39.0</v>
      </c>
      <c r="Z66" s="37">
        <v>42.0</v>
      </c>
      <c r="AA66" s="37">
        <v>22.0</v>
      </c>
      <c r="AB66" s="37">
        <v>21.0</v>
      </c>
      <c r="AC66" s="37">
        <v>36.0</v>
      </c>
      <c r="AD66" s="37">
        <v>33.0</v>
      </c>
      <c r="AE66" s="37">
        <v>12.0</v>
      </c>
      <c r="AF66" s="37">
        <v>30.0</v>
      </c>
      <c r="AG66" s="37">
        <v>36.0</v>
      </c>
      <c r="AH66" s="37">
        <v>27.0</v>
      </c>
      <c r="AI66" s="37">
        <v>27.0</v>
      </c>
      <c r="AJ66" s="37">
        <v>24.0</v>
      </c>
      <c r="AK66" s="37">
        <v>9.0</v>
      </c>
      <c r="AL66" s="37">
        <v>6.0</v>
      </c>
      <c r="AM66" s="37">
        <v>42.0</v>
      </c>
      <c r="AN66" s="37">
        <v>24.0</v>
      </c>
      <c r="AO66" s="39">
        <f t="shared" si="3"/>
        <v>306.0</v>
      </c>
      <c r="AP66" s="39">
        <f t="shared" si="4"/>
        <v>132.0</v>
      </c>
      <c r="AQ66" s="39">
        <f t="shared" si="5"/>
        <v>145.2</v>
      </c>
      <c r="AR66" s="51">
        <f t="shared" ref="AR66:AR67" si="378">AQ66*$AR$4/$AQ$4+3*$AR$64</f>
        <v>26.0689655172413</v>
      </c>
      <c r="AS66" s="51">
        <f t="shared" ref="AS66:AS67" si="379">AQ66*$AS$4/$AQ$4+3*$AS$64</f>
        <v>34.758620689655</v>
      </c>
      <c r="AT66" s="51">
        <f t="shared" ref="AT66:AT67" si="380">AQ66*$AT$4/$AQ$4+3*$AT$64</f>
        <v>39.3448275862069</v>
      </c>
      <c r="AU66" s="51">
        <f t="shared" ref="AU66:AU67" si="381">AQ66*$AU$4/$AQ$4+3*$AU$64</f>
        <v>42.3448275862069</v>
      </c>
      <c r="AV66" s="51">
        <f t="shared" ref="AV66:AV67" si="382">AQ66*$AV$4/$AQ$4+3*$AV$64</f>
        <v>42.3448275862069</v>
      </c>
      <c r="AW66" s="51">
        <f t="shared" ref="AW66:AW67" si="383">AQ66*$AW$4/$AQ$4+3*$AW$64</f>
        <v>42.3448275862069</v>
      </c>
      <c r="AX66" s="41">
        <f t="shared" si="12"/>
        <v>227.206896551723</v>
      </c>
      <c r="AY66" s="41" t="e">
        <f t="shared" si="13"/>
        <v>#REF!</v>
      </c>
      <c r="AZ66" s="42" t="e">
        <f t="shared" ref="AZ66:AZ67" si="384">VLOOKUP(C66,IFUKJULY,3,false)</f>
        <v>#REF!</v>
      </c>
      <c r="BA66" s="43"/>
      <c r="BB66" s="39" t="e">
        <f t="shared" si="357"/>
        <v>#REF!</v>
      </c>
      <c r="BC66" s="43">
        <f>VLOOKUP(C66,MOQ,3,FALSE())</f>
      </c>
      <c r="BD66" s="49" t="e">
        <f t="shared" ref="BD66:BD68" si="385">BB66*-1</f>
        <v>#REF!</v>
      </c>
      <c r="BE66" s="45" t="s">
        <v>7</v>
      </c>
      <c r="BF66" s="43" t="e">
        <f t="shared" si="359"/>
        <v>#REF!</v>
      </c>
      <c r="BG66" s="43">
        <f t="shared" si="360"/>
        <v>26.0689655172413</v>
      </c>
      <c r="BH66" s="43" t="e">
        <f t="shared" si="361"/>
        <v>#REF!</v>
      </c>
      <c r="BI66" s="46" t="e">
        <f t="shared" si="362"/>
        <v>#REF!</v>
      </c>
      <c r="BJ66" s="43">
        <f t="shared" si="363"/>
        <v>34.758620689655</v>
      </c>
      <c r="BK66" s="43">
        <f t="shared" si="364"/>
      </c>
      <c r="BL66" s="46" t="e">
        <f t="shared" si="365"/>
        <v>#REF!</v>
      </c>
      <c r="BM66" s="43">
        <f t="shared" si="366"/>
        <v>39.3448275862069</v>
      </c>
      <c r="BN66" s="43"/>
      <c r="BO66" s="46" t="e">
        <f t="shared" si="367"/>
        <v>#REF!</v>
      </c>
      <c r="BP66" s="43">
        <f t="shared" si="368"/>
        <v>42.3448275862069</v>
      </c>
      <c r="BQ66" s="43"/>
      <c r="BR66" s="46" t="e">
        <f t="shared" si="369"/>
        <v>#REF!</v>
      </c>
      <c r="BS66" s="43">
        <f t="shared" si="370"/>
        <v>42.3448275862069</v>
      </c>
      <c r="BT66" s="43"/>
      <c r="BU66" s="46" t="e">
        <f t="shared" si="371"/>
        <v>#REF!</v>
      </c>
      <c r="BV66" s="43">
        <f t="shared" si="372"/>
        <v>42.3448275862069</v>
      </c>
      <c r="BW66" s="43"/>
      <c r="BX66" s="46" t="e">
        <f t="shared" si="373"/>
        <v>#REF!</v>
      </c>
      <c r="BY66" s="43"/>
      <c r="BZ66" s="42" t="e">
        <f t="shared" si="374"/>
        <v>#REF!</v>
      </c>
      <c r="CA66" s="52" t="e">
        <f t="shared" si="375"/>
        <v>#REF!</v>
      </c>
      <c r="CB66" s="42" t="e">
        <f t="shared" si="376"/>
        <v>#REF!</v>
      </c>
      <c r="CC66" s="53" t="e">
        <f t="shared" si="377"/>
        <v>#REF!</v>
      </c>
      <c r="CD66" s="43"/>
      <c r="CE66" s="43"/>
      <c r="CF66" s="43"/>
      <c r="CG66" s="43"/>
      <c r="CH66" s="43"/>
      <c r="CI66" s="43"/>
      <c r="CJ66" s="43"/>
      <c r="CK66" s="43"/>
      <c r="CL66" s="43"/>
      <c r="CM66" s="43"/>
      <c r="CN66" s="43"/>
      <c r="CO66" s="43"/>
      <c r="CP66" s="43"/>
      <c r="CQ66" s="43"/>
      <c r="CR66" s="43"/>
      <c r="CS66" s="43"/>
      <c r="CT66" s="43"/>
      <c r="CU66" s="43"/>
      <c r="CV66" s="43"/>
      <c r="CW66" s="43"/>
      <c r="CX66" s="43"/>
      <c r="CY66" s="43"/>
      <c r="CZ66" s="43"/>
      <c r="DA66" s="43"/>
      <c r="DB66" s="43"/>
      <c r="DC66" s="43"/>
      <c r="AMF66" s="47"/>
      <c r="AMG66" s="47"/>
      <c r="AMH66" s="47"/>
      <c r="AMI66" s="47"/>
    </row>
    <row r="67" ht="14.0">
      <c r="A67" s="37" t="s">
        <v>32</v>
      </c>
      <c r="B67" s="37" t="s">
        <v>110</v>
      </c>
      <c r="C67" s="55" t="s">
        <v>121</v>
      </c>
      <c r="D67" s="38">
        <v>43104.0</v>
      </c>
      <c r="E67" s="37">
        <v>12.0</v>
      </c>
      <c r="F67" s="37">
        <v>6.0</v>
      </c>
      <c r="G67" s="37">
        <v>30.0</v>
      </c>
      <c r="H67" s="37">
        <v>15.0</v>
      </c>
      <c r="I67" s="37">
        <v>6.0</v>
      </c>
      <c r="J67" s="37">
        <v>39.0</v>
      </c>
      <c r="K67" s="37">
        <v>15.0</v>
      </c>
      <c r="L67" s="37">
        <v>30.0</v>
      </c>
      <c r="M67" s="37">
        <v>30.0</v>
      </c>
      <c r="N67" s="37">
        <v>39.0</v>
      </c>
      <c r="O67" s="37">
        <v>12.0</v>
      </c>
      <c r="P67" s="37">
        <v>27.0</v>
      </c>
      <c r="Q67" s="37">
        <v>24.0</v>
      </c>
      <c r="R67" s="37">
        <v>27.0</v>
      </c>
      <c r="S67" s="37">
        <v>24.0</v>
      </c>
      <c r="T67" s="37">
        <v>15.0</v>
      </c>
      <c r="U67" s="37">
        <v>15.0</v>
      </c>
      <c r="V67" s="37">
        <v>24.0</v>
      </c>
      <c r="W67" s="37">
        <v>12.0</v>
      </c>
      <c r="X67" s="37">
        <v>21.0</v>
      </c>
      <c r="Y67" s="37">
        <v>36.0</v>
      </c>
      <c r="Z67" s="37">
        <v>21.0</v>
      </c>
      <c r="AA67" s="37">
        <v>19.0</v>
      </c>
      <c r="AB67" s="37">
        <v>5.0</v>
      </c>
      <c r="AC67" s="37">
        <v>0.0</v>
      </c>
      <c r="AD67" s="37">
        <v>0.0</v>
      </c>
      <c r="AE67" s="37">
        <v>3.0</v>
      </c>
      <c r="AF67" s="37">
        <v>0.0</v>
      </c>
      <c r="AG67" s="37">
        <v>12.0</v>
      </c>
      <c r="AH67" s="37">
        <v>3.0</v>
      </c>
      <c r="AI67" s="37">
        <v>6.0</v>
      </c>
      <c r="AJ67" s="37">
        <v>0.0</v>
      </c>
      <c r="AK67" s="37">
        <v>24.0</v>
      </c>
      <c r="AL67" s="37">
        <v>0.0</v>
      </c>
      <c r="AM67" s="37">
        <v>3.0</v>
      </c>
      <c r="AN67" s="37">
        <v>3.0</v>
      </c>
      <c r="AO67" s="39">
        <f t="shared" si="3"/>
        <v>54.0</v>
      </c>
      <c r="AP67" s="39">
        <f t="shared" si="4"/>
        <v>36.0</v>
      </c>
      <c r="AQ67" s="39">
        <f t="shared" si="5"/>
        <v>39.6</v>
      </c>
      <c r="AR67" s="51">
        <f t="shared" si="378"/>
        <v>12.8275862068965</v>
      </c>
      <c r="AS67" s="51">
        <f t="shared" si="379"/>
        <v>17.103448275862</v>
      </c>
      <c r="AT67" s="51">
        <f t="shared" si="380"/>
        <v>17.2758620689655</v>
      </c>
      <c r="AU67" s="51">
        <f t="shared" si="381"/>
        <v>20.2758620689655</v>
      </c>
      <c r="AV67" s="51">
        <f t="shared" si="382"/>
        <v>20.2758620689655</v>
      </c>
      <c r="AW67" s="51">
        <f t="shared" si="383"/>
        <v>20.2758620689655</v>
      </c>
      <c r="AX67" s="41">
        <f t="shared" si="12"/>
        <v>108.03448275862</v>
      </c>
      <c r="AY67" s="41" t="e">
        <f t="shared" si="13"/>
        <v>#REF!</v>
      </c>
      <c r="AZ67" s="42" t="e">
        <f t="shared" si="384"/>
        <v>#REF!</v>
      </c>
      <c r="BA67" s="43"/>
      <c r="BB67" s="39" t="e">
        <f t="shared" si="357"/>
        <v>#REF!</v>
      </c>
      <c r="BC67" s="43">
        <f>VLOOKUP(C67,MOQ,3,FALSE())</f>
      </c>
      <c r="BD67" s="49" t="e">
        <f t="shared" si="385"/>
        <v>#REF!</v>
      </c>
      <c r="BE67" s="45" t="s">
        <v>8</v>
      </c>
      <c r="BF67" s="43" t="e">
        <f t="shared" si="359"/>
        <v>#REF!</v>
      </c>
      <c r="BG67" s="43">
        <f t="shared" si="360"/>
        <v>12.8275862068965</v>
      </c>
      <c r="BH67" s="43" t="e">
        <f t="shared" si="361"/>
        <v>#REF!</v>
      </c>
      <c r="BI67" s="46" t="e">
        <f t="shared" si="362"/>
        <v>#REF!</v>
      </c>
      <c r="BJ67" s="43">
        <f t="shared" si="363"/>
        <v>17.103448275862</v>
      </c>
      <c r="BK67" s="43">
        <f t="shared" si="364"/>
      </c>
      <c r="BL67" s="46" t="e">
        <f t="shared" si="365"/>
        <v>#REF!</v>
      </c>
      <c r="BM67" s="43">
        <f t="shared" si="366"/>
        <v>17.2758620689655</v>
      </c>
      <c r="BN67" s="43"/>
      <c r="BO67" s="46" t="e">
        <f t="shared" si="367"/>
        <v>#REF!</v>
      </c>
      <c r="BP67" s="43">
        <f t="shared" si="368"/>
        <v>20.2758620689655</v>
      </c>
      <c r="BQ67" s="43"/>
      <c r="BR67" s="46" t="e">
        <f t="shared" si="369"/>
        <v>#REF!</v>
      </c>
      <c r="BS67" s="43">
        <f t="shared" si="370"/>
        <v>20.2758620689655</v>
      </c>
      <c r="BT67" s="43"/>
      <c r="BU67" s="46" t="e">
        <f t="shared" si="371"/>
        <v>#REF!</v>
      </c>
      <c r="BV67" s="43">
        <f t="shared" si="372"/>
        <v>20.2758620689655</v>
      </c>
      <c r="BW67" s="43"/>
      <c r="BX67" s="46" t="e">
        <f t="shared" si="373"/>
        <v>#REF!</v>
      </c>
      <c r="BY67" s="43"/>
      <c r="BZ67" s="42" t="e">
        <f t="shared" si="374"/>
        <v>#REF!</v>
      </c>
      <c r="CA67" s="52" t="e">
        <f t="shared" si="375"/>
        <v>#REF!</v>
      </c>
      <c r="CB67" s="42" t="e">
        <f t="shared" si="376"/>
        <v>#REF!</v>
      </c>
      <c r="CC67" s="53" t="e">
        <f t="shared" si="377"/>
        <v>#REF!</v>
      </c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3"/>
      <c r="CS67" s="43"/>
      <c r="CT67" s="43"/>
      <c r="CU67" s="43"/>
      <c r="CV67" s="43"/>
      <c r="CW67" s="43"/>
      <c r="CX67" s="43"/>
      <c r="CY67" s="43"/>
      <c r="CZ67" s="43"/>
      <c r="DA67" s="43"/>
      <c r="DB67" s="43"/>
      <c r="DC67" s="43"/>
      <c r="AMF67" s="47"/>
      <c r="AMG67" s="47"/>
      <c r="AMH67" s="47"/>
      <c r="AMI67" s="47"/>
    </row>
    <row r="68" ht="14.0">
      <c r="A68" s="37" t="s">
        <v>32</v>
      </c>
      <c r="B68" s="37" t="s">
        <v>110</v>
      </c>
      <c r="C68" s="37" t="s">
        <v>122</v>
      </c>
      <c r="D68" s="38">
        <v>43105.0</v>
      </c>
      <c r="E68" s="37">
        <v>30.0</v>
      </c>
      <c r="F68" s="37">
        <v>15.0</v>
      </c>
      <c r="G68" s="37">
        <v>30.0</v>
      </c>
      <c r="H68" s="37">
        <v>9.0</v>
      </c>
      <c r="I68" s="37">
        <v>0.0</v>
      </c>
      <c r="J68" s="37">
        <v>48.0</v>
      </c>
      <c r="K68" s="37">
        <v>18.0</v>
      </c>
      <c r="L68" s="37">
        <v>27.0</v>
      </c>
      <c r="M68" s="37">
        <v>24.0</v>
      </c>
      <c r="N68" s="37">
        <v>27.0</v>
      </c>
      <c r="O68" s="37">
        <v>18.0</v>
      </c>
      <c r="P68" s="37">
        <v>21.0</v>
      </c>
      <c r="Q68" s="37">
        <v>9.0</v>
      </c>
      <c r="R68" s="37">
        <v>21.0</v>
      </c>
      <c r="S68" s="37">
        <v>24.0</v>
      </c>
      <c r="T68" s="37">
        <v>15.0</v>
      </c>
      <c r="U68" s="37">
        <v>24.0</v>
      </c>
      <c r="V68" s="37">
        <v>36.0</v>
      </c>
      <c r="W68" s="37">
        <v>15.0</v>
      </c>
      <c r="X68" s="37">
        <v>24.0</v>
      </c>
      <c r="Y68" s="37">
        <v>30.0</v>
      </c>
      <c r="Z68" s="37">
        <v>34.0</v>
      </c>
      <c r="AA68" s="37">
        <v>19.0</v>
      </c>
      <c r="AB68" s="37">
        <v>24.0</v>
      </c>
      <c r="AC68" s="37">
        <v>21.0</v>
      </c>
      <c r="AD68" s="37">
        <v>27.0</v>
      </c>
      <c r="AE68" s="37">
        <v>21.0</v>
      </c>
      <c r="AF68" s="37">
        <v>42.0</v>
      </c>
      <c r="AG68" s="37">
        <v>24.0</v>
      </c>
      <c r="AH68" s="37">
        <v>33.0</v>
      </c>
      <c r="AI68" s="37">
        <v>0.0</v>
      </c>
      <c r="AJ68" s="37">
        <v>0.0</v>
      </c>
      <c r="AK68" s="37">
        <v>0.0</v>
      </c>
      <c r="AL68" s="37">
        <v>0.0</v>
      </c>
      <c r="AM68" s="37">
        <v>40.0</v>
      </c>
      <c r="AN68" s="37">
        <v>15.0</v>
      </c>
      <c r="AO68" s="39">
        <f t="shared" si="3"/>
        <v>223.0</v>
      </c>
      <c r="AP68" s="39">
        <f t="shared" si="4"/>
        <v>55.0</v>
      </c>
      <c r="AQ68" s="39">
        <f t="shared" si="5"/>
        <v>60.5</v>
      </c>
      <c r="AR68" s="51">
        <f t="shared" ref="AR68:AR69" si="386">AQ68*$AR$4/$AQ$4</f>
        <v>7.58620689655172</v>
      </c>
      <c r="AS68" s="51">
        <f t="shared" ref="AS68:AS69" si="387">AQ68*$AS$4/$AQ$4</f>
        <v>10.1149425287356</v>
      </c>
      <c r="AT68" s="51">
        <f t="shared" ref="AT68:AT69" si="388">AQ68*$AT$4/$AQ$4</f>
        <v>12.6436781609195</v>
      </c>
      <c r="AU68" s="51">
        <f t="shared" ref="AU68:AU69" si="389">AQ68*$AU$4/$AQ$4</f>
        <v>12.6436781609195</v>
      </c>
      <c r="AV68" s="51">
        <f t="shared" ref="AV68:AV69" si="390">AQ68*$AV$4/$AQ$4</f>
        <v>12.6436781609195</v>
      </c>
      <c r="AW68" s="51">
        <f t="shared" ref="AW68:AW69" si="391">AQ68*$AW$4/$AQ$4</f>
        <v>12.6436781609195</v>
      </c>
      <c r="AX68" s="41">
        <f t="shared" si="12"/>
        <v>68.2758620689653</v>
      </c>
      <c r="AY68" s="41" t="e">
        <f t="shared" si="13"/>
        <v>#REF!</v>
      </c>
      <c r="AZ68" s="42"/>
      <c r="BA68" s="43"/>
      <c r="BB68" s="39" t="e">
        <f t="shared" si="357"/>
        <v>#REF!</v>
      </c>
      <c r="BC68" s="43">
        <f>VLOOKUP(C68,MOQ,3,FALSE())</f>
      </c>
      <c r="BD68" s="49" t="e">
        <f t="shared" si="385"/>
        <v>#REF!</v>
      </c>
      <c r="BE68" s="45" t="s">
        <v>10</v>
      </c>
      <c r="BF68" s="43" t="e">
        <f t="shared" si="359"/>
        <v>#REF!</v>
      </c>
      <c r="BG68" s="43">
        <f t="shared" si="360"/>
        <v>7.58620689655172</v>
      </c>
      <c r="BH68" s="43">
        <f t="shared" si="361"/>
      </c>
      <c r="BI68" s="46" t="e">
        <f t="shared" si="362"/>
        <v>#REF!</v>
      </c>
      <c r="BJ68" s="43">
        <f t="shared" si="363"/>
        <v>10.1149425287356</v>
      </c>
      <c r="BK68" s="43">
        <f t="shared" si="364"/>
      </c>
      <c r="BL68" s="46" t="e">
        <f t="shared" si="365"/>
        <v>#REF!</v>
      </c>
      <c r="BM68" s="43">
        <f t="shared" si="366"/>
        <v>12.6436781609195</v>
      </c>
      <c r="BN68" s="43"/>
      <c r="BO68" s="46" t="e">
        <f t="shared" si="367"/>
        <v>#REF!</v>
      </c>
      <c r="BP68" s="43">
        <f t="shared" si="368"/>
        <v>12.6436781609195</v>
      </c>
      <c r="BQ68" s="43"/>
      <c r="BR68" s="46" t="e">
        <f t="shared" si="369"/>
        <v>#REF!</v>
      </c>
      <c r="BS68" s="43">
        <f t="shared" si="370"/>
        <v>12.6436781609195</v>
      </c>
      <c r="BT68" s="43"/>
      <c r="BU68" s="46" t="e">
        <f t="shared" si="371"/>
        <v>#REF!</v>
      </c>
      <c r="BV68" s="43">
        <f t="shared" si="372"/>
        <v>12.6436781609195</v>
      </c>
      <c r="BW68" s="43"/>
      <c r="BX68" s="46" t="e">
        <f t="shared" si="373"/>
        <v>#REF!</v>
      </c>
      <c r="BY68" s="43"/>
      <c r="BZ68" s="42"/>
      <c r="CA68" s="43"/>
      <c r="CB68" s="43"/>
      <c r="CC68" s="43"/>
      <c r="CD68" s="43"/>
      <c r="CE68" s="43"/>
      <c r="CF68" s="43"/>
      <c r="CG68" s="43"/>
      <c r="CH68" s="43"/>
      <c r="CI68" s="43"/>
      <c r="CJ68" s="43"/>
      <c r="CK68" s="43"/>
      <c r="CL68" s="43"/>
      <c r="CM68" s="43"/>
      <c r="CN68" s="43"/>
      <c r="CO68" s="43"/>
      <c r="CP68" s="43"/>
      <c r="CQ68" s="43"/>
      <c r="CR68" s="43"/>
      <c r="CS68" s="43"/>
      <c r="CT68" s="43"/>
      <c r="CU68" s="43"/>
      <c r="CV68" s="43"/>
      <c r="CW68" s="43"/>
      <c r="CX68" s="43"/>
      <c r="CY68" s="43"/>
      <c r="CZ68" s="43"/>
      <c r="AMF68" s="47"/>
      <c r="AMG68" s="47"/>
      <c r="AMH68" s="47"/>
      <c r="AMI68" s="47"/>
    </row>
    <row r="69" ht="14.0">
      <c r="A69" s="37" t="s">
        <v>32</v>
      </c>
      <c r="B69" s="37" t="s">
        <v>110</v>
      </c>
      <c r="C69" s="37" t="s">
        <v>123</v>
      </c>
      <c r="D69" s="38">
        <v>43106.0</v>
      </c>
      <c r="E69" s="37">
        <v>24.0</v>
      </c>
      <c r="F69" s="37">
        <v>27.0</v>
      </c>
      <c r="G69" s="37">
        <v>36.0</v>
      </c>
      <c r="H69" s="37">
        <v>18.0</v>
      </c>
      <c r="I69" s="37">
        <v>24.0</v>
      </c>
      <c r="J69" s="37">
        <v>45.0</v>
      </c>
      <c r="K69" s="37">
        <v>24.0</v>
      </c>
      <c r="L69" s="37">
        <v>39.0</v>
      </c>
      <c r="M69" s="37">
        <v>18.0</v>
      </c>
      <c r="N69" s="37">
        <v>33.0</v>
      </c>
      <c r="O69" s="37">
        <v>28.0</v>
      </c>
      <c r="P69" s="37">
        <v>36.0</v>
      </c>
      <c r="Q69" s="37">
        <v>33.0</v>
      </c>
      <c r="R69" s="37">
        <v>45.0</v>
      </c>
      <c r="S69" s="37">
        <v>36.0</v>
      </c>
      <c r="T69" s="37">
        <v>18.0</v>
      </c>
      <c r="U69" s="37">
        <v>27.0</v>
      </c>
      <c r="V69" s="37">
        <v>39.0</v>
      </c>
      <c r="W69" s="37">
        <v>33.0</v>
      </c>
      <c r="X69" s="37">
        <v>21.0</v>
      </c>
      <c r="Y69" s="37">
        <v>39.0</v>
      </c>
      <c r="Z69" s="37">
        <v>45.0</v>
      </c>
      <c r="AA69" s="37">
        <v>37.0</v>
      </c>
      <c r="AB69" s="37">
        <v>21.0</v>
      </c>
      <c r="AC69" s="37">
        <v>30.0</v>
      </c>
      <c r="AD69" s="37">
        <v>36.0</v>
      </c>
      <c r="AE69" s="37">
        <v>23.0</v>
      </c>
      <c r="AF69" s="37">
        <v>48.0</v>
      </c>
      <c r="AG69" s="37">
        <v>69.0</v>
      </c>
      <c r="AH69" s="37">
        <v>7.0</v>
      </c>
      <c r="AI69" s="37">
        <v>0.0</v>
      </c>
      <c r="AJ69" s="37">
        <v>0.0</v>
      </c>
      <c r="AK69" s="37">
        <v>1.0</v>
      </c>
      <c r="AL69" s="37">
        <v>0.0</v>
      </c>
      <c r="AM69" s="37">
        <v>33.0</v>
      </c>
      <c r="AN69" s="37">
        <v>18.0</v>
      </c>
      <c r="AO69" s="39">
        <f t="shared" si="3"/>
        <v>265.0</v>
      </c>
      <c r="AP69" s="39">
        <f t="shared" si="4"/>
        <v>52.0</v>
      </c>
      <c r="AQ69" s="39">
        <f t="shared" si="5"/>
        <v>57.2</v>
      </c>
      <c r="AR69" s="51">
        <f t="shared" si="386"/>
        <v>7.17241379310344</v>
      </c>
      <c r="AS69" s="51">
        <f t="shared" si="387"/>
        <v>9.5632183908046</v>
      </c>
      <c r="AT69" s="51">
        <f t="shared" si="388"/>
        <v>11.9540229885057</v>
      </c>
      <c r="AU69" s="51">
        <f t="shared" si="389"/>
        <v>11.9540229885057</v>
      </c>
      <c r="AV69" s="51">
        <f t="shared" si="390"/>
        <v>11.9540229885057</v>
      </c>
      <c r="AW69" s="51">
        <f t="shared" si="391"/>
        <v>11.9540229885057</v>
      </c>
      <c r="AX69" s="41">
        <f t="shared" si="12"/>
        <v>64.5517241379309</v>
      </c>
      <c r="AY69" s="41" t="e">
        <f t="shared" si="13"/>
        <v>#REF!</v>
      </c>
      <c r="AZ69" s="42"/>
      <c r="BA69" s="43"/>
      <c r="BB69" s="39" t="e">
        <f t="shared" si="357"/>
        <v>#REF!</v>
      </c>
      <c r="BC69" s="43">
        <f>VLOOKUP(C69,MOQ,3,FALSE())</f>
      </c>
      <c r="BD69" s="44"/>
      <c r="BE69" s="45"/>
      <c r="BF69" s="43" t="e">
        <f t="shared" si="359"/>
        <v>#REF!</v>
      </c>
      <c r="BG69" s="43">
        <f t="shared" si="360"/>
        <v>7.17241379310344</v>
      </c>
      <c r="BH69" s="43">
        <f t="shared" si="361"/>
      </c>
      <c r="BI69" s="46" t="e">
        <f t="shared" si="362"/>
        <v>#REF!</v>
      </c>
      <c r="BJ69" s="43">
        <f t="shared" si="363"/>
        <v>9.5632183908046</v>
      </c>
      <c r="BK69" s="43">
        <f t="shared" si="364"/>
      </c>
      <c r="BL69" s="46" t="e">
        <f t="shared" si="365"/>
        <v>#REF!</v>
      </c>
      <c r="BM69" s="43">
        <f t="shared" si="366"/>
        <v>11.9540229885057</v>
      </c>
      <c r="BN69" s="43"/>
      <c r="BO69" s="46" t="e">
        <f t="shared" si="367"/>
        <v>#REF!</v>
      </c>
      <c r="BP69" s="43">
        <f t="shared" si="368"/>
        <v>11.9540229885057</v>
      </c>
      <c r="BQ69" s="43"/>
      <c r="BR69" s="46" t="e">
        <f t="shared" si="369"/>
        <v>#REF!</v>
      </c>
      <c r="BS69" s="43">
        <f t="shared" si="370"/>
        <v>11.9540229885057</v>
      </c>
      <c r="BT69" s="43"/>
      <c r="BU69" s="46" t="e">
        <f t="shared" si="371"/>
        <v>#REF!</v>
      </c>
      <c r="BV69" s="43">
        <f t="shared" si="372"/>
        <v>11.9540229885057</v>
      </c>
      <c r="BW69" s="43"/>
      <c r="BX69" s="46" t="e">
        <f t="shared" si="373"/>
        <v>#REF!</v>
      </c>
      <c r="BY69" s="43"/>
      <c r="BZ69" s="43"/>
      <c r="CA69" s="43"/>
      <c r="CB69" s="43"/>
      <c r="CC69" s="43"/>
      <c r="CD69" s="43"/>
      <c r="CE69" s="43"/>
      <c r="CF69" s="43"/>
      <c r="CG69" s="43"/>
      <c r="CH69" s="43"/>
      <c r="CI69" s="43"/>
      <c r="CJ69" s="43"/>
      <c r="CK69" s="43"/>
      <c r="CL69" s="43"/>
      <c r="CM69" s="43"/>
      <c r="CN69" s="43"/>
      <c r="CO69" s="43"/>
      <c r="CP69" s="43"/>
      <c r="CQ69" s="43"/>
      <c r="CR69" s="43"/>
      <c r="CS69" s="43"/>
      <c r="CT69" s="43"/>
      <c r="CU69" s="43"/>
      <c r="CV69" s="43"/>
      <c r="CW69" s="43"/>
      <c r="CX69" s="43"/>
      <c r="AMF69" s="47"/>
      <c r="AMG69" s="47"/>
      <c r="AMH69" s="47"/>
      <c r="AMI69" s="47"/>
      <c r="AMJ69" s="47"/>
    </row>
    <row r="70" ht="14.0">
      <c r="A70" s="37" t="s">
        <v>32</v>
      </c>
      <c r="B70" s="37" t="s">
        <v>110</v>
      </c>
      <c r="C70" s="55" t="s">
        <v>124</v>
      </c>
      <c r="D70" s="38">
        <v>43107.0</v>
      </c>
      <c r="E70" s="37">
        <v>0.0</v>
      </c>
      <c r="F70" s="37">
        <v>0.0</v>
      </c>
      <c r="G70" s="37">
        <v>0.0</v>
      </c>
      <c r="H70" s="37">
        <v>0.0</v>
      </c>
      <c r="I70" s="37">
        <v>0.0</v>
      </c>
      <c r="J70" s="37">
        <v>0.0</v>
      </c>
      <c r="K70" s="37">
        <v>0.0</v>
      </c>
      <c r="L70" s="37">
        <v>0.0</v>
      </c>
      <c r="M70" s="37">
        <v>0.0</v>
      </c>
      <c r="N70" s="37">
        <v>0.0</v>
      </c>
      <c r="O70" s="37">
        <v>0.0</v>
      </c>
      <c r="P70" s="37">
        <v>0.0</v>
      </c>
      <c r="Q70" s="37">
        <v>0.0</v>
      </c>
      <c r="R70" s="37">
        <v>0.0</v>
      </c>
      <c r="S70" s="37">
        <v>0.0</v>
      </c>
      <c r="T70" s="37">
        <v>0.0</v>
      </c>
      <c r="U70" s="37">
        <v>12.0</v>
      </c>
      <c r="V70" s="37">
        <v>48.0</v>
      </c>
      <c r="W70" s="37">
        <v>9.0</v>
      </c>
      <c r="X70" s="37">
        <v>15.0</v>
      </c>
      <c r="Y70" s="37">
        <v>12.0</v>
      </c>
      <c r="Z70" s="37">
        <v>12.0</v>
      </c>
      <c r="AA70" s="37">
        <v>10.0</v>
      </c>
      <c r="AB70" s="37">
        <v>24.0</v>
      </c>
      <c r="AC70" s="37">
        <v>15.0</v>
      </c>
      <c r="AD70" s="37">
        <v>15.0</v>
      </c>
      <c r="AE70" s="37">
        <v>18.0</v>
      </c>
      <c r="AF70" s="37">
        <v>27.0</v>
      </c>
      <c r="AG70" s="37">
        <v>24.0</v>
      </c>
      <c r="AH70" s="37">
        <v>12.0</v>
      </c>
      <c r="AI70" s="37">
        <v>42.0</v>
      </c>
      <c r="AJ70" s="37">
        <v>27.0</v>
      </c>
      <c r="AK70" s="37">
        <v>0.0</v>
      </c>
      <c r="AL70" s="37">
        <v>0.0</v>
      </c>
      <c r="AM70" s="37">
        <v>21.0</v>
      </c>
      <c r="AN70" s="37">
        <v>18.0</v>
      </c>
      <c r="AO70" s="39">
        <f t="shared" si="3"/>
        <v>219.0</v>
      </c>
      <c r="AP70" s="39">
        <f t="shared" si="4"/>
        <v>108.0</v>
      </c>
      <c r="AQ70" s="39">
        <f t="shared" si="5"/>
        <v>118.8</v>
      </c>
      <c r="AR70" s="51">
        <f>AQ70*$AR$4/$AQ$4+3*$AR$64</f>
        <v>22.7586206896551</v>
      </c>
      <c r="AS70" s="51">
        <f>AQ70*$AS$4/$AQ$4+3*$AS$64</f>
        <v>30.3448275862068</v>
      </c>
      <c r="AT70" s="51">
        <f>AQ70*$AT$4/$AQ$4+3*$AT$64</f>
        <v>33.827586206897</v>
      </c>
      <c r="AU70" s="51">
        <f>AQ70*$AU$4/$AQ$4+3*$AU$64</f>
        <v>36.827586206897</v>
      </c>
      <c r="AV70" s="51">
        <f>AQ70*$AV$4/$AQ$4+3*$AV$64</f>
        <v>36.827586206897</v>
      </c>
      <c r="AW70" s="51">
        <f>AQ70*$AW$4/$AQ$4+3*$AW$64</f>
        <v>36.827586206897</v>
      </c>
      <c r="AX70" s="41">
        <f t="shared" si="12"/>
        <v>197.41379310345</v>
      </c>
      <c r="AY70" s="41" t="e">
        <f t="shared" si="13"/>
        <v>#REF!</v>
      </c>
      <c r="AZ70" s="42"/>
      <c r="BA70" s="43"/>
      <c r="BB70" s="39" t="e">
        <f t="shared" si="357"/>
        <v>#REF!</v>
      </c>
      <c r="BC70" s="43">
        <f>VLOOKUP(C70,MOQ,3,FALSE())</f>
      </c>
      <c r="BD70" s="49" t="e">
        <f t="shared" ref="BD70:BD78" si="398">BB70*-1</f>
        <v>#REF!</v>
      </c>
      <c r="BE70" s="45" t="s">
        <v>7</v>
      </c>
      <c r="BF70" s="43" t="e">
        <f t="shared" si="359"/>
        <v>#REF!</v>
      </c>
      <c r="BG70" s="43">
        <f t="shared" si="360"/>
        <v>22.7586206896551</v>
      </c>
      <c r="BH70" s="43">
        <f t="shared" si="361"/>
      </c>
      <c r="BI70" s="46" t="e">
        <f t="shared" si="362"/>
        <v>#REF!</v>
      </c>
      <c r="BJ70" s="43">
        <f t="shared" si="363"/>
        <v>30.3448275862068</v>
      </c>
      <c r="BK70" s="43">
        <f t="shared" si="364"/>
      </c>
      <c r="BL70" s="46" t="e">
        <f t="shared" si="365"/>
        <v>#REF!</v>
      </c>
      <c r="BM70" s="43">
        <f t="shared" si="366"/>
        <v>33.827586206897</v>
      </c>
      <c r="BN70" s="43"/>
      <c r="BO70" s="46" t="e">
        <f t="shared" si="367"/>
        <v>#REF!</v>
      </c>
      <c r="BP70" s="43">
        <f t="shared" si="368"/>
        <v>36.827586206897</v>
      </c>
      <c r="BQ70" s="43"/>
      <c r="BR70" s="46" t="e">
        <f t="shared" si="369"/>
        <v>#REF!</v>
      </c>
      <c r="BS70" s="43">
        <f t="shared" si="370"/>
        <v>36.827586206897</v>
      </c>
      <c r="BT70" s="43"/>
      <c r="BU70" s="46" t="e">
        <f t="shared" si="371"/>
        <v>#REF!</v>
      </c>
      <c r="BV70" s="43">
        <f t="shared" si="372"/>
        <v>36.827586206897</v>
      </c>
      <c r="BW70" s="43"/>
      <c r="BX70" s="46" t="e">
        <f t="shared" si="373"/>
        <v>#REF!</v>
      </c>
      <c r="BY70" s="43"/>
      <c r="BZ70" s="42" t="e">
        <f>BU70*-1</f>
        <v>#REF!</v>
      </c>
      <c r="CA70" s="52" t="e">
        <f>BZ70/6</f>
        <v>#REF!</v>
      </c>
      <c r="CB70" s="42" t="e">
        <f>ROUNDUP(CA70,0)</f>
        <v>#REF!</v>
      </c>
      <c r="CC70" s="53" t="e">
        <f>CB70*6</f>
        <v>#REF!</v>
      </c>
      <c r="CD70" s="43"/>
      <c r="CE70" s="43"/>
      <c r="CF70" s="43"/>
      <c r="CG70" s="43"/>
      <c r="CH70" s="43"/>
      <c r="CI70" s="43"/>
      <c r="CJ70" s="43"/>
      <c r="CK70" s="43"/>
      <c r="CL70" s="43"/>
      <c r="CM70" s="43"/>
      <c r="CN70" s="43"/>
      <c r="CO70" s="43"/>
      <c r="CP70" s="43"/>
      <c r="CQ70" s="43"/>
      <c r="CR70" s="43"/>
      <c r="CS70" s="43"/>
      <c r="CT70" s="43"/>
      <c r="CU70" s="43"/>
      <c r="CV70" s="43"/>
      <c r="CW70" s="43"/>
      <c r="CX70" s="43"/>
      <c r="CY70" s="43"/>
      <c r="CZ70" s="43"/>
      <c r="DA70" s="43"/>
      <c r="DB70" s="43"/>
      <c r="DC70" s="43"/>
      <c r="AMF70" s="47"/>
      <c r="AMG70" s="47"/>
      <c r="AMH70" s="47"/>
      <c r="AMI70" s="47"/>
      <c r="AMJ70" s="47"/>
    </row>
    <row r="71" ht="14.0">
      <c r="A71" s="37" t="s">
        <v>32</v>
      </c>
      <c r="B71" s="37" t="s">
        <v>110</v>
      </c>
      <c r="C71" s="37" t="s">
        <v>125</v>
      </c>
      <c r="D71" s="38">
        <v>43110.0</v>
      </c>
      <c r="E71" s="37">
        <v>0.0</v>
      </c>
      <c r="F71" s="37">
        <v>0.0</v>
      </c>
      <c r="G71" s="37">
        <v>3.0</v>
      </c>
      <c r="H71" s="37">
        <v>0.0</v>
      </c>
      <c r="I71" s="37">
        <v>0.0</v>
      </c>
      <c r="J71" s="37">
        <v>54.0</v>
      </c>
      <c r="K71" s="37">
        <v>45.0</v>
      </c>
      <c r="L71" s="37">
        <v>51.0</v>
      </c>
      <c r="M71" s="37">
        <v>30.0</v>
      </c>
      <c r="N71" s="37">
        <v>36.0</v>
      </c>
      <c r="O71" s="37">
        <v>34.0</v>
      </c>
      <c r="P71" s="37">
        <v>42.0</v>
      </c>
      <c r="Q71" s="37">
        <v>60.0</v>
      </c>
      <c r="R71" s="37">
        <v>54.0</v>
      </c>
      <c r="S71" s="37">
        <v>66.0</v>
      </c>
      <c r="T71" s="37">
        <v>33.0</v>
      </c>
      <c r="U71" s="37">
        <v>51.0</v>
      </c>
      <c r="V71" s="37">
        <v>55.0</v>
      </c>
      <c r="W71" s="37">
        <v>48.0</v>
      </c>
      <c r="X71" s="37">
        <v>27.0</v>
      </c>
      <c r="Y71" s="37">
        <v>50.0</v>
      </c>
      <c r="Z71" s="37">
        <v>42.0</v>
      </c>
      <c r="AA71" s="37">
        <v>55.0</v>
      </c>
      <c r="AB71" s="37">
        <v>42.0</v>
      </c>
      <c r="AC71" s="37">
        <v>45.0</v>
      </c>
      <c r="AD71" s="37">
        <v>24.0</v>
      </c>
      <c r="AE71" s="37">
        <v>57.0</v>
      </c>
      <c r="AF71" s="37">
        <v>63.0</v>
      </c>
      <c r="AG71" s="37">
        <v>63.0</v>
      </c>
      <c r="AH71" s="37">
        <v>42.0</v>
      </c>
      <c r="AI71" s="37">
        <v>11.0</v>
      </c>
      <c r="AJ71" s="37">
        <v>0.0</v>
      </c>
      <c r="AK71" s="37">
        <v>0.0</v>
      </c>
      <c r="AL71" s="37">
        <v>0.0</v>
      </c>
      <c r="AM71" s="37">
        <v>0.0</v>
      </c>
      <c r="AN71" s="37">
        <v>0.0</v>
      </c>
      <c r="AO71" s="39">
        <f t="shared" si="3"/>
        <v>305.0</v>
      </c>
      <c r="AP71" s="39">
        <f t="shared" si="4"/>
        <v>11.0</v>
      </c>
      <c r="AQ71" s="39">
        <f t="shared" si="5"/>
        <v>12.1</v>
      </c>
      <c r="AR71" s="51">
        <f t="shared" ref="AR71:AR72" si="403">AQ71*$AR$4/$AQ$4</f>
        <v>1.51724137931034</v>
      </c>
      <c r="AS71" s="51">
        <f t="shared" ref="AS71:AS72" si="404">AQ71*$AS$4/$AQ$4</f>
        <v>2.02298850574712</v>
      </c>
      <c r="AT71" s="51">
        <f t="shared" ref="AT71:AT72" si="405">AQ71*$AT$4/$AQ$4</f>
        <v>2.5287356321839</v>
      </c>
      <c r="AU71" s="51">
        <f t="shared" ref="AU71:AU72" si="406">AQ71*$AU$4/$AQ$4</f>
        <v>2.5287356321839</v>
      </c>
      <c r="AV71" s="51">
        <f t="shared" ref="AV71:AV72" si="407">AQ71*$AV$4/$AQ$4</f>
        <v>2.5287356321839</v>
      </c>
      <c r="AW71" s="51">
        <f t="shared" ref="AW71:AW72" si="408">AQ71*$AW$4/$AQ$4</f>
        <v>2.5287356321839</v>
      </c>
      <c r="AX71" s="41">
        <f t="shared" si="12"/>
        <v>13.655172413793</v>
      </c>
      <c r="AY71" s="41" t="e">
        <f t="shared" si="13"/>
        <v>#REF!</v>
      </c>
      <c r="AZ71" s="42" t="e">
        <f>VLOOKUP(C71,IFUKJULY,3,false)</f>
        <v>#REF!</v>
      </c>
      <c r="BA71" s="43"/>
      <c r="BB71" s="39" t="e">
        <f t="shared" si="357"/>
        <v>#REF!</v>
      </c>
      <c r="BC71" s="43">
        <f>VLOOKUP(C71,MOQ,3,FALSE())</f>
      </c>
      <c r="BD71" s="49" t="e">
        <f t="shared" si="398"/>
        <v>#REF!</v>
      </c>
      <c r="BE71" s="45"/>
      <c r="BF71" s="43" t="e">
        <f t="shared" si="359"/>
        <v>#REF!</v>
      </c>
      <c r="BG71" s="43">
        <f t="shared" si="360"/>
        <v>1.51724137931034</v>
      </c>
      <c r="BH71" s="43" t="e">
        <f t="shared" si="361"/>
        <v>#REF!</v>
      </c>
      <c r="BI71" s="46" t="e">
        <f t="shared" si="362"/>
        <v>#REF!</v>
      </c>
      <c r="BJ71" s="43">
        <f t="shared" si="363"/>
        <v>2.02298850574712</v>
      </c>
      <c r="BK71" s="43">
        <f t="shared" si="364"/>
      </c>
      <c r="BL71" s="46" t="e">
        <f t="shared" si="365"/>
        <v>#REF!</v>
      </c>
      <c r="BM71" s="43">
        <f t="shared" si="366"/>
        <v>2.5287356321839</v>
      </c>
      <c r="BN71" s="43"/>
      <c r="BO71" s="46" t="e">
        <f t="shared" si="367"/>
        <v>#REF!</v>
      </c>
      <c r="BP71" s="43">
        <f t="shared" si="368"/>
        <v>2.5287356321839</v>
      </c>
      <c r="BQ71" s="43"/>
      <c r="BR71" s="46" t="e">
        <f t="shared" si="369"/>
        <v>#REF!</v>
      </c>
      <c r="BS71" s="43">
        <f t="shared" si="370"/>
        <v>2.5287356321839</v>
      </c>
      <c r="BT71" s="43"/>
      <c r="BU71" s="46" t="e">
        <f t="shared" si="371"/>
        <v>#REF!</v>
      </c>
      <c r="BV71" s="43">
        <f t="shared" si="372"/>
        <v>2.5287356321839</v>
      </c>
      <c r="BW71" s="43"/>
      <c r="BX71" s="46" t="e">
        <f t="shared" si="373"/>
        <v>#REF!</v>
      </c>
      <c r="BY71" s="43"/>
      <c r="BZ71" s="42"/>
      <c r="CA71" s="52"/>
      <c r="CB71" s="42"/>
      <c r="CC71" s="60"/>
      <c r="CD71" s="43"/>
      <c r="CE71" s="43"/>
      <c r="CF71" s="43"/>
      <c r="CG71" s="43"/>
      <c r="CH71" s="43"/>
      <c r="CI71" s="43"/>
      <c r="CJ71" s="43"/>
      <c r="CK71" s="43"/>
      <c r="CL71" s="43"/>
      <c r="CM71" s="43"/>
      <c r="CN71" s="43"/>
      <c r="CO71" s="43"/>
      <c r="CP71" s="43"/>
      <c r="CQ71" s="43"/>
      <c r="CR71" s="43"/>
      <c r="CS71" s="43"/>
      <c r="CT71" s="43"/>
      <c r="CU71" s="43"/>
      <c r="CV71" s="43"/>
      <c r="CW71" s="43"/>
      <c r="CX71" s="43"/>
      <c r="CY71" s="43"/>
      <c r="CZ71" s="43"/>
      <c r="DA71" s="43"/>
      <c r="DB71" s="43"/>
      <c r="DC71" s="43"/>
      <c r="AMF71" s="47"/>
      <c r="AMG71" s="47"/>
      <c r="AMH71" s="47"/>
      <c r="AMI71" s="47"/>
      <c r="AMJ71" s="47"/>
    </row>
    <row r="72" ht="14.0">
      <c r="A72" s="37" t="s">
        <v>32</v>
      </c>
      <c r="B72" s="37" t="s">
        <v>110</v>
      </c>
      <c r="C72" s="37" t="s">
        <v>126</v>
      </c>
      <c r="D72" s="38">
        <v>43111.0</v>
      </c>
      <c r="E72" s="37">
        <v>0.0</v>
      </c>
      <c r="F72" s="37">
        <v>0.0</v>
      </c>
      <c r="G72" s="37">
        <v>0.0</v>
      </c>
      <c r="H72" s="37">
        <v>0.0</v>
      </c>
      <c r="I72" s="37">
        <v>0.0</v>
      </c>
      <c r="J72" s="37">
        <v>0.0</v>
      </c>
      <c r="K72" s="37">
        <v>0.0</v>
      </c>
      <c r="L72" s="37">
        <v>0.0</v>
      </c>
      <c r="M72" s="37">
        <v>0.0</v>
      </c>
      <c r="N72" s="37">
        <v>0.0</v>
      </c>
      <c r="O72" s="37">
        <v>0.0</v>
      </c>
      <c r="P72" s="37">
        <v>0.0</v>
      </c>
      <c r="Q72" s="37">
        <v>0.0</v>
      </c>
      <c r="R72" s="37">
        <v>0.0</v>
      </c>
      <c r="S72" s="37">
        <v>0.0</v>
      </c>
      <c r="T72" s="37">
        <v>0.0</v>
      </c>
      <c r="U72" s="37">
        <v>9.0</v>
      </c>
      <c r="V72" s="37">
        <v>48.0</v>
      </c>
      <c r="W72" s="37">
        <v>21.0</v>
      </c>
      <c r="X72" s="37">
        <v>39.0</v>
      </c>
      <c r="Y72" s="37">
        <v>49.0</v>
      </c>
      <c r="Z72" s="37">
        <v>27.0</v>
      </c>
      <c r="AA72" s="37">
        <v>31.0</v>
      </c>
      <c r="AB72" s="37">
        <v>33.0</v>
      </c>
      <c r="AC72" s="37">
        <v>27.0</v>
      </c>
      <c r="AD72" s="37">
        <v>18.0</v>
      </c>
      <c r="AE72" s="37">
        <v>30.0</v>
      </c>
      <c r="AF72" s="37">
        <v>27.0</v>
      </c>
      <c r="AG72" s="37">
        <v>30.0</v>
      </c>
      <c r="AH72" s="37">
        <v>24.0</v>
      </c>
      <c r="AI72" s="37">
        <v>33.0</v>
      </c>
      <c r="AJ72" s="37">
        <v>21.0</v>
      </c>
      <c r="AK72" s="37">
        <v>54.0</v>
      </c>
      <c r="AL72" s="37">
        <v>12.0</v>
      </c>
      <c r="AM72" s="37">
        <v>0.0</v>
      </c>
      <c r="AN72" s="37">
        <v>0.0</v>
      </c>
      <c r="AO72" s="39">
        <f t="shared" si="3"/>
        <v>276.0</v>
      </c>
      <c r="AP72" s="39">
        <f t="shared" si="4"/>
        <v>120.0</v>
      </c>
      <c r="AQ72" s="39">
        <f t="shared" si="5"/>
        <v>132.0</v>
      </c>
      <c r="AR72" s="51">
        <f t="shared" si="403"/>
        <v>16.551724137931</v>
      </c>
      <c r="AS72" s="51">
        <f t="shared" si="404"/>
        <v>22.0689655172413</v>
      </c>
      <c r="AT72" s="51">
        <f t="shared" si="405"/>
        <v>27.5862068965517</v>
      </c>
      <c r="AU72" s="51">
        <f t="shared" si="406"/>
        <v>27.5862068965517</v>
      </c>
      <c r="AV72" s="51">
        <f t="shared" si="407"/>
        <v>27.5862068965517</v>
      </c>
      <c r="AW72" s="51">
        <f t="shared" si="408"/>
        <v>27.5862068965517</v>
      </c>
      <c r="AX72" s="41">
        <f t="shared" si="12"/>
        <v>148.965517241379</v>
      </c>
      <c r="AY72" s="41" t="e">
        <f t="shared" si="13"/>
        <v>#REF!</v>
      </c>
      <c r="AZ72" s="42"/>
      <c r="BA72" s="43"/>
      <c r="BB72" s="39" t="e">
        <f t="shared" si="357"/>
        <v>#REF!</v>
      </c>
      <c r="BC72" s="43">
        <f>VLOOKUP(C72,MOQ,3,FALSE())</f>
      </c>
      <c r="BD72" s="49" t="e">
        <f t="shared" si="398"/>
        <v>#REF!</v>
      </c>
      <c r="BE72" s="45" t="s">
        <v>73</v>
      </c>
      <c r="BF72" s="43" t="e">
        <f t="shared" si="359"/>
        <v>#REF!</v>
      </c>
      <c r="BG72" s="43">
        <f t="shared" si="360"/>
        <v>16.551724137931</v>
      </c>
      <c r="BH72" s="43">
        <f t="shared" si="361"/>
      </c>
      <c r="BI72" s="46" t="e">
        <f t="shared" si="362"/>
        <v>#REF!</v>
      </c>
      <c r="BJ72" s="43">
        <f t="shared" si="363"/>
        <v>22.0689655172413</v>
      </c>
      <c r="BK72" s="43">
        <f t="shared" si="364"/>
      </c>
      <c r="BL72" s="46" t="e">
        <f t="shared" si="365"/>
        <v>#REF!</v>
      </c>
      <c r="BM72" s="43">
        <f t="shared" si="366"/>
        <v>27.5862068965517</v>
      </c>
      <c r="BN72" s="43"/>
      <c r="BO72" s="46" t="e">
        <f t="shared" si="367"/>
        <v>#REF!</v>
      </c>
      <c r="BP72" s="43">
        <f t="shared" si="368"/>
        <v>27.5862068965517</v>
      </c>
      <c r="BQ72" s="43"/>
      <c r="BR72" s="46" t="e">
        <f t="shared" si="369"/>
        <v>#REF!</v>
      </c>
      <c r="BS72" s="43">
        <f t="shared" si="370"/>
        <v>27.5862068965517</v>
      </c>
      <c r="BT72" s="43"/>
      <c r="BU72" s="46" t="e">
        <f t="shared" si="371"/>
        <v>#REF!</v>
      </c>
      <c r="BV72" s="43">
        <f t="shared" si="372"/>
        <v>27.5862068965517</v>
      </c>
      <c r="BW72" s="43"/>
      <c r="BX72" s="46" t="e">
        <f t="shared" si="373"/>
        <v>#REF!</v>
      </c>
      <c r="BY72" s="43"/>
      <c r="BZ72" s="42" t="e">
        <f t="shared" ref="BZ72:BZ78" si="410">BU72*-1</f>
        <v>#REF!</v>
      </c>
      <c r="CA72" s="52" t="e">
        <f t="shared" ref="CA72:CA78" si="411">BZ72/6</f>
        <v>#REF!</v>
      </c>
      <c r="CB72" s="42" t="e">
        <f t="shared" ref="CB72:CB78" si="412">ROUNDUP(CA72,0)</f>
        <v>#REF!</v>
      </c>
      <c r="CC72" s="53" t="e">
        <f t="shared" ref="CC72:CC78" si="413">CB72*6</f>
        <v>#REF!</v>
      </c>
      <c r="CD72" s="43"/>
      <c r="CE72" s="43"/>
      <c r="CF72" s="43"/>
      <c r="CG72" s="43"/>
      <c r="CH72" s="43"/>
      <c r="CI72" s="43"/>
      <c r="CJ72" s="43"/>
      <c r="CK72" s="43"/>
      <c r="CL72" s="43"/>
      <c r="CM72" s="43"/>
      <c r="CN72" s="43"/>
      <c r="CO72" s="43"/>
      <c r="CP72" s="43"/>
      <c r="CQ72" s="43"/>
      <c r="CR72" s="43"/>
      <c r="CS72" s="43"/>
      <c r="CT72" s="43"/>
      <c r="CU72" s="43"/>
      <c r="CV72" s="43"/>
      <c r="CW72" s="43"/>
      <c r="CX72" s="43"/>
      <c r="CY72" s="43"/>
      <c r="CZ72" s="43"/>
      <c r="DA72" s="43"/>
      <c r="DB72" s="43"/>
      <c r="DC72" s="43"/>
      <c r="AMF72" s="47"/>
      <c r="AMG72" s="47"/>
      <c r="AMH72" s="47"/>
      <c r="AMI72" s="47"/>
      <c r="AMJ72" s="47"/>
    </row>
    <row r="73" ht="14.0">
      <c r="A73" s="37" t="s">
        <v>32</v>
      </c>
      <c r="B73" s="37" t="s">
        <v>110</v>
      </c>
      <c r="C73" s="55" t="s">
        <v>127</v>
      </c>
      <c r="D73" s="38">
        <v>43112.0</v>
      </c>
      <c r="E73" s="37">
        <v>27.0</v>
      </c>
      <c r="F73" s="37">
        <v>24.0</v>
      </c>
      <c r="G73" s="37">
        <v>27.0</v>
      </c>
      <c r="H73" s="37">
        <v>15.0</v>
      </c>
      <c r="I73" s="37">
        <v>9.0</v>
      </c>
      <c r="J73" s="37">
        <v>51.0</v>
      </c>
      <c r="K73" s="37">
        <v>39.0</v>
      </c>
      <c r="L73" s="37">
        <v>33.0</v>
      </c>
      <c r="M73" s="37">
        <v>45.0</v>
      </c>
      <c r="N73" s="37">
        <v>33.0</v>
      </c>
      <c r="O73" s="37">
        <v>39.0</v>
      </c>
      <c r="P73" s="37">
        <v>39.0</v>
      </c>
      <c r="Q73" s="37">
        <v>36.0</v>
      </c>
      <c r="R73" s="37">
        <v>33.0</v>
      </c>
      <c r="S73" s="37">
        <v>32.0</v>
      </c>
      <c r="T73" s="37">
        <v>24.0</v>
      </c>
      <c r="U73" s="37">
        <v>48.0</v>
      </c>
      <c r="V73" s="37">
        <v>51.0</v>
      </c>
      <c r="W73" s="37">
        <v>21.0</v>
      </c>
      <c r="X73" s="37">
        <v>33.0</v>
      </c>
      <c r="Y73" s="37">
        <v>42.0</v>
      </c>
      <c r="Z73" s="37">
        <v>39.0</v>
      </c>
      <c r="AA73" s="37">
        <v>31.0</v>
      </c>
      <c r="AB73" s="37">
        <v>30.0</v>
      </c>
      <c r="AC73" s="37">
        <v>27.0</v>
      </c>
      <c r="AD73" s="37">
        <v>51.0</v>
      </c>
      <c r="AE73" s="37">
        <v>40.0</v>
      </c>
      <c r="AF73" s="37">
        <v>33.0</v>
      </c>
      <c r="AG73" s="37">
        <v>54.0</v>
      </c>
      <c r="AH73" s="37">
        <v>39.0</v>
      </c>
      <c r="AI73" s="37">
        <v>56.0</v>
      </c>
      <c r="AJ73" s="37">
        <v>46.0</v>
      </c>
      <c r="AK73" s="37">
        <v>66.0</v>
      </c>
      <c r="AL73" s="37">
        <v>12.0</v>
      </c>
      <c r="AM73" s="37">
        <v>51.0</v>
      </c>
      <c r="AN73" s="37">
        <v>21.0</v>
      </c>
      <c r="AO73" s="39">
        <f t="shared" si="3"/>
        <v>496.0</v>
      </c>
      <c r="AP73" s="39">
        <f t="shared" si="4"/>
        <v>252.0</v>
      </c>
      <c r="AQ73" s="39">
        <f t="shared" si="5"/>
        <v>277.2</v>
      </c>
      <c r="AR73" s="51">
        <f t="shared" ref="AR73:AR77" si="414">AQ73*$AR$4/$AQ$4+3*$AR$64</f>
        <v>42.6206896551723</v>
      </c>
      <c r="AS73" s="51">
        <f t="shared" ref="AS73:AS77" si="415">AQ73*$AS$4/$AQ$4+3*$AS$64</f>
        <v>56.8275862068965</v>
      </c>
      <c r="AT73" s="51">
        <f t="shared" ref="AT73:AT77" si="416">AQ73*$AT$4/$AQ$4+3*$AT$64</f>
        <v>66.9310344827586</v>
      </c>
      <c r="AU73" s="51">
        <f t="shared" ref="AU73:AU77" si="417">AQ73*$AU$4/$AQ$4+3*$AU$64</f>
        <v>69.9310344827586</v>
      </c>
      <c r="AV73" s="51">
        <f t="shared" ref="AV73:AV77" si="418">AQ73*$AV$4/$AQ$4+3*$AV$64</f>
        <v>69.9310344827586</v>
      </c>
      <c r="AW73" s="51">
        <f t="shared" ref="AW73:AW77" si="419">AQ73*$AW$4/$AQ$4+3*$AW$64</f>
        <v>69.9310344827586</v>
      </c>
      <c r="AX73" s="41">
        <f t="shared" si="12"/>
        <v>376.172413793103</v>
      </c>
      <c r="AY73" s="41" t="e">
        <f t="shared" si="13"/>
        <v>#REF!</v>
      </c>
      <c r="AZ73" s="42" t="e">
        <f t="shared" ref="AZ73:AZ75" si="420">VLOOKUP(C73,IFUKJULY,3,false)</f>
        <v>#REF!</v>
      </c>
      <c r="BA73" s="43"/>
      <c r="BB73" s="39" t="e">
        <f t="shared" si="357"/>
        <v>#REF!</v>
      </c>
      <c r="BC73" s="43">
        <f>VLOOKUP(C73,MOQ,3,FALSE())</f>
      </c>
      <c r="BD73" s="49" t="e">
        <f t="shared" si="398"/>
        <v>#REF!</v>
      </c>
      <c r="BE73" s="45" t="s">
        <v>8</v>
      </c>
      <c r="BF73" s="43" t="e">
        <f t="shared" si="359"/>
        <v>#REF!</v>
      </c>
      <c r="BG73" s="43">
        <f t="shared" si="360"/>
        <v>42.6206896551723</v>
      </c>
      <c r="BH73" s="43" t="e">
        <f t="shared" si="361"/>
        <v>#REF!</v>
      </c>
      <c r="BI73" s="46" t="e">
        <f t="shared" si="362"/>
        <v>#REF!</v>
      </c>
      <c r="BJ73" s="43">
        <f t="shared" si="363"/>
        <v>56.8275862068965</v>
      </c>
      <c r="BK73" s="43">
        <f t="shared" si="364"/>
      </c>
      <c r="BL73" s="46" t="e">
        <f t="shared" si="365"/>
        <v>#REF!</v>
      </c>
      <c r="BM73" s="43">
        <f t="shared" si="366"/>
        <v>66.9310344827586</v>
      </c>
      <c r="BN73" s="43"/>
      <c r="BO73" s="46" t="e">
        <f t="shared" si="367"/>
        <v>#REF!</v>
      </c>
      <c r="BP73" s="43">
        <f t="shared" si="368"/>
        <v>69.9310344827586</v>
      </c>
      <c r="BQ73" s="43"/>
      <c r="BR73" s="46" t="e">
        <f t="shared" si="369"/>
        <v>#REF!</v>
      </c>
      <c r="BS73" s="43">
        <f t="shared" si="370"/>
        <v>69.9310344827586</v>
      </c>
      <c r="BT73" s="43"/>
      <c r="BU73" s="46" t="e">
        <f t="shared" si="371"/>
        <v>#REF!</v>
      </c>
      <c r="BV73" s="43">
        <f t="shared" si="372"/>
        <v>69.9310344827586</v>
      </c>
      <c r="BW73" s="43"/>
      <c r="BX73" s="46" t="e">
        <f t="shared" si="373"/>
        <v>#REF!</v>
      </c>
      <c r="BY73" s="43"/>
      <c r="BZ73" s="42" t="e">
        <f t="shared" si="410"/>
        <v>#REF!</v>
      </c>
      <c r="CA73" s="52" t="e">
        <f t="shared" si="411"/>
        <v>#REF!</v>
      </c>
      <c r="CB73" s="42" t="e">
        <f t="shared" si="412"/>
        <v>#REF!</v>
      </c>
      <c r="CC73" s="53" t="e">
        <f t="shared" si="413"/>
        <v>#REF!</v>
      </c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43"/>
      <c r="CQ73" s="43"/>
      <c r="CR73" s="43"/>
      <c r="CS73" s="43"/>
      <c r="CT73" s="43"/>
      <c r="CU73" s="43"/>
      <c r="CV73" s="43"/>
      <c r="CW73" s="43"/>
      <c r="CX73" s="43"/>
      <c r="CY73" s="43"/>
      <c r="CZ73" s="43"/>
      <c r="DA73" s="43"/>
      <c r="DB73" s="43"/>
      <c r="DC73" s="43"/>
      <c r="AMF73" s="47"/>
      <c r="AMG73" s="47"/>
      <c r="AMH73" s="47"/>
      <c r="AMI73" s="47"/>
      <c r="AMJ73" s="47"/>
    </row>
    <row r="74" ht="14.0">
      <c r="A74" s="37" t="s">
        <v>32</v>
      </c>
      <c r="B74" s="37" t="s">
        <v>110</v>
      </c>
      <c r="C74" s="55" t="s">
        <v>128</v>
      </c>
      <c r="D74" s="38">
        <v>43133.0</v>
      </c>
      <c r="E74" s="37">
        <v>0.0</v>
      </c>
      <c r="F74" s="37">
        <v>0.0</v>
      </c>
      <c r="G74" s="37">
        <v>0.0</v>
      </c>
      <c r="H74" s="37">
        <v>0.0</v>
      </c>
      <c r="I74" s="37">
        <v>0.0</v>
      </c>
      <c r="J74" s="37">
        <v>0.0</v>
      </c>
      <c r="K74" s="37">
        <v>0.0</v>
      </c>
      <c r="L74" s="37">
        <v>0.0</v>
      </c>
      <c r="M74" s="37">
        <v>0.0</v>
      </c>
      <c r="N74" s="37">
        <v>0.0</v>
      </c>
      <c r="O74" s="37">
        <v>0.0</v>
      </c>
      <c r="P74" s="37">
        <v>0.0</v>
      </c>
      <c r="Q74" s="37">
        <v>0.0</v>
      </c>
      <c r="R74" s="37">
        <v>0.0</v>
      </c>
      <c r="S74" s="37">
        <v>0.0</v>
      </c>
      <c r="T74" s="37">
        <v>0.0</v>
      </c>
      <c r="U74" s="37">
        <v>6.0</v>
      </c>
      <c r="V74" s="37">
        <v>39.0</v>
      </c>
      <c r="W74" s="37">
        <v>9.0</v>
      </c>
      <c r="X74" s="37">
        <v>21.0</v>
      </c>
      <c r="Y74" s="37">
        <v>15.0</v>
      </c>
      <c r="Z74" s="37">
        <v>15.0</v>
      </c>
      <c r="AA74" s="37">
        <v>4.0</v>
      </c>
      <c r="AB74" s="37">
        <v>18.0</v>
      </c>
      <c r="AC74" s="37">
        <v>9.0</v>
      </c>
      <c r="AD74" s="37">
        <v>9.0</v>
      </c>
      <c r="AE74" s="37">
        <v>9.0</v>
      </c>
      <c r="AF74" s="37">
        <v>6.0</v>
      </c>
      <c r="AG74" s="37">
        <v>12.0</v>
      </c>
      <c r="AH74" s="37">
        <v>18.0</v>
      </c>
      <c r="AI74" s="37">
        <v>29.0</v>
      </c>
      <c r="AJ74" s="37">
        <v>0.0</v>
      </c>
      <c r="AK74" s="37">
        <v>0.0</v>
      </c>
      <c r="AL74" s="37">
        <v>3.0</v>
      </c>
      <c r="AM74" s="37">
        <v>18.0</v>
      </c>
      <c r="AN74" s="37">
        <v>9.0</v>
      </c>
      <c r="AO74" s="39">
        <f t="shared" si="3"/>
        <v>122.0</v>
      </c>
      <c r="AP74" s="39">
        <f t="shared" si="4"/>
        <v>59.0</v>
      </c>
      <c r="AQ74" s="39">
        <f t="shared" si="5"/>
        <v>64.9</v>
      </c>
      <c r="AR74" s="51">
        <f t="shared" si="414"/>
        <v>16.0</v>
      </c>
      <c r="AS74" s="51">
        <f t="shared" si="415"/>
        <v>21.3333333333326</v>
      </c>
      <c r="AT74" s="51">
        <f t="shared" si="416"/>
        <v>22.5632183908046</v>
      </c>
      <c r="AU74" s="51">
        <f t="shared" si="417"/>
        <v>25.5632183908046</v>
      </c>
      <c r="AV74" s="51">
        <f t="shared" si="418"/>
        <v>25.5632183908046</v>
      </c>
      <c r="AW74" s="51">
        <f t="shared" si="419"/>
        <v>25.5632183908046</v>
      </c>
      <c r="AX74" s="41">
        <f t="shared" si="12"/>
        <v>136.586206896551</v>
      </c>
      <c r="AY74" s="41" t="e">
        <f t="shared" si="13"/>
        <v>#REF!</v>
      </c>
      <c r="AZ74" s="42" t="e">
        <f t="shared" si="420"/>
        <v>#REF!</v>
      </c>
      <c r="BA74" s="43"/>
      <c r="BB74" s="39" t="e">
        <f t="shared" si="357"/>
        <v>#REF!</v>
      </c>
      <c r="BC74" s="43">
        <f>VLOOKUP(C74,MOQ,3,FALSE())</f>
      </c>
      <c r="BD74" s="49" t="e">
        <f t="shared" si="398"/>
        <v>#REF!</v>
      </c>
      <c r="BE74" s="45" t="s">
        <v>129</v>
      </c>
      <c r="BF74" s="43" t="e">
        <f t="shared" si="359"/>
        <v>#REF!</v>
      </c>
      <c r="BG74" s="43">
        <f t="shared" si="360"/>
        <v>16.0</v>
      </c>
      <c r="BH74" s="43" t="e">
        <f t="shared" si="361"/>
        <v>#REF!</v>
      </c>
      <c r="BI74" s="46" t="e">
        <f t="shared" si="362"/>
        <v>#REF!</v>
      </c>
      <c r="BJ74" s="43">
        <f t="shared" si="363"/>
        <v>21.3333333333326</v>
      </c>
      <c r="BK74" s="43">
        <f t="shared" si="364"/>
      </c>
      <c r="BL74" s="46" t="e">
        <f t="shared" si="365"/>
        <v>#REF!</v>
      </c>
      <c r="BM74" s="43">
        <f t="shared" si="366"/>
        <v>22.5632183908046</v>
      </c>
      <c r="BN74" s="43"/>
      <c r="BO74" s="46" t="e">
        <f t="shared" si="367"/>
        <v>#REF!</v>
      </c>
      <c r="BP74" s="43">
        <f t="shared" si="368"/>
        <v>25.5632183908046</v>
      </c>
      <c r="BQ74" s="43"/>
      <c r="BR74" s="46" t="e">
        <f t="shared" si="369"/>
        <v>#REF!</v>
      </c>
      <c r="BS74" s="43">
        <f t="shared" si="370"/>
        <v>25.5632183908046</v>
      </c>
      <c r="BT74" s="43"/>
      <c r="BU74" s="46" t="e">
        <f t="shared" si="371"/>
        <v>#REF!</v>
      </c>
      <c r="BV74" s="43">
        <f t="shared" si="372"/>
        <v>25.5632183908046</v>
      </c>
      <c r="BW74" s="43"/>
      <c r="BX74" s="46" t="e">
        <f t="shared" si="373"/>
        <v>#REF!</v>
      </c>
      <c r="BY74" s="43"/>
      <c r="BZ74" s="42" t="e">
        <f t="shared" si="410"/>
        <v>#REF!</v>
      </c>
      <c r="CA74" s="52" t="e">
        <f t="shared" si="411"/>
        <v>#REF!</v>
      </c>
      <c r="CB74" s="42" t="e">
        <f t="shared" si="412"/>
        <v>#REF!</v>
      </c>
      <c r="CC74" s="53" t="e">
        <f t="shared" si="413"/>
        <v>#REF!</v>
      </c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AMF74" s="47"/>
      <c r="AMG74" s="47"/>
      <c r="AMH74" s="47"/>
      <c r="AMI74" s="47"/>
      <c r="AMJ74" s="47"/>
    </row>
    <row r="75" ht="14.0">
      <c r="A75" s="37" t="s">
        <v>32</v>
      </c>
      <c r="B75" s="37" t="s">
        <v>110</v>
      </c>
      <c r="C75" s="55" t="s">
        <v>130</v>
      </c>
      <c r="D75" s="38">
        <v>43134.0</v>
      </c>
      <c r="E75" s="37">
        <v>0.0</v>
      </c>
      <c r="F75" s="37">
        <v>0.0</v>
      </c>
      <c r="G75" s="37">
        <v>0.0</v>
      </c>
      <c r="H75" s="37">
        <v>0.0</v>
      </c>
      <c r="I75" s="37">
        <v>0.0</v>
      </c>
      <c r="J75" s="37">
        <v>0.0</v>
      </c>
      <c r="K75" s="37">
        <v>0.0</v>
      </c>
      <c r="L75" s="37">
        <v>24.0</v>
      </c>
      <c r="M75" s="37">
        <v>33.0</v>
      </c>
      <c r="N75" s="37">
        <v>21.0</v>
      </c>
      <c r="O75" s="37">
        <v>34.0</v>
      </c>
      <c r="P75" s="37">
        <v>24.0</v>
      </c>
      <c r="Q75" s="37">
        <v>12.0</v>
      </c>
      <c r="R75" s="37">
        <v>3.0</v>
      </c>
      <c r="S75" s="37">
        <v>3.0</v>
      </c>
      <c r="T75" s="37">
        <v>3.0</v>
      </c>
      <c r="U75" s="37">
        <v>6.0</v>
      </c>
      <c r="V75" s="37">
        <v>6.0</v>
      </c>
      <c r="W75" s="37">
        <v>4.0</v>
      </c>
      <c r="X75" s="37">
        <v>0.0</v>
      </c>
      <c r="Y75" s="37">
        <v>9.0</v>
      </c>
      <c r="Z75" s="37">
        <v>3.0</v>
      </c>
      <c r="AA75" s="37">
        <v>19.0</v>
      </c>
      <c r="AB75" s="37">
        <v>31.0</v>
      </c>
      <c r="AC75" s="37">
        <v>9.0</v>
      </c>
      <c r="AD75" s="37">
        <v>9.0</v>
      </c>
      <c r="AE75" s="37">
        <v>12.0</v>
      </c>
      <c r="AF75" s="37">
        <v>6.0</v>
      </c>
      <c r="AG75" s="37">
        <v>27.0</v>
      </c>
      <c r="AH75" s="37">
        <v>15.0</v>
      </c>
      <c r="AI75" s="37">
        <v>27.0</v>
      </c>
      <c r="AJ75" s="37">
        <v>6.0</v>
      </c>
      <c r="AK75" s="37">
        <v>24.0</v>
      </c>
      <c r="AL75" s="37">
        <v>6.0</v>
      </c>
      <c r="AM75" s="37">
        <v>33.0</v>
      </c>
      <c r="AN75" s="37">
        <v>18.0</v>
      </c>
      <c r="AO75" s="39">
        <f t="shared" si="3"/>
        <v>192.0</v>
      </c>
      <c r="AP75" s="39">
        <f t="shared" si="4"/>
        <v>114.0</v>
      </c>
      <c r="AQ75" s="39">
        <f t="shared" si="5"/>
        <v>125.4</v>
      </c>
      <c r="AR75" s="51">
        <f t="shared" si="414"/>
        <v>23.5862068965516</v>
      </c>
      <c r="AS75" s="51">
        <f t="shared" si="415"/>
        <v>31.4482758620689</v>
      </c>
      <c r="AT75" s="51">
        <f t="shared" si="416"/>
        <v>35.2068965517241</v>
      </c>
      <c r="AU75" s="51">
        <f t="shared" si="417"/>
        <v>38.2068965517241</v>
      </c>
      <c r="AV75" s="51">
        <f t="shared" si="418"/>
        <v>38.2068965517241</v>
      </c>
      <c r="AW75" s="51">
        <f t="shared" si="419"/>
        <v>38.2068965517241</v>
      </c>
      <c r="AX75" s="41">
        <f t="shared" si="12"/>
        <v>204.86206896551</v>
      </c>
      <c r="AY75" s="41" t="e">
        <f t="shared" si="13"/>
        <v>#REF!</v>
      </c>
      <c r="AZ75" s="42" t="e">
        <f t="shared" si="420"/>
        <v>#REF!</v>
      </c>
      <c r="BA75" s="43"/>
      <c r="BB75" s="39" t="e">
        <f t="shared" si="357"/>
        <v>#REF!</v>
      </c>
      <c r="BC75" s="43">
        <f>VLOOKUP(C75,MOQ,3,FALSE())</f>
      </c>
      <c r="BD75" s="49" t="e">
        <f t="shared" si="398"/>
        <v>#REF!</v>
      </c>
      <c r="BE75" s="45" t="s">
        <v>7</v>
      </c>
      <c r="BF75" s="43" t="e">
        <f t="shared" si="359"/>
        <v>#REF!</v>
      </c>
      <c r="BG75" s="43">
        <f t="shared" si="360"/>
        <v>23.5862068965516</v>
      </c>
      <c r="BH75" s="43" t="e">
        <f t="shared" si="361"/>
        <v>#REF!</v>
      </c>
      <c r="BI75" s="46" t="e">
        <f t="shared" si="362"/>
        <v>#REF!</v>
      </c>
      <c r="BJ75" s="43">
        <f t="shared" si="363"/>
        <v>31.4482758620689</v>
      </c>
      <c r="BK75" s="43">
        <f t="shared" si="364"/>
      </c>
      <c r="BL75" s="46" t="e">
        <f t="shared" si="365"/>
        <v>#REF!</v>
      </c>
      <c r="BM75" s="43">
        <f t="shared" si="366"/>
        <v>35.2068965517241</v>
      </c>
      <c r="BN75" s="43"/>
      <c r="BO75" s="46" t="e">
        <f t="shared" si="367"/>
        <v>#REF!</v>
      </c>
      <c r="BP75" s="43">
        <f t="shared" si="368"/>
        <v>38.2068965517241</v>
      </c>
      <c r="BQ75" s="43"/>
      <c r="BR75" s="46" t="e">
        <f t="shared" si="369"/>
        <v>#REF!</v>
      </c>
      <c r="BS75" s="43">
        <f t="shared" si="370"/>
        <v>38.2068965517241</v>
      </c>
      <c r="BT75" s="43"/>
      <c r="BU75" s="46" t="e">
        <f t="shared" si="371"/>
        <v>#REF!</v>
      </c>
      <c r="BV75" s="43">
        <f t="shared" si="372"/>
        <v>38.2068965517241</v>
      </c>
      <c r="BW75" s="43"/>
      <c r="BX75" s="46" t="e">
        <f t="shared" si="373"/>
        <v>#REF!</v>
      </c>
      <c r="BY75" s="43"/>
      <c r="BZ75" s="42" t="e">
        <f t="shared" si="410"/>
        <v>#REF!</v>
      </c>
      <c r="CA75" s="52" t="e">
        <f t="shared" si="411"/>
        <v>#REF!</v>
      </c>
      <c r="CB75" s="42" t="e">
        <f t="shared" si="412"/>
        <v>#REF!</v>
      </c>
      <c r="CC75" s="53" t="e">
        <f t="shared" si="413"/>
        <v>#REF!</v>
      </c>
      <c r="CD75" s="43"/>
      <c r="CE75" s="43"/>
      <c r="CF75" s="43"/>
      <c r="CG75" s="43"/>
      <c r="CH75" s="43"/>
      <c r="CI75" s="43"/>
      <c r="CJ75" s="43"/>
      <c r="CK75" s="43"/>
      <c r="CL75" s="43"/>
      <c r="CM75" s="43"/>
      <c r="CN75" s="43"/>
      <c r="CO75" s="43"/>
      <c r="CP75" s="43"/>
      <c r="CQ75" s="43"/>
      <c r="CR75" s="43"/>
      <c r="CS75" s="43"/>
      <c r="CT75" s="43"/>
      <c r="CU75" s="43"/>
      <c r="CV75" s="43"/>
      <c r="CW75" s="43"/>
      <c r="CX75" s="43"/>
      <c r="CY75" s="43"/>
      <c r="CZ75" s="43"/>
      <c r="DA75" s="43"/>
      <c r="DB75" s="43"/>
      <c r="DC75" s="43"/>
      <c r="AMF75" s="47"/>
      <c r="AMG75" s="47"/>
      <c r="AMH75" s="47"/>
      <c r="AMI75" s="47"/>
      <c r="AMJ75" s="47"/>
    </row>
    <row r="76" ht="14.0">
      <c r="A76" s="37" t="s">
        <v>32</v>
      </c>
      <c r="B76" s="37" t="s">
        <v>110</v>
      </c>
      <c r="C76" s="55" t="s">
        <v>131</v>
      </c>
      <c r="D76" s="38">
        <v>43145.0</v>
      </c>
      <c r="E76" s="37">
        <v>0.0</v>
      </c>
      <c r="F76" s="37">
        <v>0.0</v>
      </c>
      <c r="G76" s="37">
        <v>0.0</v>
      </c>
      <c r="H76" s="37">
        <v>0.0</v>
      </c>
      <c r="I76" s="37">
        <v>0.0</v>
      </c>
      <c r="J76" s="37">
        <v>0.0</v>
      </c>
      <c r="K76" s="37">
        <v>0.0</v>
      </c>
      <c r="L76" s="37">
        <v>24.0</v>
      </c>
      <c r="M76" s="37">
        <v>24.0</v>
      </c>
      <c r="N76" s="37">
        <v>24.0</v>
      </c>
      <c r="O76" s="37">
        <v>24.0</v>
      </c>
      <c r="P76" s="37">
        <v>36.0</v>
      </c>
      <c r="Q76" s="37">
        <v>15.0</v>
      </c>
      <c r="R76" s="37">
        <v>18.0</v>
      </c>
      <c r="S76" s="37">
        <v>30.0</v>
      </c>
      <c r="T76" s="37">
        <v>15.0</v>
      </c>
      <c r="U76" s="37">
        <v>18.0</v>
      </c>
      <c r="V76" s="37">
        <v>35.0</v>
      </c>
      <c r="W76" s="37">
        <v>9.0</v>
      </c>
      <c r="X76" s="37">
        <v>15.0</v>
      </c>
      <c r="Y76" s="37">
        <v>24.0</v>
      </c>
      <c r="Z76" s="37">
        <v>18.0</v>
      </c>
      <c r="AA76" s="37">
        <v>37.0</v>
      </c>
      <c r="AB76" s="37">
        <v>19.0</v>
      </c>
      <c r="AC76" s="37">
        <v>18.0</v>
      </c>
      <c r="AD76" s="37">
        <v>9.0</v>
      </c>
      <c r="AE76" s="37">
        <v>18.0</v>
      </c>
      <c r="AF76" s="37">
        <v>27.0</v>
      </c>
      <c r="AG76" s="37">
        <v>27.0</v>
      </c>
      <c r="AH76" s="37">
        <v>27.0</v>
      </c>
      <c r="AI76" s="37">
        <v>33.0</v>
      </c>
      <c r="AJ76" s="37">
        <v>13.0</v>
      </c>
      <c r="AK76" s="37">
        <v>0.0</v>
      </c>
      <c r="AL76" s="37">
        <v>3.0</v>
      </c>
      <c r="AM76" s="37">
        <v>30.0</v>
      </c>
      <c r="AN76" s="37">
        <v>12.0</v>
      </c>
      <c r="AO76" s="39">
        <f t="shared" si="3"/>
        <v>217.0</v>
      </c>
      <c r="AP76" s="39">
        <f t="shared" si="4"/>
        <v>91.0</v>
      </c>
      <c r="AQ76" s="39">
        <f t="shared" si="5"/>
        <v>100.1</v>
      </c>
      <c r="AR76" s="51">
        <f t="shared" si="414"/>
        <v>20.4137931034482</v>
      </c>
      <c r="AS76" s="51">
        <f t="shared" si="415"/>
        <v>27.2183908045976</v>
      </c>
      <c r="AT76" s="51">
        <f t="shared" si="416"/>
        <v>29.919540229885</v>
      </c>
      <c r="AU76" s="51">
        <f t="shared" si="417"/>
        <v>32.919540229885</v>
      </c>
      <c r="AV76" s="51">
        <f t="shared" si="418"/>
        <v>32.919540229885</v>
      </c>
      <c r="AW76" s="51">
        <f t="shared" si="419"/>
        <v>32.919540229885</v>
      </c>
      <c r="AX76" s="41">
        <f t="shared" si="12"/>
        <v>176.310344827586</v>
      </c>
      <c r="AY76" s="41" t="e">
        <f t="shared" si="13"/>
        <v>#REF!</v>
      </c>
      <c r="AZ76" s="42"/>
      <c r="BA76" s="43"/>
      <c r="BB76" s="39" t="e">
        <f t="shared" si="357"/>
        <v>#REF!</v>
      </c>
      <c r="BC76" s="43">
        <f>VLOOKUP(C76,MOQ,3,FALSE())</f>
      </c>
      <c r="BD76" s="49" t="e">
        <f t="shared" si="398"/>
        <v>#REF!</v>
      </c>
      <c r="BE76" s="45" t="s">
        <v>7</v>
      </c>
      <c r="BF76" s="43" t="e">
        <f t="shared" si="359"/>
        <v>#REF!</v>
      </c>
      <c r="BG76" s="43">
        <f t="shared" si="360"/>
        <v>20.4137931034482</v>
      </c>
      <c r="BH76" s="43">
        <f t="shared" si="361"/>
      </c>
      <c r="BI76" s="46" t="e">
        <f t="shared" si="362"/>
        <v>#REF!</v>
      </c>
      <c r="BJ76" s="43">
        <f t="shared" si="363"/>
        <v>27.2183908045976</v>
      </c>
      <c r="BK76" s="43">
        <f t="shared" si="364"/>
      </c>
      <c r="BL76" s="46" t="e">
        <f t="shared" si="365"/>
        <v>#REF!</v>
      </c>
      <c r="BM76" s="43">
        <f t="shared" si="366"/>
        <v>29.919540229885</v>
      </c>
      <c r="BN76" s="43"/>
      <c r="BO76" s="46" t="e">
        <f t="shared" si="367"/>
        <v>#REF!</v>
      </c>
      <c r="BP76" s="43">
        <f t="shared" si="368"/>
        <v>32.919540229885</v>
      </c>
      <c r="BQ76" s="43"/>
      <c r="BR76" s="46" t="e">
        <f t="shared" si="369"/>
        <v>#REF!</v>
      </c>
      <c r="BS76" s="43">
        <f t="shared" si="370"/>
        <v>32.919540229885</v>
      </c>
      <c r="BT76" s="43"/>
      <c r="BU76" s="46" t="e">
        <f t="shared" si="371"/>
        <v>#REF!</v>
      </c>
      <c r="BV76" s="43">
        <f t="shared" si="372"/>
        <v>32.919540229885</v>
      </c>
      <c r="BW76" s="43"/>
      <c r="BX76" s="46" t="e">
        <f t="shared" si="373"/>
        <v>#REF!</v>
      </c>
      <c r="BY76" s="43"/>
      <c r="BZ76" s="42" t="e">
        <f t="shared" si="410"/>
        <v>#REF!</v>
      </c>
      <c r="CA76" s="52" t="e">
        <f t="shared" si="411"/>
        <v>#REF!</v>
      </c>
      <c r="CB76" s="42" t="e">
        <f t="shared" si="412"/>
        <v>#REF!</v>
      </c>
      <c r="CC76" s="53" t="e">
        <f t="shared" si="413"/>
        <v>#REF!</v>
      </c>
      <c r="CD76" s="43"/>
      <c r="CE76" s="43"/>
      <c r="CF76" s="43"/>
      <c r="CG76" s="43"/>
      <c r="CH76" s="43"/>
      <c r="CI76" s="43"/>
      <c r="CJ76" s="43"/>
      <c r="CK76" s="43"/>
      <c r="CL76" s="43"/>
      <c r="CM76" s="43"/>
      <c r="CN76" s="43"/>
      <c r="CO76" s="43"/>
      <c r="CP76" s="43"/>
      <c r="CQ76" s="43"/>
      <c r="CR76" s="43"/>
      <c r="CS76" s="43"/>
      <c r="CT76" s="43"/>
      <c r="CU76" s="43"/>
      <c r="CV76" s="43"/>
      <c r="CW76" s="43"/>
      <c r="CX76" s="43"/>
      <c r="CY76" s="43"/>
      <c r="CZ76" s="43"/>
      <c r="DA76" s="43"/>
      <c r="DB76" s="43"/>
      <c r="DC76" s="43"/>
      <c r="AMF76" s="47"/>
      <c r="AMG76" s="47"/>
      <c r="AMH76" s="47"/>
      <c r="AMI76" s="47"/>
      <c r="AMJ76" s="47"/>
    </row>
    <row r="77" ht="14.0">
      <c r="A77" s="37" t="s">
        <v>32</v>
      </c>
      <c r="B77" s="37" t="s">
        <v>110</v>
      </c>
      <c r="C77" s="55" t="s">
        <v>132</v>
      </c>
      <c r="D77" s="38">
        <v>43150.0</v>
      </c>
      <c r="E77" s="37">
        <v>0.0</v>
      </c>
      <c r="F77" s="37">
        <v>0.0</v>
      </c>
      <c r="G77" s="37">
        <v>0.0</v>
      </c>
      <c r="H77" s="37">
        <v>0.0</v>
      </c>
      <c r="I77" s="37">
        <v>0.0</v>
      </c>
      <c r="J77" s="37">
        <v>0.0</v>
      </c>
      <c r="K77" s="37">
        <v>0.0</v>
      </c>
      <c r="L77" s="37">
        <v>0.0</v>
      </c>
      <c r="M77" s="37">
        <v>0.0</v>
      </c>
      <c r="N77" s="37">
        <v>0.0</v>
      </c>
      <c r="O77" s="37">
        <v>0.0</v>
      </c>
      <c r="P77" s="37">
        <v>0.0</v>
      </c>
      <c r="Q77" s="37">
        <v>0.0</v>
      </c>
      <c r="R77" s="37">
        <v>0.0</v>
      </c>
      <c r="S77" s="37">
        <v>0.0</v>
      </c>
      <c r="T77" s="37">
        <v>0.0</v>
      </c>
      <c r="U77" s="37">
        <v>9.0</v>
      </c>
      <c r="V77" s="37">
        <v>39.0</v>
      </c>
      <c r="W77" s="37">
        <v>9.0</v>
      </c>
      <c r="X77" s="37">
        <v>15.0</v>
      </c>
      <c r="Y77" s="37">
        <v>24.0</v>
      </c>
      <c r="Z77" s="37">
        <v>12.0</v>
      </c>
      <c r="AA77" s="37">
        <v>4.0</v>
      </c>
      <c r="AB77" s="37">
        <v>9.0</v>
      </c>
      <c r="AC77" s="37">
        <v>3.0</v>
      </c>
      <c r="AD77" s="37">
        <v>3.0</v>
      </c>
      <c r="AE77" s="37">
        <v>9.0</v>
      </c>
      <c r="AF77" s="37">
        <v>21.0</v>
      </c>
      <c r="AG77" s="37">
        <v>21.0</v>
      </c>
      <c r="AH77" s="37">
        <v>9.0</v>
      </c>
      <c r="AI77" s="37">
        <v>15.0</v>
      </c>
      <c r="AJ77" s="37">
        <v>21.0</v>
      </c>
      <c r="AK77" s="37">
        <v>2.0</v>
      </c>
      <c r="AL77" s="37">
        <v>3.0</v>
      </c>
      <c r="AM77" s="37">
        <v>15.0</v>
      </c>
      <c r="AN77" s="37">
        <v>0.0</v>
      </c>
      <c r="AO77" s="39">
        <f t="shared" si="3"/>
        <v>122.0</v>
      </c>
      <c r="AP77" s="39">
        <f t="shared" si="4"/>
        <v>56.0</v>
      </c>
      <c r="AQ77" s="39">
        <f t="shared" si="5"/>
        <v>61.6</v>
      </c>
      <c r="AR77" s="51">
        <f t="shared" si="414"/>
        <v>15.5862068965517</v>
      </c>
      <c r="AS77" s="51">
        <f t="shared" si="415"/>
        <v>20.7816091954021</v>
      </c>
      <c r="AT77" s="51">
        <f t="shared" si="416"/>
        <v>21.8735632183908</v>
      </c>
      <c r="AU77" s="51">
        <f t="shared" si="417"/>
        <v>24.8735632183908</v>
      </c>
      <c r="AV77" s="51">
        <f t="shared" si="418"/>
        <v>24.8735632183908</v>
      </c>
      <c r="AW77" s="51">
        <f t="shared" si="419"/>
        <v>24.8735632183908</v>
      </c>
      <c r="AX77" s="41">
        <f t="shared" si="12"/>
        <v>132.86206896551</v>
      </c>
      <c r="AY77" s="41" t="e">
        <f t="shared" si="13"/>
        <v>#REF!</v>
      </c>
      <c r="AZ77" s="42" t="e">
        <f>VLOOKUP(C77,IFUKJULY,3,false)</f>
        <v>#REF!</v>
      </c>
      <c r="BA77" s="61"/>
      <c r="BB77" s="39" t="e">
        <f t="shared" si="357"/>
        <v>#REF!</v>
      </c>
      <c r="BC77" s="43">
        <f>VLOOKUP(C77,MOQ,3,FALSE())</f>
      </c>
      <c r="BD77" s="49" t="e">
        <f t="shared" si="398"/>
        <v>#REF!</v>
      </c>
      <c r="BE77" s="45" t="s">
        <v>8</v>
      </c>
      <c r="BF77" s="43" t="e">
        <f t="shared" si="359"/>
        <v>#REF!</v>
      </c>
      <c r="BG77" s="43">
        <f t="shared" si="360"/>
        <v>15.5862068965517</v>
      </c>
      <c r="BH77" s="43" t="e">
        <f t="shared" si="361"/>
        <v>#REF!</v>
      </c>
      <c r="BI77" s="46" t="e">
        <f t="shared" si="362"/>
        <v>#REF!</v>
      </c>
      <c r="BJ77" s="43">
        <f t="shared" si="363"/>
        <v>20.7816091954021</v>
      </c>
      <c r="BK77" s="43">
        <f t="shared" si="364"/>
      </c>
      <c r="BL77" s="46" t="e">
        <f t="shared" si="365"/>
        <v>#REF!</v>
      </c>
      <c r="BM77" s="43">
        <f t="shared" si="366"/>
        <v>21.8735632183908</v>
      </c>
      <c r="BN77" s="43"/>
      <c r="BO77" s="46" t="e">
        <f t="shared" si="367"/>
        <v>#REF!</v>
      </c>
      <c r="BP77" s="43">
        <f t="shared" si="368"/>
        <v>24.8735632183908</v>
      </c>
      <c r="BQ77" s="43"/>
      <c r="BR77" s="46" t="e">
        <f t="shared" si="369"/>
        <v>#REF!</v>
      </c>
      <c r="BS77" s="43">
        <f t="shared" si="370"/>
        <v>24.8735632183908</v>
      </c>
      <c r="BT77" s="43"/>
      <c r="BU77" s="46" t="e">
        <f t="shared" si="371"/>
        <v>#REF!</v>
      </c>
      <c r="BV77" s="43">
        <f t="shared" si="372"/>
        <v>24.8735632183908</v>
      </c>
      <c r="BW77" s="43"/>
      <c r="BX77" s="46" t="e">
        <f t="shared" si="373"/>
        <v>#REF!</v>
      </c>
      <c r="BY77" s="61"/>
      <c r="BZ77" s="42" t="e">
        <f t="shared" si="410"/>
        <v>#REF!</v>
      </c>
      <c r="CA77" s="52" t="e">
        <f t="shared" si="411"/>
        <v>#REF!</v>
      </c>
      <c r="CB77" s="42" t="e">
        <f t="shared" si="412"/>
        <v>#REF!</v>
      </c>
      <c r="CC77" s="53" t="e">
        <f t="shared" si="413"/>
        <v>#REF!</v>
      </c>
      <c r="CD77" s="61"/>
      <c r="CE77" s="61"/>
      <c r="CF77" s="61"/>
      <c r="CG77" s="61"/>
      <c r="CH77" s="61"/>
      <c r="CI77" s="61"/>
      <c r="CJ77" s="61"/>
      <c r="CK77" s="61"/>
      <c r="CL77" s="61"/>
      <c r="CM77" s="61"/>
      <c r="CN77" s="61"/>
      <c r="CO77" s="61"/>
      <c r="CP77" s="61"/>
      <c r="CQ77" s="61"/>
      <c r="CR77" s="61"/>
      <c r="CS77" s="61"/>
      <c r="CT77" s="61"/>
      <c r="CU77" s="61"/>
      <c r="CV77" s="61"/>
      <c r="CW77" s="61"/>
      <c r="CX77" s="61"/>
      <c r="CY77" s="61"/>
      <c r="CZ77" s="61"/>
      <c r="DA77" s="61"/>
      <c r="DB77" s="61"/>
      <c r="DC77" s="61"/>
      <c r="AMF77" s="62"/>
      <c r="AMG77" s="62"/>
      <c r="AMH77" s="62"/>
      <c r="AMI77" s="62"/>
    </row>
    <row r="78" ht="14.0">
      <c r="A78" s="37" t="s">
        <v>32</v>
      </c>
      <c r="B78" s="37" t="s">
        <v>110</v>
      </c>
      <c r="C78" s="37" t="s">
        <v>133</v>
      </c>
      <c r="D78" s="38">
        <v>43190.0</v>
      </c>
      <c r="E78" s="37">
        <v>0.0</v>
      </c>
      <c r="F78" s="37">
        <v>0.0</v>
      </c>
      <c r="G78" s="37">
        <v>0.0</v>
      </c>
      <c r="H78" s="37">
        <v>0.0</v>
      </c>
      <c r="I78" s="37">
        <v>0.0</v>
      </c>
      <c r="J78" s="37">
        <v>0.0</v>
      </c>
      <c r="K78" s="37">
        <v>0.0</v>
      </c>
      <c r="L78" s="37">
        <v>0.0</v>
      </c>
      <c r="M78" s="37">
        <v>0.0</v>
      </c>
      <c r="N78" s="37">
        <v>0.0</v>
      </c>
      <c r="O78" s="37">
        <v>0.0</v>
      </c>
      <c r="P78" s="37">
        <v>0.0</v>
      </c>
      <c r="Q78" s="37">
        <v>6.0</v>
      </c>
      <c r="R78" s="37">
        <v>18.0</v>
      </c>
      <c r="S78" s="37">
        <v>39.0</v>
      </c>
      <c r="T78" s="37">
        <v>12.0</v>
      </c>
      <c r="U78" s="37">
        <v>21.0</v>
      </c>
      <c r="V78" s="37">
        <v>12.0</v>
      </c>
      <c r="W78" s="37">
        <v>9.0</v>
      </c>
      <c r="X78" s="37">
        <v>6.0</v>
      </c>
      <c r="Y78" s="37">
        <v>33.0</v>
      </c>
      <c r="Z78" s="37">
        <v>36.0</v>
      </c>
      <c r="AA78" s="37">
        <v>1.0</v>
      </c>
      <c r="AB78" s="37">
        <v>18.0</v>
      </c>
      <c r="AC78" s="37">
        <v>10.0</v>
      </c>
      <c r="AD78" s="37">
        <v>24.0</v>
      </c>
      <c r="AE78" s="37">
        <v>30.0</v>
      </c>
      <c r="AF78" s="37">
        <v>24.0</v>
      </c>
      <c r="AG78" s="37">
        <v>33.0</v>
      </c>
      <c r="AH78" s="37">
        <v>9.0</v>
      </c>
      <c r="AI78" s="37">
        <v>18.0</v>
      </c>
      <c r="AJ78" s="37">
        <v>0.0</v>
      </c>
      <c r="AK78" s="37">
        <v>9.0</v>
      </c>
      <c r="AL78" s="37">
        <v>3.0</v>
      </c>
      <c r="AM78" s="37">
        <v>24.0</v>
      </c>
      <c r="AN78" s="37">
        <v>12.0</v>
      </c>
      <c r="AO78" s="39">
        <f t="shared" si="3"/>
        <v>196.0</v>
      </c>
      <c r="AP78" s="39">
        <f t="shared" si="4"/>
        <v>66.0</v>
      </c>
      <c r="AQ78" s="39">
        <f t="shared" si="5"/>
        <v>72.6</v>
      </c>
      <c r="AR78" s="51">
        <f>AQ78*$AR$4/$AQ$4</f>
        <v>9.10344827586207</v>
      </c>
      <c r="AS78" s="51">
        <f>AQ78*$AS$4/$AQ$4</f>
        <v>12.137931034482</v>
      </c>
      <c r="AT78" s="51">
        <f>AQ78*$AT$4/$AQ$4</f>
        <v>15.1724137931034</v>
      </c>
      <c r="AU78" s="51">
        <f>AQ78*$AU$4/$AQ$4</f>
        <v>15.1724137931034</v>
      </c>
      <c r="AV78" s="51">
        <f>AQ78*$AV$4/$AQ$4</f>
        <v>15.1724137931034</v>
      </c>
      <c r="AW78" s="51">
        <f>AQ78*$AW$4/$AQ$4</f>
        <v>15.1724137931034</v>
      </c>
      <c r="AX78" s="41">
        <f t="shared" si="12"/>
        <v>81.9310344827577</v>
      </c>
      <c r="AY78" s="41" t="e">
        <f t="shared" si="13"/>
        <v>#REF!</v>
      </c>
      <c r="AZ78" s="42"/>
      <c r="BA78" s="42"/>
      <c r="BB78" s="39" t="e">
        <f t="shared" si="357"/>
        <v>#REF!</v>
      </c>
      <c r="BC78" s="43">
        <f>VLOOKUP(C78,MOQ,3,FALSE())</f>
      </c>
      <c r="BD78" s="49" t="e">
        <f t="shared" si="398"/>
        <v>#REF!</v>
      </c>
      <c r="BE78" s="45" t="s">
        <v>7</v>
      </c>
      <c r="BF78" s="43" t="e">
        <f t="shared" si="359"/>
        <v>#REF!</v>
      </c>
      <c r="BG78" s="43">
        <f t="shared" si="360"/>
        <v>9.10344827586207</v>
      </c>
      <c r="BH78" s="43">
        <f t="shared" si="361"/>
      </c>
      <c r="BI78" s="46" t="e">
        <f t="shared" si="362"/>
        <v>#REF!</v>
      </c>
      <c r="BJ78" s="43">
        <f t="shared" si="363"/>
        <v>12.137931034482</v>
      </c>
      <c r="BK78" s="43">
        <f t="shared" si="364"/>
      </c>
      <c r="BL78" s="46" t="e">
        <f t="shared" si="365"/>
        <v>#REF!</v>
      </c>
      <c r="BM78" s="43">
        <f t="shared" si="366"/>
        <v>15.1724137931034</v>
      </c>
      <c r="BN78" s="43"/>
      <c r="BO78" s="46" t="e">
        <f t="shared" si="367"/>
        <v>#REF!</v>
      </c>
      <c r="BP78" s="43">
        <f t="shared" si="368"/>
        <v>15.1724137931034</v>
      </c>
      <c r="BQ78" s="43"/>
      <c r="BR78" s="46" t="e">
        <f t="shared" si="369"/>
        <v>#REF!</v>
      </c>
      <c r="BS78" s="43">
        <f t="shared" si="370"/>
        <v>15.1724137931034</v>
      </c>
      <c r="BT78" s="43"/>
      <c r="BU78" s="46" t="e">
        <f t="shared" si="371"/>
        <v>#REF!</v>
      </c>
      <c r="BV78" s="43">
        <f t="shared" si="372"/>
        <v>15.1724137931034</v>
      </c>
      <c r="BW78" s="43"/>
      <c r="BX78" s="46" t="e">
        <f t="shared" si="373"/>
        <v>#REF!</v>
      </c>
      <c r="BY78" s="42"/>
      <c r="BZ78" s="42" t="e">
        <f t="shared" si="410"/>
        <v>#REF!</v>
      </c>
      <c r="CA78" s="52" t="e">
        <f t="shared" si="411"/>
        <v>#REF!</v>
      </c>
      <c r="CB78" s="42" t="e">
        <f t="shared" si="412"/>
        <v>#REF!</v>
      </c>
      <c r="CC78" s="53" t="e">
        <f t="shared" si="413"/>
        <v>#REF!</v>
      </c>
      <c r="CD78" s="42"/>
      <c r="CE78" s="42"/>
      <c r="CF78" s="42"/>
      <c r="CG78" s="42"/>
      <c r="CH78" s="42"/>
      <c r="CI78" s="42"/>
      <c r="CJ78" s="42"/>
      <c r="CK78" s="42"/>
      <c r="CL78" s="42"/>
      <c r="CM78" s="42"/>
      <c r="CN78" s="42"/>
      <c r="CO78" s="42"/>
      <c r="CP78" s="42"/>
      <c r="CQ78" s="42"/>
      <c r="CR78" s="42"/>
      <c r="CS78" s="42"/>
      <c r="CT78" s="42"/>
      <c r="CU78" s="42"/>
      <c r="CV78" s="42"/>
      <c r="CW78" s="42"/>
      <c r="CX78" s="42"/>
      <c r="CY78" s="42"/>
      <c r="CZ78" s="42"/>
      <c r="DA78" s="42"/>
      <c r="DB78" s="42"/>
      <c r="DC78" s="42"/>
      <c r="AMF78" s="50"/>
      <c r="AMG78" s="50"/>
      <c r="AMH78" s="50"/>
      <c r="AMI78" s="50"/>
    </row>
    <row r="79" ht="14.0">
      <c r="A79" s="37" t="s">
        <v>32</v>
      </c>
      <c r="B79" s="37" t="s">
        <v>134</v>
      </c>
      <c r="C79" s="56" t="s">
        <v>135</v>
      </c>
      <c r="D79" s="38" t="s">
        <v>136</v>
      </c>
      <c r="E79" s="37">
        <v>1.0</v>
      </c>
      <c r="F79" s="37">
        <v>3.0</v>
      </c>
      <c r="G79" s="37">
        <v>2.0</v>
      </c>
      <c r="H79" s="37">
        <v>8.0</v>
      </c>
      <c r="I79" s="37">
        <v>1.0</v>
      </c>
      <c r="J79" s="37">
        <v>5.0</v>
      </c>
      <c r="K79" s="37">
        <v>0.0</v>
      </c>
      <c r="L79" s="37">
        <v>5.0</v>
      </c>
      <c r="M79" s="37">
        <v>6.0</v>
      </c>
      <c r="N79" s="37">
        <v>1.0</v>
      </c>
      <c r="O79" s="37">
        <v>4.0</v>
      </c>
      <c r="P79" s="37">
        <v>4.0</v>
      </c>
      <c r="Q79" s="37">
        <v>2.0</v>
      </c>
      <c r="R79" s="37">
        <v>3.0</v>
      </c>
      <c r="S79" s="37">
        <v>5.0</v>
      </c>
      <c r="T79" s="37">
        <v>2.0</v>
      </c>
      <c r="U79" s="37">
        <v>3.0</v>
      </c>
      <c r="V79" s="37">
        <v>5.0</v>
      </c>
      <c r="W79" s="37">
        <v>3.0</v>
      </c>
      <c r="X79" s="37">
        <v>4.0</v>
      </c>
      <c r="Y79" s="37">
        <v>4.0</v>
      </c>
      <c r="Z79" s="37">
        <v>3.0</v>
      </c>
      <c r="AA79" s="37">
        <v>1.0</v>
      </c>
      <c r="AB79" s="37">
        <v>1.0</v>
      </c>
      <c r="AC79" s="37">
        <v>2.0</v>
      </c>
      <c r="AD79" s="37">
        <v>2.0</v>
      </c>
      <c r="AE79" s="37">
        <v>4.0</v>
      </c>
      <c r="AF79" s="37">
        <v>2.0</v>
      </c>
      <c r="AG79" s="37">
        <v>1.0</v>
      </c>
      <c r="AH79" s="37">
        <v>0.0</v>
      </c>
      <c r="AI79" s="37">
        <v>1.0</v>
      </c>
      <c r="AJ79" s="37">
        <v>1.0</v>
      </c>
      <c r="AK79" s="37">
        <v>0.0</v>
      </c>
      <c r="AL79" s="37">
        <v>1.0</v>
      </c>
      <c r="AM79" s="37">
        <v>2.0</v>
      </c>
      <c r="AN79" s="37">
        <v>0.0</v>
      </c>
      <c r="AO79" s="39">
        <f t="shared" si="3"/>
        <v>16.0</v>
      </c>
      <c r="AP79" s="39">
        <f t="shared" si="4"/>
        <v>5.0</v>
      </c>
      <c r="AQ79" s="39">
        <f t="shared" si="5"/>
        <v>5.5</v>
      </c>
      <c r="AR79" s="48">
        <v>1.0</v>
      </c>
      <c r="AS79" s="48">
        <v>1.0</v>
      </c>
      <c r="AT79" s="48">
        <v>1.0</v>
      </c>
      <c r="AU79" s="48">
        <v>1.0</v>
      </c>
      <c r="AV79" s="48">
        <v>1.0</v>
      </c>
      <c r="AW79" s="48">
        <v>1.0</v>
      </c>
      <c r="AX79" s="41">
        <f t="shared" si="12"/>
        <v>6.0</v>
      </c>
      <c r="AY79" s="41" t="e">
        <f t="shared" si="13"/>
        <v>#REF!</v>
      </c>
      <c r="AZ79" s="42"/>
      <c r="BA79" s="42"/>
      <c r="BB79" s="39"/>
      <c r="BC79" s="43"/>
      <c r="BD79" s="49"/>
      <c r="BE79" s="45"/>
      <c r="BF79" s="43"/>
      <c r="BG79" s="43"/>
      <c r="BH79" s="43"/>
      <c r="BI79" s="46"/>
      <c r="BJ79" s="43"/>
      <c r="BK79" s="43"/>
      <c r="BL79" s="46"/>
      <c r="BM79" s="43"/>
      <c r="BN79" s="43"/>
      <c r="BO79" s="46"/>
      <c r="BP79" s="43"/>
      <c r="BQ79" s="43"/>
      <c r="BR79" s="46"/>
      <c r="BS79" s="43"/>
      <c r="BT79" s="43"/>
      <c r="BU79" s="46"/>
      <c r="BV79" s="43"/>
      <c r="BW79" s="43"/>
      <c r="BX79" s="46"/>
      <c r="BY79" s="42"/>
      <c r="BZ79" s="42"/>
      <c r="CA79" s="42"/>
      <c r="CB79" s="42"/>
      <c r="CC79" s="42"/>
      <c r="CD79" s="42"/>
      <c r="CE79" s="42"/>
      <c r="CF79" s="42"/>
      <c r="CG79" s="42"/>
      <c r="CH79" s="42"/>
      <c r="CI79" s="42"/>
      <c r="CJ79" s="42"/>
      <c r="CK79" s="42"/>
      <c r="CL79" s="42"/>
      <c r="CM79" s="42"/>
      <c r="CN79" s="42"/>
      <c r="CO79" s="42"/>
      <c r="CP79" s="42"/>
      <c r="CQ79" s="42"/>
      <c r="CR79" s="42"/>
      <c r="CS79" s="42"/>
      <c r="CT79" s="42"/>
      <c r="CU79" s="42"/>
      <c r="CV79" s="42"/>
      <c r="CW79" s="42"/>
      <c r="CX79" s="42"/>
      <c r="AMF79" s="50"/>
      <c r="AMG79" s="50"/>
      <c r="AMH79" s="50"/>
      <c r="AMI79" s="50"/>
    </row>
    <row r="80" ht="14.0">
      <c r="A80" s="37" t="s">
        <v>32</v>
      </c>
      <c r="B80" s="37" t="s">
        <v>134</v>
      </c>
      <c r="C80" s="56" t="s">
        <v>137</v>
      </c>
      <c r="D80" s="38" t="s">
        <v>138</v>
      </c>
      <c r="E80" s="37">
        <v>0.0</v>
      </c>
      <c r="F80" s="37">
        <v>0.0</v>
      </c>
      <c r="G80" s="37">
        <v>0.0</v>
      </c>
      <c r="H80" s="37">
        <v>0.0</v>
      </c>
      <c r="I80" s="37">
        <v>0.0</v>
      </c>
      <c r="J80" s="37">
        <v>1.0</v>
      </c>
      <c r="K80" s="37">
        <v>0.0</v>
      </c>
      <c r="L80" s="37">
        <v>1.0</v>
      </c>
      <c r="M80" s="37">
        <v>1.0</v>
      </c>
      <c r="N80" s="37">
        <v>1.0</v>
      </c>
      <c r="O80" s="37">
        <v>0.0</v>
      </c>
      <c r="P80" s="37">
        <v>0.0</v>
      </c>
      <c r="Q80" s="37">
        <v>0.0</v>
      </c>
      <c r="R80" s="37">
        <v>0.0</v>
      </c>
      <c r="S80" s="37">
        <v>1.0</v>
      </c>
      <c r="T80" s="37">
        <v>0.0</v>
      </c>
      <c r="U80" s="37">
        <v>0.0</v>
      </c>
      <c r="V80" s="37">
        <v>0.0</v>
      </c>
      <c r="W80" s="37">
        <v>0.0</v>
      </c>
      <c r="X80" s="37">
        <v>0.0</v>
      </c>
      <c r="Y80" s="37">
        <v>0.0</v>
      </c>
      <c r="Z80" s="37">
        <v>0.0</v>
      </c>
      <c r="AA80" s="37">
        <v>0.0</v>
      </c>
      <c r="AB80" s="37">
        <v>0.0</v>
      </c>
      <c r="AC80" s="37">
        <v>0.0</v>
      </c>
      <c r="AD80" s="37">
        <v>0.0</v>
      </c>
      <c r="AE80" s="37">
        <v>0.0</v>
      </c>
      <c r="AF80" s="37">
        <v>0.0</v>
      </c>
      <c r="AG80" s="37">
        <v>1.0</v>
      </c>
      <c r="AH80" s="37">
        <v>0.0</v>
      </c>
      <c r="AI80" s="37">
        <v>0.0</v>
      </c>
      <c r="AJ80" s="37">
        <v>0.0</v>
      </c>
      <c r="AK80" s="37">
        <v>3.0</v>
      </c>
      <c r="AL80" s="37">
        <v>0.0</v>
      </c>
      <c r="AM80" s="37">
        <v>0.0</v>
      </c>
      <c r="AN80" s="37">
        <v>0.0</v>
      </c>
      <c r="AO80" s="39">
        <f t="shared" si="3"/>
        <v>4.0</v>
      </c>
      <c r="AP80" s="39">
        <f t="shared" si="4"/>
        <v>3.0</v>
      </c>
      <c r="AQ80" s="39">
        <f t="shared" si="5"/>
        <v>3.3</v>
      </c>
      <c r="AR80" s="40">
        <f>AR79</f>
        <v>1.0</v>
      </c>
      <c r="AS80" s="40">
        <f>AS79</f>
        <v>1.0</v>
      </c>
      <c r="AT80" s="40">
        <f>AT79</f>
        <v>1.0</v>
      </c>
      <c r="AU80" s="40">
        <f>AU79</f>
        <v>1.0</v>
      </c>
      <c r="AV80" s="40">
        <f>AV79</f>
        <v>1.0</v>
      </c>
      <c r="AW80" s="40">
        <f>AW79</f>
        <v>1.0</v>
      </c>
      <c r="AX80" s="41">
        <f t="shared" si="12"/>
        <v>6.0</v>
      </c>
      <c r="AY80" s="41" t="e">
        <f t="shared" si="13"/>
        <v>#REF!</v>
      </c>
      <c r="AZ80" s="42"/>
      <c r="BA80" s="43"/>
      <c r="BB80" s="39" t="e">
        <f t="shared" ref="BB80:BB85" si="434">AY80+AZ80+BA80-AX80</f>
        <v>#REF!</v>
      </c>
      <c r="BC80" s="43">
        <f>VLOOKUP(C80,MOQ,3,FALSE())</f>
      </c>
      <c r="BD80" s="49" t="e">
        <f t="shared" ref="BD80:BD85" si="436">BB80*-1</f>
        <v>#REF!</v>
      </c>
      <c r="BE80" s="45" t="s">
        <v>8</v>
      </c>
      <c r="BF80" s="43" t="e">
        <f t="shared" ref="BF80:BF85" si="437">AY80</f>
        <v>#REF!</v>
      </c>
      <c r="BG80" s="43">
        <f t="shared" ref="BG80:BG85" si="438">AR80</f>
        <v>1.0</v>
      </c>
      <c r="BH80" s="43">
        <f t="shared" ref="BH80:BH85" si="439">AZ80</f>
      </c>
      <c r="BI80" s="46" t="e">
        <f t="shared" ref="BI80:BI85" si="440">BF80+BH80-BG80</f>
        <v>#REF!</v>
      </c>
      <c r="BJ80" s="43">
        <f t="shared" ref="BJ80:BJ85" si="441">AS80</f>
        <v>1.0</v>
      </c>
      <c r="BK80" s="43">
        <f t="shared" ref="BK80:BK85" si="442">BA80</f>
      </c>
      <c r="BL80" s="46" t="e">
        <f t="shared" ref="BL80:BL85" si="443">BI80+BK80-BJ80</f>
        <v>#REF!</v>
      </c>
      <c r="BM80" s="43">
        <f t="shared" ref="BM80:BM85" si="444">AT80</f>
        <v>1.0</v>
      </c>
      <c r="BN80" s="43"/>
      <c r="BO80" s="46" t="e">
        <f t="shared" ref="BO80:BO85" si="445">BL80+BN80-BM80</f>
        <v>#REF!</v>
      </c>
      <c r="BP80" s="43">
        <f t="shared" ref="BP80:BP85" si="446">AU80</f>
        <v>1.0</v>
      </c>
      <c r="BQ80" s="43"/>
      <c r="BR80" s="46" t="e">
        <f t="shared" ref="BR80:BR85" si="447">BO80+BQ80-BP80</f>
        <v>#REF!</v>
      </c>
      <c r="BS80" s="43">
        <f t="shared" ref="BS80:BS85" si="448">AV80</f>
        <v>1.0</v>
      </c>
      <c r="BT80" s="43"/>
      <c r="BU80" s="46" t="e">
        <f t="shared" ref="BU80:BU85" si="449">BR80+BT80-BS80</f>
        <v>#REF!</v>
      </c>
      <c r="BV80" s="43">
        <f t="shared" ref="BV80:BV85" si="450">AW80</f>
        <v>1.0</v>
      </c>
      <c r="BW80" s="43"/>
      <c r="BX80" s="46" t="e">
        <f t="shared" ref="BX80:BX85" si="451">BU80+BW80-BV80</f>
        <v>#REF!</v>
      </c>
      <c r="BY80" s="43"/>
      <c r="BZ80" s="42" t="e">
        <f t="shared" ref="BZ80:BZ85" si="452">BU80*-1</f>
        <v>#REF!</v>
      </c>
      <c r="CA80" s="52" t="e">
        <f t="shared" ref="CA80:CA85" si="453">BZ80/6</f>
        <v>#REF!</v>
      </c>
      <c r="CB80" s="42" t="e">
        <f t="shared" ref="CB80:CB85" si="454">ROUNDUP(CA80,0)</f>
        <v>#REF!</v>
      </c>
      <c r="CC80" s="53" t="e">
        <f t="shared" ref="CC80:CC85" si="455">CB80*6</f>
        <v>#REF!</v>
      </c>
      <c r="CD80" s="43"/>
      <c r="CE80" s="43"/>
      <c r="CF80" s="43"/>
      <c r="CG80" s="43"/>
      <c r="CH80" s="43"/>
      <c r="CI80" s="43"/>
      <c r="CJ80" s="43"/>
      <c r="CK80" s="43"/>
      <c r="CL80" s="43"/>
      <c r="CM80" s="43"/>
      <c r="CN80" s="43"/>
      <c r="CO80" s="43"/>
      <c r="CP80" s="43"/>
      <c r="CQ80" s="43"/>
      <c r="CR80" s="43"/>
      <c r="CS80" s="43"/>
      <c r="CT80" s="43"/>
      <c r="CU80" s="43"/>
      <c r="CV80" s="43"/>
      <c r="CW80" s="43"/>
      <c r="CX80" s="43"/>
      <c r="CY80" s="43"/>
      <c r="CZ80" s="43"/>
      <c r="DA80" s="43"/>
      <c r="DB80" s="43"/>
      <c r="DC80" s="43"/>
      <c r="AMF80" s="47"/>
      <c r="AMG80" s="47"/>
      <c r="AMH80" s="47"/>
      <c r="AMI80" s="47"/>
    </row>
    <row r="81" ht="14.0">
      <c r="A81" s="37" t="s">
        <v>32</v>
      </c>
      <c r="B81" s="37" t="s">
        <v>134</v>
      </c>
      <c r="C81" s="56" t="s">
        <v>139</v>
      </c>
      <c r="D81" s="38">
        <v>40701.0</v>
      </c>
      <c r="E81" s="63">
        <v>49.0</v>
      </c>
      <c r="F81" s="63">
        <v>38.0</v>
      </c>
      <c r="G81" s="63">
        <v>40.0</v>
      </c>
      <c r="H81" s="63">
        <v>43.0</v>
      </c>
      <c r="I81" s="63">
        <v>59.0</v>
      </c>
      <c r="J81" s="63">
        <v>71.0</v>
      </c>
      <c r="K81" s="63">
        <v>40.0</v>
      </c>
      <c r="L81" s="63">
        <v>41.0</v>
      </c>
      <c r="M81" s="63">
        <v>25.0</v>
      </c>
      <c r="N81" s="63">
        <v>39.0</v>
      </c>
      <c r="O81" s="63">
        <v>32.0</v>
      </c>
      <c r="P81" s="63">
        <v>21.0</v>
      </c>
      <c r="Q81" s="63">
        <v>29.0</v>
      </c>
      <c r="R81" s="63">
        <v>50.0</v>
      </c>
      <c r="S81" s="63">
        <v>39.0</v>
      </c>
      <c r="T81" s="63">
        <v>35.0</v>
      </c>
      <c r="U81" s="63">
        <v>35.0</v>
      </c>
      <c r="V81" s="63">
        <v>56.0</v>
      </c>
      <c r="W81" s="63">
        <v>41.0</v>
      </c>
      <c r="X81" s="63">
        <v>36.0</v>
      </c>
      <c r="Y81" s="63">
        <v>33.0</v>
      </c>
      <c r="Z81" s="63">
        <v>29.0</v>
      </c>
      <c r="AA81" s="63">
        <v>41.0</v>
      </c>
      <c r="AB81" s="63">
        <v>45.0</v>
      </c>
      <c r="AC81" s="63">
        <v>9.0</v>
      </c>
      <c r="AD81" s="63">
        <v>3.0</v>
      </c>
      <c r="AE81" s="63">
        <v>24.0</v>
      </c>
      <c r="AF81" s="63">
        <v>27.0</v>
      </c>
      <c r="AG81" s="63">
        <v>44.0</v>
      </c>
      <c r="AH81" s="63">
        <v>26.0</v>
      </c>
      <c r="AI81" s="63">
        <v>28.0</v>
      </c>
      <c r="AJ81" s="63">
        <v>18.0</v>
      </c>
      <c r="AK81" s="63">
        <v>21.0</v>
      </c>
      <c r="AL81" s="63">
        <v>21.0</v>
      </c>
      <c r="AM81" s="63">
        <v>29.0</v>
      </c>
      <c r="AN81" s="37">
        <v>13.0</v>
      </c>
      <c r="AO81" s="39">
        <f t="shared" si="3"/>
        <v>263.0</v>
      </c>
      <c r="AP81" s="39">
        <f t="shared" si="4"/>
        <v>130.0</v>
      </c>
      <c r="AQ81" s="39">
        <f t="shared" si="5"/>
        <v>143.0</v>
      </c>
      <c r="AR81" s="51">
        <f t="shared" ref="AR81:AR85" si="456">AQ81*$AR$4/$AQ$4+3*$AR$79</f>
        <v>20.9310344827586</v>
      </c>
      <c r="AS81" s="51">
        <f t="shared" ref="AS81:AS85" si="457">AQ81*$AS$4/$AQ$4+3*$AS$79</f>
        <v>26.9080459770114</v>
      </c>
      <c r="AT81" s="51">
        <f t="shared" ref="AT81:AT85" si="458">AQ81*$AT$4/$AQ$4+3*$AT$79</f>
        <v>32.8850574712643</v>
      </c>
      <c r="AU81" s="51">
        <f t="shared" ref="AU81:AU85" si="459">AQ81*$AU$4/$AQ$4+3*$AU$79</f>
        <v>32.8850574712643</v>
      </c>
      <c r="AV81" s="51">
        <f t="shared" ref="AV81:AV85" si="460">AQ81*$AV$4/$AQ$4+3*$AV$79</f>
        <v>32.8850574712643</v>
      </c>
      <c r="AW81" s="51">
        <f t="shared" ref="AW81:AW85" si="461">AQ81*$AW$4/$AQ$4+3*$AW$79</f>
        <v>32.8850574712643</v>
      </c>
      <c r="AX81" s="41">
        <f t="shared" si="12"/>
        <v>179.379310344827</v>
      </c>
      <c r="AY81" s="41" t="e">
        <f t="shared" si="13"/>
        <v>#REF!</v>
      </c>
      <c r="AZ81" s="42"/>
      <c r="BA81" s="43"/>
      <c r="BB81" s="39" t="e">
        <f t="shared" si="434"/>
        <v>#REF!</v>
      </c>
      <c r="BC81" s="43">
        <f>VLOOKUP(C81,MOQ,3,FALSE())</f>
      </c>
      <c r="BD81" s="49" t="e">
        <f t="shared" si="436"/>
        <v>#REF!</v>
      </c>
      <c r="BE81" s="57" t="s">
        <v>6</v>
      </c>
      <c r="BF81" s="43" t="e">
        <f t="shared" si="437"/>
        <v>#REF!</v>
      </c>
      <c r="BG81" s="43">
        <f t="shared" si="438"/>
        <v>20.9310344827586</v>
      </c>
      <c r="BH81" s="43">
        <f t="shared" si="439"/>
      </c>
      <c r="BI81" s="46" t="e">
        <f t="shared" si="440"/>
        <v>#REF!</v>
      </c>
      <c r="BJ81" s="43">
        <f t="shared" si="441"/>
        <v>26.9080459770114</v>
      </c>
      <c r="BK81" s="43">
        <f t="shared" si="442"/>
      </c>
      <c r="BL81" s="46" t="e">
        <f t="shared" si="443"/>
        <v>#REF!</v>
      </c>
      <c r="BM81" s="43">
        <f t="shared" si="444"/>
        <v>32.8850574712643</v>
      </c>
      <c r="BN81" s="43"/>
      <c r="BO81" s="46" t="e">
        <f t="shared" si="445"/>
        <v>#REF!</v>
      </c>
      <c r="BP81" s="43">
        <f t="shared" si="446"/>
        <v>32.8850574712643</v>
      </c>
      <c r="BQ81" s="43"/>
      <c r="BR81" s="46" t="e">
        <f t="shared" si="447"/>
        <v>#REF!</v>
      </c>
      <c r="BS81" s="43">
        <f t="shared" si="448"/>
        <v>32.8850574712643</v>
      </c>
      <c r="BT81" s="43"/>
      <c r="BU81" s="46" t="e">
        <f t="shared" si="449"/>
        <v>#REF!</v>
      </c>
      <c r="BV81" s="43">
        <f t="shared" si="450"/>
        <v>32.8850574712643</v>
      </c>
      <c r="BW81" s="43"/>
      <c r="BX81" s="46" t="e">
        <f t="shared" si="451"/>
        <v>#REF!</v>
      </c>
      <c r="BY81" s="43"/>
      <c r="BZ81" s="42" t="e">
        <f t="shared" si="452"/>
        <v>#REF!</v>
      </c>
      <c r="CA81" s="52" t="e">
        <f t="shared" si="453"/>
        <v>#REF!</v>
      </c>
      <c r="CB81" s="42" t="e">
        <f t="shared" si="454"/>
        <v>#REF!</v>
      </c>
      <c r="CC81" s="53" t="e">
        <f t="shared" si="455"/>
        <v>#REF!</v>
      </c>
      <c r="CD81" s="43"/>
      <c r="CE81" s="43"/>
      <c r="CF81" s="43"/>
      <c r="CG81" s="43"/>
      <c r="CH81" s="43"/>
      <c r="CI81" s="43"/>
      <c r="CJ81" s="43"/>
      <c r="CK81" s="43"/>
      <c r="CL81" s="43"/>
      <c r="CM81" s="43"/>
      <c r="CN81" s="43"/>
      <c r="CO81" s="43"/>
      <c r="CP81" s="43"/>
      <c r="CQ81" s="43"/>
      <c r="CR81" s="43"/>
      <c r="CS81" s="43"/>
      <c r="CT81" s="43"/>
      <c r="CU81" s="43"/>
      <c r="CV81" s="43"/>
      <c r="CW81" s="43"/>
      <c r="CX81" s="43"/>
      <c r="CY81" s="43"/>
      <c r="CZ81" s="43"/>
      <c r="DA81" s="43"/>
      <c r="DB81" s="43"/>
      <c r="DC81" s="43"/>
      <c r="AMF81" s="47"/>
      <c r="AMG81" s="47"/>
      <c r="AMH81" s="47"/>
      <c r="AMI81" s="47"/>
      <c r="AMJ81" s="36"/>
    </row>
    <row r="82" ht="14.0">
      <c r="A82" s="37" t="s">
        <v>32</v>
      </c>
      <c r="B82" s="37" t="s">
        <v>134</v>
      </c>
      <c r="C82" s="56" t="s">
        <v>140</v>
      </c>
      <c r="D82" s="38">
        <v>40702.0</v>
      </c>
      <c r="E82" s="63">
        <v>30.0</v>
      </c>
      <c r="F82" s="63">
        <v>18.0</v>
      </c>
      <c r="G82" s="63">
        <v>36.0</v>
      </c>
      <c r="H82" s="63">
        <v>21.0</v>
      </c>
      <c r="I82" s="63">
        <v>36.0</v>
      </c>
      <c r="J82" s="63">
        <v>24.0</v>
      </c>
      <c r="K82" s="63">
        <v>27.0</v>
      </c>
      <c r="L82" s="63">
        <v>30.0</v>
      </c>
      <c r="M82" s="63">
        <v>13.0</v>
      </c>
      <c r="N82" s="63">
        <v>24.0</v>
      </c>
      <c r="O82" s="63">
        <v>27.0</v>
      </c>
      <c r="P82" s="63">
        <v>18.0</v>
      </c>
      <c r="Q82" s="63">
        <v>12.0</v>
      </c>
      <c r="R82" s="63">
        <v>42.0</v>
      </c>
      <c r="S82" s="63">
        <v>36.0</v>
      </c>
      <c r="T82" s="63">
        <v>18.0</v>
      </c>
      <c r="U82" s="63">
        <v>24.0</v>
      </c>
      <c r="V82" s="63">
        <v>33.0</v>
      </c>
      <c r="W82" s="63">
        <v>27.0</v>
      </c>
      <c r="X82" s="63">
        <v>9.0</v>
      </c>
      <c r="Y82" s="63">
        <v>45.0</v>
      </c>
      <c r="Z82" s="63">
        <v>27.0</v>
      </c>
      <c r="AA82" s="63">
        <v>30.0</v>
      </c>
      <c r="AB82" s="63">
        <v>24.0</v>
      </c>
      <c r="AC82" s="63">
        <v>3.0</v>
      </c>
      <c r="AD82" s="63">
        <v>21.0</v>
      </c>
      <c r="AE82" s="63">
        <v>21.0</v>
      </c>
      <c r="AF82" s="63">
        <v>24.0</v>
      </c>
      <c r="AG82" s="63">
        <v>24.0</v>
      </c>
      <c r="AH82" s="63">
        <v>24.0</v>
      </c>
      <c r="AI82" s="63">
        <v>15.0</v>
      </c>
      <c r="AJ82" s="63">
        <v>39.0</v>
      </c>
      <c r="AK82" s="63">
        <v>0.0</v>
      </c>
      <c r="AL82" s="63">
        <v>6.0</v>
      </c>
      <c r="AM82" s="63">
        <v>30.0</v>
      </c>
      <c r="AN82" s="37">
        <v>18.0</v>
      </c>
      <c r="AO82" s="39">
        <f t="shared" si="3"/>
        <v>225.0</v>
      </c>
      <c r="AP82" s="39">
        <f t="shared" si="4"/>
        <v>108.0</v>
      </c>
      <c r="AQ82" s="39">
        <f t="shared" si="5"/>
        <v>118.8</v>
      </c>
      <c r="AR82" s="51">
        <f t="shared" si="456"/>
        <v>17.8965517241379</v>
      </c>
      <c r="AS82" s="51">
        <f t="shared" si="457"/>
        <v>22.8620689655172</v>
      </c>
      <c r="AT82" s="51">
        <f t="shared" si="458"/>
        <v>27.827586206897</v>
      </c>
      <c r="AU82" s="51">
        <f t="shared" si="459"/>
        <v>27.827586206897</v>
      </c>
      <c r="AV82" s="51">
        <f t="shared" si="460"/>
        <v>27.827586206897</v>
      </c>
      <c r="AW82" s="51">
        <f t="shared" si="461"/>
        <v>27.827586206897</v>
      </c>
      <c r="AX82" s="41">
        <f t="shared" si="12"/>
        <v>152.068965517243</v>
      </c>
      <c r="AY82" s="41" t="e">
        <f t="shared" si="13"/>
        <v>#REF!</v>
      </c>
      <c r="AZ82" s="42"/>
      <c r="BA82" s="43"/>
      <c r="BB82" s="39" t="e">
        <f t="shared" si="434"/>
        <v>#REF!</v>
      </c>
      <c r="BC82" s="43">
        <f>VLOOKUP(C82,MOQ,3,FALSE())</f>
      </c>
      <c r="BD82" s="49" t="e">
        <f t="shared" si="436"/>
        <v>#REF!</v>
      </c>
      <c r="BE82" s="57" t="s">
        <v>7</v>
      </c>
      <c r="BF82" s="43" t="e">
        <f t="shared" si="437"/>
        <v>#REF!</v>
      </c>
      <c r="BG82" s="43">
        <f t="shared" si="438"/>
        <v>17.8965517241379</v>
      </c>
      <c r="BH82" s="43">
        <f t="shared" si="439"/>
      </c>
      <c r="BI82" s="46" t="e">
        <f t="shared" si="440"/>
        <v>#REF!</v>
      </c>
      <c r="BJ82" s="43">
        <f t="shared" si="441"/>
        <v>22.8620689655172</v>
      </c>
      <c r="BK82" s="43">
        <f t="shared" si="442"/>
      </c>
      <c r="BL82" s="46" t="e">
        <f t="shared" si="443"/>
        <v>#REF!</v>
      </c>
      <c r="BM82" s="43">
        <f t="shared" si="444"/>
        <v>27.827586206897</v>
      </c>
      <c r="BN82" s="43"/>
      <c r="BO82" s="46" t="e">
        <f t="shared" si="445"/>
        <v>#REF!</v>
      </c>
      <c r="BP82" s="43">
        <f t="shared" si="446"/>
        <v>27.827586206897</v>
      </c>
      <c r="BQ82" s="43"/>
      <c r="BR82" s="46" t="e">
        <f t="shared" si="447"/>
        <v>#REF!</v>
      </c>
      <c r="BS82" s="43">
        <f t="shared" si="448"/>
        <v>27.827586206897</v>
      </c>
      <c r="BT82" s="43"/>
      <c r="BU82" s="46" t="e">
        <f t="shared" si="449"/>
        <v>#REF!</v>
      </c>
      <c r="BV82" s="43">
        <f t="shared" si="450"/>
        <v>27.827586206897</v>
      </c>
      <c r="BW82" s="43"/>
      <c r="BX82" s="46" t="e">
        <f t="shared" si="451"/>
        <v>#REF!</v>
      </c>
      <c r="BY82" s="43"/>
      <c r="BZ82" s="42" t="e">
        <f t="shared" si="452"/>
        <v>#REF!</v>
      </c>
      <c r="CA82" s="52" t="e">
        <f t="shared" si="453"/>
        <v>#REF!</v>
      </c>
      <c r="CB82" s="42" t="e">
        <f t="shared" si="454"/>
        <v>#REF!</v>
      </c>
      <c r="CC82" s="53" t="e">
        <f t="shared" si="455"/>
        <v>#REF!</v>
      </c>
      <c r="CD82" s="43"/>
      <c r="CE82" s="43"/>
      <c r="CF82" s="43"/>
      <c r="CG82" s="43"/>
      <c r="CH82" s="43"/>
      <c r="CI82" s="43"/>
      <c r="CJ82" s="43"/>
      <c r="CK82" s="43"/>
      <c r="CL82" s="43"/>
      <c r="CM82" s="43"/>
      <c r="CN82" s="43"/>
      <c r="CO82" s="43"/>
      <c r="CP82" s="43"/>
      <c r="CQ82" s="43"/>
      <c r="CR82" s="43"/>
      <c r="CS82" s="43"/>
      <c r="CT82" s="43"/>
      <c r="CU82" s="43"/>
      <c r="CV82" s="43"/>
      <c r="CW82" s="43"/>
      <c r="CX82" s="43"/>
      <c r="CY82" s="43"/>
      <c r="CZ82" s="43"/>
      <c r="DA82" s="43"/>
      <c r="DB82" s="43"/>
      <c r="DC82" s="43"/>
      <c r="AMF82" s="47"/>
      <c r="AMG82" s="47"/>
      <c r="AMH82" s="47"/>
      <c r="AMI82" s="47"/>
      <c r="AMJ82" s="47"/>
    </row>
    <row r="83" ht="14.0">
      <c r="A83" s="37" t="s">
        <v>32</v>
      </c>
      <c r="B83" s="37" t="s">
        <v>134</v>
      </c>
      <c r="C83" s="56" t="s">
        <v>141</v>
      </c>
      <c r="D83" s="38">
        <v>40732.0</v>
      </c>
      <c r="E83" s="63">
        <v>0.0</v>
      </c>
      <c r="F83" s="63">
        <v>0.0</v>
      </c>
      <c r="G83" s="63">
        <v>0.0</v>
      </c>
      <c r="H83" s="63">
        <v>0.0</v>
      </c>
      <c r="I83" s="63">
        <v>0.0</v>
      </c>
      <c r="J83" s="63">
        <v>0.0</v>
      </c>
      <c r="K83" s="63">
        <v>0.0</v>
      </c>
      <c r="L83" s="63">
        <v>12.0</v>
      </c>
      <c r="M83" s="63">
        <v>18.0</v>
      </c>
      <c r="N83" s="63">
        <v>12.0</v>
      </c>
      <c r="O83" s="63">
        <v>15.0</v>
      </c>
      <c r="P83" s="63">
        <v>9.0</v>
      </c>
      <c r="Q83" s="63">
        <v>9.0</v>
      </c>
      <c r="R83" s="63">
        <v>0.0</v>
      </c>
      <c r="S83" s="63">
        <v>12.0</v>
      </c>
      <c r="T83" s="63">
        <v>15.0</v>
      </c>
      <c r="U83" s="63">
        <v>12.0</v>
      </c>
      <c r="V83" s="63">
        <v>21.0</v>
      </c>
      <c r="W83" s="63">
        <v>18.0</v>
      </c>
      <c r="X83" s="63">
        <v>24.0</v>
      </c>
      <c r="Y83" s="63">
        <v>6.0</v>
      </c>
      <c r="Z83" s="63">
        <v>15.0</v>
      </c>
      <c r="AA83" s="63">
        <v>34.0</v>
      </c>
      <c r="AB83" s="63">
        <v>9.0</v>
      </c>
      <c r="AC83" s="63">
        <v>15.0</v>
      </c>
      <c r="AD83" s="63">
        <v>15.0</v>
      </c>
      <c r="AE83" s="63">
        <v>9.0</v>
      </c>
      <c r="AF83" s="63">
        <v>9.0</v>
      </c>
      <c r="AG83" s="63">
        <v>24.0</v>
      </c>
      <c r="AH83" s="63">
        <v>15.0</v>
      </c>
      <c r="AI83" s="63">
        <v>7.0</v>
      </c>
      <c r="AJ83" s="63">
        <v>15.0</v>
      </c>
      <c r="AK83" s="63">
        <v>21.0</v>
      </c>
      <c r="AL83" s="63">
        <v>6.0</v>
      </c>
      <c r="AM83" s="63">
        <v>24.0</v>
      </c>
      <c r="AN83" s="37">
        <v>9.0</v>
      </c>
      <c r="AO83" s="39">
        <f t="shared" si="3"/>
        <v>169.0</v>
      </c>
      <c r="AP83" s="39">
        <f t="shared" si="4"/>
        <v>82.0</v>
      </c>
      <c r="AQ83" s="39">
        <f t="shared" si="5"/>
        <v>90.2</v>
      </c>
      <c r="AR83" s="51">
        <f t="shared" si="456"/>
        <v>14.3103448275862</v>
      </c>
      <c r="AS83" s="51">
        <f t="shared" si="457"/>
        <v>18.0804597701149</v>
      </c>
      <c r="AT83" s="51">
        <f t="shared" si="458"/>
        <v>21.8505747126437</v>
      </c>
      <c r="AU83" s="51">
        <f t="shared" si="459"/>
        <v>21.8505747126437</v>
      </c>
      <c r="AV83" s="51">
        <f t="shared" si="460"/>
        <v>21.8505747126437</v>
      </c>
      <c r="AW83" s="51">
        <f t="shared" si="461"/>
        <v>21.8505747126437</v>
      </c>
      <c r="AX83" s="41">
        <f t="shared" si="12"/>
        <v>119.793103448276</v>
      </c>
      <c r="AY83" s="41" t="e">
        <f t="shared" si="13"/>
        <v>#REF!</v>
      </c>
      <c r="AZ83" s="42"/>
      <c r="BA83" s="43"/>
      <c r="BB83" s="39" t="e">
        <f t="shared" si="434"/>
        <v>#REF!</v>
      </c>
      <c r="BC83" s="43">
        <f>VLOOKUP(C83,MOQ,3,FALSE())</f>
      </c>
      <c r="BD83" s="49" t="e">
        <f t="shared" si="436"/>
        <v>#REF!</v>
      </c>
      <c r="BE83" s="57" t="s">
        <v>73</v>
      </c>
      <c r="BF83" s="43" t="e">
        <f t="shared" si="437"/>
        <v>#REF!</v>
      </c>
      <c r="BG83" s="43">
        <f t="shared" si="438"/>
        <v>14.3103448275862</v>
      </c>
      <c r="BH83" s="43">
        <f t="shared" si="439"/>
      </c>
      <c r="BI83" s="46" t="e">
        <f t="shared" si="440"/>
        <v>#REF!</v>
      </c>
      <c r="BJ83" s="43">
        <f t="shared" si="441"/>
        <v>18.0804597701149</v>
      </c>
      <c r="BK83" s="43">
        <f t="shared" si="442"/>
      </c>
      <c r="BL83" s="46" t="e">
        <f t="shared" si="443"/>
        <v>#REF!</v>
      </c>
      <c r="BM83" s="43">
        <f t="shared" si="444"/>
        <v>21.8505747126437</v>
      </c>
      <c r="BN83" s="43"/>
      <c r="BO83" s="46" t="e">
        <f t="shared" si="445"/>
        <v>#REF!</v>
      </c>
      <c r="BP83" s="43">
        <f t="shared" si="446"/>
        <v>21.8505747126437</v>
      </c>
      <c r="BQ83" s="43"/>
      <c r="BR83" s="46" t="e">
        <f t="shared" si="447"/>
        <v>#REF!</v>
      </c>
      <c r="BS83" s="43">
        <f t="shared" si="448"/>
        <v>21.8505747126437</v>
      </c>
      <c r="BT83" s="43"/>
      <c r="BU83" s="46" t="e">
        <f t="shared" si="449"/>
        <v>#REF!</v>
      </c>
      <c r="BV83" s="43">
        <f t="shared" si="450"/>
        <v>21.8505747126437</v>
      </c>
      <c r="BW83" s="43"/>
      <c r="BX83" s="46" t="e">
        <f t="shared" si="451"/>
        <v>#REF!</v>
      </c>
      <c r="BY83" s="43"/>
      <c r="BZ83" s="42" t="e">
        <f t="shared" si="452"/>
        <v>#REF!</v>
      </c>
      <c r="CA83" s="52" t="e">
        <f t="shared" si="453"/>
        <v>#REF!</v>
      </c>
      <c r="CB83" s="42" t="e">
        <f t="shared" si="454"/>
        <v>#REF!</v>
      </c>
      <c r="CC83" s="53" t="e">
        <f t="shared" si="455"/>
        <v>#REF!</v>
      </c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  <c r="CV83" s="43"/>
      <c r="CW83" s="43"/>
      <c r="CX83" s="43"/>
      <c r="CY83" s="43"/>
      <c r="CZ83" s="43"/>
      <c r="DA83" s="43"/>
      <c r="DB83" s="43"/>
      <c r="DC83" s="43"/>
      <c r="AMF83" s="47"/>
      <c r="AMG83" s="47"/>
      <c r="AMH83" s="47"/>
      <c r="AMI83" s="47"/>
      <c r="AMJ83" s="47"/>
    </row>
    <row r="84" ht="14.0">
      <c r="A84" s="37" t="s">
        <v>32</v>
      </c>
      <c r="B84" s="37" t="s">
        <v>134</v>
      </c>
      <c r="C84" s="56" t="s">
        <v>142</v>
      </c>
      <c r="D84" s="38">
        <v>40734.0</v>
      </c>
      <c r="E84" s="63">
        <v>0.0</v>
      </c>
      <c r="F84" s="63">
        <v>0.0</v>
      </c>
      <c r="G84" s="63">
        <v>0.0</v>
      </c>
      <c r="H84" s="63">
        <v>0.0</v>
      </c>
      <c r="I84" s="63">
        <v>0.0</v>
      </c>
      <c r="J84" s="63">
        <v>0.0</v>
      </c>
      <c r="K84" s="63">
        <v>0.0</v>
      </c>
      <c r="L84" s="63">
        <v>0.0</v>
      </c>
      <c r="M84" s="63">
        <v>0.0</v>
      </c>
      <c r="N84" s="63">
        <v>0.0</v>
      </c>
      <c r="O84" s="63">
        <v>0.0</v>
      </c>
      <c r="P84" s="63">
        <v>0.0</v>
      </c>
      <c r="Q84" s="63">
        <v>12.0</v>
      </c>
      <c r="R84" s="63">
        <v>3.0</v>
      </c>
      <c r="S84" s="63">
        <v>6.0</v>
      </c>
      <c r="T84" s="63">
        <v>6.0</v>
      </c>
      <c r="U84" s="63">
        <v>6.0</v>
      </c>
      <c r="V84" s="63">
        <v>6.0</v>
      </c>
      <c r="W84" s="63">
        <v>12.0</v>
      </c>
      <c r="X84" s="63">
        <v>9.0</v>
      </c>
      <c r="Y84" s="63">
        <v>9.0</v>
      </c>
      <c r="Z84" s="63">
        <v>6.0</v>
      </c>
      <c r="AA84" s="63">
        <v>0.0</v>
      </c>
      <c r="AB84" s="63">
        <v>6.0</v>
      </c>
      <c r="AC84" s="63">
        <v>3.0</v>
      </c>
      <c r="AD84" s="63">
        <v>0.0</v>
      </c>
      <c r="AE84" s="63">
        <v>3.0</v>
      </c>
      <c r="AF84" s="63">
        <v>9.0</v>
      </c>
      <c r="AG84" s="63">
        <v>15.0</v>
      </c>
      <c r="AH84" s="63">
        <v>6.0</v>
      </c>
      <c r="AI84" s="63">
        <v>9.0</v>
      </c>
      <c r="AJ84" s="63">
        <v>0.0</v>
      </c>
      <c r="AK84" s="63">
        <v>15.0</v>
      </c>
      <c r="AL84" s="63">
        <v>12.0</v>
      </c>
      <c r="AM84" s="63">
        <v>12.0</v>
      </c>
      <c r="AN84" s="37">
        <v>0.0</v>
      </c>
      <c r="AO84" s="39">
        <f t="shared" si="3"/>
        <v>84.0</v>
      </c>
      <c r="AP84" s="39">
        <f t="shared" si="4"/>
        <v>48.0</v>
      </c>
      <c r="AQ84" s="39">
        <f t="shared" si="5"/>
        <v>52.8</v>
      </c>
      <c r="AR84" s="51">
        <f t="shared" si="456"/>
        <v>9.62068965517241</v>
      </c>
      <c r="AS84" s="51">
        <f t="shared" si="457"/>
        <v>11.8275862068966</v>
      </c>
      <c r="AT84" s="51">
        <f t="shared" si="458"/>
        <v>14.0344827586207</v>
      </c>
      <c r="AU84" s="51">
        <f t="shared" si="459"/>
        <v>14.0344827586207</v>
      </c>
      <c r="AV84" s="51">
        <f t="shared" si="460"/>
        <v>14.0344827586207</v>
      </c>
      <c r="AW84" s="51">
        <f t="shared" si="461"/>
        <v>14.0344827586207</v>
      </c>
      <c r="AX84" s="41">
        <f t="shared" si="12"/>
        <v>77.5862068965518</v>
      </c>
      <c r="AY84" s="41" t="e">
        <f t="shared" si="13"/>
        <v>#REF!</v>
      </c>
      <c r="AZ84" s="42"/>
      <c r="BA84" s="43"/>
      <c r="BB84" s="39" t="e">
        <f t="shared" si="434"/>
        <v>#REF!</v>
      </c>
      <c r="BC84" s="43">
        <f>VLOOKUP(C84,MOQ,3,FALSE())</f>
      </c>
      <c r="BD84" s="49" t="e">
        <f t="shared" si="436"/>
        <v>#REF!</v>
      </c>
      <c r="BE84" s="57" t="s">
        <v>73</v>
      </c>
      <c r="BF84" s="43" t="e">
        <f t="shared" si="437"/>
        <v>#REF!</v>
      </c>
      <c r="BG84" s="43">
        <f t="shared" si="438"/>
        <v>9.62068965517241</v>
      </c>
      <c r="BH84" s="43">
        <f t="shared" si="439"/>
      </c>
      <c r="BI84" s="46" t="e">
        <f t="shared" si="440"/>
        <v>#REF!</v>
      </c>
      <c r="BJ84" s="43">
        <f t="shared" si="441"/>
        <v>11.8275862068966</v>
      </c>
      <c r="BK84" s="43">
        <f t="shared" si="442"/>
      </c>
      <c r="BL84" s="46" t="e">
        <f t="shared" si="443"/>
        <v>#REF!</v>
      </c>
      <c r="BM84" s="43">
        <f t="shared" si="444"/>
        <v>14.0344827586207</v>
      </c>
      <c r="BN84" s="43"/>
      <c r="BO84" s="46" t="e">
        <f t="shared" si="445"/>
        <v>#REF!</v>
      </c>
      <c r="BP84" s="43">
        <f t="shared" si="446"/>
        <v>14.0344827586207</v>
      </c>
      <c r="BQ84" s="43"/>
      <c r="BR84" s="46" t="e">
        <f t="shared" si="447"/>
        <v>#REF!</v>
      </c>
      <c r="BS84" s="43">
        <f t="shared" si="448"/>
        <v>14.0344827586207</v>
      </c>
      <c r="BT84" s="43"/>
      <c r="BU84" s="46" t="e">
        <f t="shared" si="449"/>
        <v>#REF!</v>
      </c>
      <c r="BV84" s="43">
        <f t="shared" si="450"/>
        <v>14.0344827586207</v>
      </c>
      <c r="BW84" s="43"/>
      <c r="BX84" s="46" t="e">
        <f t="shared" si="451"/>
        <v>#REF!</v>
      </c>
      <c r="BY84" s="43"/>
      <c r="BZ84" s="42" t="e">
        <f t="shared" si="452"/>
        <v>#REF!</v>
      </c>
      <c r="CA84" s="52" t="e">
        <f t="shared" si="453"/>
        <v>#REF!</v>
      </c>
      <c r="CB84" s="42" t="e">
        <f t="shared" si="454"/>
        <v>#REF!</v>
      </c>
      <c r="CC84" s="53" t="e">
        <f t="shared" si="455"/>
        <v>#REF!</v>
      </c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AMF84" s="47"/>
      <c r="AMG84" s="47"/>
      <c r="AMH84" s="47"/>
      <c r="AMI84" s="47"/>
      <c r="AMJ84" s="47"/>
    </row>
    <row r="85" ht="14.0">
      <c r="A85" s="37" t="s">
        <v>32</v>
      </c>
      <c r="B85" s="37" t="s">
        <v>134</v>
      </c>
      <c r="C85" s="56" t="s">
        <v>143</v>
      </c>
      <c r="D85" s="38">
        <v>40746.0</v>
      </c>
      <c r="E85" s="63">
        <v>0.0</v>
      </c>
      <c r="F85" s="63">
        <v>0.0</v>
      </c>
      <c r="G85" s="63">
        <v>0.0</v>
      </c>
      <c r="H85" s="63">
        <v>0.0</v>
      </c>
      <c r="I85" s="63">
        <v>0.0</v>
      </c>
      <c r="J85" s="63">
        <v>0.0</v>
      </c>
      <c r="K85" s="63">
        <v>0.0</v>
      </c>
      <c r="L85" s="63">
        <v>24.0</v>
      </c>
      <c r="M85" s="63">
        <v>18.0</v>
      </c>
      <c r="N85" s="63">
        <v>0.0</v>
      </c>
      <c r="O85" s="63">
        <v>3.0</v>
      </c>
      <c r="P85" s="63">
        <v>9.0</v>
      </c>
      <c r="Q85" s="63">
        <v>12.0</v>
      </c>
      <c r="R85" s="63">
        <v>12.0</v>
      </c>
      <c r="S85" s="63">
        <v>9.0</v>
      </c>
      <c r="T85" s="63">
        <v>15.0</v>
      </c>
      <c r="U85" s="63">
        <v>9.0</v>
      </c>
      <c r="V85" s="63">
        <v>30.0</v>
      </c>
      <c r="W85" s="63">
        <v>36.0</v>
      </c>
      <c r="X85" s="63">
        <v>27.0</v>
      </c>
      <c r="Y85" s="63">
        <v>12.0</v>
      </c>
      <c r="Z85" s="63">
        <v>6.0</v>
      </c>
      <c r="AA85" s="63">
        <v>46.0</v>
      </c>
      <c r="AB85" s="63">
        <v>0.0</v>
      </c>
      <c r="AC85" s="63">
        <v>9.0</v>
      </c>
      <c r="AD85" s="63">
        <v>9.0</v>
      </c>
      <c r="AE85" s="63">
        <v>18.0</v>
      </c>
      <c r="AF85" s="63">
        <v>6.0</v>
      </c>
      <c r="AG85" s="63">
        <v>21.0</v>
      </c>
      <c r="AH85" s="63">
        <v>18.0</v>
      </c>
      <c r="AI85" s="63">
        <v>15.0</v>
      </c>
      <c r="AJ85" s="63">
        <v>12.0</v>
      </c>
      <c r="AK85" s="63">
        <v>15.0</v>
      </c>
      <c r="AL85" s="63">
        <v>6.0</v>
      </c>
      <c r="AM85" s="63">
        <v>21.0</v>
      </c>
      <c r="AN85" s="37">
        <v>9.0</v>
      </c>
      <c r="AO85" s="39">
        <f t="shared" si="3"/>
        <v>159.0</v>
      </c>
      <c r="AP85" s="39">
        <f t="shared" si="4"/>
        <v>78.0</v>
      </c>
      <c r="AQ85" s="39">
        <f t="shared" si="5"/>
        <v>85.8</v>
      </c>
      <c r="AR85" s="51">
        <f t="shared" si="456"/>
        <v>13.7586206896551</v>
      </c>
      <c r="AS85" s="51">
        <f t="shared" si="457"/>
        <v>17.3448275862069</v>
      </c>
      <c r="AT85" s="51">
        <f t="shared" si="458"/>
        <v>20.9310344827586</v>
      </c>
      <c r="AU85" s="51">
        <f t="shared" si="459"/>
        <v>20.9310344827586</v>
      </c>
      <c r="AV85" s="51">
        <f t="shared" si="460"/>
        <v>20.9310344827586</v>
      </c>
      <c r="AW85" s="51">
        <f t="shared" si="461"/>
        <v>20.9310344827586</v>
      </c>
      <c r="AX85" s="41">
        <f t="shared" si="12"/>
        <v>114.827586206896</v>
      </c>
      <c r="AY85" s="41" t="e">
        <f t="shared" si="13"/>
        <v>#REF!</v>
      </c>
      <c r="AZ85" s="42"/>
      <c r="BA85" s="43"/>
      <c r="BB85" s="39" t="e">
        <f t="shared" si="434"/>
        <v>#REF!</v>
      </c>
      <c r="BC85" s="43">
        <f>VLOOKUP(C85,MOQ,3,FALSE())</f>
      </c>
      <c r="BD85" s="49" t="e">
        <f t="shared" si="436"/>
        <v>#REF!</v>
      </c>
      <c r="BE85" s="57" t="s">
        <v>5</v>
      </c>
      <c r="BF85" s="43" t="e">
        <f t="shared" si="437"/>
        <v>#REF!</v>
      </c>
      <c r="BG85" s="43">
        <f t="shared" si="438"/>
        <v>13.7586206896551</v>
      </c>
      <c r="BH85" s="43">
        <f t="shared" si="439"/>
      </c>
      <c r="BI85" s="46" t="e">
        <f t="shared" si="440"/>
        <v>#REF!</v>
      </c>
      <c r="BJ85" s="43">
        <f t="shared" si="441"/>
        <v>17.3448275862069</v>
      </c>
      <c r="BK85" s="43">
        <f t="shared" si="442"/>
      </c>
      <c r="BL85" s="46" t="e">
        <f t="shared" si="443"/>
        <v>#REF!</v>
      </c>
      <c r="BM85" s="43">
        <f t="shared" si="444"/>
        <v>20.9310344827586</v>
      </c>
      <c r="BN85" s="43"/>
      <c r="BO85" s="46" t="e">
        <f t="shared" si="445"/>
        <v>#REF!</v>
      </c>
      <c r="BP85" s="43">
        <f t="shared" si="446"/>
        <v>20.9310344827586</v>
      </c>
      <c r="BQ85" s="43"/>
      <c r="BR85" s="46" t="e">
        <f t="shared" si="447"/>
        <v>#REF!</v>
      </c>
      <c r="BS85" s="43">
        <f t="shared" si="448"/>
        <v>20.9310344827586</v>
      </c>
      <c r="BT85" s="43"/>
      <c r="BU85" s="46" t="e">
        <f t="shared" si="449"/>
        <v>#REF!</v>
      </c>
      <c r="BV85" s="43">
        <f t="shared" si="450"/>
        <v>20.9310344827586</v>
      </c>
      <c r="BW85" s="43"/>
      <c r="BX85" s="46" t="e">
        <f t="shared" si="451"/>
        <v>#REF!</v>
      </c>
      <c r="BY85" s="43"/>
      <c r="BZ85" s="42" t="e">
        <f t="shared" si="452"/>
        <v>#REF!</v>
      </c>
      <c r="CA85" s="52" t="e">
        <f t="shared" si="453"/>
        <v>#REF!</v>
      </c>
      <c r="CB85" s="42" t="e">
        <f t="shared" si="454"/>
        <v>#REF!</v>
      </c>
      <c r="CC85" s="53" t="e">
        <f t="shared" si="455"/>
        <v>#REF!</v>
      </c>
      <c r="CD85" s="43"/>
      <c r="CE85" s="43"/>
      <c r="CF85" s="43"/>
      <c r="CG85" s="43"/>
      <c r="CH85" s="43"/>
      <c r="CI85" s="43"/>
      <c r="CJ85" s="43"/>
      <c r="CK85" s="43"/>
      <c r="CL85" s="43"/>
      <c r="CM85" s="43"/>
      <c r="CN85" s="43"/>
      <c r="CO85" s="43"/>
      <c r="CP85" s="43"/>
      <c r="CQ85" s="43"/>
      <c r="CR85" s="43"/>
      <c r="CS85" s="43"/>
      <c r="CT85" s="43"/>
      <c r="CU85" s="43"/>
      <c r="CV85" s="43"/>
      <c r="CW85" s="43"/>
      <c r="CX85" s="43"/>
      <c r="CY85" s="43"/>
      <c r="CZ85" s="43"/>
      <c r="DA85" s="43"/>
      <c r="DB85" s="43"/>
      <c r="DC85" s="43"/>
      <c r="AMF85" s="47"/>
      <c r="AMG85" s="47"/>
      <c r="AMH85" s="47"/>
      <c r="AMI85" s="47"/>
      <c r="AMJ85" s="36"/>
    </row>
    <row r="86" ht="14.0">
      <c r="A86" s="37" t="s">
        <v>32</v>
      </c>
      <c r="B86" s="37" t="s">
        <v>144</v>
      </c>
      <c r="C86" s="37" t="s">
        <v>145</v>
      </c>
      <c r="D86" s="38" t="s">
        <v>146</v>
      </c>
      <c r="E86" s="37">
        <v>0.0</v>
      </c>
      <c r="F86" s="37">
        <v>0.0</v>
      </c>
      <c r="G86" s="37">
        <v>0.0</v>
      </c>
      <c r="H86" s="37">
        <v>0.0</v>
      </c>
      <c r="I86" s="37">
        <v>0.0</v>
      </c>
      <c r="J86" s="37">
        <v>0.0</v>
      </c>
      <c r="K86" s="37">
        <v>0.0</v>
      </c>
      <c r="L86" s="37">
        <v>0.0</v>
      </c>
      <c r="M86" s="37">
        <v>0.0</v>
      </c>
      <c r="N86" s="37">
        <v>0.0</v>
      </c>
      <c r="O86" s="37">
        <v>0.0</v>
      </c>
      <c r="P86" s="37">
        <v>0.0</v>
      </c>
      <c r="Q86" s="37">
        <v>0.0</v>
      </c>
      <c r="R86" s="37">
        <v>0.0</v>
      </c>
      <c r="S86" s="37">
        <v>0.0</v>
      </c>
      <c r="T86" s="37">
        <v>0.0</v>
      </c>
      <c r="U86" s="37">
        <v>0.0</v>
      </c>
      <c r="V86" s="37">
        <v>0.0</v>
      </c>
      <c r="W86" s="37">
        <v>0.0</v>
      </c>
      <c r="X86" s="37">
        <v>8.0</v>
      </c>
      <c r="Y86" s="37">
        <v>22.0</v>
      </c>
      <c r="Z86" s="37">
        <v>0.0</v>
      </c>
      <c r="AA86" s="37">
        <v>3.0</v>
      </c>
      <c r="AB86" s="37">
        <v>1.0</v>
      </c>
      <c r="AC86" s="37">
        <v>5.0</v>
      </c>
      <c r="AD86" s="37">
        <v>0.0</v>
      </c>
      <c r="AE86" s="37">
        <v>1.0</v>
      </c>
      <c r="AF86" s="37">
        <v>2.0</v>
      </c>
      <c r="AG86" s="37">
        <v>1.0</v>
      </c>
      <c r="AH86" s="37">
        <v>0.0</v>
      </c>
      <c r="AI86" s="37">
        <v>1.0</v>
      </c>
      <c r="AJ86" s="37">
        <v>0.0</v>
      </c>
      <c r="AK86" s="37">
        <v>0.0</v>
      </c>
      <c r="AL86" s="37">
        <v>1.0</v>
      </c>
      <c r="AM86" s="37">
        <v>2.0</v>
      </c>
      <c r="AN86" s="37">
        <v>2.0</v>
      </c>
      <c r="AO86" s="39">
        <f t="shared" si="3"/>
        <v>15.0</v>
      </c>
      <c r="AP86" s="39">
        <f t="shared" si="4"/>
        <v>6.0</v>
      </c>
      <c r="AQ86" s="39">
        <f t="shared" si="5"/>
        <v>6.6</v>
      </c>
      <c r="AR86" s="48">
        <v>1.0</v>
      </c>
      <c r="AS86" s="48">
        <v>1.0</v>
      </c>
      <c r="AT86" s="48">
        <v>1.0</v>
      </c>
      <c r="AU86" s="48">
        <v>1.0</v>
      </c>
      <c r="AV86" s="48">
        <v>1.0</v>
      </c>
      <c r="AW86" s="48">
        <v>1.0</v>
      </c>
      <c r="AX86" s="41">
        <f t="shared" si="12"/>
        <v>6.0</v>
      </c>
      <c r="AY86" s="41" t="e">
        <f t="shared" si="13"/>
        <v>#REF!</v>
      </c>
      <c r="AZ86" s="42"/>
      <c r="BA86" s="42"/>
      <c r="BB86" s="39"/>
      <c r="BC86" s="43"/>
      <c r="BD86" s="49"/>
      <c r="BE86" s="45"/>
      <c r="BF86" s="43"/>
      <c r="BG86" s="43"/>
      <c r="BH86" s="43"/>
      <c r="BI86" s="46"/>
      <c r="BJ86" s="43"/>
      <c r="BK86" s="43"/>
      <c r="BL86" s="46"/>
      <c r="BM86" s="43"/>
      <c r="BN86" s="43"/>
      <c r="BO86" s="46"/>
      <c r="BP86" s="43"/>
      <c r="BQ86" s="43"/>
      <c r="BR86" s="46"/>
      <c r="BS86" s="43"/>
      <c r="BT86" s="43"/>
      <c r="BU86" s="46"/>
      <c r="BV86" s="43"/>
      <c r="BW86" s="43"/>
      <c r="BX86" s="46"/>
      <c r="BY86" s="42"/>
      <c r="BZ86" s="42"/>
      <c r="CA86" s="42"/>
      <c r="CB86" s="42"/>
      <c r="CC86" s="42"/>
      <c r="CD86" s="42"/>
      <c r="CE86" s="42"/>
      <c r="CF86" s="42"/>
      <c r="CG86" s="42"/>
      <c r="CH86" s="42"/>
      <c r="CI86" s="42"/>
      <c r="CJ86" s="42"/>
      <c r="CK86" s="42"/>
      <c r="CL86" s="42"/>
      <c r="CM86" s="42"/>
      <c r="CN86" s="42"/>
      <c r="CO86" s="42"/>
      <c r="CP86" s="42"/>
      <c r="CQ86" s="42"/>
      <c r="CR86" s="42"/>
      <c r="CS86" s="42"/>
      <c r="CT86" s="42"/>
      <c r="CU86" s="42"/>
      <c r="CV86" s="42"/>
      <c r="CW86" s="42"/>
      <c r="CX86" s="42"/>
      <c r="AMF86" s="50"/>
      <c r="AMG86" s="50"/>
      <c r="AMH86" s="50"/>
      <c r="AMI86" s="50"/>
    </row>
    <row r="87" ht="14.0">
      <c r="A87" s="37" t="s">
        <v>32</v>
      </c>
      <c r="B87" s="37" t="s">
        <v>144</v>
      </c>
      <c r="C87" s="37" t="s">
        <v>147</v>
      </c>
      <c r="D87" s="38">
        <v>79601.0</v>
      </c>
      <c r="E87" s="37">
        <v>0.0</v>
      </c>
      <c r="F87" s="37">
        <v>0.0</v>
      </c>
      <c r="G87" s="37">
        <v>0.0</v>
      </c>
      <c r="H87" s="37">
        <v>0.0</v>
      </c>
      <c r="I87" s="37">
        <v>0.0</v>
      </c>
      <c r="J87" s="37">
        <v>0.0</v>
      </c>
      <c r="K87" s="37">
        <v>0.0</v>
      </c>
      <c r="L87" s="37">
        <v>0.0</v>
      </c>
      <c r="M87" s="37">
        <v>0.0</v>
      </c>
      <c r="N87" s="37">
        <v>0.0</v>
      </c>
      <c r="O87" s="37">
        <v>0.0</v>
      </c>
      <c r="P87" s="37">
        <v>0.0</v>
      </c>
      <c r="Q87" s="37">
        <v>0.0</v>
      </c>
      <c r="R87" s="37">
        <v>0.0</v>
      </c>
      <c r="S87" s="37">
        <v>0.0</v>
      </c>
      <c r="T87" s="37">
        <v>0.0</v>
      </c>
      <c r="U87" s="37">
        <v>0.0</v>
      </c>
      <c r="V87" s="37">
        <v>0.0</v>
      </c>
      <c r="W87" s="37">
        <v>0.0</v>
      </c>
      <c r="X87" s="37">
        <v>18.0</v>
      </c>
      <c r="Y87" s="37">
        <v>6.0</v>
      </c>
      <c r="Z87" s="37">
        <v>3.0</v>
      </c>
      <c r="AA87" s="37">
        <v>3.0</v>
      </c>
      <c r="AB87" s="37">
        <v>3.0</v>
      </c>
      <c r="AC87" s="37">
        <v>0.0</v>
      </c>
      <c r="AD87" s="37">
        <v>6.0</v>
      </c>
      <c r="AE87" s="37">
        <v>0.0</v>
      </c>
      <c r="AF87" s="37">
        <v>3.0</v>
      </c>
      <c r="AG87" s="37">
        <v>3.0</v>
      </c>
      <c r="AH87" s="37">
        <v>3.0</v>
      </c>
      <c r="AI87" s="37">
        <v>-3.0</v>
      </c>
      <c r="AJ87" s="37">
        <v>3.0</v>
      </c>
      <c r="AK87" s="37">
        <v>6.0</v>
      </c>
      <c r="AL87" s="37">
        <v>0.0</v>
      </c>
      <c r="AM87" s="37">
        <v>6.0</v>
      </c>
      <c r="AN87" s="37">
        <v>2.0</v>
      </c>
      <c r="AO87" s="39">
        <f t="shared" si="3"/>
        <v>29.0</v>
      </c>
      <c r="AP87" s="39">
        <f t="shared" si="4"/>
        <v>14.0</v>
      </c>
      <c r="AQ87" s="39">
        <f t="shared" si="5"/>
        <v>15.4</v>
      </c>
      <c r="AR87" s="51">
        <f t="shared" ref="AR87:AR92" si="462">AQ87*$AR$4/$AQ$4+6*$AR$86</f>
        <v>7.93103448275862</v>
      </c>
      <c r="AS87" s="51">
        <f t="shared" ref="AS87:AS92" si="463">AQ87*$AS$4/$AQ$4+6*$AS$86</f>
        <v>8.57471264367816</v>
      </c>
      <c r="AT87" s="51">
        <f t="shared" ref="AT87:AT92" si="464">AQ87*$AT$4/$AQ$4+6*$AT$86</f>
        <v>9.2183908045977</v>
      </c>
      <c r="AU87" s="51">
        <f t="shared" ref="AU87:AU92" si="465">AQ87*$AU$4/$AQ$4+6*$AU$86</f>
        <v>9.2183908045977</v>
      </c>
      <c r="AV87" s="51">
        <f t="shared" ref="AV87:AV92" si="466">AQ87*$AV$4/$AQ$4+6*$AV$86</f>
        <v>9.2183908045977</v>
      </c>
      <c r="AW87" s="51">
        <f t="shared" ref="AW87:AW92" si="467">AQ87*$AW$4/$AQ$4+6*$AW$86</f>
        <v>9.2183908045977</v>
      </c>
      <c r="AX87" s="41">
        <f t="shared" si="12"/>
        <v>53.3793103448276</v>
      </c>
      <c r="AY87" s="41" t="e">
        <f t="shared" si="13"/>
        <v>#REF!</v>
      </c>
      <c r="AZ87" s="42"/>
      <c r="BA87" s="43"/>
      <c r="BB87" s="39" t="e">
        <f t="shared" ref="BB87:BB92" si="468">AY87+AZ87+BA87-AX87</f>
        <v>#REF!</v>
      </c>
      <c r="BC87" s="43">
        <f>VLOOKUP(C87,MOQ,3,FALSE())</f>
        <v>42.0</v>
      </c>
      <c r="BD87" s="44"/>
      <c r="BE87" s="45"/>
      <c r="BF87" s="43" t="e">
        <f t="shared" ref="BF87:BF92" si="470">AY87</f>
        <v>#REF!</v>
      </c>
      <c r="BG87" s="43">
        <f t="shared" ref="BG87:BG92" si="471">AR87</f>
        <v>7.93103448275862</v>
      </c>
      <c r="BH87" s="43">
        <f t="shared" ref="BH87:BH92" si="472">AZ87</f>
      </c>
      <c r="BI87" s="46" t="e">
        <f t="shared" ref="BI87:BI92" si="473">BF87+BH87-BG87</f>
        <v>#REF!</v>
      </c>
      <c r="BJ87" s="43">
        <f t="shared" ref="BJ87:BJ92" si="474">AS87</f>
        <v>8.57471264367816</v>
      </c>
      <c r="BK87" s="43">
        <f t="shared" ref="BK87:BK92" si="475">BA87</f>
      </c>
      <c r="BL87" s="46" t="e">
        <f t="shared" ref="BL87:BL92" si="476">BI87+BK87-BJ87</f>
        <v>#REF!</v>
      </c>
      <c r="BM87" s="43">
        <f t="shared" ref="BM87:BM92" si="477">AT87</f>
        <v>9.2183908045977</v>
      </c>
      <c r="BN87" s="43"/>
      <c r="BO87" s="46" t="e">
        <f t="shared" ref="BO87:BO92" si="478">BL87+BN87-BM87</f>
        <v>#REF!</v>
      </c>
      <c r="BP87" s="43">
        <f t="shared" ref="BP87:BP92" si="479">AU87</f>
        <v>9.2183908045977</v>
      </c>
      <c r="BQ87" s="43"/>
      <c r="BR87" s="46" t="e">
        <f t="shared" ref="BR87:BR92" si="480">BO87+BQ87-BP87</f>
        <v>#REF!</v>
      </c>
      <c r="BS87" s="43">
        <f t="shared" ref="BS87:BS92" si="481">AV87</f>
        <v>9.2183908045977</v>
      </c>
      <c r="BT87" s="43"/>
      <c r="BU87" s="46" t="e">
        <f t="shared" ref="BU87:BU92" si="482">BR87+BT87-BS87</f>
        <v>#REF!</v>
      </c>
      <c r="BV87" s="43">
        <f t="shared" ref="BV87:BV92" si="483">AW87</f>
        <v>9.2183908045977</v>
      </c>
      <c r="BW87" s="43"/>
      <c r="BX87" s="46" t="e">
        <f t="shared" ref="BX87:BX92" si="484">BU87+BW87-BV87</f>
        <v>#REF!</v>
      </c>
      <c r="BY87" s="43"/>
      <c r="BZ87" s="43"/>
      <c r="CA87" s="43"/>
      <c r="CB87" s="43"/>
      <c r="CC87" s="43"/>
      <c r="CD87" s="43"/>
      <c r="CE87" s="43"/>
      <c r="CF87" s="43"/>
      <c r="CG87" s="43"/>
      <c r="CH87" s="43"/>
      <c r="CI87" s="43"/>
      <c r="CJ87" s="43"/>
      <c r="CK87" s="43"/>
      <c r="CL87" s="43"/>
      <c r="CM87" s="43"/>
      <c r="CN87" s="43"/>
      <c r="CO87" s="43"/>
      <c r="CP87" s="43"/>
      <c r="CQ87" s="43"/>
      <c r="CR87" s="43"/>
      <c r="CS87" s="43"/>
      <c r="CT87" s="43"/>
      <c r="CU87" s="43"/>
      <c r="CV87" s="43"/>
      <c r="CW87" s="43"/>
      <c r="CX87" s="43"/>
      <c r="AMF87" s="47"/>
      <c r="AMG87" s="47"/>
      <c r="AMH87" s="47"/>
      <c r="AMI87" s="47"/>
    </row>
    <row r="88" ht="14.0">
      <c r="A88" s="37" t="s">
        <v>32</v>
      </c>
      <c r="B88" s="37" t="s">
        <v>144</v>
      </c>
      <c r="C88" s="37" t="s">
        <v>148</v>
      </c>
      <c r="D88" s="38">
        <v>79602.0</v>
      </c>
      <c r="E88" s="37">
        <v>0.0</v>
      </c>
      <c r="F88" s="37">
        <v>0.0</v>
      </c>
      <c r="G88" s="37">
        <v>0.0</v>
      </c>
      <c r="H88" s="37">
        <v>0.0</v>
      </c>
      <c r="I88" s="37">
        <v>0.0</v>
      </c>
      <c r="J88" s="37">
        <v>0.0</v>
      </c>
      <c r="K88" s="37">
        <v>0.0</v>
      </c>
      <c r="L88" s="37">
        <v>0.0</v>
      </c>
      <c r="M88" s="37">
        <v>0.0</v>
      </c>
      <c r="N88" s="37">
        <v>0.0</v>
      </c>
      <c r="O88" s="37">
        <v>0.0</v>
      </c>
      <c r="P88" s="37">
        <v>0.0</v>
      </c>
      <c r="Q88" s="37">
        <v>0.0</v>
      </c>
      <c r="R88" s="37">
        <v>0.0</v>
      </c>
      <c r="S88" s="37">
        <v>0.0</v>
      </c>
      <c r="T88" s="37">
        <v>0.0</v>
      </c>
      <c r="U88" s="37">
        <v>0.0</v>
      </c>
      <c r="V88" s="37">
        <v>0.0</v>
      </c>
      <c r="W88" s="37">
        <v>0.0</v>
      </c>
      <c r="X88" s="37">
        <v>13.0</v>
      </c>
      <c r="Y88" s="37">
        <v>15.0</v>
      </c>
      <c r="Z88" s="37">
        <v>3.0</v>
      </c>
      <c r="AA88" s="37">
        <v>6.0</v>
      </c>
      <c r="AB88" s="37">
        <v>6.0</v>
      </c>
      <c r="AC88" s="37">
        <v>0.0</v>
      </c>
      <c r="AD88" s="37">
        <v>3.0</v>
      </c>
      <c r="AE88" s="37">
        <v>3.0</v>
      </c>
      <c r="AF88" s="37">
        <v>9.0</v>
      </c>
      <c r="AG88" s="37">
        <v>12.0</v>
      </c>
      <c r="AH88" s="37">
        <v>3.0</v>
      </c>
      <c r="AI88" s="37">
        <v>0.0</v>
      </c>
      <c r="AJ88" s="37">
        <v>3.0</v>
      </c>
      <c r="AK88" s="37">
        <v>6.0</v>
      </c>
      <c r="AL88" s="37">
        <v>3.0</v>
      </c>
      <c r="AM88" s="37">
        <v>12.0</v>
      </c>
      <c r="AN88" s="37">
        <v>0.0</v>
      </c>
      <c r="AO88" s="39">
        <f t="shared" si="3"/>
        <v>54.0</v>
      </c>
      <c r="AP88" s="39">
        <f t="shared" si="4"/>
        <v>24.0</v>
      </c>
      <c r="AQ88" s="39">
        <f t="shared" si="5"/>
        <v>26.4</v>
      </c>
      <c r="AR88" s="51">
        <f t="shared" si="462"/>
        <v>9.3103448275862</v>
      </c>
      <c r="AS88" s="51">
        <f t="shared" si="463"/>
        <v>10.4137931034482</v>
      </c>
      <c r="AT88" s="51">
        <f t="shared" si="464"/>
        <v>11.5172413793103</v>
      </c>
      <c r="AU88" s="51">
        <f t="shared" si="465"/>
        <v>11.5172413793103</v>
      </c>
      <c r="AV88" s="51">
        <f t="shared" si="466"/>
        <v>11.5172413793103</v>
      </c>
      <c r="AW88" s="51">
        <f t="shared" si="467"/>
        <v>11.5172413793103</v>
      </c>
      <c r="AX88" s="41">
        <f t="shared" si="12"/>
        <v>65.7931034482756</v>
      </c>
      <c r="AY88" s="41" t="e">
        <f t="shared" si="13"/>
        <v>#REF!</v>
      </c>
      <c r="AZ88" s="42"/>
      <c r="BA88" s="43"/>
      <c r="BB88" s="39" t="e">
        <f t="shared" si="468"/>
        <v>#REF!</v>
      </c>
      <c r="BC88" s="43">
        <f>VLOOKUP(C88,MOQ,3,FALSE())</f>
        <v>42.0</v>
      </c>
      <c r="BD88" s="44"/>
      <c r="BE88" s="45"/>
      <c r="BF88" s="43" t="e">
        <f t="shared" si="470"/>
        <v>#REF!</v>
      </c>
      <c r="BG88" s="43">
        <f t="shared" si="471"/>
        <v>9.3103448275862</v>
      </c>
      <c r="BH88" s="43">
        <f t="shared" si="472"/>
      </c>
      <c r="BI88" s="46" t="e">
        <f t="shared" si="473"/>
        <v>#REF!</v>
      </c>
      <c r="BJ88" s="43">
        <f t="shared" si="474"/>
        <v>10.4137931034482</v>
      </c>
      <c r="BK88" s="43">
        <f t="shared" si="475"/>
      </c>
      <c r="BL88" s="46" t="e">
        <f t="shared" si="476"/>
        <v>#REF!</v>
      </c>
      <c r="BM88" s="43">
        <f t="shared" si="477"/>
        <v>11.5172413793103</v>
      </c>
      <c r="BN88" s="43"/>
      <c r="BO88" s="46" t="e">
        <f t="shared" si="478"/>
        <v>#REF!</v>
      </c>
      <c r="BP88" s="43">
        <f t="shared" si="479"/>
        <v>11.5172413793103</v>
      </c>
      <c r="BQ88" s="43"/>
      <c r="BR88" s="46" t="e">
        <f t="shared" si="480"/>
        <v>#REF!</v>
      </c>
      <c r="BS88" s="43">
        <f t="shared" si="481"/>
        <v>11.5172413793103</v>
      </c>
      <c r="BT88" s="43"/>
      <c r="BU88" s="46" t="e">
        <f t="shared" si="482"/>
        <v>#REF!</v>
      </c>
      <c r="BV88" s="43">
        <f t="shared" si="483"/>
        <v>11.5172413793103</v>
      </c>
      <c r="BW88" s="43"/>
      <c r="BX88" s="46" t="e">
        <f t="shared" si="484"/>
        <v>#REF!</v>
      </c>
      <c r="BY88" s="43"/>
      <c r="BZ88" s="43"/>
      <c r="CA88" s="43"/>
      <c r="CB88" s="43"/>
      <c r="CC88" s="43"/>
      <c r="CD88" s="43"/>
      <c r="CE88" s="43"/>
      <c r="CF88" s="43"/>
      <c r="CG88" s="43"/>
      <c r="CH88" s="43"/>
      <c r="CI88" s="43"/>
      <c r="CJ88" s="43"/>
      <c r="CK88" s="43"/>
      <c r="CL88" s="43"/>
      <c r="CM88" s="43"/>
      <c r="CN88" s="43"/>
      <c r="CO88" s="43"/>
      <c r="CP88" s="43"/>
      <c r="CQ88" s="43"/>
      <c r="CR88" s="43"/>
      <c r="CS88" s="43"/>
      <c r="CT88" s="43"/>
      <c r="CU88" s="43"/>
      <c r="CV88" s="43"/>
      <c r="CW88" s="43"/>
      <c r="CX88" s="43"/>
      <c r="AMF88" s="47"/>
      <c r="AMG88" s="47"/>
      <c r="AMH88" s="47"/>
      <c r="AMI88" s="47"/>
      <c r="AMJ88" s="47"/>
    </row>
    <row r="89" ht="14.0">
      <c r="A89" s="37" t="s">
        <v>32</v>
      </c>
      <c r="B89" s="37" t="s">
        <v>144</v>
      </c>
      <c r="C89" s="37" t="s">
        <v>149</v>
      </c>
      <c r="D89" s="38">
        <v>79603.0</v>
      </c>
      <c r="E89" s="37">
        <v>0.0</v>
      </c>
      <c r="F89" s="37">
        <v>0.0</v>
      </c>
      <c r="G89" s="37">
        <v>0.0</v>
      </c>
      <c r="H89" s="37">
        <v>0.0</v>
      </c>
      <c r="I89" s="37">
        <v>0.0</v>
      </c>
      <c r="J89" s="37">
        <v>0.0</v>
      </c>
      <c r="K89" s="37">
        <v>0.0</v>
      </c>
      <c r="L89" s="37">
        <v>0.0</v>
      </c>
      <c r="M89" s="37">
        <v>0.0</v>
      </c>
      <c r="N89" s="37">
        <v>0.0</v>
      </c>
      <c r="O89" s="37">
        <v>0.0</v>
      </c>
      <c r="P89" s="37">
        <v>0.0</v>
      </c>
      <c r="Q89" s="37">
        <v>0.0</v>
      </c>
      <c r="R89" s="37">
        <v>0.0</v>
      </c>
      <c r="S89" s="37">
        <v>0.0</v>
      </c>
      <c r="T89" s="37">
        <v>0.0</v>
      </c>
      <c r="U89" s="37">
        <v>0.0</v>
      </c>
      <c r="V89" s="37">
        <v>0.0</v>
      </c>
      <c r="W89" s="37">
        <v>0.0</v>
      </c>
      <c r="X89" s="37">
        <v>9.0</v>
      </c>
      <c r="Y89" s="37">
        <v>9.0</v>
      </c>
      <c r="Z89" s="37">
        <v>3.0</v>
      </c>
      <c r="AA89" s="37">
        <v>3.0</v>
      </c>
      <c r="AB89" s="37">
        <v>6.0</v>
      </c>
      <c r="AC89" s="37">
        <v>3.0</v>
      </c>
      <c r="AD89" s="37">
        <v>9.0</v>
      </c>
      <c r="AE89" s="37">
        <v>12.0</v>
      </c>
      <c r="AF89" s="37">
        <v>3.0</v>
      </c>
      <c r="AG89" s="37">
        <v>3.0</v>
      </c>
      <c r="AH89" s="37">
        <v>6.0</v>
      </c>
      <c r="AI89" s="37">
        <v>3.0</v>
      </c>
      <c r="AJ89" s="37">
        <v>0.0</v>
      </c>
      <c r="AK89" s="37">
        <v>3.0</v>
      </c>
      <c r="AL89" s="37">
        <v>3.0</v>
      </c>
      <c r="AM89" s="37">
        <v>3.0</v>
      </c>
      <c r="AN89" s="37">
        <v>-2.0</v>
      </c>
      <c r="AO89" s="39">
        <f t="shared" si="3"/>
        <v>46.0</v>
      </c>
      <c r="AP89" s="39">
        <f t="shared" si="4"/>
        <v>10.0</v>
      </c>
      <c r="AQ89" s="39">
        <f t="shared" si="5"/>
        <v>11.0</v>
      </c>
      <c r="AR89" s="51">
        <f t="shared" si="462"/>
        <v>7.37931034482759</v>
      </c>
      <c r="AS89" s="51">
        <f t="shared" si="463"/>
        <v>7.83908045977011</v>
      </c>
      <c r="AT89" s="51">
        <f t="shared" si="464"/>
        <v>8.29885057471264</v>
      </c>
      <c r="AU89" s="51">
        <f t="shared" si="465"/>
        <v>8.29885057471264</v>
      </c>
      <c r="AV89" s="51">
        <f t="shared" si="466"/>
        <v>8.29885057471264</v>
      </c>
      <c r="AW89" s="51">
        <f t="shared" si="467"/>
        <v>8.29885057471264</v>
      </c>
      <c r="AX89" s="41">
        <f t="shared" si="12"/>
        <v>48.4137931034482</v>
      </c>
      <c r="AY89" s="41" t="e">
        <f t="shared" si="13"/>
        <v>#REF!</v>
      </c>
      <c r="AZ89" s="42"/>
      <c r="BA89" s="43"/>
      <c r="BB89" s="39" t="e">
        <f t="shared" si="468"/>
        <v>#REF!</v>
      </c>
      <c r="BC89" s="43">
        <f>VLOOKUP(C89,MOQ,3,FALSE())</f>
        <v>42.0</v>
      </c>
      <c r="BD89" s="44"/>
      <c r="BE89" s="45"/>
      <c r="BF89" s="43" t="e">
        <f t="shared" si="470"/>
        <v>#REF!</v>
      </c>
      <c r="BG89" s="43">
        <f t="shared" si="471"/>
        <v>7.37931034482759</v>
      </c>
      <c r="BH89" s="43">
        <f t="shared" si="472"/>
      </c>
      <c r="BI89" s="46" t="e">
        <f t="shared" si="473"/>
        <v>#REF!</v>
      </c>
      <c r="BJ89" s="43">
        <f t="shared" si="474"/>
        <v>7.83908045977011</v>
      </c>
      <c r="BK89" s="43">
        <f t="shared" si="475"/>
      </c>
      <c r="BL89" s="46" t="e">
        <f t="shared" si="476"/>
        <v>#REF!</v>
      </c>
      <c r="BM89" s="43">
        <f t="shared" si="477"/>
        <v>8.29885057471264</v>
      </c>
      <c r="BN89" s="43"/>
      <c r="BO89" s="46" t="e">
        <f t="shared" si="478"/>
        <v>#REF!</v>
      </c>
      <c r="BP89" s="43">
        <f t="shared" si="479"/>
        <v>8.29885057471264</v>
      </c>
      <c r="BQ89" s="43"/>
      <c r="BR89" s="46" t="e">
        <f t="shared" si="480"/>
        <v>#REF!</v>
      </c>
      <c r="BS89" s="43">
        <f t="shared" si="481"/>
        <v>8.29885057471264</v>
      </c>
      <c r="BT89" s="43"/>
      <c r="BU89" s="46" t="e">
        <f t="shared" si="482"/>
        <v>#REF!</v>
      </c>
      <c r="BV89" s="43">
        <f t="shared" si="483"/>
        <v>8.29885057471264</v>
      </c>
      <c r="BW89" s="43"/>
      <c r="BX89" s="46" t="e">
        <f t="shared" si="484"/>
        <v>#REF!</v>
      </c>
      <c r="BY89" s="43"/>
      <c r="BZ89" s="43"/>
      <c r="CA89" s="43"/>
      <c r="CB89" s="43"/>
      <c r="CC89" s="43"/>
      <c r="CD89" s="43"/>
      <c r="CE89" s="43"/>
      <c r="CF89" s="43"/>
      <c r="CG89" s="43"/>
      <c r="CH89" s="43"/>
      <c r="CI89" s="43"/>
      <c r="CJ89" s="43"/>
      <c r="CK89" s="43"/>
      <c r="CL89" s="43"/>
      <c r="CM89" s="43"/>
      <c r="CN89" s="43"/>
      <c r="CO89" s="43"/>
      <c r="CP89" s="43"/>
      <c r="CQ89" s="43"/>
      <c r="CR89" s="43"/>
      <c r="CS89" s="43"/>
      <c r="CT89" s="43"/>
      <c r="CU89" s="43"/>
      <c r="CV89" s="43"/>
      <c r="CW89" s="43"/>
      <c r="CX89" s="43"/>
      <c r="AMF89" s="47"/>
      <c r="AMG89" s="47"/>
      <c r="AMH89" s="47"/>
      <c r="AMI89" s="47"/>
      <c r="AMJ89" s="47"/>
    </row>
    <row r="90" ht="14.0">
      <c r="A90" s="37" t="s">
        <v>32</v>
      </c>
      <c r="B90" s="37" t="s">
        <v>144</v>
      </c>
      <c r="C90" s="37" t="s">
        <v>150</v>
      </c>
      <c r="D90" s="38">
        <v>79604.0</v>
      </c>
      <c r="E90" s="37">
        <v>0.0</v>
      </c>
      <c r="F90" s="37">
        <v>0.0</v>
      </c>
      <c r="G90" s="37">
        <v>0.0</v>
      </c>
      <c r="H90" s="37">
        <v>0.0</v>
      </c>
      <c r="I90" s="37">
        <v>0.0</v>
      </c>
      <c r="J90" s="37">
        <v>0.0</v>
      </c>
      <c r="K90" s="37">
        <v>0.0</v>
      </c>
      <c r="L90" s="37">
        <v>0.0</v>
      </c>
      <c r="M90" s="37">
        <v>0.0</v>
      </c>
      <c r="N90" s="37">
        <v>0.0</v>
      </c>
      <c r="O90" s="37">
        <v>0.0</v>
      </c>
      <c r="P90" s="37">
        <v>0.0</v>
      </c>
      <c r="Q90" s="37">
        <v>0.0</v>
      </c>
      <c r="R90" s="37">
        <v>0.0</v>
      </c>
      <c r="S90" s="37">
        <v>0.0</v>
      </c>
      <c r="T90" s="37">
        <v>0.0</v>
      </c>
      <c r="U90" s="37">
        <v>0.0</v>
      </c>
      <c r="V90" s="37">
        <v>0.0</v>
      </c>
      <c r="W90" s="37">
        <v>0.0</v>
      </c>
      <c r="X90" s="37">
        <v>3.0</v>
      </c>
      <c r="Y90" s="37">
        <v>9.0</v>
      </c>
      <c r="Z90" s="37">
        <v>5.0</v>
      </c>
      <c r="AA90" s="37">
        <v>3.0</v>
      </c>
      <c r="AB90" s="37">
        <v>3.0</v>
      </c>
      <c r="AC90" s="37">
        <v>0.0</v>
      </c>
      <c r="AD90" s="37">
        <v>3.0</v>
      </c>
      <c r="AE90" s="37">
        <v>6.0</v>
      </c>
      <c r="AF90" s="37">
        <v>3.0</v>
      </c>
      <c r="AG90" s="37">
        <v>15.0</v>
      </c>
      <c r="AH90" s="37">
        <v>0.0</v>
      </c>
      <c r="AI90" s="37">
        <v>3.0</v>
      </c>
      <c r="AJ90" s="37">
        <v>6.0</v>
      </c>
      <c r="AK90" s="37">
        <v>0.0</v>
      </c>
      <c r="AL90" s="37">
        <v>3.0</v>
      </c>
      <c r="AM90" s="37">
        <v>6.0</v>
      </c>
      <c r="AN90" s="37">
        <v>0.0</v>
      </c>
      <c r="AO90" s="39">
        <f t="shared" si="3"/>
        <v>45.0</v>
      </c>
      <c r="AP90" s="39">
        <f t="shared" si="4"/>
        <v>18.0</v>
      </c>
      <c r="AQ90" s="39">
        <f t="shared" si="5"/>
        <v>19.8</v>
      </c>
      <c r="AR90" s="51">
        <f t="shared" si="462"/>
        <v>8.48275862068966</v>
      </c>
      <c r="AS90" s="51">
        <f t="shared" si="463"/>
        <v>9.3103448275862</v>
      </c>
      <c r="AT90" s="51">
        <f t="shared" si="464"/>
        <v>10.137931034482</v>
      </c>
      <c r="AU90" s="51">
        <f t="shared" si="465"/>
        <v>10.137931034482</v>
      </c>
      <c r="AV90" s="51">
        <f t="shared" si="466"/>
        <v>10.137931034482</v>
      </c>
      <c r="AW90" s="51">
        <f t="shared" si="467"/>
        <v>10.137931034482</v>
      </c>
      <c r="AX90" s="41">
        <f t="shared" si="12"/>
        <v>58.3448275862039</v>
      </c>
      <c r="AY90" s="41" t="e">
        <f t="shared" si="13"/>
        <v>#REF!</v>
      </c>
      <c r="AZ90" s="42"/>
      <c r="BA90" s="43"/>
      <c r="BB90" s="39" t="e">
        <f t="shared" si="468"/>
        <v>#REF!</v>
      </c>
      <c r="BC90" s="43">
        <f>VLOOKUP(C90,MOQ,3,FALSE())</f>
        <v>42.0</v>
      </c>
      <c r="BD90" s="49">
        <f>BC90</f>
        <v>42.0</v>
      </c>
      <c r="BE90" s="45" t="s">
        <v>6</v>
      </c>
      <c r="BF90" s="43" t="e">
        <f t="shared" si="470"/>
        <v>#REF!</v>
      </c>
      <c r="BG90" s="43">
        <f t="shared" si="471"/>
        <v>8.48275862068966</v>
      </c>
      <c r="BH90" s="43">
        <f t="shared" si="472"/>
      </c>
      <c r="BI90" s="46" t="e">
        <f t="shared" si="473"/>
        <v>#REF!</v>
      </c>
      <c r="BJ90" s="43">
        <f t="shared" si="474"/>
        <v>9.3103448275862</v>
      </c>
      <c r="BK90" s="43">
        <f t="shared" si="475"/>
      </c>
      <c r="BL90" s="46" t="e">
        <f t="shared" si="476"/>
        <v>#REF!</v>
      </c>
      <c r="BM90" s="43">
        <f t="shared" si="477"/>
        <v>10.137931034482</v>
      </c>
      <c r="BN90" s="43"/>
      <c r="BO90" s="46" t="e">
        <f t="shared" si="478"/>
        <v>#REF!</v>
      </c>
      <c r="BP90" s="43">
        <f t="shared" si="479"/>
        <v>10.137931034482</v>
      </c>
      <c r="BQ90" s="43"/>
      <c r="BR90" s="46" t="e">
        <f t="shared" si="480"/>
        <v>#REF!</v>
      </c>
      <c r="BS90" s="43">
        <f t="shared" si="481"/>
        <v>10.137931034482</v>
      </c>
      <c r="BT90" s="43"/>
      <c r="BU90" s="46" t="e">
        <f t="shared" si="482"/>
        <v>#REF!</v>
      </c>
      <c r="BV90" s="43">
        <f t="shared" si="483"/>
        <v>10.137931034482</v>
      </c>
      <c r="BW90" s="43"/>
      <c r="BX90" s="46" t="e">
        <f t="shared" si="484"/>
        <v>#REF!</v>
      </c>
      <c r="BY90" s="43"/>
      <c r="BZ90" s="42" t="e">
        <f>BU90*-1</f>
        <v>#REF!</v>
      </c>
      <c r="CA90" s="52" t="e">
        <f>BZ90/6</f>
        <v>#REF!</v>
      </c>
      <c r="CB90" s="42" t="e">
        <f>ROUNDUP(CA90,0)</f>
        <v>#REF!</v>
      </c>
      <c r="CC90" s="53" t="e">
        <f>CB90*6</f>
        <v>#REF!</v>
      </c>
      <c r="CD90" s="43"/>
      <c r="CE90" s="43"/>
      <c r="CF90" s="43"/>
      <c r="CG90" s="43"/>
      <c r="CH90" s="43"/>
      <c r="CI90" s="43"/>
      <c r="CJ90" s="43"/>
      <c r="CK90" s="43"/>
      <c r="CL90" s="43"/>
      <c r="CM90" s="43"/>
      <c r="CN90" s="43"/>
      <c r="CO90" s="43"/>
      <c r="CP90" s="43"/>
      <c r="CQ90" s="43"/>
      <c r="CR90" s="43"/>
      <c r="CS90" s="43"/>
      <c r="CT90" s="43"/>
      <c r="CU90" s="43"/>
      <c r="CV90" s="43"/>
      <c r="CW90" s="43"/>
      <c r="CX90" s="43"/>
      <c r="CY90" s="43"/>
      <c r="CZ90" s="43"/>
      <c r="DA90" s="43"/>
      <c r="DB90" s="43"/>
      <c r="DC90" s="43"/>
      <c r="AMF90" s="47"/>
      <c r="AMG90" s="47"/>
      <c r="AMH90" s="47"/>
      <c r="AMI90" s="47"/>
      <c r="AMJ90" s="47"/>
    </row>
    <row r="91" ht="14.0">
      <c r="A91" s="37" t="s">
        <v>32</v>
      </c>
      <c r="B91" s="37" t="s">
        <v>144</v>
      </c>
      <c r="C91" s="37" t="s">
        <v>151</v>
      </c>
      <c r="D91" s="38">
        <v>79605.0</v>
      </c>
      <c r="E91" s="37">
        <v>0.0</v>
      </c>
      <c r="F91" s="37">
        <v>0.0</v>
      </c>
      <c r="G91" s="37">
        <v>0.0</v>
      </c>
      <c r="H91" s="37">
        <v>0.0</v>
      </c>
      <c r="I91" s="37">
        <v>0.0</v>
      </c>
      <c r="J91" s="37">
        <v>0.0</v>
      </c>
      <c r="K91" s="37">
        <v>0.0</v>
      </c>
      <c r="L91" s="37">
        <v>0.0</v>
      </c>
      <c r="M91" s="37">
        <v>0.0</v>
      </c>
      <c r="N91" s="37">
        <v>0.0</v>
      </c>
      <c r="O91" s="37">
        <v>0.0</v>
      </c>
      <c r="P91" s="37">
        <v>0.0</v>
      </c>
      <c r="Q91" s="37">
        <v>0.0</v>
      </c>
      <c r="R91" s="37">
        <v>0.0</v>
      </c>
      <c r="S91" s="37">
        <v>0.0</v>
      </c>
      <c r="T91" s="37">
        <v>0.0</v>
      </c>
      <c r="U91" s="37">
        <v>0.0</v>
      </c>
      <c r="V91" s="37">
        <v>0.0</v>
      </c>
      <c r="W91" s="37">
        <v>0.0</v>
      </c>
      <c r="X91" s="37">
        <v>15.0</v>
      </c>
      <c r="Y91" s="37">
        <v>3.0</v>
      </c>
      <c r="Z91" s="37">
        <v>0.0</v>
      </c>
      <c r="AA91" s="37">
        <v>3.0</v>
      </c>
      <c r="AB91" s="37">
        <v>3.0</v>
      </c>
      <c r="AC91" s="37">
        <v>0.0</v>
      </c>
      <c r="AD91" s="37">
        <v>3.0</v>
      </c>
      <c r="AE91" s="37">
        <v>3.0</v>
      </c>
      <c r="AF91" s="37">
        <v>0.0</v>
      </c>
      <c r="AG91" s="37">
        <v>3.0</v>
      </c>
      <c r="AH91" s="37">
        <v>0.0</v>
      </c>
      <c r="AI91" s="37">
        <v>3.0</v>
      </c>
      <c r="AJ91" s="37">
        <v>3.0</v>
      </c>
      <c r="AK91" s="37">
        <v>3.0</v>
      </c>
      <c r="AL91" s="37">
        <v>0.0</v>
      </c>
      <c r="AM91" s="37">
        <v>3.0</v>
      </c>
      <c r="AN91" s="37">
        <v>3.0</v>
      </c>
      <c r="AO91" s="39">
        <f t="shared" si="3"/>
        <v>24.0</v>
      </c>
      <c r="AP91" s="39">
        <f t="shared" si="4"/>
        <v>15.0</v>
      </c>
      <c r="AQ91" s="39">
        <f t="shared" si="5"/>
        <v>16.5</v>
      </c>
      <c r="AR91" s="51">
        <f t="shared" si="462"/>
        <v>8.0689655172413</v>
      </c>
      <c r="AS91" s="51">
        <f t="shared" si="463"/>
        <v>8.75862068965517</v>
      </c>
      <c r="AT91" s="51">
        <f t="shared" si="464"/>
        <v>9.44827586206897</v>
      </c>
      <c r="AU91" s="51">
        <f t="shared" si="465"/>
        <v>9.44827586206897</v>
      </c>
      <c r="AV91" s="51">
        <f t="shared" si="466"/>
        <v>9.44827586206897</v>
      </c>
      <c r="AW91" s="51">
        <f t="shared" si="467"/>
        <v>9.44827586206897</v>
      </c>
      <c r="AX91" s="41">
        <f t="shared" si="12"/>
        <v>54.6206896551723</v>
      </c>
      <c r="AY91" s="41" t="e">
        <f t="shared" si="13"/>
        <v>#REF!</v>
      </c>
      <c r="AZ91" s="42"/>
      <c r="BA91" s="43"/>
      <c r="BB91" s="39" t="e">
        <f t="shared" si="468"/>
        <v>#REF!</v>
      </c>
      <c r="BC91" s="43">
        <f>VLOOKUP(C91,MOQ,3,FALSE())</f>
        <v>42.0</v>
      </c>
      <c r="BD91" s="44"/>
      <c r="BE91" s="45"/>
      <c r="BF91" s="43" t="e">
        <f t="shared" si="470"/>
        <v>#REF!</v>
      </c>
      <c r="BG91" s="43">
        <f t="shared" si="471"/>
        <v>8.0689655172413</v>
      </c>
      <c r="BH91" s="43">
        <f t="shared" si="472"/>
      </c>
      <c r="BI91" s="46" t="e">
        <f t="shared" si="473"/>
        <v>#REF!</v>
      </c>
      <c r="BJ91" s="43">
        <f t="shared" si="474"/>
        <v>8.75862068965517</v>
      </c>
      <c r="BK91" s="43">
        <f t="shared" si="475"/>
      </c>
      <c r="BL91" s="46" t="e">
        <f t="shared" si="476"/>
        <v>#REF!</v>
      </c>
      <c r="BM91" s="43">
        <f t="shared" si="477"/>
        <v>9.44827586206897</v>
      </c>
      <c r="BN91" s="43"/>
      <c r="BO91" s="46" t="e">
        <f t="shared" si="478"/>
        <v>#REF!</v>
      </c>
      <c r="BP91" s="43">
        <f t="shared" si="479"/>
        <v>9.44827586206897</v>
      </c>
      <c r="BQ91" s="43"/>
      <c r="BR91" s="46" t="e">
        <f t="shared" si="480"/>
        <v>#REF!</v>
      </c>
      <c r="BS91" s="43">
        <f t="shared" si="481"/>
        <v>9.44827586206897</v>
      </c>
      <c r="BT91" s="43"/>
      <c r="BU91" s="46" t="e">
        <f t="shared" si="482"/>
        <v>#REF!</v>
      </c>
      <c r="BV91" s="43">
        <f t="shared" si="483"/>
        <v>9.44827586206897</v>
      </c>
      <c r="BW91" s="43"/>
      <c r="BX91" s="46" t="e">
        <f t="shared" si="484"/>
        <v>#REF!</v>
      </c>
      <c r="BY91" s="43"/>
      <c r="BZ91" s="43"/>
      <c r="CA91" s="43"/>
      <c r="CB91" s="43"/>
      <c r="CC91" s="43"/>
      <c r="CD91" s="43"/>
      <c r="CE91" s="43"/>
      <c r="CF91" s="43"/>
      <c r="CG91" s="43"/>
      <c r="CH91" s="43"/>
      <c r="CI91" s="43"/>
      <c r="CJ91" s="43"/>
      <c r="CK91" s="43"/>
      <c r="CL91" s="43"/>
      <c r="CM91" s="43"/>
      <c r="CN91" s="43"/>
      <c r="CO91" s="43"/>
      <c r="CP91" s="43"/>
      <c r="CQ91" s="43"/>
      <c r="CR91" s="43"/>
      <c r="CS91" s="43"/>
      <c r="CT91" s="43"/>
      <c r="CU91" s="43"/>
      <c r="CV91" s="43"/>
      <c r="CW91" s="43"/>
      <c r="CX91" s="43"/>
      <c r="AMF91" s="47"/>
      <c r="AMG91" s="47"/>
      <c r="AMH91" s="47"/>
      <c r="AMI91" s="47"/>
      <c r="AMJ91" s="47"/>
    </row>
    <row r="92" ht="14.0">
      <c r="A92" s="37" t="s">
        <v>32</v>
      </c>
      <c r="B92" s="37" t="s">
        <v>144</v>
      </c>
      <c r="C92" s="37" t="s">
        <v>152</v>
      </c>
      <c r="D92" s="38">
        <v>79606.0</v>
      </c>
      <c r="E92" s="37">
        <v>0.0</v>
      </c>
      <c r="F92" s="37">
        <v>0.0</v>
      </c>
      <c r="G92" s="37">
        <v>0.0</v>
      </c>
      <c r="H92" s="37">
        <v>0.0</v>
      </c>
      <c r="I92" s="37">
        <v>0.0</v>
      </c>
      <c r="J92" s="37">
        <v>0.0</v>
      </c>
      <c r="K92" s="37">
        <v>0.0</v>
      </c>
      <c r="L92" s="37">
        <v>0.0</v>
      </c>
      <c r="M92" s="37">
        <v>0.0</v>
      </c>
      <c r="N92" s="37">
        <v>0.0</v>
      </c>
      <c r="O92" s="37">
        <v>0.0</v>
      </c>
      <c r="P92" s="37">
        <v>0.0</v>
      </c>
      <c r="Q92" s="37">
        <v>0.0</v>
      </c>
      <c r="R92" s="37">
        <v>0.0</v>
      </c>
      <c r="S92" s="37">
        <v>0.0</v>
      </c>
      <c r="T92" s="37">
        <v>0.0</v>
      </c>
      <c r="U92" s="37">
        <v>0.0</v>
      </c>
      <c r="V92" s="37">
        <v>0.0</v>
      </c>
      <c r="W92" s="37">
        <v>0.0</v>
      </c>
      <c r="X92" s="37">
        <v>13.0</v>
      </c>
      <c r="Y92" s="37">
        <v>6.0</v>
      </c>
      <c r="Z92" s="37">
        <v>3.0</v>
      </c>
      <c r="AA92" s="37">
        <v>6.0</v>
      </c>
      <c r="AB92" s="37">
        <v>0.0</v>
      </c>
      <c r="AC92" s="37">
        <v>0.0</v>
      </c>
      <c r="AD92" s="37">
        <v>3.0</v>
      </c>
      <c r="AE92" s="37">
        <v>3.0</v>
      </c>
      <c r="AF92" s="37">
        <v>0.0</v>
      </c>
      <c r="AG92" s="37">
        <v>9.0</v>
      </c>
      <c r="AH92" s="37">
        <v>0.0</v>
      </c>
      <c r="AI92" s="37">
        <v>0.0</v>
      </c>
      <c r="AJ92" s="37">
        <v>0.0</v>
      </c>
      <c r="AK92" s="37">
        <v>6.0</v>
      </c>
      <c r="AL92" s="37">
        <v>0.0</v>
      </c>
      <c r="AM92" s="37">
        <v>6.0</v>
      </c>
      <c r="AN92" s="37">
        <v>2.0</v>
      </c>
      <c r="AO92" s="39">
        <f t="shared" si="3"/>
        <v>29.0</v>
      </c>
      <c r="AP92" s="39">
        <f t="shared" si="4"/>
        <v>14.0</v>
      </c>
      <c r="AQ92" s="39">
        <f t="shared" si="5"/>
        <v>15.4</v>
      </c>
      <c r="AR92" s="51">
        <f t="shared" si="462"/>
        <v>7.93103448275862</v>
      </c>
      <c r="AS92" s="51">
        <f t="shared" si="463"/>
        <v>8.57471264367816</v>
      </c>
      <c r="AT92" s="51">
        <f t="shared" si="464"/>
        <v>9.2183908045977</v>
      </c>
      <c r="AU92" s="51">
        <f t="shared" si="465"/>
        <v>9.2183908045977</v>
      </c>
      <c r="AV92" s="51">
        <f t="shared" si="466"/>
        <v>9.2183908045977</v>
      </c>
      <c r="AW92" s="51">
        <f t="shared" si="467"/>
        <v>9.2183908045977</v>
      </c>
      <c r="AX92" s="41">
        <f t="shared" si="12"/>
        <v>53.3793103448276</v>
      </c>
      <c r="AY92" s="41" t="e">
        <f t="shared" si="13"/>
        <v>#REF!</v>
      </c>
      <c r="AZ92" s="42"/>
      <c r="BA92" s="43"/>
      <c r="BB92" s="39" t="e">
        <f t="shared" si="468"/>
        <v>#REF!</v>
      </c>
      <c r="BC92" s="43">
        <f>VLOOKUP(C92,MOQ,3,FALSE())</f>
        <v>42.0</v>
      </c>
      <c r="BD92" s="44"/>
      <c r="BE92" s="45"/>
      <c r="BF92" s="43" t="e">
        <f t="shared" si="470"/>
        <v>#REF!</v>
      </c>
      <c r="BG92" s="43">
        <f t="shared" si="471"/>
        <v>7.93103448275862</v>
      </c>
      <c r="BH92" s="43">
        <f t="shared" si="472"/>
      </c>
      <c r="BI92" s="46" t="e">
        <f t="shared" si="473"/>
        <v>#REF!</v>
      </c>
      <c r="BJ92" s="43">
        <f t="shared" si="474"/>
        <v>8.57471264367816</v>
      </c>
      <c r="BK92" s="43">
        <f t="shared" si="475"/>
      </c>
      <c r="BL92" s="46" t="e">
        <f t="shared" si="476"/>
        <v>#REF!</v>
      </c>
      <c r="BM92" s="43">
        <f t="shared" si="477"/>
        <v>9.2183908045977</v>
      </c>
      <c r="BN92" s="43"/>
      <c r="BO92" s="46" t="e">
        <f t="shared" si="478"/>
        <v>#REF!</v>
      </c>
      <c r="BP92" s="43">
        <f t="shared" si="479"/>
        <v>9.2183908045977</v>
      </c>
      <c r="BQ92" s="43"/>
      <c r="BR92" s="46" t="e">
        <f t="shared" si="480"/>
        <v>#REF!</v>
      </c>
      <c r="BS92" s="43">
        <f t="shared" si="481"/>
        <v>9.2183908045977</v>
      </c>
      <c r="BT92" s="43"/>
      <c r="BU92" s="46" t="e">
        <f t="shared" si="482"/>
        <v>#REF!</v>
      </c>
      <c r="BV92" s="43">
        <f t="shared" si="483"/>
        <v>9.2183908045977</v>
      </c>
      <c r="BW92" s="43"/>
      <c r="BX92" s="46" t="e">
        <f t="shared" si="484"/>
        <v>#REF!</v>
      </c>
      <c r="BY92" s="43"/>
      <c r="BZ92" s="43"/>
      <c r="CA92" s="43"/>
      <c r="CB92" s="43"/>
      <c r="CC92" s="43"/>
      <c r="CD92" s="43"/>
      <c r="CE92" s="43"/>
      <c r="CF92" s="43"/>
      <c r="CG92" s="43"/>
      <c r="CH92" s="43"/>
      <c r="CI92" s="43"/>
      <c r="CJ92" s="43"/>
      <c r="CK92" s="43"/>
      <c r="CL92" s="43"/>
      <c r="CM92" s="43"/>
      <c r="CN92" s="43"/>
      <c r="CO92" s="43"/>
      <c r="CP92" s="43"/>
      <c r="CQ92" s="43"/>
      <c r="CR92" s="43"/>
      <c r="CS92" s="43"/>
      <c r="CT92" s="43"/>
      <c r="CU92" s="43"/>
      <c r="CV92" s="43"/>
      <c r="CW92" s="43"/>
      <c r="CX92" s="43"/>
      <c r="AMF92" s="47"/>
      <c r="AMG92" s="47"/>
      <c r="AMH92" s="47"/>
      <c r="AMI92" s="47"/>
    </row>
    <row r="93" ht="14.0">
      <c r="A93" s="37" t="s">
        <v>32</v>
      </c>
      <c r="B93" s="37" t="s">
        <v>153</v>
      </c>
      <c r="C93" s="37" t="s">
        <v>154</v>
      </c>
      <c r="D93" s="38" t="s">
        <v>155</v>
      </c>
      <c r="E93" s="37">
        <v>0.0</v>
      </c>
      <c r="F93" s="37">
        <v>8.0</v>
      </c>
      <c r="G93" s="37">
        <v>7.0</v>
      </c>
      <c r="H93" s="37">
        <v>8.0</v>
      </c>
      <c r="I93" s="37">
        <v>2.0</v>
      </c>
      <c r="J93" s="37">
        <v>2.0</v>
      </c>
      <c r="K93" s="37">
        <v>1.0</v>
      </c>
      <c r="L93" s="37">
        <v>5.0</v>
      </c>
      <c r="M93" s="37">
        <v>6.0</v>
      </c>
      <c r="N93" s="37">
        <v>3.0</v>
      </c>
      <c r="O93" s="37">
        <v>8.0</v>
      </c>
      <c r="P93" s="37">
        <v>3.0</v>
      </c>
      <c r="Q93" s="37">
        <v>1.0</v>
      </c>
      <c r="R93" s="37">
        <v>9.0</v>
      </c>
      <c r="S93" s="37">
        <v>5.0</v>
      </c>
      <c r="T93" s="37">
        <v>12.0</v>
      </c>
      <c r="U93" s="37">
        <v>11.0</v>
      </c>
      <c r="V93" s="37">
        <v>4.0</v>
      </c>
      <c r="W93" s="37">
        <v>5.0</v>
      </c>
      <c r="X93" s="37">
        <v>4.0</v>
      </c>
      <c r="Y93" s="37">
        <v>10.0</v>
      </c>
      <c r="Z93" s="37">
        <v>7.0</v>
      </c>
      <c r="AA93" s="37">
        <v>1.0</v>
      </c>
      <c r="AB93" s="37">
        <v>2.0</v>
      </c>
      <c r="AC93" s="37">
        <v>3.0</v>
      </c>
      <c r="AD93" s="37">
        <v>3.0</v>
      </c>
      <c r="AE93" s="37">
        <v>8.0</v>
      </c>
      <c r="AF93" s="37">
        <v>4.0</v>
      </c>
      <c r="AG93" s="37">
        <v>2.0</v>
      </c>
      <c r="AH93" s="37">
        <v>1.0</v>
      </c>
      <c r="AI93" s="37">
        <v>4.0</v>
      </c>
      <c r="AJ93" s="37">
        <v>2.0</v>
      </c>
      <c r="AK93" s="37">
        <v>3.0</v>
      </c>
      <c r="AL93" s="37">
        <v>0.0</v>
      </c>
      <c r="AM93" s="37">
        <v>0.0</v>
      </c>
      <c r="AN93" s="37">
        <v>0.0</v>
      </c>
      <c r="AO93" s="39">
        <f t="shared" si="3"/>
        <v>30.0</v>
      </c>
      <c r="AP93" s="39">
        <f t="shared" si="4"/>
        <v>9.0</v>
      </c>
      <c r="AQ93" s="39">
        <f t="shared" si="5"/>
        <v>9.9</v>
      </c>
      <c r="AR93" s="48">
        <v>1.0</v>
      </c>
      <c r="AS93" s="48">
        <v>1.0</v>
      </c>
      <c r="AT93" s="48">
        <v>1.0</v>
      </c>
      <c r="AU93" s="48">
        <v>2.0</v>
      </c>
      <c r="AV93" s="48">
        <v>2.0</v>
      </c>
      <c r="AW93" s="48">
        <v>2.0</v>
      </c>
      <c r="AX93" s="41">
        <f t="shared" si="12"/>
        <v>9.0</v>
      </c>
      <c r="AY93" s="41" t="e">
        <f t="shared" si="13"/>
        <v>#REF!</v>
      </c>
      <c r="AZ93" s="42"/>
      <c r="BA93" s="43"/>
      <c r="BB93" s="39"/>
      <c r="BC93" s="43"/>
      <c r="BD93" s="44"/>
      <c r="BE93" s="45"/>
      <c r="BF93" s="43"/>
      <c r="BG93" s="43"/>
      <c r="BH93" s="43"/>
      <c r="BI93" s="46"/>
      <c r="BJ93" s="43"/>
      <c r="BK93" s="43"/>
      <c r="BL93" s="46"/>
      <c r="BM93" s="43"/>
      <c r="BN93" s="43"/>
      <c r="BO93" s="46"/>
      <c r="BP93" s="43"/>
      <c r="BQ93" s="43"/>
      <c r="BR93" s="46"/>
      <c r="BS93" s="43"/>
      <c r="BT93" s="43"/>
      <c r="BU93" s="46"/>
      <c r="BV93" s="43"/>
      <c r="BW93" s="43"/>
      <c r="BX93" s="46"/>
      <c r="BY93" s="43"/>
      <c r="BZ93" s="43"/>
      <c r="CA93" s="43"/>
      <c r="CB93" s="43"/>
      <c r="CC93" s="43"/>
      <c r="CD93" s="43"/>
      <c r="CE93" s="43"/>
      <c r="CF93" s="43"/>
      <c r="CG93" s="43"/>
      <c r="CH93" s="43"/>
      <c r="CI93" s="43"/>
      <c r="CJ93" s="43"/>
      <c r="CK93" s="43"/>
      <c r="CL93" s="43"/>
      <c r="CM93" s="43"/>
      <c r="CN93" s="43"/>
      <c r="CO93" s="43"/>
      <c r="CP93" s="43"/>
      <c r="CQ93" s="43"/>
      <c r="CR93" s="43"/>
      <c r="CS93" s="43"/>
      <c r="CT93" s="43"/>
      <c r="CU93" s="43"/>
      <c r="CV93" s="43"/>
      <c r="CW93" s="43"/>
      <c r="CX93" s="43"/>
      <c r="AMF93" s="47"/>
      <c r="AMG93" s="47"/>
      <c r="AMH93" s="47"/>
      <c r="AMI93" s="47"/>
    </row>
    <row r="94" ht="14.0">
      <c r="A94" s="37" t="s">
        <v>32</v>
      </c>
      <c r="B94" s="37" t="s">
        <v>153</v>
      </c>
      <c r="C94" s="37" t="s">
        <v>156</v>
      </c>
      <c r="D94" s="38" t="s">
        <v>157</v>
      </c>
      <c r="E94" s="37">
        <v>0.0</v>
      </c>
      <c r="F94" s="37">
        <v>0.0</v>
      </c>
      <c r="G94" s="37">
        <v>0.0</v>
      </c>
      <c r="H94" s="37">
        <v>0.0</v>
      </c>
      <c r="I94" s="37">
        <v>0.0</v>
      </c>
      <c r="J94" s="37">
        <v>1.0</v>
      </c>
      <c r="K94" s="37">
        <v>0.0</v>
      </c>
      <c r="L94" s="37">
        <v>0.0</v>
      </c>
      <c r="M94" s="37">
        <v>0.0</v>
      </c>
      <c r="N94" s="37">
        <v>1.0</v>
      </c>
      <c r="O94" s="37">
        <v>0.0</v>
      </c>
      <c r="P94" s="37">
        <v>0.0</v>
      </c>
      <c r="Q94" s="37">
        <v>0.0</v>
      </c>
      <c r="R94" s="37">
        <v>1.0</v>
      </c>
      <c r="S94" s="37">
        <v>0.0</v>
      </c>
      <c r="T94" s="37">
        <v>0.0</v>
      </c>
      <c r="U94" s="37">
        <v>0.0</v>
      </c>
      <c r="V94" s="37">
        <v>0.0</v>
      </c>
      <c r="W94" s="37">
        <v>0.0</v>
      </c>
      <c r="X94" s="37">
        <v>1.0</v>
      </c>
      <c r="Y94" s="37">
        <v>0.0</v>
      </c>
      <c r="Z94" s="37">
        <v>0.0</v>
      </c>
      <c r="AA94" s="37">
        <v>0.0</v>
      </c>
      <c r="AB94" s="37">
        <v>1.0</v>
      </c>
      <c r="AC94" s="37">
        <v>0.0</v>
      </c>
      <c r="AD94" s="37">
        <v>0.0</v>
      </c>
      <c r="AE94" s="37">
        <v>0.0</v>
      </c>
      <c r="AF94" s="37">
        <v>0.0</v>
      </c>
      <c r="AG94" s="37">
        <v>0.0</v>
      </c>
      <c r="AH94" s="37">
        <v>0.0</v>
      </c>
      <c r="AI94" s="37">
        <v>0.0</v>
      </c>
      <c r="AJ94" s="37">
        <v>0.0</v>
      </c>
      <c r="AK94" s="37">
        <v>0.0</v>
      </c>
      <c r="AL94" s="37">
        <v>0.0</v>
      </c>
      <c r="AM94" s="37">
        <v>0.0</v>
      </c>
      <c r="AN94" s="37">
        <v>0.0</v>
      </c>
      <c r="AO94" s="39">
        <f t="shared" si="3"/>
        <v>0.0</v>
      </c>
      <c r="AP94" s="39">
        <f t="shared" si="4"/>
        <v>0.0</v>
      </c>
      <c r="AQ94" s="39">
        <f t="shared" si="5"/>
        <v>0.0</v>
      </c>
      <c r="AR94" s="40">
        <f>AR93</f>
        <v>1.0</v>
      </c>
      <c r="AS94" s="40">
        <f>AS93</f>
        <v>1.0</v>
      </c>
      <c r="AT94" s="40">
        <f>AT93</f>
        <v>1.0</v>
      </c>
      <c r="AU94" s="40">
        <f>AU93</f>
        <v>2.0</v>
      </c>
      <c r="AV94" s="40">
        <f>AV93</f>
        <v>2.0</v>
      </c>
      <c r="AW94" s="40">
        <f>AW93</f>
        <v>2.0</v>
      </c>
      <c r="AX94" s="41">
        <f t="shared" si="12"/>
        <v>9.0</v>
      </c>
      <c r="AY94" s="41" t="e">
        <f t="shared" si="13"/>
        <v>#REF!</v>
      </c>
      <c r="AZ94" s="42">
        <v>6.0</v>
      </c>
      <c r="BA94" s="43"/>
      <c r="BB94" s="39" t="e">
        <f t="shared" ref="BB94:BB109" si="496">AY94+AZ94+BA94-AX94</f>
        <v>#REF!</v>
      </c>
      <c r="BC94" s="43">
        <f>VLOOKUP(C94,MOQ,3,FALSE())</f>
      </c>
      <c r="BD94" s="49" t="e">
        <f t="shared" ref="BD94:BD107" si="498">BB94*-1</f>
        <v>#REF!</v>
      </c>
      <c r="BE94" s="45" t="s">
        <v>73</v>
      </c>
      <c r="BF94" s="43" t="e">
        <f t="shared" ref="BF94:BF109" si="499">AY94</f>
        <v>#REF!</v>
      </c>
      <c r="BG94" s="43">
        <f t="shared" ref="BG94:BG109" si="500">AR94</f>
        <v>1.0</v>
      </c>
      <c r="BH94" s="43">
        <f t="shared" ref="BH94:BH109" si="501">AZ94</f>
        <v>6.0</v>
      </c>
      <c r="BI94" s="46" t="e">
        <f t="shared" ref="BI94:BI109" si="502">BF94+BH94-BG94</f>
        <v>#REF!</v>
      </c>
      <c r="BJ94" s="43">
        <f t="shared" ref="BJ94:BJ109" si="503">AS94</f>
        <v>1.0</v>
      </c>
      <c r="BK94" s="43">
        <f t="shared" ref="BK94:BK109" si="504">BA94</f>
      </c>
      <c r="BL94" s="46" t="e">
        <f t="shared" ref="BL94:BL109" si="505">BI94+BK94-BJ94</f>
        <v>#REF!</v>
      </c>
      <c r="BM94" s="43">
        <f t="shared" ref="BM94:BM109" si="506">AT94</f>
        <v>1.0</v>
      </c>
      <c r="BN94" s="43"/>
      <c r="BO94" s="46" t="e">
        <f t="shared" ref="BO94:BO109" si="507">BL94+BN94-BM94</f>
        <v>#REF!</v>
      </c>
      <c r="BP94" s="43">
        <f t="shared" ref="BP94:BP109" si="508">AU94</f>
        <v>2.0</v>
      </c>
      <c r="BQ94" s="43"/>
      <c r="BR94" s="46" t="e">
        <f t="shared" ref="BR94:BR109" si="509">BO94+BQ94-BP94</f>
        <v>#REF!</v>
      </c>
      <c r="BS94" s="43">
        <f t="shared" ref="BS94:BS109" si="510">AV94</f>
        <v>2.0</v>
      </c>
      <c r="BT94" s="43"/>
      <c r="BU94" s="46" t="e">
        <f t="shared" ref="BU94:BU109" si="511">BR94+BT94-BS94</f>
        <v>#REF!</v>
      </c>
      <c r="BV94" s="43">
        <f t="shared" ref="BV94:BV109" si="512">AW94</f>
        <v>2.0</v>
      </c>
      <c r="BW94" s="43"/>
      <c r="BX94" s="46" t="e">
        <f t="shared" ref="BX94:BX109" si="513">BU94+BW94-BV94</f>
        <v>#REF!</v>
      </c>
      <c r="BY94" s="43"/>
      <c r="BZ94" s="42" t="e">
        <f t="shared" ref="BZ94:BZ107" si="514">BU94*-1</f>
        <v>#REF!</v>
      </c>
      <c r="CA94" s="52" t="e">
        <f t="shared" ref="CA94:CA107" si="515">BZ94/6</f>
        <v>#REF!</v>
      </c>
      <c r="CB94" s="42" t="e">
        <f t="shared" ref="CB94:CB107" si="516">ROUNDUP(CA94,0)</f>
        <v>#REF!</v>
      </c>
      <c r="CC94" s="53" t="e">
        <f t="shared" ref="CC94:CC107" si="517">CB94*6</f>
        <v>#REF!</v>
      </c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3"/>
      <c r="CT94" s="43"/>
      <c r="CU94" s="43"/>
      <c r="CV94" s="43"/>
      <c r="CW94" s="43"/>
      <c r="CX94" s="43"/>
      <c r="CY94" s="43"/>
      <c r="CZ94" s="43"/>
      <c r="DA94" s="43"/>
      <c r="DB94" s="43"/>
      <c r="DC94" s="43"/>
      <c r="AMF94" s="47"/>
      <c r="AMG94" s="47"/>
      <c r="AMH94" s="47"/>
      <c r="AMI94" s="47"/>
    </row>
    <row r="95" ht="14.0">
      <c r="A95" s="37" t="s">
        <v>32</v>
      </c>
      <c r="B95" s="37" t="s">
        <v>153</v>
      </c>
      <c r="C95" s="37" t="s">
        <v>158</v>
      </c>
      <c r="D95" s="38">
        <v>40501.0</v>
      </c>
      <c r="E95" s="37">
        <v>27.0</v>
      </c>
      <c r="F95" s="37">
        <v>33.0</v>
      </c>
      <c r="G95" s="37">
        <v>54.0</v>
      </c>
      <c r="H95" s="37">
        <v>54.0</v>
      </c>
      <c r="I95" s="37">
        <v>42.0</v>
      </c>
      <c r="J95" s="37">
        <v>18.0</v>
      </c>
      <c r="K95" s="37">
        <v>18.0</v>
      </c>
      <c r="L95" s="37">
        <v>27.0</v>
      </c>
      <c r="M95" s="37">
        <v>24.0</v>
      </c>
      <c r="N95" s="37">
        <v>84.0</v>
      </c>
      <c r="O95" s="37">
        <v>48.0</v>
      </c>
      <c r="P95" s="37">
        <v>24.0</v>
      </c>
      <c r="Q95" s="37">
        <v>18.0</v>
      </c>
      <c r="R95" s="37">
        <v>28.0</v>
      </c>
      <c r="S95" s="37">
        <v>51.0</v>
      </c>
      <c r="T95" s="37">
        <v>21.0</v>
      </c>
      <c r="U95" s="37">
        <v>42.0</v>
      </c>
      <c r="V95" s="37">
        <v>30.0</v>
      </c>
      <c r="W95" s="37">
        <v>18.0</v>
      </c>
      <c r="X95" s="37">
        <v>21.0</v>
      </c>
      <c r="Y95" s="37">
        <v>18.0</v>
      </c>
      <c r="Z95" s="37">
        <v>18.0</v>
      </c>
      <c r="AA95" s="37">
        <v>19.0</v>
      </c>
      <c r="AB95" s="37">
        <v>18.0</v>
      </c>
      <c r="AC95" s="37">
        <v>9.0</v>
      </c>
      <c r="AD95" s="37">
        <v>18.0</v>
      </c>
      <c r="AE95" s="37">
        <v>33.0</v>
      </c>
      <c r="AF95" s="37">
        <v>12.0</v>
      </c>
      <c r="AG95" s="37">
        <v>21.0</v>
      </c>
      <c r="AH95" s="37">
        <v>21.0</v>
      </c>
      <c r="AI95" s="37">
        <v>6.0</v>
      </c>
      <c r="AJ95" s="37">
        <v>18.0</v>
      </c>
      <c r="AK95" s="37">
        <v>18.0</v>
      </c>
      <c r="AL95" s="37">
        <v>15.0</v>
      </c>
      <c r="AM95" s="37">
        <v>9.0</v>
      </c>
      <c r="AN95" s="37">
        <v>12.0</v>
      </c>
      <c r="AO95" s="39">
        <f t="shared" si="3"/>
        <v>192.0</v>
      </c>
      <c r="AP95" s="39">
        <f t="shared" si="4"/>
        <v>78.0</v>
      </c>
      <c r="AQ95" s="39">
        <f t="shared" si="5"/>
        <v>85.8</v>
      </c>
      <c r="AR95" s="51">
        <f t="shared" ref="AR95:AR99" si="518">AQ95*$AR$4/$AQ$4+3*$AR$93</f>
        <v>13.7586206896551</v>
      </c>
      <c r="AS95" s="51">
        <f t="shared" ref="AS95:AS99" si="519">AQ95*$AS$4/$AQ$4+3*$AS$93</f>
        <v>17.3448275862069</v>
      </c>
      <c r="AT95" s="51">
        <f t="shared" ref="AT95:AT99" si="520">AQ95*$AT$4/$AQ$4+3*$AT$93</f>
        <v>20.9310344827586</v>
      </c>
      <c r="AU95" s="51">
        <f t="shared" ref="AU95:AU99" si="521">AQ95*$AU$4/$AQ$4+3*$AU$93</f>
        <v>23.9310344827586</v>
      </c>
      <c r="AV95" s="51">
        <f t="shared" ref="AV95:AV99" si="522">AQ95*$AV$4/$AQ$4+3*$AV$93</f>
        <v>23.9310344827586</v>
      </c>
      <c r="AW95" s="51">
        <f t="shared" ref="AW95:AW99" si="523">AQ95*$AW$4/$AQ$4+3*$AW$93</f>
        <v>23.9310344827586</v>
      </c>
      <c r="AX95" s="41">
        <f t="shared" si="12"/>
        <v>123.827586206896</v>
      </c>
      <c r="AY95" s="41" t="e">
        <f t="shared" si="13"/>
        <v>#REF!</v>
      </c>
      <c r="AZ95" s="42" t="e">
        <f t="shared" ref="AZ95:AZ97" si="524">VLOOKUP(C95,IFUKJULY,3,false)</f>
        <v>#REF!</v>
      </c>
      <c r="BA95" s="43"/>
      <c r="BB95" s="39" t="e">
        <f t="shared" si="496"/>
        <v>#REF!</v>
      </c>
      <c r="BC95" s="43">
        <f>VLOOKUP(C95,MOQ,3,FALSE())</f>
      </c>
      <c r="BD95" s="49" t="e">
        <f t="shared" si="498"/>
        <v>#REF!</v>
      </c>
      <c r="BE95" s="45" t="s">
        <v>8</v>
      </c>
      <c r="BF95" s="43" t="e">
        <f t="shared" si="499"/>
        <v>#REF!</v>
      </c>
      <c r="BG95" s="43">
        <f t="shared" si="500"/>
        <v>13.7586206896551</v>
      </c>
      <c r="BH95" s="43" t="e">
        <f t="shared" si="501"/>
        <v>#REF!</v>
      </c>
      <c r="BI95" s="46" t="e">
        <f t="shared" si="502"/>
        <v>#REF!</v>
      </c>
      <c r="BJ95" s="43">
        <f t="shared" si="503"/>
        <v>17.3448275862069</v>
      </c>
      <c r="BK95" s="43">
        <f t="shared" si="504"/>
      </c>
      <c r="BL95" s="46" t="e">
        <f t="shared" si="505"/>
        <v>#REF!</v>
      </c>
      <c r="BM95" s="43">
        <f t="shared" si="506"/>
        <v>20.9310344827586</v>
      </c>
      <c r="BN95" s="43"/>
      <c r="BO95" s="46" t="e">
        <f t="shared" si="507"/>
        <v>#REF!</v>
      </c>
      <c r="BP95" s="43">
        <f t="shared" si="508"/>
        <v>23.9310344827586</v>
      </c>
      <c r="BQ95" s="43"/>
      <c r="BR95" s="46" t="e">
        <f t="shared" si="509"/>
        <v>#REF!</v>
      </c>
      <c r="BS95" s="43">
        <f t="shared" si="510"/>
        <v>23.9310344827586</v>
      </c>
      <c r="BT95" s="43"/>
      <c r="BU95" s="46" t="e">
        <f t="shared" si="511"/>
        <v>#REF!</v>
      </c>
      <c r="BV95" s="43">
        <f t="shared" si="512"/>
        <v>23.9310344827586</v>
      </c>
      <c r="BW95" s="43"/>
      <c r="BX95" s="46" t="e">
        <f t="shared" si="513"/>
        <v>#REF!</v>
      </c>
      <c r="BY95" s="43"/>
      <c r="BZ95" s="42" t="e">
        <f t="shared" si="514"/>
        <v>#REF!</v>
      </c>
      <c r="CA95" s="52" t="e">
        <f t="shared" si="515"/>
        <v>#REF!</v>
      </c>
      <c r="CB95" s="42" t="e">
        <f t="shared" si="516"/>
        <v>#REF!</v>
      </c>
      <c r="CC95" s="53" t="e">
        <f t="shared" si="517"/>
        <v>#REF!</v>
      </c>
      <c r="CD95" s="43"/>
      <c r="CE95" s="43"/>
      <c r="CF95" s="43"/>
      <c r="CG95" s="43"/>
      <c r="CH95" s="43"/>
      <c r="CI95" s="43"/>
      <c r="CJ95" s="43"/>
      <c r="CK95" s="43"/>
      <c r="CL95" s="43"/>
      <c r="CM95" s="43"/>
      <c r="CN95" s="43"/>
      <c r="CO95" s="43"/>
      <c r="CP95" s="43"/>
      <c r="CQ95" s="43"/>
      <c r="CR95" s="43"/>
      <c r="CS95" s="43"/>
      <c r="CT95" s="43"/>
      <c r="CU95" s="43"/>
      <c r="CV95" s="43"/>
      <c r="CW95" s="43"/>
      <c r="CX95" s="43"/>
      <c r="CY95" s="43"/>
      <c r="CZ95" s="43"/>
      <c r="DA95" s="43"/>
      <c r="DB95" s="43"/>
      <c r="DC95" s="43"/>
      <c r="AMF95" s="47"/>
      <c r="AMG95" s="47"/>
      <c r="AMH95" s="47"/>
      <c r="AMI95" s="47"/>
    </row>
    <row r="96" ht="14.0">
      <c r="A96" s="37" t="s">
        <v>32</v>
      </c>
      <c r="B96" s="37" t="s">
        <v>153</v>
      </c>
      <c r="C96" s="37" t="s">
        <v>159</v>
      </c>
      <c r="D96" s="38">
        <v>40502.0</v>
      </c>
      <c r="E96" s="37">
        <v>9.0</v>
      </c>
      <c r="F96" s="37">
        <v>15.0</v>
      </c>
      <c r="G96" s="37">
        <v>42.0</v>
      </c>
      <c r="H96" s="37">
        <v>21.0</v>
      </c>
      <c r="I96" s="37">
        <v>27.0</v>
      </c>
      <c r="J96" s="37">
        <v>18.0</v>
      </c>
      <c r="K96" s="37">
        <v>9.0</v>
      </c>
      <c r="L96" s="37">
        <v>18.0</v>
      </c>
      <c r="M96" s="37">
        <v>12.0</v>
      </c>
      <c r="N96" s="37">
        <v>39.0</v>
      </c>
      <c r="O96" s="37">
        <v>21.0</v>
      </c>
      <c r="P96" s="37">
        <v>12.0</v>
      </c>
      <c r="Q96" s="37">
        <v>12.0</v>
      </c>
      <c r="R96" s="37">
        <v>15.0</v>
      </c>
      <c r="S96" s="37">
        <v>9.0</v>
      </c>
      <c r="T96" s="37">
        <v>12.0</v>
      </c>
      <c r="U96" s="37">
        <v>3.0</v>
      </c>
      <c r="V96" s="37">
        <v>15.0</v>
      </c>
      <c r="W96" s="37">
        <v>6.0</v>
      </c>
      <c r="X96" s="37">
        <v>12.0</v>
      </c>
      <c r="Y96" s="37">
        <v>3.0</v>
      </c>
      <c r="Z96" s="37">
        <v>12.0</v>
      </c>
      <c r="AA96" s="37">
        <v>21.0</v>
      </c>
      <c r="AB96" s="37">
        <v>9.0</v>
      </c>
      <c r="AC96" s="37">
        <v>0.0</v>
      </c>
      <c r="AD96" s="37">
        <v>12.0</v>
      </c>
      <c r="AE96" s="37">
        <v>18.0</v>
      </c>
      <c r="AF96" s="37">
        <v>6.0</v>
      </c>
      <c r="AG96" s="37">
        <v>15.0</v>
      </c>
      <c r="AH96" s="37">
        <v>18.0</v>
      </c>
      <c r="AI96" s="37">
        <v>0.0</v>
      </c>
      <c r="AJ96" s="37">
        <v>12.0</v>
      </c>
      <c r="AK96" s="37">
        <v>12.0</v>
      </c>
      <c r="AL96" s="37">
        <v>6.0</v>
      </c>
      <c r="AM96" s="37">
        <v>0.0</v>
      </c>
      <c r="AN96" s="37">
        <v>9.0</v>
      </c>
      <c r="AO96" s="39">
        <f t="shared" si="3"/>
        <v>108.0</v>
      </c>
      <c r="AP96" s="39">
        <f t="shared" si="4"/>
        <v>39.0</v>
      </c>
      <c r="AQ96" s="39">
        <f t="shared" si="5"/>
        <v>42.9</v>
      </c>
      <c r="AR96" s="51">
        <f t="shared" si="518"/>
        <v>8.37931034482759</v>
      </c>
      <c r="AS96" s="51">
        <f t="shared" si="519"/>
        <v>10.1724137931034</v>
      </c>
      <c r="AT96" s="51">
        <f t="shared" si="520"/>
        <v>11.9655172413793</v>
      </c>
      <c r="AU96" s="51">
        <f t="shared" si="521"/>
        <v>14.9655172413793</v>
      </c>
      <c r="AV96" s="51">
        <f t="shared" si="522"/>
        <v>14.9655172413793</v>
      </c>
      <c r="AW96" s="51">
        <f t="shared" si="523"/>
        <v>14.9655172413793</v>
      </c>
      <c r="AX96" s="41">
        <f t="shared" si="12"/>
        <v>75.4137931034482</v>
      </c>
      <c r="AY96" s="41" t="e">
        <f t="shared" si="13"/>
        <v>#REF!</v>
      </c>
      <c r="AZ96" s="42" t="e">
        <f t="shared" si="524"/>
        <v>#REF!</v>
      </c>
      <c r="BA96" s="43"/>
      <c r="BB96" s="39" t="e">
        <f t="shared" si="496"/>
        <v>#REF!</v>
      </c>
      <c r="BC96" s="43">
        <f>VLOOKUP(C96,MOQ,3,FALSE())</f>
      </c>
      <c r="BD96" s="49" t="e">
        <f t="shared" si="498"/>
        <v>#REF!</v>
      </c>
      <c r="BE96" s="45" t="s">
        <v>8</v>
      </c>
      <c r="BF96" s="43" t="e">
        <f t="shared" si="499"/>
        <v>#REF!</v>
      </c>
      <c r="BG96" s="43">
        <f t="shared" si="500"/>
        <v>8.37931034482759</v>
      </c>
      <c r="BH96" s="43" t="e">
        <f t="shared" si="501"/>
        <v>#REF!</v>
      </c>
      <c r="BI96" s="46" t="e">
        <f t="shared" si="502"/>
        <v>#REF!</v>
      </c>
      <c r="BJ96" s="43">
        <f t="shared" si="503"/>
        <v>10.1724137931034</v>
      </c>
      <c r="BK96" s="43">
        <f t="shared" si="504"/>
      </c>
      <c r="BL96" s="46" t="e">
        <f t="shared" si="505"/>
        <v>#REF!</v>
      </c>
      <c r="BM96" s="43">
        <f t="shared" si="506"/>
        <v>11.9655172413793</v>
      </c>
      <c r="BN96" s="43"/>
      <c r="BO96" s="46" t="e">
        <f t="shared" si="507"/>
        <v>#REF!</v>
      </c>
      <c r="BP96" s="43">
        <f t="shared" si="508"/>
        <v>14.9655172413793</v>
      </c>
      <c r="BQ96" s="43"/>
      <c r="BR96" s="46" t="e">
        <f t="shared" si="509"/>
        <v>#REF!</v>
      </c>
      <c r="BS96" s="43">
        <f t="shared" si="510"/>
        <v>14.9655172413793</v>
      </c>
      <c r="BT96" s="43"/>
      <c r="BU96" s="46" t="e">
        <f t="shared" si="511"/>
        <v>#REF!</v>
      </c>
      <c r="BV96" s="43">
        <f t="shared" si="512"/>
        <v>14.9655172413793</v>
      </c>
      <c r="BW96" s="43"/>
      <c r="BX96" s="46" t="e">
        <f t="shared" si="513"/>
        <v>#REF!</v>
      </c>
      <c r="BY96" s="43"/>
      <c r="BZ96" s="42" t="e">
        <f t="shared" si="514"/>
        <v>#REF!</v>
      </c>
      <c r="CA96" s="52" t="e">
        <f t="shared" si="515"/>
        <v>#REF!</v>
      </c>
      <c r="CB96" s="42" t="e">
        <f t="shared" si="516"/>
        <v>#REF!</v>
      </c>
      <c r="CC96" s="53" t="e">
        <f t="shared" si="517"/>
        <v>#REF!</v>
      </c>
      <c r="CD96" s="43"/>
      <c r="CE96" s="43"/>
      <c r="CF96" s="43"/>
      <c r="CG96" s="43"/>
      <c r="CH96" s="43"/>
      <c r="CI96" s="43"/>
      <c r="CJ96" s="43"/>
      <c r="CK96" s="43"/>
      <c r="CL96" s="43"/>
      <c r="CM96" s="43"/>
      <c r="CN96" s="43"/>
      <c r="CO96" s="43"/>
      <c r="CP96" s="43"/>
      <c r="CQ96" s="43"/>
      <c r="CR96" s="43"/>
      <c r="CS96" s="43"/>
      <c r="CT96" s="43"/>
      <c r="CU96" s="43"/>
      <c r="CV96" s="43"/>
      <c r="CW96" s="43"/>
      <c r="CX96" s="43"/>
      <c r="CY96" s="43"/>
      <c r="CZ96" s="43"/>
      <c r="DA96" s="43"/>
      <c r="DB96" s="43"/>
      <c r="DC96" s="43"/>
      <c r="AMF96" s="47"/>
      <c r="AMG96" s="47"/>
      <c r="AMH96" s="47"/>
      <c r="AMI96" s="47"/>
    </row>
    <row r="97" ht="14.0">
      <c r="A97" s="37" t="s">
        <v>32</v>
      </c>
      <c r="B97" s="37" t="s">
        <v>153</v>
      </c>
      <c r="C97" s="37" t="s">
        <v>160</v>
      </c>
      <c r="D97" s="38">
        <v>40523.0</v>
      </c>
      <c r="E97" s="37">
        <v>0.0</v>
      </c>
      <c r="F97" s="37">
        <v>0.0</v>
      </c>
      <c r="G97" s="37">
        <v>15.0</v>
      </c>
      <c r="H97" s="37">
        <v>15.0</v>
      </c>
      <c r="I97" s="37">
        <v>9.0</v>
      </c>
      <c r="J97" s="37">
        <v>9.0</v>
      </c>
      <c r="K97" s="37">
        <v>9.0</v>
      </c>
      <c r="L97" s="37">
        <v>3.0</v>
      </c>
      <c r="M97" s="37">
        <v>6.0</v>
      </c>
      <c r="N97" s="37">
        <v>27.0</v>
      </c>
      <c r="O97" s="37">
        <v>9.0</v>
      </c>
      <c r="P97" s="37">
        <v>9.0</v>
      </c>
      <c r="Q97" s="37">
        <v>3.0</v>
      </c>
      <c r="R97" s="37">
        <v>3.0</v>
      </c>
      <c r="S97" s="37">
        <v>18.0</v>
      </c>
      <c r="T97" s="37">
        <v>-3.0</v>
      </c>
      <c r="U97" s="37">
        <v>3.0</v>
      </c>
      <c r="V97" s="37">
        <v>6.0</v>
      </c>
      <c r="W97" s="37">
        <v>0.0</v>
      </c>
      <c r="X97" s="37">
        <v>3.0</v>
      </c>
      <c r="Y97" s="37">
        <v>3.0</v>
      </c>
      <c r="Z97" s="37">
        <v>3.0</v>
      </c>
      <c r="AA97" s="37">
        <v>18.0</v>
      </c>
      <c r="AB97" s="37">
        <v>0.0</v>
      </c>
      <c r="AC97" s="37">
        <v>3.0</v>
      </c>
      <c r="AD97" s="37">
        <v>3.0</v>
      </c>
      <c r="AE97" s="37">
        <v>6.0</v>
      </c>
      <c r="AF97" s="37">
        <v>3.0</v>
      </c>
      <c r="AG97" s="37">
        <v>18.0</v>
      </c>
      <c r="AH97" s="37">
        <v>3.0</v>
      </c>
      <c r="AI97" s="37">
        <v>0.0</v>
      </c>
      <c r="AJ97" s="37">
        <v>3.0</v>
      </c>
      <c r="AK97" s="37">
        <v>3.0</v>
      </c>
      <c r="AL97" s="37">
        <v>3.0</v>
      </c>
      <c r="AM97" s="37">
        <v>9.0</v>
      </c>
      <c r="AN97" s="37">
        <v>3.0</v>
      </c>
      <c r="AO97" s="39">
        <f t="shared" si="3"/>
        <v>57.0</v>
      </c>
      <c r="AP97" s="39">
        <f t="shared" si="4"/>
        <v>21.0</v>
      </c>
      <c r="AQ97" s="39">
        <f t="shared" si="5"/>
        <v>23.1</v>
      </c>
      <c r="AR97" s="51">
        <f t="shared" si="518"/>
        <v>5.89655172413793</v>
      </c>
      <c r="AS97" s="51">
        <f t="shared" si="519"/>
        <v>6.86206896551724</v>
      </c>
      <c r="AT97" s="51">
        <f t="shared" si="520"/>
        <v>7.82758620689655</v>
      </c>
      <c r="AU97" s="51">
        <f t="shared" si="521"/>
        <v>10.8275862068966</v>
      </c>
      <c r="AV97" s="51">
        <f t="shared" si="522"/>
        <v>10.8275862068966</v>
      </c>
      <c r="AW97" s="51">
        <f t="shared" si="523"/>
        <v>10.8275862068966</v>
      </c>
      <c r="AX97" s="41">
        <f t="shared" si="12"/>
        <v>53.0689655172415</v>
      </c>
      <c r="AY97" s="41" t="e">
        <f t="shared" si="13"/>
        <v>#REF!</v>
      </c>
      <c r="AZ97" s="42" t="e">
        <f t="shared" si="524"/>
        <v>#REF!</v>
      </c>
      <c r="BA97" s="43"/>
      <c r="BB97" s="39" t="e">
        <f t="shared" si="496"/>
        <v>#REF!</v>
      </c>
      <c r="BC97" s="43">
        <f>VLOOKUP(C97,MOQ,3,FALSE())</f>
      </c>
      <c r="BD97" s="49" t="e">
        <f t="shared" si="498"/>
        <v>#REF!</v>
      </c>
      <c r="BE97" s="45" t="s">
        <v>9</v>
      </c>
      <c r="BF97" s="43" t="e">
        <f t="shared" si="499"/>
        <v>#REF!</v>
      </c>
      <c r="BG97" s="43">
        <f t="shared" si="500"/>
        <v>5.89655172413793</v>
      </c>
      <c r="BH97" s="43" t="e">
        <f t="shared" si="501"/>
        <v>#REF!</v>
      </c>
      <c r="BI97" s="46" t="e">
        <f t="shared" si="502"/>
        <v>#REF!</v>
      </c>
      <c r="BJ97" s="43">
        <f t="shared" si="503"/>
        <v>6.86206896551724</v>
      </c>
      <c r="BK97" s="43">
        <f t="shared" si="504"/>
      </c>
      <c r="BL97" s="46" t="e">
        <f t="shared" si="505"/>
        <v>#REF!</v>
      </c>
      <c r="BM97" s="43">
        <f t="shared" si="506"/>
        <v>7.82758620689655</v>
      </c>
      <c r="BN97" s="43"/>
      <c r="BO97" s="46" t="e">
        <f t="shared" si="507"/>
        <v>#REF!</v>
      </c>
      <c r="BP97" s="43">
        <f t="shared" si="508"/>
        <v>10.8275862068966</v>
      </c>
      <c r="BQ97" s="43"/>
      <c r="BR97" s="46" t="e">
        <f t="shared" si="509"/>
        <v>#REF!</v>
      </c>
      <c r="BS97" s="43">
        <f t="shared" si="510"/>
        <v>10.8275862068966</v>
      </c>
      <c r="BT97" s="43"/>
      <c r="BU97" s="46" t="e">
        <f t="shared" si="511"/>
        <v>#REF!</v>
      </c>
      <c r="BV97" s="43">
        <f t="shared" si="512"/>
        <v>10.8275862068966</v>
      </c>
      <c r="BW97" s="43"/>
      <c r="BX97" s="46" t="e">
        <f t="shared" si="513"/>
        <v>#REF!</v>
      </c>
      <c r="BY97" s="43"/>
      <c r="BZ97" s="42" t="e">
        <f t="shared" si="514"/>
        <v>#REF!</v>
      </c>
      <c r="CA97" s="52" t="e">
        <f t="shared" si="515"/>
        <v>#REF!</v>
      </c>
      <c r="CB97" s="42" t="e">
        <f t="shared" si="516"/>
        <v>#REF!</v>
      </c>
      <c r="CC97" s="53" t="e">
        <f t="shared" si="517"/>
        <v>#REF!</v>
      </c>
      <c r="CD97" s="43"/>
      <c r="CE97" s="43"/>
      <c r="CF97" s="43"/>
      <c r="CG97" s="43"/>
      <c r="CH97" s="43"/>
      <c r="CI97" s="43"/>
      <c r="CJ97" s="43"/>
      <c r="CK97" s="43"/>
      <c r="CL97" s="43"/>
      <c r="CM97" s="43"/>
      <c r="CN97" s="43"/>
      <c r="CO97" s="43"/>
      <c r="CP97" s="43"/>
      <c r="CQ97" s="43"/>
      <c r="CR97" s="43"/>
      <c r="CS97" s="43"/>
      <c r="CT97" s="43"/>
      <c r="CU97" s="43"/>
      <c r="CV97" s="43"/>
      <c r="CW97" s="43"/>
      <c r="CX97" s="43"/>
      <c r="CY97" s="43"/>
      <c r="CZ97" s="43"/>
      <c r="DA97" s="43"/>
      <c r="DB97" s="43"/>
      <c r="DC97" s="43"/>
      <c r="AMF97" s="47"/>
      <c r="AMG97" s="47"/>
      <c r="AMH97" s="47"/>
      <c r="AMI97" s="47"/>
      <c r="AMJ97" s="47"/>
    </row>
    <row r="98" ht="14.0">
      <c r="A98" s="37" t="s">
        <v>32</v>
      </c>
      <c r="B98" s="37" t="s">
        <v>153</v>
      </c>
      <c r="C98" s="37" t="s">
        <v>161</v>
      </c>
      <c r="D98" s="38">
        <v>40533.0</v>
      </c>
      <c r="E98" s="37">
        <v>0.0</v>
      </c>
      <c r="F98" s="37">
        <v>3.0</v>
      </c>
      <c r="G98" s="37">
        <v>15.0</v>
      </c>
      <c r="H98" s="37">
        <v>18.0</v>
      </c>
      <c r="I98" s="37">
        <v>21.0</v>
      </c>
      <c r="J98" s="37">
        <v>21.0</v>
      </c>
      <c r="K98" s="37">
        <v>9.0</v>
      </c>
      <c r="L98" s="37">
        <v>0.0</v>
      </c>
      <c r="M98" s="37">
        <v>12.0</v>
      </c>
      <c r="N98" s="37">
        <v>21.0</v>
      </c>
      <c r="O98" s="37">
        <v>3.0</v>
      </c>
      <c r="P98" s="37">
        <v>15.0</v>
      </c>
      <c r="Q98" s="37">
        <v>15.0</v>
      </c>
      <c r="R98" s="37">
        <v>15.0</v>
      </c>
      <c r="S98" s="37">
        <v>18.0</v>
      </c>
      <c r="T98" s="37">
        <v>4.0</v>
      </c>
      <c r="U98" s="37">
        <v>6.0</v>
      </c>
      <c r="V98" s="37">
        <v>3.0</v>
      </c>
      <c r="W98" s="37">
        <v>12.0</v>
      </c>
      <c r="X98" s="37">
        <v>12.0</v>
      </c>
      <c r="Y98" s="37">
        <v>18.0</v>
      </c>
      <c r="Z98" s="37">
        <v>6.0</v>
      </c>
      <c r="AA98" s="37">
        <v>19.0</v>
      </c>
      <c r="AB98" s="37">
        <v>0.0</v>
      </c>
      <c r="AC98" s="37">
        <v>6.0</v>
      </c>
      <c r="AD98" s="37">
        <v>3.0</v>
      </c>
      <c r="AE98" s="37">
        <v>15.0</v>
      </c>
      <c r="AF98" s="37">
        <v>9.0</v>
      </c>
      <c r="AG98" s="37">
        <v>9.0</v>
      </c>
      <c r="AH98" s="37">
        <v>6.0</v>
      </c>
      <c r="AI98" s="37">
        <v>0.0</v>
      </c>
      <c r="AJ98" s="37">
        <v>12.0</v>
      </c>
      <c r="AK98" s="37">
        <v>6.0</v>
      </c>
      <c r="AL98" s="37">
        <v>3.0</v>
      </c>
      <c r="AM98" s="37">
        <v>3.0</v>
      </c>
      <c r="AN98" s="37">
        <v>6.0</v>
      </c>
      <c r="AO98" s="39">
        <f t="shared" si="3"/>
        <v>78.0</v>
      </c>
      <c r="AP98" s="39">
        <f t="shared" si="4"/>
        <v>30.0</v>
      </c>
      <c r="AQ98" s="39">
        <f t="shared" si="5"/>
        <v>33.0</v>
      </c>
      <c r="AR98" s="51">
        <f t="shared" si="518"/>
        <v>7.13793103448276</v>
      </c>
      <c r="AS98" s="51">
        <f t="shared" si="519"/>
        <v>8.51724137931034</v>
      </c>
      <c r="AT98" s="51">
        <f t="shared" si="520"/>
        <v>9.89655172413792</v>
      </c>
      <c r="AU98" s="51">
        <f t="shared" si="521"/>
        <v>12.8965517241379</v>
      </c>
      <c r="AV98" s="51">
        <f t="shared" si="522"/>
        <v>12.8965517241379</v>
      </c>
      <c r="AW98" s="51">
        <f t="shared" si="523"/>
        <v>12.8965517241379</v>
      </c>
      <c r="AX98" s="41">
        <f t="shared" si="12"/>
        <v>64.2413793103447</v>
      </c>
      <c r="AY98" s="41" t="e">
        <f t="shared" si="13"/>
        <v>#REF!</v>
      </c>
      <c r="AZ98" s="42"/>
      <c r="BA98" s="43"/>
      <c r="BB98" s="39" t="e">
        <f t="shared" si="496"/>
        <v>#REF!</v>
      </c>
      <c r="BC98" s="43">
        <f>VLOOKUP(C98,MOQ,3,FALSE())</f>
      </c>
      <c r="BD98" s="49" t="e">
        <f t="shared" si="498"/>
        <v>#REF!</v>
      </c>
      <c r="BE98" s="45" t="s">
        <v>8</v>
      </c>
      <c r="BF98" s="43" t="e">
        <f t="shared" si="499"/>
        <v>#REF!</v>
      </c>
      <c r="BG98" s="43">
        <f t="shared" si="500"/>
        <v>7.13793103448276</v>
      </c>
      <c r="BH98" s="43">
        <f t="shared" si="501"/>
      </c>
      <c r="BI98" s="46" t="e">
        <f t="shared" si="502"/>
        <v>#REF!</v>
      </c>
      <c r="BJ98" s="43">
        <f t="shared" si="503"/>
        <v>8.51724137931034</v>
      </c>
      <c r="BK98" s="43">
        <f t="shared" si="504"/>
      </c>
      <c r="BL98" s="46" t="e">
        <f t="shared" si="505"/>
        <v>#REF!</v>
      </c>
      <c r="BM98" s="43">
        <f t="shared" si="506"/>
        <v>9.89655172413792</v>
      </c>
      <c r="BN98" s="43"/>
      <c r="BO98" s="46" t="e">
        <f t="shared" si="507"/>
        <v>#REF!</v>
      </c>
      <c r="BP98" s="43">
        <f t="shared" si="508"/>
        <v>12.8965517241379</v>
      </c>
      <c r="BQ98" s="43"/>
      <c r="BR98" s="46" t="e">
        <f t="shared" si="509"/>
        <v>#REF!</v>
      </c>
      <c r="BS98" s="43">
        <f t="shared" si="510"/>
        <v>12.8965517241379</v>
      </c>
      <c r="BT98" s="43"/>
      <c r="BU98" s="46" t="e">
        <f t="shared" si="511"/>
        <v>#REF!</v>
      </c>
      <c r="BV98" s="43">
        <f t="shared" si="512"/>
        <v>12.8965517241379</v>
      </c>
      <c r="BW98" s="43"/>
      <c r="BX98" s="46" t="e">
        <f t="shared" si="513"/>
        <v>#REF!</v>
      </c>
      <c r="BY98" s="43"/>
      <c r="BZ98" s="42" t="e">
        <f t="shared" si="514"/>
        <v>#REF!</v>
      </c>
      <c r="CA98" s="52" t="e">
        <f t="shared" si="515"/>
        <v>#REF!</v>
      </c>
      <c r="CB98" s="42" t="e">
        <f t="shared" si="516"/>
        <v>#REF!</v>
      </c>
      <c r="CC98" s="53" t="e">
        <f t="shared" si="517"/>
        <v>#REF!</v>
      </c>
      <c r="CD98" s="43"/>
      <c r="CE98" s="43"/>
      <c r="CF98" s="43"/>
      <c r="CG98" s="43"/>
      <c r="CH98" s="43"/>
      <c r="CI98" s="43"/>
      <c r="CJ98" s="43"/>
      <c r="CK98" s="43"/>
      <c r="CL98" s="43"/>
      <c r="CM98" s="43"/>
      <c r="CN98" s="43"/>
      <c r="CO98" s="43"/>
      <c r="CP98" s="43"/>
      <c r="CQ98" s="43"/>
      <c r="CR98" s="43"/>
      <c r="CS98" s="43"/>
      <c r="CT98" s="43"/>
      <c r="CU98" s="43"/>
      <c r="CV98" s="43"/>
      <c r="CW98" s="43"/>
      <c r="CX98" s="43"/>
      <c r="CY98" s="43"/>
      <c r="CZ98" s="43"/>
      <c r="DA98" s="43"/>
      <c r="DB98" s="43"/>
      <c r="DC98" s="43"/>
      <c r="AMF98" s="47"/>
      <c r="AMG98" s="47"/>
      <c r="AMH98" s="47"/>
      <c r="AMI98" s="47"/>
      <c r="AMJ98" s="47"/>
    </row>
    <row r="99" ht="14.0">
      <c r="A99" s="37" t="s">
        <v>32</v>
      </c>
      <c r="B99" s="37" t="s">
        <v>153</v>
      </c>
      <c r="C99" s="37" t="s">
        <v>162</v>
      </c>
      <c r="D99" s="38">
        <v>40534.0</v>
      </c>
      <c r="E99" s="37">
        <v>0.0</v>
      </c>
      <c r="F99" s="37">
        <v>0.0</v>
      </c>
      <c r="G99" s="37">
        <v>0.0</v>
      </c>
      <c r="H99" s="37">
        <v>0.0</v>
      </c>
      <c r="I99" s="37">
        <v>0.0</v>
      </c>
      <c r="J99" s="37">
        <v>0.0</v>
      </c>
      <c r="K99" s="37">
        <v>0.0</v>
      </c>
      <c r="L99" s="37">
        <v>12.0</v>
      </c>
      <c r="M99" s="37">
        <v>18.0</v>
      </c>
      <c r="N99" s="37">
        <v>0.0</v>
      </c>
      <c r="O99" s="37">
        <v>3.0</v>
      </c>
      <c r="P99" s="37">
        <v>6.0</v>
      </c>
      <c r="Q99" s="37">
        <v>15.0</v>
      </c>
      <c r="R99" s="37">
        <v>9.0</v>
      </c>
      <c r="S99" s="37">
        <v>15.0</v>
      </c>
      <c r="T99" s="37">
        <v>9.0</v>
      </c>
      <c r="U99" s="37">
        <v>9.0</v>
      </c>
      <c r="V99" s="37">
        <v>3.0</v>
      </c>
      <c r="W99" s="37">
        <v>12.0</v>
      </c>
      <c r="X99" s="37">
        <v>9.0</v>
      </c>
      <c r="Y99" s="37">
        <v>3.0</v>
      </c>
      <c r="Z99" s="37">
        <v>9.0</v>
      </c>
      <c r="AA99" s="37">
        <v>15.0</v>
      </c>
      <c r="AB99" s="37">
        <v>3.0</v>
      </c>
      <c r="AC99" s="37">
        <v>9.0</v>
      </c>
      <c r="AD99" s="37">
        <v>6.0</v>
      </c>
      <c r="AE99" s="37">
        <v>6.0</v>
      </c>
      <c r="AF99" s="37">
        <v>3.0</v>
      </c>
      <c r="AG99" s="37">
        <v>3.0</v>
      </c>
      <c r="AH99" s="37">
        <v>6.0</v>
      </c>
      <c r="AI99" s="37">
        <v>0.0</v>
      </c>
      <c r="AJ99" s="37">
        <v>9.0</v>
      </c>
      <c r="AK99" s="37">
        <v>6.0</v>
      </c>
      <c r="AL99" s="37">
        <v>3.0</v>
      </c>
      <c r="AM99" s="37">
        <v>3.0</v>
      </c>
      <c r="AN99" s="37">
        <v>0.0</v>
      </c>
      <c r="AO99" s="39">
        <f t="shared" si="3"/>
        <v>54.0</v>
      </c>
      <c r="AP99" s="39">
        <f t="shared" si="4"/>
        <v>21.0</v>
      </c>
      <c r="AQ99" s="39">
        <f t="shared" si="5"/>
        <v>23.1</v>
      </c>
      <c r="AR99" s="51">
        <f t="shared" si="518"/>
        <v>5.89655172413793</v>
      </c>
      <c r="AS99" s="51">
        <f t="shared" si="519"/>
        <v>6.86206896551724</v>
      </c>
      <c r="AT99" s="51">
        <f t="shared" si="520"/>
        <v>7.82758620689655</v>
      </c>
      <c r="AU99" s="51">
        <f t="shared" si="521"/>
        <v>10.8275862068966</v>
      </c>
      <c r="AV99" s="51">
        <f t="shared" si="522"/>
        <v>10.8275862068966</v>
      </c>
      <c r="AW99" s="51">
        <f t="shared" si="523"/>
        <v>10.8275862068966</v>
      </c>
      <c r="AX99" s="41">
        <f t="shared" si="12"/>
        <v>53.0689655172415</v>
      </c>
      <c r="AY99" s="41" t="e">
        <f t="shared" si="13"/>
        <v>#REF!</v>
      </c>
      <c r="AZ99" s="42" t="e">
        <f t="shared" ref="AZ99:AZ107" si="525">VLOOKUP(C99,IFUKJULY,3,false)</f>
        <v>#REF!</v>
      </c>
      <c r="BA99" s="43"/>
      <c r="BB99" s="39" t="e">
        <f t="shared" si="496"/>
        <v>#REF!</v>
      </c>
      <c r="BC99" s="43">
        <f>VLOOKUP(C99,MOQ,3,FALSE())</f>
      </c>
      <c r="BD99" s="49" t="e">
        <f t="shared" si="498"/>
        <v>#REF!</v>
      </c>
      <c r="BE99" s="45" t="s">
        <v>9</v>
      </c>
      <c r="BF99" s="43" t="e">
        <f t="shared" si="499"/>
        <v>#REF!</v>
      </c>
      <c r="BG99" s="43">
        <f t="shared" si="500"/>
        <v>5.89655172413793</v>
      </c>
      <c r="BH99" s="43" t="e">
        <f t="shared" si="501"/>
        <v>#REF!</v>
      </c>
      <c r="BI99" s="46" t="e">
        <f t="shared" si="502"/>
        <v>#REF!</v>
      </c>
      <c r="BJ99" s="43">
        <f t="shared" si="503"/>
        <v>6.86206896551724</v>
      </c>
      <c r="BK99" s="43">
        <f t="shared" si="504"/>
      </c>
      <c r="BL99" s="46" t="e">
        <f t="shared" si="505"/>
        <v>#REF!</v>
      </c>
      <c r="BM99" s="43">
        <f t="shared" si="506"/>
        <v>7.82758620689655</v>
      </c>
      <c r="BN99" s="43"/>
      <c r="BO99" s="46" t="e">
        <f t="shared" si="507"/>
        <v>#REF!</v>
      </c>
      <c r="BP99" s="43">
        <f t="shared" si="508"/>
        <v>10.8275862068966</v>
      </c>
      <c r="BQ99" s="43"/>
      <c r="BR99" s="46" t="e">
        <f t="shared" si="509"/>
        <v>#REF!</v>
      </c>
      <c r="BS99" s="43">
        <f t="shared" si="510"/>
        <v>10.8275862068966</v>
      </c>
      <c r="BT99" s="43"/>
      <c r="BU99" s="46" t="e">
        <f t="shared" si="511"/>
        <v>#REF!</v>
      </c>
      <c r="BV99" s="43">
        <f t="shared" si="512"/>
        <v>10.8275862068966</v>
      </c>
      <c r="BW99" s="43"/>
      <c r="BX99" s="46" t="e">
        <f t="shared" si="513"/>
        <v>#REF!</v>
      </c>
      <c r="BY99" s="43"/>
      <c r="BZ99" s="42" t="e">
        <f t="shared" si="514"/>
        <v>#REF!</v>
      </c>
      <c r="CA99" s="52" t="e">
        <f t="shared" si="515"/>
        <v>#REF!</v>
      </c>
      <c r="CB99" s="42" t="e">
        <f t="shared" si="516"/>
        <v>#REF!</v>
      </c>
      <c r="CC99" s="53" t="e">
        <f t="shared" si="517"/>
        <v>#REF!</v>
      </c>
      <c r="CD99" s="43"/>
      <c r="CE99" s="43"/>
      <c r="CF99" s="43"/>
      <c r="CG99" s="43"/>
      <c r="CH99" s="43"/>
      <c r="CI99" s="43"/>
      <c r="CJ99" s="43"/>
      <c r="CK99" s="43"/>
      <c r="CL99" s="43"/>
      <c r="CM99" s="43"/>
      <c r="CN99" s="43"/>
      <c r="CO99" s="43"/>
      <c r="CP99" s="43"/>
      <c r="CQ99" s="43"/>
      <c r="CR99" s="43"/>
      <c r="CS99" s="43"/>
      <c r="CT99" s="43"/>
      <c r="CU99" s="43"/>
      <c r="CV99" s="43"/>
      <c r="CW99" s="43"/>
      <c r="CX99" s="43"/>
      <c r="CY99" s="43"/>
      <c r="CZ99" s="43"/>
      <c r="DA99" s="43"/>
      <c r="DB99" s="43"/>
      <c r="DC99" s="43"/>
      <c r="AMF99" s="47"/>
      <c r="AMG99" s="47"/>
      <c r="AMH99" s="47"/>
      <c r="AMI99" s="47"/>
    </row>
    <row r="100" ht="14.0">
      <c r="A100" s="37" t="s">
        <v>32</v>
      </c>
      <c r="B100" s="37" t="s">
        <v>163</v>
      </c>
      <c r="C100" s="37" t="s">
        <v>164</v>
      </c>
      <c r="D100" s="38">
        <v>40402.0</v>
      </c>
      <c r="E100" s="37">
        <v>12.0</v>
      </c>
      <c r="F100" s="37">
        <v>22.0</v>
      </c>
      <c r="G100" s="37">
        <v>16.0</v>
      </c>
      <c r="H100" s="37">
        <v>34.0</v>
      </c>
      <c r="I100" s="37">
        <v>26.0</v>
      </c>
      <c r="J100" s="37">
        <v>24.0</v>
      </c>
      <c r="K100" s="37">
        <v>27.0</v>
      </c>
      <c r="L100" s="37">
        <v>16.0</v>
      </c>
      <c r="M100" s="37">
        <v>24.0</v>
      </c>
      <c r="N100" s="37">
        <v>28.0</v>
      </c>
      <c r="O100" s="37">
        <v>24.0</v>
      </c>
      <c r="P100" s="37">
        <v>18.0</v>
      </c>
      <c r="Q100" s="37">
        <v>10.0</v>
      </c>
      <c r="R100" s="37">
        <v>31.0</v>
      </c>
      <c r="S100" s="37">
        <v>21.0</v>
      </c>
      <c r="T100" s="37">
        <v>25.0</v>
      </c>
      <c r="U100" s="37">
        <v>42.0</v>
      </c>
      <c r="V100" s="37">
        <v>21.0</v>
      </c>
      <c r="W100" s="37">
        <v>12.0</v>
      </c>
      <c r="X100" s="37">
        <v>22.0</v>
      </c>
      <c r="Y100" s="37">
        <v>21.0</v>
      </c>
      <c r="Z100" s="37">
        <v>21.0</v>
      </c>
      <c r="AA100" s="37">
        <v>22.0</v>
      </c>
      <c r="AB100" s="37">
        <v>20.0</v>
      </c>
      <c r="AC100" s="37">
        <v>10.0</v>
      </c>
      <c r="AD100" s="37">
        <v>12.0</v>
      </c>
      <c r="AE100" s="37">
        <v>45.0</v>
      </c>
      <c r="AF100" s="37">
        <v>27.0</v>
      </c>
      <c r="AG100" s="37">
        <v>33.0</v>
      </c>
      <c r="AH100" s="37">
        <v>21.0</v>
      </c>
      <c r="AI100" s="37">
        <v>12.0</v>
      </c>
      <c r="AJ100" s="37">
        <v>27.0</v>
      </c>
      <c r="AK100" s="37">
        <v>15.0</v>
      </c>
      <c r="AL100" s="37">
        <v>3.0</v>
      </c>
      <c r="AM100" s="37">
        <v>30.0</v>
      </c>
      <c r="AN100" s="37">
        <v>18.0</v>
      </c>
      <c r="AO100" s="39">
        <f t="shared" si="3"/>
        <v>253.0</v>
      </c>
      <c r="AP100" s="39">
        <f t="shared" si="4"/>
        <v>105.0</v>
      </c>
      <c r="AQ100" s="39">
        <f t="shared" si="5"/>
        <v>115.5</v>
      </c>
      <c r="AR100" s="51">
        <f t="shared" ref="AR100:AR109" si="526">AQ100*$AR$4/$AQ$4</f>
        <v>14.4827586206897</v>
      </c>
      <c r="AS100" s="51">
        <f t="shared" ref="AS100:AS109" si="527">AQ100*$AS$4/$AQ$4</f>
        <v>19.3103448275862</v>
      </c>
      <c r="AT100" s="51">
        <f t="shared" ref="AT100:AT109" si="528">AQ100*$AT$4/$AQ$4</f>
        <v>24.1379310344828</v>
      </c>
      <c r="AU100" s="51">
        <f t="shared" ref="AU100:AU109" si="529">AQ100*$AU$4/$AQ$4</f>
        <v>24.1379310344828</v>
      </c>
      <c r="AV100" s="51">
        <f t="shared" ref="AV100:AV109" si="530">AQ100*$AV$4/$AQ$4</f>
        <v>24.1379310344828</v>
      </c>
      <c r="AW100" s="51">
        <f t="shared" ref="AW100:AW109" si="531">AQ100*$AW$4/$AQ$4</f>
        <v>24.1379310344828</v>
      </c>
      <c r="AX100" s="41">
        <f t="shared" si="12"/>
        <v>130.344827586207</v>
      </c>
      <c r="AY100" s="41" t="e">
        <f t="shared" si="13"/>
        <v>#REF!</v>
      </c>
      <c r="AZ100" s="42" t="e">
        <f t="shared" si="525"/>
        <v>#REF!</v>
      </c>
      <c r="BA100" s="43"/>
      <c r="BB100" s="39" t="e">
        <f t="shared" si="496"/>
        <v>#REF!</v>
      </c>
      <c r="BC100" s="43">
        <f>VLOOKUP(C100,MOQ,3,FALSE())</f>
      </c>
      <c r="BD100" s="49" t="e">
        <f t="shared" si="498"/>
        <v>#REF!</v>
      </c>
      <c r="BE100" s="45" t="s">
        <v>7</v>
      </c>
      <c r="BF100" s="43" t="e">
        <f t="shared" si="499"/>
        <v>#REF!</v>
      </c>
      <c r="BG100" s="43">
        <f t="shared" si="500"/>
        <v>14.4827586206897</v>
      </c>
      <c r="BH100" s="43" t="e">
        <f t="shared" si="501"/>
        <v>#REF!</v>
      </c>
      <c r="BI100" s="46" t="e">
        <f t="shared" si="502"/>
        <v>#REF!</v>
      </c>
      <c r="BJ100" s="43">
        <f t="shared" si="503"/>
        <v>19.3103448275862</v>
      </c>
      <c r="BK100" s="43">
        <f t="shared" si="504"/>
      </c>
      <c r="BL100" s="46" t="e">
        <f t="shared" si="505"/>
        <v>#REF!</v>
      </c>
      <c r="BM100" s="43">
        <f t="shared" si="506"/>
        <v>24.1379310344828</v>
      </c>
      <c r="BN100" s="43"/>
      <c r="BO100" s="46" t="e">
        <f t="shared" si="507"/>
        <v>#REF!</v>
      </c>
      <c r="BP100" s="43">
        <f t="shared" si="508"/>
        <v>24.1379310344828</v>
      </c>
      <c r="BQ100" s="43"/>
      <c r="BR100" s="46" t="e">
        <f t="shared" si="509"/>
        <v>#REF!</v>
      </c>
      <c r="BS100" s="43">
        <f t="shared" si="510"/>
        <v>24.1379310344828</v>
      </c>
      <c r="BT100" s="43"/>
      <c r="BU100" s="46" t="e">
        <f t="shared" si="511"/>
        <v>#REF!</v>
      </c>
      <c r="BV100" s="43">
        <f t="shared" si="512"/>
        <v>24.1379310344828</v>
      </c>
      <c r="BW100" s="43"/>
      <c r="BX100" s="46" t="e">
        <f t="shared" si="513"/>
        <v>#REF!</v>
      </c>
      <c r="BY100" s="43"/>
      <c r="BZ100" s="42" t="e">
        <f t="shared" si="514"/>
        <v>#REF!</v>
      </c>
      <c r="CA100" s="52" t="e">
        <f t="shared" si="515"/>
        <v>#REF!</v>
      </c>
      <c r="CB100" s="42" t="e">
        <f t="shared" si="516"/>
        <v>#REF!</v>
      </c>
      <c r="CC100" s="53" t="e">
        <f t="shared" si="517"/>
        <v>#REF!</v>
      </c>
      <c r="CD100" s="43"/>
      <c r="CE100" s="43"/>
      <c r="CF100" s="43"/>
      <c r="CG100" s="43"/>
      <c r="CH100" s="43"/>
      <c r="CI100" s="43"/>
      <c r="CJ100" s="43"/>
      <c r="CK100" s="43"/>
      <c r="CL100" s="43"/>
      <c r="CM100" s="43"/>
      <c r="CN100" s="43"/>
      <c r="CO100" s="43"/>
      <c r="CP100" s="43"/>
      <c r="CQ100" s="43"/>
      <c r="CR100" s="43"/>
      <c r="CS100" s="43"/>
      <c r="CT100" s="43"/>
      <c r="CU100" s="43"/>
      <c r="CV100" s="43"/>
      <c r="CW100" s="43"/>
      <c r="CX100" s="43"/>
      <c r="CY100" s="43"/>
      <c r="CZ100" s="43"/>
      <c r="DA100" s="43"/>
      <c r="DB100" s="43"/>
      <c r="DC100" s="43"/>
      <c r="AMF100" s="47"/>
      <c r="AMG100" s="47"/>
      <c r="AMH100" s="47"/>
      <c r="AMI100" s="47"/>
    </row>
    <row r="101" ht="14.0">
      <c r="A101" s="37" t="s">
        <v>32</v>
      </c>
      <c r="B101" s="37" t="s">
        <v>163</v>
      </c>
      <c r="C101" s="37" t="s">
        <v>165</v>
      </c>
      <c r="D101" s="38">
        <v>40403.0</v>
      </c>
      <c r="E101" s="37">
        <v>27.0</v>
      </c>
      <c r="F101" s="37">
        <v>24.0</v>
      </c>
      <c r="G101" s="37">
        <v>33.0</v>
      </c>
      <c r="H101" s="37">
        <v>30.0</v>
      </c>
      <c r="I101" s="37">
        <v>23.0</v>
      </c>
      <c r="J101" s="37">
        <v>21.0</v>
      </c>
      <c r="K101" s="37">
        <v>18.0</v>
      </c>
      <c r="L101" s="37">
        <v>17.0</v>
      </c>
      <c r="M101" s="37">
        <v>23.0</v>
      </c>
      <c r="N101" s="37">
        <v>26.0</v>
      </c>
      <c r="O101" s="37">
        <v>13.0</v>
      </c>
      <c r="P101" s="37">
        <v>22.0</v>
      </c>
      <c r="Q101" s="37">
        <v>25.0</v>
      </c>
      <c r="R101" s="37">
        <v>23.0</v>
      </c>
      <c r="S101" s="37">
        <v>30.0</v>
      </c>
      <c r="T101" s="37">
        <v>26.0</v>
      </c>
      <c r="U101" s="37">
        <v>36.0</v>
      </c>
      <c r="V101" s="37">
        <v>18.0</v>
      </c>
      <c r="W101" s="37">
        <v>20.0</v>
      </c>
      <c r="X101" s="37">
        <v>19.0</v>
      </c>
      <c r="Y101" s="37">
        <v>33.0</v>
      </c>
      <c r="Z101" s="37">
        <v>25.0</v>
      </c>
      <c r="AA101" s="37">
        <v>35.0</v>
      </c>
      <c r="AB101" s="37">
        <v>24.0</v>
      </c>
      <c r="AC101" s="37">
        <v>18.0</v>
      </c>
      <c r="AD101" s="37">
        <v>15.0</v>
      </c>
      <c r="AE101" s="37">
        <v>57.0</v>
      </c>
      <c r="AF101" s="37">
        <v>33.0</v>
      </c>
      <c r="AG101" s="37">
        <v>30.0</v>
      </c>
      <c r="AH101" s="37">
        <v>33.0</v>
      </c>
      <c r="AI101" s="37">
        <v>27.0</v>
      </c>
      <c r="AJ101" s="37">
        <v>27.0</v>
      </c>
      <c r="AK101" s="37">
        <v>24.0</v>
      </c>
      <c r="AL101" s="37">
        <v>21.0</v>
      </c>
      <c r="AM101" s="37">
        <v>24.0</v>
      </c>
      <c r="AN101" s="37">
        <v>18.0</v>
      </c>
      <c r="AO101" s="39">
        <f t="shared" si="3"/>
        <v>327.0</v>
      </c>
      <c r="AP101" s="39">
        <f t="shared" si="4"/>
        <v>141.0</v>
      </c>
      <c r="AQ101" s="39">
        <f t="shared" si="5"/>
        <v>155.1</v>
      </c>
      <c r="AR101" s="51">
        <f t="shared" si="526"/>
        <v>19.448275862069</v>
      </c>
      <c r="AS101" s="51">
        <f t="shared" si="527"/>
        <v>25.9310344827586</v>
      </c>
      <c r="AT101" s="51">
        <f t="shared" si="528"/>
        <v>32.4137931034482</v>
      </c>
      <c r="AU101" s="51">
        <f t="shared" si="529"/>
        <v>32.4137931034482</v>
      </c>
      <c r="AV101" s="51">
        <f t="shared" si="530"/>
        <v>32.4137931034482</v>
      </c>
      <c r="AW101" s="51">
        <f t="shared" si="531"/>
        <v>32.4137931034482</v>
      </c>
      <c r="AX101" s="41">
        <f t="shared" si="12"/>
        <v>175.03448275862</v>
      </c>
      <c r="AY101" s="41" t="e">
        <f t="shared" si="13"/>
        <v>#REF!</v>
      </c>
      <c r="AZ101" s="42" t="e">
        <f t="shared" si="525"/>
        <v>#REF!</v>
      </c>
      <c r="BA101" s="43"/>
      <c r="BB101" s="39" t="e">
        <f t="shared" si="496"/>
        <v>#REF!</v>
      </c>
      <c r="BC101" s="43">
        <f>VLOOKUP(C101,MOQ,3,FALSE())</f>
      </c>
      <c r="BD101" s="49" t="e">
        <f t="shared" si="498"/>
        <v>#REF!</v>
      </c>
      <c r="BE101" s="45" t="s">
        <v>8</v>
      </c>
      <c r="BF101" s="43" t="e">
        <f t="shared" si="499"/>
        <v>#REF!</v>
      </c>
      <c r="BG101" s="43">
        <f t="shared" si="500"/>
        <v>19.448275862069</v>
      </c>
      <c r="BH101" s="43" t="e">
        <f t="shared" si="501"/>
        <v>#REF!</v>
      </c>
      <c r="BI101" s="46" t="e">
        <f t="shared" si="502"/>
        <v>#REF!</v>
      </c>
      <c r="BJ101" s="43">
        <f t="shared" si="503"/>
        <v>25.9310344827586</v>
      </c>
      <c r="BK101" s="43">
        <f t="shared" si="504"/>
      </c>
      <c r="BL101" s="46" t="e">
        <f t="shared" si="505"/>
        <v>#REF!</v>
      </c>
      <c r="BM101" s="43">
        <f t="shared" si="506"/>
        <v>32.4137931034482</v>
      </c>
      <c r="BN101" s="43"/>
      <c r="BO101" s="46" t="e">
        <f t="shared" si="507"/>
        <v>#REF!</v>
      </c>
      <c r="BP101" s="43">
        <f t="shared" si="508"/>
        <v>32.4137931034482</v>
      </c>
      <c r="BQ101" s="43"/>
      <c r="BR101" s="46" t="e">
        <f t="shared" si="509"/>
        <v>#REF!</v>
      </c>
      <c r="BS101" s="43">
        <f t="shared" si="510"/>
        <v>32.4137931034482</v>
      </c>
      <c r="BT101" s="43"/>
      <c r="BU101" s="46" t="e">
        <f t="shared" si="511"/>
        <v>#REF!</v>
      </c>
      <c r="BV101" s="43">
        <f t="shared" si="512"/>
        <v>32.4137931034482</v>
      </c>
      <c r="BW101" s="43"/>
      <c r="BX101" s="46" t="e">
        <f t="shared" si="513"/>
        <v>#REF!</v>
      </c>
      <c r="BY101" s="43"/>
      <c r="BZ101" s="42" t="e">
        <f t="shared" si="514"/>
        <v>#REF!</v>
      </c>
      <c r="CA101" s="52" t="e">
        <f t="shared" si="515"/>
        <v>#REF!</v>
      </c>
      <c r="CB101" s="42" t="e">
        <f t="shared" si="516"/>
        <v>#REF!</v>
      </c>
      <c r="CC101" s="53" t="e">
        <f t="shared" si="517"/>
        <v>#REF!</v>
      </c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AMF101" s="47"/>
      <c r="AMG101" s="47"/>
      <c r="AMH101" s="47"/>
      <c r="AMI101" s="47"/>
      <c r="AMJ101" s="47"/>
    </row>
    <row r="102" ht="14.0">
      <c r="A102" s="37" t="s">
        <v>32</v>
      </c>
      <c r="B102" s="37" t="s">
        <v>163</v>
      </c>
      <c r="C102" s="37" t="s">
        <v>166</v>
      </c>
      <c r="D102" s="38">
        <v>40404.0</v>
      </c>
      <c r="E102" s="37">
        <v>25.0</v>
      </c>
      <c r="F102" s="37">
        <v>15.0</v>
      </c>
      <c r="G102" s="37">
        <v>21.0</v>
      </c>
      <c r="H102" s="37">
        <v>27.0</v>
      </c>
      <c r="I102" s="37">
        <v>-6.0</v>
      </c>
      <c r="J102" s="37">
        <v>34.0</v>
      </c>
      <c r="K102" s="37">
        <v>18.0</v>
      </c>
      <c r="L102" s="37">
        <v>15.0</v>
      </c>
      <c r="M102" s="37">
        <v>19.0</v>
      </c>
      <c r="N102" s="37">
        <v>18.0</v>
      </c>
      <c r="O102" s="37">
        <v>9.0</v>
      </c>
      <c r="P102" s="37">
        <v>13.0</v>
      </c>
      <c r="Q102" s="37">
        <v>19.0</v>
      </c>
      <c r="R102" s="37">
        <v>24.0</v>
      </c>
      <c r="S102" s="37">
        <v>27.0</v>
      </c>
      <c r="T102" s="37">
        <v>24.0</v>
      </c>
      <c r="U102" s="37">
        <v>30.0</v>
      </c>
      <c r="V102" s="37">
        <v>21.0</v>
      </c>
      <c r="W102" s="37">
        <v>9.0</v>
      </c>
      <c r="X102" s="37">
        <v>15.0</v>
      </c>
      <c r="Y102" s="37">
        <v>12.0</v>
      </c>
      <c r="Z102" s="37">
        <v>15.0</v>
      </c>
      <c r="AA102" s="37">
        <v>24.0</v>
      </c>
      <c r="AB102" s="37">
        <v>15.0</v>
      </c>
      <c r="AC102" s="37">
        <v>9.0</v>
      </c>
      <c r="AD102" s="37">
        <v>9.0</v>
      </c>
      <c r="AE102" s="37">
        <v>30.0</v>
      </c>
      <c r="AF102" s="37">
        <v>33.0</v>
      </c>
      <c r="AG102" s="37">
        <v>27.0</v>
      </c>
      <c r="AH102" s="37">
        <v>24.0</v>
      </c>
      <c r="AI102" s="37">
        <v>12.0</v>
      </c>
      <c r="AJ102" s="37">
        <v>15.0</v>
      </c>
      <c r="AK102" s="37">
        <v>9.0</v>
      </c>
      <c r="AL102" s="37">
        <v>15.0</v>
      </c>
      <c r="AM102" s="37">
        <v>18.0</v>
      </c>
      <c r="AN102" s="37">
        <v>18.0</v>
      </c>
      <c r="AO102" s="39">
        <f t="shared" si="3"/>
        <v>219.0</v>
      </c>
      <c r="AP102" s="39">
        <f t="shared" si="4"/>
        <v>87.0</v>
      </c>
      <c r="AQ102" s="39">
        <f t="shared" si="5"/>
        <v>95.7</v>
      </c>
      <c r="AR102" s="51">
        <f t="shared" si="526"/>
        <v>12.0</v>
      </c>
      <c r="AS102" s="51">
        <f t="shared" si="527"/>
        <v>16.0</v>
      </c>
      <c r="AT102" s="51">
        <f t="shared" si="528"/>
        <v>20.0</v>
      </c>
      <c r="AU102" s="51">
        <f t="shared" si="529"/>
        <v>20.0</v>
      </c>
      <c r="AV102" s="51">
        <f t="shared" si="530"/>
        <v>20.0</v>
      </c>
      <c r="AW102" s="51">
        <f t="shared" si="531"/>
        <v>20.0</v>
      </c>
      <c r="AX102" s="41">
        <f t="shared" si="12"/>
        <v>108.0</v>
      </c>
      <c r="AY102" s="41" t="e">
        <f t="shared" si="13"/>
        <v>#REF!</v>
      </c>
      <c r="AZ102" s="42" t="e">
        <f t="shared" si="525"/>
        <v>#REF!</v>
      </c>
      <c r="BA102" s="43"/>
      <c r="BB102" s="39" t="e">
        <f t="shared" si="496"/>
        <v>#REF!</v>
      </c>
      <c r="BC102" s="43">
        <f>VLOOKUP(C102,MOQ,3,FALSE())</f>
      </c>
      <c r="BD102" s="49" t="e">
        <f t="shared" si="498"/>
        <v>#REF!</v>
      </c>
      <c r="BE102" s="45" t="s">
        <v>7</v>
      </c>
      <c r="BF102" s="43" t="e">
        <f t="shared" si="499"/>
        <v>#REF!</v>
      </c>
      <c r="BG102" s="43">
        <f t="shared" si="500"/>
        <v>12.0</v>
      </c>
      <c r="BH102" s="43" t="e">
        <f t="shared" si="501"/>
        <v>#REF!</v>
      </c>
      <c r="BI102" s="46" t="e">
        <f t="shared" si="502"/>
        <v>#REF!</v>
      </c>
      <c r="BJ102" s="43">
        <f t="shared" si="503"/>
        <v>16.0</v>
      </c>
      <c r="BK102" s="43">
        <f t="shared" si="504"/>
      </c>
      <c r="BL102" s="46" t="e">
        <f t="shared" si="505"/>
        <v>#REF!</v>
      </c>
      <c r="BM102" s="43">
        <f t="shared" si="506"/>
        <v>20.0</v>
      </c>
      <c r="BN102" s="43"/>
      <c r="BO102" s="46" t="e">
        <f t="shared" si="507"/>
        <v>#REF!</v>
      </c>
      <c r="BP102" s="43">
        <f t="shared" si="508"/>
        <v>20.0</v>
      </c>
      <c r="BQ102" s="43"/>
      <c r="BR102" s="46" t="e">
        <f t="shared" si="509"/>
        <v>#REF!</v>
      </c>
      <c r="BS102" s="43">
        <f t="shared" si="510"/>
        <v>20.0</v>
      </c>
      <c r="BT102" s="43"/>
      <c r="BU102" s="46" t="e">
        <f t="shared" si="511"/>
        <v>#REF!</v>
      </c>
      <c r="BV102" s="43">
        <f t="shared" si="512"/>
        <v>20.0</v>
      </c>
      <c r="BW102" s="43"/>
      <c r="BX102" s="46" t="e">
        <f t="shared" si="513"/>
        <v>#REF!</v>
      </c>
      <c r="BY102" s="43"/>
      <c r="BZ102" s="42" t="e">
        <f t="shared" si="514"/>
        <v>#REF!</v>
      </c>
      <c r="CA102" s="52" t="e">
        <f t="shared" si="515"/>
        <v>#REF!</v>
      </c>
      <c r="CB102" s="42" t="e">
        <f t="shared" si="516"/>
        <v>#REF!</v>
      </c>
      <c r="CC102" s="53" t="e">
        <f t="shared" si="517"/>
        <v>#REF!</v>
      </c>
      <c r="CD102" s="43"/>
      <c r="CE102" s="43"/>
      <c r="CF102" s="43"/>
      <c r="CG102" s="43"/>
      <c r="CH102" s="43"/>
      <c r="CI102" s="43"/>
      <c r="CJ102" s="43"/>
      <c r="CK102" s="43"/>
      <c r="CL102" s="43"/>
      <c r="CM102" s="43"/>
      <c r="CN102" s="43"/>
      <c r="CO102" s="43"/>
      <c r="CP102" s="43"/>
      <c r="CQ102" s="43"/>
      <c r="CR102" s="43"/>
      <c r="CS102" s="43"/>
      <c r="CT102" s="43"/>
      <c r="CU102" s="43"/>
      <c r="CV102" s="43"/>
      <c r="CW102" s="43"/>
      <c r="CX102" s="43"/>
      <c r="CY102" s="43"/>
      <c r="CZ102" s="43"/>
      <c r="DA102" s="43"/>
      <c r="DB102" s="43"/>
      <c r="DC102" s="43"/>
      <c r="AMF102" s="47"/>
      <c r="AMG102" s="47"/>
      <c r="AMH102" s="47"/>
      <c r="AMI102" s="47"/>
      <c r="AMJ102" s="47"/>
    </row>
    <row r="103" ht="14.0">
      <c r="A103" s="37" t="s">
        <v>32</v>
      </c>
      <c r="B103" s="37" t="s">
        <v>163</v>
      </c>
      <c r="C103" s="37" t="s">
        <v>167</v>
      </c>
      <c r="D103" s="38">
        <v>40407.0</v>
      </c>
      <c r="E103" s="37">
        <v>28.0</v>
      </c>
      <c r="F103" s="37">
        <v>0.0</v>
      </c>
      <c r="G103" s="37">
        <v>21.0</v>
      </c>
      <c r="H103" s="37">
        <v>0.0</v>
      </c>
      <c r="I103" s="37">
        <v>3.0</v>
      </c>
      <c r="J103" s="37">
        <v>12.0</v>
      </c>
      <c r="K103" s="37">
        <v>6.0</v>
      </c>
      <c r="L103" s="37">
        <v>12.0</v>
      </c>
      <c r="M103" s="37">
        <v>19.0</v>
      </c>
      <c r="N103" s="37">
        <v>9.0</v>
      </c>
      <c r="O103" s="37">
        <v>9.0</v>
      </c>
      <c r="P103" s="37">
        <v>6.0</v>
      </c>
      <c r="Q103" s="37">
        <v>3.0</v>
      </c>
      <c r="R103" s="37">
        <v>15.0</v>
      </c>
      <c r="S103" s="37">
        <v>15.0</v>
      </c>
      <c r="T103" s="37">
        <v>0.0</v>
      </c>
      <c r="U103" s="37">
        <v>14.0</v>
      </c>
      <c r="V103" s="37">
        <v>18.0</v>
      </c>
      <c r="W103" s="37">
        <v>3.0</v>
      </c>
      <c r="X103" s="37">
        <v>15.0</v>
      </c>
      <c r="Y103" s="37">
        <v>15.0</v>
      </c>
      <c r="Z103" s="37">
        <v>9.0</v>
      </c>
      <c r="AA103" s="37">
        <v>21.0</v>
      </c>
      <c r="AB103" s="37">
        <v>9.0</v>
      </c>
      <c r="AC103" s="37">
        <v>3.0</v>
      </c>
      <c r="AD103" s="37">
        <v>6.0</v>
      </c>
      <c r="AE103" s="37">
        <v>24.0</v>
      </c>
      <c r="AF103" s="37">
        <v>15.0</v>
      </c>
      <c r="AG103" s="37">
        <v>12.0</v>
      </c>
      <c r="AH103" s="37">
        <v>15.0</v>
      </c>
      <c r="AI103" s="37">
        <v>9.0</v>
      </c>
      <c r="AJ103" s="37">
        <v>15.0</v>
      </c>
      <c r="AK103" s="37">
        <v>0.0</v>
      </c>
      <c r="AL103" s="37">
        <v>9.0</v>
      </c>
      <c r="AM103" s="37">
        <v>21.0</v>
      </c>
      <c r="AN103" s="37">
        <v>6.0</v>
      </c>
      <c r="AO103" s="39">
        <f t="shared" si="3"/>
        <v>135.0</v>
      </c>
      <c r="AP103" s="39">
        <f t="shared" si="4"/>
        <v>60.0</v>
      </c>
      <c r="AQ103" s="39">
        <f t="shared" si="5"/>
        <v>66.0</v>
      </c>
      <c r="AR103" s="51">
        <f t="shared" si="526"/>
        <v>8.27586206896551</v>
      </c>
      <c r="AS103" s="51">
        <f t="shared" si="527"/>
        <v>11.0344827586207</v>
      </c>
      <c r="AT103" s="51">
        <f t="shared" si="528"/>
        <v>13.7931034482759</v>
      </c>
      <c r="AU103" s="51">
        <f t="shared" si="529"/>
        <v>13.7931034482759</v>
      </c>
      <c r="AV103" s="51">
        <f t="shared" si="530"/>
        <v>13.7931034482759</v>
      </c>
      <c r="AW103" s="51">
        <f t="shared" si="531"/>
        <v>13.7931034482759</v>
      </c>
      <c r="AX103" s="41">
        <f t="shared" si="12"/>
        <v>74.4827586206898</v>
      </c>
      <c r="AY103" s="41" t="e">
        <f t="shared" si="13"/>
        <v>#REF!</v>
      </c>
      <c r="AZ103" s="42" t="e">
        <f t="shared" si="525"/>
        <v>#REF!</v>
      </c>
      <c r="BA103" s="43"/>
      <c r="BB103" s="39" t="e">
        <f t="shared" si="496"/>
        <v>#REF!</v>
      </c>
      <c r="BC103" s="43">
        <f>VLOOKUP(C103,MOQ,3,FALSE())</f>
      </c>
      <c r="BD103" s="49" t="e">
        <f t="shared" si="498"/>
        <v>#REF!</v>
      </c>
      <c r="BE103" s="45" t="s">
        <v>8</v>
      </c>
      <c r="BF103" s="43" t="e">
        <f t="shared" si="499"/>
        <v>#REF!</v>
      </c>
      <c r="BG103" s="43">
        <f t="shared" si="500"/>
        <v>8.27586206896551</v>
      </c>
      <c r="BH103" s="43" t="e">
        <f t="shared" si="501"/>
        <v>#REF!</v>
      </c>
      <c r="BI103" s="46" t="e">
        <f t="shared" si="502"/>
        <v>#REF!</v>
      </c>
      <c r="BJ103" s="43">
        <f t="shared" si="503"/>
        <v>11.0344827586207</v>
      </c>
      <c r="BK103" s="43">
        <f t="shared" si="504"/>
      </c>
      <c r="BL103" s="46" t="e">
        <f t="shared" si="505"/>
        <v>#REF!</v>
      </c>
      <c r="BM103" s="43">
        <f t="shared" si="506"/>
        <v>13.7931034482759</v>
      </c>
      <c r="BN103" s="43"/>
      <c r="BO103" s="46" t="e">
        <f t="shared" si="507"/>
        <v>#REF!</v>
      </c>
      <c r="BP103" s="43">
        <f t="shared" si="508"/>
        <v>13.7931034482759</v>
      </c>
      <c r="BQ103" s="43"/>
      <c r="BR103" s="46" t="e">
        <f t="shared" si="509"/>
        <v>#REF!</v>
      </c>
      <c r="BS103" s="43">
        <f t="shared" si="510"/>
        <v>13.7931034482759</v>
      </c>
      <c r="BT103" s="43"/>
      <c r="BU103" s="46" t="e">
        <f t="shared" si="511"/>
        <v>#REF!</v>
      </c>
      <c r="BV103" s="43">
        <f t="shared" si="512"/>
        <v>13.7931034482759</v>
      </c>
      <c r="BW103" s="43"/>
      <c r="BX103" s="46" t="e">
        <f t="shared" si="513"/>
        <v>#REF!</v>
      </c>
      <c r="BY103" s="43"/>
      <c r="BZ103" s="42" t="e">
        <f t="shared" si="514"/>
        <v>#REF!</v>
      </c>
      <c r="CA103" s="52" t="e">
        <f t="shared" si="515"/>
        <v>#REF!</v>
      </c>
      <c r="CB103" s="42" t="e">
        <f t="shared" si="516"/>
        <v>#REF!</v>
      </c>
      <c r="CC103" s="53" t="e">
        <f t="shared" si="517"/>
        <v>#REF!</v>
      </c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AMF103" s="47"/>
      <c r="AMG103" s="47"/>
      <c r="AMH103" s="47"/>
      <c r="AMI103" s="47"/>
      <c r="AMJ103" s="47"/>
    </row>
    <row r="104" ht="14.0">
      <c r="A104" s="37" t="s">
        <v>32</v>
      </c>
      <c r="B104" s="37" t="s">
        <v>163</v>
      </c>
      <c r="C104" s="37" t="s">
        <v>168</v>
      </c>
      <c r="D104" s="38">
        <v>40408.0</v>
      </c>
      <c r="E104" s="37">
        <v>0.0</v>
      </c>
      <c r="F104" s="37">
        <v>0.0</v>
      </c>
      <c r="G104" s="37">
        <v>0.0</v>
      </c>
      <c r="H104" s="37">
        <v>0.0</v>
      </c>
      <c r="I104" s="37">
        <v>0.0</v>
      </c>
      <c r="J104" s="37">
        <v>12.0</v>
      </c>
      <c r="K104" s="37">
        <v>13.0</v>
      </c>
      <c r="L104" s="37">
        <v>21.0</v>
      </c>
      <c r="M104" s="37">
        <v>18.0</v>
      </c>
      <c r="N104" s="37">
        <v>15.0</v>
      </c>
      <c r="O104" s="37">
        <v>9.0</v>
      </c>
      <c r="P104" s="37">
        <v>6.0</v>
      </c>
      <c r="Q104" s="37">
        <v>3.0</v>
      </c>
      <c r="R104" s="37">
        <v>12.0</v>
      </c>
      <c r="S104" s="37">
        <v>24.0</v>
      </c>
      <c r="T104" s="37">
        <v>15.0</v>
      </c>
      <c r="U104" s="37">
        <v>13.0</v>
      </c>
      <c r="V104" s="37">
        <v>15.0</v>
      </c>
      <c r="W104" s="37">
        <v>8.0</v>
      </c>
      <c r="X104" s="37">
        <v>8.0</v>
      </c>
      <c r="Y104" s="37">
        <v>27.0</v>
      </c>
      <c r="Z104" s="37">
        <v>12.0</v>
      </c>
      <c r="AA104" s="37">
        <v>19.0</v>
      </c>
      <c r="AB104" s="37">
        <v>6.0</v>
      </c>
      <c r="AC104" s="37">
        <v>4.0</v>
      </c>
      <c r="AD104" s="37">
        <v>12.0</v>
      </c>
      <c r="AE104" s="37">
        <v>15.0</v>
      </c>
      <c r="AF104" s="37">
        <v>21.0</v>
      </c>
      <c r="AG104" s="37">
        <v>18.0</v>
      </c>
      <c r="AH104" s="37">
        <v>21.0</v>
      </c>
      <c r="AI104" s="37">
        <v>15.0</v>
      </c>
      <c r="AJ104" s="37">
        <v>10.0</v>
      </c>
      <c r="AK104" s="37">
        <v>0.0</v>
      </c>
      <c r="AL104" s="37">
        <v>18.0</v>
      </c>
      <c r="AM104" s="37">
        <v>14.0</v>
      </c>
      <c r="AN104" s="37">
        <v>3.0</v>
      </c>
      <c r="AO104" s="39">
        <f t="shared" si="3"/>
        <v>151.0</v>
      </c>
      <c r="AP104" s="39">
        <f t="shared" si="4"/>
        <v>60.0</v>
      </c>
      <c r="AQ104" s="39">
        <f t="shared" si="5"/>
        <v>66.0</v>
      </c>
      <c r="AR104" s="51">
        <f t="shared" si="526"/>
        <v>8.27586206896551</v>
      </c>
      <c r="AS104" s="51">
        <f t="shared" si="527"/>
        <v>11.0344827586207</v>
      </c>
      <c r="AT104" s="51">
        <f t="shared" si="528"/>
        <v>13.7931034482759</v>
      </c>
      <c r="AU104" s="51">
        <f t="shared" si="529"/>
        <v>13.7931034482759</v>
      </c>
      <c r="AV104" s="51">
        <f t="shared" si="530"/>
        <v>13.7931034482759</v>
      </c>
      <c r="AW104" s="51">
        <f t="shared" si="531"/>
        <v>13.7931034482759</v>
      </c>
      <c r="AX104" s="41">
        <f t="shared" si="12"/>
        <v>74.4827586206898</v>
      </c>
      <c r="AY104" s="41" t="e">
        <f t="shared" si="13"/>
        <v>#REF!</v>
      </c>
      <c r="AZ104" s="42" t="e">
        <f t="shared" si="525"/>
        <v>#REF!</v>
      </c>
      <c r="BA104" s="43"/>
      <c r="BB104" s="39" t="e">
        <f t="shared" si="496"/>
        <v>#REF!</v>
      </c>
      <c r="BC104" s="43">
        <f>VLOOKUP(C104,MOQ,3,FALSE())</f>
      </c>
      <c r="BD104" s="49" t="e">
        <f t="shared" si="498"/>
        <v>#REF!</v>
      </c>
      <c r="BE104" s="45" t="s">
        <v>9</v>
      </c>
      <c r="BF104" s="43" t="e">
        <f t="shared" si="499"/>
        <v>#REF!</v>
      </c>
      <c r="BG104" s="43">
        <f t="shared" si="500"/>
        <v>8.27586206896551</v>
      </c>
      <c r="BH104" s="43" t="e">
        <f t="shared" si="501"/>
        <v>#REF!</v>
      </c>
      <c r="BI104" s="46" t="e">
        <f t="shared" si="502"/>
        <v>#REF!</v>
      </c>
      <c r="BJ104" s="43">
        <f t="shared" si="503"/>
        <v>11.0344827586207</v>
      </c>
      <c r="BK104" s="43">
        <f t="shared" si="504"/>
      </c>
      <c r="BL104" s="46" t="e">
        <f t="shared" si="505"/>
        <v>#REF!</v>
      </c>
      <c r="BM104" s="43">
        <f t="shared" si="506"/>
        <v>13.7931034482759</v>
      </c>
      <c r="BN104" s="43"/>
      <c r="BO104" s="46" t="e">
        <f t="shared" si="507"/>
        <v>#REF!</v>
      </c>
      <c r="BP104" s="43">
        <f t="shared" si="508"/>
        <v>13.7931034482759</v>
      </c>
      <c r="BQ104" s="43"/>
      <c r="BR104" s="46" t="e">
        <f t="shared" si="509"/>
        <v>#REF!</v>
      </c>
      <c r="BS104" s="43">
        <f t="shared" si="510"/>
        <v>13.7931034482759</v>
      </c>
      <c r="BT104" s="43"/>
      <c r="BU104" s="46" t="e">
        <f t="shared" si="511"/>
        <v>#REF!</v>
      </c>
      <c r="BV104" s="43">
        <f t="shared" si="512"/>
        <v>13.7931034482759</v>
      </c>
      <c r="BW104" s="43"/>
      <c r="BX104" s="46" t="e">
        <f t="shared" si="513"/>
        <v>#REF!</v>
      </c>
      <c r="BY104" s="43"/>
      <c r="BZ104" s="42" t="e">
        <f t="shared" si="514"/>
        <v>#REF!</v>
      </c>
      <c r="CA104" s="52" t="e">
        <f t="shared" si="515"/>
        <v>#REF!</v>
      </c>
      <c r="CB104" s="42" t="e">
        <f t="shared" si="516"/>
        <v>#REF!</v>
      </c>
      <c r="CC104" s="53" t="e">
        <f t="shared" si="517"/>
        <v>#REF!</v>
      </c>
      <c r="CD104" s="43"/>
      <c r="CE104" s="43"/>
      <c r="CF104" s="43"/>
      <c r="CG104" s="43"/>
      <c r="CH104" s="43"/>
      <c r="CI104" s="43"/>
      <c r="CJ104" s="43"/>
      <c r="CK104" s="43"/>
      <c r="CL104" s="43"/>
      <c r="CM104" s="43"/>
      <c r="CN104" s="43"/>
      <c r="CO104" s="43"/>
      <c r="CP104" s="43"/>
      <c r="CQ104" s="43"/>
      <c r="CR104" s="43"/>
      <c r="CS104" s="43"/>
      <c r="CT104" s="43"/>
      <c r="CU104" s="43"/>
      <c r="CV104" s="43"/>
      <c r="CW104" s="43"/>
      <c r="CX104" s="43"/>
      <c r="CY104" s="43"/>
      <c r="CZ104" s="43"/>
      <c r="DA104" s="43"/>
      <c r="DB104" s="43"/>
      <c r="DC104" s="43"/>
      <c r="AMF104" s="47"/>
      <c r="AMG104" s="47"/>
      <c r="AMH104" s="47"/>
      <c r="AMI104" s="47"/>
      <c r="AMJ104" s="47"/>
    </row>
    <row r="105" ht="14.0">
      <c r="A105" s="37" t="s">
        <v>32</v>
      </c>
      <c r="B105" s="37" t="s">
        <v>163</v>
      </c>
      <c r="C105" s="37" t="s">
        <v>169</v>
      </c>
      <c r="D105" s="38">
        <v>40409.0</v>
      </c>
      <c r="E105" s="37">
        <v>13.0</v>
      </c>
      <c r="F105" s="37">
        <v>0.0</v>
      </c>
      <c r="G105" s="37">
        <v>0.0</v>
      </c>
      <c r="H105" s="37">
        <v>0.0</v>
      </c>
      <c r="I105" s="37">
        <v>0.0</v>
      </c>
      <c r="J105" s="37">
        <v>6.0</v>
      </c>
      <c r="K105" s="37">
        <v>9.0</v>
      </c>
      <c r="L105" s="37">
        <v>12.0</v>
      </c>
      <c r="M105" s="37">
        <v>21.0</v>
      </c>
      <c r="N105" s="37">
        <v>12.0</v>
      </c>
      <c r="O105" s="37">
        <v>12.0</v>
      </c>
      <c r="P105" s="37">
        <v>9.0</v>
      </c>
      <c r="Q105" s="37">
        <v>3.0</v>
      </c>
      <c r="R105" s="37">
        <v>12.0</v>
      </c>
      <c r="S105" s="37">
        <v>21.0</v>
      </c>
      <c r="T105" s="37">
        <v>6.0</v>
      </c>
      <c r="U105" s="37">
        <v>12.0</v>
      </c>
      <c r="V105" s="37">
        <v>15.0</v>
      </c>
      <c r="W105" s="37">
        <v>6.0</v>
      </c>
      <c r="X105" s="37">
        <v>6.0</v>
      </c>
      <c r="Y105" s="37">
        <v>27.0</v>
      </c>
      <c r="Z105" s="37">
        <v>15.0</v>
      </c>
      <c r="AA105" s="37">
        <v>31.0</v>
      </c>
      <c r="AB105" s="37">
        <v>15.0</v>
      </c>
      <c r="AC105" s="37">
        <v>8.0</v>
      </c>
      <c r="AD105" s="37">
        <v>18.0</v>
      </c>
      <c r="AE105" s="37">
        <v>21.0</v>
      </c>
      <c r="AF105" s="37">
        <v>21.0</v>
      </c>
      <c r="AG105" s="37">
        <v>33.0</v>
      </c>
      <c r="AH105" s="37">
        <v>10.0</v>
      </c>
      <c r="AI105" s="37">
        <v>11.0</v>
      </c>
      <c r="AJ105" s="37">
        <v>30.0</v>
      </c>
      <c r="AK105" s="37">
        <v>0.0</v>
      </c>
      <c r="AL105" s="37">
        <v>6.0</v>
      </c>
      <c r="AM105" s="37">
        <v>27.0</v>
      </c>
      <c r="AN105" s="37">
        <v>12.0</v>
      </c>
      <c r="AO105" s="39">
        <f t="shared" si="3"/>
        <v>197.0</v>
      </c>
      <c r="AP105" s="39">
        <f t="shared" si="4"/>
        <v>86.0</v>
      </c>
      <c r="AQ105" s="39">
        <f t="shared" si="5"/>
        <v>94.6</v>
      </c>
      <c r="AR105" s="51">
        <f t="shared" si="526"/>
        <v>11.8620689655172</v>
      </c>
      <c r="AS105" s="51">
        <f t="shared" si="527"/>
        <v>15.816091954023</v>
      </c>
      <c r="AT105" s="51">
        <f t="shared" si="528"/>
        <v>19.7701149425287</v>
      </c>
      <c r="AU105" s="51">
        <f t="shared" si="529"/>
        <v>19.7701149425287</v>
      </c>
      <c r="AV105" s="51">
        <f t="shared" si="530"/>
        <v>19.7701149425287</v>
      </c>
      <c r="AW105" s="51">
        <f t="shared" si="531"/>
        <v>19.7701149425287</v>
      </c>
      <c r="AX105" s="41">
        <f t="shared" si="12"/>
        <v>106.758620689654</v>
      </c>
      <c r="AY105" s="41" t="e">
        <f t="shared" si="13"/>
        <v>#REF!</v>
      </c>
      <c r="AZ105" s="42" t="e">
        <f t="shared" si="525"/>
        <v>#REF!</v>
      </c>
      <c r="BA105" s="43"/>
      <c r="BB105" s="39" t="e">
        <f t="shared" si="496"/>
        <v>#REF!</v>
      </c>
      <c r="BC105" s="43">
        <f>VLOOKUP(C105,MOQ,3,FALSE())</f>
      </c>
      <c r="BD105" s="49" t="e">
        <f t="shared" si="498"/>
        <v>#REF!</v>
      </c>
      <c r="BE105" s="45" t="s">
        <v>7</v>
      </c>
      <c r="BF105" s="43" t="e">
        <f t="shared" si="499"/>
        <v>#REF!</v>
      </c>
      <c r="BG105" s="43">
        <f t="shared" si="500"/>
        <v>11.8620689655172</v>
      </c>
      <c r="BH105" s="43" t="e">
        <f t="shared" si="501"/>
        <v>#REF!</v>
      </c>
      <c r="BI105" s="46" t="e">
        <f t="shared" si="502"/>
        <v>#REF!</v>
      </c>
      <c r="BJ105" s="43">
        <f t="shared" si="503"/>
        <v>15.816091954023</v>
      </c>
      <c r="BK105" s="43">
        <f t="shared" si="504"/>
      </c>
      <c r="BL105" s="46" t="e">
        <f t="shared" si="505"/>
        <v>#REF!</v>
      </c>
      <c r="BM105" s="43">
        <f t="shared" si="506"/>
        <v>19.7701149425287</v>
      </c>
      <c r="BN105" s="43"/>
      <c r="BO105" s="46" t="e">
        <f t="shared" si="507"/>
        <v>#REF!</v>
      </c>
      <c r="BP105" s="43">
        <f t="shared" si="508"/>
        <v>19.7701149425287</v>
      </c>
      <c r="BQ105" s="43"/>
      <c r="BR105" s="46" t="e">
        <f t="shared" si="509"/>
        <v>#REF!</v>
      </c>
      <c r="BS105" s="43">
        <f t="shared" si="510"/>
        <v>19.7701149425287</v>
      </c>
      <c r="BT105" s="43"/>
      <c r="BU105" s="46" t="e">
        <f t="shared" si="511"/>
        <v>#REF!</v>
      </c>
      <c r="BV105" s="43">
        <f t="shared" si="512"/>
        <v>19.7701149425287</v>
      </c>
      <c r="BW105" s="43"/>
      <c r="BX105" s="46" t="e">
        <f t="shared" si="513"/>
        <v>#REF!</v>
      </c>
      <c r="BY105" s="43"/>
      <c r="BZ105" s="42" t="e">
        <f t="shared" si="514"/>
        <v>#REF!</v>
      </c>
      <c r="CA105" s="52" t="e">
        <f t="shared" si="515"/>
        <v>#REF!</v>
      </c>
      <c r="CB105" s="42" t="e">
        <f t="shared" si="516"/>
        <v>#REF!</v>
      </c>
      <c r="CC105" s="53" t="e">
        <f t="shared" si="517"/>
        <v>#REF!</v>
      </c>
      <c r="CD105" s="43"/>
      <c r="CE105" s="43"/>
      <c r="CF105" s="43"/>
      <c r="CG105" s="43"/>
      <c r="CH105" s="43"/>
      <c r="CI105" s="43"/>
      <c r="CJ105" s="43"/>
      <c r="CK105" s="43"/>
      <c r="CL105" s="43"/>
      <c r="CM105" s="43"/>
      <c r="CN105" s="43"/>
      <c r="CO105" s="43"/>
      <c r="CP105" s="43"/>
      <c r="CQ105" s="43"/>
      <c r="CR105" s="43"/>
      <c r="CS105" s="43"/>
      <c r="CT105" s="43"/>
      <c r="CU105" s="43"/>
      <c r="CV105" s="43"/>
      <c r="CW105" s="43"/>
      <c r="CX105" s="43"/>
      <c r="CY105" s="43"/>
      <c r="CZ105" s="43"/>
      <c r="DA105" s="43"/>
      <c r="DB105" s="43"/>
      <c r="DC105" s="43"/>
      <c r="AMF105" s="47"/>
      <c r="AMG105" s="47"/>
      <c r="AMH105" s="47"/>
      <c r="AMI105" s="47"/>
      <c r="AMJ105" s="47"/>
    </row>
    <row r="106" ht="14.0">
      <c r="A106" s="37" t="s">
        <v>32</v>
      </c>
      <c r="B106" s="37" t="s">
        <v>170</v>
      </c>
      <c r="C106" s="37" t="s">
        <v>171</v>
      </c>
      <c r="D106" s="38">
        <v>41001.0</v>
      </c>
      <c r="E106" s="37">
        <v>12.0</v>
      </c>
      <c r="F106" s="37">
        <v>39.0</v>
      </c>
      <c r="G106" s="37">
        <v>45.0</v>
      </c>
      <c r="H106" s="37">
        <v>30.0</v>
      </c>
      <c r="I106" s="37">
        <v>48.0</v>
      </c>
      <c r="J106" s="37">
        <v>48.0</v>
      </c>
      <c r="K106" s="37">
        <v>21.0</v>
      </c>
      <c r="L106" s="37">
        <v>16.0</v>
      </c>
      <c r="M106" s="37">
        <v>12.0</v>
      </c>
      <c r="N106" s="37">
        <v>21.0</v>
      </c>
      <c r="O106" s="37">
        <v>21.0</v>
      </c>
      <c r="P106" s="37">
        <v>0.0</v>
      </c>
      <c r="Q106" s="37">
        <v>18.0</v>
      </c>
      <c r="R106" s="37">
        <v>12.0</v>
      </c>
      <c r="S106" s="37">
        <v>45.0</v>
      </c>
      <c r="T106" s="37">
        <v>30.0</v>
      </c>
      <c r="U106" s="37">
        <v>30.0</v>
      </c>
      <c r="V106" s="37">
        <v>63.0</v>
      </c>
      <c r="W106" s="37">
        <v>24.0</v>
      </c>
      <c r="X106" s="37">
        <v>33.0</v>
      </c>
      <c r="Y106" s="37">
        <v>36.0</v>
      </c>
      <c r="Z106" s="37">
        <v>15.0</v>
      </c>
      <c r="AA106" s="37">
        <v>31.0</v>
      </c>
      <c r="AB106" s="37">
        <v>3.0</v>
      </c>
      <c r="AC106" s="37">
        <v>4.0</v>
      </c>
      <c r="AD106" s="37">
        <v>9.0</v>
      </c>
      <c r="AE106" s="37">
        <v>18.0</v>
      </c>
      <c r="AF106" s="37">
        <v>12.0</v>
      </c>
      <c r="AG106" s="37">
        <v>21.0</v>
      </c>
      <c r="AH106" s="37">
        <v>6.0</v>
      </c>
      <c r="AI106" s="37">
        <v>9.0</v>
      </c>
      <c r="AJ106" s="37">
        <v>21.0</v>
      </c>
      <c r="AK106" s="37">
        <v>9.0</v>
      </c>
      <c r="AL106" s="37">
        <v>6.0</v>
      </c>
      <c r="AM106" s="37">
        <v>6.0</v>
      </c>
      <c r="AN106" s="37">
        <v>0.0</v>
      </c>
      <c r="AO106" s="39">
        <f t="shared" si="3"/>
        <v>121.0</v>
      </c>
      <c r="AP106" s="39">
        <f t="shared" si="4"/>
        <v>51.0</v>
      </c>
      <c r="AQ106" s="39">
        <f t="shared" si="5"/>
        <v>56.1</v>
      </c>
      <c r="AR106" s="51">
        <f t="shared" si="526"/>
        <v>7.03448275862069</v>
      </c>
      <c r="AS106" s="51">
        <f t="shared" si="527"/>
        <v>9.37931034482759</v>
      </c>
      <c r="AT106" s="51">
        <f t="shared" si="528"/>
        <v>11.7241379310344</v>
      </c>
      <c r="AU106" s="51">
        <f t="shared" si="529"/>
        <v>11.7241379310344</v>
      </c>
      <c r="AV106" s="51">
        <f t="shared" si="530"/>
        <v>11.7241379310344</v>
      </c>
      <c r="AW106" s="51">
        <f t="shared" si="531"/>
        <v>11.7241379310344</v>
      </c>
      <c r="AX106" s="41">
        <f t="shared" si="12"/>
        <v>63.3103448275859</v>
      </c>
      <c r="AY106" s="41" t="e">
        <f t="shared" si="13"/>
        <v>#REF!</v>
      </c>
      <c r="AZ106" s="42" t="e">
        <f t="shared" si="525"/>
        <v>#REF!</v>
      </c>
      <c r="BA106" s="43"/>
      <c r="BB106" s="39" t="e">
        <f t="shared" si="496"/>
        <v>#REF!</v>
      </c>
      <c r="BC106" s="43">
        <f>VLOOKUP(C106,MOQ,3,FALSE())</f>
      </c>
      <c r="BD106" s="49" t="e">
        <f t="shared" si="498"/>
        <v>#REF!</v>
      </c>
      <c r="BE106" s="45" t="s">
        <v>8</v>
      </c>
      <c r="BF106" s="43" t="e">
        <f t="shared" si="499"/>
        <v>#REF!</v>
      </c>
      <c r="BG106" s="43">
        <f t="shared" si="500"/>
        <v>7.03448275862069</v>
      </c>
      <c r="BH106" s="43" t="e">
        <f t="shared" si="501"/>
        <v>#REF!</v>
      </c>
      <c r="BI106" s="46" t="e">
        <f t="shared" si="502"/>
        <v>#REF!</v>
      </c>
      <c r="BJ106" s="43">
        <f t="shared" si="503"/>
        <v>9.37931034482759</v>
      </c>
      <c r="BK106" s="43">
        <f t="shared" si="504"/>
      </c>
      <c r="BL106" s="46" t="e">
        <f t="shared" si="505"/>
        <v>#REF!</v>
      </c>
      <c r="BM106" s="43">
        <f t="shared" si="506"/>
        <v>11.7241379310344</v>
      </c>
      <c r="BN106" s="43"/>
      <c r="BO106" s="46" t="e">
        <f t="shared" si="507"/>
        <v>#REF!</v>
      </c>
      <c r="BP106" s="43">
        <f t="shared" si="508"/>
        <v>11.7241379310344</v>
      </c>
      <c r="BQ106" s="43"/>
      <c r="BR106" s="46" t="e">
        <f t="shared" si="509"/>
        <v>#REF!</v>
      </c>
      <c r="BS106" s="43">
        <f t="shared" si="510"/>
        <v>11.7241379310344</v>
      </c>
      <c r="BT106" s="43"/>
      <c r="BU106" s="46" t="e">
        <f t="shared" si="511"/>
        <v>#REF!</v>
      </c>
      <c r="BV106" s="43">
        <f t="shared" si="512"/>
        <v>11.7241379310344</v>
      </c>
      <c r="BW106" s="43"/>
      <c r="BX106" s="46" t="e">
        <f t="shared" si="513"/>
        <v>#REF!</v>
      </c>
      <c r="BY106" s="43"/>
      <c r="BZ106" s="42" t="e">
        <f t="shared" si="514"/>
        <v>#REF!</v>
      </c>
      <c r="CA106" s="52" t="e">
        <f t="shared" si="515"/>
        <v>#REF!</v>
      </c>
      <c r="CB106" s="42" t="e">
        <f t="shared" si="516"/>
        <v>#REF!</v>
      </c>
      <c r="CC106" s="53" t="e">
        <f t="shared" si="517"/>
        <v>#REF!</v>
      </c>
      <c r="CD106" s="43"/>
      <c r="CE106" s="43"/>
      <c r="CF106" s="43"/>
      <c r="CG106" s="43"/>
      <c r="CH106" s="43"/>
      <c r="CI106" s="43"/>
      <c r="CJ106" s="43"/>
      <c r="CK106" s="43"/>
      <c r="CL106" s="43"/>
      <c r="CM106" s="43"/>
      <c r="CN106" s="43"/>
      <c r="CO106" s="43"/>
      <c r="CP106" s="43"/>
      <c r="CQ106" s="43"/>
      <c r="CR106" s="43"/>
      <c r="CS106" s="43"/>
      <c r="CT106" s="43"/>
      <c r="CU106" s="43"/>
      <c r="CV106" s="43"/>
      <c r="CW106" s="43"/>
      <c r="CX106" s="43"/>
      <c r="CY106" s="43"/>
      <c r="CZ106" s="43"/>
      <c r="DA106" s="43"/>
      <c r="DB106" s="43"/>
      <c r="DC106" s="43"/>
      <c r="AMF106" s="47"/>
      <c r="AMG106" s="47"/>
      <c r="AMH106" s="47"/>
      <c r="AMI106" s="47"/>
      <c r="AMJ106" s="47"/>
    </row>
    <row r="107" ht="14.0">
      <c r="A107" s="37" t="s">
        <v>32</v>
      </c>
      <c r="B107" s="37" t="s">
        <v>170</v>
      </c>
      <c r="C107" s="37" t="s">
        <v>172</v>
      </c>
      <c r="D107" s="38">
        <v>41002.0</v>
      </c>
      <c r="E107" s="37">
        <v>27.0</v>
      </c>
      <c r="F107" s="37">
        <v>30.0</v>
      </c>
      <c r="G107" s="37">
        <v>36.0</v>
      </c>
      <c r="H107" s="37">
        <v>51.0</v>
      </c>
      <c r="I107" s="37">
        <v>45.0</v>
      </c>
      <c r="J107" s="37">
        <v>69.0</v>
      </c>
      <c r="K107" s="37">
        <v>12.0</v>
      </c>
      <c r="L107" s="37">
        <v>22.0</v>
      </c>
      <c r="M107" s="37">
        <v>21.0</v>
      </c>
      <c r="N107" s="37">
        <v>6.0</v>
      </c>
      <c r="O107" s="37">
        <v>19.0</v>
      </c>
      <c r="P107" s="37">
        <v>24.0</v>
      </c>
      <c r="Q107" s="37">
        <v>18.0</v>
      </c>
      <c r="R107" s="37">
        <v>9.0</v>
      </c>
      <c r="S107" s="37">
        <v>51.0</v>
      </c>
      <c r="T107" s="37">
        <v>30.0</v>
      </c>
      <c r="U107" s="37">
        <v>30.0</v>
      </c>
      <c r="V107" s="37">
        <v>63.0</v>
      </c>
      <c r="W107" s="37">
        <v>21.0</v>
      </c>
      <c r="X107" s="37">
        <v>14.0</v>
      </c>
      <c r="Y107" s="37">
        <v>0.0</v>
      </c>
      <c r="Z107" s="37">
        <v>0.0</v>
      </c>
      <c r="AA107" s="37">
        <v>12.0</v>
      </c>
      <c r="AB107" s="37">
        <v>0.0</v>
      </c>
      <c r="AC107" s="37">
        <v>10.0</v>
      </c>
      <c r="AD107" s="37">
        <v>12.0</v>
      </c>
      <c r="AE107" s="37">
        <v>3.0</v>
      </c>
      <c r="AF107" s="37">
        <v>6.0</v>
      </c>
      <c r="AG107" s="37">
        <v>6.0</v>
      </c>
      <c r="AH107" s="37">
        <v>21.0</v>
      </c>
      <c r="AI107" s="37">
        <v>6.0</v>
      </c>
      <c r="AJ107" s="37">
        <v>12.0</v>
      </c>
      <c r="AK107" s="37">
        <v>7.0</v>
      </c>
      <c r="AL107" s="37">
        <v>0.0</v>
      </c>
      <c r="AM107" s="37">
        <v>6.0</v>
      </c>
      <c r="AN107" s="37">
        <v>3.0</v>
      </c>
      <c r="AO107" s="39">
        <f t="shared" si="3"/>
        <v>92.0</v>
      </c>
      <c r="AP107" s="39">
        <f t="shared" si="4"/>
        <v>34.0</v>
      </c>
      <c r="AQ107" s="39">
        <f t="shared" si="5"/>
        <v>37.4</v>
      </c>
      <c r="AR107" s="51">
        <f t="shared" si="526"/>
        <v>4.68965517241379</v>
      </c>
      <c r="AS107" s="51">
        <f t="shared" si="527"/>
        <v>6.25287356321839</v>
      </c>
      <c r="AT107" s="51">
        <f t="shared" si="528"/>
        <v>7.81609195402299</v>
      </c>
      <c r="AU107" s="51">
        <f t="shared" si="529"/>
        <v>7.81609195402299</v>
      </c>
      <c r="AV107" s="51">
        <f t="shared" si="530"/>
        <v>7.81609195402299</v>
      </c>
      <c r="AW107" s="51">
        <f t="shared" si="531"/>
        <v>7.81609195402299</v>
      </c>
      <c r="AX107" s="41">
        <f t="shared" si="12"/>
        <v>42.2068965517241</v>
      </c>
      <c r="AY107" s="41" t="e">
        <f t="shared" si="13"/>
        <v>#REF!</v>
      </c>
      <c r="AZ107" s="42" t="e">
        <f t="shared" si="525"/>
        <v>#REF!</v>
      </c>
      <c r="BA107" s="43"/>
      <c r="BB107" s="39" t="e">
        <f t="shared" si="496"/>
        <v>#REF!</v>
      </c>
      <c r="BC107" s="43">
        <f>VLOOKUP(C107,MOQ,3,FALSE())</f>
      </c>
      <c r="BD107" s="49" t="e">
        <f t="shared" si="498"/>
        <v>#REF!</v>
      </c>
      <c r="BE107" s="45" t="s">
        <v>9</v>
      </c>
      <c r="BF107" s="43" t="e">
        <f t="shared" si="499"/>
        <v>#REF!</v>
      </c>
      <c r="BG107" s="43">
        <f t="shared" si="500"/>
        <v>4.68965517241379</v>
      </c>
      <c r="BH107" s="43" t="e">
        <f t="shared" si="501"/>
        <v>#REF!</v>
      </c>
      <c r="BI107" s="46" t="e">
        <f t="shared" si="502"/>
        <v>#REF!</v>
      </c>
      <c r="BJ107" s="43">
        <f t="shared" si="503"/>
        <v>6.25287356321839</v>
      </c>
      <c r="BK107" s="43">
        <f t="shared" si="504"/>
      </c>
      <c r="BL107" s="46" t="e">
        <f t="shared" si="505"/>
        <v>#REF!</v>
      </c>
      <c r="BM107" s="43">
        <f t="shared" si="506"/>
        <v>7.81609195402299</v>
      </c>
      <c r="BN107" s="43"/>
      <c r="BO107" s="46" t="e">
        <f t="shared" si="507"/>
        <v>#REF!</v>
      </c>
      <c r="BP107" s="43">
        <f t="shared" si="508"/>
        <v>7.81609195402299</v>
      </c>
      <c r="BQ107" s="43"/>
      <c r="BR107" s="46" t="e">
        <f t="shared" si="509"/>
        <v>#REF!</v>
      </c>
      <c r="BS107" s="43">
        <f t="shared" si="510"/>
        <v>7.81609195402299</v>
      </c>
      <c r="BT107" s="43"/>
      <c r="BU107" s="46" t="e">
        <f t="shared" si="511"/>
        <v>#REF!</v>
      </c>
      <c r="BV107" s="43">
        <f t="shared" si="512"/>
        <v>7.81609195402299</v>
      </c>
      <c r="BW107" s="43"/>
      <c r="BX107" s="46" t="e">
        <f t="shared" si="513"/>
        <v>#REF!</v>
      </c>
      <c r="BY107" s="43"/>
      <c r="BZ107" s="42" t="e">
        <f t="shared" si="514"/>
        <v>#REF!</v>
      </c>
      <c r="CA107" s="52" t="e">
        <f t="shared" si="515"/>
        <v>#REF!</v>
      </c>
      <c r="CB107" s="42" t="e">
        <f t="shared" si="516"/>
        <v>#REF!</v>
      </c>
      <c r="CC107" s="53" t="e">
        <f t="shared" si="517"/>
        <v>#REF!</v>
      </c>
      <c r="CD107" s="43"/>
      <c r="CE107" s="43"/>
      <c r="CF107" s="43"/>
      <c r="CG107" s="43"/>
      <c r="CH107" s="43"/>
      <c r="CI107" s="43"/>
      <c r="CJ107" s="43"/>
      <c r="CK107" s="43"/>
      <c r="CL107" s="43"/>
      <c r="CM107" s="43"/>
      <c r="CN107" s="43"/>
      <c r="CO107" s="43"/>
      <c r="CP107" s="43"/>
      <c r="CQ107" s="43"/>
      <c r="CR107" s="43"/>
      <c r="CS107" s="43"/>
      <c r="CT107" s="43"/>
      <c r="CU107" s="43"/>
      <c r="CV107" s="43"/>
      <c r="CW107" s="43"/>
      <c r="CX107" s="43"/>
      <c r="CY107" s="43"/>
      <c r="CZ107" s="43"/>
      <c r="DA107" s="43"/>
      <c r="DB107" s="43"/>
      <c r="DC107" s="43"/>
      <c r="AMF107" s="47"/>
      <c r="AMG107" s="47"/>
      <c r="AMH107" s="47"/>
      <c r="AMI107" s="47"/>
      <c r="AMJ107" s="47"/>
    </row>
    <row r="108" ht="14.0">
      <c r="A108" s="37" t="s">
        <v>32</v>
      </c>
      <c r="B108" s="37" t="s">
        <v>170</v>
      </c>
      <c r="C108" s="56" t="s">
        <v>173</v>
      </c>
      <c r="D108" s="38">
        <v>41023.0</v>
      </c>
      <c r="E108" s="37">
        <v>0.0</v>
      </c>
      <c r="F108" s="37">
        <v>0.0</v>
      </c>
      <c r="G108" s="37">
        <v>0.0</v>
      </c>
      <c r="H108" s="37">
        <v>0.0</v>
      </c>
      <c r="I108" s="37">
        <v>0.0</v>
      </c>
      <c r="J108" s="37">
        <v>0.0</v>
      </c>
      <c r="K108" s="37">
        <v>0.0</v>
      </c>
      <c r="L108" s="37">
        <v>0.0</v>
      </c>
      <c r="M108" s="37">
        <v>0.0</v>
      </c>
      <c r="N108" s="37">
        <v>0.0</v>
      </c>
      <c r="O108" s="37">
        <v>3.0</v>
      </c>
      <c r="P108" s="37">
        <v>0.0</v>
      </c>
      <c r="Q108" s="37">
        <v>3.0</v>
      </c>
      <c r="R108" s="37">
        <v>3.0</v>
      </c>
      <c r="S108" s="37">
        <v>3.0</v>
      </c>
      <c r="T108" s="37">
        <v>6.0</v>
      </c>
      <c r="U108" s="37">
        <v>15.0</v>
      </c>
      <c r="V108" s="37">
        <v>15.0</v>
      </c>
      <c r="W108" s="37">
        <v>15.0</v>
      </c>
      <c r="X108" s="37">
        <v>3.0</v>
      </c>
      <c r="Y108" s="37">
        <v>3.0</v>
      </c>
      <c r="Z108" s="37">
        <v>0.0</v>
      </c>
      <c r="AA108" s="37">
        <v>0.0</v>
      </c>
      <c r="AB108" s="37">
        <v>0.0</v>
      </c>
      <c r="AC108" s="37">
        <v>4.0</v>
      </c>
      <c r="AD108" s="37">
        <v>6.0</v>
      </c>
      <c r="AE108" s="37">
        <v>12.0</v>
      </c>
      <c r="AF108" s="37">
        <v>3.0</v>
      </c>
      <c r="AG108" s="37">
        <v>9.0</v>
      </c>
      <c r="AH108" s="37">
        <v>0.0</v>
      </c>
      <c r="AI108" s="37">
        <v>3.0</v>
      </c>
      <c r="AJ108" s="37">
        <v>3.0</v>
      </c>
      <c r="AK108" s="37">
        <v>0.0</v>
      </c>
      <c r="AL108" s="37">
        <v>3.0</v>
      </c>
      <c r="AM108" s="37">
        <v>0.0</v>
      </c>
      <c r="AN108" s="37" t="s">
        <v>87</v>
      </c>
      <c r="AO108" s="39">
        <f t="shared" si="3"/>
        <v>43.0</v>
      </c>
      <c r="AP108" s="39">
        <f t="shared" si="4"/>
        <v>9.0</v>
      </c>
      <c r="AQ108" s="39">
        <f t="shared" si="5"/>
        <v>9.9</v>
      </c>
      <c r="AR108" s="51">
        <f t="shared" si="526"/>
        <v>1.24137931034482</v>
      </c>
      <c r="AS108" s="51">
        <f t="shared" si="527"/>
        <v>1.6551724137931</v>
      </c>
      <c r="AT108" s="51">
        <f t="shared" si="528"/>
        <v>2.0689655172413</v>
      </c>
      <c r="AU108" s="51">
        <f t="shared" si="529"/>
        <v>2.0689655172413</v>
      </c>
      <c r="AV108" s="51">
        <f t="shared" si="530"/>
        <v>2.0689655172413</v>
      </c>
      <c r="AW108" s="51">
        <f t="shared" si="531"/>
        <v>2.0689655172413</v>
      </c>
      <c r="AX108" s="41">
        <f t="shared" si="12"/>
        <v>11.1724137931031</v>
      </c>
      <c r="AY108" s="41" t="e">
        <f t="shared" si="13"/>
        <v>#REF!</v>
      </c>
      <c r="AZ108" s="42"/>
      <c r="BA108" s="43"/>
      <c r="BB108" s="39" t="e">
        <f t="shared" si="496"/>
        <v>#REF!</v>
      </c>
      <c r="BC108" s="43">
        <f>VLOOKUP(C108,MOQ,3,FALSE())</f>
      </c>
      <c r="BD108" s="44"/>
      <c r="BE108" s="57"/>
      <c r="BF108" s="43" t="e">
        <f t="shared" si="499"/>
        <v>#REF!</v>
      </c>
      <c r="BG108" s="43">
        <f t="shared" si="500"/>
        <v>1.24137931034482</v>
      </c>
      <c r="BH108" s="43">
        <f t="shared" si="501"/>
      </c>
      <c r="BI108" s="46" t="e">
        <f t="shared" si="502"/>
        <v>#REF!</v>
      </c>
      <c r="BJ108" s="43">
        <f t="shared" si="503"/>
        <v>1.6551724137931</v>
      </c>
      <c r="BK108" s="43">
        <f t="shared" si="504"/>
      </c>
      <c r="BL108" s="46" t="e">
        <f t="shared" si="505"/>
        <v>#REF!</v>
      </c>
      <c r="BM108" s="43">
        <f t="shared" si="506"/>
        <v>2.0689655172413</v>
      </c>
      <c r="BN108" s="43"/>
      <c r="BO108" s="46" t="e">
        <f t="shared" si="507"/>
        <v>#REF!</v>
      </c>
      <c r="BP108" s="43">
        <f t="shared" si="508"/>
        <v>2.0689655172413</v>
      </c>
      <c r="BQ108" s="43"/>
      <c r="BR108" s="46" t="e">
        <f t="shared" si="509"/>
        <v>#REF!</v>
      </c>
      <c r="BS108" s="43">
        <f t="shared" si="510"/>
        <v>2.0689655172413</v>
      </c>
      <c r="BT108" s="43"/>
      <c r="BU108" s="46" t="e">
        <f t="shared" si="511"/>
        <v>#REF!</v>
      </c>
      <c r="BV108" s="43">
        <f t="shared" si="512"/>
        <v>2.0689655172413</v>
      </c>
      <c r="BW108" s="43"/>
      <c r="BX108" s="46" t="e">
        <f t="shared" si="513"/>
        <v>#REF!</v>
      </c>
      <c r="BY108" s="43"/>
      <c r="BZ108" s="43"/>
      <c r="CA108" s="43"/>
      <c r="CB108" s="43"/>
      <c r="CC108" s="43"/>
      <c r="CD108" s="43"/>
      <c r="CE108" s="43"/>
      <c r="CF108" s="43"/>
      <c r="CG108" s="43"/>
      <c r="CH108" s="43"/>
      <c r="CI108" s="43"/>
      <c r="CJ108" s="43"/>
      <c r="CK108" s="43"/>
      <c r="CL108" s="43"/>
      <c r="CM108" s="43"/>
      <c r="CN108" s="43"/>
      <c r="CO108" s="43"/>
      <c r="CP108" s="43"/>
      <c r="CQ108" s="43"/>
      <c r="CR108" s="43"/>
      <c r="CS108" s="43"/>
      <c r="CT108" s="43"/>
      <c r="CU108" s="43"/>
      <c r="CV108" s="43"/>
      <c r="CW108" s="43"/>
      <c r="CX108" s="43"/>
      <c r="AMF108" s="47"/>
      <c r="AMG108" s="47"/>
      <c r="AMH108" s="47"/>
      <c r="AMI108" s="47"/>
      <c r="AMJ108" s="47"/>
    </row>
    <row r="109" ht="14.0">
      <c r="A109" s="37" t="s">
        <v>32</v>
      </c>
      <c r="B109" s="37" t="s">
        <v>170</v>
      </c>
      <c r="C109" s="56" t="s">
        <v>174</v>
      </c>
      <c r="D109" s="38">
        <v>41034.0</v>
      </c>
      <c r="E109" s="37">
        <v>0.0</v>
      </c>
      <c r="F109" s="37">
        <v>0.0</v>
      </c>
      <c r="G109" s="37">
        <v>0.0</v>
      </c>
      <c r="H109" s="37">
        <v>0.0</v>
      </c>
      <c r="I109" s="37">
        <v>0.0</v>
      </c>
      <c r="J109" s="37">
        <v>0.0</v>
      </c>
      <c r="K109" s="37">
        <v>0.0</v>
      </c>
      <c r="L109" s="37">
        <v>0.0</v>
      </c>
      <c r="M109" s="37">
        <v>0.0</v>
      </c>
      <c r="N109" s="37">
        <v>0.0</v>
      </c>
      <c r="O109" s="37">
        <v>0.0</v>
      </c>
      <c r="P109" s="37">
        <v>3.0</v>
      </c>
      <c r="Q109" s="37">
        <v>0.0</v>
      </c>
      <c r="R109" s="37">
        <v>3.0</v>
      </c>
      <c r="S109" s="37">
        <v>3.0</v>
      </c>
      <c r="T109" s="37">
        <v>6.0</v>
      </c>
      <c r="U109" s="37">
        <v>9.0</v>
      </c>
      <c r="V109" s="37">
        <v>6.0</v>
      </c>
      <c r="W109" s="37">
        <v>0.0</v>
      </c>
      <c r="X109" s="37">
        <v>0.0</v>
      </c>
      <c r="Y109" s="37">
        <v>3.0</v>
      </c>
      <c r="Z109" s="37">
        <v>0.0</v>
      </c>
      <c r="AA109" s="37">
        <v>0.0</v>
      </c>
      <c r="AB109" s="37">
        <v>0.0</v>
      </c>
      <c r="AC109" s="37">
        <v>1.0</v>
      </c>
      <c r="AD109" s="37">
        <v>6.0</v>
      </c>
      <c r="AE109" s="37">
        <v>9.0</v>
      </c>
      <c r="AF109" s="37">
        <v>3.0</v>
      </c>
      <c r="AG109" s="37">
        <v>6.0</v>
      </c>
      <c r="AH109" s="37">
        <v>0.0</v>
      </c>
      <c r="AI109" s="37">
        <v>0.0</v>
      </c>
      <c r="AJ109" s="37">
        <v>3.0</v>
      </c>
      <c r="AK109" s="37">
        <v>0.0</v>
      </c>
      <c r="AL109" s="37">
        <v>0.0</v>
      </c>
      <c r="AM109" s="37">
        <v>0.0</v>
      </c>
      <c r="AN109" s="37" t="s">
        <v>87</v>
      </c>
      <c r="AO109" s="39">
        <f t="shared" si="3"/>
        <v>28.0</v>
      </c>
      <c r="AP109" s="39">
        <f t="shared" si="4"/>
        <v>3.0</v>
      </c>
      <c r="AQ109" s="39">
        <f t="shared" si="5"/>
        <v>3.3</v>
      </c>
      <c r="AR109" s="51">
        <f t="shared" si="526"/>
        <v>0.413793103448276</v>
      </c>
      <c r="AS109" s="51">
        <f t="shared" si="527"/>
        <v>0.551724137931034</v>
      </c>
      <c r="AT109" s="51">
        <f t="shared" si="528"/>
        <v>0.689655172413793</v>
      </c>
      <c r="AU109" s="51">
        <f t="shared" si="529"/>
        <v>0.689655172413793</v>
      </c>
      <c r="AV109" s="51">
        <f t="shared" si="530"/>
        <v>0.689655172413793</v>
      </c>
      <c r="AW109" s="51">
        <f t="shared" si="531"/>
        <v>0.689655172413793</v>
      </c>
      <c r="AX109" s="41">
        <f t="shared" si="12"/>
        <v>3.72413793103448</v>
      </c>
      <c r="AY109" s="41" t="e">
        <f t="shared" si="13"/>
        <v>#REF!</v>
      </c>
      <c r="AZ109" s="42"/>
      <c r="BA109" s="43"/>
      <c r="BB109" s="39" t="e">
        <f t="shared" si="496"/>
        <v>#REF!</v>
      </c>
      <c r="BC109" s="43">
        <f>VLOOKUP(C109,MOQ,3,FALSE())</f>
      </c>
      <c r="BD109" s="44"/>
      <c r="BE109" s="57"/>
      <c r="BF109" s="43" t="e">
        <f t="shared" si="499"/>
        <v>#REF!</v>
      </c>
      <c r="BG109" s="43">
        <f t="shared" si="500"/>
        <v>0.413793103448276</v>
      </c>
      <c r="BH109" s="43">
        <f t="shared" si="501"/>
      </c>
      <c r="BI109" s="46" t="e">
        <f t="shared" si="502"/>
        <v>#REF!</v>
      </c>
      <c r="BJ109" s="43">
        <f t="shared" si="503"/>
        <v>0.551724137931034</v>
      </c>
      <c r="BK109" s="43">
        <f t="shared" si="504"/>
      </c>
      <c r="BL109" s="46" t="e">
        <f t="shared" si="505"/>
        <v>#REF!</v>
      </c>
      <c r="BM109" s="43">
        <f t="shared" si="506"/>
        <v>0.689655172413793</v>
      </c>
      <c r="BN109" s="43"/>
      <c r="BO109" s="46" t="e">
        <f t="shared" si="507"/>
        <v>#REF!</v>
      </c>
      <c r="BP109" s="43">
        <f t="shared" si="508"/>
        <v>0.689655172413793</v>
      </c>
      <c r="BQ109" s="43"/>
      <c r="BR109" s="46" t="e">
        <f t="shared" si="509"/>
        <v>#REF!</v>
      </c>
      <c r="BS109" s="43">
        <f t="shared" si="510"/>
        <v>0.689655172413793</v>
      </c>
      <c r="BT109" s="43"/>
      <c r="BU109" s="46" t="e">
        <f t="shared" si="511"/>
        <v>#REF!</v>
      </c>
      <c r="BV109" s="43">
        <f t="shared" si="512"/>
        <v>0.689655172413793</v>
      </c>
      <c r="BW109" s="43"/>
      <c r="BX109" s="46" t="e">
        <f t="shared" si="513"/>
        <v>#REF!</v>
      </c>
      <c r="BY109" s="43"/>
      <c r="BZ109" s="43"/>
      <c r="CA109" s="43"/>
      <c r="CB109" s="43"/>
      <c r="CC109" s="43"/>
      <c r="CD109" s="43"/>
      <c r="CE109" s="43"/>
      <c r="CF109" s="43"/>
      <c r="CG109" s="43"/>
      <c r="CH109" s="43"/>
      <c r="CI109" s="43"/>
      <c r="CJ109" s="43"/>
      <c r="CK109" s="43"/>
      <c r="CL109" s="43"/>
      <c r="CM109" s="43"/>
      <c r="CN109" s="43"/>
      <c r="CO109" s="43"/>
      <c r="CP109" s="43"/>
      <c r="CQ109" s="43"/>
      <c r="CR109" s="43"/>
      <c r="CS109" s="43"/>
      <c r="CT109" s="43"/>
      <c r="CU109" s="43"/>
      <c r="CV109" s="43"/>
      <c r="CW109" s="43"/>
      <c r="CX109" s="43"/>
      <c r="CY109" s="43"/>
      <c r="CZ109" s="43"/>
      <c r="DA109" s="43"/>
      <c r="DB109" s="43"/>
      <c r="AMF109" s="47"/>
      <c r="AMG109" s="47"/>
      <c r="AMH109" s="47"/>
      <c r="AMI109" s="47"/>
      <c r="AMJ109" s="47"/>
    </row>
    <row r="110">
      <c r="BB110" s="8"/>
      <c r="BE110" s="9"/>
    </row>
    <row r="111">
      <c r="BB111" s="8"/>
      <c r="BE111" s="9"/>
    </row>
    <row r="112">
      <c r="BB112" s="8"/>
      <c r="BE112" s="9"/>
    </row>
    <row r="113">
      <c r="BB113" s="8"/>
      <c r="BE113" s="9"/>
    </row>
    <row r="114">
      <c r="BB114" s="8"/>
      <c r="BE114" s="9"/>
    </row>
    <row r="115">
      <c r="BB115" s="8"/>
      <c r="BE115" s="9"/>
    </row>
    <row r="262103">
      <c r="BB262103" s="8"/>
      <c r="BE262103" s="9"/>
    </row>
    <row r="262104">
      <c r="BB262104" s="8"/>
      <c r="BE262104" s="9"/>
    </row>
    <row r="262105">
      <c r="BB262105" s="8"/>
      <c r="BE262105" s="9"/>
    </row>
    <row r="262106">
      <c r="BB262106" s="8"/>
      <c r="BE262106" s="9"/>
    </row>
    <row r="262107">
      <c r="BB262107" s="8"/>
      <c r="BE262107" s="9"/>
    </row>
    <row r="262108">
      <c r="BB262108" s="8"/>
      <c r="BE262108" s="9"/>
    </row>
    <row r="262109">
      <c r="BB262109" s="8"/>
      <c r="BE262109" s="9"/>
    </row>
    <row r="262110">
      <c r="BE262110" s="9"/>
    </row>
    <row r="262111">
      <c r="BE262111" s="9"/>
    </row>
    <row r="262112">
      <c r="BE262112" s="9"/>
    </row>
    <row r="262113">
      <c r="BE262113" s="9"/>
    </row>
    <row r="262114">
      <c r="BE262114" s="9"/>
    </row>
    <row r="262115">
      <c r="BE262115" s="9"/>
    </row>
    <row r="262116">
      <c r="BE262116" s="9"/>
    </row>
    <row r="262117">
      <c r="BE262117" s="9"/>
    </row>
    <row r="262118">
      <c r="BE262118" s="9"/>
    </row>
    <row r="262119">
      <c r="BE262119" s="9"/>
    </row>
    <row r="262120">
      <c r="BE262120" s="9"/>
    </row>
    <row r="262121">
      <c r="BE262121" s="9"/>
    </row>
    <row r="262122">
      <c r="BE262122" s="9"/>
    </row>
    <row r="262123">
      <c r="BE262123" s="9"/>
    </row>
    <row r="262124">
      <c r="BE262124" s="9"/>
    </row>
    <row r="262125">
      <c r="BE262125" s="9"/>
    </row>
    <row r="262126">
      <c r="BE262126" s="9"/>
    </row>
    <row r="262127">
      <c r="BE262127" s="9"/>
    </row>
    <row r="262128">
      <c r="BE262128" s="9"/>
    </row>
    <row r="262129">
      <c r="BE262129" s="9"/>
    </row>
    <row r="262130">
      <c r="BE262130" s="9"/>
    </row>
    <row r="262131">
      <c r="BE262131" s="9"/>
    </row>
    <row r="262132">
      <c r="BE262132" s="9"/>
    </row>
    <row r="262133">
      <c r="BE262133" s="9"/>
    </row>
    <row r="262134">
      <c r="BE262134" s="9"/>
    </row>
    <row r="262135">
      <c r="BE262135" s="9"/>
    </row>
    <row r="262136">
      <c r="BE262136" s="9"/>
    </row>
    <row r="262137">
      <c r="BE262137" s="9"/>
    </row>
    <row r="262138">
      <c r="BE262138" s="9"/>
    </row>
    <row r="262139">
      <c r="BE262139" s="9"/>
    </row>
    <row r="262140">
      <c r="BE262140" s="9"/>
    </row>
    <row r="262141">
      <c r="BE262141" s="9"/>
    </row>
    <row r="262142">
      <c r="BE262142" s="9"/>
    </row>
    <row r="262143">
      <c r="BE262143" s="9"/>
    </row>
    <row r="262144">
      <c r="BE262144" s="9"/>
    </row>
  </sheetData>
  <mergeCells count="6">
    <mergeCell ref="BM5:BO5"/>
    <mergeCell ref="BP5:BR5"/>
    <mergeCell ref="BS5:BU5"/>
    <mergeCell ref="BV5:BX5"/>
    <mergeCell ref="BG5:BI5"/>
    <mergeCell ref="BJ5:BL5"/>
  </mergeCells>
  <conditionalFormatting sqref="AN7:AN37 AN62:AN62 AN65:AN65 AN39:AN60">
    <cfRule dxfId="0" operator="equal" type="cellIs" priority="1">
      <formula>0</formula>
    </cfRule>
  </conditionalFormatting>
  <conditionalFormatting sqref="C1:C262103">
    <cfRule dxfId="1" operator="containsText" type="containsText" priority="2" text="set up">
      <formula>NOT(ISERROR(SEARCH("set up",C1)))</formula>
    </cfRule>
  </conditionalFormatting>
  <conditionalFormatting sqref="BB1:BB262103">
    <cfRule dxfId="2" operator="lessThan" type="cellIs" priority="3">
      <formula>0</formula>
    </cfRule>
  </conditionalFormatting>
  <conditionalFormatting sqref="BF7:BX109">
    <cfRule dxfId="3" operator="lessThan" type="cellIs" priority="4">
      <formula>0</formula>
    </cfRule>
  </conditionalFormatting>
  <conditionalFormatting sqref="C1:C262139">
    <cfRule dxfId="1" operator="containsText" type="containsText" priority="5" text="SET UP">
      <formula>NOT(ISERROR(SEARCH("SET UP",C1)))</formula>
    </cfRule>
  </conditionalFormatting>
  <conditionalFormatting sqref="AN38:AN38 AN61:AN61 AN63:AN64 AN66:AN108">
    <cfRule dxfId="0" operator="lessThanOrEqual" type="cellIs" priority="6">
      <formula>0</formula>
    </cfRule>
  </conditionalFormatting>
  <conditionalFormatting sqref="C1:C262139">
    <cfRule dxfId="1" operator="containsText" type="containsText" priority="7" text="starter pack">
      <formula>NOT(ISERROR(SEARCH("starter pack",C1)))</formula>
    </cfRule>
  </conditionalFormatting>
  <conditionalFormatting sqref="BD1:BD262142">
    <cfRule dxfId="4" operator="greaterThan" type="cellIs" priority="8">
      <formula>0</formula>
    </cfRule>
  </conditionalFormatting>
  <conditionalFormatting sqref="C1:C262142">
    <cfRule dxfId="5" operator="containsText" type="containsText" priority="9" text="CDU">
      <formula>NOT(ISERROR(SEARCH("CDU",C1)))</formula>
    </cfRule>
  </conditionalFormatting>
  <conditionalFormatting sqref="C1:C262142">
    <cfRule dxfId="5" operator="containsText" type="containsText" priority="10" text="DISPLAY">
      <formula>NOT(ISERROR(SEARCH("DISPLAY",C1)))</formula>
    </cfRule>
  </conditionalFormatting>
  <conditionalFormatting sqref="AY7:AY109">
    <cfRule dxfId="6" operator="lessThanOrEqual" type="cellIs" priority="11">
      <formula>0</formula>
    </cfRule>
  </conditionalFormatting>
  <conditionalFormatting sqref="E62:AM62 E39:AM60 E7:AM37 E65:AM65">
    <cfRule dxfId="0" operator="equal" type="cellIs" priority="12">
      <formula>0</formula>
    </cfRule>
  </conditionalFormatting>
  <conditionalFormatting sqref="O38:AM38 O61:AM61 O63:AM64 O66:AM108">
    <cfRule dxfId="0" operator="lessThanOrEqual" type="cellIs" priority="13">
      <formula>0</formula>
    </cfRule>
  </conditionalFormatting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BX119"/>
  <sheetViews>
    <sheetView workbookViewId="0">
      <pane xSplit="4" ySplit="6" topLeftCell="E7" state="frozen"/>
    </sheetView>
  </sheetViews>
  <sheetFormatPr defaultRowHeight="14.0" customHeight="1"/>
  <cols>
    <col min="1" max="1" style="47" width="28.08"/>
    <col min="2" max="2" style="47" width="13.24"/>
    <col min="3" max="3" style="47" width="55.25"/>
    <col min="4" max="4" style="47" width="12.71"/>
    <col min="5" max="5" hidden="1" style="47" width="0.0" outlineLevel="2"/>
    <col min="6" max="6" hidden="1" style="47" width="0.0" outlineLevel="2"/>
    <col min="7" max="8" hidden="1" style="47" width="0.0" outlineLevel="2"/>
    <col min="9" max="9" hidden="1" style="47" width="0.0" outlineLevel="2"/>
    <col min="10" max="11" hidden="1" style="47" width="0.0" outlineLevel="2"/>
    <col min="12" max="12" hidden="1" style="47" width="0.0" outlineLevel="2"/>
    <col min="13" max="13" hidden="1" style="47" width="0.0" outlineLevel="2"/>
    <col min="14" max="14" hidden="1" style="47" width="0.0" outlineLevel="2"/>
    <col min="15" max="15" hidden="1" style="47" width="0.0" outlineLevel="2"/>
    <col min="16" max="16" hidden="1" style="47" width="0.0" outlineLevel="1"/>
    <col min="17" max="17" hidden="1" style="47" width="0.0" outlineLevel="1"/>
    <col min="18" max="18" hidden="1" style="47" width="0.0" outlineLevel="1"/>
    <col min="19" max="20" hidden="1" style="47" width="0.0" outlineLevel="1"/>
    <col min="21" max="21" hidden="1" style="47" width="0.0" outlineLevel="1"/>
    <col min="22" max="23" hidden="1" style="47" width="0.0" outlineLevel="1"/>
    <col min="24" max="24" hidden="1" style="47" width="0.0" outlineLevel="1"/>
    <col min="25" max="25" hidden="1" style="47" width="0.0" outlineLevel="1"/>
    <col min="26" max="26" hidden="1" style="47" width="0.0" outlineLevel="1"/>
    <col min="27" max="27" hidden="1" style="47" width="0.0" outlineLevel="1"/>
    <col min="28" max="28" hidden="1" style="47" width="0.0" outlineLevel="1"/>
    <col min="29" max="29" style="47" width="7.81" collapsed="1"/>
    <col min="30" max="36" style="47" width="7.81"/>
    <col min="37" max="37" style="47" width="7.81"/>
    <col min="38" max="38" style="47" width="7.81"/>
    <col min="39" max="40" style="47" width="7.81"/>
    <col min="41" max="43" style="64" width="10.46"/>
    <col min="44" max="44" style="47" width="7.81"/>
    <col min="45" max="45" style="47" width="7.81"/>
    <col min="46" max="46" style="47" width="8.47"/>
    <col min="47" max="47" style="47" width="7.28"/>
    <col min="48" max="48" style="47" width="6.49"/>
    <col min="49" max="49" style="47" width="7.55"/>
    <col min="50" max="50" style="64" width="8.21"/>
    <col min="51" max="51" style="64" width="9.67"/>
    <col min="52" max="53" style="64" width="12.32"/>
    <col min="54" max="54" style="65" width="13.24"/>
    <col min="55" max="55" style="65" width="10.06"/>
    <col min="56" max="56" style="47" width="9.0"/>
    <col min="57" max="57" style="66" width="19.34"/>
    <col min="58" max="58" style="67" width="8.08"/>
    <col min="59" max="76" style="47" width="8.08"/>
    <col min="77" max="77" style="47" width="8.87"/>
    <col min="78" max="1016" style="47" width="13.24"/>
    <col min="1017" max="1020" style="47" width="13.24"/>
    <col min="1021" max="1023" style="47" width="13.24"/>
    <col min="1024" max="1024" width="13.24"/>
  </cols>
  <sheetData>
    <row r="1" ht="14.0">
      <c r="C1" s="47" t="s">
        <v>0</v>
      </c>
      <c r="AO1" s="68"/>
      <c r="AP1" s="68"/>
      <c r="AQ1" s="68"/>
      <c r="BC1" s="69">
        <v>0.0</v>
      </c>
      <c r="BE1" s="70"/>
    </row>
    <row r="2">
      <c r="AO2" s="68"/>
      <c r="AP2" s="68"/>
      <c r="AQ2" s="68"/>
      <c r="BC2" s="69"/>
      <c r="BE2" s="70"/>
    </row>
    <row r="3">
      <c r="AO3" s="68"/>
      <c r="AP3" s="68"/>
      <c r="AQ3" s="68"/>
      <c r="BC3" s="69"/>
      <c r="BE3" s="70"/>
    </row>
    <row r="4" ht="14.0"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>
        <v>0.046</v>
      </c>
      <c r="AB4" s="71">
        <v>0.09</v>
      </c>
      <c r="AC4" s="71">
        <v>0.073</v>
      </c>
      <c r="AD4" s="71">
        <v>0.057</v>
      </c>
      <c r="AE4" s="71">
        <v>0.114</v>
      </c>
      <c r="AF4" s="71">
        <v>0.127</v>
      </c>
      <c r="AG4" s="71">
        <v>0.115</v>
      </c>
      <c r="AH4" s="71">
        <v>0.094</v>
      </c>
      <c r="AI4" s="71">
        <v>0.052</v>
      </c>
      <c r="AJ4" s="71">
        <v>0.065</v>
      </c>
      <c r="AK4" s="71">
        <v>0.07</v>
      </c>
      <c r="AL4" s="71">
        <v>0.097</v>
      </c>
      <c r="AM4" s="71">
        <v>0.046</v>
      </c>
      <c r="AN4" s="71">
        <v>0.09</v>
      </c>
      <c r="AO4" s="72">
        <f>SUM(AC4:AN4)</f>
        <v>1.0</v>
      </c>
      <c r="AP4" s="72">
        <f>SUM(AI4:AN4)</f>
        <v>0.42</v>
      </c>
      <c r="AQ4" s="72">
        <f>AP4*1.1</f>
        <v>0.462</v>
      </c>
      <c r="AR4" s="71">
        <v>0.073</v>
      </c>
      <c r="AS4" s="71">
        <v>0.057</v>
      </c>
      <c r="AT4" s="71">
        <v>0.114</v>
      </c>
      <c r="AU4" s="71">
        <v>0.127</v>
      </c>
      <c r="AV4" s="71">
        <v>0.115</v>
      </c>
      <c r="AW4" s="71">
        <v>0.094</v>
      </c>
      <c r="AX4" s="71"/>
      <c r="BC4" s="69"/>
      <c r="BE4" s="70"/>
    </row>
    <row r="5" customHeight="1" ht="13.0">
      <c r="A5" s="73"/>
      <c r="B5" s="73"/>
      <c r="C5" s="73"/>
      <c r="D5" s="73"/>
      <c r="E5" s="74">
        <v>45891</v>
      </c>
      <c r="F5" s="74">
        <v>45922</v>
      </c>
      <c r="G5" s="74">
        <v>45952</v>
      </c>
      <c r="H5" s="74">
        <v>45983</v>
      </c>
      <c r="I5" s="74">
        <v>46013</v>
      </c>
      <c r="J5" s="74">
        <v>45680</v>
      </c>
      <c r="K5" s="74">
        <v>45711</v>
      </c>
      <c r="L5" s="74">
        <v>45739</v>
      </c>
      <c r="M5" s="74">
        <v>45770</v>
      </c>
      <c r="N5" s="74">
        <v>45800</v>
      </c>
      <c r="O5" s="74">
        <v>45831</v>
      </c>
      <c r="P5" s="74">
        <v>45861</v>
      </c>
      <c r="Q5" s="75">
        <v>45892</v>
      </c>
      <c r="R5" s="75">
        <v>45923</v>
      </c>
      <c r="S5" s="75">
        <v>45953</v>
      </c>
      <c r="T5" s="75">
        <v>45984</v>
      </c>
      <c r="U5" s="75">
        <v>46014</v>
      </c>
      <c r="V5" s="75">
        <v>45681</v>
      </c>
      <c r="W5" s="75">
        <v>45712</v>
      </c>
      <c r="X5" s="75">
        <v>45740</v>
      </c>
      <c r="Y5" s="75">
        <v>45771</v>
      </c>
      <c r="Z5" s="75">
        <v>45801</v>
      </c>
      <c r="AA5" s="75">
        <v>45832</v>
      </c>
      <c r="AB5" s="75">
        <v>45862</v>
      </c>
      <c r="AC5" s="76">
        <v>45893</v>
      </c>
      <c r="AD5" s="76">
        <v>45924</v>
      </c>
      <c r="AE5" s="76">
        <v>45954</v>
      </c>
      <c r="AF5" s="76">
        <v>45985</v>
      </c>
      <c r="AG5" s="76">
        <v>46015</v>
      </c>
      <c r="AH5" s="76">
        <v>45682</v>
      </c>
      <c r="AI5" s="76">
        <v>45713</v>
      </c>
      <c r="AJ5" s="76">
        <v>45741</v>
      </c>
      <c r="AK5" s="76">
        <v>45772</v>
      </c>
      <c r="AL5" s="76">
        <v>45802</v>
      </c>
      <c r="AM5" s="76">
        <v>45833</v>
      </c>
      <c r="AN5" s="76">
        <v>45863</v>
      </c>
      <c r="AO5" s="77" t="s">
        <v>1</v>
      </c>
      <c r="AP5" s="77" t="s">
        <v>175</v>
      </c>
      <c r="AQ5" s="78" t="s">
        <v>175</v>
      </c>
      <c r="AR5" s="76">
        <v>45894</v>
      </c>
      <c r="AS5" s="76">
        <v>45925</v>
      </c>
      <c r="AT5" s="76">
        <v>45955</v>
      </c>
      <c r="AU5" s="76">
        <v>45986</v>
      </c>
      <c r="AV5" s="76">
        <v>46016</v>
      </c>
      <c r="AW5" s="76">
        <v>45683</v>
      </c>
      <c r="AX5" s="73" t="s">
        <v>3</v>
      </c>
      <c r="AY5" s="73" t="s">
        <v>3</v>
      </c>
      <c r="AZ5" s="73" t="s">
        <v>3</v>
      </c>
      <c r="BA5" s="73" t="s">
        <v>3</v>
      </c>
      <c r="BB5" s="79" t="s">
        <v>3</v>
      </c>
      <c r="BC5" s="73" t="s">
        <v>3</v>
      </c>
      <c r="BD5" s="80" t="s">
        <v>3</v>
      </c>
      <c r="BE5" s="81"/>
      <c r="BF5" s="73" t="s">
        <v>5</v>
      </c>
      <c r="BG5" s="73" t="s">
        <v>6</v>
      </c>
      <c r="BH5" s="73"/>
      <c r="BI5" s="73"/>
      <c r="BJ5" s="73" t="s">
        <v>7</v>
      </c>
      <c r="BK5" s="73"/>
      <c r="BL5" s="73"/>
      <c r="BM5" s="73" t="s">
        <v>8</v>
      </c>
      <c r="BN5" s="73"/>
      <c r="BO5" s="73"/>
      <c r="BP5" s="73" t="s">
        <v>9</v>
      </c>
      <c r="BQ5" s="73"/>
      <c r="BR5" s="73"/>
      <c r="BS5" s="73" t="s">
        <v>10</v>
      </c>
      <c r="BT5" s="73"/>
      <c r="BU5" s="73"/>
      <c r="BV5" s="82">
        <v>46023</v>
      </c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AMB5" s="83"/>
      <c r="AMC5" s="83"/>
      <c r="AMD5" s="83"/>
      <c r="AME5" s="83"/>
      <c r="AMF5" s="84"/>
    </row>
    <row r="6" ht="43.0">
      <c r="A6" s="85" t="s">
        <v>12</v>
      </c>
      <c r="B6" s="85" t="s">
        <v>13</v>
      </c>
      <c r="C6" s="85" t="s">
        <v>14</v>
      </c>
      <c r="D6" s="86" t="s">
        <v>15</v>
      </c>
      <c r="E6" s="87" t="s">
        <v>16</v>
      </c>
      <c r="F6" s="87" t="s">
        <v>16</v>
      </c>
      <c r="G6" s="87" t="s">
        <v>16</v>
      </c>
      <c r="H6" s="87" t="s">
        <v>16</v>
      </c>
      <c r="I6" s="87" t="s">
        <v>16</v>
      </c>
      <c r="J6" s="87" t="s">
        <v>16</v>
      </c>
      <c r="K6" s="87" t="s">
        <v>16</v>
      </c>
      <c r="L6" s="87" t="s">
        <v>16</v>
      </c>
      <c r="M6" s="87" t="s">
        <v>16</v>
      </c>
      <c r="N6" s="87" t="s">
        <v>16</v>
      </c>
      <c r="O6" s="87" t="s">
        <v>16</v>
      </c>
      <c r="P6" s="87" t="s">
        <v>16</v>
      </c>
      <c r="Q6" s="87" t="s">
        <v>16</v>
      </c>
      <c r="R6" s="87" t="s">
        <v>16</v>
      </c>
      <c r="S6" s="87" t="s">
        <v>16</v>
      </c>
      <c r="T6" s="87" t="s">
        <v>16</v>
      </c>
      <c r="U6" s="87" t="s">
        <v>16</v>
      </c>
      <c r="V6" s="87" t="s">
        <v>16</v>
      </c>
      <c r="W6" s="87" t="s">
        <v>16</v>
      </c>
      <c r="X6" s="87" t="s">
        <v>16</v>
      </c>
      <c r="Y6" s="87" t="s">
        <v>16</v>
      </c>
      <c r="Z6" s="87" t="s">
        <v>16</v>
      </c>
      <c r="AA6" s="87" t="s">
        <v>16</v>
      </c>
      <c r="AB6" s="87" t="s">
        <v>16</v>
      </c>
      <c r="AC6" s="87" t="s">
        <v>16</v>
      </c>
      <c r="AD6" s="87" t="s">
        <v>16</v>
      </c>
      <c r="AE6" s="87" t="s">
        <v>16</v>
      </c>
      <c r="AF6" s="87" t="s">
        <v>16</v>
      </c>
      <c r="AG6" s="87" t="s">
        <v>16</v>
      </c>
      <c r="AH6" s="87" t="s">
        <v>16</v>
      </c>
      <c r="AI6" s="87" t="s">
        <v>16</v>
      </c>
      <c r="AJ6" s="87" t="s">
        <v>16</v>
      </c>
      <c r="AK6" s="87" t="s">
        <v>16</v>
      </c>
      <c r="AL6" s="87" t="s">
        <v>16</v>
      </c>
      <c r="AM6" s="87" t="s">
        <v>16</v>
      </c>
      <c r="AN6" s="87" t="s">
        <v>16</v>
      </c>
      <c r="AO6" s="88" t="s">
        <v>3</v>
      </c>
      <c r="AP6" s="88" t="s">
        <v>3</v>
      </c>
      <c r="AQ6" s="88" t="s">
        <v>17</v>
      </c>
      <c r="AR6" s="89" t="s">
        <v>18</v>
      </c>
      <c r="AS6" s="89" t="s">
        <v>18</v>
      </c>
      <c r="AT6" s="89" t="s">
        <v>18</v>
      </c>
      <c r="AU6" s="89" t="s">
        <v>18</v>
      </c>
      <c r="AV6" s="89" t="s">
        <v>18</v>
      </c>
      <c r="AW6" s="89" t="s">
        <v>18</v>
      </c>
      <c r="AX6" s="89" t="s">
        <v>18</v>
      </c>
      <c r="AY6" s="87" t="s">
        <v>176</v>
      </c>
      <c r="AZ6" s="90" t="s">
        <v>177</v>
      </c>
      <c r="BA6" s="90" t="s">
        <v>178</v>
      </c>
      <c r="BB6" s="91" t="s">
        <v>22</v>
      </c>
      <c r="BC6" s="87" t="s">
        <v>23</v>
      </c>
      <c r="BD6" s="92" t="s">
        <v>24</v>
      </c>
      <c r="BE6" s="85" t="s">
        <v>25</v>
      </c>
      <c r="BF6" s="87" t="s">
        <v>26</v>
      </c>
      <c r="BG6" s="87" t="s">
        <v>18</v>
      </c>
      <c r="BH6" s="87" t="s">
        <v>27</v>
      </c>
      <c r="BI6" s="87" t="s">
        <v>28</v>
      </c>
      <c r="BJ6" s="87" t="s">
        <v>18</v>
      </c>
      <c r="BK6" s="87" t="s">
        <v>27</v>
      </c>
      <c r="BL6" s="87" t="s">
        <v>28</v>
      </c>
      <c r="BM6" s="87" t="s">
        <v>18</v>
      </c>
      <c r="BN6" s="87" t="s">
        <v>27</v>
      </c>
      <c r="BO6" s="87" t="s">
        <v>28</v>
      </c>
      <c r="BP6" s="87" t="s">
        <v>18</v>
      </c>
      <c r="BQ6" s="87" t="s">
        <v>27</v>
      </c>
      <c r="BR6" s="87" t="s">
        <v>28</v>
      </c>
      <c r="BS6" s="87" t="s">
        <v>18</v>
      </c>
      <c r="BT6" s="87" t="s">
        <v>27</v>
      </c>
      <c r="BU6" s="87" t="s">
        <v>28</v>
      </c>
      <c r="BV6" s="87" t="s">
        <v>18</v>
      </c>
      <c r="BW6" s="87" t="s">
        <v>27</v>
      </c>
      <c r="BX6" s="87" t="s">
        <v>28</v>
      </c>
      <c r="BY6" s="84"/>
      <c r="BZ6" s="84"/>
      <c r="CA6" s="84"/>
      <c r="CB6" s="84"/>
      <c r="CC6" s="84"/>
      <c r="CD6" s="84"/>
      <c r="CE6" s="84"/>
      <c r="CF6" s="84"/>
      <c r="CG6" s="84"/>
      <c r="CH6" s="84"/>
      <c r="CI6" s="84"/>
      <c r="CJ6" s="84"/>
      <c r="CK6" s="84"/>
      <c r="CL6" s="84"/>
      <c r="CM6" s="84"/>
      <c r="CN6" s="84"/>
      <c r="CO6" s="84"/>
      <c r="CP6" s="84"/>
      <c r="CQ6" s="84"/>
      <c r="CR6" s="84"/>
      <c r="CS6" s="84"/>
      <c r="CT6" s="84"/>
      <c r="CU6" s="84"/>
      <c r="CV6" s="84"/>
      <c r="CW6" s="84"/>
      <c r="CX6" s="84"/>
    </row>
    <row r="7" ht="14.0">
      <c r="A7" s="93" t="s">
        <v>179</v>
      </c>
      <c r="B7" s="93" t="s">
        <v>180</v>
      </c>
      <c r="C7" s="93" t="s">
        <v>181</v>
      </c>
      <c r="D7" s="93" t="s">
        <v>182</v>
      </c>
      <c r="E7" s="93">
        <v>0.0</v>
      </c>
      <c r="F7" s="93">
        <v>0.0</v>
      </c>
      <c r="G7" s="93">
        <v>0.0</v>
      </c>
      <c r="H7" s="93">
        <v>0.0</v>
      </c>
      <c r="I7" s="93">
        <v>0.0</v>
      </c>
      <c r="J7" s="93">
        <v>0.0</v>
      </c>
      <c r="K7" s="93">
        <v>0.0</v>
      </c>
      <c r="L7" s="93">
        <v>0.0</v>
      </c>
      <c r="M7" s="93">
        <v>0.0</v>
      </c>
      <c r="N7" s="93">
        <v>0.0</v>
      </c>
      <c r="O7" s="93">
        <v>0.0</v>
      </c>
      <c r="P7" s="93">
        <v>0.0</v>
      </c>
      <c r="Q7" s="93">
        <v>0.0</v>
      </c>
      <c r="R7" s="93">
        <v>0.0</v>
      </c>
      <c r="S7" s="93">
        <v>0.0</v>
      </c>
      <c r="T7" s="93">
        <v>0.0</v>
      </c>
      <c r="U7" s="93">
        <v>0.0</v>
      </c>
      <c r="V7" s="93">
        <v>0.0</v>
      </c>
      <c r="W7" s="93">
        <v>0.0</v>
      </c>
      <c r="X7" s="93">
        <v>0.0</v>
      </c>
      <c r="Y7" s="93">
        <v>0.0</v>
      </c>
      <c r="Z7" s="93">
        <v>0.0</v>
      </c>
      <c r="AA7" s="93">
        <v>0.0</v>
      </c>
      <c r="AB7" s="93">
        <v>0.0</v>
      </c>
      <c r="AC7" s="93">
        <v>0.0</v>
      </c>
      <c r="AD7" s="93">
        <v>0.0</v>
      </c>
      <c r="AE7" s="93">
        <v>0.0</v>
      </c>
      <c r="AF7" s="93">
        <v>0.0</v>
      </c>
      <c r="AG7" s="93">
        <v>0.0</v>
      </c>
      <c r="AH7" s="93">
        <v>0.0</v>
      </c>
      <c r="AI7" s="93">
        <v>0.0</v>
      </c>
      <c r="AJ7" s="93">
        <v>12.0</v>
      </c>
      <c r="AK7" s="93">
        <v>164.0</v>
      </c>
      <c r="AL7" s="93">
        <v>120.0</v>
      </c>
      <c r="AM7" s="93">
        <v>48.0</v>
      </c>
      <c r="AN7" s="93">
        <v>36.0</v>
      </c>
      <c r="AO7" s="69">
        <f t="shared" ref="AO7:AO119" si="3">SUM(AC7:AN7)</f>
        <v>380.0</v>
      </c>
      <c r="AP7" s="69">
        <f t="shared" ref="AP7:AP119" si="4">SUM(AI7:AN7)</f>
        <v>380.0</v>
      </c>
      <c r="AQ7" s="69">
        <f t="shared" ref="AQ7:AQ119" si="5">AP7*1.1</f>
        <v>418.0</v>
      </c>
      <c r="AR7" s="94">
        <f t="shared" ref="AR7:AR8" si="6">AQ7*$AR$4/$AQ$4</f>
        <v>66.047619047619</v>
      </c>
      <c r="AS7" s="94">
        <f t="shared" ref="AS7:AS8" si="7">AQ7*$AS$4/$AQ$4</f>
        <v>51.5714285714286</v>
      </c>
      <c r="AT7" s="94">
        <f t="shared" ref="AT7:AT8" si="8">AQ7*$AT$4/$AQ$4</f>
        <v>103.142857142857</v>
      </c>
      <c r="AU7" s="94">
        <f t="shared" ref="AU7:AU8" si="9">AQ7*$AU$4/$AQ$4</f>
        <v>114.904761904761</v>
      </c>
      <c r="AV7" s="94">
        <f t="shared" ref="AV7:AV8" si="10">AQ7*$AV$4/$AQ$4</f>
        <v>104.047619047619</v>
      </c>
      <c r="AW7" s="94">
        <f t="shared" ref="AW7:AW8" si="11">AQ7*$AW$4/$AQ$4</f>
        <v>85.047619047619</v>
      </c>
      <c r="AX7" s="64">
        <f t="shared" ref="AX7:AX119" si="12">SUM(AR7:AW7)</f>
        <v>524.761904761903</v>
      </c>
      <c r="AY7" s="64" t="e">
        <f t="shared" ref="AY7:AY119" si="13">VLOOKUP(D7,JULY31SOH,3,false)</f>
        <v>#REF!</v>
      </c>
      <c r="BB7" s="69" t="e">
        <f t="shared" ref="BB7:BB13" si="14">AY7+AZ7+BA7-AX7</f>
        <v>#REF!</v>
      </c>
      <c r="BC7" s="69"/>
      <c r="BE7" s="70"/>
      <c r="BF7" s="95" t="e">
        <f t="shared" ref="BF7:BF119" si="15">AY7</f>
        <v>#REF!</v>
      </c>
      <c r="BG7" s="65">
        <f t="shared" ref="BG7:BG119" si="16">AR7</f>
        <v>66.047619047619</v>
      </c>
      <c r="BH7" s="65">
        <f t="shared" ref="BH7:BH119" si="17">AZ7</f>
      </c>
      <c r="BI7" s="65" t="e">
        <f t="shared" ref="BI7:BI119" si="18">BF7+BH7-BG7</f>
        <v>#REF!</v>
      </c>
      <c r="BJ7" s="65">
        <f t="shared" ref="BJ7:BJ119" si="19">AS7</f>
        <v>51.5714285714286</v>
      </c>
      <c r="BK7" s="65">
        <f t="shared" ref="BK7:BK119" si="20">BA7</f>
      </c>
      <c r="BL7" s="65" t="e">
        <f t="shared" ref="BL7:BL119" si="21">BI7+BK7-BJ7</f>
        <v>#REF!</v>
      </c>
      <c r="BM7" s="65">
        <f t="shared" ref="BM7:BM119" si="22">AT7</f>
        <v>103.142857142857</v>
      </c>
      <c r="BN7" s="65"/>
      <c r="BO7" s="65" t="e">
        <f t="shared" ref="BO7:BO119" si="23">BL7+BN7-BM7</f>
        <v>#REF!</v>
      </c>
      <c r="BP7" s="65">
        <f t="shared" ref="BP7:BP119" si="24">AU7</f>
        <v>114.904761904761</v>
      </c>
      <c r="BQ7" s="65"/>
      <c r="BR7" s="65" t="e">
        <f t="shared" ref="BR7:BR119" si="25">BO7+BQ7-BP7</f>
        <v>#REF!</v>
      </c>
      <c r="BS7" s="65">
        <f t="shared" ref="BS7:BS119" si="26">AV7</f>
        <v>104.047619047619</v>
      </c>
      <c r="BT7" s="65"/>
      <c r="BU7" s="65" t="e">
        <f t="shared" ref="BU7:BU119" si="27">BR7+BT7-BS7</f>
        <v>#REF!</v>
      </c>
      <c r="BV7" s="65">
        <f t="shared" ref="BV7:BV119" si="28">AW7</f>
        <v>85.047619047619</v>
      </c>
      <c r="BW7" s="65"/>
      <c r="BX7" s="65" t="e">
        <f t="shared" ref="BX7:BX119" si="29">BU7+BW7-BV7</f>
        <v>#REF!</v>
      </c>
    </row>
    <row r="8" ht="14.0">
      <c r="A8" s="93" t="s">
        <v>179</v>
      </c>
      <c r="B8" s="93" t="s">
        <v>180</v>
      </c>
      <c r="C8" s="93" t="s">
        <v>183</v>
      </c>
      <c r="D8" s="93" t="s">
        <v>184</v>
      </c>
      <c r="E8" s="93">
        <v>0.0</v>
      </c>
      <c r="F8" s="93">
        <v>0.0</v>
      </c>
      <c r="G8" s="93">
        <v>0.0</v>
      </c>
      <c r="H8" s="93">
        <v>0.0</v>
      </c>
      <c r="I8" s="93">
        <v>0.0</v>
      </c>
      <c r="J8" s="93">
        <v>0.0</v>
      </c>
      <c r="K8" s="93">
        <v>0.0</v>
      </c>
      <c r="L8" s="93">
        <v>0.0</v>
      </c>
      <c r="M8" s="93">
        <v>0.0</v>
      </c>
      <c r="N8" s="93">
        <v>0.0</v>
      </c>
      <c r="O8" s="93">
        <v>0.0</v>
      </c>
      <c r="P8" s="93">
        <v>0.0</v>
      </c>
      <c r="Q8" s="93">
        <v>0.0</v>
      </c>
      <c r="R8" s="93">
        <v>0.0</v>
      </c>
      <c r="S8" s="93">
        <v>0.0</v>
      </c>
      <c r="T8" s="93">
        <v>0.0</v>
      </c>
      <c r="U8" s="93">
        <v>0.0</v>
      </c>
      <c r="V8" s="93">
        <v>0.0</v>
      </c>
      <c r="W8" s="93">
        <v>0.0</v>
      </c>
      <c r="X8" s="93">
        <v>0.0</v>
      </c>
      <c r="Y8" s="93">
        <v>0.0</v>
      </c>
      <c r="Z8" s="93">
        <v>0.0</v>
      </c>
      <c r="AA8" s="93">
        <v>0.0</v>
      </c>
      <c r="AB8" s="93">
        <v>0.0</v>
      </c>
      <c r="AC8" s="93">
        <v>0.0</v>
      </c>
      <c r="AD8" s="93">
        <v>0.0</v>
      </c>
      <c r="AE8" s="93">
        <v>0.0</v>
      </c>
      <c r="AF8" s="93">
        <v>0.0</v>
      </c>
      <c r="AG8" s="93">
        <v>0.0</v>
      </c>
      <c r="AH8" s="93">
        <v>0.0</v>
      </c>
      <c r="AI8" s="93">
        <v>0.0</v>
      </c>
      <c r="AJ8" s="93">
        <v>6.0</v>
      </c>
      <c r="AK8" s="93">
        <v>146.0</v>
      </c>
      <c r="AL8" s="93">
        <v>60.0</v>
      </c>
      <c r="AM8" s="93">
        <v>36.0</v>
      </c>
      <c r="AN8" s="93">
        <v>18.0</v>
      </c>
      <c r="AO8" s="69">
        <f t="shared" si="3"/>
        <v>266.0</v>
      </c>
      <c r="AP8" s="69">
        <f t="shared" si="4"/>
        <v>266.0</v>
      </c>
      <c r="AQ8" s="69">
        <f t="shared" si="5"/>
        <v>292.6</v>
      </c>
      <c r="AR8" s="96">
        <f t="shared" si="6"/>
        <v>46.2333333333333</v>
      </c>
      <c r="AS8" s="96">
        <f t="shared" si="7"/>
        <v>36.1</v>
      </c>
      <c r="AT8" s="96">
        <f t="shared" si="8"/>
        <v>72.2</v>
      </c>
      <c r="AU8" s="96">
        <f t="shared" si="9"/>
        <v>80.4333333333333</v>
      </c>
      <c r="AV8" s="96">
        <f t="shared" si="10"/>
        <v>72.8333333333333</v>
      </c>
      <c r="AW8" s="96">
        <f t="shared" si="11"/>
        <v>59.5333333333333</v>
      </c>
      <c r="AX8" s="64">
        <f t="shared" si="12"/>
        <v>367.333333333333</v>
      </c>
      <c r="AY8" s="64" t="e">
        <f t="shared" si="13"/>
        <v>#REF!</v>
      </c>
      <c r="BB8" s="69" t="e">
        <f t="shared" si="14"/>
        <v>#REF!</v>
      </c>
      <c r="BC8" s="69"/>
      <c r="BE8" s="70"/>
      <c r="BF8" s="95" t="e">
        <f t="shared" si="15"/>
        <v>#REF!</v>
      </c>
      <c r="BG8" s="65">
        <f t="shared" si="16"/>
        <v>46.2333333333333</v>
      </c>
      <c r="BH8" s="65">
        <f t="shared" si="17"/>
      </c>
      <c r="BI8" s="65" t="e">
        <f t="shared" si="18"/>
        <v>#REF!</v>
      </c>
      <c r="BJ8" s="65">
        <f t="shared" si="19"/>
        <v>36.1</v>
      </c>
      <c r="BK8" s="65">
        <f t="shared" si="20"/>
      </c>
      <c r="BL8" s="65" t="e">
        <f t="shared" si="21"/>
        <v>#REF!</v>
      </c>
      <c r="BM8" s="65">
        <f t="shared" si="22"/>
        <v>72.2</v>
      </c>
      <c r="BN8" s="65"/>
      <c r="BO8" s="65" t="e">
        <f t="shared" si="23"/>
        <v>#REF!</v>
      </c>
      <c r="BP8" s="65">
        <f t="shared" si="24"/>
        <v>80.4333333333333</v>
      </c>
      <c r="BQ8" s="65"/>
      <c r="BR8" s="65" t="e">
        <f t="shared" si="25"/>
        <v>#REF!</v>
      </c>
      <c r="BS8" s="65">
        <f t="shared" si="26"/>
        <v>72.8333333333333</v>
      </c>
      <c r="BT8" s="65"/>
      <c r="BU8" s="65" t="e">
        <f t="shared" si="27"/>
        <v>#REF!</v>
      </c>
      <c r="BV8" s="65">
        <f t="shared" si="28"/>
        <v>59.5333333333333</v>
      </c>
      <c r="BW8" s="65"/>
      <c r="BX8" s="65" t="e">
        <f t="shared" si="29"/>
        <v>#REF!</v>
      </c>
    </row>
    <row r="9" ht="14.0">
      <c r="A9" s="93" t="s">
        <v>179</v>
      </c>
      <c r="B9" s="93" t="s">
        <v>33</v>
      </c>
      <c r="C9" s="93" t="s">
        <v>185</v>
      </c>
      <c r="D9" s="93" t="s">
        <v>186</v>
      </c>
      <c r="E9" s="93">
        <v>0.0</v>
      </c>
      <c r="F9" s="93">
        <v>0.0</v>
      </c>
      <c r="G9" s="93">
        <v>0.0</v>
      </c>
      <c r="H9" s="93">
        <v>0.0</v>
      </c>
      <c r="I9" s="93">
        <v>0.0</v>
      </c>
      <c r="J9" s="93">
        <v>0.0</v>
      </c>
      <c r="K9" s="93">
        <v>25.0</v>
      </c>
      <c r="L9" s="93">
        <v>13.0</v>
      </c>
      <c r="M9" s="93">
        <v>8.0</v>
      </c>
      <c r="N9" s="93">
        <v>8.0</v>
      </c>
      <c r="O9" s="93">
        <v>11.0</v>
      </c>
      <c r="P9" s="93">
        <v>8.0</v>
      </c>
      <c r="Q9" s="93">
        <v>13.0</v>
      </c>
      <c r="R9" s="93">
        <v>14.0</v>
      </c>
      <c r="S9" s="93">
        <v>20.0</v>
      </c>
      <c r="T9" s="93">
        <v>5.0</v>
      </c>
      <c r="U9" s="93">
        <v>12.0</v>
      </c>
      <c r="V9" s="93">
        <v>8.0</v>
      </c>
      <c r="W9" s="93">
        <v>6.0</v>
      </c>
      <c r="X9" s="93">
        <v>10.0</v>
      </c>
      <c r="Y9" s="93">
        <v>12.0</v>
      </c>
      <c r="Z9" s="93">
        <v>4.0</v>
      </c>
      <c r="AA9" s="93">
        <v>13.0</v>
      </c>
      <c r="AB9" s="93">
        <v>1.0</v>
      </c>
      <c r="AC9" s="93">
        <v>8.0</v>
      </c>
      <c r="AD9" s="93">
        <v>0.0</v>
      </c>
      <c r="AE9" s="93">
        <v>4.0</v>
      </c>
      <c r="AF9" s="93">
        <v>4.0</v>
      </c>
      <c r="AG9" s="93">
        <v>0.0</v>
      </c>
      <c r="AH9" s="93">
        <v>14.0</v>
      </c>
      <c r="AI9" s="93">
        <v>0.0</v>
      </c>
      <c r="AJ9" s="93">
        <v>0.0</v>
      </c>
      <c r="AK9" s="93">
        <v>6.0</v>
      </c>
      <c r="AL9" s="93">
        <v>8.0</v>
      </c>
      <c r="AM9" s="93">
        <v>0.0</v>
      </c>
      <c r="AN9" s="93">
        <v>6.0</v>
      </c>
      <c r="AO9" s="69">
        <f t="shared" si="3"/>
        <v>50.0</v>
      </c>
      <c r="AP9" s="69">
        <f t="shared" si="4"/>
        <v>20.0</v>
      </c>
      <c r="AQ9" s="69">
        <f t="shared" si="5"/>
        <v>22.0</v>
      </c>
      <c r="AR9" s="47">
        <f t="shared" ref="AR9:AR13" si="30">AQ9*$AR$4/$AQ$4+1*$AR$14</f>
        <v>5.4761904761904</v>
      </c>
      <c r="AS9" s="47">
        <f t="shared" ref="AS9:AS13" si="31">AQ9*$AS$4/$AQ$4+1*$AS$14</f>
        <v>3.71428571428571</v>
      </c>
      <c r="AT9" s="47">
        <f t="shared" ref="AT9:AT13" si="32">AQ9*$AT$4/$AQ$4+1*$AT$14</f>
        <v>7.42857142857142</v>
      </c>
      <c r="AU9" s="47">
        <f t="shared" ref="AU9:AU13" si="33">AQ9*$AU$4/$AQ$4+1*$AU$14</f>
        <v>9.04761904761904</v>
      </c>
      <c r="AV9" s="47">
        <f t="shared" ref="AV9:AV13" si="34">AQ9*$AV$4/$AQ$4+1*$AV$14</f>
        <v>7.47619047619048</v>
      </c>
      <c r="AW9" s="47">
        <f t="shared" ref="AW9:AW13" si="35">AQ9*$AW$4/$AQ$4+1*$AW$14</f>
        <v>6.47619047619048</v>
      </c>
      <c r="AX9" s="64">
        <f t="shared" si="12"/>
        <v>39.6190476190475</v>
      </c>
      <c r="AY9" s="64" t="e">
        <f t="shared" si="13"/>
        <v>#REF!</v>
      </c>
      <c r="BB9" s="69" t="e">
        <f t="shared" si="14"/>
        <v>#REF!</v>
      </c>
      <c r="BC9" s="69"/>
      <c r="BE9" s="70"/>
      <c r="BF9" s="95" t="e">
        <f t="shared" si="15"/>
        <v>#REF!</v>
      </c>
      <c r="BG9" s="65">
        <f t="shared" si="16"/>
        <v>5.4761904761904</v>
      </c>
      <c r="BH9" s="65">
        <f t="shared" si="17"/>
      </c>
      <c r="BI9" s="65" t="e">
        <f t="shared" si="18"/>
        <v>#REF!</v>
      </c>
      <c r="BJ9" s="65">
        <f t="shared" si="19"/>
        <v>3.71428571428571</v>
      </c>
      <c r="BK9" s="65">
        <f t="shared" si="20"/>
      </c>
      <c r="BL9" s="65" t="e">
        <f t="shared" si="21"/>
        <v>#REF!</v>
      </c>
      <c r="BM9" s="65">
        <f t="shared" si="22"/>
        <v>7.42857142857142</v>
      </c>
      <c r="BN9" s="65"/>
      <c r="BO9" s="65" t="e">
        <f t="shared" si="23"/>
        <v>#REF!</v>
      </c>
      <c r="BP9" s="65">
        <f t="shared" si="24"/>
        <v>9.04761904761904</v>
      </c>
      <c r="BQ9" s="65"/>
      <c r="BR9" s="65" t="e">
        <f t="shared" si="25"/>
        <v>#REF!</v>
      </c>
      <c r="BS9" s="65">
        <f t="shared" si="26"/>
        <v>7.47619047619048</v>
      </c>
      <c r="BT9" s="65"/>
      <c r="BU9" s="65" t="e">
        <f t="shared" si="27"/>
        <v>#REF!</v>
      </c>
      <c r="BV9" s="65">
        <f t="shared" si="28"/>
        <v>6.47619047619048</v>
      </c>
      <c r="BW9" s="65"/>
      <c r="BX9" s="65" t="e">
        <f t="shared" si="29"/>
        <v>#REF!</v>
      </c>
    </row>
    <row r="10" ht="14.0">
      <c r="A10" s="93" t="s">
        <v>179</v>
      </c>
      <c r="B10" s="93" t="s">
        <v>33</v>
      </c>
      <c r="C10" s="93" t="s">
        <v>187</v>
      </c>
      <c r="D10" s="93" t="s">
        <v>188</v>
      </c>
      <c r="E10" s="93">
        <v>0.0</v>
      </c>
      <c r="F10" s="93">
        <v>0.0</v>
      </c>
      <c r="G10" s="93">
        <v>0.0</v>
      </c>
      <c r="H10" s="93">
        <v>0.0</v>
      </c>
      <c r="I10" s="93">
        <v>0.0</v>
      </c>
      <c r="J10" s="93">
        <v>0.0</v>
      </c>
      <c r="K10" s="93">
        <v>0.0</v>
      </c>
      <c r="L10" s="93">
        <v>0.0</v>
      </c>
      <c r="M10" s="93">
        <v>0.0</v>
      </c>
      <c r="N10" s="93">
        <v>0.0</v>
      </c>
      <c r="O10" s="93">
        <v>0.0</v>
      </c>
      <c r="P10" s="93">
        <v>0.0</v>
      </c>
      <c r="Q10" s="93">
        <v>0.0</v>
      </c>
      <c r="R10" s="93">
        <v>0.0</v>
      </c>
      <c r="S10" s="93">
        <v>0.0</v>
      </c>
      <c r="T10" s="93">
        <v>0.0</v>
      </c>
      <c r="U10" s="93">
        <v>0.0</v>
      </c>
      <c r="V10" s="93">
        <v>0.0</v>
      </c>
      <c r="W10" s="93">
        <v>0.0</v>
      </c>
      <c r="X10" s="93">
        <v>0.0</v>
      </c>
      <c r="Y10" s="93">
        <v>0.0</v>
      </c>
      <c r="Z10" s="93">
        <v>0.0</v>
      </c>
      <c r="AA10" s="93">
        <v>0.0</v>
      </c>
      <c r="AB10" s="93">
        <v>0.0</v>
      </c>
      <c r="AC10" s="93">
        <v>0.0</v>
      </c>
      <c r="AD10" s="93">
        <v>0.0</v>
      </c>
      <c r="AE10" s="93">
        <v>0.0</v>
      </c>
      <c r="AF10" s="93">
        <v>16.0</v>
      </c>
      <c r="AG10" s="93">
        <v>20.0</v>
      </c>
      <c r="AH10" s="93">
        <v>8.0</v>
      </c>
      <c r="AI10" s="93">
        <v>20.0</v>
      </c>
      <c r="AJ10" s="93">
        <v>23.0</v>
      </c>
      <c r="AK10" s="93">
        <v>22.0</v>
      </c>
      <c r="AL10" s="93">
        <v>12.0</v>
      </c>
      <c r="AM10" s="93">
        <v>12.0</v>
      </c>
      <c r="AN10" s="93">
        <v>10.0</v>
      </c>
      <c r="AO10" s="69">
        <f t="shared" si="3"/>
        <v>143.0</v>
      </c>
      <c r="AP10" s="69">
        <f t="shared" si="4"/>
        <v>99.0</v>
      </c>
      <c r="AQ10" s="69">
        <f t="shared" si="5"/>
        <v>108.9</v>
      </c>
      <c r="AR10" s="47">
        <f t="shared" si="30"/>
        <v>19.207142857142</v>
      </c>
      <c r="AS10" s="47">
        <f t="shared" si="31"/>
        <v>14.4357142857142</v>
      </c>
      <c r="AT10" s="47">
        <f t="shared" si="32"/>
        <v>28.8714285714286</v>
      </c>
      <c r="AU10" s="47">
        <f t="shared" si="33"/>
        <v>32.9357142857142</v>
      </c>
      <c r="AV10" s="47">
        <f t="shared" si="34"/>
        <v>29.1071428571429</v>
      </c>
      <c r="AW10" s="47">
        <f t="shared" si="35"/>
        <v>24.1571428571429</v>
      </c>
      <c r="AX10" s="64">
        <f t="shared" si="12"/>
        <v>148.714285714284</v>
      </c>
      <c r="AY10" s="64" t="e">
        <f t="shared" si="13"/>
        <v>#REF!</v>
      </c>
      <c r="BB10" s="69" t="e">
        <f t="shared" si="14"/>
        <v>#REF!</v>
      </c>
      <c r="BC10" s="69"/>
      <c r="BE10" s="70"/>
      <c r="BF10" s="95" t="e">
        <f t="shared" si="15"/>
        <v>#REF!</v>
      </c>
      <c r="BG10" s="65">
        <f t="shared" si="16"/>
        <v>19.207142857142</v>
      </c>
      <c r="BH10" s="65">
        <f t="shared" si="17"/>
      </c>
      <c r="BI10" s="65" t="e">
        <f t="shared" si="18"/>
        <v>#REF!</v>
      </c>
      <c r="BJ10" s="65">
        <f t="shared" si="19"/>
        <v>14.4357142857142</v>
      </c>
      <c r="BK10" s="65">
        <f t="shared" si="20"/>
      </c>
      <c r="BL10" s="65" t="e">
        <f t="shared" si="21"/>
        <v>#REF!</v>
      </c>
      <c r="BM10" s="65">
        <f t="shared" si="22"/>
        <v>28.8714285714286</v>
      </c>
      <c r="BN10" s="65"/>
      <c r="BO10" s="65" t="e">
        <f t="shared" si="23"/>
        <v>#REF!</v>
      </c>
      <c r="BP10" s="65">
        <f t="shared" si="24"/>
        <v>32.9357142857142</v>
      </c>
      <c r="BQ10" s="65"/>
      <c r="BR10" s="65" t="e">
        <f t="shared" si="25"/>
        <v>#REF!</v>
      </c>
      <c r="BS10" s="65">
        <f t="shared" si="26"/>
        <v>29.1071428571429</v>
      </c>
      <c r="BT10" s="65"/>
      <c r="BU10" s="65" t="e">
        <f t="shared" si="27"/>
        <v>#REF!</v>
      </c>
      <c r="BV10" s="65">
        <f t="shared" si="28"/>
        <v>24.1571428571429</v>
      </c>
      <c r="BW10" s="65"/>
      <c r="BX10" s="65" t="e">
        <f t="shared" si="29"/>
        <v>#REF!</v>
      </c>
    </row>
    <row r="11" ht="14.0">
      <c r="A11" s="93" t="s">
        <v>179</v>
      </c>
      <c r="B11" s="93" t="s">
        <v>33</v>
      </c>
      <c r="C11" s="93" t="s">
        <v>189</v>
      </c>
      <c r="D11" s="93" t="s">
        <v>190</v>
      </c>
      <c r="E11" s="93">
        <v>0.0</v>
      </c>
      <c r="F11" s="93">
        <v>0.0</v>
      </c>
      <c r="G11" s="93">
        <v>0.0</v>
      </c>
      <c r="H11" s="93">
        <v>0.0</v>
      </c>
      <c r="I11" s="93">
        <v>0.0</v>
      </c>
      <c r="J11" s="93">
        <v>0.0</v>
      </c>
      <c r="K11" s="93">
        <v>0.0</v>
      </c>
      <c r="L11" s="93">
        <v>0.0</v>
      </c>
      <c r="M11" s="93">
        <v>0.0</v>
      </c>
      <c r="N11" s="93">
        <v>0.0</v>
      </c>
      <c r="O11" s="93">
        <v>0.0</v>
      </c>
      <c r="P11" s="93">
        <v>0.0</v>
      </c>
      <c r="Q11" s="93">
        <v>0.0</v>
      </c>
      <c r="R11" s="93">
        <v>0.0</v>
      </c>
      <c r="S11" s="93">
        <v>0.0</v>
      </c>
      <c r="T11" s="93">
        <v>0.0</v>
      </c>
      <c r="U11" s="93">
        <v>0.0</v>
      </c>
      <c r="V11" s="93">
        <v>0.0</v>
      </c>
      <c r="W11" s="93">
        <v>0.0</v>
      </c>
      <c r="X11" s="93">
        <v>0.0</v>
      </c>
      <c r="Y11" s="93">
        <v>0.0</v>
      </c>
      <c r="Z11" s="93">
        <v>0.0</v>
      </c>
      <c r="AA11" s="93">
        <v>0.0</v>
      </c>
      <c r="AB11" s="93">
        <v>0.0</v>
      </c>
      <c r="AC11" s="93">
        <v>0.0</v>
      </c>
      <c r="AD11" s="93">
        <v>0.0</v>
      </c>
      <c r="AE11" s="93">
        <v>0.0</v>
      </c>
      <c r="AF11" s="93">
        <v>6.0</v>
      </c>
      <c r="AG11" s="93">
        <v>17.0</v>
      </c>
      <c r="AH11" s="93">
        <v>6.0</v>
      </c>
      <c r="AI11" s="93">
        <v>14.0</v>
      </c>
      <c r="AJ11" s="93">
        <v>18.0</v>
      </c>
      <c r="AK11" s="93">
        <v>27.0</v>
      </c>
      <c r="AL11" s="93">
        <v>8.0</v>
      </c>
      <c r="AM11" s="93">
        <v>10.0</v>
      </c>
      <c r="AN11" s="93">
        <v>12.0</v>
      </c>
      <c r="AO11" s="69">
        <f t="shared" si="3"/>
        <v>118.0</v>
      </c>
      <c r="AP11" s="69">
        <f t="shared" si="4"/>
        <v>89.0</v>
      </c>
      <c r="AQ11" s="69">
        <f t="shared" si="5"/>
        <v>97.9</v>
      </c>
      <c r="AR11" s="47">
        <f t="shared" si="30"/>
        <v>17.4690476190476</v>
      </c>
      <c r="AS11" s="47">
        <f t="shared" si="31"/>
        <v>13.0785714285714</v>
      </c>
      <c r="AT11" s="47">
        <f t="shared" si="32"/>
        <v>26.1571428571429</v>
      </c>
      <c r="AU11" s="47">
        <f t="shared" si="33"/>
        <v>29.9119047619048</v>
      </c>
      <c r="AV11" s="47">
        <f t="shared" si="34"/>
        <v>26.3690476190476</v>
      </c>
      <c r="AW11" s="47">
        <f t="shared" si="35"/>
        <v>21.9190476190476</v>
      </c>
      <c r="AX11" s="64">
        <f t="shared" si="12"/>
        <v>134.904761904761</v>
      </c>
      <c r="AY11" s="64" t="e">
        <f t="shared" si="13"/>
        <v>#REF!</v>
      </c>
      <c r="BB11" s="69" t="e">
        <f t="shared" si="14"/>
        <v>#REF!</v>
      </c>
      <c r="BC11" s="69"/>
      <c r="BE11" s="70"/>
      <c r="BF11" s="95" t="e">
        <f t="shared" si="15"/>
        <v>#REF!</v>
      </c>
      <c r="BG11" s="65">
        <f t="shared" si="16"/>
        <v>17.4690476190476</v>
      </c>
      <c r="BH11" s="65">
        <f t="shared" si="17"/>
      </c>
      <c r="BI11" s="65" t="e">
        <f t="shared" si="18"/>
        <v>#REF!</v>
      </c>
      <c r="BJ11" s="65">
        <f t="shared" si="19"/>
        <v>13.0785714285714</v>
      </c>
      <c r="BK11" s="65">
        <f t="shared" si="20"/>
      </c>
      <c r="BL11" s="65" t="e">
        <f t="shared" si="21"/>
        <v>#REF!</v>
      </c>
      <c r="BM11" s="65">
        <f t="shared" si="22"/>
        <v>26.1571428571429</v>
      </c>
      <c r="BN11" s="65"/>
      <c r="BO11" s="65" t="e">
        <f t="shared" si="23"/>
        <v>#REF!</v>
      </c>
      <c r="BP11" s="65">
        <f t="shared" si="24"/>
        <v>29.9119047619048</v>
      </c>
      <c r="BQ11" s="65"/>
      <c r="BR11" s="65" t="e">
        <f t="shared" si="25"/>
        <v>#REF!</v>
      </c>
      <c r="BS11" s="65">
        <f t="shared" si="26"/>
        <v>26.3690476190476</v>
      </c>
      <c r="BT11" s="65"/>
      <c r="BU11" s="65" t="e">
        <f t="shared" si="27"/>
        <v>#REF!</v>
      </c>
      <c r="BV11" s="65">
        <f t="shared" si="28"/>
        <v>21.9190476190476</v>
      </c>
      <c r="BW11" s="65"/>
      <c r="BX11" s="65" t="e">
        <f t="shared" si="29"/>
        <v>#REF!</v>
      </c>
    </row>
    <row r="12" ht="14.0">
      <c r="A12" s="93" t="s">
        <v>179</v>
      </c>
      <c r="B12" s="93" t="s">
        <v>33</v>
      </c>
      <c r="C12" s="93" t="s">
        <v>191</v>
      </c>
      <c r="D12" s="93" t="s">
        <v>192</v>
      </c>
      <c r="E12" s="93">
        <v>0.0</v>
      </c>
      <c r="F12" s="93">
        <v>0.0</v>
      </c>
      <c r="G12" s="93">
        <v>0.0</v>
      </c>
      <c r="H12" s="93">
        <v>0.0</v>
      </c>
      <c r="I12" s="93">
        <v>0.0</v>
      </c>
      <c r="J12" s="93">
        <v>0.0</v>
      </c>
      <c r="K12" s="93">
        <v>0.0</v>
      </c>
      <c r="L12" s="93">
        <v>0.0</v>
      </c>
      <c r="M12" s="93">
        <v>0.0</v>
      </c>
      <c r="N12" s="93">
        <v>0.0</v>
      </c>
      <c r="O12" s="93">
        <v>0.0</v>
      </c>
      <c r="P12" s="93">
        <v>0.0</v>
      </c>
      <c r="Q12" s="93">
        <v>0.0</v>
      </c>
      <c r="R12" s="93">
        <v>0.0</v>
      </c>
      <c r="S12" s="93">
        <v>0.0</v>
      </c>
      <c r="T12" s="93">
        <v>0.0</v>
      </c>
      <c r="U12" s="93">
        <v>0.0</v>
      </c>
      <c r="V12" s="93">
        <v>0.0</v>
      </c>
      <c r="W12" s="93">
        <v>0.0</v>
      </c>
      <c r="X12" s="93">
        <v>0.0</v>
      </c>
      <c r="Y12" s="93">
        <v>0.0</v>
      </c>
      <c r="Z12" s="93">
        <v>0.0</v>
      </c>
      <c r="AA12" s="93">
        <v>0.0</v>
      </c>
      <c r="AB12" s="93">
        <v>0.0</v>
      </c>
      <c r="AC12" s="93">
        <v>0.0</v>
      </c>
      <c r="AD12" s="93">
        <v>0.0</v>
      </c>
      <c r="AE12" s="93">
        <v>0.0</v>
      </c>
      <c r="AF12" s="93">
        <v>8.0</v>
      </c>
      <c r="AG12" s="93">
        <v>7.0</v>
      </c>
      <c r="AH12" s="93">
        <v>8.0</v>
      </c>
      <c r="AI12" s="93">
        <v>8.0</v>
      </c>
      <c r="AJ12" s="93">
        <v>14.0</v>
      </c>
      <c r="AK12" s="93">
        <v>12.0</v>
      </c>
      <c r="AL12" s="93">
        <v>2.0</v>
      </c>
      <c r="AM12" s="93">
        <v>2.0</v>
      </c>
      <c r="AN12" s="93">
        <v>4.0</v>
      </c>
      <c r="AO12" s="69">
        <f t="shared" si="3"/>
        <v>65.0</v>
      </c>
      <c r="AP12" s="69">
        <f t="shared" si="4"/>
        <v>42.0</v>
      </c>
      <c r="AQ12" s="69">
        <f t="shared" si="5"/>
        <v>46.2</v>
      </c>
      <c r="AR12" s="47">
        <f t="shared" si="30"/>
        <v>9.3</v>
      </c>
      <c r="AS12" s="47">
        <f t="shared" si="31"/>
        <v>6.7</v>
      </c>
      <c r="AT12" s="47">
        <f t="shared" si="32"/>
        <v>13.4</v>
      </c>
      <c r="AU12" s="47">
        <f t="shared" si="33"/>
        <v>15.7</v>
      </c>
      <c r="AV12" s="47">
        <f t="shared" si="34"/>
        <v>13.5</v>
      </c>
      <c r="AW12" s="47">
        <f t="shared" si="35"/>
        <v>11.4</v>
      </c>
      <c r="AX12" s="64">
        <f t="shared" si="12"/>
        <v>70.0</v>
      </c>
      <c r="AY12" s="64" t="e">
        <f t="shared" si="13"/>
        <v>#REF!</v>
      </c>
      <c r="BB12" s="69" t="e">
        <f t="shared" si="14"/>
        <v>#REF!</v>
      </c>
      <c r="BC12" s="69"/>
      <c r="BE12" s="70"/>
      <c r="BF12" s="95" t="e">
        <f t="shared" si="15"/>
        <v>#REF!</v>
      </c>
      <c r="BG12" s="65">
        <f t="shared" si="16"/>
        <v>9.3</v>
      </c>
      <c r="BH12" s="65">
        <f t="shared" si="17"/>
      </c>
      <c r="BI12" s="65" t="e">
        <f t="shared" si="18"/>
        <v>#REF!</v>
      </c>
      <c r="BJ12" s="65">
        <f t="shared" si="19"/>
        <v>6.7</v>
      </c>
      <c r="BK12" s="65">
        <f t="shared" si="20"/>
      </c>
      <c r="BL12" s="65" t="e">
        <f t="shared" si="21"/>
        <v>#REF!</v>
      </c>
      <c r="BM12" s="65">
        <f t="shared" si="22"/>
        <v>13.4</v>
      </c>
      <c r="BN12" s="65"/>
      <c r="BO12" s="65" t="e">
        <f t="shared" si="23"/>
        <v>#REF!</v>
      </c>
      <c r="BP12" s="65">
        <f t="shared" si="24"/>
        <v>15.7</v>
      </c>
      <c r="BQ12" s="65"/>
      <c r="BR12" s="65" t="e">
        <f t="shared" si="25"/>
        <v>#REF!</v>
      </c>
      <c r="BS12" s="65">
        <f t="shared" si="26"/>
        <v>13.5</v>
      </c>
      <c r="BT12" s="65"/>
      <c r="BU12" s="65" t="e">
        <f t="shared" si="27"/>
        <v>#REF!</v>
      </c>
      <c r="BV12" s="65">
        <f t="shared" si="28"/>
        <v>11.4</v>
      </c>
      <c r="BW12" s="65"/>
      <c r="BX12" s="65" t="e">
        <f t="shared" si="29"/>
        <v>#REF!</v>
      </c>
    </row>
    <row r="13" ht="14.0">
      <c r="A13" s="93" t="s">
        <v>179</v>
      </c>
      <c r="B13" s="93" t="s">
        <v>33</v>
      </c>
      <c r="C13" s="93" t="s">
        <v>193</v>
      </c>
      <c r="D13" s="93" t="s">
        <v>194</v>
      </c>
      <c r="E13" s="93">
        <v>0.0</v>
      </c>
      <c r="F13" s="93">
        <v>0.0</v>
      </c>
      <c r="G13" s="93">
        <v>0.0</v>
      </c>
      <c r="H13" s="93">
        <v>0.0</v>
      </c>
      <c r="I13" s="93">
        <v>0.0</v>
      </c>
      <c r="J13" s="93">
        <v>0.0</v>
      </c>
      <c r="K13" s="93">
        <v>0.0</v>
      </c>
      <c r="L13" s="93">
        <v>0.0</v>
      </c>
      <c r="M13" s="93">
        <v>0.0</v>
      </c>
      <c r="N13" s="93">
        <v>0.0</v>
      </c>
      <c r="O13" s="93">
        <v>0.0</v>
      </c>
      <c r="P13" s="93">
        <v>0.0</v>
      </c>
      <c r="Q13" s="93">
        <v>0.0</v>
      </c>
      <c r="R13" s="93">
        <v>0.0</v>
      </c>
      <c r="S13" s="93">
        <v>0.0</v>
      </c>
      <c r="T13" s="93">
        <v>0.0</v>
      </c>
      <c r="U13" s="93">
        <v>0.0</v>
      </c>
      <c r="V13" s="93">
        <v>0.0</v>
      </c>
      <c r="W13" s="93">
        <v>0.0</v>
      </c>
      <c r="X13" s="93">
        <v>0.0</v>
      </c>
      <c r="Y13" s="93">
        <v>0.0</v>
      </c>
      <c r="Z13" s="93">
        <v>0.0</v>
      </c>
      <c r="AA13" s="93">
        <v>0.0</v>
      </c>
      <c r="AB13" s="93">
        <v>0.0</v>
      </c>
      <c r="AC13" s="93">
        <v>0.0</v>
      </c>
      <c r="AD13" s="93">
        <v>0.0</v>
      </c>
      <c r="AE13" s="93">
        <v>0.0</v>
      </c>
      <c r="AF13" s="93">
        <v>8.0</v>
      </c>
      <c r="AG13" s="93">
        <v>4.0</v>
      </c>
      <c r="AH13" s="93">
        <v>2.0</v>
      </c>
      <c r="AI13" s="93">
        <v>28.0</v>
      </c>
      <c r="AJ13" s="93">
        <v>10.0</v>
      </c>
      <c r="AK13" s="93">
        <v>10.0</v>
      </c>
      <c r="AL13" s="93">
        <v>2.0</v>
      </c>
      <c r="AM13" s="93">
        <v>4.0</v>
      </c>
      <c r="AN13" s="93">
        <v>8.0</v>
      </c>
      <c r="AO13" s="69">
        <f t="shared" si="3"/>
        <v>76.0</v>
      </c>
      <c r="AP13" s="69">
        <f t="shared" si="4"/>
        <v>62.0</v>
      </c>
      <c r="AQ13" s="69">
        <f t="shared" si="5"/>
        <v>68.2</v>
      </c>
      <c r="AR13" s="47">
        <f t="shared" si="30"/>
        <v>12.7761904761904</v>
      </c>
      <c r="AS13" s="47">
        <f t="shared" si="31"/>
        <v>9.41428571428571</v>
      </c>
      <c r="AT13" s="47">
        <f t="shared" si="32"/>
        <v>18.8285714285714</v>
      </c>
      <c r="AU13" s="47">
        <f t="shared" si="33"/>
        <v>21.747619047619</v>
      </c>
      <c r="AV13" s="47">
        <f t="shared" si="34"/>
        <v>18.9761904761904</v>
      </c>
      <c r="AW13" s="47">
        <f t="shared" si="35"/>
        <v>15.8761904761904</v>
      </c>
      <c r="AX13" s="64">
        <f t="shared" si="12"/>
        <v>97.6190476190473</v>
      </c>
      <c r="AY13" s="64" t="e">
        <f t="shared" si="13"/>
        <v>#REF!</v>
      </c>
      <c r="BB13" s="69" t="e">
        <f t="shared" si="14"/>
        <v>#REF!</v>
      </c>
      <c r="BC13" s="69"/>
      <c r="BE13" s="70"/>
      <c r="BF13" s="95" t="e">
        <f t="shared" si="15"/>
        <v>#REF!</v>
      </c>
      <c r="BG13" s="65">
        <f t="shared" si="16"/>
        <v>12.7761904761904</v>
      </c>
      <c r="BH13" s="65">
        <f t="shared" si="17"/>
      </c>
      <c r="BI13" s="65" t="e">
        <f t="shared" si="18"/>
        <v>#REF!</v>
      </c>
      <c r="BJ13" s="65">
        <f t="shared" si="19"/>
        <v>9.41428571428571</v>
      </c>
      <c r="BK13" s="65">
        <f t="shared" si="20"/>
      </c>
      <c r="BL13" s="65" t="e">
        <f t="shared" si="21"/>
        <v>#REF!</v>
      </c>
      <c r="BM13" s="65">
        <f t="shared" si="22"/>
        <v>18.8285714285714</v>
      </c>
      <c r="BN13" s="65"/>
      <c r="BO13" s="65" t="e">
        <f t="shared" si="23"/>
        <v>#REF!</v>
      </c>
      <c r="BP13" s="65">
        <f t="shared" si="24"/>
        <v>21.747619047619</v>
      </c>
      <c r="BQ13" s="65"/>
      <c r="BR13" s="65" t="e">
        <f t="shared" si="25"/>
        <v>#REF!</v>
      </c>
      <c r="BS13" s="65">
        <f t="shared" si="26"/>
        <v>18.9761904761904</v>
      </c>
      <c r="BT13" s="65"/>
      <c r="BU13" s="65" t="e">
        <f t="shared" si="27"/>
        <v>#REF!</v>
      </c>
      <c r="BV13" s="65">
        <f t="shared" si="28"/>
        <v>15.8761904761904</v>
      </c>
      <c r="BW13" s="65"/>
      <c r="BX13" s="65" t="e">
        <f t="shared" si="29"/>
        <v>#REF!</v>
      </c>
    </row>
    <row r="14" ht="14.0">
      <c r="A14" s="93" t="s">
        <v>179</v>
      </c>
      <c r="B14" s="93" t="s">
        <v>33</v>
      </c>
      <c r="C14" s="93" t="s">
        <v>195</v>
      </c>
      <c r="D14" s="93" t="s">
        <v>196</v>
      </c>
      <c r="E14" s="93">
        <v>0.0</v>
      </c>
      <c r="F14" s="93">
        <v>0.0</v>
      </c>
      <c r="G14" s="93">
        <v>0.0</v>
      </c>
      <c r="H14" s="93">
        <v>0.0</v>
      </c>
      <c r="I14" s="93">
        <v>0.0</v>
      </c>
      <c r="J14" s="93">
        <v>0.0</v>
      </c>
      <c r="K14" s="93">
        <v>6.0</v>
      </c>
      <c r="L14" s="93">
        <v>17.0</v>
      </c>
      <c r="M14" s="93">
        <v>7.0</v>
      </c>
      <c r="N14" s="93">
        <v>3.0</v>
      </c>
      <c r="O14" s="93">
        <v>3.0</v>
      </c>
      <c r="P14" s="93">
        <v>2.0</v>
      </c>
      <c r="Q14" s="93">
        <v>2.0</v>
      </c>
      <c r="R14" s="93">
        <v>2.0</v>
      </c>
      <c r="S14" s="93">
        <v>5.0</v>
      </c>
      <c r="T14" s="93">
        <v>0.0</v>
      </c>
      <c r="U14" s="93">
        <v>0.0</v>
      </c>
      <c r="V14" s="93">
        <v>0.0</v>
      </c>
      <c r="W14" s="93">
        <v>1.0</v>
      </c>
      <c r="X14" s="93">
        <v>0.0</v>
      </c>
      <c r="Y14" s="93">
        <v>2.0</v>
      </c>
      <c r="Z14" s="93">
        <v>1.0</v>
      </c>
      <c r="AA14" s="93">
        <v>0.0</v>
      </c>
      <c r="AB14" s="93">
        <v>0.0</v>
      </c>
      <c r="AC14" s="93">
        <v>0.0</v>
      </c>
      <c r="AD14" s="93">
        <v>0.0</v>
      </c>
      <c r="AE14" s="93">
        <v>0.0</v>
      </c>
      <c r="AF14" s="93">
        <v>0.0</v>
      </c>
      <c r="AG14" s="93">
        <v>1.0</v>
      </c>
      <c r="AH14" s="93">
        <v>0.0</v>
      </c>
      <c r="AI14" s="93">
        <v>6.0</v>
      </c>
      <c r="AJ14" s="93">
        <v>2.0</v>
      </c>
      <c r="AK14" s="93">
        <v>0.0</v>
      </c>
      <c r="AL14" s="93">
        <v>0.0</v>
      </c>
      <c r="AM14" s="93">
        <v>0.0</v>
      </c>
      <c r="AN14" s="93">
        <v>1.0</v>
      </c>
      <c r="AO14" s="69">
        <f t="shared" si="3"/>
        <v>10.0</v>
      </c>
      <c r="AP14" s="69">
        <f t="shared" si="4"/>
        <v>9.0</v>
      </c>
      <c r="AQ14" s="69">
        <f t="shared" si="5"/>
        <v>9.9</v>
      </c>
      <c r="AR14" s="97">
        <v>2.0</v>
      </c>
      <c r="AS14" s="97">
        <v>1.0</v>
      </c>
      <c r="AT14" s="97">
        <v>2.0</v>
      </c>
      <c r="AU14" s="97">
        <v>3.0</v>
      </c>
      <c r="AV14" s="97">
        <v>2.0</v>
      </c>
      <c r="AW14" s="97">
        <v>2.0</v>
      </c>
      <c r="AX14" s="64">
        <f t="shared" si="12"/>
        <v>12.0</v>
      </c>
      <c r="AY14" s="64" t="e">
        <f t="shared" si="13"/>
        <v>#REF!</v>
      </c>
      <c r="BE14" s="70"/>
      <c r="BF14" s="95" t="e">
        <f t="shared" si="15"/>
        <v>#REF!</v>
      </c>
      <c r="BG14" s="65">
        <f t="shared" si="16"/>
        <v>2.0</v>
      </c>
      <c r="BH14" s="65">
        <f t="shared" si="17"/>
      </c>
      <c r="BI14" s="65" t="e">
        <f t="shared" si="18"/>
        <v>#REF!</v>
      </c>
      <c r="BJ14" s="65">
        <f t="shared" si="19"/>
        <v>1.0</v>
      </c>
      <c r="BK14" s="65">
        <f t="shared" si="20"/>
      </c>
      <c r="BL14" s="65" t="e">
        <f t="shared" si="21"/>
        <v>#REF!</v>
      </c>
      <c r="BM14" s="65">
        <f t="shared" si="22"/>
        <v>2.0</v>
      </c>
      <c r="BN14" s="65"/>
      <c r="BO14" s="65" t="e">
        <f t="shared" si="23"/>
        <v>#REF!</v>
      </c>
      <c r="BP14" s="65">
        <f t="shared" si="24"/>
        <v>3.0</v>
      </c>
      <c r="BQ14" s="65"/>
      <c r="BR14" s="65" t="e">
        <f t="shared" si="25"/>
        <v>#REF!</v>
      </c>
      <c r="BS14" s="65">
        <f t="shared" si="26"/>
        <v>2.0</v>
      </c>
      <c r="BT14" s="65"/>
      <c r="BU14" s="65" t="e">
        <f t="shared" si="27"/>
        <v>#REF!</v>
      </c>
      <c r="BV14" s="65">
        <f t="shared" si="28"/>
        <v>2.0</v>
      </c>
      <c r="BW14" s="65"/>
      <c r="BX14" s="65" t="e">
        <f t="shared" si="29"/>
        <v>#REF!</v>
      </c>
    </row>
    <row r="15" ht="14.0">
      <c r="A15" s="93" t="s">
        <v>179</v>
      </c>
      <c r="B15" s="93" t="s">
        <v>197</v>
      </c>
      <c r="C15" s="93" t="s">
        <v>198</v>
      </c>
      <c r="D15" s="98" t="s">
        <v>199</v>
      </c>
      <c r="E15" s="93">
        <v>0.0</v>
      </c>
      <c r="F15" s="93">
        <v>0.0</v>
      </c>
      <c r="G15" s="93">
        <v>0.0</v>
      </c>
      <c r="H15" s="93">
        <v>0.0</v>
      </c>
      <c r="I15" s="93">
        <v>0.0</v>
      </c>
      <c r="J15" s="93">
        <v>0.0</v>
      </c>
      <c r="K15" s="93">
        <v>0.0</v>
      </c>
      <c r="L15" s="93">
        <v>0.0</v>
      </c>
      <c r="M15" s="93">
        <v>0.0</v>
      </c>
      <c r="N15" s="93">
        <v>0.0</v>
      </c>
      <c r="O15" s="93">
        <v>0.0</v>
      </c>
      <c r="P15" s="93">
        <v>0.0</v>
      </c>
      <c r="Q15" s="93">
        <v>0.0</v>
      </c>
      <c r="R15" s="93">
        <v>0.0</v>
      </c>
      <c r="S15" s="93">
        <v>0.0</v>
      </c>
      <c r="T15" s="93">
        <v>0.0</v>
      </c>
      <c r="U15" s="93">
        <v>0.0</v>
      </c>
      <c r="V15" s="93">
        <v>0.0</v>
      </c>
      <c r="W15" s="93">
        <v>0.0</v>
      </c>
      <c r="X15" s="93">
        <v>0.0</v>
      </c>
      <c r="Y15" s="93">
        <v>0.0</v>
      </c>
      <c r="Z15" s="93">
        <v>0.0</v>
      </c>
      <c r="AA15" s="93">
        <v>0.0</v>
      </c>
      <c r="AB15" s="93">
        <v>0.0</v>
      </c>
      <c r="AC15" s="93">
        <v>0.0</v>
      </c>
      <c r="AD15" s="93">
        <v>0.0</v>
      </c>
      <c r="AE15" s="93">
        <v>0.0</v>
      </c>
      <c r="AF15" s="93">
        <v>0.0</v>
      </c>
      <c r="AG15" s="93">
        <v>0.0</v>
      </c>
      <c r="AH15" s="93">
        <v>0.0</v>
      </c>
      <c r="AI15" s="93">
        <v>0.0</v>
      </c>
      <c r="AJ15" s="93">
        <v>0.0</v>
      </c>
      <c r="AK15" s="93">
        <v>0.0</v>
      </c>
      <c r="AL15" s="93">
        <v>78.0</v>
      </c>
      <c r="AM15" s="93">
        <v>84.0</v>
      </c>
      <c r="AN15" s="93">
        <v>51.0</v>
      </c>
      <c r="AO15" s="69">
        <f t="shared" si="3"/>
        <v>213.0</v>
      </c>
      <c r="AP15" s="69">
        <f t="shared" si="4"/>
        <v>213.0</v>
      </c>
      <c r="AQ15" s="69">
        <f t="shared" si="5"/>
        <v>234.3</v>
      </c>
      <c r="AR15" s="94">
        <f t="shared" ref="AR15:AR29" si="36">AQ15*$AR$4/$AQ$4</f>
        <v>37.0214285714286</v>
      </c>
      <c r="AS15" s="94">
        <f t="shared" ref="AS15:AS29" si="37">AQ15*$AS$4/$AQ$4</f>
        <v>28.9071428571429</v>
      </c>
      <c r="AT15" s="94">
        <f t="shared" ref="AT15:AT29" si="38">AQ15*$AT$4/$AQ$4</f>
        <v>57.8142857142857</v>
      </c>
      <c r="AU15" s="94">
        <f t="shared" ref="AU15:AU29" si="39">AQ15*$AU$4/$AQ$4</f>
        <v>64.4071428571429</v>
      </c>
      <c r="AV15" s="94">
        <f t="shared" ref="AV15:AV29" si="40">AQ15*$AV$4/$AQ$4</f>
        <v>58.3214285714286</v>
      </c>
      <c r="AW15" s="94">
        <f t="shared" ref="AW15:AW29" si="41">AQ15*$AW$4/$AQ$4</f>
        <v>47.6714285714286</v>
      </c>
      <c r="AX15" s="64">
        <f t="shared" si="12"/>
        <v>294.142857142857</v>
      </c>
      <c r="AY15" s="64" t="e">
        <f t="shared" si="13"/>
        <v>#REF!</v>
      </c>
      <c r="BB15" s="69" t="e">
        <f t="shared" ref="BB15:BB29" si="42">AY15+AZ15+BA15-AX15</f>
        <v>#REF!</v>
      </c>
      <c r="BC15" s="69">
        <v>501.0</v>
      </c>
      <c r="BD15" s="99">
        <f>BC15</f>
        <v>501.0</v>
      </c>
      <c r="BE15" s="100">
        <v>46023</v>
      </c>
      <c r="BF15" s="95" t="e">
        <f t="shared" si="15"/>
        <v>#REF!</v>
      </c>
      <c r="BG15" s="65">
        <f t="shared" si="16"/>
        <v>37.0214285714286</v>
      </c>
      <c r="BH15" s="65">
        <f t="shared" si="17"/>
      </c>
      <c r="BI15" s="65" t="e">
        <f t="shared" si="18"/>
        <v>#REF!</v>
      </c>
      <c r="BJ15" s="65">
        <f t="shared" si="19"/>
        <v>28.9071428571429</v>
      </c>
      <c r="BK15" s="65">
        <f t="shared" si="20"/>
      </c>
      <c r="BL15" s="65" t="e">
        <f t="shared" si="21"/>
        <v>#REF!</v>
      </c>
      <c r="BM15" s="65">
        <f t="shared" si="22"/>
        <v>57.8142857142857</v>
      </c>
      <c r="BN15" s="65"/>
      <c r="BO15" s="65" t="e">
        <f t="shared" si="23"/>
        <v>#REF!</v>
      </c>
      <c r="BP15" s="65">
        <f t="shared" si="24"/>
        <v>64.4071428571429</v>
      </c>
      <c r="BQ15" s="65"/>
      <c r="BR15" s="65" t="e">
        <f t="shared" si="25"/>
        <v>#REF!</v>
      </c>
      <c r="BS15" s="65">
        <f t="shared" si="26"/>
        <v>58.3214285714286</v>
      </c>
      <c r="BT15" s="65"/>
      <c r="BU15" s="65" t="e">
        <f t="shared" si="27"/>
        <v>#REF!</v>
      </c>
      <c r="BV15" s="65">
        <f t="shared" si="28"/>
        <v>47.6714285714286</v>
      </c>
      <c r="BW15" s="65"/>
      <c r="BX15" s="65" t="e">
        <f t="shared" si="29"/>
        <v>#REF!</v>
      </c>
    </row>
    <row r="16" ht="14.0">
      <c r="A16" s="93" t="s">
        <v>179</v>
      </c>
      <c r="B16" s="93" t="s">
        <v>197</v>
      </c>
      <c r="C16" s="93" t="s">
        <v>200</v>
      </c>
      <c r="D16" s="93" t="s">
        <v>201</v>
      </c>
      <c r="E16" s="93">
        <v>0.0</v>
      </c>
      <c r="F16" s="93">
        <v>0.0</v>
      </c>
      <c r="G16" s="93">
        <v>0.0</v>
      </c>
      <c r="H16" s="93">
        <v>0.0</v>
      </c>
      <c r="I16" s="93">
        <v>0.0</v>
      </c>
      <c r="J16" s="93">
        <v>0.0</v>
      </c>
      <c r="K16" s="93">
        <v>0.0</v>
      </c>
      <c r="L16" s="93">
        <v>0.0</v>
      </c>
      <c r="M16" s="93">
        <v>0.0</v>
      </c>
      <c r="N16" s="93">
        <v>0.0</v>
      </c>
      <c r="O16" s="93">
        <v>0.0</v>
      </c>
      <c r="P16" s="93">
        <v>0.0</v>
      </c>
      <c r="Q16" s="93">
        <v>0.0</v>
      </c>
      <c r="R16" s="93">
        <v>0.0</v>
      </c>
      <c r="S16" s="93">
        <v>0.0</v>
      </c>
      <c r="T16" s="93">
        <v>0.0</v>
      </c>
      <c r="U16" s="93">
        <v>0.0</v>
      </c>
      <c r="V16" s="93">
        <v>0.0</v>
      </c>
      <c r="W16" s="93">
        <v>0.0</v>
      </c>
      <c r="X16" s="93">
        <v>0.0</v>
      </c>
      <c r="Y16" s="93">
        <v>0.0</v>
      </c>
      <c r="Z16" s="93">
        <v>0.0</v>
      </c>
      <c r="AA16" s="93">
        <v>0.0</v>
      </c>
      <c r="AB16" s="93">
        <v>0.0</v>
      </c>
      <c r="AC16" s="93">
        <v>0.0</v>
      </c>
      <c r="AD16" s="93">
        <v>0.0</v>
      </c>
      <c r="AE16" s="93">
        <v>0.0</v>
      </c>
      <c r="AF16" s="93">
        <v>0.0</v>
      </c>
      <c r="AG16" s="93">
        <v>0.0</v>
      </c>
      <c r="AH16" s="93">
        <v>0.0</v>
      </c>
      <c r="AI16" s="93">
        <v>0.0</v>
      </c>
      <c r="AJ16" s="93">
        <v>0.0</v>
      </c>
      <c r="AK16" s="93">
        <v>0.0</v>
      </c>
      <c r="AL16" s="93">
        <v>55.0</v>
      </c>
      <c r="AM16" s="93">
        <v>69.0</v>
      </c>
      <c r="AN16" s="93">
        <v>39.0</v>
      </c>
      <c r="AO16" s="69">
        <f t="shared" si="3"/>
        <v>163.0</v>
      </c>
      <c r="AP16" s="69">
        <f t="shared" si="4"/>
        <v>163.0</v>
      </c>
      <c r="AQ16" s="69">
        <f t="shared" si="5"/>
        <v>179.3</v>
      </c>
      <c r="AR16" s="96">
        <f t="shared" si="36"/>
        <v>28.3309523809523</v>
      </c>
      <c r="AS16" s="96">
        <f t="shared" si="37"/>
        <v>22.1214285714286</v>
      </c>
      <c r="AT16" s="96">
        <f t="shared" si="38"/>
        <v>44.2428571428571</v>
      </c>
      <c r="AU16" s="96">
        <f t="shared" si="39"/>
        <v>49.2880952380952</v>
      </c>
      <c r="AV16" s="96">
        <f t="shared" si="40"/>
        <v>44.6309523809523</v>
      </c>
      <c r="AW16" s="96">
        <f t="shared" si="41"/>
        <v>36.4809523809523</v>
      </c>
      <c r="AX16" s="64">
        <f t="shared" si="12"/>
        <v>225.095238095238</v>
      </c>
      <c r="AY16" s="64" t="e">
        <f t="shared" si="13"/>
        <v>#REF!</v>
      </c>
      <c r="BB16" s="69" t="e">
        <f t="shared" si="42"/>
        <v>#REF!</v>
      </c>
      <c r="BC16" s="69"/>
      <c r="BE16" s="70"/>
      <c r="BF16" s="95" t="e">
        <f t="shared" si="15"/>
        <v>#REF!</v>
      </c>
      <c r="BG16" s="65">
        <f t="shared" si="16"/>
        <v>28.3309523809523</v>
      </c>
      <c r="BH16" s="65">
        <f t="shared" si="17"/>
      </c>
      <c r="BI16" s="65" t="e">
        <f t="shared" si="18"/>
        <v>#REF!</v>
      </c>
      <c r="BJ16" s="65">
        <f t="shared" si="19"/>
        <v>22.1214285714286</v>
      </c>
      <c r="BK16" s="65">
        <f t="shared" si="20"/>
      </c>
      <c r="BL16" s="65" t="e">
        <f t="shared" si="21"/>
        <v>#REF!</v>
      </c>
      <c r="BM16" s="65">
        <f t="shared" si="22"/>
        <v>44.2428571428571</v>
      </c>
      <c r="BN16" s="65"/>
      <c r="BO16" s="65" t="e">
        <f t="shared" si="23"/>
        <v>#REF!</v>
      </c>
      <c r="BP16" s="65">
        <f t="shared" si="24"/>
        <v>49.2880952380952</v>
      </c>
      <c r="BQ16" s="65"/>
      <c r="BR16" s="65" t="e">
        <f t="shared" si="25"/>
        <v>#REF!</v>
      </c>
      <c r="BS16" s="65">
        <f t="shared" si="26"/>
        <v>44.6309523809523</v>
      </c>
      <c r="BT16" s="65"/>
      <c r="BU16" s="65" t="e">
        <f t="shared" si="27"/>
        <v>#REF!</v>
      </c>
      <c r="BV16" s="65">
        <f t="shared" si="28"/>
        <v>36.4809523809523</v>
      </c>
      <c r="BW16" s="65"/>
      <c r="BX16" s="65" t="e">
        <f t="shared" si="29"/>
        <v>#REF!</v>
      </c>
    </row>
    <row r="17" ht="14.0">
      <c r="A17" s="93" t="s">
        <v>179</v>
      </c>
      <c r="B17" s="93" t="s">
        <v>197</v>
      </c>
      <c r="C17" s="93" t="s">
        <v>202</v>
      </c>
      <c r="D17" s="93" t="s">
        <v>203</v>
      </c>
      <c r="E17" s="93">
        <v>0.0</v>
      </c>
      <c r="F17" s="93">
        <v>0.0</v>
      </c>
      <c r="G17" s="93">
        <v>0.0</v>
      </c>
      <c r="H17" s="93">
        <v>0.0</v>
      </c>
      <c r="I17" s="93">
        <v>0.0</v>
      </c>
      <c r="J17" s="93">
        <v>0.0</v>
      </c>
      <c r="K17" s="93">
        <v>0.0</v>
      </c>
      <c r="L17" s="93">
        <v>0.0</v>
      </c>
      <c r="M17" s="93">
        <v>0.0</v>
      </c>
      <c r="N17" s="93">
        <v>0.0</v>
      </c>
      <c r="O17" s="93">
        <v>0.0</v>
      </c>
      <c r="P17" s="93">
        <v>0.0</v>
      </c>
      <c r="Q17" s="93">
        <v>0.0</v>
      </c>
      <c r="R17" s="93">
        <v>0.0</v>
      </c>
      <c r="S17" s="93">
        <v>0.0</v>
      </c>
      <c r="T17" s="93">
        <v>0.0</v>
      </c>
      <c r="U17" s="93">
        <v>0.0</v>
      </c>
      <c r="V17" s="93">
        <v>0.0</v>
      </c>
      <c r="W17" s="93">
        <v>0.0</v>
      </c>
      <c r="X17" s="93">
        <v>0.0</v>
      </c>
      <c r="Y17" s="93">
        <v>0.0</v>
      </c>
      <c r="Z17" s="93">
        <v>0.0</v>
      </c>
      <c r="AA17" s="93">
        <v>0.0</v>
      </c>
      <c r="AB17" s="93">
        <v>0.0</v>
      </c>
      <c r="AC17" s="93">
        <v>0.0</v>
      </c>
      <c r="AD17" s="93">
        <v>0.0</v>
      </c>
      <c r="AE17" s="93">
        <v>0.0</v>
      </c>
      <c r="AF17" s="93">
        <v>0.0</v>
      </c>
      <c r="AG17" s="93">
        <v>0.0</v>
      </c>
      <c r="AH17" s="93">
        <v>0.0</v>
      </c>
      <c r="AI17" s="93">
        <v>0.0</v>
      </c>
      <c r="AJ17" s="93">
        <v>0.0</v>
      </c>
      <c r="AK17" s="93">
        <v>0.0</v>
      </c>
      <c r="AL17" s="93">
        <v>33.0</v>
      </c>
      <c r="AM17" s="93">
        <v>33.0</v>
      </c>
      <c r="AN17" s="93">
        <v>18.0</v>
      </c>
      <c r="AO17" s="69">
        <f t="shared" si="3"/>
        <v>84.0</v>
      </c>
      <c r="AP17" s="69">
        <f t="shared" si="4"/>
        <v>84.0</v>
      </c>
      <c r="AQ17" s="69">
        <f t="shared" si="5"/>
        <v>92.4</v>
      </c>
      <c r="AR17" s="47">
        <f t="shared" si="36"/>
        <v>14.6</v>
      </c>
      <c r="AS17" s="47">
        <f t="shared" si="37"/>
        <v>11.4</v>
      </c>
      <c r="AT17" s="47">
        <f t="shared" si="38"/>
        <v>22.8</v>
      </c>
      <c r="AU17" s="47">
        <f t="shared" si="39"/>
        <v>25.4</v>
      </c>
      <c r="AV17" s="47">
        <f t="shared" si="40"/>
        <v>23.0</v>
      </c>
      <c r="AW17" s="47">
        <f t="shared" si="41"/>
        <v>18.8</v>
      </c>
      <c r="AX17" s="64">
        <f t="shared" si="12"/>
        <v>116.0</v>
      </c>
      <c r="AY17" s="64" t="e">
        <f t="shared" si="13"/>
        <v>#REF!</v>
      </c>
      <c r="BB17" s="69" t="e">
        <f t="shared" si="42"/>
        <v>#REF!</v>
      </c>
      <c r="BC17" s="69"/>
      <c r="BE17" s="70"/>
      <c r="BF17" s="95" t="e">
        <f t="shared" si="15"/>
        <v>#REF!</v>
      </c>
      <c r="BG17" s="65">
        <f t="shared" si="16"/>
        <v>14.6</v>
      </c>
      <c r="BH17" s="65">
        <f t="shared" si="17"/>
      </c>
      <c r="BI17" s="65" t="e">
        <f t="shared" si="18"/>
        <v>#REF!</v>
      </c>
      <c r="BJ17" s="65">
        <f t="shared" si="19"/>
        <v>11.4</v>
      </c>
      <c r="BK17" s="65">
        <f t="shared" si="20"/>
      </c>
      <c r="BL17" s="65" t="e">
        <f t="shared" si="21"/>
        <v>#REF!</v>
      </c>
      <c r="BM17" s="65">
        <f t="shared" si="22"/>
        <v>22.8</v>
      </c>
      <c r="BN17" s="65"/>
      <c r="BO17" s="65" t="e">
        <f t="shared" si="23"/>
        <v>#REF!</v>
      </c>
      <c r="BP17" s="65">
        <f t="shared" si="24"/>
        <v>25.4</v>
      </c>
      <c r="BQ17" s="65"/>
      <c r="BR17" s="65" t="e">
        <f t="shared" si="25"/>
        <v>#REF!</v>
      </c>
      <c r="BS17" s="65">
        <f t="shared" si="26"/>
        <v>23.0</v>
      </c>
      <c r="BT17" s="65"/>
      <c r="BU17" s="65" t="e">
        <f t="shared" si="27"/>
        <v>#REF!</v>
      </c>
      <c r="BV17" s="65">
        <f t="shared" si="28"/>
        <v>18.8</v>
      </c>
      <c r="BW17" s="65"/>
      <c r="BX17" s="65" t="e">
        <f t="shared" si="29"/>
        <v>#REF!</v>
      </c>
    </row>
    <row r="18" ht="14.0">
      <c r="A18" s="93" t="s">
        <v>179</v>
      </c>
      <c r="B18" s="93" t="s">
        <v>197</v>
      </c>
      <c r="C18" s="93" t="s">
        <v>204</v>
      </c>
      <c r="D18" s="93" t="s">
        <v>205</v>
      </c>
      <c r="E18" s="93">
        <v>0.0</v>
      </c>
      <c r="F18" s="93">
        <v>0.0</v>
      </c>
      <c r="G18" s="93">
        <v>0.0</v>
      </c>
      <c r="H18" s="93">
        <v>0.0</v>
      </c>
      <c r="I18" s="93">
        <v>0.0</v>
      </c>
      <c r="J18" s="93">
        <v>0.0</v>
      </c>
      <c r="K18" s="93">
        <v>0.0</v>
      </c>
      <c r="L18" s="93">
        <v>0.0</v>
      </c>
      <c r="M18" s="93">
        <v>0.0</v>
      </c>
      <c r="N18" s="93">
        <v>0.0</v>
      </c>
      <c r="O18" s="93">
        <v>0.0</v>
      </c>
      <c r="P18" s="93">
        <v>0.0</v>
      </c>
      <c r="Q18" s="93">
        <v>0.0</v>
      </c>
      <c r="R18" s="93">
        <v>0.0</v>
      </c>
      <c r="S18" s="93">
        <v>0.0</v>
      </c>
      <c r="T18" s="93">
        <v>0.0</v>
      </c>
      <c r="U18" s="93">
        <v>0.0</v>
      </c>
      <c r="V18" s="93">
        <v>0.0</v>
      </c>
      <c r="W18" s="93">
        <v>0.0</v>
      </c>
      <c r="X18" s="93">
        <v>0.0</v>
      </c>
      <c r="Y18" s="93">
        <v>0.0</v>
      </c>
      <c r="Z18" s="93">
        <v>0.0</v>
      </c>
      <c r="AA18" s="93">
        <v>0.0</v>
      </c>
      <c r="AB18" s="93">
        <v>0.0</v>
      </c>
      <c r="AC18" s="93">
        <v>0.0</v>
      </c>
      <c r="AD18" s="93">
        <v>0.0</v>
      </c>
      <c r="AE18" s="93">
        <v>0.0</v>
      </c>
      <c r="AF18" s="93">
        <v>0.0</v>
      </c>
      <c r="AG18" s="93">
        <v>0.0</v>
      </c>
      <c r="AH18" s="93">
        <v>0.0</v>
      </c>
      <c r="AI18" s="93">
        <v>0.0</v>
      </c>
      <c r="AJ18" s="93">
        <v>0.0</v>
      </c>
      <c r="AK18" s="93">
        <v>0.0</v>
      </c>
      <c r="AL18" s="93">
        <v>21.0</v>
      </c>
      <c r="AM18" s="93">
        <v>24.0</v>
      </c>
      <c r="AN18" s="93">
        <v>15.0</v>
      </c>
      <c r="AO18" s="69">
        <f t="shared" si="3"/>
        <v>60.0</v>
      </c>
      <c r="AP18" s="69">
        <f t="shared" si="4"/>
        <v>60.0</v>
      </c>
      <c r="AQ18" s="69">
        <f t="shared" si="5"/>
        <v>66.0</v>
      </c>
      <c r="AR18" s="47">
        <f t="shared" si="36"/>
        <v>10.4285714285714</v>
      </c>
      <c r="AS18" s="47">
        <f t="shared" si="37"/>
        <v>8.14285714285714</v>
      </c>
      <c r="AT18" s="47">
        <f t="shared" si="38"/>
        <v>16.2857142857142</v>
      </c>
      <c r="AU18" s="47">
        <f t="shared" si="39"/>
        <v>18.1428571428571</v>
      </c>
      <c r="AV18" s="47">
        <f t="shared" si="40"/>
        <v>16.4285714285714</v>
      </c>
      <c r="AW18" s="47">
        <f t="shared" si="41"/>
        <v>13.4285714285714</v>
      </c>
      <c r="AX18" s="64">
        <f t="shared" si="12"/>
        <v>82.8571428571427</v>
      </c>
      <c r="AY18" s="64" t="e">
        <f t="shared" si="13"/>
        <v>#REF!</v>
      </c>
      <c r="BB18" s="69" t="e">
        <f t="shared" si="42"/>
        <v>#REF!</v>
      </c>
      <c r="BC18" s="69"/>
      <c r="BE18" s="70"/>
      <c r="BF18" s="95" t="e">
        <f t="shared" si="15"/>
        <v>#REF!</v>
      </c>
      <c r="BG18" s="65">
        <f t="shared" si="16"/>
        <v>10.4285714285714</v>
      </c>
      <c r="BH18" s="65">
        <f t="shared" si="17"/>
      </c>
      <c r="BI18" s="65" t="e">
        <f t="shared" si="18"/>
        <v>#REF!</v>
      </c>
      <c r="BJ18" s="65">
        <f t="shared" si="19"/>
        <v>8.14285714285714</v>
      </c>
      <c r="BK18" s="65">
        <f t="shared" si="20"/>
      </c>
      <c r="BL18" s="65" t="e">
        <f t="shared" si="21"/>
        <v>#REF!</v>
      </c>
      <c r="BM18" s="65">
        <f t="shared" si="22"/>
        <v>16.2857142857142</v>
      </c>
      <c r="BN18" s="65"/>
      <c r="BO18" s="65" t="e">
        <f t="shared" si="23"/>
        <v>#REF!</v>
      </c>
      <c r="BP18" s="65">
        <f t="shared" si="24"/>
        <v>18.1428571428571</v>
      </c>
      <c r="BQ18" s="65"/>
      <c r="BR18" s="65" t="e">
        <f t="shared" si="25"/>
        <v>#REF!</v>
      </c>
      <c r="BS18" s="65">
        <f t="shared" si="26"/>
        <v>16.4285714285714</v>
      </c>
      <c r="BT18" s="65"/>
      <c r="BU18" s="65" t="e">
        <f t="shared" si="27"/>
        <v>#REF!</v>
      </c>
      <c r="BV18" s="65">
        <f t="shared" si="28"/>
        <v>13.4285714285714</v>
      </c>
      <c r="BW18" s="65"/>
      <c r="BX18" s="65" t="e">
        <f t="shared" si="29"/>
        <v>#REF!</v>
      </c>
    </row>
    <row r="19" ht="14.0">
      <c r="A19" s="93" t="s">
        <v>179</v>
      </c>
      <c r="B19" s="93" t="s">
        <v>197</v>
      </c>
      <c r="C19" s="93" t="s">
        <v>206</v>
      </c>
      <c r="D19" s="93" t="s">
        <v>207</v>
      </c>
      <c r="E19" s="93">
        <v>0.0</v>
      </c>
      <c r="F19" s="93">
        <v>0.0</v>
      </c>
      <c r="G19" s="93">
        <v>0.0</v>
      </c>
      <c r="H19" s="93">
        <v>0.0</v>
      </c>
      <c r="I19" s="93">
        <v>0.0</v>
      </c>
      <c r="J19" s="93">
        <v>0.0</v>
      </c>
      <c r="K19" s="93">
        <v>0.0</v>
      </c>
      <c r="L19" s="93">
        <v>0.0</v>
      </c>
      <c r="M19" s="93">
        <v>0.0</v>
      </c>
      <c r="N19" s="93">
        <v>0.0</v>
      </c>
      <c r="O19" s="93">
        <v>0.0</v>
      </c>
      <c r="P19" s="93">
        <v>0.0</v>
      </c>
      <c r="Q19" s="93">
        <v>0.0</v>
      </c>
      <c r="R19" s="93">
        <v>0.0</v>
      </c>
      <c r="S19" s="93">
        <v>0.0</v>
      </c>
      <c r="T19" s="93">
        <v>0.0</v>
      </c>
      <c r="U19" s="93">
        <v>0.0</v>
      </c>
      <c r="V19" s="93">
        <v>0.0</v>
      </c>
      <c r="W19" s="93">
        <v>0.0</v>
      </c>
      <c r="X19" s="93">
        <v>0.0</v>
      </c>
      <c r="Y19" s="93">
        <v>0.0</v>
      </c>
      <c r="Z19" s="93">
        <v>0.0</v>
      </c>
      <c r="AA19" s="93">
        <v>0.0</v>
      </c>
      <c r="AB19" s="93">
        <v>0.0</v>
      </c>
      <c r="AC19" s="93">
        <v>0.0</v>
      </c>
      <c r="AD19" s="93">
        <v>0.0</v>
      </c>
      <c r="AE19" s="93">
        <v>0.0</v>
      </c>
      <c r="AF19" s="93">
        <v>0.0</v>
      </c>
      <c r="AG19" s="93">
        <v>0.0</v>
      </c>
      <c r="AH19" s="93">
        <v>0.0</v>
      </c>
      <c r="AI19" s="93">
        <v>0.0</v>
      </c>
      <c r="AJ19" s="93">
        <v>0.0</v>
      </c>
      <c r="AK19" s="93">
        <v>0.0</v>
      </c>
      <c r="AL19" s="93">
        <v>12.0</v>
      </c>
      <c r="AM19" s="93">
        <v>15.0</v>
      </c>
      <c r="AN19" s="93">
        <v>12.0</v>
      </c>
      <c r="AO19" s="69">
        <f t="shared" si="3"/>
        <v>39.0</v>
      </c>
      <c r="AP19" s="69">
        <f t="shared" si="4"/>
        <v>39.0</v>
      </c>
      <c r="AQ19" s="69">
        <f t="shared" si="5"/>
        <v>42.9</v>
      </c>
      <c r="AR19" s="47">
        <f t="shared" si="36"/>
        <v>6.77857142857142</v>
      </c>
      <c r="AS19" s="47">
        <f t="shared" si="37"/>
        <v>5.29285714285714</v>
      </c>
      <c r="AT19" s="47">
        <f t="shared" si="38"/>
        <v>10.5857142857142</v>
      </c>
      <c r="AU19" s="47">
        <f t="shared" si="39"/>
        <v>11.7928571428571</v>
      </c>
      <c r="AV19" s="47">
        <f t="shared" si="40"/>
        <v>10.6785714285714</v>
      </c>
      <c r="AW19" s="47">
        <f t="shared" si="41"/>
        <v>8.72857142857143</v>
      </c>
      <c r="AX19" s="64">
        <f t="shared" si="12"/>
        <v>53.8571428571427</v>
      </c>
      <c r="AY19" s="64" t="e">
        <f t="shared" si="13"/>
        <v>#REF!</v>
      </c>
      <c r="BB19" s="69" t="e">
        <f t="shared" si="42"/>
        <v>#REF!</v>
      </c>
      <c r="BC19" s="69"/>
      <c r="BE19" s="70"/>
      <c r="BF19" s="95" t="e">
        <f t="shared" si="15"/>
        <v>#REF!</v>
      </c>
      <c r="BG19" s="65">
        <f t="shared" si="16"/>
        <v>6.77857142857142</v>
      </c>
      <c r="BH19" s="65">
        <f t="shared" si="17"/>
      </c>
      <c r="BI19" s="65" t="e">
        <f t="shared" si="18"/>
        <v>#REF!</v>
      </c>
      <c r="BJ19" s="65">
        <f t="shared" si="19"/>
        <v>5.29285714285714</v>
      </c>
      <c r="BK19" s="65">
        <f t="shared" si="20"/>
      </c>
      <c r="BL19" s="65" t="e">
        <f t="shared" si="21"/>
        <v>#REF!</v>
      </c>
      <c r="BM19" s="65">
        <f t="shared" si="22"/>
        <v>10.5857142857142</v>
      </c>
      <c r="BN19" s="65"/>
      <c r="BO19" s="65" t="e">
        <f t="shared" si="23"/>
        <v>#REF!</v>
      </c>
      <c r="BP19" s="65">
        <f t="shared" si="24"/>
        <v>11.7928571428571</v>
      </c>
      <c r="BQ19" s="65"/>
      <c r="BR19" s="65" t="e">
        <f t="shared" si="25"/>
        <v>#REF!</v>
      </c>
      <c r="BS19" s="65">
        <f t="shared" si="26"/>
        <v>10.6785714285714</v>
      </c>
      <c r="BT19" s="65"/>
      <c r="BU19" s="65" t="e">
        <f t="shared" si="27"/>
        <v>#REF!</v>
      </c>
      <c r="BV19" s="65">
        <f t="shared" si="28"/>
        <v>8.72857142857143</v>
      </c>
      <c r="BW19" s="65"/>
      <c r="BX19" s="65" t="e">
        <f t="shared" si="29"/>
        <v>#REF!</v>
      </c>
    </row>
    <row r="20" ht="14.0">
      <c r="A20" s="93" t="s">
        <v>179</v>
      </c>
      <c r="B20" s="93" t="s">
        <v>208</v>
      </c>
      <c r="C20" s="93" t="s">
        <v>209</v>
      </c>
      <c r="D20" s="93" t="s">
        <v>210</v>
      </c>
      <c r="E20" s="93">
        <v>0.0</v>
      </c>
      <c r="F20" s="93">
        <v>0.0</v>
      </c>
      <c r="G20" s="93">
        <v>0.0</v>
      </c>
      <c r="H20" s="93">
        <v>0.0</v>
      </c>
      <c r="I20" s="93">
        <v>0.0</v>
      </c>
      <c r="J20" s="93">
        <v>0.0</v>
      </c>
      <c r="K20" s="93">
        <v>0.0</v>
      </c>
      <c r="L20" s="93">
        <v>0.0</v>
      </c>
      <c r="M20" s="93">
        <v>0.0</v>
      </c>
      <c r="N20" s="93">
        <v>0.0</v>
      </c>
      <c r="O20" s="93">
        <v>0.0</v>
      </c>
      <c r="P20" s="93">
        <v>0.0</v>
      </c>
      <c r="Q20" s="93">
        <v>0.0</v>
      </c>
      <c r="R20" s="93">
        <v>0.0</v>
      </c>
      <c r="S20" s="93">
        <v>0.0</v>
      </c>
      <c r="T20" s="93">
        <v>0.0</v>
      </c>
      <c r="U20" s="93">
        <v>0.0</v>
      </c>
      <c r="V20" s="93">
        <v>0.0</v>
      </c>
      <c r="W20" s="93">
        <v>0.0</v>
      </c>
      <c r="X20" s="93">
        <v>0.0</v>
      </c>
      <c r="Y20" s="93">
        <v>0.0</v>
      </c>
      <c r="Z20" s="93">
        <v>0.0</v>
      </c>
      <c r="AA20" s="93">
        <v>21.0</v>
      </c>
      <c r="AB20" s="93">
        <v>68.0</v>
      </c>
      <c r="AC20" s="93">
        <v>54.0</v>
      </c>
      <c r="AD20" s="93">
        <v>63.0</v>
      </c>
      <c r="AE20" s="93">
        <v>78.0</v>
      </c>
      <c r="AF20" s="93">
        <v>33.0</v>
      </c>
      <c r="AG20" s="93">
        <v>27.0</v>
      </c>
      <c r="AH20" s="93">
        <v>9.0</v>
      </c>
      <c r="AI20" s="93">
        <v>60.0</v>
      </c>
      <c r="AJ20" s="93">
        <v>15.0</v>
      </c>
      <c r="AK20" s="93">
        <v>18.0</v>
      </c>
      <c r="AL20" s="93">
        <v>24.0</v>
      </c>
      <c r="AM20" s="93">
        <v>9.0</v>
      </c>
      <c r="AN20" s="93">
        <v>15.0</v>
      </c>
      <c r="AO20" s="69">
        <f t="shared" si="3"/>
        <v>405.0</v>
      </c>
      <c r="AP20" s="69">
        <f t="shared" si="4"/>
        <v>141.0</v>
      </c>
      <c r="AQ20" s="69">
        <f t="shared" si="5"/>
        <v>155.1</v>
      </c>
      <c r="AR20" s="47">
        <f t="shared" si="36"/>
        <v>24.5071428571429</v>
      </c>
      <c r="AS20" s="47">
        <f t="shared" si="37"/>
        <v>19.1357142857142</v>
      </c>
      <c r="AT20" s="47">
        <f t="shared" si="38"/>
        <v>38.2714285714286</v>
      </c>
      <c r="AU20" s="47">
        <f t="shared" si="39"/>
        <v>42.6357142857142</v>
      </c>
      <c r="AV20" s="47">
        <f t="shared" si="40"/>
        <v>38.6071428571429</v>
      </c>
      <c r="AW20" s="47">
        <f t="shared" si="41"/>
        <v>31.5571428571429</v>
      </c>
      <c r="AX20" s="64">
        <f t="shared" si="12"/>
        <v>194.714285714286</v>
      </c>
      <c r="AY20" s="64" t="e">
        <f t="shared" si="13"/>
        <v>#REF!</v>
      </c>
      <c r="BB20" s="69" t="e">
        <f t="shared" si="42"/>
        <v>#REF!</v>
      </c>
      <c r="BC20" s="69"/>
      <c r="BE20" s="70"/>
      <c r="BF20" s="95" t="e">
        <f t="shared" si="15"/>
        <v>#REF!</v>
      </c>
      <c r="BG20" s="65">
        <f t="shared" si="16"/>
        <v>24.5071428571429</v>
      </c>
      <c r="BH20" s="65">
        <f t="shared" si="17"/>
      </c>
      <c r="BI20" s="65" t="e">
        <f t="shared" si="18"/>
        <v>#REF!</v>
      </c>
      <c r="BJ20" s="65">
        <f t="shared" si="19"/>
        <v>19.1357142857142</v>
      </c>
      <c r="BK20" s="65">
        <f t="shared" si="20"/>
      </c>
      <c r="BL20" s="65" t="e">
        <f t="shared" si="21"/>
        <v>#REF!</v>
      </c>
      <c r="BM20" s="65">
        <f t="shared" si="22"/>
        <v>38.2714285714286</v>
      </c>
      <c r="BN20" s="65"/>
      <c r="BO20" s="65" t="e">
        <f t="shared" si="23"/>
        <v>#REF!</v>
      </c>
      <c r="BP20" s="65">
        <f t="shared" si="24"/>
        <v>42.6357142857142</v>
      </c>
      <c r="BQ20" s="65"/>
      <c r="BR20" s="65" t="e">
        <f t="shared" si="25"/>
        <v>#REF!</v>
      </c>
      <c r="BS20" s="65">
        <f t="shared" si="26"/>
        <v>38.6071428571429</v>
      </c>
      <c r="BT20" s="65"/>
      <c r="BU20" s="65" t="e">
        <f t="shared" si="27"/>
        <v>#REF!</v>
      </c>
      <c r="BV20" s="65">
        <f t="shared" si="28"/>
        <v>31.5571428571429</v>
      </c>
      <c r="BW20" s="65"/>
      <c r="BX20" s="65" t="e">
        <f t="shared" si="29"/>
        <v>#REF!</v>
      </c>
    </row>
    <row r="21" ht="14.0">
      <c r="A21" s="93" t="s">
        <v>179</v>
      </c>
      <c r="B21" s="93" t="s">
        <v>208</v>
      </c>
      <c r="C21" s="93" t="s">
        <v>211</v>
      </c>
      <c r="D21" s="93" t="s">
        <v>212</v>
      </c>
      <c r="E21" s="93">
        <v>0.0</v>
      </c>
      <c r="F21" s="93">
        <v>0.0</v>
      </c>
      <c r="G21" s="93">
        <v>0.0</v>
      </c>
      <c r="H21" s="93">
        <v>0.0</v>
      </c>
      <c r="I21" s="93">
        <v>0.0</v>
      </c>
      <c r="J21" s="93">
        <v>0.0</v>
      </c>
      <c r="K21" s="93">
        <v>0.0</v>
      </c>
      <c r="L21" s="93">
        <v>0.0</v>
      </c>
      <c r="M21" s="93">
        <v>0.0</v>
      </c>
      <c r="N21" s="93">
        <v>0.0</v>
      </c>
      <c r="O21" s="93">
        <v>0.0</v>
      </c>
      <c r="P21" s="93">
        <v>0.0</v>
      </c>
      <c r="Q21" s="93">
        <v>0.0</v>
      </c>
      <c r="R21" s="93">
        <v>0.0</v>
      </c>
      <c r="S21" s="93">
        <v>0.0</v>
      </c>
      <c r="T21" s="93">
        <v>0.0</v>
      </c>
      <c r="U21" s="93">
        <v>0.0</v>
      </c>
      <c r="V21" s="93">
        <v>0.0</v>
      </c>
      <c r="W21" s="93">
        <v>0.0</v>
      </c>
      <c r="X21" s="93">
        <v>0.0</v>
      </c>
      <c r="Y21" s="93">
        <v>0.0</v>
      </c>
      <c r="Z21" s="93">
        <v>0.0</v>
      </c>
      <c r="AA21" s="93">
        <v>7.0</v>
      </c>
      <c r="AB21" s="93">
        <v>23.0</v>
      </c>
      <c r="AC21" s="93">
        <v>24.0</v>
      </c>
      <c r="AD21" s="93">
        <v>30.0</v>
      </c>
      <c r="AE21" s="93">
        <v>39.0</v>
      </c>
      <c r="AF21" s="93">
        <v>9.0</v>
      </c>
      <c r="AG21" s="93">
        <v>15.0</v>
      </c>
      <c r="AH21" s="93">
        <v>3.0</v>
      </c>
      <c r="AI21" s="93">
        <v>18.0</v>
      </c>
      <c r="AJ21" s="93">
        <v>9.0</v>
      </c>
      <c r="AK21" s="93">
        <v>3.0</v>
      </c>
      <c r="AL21" s="93">
        <v>6.0</v>
      </c>
      <c r="AM21" s="93">
        <v>3.0</v>
      </c>
      <c r="AN21" s="93">
        <v>9.0</v>
      </c>
      <c r="AO21" s="69">
        <f t="shared" si="3"/>
        <v>168.0</v>
      </c>
      <c r="AP21" s="69">
        <f t="shared" si="4"/>
        <v>48.0</v>
      </c>
      <c r="AQ21" s="69">
        <f t="shared" si="5"/>
        <v>52.8</v>
      </c>
      <c r="AR21" s="47">
        <f t="shared" si="36"/>
        <v>8.34285714285714</v>
      </c>
      <c r="AS21" s="47">
        <f t="shared" si="37"/>
        <v>6.51428571428571</v>
      </c>
      <c r="AT21" s="47">
        <f t="shared" si="38"/>
        <v>13.0285714285714</v>
      </c>
      <c r="AU21" s="47">
        <f t="shared" si="39"/>
        <v>14.5142857142857</v>
      </c>
      <c r="AV21" s="47">
        <f t="shared" si="40"/>
        <v>13.1428571428571</v>
      </c>
      <c r="AW21" s="47">
        <f t="shared" si="41"/>
        <v>10.7428571428571</v>
      </c>
      <c r="AX21" s="64">
        <f t="shared" si="12"/>
        <v>66.2857142857141</v>
      </c>
      <c r="AY21" s="64" t="e">
        <f t="shared" si="13"/>
        <v>#REF!</v>
      </c>
      <c r="BB21" s="69" t="e">
        <f t="shared" si="42"/>
        <v>#REF!</v>
      </c>
      <c r="BC21" s="69"/>
      <c r="BE21" s="70"/>
      <c r="BF21" s="95" t="e">
        <f t="shared" si="15"/>
        <v>#REF!</v>
      </c>
      <c r="BG21" s="65">
        <f t="shared" si="16"/>
        <v>8.34285714285714</v>
      </c>
      <c r="BH21" s="65">
        <f t="shared" si="17"/>
      </c>
      <c r="BI21" s="65" t="e">
        <f t="shared" si="18"/>
        <v>#REF!</v>
      </c>
      <c r="BJ21" s="65">
        <f t="shared" si="19"/>
        <v>6.51428571428571</v>
      </c>
      <c r="BK21" s="65">
        <f t="shared" si="20"/>
      </c>
      <c r="BL21" s="65" t="e">
        <f t="shared" si="21"/>
        <v>#REF!</v>
      </c>
      <c r="BM21" s="65">
        <f t="shared" si="22"/>
        <v>13.0285714285714</v>
      </c>
      <c r="BN21" s="65"/>
      <c r="BO21" s="65" t="e">
        <f t="shared" si="23"/>
        <v>#REF!</v>
      </c>
      <c r="BP21" s="65">
        <f t="shared" si="24"/>
        <v>14.5142857142857</v>
      </c>
      <c r="BQ21" s="65"/>
      <c r="BR21" s="65" t="e">
        <f t="shared" si="25"/>
        <v>#REF!</v>
      </c>
      <c r="BS21" s="65">
        <f t="shared" si="26"/>
        <v>13.1428571428571</v>
      </c>
      <c r="BT21" s="65"/>
      <c r="BU21" s="65" t="e">
        <f t="shared" si="27"/>
        <v>#REF!</v>
      </c>
      <c r="BV21" s="65">
        <f t="shared" si="28"/>
        <v>10.7428571428571</v>
      </c>
      <c r="BW21" s="65"/>
      <c r="BX21" s="65" t="e">
        <f t="shared" si="29"/>
        <v>#REF!</v>
      </c>
    </row>
    <row r="22" ht="14.0">
      <c r="A22" s="93" t="s">
        <v>179</v>
      </c>
      <c r="B22" s="93" t="s">
        <v>208</v>
      </c>
      <c r="C22" s="93" t="s">
        <v>213</v>
      </c>
      <c r="D22" s="93" t="s">
        <v>214</v>
      </c>
      <c r="E22" s="93">
        <v>0.0</v>
      </c>
      <c r="F22" s="93">
        <v>0.0</v>
      </c>
      <c r="G22" s="93">
        <v>0.0</v>
      </c>
      <c r="H22" s="93">
        <v>0.0</v>
      </c>
      <c r="I22" s="93">
        <v>0.0</v>
      </c>
      <c r="J22" s="93">
        <v>0.0</v>
      </c>
      <c r="K22" s="93">
        <v>0.0</v>
      </c>
      <c r="L22" s="93">
        <v>0.0</v>
      </c>
      <c r="M22" s="93">
        <v>0.0</v>
      </c>
      <c r="N22" s="93">
        <v>0.0</v>
      </c>
      <c r="O22" s="93">
        <v>0.0</v>
      </c>
      <c r="P22" s="93">
        <v>0.0</v>
      </c>
      <c r="Q22" s="93">
        <v>0.0</v>
      </c>
      <c r="R22" s="93">
        <v>0.0</v>
      </c>
      <c r="S22" s="93">
        <v>0.0</v>
      </c>
      <c r="T22" s="93">
        <v>0.0</v>
      </c>
      <c r="U22" s="93">
        <v>0.0</v>
      </c>
      <c r="V22" s="93">
        <v>0.0</v>
      </c>
      <c r="W22" s="93">
        <v>0.0</v>
      </c>
      <c r="X22" s="93">
        <v>0.0</v>
      </c>
      <c r="Y22" s="93">
        <v>0.0</v>
      </c>
      <c r="Z22" s="93">
        <v>0.0</v>
      </c>
      <c r="AA22" s="93">
        <v>10.0</v>
      </c>
      <c r="AB22" s="93">
        <v>29.0</v>
      </c>
      <c r="AC22" s="93">
        <v>45.0</v>
      </c>
      <c r="AD22" s="93">
        <v>30.0</v>
      </c>
      <c r="AE22" s="93">
        <v>30.0</v>
      </c>
      <c r="AF22" s="93">
        <v>27.0</v>
      </c>
      <c r="AG22" s="93">
        <v>15.0</v>
      </c>
      <c r="AH22" s="93">
        <v>6.0</v>
      </c>
      <c r="AI22" s="93">
        <v>24.0</v>
      </c>
      <c r="AJ22" s="93">
        <v>12.0</v>
      </c>
      <c r="AK22" s="93">
        <v>12.0</v>
      </c>
      <c r="AL22" s="93">
        <v>9.0</v>
      </c>
      <c r="AM22" s="93">
        <v>3.0</v>
      </c>
      <c r="AN22" s="93">
        <v>9.0</v>
      </c>
      <c r="AO22" s="69">
        <f t="shared" si="3"/>
        <v>222.0</v>
      </c>
      <c r="AP22" s="69">
        <f t="shared" si="4"/>
        <v>69.0</v>
      </c>
      <c r="AQ22" s="69">
        <f t="shared" si="5"/>
        <v>75.9</v>
      </c>
      <c r="AR22" s="47">
        <f t="shared" si="36"/>
        <v>11.9928571428571</v>
      </c>
      <c r="AS22" s="47">
        <f t="shared" si="37"/>
        <v>9.36428571428571</v>
      </c>
      <c r="AT22" s="47">
        <f t="shared" si="38"/>
        <v>18.7285714285714</v>
      </c>
      <c r="AU22" s="47">
        <f t="shared" si="39"/>
        <v>20.8642857142857</v>
      </c>
      <c r="AV22" s="47">
        <f t="shared" si="40"/>
        <v>18.8928571428571</v>
      </c>
      <c r="AW22" s="47">
        <f t="shared" si="41"/>
        <v>15.4428571428571</v>
      </c>
      <c r="AX22" s="64">
        <f t="shared" si="12"/>
        <v>95.2857142857141</v>
      </c>
      <c r="AY22" s="64" t="e">
        <f t="shared" si="13"/>
        <v>#REF!</v>
      </c>
      <c r="BB22" s="69" t="e">
        <f t="shared" si="42"/>
        <v>#REF!</v>
      </c>
      <c r="BC22" s="69"/>
      <c r="BE22" s="70"/>
      <c r="BF22" s="95" t="e">
        <f t="shared" si="15"/>
        <v>#REF!</v>
      </c>
      <c r="BG22" s="65">
        <f t="shared" si="16"/>
        <v>11.9928571428571</v>
      </c>
      <c r="BH22" s="65">
        <f t="shared" si="17"/>
      </c>
      <c r="BI22" s="65" t="e">
        <f t="shared" si="18"/>
        <v>#REF!</v>
      </c>
      <c r="BJ22" s="65">
        <f t="shared" si="19"/>
        <v>9.36428571428571</v>
      </c>
      <c r="BK22" s="65">
        <f t="shared" si="20"/>
      </c>
      <c r="BL22" s="65" t="e">
        <f t="shared" si="21"/>
        <v>#REF!</v>
      </c>
      <c r="BM22" s="65">
        <f t="shared" si="22"/>
        <v>18.7285714285714</v>
      </c>
      <c r="BN22" s="65"/>
      <c r="BO22" s="65" t="e">
        <f t="shared" si="23"/>
        <v>#REF!</v>
      </c>
      <c r="BP22" s="65">
        <f t="shared" si="24"/>
        <v>20.8642857142857</v>
      </c>
      <c r="BQ22" s="65"/>
      <c r="BR22" s="65" t="e">
        <f t="shared" si="25"/>
        <v>#REF!</v>
      </c>
      <c r="BS22" s="65">
        <f t="shared" si="26"/>
        <v>18.8928571428571</v>
      </c>
      <c r="BT22" s="65"/>
      <c r="BU22" s="65" t="e">
        <f t="shared" si="27"/>
        <v>#REF!</v>
      </c>
      <c r="BV22" s="65">
        <f t="shared" si="28"/>
        <v>15.4428571428571</v>
      </c>
      <c r="BW22" s="65"/>
      <c r="BX22" s="65" t="e">
        <f t="shared" si="29"/>
        <v>#REF!</v>
      </c>
    </row>
    <row r="23" ht="14.0">
      <c r="A23" s="93" t="s">
        <v>179</v>
      </c>
      <c r="B23" s="93" t="s">
        <v>208</v>
      </c>
      <c r="C23" s="93" t="s">
        <v>215</v>
      </c>
      <c r="D23" s="93" t="s">
        <v>216</v>
      </c>
      <c r="E23" s="93">
        <v>0.0</v>
      </c>
      <c r="F23" s="93">
        <v>0.0</v>
      </c>
      <c r="G23" s="93">
        <v>0.0</v>
      </c>
      <c r="H23" s="93">
        <v>0.0</v>
      </c>
      <c r="I23" s="93">
        <v>0.0</v>
      </c>
      <c r="J23" s="93">
        <v>0.0</v>
      </c>
      <c r="K23" s="93">
        <v>0.0</v>
      </c>
      <c r="L23" s="93">
        <v>0.0</v>
      </c>
      <c r="M23" s="93">
        <v>0.0</v>
      </c>
      <c r="N23" s="93">
        <v>0.0</v>
      </c>
      <c r="O23" s="93">
        <v>0.0</v>
      </c>
      <c r="P23" s="93">
        <v>0.0</v>
      </c>
      <c r="Q23" s="93">
        <v>0.0</v>
      </c>
      <c r="R23" s="93">
        <v>0.0</v>
      </c>
      <c r="S23" s="93">
        <v>0.0</v>
      </c>
      <c r="T23" s="93">
        <v>0.0</v>
      </c>
      <c r="U23" s="93">
        <v>0.0</v>
      </c>
      <c r="V23" s="93">
        <v>0.0</v>
      </c>
      <c r="W23" s="93">
        <v>0.0</v>
      </c>
      <c r="X23" s="93">
        <v>0.0</v>
      </c>
      <c r="Y23" s="93">
        <v>0.0</v>
      </c>
      <c r="Z23" s="93">
        <v>0.0</v>
      </c>
      <c r="AA23" s="93">
        <v>16.0</v>
      </c>
      <c r="AB23" s="93">
        <v>14.0</v>
      </c>
      <c r="AC23" s="93">
        <v>21.0</v>
      </c>
      <c r="AD23" s="93">
        <v>18.0</v>
      </c>
      <c r="AE23" s="93">
        <v>21.0</v>
      </c>
      <c r="AF23" s="93">
        <v>21.0</v>
      </c>
      <c r="AG23" s="93">
        <v>3.0</v>
      </c>
      <c r="AH23" s="93">
        <v>3.0</v>
      </c>
      <c r="AI23" s="93">
        <v>6.0</v>
      </c>
      <c r="AJ23" s="93">
        <v>0.0</v>
      </c>
      <c r="AK23" s="93">
        <v>3.0</v>
      </c>
      <c r="AL23" s="93">
        <v>3.0</v>
      </c>
      <c r="AM23" s="93">
        <v>3.0</v>
      </c>
      <c r="AN23" s="93">
        <v>3.0</v>
      </c>
      <c r="AO23" s="69">
        <f t="shared" si="3"/>
        <v>105.0</v>
      </c>
      <c r="AP23" s="69">
        <f t="shared" si="4"/>
        <v>18.0</v>
      </c>
      <c r="AQ23" s="69">
        <f t="shared" si="5"/>
        <v>19.8</v>
      </c>
      <c r="AR23" s="47">
        <f t="shared" si="36"/>
        <v>3.12857142857142</v>
      </c>
      <c r="AS23" s="47">
        <f t="shared" si="37"/>
        <v>2.44285714285714</v>
      </c>
      <c r="AT23" s="47">
        <f t="shared" si="38"/>
        <v>4.88571428571429</v>
      </c>
      <c r="AU23" s="47">
        <f t="shared" si="39"/>
        <v>5.44285714285714</v>
      </c>
      <c r="AV23" s="47">
        <f t="shared" si="40"/>
        <v>4.92857142857142</v>
      </c>
      <c r="AW23" s="47">
        <f t="shared" si="41"/>
        <v>4.02857142857142</v>
      </c>
      <c r="AX23" s="64">
        <f t="shared" si="12"/>
        <v>24.8571428571428</v>
      </c>
      <c r="AY23" s="64" t="e">
        <f t="shared" si="13"/>
        <v>#REF!</v>
      </c>
      <c r="BB23" s="69" t="e">
        <f t="shared" si="42"/>
        <v>#REF!</v>
      </c>
      <c r="BC23" s="69"/>
      <c r="BE23" s="70"/>
      <c r="BF23" s="95" t="e">
        <f t="shared" si="15"/>
        <v>#REF!</v>
      </c>
      <c r="BG23" s="65">
        <f t="shared" si="16"/>
        <v>3.12857142857142</v>
      </c>
      <c r="BH23" s="65">
        <f t="shared" si="17"/>
      </c>
      <c r="BI23" s="65" t="e">
        <f t="shared" si="18"/>
        <v>#REF!</v>
      </c>
      <c r="BJ23" s="65">
        <f t="shared" si="19"/>
        <v>2.44285714285714</v>
      </c>
      <c r="BK23" s="65">
        <f t="shared" si="20"/>
      </c>
      <c r="BL23" s="65" t="e">
        <f t="shared" si="21"/>
        <v>#REF!</v>
      </c>
      <c r="BM23" s="65">
        <f t="shared" si="22"/>
        <v>4.88571428571429</v>
      </c>
      <c r="BN23" s="65"/>
      <c r="BO23" s="65" t="e">
        <f t="shared" si="23"/>
        <v>#REF!</v>
      </c>
      <c r="BP23" s="65">
        <f t="shared" si="24"/>
        <v>5.44285714285714</v>
      </c>
      <c r="BQ23" s="65"/>
      <c r="BR23" s="65" t="e">
        <f t="shared" si="25"/>
        <v>#REF!</v>
      </c>
      <c r="BS23" s="65">
        <f t="shared" si="26"/>
        <v>4.92857142857142</v>
      </c>
      <c r="BT23" s="65"/>
      <c r="BU23" s="65" t="e">
        <f t="shared" si="27"/>
        <v>#REF!</v>
      </c>
      <c r="BV23" s="65">
        <f t="shared" si="28"/>
        <v>4.02857142857142</v>
      </c>
      <c r="BW23" s="65"/>
      <c r="BX23" s="65" t="e">
        <f t="shared" si="29"/>
        <v>#REF!</v>
      </c>
    </row>
    <row r="24" ht="14.0">
      <c r="A24" s="93" t="s">
        <v>179</v>
      </c>
      <c r="B24" s="93" t="s">
        <v>208</v>
      </c>
      <c r="C24" s="93" t="s">
        <v>217</v>
      </c>
      <c r="D24" s="93" t="s">
        <v>218</v>
      </c>
      <c r="E24" s="93">
        <v>0.0</v>
      </c>
      <c r="F24" s="93">
        <v>0.0</v>
      </c>
      <c r="G24" s="93">
        <v>0.0</v>
      </c>
      <c r="H24" s="93">
        <v>0.0</v>
      </c>
      <c r="I24" s="93">
        <v>0.0</v>
      </c>
      <c r="J24" s="93">
        <v>0.0</v>
      </c>
      <c r="K24" s="93">
        <v>0.0</v>
      </c>
      <c r="L24" s="93">
        <v>0.0</v>
      </c>
      <c r="M24" s="93">
        <v>0.0</v>
      </c>
      <c r="N24" s="93">
        <v>0.0</v>
      </c>
      <c r="O24" s="93">
        <v>0.0</v>
      </c>
      <c r="P24" s="93">
        <v>0.0</v>
      </c>
      <c r="Q24" s="93">
        <v>0.0</v>
      </c>
      <c r="R24" s="93">
        <v>0.0</v>
      </c>
      <c r="S24" s="93">
        <v>0.0</v>
      </c>
      <c r="T24" s="93">
        <v>0.0</v>
      </c>
      <c r="U24" s="93">
        <v>0.0</v>
      </c>
      <c r="V24" s="93">
        <v>0.0</v>
      </c>
      <c r="W24" s="93">
        <v>0.0</v>
      </c>
      <c r="X24" s="93">
        <v>0.0</v>
      </c>
      <c r="Y24" s="93">
        <v>0.0</v>
      </c>
      <c r="Z24" s="93">
        <v>0.0</v>
      </c>
      <c r="AA24" s="93">
        <v>24.0</v>
      </c>
      <c r="AB24" s="93">
        <v>53.0</v>
      </c>
      <c r="AC24" s="93">
        <v>57.0</v>
      </c>
      <c r="AD24" s="93">
        <v>84.0</v>
      </c>
      <c r="AE24" s="93">
        <v>70.0</v>
      </c>
      <c r="AF24" s="93">
        <v>39.0</v>
      </c>
      <c r="AG24" s="93">
        <v>9.0</v>
      </c>
      <c r="AH24" s="93">
        <v>9.0</v>
      </c>
      <c r="AI24" s="93">
        <v>21.0</v>
      </c>
      <c r="AJ24" s="93">
        <v>24.0</v>
      </c>
      <c r="AK24" s="93">
        <v>12.0</v>
      </c>
      <c r="AL24" s="93">
        <v>3.0</v>
      </c>
      <c r="AM24" s="93">
        <v>3.0</v>
      </c>
      <c r="AN24" s="93">
        <v>3.0</v>
      </c>
      <c r="AO24" s="69">
        <f t="shared" si="3"/>
        <v>334.0</v>
      </c>
      <c r="AP24" s="69">
        <f t="shared" si="4"/>
        <v>66.0</v>
      </c>
      <c r="AQ24" s="69">
        <f t="shared" si="5"/>
        <v>72.6</v>
      </c>
      <c r="AR24" s="47">
        <f t="shared" si="36"/>
        <v>11.4714285714286</v>
      </c>
      <c r="AS24" s="47">
        <f t="shared" si="37"/>
        <v>8.95714285714286</v>
      </c>
      <c r="AT24" s="47">
        <f t="shared" si="38"/>
        <v>17.9142857142857</v>
      </c>
      <c r="AU24" s="47">
        <f t="shared" si="39"/>
        <v>19.957142857142</v>
      </c>
      <c r="AV24" s="47">
        <f t="shared" si="40"/>
        <v>18.071428571429</v>
      </c>
      <c r="AW24" s="47">
        <f t="shared" si="41"/>
        <v>14.771428571429</v>
      </c>
      <c r="AX24" s="64">
        <f t="shared" si="12"/>
        <v>91.1428571428571</v>
      </c>
      <c r="AY24" s="64" t="e">
        <f t="shared" si="13"/>
        <v>#REF!</v>
      </c>
      <c r="BB24" s="69" t="e">
        <f t="shared" si="42"/>
        <v>#REF!</v>
      </c>
      <c r="BC24" s="69"/>
      <c r="BE24" s="70"/>
      <c r="BF24" s="95" t="e">
        <f t="shared" si="15"/>
        <v>#REF!</v>
      </c>
      <c r="BG24" s="65">
        <f t="shared" si="16"/>
        <v>11.4714285714286</v>
      </c>
      <c r="BH24" s="65">
        <f t="shared" si="17"/>
      </c>
      <c r="BI24" s="65" t="e">
        <f t="shared" si="18"/>
        <v>#REF!</v>
      </c>
      <c r="BJ24" s="65">
        <f t="shared" si="19"/>
        <v>8.95714285714286</v>
      </c>
      <c r="BK24" s="65">
        <f t="shared" si="20"/>
      </c>
      <c r="BL24" s="65" t="e">
        <f t="shared" si="21"/>
        <v>#REF!</v>
      </c>
      <c r="BM24" s="65">
        <f t="shared" si="22"/>
        <v>17.9142857142857</v>
      </c>
      <c r="BN24" s="65"/>
      <c r="BO24" s="65" t="e">
        <f t="shared" si="23"/>
        <v>#REF!</v>
      </c>
      <c r="BP24" s="65">
        <f t="shared" si="24"/>
        <v>19.957142857142</v>
      </c>
      <c r="BQ24" s="65"/>
      <c r="BR24" s="65" t="e">
        <f t="shared" si="25"/>
        <v>#REF!</v>
      </c>
      <c r="BS24" s="65">
        <f t="shared" si="26"/>
        <v>18.071428571429</v>
      </c>
      <c r="BT24" s="65"/>
      <c r="BU24" s="65" t="e">
        <f t="shared" si="27"/>
        <v>#REF!</v>
      </c>
      <c r="BV24" s="65">
        <f t="shared" si="28"/>
        <v>14.771428571429</v>
      </c>
      <c r="BW24" s="65"/>
      <c r="BX24" s="65" t="e">
        <f t="shared" si="29"/>
        <v>#REF!</v>
      </c>
    </row>
    <row r="25" ht="14.0">
      <c r="A25" s="93" t="s">
        <v>179</v>
      </c>
      <c r="B25" s="93" t="s">
        <v>208</v>
      </c>
      <c r="C25" s="93" t="s">
        <v>219</v>
      </c>
      <c r="D25" s="93" t="s">
        <v>220</v>
      </c>
      <c r="E25" s="93">
        <v>0.0</v>
      </c>
      <c r="F25" s="93">
        <v>0.0</v>
      </c>
      <c r="G25" s="93">
        <v>0.0</v>
      </c>
      <c r="H25" s="93">
        <v>0.0</v>
      </c>
      <c r="I25" s="93">
        <v>0.0</v>
      </c>
      <c r="J25" s="93">
        <v>0.0</v>
      </c>
      <c r="K25" s="93">
        <v>0.0</v>
      </c>
      <c r="L25" s="93">
        <v>0.0</v>
      </c>
      <c r="M25" s="93">
        <v>0.0</v>
      </c>
      <c r="N25" s="93">
        <v>0.0</v>
      </c>
      <c r="O25" s="93">
        <v>0.0</v>
      </c>
      <c r="P25" s="93">
        <v>0.0</v>
      </c>
      <c r="Q25" s="93">
        <v>0.0</v>
      </c>
      <c r="R25" s="93">
        <v>0.0</v>
      </c>
      <c r="S25" s="93">
        <v>0.0</v>
      </c>
      <c r="T25" s="93">
        <v>0.0</v>
      </c>
      <c r="U25" s="93">
        <v>0.0</v>
      </c>
      <c r="V25" s="93">
        <v>0.0</v>
      </c>
      <c r="W25" s="93">
        <v>0.0</v>
      </c>
      <c r="X25" s="93">
        <v>0.0</v>
      </c>
      <c r="Y25" s="93">
        <v>0.0</v>
      </c>
      <c r="Z25" s="93">
        <v>0.0</v>
      </c>
      <c r="AA25" s="93">
        <v>21.0</v>
      </c>
      <c r="AB25" s="93">
        <v>26.0</v>
      </c>
      <c r="AC25" s="93">
        <v>51.0</v>
      </c>
      <c r="AD25" s="93">
        <v>84.0</v>
      </c>
      <c r="AE25" s="93">
        <v>51.0</v>
      </c>
      <c r="AF25" s="93">
        <v>54.0</v>
      </c>
      <c r="AG25" s="93">
        <v>27.0</v>
      </c>
      <c r="AH25" s="93">
        <v>6.0</v>
      </c>
      <c r="AI25" s="93">
        <v>30.0</v>
      </c>
      <c r="AJ25" s="93">
        <v>21.0</v>
      </c>
      <c r="AK25" s="93">
        <v>12.0</v>
      </c>
      <c r="AL25" s="93">
        <v>12.0</v>
      </c>
      <c r="AM25" s="93">
        <v>0.0</v>
      </c>
      <c r="AN25" s="93">
        <v>12.0</v>
      </c>
      <c r="AO25" s="69">
        <f t="shared" si="3"/>
        <v>360.0</v>
      </c>
      <c r="AP25" s="69">
        <f t="shared" si="4"/>
        <v>87.0</v>
      </c>
      <c r="AQ25" s="69">
        <f t="shared" si="5"/>
        <v>95.7</v>
      </c>
      <c r="AR25" s="47">
        <f t="shared" si="36"/>
        <v>15.1214285714286</v>
      </c>
      <c r="AS25" s="47">
        <f t="shared" si="37"/>
        <v>11.8071428571429</v>
      </c>
      <c r="AT25" s="47">
        <f t="shared" si="38"/>
        <v>23.6142857142857</v>
      </c>
      <c r="AU25" s="47">
        <f t="shared" si="39"/>
        <v>26.3071428571429</v>
      </c>
      <c r="AV25" s="47">
        <f t="shared" si="40"/>
        <v>23.821428571429</v>
      </c>
      <c r="AW25" s="47">
        <f t="shared" si="41"/>
        <v>19.4714285714286</v>
      </c>
      <c r="AX25" s="64">
        <f t="shared" si="12"/>
        <v>120.1428571429</v>
      </c>
      <c r="AY25" s="64" t="e">
        <f t="shared" si="13"/>
        <v>#REF!</v>
      </c>
      <c r="BB25" s="69" t="e">
        <f t="shared" si="42"/>
        <v>#REF!</v>
      </c>
      <c r="BC25" s="69"/>
      <c r="BE25" s="70"/>
      <c r="BF25" s="95" t="e">
        <f t="shared" si="15"/>
        <v>#REF!</v>
      </c>
      <c r="BG25" s="65">
        <f t="shared" si="16"/>
        <v>15.1214285714286</v>
      </c>
      <c r="BH25" s="65">
        <f t="shared" si="17"/>
      </c>
      <c r="BI25" s="65" t="e">
        <f t="shared" si="18"/>
        <v>#REF!</v>
      </c>
      <c r="BJ25" s="65">
        <f t="shared" si="19"/>
        <v>11.8071428571429</v>
      </c>
      <c r="BK25" s="65">
        <f t="shared" si="20"/>
      </c>
      <c r="BL25" s="65" t="e">
        <f t="shared" si="21"/>
        <v>#REF!</v>
      </c>
      <c r="BM25" s="65">
        <f t="shared" si="22"/>
        <v>23.6142857142857</v>
      </c>
      <c r="BN25" s="65"/>
      <c r="BO25" s="65" t="e">
        <f t="shared" si="23"/>
        <v>#REF!</v>
      </c>
      <c r="BP25" s="65">
        <f t="shared" si="24"/>
        <v>26.3071428571429</v>
      </c>
      <c r="BQ25" s="65"/>
      <c r="BR25" s="65" t="e">
        <f t="shared" si="25"/>
        <v>#REF!</v>
      </c>
      <c r="BS25" s="65">
        <f t="shared" si="26"/>
        <v>23.821428571429</v>
      </c>
      <c r="BT25" s="65"/>
      <c r="BU25" s="65" t="e">
        <f t="shared" si="27"/>
        <v>#REF!</v>
      </c>
      <c r="BV25" s="65">
        <f t="shared" si="28"/>
        <v>19.4714285714286</v>
      </c>
      <c r="BW25" s="65"/>
      <c r="BX25" s="65" t="e">
        <f t="shared" si="29"/>
        <v>#REF!</v>
      </c>
    </row>
    <row r="26" ht="14.0">
      <c r="A26" s="93" t="s">
        <v>179</v>
      </c>
      <c r="B26" s="93" t="s">
        <v>208</v>
      </c>
      <c r="C26" s="93" t="s">
        <v>221</v>
      </c>
      <c r="D26" s="93" t="s">
        <v>222</v>
      </c>
      <c r="E26" s="93">
        <v>0.0</v>
      </c>
      <c r="F26" s="93">
        <v>0.0</v>
      </c>
      <c r="G26" s="93">
        <v>0.0</v>
      </c>
      <c r="H26" s="93">
        <v>0.0</v>
      </c>
      <c r="I26" s="93">
        <v>0.0</v>
      </c>
      <c r="J26" s="93">
        <v>0.0</v>
      </c>
      <c r="K26" s="93">
        <v>0.0</v>
      </c>
      <c r="L26" s="93">
        <v>0.0</v>
      </c>
      <c r="M26" s="93">
        <v>0.0</v>
      </c>
      <c r="N26" s="93">
        <v>0.0</v>
      </c>
      <c r="O26" s="93">
        <v>0.0</v>
      </c>
      <c r="P26" s="93">
        <v>0.0</v>
      </c>
      <c r="Q26" s="93">
        <v>0.0</v>
      </c>
      <c r="R26" s="93">
        <v>0.0</v>
      </c>
      <c r="S26" s="93">
        <v>0.0</v>
      </c>
      <c r="T26" s="93">
        <v>0.0</v>
      </c>
      <c r="U26" s="93">
        <v>0.0</v>
      </c>
      <c r="V26" s="93">
        <v>0.0</v>
      </c>
      <c r="W26" s="93">
        <v>0.0</v>
      </c>
      <c r="X26" s="93">
        <v>0.0</v>
      </c>
      <c r="Y26" s="93">
        <v>0.0</v>
      </c>
      <c r="Z26" s="93">
        <v>0.0</v>
      </c>
      <c r="AA26" s="93">
        <v>0.0</v>
      </c>
      <c r="AB26" s="93">
        <v>0.0</v>
      </c>
      <c r="AC26" s="93">
        <v>0.0</v>
      </c>
      <c r="AD26" s="93">
        <v>0.0</v>
      </c>
      <c r="AE26" s="93">
        <v>0.0</v>
      </c>
      <c r="AF26" s="93">
        <v>0.0</v>
      </c>
      <c r="AG26" s="93">
        <v>0.0</v>
      </c>
      <c r="AH26" s="93">
        <v>0.0</v>
      </c>
      <c r="AI26" s="93">
        <v>0.0</v>
      </c>
      <c r="AJ26" s="93">
        <v>0.0</v>
      </c>
      <c r="AK26" s="93">
        <v>121.0</v>
      </c>
      <c r="AL26" s="93">
        <v>120.0</v>
      </c>
      <c r="AM26" s="93">
        <v>39.0</v>
      </c>
      <c r="AN26" s="93">
        <v>48.0</v>
      </c>
      <c r="AO26" s="69">
        <f t="shared" si="3"/>
        <v>328.0</v>
      </c>
      <c r="AP26" s="69">
        <f t="shared" si="4"/>
        <v>328.0</v>
      </c>
      <c r="AQ26" s="69">
        <f t="shared" si="5"/>
        <v>360.8</v>
      </c>
      <c r="AR26" s="94">
        <f t="shared" si="36"/>
        <v>57.0095238095238</v>
      </c>
      <c r="AS26" s="94">
        <f t="shared" si="37"/>
        <v>44.5142857142857</v>
      </c>
      <c r="AT26" s="94">
        <f t="shared" si="38"/>
        <v>89.0285714285714</v>
      </c>
      <c r="AU26" s="94">
        <f t="shared" si="39"/>
        <v>99.1809523809523</v>
      </c>
      <c r="AV26" s="94">
        <f t="shared" si="40"/>
        <v>89.8095238095238</v>
      </c>
      <c r="AW26" s="94">
        <f t="shared" si="41"/>
        <v>73.4095238095238</v>
      </c>
      <c r="AX26" s="64">
        <f t="shared" si="12"/>
        <v>452.95238095238</v>
      </c>
      <c r="AY26" s="64" t="e">
        <f t="shared" si="13"/>
        <v>#REF!</v>
      </c>
      <c r="AZ26" s="64" t="e">
        <f t="shared" ref="AZ26:AZ29" si="44">VLOOKUP(C26,CHINAAUGUST,3,false)</f>
        <v>#REF!</v>
      </c>
      <c r="BB26" s="69" t="e">
        <f t="shared" si="42"/>
        <v>#REF!</v>
      </c>
      <c r="BC26" s="69"/>
      <c r="BE26" s="70"/>
      <c r="BF26" s="95" t="e">
        <f t="shared" si="15"/>
        <v>#REF!</v>
      </c>
      <c r="BG26" s="65">
        <f t="shared" si="16"/>
        <v>57.0095238095238</v>
      </c>
      <c r="BH26" s="65" t="e">
        <f t="shared" si="17"/>
        <v>#REF!</v>
      </c>
      <c r="BI26" s="65" t="e">
        <f t="shared" si="18"/>
        <v>#REF!</v>
      </c>
      <c r="BJ26" s="65">
        <f t="shared" si="19"/>
        <v>44.5142857142857</v>
      </c>
      <c r="BK26" s="65">
        <f t="shared" si="20"/>
      </c>
      <c r="BL26" s="65" t="e">
        <f t="shared" si="21"/>
        <v>#REF!</v>
      </c>
      <c r="BM26" s="65">
        <f t="shared" si="22"/>
        <v>89.0285714285714</v>
      </c>
      <c r="BN26" s="65"/>
      <c r="BO26" s="65" t="e">
        <f t="shared" si="23"/>
        <v>#REF!</v>
      </c>
      <c r="BP26" s="65">
        <f t="shared" si="24"/>
        <v>99.1809523809523</v>
      </c>
      <c r="BQ26" s="65"/>
      <c r="BR26" s="65" t="e">
        <f t="shared" si="25"/>
        <v>#REF!</v>
      </c>
      <c r="BS26" s="65">
        <f t="shared" si="26"/>
        <v>89.8095238095238</v>
      </c>
      <c r="BT26" s="65"/>
      <c r="BU26" s="65" t="e">
        <f t="shared" si="27"/>
        <v>#REF!</v>
      </c>
      <c r="BV26" s="65">
        <f t="shared" si="28"/>
        <v>73.4095238095238</v>
      </c>
      <c r="BW26" s="65"/>
      <c r="BX26" s="65" t="e">
        <f t="shared" si="29"/>
        <v>#REF!</v>
      </c>
    </row>
    <row r="27" ht="14.0">
      <c r="A27" s="93" t="s">
        <v>179</v>
      </c>
      <c r="B27" s="93" t="s">
        <v>208</v>
      </c>
      <c r="C27" s="93" t="s">
        <v>223</v>
      </c>
      <c r="D27" s="93" t="s">
        <v>224</v>
      </c>
      <c r="E27" s="93">
        <v>0.0</v>
      </c>
      <c r="F27" s="93">
        <v>0.0</v>
      </c>
      <c r="G27" s="93">
        <v>0.0</v>
      </c>
      <c r="H27" s="93">
        <v>0.0</v>
      </c>
      <c r="I27" s="93">
        <v>0.0</v>
      </c>
      <c r="J27" s="93">
        <v>0.0</v>
      </c>
      <c r="K27" s="93">
        <v>0.0</v>
      </c>
      <c r="L27" s="93">
        <v>0.0</v>
      </c>
      <c r="M27" s="93">
        <v>0.0</v>
      </c>
      <c r="N27" s="93">
        <v>0.0</v>
      </c>
      <c r="O27" s="93">
        <v>0.0</v>
      </c>
      <c r="P27" s="93">
        <v>0.0</v>
      </c>
      <c r="Q27" s="93">
        <v>0.0</v>
      </c>
      <c r="R27" s="93">
        <v>0.0</v>
      </c>
      <c r="S27" s="93">
        <v>0.0</v>
      </c>
      <c r="T27" s="93">
        <v>0.0</v>
      </c>
      <c r="U27" s="93">
        <v>0.0</v>
      </c>
      <c r="V27" s="93">
        <v>0.0</v>
      </c>
      <c r="W27" s="93">
        <v>0.0</v>
      </c>
      <c r="X27" s="93">
        <v>0.0</v>
      </c>
      <c r="Y27" s="93">
        <v>0.0</v>
      </c>
      <c r="Z27" s="93">
        <v>0.0</v>
      </c>
      <c r="AA27" s="93">
        <v>0.0</v>
      </c>
      <c r="AB27" s="93">
        <v>0.0</v>
      </c>
      <c r="AC27" s="93">
        <v>0.0</v>
      </c>
      <c r="AD27" s="93">
        <v>0.0</v>
      </c>
      <c r="AE27" s="93">
        <v>0.0</v>
      </c>
      <c r="AF27" s="93">
        <v>0.0</v>
      </c>
      <c r="AG27" s="93">
        <v>0.0</v>
      </c>
      <c r="AH27" s="93">
        <v>0.0</v>
      </c>
      <c r="AI27" s="93">
        <v>0.0</v>
      </c>
      <c r="AJ27" s="93">
        <v>0.0</v>
      </c>
      <c r="AK27" s="93">
        <v>74.0</v>
      </c>
      <c r="AL27" s="93">
        <v>90.0</v>
      </c>
      <c r="AM27" s="93">
        <v>33.0</v>
      </c>
      <c r="AN27" s="93">
        <v>21.0</v>
      </c>
      <c r="AO27" s="69">
        <f t="shared" si="3"/>
        <v>218.0</v>
      </c>
      <c r="AP27" s="69">
        <f t="shared" si="4"/>
        <v>218.0</v>
      </c>
      <c r="AQ27" s="69">
        <f t="shared" si="5"/>
        <v>239.8</v>
      </c>
      <c r="AR27" s="96">
        <f t="shared" si="36"/>
        <v>37.8904761904761</v>
      </c>
      <c r="AS27" s="96">
        <f t="shared" si="37"/>
        <v>29.5857142857142</v>
      </c>
      <c r="AT27" s="96">
        <f t="shared" si="38"/>
        <v>59.1714285714286</v>
      </c>
      <c r="AU27" s="96">
        <f t="shared" si="39"/>
        <v>65.9190476190476</v>
      </c>
      <c r="AV27" s="96">
        <f t="shared" si="40"/>
        <v>59.6904761904761</v>
      </c>
      <c r="AW27" s="96">
        <f t="shared" si="41"/>
        <v>48.7904761904761</v>
      </c>
      <c r="AX27" s="64">
        <f t="shared" si="12"/>
        <v>301.04761904761</v>
      </c>
      <c r="AY27" s="64" t="e">
        <f t="shared" si="13"/>
        <v>#REF!</v>
      </c>
      <c r="AZ27" s="64" t="e">
        <f t="shared" si="44"/>
        <v>#REF!</v>
      </c>
      <c r="BB27" s="69" t="e">
        <f t="shared" si="42"/>
        <v>#REF!</v>
      </c>
      <c r="BC27" s="69"/>
      <c r="BE27" s="70"/>
      <c r="BF27" s="95" t="e">
        <f t="shared" si="15"/>
        <v>#REF!</v>
      </c>
      <c r="BG27" s="65">
        <f t="shared" si="16"/>
        <v>37.8904761904761</v>
      </c>
      <c r="BH27" s="65" t="e">
        <f t="shared" si="17"/>
        <v>#REF!</v>
      </c>
      <c r="BI27" s="65" t="e">
        <f t="shared" si="18"/>
        <v>#REF!</v>
      </c>
      <c r="BJ27" s="65">
        <f t="shared" si="19"/>
        <v>29.5857142857142</v>
      </c>
      <c r="BK27" s="65">
        <f t="shared" si="20"/>
      </c>
      <c r="BL27" s="65" t="e">
        <f t="shared" si="21"/>
        <v>#REF!</v>
      </c>
      <c r="BM27" s="65">
        <f t="shared" si="22"/>
        <v>59.1714285714286</v>
      </c>
      <c r="BN27" s="65"/>
      <c r="BO27" s="65" t="e">
        <f t="shared" si="23"/>
        <v>#REF!</v>
      </c>
      <c r="BP27" s="65">
        <f t="shared" si="24"/>
        <v>65.9190476190476</v>
      </c>
      <c r="BQ27" s="65"/>
      <c r="BR27" s="65" t="e">
        <f t="shared" si="25"/>
        <v>#REF!</v>
      </c>
      <c r="BS27" s="65">
        <f t="shared" si="26"/>
        <v>59.6904761904761</v>
      </c>
      <c r="BT27" s="65"/>
      <c r="BU27" s="65" t="e">
        <f t="shared" si="27"/>
        <v>#REF!</v>
      </c>
      <c r="BV27" s="65">
        <f t="shared" si="28"/>
        <v>48.7904761904761</v>
      </c>
      <c r="BW27" s="65"/>
      <c r="BX27" s="65" t="e">
        <f t="shared" si="29"/>
        <v>#REF!</v>
      </c>
    </row>
    <row r="28" ht="14.0">
      <c r="A28" s="93" t="s">
        <v>179</v>
      </c>
      <c r="B28" s="93" t="s">
        <v>63</v>
      </c>
      <c r="C28" s="93" t="s">
        <v>225</v>
      </c>
      <c r="D28" s="93" t="s">
        <v>226</v>
      </c>
      <c r="E28" s="93">
        <v>0.0</v>
      </c>
      <c r="F28" s="93">
        <v>0.0</v>
      </c>
      <c r="G28" s="93">
        <v>0.0</v>
      </c>
      <c r="H28" s="93">
        <v>0.0</v>
      </c>
      <c r="I28" s="93">
        <v>0.0</v>
      </c>
      <c r="J28" s="93">
        <v>0.0</v>
      </c>
      <c r="K28" s="93">
        <v>0.0</v>
      </c>
      <c r="L28" s="93">
        <v>0.0</v>
      </c>
      <c r="M28" s="93">
        <v>0.0</v>
      </c>
      <c r="N28" s="93">
        <v>0.0</v>
      </c>
      <c r="O28" s="93">
        <v>0.0</v>
      </c>
      <c r="P28" s="93">
        <v>0.0</v>
      </c>
      <c r="Q28" s="93">
        <v>0.0</v>
      </c>
      <c r="R28" s="93">
        <v>0.0</v>
      </c>
      <c r="S28" s="93">
        <v>0.0</v>
      </c>
      <c r="T28" s="93">
        <v>0.0</v>
      </c>
      <c r="U28" s="93">
        <v>0.0</v>
      </c>
      <c r="V28" s="93">
        <v>0.0</v>
      </c>
      <c r="W28" s="93">
        <v>0.0</v>
      </c>
      <c r="X28" s="93">
        <v>0.0</v>
      </c>
      <c r="Y28" s="93">
        <v>0.0</v>
      </c>
      <c r="Z28" s="93">
        <v>0.0</v>
      </c>
      <c r="AA28" s="93">
        <v>0.0</v>
      </c>
      <c r="AB28" s="93">
        <v>0.0</v>
      </c>
      <c r="AC28" s="93">
        <v>0.0</v>
      </c>
      <c r="AD28" s="93">
        <v>0.0</v>
      </c>
      <c r="AE28" s="93">
        <v>0.0</v>
      </c>
      <c r="AF28" s="93">
        <v>0.0</v>
      </c>
      <c r="AG28" s="93">
        <v>0.0</v>
      </c>
      <c r="AH28" s="93">
        <v>0.0</v>
      </c>
      <c r="AI28" s="93">
        <v>0.0</v>
      </c>
      <c r="AJ28" s="93">
        <v>27.0</v>
      </c>
      <c r="AK28" s="93">
        <v>189.0</v>
      </c>
      <c r="AL28" s="93">
        <v>195.0</v>
      </c>
      <c r="AM28" s="93">
        <v>88.0</v>
      </c>
      <c r="AN28" s="93">
        <v>90.0</v>
      </c>
      <c r="AO28" s="69">
        <f t="shared" si="3"/>
        <v>589.0</v>
      </c>
      <c r="AP28" s="69">
        <f t="shared" si="4"/>
        <v>589.0</v>
      </c>
      <c r="AQ28" s="69">
        <f t="shared" si="5"/>
        <v>647.9</v>
      </c>
      <c r="AR28" s="94">
        <f t="shared" si="36"/>
        <v>102.37380952381</v>
      </c>
      <c r="AS28" s="94">
        <f t="shared" si="37"/>
        <v>79.9357142857142</v>
      </c>
      <c r="AT28" s="94">
        <f t="shared" si="38"/>
        <v>159.871428571429</v>
      </c>
      <c r="AU28" s="94">
        <f t="shared" si="39"/>
        <v>178.10238095238</v>
      </c>
      <c r="AV28" s="94">
        <f t="shared" si="40"/>
        <v>161.27380952381</v>
      </c>
      <c r="AW28" s="94">
        <f t="shared" si="41"/>
        <v>131.8238095238</v>
      </c>
      <c r="AX28" s="64">
        <f t="shared" si="12"/>
        <v>813.380952380943</v>
      </c>
      <c r="AY28" s="64" t="e">
        <f t="shared" si="13"/>
        <v>#REF!</v>
      </c>
      <c r="AZ28" s="64" t="e">
        <f t="shared" si="44"/>
        <v>#REF!</v>
      </c>
      <c r="BB28" s="69" t="e">
        <f t="shared" si="42"/>
        <v>#REF!</v>
      </c>
      <c r="BC28" s="69"/>
      <c r="BE28" s="70"/>
      <c r="BF28" s="95" t="e">
        <f t="shared" si="15"/>
        <v>#REF!</v>
      </c>
      <c r="BG28" s="65">
        <f t="shared" si="16"/>
        <v>102.37380952381</v>
      </c>
      <c r="BH28" s="65" t="e">
        <f t="shared" si="17"/>
        <v>#REF!</v>
      </c>
      <c r="BI28" s="65" t="e">
        <f t="shared" si="18"/>
        <v>#REF!</v>
      </c>
      <c r="BJ28" s="65">
        <f t="shared" si="19"/>
        <v>79.9357142857142</v>
      </c>
      <c r="BK28" s="65">
        <f t="shared" si="20"/>
      </c>
      <c r="BL28" s="65" t="e">
        <f t="shared" si="21"/>
        <v>#REF!</v>
      </c>
      <c r="BM28" s="65">
        <f t="shared" si="22"/>
        <v>159.871428571429</v>
      </c>
      <c r="BN28" s="65"/>
      <c r="BO28" s="65" t="e">
        <f t="shared" si="23"/>
        <v>#REF!</v>
      </c>
      <c r="BP28" s="65">
        <f t="shared" si="24"/>
        <v>178.10238095238</v>
      </c>
      <c r="BQ28" s="65"/>
      <c r="BR28" s="65" t="e">
        <f t="shared" si="25"/>
        <v>#REF!</v>
      </c>
      <c r="BS28" s="65">
        <f t="shared" si="26"/>
        <v>161.27380952381</v>
      </c>
      <c r="BT28" s="65"/>
      <c r="BU28" s="65" t="e">
        <f t="shared" si="27"/>
        <v>#REF!</v>
      </c>
      <c r="BV28" s="65">
        <f t="shared" si="28"/>
        <v>131.8238095238</v>
      </c>
      <c r="BW28" s="65"/>
      <c r="BX28" s="65" t="e">
        <f t="shared" si="29"/>
        <v>#REF!</v>
      </c>
    </row>
    <row r="29" ht="14.0">
      <c r="A29" s="93" t="s">
        <v>179</v>
      </c>
      <c r="B29" s="93" t="s">
        <v>63</v>
      </c>
      <c r="C29" s="93" t="s">
        <v>227</v>
      </c>
      <c r="D29" s="93" t="s">
        <v>228</v>
      </c>
      <c r="E29" s="93">
        <v>0.0</v>
      </c>
      <c r="F29" s="93">
        <v>0.0</v>
      </c>
      <c r="G29" s="93">
        <v>0.0</v>
      </c>
      <c r="H29" s="93">
        <v>0.0</v>
      </c>
      <c r="I29" s="93">
        <v>0.0</v>
      </c>
      <c r="J29" s="93">
        <v>0.0</v>
      </c>
      <c r="K29" s="93">
        <v>0.0</v>
      </c>
      <c r="L29" s="93">
        <v>0.0</v>
      </c>
      <c r="M29" s="93">
        <v>0.0</v>
      </c>
      <c r="N29" s="93">
        <v>0.0</v>
      </c>
      <c r="O29" s="93">
        <v>0.0</v>
      </c>
      <c r="P29" s="93">
        <v>0.0</v>
      </c>
      <c r="Q29" s="93">
        <v>0.0</v>
      </c>
      <c r="R29" s="93">
        <v>0.0</v>
      </c>
      <c r="S29" s="93">
        <v>0.0</v>
      </c>
      <c r="T29" s="93">
        <v>0.0</v>
      </c>
      <c r="U29" s="93">
        <v>0.0</v>
      </c>
      <c r="V29" s="93">
        <v>0.0</v>
      </c>
      <c r="W29" s="93">
        <v>0.0</v>
      </c>
      <c r="X29" s="93">
        <v>0.0</v>
      </c>
      <c r="Y29" s="93">
        <v>0.0</v>
      </c>
      <c r="Z29" s="93">
        <v>0.0</v>
      </c>
      <c r="AA29" s="93">
        <v>0.0</v>
      </c>
      <c r="AB29" s="93">
        <v>0.0</v>
      </c>
      <c r="AC29" s="93">
        <v>0.0</v>
      </c>
      <c r="AD29" s="93">
        <v>0.0</v>
      </c>
      <c r="AE29" s="93">
        <v>0.0</v>
      </c>
      <c r="AF29" s="93">
        <v>0.0</v>
      </c>
      <c r="AG29" s="93">
        <v>0.0</v>
      </c>
      <c r="AH29" s="93">
        <v>0.0</v>
      </c>
      <c r="AI29" s="93">
        <v>0.0</v>
      </c>
      <c r="AJ29" s="93">
        <v>21.0</v>
      </c>
      <c r="AK29" s="93">
        <v>169.0</v>
      </c>
      <c r="AL29" s="93">
        <v>153.0</v>
      </c>
      <c r="AM29" s="93">
        <v>99.0</v>
      </c>
      <c r="AN29" s="93">
        <v>54.0</v>
      </c>
      <c r="AO29" s="69">
        <f t="shared" si="3"/>
        <v>496.0</v>
      </c>
      <c r="AP29" s="69">
        <f t="shared" si="4"/>
        <v>496.0</v>
      </c>
      <c r="AQ29" s="69">
        <f t="shared" si="5"/>
        <v>545.6</v>
      </c>
      <c r="AR29" s="96">
        <f t="shared" si="36"/>
        <v>86.2095238095238</v>
      </c>
      <c r="AS29" s="96">
        <f t="shared" si="37"/>
        <v>67.3142857142857</v>
      </c>
      <c r="AT29" s="96">
        <f t="shared" si="38"/>
        <v>134.628571428571</v>
      </c>
      <c r="AU29" s="96">
        <f t="shared" si="39"/>
        <v>149.980952380952</v>
      </c>
      <c r="AV29" s="96">
        <f t="shared" si="40"/>
        <v>135.809523809523</v>
      </c>
      <c r="AW29" s="96">
        <f t="shared" si="41"/>
        <v>111.009523809523</v>
      </c>
      <c r="AX29" s="64">
        <f t="shared" si="12"/>
        <v>684.952380952379</v>
      </c>
      <c r="AY29" s="64" t="e">
        <f t="shared" si="13"/>
        <v>#REF!</v>
      </c>
      <c r="AZ29" s="64" t="e">
        <f t="shared" si="44"/>
        <v>#REF!</v>
      </c>
      <c r="BB29" s="69" t="e">
        <f t="shared" si="42"/>
        <v>#REF!</v>
      </c>
      <c r="BC29" s="69"/>
      <c r="BE29" s="70"/>
      <c r="BF29" s="95" t="e">
        <f t="shared" si="15"/>
        <v>#REF!</v>
      </c>
      <c r="BG29" s="65">
        <f t="shared" si="16"/>
        <v>86.2095238095238</v>
      </c>
      <c r="BH29" s="65" t="e">
        <f t="shared" si="17"/>
        <v>#REF!</v>
      </c>
      <c r="BI29" s="65" t="e">
        <f t="shared" si="18"/>
        <v>#REF!</v>
      </c>
      <c r="BJ29" s="65">
        <f t="shared" si="19"/>
        <v>67.3142857142857</v>
      </c>
      <c r="BK29" s="65">
        <f t="shared" si="20"/>
      </c>
      <c r="BL29" s="65" t="e">
        <f t="shared" si="21"/>
        <v>#REF!</v>
      </c>
      <c r="BM29" s="65">
        <f t="shared" si="22"/>
        <v>134.628571428571</v>
      </c>
      <c r="BN29" s="65"/>
      <c r="BO29" s="65" t="e">
        <f t="shared" si="23"/>
        <v>#REF!</v>
      </c>
      <c r="BP29" s="65">
        <f t="shared" si="24"/>
        <v>149.980952380952</v>
      </c>
      <c r="BQ29" s="65"/>
      <c r="BR29" s="65" t="e">
        <f t="shared" si="25"/>
        <v>#REF!</v>
      </c>
      <c r="BS29" s="65">
        <f t="shared" si="26"/>
        <v>135.809523809523</v>
      </c>
      <c r="BT29" s="65"/>
      <c r="BU29" s="65" t="e">
        <f t="shared" si="27"/>
        <v>#REF!</v>
      </c>
      <c r="BV29" s="65">
        <f t="shared" si="28"/>
        <v>111.009523809523</v>
      </c>
      <c r="BW29" s="65"/>
      <c r="BX29" s="65" t="e">
        <f t="shared" si="29"/>
        <v>#REF!</v>
      </c>
    </row>
    <row r="30" ht="14.0">
      <c r="A30" s="93" t="s">
        <v>179</v>
      </c>
      <c r="B30" s="93" t="s">
        <v>63</v>
      </c>
      <c r="C30" s="93" t="s">
        <v>229</v>
      </c>
      <c r="D30" s="93" t="s">
        <v>230</v>
      </c>
      <c r="E30" s="93">
        <v>0.0</v>
      </c>
      <c r="F30" s="93">
        <v>0.0</v>
      </c>
      <c r="G30" s="93">
        <v>0.0</v>
      </c>
      <c r="H30" s="93">
        <v>0.0</v>
      </c>
      <c r="I30" s="93">
        <v>0.0</v>
      </c>
      <c r="J30" s="93">
        <v>0.0</v>
      </c>
      <c r="K30" s="93">
        <v>0.0</v>
      </c>
      <c r="L30" s="93">
        <v>0.0</v>
      </c>
      <c r="M30" s="93">
        <v>0.0</v>
      </c>
      <c r="N30" s="93">
        <v>0.0</v>
      </c>
      <c r="O30" s="93">
        <v>0.0</v>
      </c>
      <c r="P30" s="93">
        <v>0.0</v>
      </c>
      <c r="Q30" s="93">
        <v>0.0</v>
      </c>
      <c r="R30" s="93">
        <v>0.0</v>
      </c>
      <c r="S30" s="93">
        <v>0.0</v>
      </c>
      <c r="T30" s="93">
        <v>0.0</v>
      </c>
      <c r="U30" s="93">
        <v>0.0</v>
      </c>
      <c r="V30" s="93">
        <v>0.0</v>
      </c>
      <c r="W30" s="93">
        <v>0.0</v>
      </c>
      <c r="X30" s="93">
        <v>0.0</v>
      </c>
      <c r="Y30" s="93">
        <v>0.0</v>
      </c>
      <c r="Z30" s="93">
        <v>0.0</v>
      </c>
      <c r="AA30" s="93">
        <v>0.0</v>
      </c>
      <c r="AB30" s="93">
        <v>8.0</v>
      </c>
      <c r="AC30" s="93">
        <v>14.0</v>
      </c>
      <c r="AD30" s="93">
        <v>26.0</v>
      </c>
      <c r="AE30" s="93">
        <v>19.0</v>
      </c>
      <c r="AF30" s="93">
        <v>6.0</v>
      </c>
      <c r="AG30" s="93">
        <v>0.0</v>
      </c>
      <c r="AH30" s="93">
        <v>0.0</v>
      </c>
      <c r="AI30" s="93">
        <v>0.0</v>
      </c>
      <c r="AJ30" s="93">
        <v>0.0</v>
      </c>
      <c r="AK30" s="93">
        <v>2.0</v>
      </c>
      <c r="AL30" s="93">
        <v>2.0</v>
      </c>
      <c r="AM30" s="93">
        <v>1.0</v>
      </c>
      <c r="AN30" s="93">
        <v>3.0</v>
      </c>
      <c r="AO30" s="69">
        <f t="shared" si="3"/>
        <v>73.0</v>
      </c>
      <c r="AP30" s="69">
        <f t="shared" si="4"/>
        <v>8.0</v>
      </c>
      <c r="AQ30" s="69">
        <f t="shared" si="5"/>
        <v>8.8</v>
      </c>
      <c r="AR30" s="97">
        <v>1.0</v>
      </c>
      <c r="AS30" s="97">
        <v>1.0</v>
      </c>
      <c r="AT30" s="97">
        <v>2.0</v>
      </c>
      <c r="AU30" s="97">
        <v>2.0</v>
      </c>
      <c r="AV30" s="97">
        <v>2.0</v>
      </c>
      <c r="AW30" s="97">
        <v>2.0</v>
      </c>
      <c r="AX30" s="64">
        <f t="shared" si="12"/>
        <v>10.0</v>
      </c>
      <c r="AY30" s="64" t="e">
        <f t="shared" si="13"/>
        <v>#REF!</v>
      </c>
      <c r="BE30" s="70"/>
      <c r="BF30" s="95" t="e">
        <f t="shared" si="15"/>
        <v>#REF!</v>
      </c>
      <c r="BG30" s="65">
        <f t="shared" si="16"/>
        <v>1.0</v>
      </c>
      <c r="BH30" s="65">
        <f t="shared" si="17"/>
      </c>
      <c r="BI30" s="65" t="e">
        <f t="shared" si="18"/>
        <v>#REF!</v>
      </c>
      <c r="BJ30" s="65">
        <f t="shared" si="19"/>
        <v>1.0</v>
      </c>
      <c r="BK30" s="65">
        <f t="shared" si="20"/>
      </c>
      <c r="BL30" s="65" t="e">
        <f t="shared" si="21"/>
        <v>#REF!</v>
      </c>
      <c r="BM30" s="65">
        <f t="shared" si="22"/>
        <v>2.0</v>
      </c>
      <c r="BN30" s="65"/>
      <c r="BO30" s="65" t="e">
        <f t="shared" si="23"/>
        <v>#REF!</v>
      </c>
      <c r="BP30" s="65">
        <f t="shared" si="24"/>
        <v>2.0</v>
      </c>
      <c r="BQ30" s="65"/>
      <c r="BR30" s="65" t="e">
        <f t="shared" si="25"/>
        <v>#REF!</v>
      </c>
      <c r="BS30" s="65">
        <f t="shared" si="26"/>
        <v>2.0</v>
      </c>
      <c r="BT30" s="65"/>
      <c r="BU30" s="65" t="e">
        <f t="shared" si="27"/>
        <v>#REF!</v>
      </c>
      <c r="BV30" s="65">
        <f t="shared" si="28"/>
        <v>2.0</v>
      </c>
      <c r="BW30" s="65"/>
      <c r="BX30" s="65" t="e">
        <f t="shared" si="29"/>
        <v>#REF!</v>
      </c>
    </row>
    <row r="31" ht="14.0">
      <c r="A31" s="93" t="s">
        <v>179</v>
      </c>
      <c r="B31" s="93" t="s">
        <v>63</v>
      </c>
      <c r="C31" s="93" t="s">
        <v>231</v>
      </c>
      <c r="D31" s="93" t="s">
        <v>232</v>
      </c>
      <c r="E31" s="93">
        <v>0.0</v>
      </c>
      <c r="F31" s="93">
        <v>0.0</v>
      </c>
      <c r="G31" s="93">
        <v>0.0</v>
      </c>
      <c r="H31" s="93">
        <v>0.0</v>
      </c>
      <c r="I31" s="93">
        <v>0.0</v>
      </c>
      <c r="J31" s="93">
        <v>0.0</v>
      </c>
      <c r="K31" s="93">
        <v>0.0</v>
      </c>
      <c r="L31" s="93">
        <v>0.0</v>
      </c>
      <c r="M31" s="93">
        <v>0.0</v>
      </c>
      <c r="N31" s="93">
        <v>0.0</v>
      </c>
      <c r="O31" s="93">
        <v>0.0</v>
      </c>
      <c r="P31" s="93">
        <v>0.0</v>
      </c>
      <c r="Q31" s="93">
        <v>0.0</v>
      </c>
      <c r="R31" s="93">
        <v>0.0</v>
      </c>
      <c r="S31" s="93">
        <v>0.0</v>
      </c>
      <c r="T31" s="93">
        <v>0.0</v>
      </c>
      <c r="U31" s="93">
        <v>0.0</v>
      </c>
      <c r="V31" s="93">
        <v>0.0</v>
      </c>
      <c r="W31" s="93">
        <v>0.0</v>
      </c>
      <c r="X31" s="93">
        <v>0.0</v>
      </c>
      <c r="Y31" s="93">
        <v>0.0</v>
      </c>
      <c r="Z31" s="93">
        <v>42.0</v>
      </c>
      <c r="AA31" s="93">
        <v>108.0</v>
      </c>
      <c r="AB31" s="93">
        <v>120.0</v>
      </c>
      <c r="AC31" s="93">
        <v>123.0</v>
      </c>
      <c r="AD31" s="93">
        <v>153.0</v>
      </c>
      <c r="AE31" s="93">
        <v>147.0</v>
      </c>
      <c r="AF31" s="93">
        <v>84.0</v>
      </c>
      <c r="AG31" s="93">
        <v>3.0</v>
      </c>
      <c r="AH31" s="93">
        <v>0.0</v>
      </c>
      <c r="AI31" s="93">
        <v>0.0</v>
      </c>
      <c r="AJ31" s="93">
        <v>0.0</v>
      </c>
      <c r="AK31" s="93">
        <v>75.0</v>
      </c>
      <c r="AL31" s="93">
        <v>144.0</v>
      </c>
      <c r="AM31" s="93">
        <v>45.0</v>
      </c>
      <c r="AN31" s="93">
        <v>63.0</v>
      </c>
      <c r="AO31" s="69">
        <f t="shared" si="3"/>
        <v>837.0</v>
      </c>
      <c r="AP31" s="69">
        <f t="shared" si="4"/>
        <v>327.0</v>
      </c>
      <c r="AQ31" s="69">
        <f t="shared" si="5"/>
        <v>359.7</v>
      </c>
      <c r="AR31" s="47">
        <f t="shared" ref="AR31:AR33" si="45">AQ31*$AR$4/$AQ$4+3*$AR$30</f>
        <v>59.8357142857142</v>
      </c>
      <c r="AS31" s="47">
        <f t="shared" ref="AS31:AS33" si="46">AQ31*$AS$4/$AQ$4+3*$AS$30</f>
        <v>47.3785714285714</v>
      </c>
      <c r="AT31" s="47">
        <f t="shared" ref="AT31:AT33" si="47">AQ31*$AT$4/$AQ$4+3*$AT$30</f>
        <v>94.7571428571429</v>
      </c>
      <c r="AU31" s="47">
        <f t="shared" ref="AU31:AU33" si="48">AQ31*$AU$4/$AQ$4+3*$AU$30</f>
        <v>104.878571428571</v>
      </c>
      <c r="AV31" s="47">
        <f t="shared" ref="AV31:AV33" si="49">AQ31*$AV$4/$AQ$4+3*$AV$30</f>
        <v>95.5357142857142</v>
      </c>
      <c r="AW31" s="47">
        <f t="shared" ref="AW31:AW33" si="50">AQ31*$AW$4/$AQ$4+3*$AW$30</f>
        <v>79.1857142857142</v>
      </c>
      <c r="AX31" s="64">
        <f t="shared" si="12"/>
        <v>481.57142857142</v>
      </c>
      <c r="AY31" s="64" t="e">
        <f t="shared" si="13"/>
        <v>#REF!</v>
      </c>
      <c r="BB31" s="69" t="e">
        <f t="shared" ref="BB31:BB82" si="51">AY31+AZ31+BA31-AX31</f>
        <v>#REF!</v>
      </c>
      <c r="BC31" s="69"/>
      <c r="BE31" s="70"/>
      <c r="BF31" s="95" t="e">
        <f t="shared" si="15"/>
        <v>#REF!</v>
      </c>
      <c r="BG31" s="65">
        <f t="shared" si="16"/>
        <v>59.8357142857142</v>
      </c>
      <c r="BH31" s="65">
        <f t="shared" si="17"/>
      </c>
      <c r="BI31" s="65" t="e">
        <f t="shared" si="18"/>
        <v>#REF!</v>
      </c>
      <c r="BJ31" s="65">
        <f t="shared" si="19"/>
        <v>47.3785714285714</v>
      </c>
      <c r="BK31" s="65">
        <f t="shared" si="20"/>
      </c>
      <c r="BL31" s="65" t="e">
        <f t="shared" si="21"/>
        <v>#REF!</v>
      </c>
      <c r="BM31" s="65">
        <f t="shared" si="22"/>
        <v>94.7571428571429</v>
      </c>
      <c r="BN31" s="65"/>
      <c r="BO31" s="65" t="e">
        <f t="shared" si="23"/>
        <v>#REF!</v>
      </c>
      <c r="BP31" s="65">
        <f t="shared" si="24"/>
        <v>104.878571428571</v>
      </c>
      <c r="BQ31" s="65"/>
      <c r="BR31" s="65" t="e">
        <f t="shared" si="25"/>
        <v>#REF!</v>
      </c>
      <c r="BS31" s="65">
        <f t="shared" si="26"/>
        <v>95.5357142857142</v>
      </c>
      <c r="BT31" s="65"/>
      <c r="BU31" s="65" t="e">
        <f t="shared" si="27"/>
        <v>#REF!</v>
      </c>
      <c r="BV31" s="65">
        <f t="shared" si="28"/>
        <v>79.1857142857142</v>
      </c>
      <c r="BW31" s="65"/>
      <c r="BX31" s="65" t="e">
        <f t="shared" si="29"/>
        <v>#REF!</v>
      </c>
    </row>
    <row r="32" ht="14.0">
      <c r="A32" s="93" t="s">
        <v>179</v>
      </c>
      <c r="B32" s="93" t="s">
        <v>63</v>
      </c>
      <c r="C32" s="93" t="s">
        <v>233</v>
      </c>
      <c r="D32" s="93" t="s">
        <v>234</v>
      </c>
      <c r="E32" s="93">
        <v>0.0</v>
      </c>
      <c r="F32" s="93">
        <v>0.0</v>
      </c>
      <c r="G32" s="93">
        <v>0.0</v>
      </c>
      <c r="H32" s="93">
        <v>0.0</v>
      </c>
      <c r="I32" s="93">
        <v>0.0</v>
      </c>
      <c r="J32" s="93">
        <v>0.0</v>
      </c>
      <c r="K32" s="93">
        <v>0.0</v>
      </c>
      <c r="L32" s="93">
        <v>0.0</v>
      </c>
      <c r="M32" s="93">
        <v>0.0</v>
      </c>
      <c r="N32" s="93">
        <v>0.0</v>
      </c>
      <c r="O32" s="93">
        <v>0.0</v>
      </c>
      <c r="P32" s="93">
        <v>0.0</v>
      </c>
      <c r="Q32" s="93">
        <v>0.0</v>
      </c>
      <c r="R32" s="93">
        <v>0.0</v>
      </c>
      <c r="S32" s="93">
        <v>0.0</v>
      </c>
      <c r="T32" s="93">
        <v>0.0</v>
      </c>
      <c r="U32" s="93">
        <v>0.0</v>
      </c>
      <c r="V32" s="93">
        <v>0.0</v>
      </c>
      <c r="W32" s="93">
        <v>0.0</v>
      </c>
      <c r="X32" s="93">
        <v>0.0</v>
      </c>
      <c r="Y32" s="93">
        <v>0.0</v>
      </c>
      <c r="Z32" s="93">
        <v>57.0</v>
      </c>
      <c r="AA32" s="93">
        <v>71.0</v>
      </c>
      <c r="AB32" s="93">
        <v>90.0</v>
      </c>
      <c r="AC32" s="93">
        <v>69.0</v>
      </c>
      <c r="AD32" s="93">
        <v>84.0</v>
      </c>
      <c r="AE32" s="93">
        <v>93.0</v>
      </c>
      <c r="AF32" s="93">
        <v>218.0</v>
      </c>
      <c r="AG32" s="93">
        <v>90.0</v>
      </c>
      <c r="AH32" s="93">
        <v>2.0</v>
      </c>
      <c r="AI32" s="93">
        <v>0.0</v>
      </c>
      <c r="AJ32" s="93">
        <v>1.0</v>
      </c>
      <c r="AK32" s="93">
        <v>66.0</v>
      </c>
      <c r="AL32" s="93">
        <v>84.0</v>
      </c>
      <c r="AM32" s="93">
        <v>30.0</v>
      </c>
      <c r="AN32" s="93">
        <v>42.0</v>
      </c>
      <c r="AO32" s="69">
        <f t="shared" si="3"/>
        <v>779.0</v>
      </c>
      <c r="AP32" s="69">
        <f t="shared" si="4"/>
        <v>223.0</v>
      </c>
      <c r="AQ32" s="69">
        <f t="shared" si="5"/>
        <v>245.3</v>
      </c>
      <c r="AR32" s="47">
        <f t="shared" si="45"/>
        <v>41.7595238095238</v>
      </c>
      <c r="AS32" s="47">
        <f t="shared" si="46"/>
        <v>33.2642857142857</v>
      </c>
      <c r="AT32" s="47">
        <f t="shared" si="47"/>
        <v>66.5285714285714</v>
      </c>
      <c r="AU32" s="47">
        <f t="shared" si="48"/>
        <v>73.4309523809523</v>
      </c>
      <c r="AV32" s="47">
        <f t="shared" si="49"/>
        <v>67.0595238095238</v>
      </c>
      <c r="AW32" s="47">
        <f t="shared" si="50"/>
        <v>55.9095238095238</v>
      </c>
      <c r="AX32" s="64">
        <f t="shared" si="12"/>
        <v>337.95238095238</v>
      </c>
      <c r="AY32" s="64" t="e">
        <f t="shared" si="13"/>
        <v>#REF!</v>
      </c>
      <c r="BB32" s="69" t="e">
        <f t="shared" si="51"/>
        <v>#REF!</v>
      </c>
      <c r="BC32" s="69"/>
      <c r="BE32" s="70"/>
      <c r="BF32" s="95" t="e">
        <f t="shared" si="15"/>
        <v>#REF!</v>
      </c>
      <c r="BG32" s="65">
        <f t="shared" si="16"/>
        <v>41.7595238095238</v>
      </c>
      <c r="BH32" s="65">
        <f t="shared" si="17"/>
      </c>
      <c r="BI32" s="65" t="e">
        <f t="shared" si="18"/>
        <v>#REF!</v>
      </c>
      <c r="BJ32" s="65">
        <f t="shared" si="19"/>
        <v>33.2642857142857</v>
      </c>
      <c r="BK32" s="65">
        <f t="shared" si="20"/>
      </c>
      <c r="BL32" s="65" t="e">
        <f t="shared" si="21"/>
        <v>#REF!</v>
      </c>
      <c r="BM32" s="65">
        <f t="shared" si="22"/>
        <v>66.5285714285714</v>
      </c>
      <c r="BN32" s="65"/>
      <c r="BO32" s="65" t="e">
        <f t="shared" si="23"/>
        <v>#REF!</v>
      </c>
      <c r="BP32" s="65">
        <f t="shared" si="24"/>
        <v>73.4309523809523</v>
      </c>
      <c r="BQ32" s="65"/>
      <c r="BR32" s="65" t="e">
        <f t="shared" si="25"/>
        <v>#REF!</v>
      </c>
      <c r="BS32" s="65">
        <f t="shared" si="26"/>
        <v>67.0595238095238</v>
      </c>
      <c r="BT32" s="65"/>
      <c r="BU32" s="65" t="e">
        <f t="shared" si="27"/>
        <v>#REF!</v>
      </c>
      <c r="BV32" s="65">
        <f t="shared" si="28"/>
        <v>55.9095238095238</v>
      </c>
      <c r="BW32" s="65"/>
      <c r="BX32" s="65" t="e">
        <f t="shared" si="29"/>
        <v>#REF!</v>
      </c>
    </row>
    <row r="33" ht="14.0">
      <c r="A33" s="93" t="s">
        <v>179</v>
      </c>
      <c r="B33" s="93" t="s">
        <v>63</v>
      </c>
      <c r="C33" s="93" t="s">
        <v>235</v>
      </c>
      <c r="D33" s="93" t="s">
        <v>236</v>
      </c>
      <c r="E33" s="93">
        <v>0.0</v>
      </c>
      <c r="F33" s="93">
        <v>0.0</v>
      </c>
      <c r="G33" s="93">
        <v>0.0</v>
      </c>
      <c r="H33" s="93">
        <v>0.0</v>
      </c>
      <c r="I33" s="93">
        <v>0.0</v>
      </c>
      <c r="J33" s="93">
        <v>0.0</v>
      </c>
      <c r="K33" s="93">
        <v>0.0</v>
      </c>
      <c r="L33" s="93">
        <v>0.0</v>
      </c>
      <c r="M33" s="93">
        <v>0.0</v>
      </c>
      <c r="N33" s="93">
        <v>0.0</v>
      </c>
      <c r="O33" s="93">
        <v>0.0</v>
      </c>
      <c r="P33" s="93">
        <v>0.0</v>
      </c>
      <c r="Q33" s="93">
        <v>0.0</v>
      </c>
      <c r="R33" s="93">
        <v>0.0</v>
      </c>
      <c r="S33" s="93">
        <v>0.0</v>
      </c>
      <c r="T33" s="93">
        <v>0.0</v>
      </c>
      <c r="U33" s="93">
        <v>0.0</v>
      </c>
      <c r="V33" s="93">
        <v>0.0</v>
      </c>
      <c r="W33" s="93">
        <v>0.0</v>
      </c>
      <c r="X33" s="93">
        <v>0.0</v>
      </c>
      <c r="Y33" s="93">
        <v>0.0</v>
      </c>
      <c r="Z33" s="93">
        <v>36.0</v>
      </c>
      <c r="AA33" s="93">
        <v>70.0</v>
      </c>
      <c r="AB33" s="93">
        <v>76.0</v>
      </c>
      <c r="AC33" s="93">
        <v>78.0</v>
      </c>
      <c r="AD33" s="93">
        <v>99.0</v>
      </c>
      <c r="AE33" s="93">
        <v>102.0</v>
      </c>
      <c r="AF33" s="93">
        <v>273.0</v>
      </c>
      <c r="AG33" s="93">
        <v>46.0</v>
      </c>
      <c r="AH33" s="93">
        <v>-1.0</v>
      </c>
      <c r="AI33" s="93">
        <v>0.0</v>
      </c>
      <c r="AJ33" s="93">
        <v>1.0</v>
      </c>
      <c r="AK33" s="93">
        <v>51.0</v>
      </c>
      <c r="AL33" s="93">
        <v>99.0</v>
      </c>
      <c r="AM33" s="93">
        <v>24.0</v>
      </c>
      <c r="AN33" s="93">
        <v>57.0</v>
      </c>
      <c r="AO33" s="69">
        <f t="shared" si="3"/>
        <v>829.0</v>
      </c>
      <c r="AP33" s="69">
        <f t="shared" si="4"/>
        <v>232.0</v>
      </c>
      <c r="AQ33" s="69">
        <f t="shared" si="5"/>
        <v>255.2</v>
      </c>
      <c r="AR33" s="47">
        <f t="shared" si="45"/>
        <v>43.3238095238095</v>
      </c>
      <c r="AS33" s="47">
        <f t="shared" si="46"/>
        <v>34.4857142857141</v>
      </c>
      <c r="AT33" s="47">
        <f t="shared" si="47"/>
        <v>68.971428571429</v>
      </c>
      <c r="AU33" s="47">
        <f t="shared" si="48"/>
        <v>76.152380952381</v>
      </c>
      <c r="AV33" s="47">
        <f t="shared" si="49"/>
        <v>69.5238095238094</v>
      </c>
      <c r="AW33" s="47">
        <f t="shared" si="50"/>
        <v>57.9238095238095</v>
      </c>
      <c r="AX33" s="64">
        <f t="shared" si="12"/>
        <v>350.380952380952</v>
      </c>
      <c r="AY33" s="64" t="e">
        <f t="shared" si="13"/>
        <v>#REF!</v>
      </c>
      <c r="BB33" s="69" t="e">
        <f t="shared" si="51"/>
        <v>#REF!</v>
      </c>
      <c r="BC33" s="69"/>
      <c r="BE33" s="70"/>
      <c r="BF33" s="95" t="e">
        <f t="shared" si="15"/>
        <v>#REF!</v>
      </c>
      <c r="BG33" s="65">
        <f t="shared" si="16"/>
        <v>43.3238095238095</v>
      </c>
      <c r="BH33" s="65">
        <f t="shared" si="17"/>
      </c>
      <c r="BI33" s="65" t="e">
        <f t="shared" si="18"/>
        <v>#REF!</v>
      </c>
      <c r="BJ33" s="65">
        <f t="shared" si="19"/>
        <v>34.4857142857141</v>
      </c>
      <c r="BK33" s="65">
        <f t="shared" si="20"/>
      </c>
      <c r="BL33" s="65" t="e">
        <f t="shared" si="21"/>
        <v>#REF!</v>
      </c>
      <c r="BM33" s="65">
        <f t="shared" si="22"/>
        <v>68.971428571429</v>
      </c>
      <c r="BN33" s="65"/>
      <c r="BO33" s="65" t="e">
        <f t="shared" si="23"/>
        <v>#REF!</v>
      </c>
      <c r="BP33" s="65">
        <f t="shared" si="24"/>
        <v>76.152380952381</v>
      </c>
      <c r="BQ33" s="65"/>
      <c r="BR33" s="65" t="e">
        <f t="shared" si="25"/>
        <v>#REF!</v>
      </c>
      <c r="BS33" s="65">
        <f t="shared" si="26"/>
        <v>69.5238095238094</v>
      </c>
      <c r="BT33" s="65"/>
      <c r="BU33" s="65" t="e">
        <f t="shared" si="27"/>
        <v>#REF!</v>
      </c>
      <c r="BV33" s="65">
        <f t="shared" si="28"/>
        <v>57.9238095238095</v>
      </c>
      <c r="BW33" s="65"/>
      <c r="BX33" s="65" t="e">
        <f t="shared" si="29"/>
        <v>#REF!</v>
      </c>
    </row>
    <row r="34" ht="14.0">
      <c r="A34" s="93" t="s">
        <v>179</v>
      </c>
      <c r="B34" s="93" t="s">
        <v>63</v>
      </c>
      <c r="C34" s="93" t="s">
        <v>237</v>
      </c>
      <c r="D34" s="93" t="s">
        <v>238</v>
      </c>
      <c r="E34" s="93">
        <v>0.0</v>
      </c>
      <c r="F34" s="93">
        <v>0.0</v>
      </c>
      <c r="G34" s="93">
        <v>0.0</v>
      </c>
      <c r="H34" s="93">
        <v>0.0</v>
      </c>
      <c r="I34" s="93">
        <v>0.0</v>
      </c>
      <c r="J34" s="93">
        <v>0.0</v>
      </c>
      <c r="K34" s="93">
        <v>0.0</v>
      </c>
      <c r="L34" s="93">
        <v>0.0</v>
      </c>
      <c r="M34" s="93">
        <v>0.0</v>
      </c>
      <c r="N34" s="93">
        <v>0.0</v>
      </c>
      <c r="O34" s="93">
        <v>0.0</v>
      </c>
      <c r="P34" s="93">
        <v>0.0</v>
      </c>
      <c r="Q34" s="93">
        <v>0.0</v>
      </c>
      <c r="R34" s="93">
        <v>0.0</v>
      </c>
      <c r="S34" s="93">
        <v>0.0</v>
      </c>
      <c r="T34" s="93">
        <v>0.0</v>
      </c>
      <c r="U34" s="93">
        <v>0.0</v>
      </c>
      <c r="V34" s="93">
        <v>0.0</v>
      </c>
      <c r="W34" s="93">
        <v>0.0</v>
      </c>
      <c r="X34" s="93">
        <v>0.0</v>
      </c>
      <c r="Y34" s="93">
        <v>0.0</v>
      </c>
      <c r="Z34" s="93">
        <v>0.0</v>
      </c>
      <c r="AA34" s="93">
        <v>0.0</v>
      </c>
      <c r="AB34" s="93">
        <v>0.0</v>
      </c>
      <c r="AC34" s="93">
        <v>0.0</v>
      </c>
      <c r="AD34" s="93">
        <v>0.0</v>
      </c>
      <c r="AE34" s="93">
        <v>0.0</v>
      </c>
      <c r="AF34" s="93">
        <v>0.0</v>
      </c>
      <c r="AG34" s="93">
        <v>0.0</v>
      </c>
      <c r="AH34" s="93">
        <v>0.0</v>
      </c>
      <c r="AI34" s="93">
        <v>0.0</v>
      </c>
      <c r="AJ34" s="93">
        <v>0.0</v>
      </c>
      <c r="AK34" s="93">
        <v>131.0</v>
      </c>
      <c r="AL34" s="93">
        <v>186.0</v>
      </c>
      <c r="AM34" s="93">
        <v>97.0</v>
      </c>
      <c r="AN34" s="93">
        <v>123.0</v>
      </c>
      <c r="AO34" s="69">
        <f t="shared" si="3"/>
        <v>537.0</v>
      </c>
      <c r="AP34" s="69">
        <f t="shared" si="4"/>
        <v>537.0</v>
      </c>
      <c r="AQ34" s="69">
        <f t="shared" si="5"/>
        <v>590.7</v>
      </c>
      <c r="AR34" s="101">
        <f t="shared" ref="AR34:AR35" si="52">AVERAGE(AK34:AN34)+3*$AR$30</f>
        <v>137.25</v>
      </c>
      <c r="AS34" s="94">
        <f t="shared" ref="AS34:AS35" si="53">AR34*1.1</f>
        <v>150.975</v>
      </c>
      <c r="AT34" s="94">
        <f t="shared" ref="AT34:AT35" si="54">AS34*1.1</f>
        <v>166.0725</v>
      </c>
      <c r="AU34" s="94">
        <f t="shared" ref="AU34:AU35" si="55">AT34*1.1</f>
        <v>182.67975</v>
      </c>
      <c r="AV34" s="94">
        <f t="shared" ref="AV34:AV35" si="56">AU34*1.1</f>
        <v>200.947725</v>
      </c>
      <c r="AW34" s="94">
        <f t="shared" ref="AW34:AW35" si="57">AV34*1.1</f>
        <v>221.0424975</v>
      </c>
      <c r="AX34" s="64">
        <f t="shared" si="12"/>
        <v>1058.9674725</v>
      </c>
      <c r="AY34" s="64" t="e">
        <f t="shared" si="13"/>
        <v>#REF!</v>
      </c>
      <c r="AZ34" s="64" t="e">
        <f t="shared" ref="AZ34:AZ35" si="58">VLOOKUP(C34,CHINAAUGUST,3,false)</f>
        <v>#REF!</v>
      </c>
      <c r="BB34" s="69" t="e">
        <f t="shared" si="51"/>
        <v>#REF!</v>
      </c>
      <c r="BC34" s="69">
        <v>501.0</v>
      </c>
      <c r="BD34" s="47">
        <f>BC34</f>
        <v>501.0</v>
      </c>
      <c r="BE34" s="100">
        <v>46023</v>
      </c>
      <c r="BF34" s="95" t="e">
        <f t="shared" si="15"/>
        <v>#REF!</v>
      </c>
      <c r="BG34" s="65">
        <f t="shared" si="16"/>
        <v>137.25</v>
      </c>
      <c r="BH34" s="65" t="e">
        <f t="shared" si="17"/>
        <v>#REF!</v>
      </c>
      <c r="BI34" s="65" t="e">
        <f t="shared" si="18"/>
        <v>#REF!</v>
      </c>
      <c r="BJ34" s="65">
        <f t="shared" si="19"/>
        <v>150.975</v>
      </c>
      <c r="BK34" s="65">
        <f t="shared" si="20"/>
      </c>
      <c r="BL34" s="65" t="e">
        <f t="shared" si="21"/>
        <v>#REF!</v>
      </c>
      <c r="BM34" s="65">
        <f t="shared" si="22"/>
        <v>166.0725</v>
      </c>
      <c r="BN34" s="65"/>
      <c r="BO34" s="65" t="e">
        <f t="shared" si="23"/>
        <v>#REF!</v>
      </c>
      <c r="BP34" s="65">
        <f t="shared" si="24"/>
        <v>182.67975</v>
      </c>
      <c r="BQ34" s="65"/>
      <c r="BR34" s="65" t="e">
        <f t="shared" si="25"/>
        <v>#REF!</v>
      </c>
      <c r="BS34" s="65">
        <f t="shared" si="26"/>
        <v>200.947725</v>
      </c>
      <c r="BT34" s="65"/>
      <c r="BU34" s="65" t="e">
        <f t="shared" si="27"/>
        <v>#REF!</v>
      </c>
      <c r="BV34" s="65">
        <f t="shared" si="28"/>
        <v>221.0424975</v>
      </c>
      <c r="BW34" s="65"/>
      <c r="BX34" s="65" t="e">
        <f t="shared" si="29"/>
        <v>#REF!</v>
      </c>
    </row>
    <row r="35" ht="14.0">
      <c r="A35" s="93" t="s">
        <v>179</v>
      </c>
      <c r="B35" s="93" t="s">
        <v>63</v>
      </c>
      <c r="C35" s="93" t="s">
        <v>239</v>
      </c>
      <c r="D35" s="93" t="s">
        <v>240</v>
      </c>
      <c r="E35" s="93">
        <v>0.0</v>
      </c>
      <c r="F35" s="93">
        <v>0.0</v>
      </c>
      <c r="G35" s="93">
        <v>0.0</v>
      </c>
      <c r="H35" s="93">
        <v>0.0</v>
      </c>
      <c r="I35" s="93">
        <v>0.0</v>
      </c>
      <c r="J35" s="93">
        <v>0.0</v>
      </c>
      <c r="K35" s="93">
        <v>0.0</v>
      </c>
      <c r="L35" s="93">
        <v>0.0</v>
      </c>
      <c r="M35" s="93">
        <v>0.0</v>
      </c>
      <c r="N35" s="93">
        <v>0.0</v>
      </c>
      <c r="O35" s="93">
        <v>0.0</v>
      </c>
      <c r="P35" s="93">
        <v>0.0</v>
      </c>
      <c r="Q35" s="93">
        <v>0.0</v>
      </c>
      <c r="R35" s="93">
        <v>0.0</v>
      </c>
      <c r="S35" s="93">
        <v>0.0</v>
      </c>
      <c r="T35" s="93">
        <v>0.0</v>
      </c>
      <c r="U35" s="93">
        <v>0.0</v>
      </c>
      <c r="V35" s="93">
        <v>0.0</v>
      </c>
      <c r="W35" s="93">
        <v>0.0</v>
      </c>
      <c r="X35" s="93">
        <v>0.0</v>
      </c>
      <c r="Y35" s="93">
        <v>0.0</v>
      </c>
      <c r="Z35" s="93">
        <v>0.0</v>
      </c>
      <c r="AA35" s="93">
        <v>0.0</v>
      </c>
      <c r="AB35" s="93">
        <v>0.0</v>
      </c>
      <c r="AC35" s="93">
        <v>0.0</v>
      </c>
      <c r="AD35" s="93">
        <v>0.0</v>
      </c>
      <c r="AE35" s="93">
        <v>0.0</v>
      </c>
      <c r="AF35" s="93">
        <v>0.0</v>
      </c>
      <c r="AG35" s="93">
        <v>0.0</v>
      </c>
      <c r="AH35" s="93">
        <v>0.0</v>
      </c>
      <c r="AI35" s="93">
        <v>0.0</v>
      </c>
      <c r="AJ35" s="93">
        <v>0.0</v>
      </c>
      <c r="AK35" s="93">
        <v>128.0</v>
      </c>
      <c r="AL35" s="93">
        <v>129.0</v>
      </c>
      <c r="AM35" s="93">
        <v>69.0</v>
      </c>
      <c r="AN35" s="93">
        <v>48.0</v>
      </c>
      <c r="AO35" s="69">
        <f t="shared" si="3"/>
        <v>374.0</v>
      </c>
      <c r="AP35" s="69">
        <f t="shared" si="4"/>
        <v>374.0</v>
      </c>
      <c r="AQ35" s="69">
        <f t="shared" si="5"/>
        <v>411.4</v>
      </c>
      <c r="AR35" s="102">
        <f t="shared" si="52"/>
        <v>96.5</v>
      </c>
      <c r="AS35" s="96">
        <f t="shared" si="53"/>
        <v>106.15</v>
      </c>
      <c r="AT35" s="96">
        <f t="shared" si="54"/>
        <v>116.765</v>
      </c>
      <c r="AU35" s="96">
        <f t="shared" si="55"/>
        <v>128.4415</v>
      </c>
      <c r="AV35" s="96">
        <f t="shared" si="56"/>
        <v>141.28565</v>
      </c>
      <c r="AW35" s="96">
        <f t="shared" si="57"/>
        <v>155.414215</v>
      </c>
      <c r="AX35" s="64">
        <f t="shared" si="12"/>
        <v>744.556365</v>
      </c>
      <c r="AY35" s="64" t="e">
        <f t="shared" si="13"/>
        <v>#REF!</v>
      </c>
      <c r="AZ35" s="64" t="e">
        <f t="shared" si="58"/>
        <v>#REF!</v>
      </c>
      <c r="BB35" s="69" t="e">
        <f t="shared" si="51"/>
        <v>#REF!</v>
      </c>
      <c r="BC35" s="69"/>
      <c r="BE35" s="70"/>
      <c r="BF35" s="95" t="e">
        <f t="shared" si="15"/>
        <v>#REF!</v>
      </c>
      <c r="BG35" s="65">
        <f t="shared" si="16"/>
        <v>96.5</v>
      </c>
      <c r="BH35" s="65" t="e">
        <f t="shared" si="17"/>
        <v>#REF!</v>
      </c>
      <c r="BI35" s="65" t="e">
        <f t="shared" si="18"/>
        <v>#REF!</v>
      </c>
      <c r="BJ35" s="65">
        <f t="shared" si="19"/>
        <v>106.15</v>
      </c>
      <c r="BK35" s="65">
        <f t="shared" si="20"/>
      </c>
      <c r="BL35" s="65" t="e">
        <f t="shared" si="21"/>
        <v>#REF!</v>
      </c>
      <c r="BM35" s="65">
        <f t="shared" si="22"/>
        <v>116.765</v>
      </c>
      <c r="BN35" s="65"/>
      <c r="BO35" s="65" t="e">
        <f t="shared" si="23"/>
        <v>#REF!</v>
      </c>
      <c r="BP35" s="65">
        <f t="shared" si="24"/>
        <v>128.4415</v>
      </c>
      <c r="BQ35" s="65"/>
      <c r="BR35" s="65" t="e">
        <f t="shared" si="25"/>
        <v>#REF!</v>
      </c>
      <c r="BS35" s="65">
        <f t="shared" si="26"/>
        <v>141.28565</v>
      </c>
      <c r="BT35" s="65"/>
      <c r="BU35" s="65" t="e">
        <f t="shared" si="27"/>
        <v>#REF!</v>
      </c>
      <c r="BV35" s="65">
        <f t="shared" si="28"/>
        <v>155.414215</v>
      </c>
      <c r="BW35" s="65"/>
      <c r="BX35" s="65" t="e">
        <f t="shared" si="29"/>
        <v>#REF!</v>
      </c>
    </row>
    <row r="36" ht="14.0">
      <c r="A36" s="93" t="s">
        <v>179</v>
      </c>
      <c r="B36" s="93" t="s">
        <v>241</v>
      </c>
      <c r="C36" s="93" t="s">
        <v>242</v>
      </c>
      <c r="D36" s="93" t="s">
        <v>243</v>
      </c>
      <c r="E36" s="93">
        <v>0.0</v>
      </c>
      <c r="F36" s="93">
        <v>0.0</v>
      </c>
      <c r="G36" s="93">
        <v>0.0</v>
      </c>
      <c r="H36" s="93">
        <v>0.0</v>
      </c>
      <c r="I36" s="93">
        <v>0.0</v>
      </c>
      <c r="J36" s="93">
        <v>0.0</v>
      </c>
      <c r="K36" s="93">
        <v>0.0</v>
      </c>
      <c r="L36" s="93">
        <v>0.0</v>
      </c>
      <c r="M36" s="93">
        <v>0.0</v>
      </c>
      <c r="N36" s="93">
        <v>0.0</v>
      </c>
      <c r="O36" s="93">
        <v>0.0</v>
      </c>
      <c r="P36" s="93">
        <v>0.0</v>
      </c>
      <c r="Q36" s="93">
        <v>0.0</v>
      </c>
      <c r="R36" s="93">
        <v>0.0</v>
      </c>
      <c r="S36" s="93">
        <v>0.0</v>
      </c>
      <c r="T36" s="93">
        <v>0.0</v>
      </c>
      <c r="U36" s="93">
        <v>0.0</v>
      </c>
      <c r="V36" s="93">
        <v>0.0</v>
      </c>
      <c r="W36" s="93">
        <v>0.0</v>
      </c>
      <c r="X36" s="93">
        <v>0.0</v>
      </c>
      <c r="Y36" s="93">
        <v>0.0</v>
      </c>
      <c r="Z36" s="93">
        <v>0.0</v>
      </c>
      <c r="AA36" s="93">
        <v>0.0</v>
      </c>
      <c r="AB36" s="93">
        <v>0.0</v>
      </c>
      <c r="AC36" s="93">
        <v>0.0</v>
      </c>
      <c r="AD36" s="93">
        <v>63.0</v>
      </c>
      <c r="AE36" s="93">
        <v>60.0</v>
      </c>
      <c r="AF36" s="93">
        <v>42.0</v>
      </c>
      <c r="AG36" s="93">
        <v>33.0</v>
      </c>
      <c r="AH36" s="93">
        <v>18.0</v>
      </c>
      <c r="AI36" s="93">
        <v>72.0</v>
      </c>
      <c r="AJ36" s="93">
        <v>72.0</v>
      </c>
      <c r="AK36" s="93">
        <v>66.0</v>
      </c>
      <c r="AL36" s="93">
        <v>66.0</v>
      </c>
      <c r="AM36" s="93">
        <v>6.0</v>
      </c>
      <c r="AN36" s="93">
        <v>0.0</v>
      </c>
      <c r="AO36" s="69">
        <f t="shared" si="3"/>
        <v>498.0</v>
      </c>
      <c r="AP36" s="69">
        <f t="shared" si="4"/>
        <v>282.0</v>
      </c>
      <c r="AQ36" s="69">
        <f t="shared" si="5"/>
        <v>310.2</v>
      </c>
      <c r="AR36" s="47">
        <f t="shared" ref="AR36:AR48" si="60">AQ36*$AR$4/$AQ$4</f>
        <v>49.0142857142857</v>
      </c>
      <c r="AS36" s="47">
        <f t="shared" ref="AS36:AS48" si="61">AQ36*$AS$4/$AQ$4</f>
        <v>38.2714285714286</v>
      </c>
      <c r="AT36" s="47">
        <f t="shared" ref="AT36:AT48" si="62">AQ36*$AT$4/$AQ$4</f>
        <v>76.5428571428571</v>
      </c>
      <c r="AU36" s="47">
        <f t="shared" ref="AU36:AU48" si="63">AQ36*$AU$4/$AQ$4</f>
        <v>85.2714285714286</v>
      </c>
      <c r="AV36" s="47">
        <f t="shared" ref="AV36:AV48" si="64">AQ36*$AV$4/$AQ$4</f>
        <v>77.2142857142857</v>
      </c>
      <c r="AW36" s="47">
        <f t="shared" ref="AW36:AW48" si="65">AQ36*$AW$4/$AQ$4</f>
        <v>63.1142857142857</v>
      </c>
      <c r="AX36" s="64">
        <f t="shared" si="12"/>
        <v>389.428571428571</v>
      </c>
      <c r="AY36" s="64" t="e">
        <f t="shared" si="13"/>
        <v>#REF!</v>
      </c>
      <c r="BB36" s="69" t="e">
        <f t="shared" si="51"/>
        <v>#REF!</v>
      </c>
      <c r="BC36" s="69">
        <v>501.0</v>
      </c>
      <c r="BD36" s="47">
        <f>BC36</f>
        <v>501.0</v>
      </c>
      <c r="BE36" s="103" t="s">
        <v>244</v>
      </c>
      <c r="BF36" s="95" t="e">
        <f t="shared" si="15"/>
        <v>#REF!</v>
      </c>
      <c r="BG36" s="65">
        <f t="shared" si="16"/>
        <v>49.0142857142857</v>
      </c>
      <c r="BH36" s="65">
        <f t="shared" si="17"/>
      </c>
      <c r="BI36" s="65" t="e">
        <f t="shared" si="18"/>
        <v>#REF!</v>
      </c>
      <c r="BJ36" s="65">
        <f t="shared" si="19"/>
        <v>38.2714285714286</v>
      </c>
      <c r="BK36" s="65">
        <f t="shared" si="20"/>
      </c>
      <c r="BL36" s="65" t="e">
        <f t="shared" si="21"/>
        <v>#REF!</v>
      </c>
      <c r="BM36" s="65">
        <f t="shared" si="22"/>
        <v>76.5428571428571</v>
      </c>
      <c r="BN36" s="65"/>
      <c r="BO36" s="65" t="e">
        <f t="shared" si="23"/>
        <v>#REF!</v>
      </c>
      <c r="BP36" s="65">
        <f t="shared" si="24"/>
        <v>85.2714285714286</v>
      </c>
      <c r="BQ36" s="65"/>
      <c r="BR36" s="65" t="e">
        <f t="shared" si="25"/>
        <v>#REF!</v>
      </c>
      <c r="BS36" s="65">
        <f t="shared" si="26"/>
        <v>77.2142857142857</v>
      </c>
      <c r="BT36" s="65"/>
      <c r="BU36" s="65" t="e">
        <f t="shared" si="27"/>
        <v>#REF!</v>
      </c>
      <c r="BV36" s="65">
        <f t="shared" si="28"/>
        <v>63.1142857142857</v>
      </c>
      <c r="BW36" s="65"/>
      <c r="BX36" s="65" t="e">
        <f t="shared" si="29"/>
        <v>#REF!</v>
      </c>
    </row>
    <row r="37" ht="14.0">
      <c r="A37" s="93" t="s">
        <v>179</v>
      </c>
      <c r="B37" s="93" t="s">
        <v>241</v>
      </c>
      <c r="C37" s="93" t="s">
        <v>245</v>
      </c>
      <c r="D37" s="93" t="s">
        <v>246</v>
      </c>
      <c r="E37" s="93">
        <v>0.0</v>
      </c>
      <c r="F37" s="93">
        <v>0.0</v>
      </c>
      <c r="G37" s="93">
        <v>0.0</v>
      </c>
      <c r="H37" s="93">
        <v>0.0</v>
      </c>
      <c r="I37" s="93">
        <v>0.0</v>
      </c>
      <c r="J37" s="93">
        <v>0.0</v>
      </c>
      <c r="K37" s="93">
        <v>0.0</v>
      </c>
      <c r="L37" s="93">
        <v>0.0</v>
      </c>
      <c r="M37" s="93">
        <v>0.0</v>
      </c>
      <c r="N37" s="93">
        <v>0.0</v>
      </c>
      <c r="O37" s="93">
        <v>0.0</v>
      </c>
      <c r="P37" s="93">
        <v>0.0</v>
      </c>
      <c r="Q37" s="93">
        <v>0.0</v>
      </c>
      <c r="R37" s="93">
        <v>0.0</v>
      </c>
      <c r="S37" s="93">
        <v>0.0</v>
      </c>
      <c r="T37" s="93">
        <v>0.0</v>
      </c>
      <c r="U37" s="93">
        <v>0.0</v>
      </c>
      <c r="V37" s="93">
        <v>0.0</v>
      </c>
      <c r="W37" s="93">
        <v>0.0</v>
      </c>
      <c r="X37" s="93">
        <v>0.0</v>
      </c>
      <c r="Y37" s="93">
        <v>0.0</v>
      </c>
      <c r="Z37" s="93">
        <v>0.0</v>
      </c>
      <c r="AA37" s="93">
        <v>0.0</v>
      </c>
      <c r="AB37" s="93">
        <v>0.0</v>
      </c>
      <c r="AC37" s="93">
        <v>0.0</v>
      </c>
      <c r="AD37" s="93">
        <v>30.0</v>
      </c>
      <c r="AE37" s="93">
        <v>18.0</v>
      </c>
      <c r="AF37" s="93">
        <v>9.0</v>
      </c>
      <c r="AG37" s="93">
        <v>15.0</v>
      </c>
      <c r="AH37" s="93">
        <v>12.0</v>
      </c>
      <c r="AI37" s="93">
        <v>21.0</v>
      </c>
      <c r="AJ37" s="93">
        <v>24.0</v>
      </c>
      <c r="AK37" s="93">
        <v>18.0</v>
      </c>
      <c r="AL37" s="93">
        <v>30.0</v>
      </c>
      <c r="AM37" s="93">
        <v>18.0</v>
      </c>
      <c r="AN37" s="93">
        <v>45.0</v>
      </c>
      <c r="AO37" s="69">
        <f t="shared" si="3"/>
        <v>240.0</v>
      </c>
      <c r="AP37" s="69">
        <f t="shared" si="4"/>
        <v>156.0</v>
      </c>
      <c r="AQ37" s="69">
        <f t="shared" si="5"/>
        <v>171.6</v>
      </c>
      <c r="AR37" s="47">
        <f t="shared" si="60"/>
        <v>27.1142857142857</v>
      </c>
      <c r="AS37" s="47">
        <f t="shared" si="61"/>
        <v>21.1714285714286</v>
      </c>
      <c r="AT37" s="47">
        <f t="shared" si="62"/>
        <v>42.3428571428571</v>
      </c>
      <c r="AU37" s="47">
        <f t="shared" si="63"/>
        <v>47.1714285714286</v>
      </c>
      <c r="AV37" s="47">
        <f t="shared" si="64"/>
        <v>42.7142857142857</v>
      </c>
      <c r="AW37" s="47">
        <f t="shared" si="65"/>
        <v>34.9142857142857</v>
      </c>
      <c r="AX37" s="64">
        <f t="shared" si="12"/>
        <v>215.428571428571</v>
      </c>
      <c r="AY37" s="64" t="e">
        <f t="shared" si="13"/>
        <v>#REF!</v>
      </c>
      <c r="BB37" s="69" t="e">
        <f t="shared" si="51"/>
        <v>#REF!</v>
      </c>
      <c r="BC37" s="69"/>
      <c r="BE37" s="70"/>
      <c r="BF37" s="95" t="e">
        <f t="shared" si="15"/>
        <v>#REF!</v>
      </c>
      <c r="BG37" s="65">
        <f t="shared" si="16"/>
        <v>27.1142857142857</v>
      </c>
      <c r="BH37" s="65">
        <f t="shared" si="17"/>
      </c>
      <c r="BI37" s="65" t="e">
        <f t="shared" si="18"/>
        <v>#REF!</v>
      </c>
      <c r="BJ37" s="65">
        <f t="shared" si="19"/>
        <v>21.1714285714286</v>
      </c>
      <c r="BK37" s="65">
        <f t="shared" si="20"/>
      </c>
      <c r="BL37" s="65" t="e">
        <f t="shared" si="21"/>
        <v>#REF!</v>
      </c>
      <c r="BM37" s="65">
        <f t="shared" si="22"/>
        <v>42.3428571428571</v>
      </c>
      <c r="BN37" s="65"/>
      <c r="BO37" s="65" t="e">
        <f t="shared" si="23"/>
        <v>#REF!</v>
      </c>
      <c r="BP37" s="65">
        <f t="shared" si="24"/>
        <v>47.1714285714286</v>
      </c>
      <c r="BQ37" s="65"/>
      <c r="BR37" s="65" t="e">
        <f t="shared" si="25"/>
        <v>#REF!</v>
      </c>
      <c r="BS37" s="65">
        <f t="shared" si="26"/>
        <v>42.7142857142857</v>
      </c>
      <c r="BT37" s="65"/>
      <c r="BU37" s="65" t="e">
        <f t="shared" si="27"/>
        <v>#REF!</v>
      </c>
      <c r="BV37" s="65">
        <f t="shared" si="28"/>
        <v>34.9142857142857</v>
      </c>
      <c r="BW37" s="65"/>
      <c r="BX37" s="65" t="e">
        <f t="shared" si="29"/>
        <v>#REF!</v>
      </c>
    </row>
    <row r="38" ht="14.0">
      <c r="A38" s="93" t="s">
        <v>179</v>
      </c>
      <c r="B38" s="93" t="s">
        <v>241</v>
      </c>
      <c r="C38" s="93" t="s">
        <v>247</v>
      </c>
      <c r="D38" s="93" t="s">
        <v>248</v>
      </c>
      <c r="E38" s="93">
        <v>0.0</v>
      </c>
      <c r="F38" s="93">
        <v>0.0</v>
      </c>
      <c r="G38" s="93">
        <v>0.0</v>
      </c>
      <c r="H38" s="93">
        <v>0.0</v>
      </c>
      <c r="I38" s="93">
        <v>0.0</v>
      </c>
      <c r="J38" s="93">
        <v>0.0</v>
      </c>
      <c r="K38" s="93">
        <v>0.0</v>
      </c>
      <c r="L38" s="93">
        <v>0.0</v>
      </c>
      <c r="M38" s="93">
        <v>0.0</v>
      </c>
      <c r="N38" s="93">
        <v>0.0</v>
      </c>
      <c r="O38" s="93">
        <v>0.0</v>
      </c>
      <c r="P38" s="93">
        <v>0.0</v>
      </c>
      <c r="Q38" s="93">
        <v>0.0</v>
      </c>
      <c r="R38" s="93">
        <v>0.0</v>
      </c>
      <c r="S38" s="93">
        <v>0.0</v>
      </c>
      <c r="T38" s="93">
        <v>0.0</v>
      </c>
      <c r="U38" s="93">
        <v>0.0</v>
      </c>
      <c r="V38" s="93">
        <v>0.0</v>
      </c>
      <c r="W38" s="93">
        <v>0.0</v>
      </c>
      <c r="X38" s="93">
        <v>0.0</v>
      </c>
      <c r="Y38" s="93">
        <v>0.0</v>
      </c>
      <c r="Z38" s="93">
        <v>0.0</v>
      </c>
      <c r="AA38" s="93">
        <v>0.0</v>
      </c>
      <c r="AB38" s="93">
        <v>0.0</v>
      </c>
      <c r="AC38" s="93">
        <v>0.0</v>
      </c>
      <c r="AD38" s="93">
        <v>33.0</v>
      </c>
      <c r="AE38" s="93">
        <v>36.0</v>
      </c>
      <c r="AF38" s="93">
        <v>27.0</v>
      </c>
      <c r="AG38" s="93">
        <v>24.0</v>
      </c>
      <c r="AH38" s="93">
        <v>18.0</v>
      </c>
      <c r="AI38" s="93">
        <v>27.0</v>
      </c>
      <c r="AJ38" s="93">
        <v>55.0</v>
      </c>
      <c r="AK38" s="93">
        <v>36.0</v>
      </c>
      <c r="AL38" s="93">
        <v>21.0</v>
      </c>
      <c r="AM38" s="93">
        <v>21.0</v>
      </c>
      <c r="AN38" s="93">
        <v>33.0</v>
      </c>
      <c r="AO38" s="69">
        <f t="shared" si="3"/>
        <v>331.0</v>
      </c>
      <c r="AP38" s="69">
        <f t="shared" si="4"/>
        <v>193.0</v>
      </c>
      <c r="AQ38" s="69">
        <f t="shared" si="5"/>
        <v>212.3</v>
      </c>
      <c r="AR38" s="47">
        <f t="shared" si="60"/>
        <v>33.545238095238</v>
      </c>
      <c r="AS38" s="47">
        <f t="shared" si="61"/>
        <v>26.1928571428571</v>
      </c>
      <c r="AT38" s="47">
        <f t="shared" si="62"/>
        <v>52.3857142857142</v>
      </c>
      <c r="AU38" s="47">
        <f t="shared" si="63"/>
        <v>58.3595238095238</v>
      </c>
      <c r="AV38" s="47">
        <f t="shared" si="64"/>
        <v>52.845238095238</v>
      </c>
      <c r="AW38" s="47">
        <f t="shared" si="65"/>
        <v>43.195238095238</v>
      </c>
      <c r="AX38" s="64">
        <f t="shared" si="12"/>
        <v>266.523809523809</v>
      </c>
      <c r="AY38" s="64" t="e">
        <f t="shared" si="13"/>
        <v>#REF!</v>
      </c>
      <c r="BB38" s="69" t="e">
        <f t="shared" si="51"/>
        <v>#REF!</v>
      </c>
      <c r="BC38" s="69">
        <v>501.0</v>
      </c>
      <c r="BD38" s="47">
        <f t="shared" ref="BD38:BD40" si="67">BC38</f>
        <v>501.0</v>
      </c>
      <c r="BE38" s="103" t="s">
        <v>249</v>
      </c>
      <c r="BF38" s="95" t="e">
        <f t="shared" si="15"/>
        <v>#REF!</v>
      </c>
      <c r="BG38" s="65">
        <f t="shared" si="16"/>
        <v>33.545238095238</v>
      </c>
      <c r="BH38" s="65">
        <f t="shared" si="17"/>
      </c>
      <c r="BI38" s="65" t="e">
        <f t="shared" si="18"/>
        <v>#REF!</v>
      </c>
      <c r="BJ38" s="65">
        <f t="shared" si="19"/>
        <v>26.1928571428571</v>
      </c>
      <c r="BK38" s="65">
        <f t="shared" si="20"/>
      </c>
      <c r="BL38" s="65" t="e">
        <f t="shared" si="21"/>
        <v>#REF!</v>
      </c>
      <c r="BM38" s="65">
        <f t="shared" si="22"/>
        <v>52.3857142857142</v>
      </c>
      <c r="BN38" s="65"/>
      <c r="BO38" s="65" t="e">
        <f t="shared" si="23"/>
        <v>#REF!</v>
      </c>
      <c r="BP38" s="65">
        <f t="shared" si="24"/>
        <v>58.3595238095238</v>
      </c>
      <c r="BQ38" s="65"/>
      <c r="BR38" s="65" t="e">
        <f t="shared" si="25"/>
        <v>#REF!</v>
      </c>
      <c r="BS38" s="65">
        <f t="shared" si="26"/>
        <v>52.845238095238</v>
      </c>
      <c r="BT38" s="65"/>
      <c r="BU38" s="65" t="e">
        <f t="shared" si="27"/>
        <v>#REF!</v>
      </c>
      <c r="BV38" s="65">
        <f t="shared" si="28"/>
        <v>43.195238095238</v>
      </c>
      <c r="BW38" s="65"/>
      <c r="BX38" s="65" t="e">
        <f t="shared" si="29"/>
        <v>#REF!</v>
      </c>
    </row>
    <row r="39" ht="14.0">
      <c r="A39" s="93" t="s">
        <v>179</v>
      </c>
      <c r="B39" s="93" t="s">
        <v>241</v>
      </c>
      <c r="C39" s="93" t="s">
        <v>250</v>
      </c>
      <c r="D39" s="93" t="s">
        <v>251</v>
      </c>
      <c r="E39" s="93">
        <v>0.0</v>
      </c>
      <c r="F39" s="93">
        <v>0.0</v>
      </c>
      <c r="G39" s="93">
        <v>0.0</v>
      </c>
      <c r="H39" s="93">
        <v>0.0</v>
      </c>
      <c r="I39" s="93">
        <v>0.0</v>
      </c>
      <c r="J39" s="93">
        <v>0.0</v>
      </c>
      <c r="K39" s="93">
        <v>0.0</v>
      </c>
      <c r="L39" s="93">
        <v>0.0</v>
      </c>
      <c r="M39" s="93">
        <v>0.0</v>
      </c>
      <c r="N39" s="93">
        <v>0.0</v>
      </c>
      <c r="O39" s="93">
        <v>0.0</v>
      </c>
      <c r="P39" s="93">
        <v>0.0</v>
      </c>
      <c r="Q39" s="93">
        <v>0.0</v>
      </c>
      <c r="R39" s="93">
        <v>0.0</v>
      </c>
      <c r="S39" s="93">
        <v>0.0</v>
      </c>
      <c r="T39" s="93">
        <v>0.0</v>
      </c>
      <c r="U39" s="93">
        <v>0.0</v>
      </c>
      <c r="V39" s="93">
        <v>0.0</v>
      </c>
      <c r="W39" s="93">
        <v>0.0</v>
      </c>
      <c r="X39" s="93">
        <v>0.0</v>
      </c>
      <c r="Y39" s="93">
        <v>0.0</v>
      </c>
      <c r="Z39" s="93">
        <v>0.0</v>
      </c>
      <c r="AA39" s="93">
        <v>0.0</v>
      </c>
      <c r="AB39" s="93">
        <v>0.0</v>
      </c>
      <c r="AC39" s="93">
        <v>0.0</v>
      </c>
      <c r="AD39" s="93">
        <v>18.0</v>
      </c>
      <c r="AE39" s="93">
        <v>28.0</v>
      </c>
      <c r="AF39" s="93">
        <v>20.0</v>
      </c>
      <c r="AG39" s="93">
        <v>15.0</v>
      </c>
      <c r="AH39" s="93">
        <v>9.0</v>
      </c>
      <c r="AI39" s="93">
        <v>36.0</v>
      </c>
      <c r="AJ39" s="93">
        <v>40.0</v>
      </c>
      <c r="AK39" s="93">
        <v>39.0</v>
      </c>
      <c r="AL39" s="93">
        <v>51.0</v>
      </c>
      <c r="AM39" s="93">
        <v>27.0</v>
      </c>
      <c r="AN39" s="93">
        <v>51.0</v>
      </c>
      <c r="AO39" s="69">
        <f t="shared" si="3"/>
        <v>334.0</v>
      </c>
      <c r="AP39" s="69">
        <f t="shared" si="4"/>
        <v>244.0</v>
      </c>
      <c r="AQ39" s="69">
        <f t="shared" si="5"/>
        <v>268.4</v>
      </c>
      <c r="AR39" s="47">
        <f t="shared" si="60"/>
        <v>42.4095238095238</v>
      </c>
      <c r="AS39" s="47">
        <f t="shared" si="61"/>
        <v>33.1142857142857</v>
      </c>
      <c r="AT39" s="47">
        <f t="shared" si="62"/>
        <v>66.2285714285714</v>
      </c>
      <c r="AU39" s="47">
        <f t="shared" si="63"/>
        <v>73.7809523809523</v>
      </c>
      <c r="AV39" s="47">
        <f t="shared" si="64"/>
        <v>66.8095238095238</v>
      </c>
      <c r="AW39" s="47">
        <f t="shared" si="65"/>
        <v>54.6095238095238</v>
      </c>
      <c r="AX39" s="64">
        <f t="shared" si="12"/>
        <v>336.95238095238</v>
      </c>
      <c r="AY39" s="64" t="e">
        <f t="shared" si="13"/>
        <v>#REF!</v>
      </c>
      <c r="BB39" s="69" t="e">
        <f t="shared" si="51"/>
        <v>#REF!</v>
      </c>
      <c r="BC39" s="69">
        <v>501.0</v>
      </c>
      <c r="BD39" s="47">
        <f t="shared" si="67"/>
        <v>501.0</v>
      </c>
      <c r="BE39" s="103" t="s">
        <v>249</v>
      </c>
      <c r="BF39" s="95" t="e">
        <f t="shared" si="15"/>
        <v>#REF!</v>
      </c>
      <c r="BG39" s="65">
        <f t="shared" si="16"/>
        <v>42.4095238095238</v>
      </c>
      <c r="BH39" s="65">
        <f t="shared" si="17"/>
      </c>
      <c r="BI39" s="65" t="e">
        <f t="shared" si="18"/>
        <v>#REF!</v>
      </c>
      <c r="BJ39" s="65">
        <f t="shared" si="19"/>
        <v>33.1142857142857</v>
      </c>
      <c r="BK39" s="65">
        <f t="shared" si="20"/>
      </c>
      <c r="BL39" s="65" t="e">
        <f t="shared" si="21"/>
        <v>#REF!</v>
      </c>
      <c r="BM39" s="65">
        <f t="shared" si="22"/>
        <v>66.2285714285714</v>
      </c>
      <c r="BN39" s="65"/>
      <c r="BO39" s="65" t="e">
        <f t="shared" si="23"/>
        <v>#REF!</v>
      </c>
      <c r="BP39" s="65">
        <f t="shared" si="24"/>
        <v>73.7809523809523</v>
      </c>
      <c r="BQ39" s="65"/>
      <c r="BR39" s="65" t="e">
        <f t="shared" si="25"/>
        <v>#REF!</v>
      </c>
      <c r="BS39" s="65">
        <f t="shared" si="26"/>
        <v>66.8095238095238</v>
      </c>
      <c r="BT39" s="65"/>
      <c r="BU39" s="65" t="e">
        <f t="shared" si="27"/>
        <v>#REF!</v>
      </c>
      <c r="BV39" s="65">
        <f t="shared" si="28"/>
        <v>54.6095238095238</v>
      </c>
      <c r="BW39" s="65"/>
      <c r="BX39" s="65" t="e">
        <f t="shared" si="29"/>
        <v>#REF!</v>
      </c>
    </row>
    <row r="40" ht="14.0">
      <c r="A40" s="93" t="s">
        <v>179</v>
      </c>
      <c r="B40" s="93" t="s">
        <v>252</v>
      </c>
      <c r="C40" s="93" t="s">
        <v>253</v>
      </c>
      <c r="D40" s="93" t="s">
        <v>254</v>
      </c>
      <c r="E40" s="93">
        <v>0.0</v>
      </c>
      <c r="F40" s="93">
        <v>0.0</v>
      </c>
      <c r="G40" s="93">
        <v>0.0</v>
      </c>
      <c r="H40" s="93">
        <v>0.0</v>
      </c>
      <c r="I40" s="93">
        <v>0.0</v>
      </c>
      <c r="J40" s="93">
        <v>0.0</v>
      </c>
      <c r="K40" s="93">
        <v>0.0</v>
      </c>
      <c r="L40" s="93">
        <v>0.0</v>
      </c>
      <c r="M40" s="93">
        <v>0.0</v>
      </c>
      <c r="N40" s="93">
        <v>0.0</v>
      </c>
      <c r="O40" s="93">
        <v>0.0</v>
      </c>
      <c r="P40" s="93">
        <v>0.0</v>
      </c>
      <c r="Q40" s="93">
        <v>0.0</v>
      </c>
      <c r="R40" s="93">
        <v>0.0</v>
      </c>
      <c r="S40" s="93">
        <v>0.0</v>
      </c>
      <c r="T40" s="93">
        <v>0.0</v>
      </c>
      <c r="U40" s="93">
        <v>0.0</v>
      </c>
      <c r="V40" s="93">
        <v>0.0</v>
      </c>
      <c r="W40" s="93">
        <v>0.0</v>
      </c>
      <c r="X40" s="93">
        <v>0.0</v>
      </c>
      <c r="Y40" s="93">
        <v>0.0</v>
      </c>
      <c r="Z40" s="93">
        <v>0.0</v>
      </c>
      <c r="AA40" s="93">
        <v>0.0</v>
      </c>
      <c r="AB40" s="93">
        <v>0.0</v>
      </c>
      <c r="AC40" s="93">
        <v>0.0</v>
      </c>
      <c r="AD40" s="93">
        <v>48.0</v>
      </c>
      <c r="AE40" s="93">
        <v>45.0</v>
      </c>
      <c r="AF40" s="93">
        <v>24.0</v>
      </c>
      <c r="AG40" s="93">
        <v>6.0</v>
      </c>
      <c r="AH40" s="93">
        <v>15.0</v>
      </c>
      <c r="AI40" s="93">
        <v>36.0</v>
      </c>
      <c r="AJ40" s="93">
        <v>39.0</v>
      </c>
      <c r="AK40" s="93">
        <v>40.0</v>
      </c>
      <c r="AL40" s="93">
        <v>45.0</v>
      </c>
      <c r="AM40" s="93">
        <v>45.0</v>
      </c>
      <c r="AN40" s="93">
        <v>27.0</v>
      </c>
      <c r="AO40" s="69">
        <f t="shared" si="3"/>
        <v>370.0</v>
      </c>
      <c r="AP40" s="69">
        <f t="shared" si="4"/>
        <v>232.0</v>
      </c>
      <c r="AQ40" s="69">
        <f t="shared" si="5"/>
        <v>255.2</v>
      </c>
      <c r="AR40" s="47">
        <f t="shared" si="60"/>
        <v>40.3238095238095</v>
      </c>
      <c r="AS40" s="47">
        <f t="shared" si="61"/>
        <v>31.4857142857142</v>
      </c>
      <c r="AT40" s="47">
        <f t="shared" si="62"/>
        <v>62.971428571429</v>
      </c>
      <c r="AU40" s="47">
        <f t="shared" si="63"/>
        <v>70.152380952381</v>
      </c>
      <c r="AV40" s="47">
        <f t="shared" si="64"/>
        <v>63.5238095238095</v>
      </c>
      <c r="AW40" s="47">
        <f t="shared" si="65"/>
        <v>51.9238095238095</v>
      </c>
      <c r="AX40" s="64">
        <f t="shared" si="12"/>
        <v>320.380952380952</v>
      </c>
      <c r="AY40" s="64" t="e">
        <f t="shared" si="13"/>
        <v>#REF!</v>
      </c>
      <c r="BB40" s="69" t="e">
        <f t="shared" si="51"/>
        <v>#REF!</v>
      </c>
      <c r="BC40" s="69">
        <v>501.0</v>
      </c>
      <c r="BD40" s="47">
        <f t="shared" si="67"/>
        <v>501.0</v>
      </c>
      <c r="BE40" s="103" t="s">
        <v>255</v>
      </c>
      <c r="BF40" s="95" t="e">
        <f t="shared" si="15"/>
        <v>#REF!</v>
      </c>
      <c r="BG40" s="65">
        <f t="shared" si="16"/>
        <v>40.3238095238095</v>
      </c>
      <c r="BH40" s="65">
        <f t="shared" si="17"/>
      </c>
      <c r="BI40" s="65" t="e">
        <f t="shared" si="18"/>
        <v>#REF!</v>
      </c>
      <c r="BJ40" s="65">
        <f t="shared" si="19"/>
        <v>31.4857142857142</v>
      </c>
      <c r="BK40" s="65">
        <f t="shared" si="20"/>
      </c>
      <c r="BL40" s="65" t="e">
        <f t="shared" si="21"/>
        <v>#REF!</v>
      </c>
      <c r="BM40" s="65">
        <f t="shared" si="22"/>
        <v>62.971428571429</v>
      </c>
      <c r="BN40" s="65"/>
      <c r="BO40" s="65" t="e">
        <f t="shared" si="23"/>
        <v>#REF!</v>
      </c>
      <c r="BP40" s="65">
        <f t="shared" si="24"/>
        <v>70.152380952381</v>
      </c>
      <c r="BQ40" s="65"/>
      <c r="BR40" s="65" t="e">
        <f t="shared" si="25"/>
        <v>#REF!</v>
      </c>
      <c r="BS40" s="65">
        <f t="shared" si="26"/>
        <v>63.5238095238095</v>
      </c>
      <c r="BT40" s="65"/>
      <c r="BU40" s="65" t="e">
        <f t="shared" si="27"/>
        <v>#REF!</v>
      </c>
      <c r="BV40" s="65">
        <f t="shared" si="28"/>
        <v>51.9238095238095</v>
      </c>
      <c r="BW40" s="65"/>
      <c r="BX40" s="65" t="e">
        <f t="shared" si="29"/>
        <v>#REF!</v>
      </c>
    </row>
    <row r="41" ht="14.0">
      <c r="A41" s="93" t="s">
        <v>179</v>
      </c>
      <c r="B41" s="93" t="s">
        <v>252</v>
      </c>
      <c r="C41" s="93" t="s">
        <v>256</v>
      </c>
      <c r="D41" s="93" t="s">
        <v>257</v>
      </c>
      <c r="E41" s="93">
        <v>0.0</v>
      </c>
      <c r="F41" s="93">
        <v>0.0</v>
      </c>
      <c r="G41" s="93">
        <v>0.0</v>
      </c>
      <c r="H41" s="93">
        <v>0.0</v>
      </c>
      <c r="I41" s="93">
        <v>0.0</v>
      </c>
      <c r="J41" s="93">
        <v>0.0</v>
      </c>
      <c r="K41" s="93">
        <v>0.0</v>
      </c>
      <c r="L41" s="93">
        <v>0.0</v>
      </c>
      <c r="M41" s="93">
        <v>0.0</v>
      </c>
      <c r="N41" s="93">
        <v>0.0</v>
      </c>
      <c r="O41" s="93">
        <v>0.0</v>
      </c>
      <c r="P41" s="93">
        <v>0.0</v>
      </c>
      <c r="Q41" s="93">
        <v>0.0</v>
      </c>
      <c r="R41" s="93">
        <v>0.0</v>
      </c>
      <c r="S41" s="93">
        <v>0.0</v>
      </c>
      <c r="T41" s="93">
        <v>0.0</v>
      </c>
      <c r="U41" s="93">
        <v>0.0</v>
      </c>
      <c r="V41" s="93">
        <v>0.0</v>
      </c>
      <c r="W41" s="93">
        <v>0.0</v>
      </c>
      <c r="X41" s="93">
        <v>0.0</v>
      </c>
      <c r="Y41" s="93">
        <v>0.0</v>
      </c>
      <c r="Z41" s="93">
        <v>0.0</v>
      </c>
      <c r="AA41" s="93">
        <v>0.0</v>
      </c>
      <c r="AB41" s="93">
        <v>0.0</v>
      </c>
      <c r="AC41" s="93">
        <v>0.0</v>
      </c>
      <c r="AD41" s="93">
        <v>18.0</v>
      </c>
      <c r="AE41" s="93">
        <v>31.0</v>
      </c>
      <c r="AF41" s="93">
        <v>6.0</v>
      </c>
      <c r="AG41" s="93">
        <v>3.0</v>
      </c>
      <c r="AH41" s="93">
        <v>3.0</v>
      </c>
      <c r="AI41" s="93">
        <v>24.0</v>
      </c>
      <c r="AJ41" s="93">
        <v>12.0</v>
      </c>
      <c r="AK41" s="93">
        <v>15.0</v>
      </c>
      <c r="AL41" s="93">
        <v>21.0</v>
      </c>
      <c r="AM41" s="93">
        <v>9.0</v>
      </c>
      <c r="AN41" s="93">
        <v>18.0</v>
      </c>
      <c r="AO41" s="69">
        <f t="shared" si="3"/>
        <v>160.0</v>
      </c>
      <c r="AP41" s="69">
        <f t="shared" si="4"/>
        <v>99.0</v>
      </c>
      <c r="AQ41" s="69">
        <f t="shared" si="5"/>
        <v>108.9</v>
      </c>
      <c r="AR41" s="47">
        <f t="shared" si="60"/>
        <v>17.207142857142</v>
      </c>
      <c r="AS41" s="47">
        <f t="shared" si="61"/>
        <v>13.4357142857142</v>
      </c>
      <c r="AT41" s="47">
        <f t="shared" si="62"/>
        <v>26.8714285714286</v>
      </c>
      <c r="AU41" s="47">
        <f t="shared" si="63"/>
        <v>29.9357142857142</v>
      </c>
      <c r="AV41" s="47">
        <f t="shared" si="64"/>
        <v>27.1071428571429</v>
      </c>
      <c r="AW41" s="47">
        <f t="shared" si="65"/>
        <v>22.1571428571429</v>
      </c>
      <c r="AX41" s="64">
        <f t="shared" si="12"/>
        <v>136.714285714284</v>
      </c>
      <c r="AY41" s="64" t="e">
        <f t="shared" si="13"/>
        <v>#REF!</v>
      </c>
      <c r="BB41" s="69" t="e">
        <f t="shared" si="51"/>
        <v>#REF!</v>
      </c>
      <c r="BC41" s="69"/>
      <c r="BE41" s="70"/>
      <c r="BF41" s="95" t="e">
        <f t="shared" si="15"/>
        <v>#REF!</v>
      </c>
      <c r="BG41" s="65">
        <f t="shared" si="16"/>
        <v>17.207142857142</v>
      </c>
      <c r="BH41" s="65">
        <f t="shared" si="17"/>
      </c>
      <c r="BI41" s="65" t="e">
        <f t="shared" si="18"/>
        <v>#REF!</v>
      </c>
      <c r="BJ41" s="65">
        <f t="shared" si="19"/>
        <v>13.4357142857142</v>
      </c>
      <c r="BK41" s="65">
        <f t="shared" si="20"/>
      </c>
      <c r="BL41" s="65" t="e">
        <f t="shared" si="21"/>
        <v>#REF!</v>
      </c>
      <c r="BM41" s="65">
        <f t="shared" si="22"/>
        <v>26.8714285714286</v>
      </c>
      <c r="BN41" s="65"/>
      <c r="BO41" s="65" t="e">
        <f t="shared" si="23"/>
        <v>#REF!</v>
      </c>
      <c r="BP41" s="65">
        <f t="shared" si="24"/>
        <v>29.9357142857142</v>
      </c>
      <c r="BQ41" s="65"/>
      <c r="BR41" s="65" t="e">
        <f t="shared" si="25"/>
        <v>#REF!</v>
      </c>
      <c r="BS41" s="65">
        <f t="shared" si="26"/>
        <v>27.1071428571429</v>
      </c>
      <c r="BT41" s="65"/>
      <c r="BU41" s="65" t="e">
        <f t="shared" si="27"/>
        <v>#REF!</v>
      </c>
      <c r="BV41" s="65">
        <f t="shared" si="28"/>
        <v>22.1571428571429</v>
      </c>
      <c r="BW41" s="65"/>
      <c r="BX41" s="65" t="e">
        <f t="shared" si="29"/>
        <v>#REF!</v>
      </c>
    </row>
    <row r="42" ht="14.0">
      <c r="A42" s="93" t="s">
        <v>179</v>
      </c>
      <c r="B42" s="93" t="s">
        <v>252</v>
      </c>
      <c r="C42" s="93" t="s">
        <v>258</v>
      </c>
      <c r="D42" s="93" t="s">
        <v>259</v>
      </c>
      <c r="E42" s="93">
        <v>0.0</v>
      </c>
      <c r="F42" s="93">
        <v>0.0</v>
      </c>
      <c r="G42" s="93">
        <v>0.0</v>
      </c>
      <c r="H42" s="93">
        <v>0.0</v>
      </c>
      <c r="I42" s="93">
        <v>0.0</v>
      </c>
      <c r="J42" s="93">
        <v>0.0</v>
      </c>
      <c r="K42" s="93">
        <v>0.0</v>
      </c>
      <c r="L42" s="93">
        <v>0.0</v>
      </c>
      <c r="M42" s="93">
        <v>0.0</v>
      </c>
      <c r="N42" s="93">
        <v>0.0</v>
      </c>
      <c r="O42" s="93">
        <v>0.0</v>
      </c>
      <c r="P42" s="93">
        <v>0.0</v>
      </c>
      <c r="Q42" s="93">
        <v>0.0</v>
      </c>
      <c r="R42" s="93">
        <v>0.0</v>
      </c>
      <c r="S42" s="93">
        <v>0.0</v>
      </c>
      <c r="T42" s="93">
        <v>0.0</v>
      </c>
      <c r="U42" s="93">
        <v>0.0</v>
      </c>
      <c r="V42" s="93">
        <v>0.0</v>
      </c>
      <c r="W42" s="93">
        <v>0.0</v>
      </c>
      <c r="X42" s="93">
        <v>0.0</v>
      </c>
      <c r="Y42" s="93">
        <v>0.0</v>
      </c>
      <c r="Z42" s="93">
        <v>0.0</v>
      </c>
      <c r="AA42" s="93">
        <v>0.0</v>
      </c>
      <c r="AB42" s="93">
        <v>0.0</v>
      </c>
      <c r="AC42" s="93">
        <v>0.0</v>
      </c>
      <c r="AD42" s="93">
        <v>30.0</v>
      </c>
      <c r="AE42" s="93">
        <v>30.0</v>
      </c>
      <c r="AF42" s="93">
        <v>15.0</v>
      </c>
      <c r="AG42" s="93">
        <v>3.0</v>
      </c>
      <c r="AH42" s="93">
        <v>0.0</v>
      </c>
      <c r="AI42" s="93">
        <v>27.0</v>
      </c>
      <c r="AJ42" s="93">
        <v>15.0</v>
      </c>
      <c r="AK42" s="93">
        <v>27.0</v>
      </c>
      <c r="AL42" s="93">
        <v>39.0</v>
      </c>
      <c r="AM42" s="93">
        <v>21.0</v>
      </c>
      <c r="AN42" s="93">
        <v>18.0</v>
      </c>
      <c r="AO42" s="69">
        <f t="shared" si="3"/>
        <v>225.0</v>
      </c>
      <c r="AP42" s="69">
        <f t="shared" si="4"/>
        <v>147.0</v>
      </c>
      <c r="AQ42" s="69">
        <f t="shared" si="5"/>
        <v>161.7</v>
      </c>
      <c r="AR42" s="47">
        <f t="shared" si="60"/>
        <v>25.55</v>
      </c>
      <c r="AS42" s="47">
        <f t="shared" si="61"/>
        <v>19.95</v>
      </c>
      <c r="AT42" s="47">
        <f t="shared" si="62"/>
        <v>39.9</v>
      </c>
      <c r="AU42" s="47">
        <f t="shared" si="63"/>
        <v>44.45</v>
      </c>
      <c r="AV42" s="47">
        <f t="shared" si="64"/>
        <v>40.25</v>
      </c>
      <c r="AW42" s="47">
        <f t="shared" si="65"/>
        <v>32.9</v>
      </c>
      <c r="AX42" s="64">
        <f t="shared" si="12"/>
        <v>203.0</v>
      </c>
      <c r="AY42" s="64" t="e">
        <f t="shared" si="13"/>
        <v>#REF!</v>
      </c>
      <c r="BB42" s="69" t="e">
        <f t="shared" si="51"/>
        <v>#REF!</v>
      </c>
      <c r="BC42" s="69"/>
      <c r="BE42" s="70"/>
      <c r="BF42" s="95" t="e">
        <f t="shared" si="15"/>
        <v>#REF!</v>
      </c>
      <c r="BG42" s="65">
        <f t="shared" si="16"/>
        <v>25.55</v>
      </c>
      <c r="BH42" s="65">
        <f t="shared" si="17"/>
      </c>
      <c r="BI42" s="65" t="e">
        <f t="shared" si="18"/>
        <v>#REF!</v>
      </c>
      <c r="BJ42" s="65">
        <f t="shared" si="19"/>
        <v>19.95</v>
      </c>
      <c r="BK42" s="65">
        <f t="shared" si="20"/>
      </c>
      <c r="BL42" s="65" t="e">
        <f t="shared" si="21"/>
        <v>#REF!</v>
      </c>
      <c r="BM42" s="65">
        <f t="shared" si="22"/>
        <v>39.9</v>
      </c>
      <c r="BN42" s="65"/>
      <c r="BO42" s="65" t="e">
        <f t="shared" si="23"/>
        <v>#REF!</v>
      </c>
      <c r="BP42" s="65">
        <f t="shared" si="24"/>
        <v>44.45</v>
      </c>
      <c r="BQ42" s="65"/>
      <c r="BR42" s="65" t="e">
        <f t="shared" si="25"/>
        <v>#REF!</v>
      </c>
      <c r="BS42" s="65">
        <f t="shared" si="26"/>
        <v>40.25</v>
      </c>
      <c r="BT42" s="65"/>
      <c r="BU42" s="65" t="e">
        <f t="shared" si="27"/>
        <v>#REF!</v>
      </c>
      <c r="BV42" s="65">
        <f t="shared" si="28"/>
        <v>32.9</v>
      </c>
      <c r="BW42" s="65"/>
      <c r="BX42" s="65" t="e">
        <f t="shared" si="29"/>
        <v>#REF!</v>
      </c>
    </row>
    <row r="43" ht="14.0">
      <c r="A43" s="93" t="s">
        <v>179</v>
      </c>
      <c r="B43" s="93" t="s">
        <v>252</v>
      </c>
      <c r="C43" s="93" t="s">
        <v>260</v>
      </c>
      <c r="D43" s="93" t="s">
        <v>261</v>
      </c>
      <c r="E43" s="93">
        <v>0.0</v>
      </c>
      <c r="F43" s="93">
        <v>0.0</v>
      </c>
      <c r="G43" s="93">
        <v>0.0</v>
      </c>
      <c r="H43" s="93">
        <v>0.0</v>
      </c>
      <c r="I43" s="93">
        <v>0.0</v>
      </c>
      <c r="J43" s="93">
        <v>0.0</v>
      </c>
      <c r="K43" s="93">
        <v>0.0</v>
      </c>
      <c r="L43" s="93">
        <v>0.0</v>
      </c>
      <c r="M43" s="93">
        <v>0.0</v>
      </c>
      <c r="N43" s="93">
        <v>0.0</v>
      </c>
      <c r="O43" s="93">
        <v>0.0</v>
      </c>
      <c r="P43" s="93">
        <v>0.0</v>
      </c>
      <c r="Q43" s="93">
        <v>0.0</v>
      </c>
      <c r="R43" s="93">
        <v>0.0</v>
      </c>
      <c r="S43" s="93">
        <v>0.0</v>
      </c>
      <c r="T43" s="93">
        <v>0.0</v>
      </c>
      <c r="U43" s="93">
        <v>0.0</v>
      </c>
      <c r="V43" s="93">
        <v>0.0</v>
      </c>
      <c r="W43" s="93">
        <v>0.0</v>
      </c>
      <c r="X43" s="93">
        <v>0.0</v>
      </c>
      <c r="Y43" s="93">
        <v>0.0</v>
      </c>
      <c r="Z43" s="93">
        <v>0.0</v>
      </c>
      <c r="AA43" s="93">
        <v>0.0</v>
      </c>
      <c r="AB43" s="93">
        <v>0.0</v>
      </c>
      <c r="AC43" s="93">
        <v>0.0</v>
      </c>
      <c r="AD43" s="93">
        <v>24.0</v>
      </c>
      <c r="AE43" s="93">
        <v>18.0</v>
      </c>
      <c r="AF43" s="93">
        <v>12.0</v>
      </c>
      <c r="AG43" s="93">
        <v>9.0</v>
      </c>
      <c r="AH43" s="93">
        <v>0.0</v>
      </c>
      <c r="AI43" s="93">
        <v>12.0</v>
      </c>
      <c r="AJ43" s="93">
        <v>36.0</v>
      </c>
      <c r="AK43" s="93">
        <v>27.0</v>
      </c>
      <c r="AL43" s="93">
        <v>39.0</v>
      </c>
      <c r="AM43" s="93">
        <v>15.0</v>
      </c>
      <c r="AN43" s="93">
        <v>21.0</v>
      </c>
      <c r="AO43" s="69">
        <f t="shared" si="3"/>
        <v>213.0</v>
      </c>
      <c r="AP43" s="69">
        <f t="shared" si="4"/>
        <v>150.0</v>
      </c>
      <c r="AQ43" s="69">
        <f t="shared" si="5"/>
        <v>165.0</v>
      </c>
      <c r="AR43" s="47">
        <f t="shared" si="60"/>
        <v>26.071428571429</v>
      </c>
      <c r="AS43" s="47">
        <f t="shared" si="61"/>
        <v>20.3571428571429</v>
      </c>
      <c r="AT43" s="47">
        <f t="shared" si="62"/>
        <v>40.7142857142857</v>
      </c>
      <c r="AU43" s="47">
        <f t="shared" si="63"/>
        <v>45.3571428571429</v>
      </c>
      <c r="AV43" s="47">
        <f t="shared" si="64"/>
        <v>41.0714285714286</v>
      </c>
      <c r="AW43" s="47">
        <f t="shared" si="65"/>
        <v>33.5714285714286</v>
      </c>
      <c r="AX43" s="64">
        <f t="shared" si="12"/>
        <v>207.142857142858</v>
      </c>
      <c r="AY43" s="64" t="e">
        <f t="shared" si="13"/>
        <v>#REF!</v>
      </c>
      <c r="BB43" s="69" t="e">
        <f t="shared" si="51"/>
        <v>#REF!</v>
      </c>
      <c r="BC43" s="69"/>
      <c r="BE43" s="70"/>
      <c r="BF43" s="95" t="e">
        <f t="shared" si="15"/>
        <v>#REF!</v>
      </c>
      <c r="BG43" s="65">
        <f t="shared" si="16"/>
        <v>26.071428571429</v>
      </c>
      <c r="BH43" s="65">
        <f t="shared" si="17"/>
      </c>
      <c r="BI43" s="65" t="e">
        <f t="shared" si="18"/>
        <v>#REF!</v>
      </c>
      <c r="BJ43" s="65">
        <f t="shared" si="19"/>
        <v>20.3571428571429</v>
      </c>
      <c r="BK43" s="65">
        <f t="shared" si="20"/>
      </c>
      <c r="BL43" s="65" t="e">
        <f t="shared" si="21"/>
        <v>#REF!</v>
      </c>
      <c r="BM43" s="65">
        <f t="shared" si="22"/>
        <v>40.7142857142857</v>
      </c>
      <c r="BN43" s="65"/>
      <c r="BO43" s="65" t="e">
        <f t="shared" si="23"/>
        <v>#REF!</v>
      </c>
      <c r="BP43" s="65">
        <f t="shared" si="24"/>
        <v>45.3571428571429</v>
      </c>
      <c r="BQ43" s="65"/>
      <c r="BR43" s="65" t="e">
        <f t="shared" si="25"/>
        <v>#REF!</v>
      </c>
      <c r="BS43" s="65">
        <f t="shared" si="26"/>
        <v>41.0714285714286</v>
      </c>
      <c r="BT43" s="65"/>
      <c r="BU43" s="65" t="e">
        <f t="shared" si="27"/>
        <v>#REF!</v>
      </c>
      <c r="BV43" s="65">
        <f t="shared" si="28"/>
        <v>33.5714285714286</v>
      </c>
      <c r="BW43" s="65"/>
      <c r="BX43" s="65" t="e">
        <f t="shared" si="29"/>
        <v>#REF!</v>
      </c>
    </row>
    <row r="44" ht="14.0">
      <c r="A44" s="93" t="s">
        <v>179</v>
      </c>
      <c r="B44" s="93" t="s">
        <v>262</v>
      </c>
      <c r="C44" s="93" t="s">
        <v>263</v>
      </c>
      <c r="D44" s="93" t="s">
        <v>264</v>
      </c>
      <c r="E44" s="93">
        <v>0.0</v>
      </c>
      <c r="F44" s="93">
        <v>0.0</v>
      </c>
      <c r="G44" s="93">
        <v>0.0</v>
      </c>
      <c r="H44" s="93">
        <v>0.0</v>
      </c>
      <c r="I44" s="93">
        <v>0.0</v>
      </c>
      <c r="J44" s="93">
        <v>0.0</v>
      </c>
      <c r="K44" s="93">
        <v>0.0</v>
      </c>
      <c r="L44" s="93">
        <v>0.0</v>
      </c>
      <c r="M44" s="93">
        <v>0.0</v>
      </c>
      <c r="N44" s="93">
        <v>0.0</v>
      </c>
      <c r="O44" s="93">
        <v>0.0</v>
      </c>
      <c r="P44" s="93">
        <v>0.0</v>
      </c>
      <c r="Q44" s="93">
        <v>0.0</v>
      </c>
      <c r="R44" s="93">
        <v>0.0</v>
      </c>
      <c r="S44" s="93">
        <v>0.0</v>
      </c>
      <c r="T44" s="93">
        <v>0.0</v>
      </c>
      <c r="U44" s="93">
        <v>0.0</v>
      </c>
      <c r="V44" s="93">
        <v>0.0</v>
      </c>
      <c r="W44" s="93">
        <v>0.0</v>
      </c>
      <c r="X44" s="93">
        <v>0.0</v>
      </c>
      <c r="Y44" s="93">
        <v>0.0</v>
      </c>
      <c r="Z44" s="93">
        <v>0.0</v>
      </c>
      <c r="AA44" s="93">
        <v>0.0</v>
      </c>
      <c r="AB44" s="93">
        <v>0.0</v>
      </c>
      <c r="AC44" s="93">
        <v>0.0</v>
      </c>
      <c r="AD44" s="93">
        <v>0.0</v>
      </c>
      <c r="AE44" s="93">
        <v>0.0</v>
      </c>
      <c r="AF44" s="93">
        <v>0.0</v>
      </c>
      <c r="AG44" s="93">
        <v>0.0</v>
      </c>
      <c r="AH44" s="93">
        <v>0.0</v>
      </c>
      <c r="AI44" s="93">
        <v>0.0</v>
      </c>
      <c r="AJ44" s="93">
        <v>16.0</v>
      </c>
      <c r="AK44" s="93">
        <v>161.0</v>
      </c>
      <c r="AL44" s="93">
        <v>128.0</v>
      </c>
      <c r="AM44" s="93">
        <v>76.0</v>
      </c>
      <c r="AN44" s="93">
        <v>64.0</v>
      </c>
      <c r="AO44" s="69">
        <f t="shared" si="3"/>
        <v>445.0</v>
      </c>
      <c r="AP44" s="69">
        <f t="shared" si="4"/>
        <v>445.0</v>
      </c>
      <c r="AQ44" s="69">
        <f t="shared" si="5"/>
        <v>489.5</v>
      </c>
      <c r="AR44" s="94">
        <f t="shared" si="60"/>
        <v>77.345238095238</v>
      </c>
      <c r="AS44" s="94">
        <f t="shared" si="61"/>
        <v>60.3928571428571</v>
      </c>
      <c r="AT44" s="94">
        <f t="shared" si="62"/>
        <v>120.785714285714</v>
      </c>
      <c r="AU44" s="94">
        <f t="shared" si="63"/>
        <v>134.559523809523</v>
      </c>
      <c r="AV44" s="94">
        <f t="shared" si="64"/>
        <v>121.845238095238</v>
      </c>
      <c r="AW44" s="94">
        <f t="shared" si="65"/>
        <v>99.595238095238</v>
      </c>
      <c r="AX44" s="64">
        <f t="shared" si="12"/>
        <v>614.523809523808</v>
      </c>
      <c r="AY44" s="64" t="e">
        <f t="shared" si="13"/>
        <v>#REF!</v>
      </c>
      <c r="AZ44" s="64" t="e">
        <f t="shared" ref="AZ44:AZ45" si="68">VLOOKUP(C44,CHINAAUGUST,3,false)</f>
        <v>#REF!</v>
      </c>
      <c r="BB44" s="69" t="e">
        <f t="shared" si="51"/>
        <v>#REF!</v>
      </c>
      <c r="BC44" s="69"/>
      <c r="BE44" s="70"/>
      <c r="BF44" s="95" t="e">
        <f t="shared" si="15"/>
        <v>#REF!</v>
      </c>
      <c r="BG44" s="65">
        <f t="shared" si="16"/>
        <v>77.345238095238</v>
      </c>
      <c r="BH44" s="65" t="e">
        <f t="shared" si="17"/>
        <v>#REF!</v>
      </c>
      <c r="BI44" s="65" t="e">
        <f t="shared" si="18"/>
        <v>#REF!</v>
      </c>
      <c r="BJ44" s="65">
        <f t="shared" si="19"/>
        <v>60.3928571428571</v>
      </c>
      <c r="BK44" s="65">
        <f t="shared" si="20"/>
      </c>
      <c r="BL44" s="65" t="e">
        <f t="shared" si="21"/>
        <v>#REF!</v>
      </c>
      <c r="BM44" s="65">
        <f t="shared" si="22"/>
        <v>120.785714285714</v>
      </c>
      <c r="BN44" s="65"/>
      <c r="BO44" s="65" t="e">
        <f t="shared" si="23"/>
        <v>#REF!</v>
      </c>
      <c r="BP44" s="65">
        <f t="shared" si="24"/>
        <v>134.559523809523</v>
      </c>
      <c r="BQ44" s="65"/>
      <c r="BR44" s="65" t="e">
        <f t="shared" si="25"/>
        <v>#REF!</v>
      </c>
      <c r="BS44" s="65">
        <f t="shared" si="26"/>
        <v>121.845238095238</v>
      </c>
      <c r="BT44" s="65"/>
      <c r="BU44" s="65" t="e">
        <f t="shared" si="27"/>
        <v>#REF!</v>
      </c>
      <c r="BV44" s="65">
        <f t="shared" si="28"/>
        <v>99.595238095238</v>
      </c>
      <c r="BW44" s="65"/>
      <c r="BX44" s="65" t="e">
        <f t="shared" si="29"/>
        <v>#REF!</v>
      </c>
    </row>
    <row r="45" ht="14.0">
      <c r="A45" s="93" t="s">
        <v>179</v>
      </c>
      <c r="B45" s="93" t="s">
        <v>262</v>
      </c>
      <c r="C45" s="93" t="s">
        <v>265</v>
      </c>
      <c r="D45" s="93" t="s">
        <v>266</v>
      </c>
      <c r="E45" s="93">
        <v>0.0</v>
      </c>
      <c r="F45" s="93">
        <v>0.0</v>
      </c>
      <c r="G45" s="93">
        <v>0.0</v>
      </c>
      <c r="H45" s="93">
        <v>0.0</v>
      </c>
      <c r="I45" s="93">
        <v>0.0</v>
      </c>
      <c r="J45" s="93">
        <v>0.0</v>
      </c>
      <c r="K45" s="93">
        <v>0.0</v>
      </c>
      <c r="L45" s="93">
        <v>0.0</v>
      </c>
      <c r="M45" s="93">
        <v>0.0</v>
      </c>
      <c r="N45" s="93">
        <v>0.0</v>
      </c>
      <c r="O45" s="93">
        <v>0.0</v>
      </c>
      <c r="P45" s="93">
        <v>0.0</v>
      </c>
      <c r="Q45" s="93">
        <v>0.0</v>
      </c>
      <c r="R45" s="93">
        <v>0.0</v>
      </c>
      <c r="S45" s="93">
        <v>0.0</v>
      </c>
      <c r="T45" s="93">
        <v>0.0</v>
      </c>
      <c r="U45" s="93">
        <v>0.0</v>
      </c>
      <c r="V45" s="93">
        <v>0.0</v>
      </c>
      <c r="W45" s="93">
        <v>0.0</v>
      </c>
      <c r="X45" s="93">
        <v>0.0</v>
      </c>
      <c r="Y45" s="93">
        <v>0.0</v>
      </c>
      <c r="Z45" s="93">
        <v>0.0</v>
      </c>
      <c r="AA45" s="93">
        <v>0.0</v>
      </c>
      <c r="AB45" s="93">
        <v>0.0</v>
      </c>
      <c r="AC45" s="93">
        <v>0.0</v>
      </c>
      <c r="AD45" s="93">
        <v>0.0</v>
      </c>
      <c r="AE45" s="93">
        <v>0.0</v>
      </c>
      <c r="AF45" s="93">
        <v>0.0</v>
      </c>
      <c r="AG45" s="93">
        <v>0.0</v>
      </c>
      <c r="AH45" s="93">
        <v>0.0</v>
      </c>
      <c r="AI45" s="93">
        <v>0.0</v>
      </c>
      <c r="AJ45" s="93">
        <v>4.0</v>
      </c>
      <c r="AK45" s="93">
        <v>134.0</v>
      </c>
      <c r="AL45" s="93">
        <v>116.0</v>
      </c>
      <c r="AM45" s="93">
        <v>52.0</v>
      </c>
      <c r="AN45" s="93">
        <v>16.0</v>
      </c>
      <c r="AO45" s="69">
        <f t="shared" si="3"/>
        <v>322.0</v>
      </c>
      <c r="AP45" s="69">
        <f t="shared" si="4"/>
        <v>322.0</v>
      </c>
      <c r="AQ45" s="69">
        <f t="shared" si="5"/>
        <v>354.2</v>
      </c>
      <c r="AR45" s="96">
        <f t="shared" si="60"/>
        <v>55.9666666666667</v>
      </c>
      <c r="AS45" s="96">
        <f t="shared" si="61"/>
        <v>43.7</v>
      </c>
      <c r="AT45" s="96">
        <f t="shared" si="62"/>
        <v>87.4</v>
      </c>
      <c r="AU45" s="96">
        <f t="shared" si="63"/>
        <v>97.3666666666667</v>
      </c>
      <c r="AV45" s="96">
        <f t="shared" si="64"/>
        <v>88.1666666666667</v>
      </c>
      <c r="AW45" s="96">
        <f t="shared" si="65"/>
        <v>72.0666666666667</v>
      </c>
      <c r="AX45" s="64">
        <f t="shared" si="12"/>
        <v>444.666666666667</v>
      </c>
      <c r="AY45" s="64" t="e">
        <f t="shared" si="13"/>
        <v>#REF!</v>
      </c>
      <c r="AZ45" s="64" t="e">
        <f t="shared" si="68"/>
        <v>#REF!</v>
      </c>
      <c r="BB45" s="69" t="e">
        <f t="shared" si="51"/>
        <v>#REF!</v>
      </c>
      <c r="BC45" s="69"/>
      <c r="BE45" s="70"/>
      <c r="BF45" s="95" t="e">
        <f t="shared" si="15"/>
        <v>#REF!</v>
      </c>
      <c r="BG45" s="65">
        <f t="shared" si="16"/>
        <v>55.9666666666667</v>
      </c>
      <c r="BH45" s="65" t="e">
        <f t="shared" si="17"/>
        <v>#REF!</v>
      </c>
      <c r="BI45" s="65" t="e">
        <f t="shared" si="18"/>
        <v>#REF!</v>
      </c>
      <c r="BJ45" s="65">
        <f t="shared" si="19"/>
        <v>43.7</v>
      </c>
      <c r="BK45" s="65">
        <f t="shared" si="20"/>
      </c>
      <c r="BL45" s="65" t="e">
        <f t="shared" si="21"/>
        <v>#REF!</v>
      </c>
      <c r="BM45" s="65">
        <f t="shared" si="22"/>
        <v>87.4</v>
      </c>
      <c r="BN45" s="65"/>
      <c r="BO45" s="65" t="e">
        <f t="shared" si="23"/>
        <v>#REF!</v>
      </c>
      <c r="BP45" s="65">
        <f t="shared" si="24"/>
        <v>97.3666666666667</v>
      </c>
      <c r="BQ45" s="65"/>
      <c r="BR45" s="65" t="e">
        <f t="shared" si="25"/>
        <v>#REF!</v>
      </c>
      <c r="BS45" s="65">
        <f t="shared" si="26"/>
        <v>88.1666666666667</v>
      </c>
      <c r="BT45" s="65"/>
      <c r="BU45" s="65" t="e">
        <f t="shared" si="27"/>
        <v>#REF!</v>
      </c>
      <c r="BV45" s="65">
        <f t="shared" si="28"/>
        <v>72.0666666666667</v>
      </c>
      <c r="BW45" s="65"/>
      <c r="BX45" s="65" t="e">
        <f t="shared" si="29"/>
        <v>#REF!</v>
      </c>
    </row>
    <row r="46" ht="14.0">
      <c r="A46" s="93" t="s">
        <v>179</v>
      </c>
      <c r="B46" s="93" t="s">
        <v>262</v>
      </c>
      <c r="C46" s="93" t="s">
        <v>267</v>
      </c>
      <c r="D46" s="93" t="s">
        <v>268</v>
      </c>
      <c r="E46" s="93">
        <v>0.0</v>
      </c>
      <c r="F46" s="93">
        <v>0.0</v>
      </c>
      <c r="G46" s="93">
        <v>0.0</v>
      </c>
      <c r="H46" s="93">
        <v>0.0</v>
      </c>
      <c r="I46" s="93">
        <v>0.0</v>
      </c>
      <c r="J46" s="93">
        <v>0.0</v>
      </c>
      <c r="K46" s="93">
        <v>0.0</v>
      </c>
      <c r="L46" s="93">
        <v>0.0</v>
      </c>
      <c r="M46" s="93">
        <v>0.0</v>
      </c>
      <c r="N46" s="93">
        <v>0.0</v>
      </c>
      <c r="O46" s="93">
        <v>0.0</v>
      </c>
      <c r="P46" s="93">
        <v>0.0</v>
      </c>
      <c r="Q46" s="93">
        <v>0.0</v>
      </c>
      <c r="R46" s="93">
        <v>0.0</v>
      </c>
      <c r="S46" s="93">
        <v>0.0</v>
      </c>
      <c r="T46" s="93">
        <v>0.0</v>
      </c>
      <c r="U46" s="93">
        <v>0.0</v>
      </c>
      <c r="V46" s="93">
        <v>0.0</v>
      </c>
      <c r="W46" s="93">
        <v>0.0</v>
      </c>
      <c r="X46" s="93">
        <v>0.0</v>
      </c>
      <c r="Y46" s="93">
        <v>0.0</v>
      </c>
      <c r="Z46" s="93">
        <v>0.0</v>
      </c>
      <c r="AA46" s="93">
        <v>0.0</v>
      </c>
      <c r="AB46" s="93">
        <v>0.0</v>
      </c>
      <c r="AC46" s="93">
        <v>0.0</v>
      </c>
      <c r="AD46" s="93">
        <v>0.0</v>
      </c>
      <c r="AE46" s="93">
        <v>0.0</v>
      </c>
      <c r="AF46" s="93">
        <v>0.0</v>
      </c>
      <c r="AG46" s="93">
        <v>0.0</v>
      </c>
      <c r="AH46" s="93">
        <v>0.0</v>
      </c>
      <c r="AI46" s="93">
        <v>0.0</v>
      </c>
      <c r="AJ46" s="93">
        <v>0.0</v>
      </c>
      <c r="AK46" s="93">
        <v>24.0</v>
      </c>
      <c r="AL46" s="93">
        <v>12.0</v>
      </c>
      <c r="AM46" s="93">
        <v>4.0</v>
      </c>
      <c r="AN46" s="93">
        <v>8.0</v>
      </c>
      <c r="AO46" s="69">
        <f t="shared" si="3"/>
        <v>48.0</v>
      </c>
      <c r="AP46" s="69">
        <f t="shared" si="4"/>
        <v>48.0</v>
      </c>
      <c r="AQ46" s="69">
        <f t="shared" si="5"/>
        <v>52.8</v>
      </c>
      <c r="AR46" s="47">
        <f t="shared" si="60"/>
        <v>8.34285714285714</v>
      </c>
      <c r="AS46" s="47">
        <f t="shared" si="61"/>
        <v>6.51428571428571</v>
      </c>
      <c r="AT46" s="47">
        <f t="shared" si="62"/>
        <v>13.0285714285714</v>
      </c>
      <c r="AU46" s="47">
        <f t="shared" si="63"/>
        <v>14.5142857142857</v>
      </c>
      <c r="AV46" s="47">
        <f t="shared" si="64"/>
        <v>13.1428571428571</v>
      </c>
      <c r="AW46" s="47">
        <f t="shared" si="65"/>
        <v>10.7428571428571</v>
      </c>
      <c r="AX46" s="64">
        <f t="shared" si="12"/>
        <v>66.2857142857141</v>
      </c>
      <c r="AY46" s="64" t="e">
        <f t="shared" si="13"/>
        <v>#REF!</v>
      </c>
      <c r="BB46" s="69" t="e">
        <f t="shared" si="51"/>
        <v>#REF!</v>
      </c>
      <c r="BC46" s="69"/>
      <c r="BE46" s="70"/>
      <c r="BF46" s="95" t="e">
        <f t="shared" si="15"/>
        <v>#REF!</v>
      </c>
      <c r="BG46" s="65">
        <f t="shared" si="16"/>
        <v>8.34285714285714</v>
      </c>
      <c r="BH46" s="65">
        <f t="shared" si="17"/>
      </c>
      <c r="BI46" s="65" t="e">
        <f t="shared" si="18"/>
        <v>#REF!</v>
      </c>
      <c r="BJ46" s="65">
        <f t="shared" si="19"/>
        <v>6.51428571428571</v>
      </c>
      <c r="BK46" s="65">
        <f t="shared" si="20"/>
      </c>
      <c r="BL46" s="65" t="e">
        <f t="shared" si="21"/>
        <v>#REF!</v>
      </c>
      <c r="BM46" s="65">
        <f t="shared" si="22"/>
        <v>13.0285714285714</v>
      </c>
      <c r="BN46" s="65"/>
      <c r="BO46" s="65" t="e">
        <f t="shared" si="23"/>
        <v>#REF!</v>
      </c>
      <c r="BP46" s="65">
        <f t="shared" si="24"/>
        <v>14.5142857142857</v>
      </c>
      <c r="BQ46" s="65"/>
      <c r="BR46" s="65" t="e">
        <f t="shared" si="25"/>
        <v>#REF!</v>
      </c>
      <c r="BS46" s="65">
        <f t="shared" si="26"/>
        <v>13.1428571428571</v>
      </c>
      <c r="BT46" s="65"/>
      <c r="BU46" s="65" t="e">
        <f t="shared" si="27"/>
        <v>#REF!</v>
      </c>
      <c r="BV46" s="65">
        <f t="shared" si="28"/>
        <v>10.7428571428571</v>
      </c>
      <c r="BW46" s="65"/>
      <c r="BX46" s="65" t="e">
        <f t="shared" si="29"/>
        <v>#REF!</v>
      </c>
    </row>
    <row r="47" ht="14.0">
      <c r="A47" s="93" t="s">
        <v>179</v>
      </c>
      <c r="B47" s="93" t="s">
        <v>262</v>
      </c>
      <c r="C47" s="93" t="s">
        <v>269</v>
      </c>
      <c r="D47" s="93" t="s">
        <v>270</v>
      </c>
      <c r="E47" s="93">
        <v>0.0</v>
      </c>
      <c r="F47" s="93">
        <v>0.0</v>
      </c>
      <c r="G47" s="93">
        <v>0.0</v>
      </c>
      <c r="H47" s="93">
        <v>0.0</v>
      </c>
      <c r="I47" s="93">
        <v>0.0</v>
      </c>
      <c r="J47" s="93">
        <v>0.0</v>
      </c>
      <c r="K47" s="93">
        <v>0.0</v>
      </c>
      <c r="L47" s="93">
        <v>0.0</v>
      </c>
      <c r="M47" s="93">
        <v>0.0</v>
      </c>
      <c r="N47" s="93">
        <v>0.0</v>
      </c>
      <c r="O47" s="93">
        <v>0.0</v>
      </c>
      <c r="P47" s="93">
        <v>0.0</v>
      </c>
      <c r="Q47" s="93">
        <v>0.0</v>
      </c>
      <c r="R47" s="93">
        <v>0.0</v>
      </c>
      <c r="S47" s="93">
        <v>0.0</v>
      </c>
      <c r="T47" s="93">
        <v>0.0</v>
      </c>
      <c r="U47" s="93">
        <v>0.0</v>
      </c>
      <c r="V47" s="93">
        <v>0.0</v>
      </c>
      <c r="W47" s="93">
        <v>0.0</v>
      </c>
      <c r="X47" s="93">
        <v>0.0</v>
      </c>
      <c r="Y47" s="93">
        <v>0.0</v>
      </c>
      <c r="Z47" s="93">
        <v>0.0</v>
      </c>
      <c r="AA47" s="93">
        <v>0.0</v>
      </c>
      <c r="AB47" s="93">
        <v>0.0</v>
      </c>
      <c r="AC47" s="93">
        <v>0.0</v>
      </c>
      <c r="AD47" s="93">
        <v>0.0</v>
      </c>
      <c r="AE47" s="93">
        <v>0.0</v>
      </c>
      <c r="AF47" s="93">
        <v>0.0</v>
      </c>
      <c r="AG47" s="93">
        <v>0.0</v>
      </c>
      <c r="AH47" s="93">
        <v>0.0</v>
      </c>
      <c r="AI47" s="93">
        <v>0.0</v>
      </c>
      <c r="AJ47" s="93">
        <v>4.0</v>
      </c>
      <c r="AK47" s="93">
        <v>4.0</v>
      </c>
      <c r="AL47" s="93">
        <v>0.0</v>
      </c>
      <c r="AM47" s="93">
        <v>4.0</v>
      </c>
      <c r="AN47" s="93">
        <v>4.0</v>
      </c>
      <c r="AO47" s="69">
        <f t="shared" si="3"/>
        <v>16.0</v>
      </c>
      <c r="AP47" s="69">
        <f t="shared" si="4"/>
        <v>16.0</v>
      </c>
      <c r="AQ47" s="69">
        <f t="shared" si="5"/>
        <v>17.6</v>
      </c>
      <c r="AR47" s="47">
        <f t="shared" si="60"/>
        <v>2.78095238095238</v>
      </c>
      <c r="AS47" s="47">
        <f t="shared" si="61"/>
        <v>2.17142857142857</v>
      </c>
      <c r="AT47" s="47">
        <f t="shared" si="62"/>
        <v>4.34285714285714</v>
      </c>
      <c r="AU47" s="47">
        <f t="shared" si="63"/>
        <v>4.83809523809523</v>
      </c>
      <c r="AV47" s="47">
        <f t="shared" si="64"/>
        <v>4.38095238095238</v>
      </c>
      <c r="AW47" s="47">
        <f t="shared" si="65"/>
        <v>3.58095238095238</v>
      </c>
      <c r="AX47" s="64">
        <f t="shared" si="12"/>
        <v>22.095238095238</v>
      </c>
      <c r="AY47" s="64" t="e">
        <f t="shared" si="13"/>
        <v>#REF!</v>
      </c>
      <c r="BB47" s="69" t="e">
        <f t="shared" si="51"/>
        <v>#REF!</v>
      </c>
      <c r="BC47" s="69"/>
      <c r="BE47" s="70"/>
      <c r="BF47" s="95" t="e">
        <f t="shared" si="15"/>
        <v>#REF!</v>
      </c>
      <c r="BG47" s="65">
        <f t="shared" si="16"/>
        <v>2.78095238095238</v>
      </c>
      <c r="BH47" s="65">
        <f t="shared" si="17"/>
      </c>
      <c r="BI47" s="65" t="e">
        <f t="shared" si="18"/>
        <v>#REF!</v>
      </c>
      <c r="BJ47" s="65">
        <f t="shared" si="19"/>
        <v>2.17142857142857</v>
      </c>
      <c r="BK47" s="65">
        <f t="shared" si="20"/>
      </c>
      <c r="BL47" s="65" t="e">
        <f t="shared" si="21"/>
        <v>#REF!</v>
      </c>
      <c r="BM47" s="65">
        <f t="shared" si="22"/>
        <v>4.34285714285714</v>
      </c>
      <c r="BN47" s="65"/>
      <c r="BO47" s="65" t="e">
        <f t="shared" si="23"/>
        <v>#REF!</v>
      </c>
      <c r="BP47" s="65">
        <f t="shared" si="24"/>
        <v>4.83809523809523</v>
      </c>
      <c r="BQ47" s="65"/>
      <c r="BR47" s="65" t="e">
        <f t="shared" si="25"/>
        <v>#REF!</v>
      </c>
      <c r="BS47" s="65">
        <f t="shared" si="26"/>
        <v>4.38095238095238</v>
      </c>
      <c r="BT47" s="65"/>
      <c r="BU47" s="65" t="e">
        <f t="shared" si="27"/>
        <v>#REF!</v>
      </c>
      <c r="BV47" s="65">
        <f t="shared" si="28"/>
        <v>3.58095238095238</v>
      </c>
      <c r="BW47" s="65"/>
      <c r="BX47" s="65" t="e">
        <f t="shared" si="29"/>
        <v>#REF!</v>
      </c>
    </row>
    <row r="48" ht="14.0">
      <c r="A48" s="93" t="s">
        <v>179</v>
      </c>
      <c r="B48" s="93" t="s">
        <v>262</v>
      </c>
      <c r="C48" s="93" t="s">
        <v>271</v>
      </c>
      <c r="D48" s="93" t="s">
        <v>272</v>
      </c>
      <c r="E48" s="93">
        <v>0.0</v>
      </c>
      <c r="F48" s="93">
        <v>0.0</v>
      </c>
      <c r="G48" s="93">
        <v>0.0</v>
      </c>
      <c r="H48" s="93">
        <v>0.0</v>
      </c>
      <c r="I48" s="93">
        <v>0.0</v>
      </c>
      <c r="J48" s="93">
        <v>0.0</v>
      </c>
      <c r="K48" s="93">
        <v>0.0</v>
      </c>
      <c r="L48" s="93">
        <v>0.0</v>
      </c>
      <c r="M48" s="93">
        <v>0.0</v>
      </c>
      <c r="N48" s="93">
        <v>0.0</v>
      </c>
      <c r="O48" s="93">
        <v>0.0</v>
      </c>
      <c r="P48" s="93">
        <v>0.0</v>
      </c>
      <c r="Q48" s="93">
        <v>0.0</v>
      </c>
      <c r="R48" s="93">
        <v>0.0</v>
      </c>
      <c r="S48" s="93">
        <v>0.0</v>
      </c>
      <c r="T48" s="93">
        <v>0.0</v>
      </c>
      <c r="U48" s="93">
        <v>0.0</v>
      </c>
      <c r="V48" s="93">
        <v>0.0</v>
      </c>
      <c r="W48" s="93">
        <v>0.0</v>
      </c>
      <c r="X48" s="93">
        <v>0.0</v>
      </c>
      <c r="Y48" s="93">
        <v>0.0</v>
      </c>
      <c r="Z48" s="93">
        <v>0.0</v>
      </c>
      <c r="AA48" s="93">
        <v>0.0</v>
      </c>
      <c r="AB48" s="93">
        <v>0.0</v>
      </c>
      <c r="AC48" s="93">
        <v>0.0</v>
      </c>
      <c r="AD48" s="93">
        <v>0.0</v>
      </c>
      <c r="AE48" s="93">
        <v>0.0</v>
      </c>
      <c r="AF48" s="93">
        <v>0.0</v>
      </c>
      <c r="AG48" s="93">
        <v>0.0</v>
      </c>
      <c r="AH48" s="93">
        <v>0.0</v>
      </c>
      <c r="AI48" s="93">
        <v>0.0</v>
      </c>
      <c r="AJ48" s="93">
        <v>0.0</v>
      </c>
      <c r="AK48" s="93">
        <v>12.0</v>
      </c>
      <c r="AL48" s="93">
        <v>0.0</v>
      </c>
      <c r="AM48" s="93">
        <v>4.0</v>
      </c>
      <c r="AN48" s="93">
        <v>12.0</v>
      </c>
      <c r="AO48" s="69">
        <f t="shared" si="3"/>
        <v>28.0</v>
      </c>
      <c r="AP48" s="69">
        <f t="shared" si="4"/>
        <v>28.0</v>
      </c>
      <c r="AQ48" s="69">
        <f t="shared" si="5"/>
        <v>30.8</v>
      </c>
      <c r="AR48" s="47">
        <f t="shared" si="60"/>
        <v>4.86666666666667</v>
      </c>
      <c r="AS48" s="47">
        <f t="shared" si="61"/>
        <v>3.8</v>
      </c>
      <c r="AT48" s="47">
        <f t="shared" si="62"/>
        <v>7.6</v>
      </c>
      <c r="AU48" s="47">
        <f t="shared" si="63"/>
        <v>8.46666666666667</v>
      </c>
      <c r="AV48" s="47">
        <f t="shared" si="64"/>
        <v>7.66666666666667</v>
      </c>
      <c r="AW48" s="47">
        <f t="shared" si="65"/>
        <v>6.26666666666667</v>
      </c>
      <c r="AX48" s="69">
        <f t="shared" si="12"/>
        <v>38.6666666666667</v>
      </c>
      <c r="AY48" s="64" t="e">
        <f t="shared" si="13"/>
        <v>#REF!</v>
      </c>
      <c r="BB48" s="69" t="e">
        <f t="shared" si="51"/>
        <v>#REF!</v>
      </c>
      <c r="BC48" s="69"/>
      <c r="BE48" s="70"/>
      <c r="BF48" s="95" t="e">
        <f t="shared" si="15"/>
        <v>#REF!</v>
      </c>
      <c r="BG48" s="65">
        <f t="shared" si="16"/>
        <v>4.86666666666667</v>
      </c>
      <c r="BH48" s="65">
        <f t="shared" si="17"/>
      </c>
      <c r="BI48" s="65" t="e">
        <f t="shared" si="18"/>
        <v>#REF!</v>
      </c>
      <c r="BJ48" s="65">
        <f t="shared" si="19"/>
        <v>3.8</v>
      </c>
      <c r="BK48" s="65">
        <f t="shared" si="20"/>
      </c>
      <c r="BL48" s="65" t="e">
        <f t="shared" si="21"/>
        <v>#REF!</v>
      </c>
      <c r="BM48" s="65">
        <f t="shared" si="22"/>
        <v>7.6</v>
      </c>
      <c r="BN48" s="65"/>
      <c r="BO48" s="65" t="e">
        <f t="shared" si="23"/>
        <v>#REF!</v>
      </c>
      <c r="BP48" s="65">
        <f t="shared" si="24"/>
        <v>8.46666666666667</v>
      </c>
      <c r="BQ48" s="65"/>
      <c r="BR48" s="65" t="e">
        <f t="shared" si="25"/>
        <v>#REF!</v>
      </c>
      <c r="BS48" s="65">
        <f t="shared" si="26"/>
        <v>7.66666666666667</v>
      </c>
      <c r="BT48" s="65"/>
      <c r="BU48" s="65" t="e">
        <f t="shared" si="27"/>
        <v>#REF!</v>
      </c>
      <c r="BV48" s="65">
        <f t="shared" si="28"/>
        <v>6.26666666666667</v>
      </c>
      <c r="BW48" s="65"/>
      <c r="BX48" s="65" t="e">
        <f t="shared" si="29"/>
        <v>#REF!</v>
      </c>
    </row>
    <row r="49" ht="14.0">
      <c r="A49" s="93" t="s">
        <v>179</v>
      </c>
      <c r="B49" s="93" t="s">
        <v>273</v>
      </c>
      <c r="C49" s="93" t="s">
        <v>274</v>
      </c>
      <c r="D49" s="93" t="s">
        <v>275</v>
      </c>
      <c r="E49" s="93">
        <v>0.0</v>
      </c>
      <c r="F49" s="93">
        <v>0.0</v>
      </c>
      <c r="G49" s="93">
        <v>0.0</v>
      </c>
      <c r="H49" s="93">
        <v>0.0</v>
      </c>
      <c r="I49" s="93">
        <v>0.0</v>
      </c>
      <c r="J49" s="93">
        <v>0.0</v>
      </c>
      <c r="K49" s="93">
        <v>0.0</v>
      </c>
      <c r="L49" s="93">
        <v>0.0</v>
      </c>
      <c r="M49" s="93">
        <v>0.0</v>
      </c>
      <c r="N49" s="93">
        <v>0.0</v>
      </c>
      <c r="O49" s="93">
        <v>0.0</v>
      </c>
      <c r="P49" s="93">
        <v>0.0</v>
      </c>
      <c r="Q49" s="93">
        <v>0.0</v>
      </c>
      <c r="R49" s="93">
        <v>0.0</v>
      </c>
      <c r="S49" s="93">
        <v>0.0</v>
      </c>
      <c r="T49" s="93">
        <v>0.0</v>
      </c>
      <c r="U49" s="93">
        <v>0.0</v>
      </c>
      <c r="V49" s="93">
        <v>0.0</v>
      </c>
      <c r="W49" s="93">
        <v>0.0</v>
      </c>
      <c r="X49" s="93">
        <v>0.0</v>
      </c>
      <c r="Y49" s="93">
        <v>0.0</v>
      </c>
      <c r="Z49" s="93">
        <v>0.0</v>
      </c>
      <c r="AA49" s="93">
        <v>0.0</v>
      </c>
      <c r="AB49" s="93">
        <v>0.0</v>
      </c>
      <c r="AC49" s="93">
        <v>0.0</v>
      </c>
      <c r="AD49" s="93">
        <v>0.0</v>
      </c>
      <c r="AE49" s="93">
        <v>0.0</v>
      </c>
      <c r="AF49" s="93">
        <v>0.0</v>
      </c>
      <c r="AG49" s="93">
        <v>0.0</v>
      </c>
      <c r="AH49" s="93">
        <v>0.0</v>
      </c>
      <c r="AI49" s="93">
        <v>0.0</v>
      </c>
      <c r="AJ49" s="93">
        <v>0.0</v>
      </c>
      <c r="AK49" s="93">
        <v>0.0</v>
      </c>
      <c r="AL49" s="93">
        <v>49.0</v>
      </c>
      <c r="AM49" s="93">
        <v>72.0</v>
      </c>
      <c r="AN49" s="93">
        <v>68.0</v>
      </c>
      <c r="AO49" s="69">
        <f t="shared" si="3"/>
        <v>189.0</v>
      </c>
      <c r="AP49" s="69">
        <f t="shared" si="4"/>
        <v>189.0</v>
      </c>
      <c r="AQ49" s="69">
        <f t="shared" si="5"/>
        <v>207.9</v>
      </c>
      <c r="AR49" s="94">
        <f t="shared" ref="AR49:AR50" si="69">AVERAGE(AL49:AN49)</f>
        <v>63.0</v>
      </c>
      <c r="AS49" s="101">
        <f t="shared" ref="AS49:AS50" si="70">AR49*1.1</f>
        <v>69.3</v>
      </c>
      <c r="AT49" s="101">
        <f t="shared" ref="AT49:AT50" si="71">AS49*1.1</f>
        <v>76.23</v>
      </c>
      <c r="AU49" s="101">
        <f t="shared" ref="AU49:AU50" si="72">AT49*1.1</f>
        <v>83.853</v>
      </c>
      <c r="AV49" s="101">
        <f t="shared" ref="AV49:AV50" si="73">AU49*1.1</f>
        <v>92.2383</v>
      </c>
      <c r="AW49" s="101">
        <f t="shared" ref="AW49:AW50" si="74">AV49*1.1</f>
        <v>101.46213</v>
      </c>
      <c r="AX49" s="69">
        <f t="shared" si="12"/>
        <v>486.08343</v>
      </c>
      <c r="AY49" s="64" t="e">
        <f t="shared" si="13"/>
        <v>#REF!</v>
      </c>
      <c r="BB49" s="69" t="e">
        <f t="shared" si="51"/>
        <v>#REF!</v>
      </c>
      <c r="BC49" s="69">
        <v>501.0</v>
      </c>
      <c r="BD49" s="47">
        <f>BC49</f>
        <v>501.0</v>
      </c>
      <c r="BE49" s="100">
        <v>46023</v>
      </c>
      <c r="BF49" s="95" t="e">
        <f t="shared" si="15"/>
        <v>#REF!</v>
      </c>
      <c r="BG49" s="65">
        <f t="shared" si="16"/>
        <v>63.0</v>
      </c>
      <c r="BH49" s="65">
        <f t="shared" si="17"/>
      </c>
      <c r="BI49" s="65" t="e">
        <f t="shared" si="18"/>
        <v>#REF!</v>
      </c>
      <c r="BJ49" s="65">
        <f t="shared" si="19"/>
        <v>69.3</v>
      </c>
      <c r="BK49" s="65">
        <f t="shared" si="20"/>
      </c>
      <c r="BL49" s="65" t="e">
        <f t="shared" si="21"/>
        <v>#REF!</v>
      </c>
      <c r="BM49" s="65">
        <f t="shared" si="22"/>
        <v>76.23</v>
      </c>
      <c r="BN49" s="65"/>
      <c r="BO49" s="65" t="e">
        <f t="shared" si="23"/>
        <v>#REF!</v>
      </c>
      <c r="BP49" s="65">
        <f t="shared" si="24"/>
        <v>83.853</v>
      </c>
      <c r="BQ49" s="65"/>
      <c r="BR49" s="65" t="e">
        <f t="shared" si="25"/>
        <v>#REF!</v>
      </c>
      <c r="BS49" s="65">
        <f t="shared" si="26"/>
        <v>92.2383</v>
      </c>
      <c r="BT49" s="65"/>
      <c r="BU49" s="65" t="e">
        <f t="shared" si="27"/>
        <v>#REF!</v>
      </c>
      <c r="BV49" s="65">
        <f t="shared" si="28"/>
        <v>101.46213</v>
      </c>
      <c r="BW49" s="65"/>
      <c r="BX49" s="65" t="e">
        <f t="shared" si="29"/>
        <v>#REF!</v>
      </c>
    </row>
    <row r="50" ht="14.0">
      <c r="A50" s="93" t="s">
        <v>179</v>
      </c>
      <c r="B50" s="93" t="s">
        <v>273</v>
      </c>
      <c r="C50" s="93" t="s">
        <v>276</v>
      </c>
      <c r="D50" s="93" t="s">
        <v>277</v>
      </c>
      <c r="E50" s="93">
        <v>0.0</v>
      </c>
      <c r="F50" s="93">
        <v>0.0</v>
      </c>
      <c r="G50" s="93">
        <v>0.0</v>
      </c>
      <c r="H50" s="93">
        <v>0.0</v>
      </c>
      <c r="I50" s="93">
        <v>0.0</v>
      </c>
      <c r="J50" s="93">
        <v>0.0</v>
      </c>
      <c r="K50" s="93">
        <v>0.0</v>
      </c>
      <c r="L50" s="93">
        <v>0.0</v>
      </c>
      <c r="M50" s="93">
        <v>0.0</v>
      </c>
      <c r="N50" s="93">
        <v>0.0</v>
      </c>
      <c r="O50" s="93">
        <v>0.0</v>
      </c>
      <c r="P50" s="93">
        <v>0.0</v>
      </c>
      <c r="Q50" s="93">
        <v>0.0</v>
      </c>
      <c r="R50" s="93">
        <v>0.0</v>
      </c>
      <c r="S50" s="93">
        <v>0.0</v>
      </c>
      <c r="T50" s="93">
        <v>0.0</v>
      </c>
      <c r="U50" s="93">
        <v>0.0</v>
      </c>
      <c r="V50" s="93">
        <v>0.0</v>
      </c>
      <c r="W50" s="93">
        <v>0.0</v>
      </c>
      <c r="X50" s="93">
        <v>0.0</v>
      </c>
      <c r="Y50" s="93">
        <v>0.0</v>
      </c>
      <c r="Z50" s="93">
        <v>0.0</v>
      </c>
      <c r="AA50" s="93">
        <v>0.0</v>
      </c>
      <c r="AB50" s="93">
        <v>0.0</v>
      </c>
      <c r="AC50" s="93">
        <v>0.0</v>
      </c>
      <c r="AD50" s="93">
        <v>0.0</v>
      </c>
      <c r="AE50" s="93">
        <v>0.0</v>
      </c>
      <c r="AF50" s="93">
        <v>0.0</v>
      </c>
      <c r="AG50" s="93">
        <v>0.0</v>
      </c>
      <c r="AH50" s="93">
        <v>0.0</v>
      </c>
      <c r="AI50" s="93">
        <v>0.0</v>
      </c>
      <c r="AJ50" s="93">
        <v>0.0</v>
      </c>
      <c r="AK50" s="93">
        <v>0.0</v>
      </c>
      <c r="AL50" s="93">
        <v>39.0</v>
      </c>
      <c r="AM50" s="93">
        <v>48.0</v>
      </c>
      <c r="AN50" s="93">
        <v>28.0</v>
      </c>
      <c r="AO50" s="69">
        <f t="shared" si="3"/>
        <v>115.0</v>
      </c>
      <c r="AP50" s="69">
        <f t="shared" si="4"/>
        <v>115.0</v>
      </c>
      <c r="AQ50" s="69">
        <f t="shared" si="5"/>
        <v>126.5</v>
      </c>
      <c r="AR50" s="102">
        <f t="shared" si="69"/>
        <v>38.3333333333333</v>
      </c>
      <c r="AS50" s="96">
        <f t="shared" si="70"/>
        <v>42.1666666666666</v>
      </c>
      <c r="AT50" s="96">
        <f t="shared" si="71"/>
        <v>46.3833333333332</v>
      </c>
      <c r="AU50" s="96">
        <f t="shared" si="72"/>
        <v>51.0216666666665</v>
      </c>
      <c r="AV50" s="96">
        <f t="shared" si="73"/>
        <v>56.1238333333331</v>
      </c>
      <c r="AW50" s="96">
        <f t="shared" si="74"/>
        <v>61.7362166666664</v>
      </c>
      <c r="AX50" s="64">
        <f t="shared" si="12"/>
        <v>295.765049999999</v>
      </c>
      <c r="AY50" s="64" t="e">
        <f t="shared" si="13"/>
        <v>#REF!</v>
      </c>
      <c r="BB50" s="69" t="e">
        <f t="shared" si="51"/>
        <v>#REF!</v>
      </c>
      <c r="BC50" s="69"/>
      <c r="BE50" s="70"/>
      <c r="BF50" s="95" t="e">
        <f t="shared" si="15"/>
        <v>#REF!</v>
      </c>
      <c r="BG50" s="65">
        <f t="shared" si="16"/>
        <v>38.3333333333333</v>
      </c>
      <c r="BH50" s="65">
        <f t="shared" si="17"/>
      </c>
      <c r="BI50" s="65" t="e">
        <f t="shared" si="18"/>
        <v>#REF!</v>
      </c>
      <c r="BJ50" s="65">
        <f t="shared" si="19"/>
        <v>42.1666666666666</v>
      </c>
      <c r="BK50" s="65">
        <f t="shared" si="20"/>
      </c>
      <c r="BL50" s="65" t="e">
        <f t="shared" si="21"/>
        <v>#REF!</v>
      </c>
      <c r="BM50" s="65">
        <f t="shared" si="22"/>
        <v>46.3833333333332</v>
      </c>
      <c r="BN50" s="65"/>
      <c r="BO50" s="65" t="e">
        <f t="shared" si="23"/>
        <v>#REF!</v>
      </c>
      <c r="BP50" s="65">
        <f t="shared" si="24"/>
        <v>51.0216666666665</v>
      </c>
      <c r="BQ50" s="65"/>
      <c r="BR50" s="65" t="e">
        <f t="shared" si="25"/>
        <v>#REF!</v>
      </c>
      <c r="BS50" s="65">
        <f t="shared" si="26"/>
        <v>56.1238333333331</v>
      </c>
      <c r="BT50" s="65"/>
      <c r="BU50" s="65" t="e">
        <f t="shared" si="27"/>
        <v>#REF!</v>
      </c>
      <c r="BV50" s="65">
        <f t="shared" si="28"/>
        <v>61.7362166666664</v>
      </c>
      <c r="BW50" s="65"/>
      <c r="BX50" s="65" t="e">
        <f t="shared" si="29"/>
        <v>#REF!</v>
      </c>
    </row>
    <row r="51" ht="14.0">
      <c r="A51" s="93" t="s">
        <v>179</v>
      </c>
      <c r="B51" s="93" t="s">
        <v>278</v>
      </c>
      <c r="C51" s="93" t="s">
        <v>279</v>
      </c>
      <c r="D51" s="93" t="s">
        <v>280</v>
      </c>
      <c r="E51" s="93">
        <v>0.0</v>
      </c>
      <c r="F51" s="93">
        <v>0.0</v>
      </c>
      <c r="G51" s="93">
        <v>0.0</v>
      </c>
      <c r="H51" s="93">
        <v>0.0</v>
      </c>
      <c r="I51" s="93">
        <v>0.0</v>
      </c>
      <c r="J51" s="93">
        <v>0.0</v>
      </c>
      <c r="K51" s="93">
        <v>0.0</v>
      </c>
      <c r="L51" s="93">
        <v>0.0</v>
      </c>
      <c r="M51" s="93">
        <v>0.0</v>
      </c>
      <c r="N51" s="93">
        <v>0.0</v>
      </c>
      <c r="O51" s="93">
        <v>0.0</v>
      </c>
      <c r="P51" s="93">
        <v>0.0</v>
      </c>
      <c r="Q51" s="93">
        <v>100.0</v>
      </c>
      <c r="R51" s="93">
        <v>116.0</v>
      </c>
      <c r="S51" s="93">
        <v>228.0</v>
      </c>
      <c r="T51" s="93">
        <v>48.0</v>
      </c>
      <c r="U51" s="93">
        <v>12.0</v>
      </c>
      <c r="V51" s="93">
        <v>44.0</v>
      </c>
      <c r="W51" s="93">
        <v>88.0</v>
      </c>
      <c r="X51" s="93">
        <v>180.0</v>
      </c>
      <c r="Y51" s="93">
        <v>76.0</v>
      </c>
      <c r="Z51" s="93">
        <v>72.0</v>
      </c>
      <c r="AA51" s="93">
        <v>23.0</v>
      </c>
      <c r="AB51" s="93">
        <v>6.0</v>
      </c>
      <c r="AC51" s="93">
        <v>0.0</v>
      </c>
      <c r="AD51" s="93">
        <v>120.0</v>
      </c>
      <c r="AE51" s="93">
        <v>95.0</v>
      </c>
      <c r="AF51" s="93">
        <v>80.0</v>
      </c>
      <c r="AG51" s="93">
        <v>28.0</v>
      </c>
      <c r="AH51" s="93">
        <v>16.0</v>
      </c>
      <c r="AI51" s="93">
        <v>40.0</v>
      </c>
      <c r="AJ51" s="93">
        <v>56.0</v>
      </c>
      <c r="AK51" s="93">
        <v>28.0</v>
      </c>
      <c r="AL51" s="93">
        <v>28.0</v>
      </c>
      <c r="AM51" s="93">
        <v>8.0</v>
      </c>
      <c r="AN51" s="93">
        <v>16.0</v>
      </c>
      <c r="AO51" s="69">
        <f t="shared" si="3"/>
        <v>515.0</v>
      </c>
      <c r="AP51" s="69">
        <f t="shared" si="4"/>
        <v>176.0</v>
      </c>
      <c r="AQ51" s="69">
        <f t="shared" si="5"/>
        <v>193.6</v>
      </c>
      <c r="AR51" s="47">
        <f t="shared" ref="AR51:AR67" si="76">AQ51*$AR$4/$AQ$4</f>
        <v>30.5904761904761</v>
      </c>
      <c r="AS51" s="47">
        <f t="shared" ref="AS51:AS67" si="77">AQ51*$AS$4/$AQ$4</f>
        <v>23.8857142857142</v>
      </c>
      <c r="AT51" s="47">
        <f t="shared" ref="AT51:AT67" si="78">AQ51*$AT$4/$AQ$4</f>
        <v>47.7714285714286</v>
      </c>
      <c r="AU51" s="47">
        <f t="shared" ref="AU51:AU67" si="79">AQ51*$AU$4/$AQ$4</f>
        <v>53.2190476190476</v>
      </c>
      <c r="AV51" s="47">
        <f t="shared" ref="AV51:AV67" si="80">AQ51*$AV$4/$AQ$4</f>
        <v>48.1904761904761</v>
      </c>
      <c r="AW51" s="47">
        <f t="shared" ref="AW51:AW67" si="81">AQ51*$AW$4/$AQ$4</f>
        <v>39.3904761904761</v>
      </c>
      <c r="AX51" s="64">
        <f t="shared" si="12"/>
        <v>243.047619047619</v>
      </c>
      <c r="AY51" s="64" t="e">
        <f t="shared" si="13"/>
        <v>#REF!</v>
      </c>
      <c r="BB51" s="69" t="e">
        <f t="shared" si="51"/>
        <v>#REF!</v>
      </c>
      <c r="BC51" s="69"/>
      <c r="BE51" s="70"/>
      <c r="BF51" s="95" t="e">
        <f t="shared" si="15"/>
        <v>#REF!</v>
      </c>
      <c r="BG51" s="65">
        <f t="shared" si="16"/>
        <v>30.5904761904761</v>
      </c>
      <c r="BH51" s="65">
        <f t="shared" si="17"/>
      </c>
      <c r="BI51" s="65" t="e">
        <f t="shared" si="18"/>
        <v>#REF!</v>
      </c>
      <c r="BJ51" s="65">
        <f t="shared" si="19"/>
        <v>23.8857142857142</v>
      </c>
      <c r="BK51" s="65">
        <f t="shared" si="20"/>
      </c>
      <c r="BL51" s="65" t="e">
        <f t="shared" si="21"/>
        <v>#REF!</v>
      </c>
      <c r="BM51" s="65">
        <f t="shared" si="22"/>
        <v>47.7714285714286</v>
      </c>
      <c r="BN51" s="65"/>
      <c r="BO51" s="65" t="e">
        <f t="shared" si="23"/>
        <v>#REF!</v>
      </c>
      <c r="BP51" s="65">
        <f t="shared" si="24"/>
        <v>53.2190476190476</v>
      </c>
      <c r="BQ51" s="65"/>
      <c r="BR51" s="65" t="e">
        <f t="shared" si="25"/>
        <v>#REF!</v>
      </c>
      <c r="BS51" s="65">
        <f t="shared" si="26"/>
        <v>48.1904761904761</v>
      </c>
      <c r="BT51" s="65"/>
      <c r="BU51" s="65" t="e">
        <f t="shared" si="27"/>
        <v>#REF!</v>
      </c>
      <c r="BV51" s="65">
        <f t="shared" si="28"/>
        <v>39.3904761904761</v>
      </c>
      <c r="BW51" s="65"/>
      <c r="BX51" s="65" t="e">
        <f t="shared" si="29"/>
        <v>#REF!</v>
      </c>
    </row>
    <row r="52" ht="14.0">
      <c r="A52" s="93" t="s">
        <v>179</v>
      </c>
      <c r="B52" s="93" t="s">
        <v>278</v>
      </c>
      <c r="C52" s="93" t="s">
        <v>281</v>
      </c>
      <c r="D52" s="93" t="s">
        <v>282</v>
      </c>
      <c r="E52" s="93">
        <v>0.0</v>
      </c>
      <c r="F52" s="93">
        <v>0.0</v>
      </c>
      <c r="G52" s="93">
        <v>0.0</v>
      </c>
      <c r="H52" s="93">
        <v>0.0</v>
      </c>
      <c r="I52" s="93">
        <v>0.0</v>
      </c>
      <c r="J52" s="93">
        <v>0.0</v>
      </c>
      <c r="K52" s="93">
        <v>0.0</v>
      </c>
      <c r="L52" s="93">
        <v>0.0</v>
      </c>
      <c r="M52" s="93">
        <v>0.0</v>
      </c>
      <c r="N52" s="93">
        <v>0.0</v>
      </c>
      <c r="O52" s="93">
        <v>0.0</v>
      </c>
      <c r="P52" s="93">
        <v>0.0</v>
      </c>
      <c r="Q52" s="93">
        <v>146.0</v>
      </c>
      <c r="R52" s="93">
        <v>228.0</v>
      </c>
      <c r="S52" s="93">
        <v>120.0</v>
      </c>
      <c r="T52" s="93">
        <v>0.0</v>
      </c>
      <c r="U52" s="93">
        <v>4.0</v>
      </c>
      <c r="V52" s="93">
        <v>84.0</v>
      </c>
      <c r="W52" s="93">
        <v>152.0</v>
      </c>
      <c r="X52" s="93">
        <v>284.0</v>
      </c>
      <c r="Y52" s="93">
        <v>156.0</v>
      </c>
      <c r="Z52" s="93">
        <v>84.0</v>
      </c>
      <c r="AA52" s="93">
        <v>0.0</v>
      </c>
      <c r="AB52" s="93">
        <v>4.0</v>
      </c>
      <c r="AC52" s="93">
        <v>0.0</v>
      </c>
      <c r="AD52" s="93">
        <v>219.0</v>
      </c>
      <c r="AE52" s="93">
        <v>156.0</v>
      </c>
      <c r="AF52" s="93">
        <v>120.0</v>
      </c>
      <c r="AG52" s="93">
        <v>72.0</v>
      </c>
      <c r="AH52" s="93">
        <v>59.0</v>
      </c>
      <c r="AI52" s="93">
        <v>84.0</v>
      </c>
      <c r="AJ52" s="93">
        <v>84.0</v>
      </c>
      <c r="AK52" s="93">
        <v>61.0</v>
      </c>
      <c r="AL52" s="93">
        <v>64.0</v>
      </c>
      <c r="AM52" s="93">
        <v>32.0</v>
      </c>
      <c r="AN52" s="93">
        <v>44.0</v>
      </c>
      <c r="AO52" s="69">
        <f t="shared" si="3"/>
        <v>995.0</v>
      </c>
      <c r="AP52" s="69">
        <f t="shared" si="4"/>
        <v>369.0</v>
      </c>
      <c r="AQ52" s="69">
        <f t="shared" si="5"/>
        <v>405.9</v>
      </c>
      <c r="AR52" s="47">
        <f t="shared" si="76"/>
        <v>64.1357142857142</v>
      </c>
      <c r="AS52" s="47">
        <f t="shared" si="77"/>
        <v>50.0785714285714</v>
      </c>
      <c r="AT52" s="47">
        <f t="shared" si="78"/>
        <v>100.157142857142</v>
      </c>
      <c r="AU52" s="47">
        <f t="shared" si="79"/>
        <v>111.578571428571</v>
      </c>
      <c r="AV52" s="47">
        <f t="shared" si="80"/>
        <v>101.035714285714</v>
      </c>
      <c r="AW52" s="47">
        <f t="shared" si="81"/>
        <v>82.5857142857142</v>
      </c>
      <c r="AX52" s="64">
        <f t="shared" si="12"/>
        <v>509.571428571427</v>
      </c>
      <c r="AY52" s="64" t="e">
        <f t="shared" si="13"/>
        <v>#REF!</v>
      </c>
      <c r="BB52" s="69" t="e">
        <f t="shared" si="51"/>
        <v>#REF!</v>
      </c>
      <c r="BC52" s="69"/>
      <c r="BE52" s="70"/>
      <c r="BF52" s="95" t="e">
        <f t="shared" si="15"/>
        <v>#REF!</v>
      </c>
      <c r="BG52" s="65">
        <f t="shared" si="16"/>
        <v>64.1357142857142</v>
      </c>
      <c r="BH52" s="65">
        <f t="shared" si="17"/>
      </c>
      <c r="BI52" s="65" t="e">
        <f t="shared" si="18"/>
        <v>#REF!</v>
      </c>
      <c r="BJ52" s="65">
        <f t="shared" si="19"/>
        <v>50.0785714285714</v>
      </c>
      <c r="BK52" s="65">
        <f t="shared" si="20"/>
      </c>
      <c r="BL52" s="65" t="e">
        <f t="shared" si="21"/>
        <v>#REF!</v>
      </c>
      <c r="BM52" s="65">
        <f t="shared" si="22"/>
        <v>100.157142857142</v>
      </c>
      <c r="BN52" s="65"/>
      <c r="BO52" s="65" t="e">
        <f t="shared" si="23"/>
        <v>#REF!</v>
      </c>
      <c r="BP52" s="65">
        <f t="shared" si="24"/>
        <v>111.578571428571</v>
      </c>
      <c r="BQ52" s="65"/>
      <c r="BR52" s="65" t="e">
        <f t="shared" si="25"/>
        <v>#REF!</v>
      </c>
      <c r="BS52" s="65">
        <f t="shared" si="26"/>
        <v>101.035714285714</v>
      </c>
      <c r="BT52" s="65"/>
      <c r="BU52" s="65" t="e">
        <f t="shared" si="27"/>
        <v>#REF!</v>
      </c>
      <c r="BV52" s="65">
        <f t="shared" si="28"/>
        <v>82.5857142857142</v>
      </c>
      <c r="BW52" s="65"/>
      <c r="BX52" s="65" t="e">
        <f t="shared" si="29"/>
        <v>#REF!</v>
      </c>
    </row>
    <row r="53" ht="14.0">
      <c r="A53" s="93" t="s">
        <v>179</v>
      </c>
      <c r="B53" s="93" t="s">
        <v>278</v>
      </c>
      <c r="C53" s="93" t="s">
        <v>283</v>
      </c>
      <c r="D53" s="93" t="s">
        <v>284</v>
      </c>
      <c r="E53" s="93">
        <v>0.0</v>
      </c>
      <c r="F53" s="93">
        <v>0.0</v>
      </c>
      <c r="G53" s="93">
        <v>0.0</v>
      </c>
      <c r="H53" s="93">
        <v>0.0</v>
      </c>
      <c r="I53" s="93">
        <v>0.0</v>
      </c>
      <c r="J53" s="93">
        <v>0.0</v>
      </c>
      <c r="K53" s="93">
        <v>0.0</v>
      </c>
      <c r="L53" s="93">
        <v>0.0</v>
      </c>
      <c r="M53" s="93">
        <v>0.0</v>
      </c>
      <c r="N53" s="93">
        <v>0.0</v>
      </c>
      <c r="O53" s="93">
        <v>0.0</v>
      </c>
      <c r="P53" s="93">
        <v>0.0</v>
      </c>
      <c r="Q53" s="93">
        <v>133.0</v>
      </c>
      <c r="R53" s="93">
        <v>176.0</v>
      </c>
      <c r="S53" s="93">
        <v>192.0</v>
      </c>
      <c r="T53" s="93">
        <v>0.0</v>
      </c>
      <c r="U53" s="93">
        <v>16.0</v>
      </c>
      <c r="V53" s="93">
        <v>76.0</v>
      </c>
      <c r="W53" s="93">
        <v>96.0</v>
      </c>
      <c r="X53" s="93">
        <v>124.0</v>
      </c>
      <c r="Y53" s="93">
        <v>120.0</v>
      </c>
      <c r="Z53" s="93">
        <v>76.0</v>
      </c>
      <c r="AA53" s="93">
        <v>44.0</v>
      </c>
      <c r="AB53" s="93">
        <v>25.0</v>
      </c>
      <c r="AC53" s="93">
        <v>36.0</v>
      </c>
      <c r="AD53" s="93">
        <v>71.0</v>
      </c>
      <c r="AE53" s="93">
        <v>80.0</v>
      </c>
      <c r="AF53" s="93">
        <v>44.0</v>
      </c>
      <c r="AG53" s="93">
        <v>56.0</v>
      </c>
      <c r="AH53" s="93">
        <v>35.0</v>
      </c>
      <c r="AI53" s="93">
        <v>28.0</v>
      </c>
      <c r="AJ53" s="93">
        <v>28.0</v>
      </c>
      <c r="AK53" s="93">
        <v>20.0</v>
      </c>
      <c r="AL53" s="93">
        <v>20.0</v>
      </c>
      <c r="AM53" s="93">
        <v>8.0</v>
      </c>
      <c r="AN53" s="93">
        <v>12.0</v>
      </c>
      <c r="AO53" s="69">
        <f t="shared" si="3"/>
        <v>438.0</v>
      </c>
      <c r="AP53" s="69">
        <f t="shared" si="4"/>
        <v>116.0</v>
      </c>
      <c r="AQ53" s="69">
        <f t="shared" si="5"/>
        <v>127.6</v>
      </c>
      <c r="AR53" s="47">
        <f t="shared" si="76"/>
        <v>20.1619047619048</v>
      </c>
      <c r="AS53" s="47">
        <f t="shared" si="77"/>
        <v>15.7428571428571</v>
      </c>
      <c r="AT53" s="47">
        <f t="shared" si="78"/>
        <v>31.4857142857142</v>
      </c>
      <c r="AU53" s="47">
        <f t="shared" si="79"/>
        <v>35.0761904761904</v>
      </c>
      <c r="AV53" s="47">
        <f t="shared" si="80"/>
        <v>31.7619047619048</v>
      </c>
      <c r="AW53" s="47">
        <f t="shared" si="81"/>
        <v>25.9619047619048</v>
      </c>
      <c r="AX53" s="64">
        <f t="shared" si="12"/>
        <v>160.190476190476</v>
      </c>
      <c r="AY53" s="64" t="e">
        <f t="shared" si="13"/>
        <v>#REF!</v>
      </c>
      <c r="BB53" s="69" t="e">
        <f t="shared" si="51"/>
        <v>#REF!</v>
      </c>
      <c r="BC53" s="69"/>
      <c r="BE53" s="70"/>
      <c r="BF53" s="95" t="e">
        <f t="shared" si="15"/>
        <v>#REF!</v>
      </c>
      <c r="BG53" s="65">
        <f t="shared" si="16"/>
        <v>20.1619047619048</v>
      </c>
      <c r="BH53" s="65">
        <f t="shared" si="17"/>
      </c>
      <c r="BI53" s="65" t="e">
        <f t="shared" si="18"/>
        <v>#REF!</v>
      </c>
      <c r="BJ53" s="65">
        <f t="shared" si="19"/>
        <v>15.7428571428571</v>
      </c>
      <c r="BK53" s="65">
        <f t="shared" si="20"/>
      </c>
      <c r="BL53" s="65" t="e">
        <f t="shared" si="21"/>
        <v>#REF!</v>
      </c>
      <c r="BM53" s="65">
        <f t="shared" si="22"/>
        <v>31.4857142857142</v>
      </c>
      <c r="BN53" s="65"/>
      <c r="BO53" s="65" t="e">
        <f t="shared" si="23"/>
        <v>#REF!</v>
      </c>
      <c r="BP53" s="65">
        <f t="shared" si="24"/>
        <v>35.0761904761904</v>
      </c>
      <c r="BQ53" s="65"/>
      <c r="BR53" s="65" t="e">
        <f t="shared" si="25"/>
        <v>#REF!</v>
      </c>
      <c r="BS53" s="65">
        <f t="shared" si="26"/>
        <v>31.7619047619048</v>
      </c>
      <c r="BT53" s="65"/>
      <c r="BU53" s="65" t="e">
        <f t="shared" si="27"/>
        <v>#REF!</v>
      </c>
      <c r="BV53" s="65">
        <f t="shared" si="28"/>
        <v>25.9619047619048</v>
      </c>
      <c r="BW53" s="65"/>
      <c r="BX53" s="65" t="e">
        <f t="shared" si="29"/>
        <v>#REF!</v>
      </c>
    </row>
    <row r="54" ht="14.0">
      <c r="A54" s="93" t="s">
        <v>179</v>
      </c>
      <c r="B54" s="93" t="s">
        <v>278</v>
      </c>
      <c r="C54" s="93" t="s">
        <v>285</v>
      </c>
      <c r="D54" s="93" t="s">
        <v>286</v>
      </c>
      <c r="E54" s="93">
        <v>0.0</v>
      </c>
      <c r="F54" s="93">
        <v>0.0</v>
      </c>
      <c r="G54" s="93">
        <v>0.0</v>
      </c>
      <c r="H54" s="93">
        <v>0.0</v>
      </c>
      <c r="I54" s="93">
        <v>0.0</v>
      </c>
      <c r="J54" s="93">
        <v>0.0</v>
      </c>
      <c r="K54" s="93">
        <v>0.0</v>
      </c>
      <c r="L54" s="93">
        <v>0.0</v>
      </c>
      <c r="M54" s="93">
        <v>0.0</v>
      </c>
      <c r="N54" s="93">
        <v>0.0</v>
      </c>
      <c r="O54" s="93">
        <v>0.0</v>
      </c>
      <c r="P54" s="93">
        <v>0.0</v>
      </c>
      <c r="Q54" s="93">
        <v>0.0</v>
      </c>
      <c r="R54" s="93">
        <v>0.0</v>
      </c>
      <c r="S54" s="93">
        <v>0.0</v>
      </c>
      <c r="T54" s="93">
        <v>0.0</v>
      </c>
      <c r="U54" s="93">
        <v>0.0</v>
      </c>
      <c r="V54" s="93">
        <v>0.0</v>
      </c>
      <c r="W54" s="93">
        <v>0.0</v>
      </c>
      <c r="X54" s="93">
        <v>18.0</v>
      </c>
      <c r="Y54" s="93">
        <v>12.0</v>
      </c>
      <c r="Z54" s="93">
        <v>20.0</v>
      </c>
      <c r="AA54" s="93">
        <v>8.0</v>
      </c>
      <c r="AB54" s="93">
        <v>16.0</v>
      </c>
      <c r="AC54" s="93">
        <v>8.0</v>
      </c>
      <c r="AD54" s="93">
        <v>36.0</v>
      </c>
      <c r="AE54" s="93">
        <v>12.0</v>
      </c>
      <c r="AF54" s="93">
        <v>24.0</v>
      </c>
      <c r="AG54" s="93">
        <v>0.0</v>
      </c>
      <c r="AH54" s="93">
        <v>0.0</v>
      </c>
      <c r="AI54" s="93">
        <v>12.0</v>
      </c>
      <c r="AJ54" s="93">
        <v>4.0</v>
      </c>
      <c r="AK54" s="93">
        <v>4.0</v>
      </c>
      <c r="AL54" s="93">
        <v>4.0</v>
      </c>
      <c r="AM54" s="93">
        <v>4.0</v>
      </c>
      <c r="AN54" s="93">
        <v>4.0</v>
      </c>
      <c r="AO54" s="69">
        <f t="shared" si="3"/>
        <v>112.0</v>
      </c>
      <c r="AP54" s="69">
        <f t="shared" si="4"/>
        <v>32.0</v>
      </c>
      <c r="AQ54" s="69">
        <f t="shared" si="5"/>
        <v>35.2</v>
      </c>
      <c r="AR54" s="47">
        <f t="shared" si="76"/>
        <v>5.56190476190476</v>
      </c>
      <c r="AS54" s="47">
        <f t="shared" si="77"/>
        <v>4.34285714285714</v>
      </c>
      <c r="AT54" s="47">
        <f t="shared" si="78"/>
        <v>8.68571428571429</v>
      </c>
      <c r="AU54" s="47">
        <f t="shared" si="79"/>
        <v>9.6761904761904</v>
      </c>
      <c r="AV54" s="47">
        <f t="shared" si="80"/>
        <v>8.76190476190476</v>
      </c>
      <c r="AW54" s="47">
        <f t="shared" si="81"/>
        <v>7.16190476190476</v>
      </c>
      <c r="AX54" s="64">
        <f t="shared" si="12"/>
        <v>44.1904761904761</v>
      </c>
      <c r="AY54" s="64" t="e">
        <f t="shared" si="13"/>
        <v>#REF!</v>
      </c>
      <c r="BB54" s="69" t="e">
        <f t="shared" si="51"/>
        <v>#REF!</v>
      </c>
      <c r="BC54" s="69"/>
      <c r="BE54" s="70"/>
      <c r="BF54" s="95" t="e">
        <f t="shared" si="15"/>
        <v>#REF!</v>
      </c>
      <c r="BG54" s="65">
        <f t="shared" si="16"/>
        <v>5.56190476190476</v>
      </c>
      <c r="BH54" s="65">
        <f t="shared" si="17"/>
      </c>
      <c r="BI54" s="65" t="e">
        <f t="shared" si="18"/>
        <v>#REF!</v>
      </c>
      <c r="BJ54" s="65">
        <f t="shared" si="19"/>
        <v>4.34285714285714</v>
      </c>
      <c r="BK54" s="65">
        <f t="shared" si="20"/>
      </c>
      <c r="BL54" s="65" t="e">
        <f t="shared" si="21"/>
        <v>#REF!</v>
      </c>
      <c r="BM54" s="65">
        <f t="shared" si="22"/>
        <v>8.68571428571429</v>
      </c>
      <c r="BN54" s="65"/>
      <c r="BO54" s="65" t="e">
        <f t="shared" si="23"/>
        <v>#REF!</v>
      </c>
      <c r="BP54" s="65">
        <f t="shared" si="24"/>
        <v>9.6761904761904</v>
      </c>
      <c r="BQ54" s="65"/>
      <c r="BR54" s="65" t="e">
        <f t="shared" si="25"/>
        <v>#REF!</v>
      </c>
      <c r="BS54" s="65">
        <f t="shared" si="26"/>
        <v>8.76190476190476</v>
      </c>
      <c r="BT54" s="65"/>
      <c r="BU54" s="65" t="e">
        <f t="shared" si="27"/>
        <v>#REF!</v>
      </c>
      <c r="BV54" s="65">
        <f t="shared" si="28"/>
        <v>7.16190476190476</v>
      </c>
      <c r="BW54" s="65"/>
      <c r="BX54" s="65" t="e">
        <f t="shared" si="29"/>
        <v>#REF!</v>
      </c>
    </row>
    <row r="55" ht="14.0">
      <c r="A55" s="93" t="s">
        <v>179</v>
      </c>
      <c r="B55" s="93" t="s">
        <v>278</v>
      </c>
      <c r="C55" s="93" t="s">
        <v>287</v>
      </c>
      <c r="D55" s="93" t="s">
        <v>288</v>
      </c>
      <c r="E55" s="93">
        <v>0.0</v>
      </c>
      <c r="F55" s="93">
        <v>0.0</v>
      </c>
      <c r="G55" s="93">
        <v>0.0</v>
      </c>
      <c r="H55" s="93">
        <v>0.0</v>
      </c>
      <c r="I55" s="93">
        <v>0.0</v>
      </c>
      <c r="J55" s="93">
        <v>0.0</v>
      </c>
      <c r="K55" s="93">
        <v>0.0</v>
      </c>
      <c r="L55" s="93">
        <v>0.0</v>
      </c>
      <c r="M55" s="93">
        <v>0.0</v>
      </c>
      <c r="N55" s="93">
        <v>0.0</v>
      </c>
      <c r="O55" s="93">
        <v>0.0</v>
      </c>
      <c r="P55" s="93">
        <v>0.0</v>
      </c>
      <c r="Q55" s="93">
        <v>0.0</v>
      </c>
      <c r="R55" s="93">
        <v>0.0</v>
      </c>
      <c r="S55" s="93">
        <v>0.0</v>
      </c>
      <c r="T55" s="93">
        <v>0.0</v>
      </c>
      <c r="U55" s="93">
        <v>0.0</v>
      </c>
      <c r="V55" s="93">
        <v>0.0</v>
      </c>
      <c r="W55" s="93">
        <v>0.0</v>
      </c>
      <c r="X55" s="93">
        <v>144.0</v>
      </c>
      <c r="Y55" s="93">
        <v>116.0</v>
      </c>
      <c r="Z55" s="93">
        <v>76.0</v>
      </c>
      <c r="AA55" s="93">
        <v>68.0</v>
      </c>
      <c r="AB55" s="93">
        <v>50.0</v>
      </c>
      <c r="AC55" s="93">
        <v>44.0</v>
      </c>
      <c r="AD55" s="93">
        <v>87.0</v>
      </c>
      <c r="AE55" s="93">
        <v>92.0</v>
      </c>
      <c r="AF55" s="93">
        <v>40.0</v>
      </c>
      <c r="AG55" s="93">
        <v>24.0</v>
      </c>
      <c r="AH55" s="93">
        <v>20.0</v>
      </c>
      <c r="AI55" s="93">
        <v>20.0</v>
      </c>
      <c r="AJ55" s="93">
        <v>29.0</v>
      </c>
      <c r="AK55" s="93">
        <v>10.0</v>
      </c>
      <c r="AL55" s="93">
        <v>16.0</v>
      </c>
      <c r="AM55" s="93">
        <v>8.0</v>
      </c>
      <c r="AN55" s="93">
        <v>4.0</v>
      </c>
      <c r="AO55" s="69">
        <f t="shared" si="3"/>
        <v>394.0</v>
      </c>
      <c r="AP55" s="69">
        <f t="shared" si="4"/>
        <v>87.0</v>
      </c>
      <c r="AQ55" s="69">
        <f t="shared" si="5"/>
        <v>95.7</v>
      </c>
      <c r="AR55" s="47">
        <f t="shared" si="76"/>
        <v>15.1214285714286</v>
      </c>
      <c r="AS55" s="47">
        <f t="shared" si="77"/>
        <v>11.8071428571429</v>
      </c>
      <c r="AT55" s="47">
        <f t="shared" si="78"/>
        <v>23.6142857142857</v>
      </c>
      <c r="AU55" s="47">
        <f t="shared" si="79"/>
        <v>26.3071428571429</v>
      </c>
      <c r="AV55" s="47">
        <f t="shared" si="80"/>
        <v>23.821428571429</v>
      </c>
      <c r="AW55" s="47">
        <f t="shared" si="81"/>
        <v>19.4714285714286</v>
      </c>
      <c r="AX55" s="64">
        <f t="shared" si="12"/>
        <v>120.1428571429</v>
      </c>
      <c r="AY55" s="64" t="e">
        <f t="shared" si="13"/>
        <v>#REF!</v>
      </c>
      <c r="BB55" s="69" t="e">
        <f t="shared" si="51"/>
        <v>#REF!</v>
      </c>
      <c r="BC55" s="69"/>
      <c r="BE55" s="70"/>
      <c r="BF55" s="95" t="e">
        <f t="shared" si="15"/>
        <v>#REF!</v>
      </c>
      <c r="BG55" s="65">
        <f t="shared" si="16"/>
        <v>15.1214285714286</v>
      </c>
      <c r="BH55" s="65">
        <f t="shared" si="17"/>
      </c>
      <c r="BI55" s="65" t="e">
        <f t="shared" si="18"/>
        <v>#REF!</v>
      </c>
      <c r="BJ55" s="65">
        <f t="shared" si="19"/>
        <v>11.8071428571429</v>
      </c>
      <c r="BK55" s="65">
        <f t="shared" si="20"/>
      </c>
      <c r="BL55" s="65" t="e">
        <f t="shared" si="21"/>
        <v>#REF!</v>
      </c>
      <c r="BM55" s="65">
        <f t="shared" si="22"/>
        <v>23.6142857142857</v>
      </c>
      <c r="BN55" s="65"/>
      <c r="BO55" s="65" t="e">
        <f t="shared" si="23"/>
        <v>#REF!</v>
      </c>
      <c r="BP55" s="65">
        <f t="shared" si="24"/>
        <v>26.3071428571429</v>
      </c>
      <c r="BQ55" s="65"/>
      <c r="BR55" s="65" t="e">
        <f t="shared" si="25"/>
        <v>#REF!</v>
      </c>
      <c r="BS55" s="65">
        <f t="shared" si="26"/>
        <v>23.821428571429</v>
      </c>
      <c r="BT55" s="65"/>
      <c r="BU55" s="65" t="e">
        <f t="shared" si="27"/>
        <v>#REF!</v>
      </c>
      <c r="BV55" s="65">
        <f t="shared" si="28"/>
        <v>19.4714285714286</v>
      </c>
      <c r="BW55" s="65"/>
      <c r="BX55" s="65" t="e">
        <f t="shared" si="29"/>
        <v>#REF!</v>
      </c>
    </row>
    <row r="56" ht="14.0">
      <c r="A56" s="93" t="s">
        <v>179</v>
      </c>
      <c r="B56" s="93" t="s">
        <v>278</v>
      </c>
      <c r="C56" s="93" t="s">
        <v>289</v>
      </c>
      <c r="D56" s="93" t="s">
        <v>290</v>
      </c>
      <c r="E56" s="93">
        <v>0.0</v>
      </c>
      <c r="F56" s="93">
        <v>0.0</v>
      </c>
      <c r="G56" s="93">
        <v>0.0</v>
      </c>
      <c r="H56" s="93">
        <v>0.0</v>
      </c>
      <c r="I56" s="93">
        <v>0.0</v>
      </c>
      <c r="J56" s="93">
        <v>0.0</v>
      </c>
      <c r="K56" s="93">
        <v>0.0</v>
      </c>
      <c r="L56" s="93">
        <v>0.0</v>
      </c>
      <c r="M56" s="93">
        <v>0.0</v>
      </c>
      <c r="N56" s="93">
        <v>0.0</v>
      </c>
      <c r="O56" s="93">
        <v>0.0</v>
      </c>
      <c r="P56" s="93">
        <v>0.0</v>
      </c>
      <c r="Q56" s="93">
        <v>0.0</v>
      </c>
      <c r="R56" s="93">
        <v>0.0</v>
      </c>
      <c r="S56" s="93">
        <v>0.0</v>
      </c>
      <c r="T56" s="93">
        <v>0.0</v>
      </c>
      <c r="U56" s="93">
        <v>0.0</v>
      </c>
      <c r="V56" s="93">
        <v>0.0</v>
      </c>
      <c r="W56" s="93">
        <v>0.0</v>
      </c>
      <c r="X56" s="93">
        <v>98.0</v>
      </c>
      <c r="Y56" s="93">
        <v>115.0</v>
      </c>
      <c r="Z56" s="93">
        <v>96.0</v>
      </c>
      <c r="AA56" s="93">
        <v>72.0</v>
      </c>
      <c r="AB56" s="93">
        <v>38.0</v>
      </c>
      <c r="AC56" s="93">
        <v>36.0</v>
      </c>
      <c r="AD56" s="93">
        <v>56.0</v>
      </c>
      <c r="AE56" s="93">
        <v>112.0</v>
      </c>
      <c r="AF56" s="93">
        <v>76.0</v>
      </c>
      <c r="AG56" s="93">
        <v>40.0</v>
      </c>
      <c r="AH56" s="93">
        <v>35.0</v>
      </c>
      <c r="AI56" s="93">
        <v>16.0</v>
      </c>
      <c r="AJ56" s="93">
        <v>20.0</v>
      </c>
      <c r="AK56" s="93">
        <v>40.0</v>
      </c>
      <c r="AL56" s="93">
        <v>24.0</v>
      </c>
      <c r="AM56" s="93">
        <v>16.0</v>
      </c>
      <c r="AN56" s="93">
        <v>8.0</v>
      </c>
      <c r="AO56" s="69">
        <f t="shared" si="3"/>
        <v>479.0</v>
      </c>
      <c r="AP56" s="69">
        <f t="shared" si="4"/>
        <v>124.0</v>
      </c>
      <c r="AQ56" s="69">
        <f t="shared" si="5"/>
        <v>136.4</v>
      </c>
      <c r="AR56" s="47">
        <f t="shared" si="76"/>
        <v>21.552380952381</v>
      </c>
      <c r="AS56" s="47">
        <f t="shared" si="77"/>
        <v>16.8285714285714</v>
      </c>
      <c r="AT56" s="47">
        <f t="shared" si="78"/>
        <v>33.6571428571429</v>
      </c>
      <c r="AU56" s="47">
        <f t="shared" si="79"/>
        <v>37.495238095238</v>
      </c>
      <c r="AV56" s="47">
        <f t="shared" si="80"/>
        <v>33.952380952381</v>
      </c>
      <c r="AW56" s="47">
        <f t="shared" si="81"/>
        <v>27.752380952381</v>
      </c>
      <c r="AX56" s="64">
        <f t="shared" si="12"/>
        <v>171.238095238095</v>
      </c>
      <c r="AY56" s="64" t="e">
        <f t="shared" si="13"/>
        <v>#REF!</v>
      </c>
      <c r="BB56" s="69" t="e">
        <f t="shared" si="51"/>
        <v>#REF!</v>
      </c>
      <c r="BC56" s="69"/>
      <c r="BE56" s="70"/>
      <c r="BF56" s="95" t="e">
        <f t="shared" si="15"/>
        <v>#REF!</v>
      </c>
      <c r="BG56" s="65">
        <f t="shared" si="16"/>
        <v>21.552380952381</v>
      </c>
      <c r="BH56" s="65">
        <f t="shared" si="17"/>
      </c>
      <c r="BI56" s="65" t="e">
        <f t="shared" si="18"/>
        <v>#REF!</v>
      </c>
      <c r="BJ56" s="65">
        <f t="shared" si="19"/>
        <v>16.8285714285714</v>
      </c>
      <c r="BK56" s="65">
        <f t="shared" si="20"/>
      </c>
      <c r="BL56" s="65" t="e">
        <f t="shared" si="21"/>
        <v>#REF!</v>
      </c>
      <c r="BM56" s="65">
        <f t="shared" si="22"/>
        <v>33.6571428571429</v>
      </c>
      <c r="BN56" s="65"/>
      <c r="BO56" s="65" t="e">
        <f t="shared" si="23"/>
        <v>#REF!</v>
      </c>
      <c r="BP56" s="65">
        <f t="shared" si="24"/>
        <v>37.495238095238</v>
      </c>
      <c r="BQ56" s="65"/>
      <c r="BR56" s="65" t="e">
        <f t="shared" si="25"/>
        <v>#REF!</v>
      </c>
      <c r="BS56" s="65">
        <f t="shared" si="26"/>
        <v>33.952380952381</v>
      </c>
      <c r="BT56" s="65"/>
      <c r="BU56" s="65" t="e">
        <f t="shared" si="27"/>
        <v>#REF!</v>
      </c>
      <c r="BV56" s="65">
        <f t="shared" si="28"/>
        <v>27.752380952381</v>
      </c>
      <c r="BW56" s="65"/>
      <c r="BX56" s="65" t="e">
        <f t="shared" si="29"/>
        <v>#REF!</v>
      </c>
    </row>
    <row r="57" ht="14.0">
      <c r="A57" s="93" t="s">
        <v>179</v>
      </c>
      <c r="B57" s="93" t="s">
        <v>278</v>
      </c>
      <c r="C57" s="93" t="s">
        <v>291</v>
      </c>
      <c r="D57" s="93" t="s">
        <v>292</v>
      </c>
      <c r="E57" s="93">
        <v>0.0</v>
      </c>
      <c r="F57" s="93">
        <v>0.0</v>
      </c>
      <c r="G57" s="93">
        <v>0.0</v>
      </c>
      <c r="H57" s="93">
        <v>0.0</v>
      </c>
      <c r="I57" s="93">
        <v>0.0</v>
      </c>
      <c r="J57" s="93">
        <v>0.0</v>
      </c>
      <c r="K57" s="93">
        <v>0.0</v>
      </c>
      <c r="L57" s="93">
        <v>0.0</v>
      </c>
      <c r="M57" s="93">
        <v>0.0</v>
      </c>
      <c r="N57" s="93">
        <v>0.0</v>
      </c>
      <c r="O57" s="93">
        <v>0.0</v>
      </c>
      <c r="P57" s="93">
        <v>0.0</v>
      </c>
      <c r="Q57" s="93">
        <v>0.0</v>
      </c>
      <c r="R57" s="93">
        <v>0.0</v>
      </c>
      <c r="S57" s="93">
        <v>0.0</v>
      </c>
      <c r="T57" s="93">
        <v>0.0</v>
      </c>
      <c r="U57" s="93">
        <v>0.0</v>
      </c>
      <c r="V57" s="93">
        <v>0.0</v>
      </c>
      <c r="W57" s="93">
        <v>0.0</v>
      </c>
      <c r="X57" s="93">
        <v>0.0</v>
      </c>
      <c r="Y57" s="93">
        <v>0.0</v>
      </c>
      <c r="Z57" s="93">
        <v>0.0</v>
      </c>
      <c r="AA57" s="93">
        <v>0.0</v>
      </c>
      <c r="AB57" s="93">
        <v>0.0</v>
      </c>
      <c r="AC57" s="93">
        <v>0.0</v>
      </c>
      <c r="AD57" s="93">
        <v>108.0</v>
      </c>
      <c r="AE57" s="93">
        <v>64.0</v>
      </c>
      <c r="AF57" s="93">
        <v>56.0</v>
      </c>
      <c r="AG57" s="93">
        <v>20.0</v>
      </c>
      <c r="AH57" s="93">
        <v>12.0</v>
      </c>
      <c r="AI57" s="93">
        <v>20.0</v>
      </c>
      <c r="AJ57" s="93">
        <v>20.0</v>
      </c>
      <c r="AK57" s="93">
        <v>16.0</v>
      </c>
      <c r="AL57" s="93">
        <v>16.0</v>
      </c>
      <c r="AM57" s="93">
        <v>0.0</v>
      </c>
      <c r="AN57" s="93">
        <v>4.0</v>
      </c>
      <c r="AO57" s="69">
        <f t="shared" si="3"/>
        <v>336.0</v>
      </c>
      <c r="AP57" s="69">
        <f t="shared" si="4"/>
        <v>76.0</v>
      </c>
      <c r="AQ57" s="69">
        <f t="shared" si="5"/>
        <v>83.6</v>
      </c>
      <c r="AR57" s="47">
        <f t="shared" si="76"/>
        <v>13.2095238095238</v>
      </c>
      <c r="AS57" s="47">
        <f t="shared" si="77"/>
        <v>10.3142857142857</v>
      </c>
      <c r="AT57" s="47">
        <f t="shared" si="78"/>
        <v>20.6285714285714</v>
      </c>
      <c r="AU57" s="47">
        <f t="shared" si="79"/>
        <v>22.9809523809523</v>
      </c>
      <c r="AV57" s="47">
        <f t="shared" si="80"/>
        <v>20.8095238095238</v>
      </c>
      <c r="AW57" s="47">
        <f t="shared" si="81"/>
        <v>17.0095238095238</v>
      </c>
      <c r="AX57" s="64">
        <f t="shared" si="12"/>
        <v>104.95238095238</v>
      </c>
      <c r="AY57" s="64" t="e">
        <f t="shared" si="13"/>
        <v>#REF!</v>
      </c>
      <c r="BB57" s="69" t="e">
        <f t="shared" si="51"/>
        <v>#REF!</v>
      </c>
      <c r="BC57" s="69"/>
      <c r="BE57" s="70"/>
      <c r="BF57" s="95" t="e">
        <f t="shared" si="15"/>
        <v>#REF!</v>
      </c>
      <c r="BG57" s="65">
        <f t="shared" si="16"/>
        <v>13.2095238095238</v>
      </c>
      <c r="BH57" s="65">
        <f t="shared" si="17"/>
      </c>
      <c r="BI57" s="65" t="e">
        <f t="shared" si="18"/>
        <v>#REF!</v>
      </c>
      <c r="BJ57" s="65">
        <f t="shared" si="19"/>
        <v>10.3142857142857</v>
      </c>
      <c r="BK57" s="65">
        <f t="shared" si="20"/>
      </c>
      <c r="BL57" s="65" t="e">
        <f t="shared" si="21"/>
        <v>#REF!</v>
      </c>
      <c r="BM57" s="65">
        <f t="shared" si="22"/>
        <v>20.6285714285714</v>
      </c>
      <c r="BN57" s="65"/>
      <c r="BO57" s="65" t="e">
        <f t="shared" si="23"/>
        <v>#REF!</v>
      </c>
      <c r="BP57" s="65">
        <f t="shared" si="24"/>
        <v>22.9809523809523</v>
      </c>
      <c r="BQ57" s="65"/>
      <c r="BR57" s="65" t="e">
        <f t="shared" si="25"/>
        <v>#REF!</v>
      </c>
      <c r="BS57" s="65">
        <f t="shared" si="26"/>
        <v>20.8095238095238</v>
      </c>
      <c r="BT57" s="65"/>
      <c r="BU57" s="65" t="e">
        <f t="shared" si="27"/>
        <v>#REF!</v>
      </c>
      <c r="BV57" s="65">
        <f t="shared" si="28"/>
        <v>17.0095238095238</v>
      </c>
      <c r="BW57" s="65"/>
      <c r="BX57" s="65" t="e">
        <f t="shared" si="29"/>
        <v>#REF!</v>
      </c>
    </row>
    <row r="58" ht="14.0">
      <c r="A58" s="93" t="s">
        <v>179</v>
      </c>
      <c r="B58" s="93" t="s">
        <v>278</v>
      </c>
      <c r="C58" s="93" t="s">
        <v>293</v>
      </c>
      <c r="D58" s="93" t="s">
        <v>294</v>
      </c>
      <c r="E58" s="93">
        <v>0.0</v>
      </c>
      <c r="F58" s="93">
        <v>0.0</v>
      </c>
      <c r="G58" s="93">
        <v>0.0</v>
      </c>
      <c r="H58" s="93">
        <v>0.0</v>
      </c>
      <c r="I58" s="93">
        <v>0.0</v>
      </c>
      <c r="J58" s="93">
        <v>0.0</v>
      </c>
      <c r="K58" s="93">
        <v>0.0</v>
      </c>
      <c r="L58" s="93">
        <v>0.0</v>
      </c>
      <c r="M58" s="93">
        <v>0.0</v>
      </c>
      <c r="N58" s="93">
        <v>0.0</v>
      </c>
      <c r="O58" s="93">
        <v>0.0</v>
      </c>
      <c r="P58" s="93">
        <v>0.0</v>
      </c>
      <c r="Q58" s="93">
        <v>0.0</v>
      </c>
      <c r="R58" s="93">
        <v>0.0</v>
      </c>
      <c r="S58" s="93">
        <v>0.0</v>
      </c>
      <c r="T58" s="93">
        <v>0.0</v>
      </c>
      <c r="U58" s="93">
        <v>0.0</v>
      </c>
      <c r="V58" s="93">
        <v>0.0</v>
      </c>
      <c r="W58" s="93">
        <v>0.0</v>
      </c>
      <c r="X58" s="93">
        <v>0.0</v>
      </c>
      <c r="Y58" s="93">
        <v>0.0</v>
      </c>
      <c r="Z58" s="93">
        <v>0.0</v>
      </c>
      <c r="AA58" s="93">
        <v>0.0</v>
      </c>
      <c r="AB58" s="93">
        <v>0.0</v>
      </c>
      <c r="AC58" s="93">
        <v>0.0</v>
      </c>
      <c r="AD58" s="93">
        <v>140.0</v>
      </c>
      <c r="AE58" s="93">
        <v>116.0</v>
      </c>
      <c r="AF58" s="93">
        <v>91.0</v>
      </c>
      <c r="AG58" s="93">
        <v>36.0</v>
      </c>
      <c r="AH58" s="93">
        <v>20.0</v>
      </c>
      <c r="AI58" s="93">
        <v>28.0</v>
      </c>
      <c r="AJ58" s="93">
        <v>40.0</v>
      </c>
      <c r="AK58" s="93">
        <v>32.0</v>
      </c>
      <c r="AL58" s="93">
        <v>20.0</v>
      </c>
      <c r="AM58" s="93">
        <v>8.0</v>
      </c>
      <c r="AN58" s="93">
        <v>24.0</v>
      </c>
      <c r="AO58" s="69">
        <f t="shared" si="3"/>
        <v>555.0</v>
      </c>
      <c r="AP58" s="69">
        <f t="shared" si="4"/>
        <v>152.0</v>
      </c>
      <c r="AQ58" s="69">
        <f t="shared" si="5"/>
        <v>167.2</v>
      </c>
      <c r="AR58" s="47">
        <f t="shared" si="76"/>
        <v>26.4190476190476</v>
      </c>
      <c r="AS58" s="47">
        <f t="shared" si="77"/>
        <v>20.6285714285714</v>
      </c>
      <c r="AT58" s="47">
        <f t="shared" si="78"/>
        <v>41.2571428571429</v>
      </c>
      <c r="AU58" s="47">
        <f t="shared" si="79"/>
        <v>45.9619047619048</v>
      </c>
      <c r="AV58" s="47">
        <f t="shared" si="80"/>
        <v>41.6190476190476</v>
      </c>
      <c r="AW58" s="47">
        <f t="shared" si="81"/>
        <v>34.0190476190476</v>
      </c>
      <c r="AX58" s="64">
        <f t="shared" si="12"/>
        <v>209.904761904761</v>
      </c>
      <c r="AY58" s="64" t="e">
        <f t="shared" si="13"/>
        <v>#REF!</v>
      </c>
      <c r="BB58" s="69" t="e">
        <f t="shared" si="51"/>
        <v>#REF!</v>
      </c>
      <c r="BC58" s="69"/>
      <c r="BE58" s="70"/>
      <c r="BF58" s="95" t="e">
        <f t="shared" si="15"/>
        <v>#REF!</v>
      </c>
      <c r="BG58" s="65">
        <f t="shared" si="16"/>
        <v>26.4190476190476</v>
      </c>
      <c r="BH58" s="65">
        <f t="shared" si="17"/>
      </c>
      <c r="BI58" s="65" t="e">
        <f t="shared" si="18"/>
        <v>#REF!</v>
      </c>
      <c r="BJ58" s="65">
        <f t="shared" si="19"/>
        <v>20.6285714285714</v>
      </c>
      <c r="BK58" s="65">
        <f t="shared" si="20"/>
      </c>
      <c r="BL58" s="65" t="e">
        <f t="shared" si="21"/>
        <v>#REF!</v>
      </c>
      <c r="BM58" s="65">
        <f t="shared" si="22"/>
        <v>41.2571428571429</v>
      </c>
      <c r="BN58" s="65"/>
      <c r="BO58" s="65" t="e">
        <f t="shared" si="23"/>
        <v>#REF!</v>
      </c>
      <c r="BP58" s="65">
        <f t="shared" si="24"/>
        <v>45.9619047619048</v>
      </c>
      <c r="BQ58" s="65"/>
      <c r="BR58" s="65" t="e">
        <f t="shared" si="25"/>
        <v>#REF!</v>
      </c>
      <c r="BS58" s="65">
        <f t="shared" si="26"/>
        <v>41.6190476190476</v>
      </c>
      <c r="BT58" s="65"/>
      <c r="BU58" s="65" t="e">
        <f t="shared" si="27"/>
        <v>#REF!</v>
      </c>
      <c r="BV58" s="65">
        <f t="shared" si="28"/>
        <v>34.0190476190476</v>
      </c>
      <c r="BW58" s="65"/>
      <c r="BX58" s="65" t="e">
        <f t="shared" si="29"/>
        <v>#REF!</v>
      </c>
    </row>
    <row r="59" ht="14.0">
      <c r="A59" s="93" t="s">
        <v>179</v>
      </c>
      <c r="B59" s="93" t="s">
        <v>278</v>
      </c>
      <c r="C59" s="93" t="s">
        <v>295</v>
      </c>
      <c r="D59" s="93" t="s">
        <v>296</v>
      </c>
      <c r="E59" s="93">
        <v>0.0</v>
      </c>
      <c r="F59" s="93">
        <v>0.0</v>
      </c>
      <c r="G59" s="93">
        <v>0.0</v>
      </c>
      <c r="H59" s="93">
        <v>0.0</v>
      </c>
      <c r="I59" s="93">
        <v>0.0</v>
      </c>
      <c r="J59" s="93">
        <v>0.0</v>
      </c>
      <c r="K59" s="93">
        <v>0.0</v>
      </c>
      <c r="L59" s="93">
        <v>0.0</v>
      </c>
      <c r="M59" s="93">
        <v>0.0</v>
      </c>
      <c r="N59" s="93">
        <v>0.0</v>
      </c>
      <c r="O59" s="93">
        <v>0.0</v>
      </c>
      <c r="P59" s="93">
        <v>0.0</v>
      </c>
      <c r="Q59" s="93">
        <v>0.0</v>
      </c>
      <c r="R59" s="93">
        <v>0.0</v>
      </c>
      <c r="S59" s="93">
        <v>0.0</v>
      </c>
      <c r="T59" s="93">
        <v>0.0</v>
      </c>
      <c r="U59" s="93">
        <v>0.0</v>
      </c>
      <c r="V59" s="93">
        <v>0.0</v>
      </c>
      <c r="W59" s="93">
        <v>0.0</v>
      </c>
      <c r="X59" s="93">
        <v>0.0</v>
      </c>
      <c r="Y59" s="93">
        <v>0.0</v>
      </c>
      <c r="Z59" s="93">
        <v>0.0</v>
      </c>
      <c r="AA59" s="93">
        <v>0.0</v>
      </c>
      <c r="AB59" s="93">
        <v>0.0</v>
      </c>
      <c r="AC59" s="93">
        <v>0.0</v>
      </c>
      <c r="AD59" s="93">
        <v>0.0</v>
      </c>
      <c r="AE59" s="93">
        <v>0.0</v>
      </c>
      <c r="AF59" s="93">
        <v>0.0</v>
      </c>
      <c r="AG59" s="93">
        <v>0.0</v>
      </c>
      <c r="AH59" s="93">
        <v>0.0</v>
      </c>
      <c r="AI59" s="93">
        <v>0.0</v>
      </c>
      <c r="AJ59" s="93">
        <v>0.0</v>
      </c>
      <c r="AK59" s="93">
        <v>195.0</v>
      </c>
      <c r="AL59" s="93">
        <v>188.0</v>
      </c>
      <c r="AM59" s="93">
        <v>96.0</v>
      </c>
      <c r="AN59" s="93">
        <v>24.0</v>
      </c>
      <c r="AO59" s="69">
        <f t="shared" si="3"/>
        <v>503.0</v>
      </c>
      <c r="AP59" s="69">
        <f t="shared" si="4"/>
        <v>503.0</v>
      </c>
      <c r="AQ59" s="69">
        <f t="shared" si="5"/>
        <v>553.3</v>
      </c>
      <c r="AR59" s="94">
        <f t="shared" si="76"/>
        <v>87.4261904761904</v>
      </c>
      <c r="AS59" s="94">
        <f t="shared" si="77"/>
        <v>68.2642857142857</v>
      </c>
      <c r="AT59" s="94">
        <f t="shared" si="78"/>
        <v>136.528571428571</v>
      </c>
      <c r="AU59" s="94">
        <f t="shared" si="79"/>
        <v>152.097619047619</v>
      </c>
      <c r="AV59" s="94">
        <f t="shared" si="80"/>
        <v>137.72619047619</v>
      </c>
      <c r="AW59" s="94">
        <f t="shared" si="81"/>
        <v>112.57619047619</v>
      </c>
      <c r="AX59" s="64">
        <f t="shared" si="12"/>
        <v>694.619047619046</v>
      </c>
      <c r="AY59" s="64" t="e">
        <f t="shared" si="13"/>
        <v>#REF!</v>
      </c>
      <c r="AZ59" s="64" t="e">
        <f t="shared" ref="AZ59:AZ64" si="82">VLOOKUP(C59,CHINAAUGUST,3,false)</f>
        <v>#REF!</v>
      </c>
      <c r="BB59" s="69" t="e">
        <f t="shared" si="51"/>
        <v>#REF!</v>
      </c>
      <c r="BC59" s="69"/>
      <c r="BE59" s="70"/>
      <c r="BF59" s="95" t="e">
        <f t="shared" si="15"/>
        <v>#REF!</v>
      </c>
      <c r="BG59" s="65">
        <f t="shared" si="16"/>
        <v>87.4261904761904</v>
      </c>
      <c r="BH59" s="65" t="e">
        <f t="shared" si="17"/>
        <v>#REF!</v>
      </c>
      <c r="BI59" s="65" t="e">
        <f t="shared" si="18"/>
        <v>#REF!</v>
      </c>
      <c r="BJ59" s="65">
        <f t="shared" si="19"/>
        <v>68.2642857142857</v>
      </c>
      <c r="BK59" s="65">
        <f t="shared" si="20"/>
      </c>
      <c r="BL59" s="65" t="e">
        <f t="shared" si="21"/>
        <v>#REF!</v>
      </c>
      <c r="BM59" s="65">
        <f t="shared" si="22"/>
        <v>136.528571428571</v>
      </c>
      <c r="BN59" s="65"/>
      <c r="BO59" s="65" t="e">
        <f t="shared" si="23"/>
        <v>#REF!</v>
      </c>
      <c r="BP59" s="65">
        <f t="shared" si="24"/>
        <v>152.097619047619</v>
      </c>
      <c r="BQ59" s="65"/>
      <c r="BR59" s="65" t="e">
        <f t="shared" si="25"/>
        <v>#REF!</v>
      </c>
      <c r="BS59" s="65">
        <f t="shared" si="26"/>
        <v>137.72619047619</v>
      </c>
      <c r="BT59" s="65"/>
      <c r="BU59" s="65" t="e">
        <f t="shared" si="27"/>
        <v>#REF!</v>
      </c>
      <c r="BV59" s="65">
        <f t="shared" si="28"/>
        <v>112.57619047619</v>
      </c>
      <c r="BW59" s="65"/>
      <c r="BX59" s="65" t="e">
        <f t="shared" si="29"/>
        <v>#REF!</v>
      </c>
    </row>
    <row r="60" ht="14.0">
      <c r="A60" s="93" t="s">
        <v>179</v>
      </c>
      <c r="B60" s="93" t="s">
        <v>278</v>
      </c>
      <c r="C60" s="93" t="s">
        <v>297</v>
      </c>
      <c r="D60" s="93" t="s">
        <v>298</v>
      </c>
      <c r="E60" s="93">
        <v>0.0</v>
      </c>
      <c r="F60" s="93">
        <v>0.0</v>
      </c>
      <c r="G60" s="93">
        <v>0.0</v>
      </c>
      <c r="H60" s="93">
        <v>0.0</v>
      </c>
      <c r="I60" s="93">
        <v>0.0</v>
      </c>
      <c r="J60" s="93">
        <v>0.0</v>
      </c>
      <c r="K60" s="93">
        <v>0.0</v>
      </c>
      <c r="L60" s="93">
        <v>0.0</v>
      </c>
      <c r="M60" s="93">
        <v>0.0</v>
      </c>
      <c r="N60" s="93">
        <v>0.0</v>
      </c>
      <c r="O60" s="93">
        <v>0.0</v>
      </c>
      <c r="P60" s="93">
        <v>0.0</v>
      </c>
      <c r="Q60" s="93">
        <v>0.0</v>
      </c>
      <c r="R60" s="93">
        <v>0.0</v>
      </c>
      <c r="S60" s="93">
        <v>0.0</v>
      </c>
      <c r="T60" s="93">
        <v>0.0</v>
      </c>
      <c r="U60" s="93">
        <v>0.0</v>
      </c>
      <c r="V60" s="93">
        <v>0.0</v>
      </c>
      <c r="W60" s="93">
        <v>0.0</v>
      </c>
      <c r="X60" s="93">
        <v>0.0</v>
      </c>
      <c r="Y60" s="93">
        <v>0.0</v>
      </c>
      <c r="Z60" s="93">
        <v>0.0</v>
      </c>
      <c r="AA60" s="93">
        <v>0.0</v>
      </c>
      <c r="AB60" s="93">
        <v>0.0</v>
      </c>
      <c r="AC60" s="93">
        <v>0.0</v>
      </c>
      <c r="AD60" s="93">
        <v>0.0</v>
      </c>
      <c r="AE60" s="93">
        <v>0.0</v>
      </c>
      <c r="AF60" s="93">
        <v>0.0</v>
      </c>
      <c r="AG60" s="93">
        <v>0.0</v>
      </c>
      <c r="AH60" s="93">
        <v>0.0</v>
      </c>
      <c r="AI60" s="93">
        <v>0.0</v>
      </c>
      <c r="AJ60" s="93">
        <v>0.0</v>
      </c>
      <c r="AK60" s="93">
        <v>114.0</v>
      </c>
      <c r="AL60" s="93">
        <v>111.0</v>
      </c>
      <c r="AM60" s="93">
        <v>50.0</v>
      </c>
      <c r="AN60" s="93">
        <v>40.0</v>
      </c>
      <c r="AO60" s="69">
        <f t="shared" si="3"/>
        <v>315.0</v>
      </c>
      <c r="AP60" s="69">
        <f t="shared" si="4"/>
        <v>315.0</v>
      </c>
      <c r="AQ60" s="69">
        <f t="shared" si="5"/>
        <v>346.5</v>
      </c>
      <c r="AR60" s="96">
        <f t="shared" si="76"/>
        <v>54.75</v>
      </c>
      <c r="AS60" s="96">
        <f t="shared" si="77"/>
        <v>42.75</v>
      </c>
      <c r="AT60" s="96">
        <f t="shared" si="78"/>
        <v>85.5</v>
      </c>
      <c r="AU60" s="96">
        <f t="shared" si="79"/>
        <v>95.25</v>
      </c>
      <c r="AV60" s="96">
        <f t="shared" si="80"/>
        <v>86.25</v>
      </c>
      <c r="AW60" s="96">
        <f t="shared" si="81"/>
        <v>70.5</v>
      </c>
      <c r="AX60" s="64">
        <f t="shared" si="12"/>
        <v>435.0</v>
      </c>
      <c r="AY60" s="64" t="e">
        <f t="shared" si="13"/>
        <v>#REF!</v>
      </c>
      <c r="AZ60" s="64" t="e">
        <f t="shared" si="82"/>
        <v>#REF!</v>
      </c>
      <c r="BB60" s="69" t="e">
        <f t="shared" si="51"/>
        <v>#REF!</v>
      </c>
      <c r="BC60" s="69"/>
      <c r="BE60" s="70"/>
      <c r="BF60" s="95" t="e">
        <f t="shared" si="15"/>
        <v>#REF!</v>
      </c>
      <c r="BG60" s="65">
        <f t="shared" si="16"/>
        <v>54.75</v>
      </c>
      <c r="BH60" s="65" t="e">
        <f t="shared" si="17"/>
        <v>#REF!</v>
      </c>
      <c r="BI60" s="65" t="e">
        <f t="shared" si="18"/>
        <v>#REF!</v>
      </c>
      <c r="BJ60" s="65">
        <f t="shared" si="19"/>
        <v>42.75</v>
      </c>
      <c r="BK60" s="65">
        <f t="shared" si="20"/>
      </c>
      <c r="BL60" s="65" t="e">
        <f t="shared" si="21"/>
        <v>#REF!</v>
      </c>
      <c r="BM60" s="65">
        <f t="shared" si="22"/>
        <v>85.5</v>
      </c>
      <c r="BN60" s="65"/>
      <c r="BO60" s="65" t="e">
        <f t="shared" si="23"/>
        <v>#REF!</v>
      </c>
      <c r="BP60" s="65">
        <f t="shared" si="24"/>
        <v>95.25</v>
      </c>
      <c r="BQ60" s="65"/>
      <c r="BR60" s="65" t="e">
        <f t="shared" si="25"/>
        <v>#REF!</v>
      </c>
      <c r="BS60" s="65">
        <f t="shared" si="26"/>
        <v>86.25</v>
      </c>
      <c r="BT60" s="65"/>
      <c r="BU60" s="65" t="e">
        <f t="shared" si="27"/>
        <v>#REF!</v>
      </c>
      <c r="BV60" s="65">
        <f t="shared" si="28"/>
        <v>70.5</v>
      </c>
      <c r="BW60" s="65"/>
      <c r="BX60" s="65" t="e">
        <f t="shared" si="29"/>
        <v>#REF!</v>
      </c>
    </row>
    <row r="61" ht="14.0">
      <c r="A61" s="93" t="s">
        <v>179</v>
      </c>
      <c r="B61" s="93" t="s">
        <v>278</v>
      </c>
      <c r="C61" s="93" t="s">
        <v>299</v>
      </c>
      <c r="D61" s="93" t="s">
        <v>300</v>
      </c>
      <c r="E61" s="93">
        <v>0.0</v>
      </c>
      <c r="F61" s="93">
        <v>0.0</v>
      </c>
      <c r="G61" s="93">
        <v>0.0</v>
      </c>
      <c r="H61" s="93">
        <v>0.0</v>
      </c>
      <c r="I61" s="93">
        <v>0.0</v>
      </c>
      <c r="J61" s="93">
        <v>0.0</v>
      </c>
      <c r="K61" s="93">
        <v>0.0</v>
      </c>
      <c r="L61" s="93">
        <v>0.0</v>
      </c>
      <c r="M61" s="93">
        <v>0.0</v>
      </c>
      <c r="N61" s="93">
        <v>0.0</v>
      </c>
      <c r="O61" s="93">
        <v>0.0</v>
      </c>
      <c r="P61" s="93">
        <v>0.0</v>
      </c>
      <c r="Q61" s="93">
        <v>0.0</v>
      </c>
      <c r="R61" s="93">
        <v>0.0</v>
      </c>
      <c r="S61" s="93">
        <v>0.0</v>
      </c>
      <c r="T61" s="93">
        <v>0.0</v>
      </c>
      <c r="U61" s="93">
        <v>0.0</v>
      </c>
      <c r="V61" s="93">
        <v>0.0</v>
      </c>
      <c r="W61" s="93">
        <v>0.0</v>
      </c>
      <c r="X61" s="93">
        <v>0.0</v>
      </c>
      <c r="Y61" s="93">
        <v>0.0</v>
      </c>
      <c r="Z61" s="93">
        <v>0.0</v>
      </c>
      <c r="AA61" s="93">
        <v>0.0</v>
      </c>
      <c r="AB61" s="93">
        <v>0.0</v>
      </c>
      <c r="AC61" s="93">
        <v>0.0</v>
      </c>
      <c r="AD61" s="93">
        <v>0.0</v>
      </c>
      <c r="AE61" s="93">
        <v>0.0</v>
      </c>
      <c r="AF61" s="93">
        <v>0.0</v>
      </c>
      <c r="AG61" s="93">
        <v>0.0</v>
      </c>
      <c r="AH61" s="93">
        <v>0.0</v>
      </c>
      <c r="AI61" s="93">
        <v>0.0</v>
      </c>
      <c r="AJ61" s="93">
        <v>0.0</v>
      </c>
      <c r="AK61" s="93">
        <v>94.0</v>
      </c>
      <c r="AL61" s="93">
        <v>64.0</v>
      </c>
      <c r="AM61" s="93">
        <v>38.0</v>
      </c>
      <c r="AN61" s="93">
        <v>36.0</v>
      </c>
      <c r="AO61" s="69">
        <f t="shared" si="3"/>
        <v>232.0</v>
      </c>
      <c r="AP61" s="69">
        <f t="shared" si="4"/>
        <v>232.0</v>
      </c>
      <c r="AQ61" s="69">
        <f t="shared" si="5"/>
        <v>255.2</v>
      </c>
      <c r="AR61" s="47">
        <f t="shared" si="76"/>
        <v>40.3238095238095</v>
      </c>
      <c r="AS61" s="47">
        <f t="shared" si="77"/>
        <v>31.4857142857142</v>
      </c>
      <c r="AT61" s="47">
        <f t="shared" si="78"/>
        <v>62.971428571429</v>
      </c>
      <c r="AU61" s="47">
        <f t="shared" si="79"/>
        <v>70.152380952381</v>
      </c>
      <c r="AV61" s="47">
        <f t="shared" si="80"/>
        <v>63.5238095238095</v>
      </c>
      <c r="AW61" s="47">
        <f t="shared" si="81"/>
        <v>51.9238095238095</v>
      </c>
      <c r="AX61" s="64">
        <f t="shared" si="12"/>
        <v>320.380952380952</v>
      </c>
      <c r="AY61" s="64" t="e">
        <f t="shared" si="13"/>
        <v>#REF!</v>
      </c>
      <c r="AZ61" s="64" t="e">
        <f t="shared" si="82"/>
        <v>#REF!</v>
      </c>
      <c r="BB61" s="69" t="e">
        <f t="shared" si="51"/>
        <v>#REF!</v>
      </c>
      <c r="BC61" s="69"/>
      <c r="BE61" s="70"/>
      <c r="BF61" s="95" t="e">
        <f t="shared" si="15"/>
        <v>#REF!</v>
      </c>
      <c r="BG61" s="65">
        <f t="shared" si="16"/>
        <v>40.3238095238095</v>
      </c>
      <c r="BH61" s="65" t="e">
        <f t="shared" si="17"/>
        <v>#REF!</v>
      </c>
      <c r="BI61" s="65" t="e">
        <f t="shared" si="18"/>
        <v>#REF!</v>
      </c>
      <c r="BJ61" s="65">
        <f t="shared" si="19"/>
        <v>31.4857142857142</v>
      </c>
      <c r="BK61" s="65">
        <f t="shared" si="20"/>
      </c>
      <c r="BL61" s="65" t="e">
        <f t="shared" si="21"/>
        <v>#REF!</v>
      </c>
      <c r="BM61" s="65">
        <f t="shared" si="22"/>
        <v>62.971428571429</v>
      </c>
      <c r="BN61" s="65"/>
      <c r="BO61" s="65" t="e">
        <f t="shared" si="23"/>
        <v>#REF!</v>
      </c>
      <c r="BP61" s="65">
        <f t="shared" si="24"/>
        <v>70.152380952381</v>
      </c>
      <c r="BQ61" s="65"/>
      <c r="BR61" s="65" t="e">
        <f t="shared" si="25"/>
        <v>#REF!</v>
      </c>
      <c r="BS61" s="65">
        <f t="shared" si="26"/>
        <v>63.5238095238095</v>
      </c>
      <c r="BT61" s="65"/>
      <c r="BU61" s="65" t="e">
        <f t="shared" si="27"/>
        <v>#REF!</v>
      </c>
      <c r="BV61" s="65">
        <f t="shared" si="28"/>
        <v>51.9238095238095</v>
      </c>
      <c r="BW61" s="65"/>
      <c r="BX61" s="65" t="e">
        <f t="shared" si="29"/>
        <v>#REF!</v>
      </c>
    </row>
    <row r="62" ht="14.0">
      <c r="A62" s="93" t="s">
        <v>179</v>
      </c>
      <c r="B62" s="93" t="s">
        <v>278</v>
      </c>
      <c r="C62" s="93" t="s">
        <v>301</v>
      </c>
      <c r="D62" s="93" t="s">
        <v>302</v>
      </c>
      <c r="E62" s="93">
        <v>0.0</v>
      </c>
      <c r="F62" s="93">
        <v>0.0</v>
      </c>
      <c r="G62" s="93">
        <v>0.0</v>
      </c>
      <c r="H62" s="93">
        <v>0.0</v>
      </c>
      <c r="I62" s="93">
        <v>0.0</v>
      </c>
      <c r="J62" s="93">
        <v>0.0</v>
      </c>
      <c r="K62" s="93">
        <v>0.0</v>
      </c>
      <c r="L62" s="93">
        <v>0.0</v>
      </c>
      <c r="M62" s="93">
        <v>0.0</v>
      </c>
      <c r="N62" s="93">
        <v>0.0</v>
      </c>
      <c r="O62" s="93">
        <v>0.0</v>
      </c>
      <c r="P62" s="93">
        <v>0.0</v>
      </c>
      <c r="Q62" s="93">
        <v>0.0</v>
      </c>
      <c r="R62" s="93">
        <v>0.0</v>
      </c>
      <c r="S62" s="93">
        <v>0.0</v>
      </c>
      <c r="T62" s="93">
        <v>0.0</v>
      </c>
      <c r="U62" s="93">
        <v>0.0</v>
      </c>
      <c r="V62" s="93">
        <v>0.0</v>
      </c>
      <c r="W62" s="93">
        <v>0.0</v>
      </c>
      <c r="X62" s="93">
        <v>0.0</v>
      </c>
      <c r="Y62" s="93">
        <v>0.0</v>
      </c>
      <c r="Z62" s="93">
        <v>0.0</v>
      </c>
      <c r="AA62" s="93">
        <v>0.0</v>
      </c>
      <c r="AB62" s="93">
        <v>0.0</v>
      </c>
      <c r="AC62" s="93">
        <v>0.0</v>
      </c>
      <c r="AD62" s="93">
        <v>0.0</v>
      </c>
      <c r="AE62" s="93">
        <v>0.0</v>
      </c>
      <c r="AF62" s="93">
        <v>0.0</v>
      </c>
      <c r="AG62" s="93">
        <v>0.0</v>
      </c>
      <c r="AH62" s="93">
        <v>0.0</v>
      </c>
      <c r="AI62" s="93">
        <v>0.0</v>
      </c>
      <c r="AJ62" s="93">
        <v>0.0</v>
      </c>
      <c r="AK62" s="93">
        <v>80.0</v>
      </c>
      <c r="AL62" s="93">
        <v>36.0</v>
      </c>
      <c r="AM62" s="93">
        <v>28.0</v>
      </c>
      <c r="AN62" s="93">
        <v>28.0</v>
      </c>
      <c r="AO62" s="69">
        <f t="shared" si="3"/>
        <v>172.0</v>
      </c>
      <c r="AP62" s="69">
        <f t="shared" si="4"/>
        <v>172.0</v>
      </c>
      <c r="AQ62" s="69">
        <f t="shared" si="5"/>
        <v>189.2</v>
      </c>
      <c r="AR62" s="47">
        <f t="shared" si="76"/>
        <v>29.895238095238</v>
      </c>
      <c r="AS62" s="47">
        <f t="shared" si="77"/>
        <v>23.3428571428571</v>
      </c>
      <c r="AT62" s="47">
        <f t="shared" si="78"/>
        <v>46.6857142857142</v>
      </c>
      <c r="AU62" s="47">
        <f t="shared" si="79"/>
        <v>52.0095238095238</v>
      </c>
      <c r="AV62" s="47">
        <f t="shared" si="80"/>
        <v>47.095238095238</v>
      </c>
      <c r="AW62" s="47">
        <f t="shared" si="81"/>
        <v>38.495238095238</v>
      </c>
      <c r="AX62" s="64">
        <f t="shared" si="12"/>
        <v>237.523809523809</v>
      </c>
      <c r="AY62" s="64" t="e">
        <f t="shared" si="13"/>
        <v>#REF!</v>
      </c>
      <c r="AZ62" s="64" t="e">
        <f t="shared" si="82"/>
        <v>#REF!</v>
      </c>
      <c r="BB62" s="69" t="e">
        <f t="shared" si="51"/>
        <v>#REF!</v>
      </c>
      <c r="BC62" s="69"/>
      <c r="BE62" s="70"/>
      <c r="BF62" s="95" t="e">
        <f t="shared" si="15"/>
        <v>#REF!</v>
      </c>
      <c r="BG62" s="65">
        <f t="shared" si="16"/>
        <v>29.895238095238</v>
      </c>
      <c r="BH62" s="65" t="e">
        <f t="shared" si="17"/>
        <v>#REF!</v>
      </c>
      <c r="BI62" s="65" t="e">
        <f t="shared" si="18"/>
        <v>#REF!</v>
      </c>
      <c r="BJ62" s="65">
        <f t="shared" si="19"/>
        <v>23.3428571428571</v>
      </c>
      <c r="BK62" s="65">
        <f t="shared" si="20"/>
      </c>
      <c r="BL62" s="65" t="e">
        <f t="shared" si="21"/>
        <v>#REF!</v>
      </c>
      <c r="BM62" s="65">
        <f t="shared" si="22"/>
        <v>46.6857142857142</v>
      </c>
      <c r="BN62" s="65"/>
      <c r="BO62" s="65" t="e">
        <f t="shared" si="23"/>
        <v>#REF!</v>
      </c>
      <c r="BP62" s="65">
        <f t="shared" si="24"/>
        <v>52.0095238095238</v>
      </c>
      <c r="BQ62" s="65"/>
      <c r="BR62" s="65" t="e">
        <f t="shared" si="25"/>
        <v>#REF!</v>
      </c>
      <c r="BS62" s="65">
        <f t="shared" si="26"/>
        <v>47.095238095238</v>
      </c>
      <c r="BT62" s="65"/>
      <c r="BU62" s="65" t="e">
        <f t="shared" si="27"/>
        <v>#REF!</v>
      </c>
      <c r="BV62" s="65">
        <f t="shared" si="28"/>
        <v>38.495238095238</v>
      </c>
      <c r="BW62" s="65"/>
      <c r="BX62" s="65" t="e">
        <f t="shared" si="29"/>
        <v>#REF!</v>
      </c>
    </row>
    <row r="63" ht="14.0">
      <c r="A63" s="93" t="s">
        <v>179</v>
      </c>
      <c r="B63" s="93" t="s">
        <v>278</v>
      </c>
      <c r="C63" s="93" t="s">
        <v>303</v>
      </c>
      <c r="D63" s="93" t="s">
        <v>304</v>
      </c>
      <c r="E63" s="93">
        <v>0.0</v>
      </c>
      <c r="F63" s="93">
        <v>0.0</v>
      </c>
      <c r="G63" s="93">
        <v>0.0</v>
      </c>
      <c r="H63" s="93">
        <v>0.0</v>
      </c>
      <c r="I63" s="93">
        <v>0.0</v>
      </c>
      <c r="J63" s="93">
        <v>0.0</v>
      </c>
      <c r="K63" s="93">
        <v>0.0</v>
      </c>
      <c r="L63" s="93">
        <v>0.0</v>
      </c>
      <c r="M63" s="93">
        <v>0.0</v>
      </c>
      <c r="N63" s="93">
        <v>0.0</v>
      </c>
      <c r="O63" s="93">
        <v>0.0</v>
      </c>
      <c r="P63" s="93">
        <v>0.0</v>
      </c>
      <c r="Q63" s="93">
        <v>0.0</v>
      </c>
      <c r="R63" s="93">
        <v>0.0</v>
      </c>
      <c r="S63" s="93">
        <v>0.0</v>
      </c>
      <c r="T63" s="93">
        <v>0.0</v>
      </c>
      <c r="U63" s="93">
        <v>0.0</v>
      </c>
      <c r="V63" s="93">
        <v>0.0</v>
      </c>
      <c r="W63" s="93">
        <v>0.0</v>
      </c>
      <c r="X63" s="93">
        <v>0.0</v>
      </c>
      <c r="Y63" s="93">
        <v>0.0</v>
      </c>
      <c r="Z63" s="93">
        <v>0.0</v>
      </c>
      <c r="AA63" s="93">
        <v>0.0</v>
      </c>
      <c r="AB63" s="93">
        <v>0.0</v>
      </c>
      <c r="AC63" s="93">
        <v>0.0</v>
      </c>
      <c r="AD63" s="93">
        <v>0.0</v>
      </c>
      <c r="AE63" s="93">
        <v>0.0</v>
      </c>
      <c r="AF63" s="93">
        <v>0.0</v>
      </c>
      <c r="AG63" s="93">
        <v>0.0</v>
      </c>
      <c r="AH63" s="93">
        <v>0.0</v>
      </c>
      <c r="AI63" s="93">
        <v>0.0</v>
      </c>
      <c r="AJ63" s="93">
        <v>0.0</v>
      </c>
      <c r="AK63" s="93">
        <v>76.0</v>
      </c>
      <c r="AL63" s="93">
        <v>44.0</v>
      </c>
      <c r="AM63" s="93">
        <v>32.0</v>
      </c>
      <c r="AN63" s="93">
        <v>44.0</v>
      </c>
      <c r="AO63" s="69">
        <f t="shared" si="3"/>
        <v>196.0</v>
      </c>
      <c r="AP63" s="69">
        <f t="shared" si="4"/>
        <v>196.0</v>
      </c>
      <c r="AQ63" s="69">
        <f t="shared" si="5"/>
        <v>215.6</v>
      </c>
      <c r="AR63" s="47">
        <f t="shared" si="76"/>
        <v>34.0666666666667</v>
      </c>
      <c r="AS63" s="47">
        <f t="shared" si="77"/>
        <v>26.6</v>
      </c>
      <c r="AT63" s="47">
        <f t="shared" si="78"/>
        <v>53.2</v>
      </c>
      <c r="AU63" s="47">
        <f t="shared" si="79"/>
        <v>59.2666666666667</v>
      </c>
      <c r="AV63" s="47">
        <f t="shared" si="80"/>
        <v>53.6666666666667</v>
      </c>
      <c r="AW63" s="47">
        <f t="shared" si="81"/>
        <v>43.8666666666667</v>
      </c>
      <c r="AX63" s="64">
        <f t="shared" si="12"/>
        <v>270.666666666667</v>
      </c>
      <c r="AY63" s="64" t="e">
        <f t="shared" si="13"/>
        <v>#REF!</v>
      </c>
      <c r="AZ63" s="64" t="e">
        <f t="shared" si="82"/>
        <v>#REF!</v>
      </c>
      <c r="BB63" s="69" t="e">
        <f t="shared" si="51"/>
        <v>#REF!</v>
      </c>
      <c r="BC63" s="69"/>
      <c r="BE63" s="70"/>
      <c r="BF63" s="95" t="e">
        <f t="shared" si="15"/>
        <v>#REF!</v>
      </c>
      <c r="BG63" s="65">
        <f t="shared" si="16"/>
        <v>34.0666666666667</v>
      </c>
      <c r="BH63" s="65" t="e">
        <f t="shared" si="17"/>
        <v>#REF!</v>
      </c>
      <c r="BI63" s="65" t="e">
        <f t="shared" si="18"/>
        <v>#REF!</v>
      </c>
      <c r="BJ63" s="65">
        <f t="shared" si="19"/>
        <v>26.6</v>
      </c>
      <c r="BK63" s="65">
        <f t="shared" si="20"/>
      </c>
      <c r="BL63" s="65" t="e">
        <f t="shared" si="21"/>
        <v>#REF!</v>
      </c>
      <c r="BM63" s="65">
        <f t="shared" si="22"/>
        <v>53.2</v>
      </c>
      <c r="BN63" s="65"/>
      <c r="BO63" s="65" t="e">
        <f t="shared" si="23"/>
        <v>#REF!</v>
      </c>
      <c r="BP63" s="65">
        <f t="shared" si="24"/>
        <v>59.2666666666667</v>
      </c>
      <c r="BQ63" s="65"/>
      <c r="BR63" s="65" t="e">
        <f t="shared" si="25"/>
        <v>#REF!</v>
      </c>
      <c r="BS63" s="65">
        <f t="shared" si="26"/>
        <v>53.6666666666667</v>
      </c>
      <c r="BT63" s="65"/>
      <c r="BU63" s="65" t="e">
        <f t="shared" si="27"/>
        <v>#REF!</v>
      </c>
      <c r="BV63" s="65">
        <f t="shared" si="28"/>
        <v>43.8666666666667</v>
      </c>
      <c r="BW63" s="65"/>
      <c r="BX63" s="65" t="e">
        <f t="shared" si="29"/>
        <v>#REF!</v>
      </c>
    </row>
    <row r="64" ht="14.0">
      <c r="A64" s="93" t="s">
        <v>179</v>
      </c>
      <c r="B64" s="93" t="s">
        <v>278</v>
      </c>
      <c r="C64" s="93" t="s">
        <v>305</v>
      </c>
      <c r="D64" s="93" t="s">
        <v>306</v>
      </c>
      <c r="E64" s="93">
        <v>0.0</v>
      </c>
      <c r="F64" s="93">
        <v>0.0</v>
      </c>
      <c r="G64" s="93">
        <v>0.0</v>
      </c>
      <c r="H64" s="93">
        <v>0.0</v>
      </c>
      <c r="I64" s="93">
        <v>0.0</v>
      </c>
      <c r="J64" s="93">
        <v>0.0</v>
      </c>
      <c r="K64" s="93">
        <v>0.0</v>
      </c>
      <c r="L64" s="93">
        <v>0.0</v>
      </c>
      <c r="M64" s="93">
        <v>0.0</v>
      </c>
      <c r="N64" s="93">
        <v>0.0</v>
      </c>
      <c r="O64" s="93">
        <v>0.0</v>
      </c>
      <c r="P64" s="93">
        <v>0.0</v>
      </c>
      <c r="Q64" s="93">
        <v>0.0</v>
      </c>
      <c r="R64" s="93">
        <v>0.0</v>
      </c>
      <c r="S64" s="93">
        <v>0.0</v>
      </c>
      <c r="T64" s="93">
        <v>0.0</v>
      </c>
      <c r="U64" s="93">
        <v>0.0</v>
      </c>
      <c r="V64" s="93">
        <v>0.0</v>
      </c>
      <c r="W64" s="93">
        <v>0.0</v>
      </c>
      <c r="X64" s="93">
        <v>0.0</v>
      </c>
      <c r="Y64" s="93">
        <v>0.0</v>
      </c>
      <c r="Z64" s="93">
        <v>0.0</v>
      </c>
      <c r="AA64" s="93">
        <v>0.0</v>
      </c>
      <c r="AB64" s="93">
        <v>0.0</v>
      </c>
      <c r="AC64" s="93">
        <v>0.0</v>
      </c>
      <c r="AD64" s="93">
        <v>0.0</v>
      </c>
      <c r="AE64" s="93">
        <v>21.0</v>
      </c>
      <c r="AF64" s="93">
        <v>156.0</v>
      </c>
      <c r="AG64" s="93">
        <v>60.0</v>
      </c>
      <c r="AH64" s="93">
        <v>27.0</v>
      </c>
      <c r="AI64" s="93">
        <v>29.0</v>
      </c>
      <c r="AJ64" s="93">
        <v>27.0</v>
      </c>
      <c r="AK64" s="93">
        <v>24.0</v>
      </c>
      <c r="AL64" s="93">
        <v>12.0</v>
      </c>
      <c r="AM64" s="93">
        <v>10.0</v>
      </c>
      <c r="AN64" s="93">
        <v>9.0</v>
      </c>
      <c r="AO64" s="69">
        <f t="shared" si="3"/>
        <v>375.0</v>
      </c>
      <c r="AP64" s="69">
        <f t="shared" si="4"/>
        <v>111.0</v>
      </c>
      <c r="AQ64" s="69">
        <f t="shared" si="5"/>
        <v>122.1</v>
      </c>
      <c r="AR64" s="47">
        <f t="shared" si="76"/>
        <v>19.2928571428571</v>
      </c>
      <c r="AS64" s="47">
        <f t="shared" si="77"/>
        <v>15.0642857142857</v>
      </c>
      <c r="AT64" s="47">
        <f t="shared" si="78"/>
        <v>30.1285714285714</v>
      </c>
      <c r="AU64" s="47">
        <f t="shared" si="79"/>
        <v>33.5642857142857</v>
      </c>
      <c r="AV64" s="47">
        <f t="shared" si="80"/>
        <v>30.3928571428571</v>
      </c>
      <c r="AW64" s="47">
        <f t="shared" si="81"/>
        <v>24.8428571428571</v>
      </c>
      <c r="AX64" s="64">
        <f t="shared" si="12"/>
        <v>153.285714285714</v>
      </c>
      <c r="AY64" s="64" t="e">
        <f t="shared" si="13"/>
        <v>#REF!</v>
      </c>
      <c r="AZ64" s="64" t="e">
        <f t="shared" si="82"/>
        <v>#REF!</v>
      </c>
      <c r="BB64" s="69" t="e">
        <f t="shared" si="51"/>
        <v>#REF!</v>
      </c>
      <c r="BC64" s="69"/>
      <c r="BE64" s="70"/>
      <c r="BF64" s="95" t="e">
        <f t="shared" si="15"/>
        <v>#REF!</v>
      </c>
      <c r="BG64" s="65">
        <f t="shared" si="16"/>
        <v>19.2928571428571</v>
      </c>
      <c r="BH64" s="65" t="e">
        <f t="shared" si="17"/>
        <v>#REF!</v>
      </c>
      <c r="BI64" s="65" t="e">
        <f t="shared" si="18"/>
        <v>#REF!</v>
      </c>
      <c r="BJ64" s="65">
        <f t="shared" si="19"/>
        <v>15.0642857142857</v>
      </c>
      <c r="BK64" s="65">
        <f t="shared" si="20"/>
      </c>
      <c r="BL64" s="65" t="e">
        <f t="shared" si="21"/>
        <v>#REF!</v>
      </c>
      <c r="BM64" s="65">
        <f t="shared" si="22"/>
        <v>30.1285714285714</v>
      </c>
      <c r="BN64" s="65"/>
      <c r="BO64" s="65" t="e">
        <f t="shared" si="23"/>
        <v>#REF!</v>
      </c>
      <c r="BP64" s="65">
        <f t="shared" si="24"/>
        <v>33.5642857142857</v>
      </c>
      <c r="BQ64" s="65"/>
      <c r="BR64" s="65" t="e">
        <f t="shared" si="25"/>
        <v>#REF!</v>
      </c>
      <c r="BS64" s="65">
        <f t="shared" si="26"/>
        <v>30.3928571428571</v>
      </c>
      <c r="BT64" s="65"/>
      <c r="BU64" s="65" t="e">
        <f t="shared" si="27"/>
        <v>#REF!</v>
      </c>
      <c r="BV64" s="65">
        <f t="shared" si="28"/>
        <v>24.8428571428571</v>
      </c>
      <c r="BW64" s="65"/>
      <c r="BX64" s="65" t="e">
        <f t="shared" si="29"/>
        <v>#REF!</v>
      </c>
    </row>
    <row r="65" ht="14.0">
      <c r="A65" s="93" t="s">
        <v>179</v>
      </c>
      <c r="B65" s="93" t="s">
        <v>278</v>
      </c>
      <c r="C65" s="93" t="s">
        <v>307</v>
      </c>
      <c r="D65" s="93" t="s">
        <v>308</v>
      </c>
      <c r="E65" s="93">
        <v>0.0</v>
      </c>
      <c r="F65" s="93">
        <v>0.0</v>
      </c>
      <c r="G65" s="93">
        <v>0.0</v>
      </c>
      <c r="H65" s="93">
        <v>0.0</v>
      </c>
      <c r="I65" s="93">
        <v>0.0</v>
      </c>
      <c r="J65" s="93">
        <v>0.0</v>
      </c>
      <c r="K65" s="93">
        <v>0.0</v>
      </c>
      <c r="L65" s="93">
        <v>0.0</v>
      </c>
      <c r="M65" s="93">
        <v>0.0</v>
      </c>
      <c r="N65" s="93">
        <v>0.0</v>
      </c>
      <c r="O65" s="93">
        <v>0.0</v>
      </c>
      <c r="P65" s="93">
        <v>0.0</v>
      </c>
      <c r="Q65" s="93">
        <v>0.0</v>
      </c>
      <c r="R65" s="93">
        <v>0.0</v>
      </c>
      <c r="S65" s="93">
        <v>0.0</v>
      </c>
      <c r="T65" s="93">
        <v>0.0</v>
      </c>
      <c r="U65" s="93">
        <v>0.0</v>
      </c>
      <c r="V65" s="93">
        <v>0.0</v>
      </c>
      <c r="W65" s="93">
        <v>0.0</v>
      </c>
      <c r="X65" s="93">
        <v>0.0</v>
      </c>
      <c r="Y65" s="93">
        <v>0.0</v>
      </c>
      <c r="Z65" s="93">
        <v>0.0</v>
      </c>
      <c r="AA65" s="93">
        <v>0.0</v>
      </c>
      <c r="AB65" s="93">
        <v>0.0</v>
      </c>
      <c r="AC65" s="93">
        <v>0.0</v>
      </c>
      <c r="AD65" s="93">
        <v>0.0</v>
      </c>
      <c r="AE65" s="93">
        <v>15.0</v>
      </c>
      <c r="AF65" s="93">
        <v>51.0</v>
      </c>
      <c r="AG65" s="93">
        <v>21.0</v>
      </c>
      <c r="AH65" s="93">
        <v>9.0</v>
      </c>
      <c r="AI65" s="93">
        <v>9.0</v>
      </c>
      <c r="AJ65" s="93">
        <v>15.0</v>
      </c>
      <c r="AK65" s="93">
        <v>15.0</v>
      </c>
      <c r="AL65" s="93">
        <v>0.0</v>
      </c>
      <c r="AM65" s="93">
        <v>3.0</v>
      </c>
      <c r="AN65" s="93">
        <v>9.0</v>
      </c>
      <c r="AO65" s="69">
        <f t="shared" si="3"/>
        <v>147.0</v>
      </c>
      <c r="AP65" s="69">
        <f t="shared" si="4"/>
        <v>51.0</v>
      </c>
      <c r="AQ65" s="69">
        <f t="shared" si="5"/>
        <v>56.1</v>
      </c>
      <c r="AR65" s="47">
        <f t="shared" si="76"/>
        <v>8.86428571428571</v>
      </c>
      <c r="AS65" s="47">
        <f t="shared" si="77"/>
        <v>6.92142857142857</v>
      </c>
      <c r="AT65" s="47">
        <f t="shared" si="78"/>
        <v>13.8428571428571</v>
      </c>
      <c r="AU65" s="47">
        <f t="shared" si="79"/>
        <v>15.4214285714286</v>
      </c>
      <c r="AV65" s="47">
        <f t="shared" si="80"/>
        <v>13.9642857142857</v>
      </c>
      <c r="AW65" s="47">
        <f t="shared" si="81"/>
        <v>11.4142857142857</v>
      </c>
      <c r="AX65" s="64">
        <f t="shared" si="12"/>
        <v>70.4285714285713</v>
      </c>
      <c r="AY65" s="64" t="e">
        <f t="shared" si="13"/>
        <v>#REF!</v>
      </c>
      <c r="BB65" s="69" t="e">
        <f t="shared" si="51"/>
        <v>#REF!</v>
      </c>
      <c r="BC65" s="69"/>
      <c r="BE65" s="70"/>
      <c r="BF65" s="95" t="e">
        <f t="shared" si="15"/>
        <v>#REF!</v>
      </c>
      <c r="BG65" s="65">
        <f t="shared" si="16"/>
        <v>8.86428571428571</v>
      </c>
      <c r="BH65" s="65">
        <f t="shared" si="17"/>
      </c>
      <c r="BI65" s="65" t="e">
        <f t="shared" si="18"/>
        <v>#REF!</v>
      </c>
      <c r="BJ65" s="65">
        <f t="shared" si="19"/>
        <v>6.92142857142857</v>
      </c>
      <c r="BK65" s="65">
        <f t="shared" si="20"/>
      </c>
      <c r="BL65" s="65" t="e">
        <f t="shared" si="21"/>
        <v>#REF!</v>
      </c>
      <c r="BM65" s="65">
        <f t="shared" si="22"/>
        <v>13.8428571428571</v>
      </c>
      <c r="BN65" s="65"/>
      <c r="BO65" s="65" t="e">
        <f t="shared" si="23"/>
        <v>#REF!</v>
      </c>
      <c r="BP65" s="65">
        <f t="shared" si="24"/>
        <v>15.4214285714286</v>
      </c>
      <c r="BQ65" s="65"/>
      <c r="BR65" s="65" t="e">
        <f t="shared" si="25"/>
        <v>#REF!</v>
      </c>
      <c r="BS65" s="65">
        <f t="shared" si="26"/>
        <v>13.9642857142857</v>
      </c>
      <c r="BT65" s="65"/>
      <c r="BU65" s="65" t="e">
        <f t="shared" si="27"/>
        <v>#REF!</v>
      </c>
      <c r="BV65" s="65">
        <f t="shared" si="28"/>
        <v>11.4142857142857</v>
      </c>
      <c r="BW65" s="65"/>
      <c r="BX65" s="65" t="e">
        <f t="shared" si="29"/>
        <v>#REF!</v>
      </c>
    </row>
    <row r="66" ht="14.0">
      <c r="A66" s="93" t="s">
        <v>179</v>
      </c>
      <c r="B66" s="93" t="s">
        <v>278</v>
      </c>
      <c r="C66" s="93" t="s">
        <v>309</v>
      </c>
      <c r="D66" s="93" t="s">
        <v>310</v>
      </c>
      <c r="E66" s="93">
        <v>0.0</v>
      </c>
      <c r="F66" s="93">
        <v>0.0</v>
      </c>
      <c r="G66" s="93">
        <v>0.0</v>
      </c>
      <c r="H66" s="93">
        <v>0.0</v>
      </c>
      <c r="I66" s="93">
        <v>0.0</v>
      </c>
      <c r="J66" s="93">
        <v>0.0</v>
      </c>
      <c r="K66" s="93">
        <v>0.0</v>
      </c>
      <c r="L66" s="93">
        <v>0.0</v>
      </c>
      <c r="M66" s="93">
        <v>0.0</v>
      </c>
      <c r="N66" s="93">
        <v>0.0</v>
      </c>
      <c r="O66" s="93">
        <v>0.0</v>
      </c>
      <c r="P66" s="93">
        <v>0.0</v>
      </c>
      <c r="Q66" s="93">
        <v>0.0</v>
      </c>
      <c r="R66" s="93">
        <v>0.0</v>
      </c>
      <c r="S66" s="93">
        <v>0.0</v>
      </c>
      <c r="T66" s="93">
        <v>0.0</v>
      </c>
      <c r="U66" s="93">
        <v>0.0</v>
      </c>
      <c r="V66" s="93">
        <v>0.0</v>
      </c>
      <c r="W66" s="93">
        <v>0.0</v>
      </c>
      <c r="X66" s="93">
        <v>0.0</v>
      </c>
      <c r="Y66" s="93">
        <v>0.0</v>
      </c>
      <c r="Z66" s="93">
        <v>0.0</v>
      </c>
      <c r="AA66" s="93">
        <v>0.0</v>
      </c>
      <c r="AB66" s="93">
        <v>0.0</v>
      </c>
      <c r="AC66" s="93">
        <v>0.0</v>
      </c>
      <c r="AD66" s="93">
        <v>0.0</v>
      </c>
      <c r="AE66" s="93">
        <v>15.0</v>
      </c>
      <c r="AF66" s="93">
        <v>54.0</v>
      </c>
      <c r="AG66" s="93">
        <v>28.0</v>
      </c>
      <c r="AH66" s="93">
        <v>12.0</v>
      </c>
      <c r="AI66" s="93">
        <v>3.0</v>
      </c>
      <c r="AJ66" s="93">
        <v>6.0</v>
      </c>
      <c r="AK66" s="93">
        <v>9.0</v>
      </c>
      <c r="AL66" s="93">
        <v>3.0</v>
      </c>
      <c r="AM66" s="93">
        <v>3.0</v>
      </c>
      <c r="AN66" s="93">
        <v>3.0</v>
      </c>
      <c r="AO66" s="69">
        <f t="shared" si="3"/>
        <v>136.0</v>
      </c>
      <c r="AP66" s="69">
        <f t="shared" si="4"/>
        <v>27.0</v>
      </c>
      <c r="AQ66" s="69">
        <f t="shared" si="5"/>
        <v>29.7</v>
      </c>
      <c r="AR66" s="47">
        <f t="shared" si="76"/>
        <v>4.69285714285714</v>
      </c>
      <c r="AS66" s="47">
        <f t="shared" si="77"/>
        <v>3.66428571428571</v>
      </c>
      <c r="AT66" s="47">
        <f t="shared" si="78"/>
        <v>7.32857142857142</v>
      </c>
      <c r="AU66" s="47">
        <f t="shared" si="79"/>
        <v>8.16428571428571</v>
      </c>
      <c r="AV66" s="47">
        <f t="shared" si="80"/>
        <v>7.39285714285714</v>
      </c>
      <c r="AW66" s="47">
        <f t="shared" si="81"/>
        <v>6.04285714285714</v>
      </c>
      <c r="AX66" s="64">
        <f t="shared" si="12"/>
        <v>37.2857142857142</v>
      </c>
      <c r="AY66" s="64" t="e">
        <f t="shared" si="13"/>
        <v>#REF!</v>
      </c>
      <c r="BB66" s="69" t="e">
        <f t="shared" si="51"/>
        <v>#REF!</v>
      </c>
      <c r="BC66" s="69"/>
      <c r="BE66" s="70"/>
      <c r="BF66" s="95" t="e">
        <f t="shared" si="15"/>
        <v>#REF!</v>
      </c>
      <c r="BG66" s="65">
        <f t="shared" si="16"/>
        <v>4.69285714285714</v>
      </c>
      <c r="BH66" s="65">
        <f t="shared" si="17"/>
      </c>
      <c r="BI66" s="65" t="e">
        <f t="shared" si="18"/>
        <v>#REF!</v>
      </c>
      <c r="BJ66" s="65">
        <f t="shared" si="19"/>
        <v>3.66428571428571</v>
      </c>
      <c r="BK66" s="65">
        <f t="shared" si="20"/>
      </c>
      <c r="BL66" s="65" t="e">
        <f t="shared" si="21"/>
        <v>#REF!</v>
      </c>
      <c r="BM66" s="65">
        <f t="shared" si="22"/>
        <v>7.32857142857142</v>
      </c>
      <c r="BN66" s="65"/>
      <c r="BO66" s="65" t="e">
        <f t="shared" si="23"/>
        <v>#REF!</v>
      </c>
      <c r="BP66" s="65">
        <f t="shared" si="24"/>
        <v>8.16428571428571</v>
      </c>
      <c r="BQ66" s="65"/>
      <c r="BR66" s="65" t="e">
        <f t="shared" si="25"/>
        <v>#REF!</v>
      </c>
      <c r="BS66" s="65">
        <f t="shared" si="26"/>
        <v>7.39285714285714</v>
      </c>
      <c r="BT66" s="65"/>
      <c r="BU66" s="65" t="e">
        <f t="shared" si="27"/>
        <v>#REF!</v>
      </c>
      <c r="BV66" s="65">
        <f t="shared" si="28"/>
        <v>6.04285714285714</v>
      </c>
      <c r="BW66" s="65"/>
      <c r="BX66" s="65" t="e">
        <f t="shared" si="29"/>
        <v>#REF!</v>
      </c>
    </row>
    <row r="67" ht="14.0">
      <c r="A67" s="93" t="s">
        <v>179</v>
      </c>
      <c r="B67" s="93" t="s">
        <v>278</v>
      </c>
      <c r="C67" s="93" t="s">
        <v>311</v>
      </c>
      <c r="D67" s="93" t="s">
        <v>312</v>
      </c>
      <c r="E67" s="93">
        <v>0.0</v>
      </c>
      <c r="F67" s="93">
        <v>0.0</v>
      </c>
      <c r="G67" s="93">
        <v>0.0</v>
      </c>
      <c r="H67" s="93">
        <v>0.0</v>
      </c>
      <c r="I67" s="93">
        <v>0.0</v>
      </c>
      <c r="J67" s="93">
        <v>0.0</v>
      </c>
      <c r="K67" s="93">
        <v>0.0</v>
      </c>
      <c r="L67" s="93">
        <v>0.0</v>
      </c>
      <c r="M67" s="93">
        <v>0.0</v>
      </c>
      <c r="N67" s="93">
        <v>0.0</v>
      </c>
      <c r="O67" s="93">
        <v>0.0</v>
      </c>
      <c r="P67" s="93">
        <v>0.0</v>
      </c>
      <c r="Q67" s="93">
        <v>0.0</v>
      </c>
      <c r="R67" s="93">
        <v>0.0</v>
      </c>
      <c r="S67" s="93">
        <v>0.0</v>
      </c>
      <c r="T67" s="93">
        <v>0.0</v>
      </c>
      <c r="U67" s="93">
        <v>0.0</v>
      </c>
      <c r="V67" s="93">
        <v>0.0</v>
      </c>
      <c r="W67" s="93">
        <v>0.0</v>
      </c>
      <c r="X67" s="93">
        <v>0.0</v>
      </c>
      <c r="Y67" s="93">
        <v>0.0</v>
      </c>
      <c r="Z67" s="93">
        <v>0.0</v>
      </c>
      <c r="AA67" s="93">
        <v>0.0</v>
      </c>
      <c r="AB67" s="93">
        <v>0.0</v>
      </c>
      <c r="AC67" s="93">
        <v>0.0</v>
      </c>
      <c r="AD67" s="93">
        <v>0.0</v>
      </c>
      <c r="AE67" s="93">
        <v>12.0</v>
      </c>
      <c r="AF67" s="93">
        <v>57.0</v>
      </c>
      <c r="AG67" s="93">
        <v>27.0</v>
      </c>
      <c r="AH67" s="93">
        <v>9.0</v>
      </c>
      <c r="AI67" s="93">
        <v>12.0</v>
      </c>
      <c r="AJ67" s="93">
        <v>6.0</v>
      </c>
      <c r="AK67" s="93">
        <v>9.0</v>
      </c>
      <c r="AL67" s="93">
        <v>0.0</v>
      </c>
      <c r="AM67" s="93">
        <v>0.0</v>
      </c>
      <c r="AN67" s="93">
        <v>0.0</v>
      </c>
      <c r="AO67" s="69">
        <f t="shared" si="3"/>
        <v>132.0</v>
      </c>
      <c r="AP67" s="69">
        <f t="shared" si="4"/>
        <v>27.0</v>
      </c>
      <c r="AQ67" s="69">
        <f t="shared" si="5"/>
        <v>29.7</v>
      </c>
      <c r="AR67" s="47">
        <f t="shared" si="76"/>
        <v>4.69285714285714</v>
      </c>
      <c r="AS67" s="47">
        <f t="shared" si="77"/>
        <v>3.66428571428571</v>
      </c>
      <c r="AT67" s="47">
        <f t="shared" si="78"/>
        <v>7.32857142857142</v>
      </c>
      <c r="AU67" s="47">
        <f t="shared" si="79"/>
        <v>8.16428571428571</v>
      </c>
      <c r="AV67" s="47">
        <f t="shared" si="80"/>
        <v>7.39285714285714</v>
      </c>
      <c r="AW67" s="47">
        <f t="shared" si="81"/>
        <v>6.04285714285714</v>
      </c>
      <c r="AX67" s="64">
        <f t="shared" si="12"/>
        <v>37.2857142857142</v>
      </c>
      <c r="AY67" s="64" t="e">
        <f t="shared" si="13"/>
        <v>#REF!</v>
      </c>
      <c r="BB67" s="69" t="e">
        <f t="shared" si="51"/>
        <v>#REF!</v>
      </c>
      <c r="BC67" s="69"/>
      <c r="BE67" s="70"/>
      <c r="BF67" s="95" t="e">
        <f t="shared" si="15"/>
        <v>#REF!</v>
      </c>
      <c r="BG67" s="65">
        <f t="shared" si="16"/>
        <v>4.69285714285714</v>
      </c>
      <c r="BH67" s="65">
        <f t="shared" si="17"/>
      </c>
      <c r="BI67" s="65" t="e">
        <f t="shared" si="18"/>
        <v>#REF!</v>
      </c>
      <c r="BJ67" s="65">
        <f t="shared" si="19"/>
        <v>3.66428571428571</v>
      </c>
      <c r="BK67" s="65">
        <f t="shared" si="20"/>
      </c>
      <c r="BL67" s="65" t="e">
        <f t="shared" si="21"/>
        <v>#REF!</v>
      </c>
      <c r="BM67" s="65">
        <f t="shared" si="22"/>
        <v>7.32857142857142</v>
      </c>
      <c r="BN67" s="65"/>
      <c r="BO67" s="65" t="e">
        <f t="shared" si="23"/>
        <v>#REF!</v>
      </c>
      <c r="BP67" s="65">
        <f t="shared" si="24"/>
        <v>8.16428571428571</v>
      </c>
      <c r="BQ67" s="65"/>
      <c r="BR67" s="65" t="e">
        <f t="shared" si="25"/>
        <v>#REF!</v>
      </c>
      <c r="BS67" s="65">
        <f t="shared" si="26"/>
        <v>7.39285714285714</v>
      </c>
      <c r="BT67" s="65"/>
      <c r="BU67" s="65" t="e">
        <f t="shared" si="27"/>
        <v>#REF!</v>
      </c>
      <c r="BV67" s="65">
        <f t="shared" si="28"/>
        <v>6.04285714285714</v>
      </c>
      <c r="BW67" s="65"/>
      <c r="BX67" s="65" t="e">
        <f t="shared" si="29"/>
        <v>#REF!</v>
      </c>
    </row>
    <row r="68" ht="14.0">
      <c r="A68" s="93" t="s">
        <v>179</v>
      </c>
      <c r="B68" s="93" t="s">
        <v>81</v>
      </c>
      <c r="C68" s="93" t="s">
        <v>313</v>
      </c>
      <c r="D68" s="93" t="s">
        <v>314</v>
      </c>
      <c r="E68" s="93">
        <v>0.0</v>
      </c>
      <c r="F68" s="93">
        <v>0.0</v>
      </c>
      <c r="G68" s="93">
        <v>0.0</v>
      </c>
      <c r="H68" s="93">
        <v>0.0</v>
      </c>
      <c r="I68" s="93">
        <v>0.0</v>
      </c>
      <c r="J68" s="93">
        <v>0.0</v>
      </c>
      <c r="K68" s="93">
        <v>0.0</v>
      </c>
      <c r="L68" s="93">
        <v>0.0</v>
      </c>
      <c r="M68" s="93">
        <v>0.0</v>
      </c>
      <c r="N68" s="93">
        <v>0.0</v>
      </c>
      <c r="O68" s="93">
        <v>0.0</v>
      </c>
      <c r="P68" s="93">
        <v>0.0</v>
      </c>
      <c r="Q68" s="93">
        <v>0.0</v>
      </c>
      <c r="R68" s="93">
        <v>0.0</v>
      </c>
      <c r="S68" s="93">
        <v>0.0</v>
      </c>
      <c r="T68" s="93">
        <v>0.0</v>
      </c>
      <c r="U68" s="93">
        <v>0.0</v>
      </c>
      <c r="V68" s="93">
        <v>0.0</v>
      </c>
      <c r="W68" s="93">
        <v>0.0</v>
      </c>
      <c r="X68" s="93">
        <v>0.0</v>
      </c>
      <c r="Y68" s="93">
        <v>0.0</v>
      </c>
      <c r="Z68" s="93">
        <v>0.0</v>
      </c>
      <c r="AA68" s="93">
        <v>0.0</v>
      </c>
      <c r="AB68" s="93">
        <v>0.0</v>
      </c>
      <c r="AC68" s="93">
        <v>0.0</v>
      </c>
      <c r="AD68" s="93">
        <v>0.0</v>
      </c>
      <c r="AE68" s="93">
        <v>0.0</v>
      </c>
      <c r="AF68" s="93">
        <v>0.0</v>
      </c>
      <c r="AG68" s="93">
        <v>0.0</v>
      </c>
      <c r="AH68" s="93">
        <v>0.0</v>
      </c>
      <c r="AI68" s="93">
        <v>0.0</v>
      </c>
      <c r="AJ68" s="93">
        <v>18.0</v>
      </c>
      <c r="AK68" s="93">
        <v>122.0</v>
      </c>
      <c r="AL68" s="93">
        <v>147.0</v>
      </c>
      <c r="AM68" s="93">
        <v>67.0</v>
      </c>
      <c r="AN68" s="93">
        <v>39.0</v>
      </c>
      <c r="AO68" s="69">
        <f t="shared" si="3"/>
        <v>393.0</v>
      </c>
      <c r="AP68" s="69">
        <f t="shared" si="4"/>
        <v>393.0</v>
      </c>
      <c r="AQ68" s="69">
        <f t="shared" si="5"/>
        <v>432.3</v>
      </c>
      <c r="AR68" s="101">
        <f t="shared" ref="AR68:AR71" si="83">AVERAGE(AK68:AN68)</f>
        <v>93.75</v>
      </c>
      <c r="AS68" s="101">
        <f t="shared" ref="AS68:AS71" si="84">AR68*1.1</f>
        <v>103.125</v>
      </c>
      <c r="AT68" s="101">
        <f t="shared" ref="AT68:AT71" si="85">AS68*1.1</f>
        <v>113.4375</v>
      </c>
      <c r="AU68" s="101">
        <f t="shared" ref="AU68:AU71" si="86">AT68*1.1</f>
        <v>124.78125</v>
      </c>
      <c r="AV68" s="101">
        <f t="shared" ref="AV68:AV71" si="87">AU68*1.1</f>
        <v>137.259375</v>
      </c>
      <c r="AW68" s="101">
        <f t="shared" ref="AW68:AW71" si="88">AV68*1.1</f>
        <v>150.9853125</v>
      </c>
      <c r="AX68" s="69">
        <f t="shared" si="12"/>
        <v>723.3384375</v>
      </c>
      <c r="AY68" s="64" t="e">
        <f t="shared" si="13"/>
        <v>#REF!</v>
      </c>
      <c r="AZ68" s="64" t="e">
        <f t="shared" ref="AZ68:AZ71" si="89">VLOOKUP(C68,CHINAAUGUST,3,false)</f>
        <v>#REF!</v>
      </c>
      <c r="BB68" s="69" t="e">
        <f t="shared" si="51"/>
        <v>#REF!</v>
      </c>
      <c r="BC68" s="69">
        <v>501.0</v>
      </c>
      <c r="BD68" s="47">
        <f t="shared" ref="BD68:BD71" si="90">BC68</f>
        <v>501.0</v>
      </c>
      <c r="BE68" s="100">
        <v>46023</v>
      </c>
      <c r="BF68" s="95" t="e">
        <f t="shared" si="15"/>
        <v>#REF!</v>
      </c>
      <c r="BG68" s="65">
        <f t="shared" si="16"/>
        <v>93.75</v>
      </c>
      <c r="BH68" s="65" t="e">
        <f t="shared" si="17"/>
        <v>#REF!</v>
      </c>
      <c r="BI68" s="65" t="e">
        <f t="shared" si="18"/>
        <v>#REF!</v>
      </c>
      <c r="BJ68" s="65">
        <f t="shared" si="19"/>
        <v>103.125</v>
      </c>
      <c r="BK68" s="65">
        <f t="shared" si="20"/>
      </c>
      <c r="BL68" s="65" t="e">
        <f t="shared" si="21"/>
        <v>#REF!</v>
      </c>
      <c r="BM68" s="65">
        <f t="shared" si="22"/>
        <v>113.4375</v>
      </c>
      <c r="BN68" s="65"/>
      <c r="BO68" s="65" t="e">
        <f t="shared" si="23"/>
        <v>#REF!</v>
      </c>
      <c r="BP68" s="65">
        <f t="shared" si="24"/>
        <v>124.78125</v>
      </c>
      <c r="BQ68" s="65"/>
      <c r="BR68" s="65" t="e">
        <f t="shared" si="25"/>
        <v>#REF!</v>
      </c>
      <c r="BS68" s="65">
        <f t="shared" si="26"/>
        <v>137.259375</v>
      </c>
      <c r="BT68" s="65"/>
      <c r="BU68" s="65" t="e">
        <f t="shared" si="27"/>
        <v>#REF!</v>
      </c>
      <c r="BV68" s="65">
        <f t="shared" si="28"/>
        <v>150.9853125</v>
      </c>
      <c r="BW68" s="65"/>
      <c r="BX68" s="65" t="e">
        <f t="shared" si="29"/>
        <v>#REF!</v>
      </c>
    </row>
    <row r="69" ht="14.0">
      <c r="A69" s="93" t="s">
        <v>179</v>
      </c>
      <c r="B69" s="93" t="s">
        <v>81</v>
      </c>
      <c r="C69" s="93" t="s">
        <v>315</v>
      </c>
      <c r="D69" s="93" t="s">
        <v>316</v>
      </c>
      <c r="E69" s="93">
        <v>0.0</v>
      </c>
      <c r="F69" s="93">
        <v>0.0</v>
      </c>
      <c r="G69" s="93">
        <v>0.0</v>
      </c>
      <c r="H69" s="93">
        <v>0.0</v>
      </c>
      <c r="I69" s="93">
        <v>0.0</v>
      </c>
      <c r="J69" s="93">
        <v>0.0</v>
      </c>
      <c r="K69" s="93">
        <v>0.0</v>
      </c>
      <c r="L69" s="93">
        <v>0.0</v>
      </c>
      <c r="M69" s="93">
        <v>0.0</v>
      </c>
      <c r="N69" s="93">
        <v>0.0</v>
      </c>
      <c r="O69" s="93">
        <v>0.0</v>
      </c>
      <c r="P69" s="93">
        <v>0.0</v>
      </c>
      <c r="Q69" s="93">
        <v>0.0</v>
      </c>
      <c r="R69" s="93">
        <v>0.0</v>
      </c>
      <c r="S69" s="93">
        <v>0.0</v>
      </c>
      <c r="T69" s="93">
        <v>0.0</v>
      </c>
      <c r="U69" s="93">
        <v>0.0</v>
      </c>
      <c r="V69" s="93">
        <v>0.0</v>
      </c>
      <c r="W69" s="93">
        <v>0.0</v>
      </c>
      <c r="X69" s="93">
        <v>0.0</v>
      </c>
      <c r="Y69" s="93">
        <v>0.0</v>
      </c>
      <c r="Z69" s="93">
        <v>0.0</v>
      </c>
      <c r="AA69" s="93">
        <v>0.0</v>
      </c>
      <c r="AB69" s="93">
        <v>0.0</v>
      </c>
      <c r="AC69" s="93">
        <v>0.0</v>
      </c>
      <c r="AD69" s="93">
        <v>0.0</v>
      </c>
      <c r="AE69" s="93">
        <v>0.0</v>
      </c>
      <c r="AF69" s="93">
        <v>0.0</v>
      </c>
      <c r="AG69" s="93">
        <v>0.0</v>
      </c>
      <c r="AH69" s="93">
        <v>0.0</v>
      </c>
      <c r="AI69" s="93">
        <v>0.0</v>
      </c>
      <c r="AJ69" s="93">
        <v>9.0</v>
      </c>
      <c r="AK69" s="93">
        <v>131.0</v>
      </c>
      <c r="AL69" s="93">
        <v>150.0</v>
      </c>
      <c r="AM69" s="93">
        <v>51.0</v>
      </c>
      <c r="AN69" s="93">
        <v>39.0</v>
      </c>
      <c r="AO69" s="69">
        <f t="shared" si="3"/>
        <v>380.0</v>
      </c>
      <c r="AP69" s="69">
        <f t="shared" si="4"/>
        <v>380.0</v>
      </c>
      <c r="AQ69" s="69">
        <f t="shared" si="5"/>
        <v>418.0</v>
      </c>
      <c r="AR69" s="102">
        <f t="shared" si="83"/>
        <v>92.75</v>
      </c>
      <c r="AS69" s="102">
        <f t="shared" si="84"/>
        <v>102.025</v>
      </c>
      <c r="AT69" s="102">
        <f t="shared" si="85"/>
        <v>112.2275</v>
      </c>
      <c r="AU69" s="102">
        <f t="shared" si="86"/>
        <v>123.45025</v>
      </c>
      <c r="AV69" s="102">
        <f t="shared" si="87"/>
        <v>135.795275</v>
      </c>
      <c r="AW69" s="102">
        <f t="shared" si="88"/>
        <v>149.3748025</v>
      </c>
      <c r="AX69" s="69">
        <f t="shared" si="12"/>
        <v>715.6228275</v>
      </c>
      <c r="AY69" s="64" t="e">
        <f t="shared" si="13"/>
        <v>#REF!</v>
      </c>
      <c r="AZ69" s="64" t="e">
        <f t="shared" si="89"/>
        <v>#REF!</v>
      </c>
      <c r="BB69" s="69" t="e">
        <f t="shared" si="51"/>
        <v>#REF!</v>
      </c>
      <c r="BC69" s="69">
        <v>501.0</v>
      </c>
      <c r="BD69" s="47">
        <f t="shared" si="90"/>
        <v>501.0</v>
      </c>
      <c r="BE69" s="100">
        <v>46023</v>
      </c>
      <c r="BF69" s="95" t="e">
        <f t="shared" si="15"/>
        <v>#REF!</v>
      </c>
      <c r="BG69" s="65">
        <f t="shared" si="16"/>
        <v>92.75</v>
      </c>
      <c r="BH69" s="65" t="e">
        <f t="shared" si="17"/>
        <v>#REF!</v>
      </c>
      <c r="BI69" s="65" t="e">
        <f t="shared" si="18"/>
        <v>#REF!</v>
      </c>
      <c r="BJ69" s="65">
        <f t="shared" si="19"/>
        <v>102.025</v>
      </c>
      <c r="BK69" s="65">
        <f t="shared" si="20"/>
      </c>
      <c r="BL69" s="65" t="e">
        <f t="shared" si="21"/>
        <v>#REF!</v>
      </c>
      <c r="BM69" s="65">
        <f t="shared" si="22"/>
        <v>112.2275</v>
      </c>
      <c r="BN69" s="65"/>
      <c r="BO69" s="65" t="e">
        <f t="shared" si="23"/>
        <v>#REF!</v>
      </c>
      <c r="BP69" s="65">
        <f t="shared" si="24"/>
        <v>123.45025</v>
      </c>
      <c r="BQ69" s="65"/>
      <c r="BR69" s="65" t="e">
        <f t="shared" si="25"/>
        <v>#REF!</v>
      </c>
      <c r="BS69" s="65">
        <f t="shared" si="26"/>
        <v>135.795275</v>
      </c>
      <c r="BT69" s="65"/>
      <c r="BU69" s="65" t="e">
        <f t="shared" si="27"/>
        <v>#REF!</v>
      </c>
      <c r="BV69" s="65">
        <f t="shared" si="28"/>
        <v>149.3748025</v>
      </c>
      <c r="BW69" s="65"/>
      <c r="BX69" s="65" t="e">
        <f t="shared" si="29"/>
        <v>#REF!</v>
      </c>
    </row>
    <row r="70" ht="14.0">
      <c r="A70" s="93" t="s">
        <v>179</v>
      </c>
      <c r="B70" s="93" t="s">
        <v>81</v>
      </c>
      <c r="C70" s="93" t="s">
        <v>317</v>
      </c>
      <c r="D70" s="93" t="s">
        <v>318</v>
      </c>
      <c r="E70" s="93">
        <v>0.0</v>
      </c>
      <c r="F70" s="93">
        <v>0.0</v>
      </c>
      <c r="G70" s="93">
        <v>0.0</v>
      </c>
      <c r="H70" s="93">
        <v>0.0</v>
      </c>
      <c r="I70" s="93">
        <v>0.0</v>
      </c>
      <c r="J70" s="93">
        <v>0.0</v>
      </c>
      <c r="K70" s="93">
        <v>0.0</v>
      </c>
      <c r="L70" s="93">
        <v>0.0</v>
      </c>
      <c r="M70" s="93">
        <v>0.0</v>
      </c>
      <c r="N70" s="93">
        <v>0.0</v>
      </c>
      <c r="O70" s="93">
        <v>0.0</v>
      </c>
      <c r="P70" s="93">
        <v>0.0</v>
      </c>
      <c r="Q70" s="93">
        <v>0.0</v>
      </c>
      <c r="R70" s="93">
        <v>0.0</v>
      </c>
      <c r="S70" s="93">
        <v>0.0</v>
      </c>
      <c r="T70" s="93">
        <v>0.0</v>
      </c>
      <c r="U70" s="93">
        <v>0.0</v>
      </c>
      <c r="V70" s="93">
        <v>0.0</v>
      </c>
      <c r="W70" s="93">
        <v>0.0</v>
      </c>
      <c r="X70" s="93">
        <v>0.0</v>
      </c>
      <c r="Y70" s="93">
        <v>0.0</v>
      </c>
      <c r="Z70" s="93">
        <v>0.0</v>
      </c>
      <c r="AA70" s="93">
        <v>0.0</v>
      </c>
      <c r="AB70" s="93">
        <v>0.0</v>
      </c>
      <c r="AC70" s="93">
        <v>0.0</v>
      </c>
      <c r="AD70" s="93">
        <v>0.0</v>
      </c>
      <c r="AE70" s="93">
        <v>0.0</v>
      </c>
      <c r="AF70" s="93">
        <v>0.0</v>
      </c>
      <c r="AG70" s="93">
        <v>0.0</v>
      </c>
      <c r="AH70" s="93">
        <v>0.0</v>
      </c>
      <c r="AI70" s="93">
        <v>0.0</v>
      </c>
      <c r="AJ70" s="93">
        <v>12.0</v>
      </c>
      <c r="AK70" s="93">
        <v>176.0</v>
      </c>
      <c r="AL70" s="93">
        <v>195.0</v>
      </c>
      <c r="AM70" s="93">
        <v>90.0</v>
      </c>
      <c r="AN70" s="93">
        <v>27.0</v>
      </c>
      <c r="AO70" s="69">
        <f t="shared" si="3"/>
        <v>500.0</v>
      </c>
      <c r="AP70" s="69">
        <f t="shared" si="4"/>
        <v>500.0</v>
      </c>
      <c r="AQ70" s="69">
        <f t="shared" si="5"/>
        <v>550.0</v>
      </c>
      <c r="AR70" s="101">
        <f t="shared" si="83"/>
        <v>122.0</v>
      </c>
      <c r="AS70" s="101">
        <f t="shared" si="84"/>
        <v>134.2</v>
      </c>
      <c r="AT70" s="101">
        <f t="shared" si="85"/>
        <v>147.62</v>
      </c>
      <c r="AU70" s="101">
        <f t="shared" si="86"/>
        <v>162.382</v>
      </c>
      <c r="AV70" s="101">
        <f t="shared" si="87"/>
        <v>178.6202</v>
      </c>
      <c r="AW70" s="101">
        <f t="shared" si="88"/>
        <v>196.48222</v>
      </c>
      <c r="AX70" s="64">
        <f t="shared" si="12"/>
        <v>941.30442</v>
      </c>
      <c r="AY70" s="64" t="e">
        <f t="shared" si="13"/>
        <v>#REF!</v>
      </c>
      <c r="AZ70" s="64" t="e">
        <f t="shared" si="89"/>
        <v>#REF!</v>
      </c>
      <c r="BB70" s="69" t="e">
        <f t="shared" si="51"/>
        <v>#REF!</v>
      </c>
      <c r="BC70" s="69">
        <v>501.0</v>
      </c>
      <c r="BD70" s="47">
        <f t="shared" si="90"/>
        <v>501.0</v>
      </c>
      <c r="BE70" s="103" t="s">
        <v>319</v>
      </c>
      <c r="BF70" s="95" t="e">
        <f t="shared" si="15"/>
        <v>#REF!</v>
      </c>
      <c r="BG70" s="65">
        <f t="shared" si="16"/>
        <v>122.0</v>
      </c>
      <c r="BH70" s="65" t="e">
        <f t="shared" si="17"/>
        <v>#REF!</v>
      </c>
      <c r="BI70" s="65" t="e">
        <f t="shared" si="18"/>
        <v>#REF!</v>
      </c>
      <c r="BJ70" s="65">
        <f t="shared" si="19"/>
        <v>134.2</v>
      </c>
      <c r="BK70" s="65">
        <f t="shared" si="20"/>
      </c>
      <c r="BL70" s="65" t="e">
        <f t="shared" si="21"/>
        <v>#REF!</v>
      </c>
      <c r="BM70" s="65">
        <f t="shared" si="22"/>
        <v>147.62</v>
      </c>
      <c r="BN70" s="65"/>
      <c r="BO70" s="65" t="e">
        <f t="shared" si="23"/>
        <v>#REF!</v>
      </c>
      <c r="BP70" s="65">
        <f t="shared" si="24"/>
        <v>162.382</v>
      </c>
      <c r="BQ70" s="65"/>
      <c r="BR70" s="65" t="e">
        <f t="shared" si="25"/>
        <v>#REF!</v>
      </c>
      <c r="BS70" s="65">
        <f t="shared" si="26"/>
        <v>178.6202</v>
      </c>
      <c r="BT70" s="65"/>
      <c r="BU70" s="65" t="e">
        <f t="shared" si="27"/>
        <v>#REF!</v>
      </c>
      <c r="BV70" s="65">
        <f t="shared" si="28"/>
        <v>196.48222</v>
      </c>
      <c r="BW70" s="65"/>
      <c r="BX70" s="65" t="e">
        <f t="shared" si="29"/>
        <v>#REF!</v>
      </c>
    </row>
    <row r="71" ht="14.0">
      <c r="A71" s="93" t="s">
        <v>179</v>
      </c>
      <c r="B71" s="93" t="s">
        <v>81</v>
      </c>
      <c r="C71" s="93" t="s">
        <v>320</v>
      </c>
      <c r="D71" s="93" t="s">
        <v>321</v>
      </c>
      <c r="E71" s="93">
        <v>0.0</v>
      </c>
      <c r="F71" s="93">
        <v>0.0</v>
      </c>
      <c r="G71" s="93">
        <v>0.0</v>
      </c>
      <c r="H71" s="93">
        <v>0.0</v>
      </c>
      <c r="I71" s="93">
        <v>0.0</v>
      </c>
      <c r="J71" s="93">
        <v>0.0</v>
      </c>
      <c r="K71" s="93">
        <v>0.0</v>
      </c>
      <c r="L71" s="93">
        <v>0.0</v>
      </c>
      <c r="M71" s="93">
        <v>0.0</v>
      </c>
      <c r="N71" s="93">
        <v>0.0</v>
      </c>
      <c r="O71" s="93">
        <v>0.0</v>
      </c>
      <c r="P71" s="93">
        <v>0.0</v>
      </c>
      <c r="Q71" s="93">
        <v>0.0</v>
      </c>
      <c r="R71" s="93">
        <v>0.0</v>
      </c>
      <c r="S71" s="93">
        <v>0.0</v>
      </c>
      <c r="T71" s="93">
        <v>0.0</v>
      </c>
      <c r="U71" s="93">
        <v>0.0</v>
      </c>
      <c r="V71" s="93">
        <v>0.0</v>
      </c>
      <c r="W71" s="93">
        <v>0.0</v>
      </c>
      <c r="X71" s="93">
        <v>0.0</v>
      </c>
      <c r="Y71" s="93">
        <v>0.0</v>
      </c>
      <c r="Z71" s="93">
        <v>0.0</v>
      </c>
      <c r="AA71" s="93">
        <v>0.0</v>
      </c>
      <c r="AB71" s="93">
        <v>0.0</v>
      </c>
      <c r="AC71" s="93">
        <v>0.0</v>
      </c>
      <c r="AD71" s="93">
        <v>0.0</v>
      </c>
      <c r="AE71" s="93">
        <v>0.0</v>
      </c>
      <c r="AF71" s="93">
        <v>0.0</v>
      </c>
      <c r="AG71" s="93">
        <v>0.0</v>
      </c>
      <c r="AH71" s="93">
        <v>0.0</v>
      </c>
      <c r="AI71" s="93">
        <v>0.0</v>
      </c>
      <c r="AJ71" s="93">
        <v>6.0</v>
      </c>
      <c r="AK71" s="93">
        <v>173.0</v>
      </c>
      <c r="AL71" s="93">
        <v>212.0</v>
      </c>
      <c r="AM71" s="93">
        <v>72.0</v>
      </c>
      <c r="AN71" s="93">
        <v>34.0</v>
      </c>
      <c r="AO71" s="69">
        <f t="shared" si="3"/>
        <v>497.0</v>
      </c>
      <c r="AP71" s="69">
        <f t="shared" si="4"/>
        <v>497.0</v>
      </c>
      <c r="AQ71" s="69">
        <f t="shared" si="5"/>
        <v>546.7</v>
      </c>
      <c r="AR71" s="102">
        <f t="shared" si="83"/>
        <v>122.75</v>
      </c>
      <c r="AS71" s="102">
        <f t="shared" si="84"/>
        <v>135.025</v>
      </c>
      <c r="AT71" s="102">
        <f t="shared" si="85"/>
        <v>148.5275</v>
      </c>
      <c r="AU71" s="102">
        <f t="shared" si="86"/>
        <v>163.38025</v>
      </c>
      <c r="AV71" s="102">
        <f t="shared" si="87"/>
        <v>179.718275</v>
      </c>
      <c r="AW71" s="102">
        <f t="shared" si="88"/>
        <v>197.6901025</v>
      </c>
      <c r="AX71" s="64">
        <f t="shared" si="12"/>
        <v>947.0911275</v>
      </c>
      <c r="AY71" s="64" t="e">
        <f t="shared" si="13"/>
        <v>#REF!</v>
      </c>
      <c r="AZ71" s="64" t="e">
        <f t="shared" si="89"/>
        <v>#REF!</v>
      </c>
      <c r="BB71" s="69" t="e">
        <f t="shared" si="51"/>
        <v>#REF!</v>
      </c>
      <c r="BC71" s="69">
        <v>501.0</v>
      </c>
      <c r="BD71" s="47">
        <f t="shared" si="90"/>
        <v>501.0</v>
      </c>
      <c r="BE71" s="103" t="s">
        <v>319</v>
      </c>
      <c r="BF71" s="95" t="e">
        <f t="shared" si="15"/>
        <v>#REF!</v>
      </c>
      <c r="BG71" s="65">
        <f t="shared" si="16"/>
        <v>122.75</v>
      </c>
      <c r="BH71" s="65" t="e">
        <f t="shared" si="17"/>
        <v>#REF!</v>
      </c>
      <c r="BI71" s="65" t="e">
        <f t="shared" si="18"/>
        <v>#REF!</v>
      </c>
      <c r="BJ71" s="65">
        <f t="shared" si="19"/>
        <v>135.025</v>
      </c>
      <c r="BK71" s="65">
        <f t="shared" si="20"/>
      </c>
      <c r="BL71" s="65" t="e">
        <f t="shared" si="21"/>
        <v>#REF!</v>
      </c>
      <c r="BM71" s="65">
        <f t="shared" si="22"/>
        <v>148.5275</v>
      </c>
      <c r="BN71" s="65"/>
      <c r="BO71" s="65" t="e">
        <f t="shared" si="23"/>
        <v>#REF!</v>
      </c>
      <c r="BP71" s="65">
        <f t="shared" si="24"/>
        <v>163.38025</v>
      </c>
      <c r="BQ71" s="65"/>
      <c r="BR71" s="65" t="e">
        <f t="shared" si="25"/>
        <v>#REF!</v>
      </c>
      <c r="BS71" s="65">
        <f t="shared" si="26"/>
        <v>179.718275</v>
      </c>
      <c r="BT71" s="65"/>
      <c r="BU71" s="65" t="e">
        <f t="shared" si="27"/>
        <v>#REF!</v>
      </c>
      <c r="BV71" s="65">
        <f t="shared" si="28"/>
        <v>197.6901025</v>
      </c>
      <c r="BW71" s="65"/>
      <c r="BX71" s="65" t="e">
        <f t="shared" si="29"/>
        <v>#REF!</v>
      </c>
    </row>
    <row r="72" ht="14.0">
      <c r="A72" s="93" t="s">
        <v>179</v>
      </c>
      <c r="B72" s="93" t="s">
        <v>110</v>
      </c>
      <c r="C72" s="93" t="s">
        <v>322</v>
      </c>
      <c r="D72" s="93" t="s">
        <v>323</v>
      </c>
      <c r="E72" s="93">
        <v>0.0</v>
      </c>
      <c r="F72" s="93">
        <v>0.0</v>
      </c>
      <c r="G72" s="93">
        <v>0.0</v>
      </c>
      <c r="H72" s="93">
        <v>0.0</v>
      </c>
      <c r="I72" s="93">
        <v>0.0</v>
      </c>
      <c r="J72" s="93">
        <v>0.0</v>
      </c>
      <c r="K72" s="93">
        <v>0.0</v>
      </c>
      <c r="L72" s="93">
        <v>0.0</v>
      </c>
      <c r="M72" s="93">
        <v>0.0</v>
      </c>
      <c r="N72" s="93">
        <v>0.0</v>
      </c>
      <c r="O72" s="93">
        <v>0.0</v>
      </c>
      <c r="P72" s="93">
        <v>0.0</v>
      </c>
      <c r="Q72" s="93">
        <v>0.0</v>
      </c>
      <c r="R72" s="93">
        <v>0.0</v>
      </c>
      <c r="S72" s="93">
        <v>0.0</v>
      </c>
      <c r="T72" s="93">
        <v>0.0</v>
      </c>
      <c r="U72" s="93">
        <v>0.0</v>
      </c>
      <c r="V72" s="93">
        <v>0.0</v>
      </c>
      <c r="W72" s="93">
        <v>0.0</v>
      </c>
      <c r="X72" s="93">
        <v>0.0</v>
      </c>
      <c r="Y72" s="93">
        <v>0.0</v>
      </c>
      <c r="Z72" s="93">
        <v>0.0</v>
      </c>
      <c r="AA72" s="93">
        <v>0.0</v>
      </c>
      <c r="AB72" s="93">
        <v>73.0</v>
      </c>
      <c r="AC72" s="93">
        <v>143.0</v>
      </c>
      <c r="AD72" s="93">
        <v>194.0</v>
      </c>
      <c r="AE72" s="93">
        <v>153.0</v>
      </c>
      <c r="AF72" s="93">
        <v>123.0</v>
      </c>
      <c r="AG72" s="93">
        <v>114.0</v>
      </c>
      <c r="AH72" s="93">
        <v>54.0</v>
      </c>
      <c r="AI72" s="93">
        <v>113.0</v>
      </c>
      <c r="AJ72" s="93">
        <v>90.0</v>
      </c>
      <c r="AK72" s="93">
        <v>63.0</v>
      </c>
      <c r="AL72" s="93">
        <v>39.0</v>
      </c>
      <c r="AM72" s="93">
        <v>46.0</v>
      </c>
      <c r="AN72" s="93">
        <v>39.0</v>
      </c>
      <c r="AO72" s="69">
        <f t="shared" si="3"/>
        <v>1171.0</v>
      </c>
      <c r="AP72" s="69">
        <f t="shared" si="4"/>
        <v>390.0</v>
      </c>
      <c r="AQ72" s="69">
        <f t="shared" si="5"/>
        <v>429.0</v>
      </c>
      <c r="AR72" s="47">
        <f t="shared" ref="AR72:AR78" si="91">AQ72*$AR$4/$AQ$4+3*$AR$83</f>
        <v>76.7857142857142</v>
      </c>
      <c r="AS72" s="47">
        <f t="shared" ref="AS72:AS78" si="92">AQ72*$AS$4/$AQ$4+3*$AS$83</f>
        <v>58.9285714285714</v>
      </c>
      <c r="AT72" s="47">
        <f t="shared" ref="AT72:AT78" si="93">AQ72*$AT$4/$AQ$4+3*$AT$83</f>
        <v>120.857142857142</v>
      </c>
      <c r="AU72" s="47">
        <f t="shared" ref="AU72:AU78" si="94">AQ72*$AU$4/$AQ$4+3*$AU$83</f>
        <v>132.928571428571</v>
      </c>
      <c r="AV72" s="47">
        <f t="shared" ref="AV72:AV78" si="95">AQ72*$AV$4/$AQ$4+3*$AV$83</f>
        <v>121.785714285714</v>
      </c>
      <c r="AW72" s="47">
        <f t="shared" ref="AW72:AW78" si="96">AQ72*$AW$4/$AQ$4+3*$AW$83</f>
        <v>99.2857142857142</v>
      </c>
      <c r="AX72" s="64">
        <f t="shared" si="12"/>
        <v>610.57142857142</v>
      </c>
      <c r="AY72" s="64" t="e">
        <f t="shared" si="13"/>
        <v>#REF!</v>
      </c>
      <c r="BB72" s="69" t="e">
        <f t="shared" si="51"/>
        <v>#REF!</v>
      </c>
      <c r="BC72" s="69"/>
      <c r="BE72" s="70"/>
      <c r="BF72" s="95" t="e">
        <f t="shared" si="15"/>
        <v>#REF!</v>
      </c>
      <c r="BG72" s="65">
        <f t="shared" si="16"/>
        <v>76.7857142857142</v>
      </c>
      <c r="BH72" s="65">
        <f t="shared" si="17"/>
      </c>
      <c r="BI72" s="65" t="e">
        <f t="shared" si="18"/>
        <v>#REF!</v>
      </c>
      <c r="BJ72" s="65">
        <f t="shared" si="19"/>
        <v>58.9285714285714</v>
      </c>
      <c r="BK72" s="65">
        <f t="shared" si="20"/>
      </c>
      <c r="BL72" s="65" t="e">
        <f t="shared" si="21"/>
        <v>#REF!</v>
      </c>
      <c r="BM72" s="65">
        <f t="shared" si="22"/>
        <v>120.857142857142</v>
      </c>
      <c r="BN72" s="65"/>
      <c r="BO72" s="65" t="e">
        <f t="shared" si="23"/>
        <v>#REF!</v>
      </c>
      <c r="BP72" s="65">
        <f t="shared" si="24"/>
        <v>132.928571428571</v>
      </c>
      <c r="BQ72" s="65"/>
      <c r="BR72" s="65" t="e">
        <f t="shared" si="25"/>
        <v>#REF!</v>
      </c>
      <c r="BS72" s="65">
        <f t="shared" si="26"/>
        <v>121.785714285714</v>
      </c>
      <c r="BT72" s="65"/>
      <c r="BU72" s="65" t="e">
        <f t="shared" si="27"/>
        <v>#REF!</v>
      </c>
      <c r="BV72" s="65">
        <f t="shared" si="28"/>
        <v>99.2857142857142</v>
      </c>
      <c r="BW72" s="65"/>
      <c r="BX72" s="65" t="e">
        <f t="shared" si="29"/>
        <v>#REF!</v>
      </c>
    </row>
    <row r="73" ht="14.0">
      <c r="A73" s="93" t="s">
        <v>179</v>
      </c>
      <c r="B73" s="93" t="s">
        <v>110</v>
      </c>
      <c r="C73" s="93" t="s">
        <v>324</v>
      </c>
      <c r="D73" s="93" t="s">
        <v>325</v>
      </c>
      <c r="E73" s="93">
        <v>0.0</v>
      </c>
      <c r="F73" s="93">
        <v>0.0</v>
      </c>
      <c r="G73" s="93">
        <v>0.0</v>
      </c>
      <c r="H73" s="93">
        <v>0.0</v>
      </c>
      <c r="I73" s="93">
        <v>0.0</v>
      </c>
      <c r="J73" s="93">
        <v>0.0</v>
      </c>
      <c r="K73" s="93">
        <v>0.0</v>
      </c>
      <c r="L73" s="93">
        <v>0.0</v>
      </c>
      <c r="M73" s="93">
        <v>0.0</v>
      </c>
      <c r="N73" s="93">
        <v>0.0</v>
      </c>
      <c r="O73" s="93">
        <v>0.0</v>
      </c>
      <c r="P73" s="93">
        <v>0.0</v>
      </c>
      <c r="Q73" s="93">
        <v>0.0</v>
      </c>
      <c r="R73" s="93">
        <v>0.0</v>
      </c>
      <c r="S73" s="93">
        <v>0.0</v>
      </c>
      <c r="T73" s="93">
        <v>0.0</v>
      </c>
      <c r="U73" s="93">
        <v>0.0</v>
      </c>
      <c r="V73" s="93">
        <v>0.0</v>
      </c>
      <c r="W73" s="93">
        <v>0.0</v>
      </c>
      <c r="X73" s="93">
        <v>0.0</v>
      </c>
      <c r="Y73" s="93">
        <v>0.0</v>
      </c>
      <c r="Z73" s="93">
        <v>0.0</v>
      </c>
      <c r="AA73" s="93">
        <v>0.0</v>
      </c>
      <c r="AB73" s="93">
        <v>33.0</v>
      </c>
      <c r="AC73" s="93">
        <v>96.0</v>
      </c>
      <c r="AD73" s="93">
        <v>87.0</v>
      </c>
      <c r="AE73" s="93">
        <v>66.0</v>
      </c>
      <c r="AF73" s="93">
        <v>66.0</v>
      </c>
      <c r="AG73" s="93">
        <v>93.0</v>
      </c>
      <c r="AH73" s="93">
        <v>39.0</v>
      </c>
      <c r="AI73" s="93">
        <v>21.0</v>
      </c>
      <c r="AJ73" s="93">
        <v>36.0</v>
      </c>
      <c r="AK73" s="93">
        <v>27.0</v>
      </c>
      <c r="AL73" s="93">
        <v>28.0</v>
      </c>
      <c r="AM73" s="93">
        <v>18.0</v>
      </c>
      <c r="AN73" s="93">
        <v>9.0</v>
      </c>
      <c r="AO73" s="69">
        <f t="shared" si="3"/>
        <v>586.0</v>
      </c>
      <c r="AP73" s="69">
        <f t="shared" si="4"/>
        <v>139.0</v>
      </c>
      <c r="AQ73" s="69">
        <f t="shared" si="5"/>
        <v>152.9</v>
      </c>
      <c r="AR73" s="47">
        <f t="shared" si="91"/>
        <v>33.1595238095238</v>
      </c>
      <c r="AS73" s="47">
        <f t="shared" si="92"/>
        <v>24.8642857142857</v>
      </c>
      <c r="AT73" s="47">
        <f t="shared" si="93"/>
        <v>52.7285714285714</v>
      </c>
      <c r="AU73" s="47">
        <f t="shared" si="94"/>
        <v>57.0309523809523</v>
      </c>
      <c r="AV73" s="47">
        <f t="shared" si="95"/>
        <v>53.0595238095238</v>
      </c>
      <c r="AW73" s="47">
        <f t="shared" si="96"/>
        <v>43.1095238095238</v>
      </c>
      <c r="AX73" s="64">
        <f t="shared" si="12"/>
        <v>263.95238095238</v>
      </c>
      <c r="AY73" s="64" t="e">
        <f t="shared" si="13"/>
        <v>#REF!</v>
      </c>
      <c r="BB73" s="69" t="e">
        <f t="shared" si="51"/>
        <v>#REF!</v>
      </c>
      <c r="BC73" s="69"/>
      <c r="BE73" s="70"/>
      <c r="BF73" s="95" t="e">
        <f t="shared" si="15"/>
        <v>#REF!</v>
      </c>
      <c r="BG73" s="65">
        <f t="shared" si="16"/>
        <v>33.1595238095238</v>
      </c>
      <c r="BH73" s="65">
        <f t="shared" si="17"/>
      </c>
      <c r="BI73" s="65" t="e">
        <f t="shared" si="18"/>
        <v>#REF!</v>
      </c>
      <c r="BJ73" s="65">
        <f t="shared" si="19"/>
        <v>24.8642857142857</v>
      </c>
      <c r="BK73" s="65">
        <f t="shared" si="20"/>
      </c>
      <c r="BL73" s="65" t="e">
        <f t="shared" si="21"/>
        <v>#REF!</v>
      </c>
      <c r="BM73" s="65">
        <f t="shared" si="22"/>
        <v>52.7285714285714</v>
      </c>
      <c r="BN73" s="65"/>
      <c r="BO73" s="65" t="e">
        <f t="shared" si="23"/>
        <v>#REF!</v>
      </c>
      <c r="BP73" s="65">
        <f t="shared" si="24"/>
        <v>57.0309523809523</v>
      </c>
      <c r="BQ73" s="65"/>
      <c r="BR73" s="65" t="e">
        <f t="shared" si="25"/>
        <v>#REF!</v>
      </c>
      <c r="BS73" s="65">
        <f t="shared" si="26"/>
        <v>53.0595238095238</v>
      </c>
      <c r="BT73" s="65"/>
      <c r="BU73" s="65" t="e">
        <f t="shared" si="27"/>
        <v>#REF!</v>
      </c>
      <c r="BV73" s="65">
        <f t="shared" si="28"/>
        <v>43.1095238095238</v>
      </c>
      <c r="BW73" s="65"/>
      <c r="BX73" s="65" t="e">
        <f t="shared" si="29"/>
        <v>#REF!</v>
      </c>
    </row>
    <row r="74" ht="14.0">
      <c r="A74" s="93" t="s">
        <v>179</v>
      </c>
      <c r="B74" s="93" t="s">
        <v>110</v>
      </c>
      <c r="C74" s="93" t="s">
        <v>326</v>
      </c>
      <c r="D74" s="93" t="s">
        <v>327</v>
      </c>
      <c r="E74" s="93">
        <v>0.0</v>
      </c>
      <c r="F74" s="93">
        <v>0.0</v>
      </c>
      <c r="G74" s="93">
        <v>0.0</v>
      </c>
      <c r="H74" s="93">
        <v>0.0</v>
      </c>
      <c r="I74" s="93">
        <v>0.0</v>
      </c>
      <c r="J74" s="93">
        <v>0.0</v>
      </c>
      <c r="K74" s="93">
        <v>0.0</v>
      </c>
      <c r="L74" s="93">
        <v>0.0</v>
      </c>
      <c r="M74" s="93">
        <v>0.0</v>
      </c>
      <c r="N74" s="93">
        <v>0.0</v>
      </c>
      <c r="O74" s="93">
        <v>0.0</v>
      </c>
      <c r="P74" s="93">
        <v>0.0</v>
      </c>
      <c r="Q74" s="93">
        <v>0.0</v>
      </c>
      <c r="R74" s="93">
        <v>0.0</v>
      </c>
      <c r="S74" s="93">
        <v>0.0</v>
      </c>
      <c r="T74" s="93">
        <v>0.0</v>
      </c>
      <c r="U74" s="93">
        <v>0.0</v>
      </c>
      <c r="V74" s="93">
        <v>0.0</v>
      </c>
      <c r="W74" s="93">
        <v>0.0</v>
      </c>
      <c r="X74" s="93">
        <v>0.0</v>
      </c>
      <c r="Y74" s="93">
        <v>0.0</v>
      </c>
      <c r="Z74" s="93">
        <v>0.0</v>
      </c>
      <c r="AA74" s="93">
        <v>0.0</v>
      </c>
      <c r="AB74" s="93">
        <v>30.0</v>
      </c>
      <c r="AC74" s="93">
        <v>78.0</v>
      </c>
      <c r="AD74" s="93">
        <v>132.0</v>
      </c>
      <c r="AE74" s="93">
        <v>84.0</v>
      </c>
      <c r="AF74" s="93">
        <v>114.0</v>
      </c>
      <c r="AG74" s="93">
        <v>84.0</v>
      </c>
      <c r="AH74" s="93">
        <v>73.0</v>
      </c>
      <c r="AI74" s="93">
        <v>66.0</v>
      </c>
      <c r="AJ74" s="93">
        <v>54.0</v>
      </c>
      <c r="AK74" s="93">
        <v>42.0</v>
      </c>
      <c r="AL74" s="93">
        <v>48.0</v>
      </c>
      <c r="AM74" s="93">
        <v>18.0</v>
      </c>
      <c r="AN74" s="93">
        <v>18.0</v>
      </c>
      <c r="AO74" s="69">
        <f t="shared" si="3"/>
        <v>811.0</v>
      </c>
      <c r="AP74" s="69">
        <f t="shared" si="4"/>
        <v>246.0</v>
      </c>
      <c r="AQ74" s="69">
        <f t="shared" si="5"/>
        <v>270.6</v>
      </c>
      <c r="AR74" s="47">
        <f t="shared" si="91"/>
        <v>51.7571428571429</v>
      </c>
      <c r="AS74" s="47">
        <f t="shared" si="92"/>
        <v>39.3857142857142</v>
      </c>
      <c r="AT74" s="47">
        <f t="shared" si="93"/>
        <v>81.7714285714286</v>
      </c>
      <c r="AU74" s="47">
        <f t="shared" si="94"/>
        <v>89.3857142857142</v>
      </c>
      <c r="AV74" s="47">
        <f t="shared" si="95"/>
        <v>82.3571428571429</v>
      </c>
      <c r="AW74" s="47">
        <f t="shared" si="96"/>
        <v>67.0571428571429</v>
      </c>
      <c r="AX74" s="64">
        <f t="shared" si="12"/>
        <v>411.714285714286</v>
      </c>
      <c r="AY74" s="64" t="e">
        <f t="shared" si="13"/>
        <v>#REF!</v>
      </c>
      <c r="BB74" s="69" t="e">
        <f t="shared" si="51"/>
        <v>#REF!</v>
      </c>
      <c r="BC74" s="69"/>
      <c r="BE74" s="70"/>
      <c r="BF74" s="95" t="e">
        <f t="shared" si="15"/>
        <v>#REF!</v>
      </c>
      <c r="BG74" s="65">
        <f t="shared" si="16"/>
        <v>51.7571428571429</v>
      </c>
      <c r="BH74" s="65">
        <f t="shared" si="17"/>
      </c>
      <c r="BI74" s="65" t="e">
        <f t="shared" si="18"/>
        <v>#REF!</v>
      </c>
      <c r="BJ74" s="65">
        <f t="shared" si="19"/>
        <v>39.3857142857142</v>
      </c>
      <c r="BK74" s="65">
        <f t="shared" si="20"/>
      </c>
      <c r="BL74" s="65" t="e">
        <f t="shared" si="21"/>
        <v>#REF!</v>
      </c>
      <c r="BM74" s="65">
        <f t="shared" si="22"/>
        <v>81.7714285714286</v>
      </c>
      <c r="BN74" s="65"/>
      <c r="BO74" s="65" t="e">
        <f t="shared" si="23"/>
        <v>#REF!</v>
      </c>
      <c r="BP74" s="65">
        <f t="shared" si="24"/>
        <v>89.3857142857142</v>
      </c>
      <c r="BQ74" s="65"/>
      <c r="BR74" s="65" t="e">
        <f t="shared" si="25"/>
        <v>#REF!</v>
      </c>
      <c r="BS74" s="65">
        <f t="shared" si="26"/>
        <v>82.3571428571429</v>
      </c>
      <c r="BT74" s="65"/>
      <c r="BU74" s="65" t="e">
        <f t="shared" si="27"/>
        <v>#REF!</v>
      </c>
      <c r="BV74" s="65">
        <f t="shared" si="28"/>
        <v>67.0571428571429</v>
      </c>
      <c r="BW74" s="65"/>
      <c r="BX74" s="65" t="e">
        <f t="shared" si="29"/>
        <v>#REF!</v>
      </c>
    </row>
    <row r="75" ht="14.0">
      <c r="A75" s="93" t="s">
        <v>179</v>
      </c>
      <c r="B75" s="93" t="s">
        <v>110</v>
      </c>
      <c r="C75" s="98" t="s">
        <v>328</v>
      </c>
      <c r="D75" s="98" t="s">
        <v>329</v>
      </c>
      <c r="E75" s="93">
        <v>0.0</v>
      </c>
      <c r="F75" s="93">
        <v>0.0</v>
      </c>
      <c r="G75" s="93">
        <v>0.0</v>
      </c>
      <c r="H75" s="93">
        <v>0.0</v>
      </c>
      <c r="I75" s="93">
        <v>0.0</v>
      </c>
      <c r="J75" s="93">
        <v>0.0</v>
      </c>
      <c r="K75" s="93">
        <v>0.0</v>
      </c>
      <c r="L75" s="93">
        <v>0.0</v>
      </c>
      <c r="M75" s="93">
        <v>0.0</v>
      </c>
      <c r="N75" s="93">
        <v>0.0</v>
      </c>
      <c r="O75" s="93">
        <v>0.0</v>
      </c>
      <c r="P75" s="93">
        <v>0.0</v>
      </c>
      <c r="Q75" s="93">
        <v>0.0</v>
      </c>
      <c r="R75" s="93">
        <v>0.0</v>
      </c>
      <c r="S75" s="93">
        <v>0.0</v>
      </c>
      <c r="T75" s="93">
        <v>0.0</v>
      </c>
      <c r="U75" s="93">
        <v>0.0</v>
      </c>
      <c r="V75" s="93">
        <v>0.0</v>
      </c>
      <c r="W75" s="93">
        <v>0.0</v>
      </c>
      <c r="X75" s="93">
        <v>0.0</v>
      </c>
      <c r="Y75" s="93">
        <v>0.0</v>
      </c>
      <c r="Z75" s="93">
        <v>0.0</v>
      </c>
      <c r="AA75" s="93">
        <v>0.0</v>
      </c>
      <c r="AB75" s="93">
        <v>39.0</v>
      </c>
      <c r="AC75" s="93">
        <v>54.0</v>
      </c>
      <c r="AD75" s="93">
        <v>45.0</v>
      </c>
      <c r="AE75" s="93">
        <v>60.0</v>
      </c>
      <c r="AF75" s="93">
        <v>63.0</v>
      </c>
      <c r="AG75" s="93">
        <v>48.0</v>
      </c>
      <c r="AH75" s="93">
        <v>39.0</v>
      </c>
      <c r="AI75" s="93">
        <v>28.0</v>
      </c>
      <c r="AJ75" s="93">
        <v>27.0</v>
      </c>
      <c r="AK75" s="93">
        <v>69.0</v>
      </c>
      <c r="AL75" s="93">
        <v>27.0</v>
      </c>
      <c r="AM75" s="93">
        <v>27.0</v>
      </c>
      <c r="AN75" s="93">
        <v>9.0</v>
      </c>
      <c r="AO75" s="69">
        <f t="shared" si="3"/>
        <v>496.0</v>
      </c>
      <c r="AP75" s="69">
        <f t="shared" si="4"/>
        <v>187.0</v>
      </c>
      <c r="AQ75" s="69">
        <f t="shared" si="5"/>
        <v>205.7</v>
      </c>
      <c r="AR75" s="47">
        <f t="shared" si="91"/>
        <v>41.502380952381</v>
      </c>
      <c r="AS75" s="47">
        <f t="shared" si="92"/>
        <v>31.3785714285714</v>
      </c>
      <c r="AT75" s="47">
        <f t="shared" si="93"/>
        <v>65.7571428571429</v>
      </c>
      <c r="AU75" s="47">
        <f t="shared" si="94"/>
        <v>71.545238095238</v>
      </c>
      <c r="AV75" s="47">
        <f t="shared" si="95"/>
        <v>66.202380952381</v>
      </c>
      <c r="AW75" s="47">
        <f t="shared" si="96"/>
        <v>53.852380952381</v>
      </c>
      <c r="AX75" s="64">
        <f t="shared" si="12"/>
        <v>330.238095238095</v>
      </c>
      <c r="AY75" s="64" t="e">
        <f t="shared" si="13"/>
        <v>#REF!</v>
      </c>
      <c r="BB75" s="69" t="e">
        <f t="shared" si="51"/>
        <v>#REF!</v>
      </c>
      <c r="BC75" s="69"/>
      <c r="BD75" s="99">
        <f>BC75</f>
      </c>
      <c r="BE75" s="100" t="s">
        <v>330</v>
      </c>
      <c r="BF75" s="95" t="e">
        <f t="shared" si="15"/>
        <v>#REF!</v>
      </c>
      <c r="BG75" s="65">
        <f t="shared" si="16"/>
        <v>41.502380952381</v>
      </c>
      <c r="BH75" s="65">
        <f t="shared" si="17"/>
      </c>
      <c r="BI75" s="65" t="e">
        <f t="shared" si="18"/>
        <v>#REF!</v>
      </c>
      <c r="BJ75" s="65">
        <f t="shared" si="19"/>
        <v>31.3785714285714</v>
      </c>
      <c r="BK75" s="65">
        <f t="shared" si="20"/>
      </c>
      <c r="BL75" s="65" t="e">
        <f t="shared" si="21"/>
        <v>#REF!</v>
      </c>
      <c r="BM75" s="65">
        <f t="shared" si="22"/>
        <v>65.7571428571429</v>
      </c>
      <c r="BN75" s="65"/>
      <c r="BO75" s="65" t="e">
        <f t="shared" si="23"/>
        <v>#REF!</v>
      </c>
      <c r="BP75" s="65">
        <f t="shared" si="24"/>
        <v>71.545238095238</v>
      </c>
      <c r="BQ75" s="65"/>
      <c r="BR75" s="65" t="e">
        <f t="shared" si="25"/>
        <v>#REF!</v>
      </c>
      <c r="BS75" s="65">
        <f t="shared" si="26"/>
        <v>66.202380952381</v>
      </c>
      <c r="BT75" s="65"/>
      <c r="BU75" s="65" t="e">
        <f t="shared" si="27"/>
        <v>#REF!</v>
      </c>
      <c r="BV75" s="65">
        <f t="shared" si="28"/>
        <v>53.852380952381</v>
      </c>
      <c r="BW75" s="65"/>
      <c r="BX75" s="65" t="e">
        <f t="shared" si="29"/>
        <v>#REF!</v>
      </c>
    </row>
    <row r="76" ht="14.0">
      <c r="A76" s="93" t="s">
        <v>179</v>
      </c>
      <c r="B76" s="93" t="s">
        <v>110</v>
      </c>
      <c r="C76" s="93" t="s">
        <v>331</v>
      </c>
      <c r="D76" s="93" t="s">
        <v>332</v>
      </c>
      <c r="E76" s="93">
        <v>0.0</v>
      </c>
      <c r="F76" s="93">
        <v>0.0</v>
      </c>
      <c r="G76" s="93">
        <v>0.0</v>
      </c>
      <c r="H76" s="93">
        <v>0.0</v>
      </c>
      <c r="I76" s="93">
        <v>0.0</v>
      </c>
      <c r="J76" s="93">
        <v>0.0</v>
      </c>
      <c r="K76" s="93">
        <v>0.0</v>
      </c>
      <c r="L76" s="93">
        <v>0.0</v>
      </c>
      <c r="M76" s="93">
        <v>0.0</v>
      </c>
      <c r="N76" s="93">
        <v>0.0</v>
      </c>
      <c r="O76" s="93">
        <v>0.0</v>
      </c>
      <c r="P76" s="93">
        <v>0.0</v>
      </c>
      <c r="Q76" s="93">
        <v>0.0</v>
      </c>
      <c r="R76" s="93">
        <v>0.0</v>
      </c>
      <c r="S76" s="93">
        <v>0.0</v>
      </c>
      <c r="T76" s="93">
        <v>0.0</v>
      </c>
      <c r="U76" s="93">
        <v>0.0</v>
      </c>
      <c r="V76" s="93">
        <v>0.0</v>
      </c>
      <c r="W76" s="93">
        <v>0.0</v>
      </c>
      <c r="X76" s="93">
        <v>0.0</v>
      </c>
      <c r="Y76" s="93">
        <v>0.0</v>
      </c>
      <c r="Z76" s="93">
        <v>0.0</v>
      </c>
      <c r="AA76" s="93">
        <v>0.0</v>
      </c>
      <c r="AB76" s="93">
        <v>66.0</v>
      </c>
      <c r="AC76" s="93">
        <v>111.0</v>
      </c>
      <c r="AD76" s="93">
        <v>180.0</v>
      </c>
      <c r="AE76" s="93">
        <v>143.0</v>
      </c>
      <c r="AF76" s="93">
        <v>117.0</v>
      </c>
      <c r="AG76" s="93">
        <v>86.0</v>
      </c>
      <c r="AH76" s="93">
        <v>45.0</v>
      </c>
      <c r="AI76" s="93">
        <v>36.0</v>
      </c>
      <c r="AJ76" s="93">
        <v>66.0</v>
      </c>
      <c r="AK76" s="93">
        <v>99.0</v>
      </c>
      <c r="AL76" s="93">
        <v>27.0</v>
      </c>
      <c r="AM76" s="93">
        <v>21.0</v>
      </c>
      <c r="AN76" s="93">
        <v>18.0</v>
      </c>
      <c r="AO76" s="69">
        <f t="shared" si="3"/>
        <v>949.0</v>
      </c>
      <c r="AP76" s="69">
        <f t="shared" si="4"/>
        <v>267.0</v>
      </c>
      <c r="AQ76" s="69">
        <f t="shared" si="5"/>
        <v>293.7</v>
      </c>
      <c r="AR76" s="47">
        <f t="shared" si="91"/>
        <v>55.4071428571429</v>
      </c>
      <c r="AS76" s="47">
        <f t="shared" si="92"/>
        <v>42.2357142857142</v>
      </c>
      <c r="AT76" s="47">
        <f t="shared" si="93"/>
        <v>87.4714285714286</v>
      </c>
      <c r="AU76" s="47">
        <f t="shared" si="94"/>
        <v>95.7357142857142</v>
      </c>
      <c r="AV76" s="47">
        <f t="shared" si="95"/>
        <v>88.1071428571429</v>
      </c>
      <c r="AW76" s="47">
        <f t="shared" si="96"/>
        <v>71.7571428571429</v>
      </c>
      <c r="AX76" s="64">
        <f t="shared" si="12"/>
        <v>440.714285714286</v>
      </c>
      <c r="AY76" s="64" t="e">
        <f t="shared" si="13"/>
        <v>#REF!</v>
      </c>
      <c r="BB76" s="69" t="e">
        <f t="shared" si="51"/>
        <v>#REF!</v>
      </c>
      <c r="BC76" s="69"/>
      <c r="BE76" s="70"/>
      <c r="BF76" s="95" t="e">
        <f t="shared" si="15"/>
        <v>#REF!</v>
      </c>
      <c r="BG76" s="65">
        <f t="shared" si="16"/>
        <v>55.4071428571429</v>
      </c>
      <c r="BH76" s="65">
        <f t="shared" si="17"/>
      </c>
      <c r="BI76" s="65" t="e">
        <f t="shared" si="18"/>
        <v>#REF!</v>
      </c>
      <c r="BJ76" s="65">
        <f t="shared" si="19"/>
        <v>42.2357142857142</v>
      </c>
      <c r="BK76" s="65">
        <f t="shared" si="20"/>
      </c>
      <c r="BL76" s="65" t="e">
        <f t="shared" si="21"/>
        <v>#REF!</v>
      </c>
      <c r="BM76" s="65">
        <f t="shared" si="22"/>
        <v>87.4714285714286</v>
      </c>
      <c r="BN76" s="65"/>
      <c r="BO76" s="65" t="e">
        <f t="shared" si="23"/>
        <v>#REF!</v>
      </c>
      <c r="BP76" s="65">
        <f t="shared" si="24"/>
        <v>95.7357142857142</v>
      </c>
      <c r="BQ76" s="65"/>
      <c r="BR76" s="65" t="e">
        <f t="shared" si="25"/>
        <v>#REF!</v>
      </c>
      <c r="BS76" s="65">
        <f t="shared" si="26"/>
        <v>88.1071428571429</v>
      </c>
      <c r="BT76" s="65"/>
      <c r="BU76" s="65" t="e">
        <f t="shared" si="27"/>
        <v>#REF!</v>
      </c>
      <c r="BV76" s="65">
        <f t="shared" si="28"/>
        <v>71.7571428571429</v>
      </c>
      <c r="BW76" s="65"/>
      <c r="BX76" s="65" t="e">
        <f t="shared" si="29"/>
        <v>#REF!</v>
      </c>
    </row>
    <row r="77" ht="14.0">
      <c r="A77" s="93" t="s">
        <v>179</v>
      </c>
      <c r="B77" s="93" t="s">
        <v>110</v>
      </c>
      <c r="C77" s="93" t="s">
        <v>333</v>
      </c>
      <c r="D77" s="93" t="s">
        <v>334</v>
      </c>
      <c r="E77" s="93">
        <v>0.0</v>
      </c>
      <c r="F77" s="93">
        <v>0.0</v>
      </c>
      <c r="G77" s="93">
        <v>0.0</v>
      </c>
      <c r="H77" s="93">
        <v>0.0</v>
      </c>
      <c r="I77" s="93">
        <v>0.0</v>
      </c>
      <c r="J77" s="93">
        <v>0.0</v>
      </c>
      <c r="K77" s="93">
        <v>0.0</v>
      </c>
      <c r="L77" s="93">
        <v>0.0</v>
      </c>
      <c r="M77" s="93">
        <v>0.0</v>
      </c>
      <c r="N77" s="93">
        <v>0.0</v>
      </c>
      <c r="O77" s="93">
        <v>0.0</v>
      </c>
      <c r="P77" s="93">
        <v>0.0</v>
      </c>
      <c r="Q77" s="93">
        <v>0.0</v>
      </c>
      <c r="R77" s="93">
        <v>0.0</v>
      </c>
      <c r="S77" s="93">
        <v>0.0</v>
      </c>
      <c r="T77" s="93">
        <v>0.0</v>
      </c>
      <c r="U77" s="93">
        <v>0.0</v>
      </c>
      <c r="V77" s="93">
        <v>0.0</v>
      </c>
      <c r="W77" s="93">
        <v>0.0</v>
      </c>
      <c r="X77" s="93">
        <v>0.0</v>
      </c>
      <c r="Y77" s="93">
        <v>0.0</v>
      </c>
      <c r="Z77" s="93">
        <v>0.0</v>
      </c>
      <c r="AA77" s="93">
        <v>0.0</v>
      </c>
      <c r="AB77" s="93">
        <v>48.0</v>
      </c>
      <c r="AC77" s="93">
        <v>88.0</v>
      </c>
      <c r="AD77" s="93">
        <v>122.0</v>
      </c>
      <c r="AE77" s="93">
        <v>109.0</v>
      </c>
      <c r="AF77" s="93">
        <v>146.0</v>
      </c>
      <c r="AG77" s="93">
        <v>96.0</v>
      </c>
      <c r="AH77" s="93">
        <v>47.0</v>
      </c>
      <c r="AI77" s="93">
        <v>48.0</v>
      </c>
      <c r="AJ77" s="93">
        <v>61.0</v>
      </c>
      <c r="AK77" s="93">
        <v>81.0</v>
      </c>
      <c r="AL77" s="93">
        <v>36.0</v>
      </c>
      <c r="AM77" s="93">
        <v>51.0</v>
      </c>
      <c r="AN77" s="93">
        <v>30.0</v>
      </c>
      <c r="AO77" s="69">
        <f t="shared" si="3"/>
        <v>915.0</v>
      </c>
      <c r="AP77" s="69">
        <f t="shared" si="4"/>
        <v>307.0</v>
      </c>
      <c r="AQ77" s="69">
        <f t="shared" si="5"/>
        <v>337.7</v>
      </c>
      <c r="AR77" s="47">
        <f t="shared" si="91"/>
        <v>62.3595238095238</v>
      </c>
      <c r="AS77" s="47">
        <f t="shared" si="92"/>
        <v>47.6642857142857</v>
      </c>
      <c r="AT77" s="47">
        <f t="shared" si="93"/>
        <v>98.3285714285714</v>
      </c>
      <c r="AU77" s="47">
        <f t="shared" si="94"/>
        <v>107.830952380952</v>
      </c>
      <c r="AV77" s="47">
        <f t="shared" si="95"/>
        <v>99.0595238095238</v>
      </c>
      <c r="AW77" s="47">
        <f t="shared" si="96"/>
        <v>80.7095238095238</v>
      </c>
      <c r="AX77" s="64">
        <f t="shared" si="12"/>
        <v>495.95238095238</v>
      </c>
      <c r="AY77" s="64" t="e">
        <f t="shared" si="13"/>
        <v>#REF!</v>
      </c>
      <c r="BB77" s="69" t="e">
        <f t="shared" si="51"/>
        <v>#REF!</v>
      </c>
      <c r="BC77" s="69"/>
      <c r="BE77" s="70"/>
      <c r="BF77" s="95" t="e">
        <f t="shared" si="15"/>
        <v>#REF!</v>
      </c>
      <c r="BG77" s="65">
        <f t="shared" si="16"/>
        <v>62.3595238095238</v>
      </c>
      <c r="BH77" s="65">
        <f t="shared" si="17"/>
      </c>
      <c r="BI77" s="65" t="e">
        <f t="shared" si="18"/>
        <v>#REF!</v>
      </c>
      <c r="BJ77" s="65">
        <f t="shared" si="19"/>
        <v>47.6642857142857</v>
      </c>
      <c r="BK77" s="65">
        <f t="shared" si="20"/>
      </c>
      <c r="BL77" s="65" t="e">
        <f t="shared" si="21"/>
        <v>#REF!</v>
      </c>
      <c r="BM77" s="65">
        <f t="shared" si="22"/>
        <v>98.3285714285714</v>
      </c>
      <c r="BN77" s="65"/>
      <c r="BO77" s="65" t="e">
        <f t="shared" si="23"/>
        <v>#REF!</v>
      </c>
      <c r="BP77" s="65">
        <f t="shared" si="24"/>
        <v>107.830952380952</v>
      </c>
      <c r="BQ77" s="65"/>
      <c r="BR77" s="65" t="e">
        <f t="shared" si="25"/>
        <v>#REF!</v>
      </c>
      <c r="BS77" s="65">
        <f t="shared" si="26"/>
        <v>99.0595238095238</v>
      </c>
      <c r="BT77" s="65"/>
      <c r="BU77" s="65" t="e">
        <f t="shared" si="27"/>
        <v>#REF!</v>
      </c>
      <c r="BV77" s="65">
        <f t="shared" si="28"/>
        <v>80.7095238095238</v>
      </c>
      <c r="BW77" s="65"/>
      <c r="BX77" s="65" t="e">
        <f t="shared" si="29"/>
        <v>#REF!</v>
      </c>
    </row>
    <row r="78" ht="14.0">
      <c r="A78" s="93" t="s">
        <v>179</v>
      </c>
      <c r="B78" s="93" t="s">
        <v>110</v>
      </c>
      <c r="C78" s="93" t="s">
        <v>335</v>
      </c>
      <c r="D78" s="93" t="s">
        <v>336</v>
      </c>
      <c r="E78" s="93">
        <v>0.0</v>
      </c>
      <c r="F78" s="93">
        <v>0.0</v>
      </c>
      <c r="G78" s="93">
        <v>0.0</v>
      </c>
      <c r="H78" s="93">
        <v>0.0</v>
      </c>
      <c r="I78" s="93">
        <v>0.0</v>
      </c>
      <c r="J78" s="93">
        <v>0.0</v>
      </c>
      <c r="K78" s="93">
        <v>0.0</v>
      </c>
      <c r="L78" s="93">
        <v>0.0</v>
      </c>
      <c r="M78" s="93">
        <v>0.0</v>
      </c>
      <c r="N78" s="93">
        <v>0.0</v>
      </c>
      <c r="O78" s="93">
        <v>0.0</v>
      </c>
      <c r="P78" s="93">
        <v>0.0</v>
      </c>
      <c r="Q78" s="93">
        <v>0.0</v>
      </c>
      <c r="R78" s="93">
        <v>0.0</v>
      </c>
      <c r="S78" s="93">
        <v>0.0</v>
      </c>
      <c r="T78" s="93">
        <v>0.0</v>
      </c>
      <c r="U78" s="93">
        <v>0.0</v>
      </c>
      <c r="V78" s="93">
        <v>0.0</v>
      </c>
      <c r="W78" s="93">
        <v>0.0</v>
      </c>
      <c r="X78" s="93">
        <v>0.0</v>
      </c>
      <c r="Y78" s="93">
        <v>0.0</v>
      </c>
      <c r="Z78" s="93">
        <v>0.0</v>
      </c>
      <c r="AA78" s="93">
        <v>0.0</v>
      </c>
      <c r="AB78" s="93">
        <v>36.0</v>
      </c>
      <c r="AC78" s="93">
        <v>54.0</v>
      </c>
      <c r="AD78" s="93">
        <v>45.0</v>
      </c>
      <c r="AE78" s="93">
        <v>54.0</v>
      </c>
      <c r="AF78" s="93">
        <v>45.0</v>
      </c>
      <c r="AG78" s="93">
        <v>54.0</v>
      </c>
      <c r="AH78" s="93">
        <v>45.0</v>
      </c>
      <c r="AI78" s="93">
        <v>35.0</v>
      </c>
      <c r="AJ78" s="93">
        <v>37.0</v>
      </c>
      <c r="AK78" s="93">
        <v>27.0</v>
      </c>
      <c r="AL78" s="93">
        <v>0.0</v>
      </c>
      <c r="AM78" s="93">
        <v>24.0</v>
      </c>
      <c r="AN78" s="93">
        <v>3.0</v>
      </c>
      <c r="AO78" s="69">
        <f t="shared" si="3"/>
        <v>423.0</v>
      </c>
      <c r="AP78" s="69">
        <f t="shared" si="4"/>
        <v>126.0</v>
      </c>
      <c r="AQ78" s="69">
        <f t="shared" si="5"/>
        <v>138.6</v>
      </c>
      <c r="AR78" s="47">
        <f t="shared" si="91"/>
        <v>30.9</v>
      </c>
      <c r="AS78" s="47">
        <f t="shared" si="92"/>
        <v>23.1</v>
      </c>
      <c r="AT78" s="47">
        <f t="shared" si="93"/>
        <v>49.2</v>
      </c>
      <c r="AU78" s="47">
        <f t="shared" si="94"/>
        <v>53.1</v>
      </c>
      <c r="AV78" s="47">
        <f t="shared" si="95"/>
        <v>49.5</v>
      </c>
      <c r="AW78" s="47">
        <f t="shared" si="96"/>
        <v>40.2</v>
      </c>
      <c r="AX78" s="64">
        <f t="shared" si="12"/>
        <v>246.0</v>
      </c>
      <c r="AY78" s="64" t="e">
        <f t="shared" si="13"/>
        <v>#REF!</v>
      </c>
      <c r="BB78" s="69" t="e">
        <f t="shared" si="51"/>
        <v>#REF!</v>
      </c>
      <c r="BC78" s="69"/>
      <c r="BE78" s="70"/>
      <c r="BF78" s="95" t="e">
        <f t="shared" si="15"/>
        <v>#REF!</v>
      </c>
      <c r="BG78" s="65">
        <f t="shared" si="16"/>
        <v>30.9</v>
      </c>
      <c r="BH78" s="65">
        <f t="shared" si="17"/>
      </c>
      <c r="BI78" s="65" t="e">
        <f t="shared" si="18"/>
        <v>#REF!</v>
      </c>
      <c r="BJ78" s="65">
        <f t="shared" si="19"/>
        <v>23.1</v>
      </c>
      <c r="BK78" s="65">
        <f t="shared" si="20"/>
      </c>
      <c r="BL78" s="65" t="e">
        <f t="shared" si="21"/>
        <v>#REF!</v>
      </c>
      <c r="BM78" s="65">
        <f t="shared" si="22"/>
        <v>49.2</v>
      </c>
      <c r="BN78" s="65"/>
      <c r="BO78" s="65" t="e">
        <f t="shared" si="23"/>
        <v>#REF!</v>
      </c>
      <c r="BP78" s="65">
        <f t="shared" si="24"/>
        <v>53.1</v>
      </c>
      <c r="BQ78" s="65"/>
      <c r="BR78" s="65" t="e">
        <f t="shared" si="25"/>
        <v>#REF!</v>
      </c>
      <c r="BS78" s="65">
        <f t="shared" si="26"/>
        <v>49.5</v>
      </c>
      <c r="BT78" s="65"/>
      <c r="BU78" s="65" t="e">
        <f t="shared" si="27"/>
        <v>#REF!</v>
      </c>
      <c r="BV78" s="65">
        <f t="shared" si="28"/>
        <v>40.2</v>
      </c>
      <c r="BW78" s="65"/>
      <c r="BX78" s="65" t="e">
        <f t="shared" si="29"/>
        <v>#REF!</v>
      </c>
    </row>
    <row r="79" ht="14.0">
      <c r="A79" s="93" t="s">
        <v>179</v>
      </c>
      <c r="B79" s="93" t="s">
        <v>110</v>
      </c>
      <c r="C79" s="93" t="s">
        <v>337</v>
      </c>
      <c r="D79" s="93" t="s">
        <v>338</v>
      </c>
      <c r="E79" s="93">
        <v>0.0</v>
      </c>
      <c r="F79" s="93">
        <v>0.0</v>
      </c>
      <c r="G79" s="93">
        <v>0.0</v>
      </c>
      <c r="H79" s="93">
        <v>0.0</v>
      </c>
      <c r="I79" s="93">
        <v>0.0</v>
      </c>
      <c r="J79" s="93">
        <v>0.0</v>
      </c>
      <c r="K79" s="93">
        <v>0.0</v>
      </c>
      <c r="L79" s="93">
        <v>0.0</v>
      </c>
      <c r="M79" s="93">
        <v>0.0</v>
      </c>
      <c r="N79" s="93">
        <v>0.0</v>
      </c>
      <c r="O79" s="93">
        <v>0.0</v>
      </c>
      <c r="P79" s="93">
        <v>0.0</v>
      </c>
      <c r="Q79" s="93">
        <v>0.0</v>
      </c>
      <c r="R79" s="93">
        <v>0.0</v>
      </c>
      <c r="S79" s="93">
        <v>0.0</v>
      </c>
      <c r="T79" s="93">
        <v>0.0</v>
      </c>
      <c r="U79" s="93">
        <v>0.0</v>
      </c>
      <c r="V79" s="93">
        <v>0.0</v>
      </c>
      <c r="W79" s="93">
        <v>0.0</v>
      </c>
      <c r="X79" s="93">
        <v>0.0</v>
      </c>
      <c r="Y79" s="93">
        <v>0.0</v>
      </c>
      <c r="Z79" s="93">
        <v>0.0</v>
      </c>
      <c r="AA79" s="93">
        <v>0.0</v>
      </c>
      <c r="AB79" s="93">
        <v>0.0</v>
      </c>
      <c r="AC79" s="93">
        <v>0.0</v>
      </c>
      <c r="AD79" s="93">
        <v>0.0</v>
      </c>
      <c r="AE79" s="93">
        <v>0.0</v>
      </c>
      <c r="AF79" s="93">
        <v>0.0</v>
      </c>
      <c r="AG79" s="93">
        <v>0.0</v>
      </c>
      <c r="AH79" s="93">
        <v>0.0</v>
      </c>
      <c r="AI79" s="93">
        <v>0.0</v>
      </c>
      <c r="AJ79" s="93">
        <v>21.0</v>
      </c>
      <c r="AK79" s="93">
        <v>215.0</v>
      </c>
      <c r="AL79" s="93">
        <v>186.0</v>
      </c>
      <c r="AM79" s="93">
        <v>109.0</v>
      </c>
      <c r="AN79" s="93">
        <v>84.0</v>
      </c>
      <c r="AO79" s="69">
        <f t="shared" si="3"/>
        <v>615.0</v>
      </c>
      <c r="AP79" s="69">
        <f t="shared" si="4"/>
        <v>615.0</v>
      </c>
      <c r="AQ79" s="69">
        <f t="shared" si="5"/>
        <v>676.5</v>
      </c>
      <c r="AR79" s="101">
        <f t="shared" ref="AR79:AR80" si="98">AVERAGE(AK79:AN79)</f>
        <v>148.5</v>
      </c>
      <c r="AS79" s="101">
        <f t="shared" ref="AS79:AS80" si="99">AR79*1.1</f>
        <v>163.35</v>
      </c>
      <c r="AT79" s="101">
        <f t="shared" ref="AT79:AT80" si="100">AS79*1.1</f>
        <v>179.685</v>
      </c>
      <c r="AU79" s="101">
        <f t="shared" ref="AU79:AU80" si="101">AT79*1.1</f>
        <v>197.6535</v>
      </c>
      <c r="AV79" s="101">
        <f t="shared" ref="AV79:AV80" si="102">AU79*1.1</f>
        <v>217.41885</v>
      </c>
      <c r="AW79" s="101">
        <f t="shared" ref="AW79:AW80" si="103">AV79*1.1</f>
        <v>239.160735</v>
      </c>
      <c r="AX79" s="64">
        <f t="shared" si="12"/>
        <v>1145.768085</v>
      </c>
      <c r="AY79" s="64" t="e">
        <f t="shared" si="13"/>
        <v>#REF!</v>
      </c>
      <c r="BB79" s="69" t="e">
        <f t="shared" si="51"/>
        <v>#REF!</v>
      </c>
      <c r="BC79" s="69"/>
      <c r="BE79" s="70"/>
      <c r="BF79" s="95" t="e">
        <f t="shared" si="15"/>
        <v>#REF!</v>
      </c>
      <c r="BG79" s="65">
        <f t="shared" si="16"/>
        <v>148.5</v>
      </c>
      <c r="BH79" s="65">
        <f t="shared" si="17"/>
      </c>
      <c r="BI79" s="65" t="e">
        <f t="shared" si="18"/>
        <v>#REF!</v>
      </c>
      <c r="BJ79" s="65">
        <f t="shared" si="19"/>
        <v>163.35</v>
      </c>
      <c r="BK79" s="65">
        <f t="shared" si="20"/>
      </c>
      <c r="BL79" s="65" t="e">
        <f t="shared" si="21"/>
        <v>#REF!</v>
      </c>
      <c r="BM79" s="65">
        <f t="shared" si="22"/>
        <v>179.685</v>
      </c>
      <c r="BN79" s="65"/>
      <c r="BO79" s="65" t="e">
        <f t="shared" si="23"/>
        <v>#REF!</v>
      </c>
      <c r="BP79" s="65">
        <f t="shared" si="24"/>
        <v>197.6535</v>
      </c>
      <c r="BQ79" s="65"/>
      <c r="BR79" s="65" t="e">
        <f t="shared" si="25"/>
        <v>#REF!</v>
      </c>
      <c r="BS79" s="65">
        <f t="shared" si="26"/>
        <v>217.41885</v>
      </c>
      <c r="BT79" s="65"/>
      <c r="BU79" s="65" t="e">
        <f t="shared" si="27"/>
        <v>#REF!</v>
      </c>
      <c r="BV79" s="65">
        <f t="shared" si="28"/>
        <v>239.160735</v>
      </c>
      <c r="BW79" s="65"/>
      <c r="BX79" s="65" t="e">
        <f t="shared" si="29"/>
        <v>#REF!</v>
      </c>
    </row>
    <row r="80" ht="14.0">
      <c r="A80" s="93" t="s">
        <v>179</v>
      </c>
      <c r="B80" s="93" t="s">
        <v>110</v>
      </c>
      <c r="C80" s="93" t="s">
        <v>339</v>
      </c>
      <c r="D80" s="93" t="s">
        <v>340</v>
      </c>
      <c r="E80" s="93">
        <v>0.0</v>
      </c>
      <c r="F80" s="93">
        <v>0.0</v>
      </c>
      <c r="G80" s="93">
        <v>0.0</v>
      </c>
      <c r="H80" s="93">
        <v>0.0</v>
      </c>
      <c r="I80" s="93">
        <v>0.0</v>
      </c>
      <c r="J80" s="93">
        <v>0.0</v>
      </c>
      <c r="K80" s="93">
        <v>0.0</v>
      </c>
      <c r="L80" s="93">
        <v>0.0</v>
      </c>
      <c r="M80" s="93">
        <v>0.0</v>
      </c>
      <c r="N80" s="93">
        <v>0.0</v>
      </c>
      <c r="O80" s="93">
        <v>0.0</v>
      </c>
      <c r="P80" s="93">
        <v>0.0</v>
      </c>
      <c r="Q80" s="93">
        <v>0.0</v>
      </c>
      <c r="R80" s="93">
        <v>0.0</v>
      </c>
      <c r="S80" s="93">
        <v>0.0</v>
      </c>
      <c r="T80" s="93">
        <v>0.0</v>
      </c>
      <c r="U80" s="93">
        <v>0.0</v>
      </c>
      <c r="V80" s="93">
        <v>0.0</v>
      </c>
      <c r="W80" s="93">
        <v>0.0</v>
      </c>
      <c r="X80" s="93">
        <v>0.0</v>
      </c>
      <c r="Y80" s="93">
        <v>0.0</v>
      </c>
      <c r="Z80" s="93">
        <v>0.0</v>
      </c>
      <c r="AA80" s="93">
        <v>0.0</v>
      </c>
      <c r="AB80" s="93">
        <v>0.0</v>
      </c>
      <c r="AC80" s="93">
        <v>0.0</v>
      </c>
      <c r="AD80" s="93">
        <v>0.0</v>
      </c>
      <c r="AE80" s="93">
        <v>0.0</v>
      </c>
      <c r="AF80" s="93">
        <v>0.0</v>
      </c>
      <c r="AG80" s="93">
        <v>0.0</v>
      </c>
      <c r="AH80" s="93">
        <v>0.0</v>
      </c>
      <c r="AI80" s="93">
        <v>0.0</v>
      </c>
      <c r="AJ80" s="93">
        <v>12.0</v>
      </c>
      <c r="AK80" s="93">
        <v>165.0</v>
      </c>
      <c r="AL80" s="93">
        <v>147.0</v>
      </c>
      <c r="AM80" s="93">
        <v>69.0</v>
      </c>
      <c r="AN80" s="93">
        <v>36.0</v>
      </c>
      <c r="AO80" s="69">
        <f t="shared" si="3"/>
        <v>429.0</v>
      </c>
      <c r="AP80" s="69">
        <f t="shared" si="4"/>
        <v>429.0</v>
      </c>
      <c r="AQ80" s="69">
        <f t="shared" si="5"/>
        <v>471.9</v>
      </c>
      <c r="AR80" s="102">
        <f t="shared" si="98"/>
        <v>104.25</v>
      </c>
      <c r="AS80" s="102">
        <f t="shared" si="99"/>
        <v>114.675</v>
      </c>
      <c r="AT80" s="102">
        <f t="shared" si="100"/>
        <v>126.1425</v>
      </c>
      <c r="AU80" s="102">
        <f t="shared" si="101"/>
        <v>138.75675</v>
      </c>
      <c r="AV80" s="102">
        <f t="shared" si="102"/>
        <v>152.632425</v>
      </c>
      <c r="AW80" s="102">
        <f t="shared" si="103"/>
        <v>167.8956675</v>
      </c>
      <c r="AX80" s="64">
        <f t="shared" si="12"/>
        <v>804.3523425</v>
      </c>
      <c r="AY80" s="64" t="e">
        <f t="shared" si="13"/>
        <v>#REF!</v>
      </c>
      <c r="BB80" s="69" t="e">
        <f t="shared" si="51"/>
        <v>#REF!</v>
      </c>
      <c r="BC80" s="69"/>
      <c r="BE80" s="70"/>
      <c r="BF80" s="95" t="e">
        <f t="shared" si="15"/>
        <v>#REF!</v>
      </c>
      <c r="BG80" s="65">
        <f t="shared" si="16"/>
        <v>104.25</v>
      </c>
      <c r="BH80" s="65">
        <f t="shared" si="17"/>
      </c>
      <c r="BI80" s="65" t="e">
        <f t="shared" si="18"/>
        <v>#REF!</v>
      </c>
      <c r="BJ80" s="65">
        <f t="shared" si="19"/>
        <v>114.675</v>
      </c>
      <c r="BK80" s="65">
        <f t="shared" si="20"/>
      </c>
      <c r="BL80" s="65" t="e">
        <f t="shared" si="21"/>
        <v>#REF!</v>
      </c>
      <c r="BM80" s="65">
        <f t="shared" si="22"/>
        <v>126.1425</v>
      </c>
      <c r="BN80" s="65"/>
      <c r="BO80" s="65" t="e">
        <f t="shared" si="23"/>
        <v>#REF!</v>
      </c>
      <c r="BP80" s="65">
        <f t="shared" si="24"/>
        <v>138.75675</v>
      </c>
      <c r="BQ80" s="65"/>
      <c r="BR80" s="65" t="e">
        <f t="shared" si="25"/>
        <v>#REF!</v>
      </c>
      <c r="BS80" s="65">
        <f t="shared" si="26"/>
        <v>152.632425</v>
      </c>
      <c r="BT80" s="65"/>
      <c r="BU80" s="65" t="e">
        <f t="shared" si="27"/>
        <v>#REF!</v>
      </c>
      <c r="BV80" s="65">
        <f t="shared" si="28"/>
        <v>167.8956675</v>
      </c>
      <c r="BW80" s="65"/>
      <c r="BX80" s="65" t="e">
        <f t="shared" si="29"/>
        <v>#REF!</v>
      </c>
    </row>
    <row r="81" ht="14.0">
      <c r="A81" s="93" t="s">
        <v>179</v>
      </c>
      <c r="B81" s="93" t="s">
        <v>110</v>
      </c>
      <c r="C81" s="93" t="s">
        <v>341</v>
      </c>
      <c r="D81" s="93" t="s">
        <v>342</v>
      </c>
      <c r="E81" s="93">
        <v>0.0</v>
      </c>
      <c r="F81" s="93">
        <v>0.0</v>
      </c>
      <c r="G81" s="93">
        <v>0.0</v>
      </c>
      <c r="H81" s="93">
        <v>0.0</v>
      </c>
      <c r="I81" s="93">
        <v>0.0</v>
      </c>
      <c r="J81" s="93">
        <v>0.0</v>
      </c>
      <c r="K81" s="93">
        <v>0.0</v>
      </c>
      <c r="L81" s="93">
        <v>0.0</v>
      </c>
      <c r="M81" s="93">
        <v>0.0</v>
      </c>
      <c r="N81" s="93">
        <v>0.0</v>
      </c>
      <c r="O81" s="93">
        <v>0.0</v>
      </c>
      <c r="P81" s="93">
        <v>0.0</v>
      </c>
      <c r="Q81" s="93">
        <v>0.0</v>
      </c>
      <c r="R81" s="93">
        <v>0.0</v>
      </c>
      <c r="S81" s="93">
        <v>0.0</v>
      </c>
      <c r="T81" s="93">
        <v>0.0</v>
      </c>
      <c r="U81" s="93">
        <v>0.0</v>
      </c>
      <c r="V81" s="93">
        <v>0.0</v>
      </c>
      <c r="W81" s="93">
        <v>0.0</v>
      </c>
      <c r="X81" s="93">
        <v>0.0</v>
      </c>
      <c r="Y81" s="93">
        <v>0.0</v>
      </c>
      <c r="Z81" s="93">
        <v>0.0</v>
      </c>
      <c r="AA81" s="93">
        <v>0.0</v>
      </c>
      <c r="AB81" s="93">
        <v>0.0</v>
      </c>
      <c r="AC81" s="93">
        <v>0.0</v>
      </c>
      <c r="AD81" s="93">
        <v>0.0</v>
      </c>
      <c r="AE81" s="93">
        <v>0.0</v>
      </c>
      <c r="AF81" s="93">
        <v>0.0</v>
      </c>
      <c r="AG81" s="93">
        <v>0.0</v>
      </c>
      <c r="AH81" s="93">
        <v>0.0</v>
      </c>
      <c r="AI81" s="93">
        <v>0.0</v>
      </c>
      <c r="AJ81" s="93">
        <v>0.0</v>
      </c>
      <c r="AK81" s="93">
        <v>24.0</v>
      </c>
      <c r="AL81" s="93">
        <v>36.0</v>
      </c>
      <c r="AM81" s="93">
        <v>6.0</v>
      </c>
      <c r="AN81" s="93">
        <v>24.0</v>
      </c>
      <c r="AO81" s="69">
        <f t="shared" si="3"/>
        <v>90.0</v>
      </c>
      <c r="AP81" s="69">
        <f t="shared" si="4"/>
        <v>90.0</v>
      </c>
      <c r="AQ81" s="69">
        <f t="shared" si="5"/>
        <v>99.0</v>
      </c>
      <c r="AR81" s="47">
        <f t="shared" ref="AR81:AR82" si="104">AQ81*$AR$4/$AQ$4</f>
        <v>15.6428571428571</v>
      </c>
      <c r="AS81" s="47">
        <f t="shared" ref="AS81:AS82" si="105">AQ81*$AS$4/$AQ$4</f>
        <v>12.2142857142857</v>
      </c>
      <c r="AT81" s="47">
        <f t="shared" ref="AT81:AT82" si="106">AQ81*$AT$4/$AQ$4</f>
        <v>24.4285714285714</v>
      </c>
      <c r="AU81" s="47">
        <f t="shared" ref="AU81:AU82" si="107">AQ81*$AU$4/$AQ$4</f>
        <v>27.2142857142857</v>
      </c>
      <c r="AV81" s="47">
        <f t="shared" ref="AV81:AV82" si="108">AQ81*$AV$4/$AQ$4</f>
        <v>24.6428571428571</v>
      </c>
      <c r="AW81" s="47">
        <f t="shared" ref="AW81:AW82" si="109">AQ81*$AW$4/$AQ$4</f>
        <v>20.1428571428571</v>
      </c>
      <c r="AX81" s="64">
        <f t="shared" si="12"/>
        <v>124.285714285714</v>
      </c>
      <c r="AY81" s="64" t="e">
        <f t="shared" si="13"/>
        <v>#REF!</v>
      </c>
      <c r="BB81" s="69" t="e">
        <f t="shared" si="51"/>
        <v>#REF!</v>
      </c>
      <c r="BC81" s="69"/>
      <c r="BE81" s="70"/>
      <c r="BF81" s="95" t="e">
        <f t="shared" si="15"/>
        <v>#REF!</v>
      </c>
      <c r="BG81" s="65">
        <f t="shared" si="16"/>
        <v>15.6428571428571</v>
      </c>
      <c r="BH81" s="65">
        <f t="shared" si="17"/>
      </c>
      <c r="BI81" s="65" t="e">
        <f t="shared" si="18"/>
        <v>#REF!</v>
      </c>
      <c r="BJ81" s="65">
        <f t="shared" si="19"/>
        <v>12.2142857142857</v>
      </c>
      <c r="BK81" s="65">
        <f t="shared" si="20"/>
      </c>
      <c r="BL81" s="65" t="e">
        <f t="shared" si="21"/>
        <v>#REF!</v>
      </c>
      <c r="BM81" s="65">
        <f t="shared" si="22"/>
        <v>24.4285714285714</v>
      </c>
      <c r="BN81" s="65"/>
      <c r="BO81" s="65" t="e">
        <f t="shared" si="23"/>
        <v>#REF!</v>
      </c>
      <c r="BP81" s="65">
        <f t="shared" si="24"/>
        <v>27.2142857142857</v>
      </c>
      <c r="BQ81" s="65"/>
      <c r="BR81" s="65" t="e">
        <f t="shared" si="25"/>
        <v>#REF!</v>
      </c>
      <c r="BS81" s="65">
        <f t="shared" si="26"/>
        <v>24.6428571428571</v>
      </c>
      <c r="BT81" s="65"/>
      <c r="BU81" s="65" t="e">
        <f t="shared" si="27"/>
        <v>#REF!</v>
      </c>
      <c r="BV81" s="65">
        <f t="shared" si="28"/>
        <v>20.1428571428571</v>
      </c>
      <c r="BW81" s="65"/>
      <c r="BX81" s="65" t="e">
        <f t="shared" si="29"/>
        <v>#REF!</v>
      </c>
    </row>
    <row r="82" ht="14.0">
      <c r="A82" s="93" t="s">
        <v>179</v>
      </c>
      <c r="B82" s="93" t="s">
        <v>110</v>
      </c>
      <c r="C82" s="93" t="s">
        <v>343</v>
      </c>
      <c r="D82" s="93" t="s">
        <v>344</v>
      </c>
      <c r="E82" s="93">
        <v>0.0</v>
      </c>
      <c r="F82" s="93">
        <v>0.0</v>
      </c>
      <c r="G82" s="93">
        <v>0.0</v>
      </c>
      <c r="H82" s="93">
        <v>0.0</v>
      </c>
      <c r="I82" s="93">
        <v>0.0</v>
      </c>
      <c r="J82" s="93">
        <v>0.0</v>
      </c>
      <c r="K82" s="93">
        <v>0.0</v>
      </c>
      <c r="L82" s="93">
        <v>0.0</v>
      </c>
      <c r="M82" s="93">
        <v>0.0</v>
      </c>
      <c r="N82" s="93">
        <v>0.0</v>
      </c>
      <c r="O82" s="93">
        <v>0.0</v>
      </c>
      <c r="P82" s="93">
        <v>0.0</v>
      </c>
      <c r="Q82" s="93">
        <v>0.0</v>
      </c>
      <c r="R82" s="93">
        <v>0.0</v>
      </c>
      <c r="S82" s="93">
        <v>0.0</v>
      </c>
      <c r="T82" s="93">
        <v>0.0</v>
      </c>
      <c r="U82" s="93">
        <v>0.0</v>
      </c>
      <c r="V82" s="93">
        <v>0.0</v>
      </c>
      <c r="W82" s="93">
        <v>0.0</v>
      </c>
      <c r="X82" s="93">
        <v>0.0</v>
      </c>
      <c r="Y82" s="93">
        <v>0.0</v>
      </c>
      <c r="Z82" s="93">
        <v>0.0</v>
      </c>
      <c r="AA82" s="93">
        <v>0.0</v>
      </c>
      <c r="AB82" s="93">
        <v>0.0</v>
      </c>
      <c r="AC82" s="93">
        <v>0.0</v>
      </c>
      <c r="AD82" s="93">
        <v>0.0</v>
      </c>
      <c r="AE82" s="93">
        <v>0.0</v>
      </c>
      <c r="AF82" s="93">
        <v>0.0</v>
      </c>
      <c r="AG82" s="93">
        <v>0.0</v>
      </c>
      <c r="AH82" s="93">
        <v>0.0</v>
      </c>
      <c r="AI82" s="93">
        <v>0.0</v>
      </c>
      <c r="AJ82" s="93">
        <v>0.0</v>
      </c>
      <c r="AK82" s="93">
        <v>18.0</v>
      </c>
      <c r="AL82" s="93">
        <v>30.0</v>
      </c>
      <c r="AM82" s="93">
        <v>6.0</v>
      </c>
      <c r="AN82" s="93">
        <v>12.0</v>
      </c>
      <c r="AO82" s="69">
        <f t="shared" si="3"/>
        <v>66.0</v>
      </c>
      <c r="AP82" s="69">
        <f t="shared" si="4"/>
        <v>66.0</v>
      </c>
      <c r="AQ82" s="69">
        <f t="shared" si="5"/>
        <v>72.6</v>
      </c>
      <c r="AR82" s="47">
        <f t="shared" si="104"/>
        <v>11.4714285714286</v>
      </c>
      <c r="AS82" s="47">
        <f t="shared" si="105"/>
        <v>8.95714285714286</v>
      </c>
      <c r="AT82" s="47">
        <f t="shared" si="106"/>
        <v>17.9142857142857</v>
      </c>
      <c r="AU82" s="47">
        <f t="shared" si="107"/>
        <v>19.957142857142</v>
      </c>
      <c r="AV82" s="47">
        <f t="shared" si="108"/>
        <v>18.071428571429</v>
      </c>
      <c r="AW82" s="47">
        <f t="shared" si="109"/>
        <v>14.771428571429</v>
      </c>
      <c r="AX82" s="64">
        <f t="shared" si="12"/>
        <v>91.1428571428571</v>
      </c>
      <c r="AY82" s="64" t="e">
        <f t="shared" si="13"/>
        <v>#REF!</v>
      </c>
      <c r="BB82" s="69" t="e">
        <f t="shared" si="51"/>
        <v>#REF!</v>
      </c>
      <c r="BC82" s="69"/>
      <c r="BE82" s="70"/>
      <c r="BF82" s="95" t="e">
        <f t="shared" si="15"/>
        <v>#REF!</v>
      </c>
      <c r="BG82" s="65">
        <f t="shared" si="16"/>
        <v>11.4714285714286</v>
      </c>
      <c r="BH82" s="65">
        <f t="shared" si="17"/>
      </c>
      <c r="BI82" s="65" t="e">
        <f t="shared" si="18"/>
        <v>#REF!</v>
      </c>
      <c r="BJ82" s="65">
        <f t="shared" si="19"/>
        <v>8.95714285714286</v>
      </c>
      <c r="BK82" s="65">
        <f t="shared" si="20"/>
      </c>
      <c r="BL82" s="65" t="e">
        <f t="shared" si="21"/>
        <v>#REF!</v>
      </c>
      <c r="BM82" s="65">
        <f t="shared" si="22"/>
        <v>17.9142857142857</v>
      </c>
      <c r="BN82" s="65"/>
      <c r="BO82" s="65" t="e">
        <f t="shared" si="23"/>
        <v>#REF!</v>
      </c>
      <c r="BP82" s="65">
        <f t="shared" si="24"/>
        <v>19.957142857142</v>
      </c>
      <c r="BQ82" s="65"/>
      <c r="BR82" s="65" t="e">
        <f t="shared" si="25"/>
        <v>#REF!</v>
      </c>
      <c r="BS82" s="65">
        <f t="shared" si="26"/>
        <v>18.071428571429</v>
      </c>
      <c r="BT82" s="65"/>
      <c r="BU82" s="65" t="e">
        <f t="shared" si="27"/>
        <v>#REF!</v>
      </c>
      <c r="BV82" s="65">
        <f t="shared" si="28"/>
        <v>14.771428571429</v>
      </c>
      <c r="BW82" s="65"/>
      <c r="BX82" s="65" t="e">
        <f t="shared" si="29"/>
        <v>#REF!</v>
      </c>
    </row>
    <row r="83" ht="14.0">
      <c r="A83" s="93" t="s">
        <v>179</v>
      </c>
      <c r="B83" s="93" t="s">
        <v>110</v>
      </c>
      <c r="C83" s="93" t="s">
        <v>345</v>
      </c>
      <c r="D83" s="93" t="s">
        <v>346</v>
      </c>
      <c r="E83" s="93">
        <v>0.0</v>
      </c>
      <c r="F83" s="93">
        <v>0.0</v>
      </c>
      <c r="G83" s="93">
        <v>0.0</v>
      </c>
      <c r="H83" s="93">
        <v>0.0</v>
      </c>
      <c r="I83" s="93">
        <v>0.0</v>
      </c>
      <c r="J83" s="93">
        <v>0.0</v>
      </c>
      <c r="K83" s="93">
        <v>0.0</v>
      </c>
      <c r="L83" s="93">
        <v>0.0</v>
      </c>
      <c r="M83" s="93">
        <v>0.0</v>
      </c>
      <c r="N83" s="93">
        <v>0.0</v>
      </c>
      <c r="O83" s="93">
        <v>0.0</v>
      </c>
      <c r="P83" s="93">
        <v>0.0</v>
      </c>
      <c r="Q83" s="93">
        <v>0.0</v>
      </c>
      <c r="R83" s="93">
        <v>0.0</v>
      </c>
      <c r="S83" s="93">
        <v>0.0</v>
      </c>
      <c r="T83" s="93">
        <v>0.0</v>
      </c>
      <c r="U83" s="93">
        <v>0.0</v>
      </c>
      <c r="V83" s="93">
        <v>0.0</v>
      </c>
      <c r="W83" s="93">
        <v>0.0</v>
      </c>
      <c r="X83" s="93">
        <v>0.0</v>
      </c>
      <c r="Y83" s="93">
        <v>0.0</v>
      </c>
      <c r="Z83" s="93">
        <v>0.0</v>
      </c>
      <c r="AA83" s="93">
        <v>0.0</v>
      </c>
      <c r="AB83" s="93">
        <v>1.0</v>
      </c>
      <c r="AC83" s="93">
        <v>12.0</v>
      </c>
      <c r="AD83" s="93">
        <v>10.0</v>
      </c>
      <c r="AE83" s="93">
        <v>10.0</v>
      </c>
      <c r="AF83" s="93">
        <v>5.0</v>
      </c>
      <c r="AG83" s="93">
        <v>2.0</v>
      </c>
      <c r="AH83" s="93">
        <v>5.0</v>
      </c>
      <c r="AI83" s="93">
        <v>7.0</v>
      </c>
      <c r="AJ83" s="93">
        <v>2.0</v>
      </c>
      <c r="AK83" s="93">
        <v>3.0</v>
      </c>
      <c r="AL83" s="93">
        <v>1.0</v>
      </c>
      <c r="AM83" s="93">
        <v>1.0</v>
      </c>
      <c r="AN83" s="93">
        <v>3.0</v>
      </c>
      <c r="AO83" s="69">
        <f t="shared" si="3"/>
        <v>61.0</v>
      </c>
      <c r="AP83" s="69">
        <f t="shared" si="4"/>
        <v>17.0</v>
      </c>
      <c r="AQ83" s="69">
        <f t="shared" si="5"/>
        <v>18.7</v>
      </c>
      <c r="AR83" s="97">
        <v>3.0</v>
      </c>
      <c r="AS83" s="97">
        <v>2.0</v>
      </c>
      <c r="AT83" s="97">
        <v>5.0</v>
      </c>
      <c r="AU83" s="97">
        <v>5.0</v>
      </c>
      <c r="AV83" s="97">
        <v>5.0</v>
      </c>
      <c r="AW83" s="97">
        <v>4.0</v>
      </c>
      <c r="AX83" s="64">
        <f t="shared" si="12"/>
        <v>24.0</v>
      </c>
      <c r="AY83" s="64" t="e">
        <f t="shared" si="13"/>
        <v>#REF!</v>
      </c>
      <c r="BA83" s="69"/>
      <c r="BB83" s="69"/>
      <c r="BC83" s="69"/>
      <c r="BE83" s="70"/>
      <c r="BF83" s="95" t="e">
        <f t="shared" si="15"/>
        <v>#REF!</v>
      </c>
      <c r="BG83" s="65">
        <f t="shared" si="16"/>
        <v>3.0</v>
      </c>
      <c r="BH83" s="65">
        <f t="shared" si="17"/>
      </c>
      <c r="BI83" s="65" t="e">
        <f t="shared" si="18"/>
        <v>#REF!</v>
      </c>
      <c r="BJ83" s="65">
        <f t="shared" si="19"/>
        <v>2.0</v>
      </c>
      <c r="BK83" s="65">
        <f t="shared" si="20"/>
      </c>
      <c r="BL83" s="65" t="e">
        <f t="shared" si="21"/>
        <v>#REF!</v>
      </c>
      <c r="BM83" s="65">
        <f t="shared" si="22"/>
        <v>5.0</v>
      </c>
      <c r="BN83" s="65"/>
      <c r="BO83" s="65" t="e">
        <f t="shared" si="23"/>
        <v>#REF!</v>
      </c>
      <c r="BP83" s="65">
        <f t="shared" si="24"/>
        <v>5.0</v>
      </c>
      <c r="BQ83" s="65"/>
      <c r="BR83" s="65" t="e">
        <f t="shared" si="25"/>
        <v>#REF!</v>
      </c>
      <c r="BS83" s="65">
        <f t="shared" si="26"/>
        <v>5.0</v>
      </c>
      <c r="BT83" s="65"/>
      <c r="BU83" s="65" t="e">
        <f t="shared" si="27"/>
        <v>#REF!</v>
      </c>
      <c r="BV83" s="65">
        <f t="shared" si="28"/>
        <v>4.0</v>
      </c>
      <c r="BW83" s="65"/>
      <c r="BX83" s="65" t="e">
        <f t="shared" si="29"/>
        <v>#REF!</v>
      </c>
    </row>
    <row r="84" ht="14.0">
      <c r="A84" s="93" t="s">
        <v>179</v>
      </c>
      <c r="B84" s="93" t="s">
        <v>347</v>
      </c>
      <c r="C84" s="93" t="s">
        <v>348</v>
      </c>
      <c r="D84" s="98" t="s">
        <v>349</v>
      </c>
      <c r="E84" s="93">
        <v>0.0</v>
      </c>
      <c r="F84" s="93">
        <v>0.0</v>
      </c>
      <c r="G84" s="93">
        <v>0.0</v>
      </c>
      <c r="H84" s="93">
        <v>0.0</v>
      </c>
      <c r="I84" s="93">
        <v>0.0</v>
      </c>
      <c r="J84" s="93">
        <v>0.0</v>
      </c>
      <c r="K84" s="93">
        <v>0.0</v>
      </c>
      <c r="L84" s="93">
        <v>0.0</v>
      </c>
      <c r="M84" s="93">
        <v>0.0</v>
      </c>
      <c r="N84" s="93">
        <v>0.0</v>
      </c>
      <c r="O84" s="93">
        <v>0.0</v>
      </c>
      <c r="P84" s="93">
        <v>0.0</v>
      </c>
      <c r="Q84" s="93">
        <v>0.0</v>
      </c>
      <c r="R84" s="93">
        <v>0.0</v>
      </c>
      <c r="S84" s="93">
        <v>0.0</v>
      </c>
      <c r="T84" s="93">
        <v>0.0</v>
      </c>
      <c r="U84" s="93">
        <v>0.0</v>
      </c>
      <c r="V84" s="93">
        <v>0.0</v>
      </c>
      <c r="W84" s="93">
        <v>0.0</v>
      </c>
      <c r="X84" s="93">
        <v>0.0</v>
      </c>
      <c r="Y84" s="93">
        <v>2.0</v>
      </c>
      <c r="Z84" s="93">
        <v>17.0</v>
      </c>
      <c r="AA84" s="93">
        <v>16.0</v>
      </c>
      <c r="AB84" s="93">
        <v>12.0</v>
      </c>
      <c r="AC84" s="93">
        <v>13.0</v>
      </c>
      <c r="AD84" s="93">
        <v>17.0</v>
      </c>
      <c r="AE84" s="93">
        <v>22.0</v>
      </c>
      <c r="AF84" s="93">
        <v>14.0</v>
      </c>
      <c r="AG84" s="93">
        <v>12.0</v>
      </c>
      <c r="AH84" s="93">
        <v>8.0</v>
      </c>
      <c r="AI84" s="93">
        <v>12.0</v>
      </c>
      <c r="AJ84" s="93">
        <v>11.0</v>
      </c>
      <c r="AK84" s="93">
        <v>13.0</v>
      </c>
      <c r="AL84" s="93">
        <v>6.0</v>
      </c>
      <c r="AM84" s="93">
        <v>5.0</v>
      </c>
      <c r="AN84" s="93">
        <v>4.0</v>
      </c>
      <c r="AO84" s="69">
        <f t="shared" si="3"/>
        <v>137.0</v>
      </c>
      <c r="AP84" s="69">
        <f t="shared" si="4"/>
        <v>51.0</v>
      </c>
      <c r="AQ84" s="69">
        <f t="shared" si="5"/>
        <v>56.1</v>
      </c>
      <c r="AR84" s="47">
        <f t="shared" ref="AR84:AR86" si="110">AQ84*$AR$4/$AQ$4</f>
        <v>8.86428571428571</v>
      </c>
      <c r="AS84" s="47">
        <f t="shared" ref="AS84:AS86" si="111">AQ84*$AS$4/$AQ$4</f>
        <v>6.92142857142857</v>
      </c>
      <c r="AT84" s="47">
        <f t="shared" ref="AT84:AT86" si="112">AQ84*$AT$4/$AQ$4</f>
        <v>13.8428571428571</v>
      </c>
      <c r="AU84" s="47">
        <f t="shared" ref="AU84:AU86" si="113">AQ84*$AU$4/$AQ$4</f>
        <v>15.4214285714286</v>
      </c>
      <c r="AV84" s="47">
        <f t="shared" ref="AV84:AV86" si="114">AQ84*$AV$4/$AQ$4</f>
        <v>13.9642857142857</v>
      </c>
      <c r="AW84" s="47">
        <f t="shared" ref="AW84:AW86" si="115">AQ84*$AW$4/$AQ$4</f>
        <v>11.4142857142857</v>
      </c>
      <c r="AX84" s="64">
        <f t="shared" si="12"/>
        <v>70.4285714285713</v>
      </c>
      <c r="AY84" s="64" t="e">
        <f t="shared" si="13"/>
        <v>#REF!</v>
      </c>
      <c r="BB84" s="69" t="e">
        <f t="shared" ref="BB84:BB119" si="116">AY84+AZ84+BA84-AX84</f>
        <v>#REF!</v>
      </c>
      <c r="BC84" s="69"/>
      <c r="BD84" s="99">
        <f>BC84</f>
      </c>
      <c r="BE84" s="103" t="s">
        <v>350</v>
      </c>
      <c r="BF84" s="95" t="e">
        <f t="shared" si="15"/>
        <v>#REF!</v>
      </c>
      <c r="BG84" s="65">
        <f t="shared" si="16"/>
        <v>8.86428571428571</v>
      </c>
      <c r="BH84" s="65">
        <f t="shared" si="17"/>
      </c>
      <c r="BI84" s="65" t="e">
        <f t="shared" si="18"/>
        <v>#REF!</v>
      </c>
      <c r="BJ84" s="65">
        <f t="shared" si="19"/>
        <v>6.92142857142857</v>
      </c>
      <c r="BK84" s="65">
        <f t="shared" si="20"/>
      </c>
      <c r="BL84" s="65" t="e">
        <f t="shared" si="21"/>
        <v>#REF!</v>
      </c>
      <c r="BM84" s="65">
        <f t="shared" si="22"/>
        <v>13.8428571428571</v>
      </c>
      <c r="BN84" s="65"/>
      <c r="BO84" s="65" t="e">
        <f t="shared" si="23"/>
        <v>#REF!</v>
      </c>
      <c r="BP84" s="65">
        <f t="shared" si="24"/>
        <v>15.4214285714286</v>
      </c>
      <c r="BQ84" s="65"/>
      <c r="BR84" s="65" t="e">
        <f t="shared" si="25"/>
        <v>#REF!</v>
      </c>
      <c r="BS84" s="65">
        <f t="shared" si="26"/>
        <v>13.9642857142857</v>
      </c>
      <c r="BT84" s="65"/>
      <c r="BU84" s="65" t="e">
        <f t="shared" si="27"/>
        <v>#REF!</v>
      </c>
      <c r="BV84" s="65">
        <f t="shared" si="28"/>
        <v>11.4142857142857</v>
      </c>
      <c r="BW84" s="65"/>
      <c r="BX84" s="65" t="e">
        <f t="shared" si="29"/>
        <v>#REF!</v>
      </c>
    </row>
    <row r="85" ht="14.0">
      <c r="A85" s="93" t="s">
        <v>179</v>
      </c>
      <c r="B85" s="93" t="s">
        <v>347</v>
      </c>
      <c r="C85" s="93" t="s">
        <v>351</v>
      </c>
      <c r="D85" s="98" t="s">
        <v>352</v>
      </c>
      <c r="E85" s="93">
        <v>0.0</v>
      </c>
      <c r="F85" s="93">
        <v>0.0</v>
      </c>
      <c r="G85" s="93">
        <v>0.0</v>
      </c>
      <c r="H85" s="93">
        <v>0.0</v>
      </c>
      <c r="I85" s="93">
        <v>0.0</v>
      </c>
      <c r="J85" s="93">
        <v>0.0</v>
      </c>
      <c r="K85" s="93">
        <v>0.0</v>
      </c>
      <c r="L85" s="93">
        <v>0.0</v>
      </c>
      <c r="M85" s="93">
        <v>0.0</v>
      </c>
      <c r="N85" s="93">
        <v>0.0</v>
      </c>
      <c r="O85" s="93">
        <v>0.0</v>
      </c>
      <c r="P85" s="93">
        <v>0.0</v>
      </c>
      <c r="Q85" s="93">
        <v>0.0</v>
      </c>
      <c r="R85" s="93">
        <v>0.0</v>
      </c>
      <c r="S85" s="93">
        <v>0.0</v>
      </c>
      <c r="T85" s="93">
        <v>0.0</v>
      </c>
      <c r="U85" s="93">
        <v>0.0</v>
      </c>
      <c r="V85" s="93">
        <v>0.0</v>
      </c>
      <c r="W85" s="93">
        <v>0.0</v>
      </c>
      <c r="X85" s="93">
        <v>0.0</v>
      </c>
      <c r="Y85" s="93">
        <v>1.0</v>
      </c>
      <c r="Z85" s="93">
        <v>5.0</v>
      </c>
      <c r="AA85" s="93">
        <v>17.0</v>
      </c>
      <c r="AB85" s="93">
        <v>9.0</v>
      </c>
      <c r="AC85" s="93">
        <v>8.0</v>
      </c>
      <c r="AD85" s="93">
        <v>8.0</v>
      </c>
      <c r="AE85" s="93">
        <v>9.0</v>
      </c>
      <c r="AF85" s="93">
        <v>8.0</v>
      </c>
      <c r="AG85" s="93">
        <v>5.0</v>
      </c>
      <c r="AH85" s="93">
        <v>3.0</v>
      </c>
      <c r="AI85" s="93">
        <v>4.0</v>
      </c>
      <c r="AJ85" s="93">
        <v>6.0</v>
      </c>
      <c r="AK85" s="93">
        <v>5.0</v>
      </c>
      <c r="AL85" s="93">
        <v>4.0</v>
      </c>
      <c r="AM85" s="93">
        <v>2.0</v>
      </c>
      <c r="AN85" s="93">
        <v>1.0</v>
      </c>
      <c r="AO85" s="69">
        <f t="shared" si="3"/>
        <v>63.0</v>
      </c>
      <c r="AP85" s="69">
        <f t="shared" si="4"/>
        <v>22.0</v>
      </c>
      <c r="AQ85" s="69">
        <f t="shared" si="5"/>
        <v>24.2</v>
      </c>
      <c r="AR85" s="47">
        <f t="shared" si="110"/>
        <v>3.82380952380952</v>
      </c>
      <c r="AS85" s="47">
        <f t="shared" si="111"/>
        <v>2.98571428571429</v>
      </c>
      <c r="AT85" s="47">
        <f t="shared" si="112"/>
        <v>5.97142857142857</v>
      </c>
      <c r="AU85" s="47">
        <f t="shared" si="113"/>
        <v>6.65238095238095</v>
      </c>
      <c r="AV85" s="47">
        <f t="shared" si="114"/>
        <v>6.02380952380952</v>
      </c>
      <c r="AW85" s="47">
        <f t="shared" si="115"/>
        <v>4.92380952380952</v>
      </c>
      <c r="AX85" s="64">
        <f t="shared" si="12"/>
        <v>30.3809523809523</v>
      </c>
      <c r="AY85" s="64" t="e">
        <f t="shared" si="13"/>
        <v>#REF!</v>
      </c>
      <c r="BB85" s="69" t="e">
        <f t="shared" si="116"/>
        <v>#REF!</v>
      </c>
      <c r="BC85" s="69"/>
      <c r="BE85" s="70"/>
      <c r="BF85" s="95" t="e">
        <f t="shared" si="15"/>
        <v>#REF!</v>
      </c>
      <c r="BG85" s="65">
        <f t="shared" si="16"/>
        <v>3.82380952380952</v>
      </c>
      <c r="BH85" s="65">
        <f t="shared" si="17"/>
      </c>
      <c r="BI85" s="65" t="e">
        <f t="shared" si="18"/>
        <v>#REF!</v>
      </c>
      <c r="BJ85" s="65">
        <f t="shared" si="19"/>
        <v>2.98571428571429</v>
      </c>
      <c r="BK85" s="65">
        <f t="shared" si="20"/>
      </c>
      <c r="BL85" s="65" t="e">
        <f t="shared" si="21"/>
        <v>#REF!</v>
      </c>
      <c r="BM85" s="65">
        <f t="shared" si="22"/>
        <v>5.97142857142857</v>
      </c>
      <c r="BN85" s="65"/>
      <c r="BO85" s="65" t="e">
        <f t="shared" si="23"/>
        <v>#REF!</v>
      </c>
      <c r="BP85" s="65">
        <f t="shared" si="24"/>
        <v>6.65238095238095</v>
      </c>
      <c r="BQ85" s="65"/>
      <c r="BR85" s="65" t="e">
        <f t="shared" si="25"/>
        <v>#REF!</v>
      </c>
      <c r="BS85" s="65">
        <f t="shared" si="26"/>
        <v>6.02380952380952</v>
      </c>
      <c r="BT85" s="65"/>
      <c r="BU85" s="65" t="e">
        <f t="shared" si="27"/>
        <v>#REF!</v>
      </c>
      <c r="BV85" s="65">
        <f t="shared" si="28"/>
        <v>4.92380952380952</v>
      </c>
      <c r="BW85" s="65"/>
      <c r="BX85" s="65" t="e">
        <f t="shared" si="29"/>
        <v>#REF!</v>
      </c>
    </row>
    <row r="86" ht="14.0">
      <c r="A86" s="93" t="s">
        <v>179</v>
      </c>
      <c r="B86" s="93" t="s">
        <v>347</v>
      </c>
      <c r="C86" s="93" t="s">
        <v>353</v>
      </c>
      <c r="D86" s="98" t="s">
        <v>354</v>
      </c>
      <c r="E86" s="93">
        <v>0.0</v>
      </c>
      <c r="F86" s="93">
        <v>0.0</v>
      </c>
      <c r="G86" s="93">
        <v>0.0</v>
      </c>
      <c r="H86" s="93">
        <v>0.0</v>
      </c>
      <c r="I86" s="93">
        <v>0.0</v>
      </c>
      <c r="J86" s="93">
        <v>0.0</v>
      </c>
      <c r="K86" s="93">
        <v>0.0</v>
      </c>
      <c r="L86" s="93">
        <v>0.0</v>
      </c>
      <c r="M86" s="93">
        <v>0.0</v>
      </c>
      <c r="N86" s="93">
        <v>0.0</v>
      </c>
      <c r="O86" s="93">
        <v>0.0</v>
      </c>
      <c r="P86" s="93">
        <v>0.0</v>
      </c>
      <c r="Q86" s="93">
        <v>0.0</v>
      </c>
      <c r="R86" s="93">
        <v>0.0</v>
      </c>
      <c r="S86" s="93">
        <v>0.0</v>
      </c>
      <c r="T86" s="93">
        <v>0.0</v>
      </c>
      <c r="U86" s="93">
        <v>0.0</v>
      </c>
      <c r="V86" s="93">
        <v>0.0</v>
      </c>
      <c r="W86" s="93">
        <v>0.0</v>
      </c>
      <c r="X86" s="93">
        <v>0.0</v>
      </c>
      <c r="Y86" s="93">
        <v>4.0</v>
      </c>
      <c r="Z86" s="93">
        <v>19.0</v>
      </c>
      <c r="AA86" s="93">
        <v>17.0</v>
      </c>
      <c r="AB86" s="93">
        <v>20.0</v>
      </c>
      <c r="AC86" s="93">
        <v>9.0</v>
      </c>
      <c r="AD86" s="93">
        <v>23.0</v>
      </c>
      <c r="AE86" s="93">
        <v>28.0</v>
      </c>
      <c r="AF86" s="93">
        <v>18.0</v>
      </c>
      <c r="AG86" s="93">
        <v>8.0</v>
      </c>
      <c r="AH86" s="93">
        <v>9.0</v>
      </c>
      <c r="AI86" s="93">
        <v>8.0</v>
      </c>
      <c r="AJ86" s="93">
        <v>15.0</v>
      </c>
      <c r="AK86" s="93">
        <v>8.0</v>
      </c>
      <c r="AL86" s="93">
        <v>7.0</v>
      </c>
      <c r="AM86" s="93">
        <v>2.0</v>
      </c>
      <c r="AN86" s="93">
        <v>1.0</v>
      </c>
      <c r="AO86" s="69">
        <f t="shared" si="3"/>
        <v>136.0</v>
      </c>
      <c r="AP86" s="69">
        <f t="shared" si="4"/>
        <v>41.0</v>
      </c>
      <c r="AQ86" s="69">
        <f t="shared" si="5"/>
        <v>45.1</v>
      </c>
      <c r="AR86" s="47">
        <f t="shared" si="110"/>
        <v>7.12619047619048</v>
      </c>
      <c r="AS86" s="47">
        <f t="shared" si="111"/>
        <v>5.56428571428571</v>
      </c>
      <c r="AT86" s="47">
        <f t="shared" si="112"/>
        <v>11.1285714285714</v>
      </c>
      <c r="AU86" s="47">
        <f t="shared" si="113"/>
        <v>12.397619047619</v>
      </c>
      <c r="AV86" s="47">
        <f t="shared" si="114"/>
        <v>11.2261904761904</v>
      </c>
      <c r="AW86" s="47">
        <f t="shared" si="115"/>
        <v>9.1761904761904</v>
      </c>
      <c r="AX86" s="64">
        <f t="shared" si="12"/>
        <v>56.6190476190473</v>
      </c>
      <c r="AY86" s="64" t="e">
        <f t="shared" si="13"/>
        <v>#REF!</v>
      </c>
      <c r="BB86" s="69" t="e">
        <f t="shared" si="116"/>
        <v>#REF!</v>
      </c>
      <c r="BC86" s="69"/>
      <c r="BD86" s="99">
        <f>BC86</f>
      </c>
      <c r="BE86" s="103" t="s">
        <v>355</v>
      </c>
      <c r="BF86" s="95" t="e">
        <f t="shared" si="15"/>
        <v>#REF!</v>
      </c>
      <c r="BG86" s="65">
        <f t="shared" si="16"/>
        <v>7.12619047619048</v>
      </c>
      <c r="BH86" s="65">
        <f t="shared" si="17"/>
      </c>
      <c r="BI86" s="65" t="e">
        <f t="shared" si="18"/>
        <v>#REF!</v>
      </c>
      <c r="BJ86" s="65">
        <f t="shared" si="19"/>
        <v>5.56428571428571</v>
      </c>
      <c r="BK86" s="65">
        <f t="shared" si="20"/>
      </c>
      <c r="BL86" s="65" t="e">
        <f t="shared" si="21"/>
        <v>#REF!</v>
      </c>
      <c r="BM86" s="65">
        <f t="shared" si="22"/>
        <v>11.1285714285714</v>
      </c>
      <c r="BN86" s="65"/>
      <c r="BO86" s="65" t="e">
        <f t="shared" si="23"/>
        <v>#REF!</v>
      </c>
      <c r="BP86" s="65">
        <f t="shared" si="24"/>
        <v>12.397619047619</v>
      </c>
      <c r="BQ86" s="65"/>
      <c r="BR86" s="65" t="e">
        <f t="shared" si="25"/>
        <v>#REF!</v>
      </c>
      <c r="BS86" s="65">
        <f t="shared" si="26"/>
        <v>11.2261904761904</v>
      </c>
      <c r="BT86" s="65"/>
      <c r="BU86" s="65" t="e">
        <f t="shared" si="27"/>
        <v>#REF!</v>
      </c>
      <c r="BV86" s="65">
        <f t="shared" si="28"/>
        <v>9.1761904761904</v>
      </c>
      <c r="BW86" s="65"/>
      <c r="BX86" s="65" t="e">
        <f t="shared" si="29"/>
        <v>#REF!</v>
      </c>
    </row>
    <row r="87" ht="14.0">
      <c r="A87" s="93" t="s">
        <v>179</v>
      </c>
      <c r="B87" s="93" t="s">
        <v>356</v>
      </c>
      <c r="C87" s="93" t="s">
        <v>357</v>
      </c>
      <c r="D87" s="93" t="s">
        <v>358</v>
      </c>
      <c r="E87" s="93">
        <v>0.0</v>
      </c>
      <c r="F87" s="93">
        <v>0.0</v>
      </c>
      <c r="G87" s="93">
        <v>0.0</v>
      </c>
      <c r="H87" s="93">
        <v>0.0</v>
      </c>
      <c r="I87" s="93">
        <v>0.0</v>
      </c>
      <c r="J87" s="93">
        <v>0.0</v>
      </c>
      <c r="K87" s="93">
        <v>0.0</v>
      </c>
      <c r="L87" s="93">
        <v>0.0</v>
      </c>
      <c r="M87" s="93">
        <v>0.0</v>
      </c>
      <c r="N87" s="93">
        <v>0.0</v>
      </c>
      <c r="O87" s="93">
        <v>0.0</v>
      </c>
      <c r="P87" s="93">
        <v>0.0</v>
      </c>
      <c r="Q87" s="93">
        <v>0.0</v>
      </c>
      <c r="R87" s="93">
        <v>0.0</v>
      </c>
      <c r="S87" s="93">
        <v>0.0</v>
      </c>
      <c r="T87" s="93">
        <v>0.0</v>
      </c>
      <c r="U87" s="93">
        <v>0.0</v>
      </c>
      <c r="V87" s="93">
        <v>0.0</v>
      </c>
      <c r="W87" s="93">
        <v>0.0</v>
      </c>
      <c r="X87" s="93">
        <v>0.0</v>
      </c>
      <c r="Y87" s="93">
        <v>0.0</v>
      </c>
      <c r="Z87" s="93">
        <v>0.0</v>
      </c>
      <c r="AA87" s="93">
        <v>0.0</v>
      </c>
      <c r="AB87" s="93">
        <v>0.0</v>
      </c>
      <c r="AC87" s="93">
        <v>0.0</v>
      </c>
      <c r="AD87" s="93">
        <v>0.0</v>
      </c>
      <c r="AE87" s="93">
        <v>0.0</v>
      </c>
      <c r="AF87" s="93">
        <v>0.0</v>
      </c>
      <c r="AG87" s="93">
        <v>0.0</v>
      </c>
      <c r="AH87" s="93">
        <v>0.0</v>
      </c>
      <c r="AI87" s="93">
        <v>0.0</v>
      </c>
      <c r="AJ87" s="93">
        <v>12.0</v>
      </c>
      <c r="AK87" s="93">
        <v>158.0</v>
      </c>
      <c r="AL87" s="93">
        <v>136.0</v>
      </c>
      <c r="AM87" s="93">
        <v>72.0</v>
      </c>
      <c r="AN87" s="93">
        <v>44.0</v>
      </c>
      <c r="AO87" s="69">
        <f t="shared" si="3"/>
        <v>422.0</v>
      </c>
      <c r="AP87" s="69">
        <f t="shared" si="4"/>
        <v>422.0</v>
      </c>
      <c r="AQ87" s="69">
        <f t="shared" si="5"/>
        <v>464.2</v>
      </c>
      <c r="AR87" s="101">
        <f t="shared" ref="AR87:AR88" si="119">AVERAGE(AK87:AN87)</f>
        <v>102.5</v>
      </c>
      <c r="AS87" s="101">
        <f t="shared" ref="AS87:AS88" si="120">AR87*1.1</f>
        <v>112.75</v>
      </c>
      <c r="AT87" s="101">
        <f t="shared" ref="AT87:AT88" si="121">AS87*1.1</f>
        <v>124.025</v>
      </c>
      <c r="AU87" s="101">
        <f t="shared" ref="AU87:AU88" si="122">AT87*1.1</f>
        <v>136.4275</v>
      </c>
      <c r="AV87" s="101">
        <f t="shared" ref="AV87:AV88" si="123">AU87*1.1</f>
        <v>150.07025</v>
      </c>
      <c r="AW87" s="101">
        <f t="shared" ref="AW87:AW88" si="124">AV87*1.1</f>
        <v>165.077275</v>
      </c>
      <c r="AX87" s="64">
        <f t="shared" si="12"/>
        <v>790.850025</v>
      </c>
      <c r="AY87" s="64" t="e">
        <f t="shared" si="13"/>
        <v>#REF!</v>
      </c>
      <c r="BB87" s="69" t="e">
        <f t="shared" si="116"/>
        <v>#REF!</v>
      </c>
      <c r="BC87" s="69"/>
      <c r="BE87" s="70"/>
      <c r="BF87" s="95" t="e">
        <f t="shared" si="15"/>
        <v>#REF!</v>
      </c>
      <c r="BG87" s="65">
        <f t="shared" si="16"/>
        <v>102.5</v>
      </c>
      <c r="BH87" s="65">
        <f t="shared" si="17"/>
      </c>
      <c r="BI87" s="65" t="e">
        <f t="shared" si="18"/>
        <v>#REF!</v>
      </c>
      <c r="BJ87" s="65">
        <f t="shared" si="19"/>
        <v>112.75</v>
      </c>
      <c r="BK87" s="65">
        <f t="shared" si="20"/>
      </c>
      <c r="BL87" s="65" t="e">
        <f t="shared" si="21"/>
        <v>#REF!</v>
      </c>
      <c r="BM87" s="65">
        <f t="shared" si="22"/>
        <v>124.025</v>
      </c>
      <c r="BN87" s="65"/>
      <c r="BO87" s="65" t="e">
        <f t="shared" si="23"/>
        <v>#REF!</v>
      </c>
      <c r="BP87" s="65">
        <f t="shared" si="24"/>
        <v>136.4275</v>
      </c>
      <c r="BQ87" s="65"/>
      <c r="BR87" s="65" t="e">
        <f t="shared" si="25"/>
        <v>#REF!</v>
      </c>
      <c r="BS87" s="65">
        <f t="shared" si="26"/>
        <v>150.07025</v>
      </c>
      <c r="BT87" s="65"/>
      <c r="BU87" s="65" t="e">
        <f t="shared" si="27"/>
        <v>#REF!</v>
      </c>
      <c r="BV87" s="65">
        <f t="shared" si="28"/>
        <v>165.077275</v>
      </c>
      <c r="BW87" s="65"/>
      <c r="BX87" s="65" t="e">
        <f t="shared" si="29"/>
        <v>#REF!</v>
      </c>
    </row>
    <row r="88" ht="14.0">
      <c r="A88" s="93" t="s">
        <v>179</v>
      </c>
      <c r="B88" s="93" t="s">
        <v>356</v>
      </c>
      <c r="C88" s="93" t="s">
        <v>359</v>
      </c>
      <c r="D88" s="93" t="s">
        <v>360</v>
      </c>
      <c r="E88" s="93">
        <v>0.0</v>
      </c>
      <c r="F88" s="93">
        <v>0.0</v>
      </c>
      <c r="G88" s="93">
        <v>0.0</v>
      </c>
      <c r="H88" s="93">
        <v>0.0</v>
      </c>
      <c r="I88" s="93">
        <v>0.0</v>
      </c>
      <c r="J88" s="93">
        <v>0.0</v>
      </c>
      <c r="K88" s="93">
        <v>0.0</v>
      </c>
      <c r="L88" s="93">
        <v>0.0</v>
      </c>
      <c r="M88" s="93">
        <v>0.0</v>
      </c>
      <c r="N88" s="93">
        <v>0.0</v>
      </c>
      <c r="O88" s="93">
        <v>0.0</v>
      </c>
      <c r="P88" s="93">
        <v>0.0</v>
      </c>
      <c r="Q88" s="93">
        <v>0.0</v>
      </c>
      <c r="R88" s="93">
        <v>0.0</v>
      </c>
      <c r="S88" s="93">
        <v>0.0</v>
      </c>
      <c r="T88" s="93">
        <v>0.0</v>
      </c>
      <c r="U88" s="93">
        <v>0.0</v>
      </c>
      <c r="V88" s="93">
        <v>0.0</v>
      </c>
      <c r="W88" s="93">
        <v>0.0</v>
      </c>
      <c r="X88" s="93">
        <v>0.0</v>
      </c>
      <c r="Y88" s="93">
        <v>0.0</v>
      </c>
      <c r="Z88" s="93">
        <v>0.0</v>
      </c>
      <c r="AA88" s="93">
        <v>0.0</v>
      </c>
      <c r="AB88" s="93">
        <v>0.0</v>
      </c>
      <c r="AC88" s="93">
        <v>0.0</v>
      </c>
      <c r="AD88" s="93">
        <v>0.0</v>
      </c>
      <c r="AE88" s="93">
        <v>0.0</v>
      </c>
      <c r="AF88" s="93">
        <v>0.0</v>
      </c>
      <c r="AG88" s="93">
        <v>0.0</v>
      </c>
      <c r="AH88" s="93">
        <v>0.0</v>
      </c>
      <c r="AI88" s="93">
        <v>0.0</v>
      </c>
      <c r="AJ88" s="93">
        <v>16.0</v>
      </c>
      <c r="AK88" s="93">
        <v>182.0</v>
      </c>
      <c r="AL88" s="93">
        <v>156.0</v>
      </c>
      <c r="AM88" s="93">
        <v>108.0</v>
      </c>
      <c r="AN88" s="93">
        <v>36.0</v>
      </c>
      <c r="AO88" s="69">
        <f t="shared" si="3"/>
        <v>498.0</v>
      </c>
      <c r="AP88" s="69">
        <f t="shared" si="4"/>
        <v>498.0</v>
      </c>
      <c r="AQ88" s="69">
        <f t="shared" si="5"/>
        <v>547.8</v>
      </c>
      <c r="AR88" s="102">
        <f t="shared" si="119"/>
        <v>120.5</v>
      </c>
      <c r="AS88" s="102">
        <f t="shared" si="120"/>
        <v>132.55</v>
      </c>
      <c r="AT88" s="102">
        <f t="shared" si="121"/>
        <v>145.805</v>
      </c>
      <c r="AU88" s="102">
        <f t="shared" si="122"/>
        <v>160.3855</v>
      </c>
      <c r="AV88" s="102">
        <f t="shared" si="123"/>
        <v>176.42405</v>
      </c>
      <c r="AW88" s="102">
        <f t="shared" si="124"/>
        <v>194.066455</v>
      </c>
      <c r="AX88" s="64">
        <f t="shared" si="12"/>
        <v>929.731005</v>
      </c>
      <c r="AY88" s="64" t="e">
        <f t="shared" si="13"/>
        <v>#REF!</v>
      </c>
      <c r="BB88" s="69" t="e">
        <f t="shared" si="116"/>
        <v>#REF!</v>
      </c>
      <c r="BC88" s="69">
        <v>501.0</v>
      </c>
      <c r="BD88" s="47">
        <f>BC88</f>
        <v>501.0</v>
      </c>
      <c r="BE88" s="100">
        <v>46023</v>
      </c>
      <c r="BF88" s="95" t="e">
        <f t="shared" si="15"/>
        <v>#REF!</v>
      </c>
      <c r="BG88" s="65">
        <f t="shared" si="16"/>
        <v>120.5</v>
      </c>
      <c r="BH88" s="65">
        <f t="shared" si="17"/>
      </c>
      <c r="BI88" s="65" t="e">
        <f t="shared" si="18"/>
        <v>#REF!</v>
      </c>
      <c r="BJ88" s="65">
        <f t="shared" si="19"/>
        <v>132.55</v>
      </c>
      <c r="BK88" s="65">
        <f t="shared" si="20"/>
      </c>
      <c r="BL88" s="65" t="e">
        <f t="shared" si="21"/>
        <v>#REF!</v>
      </c>
      <c r="BM88" s="65">
        <f t="shared" si="22"/>
        <v>145.805</v>
      </c>
      <c r="BN88" s="65"/>
      <c r="BO88" s="65" t="e">
        <f t="shared" si="23"/>
        <v>#REF!</v>
      </c>
      <c r="BP88" s="65">
        <f t="shared" si="24"/>
        <v>160.3855</v>
      </c>
      <c r="BQ88" s="65"/>
      <c r="BR88" s="65" t="e">
        <f t="shared" si="25"/>
        <v>#REF!</v>
      </c>
      <c r="BS88" s="65">
        <f t="shared" si="26"/>
        <v>176.42405</v>
      </c>
      <c r="BT88" s="65"/>
      <c r="BU88" s="65" t="e">
        <f t="shared" si="27"/>
        <v>#REF!</v>
      </c>
      <c r="BV88" s="65">
        <f t="shared" si="28"/>
        <v>194.066455</v>
      </c>
      <c r="BW88" s="65"/>
      <c r="BX88" s="65" t="e">
        <f t="shared" si="29"/>
        <v>#REF!</v>
      </c>
    </row>
    <row r="89" ht="14.0">
      <c r="A89" s="93" t="s">
        <v>179</v>
      </c>
      <c r="B89" s="93" t="s">
        <v>361</v>
      </c>
      <c r="C89" s="93" t="s">
        <v>362</v>
      </c>
      <c r="D89" s="93" t="s">
        <v>363</v>
      </c>
      <c r="E89" s="93">
        <v>0.0</v>
      </c>
      <c r="F89" s="93">
        <v>0.0</v>
      </c>
      <c r="G89" s="93">
        <v>0.0</v>
      </c>
      <c r="H89" s="93">
        <v>0.0</v>
      </c>
      <c r="I89" s="93">
        <v>0.0</v>
      </c>
      <c r="J89" s="93">
        <v>0.0</v>
      </c>
      <c r="K89" s="93">
        <v>0.0</v>
      </c>
      <c r="L89" s="93">
        <v>0.0</v>
      </c>
      <c r="M89" s="93">
        <v>0.0</v>
      </c>
      <c r="N89" s="93">
        <v>0.0</v>
      </c>
      <c r="O89" s="93">
        <v>0.0</v>
      </c>
      <c r="P89" s="93">
        <v>0.0</v>
      </c>
      <c r="Q89" s="93">
        <v>0.0</v>
      </c>
      <c r="R89" s="93">
        <v>0.0</v>
      </c>
      <c r="S89" s="93">
        <v>0.0</v>
      </c>
      <c r="T89" s="93">
        <v>0.0</v>
      </c>
      <c r="U89" s="93">
        <v>0.0</v>
      </c>
      <c r="V89" s="93">
        <v>0.0</v>
      </c>
      <c r="W89" s="93">
        <v>0.0</v>
      </c>
      <c r="X89" s="93">
        <v>0.0</v>
      </c>
      <c r="Y89" s="93">
        <v>0.0</v>
      </c>
      <c r="Z89" s="93">
        <v>0.0</v>
      </c>
      <c r="AA89" s="93">
        <v>27.0</v>
      </c>
      <c r="AB89" s="93">
        <v>92.0</v>
      </c>
      <c r="AC89" s="93">
        <v>60.0</v>
      </c>
      <c r="AD89" s="93">
        <v>138.0</v>
      </c>
      <c r="AE89" s="93">
        <v>102.0</v>
      </c>
      <c r="AF89" s="93">
        <v>78.0</v>
      </c>
      <c r="AG89" s="93">
        <v>3.0</v>
      </c>
      <c r="AH89" s="93">
        <v>0.0</v>
      </c>
      <c r="AI89" s="93">
        <v>0.0</v>
      </c>
      <c r="AJ89" s="93">
        <v>0.0</v>
      </c>
      <c r="AK89" s="93">
        <v>21.0</v>
      </c>
      <c r="AL89" s="93">
        <v>18.0</v>
      </c>
      <c r="AM89" s="93">
        <v>6.0</v>
      </c>
      <c r="AN89" s="93">
        <v>30.0</v>
      </c>
      <c r="AO89" s="69">
        <f t="shared" si="3"/>
        <v>456.0</v>
      </c>
      <c r="AP89" s="69">
        <f t="shared" si="4"/>
        <v>75.0</v>
      </c>
      <c r="AQ89" s="69">
        <f t="shared" si="5"/>
        <v>82.5</v>
      </c>
      <c r="AR89" s="47">
        <f t="shared" ref="AR89:AR94" si="126">AQ89*$AR$4/$AQ$4</f>
        <v>13.0357142857142</v>
      </c>
      <c r="AS89" s="47">
        <f t="shared" ref="AS89:AS94" si="127">AQ89*$AS$4/$AQ$4</f>
        <v>10.1785714285714</v>
      </c>
      <c r="AT89" s="47">
        <f t="shared" ref="AT89:AT94" si="128">AQ89*$AT$4/$AQ$4</f>
        <v>20.3571428571429</v>
      </c>
      <c r="AU89" s="47">
        <f t="shared" ref="AU89:AU94" si="129">AQ89*$AU$4/$AQ$4</f>
        <v>22.6785714285714</v>
      </c>
      <c r="AV89" s="47">
        <f t="shared" ref="AV89:AV94" si="130">AQ89*$AV$4/$AQ$4</f>
        <v>20.5357142857142</v>
      </c>
      <c r="AW89" s="47">
        <f t="shared" ref="AW89:AW94" si="131">AQ89*$AW$4/$AQ$4</f>
        <v>16.7857142857142</v>
      </c>
      <c r="AX89" s="64">
        <f t="shared" si="12"/>
        <v>103.571428571428</v>
      </c>
      <c r="AY89" s="64" t="e">
        <f t="shared" si="13"/>
        <v>#REF!</v>
      </c>
      <c r="BB89" s="69" t="e">
        <f t="shared" si="116"/>
        <v>#REF!</v>
      </c>
      <c r="BC89" s="69"/>
      <c r="BE89" s="70"/>
      <c r="BF89" s="95" t="e">
        <f t="shared" si="15"/>
        <v>#REF!</v>
      </c>
      <c r="BG89" s="65">
        <f t="shared" si="16"/>
        <v>13.0357142857142</v>
      </c>
      <c r="BH89" s="65">
        <f t="shared" si="17"/>
      </c>
      <c r="BI89" s="65" t="e">
        <f t="shared" si="18"/>
        <v>#REF!</v>
      </c>
      <c r="BJ89" s="65">
        <f t="shared" si="19"/>
        <v>10.1785714285714</v>
      </c>
      <c r="BK89" s="65">
        <f t="shared" si="20"/>
      </c>
      <c r="BL89" s="65" t="e">
        <f t="shared" si="21"/>
        <v>#REF!</v>
      </c>
      <c r="BM89" s="65">
        <f t="shared" si="22"/>
        <v>20.3571428571429</v>
      </c>
      <c r="BN89" s="65"/>
      <c r="BO89" s="65" t="e">
        <f t="shared" si="23"/>
        <v>#REF!</v>
      </c>
      <c r="BP89" s="65">
        <f t="shared" si="24"/>
        <v>22.6785714285714</v>
      </c>
      <c r="BQ89" s="65"/>
      <c r="BR89" s="65" t="e">
        <f t="shared" si="25"/>
        <v>#REF!</v>
      </c>
      <c r="BS89" s="65">
        <f t="shared" si="26"/>
        <v>20.5357142857142</v>
      </c>
      <c r="BT89" s="65"/>
      <c r="BU89" s="65" t="e">
        <f t="shared" si="27"/>
        <v>#REF!</v>
      </c>
      <c r="BV89" s="65">
        <f t="shared" si="28"/>
        <v>16.7857142857142</v>
      </c>
      <c r="BW89" s="65"/>
      <c r="BX89" s="65" t="e">
        <f t="shared" si="29"/>
        <v>#REF!</v>
      </c>
    </row>
    <row r="90" ht="14.0">
      <c r="A90" s="93" t="s">
        <v>179</v>
      </c>
      <c r="B90" s="93" t="s">
        <v>361</v>
      </c>
      <c r="C90" s="93" t="s">
        <v>364</v>
      </c>
      <c r="D90" s="93" t="s">
        <v>365</v>
      </c>
      <c r="E90" s="93">
        <v>0.0</v>
      </c>
      <c r="F90" s="93">
        <v>0.0</v>
      </c>
      <c r="G90" s="93">
        <v>0.0</v>
      </c>
      <c r="H90" s="93">
        <v>0.0</v>
      </c>
      <c r="I90" s="93">
        <v>0.0</v>
      </c>
      <c r="J90" s="93">
        <v>0.0</v>
      </c>
      <c r="K90" s="93">
        <v>0.0</v>
      </c>
      <c r="L90" s="93">
        <v>0.0</v>
      </c>
      <c r="M90" s="93">
        <v>0.0</v>
      </c>
      <c r="N90" s="93">
        <v>0.0</v>
      </c>
      <c r="O90" s="93">
        <v>0.0</v>
      </c>
      <c r="P90" s="93">
        <v>0.0</v>
      </c>
      <c r="Q90" s="93">
        <v>0.0</v>
      </c>
      <c r="R90" s="93">
        <v>0.0</v>
      </c>
      <c r="S90" s="93">
        <v>0.0</v>
      </c>
      <c r="T90" s="93">
        <v>0.0</v>
      </c>
      <c r="U90" s="93">
        <v>0.0</v>
      </c>
      <c r="V90" s="93">
        <v>0.0</v>
      </c>
      <c r="W90" s="93">
        <v>0.0</v>
      </c>
      <c r="X90" s="93">
        <v>0.0</v>
      </c>
      <c r="Y90" s="93">
        <v>0.0</v>
      </c>
      <c r="Z90" s="93">
        <v>0.0</v>
      </c>
      <c r="AA90" s="93">
        <v>14.0</v>
      </c>
      <c r="AB90" s="93">
        <v>38.0</v>
      </c>
      <c r="AC90" s="93">
        <v>39.0</v>
      </c>
      <c r="AD90" s="93">
        <v>30.0</v>
      </c>
      <c r="AE90" s="93">
        <v>36.0</v>
      </c>
      <c r="AF90" s="93">
        <v>33.0</v>
      </c>
      <c r="AG90" s="93">
        <v>9.0</v>
      </c>
      <c r="AH90" s="93">
        <v>12.0</v>
      </c>
      <c r="AI90" s="93">
        <v>9.0</v>
      </c>
      <c r="AJ90" s="93">
        <v>9.0</v>
      </c>
      <c r="AK90" s="93">
        <v>9.0</v>
      </c>
      <c r="AL90" s="93">
        <v>9.0</v>
      </c>
      <c r="AM90" s="93">
        <v>0.0</v>
      </c>
      <c r="AN90" s="93">
        <v>12.0</v>
      </c>
      <c r="AO90" s="69">
        <f t="shared" si="3"/>
        <v>207.0</v>
      </c>
      <c r="AP90" s="69">
        <f t="shared" si="4"/>
        <v>48.0</v>
      </c>
      <c r="AQ90" s="69">
        <f t="shared" si="5"/>
        <v>52.8</v>
      </c>
      <c r="AR90" s="47">
        <f t="shared" si="126"/>
        <v>8.34285714285714</v>
      </c>
      <c r="AS90" s="47">
        <f t="shared" si="127"/>
        <v>6.51428571428571</v>
      </c>
      <c r="AT90" s="47">
        <f t="shared" si="128"/>
        <v>13.0285714285714</v>
      </c>
      <c r="AU90" s="47">
        <f t="shared" si="129"/>
        <v>14.5142857142857</v>
      </c>
      <c r="AV90" s="47">
        <f t="shared" si="130"/>
        <v>13.1428571428571</v>
      </c>
      <c r="AW90" s="47">
        <f t="shared" si="131"/>
        <v>10.7428571428571</v>
      </c>
      <c r="AX90" s="64">
        <f t="shared" si="12"/>
        <v>66.2857142857141</v>
      </c>
      <c r="AY90" s="64" t="e">
        <f t="shared" si="13"/>
        <v>#REF!</v>
      </c>
      <c r="BB90" s="69" t="e">
        <f t="shared" si="116"/>
        <v>#REF!</v>
      </c>
      <c r="BC90" s="69"/>
      <c r="BE90" s="70"/>
      <c r="BF90" s="95" t="e">
        <f t="shared" si="15"/>
        <v>#REF!</v>
      </c>
      <c r="BG90" s="65">
        <f t="shared" si="16"/>
        <v>8.34285714285714</v>
      </c>
      <c r="BH90" s="65">
        <f t="shared" si="17"/>
      </c>
      <c r="BI90" s="65" t="e">
        <f t="shared" si="18"/>
        <v>#REF!</v>
      </c>
      <c r="BJ90" s="65">
        <f t="shared" si="19"/>
        <v>6.51428571428571</v>
      </c>
      <c r="BK90" s="65">
        <f t="shared" si="20"/>
      </c>
      <c r="BL90" s="65" t="e">
        <f t="shared" si="21"/>
        <v>#REF!</v>
      </c>
      <c r="BM90" s="65">
        <f t="shared" si="22"/>
        <v>13.0285714285714</v>
      </c>
      <c r="BN90" s="65"/>
      <c r="BO90" s="65" t="e">
        <f t="shared" si="23"/>
        <v>#REF!</v>
      </c>
      <c r="BP90" s="65">
        <f t="shared" si="24"/>
        <v>14.5142857142857</v>
      </c>
      <c r="BQ90" s="65"/>
      <c r="BR90" s="65" t="e">
        <f t="shared" si="25"/>
        <v>#REF!</v>
      </c>
      <c r="BS90" s="65">
        <f t="shared" si="26"/>
        <v>13.1428571428571</v>
      </c>
      <c r="BT90" s="65"/>
      <c r="BU90" s="65" t="e">
        <f t="shared" si="27"/>
        <v>#REF!</v>
      </c>
      <c r="BV90" s="65">
        <f t="shared" si="28"/>
        <v>10.7428571428571</v>
      </c>
      <c r="BW90" s="65"/>
      <c r="BX90" s="65" t="e">
        <f t="shared" si="29"/>
        <v>#REF!</v>
      </c>
    </row>
    <row r="91" ht="14.0">
      <c r="A91" s="93" t="s">
        <v>179</v>
      </c>
      <c r="B91" s="93" t="s">
        <v>361</v>
      </c>
      <c r="C91" s="93" t="s">
        <v>366</v>
      </c>
      <c r="D91" s="93" t="s">
        <v>367</v>
      </c>
      <c r="E91" s="93">
        <v>0.0</v>
      </c>
      <c r="F91" s="93">
        <v>0.0</v>
      </c>
      <c r="G91" s="93">
        <v>0.0</v>
      </c>
      <c r="H91" s="93">
        <v>0.0</v>
      </c>
      <c r="I91" s="93">
        <v>0.0</v>
      </c>
      <c r="J91" s="93">
        <v>0.0</v>
      </c>
      <c r="K91" s="93">
        <v>0.0</v>
      </c>
      <c r="L91" s="93">
        <v>0.0</v>
      </c>
      <c r="M91" s="93">
        <v>0.0</v>
      </c>
      <c r="N91" s="93">
        <v>0.0</v>
      </c>
      <c r="O91" s="93">
        <v>0.0</v>
      </c>
      <c r="P91" s="93">
        <v>0.0</v>
      </c>
      <c r="Q91" s="93">
        <v>0.0</v>
      </c>
      <c r="R91" s="93">
        <v>0.0</v>
      </c>
      <c r="S91" s="93">
        <v>0.0</v>
      </c>
      <c r="T91" s="93">
        <v>0.0</v>
      </c>
      <c r="U91" s="93">
        <v>0.0</v>
      </c>
      <c r="V91" s="93">
        <v>0.0</v>
      </c>
      <c r="W91" s="93">
        <v>0.0</v>
      </c>
      <c r="X91" s="93">
        <v>0.0</v>
      </c>
      <c r="Y91" s="93">
        <v>0.0</v>
      </c>
      <c r="Z91" s="93">
        <v>0.0</v>
      </c>
      <c r="AA91" s="93">
        <v>9.0</v>
      </c>
      <c r="AB91" s="93">
        <v>35.0</v>
      </c>
      <c r="AC91" s="93">
        <v>18.0</v>
      </c>
      <c r="AD91" s="93">
        <v>57.0</v>
      </c>
      <c r="AE91" s="93">
        <v>48.0</v>
      </c>
      <c r="AF91" s="93">
        <v>30.0</v>
      </c>
      <c r="AG91" s="93">
        <v>12.0</v>
      </c>
      <c r="AH91" s="93">
        <v>12.0</v>
      </c>
      <c r="AI91" s="93">
        <v>30.0</v>
      </c>
      <c r="AJ91" s="93">
        <v>27.0</v>
      </c>
      <c r="AK91" s="93">
        <v>21.0</v>
      </c>
      <c r="AL91" s="93">
        <v>15.0</v>
      </c>
      <c r="AM91" s="93">
        <v>3.0</v>
      </c>
      <c r="AN91" s="93">
        <v>12.0</v>
      </c>
      <c r="AO91" s="69">
        <f t="shared" si="3"/>
        <v>285.0</v>
      </c>
      <c r="AP91" s="69">
        <f t="shared" si="4"/>
        <v>108.0</v>
      </c>
      <c r="AQ91" s="69">
        <f t="shared" si="5"/>
        <v>118.8</v>
      </c>
      <c r="AR91" s="47">
        <f t="shared" si="126"/>
        <v>18.7714285714286</v>
      </c>
      <c r="AS91" s="47">
        <f t="shared" si="127"/>
        <v>14.6571428571429</v>
      </c>
      <c r="AT91" s="47">
        <f t="shared" si="128"/>
        <v>29.3142857142857</v>
      </c>
      <c r="AU91" s="47">
        <f t="shared" si="129"/>
        <v>32.6571428571429</v>
      </c>
      <c r="AV91" s="47">
        <f t="shared" si="130"/>
        <v>29.571428571429</v>
      </c>
      <c r="AW91" s="47">
        <f t="shared" si="131"/>
        <v>24.1714285714286</v>
      </c>
      <c r="AX91" s="64">
        <f t="shared" si="12"/>
        <v>149.142857142858</v>
      </c>
      <c r="AY91" s="64" t="e">
        <f t="shared" si="13"/>
        <v>#REF!</v>
      </c>
      <c r="BB91" s="69" t="e">
        <f t="shared" si="116"/>
        <v>#REF!</v>
      </c>
      <c r="BC91" s="69"/>
      <c r="BE91" s="70"/>
      <c r="BF91" s="95" t="e">
        <f t="shared" si="15"/>
        <v>#REF!</v>
      </c>
      <c r="BG91" s="65">
        <f t="shared" si="16"/>
        <v>18.7714285714286</v>
      </c>
      <c r="BH91" s="65">
        <f t="shared" si="17"/>
      </c>
      <c r="BI91" s="65" t="e">
        <f t="shared" si="18"/>
        <v>#REF!</v>
      </c>
      <c r="BJ91" s="65">
        <f t="shared" si="19"/>
        <v>14.6571428571429</v>
      </c>
      <c r="BK91" s="65">
        <f t="shared" si="20"/>
      </c>
      <c r="BL91" s="65" t="e">
        <f t="shared" si="21"/>
        <v>#REF!</v>
      </c>
      <c r="BM91" s="65">
        <f t="shared" si="22"/>
        <v>29.3142857142857</v>
      </c>
      <c r="BN91" s="65"/>
      <c r="BO91" s="65" t="e">
        <f t="shared" si="23"/>
        <v>#REF!</v>
      </c>
      <c r="BP91" s="65">
        <f t="shared" si="24"/>
        <v>32.6571428571429</v>
      </c>
      <c r="BQ91" s="65"/>
      <c r="BR91" s="65" t="e">
        <f t="shared" si="25"/>
        <v>#REF!</v>
      </c>
      <c r="BS91" s="65">
        <f t="shared" si="26"/>
        <v>29.571428571429</v>
      </c>
      <c r="BT91" s="65"/>
      <c r="BU91" s="65" t="e">
        <f t="shared" si="27"/>
        <v>#REF!</v>
      </c>
      <c r="BV91" s="65">
        <f t="shared" si="28"/>
        <v>24.1714285714286</v>
      </c>
      <c r="BW91" s="65"/>
      <c r="BX91" s="65" t="e">
        <f t="shared" si="29"/>
        <v>#REF!</v>
      </c>
    </row>
    <row r="92" ht="14.0">
      <c r="A92" s="93" t="s">
        <v>179</v>
      </c>
      <c r="B92" s="93" t="s">
        <v>361</v>
      </c>
      <c r="C92" s="93" t="s">
        <v>368</v>
      </c>
      <c r="D92" s="93" t="s">
        <v>369</v>
      </c>
      <c r="E92" s="93">
        <v>0.0</v>
      </c>
      <c r="F92" s="93">
        <v>0.0</v>
      </c>
      <c r="G92" s="93">
        <v>0.0</v>
      </c>
      <c r="H92" s="93">
        <v>0.0</v>
      </c>
      <c r="I92" s="93">
        <v>0.0</v>
      </c>
      <c r="J92" s="93">
        <v>0.0</v>
      </c>
      <c r="K92" s="93">
        <v>0.0</v>
      </c>
      <c r="L92" s="93">
        <v>0.0</v>
      </c>
      <c r="M92" s="93">
        <v>0.0</v>
      </c>
      <c r="N92" s="93">
        <v>0.0</v>
      </c>
      <c r="O92" s="93">
        <v>0.0</v>
      </c>
      <c r="P92" s="93">
        <v>0.0</v>
      </c>
      <c r="Q92" s="93">
        <v>0.0</v>
      </c>
      <c r="R92" s="93">
        <v>0.0</v>
      </c>
      <c r="S92" s="93">
        <v>0.0</v>
      </c>
      <c r="T92" s="93">
        <v>0.0</v>
      </c>
      <c r="U92" s="93">
        <v>0.0</v>
      </c>
      <c r="V92" s="93">
        <v>0.0</v>
      </c>
      <c r="W92" s="93">
        <v>0.0</v>
      </c>
      <c r="X92" s="93">
        <v>0.0</v>
      </c>
      <c r="Y92" s="93">
        <v>0.0</v>
      </c>
      <c r="Z92" s="93">
        <v>0.0</v>
      </c>
      <c r="AA92" s="93">
        <v>12.0</v>
      </c>
      <c r="AB92" s="93">
        <v>23.0</v>
      </c>
      <c r="AC92" s="93">
        <v>27.0</v>
      </c>
      <c r="AD92" s="93">
        <v>33.0</v>
      </c>
      <c r="AE92" s="93">
        <v>42.0</v>
      </c>
      <c r="AF92" s="93">
        <v>27.0</v>
      </c>
      <c r="AG92" s="93">
        <v>3.0</v>
      </c>
      <c r="AH92" s="93">
        <v>12.0</v>
      </c>
      <c r="AI92" s="93">
        <v>21.0</v>
      </c>
      <c r="AJ92" s="93">
        <v>6.0</v>
      </c>
      <c r="AK92" s="93">
        <v>12.0</v>
      </c>
      <c r="AL92" s="93">
        <v>6.0</v>
      </c>
      <c r="AM92" s="93">
        <v>3.0</v>
      </c>
      <c r="AN92" s="93">
        <v>3.0</v>
      </c>
      <c r="AO92" s="69">
        <f t="shared" si="3"/>
        <v>195.0</v>
      </c>
      <c r="AP92" s="69">
        <f t="shared" si="4"/>
        <v>51.0</v>
      </c>
      <c r="AQ92" s="69">
        <f t="shared" si="5"/>
        <v>56.1</v>
      </c>
      <c r="AR92" s="47">
        <f t="shared" si="126"/>
        <v>8.86428571428571</v>
      </c>
      <c r="AS92" s="47">
        <f t="shared" si="127"/>
        <v>6.92142857142857</v>
      </c>
      <c r="AT92" s="47">
        <f t="shared" si="128"/>
        <v>13.8428571428571</v>
      </c>
      <c r="AU92" s="47">
        <f t="shared" si="129"/>
        <v>15.4214285714286</v>
      </c>
      <c r="AV92" s="47">
        <f t="shared" si="130"/>
        <v>13.9642857142857</v>
      </c>
      <c r="AW92" s="47">
        <f t="shared" si="131"/>
        <v>11.4142857142857</v>
      </c>
      <c r="AX92" s="64">
        <f t="shared" si="12"/>
        <v>70.4285714285713</v>
      </c>
      <c r="AY92" s="64" t="e">
        <f t="shared" si="13"/>
        <v>#REF!</v>
      </c>
      <c r="BB92" s="69" t="e">
        <f t="shared" si="116"/>
        <v>#REF!</v>
      </c>
      <c r="BC92" s="69"/>
      <c r="BE92" s="70"/>
      <c r="BF92" s="95" t="e">
        <f t="shared" si="15"/>
        <v>#REF!</v>
      </c>
      <c r="BG92" s="65">
        <f t="shared" si="16"/>
        <v>8.86428571428571</v>
      </c>
      <c r="BH92" s="65">
        <f t="shared" si="17"/>
      </c>
      <c r="BI92" s="65" t="e">
        <f t="shared" si="18"/>
        <v>#REF!</v>
      </c>
      <c r="BJ92" s="65">
        <f t="shared" si="19"/>
        <v>6.92142857142857</v>
      </c>
      <c r="BK92" s="65">
        <f t="shared" si="20"/>
      </c>
      <c r="BL92" s="65" t="e">
        <f t="shared" si="21"/>
        <v>#REF!</v>
      </c>
      <c r="BM92" s="65">
        <f t="shared" si="22"/>
        <v>13.8428571428571</v>
      </c>
      <c r="BN92" s="65"/>
      <c r="BO92" s="65" t="e">
        <f t="shared" si="23"/>
        <v>#REF!</v>
      </c>
      <c r="BP92" s="65">
        <f t="shared" si="24"/>
        <v>15.4214285714286</v>
      </c>
      <c r="BQ92" s="65"/>
      <c r="BR92" s="65" t="e">
        <f t="shared" si="25"/>
        <v>#REF!</v>
      </c>
      <c r="BS92" s="65">
        <f t="shared" si="26"/>
        <v>13.9642857142857</v>
      </c>
      <c r="BT92" s="65"/>
      <c r="BU92" s="65" t="e">
        <f t="shared" si="27"/>
        <v>#REF!</v>
      </c>
      <c r="BV92" s="65">
        <f t="shared" si="28"/>
        <v>11.4142857142857</v>
      </c>
      <c r="BW92" s="65"/>
      <c r="BX92" s="65" t="e">
        <f t="shared" si="29"/>
        <v>#REF!</v>
      </c>
    </row>
    <row r="93" ht="14.0">
      <c r="A93" s="93" t="s">
        <v>179</v>
      </c>
      <c r="B93" s="93" t="s">
        <v>361</v>
      </c>
      <c r="C93" s="93" t="s">
        <v>370</v>
      </c>
      <c r="D93" s="93" t="s">
        <v>371</v>
      </c>
      <c r="E93" s="93">
        <v>0.0</v>
      </c>
      <c r="F93" s="93">
        <v>0.0</v>
      </c>
      <c r="G93" s="93">
        <v>0.0</v>
      </c>
      <c r="H93" s="93">
        <v>0.0</v>
      </c>
      <c r="I93" s="93">
        <v>0.0</v>
      </c>
      <c r="J93" s="93">
        <v>0.0</v>
      </c>
      <c r="K93" s="93">
        <v>0.0</v>
      </c>
      <c r="L93" s="93">
        <v>0.0</v>
      </c>
      <c r="M93" s="93">
        <v>0.0</v>
      </c>
      <c r="N93" s="93">
        <v>0.0</v>
      </c>
      <c r="O93" s="93">
        <v>0.0</v>
      </c>
      <c r="P93" s="93">
        <v>0.0</v>
      </c>
      <c r="Q93" s="93">
        <v>0.0</v>
      </c>
      <c r="R93" s="93">
        <v>0.0</v>
      </c>
      <c r="S93" s="93">
        <v>0.0</v>
      </c>
      <c r="T93" s="93">
        <v>0.0</v>
      </c>
      <c r="U93" s="93">
        <v>0.0</v>
      </c>
      <c r="V93" s="93">
        <v>0.0</v>
      </c>
      <c r="W93" s="93">
        <v>0.0</v>
      </c>
      <c r="X93" s="93">
        <v>0.0</v>
      </c>
      <c r="Y93" s="93">
        <v>0.0</v>
      </c>
      <c r="Z93" s="93">
        <v>0.0</v>
      </c>
      <c r="AA93" s="93">
        <v>21.0</v>
      </c>
      <c r="AB93" s="93">
        <v>80.0</v>
      </c>
      <c r="AC93" s="93">
        <v>63.0</v>
      </c>
      <c r="AD93" s="93">
        <v>129.0</v>
      </c>
      <c r="AE93" s="93">
        <v>67.0</v>
      </c>
      <c r="AF93" s="93">
        <v>63.0</v>
      </c>
      <c r="AG93" s="93">
        <v>15.0</v>
      </c>
      <c r="AH93" s="93">
        <v>18.0</v>
      </c>
      <c r="AI93" s="93">
        <v>30.0</v>
      </c>
      <c r="AJ93" s="93">
        <v>12.0</v>
      </c>
      <c r="AK93" s="93">
        <v>18.0</v>
      </c>
      <c r="AL93" s="93">
        <v>9.0</v>
      </c>
      <c r="AM93" s="93">
        <v>3.0</v>
      </c>
      <c r="AN93" s="93">
        <v>6.0</v>
      </c>
      <c r="AO93" s="69">
        <f t="shared" si="3"/>
        <v>433.0</v>
      </c>
      <c r="AP93" s="69">
        <f t="shared" si="4"/>
        <v>78.0</v>
      </c>
      <c r="AQ93" s="69">
        <f t="shared" si="5"/>
        <v>85.8</v>
      </c>
      <c r="AR93" s="47">
        <f t="shared" si="126"/>
        <v>13.5571428571429</v>
      </c>
      <c r="AS93" s="47">
        <f t="shared" si="127"/>
        <v>10.5857142857142</v>
      </c>
      <c r="AT93" s="47">
        <f t="shared" si="128"/>
        <v>21.1714285714286</v>
      </c>
      <c r="AU93" s="47">
        <f t="shared" si="129"/>
        <v>23.5857142857142</v>
      </c>
      <c r="AV93" s="47">
        <f t="shared" si="130"/>
        <v>21.3571428571429</v>
      </c>
      <c r="AW93" s="47">
        <f t="shared" si="131"/>
        <v>17.457142857142</v>
      </c>
      <c r="AX93" s="64">
        <f t="shared" si="12"/>
        <v>107.714285714284</v>
      </c>
      <c r="AY93" s="64" t="e">
        <f t="shared" si="13"/>
        <v>#REF!</v>
      </c>
      <c r="BB93" s="69" t="e">
        <f t="shared" si="116"/>
        <v>#REF!</v>
      </c>
      <c r="BC93" s="69"/>
      <c r="BE93" s="70"/>
      <c r="BF93" s="95" t="e">
        <f t="shared" si="15"/>
        <v>#REF!</v>
      </c>
      <c r="BG93" s="65">
        <f t="shared" si="16"/>
        <v>13.5571428571429</v>
      </c>
      <c r="BH93" s="65">
        <f t="shared" si="17"/>
      </c>
      <c r="BI93" s="65" t="e">
        <f t="shared" si="18"/>
        <v>#REF!</v>
      </c>
      <c r="BJ93" s="65">
        <f t="shared" si="19"/>
        <v>10.5857142857142</v>
      </c>
      <c r="BK93" s="65">
        <f t="shared" si="20"/>
      </c>
      <c r="BL93" s="65" t="e">
        <f t="shared" si="21"/>
        <v>#REF!</v>
      </c>
      <c r="BM93" s="65">
        <f t="shared" si="22"/>
        <v>21.1714285714286</v>
      </c>
      <c r="BN93" s="65"/>
      <c r="BO93" s="65" t="e">
        <f t="shared" si="23"/>
        <v>#REF!</v>
      </c>
      <c r="BP93" s="65">
        <f t="shared" si="24"/>
        <v>23.5857142857142</v>
      </c>
      <c r="BQ93" s="65"/>
      <c r="BR93" s="65" t="e">
        <f t="shared" si="25"/>
        <v>#REF!</v>
      </c>
      <c r="BS93" s="65">
        <f t="shared" si="26"/>
        <v>21.3571428571429</v>
      </c>
      <c r="BT93" s="65"/>
      <c r="BU93" s="65" t="e">
        <f t="shared" si="27"/>
        <v>#REF!</v>
      </c>
      <c r="BV93" s="65">
        <f t="shared" si="28"/>
        <v>17.457142857142</v>
      </c>
      <c r="BW93" s="65"/>
      <c r="BX93" s="65" t="e">
        <f t="shared" si="29"/>
        <v>#REF!</v>
      </c>
    </row>
    <row r="94" ht="14.0">
      <c r="A94" s="93" t="s">
        <v>179</v>
      </c>
      <c r="B94" s="93" t="s">
        <v>361</v>
      </c>
      <c r="C94" s="93" t="s">
        <v>372</v>
      </c>
      <c r="D94" s="93" t="s">
        <v>373</v>
      </c>
      <c r="E94" s="93">
        <v>0.0</v>
      </c>
      <c r="F94" s="93">
        <v>0.0</v>
      </c>
      <c r="G94" s="93">
        <v>0.0</v>
      </c>
      <c r="H94" s="93">
        <v>0.0</v>
      </c>
      <c r="I94" s="93">
        <v>0.0</v>
      </c>
      <c r="J94" s="93">
        <v>0.0</v>
      </c>
      <c r="K94" s="93">
        <v>0.0</v>
      </c>
      <c r="L94" s="93">
        <v>0.0</v>
      </c>
      <c r="M94" s="93">
        <v>0.0</v>
      </c>
      <c r="N94" s="93">
        <v>0.0</v>
      </c>
      <c r="O94" s="93">
        <v>0.0</v>
      </c>
      <c r="P94" s="93">
        <v>0.0</v>
      </c>
      <c r="Q94" s="93">
        <v>0.0</v>
      </c>
      <c r="R94" s="93">
        <v>0.0</v>
      </c>
      <c r="S94" s="93">
        <v>0.0</v>
      </c>
      <c r="T94" s="93">
        <v>0.0</v>
      </c>
      <c r="U94" s="93">
        <v>0.0</v>
      </c>
      <c r="V94" s="93">
        <v>0.0</v>
      </c>
      <c r="W94" s="93">
        <v>0.0</v>
      </c>
      <c r="X94" s="93">
        <v>0.0</v>
      </c>
      <c r="Y94" s="93">
        <v>0.0</v>
      </c>
      <c r="Z94" s="93">
        <v>0.0</v>
      </c>
      <c r="AA94" s="93">
        <v>15.0</v>
      </c>
      <c r="AB94" s="93">
        <v>59.0</v>
      </c>
      <c r="AC94" s="93">
        <v>45.0</v>
      </c>
      <c r="AD94" s="93">
        <v>102.0</v>
      </c>
      <c r="AE94" s="93">
        <v>75.0</v>
      </c>
      <c r="AF94" s="93">
        <v>63.0</v>
      </c>
      <c r="AG94" s="93">
        <v>24.0</v>
      </c>
      <c r="AH94" s="93">
        <v>21.0</v>
      </c>
      <c r="AI94" s="93">
        <v>24.0</v>
      </c>
      <c r="AJ94" s="93">
        <v>15.0</v>
      </c>
      <c r="AK94" s="93">
        <v>9.0</v>
      </c>
      <c r="AL94" s="93">
        <v>15.0</v>
      </c>
      <c r="AM94" s="93">
        <v>0.0</v>
      </c>
      <c r="AN94" s="93">
        <v>6.0</v>
      </c>
      <c r="AO94" s="69">
        <f t="shared" si="3"/>
        <v>399.0</v>
      </c>
      <c r="AP94" s="69">
        <f t="shared" si="4"/>
        <v>69.0</v>
      </c>
      <c r="AQ94" s="69">
        <f t="shared" si="5"/>
        <v>75.9</v>
      </c>
      <c r="AR94" s="47">
        <f t="shared" si="126"/>
        <v>11.9928571428571</v>
      </c>
      <c r="AS94" s="47">
        <f t="shared" si="127"/>
        <v>9.36428571428571</v>
      </c>
      <c r="AT94" s="47">
        <f t="shared" si="128"/>
        <v>18.7285714285714</v>
      </c>
      <c r="AU94" s="47">
        <f t="shared" si="129"/>
        <v>20.8642857142857</v>
      </c>
      <c r="AV94" s="47">
        <f t="shared" si="130"/>
        <v>18.8928571428571</v>
      </c>
      <c r="AW94" s="47">
        <f t="shared" si="131"/>
        <v>15.4428571428571</v>
      </c>
      <c r="AX94" s="64">
        <f t="shared" si="12"/>
        <v>95.2857142857141</v>
      </c>
      <c r="AY94" s="64" t="e">
        <f t="shared" si="13"/>
        <v>#REF!</v>
      </c>
      <c r="BB94" s="69" t="e">
        <f t="shared" si="116"/>
        <v>#REF!</v>
      </c>
      <c r="BC94" s="69"/>
      <c r="BE94" s="70"/>
      <c r="BF94" s="95" t="e">
        <f t="shared" si="15"/>
        <v>#REF!</v>
      </c>
      <c r="BG94" s="65">
        <f t="shared" si="16"/>
        <v>11.9928571428571</v>
      </c>
      <c r="BH94" s="65">
        <f t="shared" si="17"/>
      </c>
      <c r="BI94" s="65" t="e">
        <f t="shared" si="18"/>
        <v>#REF!</v>
      </c>
      <c r="BJ94" s="65">
        <f t="shared" si="19"/>
        <v>9.36428571428571</v>
      </c>
      <c r="BK94" s="65">
        <f t="shared" si="20"/>
      </c>
      <c r="BL94" s="65" t="e">
        <f t="shared" si="21"/>
        <v>#REF!</v>
      </c>
      <c r="BM94" s="65">
        <f t="shared" si="22"/>
        <v>18.7285714285714</v>
      </c>
      <c r="BN94" s="65"/>
      <c r="BO94" s="65" t="e">
        <f t="shared" si="23"/>
        <v>#REF!</v>
      </c>
      <c r="BP94" s="65">
        <f t="shared" si="24"/>
        <v>20.8642857142857</v>
      </c>
      <c r="BQ94" s="65"/>
      <c r="BR94" s="65" t="e">
        <f t="shared" si="25"/>
        <v>#REF!</v>
      </c>
      <c r="BS94" s="65">
        <f t="shared" si="26"/>
        <v>18.8928571428571</v>
      </c>
      <c r="BT94" s="65"/>
      <c r="BU94" s="65" t="e">
        <f t="shared" si="27"/>
        <v>#REF!</v>
      </c>
      <c r="BV94" s="65">
        <f t="shared" si="28"/>
        <v>15.4428571428571</v>
      </c>
      <c r="BW94" s="65"/>
      <c r="BX94" s="65" t="e">
        <f t="shared" si="29"/>
        <v>#REF!</v>
      </c>
    </row>
    <row r="95" ht="14.0">
      <c r="A95" s="93" t="s">
        <v>179</v>
      </c>
      <c r="B95" s="93" t="s">
        <v>361</v>
      </c>
      <c r="C95" s="93" t="s">
        <v>374</v>
      </c>
      <c r="D95" s="93" t="s">
        <v>375</v>
      </c>
      <c r="E95" s="93">
        <v>0.0</v>
      </c>
      <c r="F95" s="93">
        <v>0.0</v>
      </c>
      <c r="G95" s="93">
        <v>0.0</v>
      </c>
      <c r="H95" s="93">
        <v>0.0</v>
      </c>
      <c r="I95" s="93">
        <v>0.0</v>
      </c>
      <c r="J95" s="93">
        <v>0.0</v>
      </c>
      <c r="K95" s="93">
        <v>0.0</v>
      </c>
      <c r="L95" s="93">
        <v>0.0</v>
      </c>
      <c r="M95" s="93">
        <v>0.0</v>
      </c>
      <c r="N95" s="93">
        <v>0.0</v>
      </c>
      <c r="O95" s="93">
        <v>0.0</v>
      </c>
      <c r="P95" s="93">
        <v>0.0</v>
      </c>
      <c r="Q95" s="93">
        <v>0.0</v>
      </c>
      <c r="R95" s="93">
        <v>0.0</v>
      </c>
      <c r="S95" s="93">
        <v>0.0</v>
      </c>
      <c r="T95" s="93">
        <v>0.0</v>
      </c>
      <c r="U95" s="93">
        <v>0.0</v>
      </c>
      <c r="V95" s="93">
        <v>0.0</v>
      </c>
      <c r="W95" s="93">
        <v>0.0</v>
      </c>
      <c r="X95" s="93">
        <v>0.0</v>
      </c>
      <c r="Y95" s="93">
        <v>0.0</v>
      </c>
      <c r="Z95" s="93">
        <v>0.0</v>
      </c>
      <c r="AA95" s="93">
        <v>0.0</v>
      </c>
      <c r="AB95" s="93">
        <v>0.0</v>
      </c>
      <c r="AC95" s="93">
        <v>0.0</v>
      </c>
      <c r="AD95" s="93">
        <v>0.0</v>
      </c>
      <c r="AE95" s="93">
        <v>0.0</v>
      </c>
      <c r="AF95" s="93">
        <v>0.0</v>
      </c>
      <c r="AG95" s="93">
        <v>0.0</v>
      </c>
      <c r="AH95" s="93">
        <v>0.0</v>
      </c>
      <c r="AI95" s="93">
        <v>0.0</v>
      </c>
      <c r="AJ95" s="93">
        <v>0.0</v>
      </c>
      <c r="AK95" s="93">
        <v>95.0</v>
      </c>
      <c r="AL95" s="93">
        <v>105.0</v>
      </c>
      <c r="AM95" s="93">
        <v>48.0</v>
      </c>
      <c r="AN95" s="93">
        <v>54.0</v>
      </c>
      <c r="AO95" s="69">
        <f t="shared" si="3"/>
        <v>302.0</v>
      </c>
      <c r="AP95" s="69">
        <f t="shared" si="4"/>
        <v>302.0</v>
      </c>
      <c r="AQ95" s="69">
        <f t="shared" si="5"/>
        <v>332.2</v>
      </c>
      <c r="AR95" s="101">
        <f t="shared" ref="AR95:AR96" si="132">AVERAGE(AK95:AN95)</f>
        <v>75.5</v>
      </c>
      <c r="AS95" s="101">
        <f t="shared" ref="AS95:AS96" si="133">AR95*1.1</f>
        <v>83.05</v>
      </c>
      <c r="AT95" s="101">
        <f t="shared" ref="AT95:AT96" si="134">AS95*1.1</f>
        <v>91.355</v>
      </c>
      <c r="AU95" s="101">
        <f t="shared" ref="AU95:AU96" si="135">AT95*1.1</f>
        <v>100.4905</v>
      </c>
      <c r="AV95" s="101">
        <f t="shared" ref="AV95:AV96" si="136">AU95*1.1</f>
        <v>110.53955</v>
      </c>
      <c r="AW95" s="101">
        <f t="shared" ref="AW95:AW96" si="137">AV95*1.1</f>
        <v>121.593505</v>
      </c>
      <c r="AX95" s="64">
        <f t="shared" si="12"/>
        <v>582.528555</v>
      </c>
      <c r="AY95" s="64" t="e">
        <f t="shared" si="13"/>
        <v>#REF!</v>
      </c>
      <c r="AZ95" s="64" t="e">
        <f t="shared" ref="AZ95:AZ96" si="138">VLOOKUP(C95,CHINAAUGUST,3,false)</f>
        <v>#REF!</v>
      </c>
      <c r="BB95" s="69" t="e">
        <f t="shared" si="116"/>
        <v>#REF!</v>
      </c>
      <c r="BC95" s="69"/>
      <c r="BE95" s="70"/>
      <c r="BF95" s="95" t="e">
        <f t="shared" si="15"/>
        <v>#REF!</v>
      </c>
      <c r="BG95" s="65">
        <f t="shared" si="16"/>
        <v>75.5</v>
      </c>
      <c r="BH95" s="65" t="e">
        <f t="shared" si="17"/>
        <v>#REF!</v>
      </c>
      <c r="BI95" s="65" t="e">
        <f t="shared" si="18"/>
        <v>#REF!</v>
      </c>
      <c r="BJ95" s="65">
        <f t="shared" si="19"/>
        <v>83.05</v>
      </c>
      <c r="BK95" s="65">
        <f t="shared" si="20"/>
      </c>
      <c r="BL95" s="65" t="e">
        <f t="shared" si="21"/>
        <v>#REF!</v>
      </c>
      <c r="BM95" s="65">
        <f t="shared" si="22"/>
        <v>91.355</v>
      </c>
      <c r="BN95" s="65"/>
      <c r="BO95" s="65" t="e">
        <f t="shared" si="23"/>
        <v>#REF!</v>
      </c>
      <c r="BP95" s="65">
        <f t="shared" si="24"/>
        <v>100.4905</v>
      </c>
      <c r="BQ95" s="65"/>
      <c r="BR95" s="65" t="e">
        <f t="shared" si="25"/>
        <v>#REF!</v>
      </c>
      <c r="BS95" s="65">
        <f t="shared" si="26"/>
        <v>110.53955</v>
      </c>
      <c r="BT95" s="65"/>
      <c r="BU95" s="65" t="e">
        <f t="shared" si="27"/>
        <v>#REF!</v>
      </c>
      <c r="BV95" s="65">
        <f t="shared" si="28"/>
        <v>121.593505</v>
      </c>
      <c r="BW95" s="65"/>
      <c r="BX95" s="65" t="e">
        <f t="shared" si="29"/>
        <v>#REF!</v>
      </c>
    </row>
    <row r="96" ht="14.0">
      <c r="A96" s="93" t="s">
        <v>179</v>
      </c>
      <c r="B96" s="93" t="s">
        <v>361</v>
      </c>
      <c r="C96" s="93" t="s">
        <v>376</v>
      </c>
      <c r="D96" s="93" t="s">
        <v>377</v>
      </c>
      <c r="E96" s="93">
        <v>0.0</v>
      </c>
      <c r="F96" s="93">
        <v>0.0</v>
      </c>
      <c r="G96" s="93">
        <v>0.0</v>
      </c>
      <c r="H96" s="93">
        <v>0.0</v>
      </c>
      <c r="I96" s="93">
        <v>0.0</v>
      </c>
      <c r="J96" s="93">
        <v>0.0</v>
      </c>
      <c r="K96" s="93">
        <v>0.0</v>
      </c>
      <c r="L96" s="93">
        <v>0.0</v>
      </c>
      <c r="M96" s="93">
        <v>0.0</v>
      </c>
      <c r="N96" s="93">
        <v>0.0</v>
      </c>
      <c r="O96" s="93">
        <v>0.0</v>
      </c>
      <c r="P96" s="93">
        <v>0.0</v>
      </c>
      <c r="Q96" s="93">
        <v>0.0</v>
      </c>
      <c r="R96" s="93">
        <v>0.0</v>
      </c>
      <c r="S96" s="93">
        <v>0.0</v>
      </c>
      <c r="T96" s="93">
        <v>0.0</v>
      </c>
      <c r="U96" s="93">
        <v>0.0</v>
      </c>
      <c r="V96" s="93">
        <v>0.0</v>
      </c>
      <c r="W96" s="93">
        <v>0.0</v>
      </c>
      <c r="X96" s="93">
        <v>0.0</v>
      </c>
      <c r="Y96" s="93">
        <v>0.0</v>
      </c>
      <c r="Z96" s="93">
        <v>0.0</v>
      </c>
      <c r="AA96" s="93">
        <v>0.0</v>
      </c>
      <c r="AB96" s="93">
        <v>0.0</v>
      </c>
      <c r="AC96" s="93">
        <v>0.0</v>
      </c>
      <c r="AD96" s="93">
        <v>0.0</v>
      </c>
      <c r="AE96" s="93">
        <v>0.0</v>
      </c>
      <c r="AF96" s="93">
        <v>0.0</v>
      </c>
      <c r="AG96" s="93">
        <v>0.0</v>
      </c>
      <c r="AH96" s="93">
        <v>0.0</v>
      </c>
      <c r="AI96" s="93">
        <v>0.0</v>
      </c>
      <c r="AJ96" s="93">
        <v>0.0</v>
      </c>
      <c r="AK96" s="93">
        <v>104.0</v>
      </c>
      <c r="AL96" s="93">
        <v>93.0</v>
      </c>
      <c r="AM96" s="93">
        <v>39.0</v>
      </c>
      <c r="AN96" s="93">
        <v>27.0</v>
      </c>
      <c r="AO96" s="69">
        <f t="shared" si="3"/>
        <v>263.0</v>
      </c>
      <c r="AP96" s="69">
        <f t="shared" si="4"/>
        <v>263.0</v>
      </c>
      <c r="AQ96" s="69">
        <f t="shared" si="5"/>
        <v>289.3</v>
      </c>
      <c r="AR96" s="102">
        <f t="shared" si="132"/>
        <v>65.75</v>
      </c>
      <c r="AS96" s="102">
        <f t="shared" si="133"/>
        <v>72.325</v>
      </c>
      <c r="AT96" s="102">
        <f t="shared" si="134"/>
        <v>79.5575</v>
      </c>
      <c r="AU96" s="102">
        <f t="shared" si="135"/>
        <v>87.51325</v>
      </c>
      <c r="AV96" s="102">
        <f t="shared" si="136"/>
        <v>96.264575</v>
      </c>
      <c r="AW96" s="102">
        <f t="shared" si="137"/>
        <v>105.8910325</v>
      </c>
      <c r="AX96" s="64">
        <f t="shared" si="12"/>
        <v>507.3013575</v>
      </c>
      <c r="AY96" s="64" t="e">
        <f t="shared" si="13"/>
        <v>#REF!</v>
      </c>
      <c r="AZ96" s="64" t="e">
        <f t="shared" si="138"/>
        <v>#REF!</v>
      </c>
      <c r="BB96" s="69" t="e">
        <f t="shared" si="116"/>
        <v>#REF!</v>
      </c>
      <c r="BC96" s="69"/>
      <c r="BE96" s="70"/>
      <c r="BF96" s="95" t="e">
        <f t="shared" si="15"/>
        <v>#REF!</v>
      </c>
      <c r="BG96" s="65">
        <f t="shared" si="16"/>
        <v>65.75</v>
      </c>
      <c r="BH96" s="65" t="e">
        <f t="shared" si="17"/>
        <v>#REF!</v>
      </c>
      <c r="BI96" s="65" t="e">
        <f t="shared" si="18"/>
        <v>#REF!</v>
      </c>
      <c r="BJ96" s="65">
        <f t="shared" si="19"/>
        <v>72.325</v>
      </c>
      <c r="BK96" s="65">
        <f t="shared" si="20"/>
      </c>
      <c r="BL96" s="65" t="e">
        <f t="shared" si="21"/>
        <v>#REF!</v>
      </c>
      <c r="BM96" s="65">
        <f t="shared" si="22"/>
        <v>79.5575</v>
      </c>
      <c r="BN96" s="65"/>
      <c r="BO96" s="65" t="e">
        <f t="shared" si="23"/>
        <v>#REF!</v>
      </c>
      <c r="BP96" s="65">
        <f t="shared" si="24"/>
        <v>87.51325</v>
      </c>
      <c r="BQ96" s="65"/>
      <c r="BR96" s="65" t="e">
        <f t="shared" si="25"/>
        <v>#REF!</v>
      </c>
      <c r="BS96" s="65">
        <f t="shared" si="26"/>
        <v>96.264575</v>
      </c>
      <c r="BT96" s="65"/>
      <c r="BU96" s="65" t="e">
        <f t="shared" si="27"/>
        <v>#REF!</v>
      </c>
      <c r="BV96" s="65">
        <f t="shared" si="28"/>
        <v>105.8910325</v>
      </c>
      <c r="BW96" s="65"/>
      <c r="BX96" s="65" t="e">
        <f t="shared" si="29"/>
        <v>#REF!</v>
      </c>
    </row>
    <row r="97" ht="14.0">
      <c r="A97" s="93" t="s">
        <v>179</v>
      </c>
      <c r="B97" s="93" t="s">
        <v>378</v>
      </c>
      <c r="C97" s="93" t="s">
        <v>379</v>
      </c>
      <c r="D97" s="93" t="s">
        <v>380</v>
      </c>
      <c r="E97" s="93">
        <v>0.0</v>
      </c>
      <c r="F97" s="93">
        <v>0.0</v>
      </c>
      <c r="G97" s="93">
        <v>0.0</v>
      </c>
      <c r="H97" s="93">
        <v>0.0</v>
      </c>
      <c r="I97" s="93">
        <v>0.0</v>
      </c>
      <c r="J97" s="93">
        <v>0.0</v>
      </c>
      <c r="K97" s="93">
        <v>0.0</v>
      </c>
      <c r="L97" s="93">
        <v>0.0</v>
      </c>
      <c r="M97" s="93">
        <v>0.0</v>
      </c>
      <c r="N97" s="93">
        <v>0.0</v>
      </c>
      <c r="O97" s="93">
        <v>0.0</v>
      </c>
      <c r="P97" s="93">
        <v>0.0</v>
      </c>
      <c r="Q97" s="93">
        <v>0.0</v>
      </c>
      <c r="R97" s="93">
        <v>0.0</v>
      </c>
      <c r="S97" s="93">
        <v>0.0</v>
      </c>
      <c r="T97" s="93">
        <v>0.0</v>
      </c>
      <c r="U97" s="93">
        <v>0.0</v>
      </c>
      <c r="V97" s="93">
        <v>0.0</v>
      </c>
      <c r="W97" s="93">
        <v>0.0</v>
      </c>
      <c r="X97" s="93">
        <v>0.0</v>
      </c>
      <c r="Y97" s="93">
        <v>0.0</v>
      </c>
      <c r="Z97" s="93">
        <v>0.0</v>
      </c>
      <c r="AA97" s="93">
        <v>0.0</v>
      </c>
      <c r="AB97" s="93">
        <v>0.0</v>
      </c>
      <c r="AC97" s="93">
        <v>0.0</v>
      </c>
      <c r="AD97" s="93">
        <v>0.0</v>
      </c>
      <c r="AE97" s="93">
        <v>0.0</v>
      </c>
      <c r="AF97" s="93">
        <v>0.0</v>
      </c>
      <c r="AG97" s="93">
        <v>0.0</v>
      </c>
      <c r="AH97" s="93">
        <v>0.0</v>
      </c>
      <c r="AI97" s="93">
        <v>0.0</v>
      </c>
      <c r="AJ97" s="93">
        <v>0.0</v>
      </c>
      <c r="AK97" s="93">
        <v>0.0</v>
      </c>
      <c r="AL97" s="93">
        <v>0.0</v>
      </c>
      <c r="AM97" s="93">
        <v>1.0</v>
      </c>
      <c r="AN97" s="93">
        <v>0.0</v>
      </c>
      <c r="AO97" s="69">
        <f t="shared" si="3"/>
        <v>1.0</v>
      </c>
      <c r="AP97" s="69">
        <f t="shared" si="4"/>
        <v>1.0</v>
      </c>
      <c r="AQ97" s="69">
        <f t="shared" si="5"/>
        <v>1.1</v>
      </c>
      <c r="AR97" s="97">
        <v>0.0</v>
      </c>
      <c r="AS97" s="97">
        <v>0.0</v>
      </c>
      <c r="AT97" s="97">
        <v>0.0</v>
      </c>
      <c r="AU97" s="97">
        <v>0.0</v>
      </c>
      <c r="AV97" s="97">
        <v>0.0</v>
      </c>
      <c r="AW97" s="97">
        <v>0.0</v>
      </c>
      <c r="AX97" s="64">
        <f t="shared" si="12"/>
        <v>0.0</v>
      </c>
      <c r="AY97" s="64" t="e">
        <f t="shared" si="13"/>
        <v>#REF!</v>
      </c>
      <c r="BB97" s="69" t="e">
        <f t="shared" si="116"/>
        <v>#REF!</v>
      </c>
      <c r="BC97" s="69"/>
      <c r="BE97" s="70"/>
      <c r="BF97" s="95" t="e">
        <f t="shared" si="15"/>
        <v>#REF!</v>
      </c>
      <c r="BG97" s="65">
        <f t="shared" si="16"/>
        <v>0.0</v>
      </c>
      <c r="BH97" s="65">
        <f t="shared" si="17"/>
      </c>
      <c r="BI97" s="65" t="e">
        <f t="shared" si="18"/>
        <v>#REF!</v>
      </c>
      <c r="BJ97" s="65">
        <f t="shared" si="19"/>
        <v>0.0</v>
      </c>
      <c r="BK97" s="65">
        <f t="shared" si="20"/>
      </c>
      <c r="BL97" s="65" t="e">
        <f t="shared" si="21"/>
        <v>#REF!</v>
      </c>
      <c r="BM97" s="65">
        <f t="shared" si="22"/>
        <v>0.0</v>
      </c>
      <c r="BN97" s="65"/>
      <c r="BO97" s="65" t="e">
        <f t="shared" si="23"/>
        <v>#REF!</v>
      </c>
      <c r="BP97" s="65">
        <f t="shared" si="24"/>
        <v>0.0</v>
      </c>
      <c r="BQ97" s="65"/>
      <c r="BR97" s="65" t="e">
        <f t="shared" si="25"/>
        <v>#REF!</v>
      </c>
      <c r="BS97" s="65">
        <f t="shared" si="26"/>
        <v>0.0</v>
      </c>
      <c r="BT97" s="65"/>
      <c r="BU97" s="65" t="e">
        <f t="shared" si="27"/>
        <v>#REF!</v>
      </c>
      <c r="BV97" s="65">
        <f t="shared" si="28"/>
        <v>0.0</v>
      </c>
      <c r="BW97" s="65"/>
      <c r="BX97" s="65" t="e">
        <f t="shared" si="29"/>
        <v>#REF!</v>
      </c>
    </row>
    <row r="98" ht="14.0">
      <c r="A98" s="93" t="s">
        <v>179</v>
      </c>
      <c r="B98" s="93" t="s">
        <v>378</v>
      </c>
      <c r="C98" s="93" t="s">
        <v>381</v>
      </c>
      <c r="D98" s="93" t="s">
        <v>382</v>
      </c>
      <c r="E98" s="93">
        <v>0.0</v>
      </c>
      <c r="F98" s="93">
        <v>0.0</v>
      </c>
      <c r="G98" s="93">
        <v>0.0</v>
      </c>
      <c r="H98" s="93">
        <v>0.0</v>
      </c>
      <c r="I98" s="93">
        <v>0.0</v>
      </c>
      <c r="J98" s="93">
        <v>0.0</v>
      </c>
      <c r="K98" s="93">
        <v>0.0</v>
      </c>
      <c r="L98" s="93">
        <v>0.0</v>
      </c>
      <c r="M98" s="93">
        <v>0.0</v>
      </c>
      <c r="N98" s="93">
        <v>0.0</v>
      </c>
      <c r="O98" s="93">
        <v>0.0</v>
      </c>
      <c r="P98" s="93">
        <v>0.0</v>
      </c>
      <c r="Q98" s="93">
        <v>0.0</v>
      </c>
      <c r="R98" s="93">
        <v>0.0</v>
      </c>
      <c r="S98" s="93">
        <v>0.0</v>
      </c>
      <c r="T98" s="93">
        <v>0.0</v>
      </c>
      <c r="U98" s="93">
        <v>0.0</v>
      </c>
      <c r="V98" s="93">
        <v>0.0</v>
      </c>
      <c r="W98" s="93">
        <v>0.0</v>
      </c>
      <c r="X98" s="93">
        <v>0.0</v>
      </c>
      <c r="Y98" s="93">
        <v>0.0</v>
      </c>
      <c r="Z98" s="93">
        <v>16.0</v>
      </c>
      <c r="AA98" s="93">
        <v>56.0</v>
      </c>
      <c r="AB98" s="93">
        <v>68.0</v>
      </c>
      <c r="AC98" s="93">
        <v>60.0</v>
      </c>
      <c r="AD98" s="93">
        <v>88.0</v>
      </c>
      <c r="AE98" s="93">
        <v>52.0</v>
      </c>
      <c r="AF98" s="93">
        <v>32.0</v>
      </c>
      <c r="AG98" s="93">
        <v>56.0</v>
      </c>
      <c r="AH98" s="93">
        <v>4.0</v>
      </c>
      <c r="AI98" s="93">
        <v>28.0</v>
      </c>
      <c r="AJ98" s="93">
        <v>12.0</v>
      </c>
      <c r="AK98" s="93">
        <v>36.0</v>
      </c>
      <c r="AL98" s="93">
        <v>12.0</v>
      </c>
      <c r="AM98" s="93">
        <v>24.0</v>
      </c>
      <c r="AN98" s="93">
        <v>4.0</v>
      </c>
      <c r="AO98" s="69">
        <f t="shared" si="3"/>
        <v>408.0</v>
      </c>
      <c r="AP98" s="69">
        <f t="shared" si="4"/>
        <v>116.0</v>
      </c>
      <c r="AQ98" s="69">
        <f t="shared" si="5"/>
        <v>127.6</v>
      </c>
      <c r="AR98" s="47">
        <f t="shared" ref="AR98:AR103" si="139">AQ98*$AR$4/$AQ$4</f>
        <v>20.1619047619048</v>
      </c>
      <c r="AS98" s="47">
        <f t="shared" ref="AS98:AS103" si="140">AQ98*$AS$4/$AQ$4</f>
        <v>15.7428571428571</v>
      </c>
      <c r="AT98" s="47">
        <f t="shared" ref="AT98:AT103" si="141">AQ98*$AT$4/$AQ$4</f>
        <v>31.4857142857142</v>
      </c>
      <c r="AU98" s="47">
        <f t="shared" ref="AU98:AU103" si="142">AQ98*$AU$4/$AQ$4</f>
        <v>35.0761904761904</v>
      </c>
      <c r="AV98" s="47">
        <f t="shared" ref="AV98:AV103" si="143">AQ98*$AV$4/$AQ$4</f>
        <v>31.7619047619048</v>
      </c>
      <c r="AW98" s="47">
        <f t="shared" ref="AW98:AW103" si="144">AQ98*$AW$4/$AQ$4</f>
        <v>25.9619047619048</v>
      </c>
      <c r="AX98" s="64">
        <f t="shared" si="12"/>
        <v>160.190476190476</v>
      </c>
      <c r="AY98" s="64" t="e">
        <f t="shared" si="13"/>
        <v>#REF!</v>
      </c>
      <c r="BB98" s="69" t="e">
        <f t="shared" si="116"/>
        <v>#REF!</v>
      </c>
      <c r="BC98" s="69"/>
      <c r="BE98" s="70"/>
      <c r="BF98" s="95" t="e">
        <f t="shared" si="15"/>
        <v>#REF!</v>
      </c>
      <c r="BG98" s="65">
        <f t="shared" si="16"/>
        <v>20.1619047619048</v>
      </c>
      <c r="BH98" s="65">
        <f t="shared" si="17"/>
      </c>
      <c r="BI98" s="65" t="e">
        <f t="shared" si="18"/>
        <v>#REF!</v>
      </c>
      <c r="BJ98" s="65">
        <f t="shared" si="19"/>
        <v>15.7428571428571</v>
      </c>
      <c r="BK98" s="65">
        <f t="shared" si="20"/>
      </c>
      <c r="BL98" s="65" t="e">
        <f t="shared" si="21"/>
        <v>#REF!</v>
      </c>
      <c r="BM98" s="65">
        <f t="shared" si="22"/>
        <v>31.4857142857142</v>
      </c>
      <c r="BN98" s="65"/>
      <c r="BO98" s="65" t="e">
        <f t="shared" si="23"/>
        <v>#REF!</v>
      </c>
      <c r="BP98" s="65">
        <f t="shared" si="24"/>
        <v>35.0761904761904</v>
      </c>
      <c r="BQ98" s="65"/>
      <c r="BR98" s="65" t="e">
        <f t="shared" si="25"/>
        <v>#REF!</v>
      </c>
      <c r="BS98" s="65">
        <f t="shared" si="26"/>
        <v>31.7619047619048</v>
      </c>
      <c r="BT98" s="65"/>
      <c r="BU98" s="65" t="e">
        <f t="shared" si="27"/>
        <v>#REF!</v>
      </c>
      <c r="BV98" s="65">
        <f t="shared" si="28"/>
        <v>25.9619047619048</v>
      </c>
      <c r="BW98" s="65"/>
      <c r="BX98" s="65" t="e">
        <f t="shared" si="29"/>
        <v>#REF!</v>
      </c>
    </row>
    <row r="99" ht="14.0">
      <c r="A99" s="93" t="s">
        <v>179</v>
      </c>
      <c r="B99" s="93" t="s">
        <v>378</v>
      </c>
      <c r="C99" s="93" t="s">
        <v>383</v>
      </c>
      <c r="D99" s="93" t="s">
        <v>384</v>
      </c>
      <c r="E99" s="93">
        <v>0.0</v>
      </c>
      <c r="F99" s="93">
        <v>0.0</v>
      </c>
      <c r="G99" s="93">
        <v>0.0</v>
      </c>
      <c r="H99" s="93">
        <v>0.0</v>
      </c>
      <c r="I99" s="93">
        <v>0.0</v>
      </c>
      <c r="J99" s="93">
        <v>0.0</v>
      </c>
      <c r="K99" s="93">
        <v>0.0</v>
      </c>
      <c r="L99" s="93">
        <v>0.0</v>
      </c>
      <c r="M99" s="93">
        <v>0.0</v>
      </c>
      <c r="N99" s="93">
        <v>0.0</v>
      </c>
      <c r="O99" s="93">
        <v>0.0</v>
      </c>
      <c r="P99" s="93">
        <v>0.0</v>
      </c>
      <c r="Q99" s="93">
        <v>0.0</v>
      </c>
      <c r="R99" s="93">
        <v>0.0</v>
      </c>
      <c r="S99" s="93">
        <v>0.0</v>
      </c>
      <c r="T99" s="93">
        <v>0.0</v>
      </c>
      <c r="U99" s="93">
        <v>0.0</v>
      </c>
      <c r="V99" s="93">
        <v>0.0</v>
      </c>
      <c r="W99" s="93">
        <v>0.0</v>
      </c>
      <c r="X99" s="93">
        <v>0.0</v>
      </c>
      <c r="Y99" s="93">
        <v>0.0</v>
      </c>
      <c r="Z99" s="93">
        <v>8.0</v>
      </c>
      <c r="AA99" s="93">
        <v>36.0</v>
      </c>
      <c r="AB99" s="93">
        <v>28.0</v>
      </c>
      <c r="AC99" s="93">
        <v>36.0</v>
      </c>
      <c r="AD99" s="93">
        <v>48.0</v>
      </c>
      <c r="AE99" s="93">
        <v>24.0</v>
      </c>
      <c r="AF99" s="93">
        <v>20.0</v>
      </c>
      <c r="AG99" s="93">
        <v>40.0</v>
      </c>
      <c r="AH99" s="93">
        <v>4.0</v>
      </c>
      <c r="AI99" s="93">
        <v>20.0</v>
      </c>
      <c r="AJ99" s="93">
        <v>24.0</v>
      </c>
      <c r="AK99" s="93">
        <v>12.0</v>
      </c>
      <c r="AL99" s="93">
        <v>12.0</v>
      </c>
      <c r="AM99" s="93">
        <v>8.0</v>
      </c>
      <c r="AN99" s="93">
        <v>12.0</v>
      </c>
      <c r="AO99" s="69">
        <f t="shared" si="3"/>
        <v>260.0</v>
      </c>
      <c r="AP99" s="69">
        <f t="shared" si="4"/>
        <v>88.0</v>
      </c>
      <c r="AQ99" s="69">
        <f t="shared" si="5"/>
        <v>96.8</v>
      </c>
      <c r="AR99" s="47">
        <f t="shared" si="139"/>
        <v>15.295238095238</v>
      </c>
      <c r="AS99" s="47">
        <f t="shared" si="140"/>
        <v>11.9428571428571</v>
      </c>
      <c r="AT99" s="47">
        <f t="shared" si="141"/>
        <v>23.8857142857142</v>
      </c>
      <c r="AU99" s="47">
        <f t="shared" si="142"/>
        <v>26.6095238095238</v>
      </c>
      <c r="AV99" s="47">
        <f t="shared" si="143"/>
        <v>24.095238095238</v>
      </c>
      <c r="AW99" s="47">
        <f t="shared" si="144"/>
        <v>19.695238095238</v>
      </c>
      <c r="AX99" s="64">
        <f t="shared" si="12"/>
        <v>121.523809523809</v>
      </c>
      <c r="AY99" s="64" t="e">
        <f t="shared" si="13"/>
        <v>#REF!</v>
      </c>
      <c r="BB99" s="69" t="e">
        <f t="shared" si="116"/>
        <v>#REF!</v>
      </c>
      <c r="BC99" s="69"/>
      <c r="BE99" s="70"/>
      <c r="BF99" s="95" t="e">
        <f t="shared" si="15"/>
        <v>#REF!</v>
      </c>
      <c r="BG99" s="65">
        <f t="shared" si="16"/>
        <v>15.295238095238</v>
      </c>
      <c r="BH99" s="65">
        <f t="shared" si="17"/>
      </c>
      <c r="BI99" s="65" t="e">
        <f t="shared" si="18"/>
        <v>#REF!</v>
      </c>
      <c r="BJ99" s="65">
        <f t="shared" si="19"/>
        <v>11.9428571428571</v>
      </c>
      <c r="BK99" s="65">
        <f t="shared" si="20"/>
      </c>
      <c r="BL99" s="65" t="e">
        <f t="shared" si="21"/>
        <v>#REF!</v>
      </c>
      <c r="BM99" s="65">
        <f t="shared" si="22"/>
        <v>23.8857142857142</v>
      </c>
      <c r="BN99" s="65"/>
      <c r="BO99" s="65" t="e">
        <f t="shared" si="23"/>
        <v>#REF!</v>
      </c>
      <c r="BP99" s="65">
        <f t="shared" si="24"/>
        <v>26.6095238095238</v>
      </c>
      <c r="BQ99" s="65"/>
      <c r="BR99" s="65" t="e">
        <f t="shared" si="25"/>
        <v>#REF!</v>
      </c>
      <c r="BS99" s="65">
        <f t="shared" si="26"/>
        <v>24.095238095238</v>
      </c>
      <c r="BT99" s="65"/>
      <c r="BU99" s="65" t="e">
        <f t="shared" si="27"/>
        <v>#REF!</v>
      </c>
      <c r="BV99" s="65">
        <f t="shared" si="28"/>
        <v>19.695238095238</v>
      </c>
      <c r="BW99" s="65"/>
      <c r="BX99" s="65" t="e">
        <f t="shared" si="29"/>
        <v>#REF!</v>
      </c>
    </row>
    <row r="100" ht="14.0">
      <c r="A100" s="93" t="s">
        <v>179</v>
      </c>
      <c r="B100" s="93" t="s">
        <v>378</v>
      </c>
      <c r="C100" s="93" t="s">
        <v>385</v>
      </c>
      <c r="D100" s="93" t="s">
        <v>386</v>
      </c>
      <c r="E100" s="93">
        <v>0.0</v>
      </c>
      <c r="F100" s="93">
        <v>0.0</v>
      </c>
      <c r="G100" s="93">
        <v>0.0</v>
      </c>
      <c r="H100" s="93">
        <v>0.0</v>
      </c>
      <c r="I100" s="93">
        <v>0.0</v>
      </c>
      <c r="J100" s="93">
        <v>0.0</v>
      </c>
      <c r="K100" s="93">
        <v>0.0</v>
      </c>
      <c r="L100" s="93">
        <v>0.0</v>
      </c>
      <c r="M100" s="93">
        <v>0.0</v>
      </c>
      <c r="N100" s="93">
        <v>0.0</v>
      </c>
      <c r="O100" s="93">
        <v>0.0</v>
      </c>
      <c r="P100" s="93">
        <v>0.0</v>
      </c>
      <c r="Q100" s="93">
        <v>0.0</v>
      </c>
      <c r="R100" s="93">
        <v>0.0</v>
      </c>
      <c r="S100" s="93">
        <v>0.0</v>
      </c>
      <c r="T100" s="93">
        <v>0.0</v>
      </c>
      <c r="U100" s="93">
        <v>0.0</v>
      </c>
      <c r="V100" s="93">
        <v>0.0</v>
      </c>
      <c r="W100" s="93">
        <v>0.0</v>
      </c>
      <c r="X100" s="93">
        <v>0.0</v>
      </c>
      <c r="Y100" s="93">
        <v>0.0</v>
      </c>
      <c r="Z100" s="93">
        <v>13.0</v>
      </c>
      <c r="AA100" s="93">
        <v>25.0</v>
      </c>
      <c r="AB100" s="93">
        <v>20.0</v>
      </c>
      <c r="AC100" s="93">
        <v>24.0</v>
      </c>
      <c r="AD100" s="93">
        <v>36.0</v>
      </c>
      <c r="AE100" s="93">
        <v>24.0</v>
      </c>
      <c r="AF100" s="93">
        <v>13.0</v>
      </c>
      <c r="AG100" s="93">
        <v>8.0</v>
      </c>
      <c r="AH100" s="93">
        <v>0.0</v>
      </c>
      <c r="AI100" s="93">
        <v>4.0</v>
      </c>
      <c r="AJ100" s="93">
        <v>0.0</v>
      </c>
      <c r="AK100" s="93">
        <v>12.0</v>
      </c>
      <c r="AL100" s="93">
        <v>4.0</v>
      </c>
      <c r="AM100" s="93">
        <v>0.0</v>
      </c>
      <c r="AN100" s="93">
        <v>0.0</v>
      </c>
      <c r="AO100" s="69">
        <f t="shared" si="3"/>
        <v>125.0</v>
      </c>
      <c r="AP100" s="69">
        <f t="shared" si="4"/>
        <v>20.0</v>
      </c>
      <c r="AQ100" s="69">
        <f t="shared" si="5"/>
        <v>22.0</v>
      </c>
      <c r="AR100" s="47">
        <f t="shared" si="139"/>
        <v>3.4761904761904</v>
      </c>
      <c r="AS100" s="47">
        <f t="shared" si="140"/>
        <v>2.71428571428571</v>
      </c>
      <c r="AT100" s="47">
        <f t="shared" si="141"/>
        <v>5.42857142857142</v>
      </c>
      <c r="AU100" s="47">
        <f t="shared" si="142"/>
        <v>6.04761904761904</v>
      </c>
      <c r="AV100" s="47">
        <f t="shared" si="143"/>
        <v>5.47619047619048</v>
      </c>
      <c r="AW100" s="47">
        <f t="shared" si="144"/>
        <v>4.47619047619048</v>
      </c>
      <c r="AX100" s="64">
        <f t="shared" si="12"/>
        <v>27.6190476190475</v>
      </c>
      <c r="AY100" s="64" t="e">
        <f t="shared" si="13"/>
        <v>#REF!</v>
      </c>
      <c r="BB100" s="69" t="e">
        <f t="shared" si="116"/>
        <v>#REF!</v>
      </c>
      <c r="BC100" s="69"/>
      <c r="BE100" s="70"/>
      <c r="BF100" s="95" t="e">
        <f t="shared" si="15"/>
        <v>#REF!</v>
      </c>
      <c r="BG100" s="65">
        <f t="shared" si="16"/>
        <v>3.4761904761904</v>
      </c>
      <c r="BH100" s="65">
        <f t="shared" si="17"/>
      </c>
      <c r="BI100" s="65" t="e">
        <f t="shared" si="18"/>
        <v>#REF!</v>
      </c>
      <c r="BJ100" s="65">
        <f t="shared" si="19"/>
        <v>2.71428571428571</v>
      </c>
      <c r="BK100" s="65">
        <f t="shared" si="20"/>
      </c>
      <c r="BL100" s="65" t="e">
        <f t="shared" si="21"/>
        <v>#REF!</v>
      </c>
      <c r="BM100" s="65">
        <f t="shared" si="22"/>
        <v>5.42857142857142</v>
      </c>
      <c r="BN100" s="65"/>
      <c r="BO100" s="65" t="e">
        <f t="shared" si="23"/>
        <v>#REF!</v>
      </c>
      <c r="BP100" s="65">
        <f t="shared" si="24"/>
        <v>6.04761904761904</v>
      </c>
      <c r="BQ100" s="65"/>
      <c r="BR100" s="65" t="e">
        <f t="shared" si="25"/>
        <v>#REF!</v>
      </c>
      <c r="BS100" s="65">
        <f t="shared" si="26"/>
        <v>5.47619047619048</v>
      </c>
      <c r="BT100" s="65"/>
      <c r="BU100" s="65" t="e">
        <f t="shared" si="27"/>
        <v>#REF!</v>
      </c>
      <c r="BV100" s="65">
        <f t="shared" si="28"/>
        <v>4.47619047619048</v>
      </c>
      <c r="BW100" s="65"/>
      <c r="BX100" s="65" t="e">
        <f t="shared" si="29"/>
        <v>#REF!</v>
      </c>
    </row>
    <row r="101" ht="14.0">
      <c r="A101" s="93" t="s">
        <v>179</v>
      </c>
      <c r="B101" s="93" t="s">
        <v>378</v>
      </c>
      <c r="C101" s="93" t="s">
        <v>387</v>
      </c>
      <c r="D101" s="93" t="s">
        <v>388</v>
      </c>
      <c r="E101" s="93">
        <v>0.0</v>
      </c>
      <c r="F101" s="93">
        <v>0.0</v>
      </c>
      <c r="G101" s="93">
        <v>0.0</v>
      </c>
      <c r="H101" s="93">
        <v>0.0</v>
      </c>
      <c r="I101" s="93">
        <v>0.0</v>
      </c>
      <c r="J101" s="93">
        <v>0.0</v>
      </c>
      <c r="K101" s="93">
        <v>0.0</v>
      </c>
      <c r="L101" s="93">
        <v>0.0</v>
      </c>
      <c r="M101" s="93">
        <v>0.0</v>
      </c>
      <c r="N101" s="93">
        <v>0.0</v>
      </c>
      <c r="O101" s="93">
        <v>0.0</v>
      </c>
      <c r="P101" s="93">
        <v>0.0</v>
      </c>
      <c r="Q101" s="93">
        <v>0.0</v>
      </c>
      <c r="R101" s="93">
        <v>0.0</v>
      </c>
      <c r="S101" s="93">
        <v>0.0</v>
      </c>
      <c r="T101" s="93">
        <v>0.0</v>
      </c>
      <c r="U101" s="93">
        <v>0.0</v>
      </c>
      <c r="V101" s="93">
        <v>0.0</v>
      </c>
      <c r="W101" s="93">
        <v>0.0</v>
      </c>
      <c r="X101" s="93">
        <v>0.0</v>
      </c>
      <c r="Y101" s="93">
        <v>0.0</v>
      </c>
      <c r="Z101" s="93">
        <v>4.0</v>
      </c>
      <c r="AA101" s="93">
        <v>12.0</v>
      </c>
      <c r="AB101" s="93">
        <v>26.0</v>
      </c>
      <c r="AC101" s="93">
        <v>48.0</v>
      </c>
      <c r="AD101" s="93">
        <v>68.0</v>
      </c>
      <c r="AE101" s="93">
        <v>19.0</v>
      </c>
      <c r="AF101" s="93">
        <v>24.0</v>
      </c>
      <c r="AG101" s="93">
        <v>28.0</v>
      </c>
      <c r="AH101" s="93">
        <v>4.0</v>
      </c>
      <c r="AI101" s="93">
        <v>32.0</v>
      </c>
      <c r="AJ101" s="93">
        <v>4.0</v>
      </c>
      <c r="AK101" s="93">
        <v>12.0</v>
      </c>
      <c r="AL101" s="93">
        <v>13.0</v>
      </c>
      <c r="AM101" s="93">
        <v>16.0</v>
      </c>
      <c r="AN101" s="93">
        <v>0.0</v>
      </c>
      <c r="AO101" s="69">
        <f t="shared" si="3"/>
        <v>268.0</v>
      </c>
      <c r="AP101" s="69">
        <f t="shared" si="4"/>
        <v>77.0</v>
      </c>
      <c r="AQ101" s="69">
        <f t="shared" si="5"/>
        <v>84.7</v>
      </c>
      <c r="AR101" s="47">
        <f t="shared" si="139"/>
        <v>13.3833333333333</v>
      </c>
      <c r="AS101" s="47">
        <f t="shared" si="140"/>
        <v>10.45</v>
      </c>
      <c r="AT101" s="47">
        <f t="shared" si="141"/>
        <v>20.9</v>
      </c>
      <c r="AU101" s="47">
        <f t="shared" si="142"/>
        <v>23.2833333333333</v>
      </c>
      <c r="AV101" s="47">
        <f t="shared" si="143"/>
        <v>21.0833333333333</v>
      </c>
      <c r="AW101" s="47">
        <f t="shared" si="144"/>
        <v>17.2333333333333</v>
      </c>
      <c r="AX101" s="64">
        <f t="shared" si="12"/>
        <v>106.333333333333</v>
      </c>
      <c r="AY101" s="64" t="e">
        <f t="shared" si="13"/>
        <v>#REF!</v>
      </c>
      <c r="BB101" s="69" t="e">
        <f t="shared" si="116"/>
        <v>#REF!</v>
      </c>
      <c r="BC101" s="69"/>
      <c r="BE101" s="70"/>
      <c r="BF101" s="95" t="e">
        <f t="shared" si="15"/>
        <v>#REF!</v>
      </c>
      <c r="BG101" s="65">
        <f t="shared" si="16"/>
        <v>13.3833333333333</v>
      </c>
      <c r="BH101" s="65">
        <f t="shared" si="17"/>
      </c>
      <c r="BI101" s="65" t="e">
        <f t="shared" si="18"/>
        <v>#REF!</v>
      </c>
      <c r="BJ101" s="65">
        <f t="shared" si="19"/>
        <v>10.45</v>
      </c>
      <c r="BK101" s="65">
        <f t="shared" si="20"/>
      </c>
      <c r="BL101" s="65" t="e">
        <f t="shared" si="21"/>
        <v>#REF!</v>
      </c>
      <c r="BM101" s="65">
        <f t="shared" si="22"/>
        <v>20.9</v>
      </c>
      <c r="BN101" s="65"/>
      <c r="BO101" s="65" t="e">
        <f t="shared" si="23"/>
        <v>#REF!</v>
      </c>
      <c r="BP101" s="65">
        <f t="shared" si="24"/>
        <v>23.2833333333333</v>
      </c>
      <c r="BQ101" s="65"/>
      <c r="BR101" s="65" t="e">
        <f t="shared" si="25"/>
        <v>#REF!</v>
      </c>
      <c r="BS101" s="65">
        <f t="shared" si="26"/>
        <v>21.0833333333333</v>
      </c>
      <c r="BT101" s="65"/>
      <c r="BU101" s="65" t="e">
        <f t="shared" si="27"/>
        <v>#REF!</v>
      </c>
      <c r="BV101" s="65">
        <f t="shared" si="28"/>
        <v>17.2333333333333</v>
      </c>
      <c r="BW101" s="65"/>
      <c r="BX101" s="65" t="e">
        <f t="shared" si="29"/>
        <v>#REF!</v>
      </c>
    </row>
    <row r="102" ht="14.0">
      <c r="A102" s="93" t="s">
        <v>179</v>
      </c>
      <c r="B102" s="93" t="s">
        <v>378</v>
      </c>
      <c r="C102" s="93" t="s">
        <v>389</v>
      </c>
      <c r="D102" s="93" t="s">
        <v>390</v>
      </c>
      <c r="E102" s="93">
        <v>0.0</v>
      </c>
      <c r="F102" s="93">
        <v>0.0</v>
      </c>
      <c r="G102" s="93">
        <v>0.0</v>
      </c>
      <c r="H102" s="93">
        <v>0.0</v>
      </c>
      <c r="I102" s="93">
        <v>0.0</v>
      </c>
      <c r="J102" s="93">
        <v>0.0</v>
      </c>
      <c r="K102" s="93">
        <v>0.0</v>
      </c>
      <c r="L102" s="93">
        <v>0.0</v>
      </c>
      <c r="M102" s="93">
        <v>0.0</v>
      </c>
      <c r="N102" s="93">
        <v>0.0</v>
      </c>
      <c r="O102" s="93">
        <v>0.0</v>
      </c>
      <c r="P102" s="93">
        <v>0.0</v>
      </c>
      <c r="Q102" s="93">
        <v>0.0</v>
      </c>
      <c r="R102" s="93">
        <v>0.0</v>
      </c>
      <c r="S102" s="93">
        <v>0.0</v>
      </c>
      <c r="T102" s="93">
        <v>0.0</v>
      </c>
      <c r="U102" s="93">
        <v>0.0</v>
      </c>
      <c r="V102" s="93">
        <v>0.0</v>
      </c>
      <c r="W102" s="93">
        <v>0.0</v>
      </c>
      <c r="X102" s="93">
        <v>0.0</v>
      </c>
      <c r="Y102" s="93">
        <v>0.0</v>
      </c>
      <c r="Z102" s="93">
        <v>17.0</v>
      </c>
      <c r="AA102" s="93">
        <v>52.0</v>
      </c>
      <c r="AB102" s="93">
        <v>80.0</v>
      </c>
      <c r="AC102" s="93">
        <v>56.0</v>
      </c>
      <c r="AD102" s="93">
        <v>116.0</v>
      </c>
      <c r="AE102" s="93">
        <v>56.0</v>
      </c>
      <c r="AF102" s="93">
        <v>52.0</v>
      </c>
      <c r="AG102" s="93">
        <v>40.0</v>
      </c>
      <c r="AH102" s="93">
        <v>0.0</v>
      </c>
      <c r="AI102" s="93">
        <v>0.0</v>
      </c>
      <c r="AJ102" s="93">
        <v>20.0</v>
      </c>
      <c r="AK102" s="93">
        <v>24.0</v>
      </c>
      <c r="AL102" s="93">
        <v>12.0</v>
      </c>
      <c r="AM102" s="93">
        <v>16.0</v>
      </c>
      <c r="AN102" s="93">
        <v>0.0</v>
      </c>
      <c r="AO102" s="69">
        <f t="shared" si="3"/>
        <v>392.0</v>
      </c>
      <c r="AP102" s="69">
        <f t="shared" si="4"/>
        <v>72.0</v>
      </c>
      <c r="AQ102" s="69">
        <f t="shared" si="5"/>
        <v>79.2</v>
      </c>
      <c r="AR102" s="47">
        <f t="shared" si="139"/>
        <v>12.5142857142857</v>
      </c>
      <c r="AS102" s="47">
        <f t="shared" si="140"/>
        <v>9.77142857142857</v>
      </c>
      <c r="AT102" s="47">
        <f t="shared" si="141"/>
        <v>19.5428571428571</v>
      </c>
      <c r="AU102" s="47">
        <f t="shared" si="142"/>
        <v>21.7714285714286</v>
      </c>
      <c r="AV102" s="47">
        <f t="shared" si="143"/>
        <v>19.7142857142857</v>
      </c>
      <c r="AW102" s="47">
        <f t="shared" si="144"/>
        <v>16.1142857142857</v>
      </c>
      <c r="AX102" s="64">
        <f t="shared" si="12"/>
        <v>99.4285714285713</v>
      </c>
      <c r="AY102" s="64" t="e">
        <f t="shared" si="13"/>
        <v>#REF!</v>
      </c>
      <c r="BB102" s="69" t="e">
        <f t="shared" si="116"/>
        <v>#REF!</v>
      </c>
      <c r="BC102" s="69"/>
      <c r="BE102" s="70"/>
      <c r="BF102" s="95" t="e">
        <f t="shared" si="15"/>
        <v>#REF!</v>
      </c>
      <c r="BG102" s="65">
        <f t="shared" si="16"/>
        <v>12.5142857142857</v>
      </c>
      <c r="BH102" s="65">
        <f t="shared" si="17"/>
      </c>
      <c r="BI102" s="65" t="e">
        <f t="shared" si="18"/>
        <v>#REF!</v>
      </c>
      <c r="BJ102" s="65">
        <f t="shared" si="19"/>
        <v>9.77142857142857</v>
      </c>
      <c r="BK102" s="65">
        <f t="shared" si="20"/>
      </c>
      <c r="BL102" s="65" t="e">
        <f t="shared" si="21"/>
        <v>#REF!</v>
      </c>
      <c r="BM102" s="65">
        <f t="shared" si="22"/>
        <v>19.5428571428571</v>
      </c>
      <c r="BN102" s="65"/>
      <c r="BO102" s="65" t="e">
        <f t="shared" si="23"/>
        <v>#REF!</v>
      </c>
      <c r="BP102" s="65">
        <f t="shared" si="24"/>
        <v>21.7714285714286</v>
      </c>
      <c r="BQ102" s="65"/>
      <c r="BR102" s="65" t="e">
        <f t="shared" si="25"/>
        <v>#REF!</v>
      </c>
      <c r="BS102" s="65">
        <f t="shared" si="26"/>
        <v>19.7142857142857</v>
      </c>
      <c r="BT102" s="65"/>
      <c r="BU102" s="65" t="e">
        <f t="shared" si="27"/>
        <v>#REF!</v>
      </c>
      <c r="BV102" s="65">
        <f t="shared" si="28"/>
        <v>16.1142857142857</v>
      </c>
      <c r="BW102" s="65"/>
      <c r="BX102" s="65" t="e">
        <f t="shared" si="29"/>
        <v>#REF!</v>
      </c>
    </row>
    <row r="103" ht="14.0">
      <c r="A103" s="93" t="s">
        <v>179</v>
      </c>
      <c r="B103" s="93" t="s">
        <v>378</v>
      </c>
      <c r="C103" s="93" t="s">
        <v>391</v>
      </c>
      <c r="D103" s="93" t="s">
        <v>392</v>
      </c>
      <c r="E103" s="93">
        <v>0.0</v>
      </c>
      <c r="F103" s="93">
        <v>0.0</v>
      </c>
      <c r="G103" s="93">
        <v>0.0</v>
      </c>
      <c r="H103" s="93">
        <v>0.0</v>
      </c>
      <c r="I103" s="93">
        <v>0.0</v>
      </c>
      <c r="J103" s="93">
        <v>0.0</v>
      </c>
      <c r="K103" s="93">
        <v>0.0</v>
      </c>
      <c r="L103" s="93">
        <v>0.0</v>
      </c>
      <c r="M103" s="93">
        <v>0.0</v>
      </c>
      <c r="N103" s="93">
        <v>0.0</v>
      </c>
      <c r="O103" s="93">
        <v>0.0</v>
      </c>
      <c r="P103" s="93">
        <v>0.0</v>
      </c>
      <c r="Q103" s="93">
        <v>0.0</v>
      </c>
      <c r="R103" s="93">
        <v>0.0</v>
      </c>
      <c r="S103" s="93">
        <v>0.0</v>
      </c>
      <c r="T103" s="93">
        <v>0.0</v>
      </c>
      <c r="U103" s="93">
        <v>0.0</v>
      </c>
      <c r="V103" s="93">
        <v>0.0</v>
      </c>
      <c r="W103" s="93">
        <v>0.0</v>
      </c>
      <c r="X103" s="93">
        <v>0.0</v>
      </c>
      <c r="Y103" s="93">
        <v>0.0</v>
      </c>
      <c r="Z103" s="93">
        <v>12.0</v>
      </c>
      <c r="AA103" s="93">
        <v>30.0</v>
      </c>
      <c r="AB103" s="93">
        <v>56.0</v>
      </c>
      <c r="AC103" s="93">
        <v>48.0</v>
      </c>
      <c r="AD103" s="93">
        <v>88.0</v>
      </c>
      <c r="AE103" s="93">
        <v>36.0</v>
      </c>
      <c r="AF103" s="93">
        <v>48.0</v>
      </c>
      <c r="AG103" s="93">
        <v>36.0</v>
      </c>
      <c r="AH103" s="93">
        <v>12.0</v>
      </c>
      <c r="AI103" s="93">
        <v>12.0</v>
      </c>
      <c r="AJ103" s="93">
        <v>4.0</v>
      </c>
      <c r="AK103" s="93">
        <v>24.0</v>
      </c>
      <c r="AL103" s="93">
        <v>8.0</v>
      </c>
      <c r="AM103" s="93">
        <v>12.0</v>
      </c>
      <c r="AN103" s="93">
        <v>0.0</v>
      </c>
      <c r="AO103" s="69">
        <f t="shared" si="3"/>
        <v>328.0</v>
      </c>
      <c r="AP103" s="69">
        <f t="shared" si="4"/>
        <v>60.0</v>
      </c>
      <c r="AQ103" s="69">
        <f t="shared" si="5"/>
        <v>66.0</v>
      </c>
      <c r="AR103" s="47">
        <f t="shared" si="139"/>
        <v>10.4285714285714</v>
      </c>
      <c r="AS103" s="47">
        <f t="shared" si="140"/>
        <v>8.14285714285714</v>
      </c>
      <c r="AT103" s="47">
        <f t="shared" si="141"/>
        <v>16.2857142857142</v>
      </c>
      <c r="AU103" s="47">
        <f t="shared" si="142"/>
        <v>18.1428571428571</v>
      </c>
      <c r="AV103" s="47">
        <f t="shared" si="143"/>
        <v>16.4285714285714</v>
      </c>
      <c r="AW103" s="47">
        <f t="shared" si="144"/>
        <v>13.4285714285714</v>
      </c>
      <c r="AX103" s="64">
        <f t="shared" si="12"/>
        <v>82.8571428571427</v>
      </c>
      <c r="AY103" s="64" t="e">
        <f t="shared" si="13"/>
        <v>#REF!</v>
      </c>
      <c r="BB103" s="69" t="e">
        <f t="shared" si="116"/>
        <v>#REF!</v>
      </c>
      <c r="BC103" s="69"/>
      <c r="BE103" s="70"/>
      <c r="BF103" s="95" t="e">
        <f t="shared" si="15"/>
        <v>#REF!</v>
      </c>
      <c r="BG103" s="65">
        <f t="shared" si="16"/>
        <v>10.4285714285714</v>
      </c>
      <c r="BH103" s="65">
        <f t="shared" si="17"/>
      </c>
      <c r="BI103" s="65" t="e">
        <f t="shared" si="18"/>
        <v>#REF!</v>
      </c>
      <c r="BJ103" s="65">
        <f t="shared" si="19"/>
        <v>8.14285714285714</v>
      </c>
      <c r="BK103" s="65">
        <f t="shared" si="20"/>
      </c>
      <c r="BL103" s="65" t="e">
        <f t="shared" si="21"/>
        <v>#REF!</v>
      </c>
      <c r="BM103" s="65">
        <f t="shared" si="22"/>
        <v>16.2857142857142</v>
      </c>
      <c r="BN103" s="65"/>
      <c r="BO103" s="65" t="e">
        <f t="shared" si="23"/>
        <v>#REF!</v>
      </c>
      <c r="BP103" s="65">
        <f t="shared" si="24"/>
        <v>18.1428571428571</v>
      </c>
      <c r="BQ103" s="65"/>
      <c r="BR103" s="65" t="e">
        <f t="shared" si="25"/>
        <v>#REF!</v>
      </c>
      <c r="BS103" s="65">
        <f t="shared" si="26"/>
        <v>16.4285714285714</v>
      </c>
      <c r="BT103" s="65"/>
      <c r="BU103" s="65" t="e">
        <f t="shared" si="27"/>
        <v>#REF!</v>
      </c>
      <c r="BV103" s="65">
        <f t="shared" si="28"/>
        <v>13.4285714285714</v>
      </c>
      <c r="BW103" s="65"/>
      <c r="BX103" s="65" t="e">
        <f t="shared" si="29"/>
        <v>#REF!</v>
      </c>
    </row>
    <row r="104" ht="14.0">
      <c r="A104" s="93" t="s">
        <v>179</v>
      </c>
      <c r="B104" s="93" t="s">
        <v>378</v>
      </c>
      <c r="C104" s="93" t="s">
        <v>393</v>
      </c>
      <c r="D104" s="93" t="s">
        <v>394</v>
      </c>
      <c r="E104" s="93">
        <v>0.0</v>
      </c>
      <c r="F104" s="93">
        <v>0.0</v>
      </c>
      <c r="G104" s="93">
        <v>0.0</v>
      </c>
      <c r="H104" s="93">
        <v>0.0</v>
      </c>
      <c r="I104" s="93">
        <v>0.0</v>
      </c>
      <c r="J104" s="93">
        <v>0.0</v>
      </c>
      <c r="K104" s="93">
        <v>0.0</v>
      </c>
      <c r="L104" s="93">
        <v>0.0</v>
      </c>
      <c r="M104" s="93">
        <v>0.0</v>
      </c>
      <c r="N104" s="93">
        <v>0.0</v>
      </c>
      <c r="O104" s="93">
        <v>0.0</v>
      </c>
      <c r="P104" s="93">
        <v>0.0</v>
      </c>
      <c r="Q104" s="93">
        <v>0.0</v>
      </c>
      <c r="R104" s="93">
        <v>0.0</v>
      </c>
      <c r="S104" s="93">
        <v>0.0</v>
      </c>
      <c r="T104" s="93">
        <v>0.0</v>
      </c>
      <c r="U104" s="93">
        <v>0.0</v>
      </c>
      <c r="V104" s="93">
        <v>0.0</v>
      </c>
      <c r="W104" s="93">
        <v>0.0</v>
      </c>
      <c r="X104" s="93">
        <v>0.0</v>
      </c>
      <c r="Y104" s="93">
        <v>0.0</v>
      </c>
      <c r="Z104" s="93">
        <v>0.0</v>
      </c>
      <c r="AA104" s="93">
        <v>0.0</v>
      </c>
      <c r="AB104" s="93">
        <v>0.0</v>
      </c>
      <c r="AC104" s="93">
        <v>0.0</v>
      </c>
      <c r="AD104" s="93">
        <v>0.0</v>
      </c>
      <c r="AE104" s="93">
        <v>0.0</v>
      </c>
      <c r="AF104" s="93">
        <v>0.0</v>
      </c>
      <c r="AG104" s="93">
        <v>0.0</v>
      </c>
      <c r="AH104" s="93">
        <v>0.0</v>
      </c>
      <c r="AI104" s="93">
        <v>0.0</v>
      </c>
      <c r="AJ104" s="93">
        <v>8.0</v>
      </c>
      <c r="AK104" s="93">
        <v>122.0</v>
      </c>
      <c r="AL104" s="93">
        <v>84.0</v>
      </c>
      <c r="AM104" s="93">
        <v>36.0</v>
      </c>
      <c r="AN104" s="93">
        <v>24.0</v>
      </c>
      <c r="AO104" s="69">
        <f t="shared" si="3"/>
        <v>274.0</v>
      </c>
      <c r="AP104" s="69">
        <f t="shared" si="4"/>
        <v>274.0</v>
      </c>
      <c r="AQ104" s="69">
        <f t="shared" si="5"/>
        <v>301.4</v>
      </c>
      <c r="AR104" s="101">
        <f t="shared" ref="AR104:AR105" si="145">AVERAGE(AK104:AN104)</f>
        <v>66.5</v>
      </c>
      <c r="AS104" s="101">
        <f t="shared" ref="AS104:AS105" si="146">AR104*1.1</f>
        <v>73.15</v>
      </c>
      <c r="AT104" s="101">
        <f t="shared" ref="AT104:AT105" si="147">AS104*1.1</f>
        <v>80.465</v>
      </c>
      <c r="AU104" s="101">
        <f t="shared" ref="AU104:AU105" si="148">AT104*1.1</f>
        <v>88.5115</v>
      </c>
      <c r="AV104" s="101">
        <f t="shared" ref="AV104:AV105" si="149">AU104*1.1</f>
        <v>97.36265</v>
      </c>
      <c r="AW104" s="101">
        <f t="shared" ref="AW104:AW105" si="150">AV104*1.1</f>
        <v>107.098915</v>
      </c>
      <c r="AX104" s="64">
        <f t="shared" si="12"/>
        <v>513.088065</v>
      </c>
      <c r="AY104" s="64" t="e">
        <f t="shared" si="13"/>
        <v>#REF!</v>
      </c>
      <c r="AZ104" s="64" t="e">
        <f t="shared" ref="AZ104:AZ105" si="151">VLOOKUP(C104,CHINAAUGUST,3,false)</f>
        <v>#REF!</v>
      </c>
      <c r="BB104" s="69" t="e">
        <f t="shared" si="116"/>
        <v>#REF!</v>
      </c>
      <c r="BC104" s="69"/>
      <c r="BE104" s="70"/>
      <c r="BF104" s="95" t="e">
        <f t="shared" si="15"/>
        <v>#REF!</v>
      </c>
      <c r="BG104" s="65">
        <f t="shared" si="16"/>
        <v>66.5</v>
      </c>
      <c r="BH104" s="65" t="e">
        <f t="shared" si="17"/>
        <v>#REF!</v>
      </c>
      <c r="BI104" s="65" t="e">
        <f t="shared" si="18"/>
        <v>#REF!</v>
      </c>
      <c r="BJ104" s="65">
        <f t="shared" si="19"/>
        <v>73.15</v>
      </c>
      <c r="BK104" s="65">
        <f t="shared" si="20"/>
      </c>
      <c r="BL104" s="65" t="e">
        <f t="shared" si="21"/>
        <v>#REF!</v>
      </c>
      <c r="BM104" s="65">
        <f t="shared" si="22"/>
        <v>80.465</v>
      </c>
      <c r="BN104" s="65"/>
      <c r="BO104" s="65" t="e">
        <f t="shared" si="23"/>
        <v>#REF!</v>
      </c>
      <c r="BP104" s="65">
        <f t="shared" si="24"/>
        <v>88.5115</v>
      </c>
      <c r="BQ104" s="65"/>
      <c r="BR104" s="65" t="e">
        <f t="shared" si="25"/>
        <v>#REF!</v>
      </c>
      <c r="BS104" s="65">
        <f t="shared" si="26"/>
        <v>97.36265</v>
      </c>
      <c r="BT104" s="65"/>
      <c r="BU104" s="65" t="e">
        <f t="shared" si="27"/>
        <v>#REF!</v>
      </c>
      <c r="BV104" s="65">
        <f t="shared" si="28"/>
        <v>107.098915</v>
      </c>
      <c r="BW104" s="65"/>
      <c r="BX104" s="65" t="e">
        <f t="shared" si="29"/>
        <v>#REF!</v>
      </c>
    </row>
    <row r="105" ht="14.0">
      <c r="A105" s="93" t="s">
        <v>179</v>
      </c>
      <c r="B105" s="93" t="s">
        <v>378</v>
      </c>
      <c r="C105" s="93" t="s">
        <v>395</v>
      </c>
      <c r="D105" s="93" t="s">
        <v>396</v>
      </c>
      <c r="E105" s="93">
        <v>0.0</v>
      </c>
      <c r="F105" s="93">
        <v>0.0</v>
      </c>
      <c r="G105" s="93">
        <v>0.0</v>
      </c>
      <c r="H105" s="93">
        <v>0.0</v>
      </c>
      <c r="I105" s="93">
        <v>0.0</v>
      </c>
      <c r="J105" s="93">
        <v>0.0</v>
      </c>
      <c r="K105" s="93">
        <v>0.0</v>
      </c>
      <c r="L105" s="93">
        <v>0.0</v>
      </c>
      <c r="M105" s="93">
        <v>0.0</v>
      </c>
      <c r="N105" s="93">
        <v>0.0</v>
      </c>
      <c r="O105" s="93">
        <v>0.0</v>
      </c>
      <c r="P105" s="93">
        <v>0.0</v>
      </c>
      <c r="Q105" s="93">
        <v>0.0</v>
      </c>
      <c r="R105" s="93">
        <v>0.0</v>
      </c>
      <c r="S105" s="93">
        <v>0.0</v>
      </c>
      <c r="T105" s="93">
        <v>0.0</v>
      </c>
      <c r="U105" s="93">
        <v>0.0</v>
      </c>
      <c r="V105" s="93">
        <v>0.0</v>
      </c>
      <c r="W105" s="93">
        <v>0.0</v>
      </c>
      <c r="X105" s="93">
        <v>0.0</v>
      </c>
      <c r="Y105" s="93">
        <v>0.0</v>
      </c>
      <c r="Z105" s="93">
        <v>0.0</v>
      </c>
      <c r="AA105" s="93">
        <v>0.0</v>
      </c>
      <c r="AB105" s="93">
        <v>0.0</v>
      </c>
      <c r="AC105" s="93">
        <v>0.0</v>
      </c>
      <c r="AD105" s="93">
        <v>0.0</v>
      </c>
      <c r="AE105" s="93">
        <v>0.0</v>
      </c>
      <c r="AF105" s="93">
        <v>0.0</v>
      </c>
      <c r="AG105" s="93">
        <v>0.0</v>
      </c>
      <c r="AH105" s="93">
        <v>0.0</v>
      </c>
      <c r="AI105" s="93">
        <v>0.0</v>
      </c>
      <c r="AJ105" s="93">
        <v>4.0</v>
      </c>
      <c r="AK105" s="93">
        <v>102.0</v>
      </c>
      <c r="AL105" s="93">
        <v>48.0</v>
      </c>
      <c r="AM105" s="93">
        <v>24.0</v>
      </c>
      <c r="AN105" s="93">
        <v>16.0</v>
      </c>
      <c r="AO105" s="69">
        <f t="shared" si="3"/>
        <v>194.0</v>
      </c>
      <c r="AP105" s="69">
        <f t="shared" si="4"/>
        <v>194.0</v>
      </c>
      <c r="AQ105" s="69">
        <f t="shared" si="5"/>
        <v>213.4</v>
      </c>
      <c r="AR105" s="102">
        <f t="shared" si="145"/>
        <v>47.5</v>
      </c>
      <c r="AS105" s="102">
        <f t="shared" si="146"/>
        <v>52.25</v>
      </c>
      <c r="AT105" s="102">
        <f t="shared" si="147"/>
        <v>57.475</v>
      </c>
      <c r="AU105" s="102">
        <f t="shared" si="148"/>
        <v>63.2225</v>
      </c>
      <c r="AV105" s="102">
        <f t="shared" si="149"/>
        <v>69.54475</v>
      </c>
      <c r="AW105" s="102">
        <f t="shared" si="150"/>
        <v>76.499225</v>
      </c>
      <c r="AX105" s="64">
        <f t="shared" si="12"/>
        <v>366.491475</v>
      </c>
      <c r="AY105" s="64" t="e">
        <f t="shared" si="13"/>
        <v>#REF!</v>
      </c>
      <c r="AZ105" s="64" t="e">
        <f t="shared" si="151"/>
        <v>#REF!</v>
      </c>
      <c r="BB105" s="69" t="e">
        <f t="shared" si="116"/>
        <v>#REF!</v>
      </c>
      <c r="BC105" s="69"/>
      <c r="BE105" s="70"/>
      <c r="BF105" s="95" t="e">
        <f t="shared" si="15"/>
        <v>#REF!</v>
      </c>
      <c r="BG105" s="65">
        <f t="shared" si="16"/>
        <v>47.5</v>
      </c>
      <c r="BH105" s="65" t="e">
        <f t="shared" si="17"/>
        <v>#REF!</v>
      </c>
      <c r="BI105" s="65" t="e">
        <f t="shared" si="18"/>
        <v>#REF!</v>
      </c>
      <c r="BJ105" s="65">
        <f t="shared" si="19"/>
        <v>52.25</v>
      </c>
      <c r="BK105" s="65">
        <f t="shared" si="20"/>
      </c>
      <c r="BL105" s="65" t="e">
        <f t="shared" si="21"/>
        <v>#REF!</v>
      </c>
      <c r="BM105" s="65">
        <f t="shared" si="22"/>
        <v>57.475</v>
      </c>
      <c r="BN105" s="65"/>
      <c r="BO105" s="65" t="e">
        <f t="shared" si="23"/>
        <v>#REF!</v>
      </c>
      <c r="BP105" s="65">
        <f t="shared" si="24"/>
        <v>63.2225</v>
      </c>
      <c r="BQ105" s="65"/>
      <c r="BR105" s="65" t="e">
        <f t="shared" si="25"/>
        <v>#REF!</v>
      </c>
      <c r="BS105" s="65">
        <f t="shared" si="26"/>
        <v>69.54475</v>
      </c>
      <c r="BT105" s="65"/>
      <c r="BU105" s="65" t="e">
        <f t="shared" si="27"/>
        <v>#REF!</v>
      </c>
      <c r="BV105" s="65">
        <f t="shared" si="28"/>
        <v>76.499225</v>
      </c>
      <c r="BW105" s="65"/>
      <c r="BX105" s="65" t="e">
        <f t="shared" si="29"/>
        <v>#REF!</v>
      </c>
    </row>
    <row r="106" ht="14.0">
      <c r="A106" s="93" t="s">
        <v>179</v>
      </c>
      <c r="B106" s="93" t="s">
        <v>397</v>
      </c>
      <c r="C106" s="93" t="s">
        <v>398</v>
      </c>
      <c r="D106" s="93" t="s">
        <v>399</v>
      </c>
      <c r="E106" s="93">
        <v>0.0</v>
      </c>
      <c r="F106" s="93">
        <v>0.0</v>
      </c>
      <c r="G106" s="93">
        <v>0.0</v>
      </c>
      <c r="H106" s="93">
        <v>0.0</v>
      </c>
      <c r="I106" s="93">
        <v>0.0</v>
      </c>
      <c r="J106" s="93">
        <v>0.0</v>
      </c>
      <c r="K106" s="93">
        <v>0.0</v>
      </c>
      <c r="L106" s="93">
        <v>0.0</v>
      </c>
      <c r="M106" s="93">
        <v>0.0</v>
      </c>
      <c r="N106" s="93">
        <v>0.0</v>
      </c>
      <c r="O106" s="93">
        <v>0.0</v>
      </c>
      <c r="P106" s="93">
        <v>0.0</v>
      </c>
      <c r="Q106" s="93">
        <v>0.0</v>
      </c>
      <c r="R106" s="93">
        <v>0.0</v>
      </c>
      <c r="S106" s="93">
        <v>0.0</v>
      </c>
      <c r="T106" s="93">
        <v>0.0</v>
      </c>
      <c r="U106" s="93">
        <v>0.0</v>
      </c>
      <c r="V106" s="93">
        <v>0.0</v>
      </c>
      <c r="W106" s="93">
        <v>0.0</v>
      </c>
      <c r="X106" s="93">
        <v>0.0</v>
      </c>
      <c r="Y106" s="93">
        <v>0.0</v>
      </c>
      <c r="Z106" s="93">
        <v>0.0</v>
      </c>
      <c r="AA106" s="93">
        <v>0.0</v>
      </c>
      <c r="AB106" s="93">
        <v>0.0</v>
      </c>
      <c r="AC106" s="93">
        <v>0.0</v>
      </c>
      <c r="AD106" s="93">
        <v>141.0</v>
      </c>
      <c r="AE106" s="93">
        <v>147.0</v>
      </c>
      <c r="AF106" s="93">
        <v>151.0</v>
      </c>
      <c r="AG106" s="93">
        <v>54.0</v>
      </c>
      <c r="AH106" s="93">
        <v>3.0</v>
      </c>
      <c r="AI106" s="93">
        <v>0.0</v>
      </c>
      <c r="AJ106" s="93">
        <v>42.0</v>
      </c>
      <c r="AK106" s="93">
        <v>63.0</v>
      </c>
      <c r="AL106" s="93">
        <v>45.0</v>
      </c>
      <c r="AM106" s="93">
        <v>35.0</v>
      </c>
      <c r="AN106" s="93">
        <v>42.0</v>
      </c>
      <c r="AO106" s="69">
        <f t="shared" si="3"/>
        <v>723.0</v>
      </c>
      <c r="AP106" s="69">
        <f t="shared" si="4"/>
        <v>227.0</v>
      </c>
      <c r="AQ106" s="69">
        <f t="shared" si="5"/>
        <v>249.7</v>
      </c>
      <c r="AR106" s="47">
        <f t="shared" ref="AR106:AR110" si="152">AQ106*$AR$4/$AQ$4</f>
        <v>39.4547619047619</v>
      </c>
      <c r="AS106" s="47">
        <f t="shared" ref="AS106:AS110" si="153">AQ106*$AS$4/$AQ$4</f>
        <v>30.8071428571429</v>
      </c>
      <c r="AT106" s="47">
        <f t="shared" ref="AT106:AT110" si="154">AQ106*$AT$4/$AQ$4</f>
        <v>61.6142857142857</v>
      </c>
      <c r="AU106" s="47">
        <f t="shared" ref="AU106:AU110" si="155">AQ106*$AU$4/$AQ$4</f>
        <v>68.6404761904761</v>
      </c>
      <c r="AV106" s="47">
        <f t="shared" ref="AV106:AV110" si="156">AQ106*$AV$4/$AQ$4</f>
        <v>62.1547619047619</v>
      </c>
      <c r="AW106" s="47">
        <f t="shared" ref="AW106:AW110" si="157">AQ106*$AW$4/$AQ$4</f>
        <v>50.8047619047619</v>
      </c>
      <c r="AX106" s="64">
        <f t="shared" si="12"/>
        <v>313.47619047619</v>
      </c>
      <c r="AY106" s="64" t="e">
        <f t="shared" si="13"/>
        <v>#REF!</v>
      </c>
      <c r="BB106" s="69" t="e">
        <f t="shared" si="116"/>
        <v>#REF!</v>
      </c>
      <c r="BC106" s="69">
        <v>501.0</v>
      </c>
      <c r="BD106" s="47">
        <f t="shared" ref="BD106:BD108" si="158">BC106</f>
        <v>501.0</v>
      </c>
      <c r="BE106" s="100">
        <v>46023</v>
      </c>
      <c r="BF106" s="95" t="e">
        <f t="shared" si="15"/>
        <v>#REF!</v>
      </c>
      <c r="BG106" s="65">
        <f t="shared" si="16"/>
        <v>39.4547619047619</v>
      </c>
      <c r="BH106" s="65">
        <f t="shared" si="17"/>
      </c>
      <c r="BI106" s="65" t="e">
        <f t="shared" si="18"/>
        <v>#REF!</v>
      </c>
      <c r="BJ106" s="65">
        <f t="shared" si="19"/>
        <v>30.8071428571429</v>
      </c>
      <c r="BK106" s="65">
        <f t="shared" si="20"/>
      </c>
      <c r="BL106" s="65" t="e">
        <f t="shared" si="21"/>
        <v>#REF!</v>
      </c>
      <c r="BM106" s="65">
        <f t="shared" si="22"/>
        <v>61.6142857142857</v>
      </c>
      <c r="BN106" s="65"/>
      <c r="BO106" s="65" t="e">
        <f t="shared" si="23"/>
        <v>#REF!</v>
      </c>
      <c r="BP106" s="65">
        <f t="shared" si="24"/>
        <v>68.6404761904761</v>
      </c>
      <c r="BQ106" s="65"/>
      <c r="BR106" s="65" t="e">
        <f t="shared" si="25"/>
        <v>#REF!</v>
      </c>
      <c r="BS106" s="65">
        <f t="shared" si="26"/>
        <v>62.1547619047619</v>
      </c>
      <c r="BT106" s="65"/>
      <c r="BU106" s="65" t="e">
        <f t="shared" si="27"/>
        <v>#REF!</v>
      </c>
      <c r="BV106" s="65">
        <f t="shared" si="28"/>
        <v>50.8047619047619</v>
      </c>
      <c r="BW106" s="65"/>
      <c r="BX106" s="65" t="e">
        <f t="shared" si="29"/>
        <v>#REF!</v>
      </c>
    </row>
    <row r="107" ht="14.0">
      <c r="A107" s="93" t="s">
        <v>179</v>
      </c>
      <c r="B107" s="93" t="s">
        <v>397</v>
      </c>
      <c r="C107" s="93" t="s">
        <v>400</v>
      </c>
      <c r="D107" s="93" t="s">
        <v>401</v>
      </c>
      <c r="E107" s="93">
        <v>0.0</v>
      </c>
      <c r="F107" s="93">
        <v>0.0</v>
      </c>
      <c r="G107" s="93">
        <v>0.0</v>
      </c>
      <c r="H107" s="93">
        <v>0.0</v>
      </c>
      <c r="I107" s="93">
        <v>0.0</v>
      </c>
      <c r="J107" s="93">
        <v>0.0</v>
      </c>
      <c r="K107" s="93">
        <v>0.0</v>
      </c>
      <c r="L107" s="93">
        <v>0.0</v>
      </c>
      <c r="M107" s="93">
        <v>0.0</v>
      </c>
      <c r="N107" s="93">
        <v>0.0</v>
      </c>
      <c r="O107" s="93">
        <v>0.0</v>
      </c>
      <c r="P107" s="93">
        <v>0.0</v>
      </c>
      <c r="Q107" s="93">
        <v>0.0</v>
      </c>
      <c r="R107" s="93">
        <v>0.0</v>
      </c>
      <c r="S107" s="93">
        <v>0.0</v>
      </c>
      <c r="T107" s="93">
        <v>0.0</v>
      </c>
      <c r="U107" s="93">
        <v>0.0</v>
      </c>
      <c r="V107" s="93">
        <v>0.0</v>
      </c>
      <c r="W107" s="93">
        <v>0.0</v>
      </c>
      <c r="X107" s="93">
        <v>0.0</v>
      </c>
      <c r="Y107" s="93">
        <v>0.0</v>
      </c>
      <c r="Z107" s="93">
        <v>0.0</v>
      </c>
      <c r="AA107" s="93">
        <v>0.0</v>
      </c>
      <c r="AB107" s="93">
        <v>0.0</v>
      </c>
      <c r="AC107" s="93">
        <v>0.0</v>
      </c>
      <c r="AD107" s="93">
        <v>146.0</v>
      </c>
      <c r="AE107" s="93">
        <v>126.0</v>
      </c>
      <c r="AF107" s="93">
        <v>168.0</v>
      </c>
      <c r="AG107" s="93">
        <v>60.0</v>
      </c>
      <c r="AH107" s="93">
        <v>0.0</v>
      </c>
      <c r="AI107" s="93">
        <v>3.0</v>
      </c>
      <c r="AJ107" s="93">
        <v>59.0</v>
      </c>
      <c r="AK107" s="93">
        <v>62.0</v>
      </c>
      <c r="AL107" s="93">
        <v>69.0</v>
      </c>
      <c r="AM107" s="93">
        <v>54.0</v>
      </c>
      <c r="AN107" s="93">
        <v>48.0</v>
      </c>
      <c r="AO107" s="69">
        <f t="shared" si="3"/>
        <v>795.0</v>
      </c>
      <c r="AP107" s="69">
        <f t="shared" si="4"/>
        <v>295.0</v>
      </c>
      <c r="AQ107" s="69">
        <f t="shared" si="5"/>
        <v>324.5</v>
      </c>
      <c r="AR107" s="47">
        <f t="shared" si="152"/>
        <v>51.2738095238095</v>
      </c>
      <c r="AS107" s="47">
        <f t="shared" si="153"/>
        <v>40.0357142857142</v>
      </c>
      <c r="AT107" s="47">
        <f t="shared" si="154"/>
        <v>80.0714285714286</v>
      </c>
      <c r="AU107" s="47">
        <f t="shared" si="155"/>
        <v>89.202380952381</v>
      </c>
      <c r="AV107" s="47">
        <f t="shared" si="156"/>
        <v>80.7738095238095</v>
      </c>
      <c r="AW107" s="47">
        <f t="shared" si="157"/>
        <v>66.0238095238095</v>
      </c>
      <c r="AX107" s="64">
        <f t="shared" si="12"/>
        <v>407.380952380952</v>
      </c>
      <c r="AY107" s="64" t="e">
        <f t="shared" si="13"/>
        <v>#REF!</v>
      </c>
      <c r="BB107" s="69" t="e">
        <f t="shared" si="116"/>
        <v>#REF!</v>
      </c>
      <c r="BC107" s="69">
        <v>501.0</v>
      </c>
      <c r="BD107" s="47">
        <f t="shared" si="158"/>
        <v>501.0</v>
      </c>
      <c r="BE107" s="103" t="s">
        <v>249</v>
      </c>
      <c r="BF107" s="95" t="e">
        <f t="shared" si="15"/>
        <v>#REF!</v>
      </c>
      <c r="BG107" s="65">
        <f t="shared" si="16"/>
        <v>51.2738095238095</v>
      </c>
      <c r="BH107" s="65">
        <f t="shared" si="17"/>
      </c>
      <c r="BI107" s="65" t="e">
        <f t="shared" si="18"/>
        <v>#REF!</v>
      </c>
      <c r="BJ107" s="65">
        <f t="shared" si="19"/>
        <v>40.0357142857142</v>
      </c>
      <c r="BK107" s="65">
        <f t="shared" si="20"/>
      </c>
      <c r="BL107" s="65" t="e">
        <f t="shared" si="21"/>
        <v>#REF!</v>
      </c>
      <c r="BM107" s="65">
        <f t="shared" si="22"/>
        <v>80.0714285714286</v>
      </c>
      <c r="BN107" s="65"/>
      <c r="BO107" s="65" t="e">
        <f t="shared" si="23"/>
        <v>#REF!</v>
      </c>
      <c r="BP107" s="65">
        <f t="shared" si="24"/>
        <v>89.202380952381</v>
      </c>
      <c r="BQ107" s="65"/>
      <c r="BR107" s="65" t="e">
        <f t="shared" si="25"/>
        <v>#REF!</v>
      </c>
      <c r="BS107" s="65">
        <f t="shared" si="26"/>
        <v>80.7738095238095</v>
      </c>
      <c r="BT107" s="65"/>
      <c r="BU107" s="65" t="e">
        <f t="shared" si="27"/>
        <v>#REF!</v>
      </c>
      <c r="BV107" s="65">
        <f t="shared" si="28"/>
        <v>66.0238095238095</v>
      </c>
      <c r="BW107" s="65"/>
      <c r="BX107" s="65" t="e">
        <f t="shared" si="29"/>
        <v>#REF!</v>
      </c>
    </row>
    <row r="108" ht="14.0">
      <c r="A108" s="93" t="s">
        <v>179</v>
      </c>
      <c r="B108" s="93" t="s">
        <v>397</v>
      </c>
      <c r="C108" s="93" t="s">
        <v>402</v>
      </c>
      <c r="D108" s="93" t="s">
        <v>403</v>
      </c>
      <c r="E108" s="93">
        <v>0.0</v>
      </c>
      <c r="F108" s="93">
        <v>0.0</v>
      </c>
      <c r="G108" s="93">
        <v>0.0</v>
      </c>
      <c r="H108" s="93">
        <v>0.0</v>
      </c>
      <c r="I108" s="93">
        <v>0.0</v>
      </c>
      <c r="J108" s="93">
        <v>0.0</v>
      </c>
      <c r="K108" s="93">
        <v>0.0</v>
      </c>
      <c r="L108" s="93">
        <v>0.0</v>
      </c>
      <c r="M108" s="93">
        <v>0.0</v>
      </c>
      <c r="N108" s="93">
        <v>0.0</v>
      </c>
      <c r="O108" s="93">
        <v>0.0</v>
      </c>
      <c r="P108" s="93">
        <v>0.0</v>
      </c>
      <c r="Q108" s="93">
        <v>0.0</v>
      </c>
      <c r="R108" s="93">
        <v>0.0</v>
      </c>
      <c r="S108" s="93">
        <v>0.0</v>
      </c>
      <c r="T108" s="93">
        <v>0.0</v>
      </c>
      <c r="U108" s="93">
        <v>0.0</v>
      </c>
      <c r="V108" s="93">
        <v>0.0</v>
      </c>
      <c r="W108" s="93">
        <v>0.0</v>
      </c>
      <c r="X108" s="93">
        <v>0.0</v>
      </c>
      <c r="Y108" s="93">
        <v>0.0</v>
      </c>
      <c r="Z108" s="93">
        <v>0.0</v>
      </c>
      <c r="AA108" s="93">
        <v>0.0</v>
      </c>
      <c r="AB108" s="93">
        <v>0.0</v>
      </c>
      <c r="AC108" s="93">
        <v>0.0</v>
      </c>
      <c r="AD108" s="93">
        <v>90.0</v>
      </c>
      <c r="AE108" s="93">
        <v>200.0</v>
      </c>
      <c r="AF108" s="93">
        <v>208.0</v>
      </c>
      <c r="AG108" s="93">
        <v>0.0</v>
      </c>
      <c r="AH108" s="93">
        <v>0.0</v>
      </c>
      <c r="AI108" s="93">
        <v>0.0</v>
      </c>
      <c r="AJ108" s="93">
        <v>114.0</v>
      </c>
      <c r="AK108" s="93">
        <v>72.0</v>
      </c>
      <c r="AL108" s="93">
        <v>103.0</v>
      </c>
      <c r="AM108" s="93">
        <v>67.0</v>
      </c>
      <c r="AN108" s="93">
        <v>75.0</v>
      </c>
      <c r="AO108" s="69">
        <f t="shared" si="3"/>
        <v>929.0</v>
      </c>
      <c r="AP108" s="69">
        <f t="shared" si="4"/>
        <v>431.0</v>
      </c>
      <c r="AQ108" s="69">
        <f t="shared" si="5"/>
        <v>474.1</v>
      </c>
      <c r="AR108" s="47">
        <f t="shared" si="152"/>
        <v>74.9119047619048</v>
      </c>
      <c r="AS108" s="47">
        <f t="shared" si="153"/>
        <v>58.4928571428571</v>
      </c>
      <c r="AT108" s="47">
        <f t="shared" si="154"/>
        <v>116.985714285714</v>
      </c>
      <c r="AU108" s="47">
        <f t="shared" si="155"/>
        <v>130.32619047619</v>
      </c>
      <c r="AV108" s="47">
        <f t="shared" si="156"/>
        <v>118.011904761904</v>
      </c>
      <c r="AW108" s="47">
        <f t="shared" si="157"/>
        <v>96.4619047619048</v>
      </c>
      <c r="AX108" s="64">
        <f t="shared" si="12"/>
        <v>595.190476190474</v>
      </c>
      <c r="AY108" s="64" t="e">
        <f t="shared" si="13"/>
        <v>#REF!</v>
      </c>
      <c r="BB108" s="69" t="e">
        <f t="shared" si="116"/>
        <v>#REF!</v>
      </c>
      <c r="BC108" s="69">
        <v>501.0</v>
      </c>
      <c r="BD108" s="47">
        <f t="shared" si="158"/>
        <v>501.0</v>
      </c>
      <c r="BE108" s="100">
        <v>46023</v>
      </c>
      <c r="BF108" s="95" t="e">
        <f t="shared" si="15"/>
        <v>#REF!</v>
      </c>
      <c r="BG108" s="65">
        <f t="shared" si="16"/>
        <v>74.9119047619048</v>
      </c>
      <c r="BH108" s="65">
        <f t="shared" si="17"/>
      </c>
      <c r="BI108" s="65" t="e">
        <f t="shared" si="18"/>
        <v>#REF!</v>
      </c>
      <c r="BJ108" s="65">
        <f t="shared" si="19"/>
        <v>58.4928571428571</v>
      </c>
      <c r="BK108" s="65">
        <f t="shared" si="20"/>
      </c>
      <c r="BL108" s="65" t="e">
        <f t="shared" si="21"/>
        <v>#REF!</v>
      </c>
      <c r="BM108" s="65">
        <f t="shared" si="22"/>
        <v>116.985714285714</v>
      </c>
      <c r="BN108" s="65"/>
      <c r="BO108" s="65" t="e">
        <f t="shared" si="23"/>
        <v>#REF!</v>
      </c>
      <c r="BP108" s="65">
        <f t="shared" si="24"/>
        <v>130.32619047619</v>
      </c>
      <c r="BQ108" s="65"/>
      <c r="BR108" s="65" t="e">
        <f t="shared" si="25"/>
        <v>#REF!</v>
      </c>
      <c r="BS108" s="65">
        <f t="shared" si="26"/>
        <v>118.011904761904</v>
      </c>
      <c r="BT108" s="65"/>
      <c r="BU108" s="65" t="e">
        <f t="shared" si="27"/>
        <v>#REF!</v>
      </c>
      <c r="BV108" s="65">
        <f t="shared" si="28"/>
        <v>96.4619047619048</v>
      </c>
      <c r="BW108" s="65"/>
      <c r="BX108" s="65" t="e">
        <f t="shared" si="29"/>
        <v>#REF!</v>
      </c>
    </row>
    <row r="109" ht="14.0">
      <c r="A109" s="93" t="s">
        <v>179</v>
      </c>
      <c r="B109" s="93" t="s">
        <v>397</v>
      </c>
      <c r="C109" s="93" t="s">
        <v>404</v>
      </c>
      <c r="D109" s="93" t="s">
        <v>405</v>
      </c>
      <c r="E109" s="93">
        <v>0.0</v>
      </c>
      <c r="F109" s="93">
        <v>0.0</v>
      </c>
      <c r="G109" s="93">
        <v>0.0</v>
      </c>
      <c r="H109" s="93">
        <v>0.0</v>
      </c>
      <c r="I109" s="93">
        <v>0.0</v>
      </c>
      <c r="J109" s="93">
        <v>0.0</v>
      </c>
      <c r="K109" s="93">
        <v>0.0</v>
      </c>
      <c r="L109" s="93">
        <v>0.0</v>
      </c>
      <c r="M109" s="93">
        <v>0.0</v>
      </c>
      <c r="N109" s="93">
        <v>0.0</v>
      </c>
      <c r="O109" s="93">
        <v>0.0</v>
      </c>
      <c r="P109" s="93">
        <v>0.0</v>
      </c>
      <c r="Q109" s="93">
        <v>0.0</v>
      </c>
      <c r="R109" s="93">
        <v>0.0</v>
      </c>
      <c r="S109" s="93">
        <v>0.0</v>
      </c>
      <c r="T109" s="93">
        <v>0.0</v>
      </c>
      <c r="U109" s="93">
        <v>0.0</v>
      </c>
      <c r="V109" s="93">
        <v>0.0</v>
      </c>
      <c r="W109" s="93">
        <v>0.0</v>
      </c>
      <c r="X109" s="93">
        <v>0.0</v>
      </c>
      <c r="Y109" s="93">
        <v>0.0</v>
      </c>
      <c r="Z109" s="93">
        <v>0.0</v>
      </c>
      <c r="AA109" s="93">
        <v>0.0</v>
      </c>
      <c r="AB109" s="93">
        <v>0.0</v>
      </c>
      <c r="AC109" s="93">
        <v>0.0</v>
      </c>
      <c r="AD109" s="93">
        <v>96.0</v>
      </c>
      <c r="AE109" s="93">
        <v>177.0</v>
      </c>
      <c r="AF109" s="93">
        <v>221.0</v>
      </c>
      <c r="AG109" s="93">
        <v>0.0</v>
      </c>
      <c r="AH109" s="93">
        <v>0.0</v>
      </c>
      <c r="AI109" s="93">
        <v>0.0</v>
      </c>
      <c r="AJ109" s="93">
        <v>105.0</v>
      </c>
      <c r="AK109" s="93">
        <v>72.0</v>
      </c>
      <c r="AL109" s="93">
        <v>81.0</v>
      </c>
      <c r="AM109" s="93">
        <v>84.0</v>
      </c>
      <c r="AN109" s="93">
        <v>59.0</v>
      </c>
      <c r="AO109" s="69">
        <f t="shared" si="3"/>
        <v>895.0</v>
      </c>
      <c r="AP109" s="69">
        <f t="shared" si="4"/>
        <v>401.0</v>
      </c>
      <c r="AQ109" s="69">
        <f t="shared" si="5"/>
        <v>441.1</v>
      </c>
      <c r="AR109" s="47">
        <f t="shared" si="152"/>
        <v>69.697619047619</v>
      </c>
      <c r="AS109" s="47">
        <f t="shared" si="153"/>
        <v>54.4214285714286</v>
      </c>
      <c r="AT109" s="47">
        <f t="shared" si="154"/>
        <v>108.842857142857</v>
      </c>
      <c r="AU109" s="47">
        <f t="shared" si="155"/>
        <v>121.254761904761</v>
      </c>
      <c r="AV109" s="47">
        <f t="shared" si="156"/>
        <v>109.797619047619</v>
      </c>
      <c r="AW109" s="47">
        <f t="shared" si="157"/>
        <v>89.747619047619</v>
      </c>
      <c r="AX109" s="64">
        <f t="shared" si="12"/>
        <v>553.761904761903</v>
      </c>
      <c r="AY109" s="64" t="e">
        <f t="shared" si="13"/>
        <v>#REF!</v>
      </c>
      <c r="BB109" s="69" t="e">
        <f t="shared" si="116"/>
        <v>#REF!</v>
      </c>
      <c r="BC109" s="69"/>
      <c r="BE109" s="70"/>
      <c r="BF109" s="95" t="e">
        <f t="shared" si="15"/>
        <v>#REF!</v>
      </c>
      <c r="BG109" s="65">
        <f t="shared" si="16"/>
        <v>69.697619047619</v>
      </c>
      <c r="BH109" s="65">
        <f t="shared" si="17"/>
      </c>
      <c r="BI109" s="65" t="e">
        <f t="shared" si="18"/>
        <v>#REF!</v>
      </c>
      <c r="BJ109" s="65">
        <f t="shared" si="19"/>
        <v>54.4214285714286</v>
      </c>
      <c r="BK109" s="65">
        <f t="shared" si="20"/>
      </c>
      <c r="BL109" s="65" t="e">
        <f t="shared" si="21"/>
        <v>#REF!</v>
      </c>
      <c r="BM109" s="65">
        <f t="shared" si="22"/>
        <v>108.842857142857</v>
      </c>
      <c r="BN109" s="65"/>
      <c r="BO109" s="65" t="e">
        <f t="shared" si="23"/>
        <v>#REF!</v>
      </c>
      <c r="BP109" s="65">
        <f t="shared" si="24"/>
        <v>121.254761904761</v>
      </c>
      <c r="BQ109" s="65"/>
      <c r="BR109" s="65" t="e">
        <f t="shared" si="25"/>
        <v>#REF!</v>
      </c>
      <c r="BS109" s="65">
        <f t="shared" si="26"/>
        <v>109.797619047619</v>
      </c>
      <c r="BT109" s="65"/>
      <c r="BU109" s="65" t="e">
        <f t="shared" si="27"/>
        <v>#REF!</v>
      </c>
      <c r="BV109" s="65">
        <f t="shared" si="28"/>
        <v>89.747619047619</v>
      </c>
      <c r="BW109" s="65"/>
      <c r="BX109" s="65" t="e">
        <f t="shared" si="29"/>
        <v>#REF!</v>
      </c>
    </row>
    <row r="110" ht="14.0">
      <c r="A110" s="93" t="s">
        <v>179</v>
      </c>
      <c r="B110" s="93" t="s">
        <v>397</v>
      </c>
      <c r="C110" s="93" t="s">
        <v>406</v>
      </c>
      <c r="D110" s="93" t="s">
        <v>407</v>
      </c>
      <c r="E110" s="93">
        <v>0.0</v>
      </c>
      <c r="F110" s="93">
        <v>0.0</v>
      </c>
      <c r="G110" s="93">
        <v>0.0</v>
      </c>
      <c r="H110" s="93">
        <v>0.0</v>
      </c>
      <c r="I110" s="93">
        <v>0.0</v>
      </c>
      <c r="J110" s="93">
        <v>0.0</v>
      </c>
      <c r="K110" s="93">
        <v>0.0</v>
      </c>
      <c r="L110" s="93">
        <v>0.0</v>
      </c>
      <c r="M110" s="93">
        <v>0.0</v>
      </c>
      <c r="N110" s="93">
        <v>0.0</v>
      </c>
      <c r="O110" s="93">
        <v>0.0</v>
      </c>
      <c r="P110" s="93">
        <v>0.0</v>
      </c>
      <c r="Q110" s="93">
        <v>0.0</v>
      </c>
      <c r="R110" s="93">
        <v>0.0</v>
      </c>
      <c r="S110" s="93">
        <v>0.0</v>
      </c>
      <c r="T110" s="93">
        <v>0.0</v>
      </c>
      <c r="U110" s="93">
        <v>0.0</v>
      </c>
      <c r="V110" s="93">
        <v>0.0</v>
      </c>
      <c r="W110" s="93">
        <v>0.0</v>
      </c>
      <c r="X110" s="93">
        <v>0.0</v>
      </c>
      <c r="Y110" s="93">
        <v>0.0</v>
      </c>
      <c r="Z110" s="93">
        <v>0.0</v>
      </c>
      <c r="AA110" s="93">
        <v>0.0</v>
      </c>
      <c r="AB110" s="93">
        <v>0.0</v>
      </c>
      <c r="AC110" s="93">
        <v>0.0</v>
      </c>
      <c r="AD110" s="93">
        <v>81.0</v>
      </c>
      <c r="AE110" s="93">
        <v>192.0</v>
      </c>
      <c r="AF110" s="93">
        <v>199.0</v>
      </c>
      <c r="AG110" s="93">
        <v>29.0</v>
      </c>
      <c r="AH110" s="93">
        <v>0.0</v>
      </c>
      <c r="AI110" s="93">
        <v>-6.0</v>
      </c>
      <c r="AJ110" s="93">
        <v>99.0</v>
      </c>
      <c r="AK110" s="93">
        <v>56.0</v>
      </c>
      <c r="AL110" s="93">
        <v>92.0</v>
      </c>
      <c r="AM110" s="93">
        <v>88.0</v>
      </c>
      <c r="AN110" s="93">
        <v>75.0</v>
      </c>
      <c r="AO110" s="69">
        <f t="shared" si="3"/>
        <v>905.0</v>
      </c>
      <c r="AP110" s="69">
        <f t="shared" si="4"/>
        <v>404.0</v>
      </c>
      <c r="AQ110" s="69">
        <f t="shared" si="5"/>
        <v>444.4</v>
      </c>
      <c r="AR110" s="47">
        <f t="shared" si="152"/>
        <v>70.2190476190476</v>
      </c>
      <c r="AS110" s="47">
        <f t="shared" si="153"/>
        <v>54.8285714285714</v>
      </c>
      <c r="AT110" s="47">
        <f t="shared" si="154"/>
        <v>109.657142857142</v>
      </c>
      <c r="AU110" s="47">
        <f t="shared" si="155"/>
        <v>122.161904761904</v>
      </c>
      <c r="AV110" s="47">
        <f t="shared" si="156"/>
        <v>110.61904761904</v>
      </c>
      <c r="AW110" s="47">
        <f t="shared" si="157"/>
        <v>90.4190476190476</v>
      </c>
      <c r="AX110" s="64">
        <f t="shared" si="12"/>
        <v>557.904761904752</v>
      </c>
      <c r="AY110" s="64" t="e">
        <f t="shared" si="13"/>
        <v>#REF!</v>
      </c>
      <c r="BB110" s="69" t="e">
        <f t="shared" si="116"/>
        <v>#REF!</v>
      </c>
      <c r="BC110" s="69"/>
      <c r="BE110" s="70"/>
      <c r="BF110" s="95" t="e">
        <f t="shared" si="15"/>
        <v>#REF!</v>
      </c>
      <c r="BG110" s="65">
        <f t="shared" si="16"/>
        <v>70.2190476190476</v>
      </c>
      <c r="BH110" s="65">
        <f t="shared" si="17"/>
      </c>
      <c r="BI110" s="65" t="e">
        <f t="shared" si="18"/>
        <v>#REF!</v>
      </c>
      <c r="BJ110" s="65">
        <f t="shared" si="19"/>
        <v>54.8285714285714</v>
      </c>
      <c r="BK110" s="65">
        <f t="shared" si="20"/>
      </c>
      <c r="BL110" s="65" t="e">
        <f t="shared" si="21"/>
        <v>#REF!</v>
      </c>
      <c r="BM110" s="65">
        <f t="shared" si="22"/>
        <v>109.657142857142</v>
      </c>
      <c r="BN110" s="65"/>
      <c r="BO110" s="65" t="e">
        <f t="shared" si="23"/>
        <v>#REF!</v>
      </c>
      <c r="BP110" s="65">
        <f t="shared" si="24"/>
        <v>122.161904761904</v>
      </c>
      <c r="BQ110" s="65"/>
      <c r="BR110" s="65" t="e">
        <f t="shared" si="25"/>
        <v>#REF!</v>
      </c>
      <c r="BS110" s="65">
        <f t="shared" si="26"/>
        <v>110.61904761904</v>
      </c>
      <c r="BT110" s="65"/>
      <c r="BU110" s="65" t="e">
        <f t="shared" si="27"/>
        <v>#REF!</v>
      </c>
      <c r="BV110" s="65">
        <f t="shared" si="28"/>
        <v>90.4190476190476</v>
      </c>
      <c r="BW110" s="65"/>
      <c r="BX110" s="65" t="e">
        <f t="shared" si="29"/>
        <v>#REF!</v>
      </c>
    </row>
    <row r="111" ht="14.0">
      <c r="A111" s="93" t="s">
        <v>179</v>
      </c>
      <c r="B111" s="93" t="s">
        <v>397</v>
      </c>
      <c r="C111" s="93" t="s">
        <v>408</v>
      </c>
      <c r="D111" s="93" t="s">
        <v>409</v>
      </c>
      <c r="E111" s="93">
        <v>0.0</v>
      </c>
      <c r="F111" s="93">
        <v>0.0</v>
      </c>
      <c r="G111" s="93">
        <v>0.0</v>
      </c>
      <c r="H111" s="93">
        <v>0.0</v>
      </c>
      <c r="I111" s="93">
        <v>0.0</v>
      </c>
      <c r="J111" s="93">
        <v>0.0</v>
      </c>
      <c r="K111" s="93">
        <v>0.0</v>
      </c>
      <c r="L111" s="93">
        <v>0.0</v>
      </c>
      <c r="M111" s="93">
        <v>0.0</v>
      </c>
      <c r="N111" s="93">
        <v>0.0</v>
      </c>
      <c r="O111" s="93">
        <v>0.0</v>
      </c>
      <c r="P111" s="93">
        <v>0.0</v>
      </c>
      <c r="Q111" s="93">
        <v>0.0</v>
      </c>
      <c r="R111" s="93">
        <v>0.0</v>
      </c>
      <c r="S111" s="93">
        <v>0.0</v>
      </c>
      <c r="T111" s="93">
        <v>0.0</v>
      </c>
      <c r="U111" s="93">
        <v>0.0</v>
      </c>
      <c r="V111" s="93">
        <v>0.0</v>
      </c>
      <c r="W111" s="93">
        <v>0.0</v>
      </c>
      <c r="X111" s="93">
        <v>0.0</v>
      </c>
      <c r="Y111" s="93">
        <v>0.0</v>
      </c>
      <c r="Z111" s="93">
        <v>0.0</v>
      </c>
      <c r="AA111" s="93">
        <v>0.0</v>
      </c>
      <c r="AB111" s="93">
        <v>0.0</v>
      </c>
      <c r="AC111" s="93">
        <v>0.0</v>
      </c>
      <c r="AD111" s="93">
        <v>0.0</v>
      </c>
      <c r="AE111" s="93">
        <v>0.0</v>
      </c>
      <c r="AF111" s="93">
        <v>0.0</v>
      </c>
      <c r="AG111" s="93">
        <v>0.0</v>
      </c>
      <c r="AH111" s="93">
        <v>0.0</v>
      </c>
      <c r="AI111" s="93">
        <v>0.0</v>
      </c>
      <c r="AJ111" s="93">
        <v>27.0</v>
      </c>
      <c r="AK111" s="93">
        <v>218.0</v>
      </c>
      <c r="AL111" s="93">
        <v>186.0</v>
      </c>
      <c r="AM111" s="93">
        <v>70.0</v>
      </c>
      <c r="AN111" s="93">
        <v>0.0</v>
      </c>
      <c r="AO111" s="69">
        <f t="shared" si="3"/>
        <v>501.0</v>
      </c>
      <c r="AP111" s="69">
        <f t="shared" si="4"/>
        <v>501.0</v>
      </c>
      <c r="AQ111" s="69">
        <f t="shared" si="5"/>
        <v>551.1</v>
      </c>
      <c r="AR111" s="101">
        <f t="shared" ref="AR111:AR112" si="159">AVERAGE(AK111:AN111)</f>
        <v>118.5</v>
      </c>
      <c r="AS111" s="101">
        <f t="shared" ref="AS111:AS112" si="160">AR111*1.1</f>
        <v>130.35</v>
      </c>
      <c r="AT111" s="101">
        <f t="shared" ref="AT111:AT112" si="161">AS111*1.1</f>
        <v>143.385</v>
      </c>
      <c r="AU111" s="101">
        <f t="shared" ref="AU111:AU112" si="162">AT111*1.1</f>
        <v>157.7235</v>
      </c>
      <c r="AV111" s="101">
        <f t="shared" ref="AV111:AV112" si="163">AU111*1.1</f>
        <v>173.49585</v>
      </c>
      <c r="AW111" s="101">
        <f t="shared" ref="AW111:AW112" si="164">AV111*1.1</f>
        <v>190.845435</v>
      </c>
      <c r="AX111" s="64">
        <f t="shared" si="12"/>
        <v>914.299785</v>
      </c>
      <c r="AY111" s="64" t="e">
        <f t="shared" si="13"/>
        <v>#REF!</v>
      </c>
      <c r="BB111" s="69" t="e">
        <f t="shared" si="116"/>
        <v>#REF!</v>
      </c>
      <c r="BC111" s="69"/>
      <c r="BE111" s="70"/>
      <c r="BF111" s="95" t="e">
        <f t="shared" si="15"/>
        <v>#REF!</v>
      </c>
      <c r="BG111" s="65">
        <f t="shared" si="16"/>
        <v>118.5</v>
      </c>
      <c r="BH111" s="65">
        <f t="shared" si="17"/>
      </c>
      <c r="BI111" s="65" t="e">
        <f t="shared" si="18"/>
        <v>#REF!</v>
      </c>
      <c r="BJ111" s="65">
        <f t="shared" si="19"/>
        <v>130.35</v>
      </c>
      <c r="BK111" s="65">
        <f t="shared" si="20"/>
      </c>
      <c r="BL111" s="65" t="e">
        <f t="shared" si="21"/>
        <v>#REF!</v>
      </c>
      <c r="BM111" s="65">
        <f t="shared" si="22"/>
        <v>143.385</v>
      </c>
      <c r="BN111" s="65"/>
      <c r="BO111" s="65" t="e">
        <f t="shared" si="23"/>
        <v>#REF!</v>
      </c>
      <c r="BP111" s="65">
        <f t="shared" si="24"/>
        <v>157.7235</v>
      </c>
      <c r="BQ111" s="65"/>
      <c r="BR111" s="65" t="e">
        <f t="shared" si="25"/>
        <v>#REF!</v>
      </c>
      <c r="BS111" s="65">
        <f t="shared" si="26"/>
        <v>173.49585</v>
      </c>
      <c r="BT111" s="65"/>
      <c r="BU111" s="65" t="e">
        <f t="shared" si="27"/>
        <v>#REF!</v>
      </c>
      <c r="BV111" s="65">
        <f t="shared" si="28"/>
        <v>190.845435</v>
      </c>
      <c r="BW111" s="65"/>
      <c r="BX111" s="65" t="e">
        <f t="shared" si="29"/>
        <v>#REF!</v>
      </c>
    </row>
    <row r="112" ht="14.0">
      <c r="A112" s="93" t="s">
        <v>179</v>
      </c>
      <c r="B112" s="93" t="s">
        <v>397</v>
      </c>
      <c r="C112" s="93" t="s">
        <v>410</v>
      </c>
      <c r="D112" s="93" t="s">
        <v>411</v>
      </c>
      <c r="E112" s="93">
        <v>0.0</v>
      </c>
      <c r="F112" s="93">
        <v>0.0</v>
      </c>
      <c r="G112" s="93">
        <v>0.0</v>
      </c>
      <c r="H112" s="93">
        <v>0.0</v>
      </c>
      <c r="I112" s="93">
        <v>0.0</v>
      </c>
      <c r="J112" s="93">
        <v>0.0</v>
      </c>
      <c r="K112" s="93">
        <v>0.0</v>
      </c>
      <c r="L112" s="93">
        <v>0.0</v>
      </c>
      <c r="M112" s="93">
        <v>0.0</v>
      </c>
      <c r="N112" s="93">
        <v>0.0</v>
      </c>
      <c r="O112" s="93">
        <v>0.0</v>
      </c>
      <c r="P112" s="93">
        <v>0.0</v>
      </c>
      <c r="Q112" s="93">
        <v>0.0</v>
      </c>
      <c r="R112" s="93">
        <v>0.0</v>
      </c>
      <c r="S112" s="93">
        <v>0.0</v>
      </c>
      <c r="T112" s="93">
        <v>0.0</v>
      </c>
      <c r="U112" s="93">
        <v>0.0</v>
      </c>
      <c r="V112" s="93">
        <v>0.0</v>
      </c>
      <c r="W112" s="93">
        <v>0.0</v>
      </c>
      <c r="X112" s="93">
        <v>0.0</v>
      </c>
      <c r="Y112" s="93">
        <v>0.0</v>
      </c>
      <c r="Z112" s="93">
        <v>0.0</v>
      </c>
      <c r="AA112" s="93">
        <v>0.0</v>
      </c>
      <c r="AB112" s="93">
        <v>0.0</v>
      </c>
      <c r="AC112" s="93">
        <v>0.0</v>
      </c>
      <c r="AD112" s="93">
        <v>0.0</v>
      </c>
      <c r="AE112" s="93">
        <v>0.0</v>
      </c>
      <c r="AF112" s="93">
        <v>0.0</v>
      </c>
      <c r="AG112" s="93">
        <v>0.0</v>
      </c>
      <c r="AH112" s="93">
        <v>0.0</v>
      </c>
      <c r="AI112" s="93">
        <v>0.0</v>
      </c>
      <c r="AJ112" s="93">
        <v>12.0</v>
      </c>
      <c r="AK112" s="93">
        <v>185.0</v>
      </c>
      <c r="AL112" s="93">
        <v>166.0</v>
      </c>
      <c r="AM112" s="93">
        <v>66.0</v>
      </c>
      <c r="AN112" s="93">
        <v>48.0</v>
      </c>
      <c r="AO112" s="69">
        <f t="shared" si="3"/>
        <v>477.0</v>
      </c>
      <c r="AP112" s="69">
        <f t="shared" si="4"/>
        <v>477.0</v>
      </c>
      <c r="AQ112" s="69">
        <f t="shared" si="5"/>
        <v>524.7</v>
      </c>
      <c r="AR112" s="102">
        <f t="shared" si="159"/>
        <v>116.25</v>
      </c>
      <c r="AS112" s="102">
        <f t="shared" si="160"/>
        <v>127.875</v>
      </c>
      <c r="AT112" s="102">
        <f t="shared" si="161"/>
        <v>140.6625</v>
      </c>
      <c r="AU112" s="102">
        <f t="shared" si="162"/>
        <v>154.72875</v>
      </c>
      <c r="AV112" s="102">
        <f t="shared" si="163"/>
        <v>170.201625</v>
      </c>
      <c r="AW112" s="102">
        <f t="shared" si="164"/>
        <v>187.2217875</v>
      </c>
      <c r="AX112" s="64">
        <f t="shared" si="12"/>
        <v>896.9396625</v>
      </c>
      <c r="AY112" s="64" t="e">
        <f t="shared" si="13"/>
        <v>#REF!</v>
      </c>
      <c r="BB112" s="69" t="e">
        <f t="shared" si="116"/>
        <v>#REF!</v>
      </c>
      <c r="BC112" s="69"/>
      <c r="BE112" s="70"/>
      <c r="BF112" s="95" t="e">
        <f t="shared" si="15"/>
        <v>#REF!</v>
      </c>
      <c r="BG112" s="65">
        <f t="shared" si="16"/>
        <v>116.25</v>
      </c>
      <c r="BH112" s="65">
        <f t="shared" si="17"/>
      </c>
      <c r="BI112" s="65" t="e">
        <f t="shared" si="18"/>
        <v>#REF!</v>
      </c>
      <c r="BJ112" s="65">
        <f t="shared" si="19"/>
        <v>127.875</v>
      </c>
      <c r="BK112" s="65">
        <f t="shared" si="20"/>
      </c>
      <c r="BL112" s="65" t="e">
        <f t="shared" si="21"/>
        <v>#REF!</v>
      </c>
      <c r="BM112" s="65">
        <f t="shared" si="22"/>
        <v>140.6625</v>
      </c>
      <c r="BN112" s="65"/>
      <c r="BO112" s="65" t="e">
        <f t="shared" si="23"/>
        <v>#REF!</v>
      </c>
      <c r="BP112" s="65">
        <f t="shared" si="24"/>
        <v>154.72875</v>
      </c>
      <c r="BQ112" s="65"/>
      <c r="BR112" s="65" t="e">
        <f t="shared" si="25"/>
        <v>#REF!</v>
      </c>
      <c r="BS112" s="65">
        <f t="shared" si="26"/>
        <v>170.201625</v>
      </c>
      <c r="BT112" s="65"/>
      <c r="BU112" s="65" t="e">
        <f t="shared" si="27"/>
        <v>#REF!</v>
      </c>
      <c r="BV112" s="65">
        <f t="shared" si="28"/>
        <v>187.2217875</v>
      </c>
      <c r="BW112" s="65"/>
      <c r="BX112" s="65" t="e">
        <f t="shared" si="29"/>
        <v>#REF!</v>
      </c>
    </row>
    <row r="113" ht="14.0">
      <c r="A113" s="93" t="s">
        <v>179</v>
      </c>
      <c r="B113" s="93" t="s">
        <v>397</v>
      </c>
      <c r="C113" s="93" t="s">
        <v>412</v>
      </c>
      <c r="D113" s="93" t="s">
        <v>413</v>
      </c>
      <c r="E113" s="93">
        <v>0.0</v>
      </c>
      <c r="F113" s="93">
        <v>0.0</v>
      </c>
      <c r="G113" s="93">
        <v>0.0</v>
      </c>
      <c r="H113" s="93">
        <v>0.0</v>
      </c>
      <c r="I113" s="93">
        <v>0.0</v>
      </c>
      <c r="J113" s="93">
        <v>0.0</v>
      </c>
      <c r="K113" s="93">
        <v>0.0</v>
      </c>
      <c r="L113" s="93">
        <v>0.0</v>
      </c>
      <c r="M113" s="93">
        <v>0.0</v>
      </c>
      <c r="N113" s="93">
        <v>0.0</v>
      </c>
      <c r="O113" s="93">
        <v>0.0</v>
      </c>
      <c r="P113" s="93">
        <v>0.0</v>
      </c>
      <c r="Q113" s="93">
        <v>0.0</v>
      </c>
      <c r="R113" s="93">
        <v>0.0</v>
      </c>
      <c r="S113" s="93">
        <v>0.0</v>
      </c>
      <c r="T113" s="93">
        <v>0.0</v>
      </c>
      <c r="U113" s="93">
        <v>0.0</v>
      </c>
      <c r="V113" s="93">
        <v>0.0</v>
      </c>
      <c r="W113" s="93">
        <v>0.0</v>
      </c>
      <c r="X113" s="93">
        <v>0.0</v>
      </c>
      <c r="Y113" s="93">
        <v>0.0</v>
      </c>
      <c r="Z113" s="93">
        <v>0.0</v>
      </c>
      <c r="AA113" s="93">
        <v>0.0</v>
      </c>
      <c r="AB113" s="93">
        <v>0.0</v>
      </c>
      <c r="AC113" s="93">
        <v>0.0</v>
      </c>
      <c r="AD113" s="93">
        <v>0.0</v>
      </c>
      <c r="AE113" s="93">
        <v>0.0</v>
      </c>
      <c r="AF113" s="93">
        <v>0.0</v>
      </c>
      <c r="AG113" s="93">
        <v>0.0</v>
      </c>
      <c r="AH113" s="93">
        <v>0.0</v>
      </c>
      <c r="AI113" s="93">
        <v>0.0</v>
      </c>
      <c r="AJ113" s="93">
        <v>54.0</v>
      </c>
      <c r="AK113" s="93">
        <v>24.0</v>
      </c>
      <c r="AL113" s="93">
        <v>27.0</v>
      </c>
      <c r="AM113" s="93">
        <v>18.0</v>
      </c>
      <c r="AN113" s="93">
        <v>15.0</v>
      </c>
      <c r="AO113" s="69">
        <f t="shared" si="3"/>
        <v>138.0</v>
      </c>
      <c r="AP113" s="69">
        <f t="shared" si="4"/>
        <v>138.0</v>
      </c>
      <c r="AQ113" s="69">
        <f t="shared" si="5"/>
        <v>151.8</v>
      </c>
      <c r="AR113" s="47">
        <f t="shared" ref="AR113:AR119" si="165">AQ113*$AR$4/$AQ$4</f>
        <v>23.9857142857142</v>
      </c>
      <c r="AS113" s="47">
        <f t="shared" ref="AS113:AS119" si="166">AQ113*$AS$4/$AQ$4</f>
        <v>18.7285714285714</v>
      </c>
      <c r="AT113" s="47">
        <f t="shared" ref="AT113:AT119" si="167">AQ113*$AT$4/$AQ$4</f>
        <v>37.4571428571429</v>
      </c>
      <c r="AU113" s="47">
        <f t="shared" ref="AU113:AU119" si="168">AQ113*$AU$4/$AQ$4</f>
        <v>41.7285714285714</v>
      </c>
      <c r="AV113" s="47">
        <f t="shared" ref="AV113:AV119" si="169">AQ113*$AV$4/$AQ$4</f>
        <v>37.7857142857142</v>
      </c>
      <c r="AW113" s="47">
        <f t="shared" ref="AW113:AW119" si="170">AQ113*$AW$4/$AQ$4</f>
        <v>30.8857142857142</v>
      </c>
      <c r="AX113" s="64">
        <f t="shared" si="12"/>
        <v>190.571428571428</v>
      </c>
      <c r="AY113" s="64" t="e">
        <f t="shared" si="13"/>
        <v>#REF!</v>
      </c>
      <c r="BB113" s="69" t="e">
        <f t="shared" si="116"/>
        <v>#REF!</v>
      </c>
      <c r="BC113" s="69"/>
      <c r="BE113" s="70"/>
      <c r="BF113" s="95" t="e">
        <f t="shared" si="15"/>
        <v>#REF!</v>
      </c>
      <c r="BG113" s="65">
        <f t="shared" si="16"/>
        <v>23.9857142857142</v>
      </c>
      <c r="BH113" s="65">
        <f t="shared" si="17"/>
      </c>
      <c r="BI113" s="65" t="e">
        <f t="shared" si="18"/>
        <v>#REF!</v>
      </c>
      <c r="BJ113" s="65">
        <f t="shared" si="19"/>
        <v>18.7285714285714</v>
      </c>
      <c r="BK113" s="65">
        <f t="shared" si="20"/>
      </c>
      <c r="BL113" s="65" t="e">
        <f t="shared" si="21"/>
        <v>#REF!</v>
      </c>
      <c r="BM113" s="65">
        <f t="shared" si="22"/>
        <v>37.4571428571429</v>
      </c>
      <c r="BN113" s="65"/>
      <c r="BO113" s="65" t="e">
        <f t="shared" si="23"/>
        <v>#REF!</v>
      </c>
      <c r="BP113" s="65">
        <f t="shared" si="24"/>
        <v>41.7285714285714</v>
      </c>
      <c r="BQ113" s="65"/>
      <c r="BR113" s="65" t="e">
        <f t="shared" si="25"/>
        <v>#REF!</v>
      </c>
      <c r="BS113" s="65">
        <f t="shared" si="26"/>
        <v>37.7857142857142</v>
      </c>
      <c r="BT113" s="65"/>
      <c r="BU113" s="65" t="e">
        <f t="shared" si="27"/>
        <v>#REF!</v>
      </c>
      <c r="BV113" s="65">
        <f t="shared" si="28"/>
        <v>30.8857142857142</v>
      </c>
      <c r="BW113" s="65"/>
      <c r="BX113" s="65" t="e">
        <f t="shared" si="29"/>
        <v>#REF!</v>
      </c>
    </row>
    <row r="114" ht="14.0">
      <c r="A114" s="93" t="s">
        <v>179</v>
      </c>
      <c r="B114" s="93" t="s">
        <v>414</v>
      </c>
      <c r="C114" s="93" t="s">
        <v>415</v>
      </c>
      <c r="D114" s="93" t="s">
        <v>416</v>
      </c>
      <c r="E114" s="93">
        <v>0.0</v>
      </c>
      <c r="F114" s="93">
        <v>0.0</v>
      </c>
      <c r="G114" s="93">
        <v>0.0</v>
      </c>
      <c r="H114" s="93">
        <v>0.0</v>
      </c>
      <c r="I114" s="93">
        <v>0.0</v>
      </c>
      <c r="J114" s="93">
        <v>0.0</v>
      </c>
      <c r="K114" s="93">
        <v>0.0</v>
      </c>
      <c r="L114" s="93">
        <v>0.0</v>
      </c>
      <c r="M114" s="93">
        <v>0.0</v>
      </c>
      <c r="N114" s="93">
        <v>0.0</v>
      </c>
      <c r="O114" s="93">
        <v>0.0</v>
      </c>
      <c r="P114" s="93">
        <v>0.0</v>
      </c>
      <c r="Q114" s="93">
        <v>0.0</v>
      </c>
      <c r="R114" s="93">
        <v>0.0</v>
      </c>
      <c r="S114" s="93">
        <v>0.0</v>
      </c>
      <c r="T114" s="93">
        <v>0.0</v>
      </c>
      <c r="U114" s="93">
        <v>0.0</v>
      </c>
      <c r="V114" s="93">
        <v>0.0</v>
      </c>
      <c r="W114" s="93">
        <v>0.0</v>
      </c>
      <c r="X114" s="93">
        <v>0.0</v>
      </c>
      <c r="Y114" s="93">
        <v>8.0</v>
      </c>
      <c r="Z114" s="93">
        <v>72.0</v>
      </c>
      <c r="AA114" s="93">
        <v>78.0</v>
      </c>
      <c r="AB114" s="93">
        <v>35.0</v>
      </c>
      <c r="AC114" s="93">
        <v>30.0</v>
      </c>
      <c r="AD114" s="93">
        <v>75.0</v>
      </c>
      <c r="AE114" s="93">
        <v>81.0</v>
      </c>
      <c r="AF114" s="93">
        <v>75.0</v>
      </c>
      <c r="AG114" s="93">
        <v>39.0</v>
      </c>
      <c r="AH114" s="93">
        <v>30.0</v>
      </c>
      <c r="AI114" s="93">
        <v>36.0</v>
      </c>
      <c r="AJ114" s="93">
        <v>30.0</v>
      </c>
      <c r="AK114" s="93">
        <v>21.0</v>
      </c>
      <c r="AL114" s="93">
        <v>24.0</v>
      </c>
      <c r="AM114" s="93">
        <v>12.0</v>
      </c>
      <c r="AN114" s="93">
        <v>15.0</v>
      </c>
      <c r="AO114" s="69">
        <f t="shared" si="3"/>
        <v>468.0</v>
      </c>
      <c r="AP114" s="69">
        <f t="shared" si="4"/>
        <v>138.0</v>
      </c>
      <c r="AQ114" s="69">
        <f t="shared" si="5"/>
        <v>151.8</v>
      </c>
      <c r="AR114" s="47">
        <f t="shared" si="165"/>
        <v>23.9857142857142</v>
      </c>
      <c r="AS114" s="47">
        <f t="shared" si="166"/>
        <v>18.7285714285714</v>
      </c>
      <c r="AT114" s="47">
        <f t="shared" si="167"/>
        <v>37.4571428571429</v>
      </c>
      <c r="AU114" s="47">
        <f t="shared" si="168"/>
        <v>41.7285714285714</v>
      </c>
      <c r="AV114" s="47">
        <f t="shared" si="169"/>
        <v>37.7857142857142</v>
      </c>
      <c r="AW114" s="47">
        <f t="shared" si="170"/>
        <v>30.8857142857142</v>
      </c>
      <c r="AX114" s="64">
        <f t="shared" si="12"/>
        <v>190.571428571428</v>
      </c>
      <c r="AY114" s="64" t="e">
        <f t="shared" si="13"/>
        <v>#REF!</v>
      </c>
      <c r="BB114" s="69" t="e">
        <f t="shared" si="116"/>
        <v>#REF!</v>
      </c>
      <c r="BC114" s="69"/>
      <c r="BE114" s="70"/>
      <c r="BF114" s="95" t="e">
        <f t="shared" si="15"/>
        <v>#REF!</v>
      </c>
      <c r="BG114" s="65">
        <f t="shared" si="16"/>
        <v>23.9857142857142</v>
      </c>
      <c r="BH114" s="65">
        <f t="shared" si="17"/>
      </c>
      <c r="BI114" s="65" t="e">
        <f t="shared" si="18"/>
        <v>#REF!</v>
      </c>
      <c r="BJ114" s="65">
        <f t="shared" si="19"/>
        <v>18.7285714285714</v>
      </c>
      <c r="BK114" s="65">
        <f t="shared" si="20"/>
      </c>
      <c r="BL114" s="65" t="e">
        <f t="shared" si="21"/>
        <v>#REF!</v>
      </c>
      <c r="BM114" s="65">
        <f t="shared" si="22"/>
        <v>37.4571428571429</v>
      </c>
      <c r="BN114" s="65"/>
      <c r="BO114" s="65" t="e">
        <f t="shared" si="23"/>
        <v>#REF!</v>
      </c>
      <c r="BP114" s="65">
        <f t="shared" si="24"/>
        <v>41.7285714285714</v>
      </c>
      <c r="BQ114" s="65"/>
      <c r="BR114" s="65" t="e">
        <f t="shared" si="25"/>
        <v>#REF!</v>
      </c>
      <c r="BS114" s="65">
        <f t="shared" si="26"/>
        <v>37.7857142857142</v>
      </c>
      <c r="BT114" s="65"/>
      <c r="BU114" s="65" t="e">
        <f t="shared" si="27"/>
        <v>#REF!</v>
      </c>
      <c r="BV114" s="65">
        <f t="shared" si="28"/>
        <v>30.8857142857142</v>
      </c>
      <c r="BW114" s="65"/>
      <c r="BX114" s="65" t="e">
        <f t="shared" si="29"/>
        <v>#REF!</v>
      </c>
    </row>
    <row r="115" ht="14.0">
      <c r="A115" s="93" t="s">
        <v>179</v>
      </c>
      <c r="B115" s="93" t="s">
        <v>414</v>
      </c>
      <c r="C115" s="93" t="s">
        <v>417</v>
      </c>
      <c r="D115" s="93" t="s">
        <v>418</v>
      </c>
      <c r="E115" s="93">
        <v>0.0</v>
      </c>
      <c r="F115" s="93">
        <v>0.0</v>
      </c>
      <c r="G115" s="93">
        <v>0.0</v>
      </c>
      <c r="H115" s="93">
        <v>0.0</v>
      </c>
      <c r="I115" s="93">
        <v>0.0</v>
      </c>
      <c r="J115" s="93">
        <v>0.0</v>
      </c>
      <c r="K115" s="93">
        <v>0.0</v>
      </c>
      <c r="L115" s="93">
        <v>0.0</v>
      </c>
      <c r="M115" s="93">
        <v>0.0</v>
      </c>
      <c r="N115" s="93">
        <v>0.0</v>
      </c>
      <c r="O115" s="93">
        <v>0.0</v>
      </c>
      <c r="P115" s="93">
        <v>0.0</v>
      </c>
      <c r="Q115" s="93">
        <v>0.0</v>
      </c>
      <c r="R115" s="93">
        <v>0.0</v>
      </c>
      <c r="S115" s="93">
        <v>0.0</v>
      </c>
      <c r="T115" s="93">
        <v>0.0</v>
      </c>
      <c r="U115" s="93">
        <v>0.0</v>
      </c>
      <c r="V115" s="93">
        <v>0.0</v>
      </c>
      <c r="W115" s="93">
        <v>0.0</v>
      </c>
      <c r="X115" s="93">
        <v>0.0</v>
      </c>
      <c r="Y115" s="93">
        <v>8.0</v>
      </c>
      <c r="Z115" s="93">
        <v>66.0</v>
      </c>
      <c r="AA115" s="93">
        <v>45.0</v>
      </c>
      <c r="AB115" s="93">
        <v>41.0</v>
      </c>
      <c r="AC115" s="93">
        <v>39.0</v>
      </c>
      <c r="AD115" s="93">
        <v>99.0</v>
      </c>
      <c r="AE115" s="93">
        <v>78.0</v>
      </c>
      <c r="AF115" s="93">
        <v>66.0</v>
      </c>
      <c r="AG115" s="93">
        <v>45.0</v>
      </c>
      <c r="AH115" s="93">
        <v>42.0</v>
      </c>
      <c r="AI115" s="93">
        <v>63.0</v>
      </c>
      <c r="AJ115" s="93">
        <v>18.0</v>
      </c>
      <c r="AK115" s="93">
        <v>21.0</v>
      </c>
      <c r="AL115" s="93">
        <v>24.0</v>
      </c>
      <c r="AM115" s="93">
        <v>12.0</v>
      </c>
      <c r="AN115" s="93">
        <v>15.0</v>
      </c>
      <c r="AO115" s="69">
        <f t="shared" si="3"/>
        <v>522.0</v>
      </c>
      <c r="AP115" s="69">
        <f t="shared" si="4"/>
        <v>153.0</v>
      </c>
      <c r="AQ115" s="69">
        <f t="shared" si="5"/>
        <v>168.3</v>
      </c>
      <c r="AR115" s="47">
        <f t="shared" si="165"/>
        <v>26.5928571428571</v>
      </c>
      <c r="AS115" s="47">
        <f t="shared" si="166"/>
        <v>20.7642857142857</v>
      </c>
      <c r="AT115" s="47">
        <f t="shared" si="167"/>
        <v>41.5285714285714</v>
      </c>
      <c r="AU115" s="47">
        <f t="shared" si="168"/>
        <v>46.2642857142857</v>
      </c>
      <c r="AV115" s="47">
        <f t="shared" si="169"/>
        <v>41.8928571428571</v>
      </c>
      <c r="AW115" s="47">
        <f t="shared" si="170"/>
        <v>34.2428571428571</v>
      </c>
      <c r="AX115" s="64">
        <f t="shared" si="12"/>
        <v>211.285714285714</v>
      </c>
      <c r="AY115" s="64" t="e">
        <f t="shared" si="13"/>
        <v>#REF!</v>
      </c>
      <c r="BB115" s="69" t="e">
        <f t="shared" si="116"/>
        <v>#REF!</v>
      </c>
      <c r="BC115" s="69"/>
      <c r="BE115" s="70"/>
      <c r="BF115" s="95" t="e">
        <f t="shared" si="15"/>
        <v>#REF!</v>
      </c>
      <c r="BG115" s="65">
        <f t="shared" si="16"/>
        <v>26.5928571428571</v>
      </c>
      <c r="BH115" s="65">
        <f t="shared" si="17"/>
      </c>
      <c r="BI115" s="65" t="e">
        <f t="shared" si="18"/>
        <v>#REF!</v>
      </c>
      <c r="BJ115" s="65">
        <f t="shared" si="19"/>
        <v>20.7642857142857</v>
      </c>
      <c r="BK115" s="65">
        <f t="shared" si="20"/>
      </c>
      <c r="BL115" s="65" t="e">
        <f t="shared" si="21"/>
        <v>#REF!</v>
      </c>
      <c r="BM115" s="65">
        <f t="shared" si="22"/>
        <v>41.5285714285714</v>
      </c>
      <c r="BN115" s="65"/>
      <c r="BO115" s="65" t="e">
        <f t="shared" si="23"/>
        <v>#REF!</v>
      </c>
      <c r="BP115" s="65">
        <f t="shared" si="24"/>
        <v>46.2642857142857</v>
      </c>
      <c r="BQ115" s="65"/>
      <c r="BR115" s="65" t="e">
        <f t="shared" si="25"/>
        <v>#REF!</v>
      </c>
      <c r="BS115" s="65">
        <f t="shared" si="26"/>
        <v>41.8928571428571</v>
      </c>
      <c r="BT115" s="65"/>
      <c r="BU115" s="65" t="e">
        <f t="shared" si="27"/>
        <v>#REF!</v>
      </c>
      <c r="BV115" s="65">
        <f t="shared" si="28"/>
        <v>34.2428571428571</v>
      </c>
      <c r="BW115" s="65"/>
      <c r="BX115" s="65" t="e">
        <f t="shared" si="29"/>
        <v>#REF!</v>
      </c>
    </row>
    <row r="116" ht="14.0">
      <c r="A116" s="93" t="s">
        <v>179</v>
      </c>
      <c r="B116" s="93" t="s">
        <v>414</v>
      </c>
      <c r="C116" s="93" t="s">
        <v>419</v>
      </c>
      <c r="D116" s="93" t="s">
        <v>420</v>
      </c>
      <c r="E116" s="93">
        <v>0.0</v>
      </c>
      <c r="F116" s="93">
        <v>0.0</v>
      </c>
      <c r="G116" s="93">
        <v>0.0</v>
      </c>
      <c r="H116" s="93">
        <v>0.0</v>
      </c>
      <c r="I116" s="93">
        <v>0.0</v>
      </c>
      <c r="J116" s="93">
        <v>0.0</v>
      </c>
      <c r="K116" s="93">
        <v>0.0</v>
      </c>
      <c r="L116" s="93">
        <v>0.0</v>
      </c>
      <c r="M116" s="93">
        <v>0.0</v>
      </c>
      <c r="N116" s="93">
        <v>0.0</v>
      </c>
      <c r="O116" s="93">
        <v>0.0</v>
      </c>
      <c r="P116" s="93">
        <v>0.0</v>
      </c>
      <c r="Q116" s="93">
        <v>0.0</v>
      </c>
      <c r="R116" s="93">
        <v>0.0</v>
      </c>
      <c r="S116" s="93">
        <v>0.0</v>
      </c>
      <c r="T116" s="93">
        <v>0.0</v>
      </c>
      <c r="U116" s="93">
        <v>0.0</v>
      </c>
      <c r="V116" s="93">
        <v>0.0</v>
      </c>
      <c r="W116" s="93">
        <v>0.0</v>
      </c>
      <c r="X116" s="93">
        <v>0.0</v>
      </c>
      <c r="Y116" s="93">
        <v>14.0</v>
      </c>
      <c r="Z116" s="93">
        <v>165.0</v>
      </c>
      <c r="AA116" s="93">
        <v>105.0</v>
      </c>
      <c r="AB116" s="93">
        <v>119.0</v>
      </c>
      <c r="AC116" s="93">
        <v>60.0</v>
      </c>
      <c r="AD116" s="93">
        <v>108.0</v>
      </c>
      <c r="AE116" s="93">
        <v>194.0</v>
      </c>
      <c r="AF116" s="93">
        <v>159.0</v>
      </c>
      <c r="AG116" s="93">
        <v>90.0</v>
      </c>
      <c r="AH116" s="93">
        <v>57.0</v>
      </c>
      <c r="AI116" s="93">
        <v>102.0</v>
      </c>
      <c r="AJ116" s="93">
        <v>54.0</v>
      </c>
      <c r="AK116" s="93">
        <v>60.0</v>
      </c>
      <c r="AL116" s="93">
        <v>45.0</v>
      </c>
      <c r="AM116" s="93">
        <v>51.0</v>
      </c>
      <c r="AN116" s="93">
        <v>27.0</v>
      </c>
      <c r="AO116" s="69">
        <f t="shared" si="3"/>
        <v>1007.0</v>
      </c>
      <c r="AP116" s="69">
        <f t="shared" si="4"/>
        <v>339.0</v>
      </c>
      <c r="AQ116" s="69">
        <f t="shared" si="5"/>
        <v>372.9</v>
      </c>
      <c r="AR116" s="47">
        <f t="shared" si="165"/>
        <v>58.9214285714286</v>
      </c>
      <c r="AS116" s="47">
        <f t="shared" si="166"/>
        <v>46.0071428571429</v>
      </c>
      <c r="AT116" s="47">
        <f t="shared" si="167"/>
        <v>92.0142857142857</v>
      </c>
      <c r="AU116" s="47">
        <f t="shared" si="168"/>
        <v>102.507142857142</v>
      </c>
      <c r="AV116" s="47">
        <f t="shared" si="169"/>
        <v>92.8214285714286</v>
      </c>
      <c r="AW116" s="47">
        <f t="shared" si="170"/>
        <v>75.8714285714286</v>
      </c>
      <c r="AX116" s="64">
        <f t="shared" si="12"/>
        <v>468.142857142856</v>
      </c>
      <c r="AY116" s="64" t="e">
        <f t="shared" si="13"/>
        <v>#REF!</v>
      </c>
      <c r="BB116" s="69" t="e">
        <f t="shared" si="116"/>
        <v>#REF!</v>
      </c>
      <c r="BC116" s="69"/>
      <c r="BE116" s="70"/>
      <c r="BF116" s="95" t="e">
        <f t="shared" si="15"/>
        <v>#REF!</v>
      </c>
      <c r="BG116" s="65">
        <f t="shared" si="16"/>
        <v>58.9214285714286</v>
      </c>
      <c r="BH116" s="65">
        <f t="shared" si="17"/>
      </c>
      <c r="BI116" s="65" t="e">
        <f t="shared" si="18"/>
        <v>#REF!</v>
      </c>
      <c r="BJ116" s="65">
        <f t="shared" si="19"/>
        <v>46.0071428571429</v>
      </c>
      <c r="BK116" s="65">
        <f t="shared" si="20"/>
      </c>
      <c r="BL116" s="65" t="e">
        <f t="shared" si="21"/>
        <v>#REF!</v>
      </c>
      <c r="BM116" s="65">
        <f t="shared" si="22"/>
        <v>92.0142857142857</v>
      </c>
      <c r="BN116" s="65"/>
      <c r="BO116" s="65" t="e">
        <f t="shared" si="23"/>
        <v>#REF!</v>
      </c>
      <c r="BP116" s="65">
        <f t="shared" si="24"/>
        <v>102.507142857142</v>
      </c>
      <c r="BQ116" s="65"/>
      <c r="BR116" s="65" t="e">
        <f t="shared" si="25"/>
        <v>#REF!</v>
      </c>
      <c r="BS116" s="65">
        <f t="shared" si="26"/>
        <v>92.8214285714286</v>
      </c>
      <c r="BT116" s="65"/>
      <c r="BU116" s="65" t="e">
        <f t="shared" si="27"/>
        <v>#REF!</v>
      </c>
      <c r="BV116" s="65">
        <f t="shared" si="28"/>
        <v>75.8714285714286</v>
      </c>
      <c r="BW116" s="65"/>
      <c r="BX116" s="65" t="e">
        <f t="shared" si="29"/>
        <v>#REF!</v>
      </c>
    </row>
    <row r="117" ht="14.0">
      <c r="A117" s="93" t="s">
        <v>179</v>
      </c>
      <c r="B117" s="93" t="s">
        <v>414</v>
      </c>
      <c r="C117" s="93" t="s">
        <v>421</v>
      </c>
      <c r="D117" s="93" t="s">
        <v>422</v>
      </c>
      <c r="E117" s="93">
        <v>0.0</v>
      </c>
      <c r="F117" s="93">
        <v>0.0</v>
      </c>
      <c r="G117" s="93">
        <v>0.0</v>
      </c>
      <c r="H117" s="93">
        <v>0.0</v>
      </c>
      <c r="I117" s="93">
        <v>0.0</v>
      </c>
      <c r="J117" s="93">
        <v>0.0</v>
      </c>
      <c r="K117" s="93">
        <v>0.0</v>
      </c>
      <c r="L117" s="93">
        <v>0.0</v>
      </c>
      <c r="M117" s="93">
        <v>0.0</v>
      </c>
      <c r="N117" s="93">
        <v>0.0</v>
      </c>
      <c r="O117" s="93">
        <v>0.0</v>
      </c>
      <c r="P117" s="93">
        <v>0.0</v>
      </c>
      <c r="Q117" s="93">
        <v>0.0</v>
      </c>
      <c r="R117" s="93">
        <v>0.0</v>
      </c>
      <c r="S117" s="93">
        <v>0.0</v>
      </c>
      <c r="T117" s="93">
        <v>0.0</v>
      </c>
      <c r="U117" s="93">
        <v>0.0</v>
      </c>
      <c r="V117" s="93">
        <v>0.0</v>
      </c>
      <c r="W117" s="93">
        <v>0.0</v>
      </c>
      <c r="X117" s="93">
        <v>0.0</v>
      </c>
      <c r="Y117" s="93">
        <v>5.0</v>
      </c>
      <c r="Z117" s="93">
        <v>67.0</v>
      </c>
      <c r="AA117" s="93">
        <v>54.0</v>
      </c>
      <c r="AB117" s="93">
        <v>35.0</v>
      </c>
      <c r="AC117" s="93">
        <v>36.0</v>
      </c>
      <c r="AD117" s="93">
        <v>72.0</v>
      </c>
      <c r="AE117" s="93">
        <v>84.0</v>
      </c>
      <c r="AF117" s="93">
        <v>60.0</v>
      </c>
      <c r="AG117" s="93">
        <v>36.0</v>
      </c>
      <c r="AH117" s="93">
        <v>33.0</v>
      </c>
      <c r="AI117" s="93">
        <v>39.0</v>
      </c>
      <c r="AJ117" s="93">
        <v>15.0</v>
      </c>
      <c r="AK117" s="93">
        <v>27.0</v>
      </c>
      <c r="AL117" s="93">
        <v>31.0</v>
      </c>
      <c r="AM117" s="93">
        <v>15.0</v>
      </c>
      <c r="AN117" s="93">
        <v>9.0</v>
      </c>
      <c r="AO117" s="69">
        <f t="shared" si="3"/>
        <v>457.0</v>
      </c>
      <c r="AP117" s="69">
        <f t="shared" si="4"/>
        <v>136.0</v>
      </c>
      <c r="AQ117" s="69">
        <f t="shared" si="5"/>
        <v>149.6</v>
      </c>
      <c r="AR117" s="47">
        <f t="shared" si="165"/>
        <v>23.6380952380952</v>
      </c>
      <c r="AS117" s="47">
        <f t="shared" si="166"/>
        <v>18.457142857142</v>
      </c>
      <c r="AT117" s="47">
        <f t="shared" si="167"/>
        <v>36.9142857142857</v>
      </c>
      <c r="AU117" s="47">
        <f t="shared" si="168"/>
        <v>41.1238095238095</v>
      </c>
      <c r="AV117" s="47">
        <f t="shared" si="169"/>
        <v>37.2380952380952</v>
      </c>
      <c r="AW117" s="47">
        <f t="shared" si="170"/>
        <v>30.4380952380952</v>
      </c>
      <c r="AX117" s="64">
        <f t="shared" si="12"/>
        <v>187.809523809522</v>
      </c>
      <c r="AY117" s="64" t="e">
        <f t="shared" si="13"/>
        <v>#REF!</v>
      </c>
      <c r="BB117" s="69" t="e">
        <f t="shared" si="116"/>
        <v>#REF!</v>
      </c>
      <c r="BC117" s="69"/>
      <c r="BE117" s="70"/>
      <c r="BF117" s="95" t="e">
        <f t="shared" si="15"/>
        <v>#REF!</v>
      </c>
      <c r="BG117" s="65">
        <f t="shared" si="16"/>
        <v>23.6380952380952</v>
      </c>
      <c r="BH117" s="65">
        <f t="shared" si="17"/>
      </c>
      <c r="BI117" s="65" t="e">
        <f t="shared" si="18"/>
        <v>#REF!</v>
      </c>
      <c r="BJ117" s="65">
        <f t="shared" si="19"/>
        <v>18.457142857142</v>
      </c>
      <c r="BK117" s="65">
        <f t="shared" si="20"/>
      </c>
      <c r="BL117" s="65" t="e">
        <f t="shared" si="21"/>
        <v>#REF!</v>
      </c>
      <c r="BM117" s="65">
        <f t="shared" si="22"/>
        <v>36.9142857142857</v>
      </c>
      <c r="BN117" s="65"/>
      <c r="BO117" s="65" t="e">
        <f t="shared" si="23"/>
        <v>#REF!</v>
      </c>
      <c r="BP117" s="65">
        <f t="shared" si="24"/>
        <v>41.1238095238095</v>
      </c>
      <c r="BQ117" s="65"/>
      <c r="BR117" s="65" t="e">
        <f t="shared" si="25"/>
        <v>#REF!</v>
      </c>
      <c r="BS117" s="65">
        <f t="shared" si="26"/>
        <v>37.2380952380952</v>
      </c>
      <c r="BT117" s="65"/>
      <c r="BU117" s="65" t="e">
        <f t="shared" si="27"/>
        <v>#REF!</v>
      </c>
      <c r="BV117" s="65">
        <f t="shared" si="28"/>
        <v>30.4380952380952</v>
      </c>
      <c r="BW117" s="65"/>
      <c r="BX117" s="65" t="e">
        <f t="shared" si="29"/>
        <v>#REF!</v>
      </c>
    </row>
    <row r="118" ht="14.0">
      <c r="A118" s="93" t="s">
        <v>179</v>
      </c>
      <c r="B118" s="93" t="s">
        <v>414</v>
      </c>
      <c r="C118" s="93" t="s">
        <v>423</v>
      </c>
      <c r="D118" s="93" t="s">
        <v>424</v>
      </c>
      <c r="E118" s="93">
        <v>0.0</v>
      </c>
      <c r="F118" s="93">
        <v>0.0</v>
      </c>
      <c r="G118" s="93">
        <v>0.0</v>
      </c>
      <c r="H118" s="93">
        <v>0.0</v>
      </c>
      <c r="I118" s="93">
        <v>0.0</v>
      </c>
      <c r="J118" s="93">
        <v>0.0</v>
      </c>
      <c r="K118" s="93">
        <v>0.0</v>
      </c>
      <c r="L118" s="93">
        <v>0.0</v>
      </c>
      <c r="M118" s="93">
        <v>0.0</v>
      </c>
      <c r="N118" s="93">
        <v>0.0</v>
      </c>
      <c r="O118" s="93">
        <v>0.0</v>
      </c>
      <c r="P118" s="93">
        <v>0.0</v>
      </c>
      <c r="Q118" s="93">
        <v>0.0</v>
      </c>
      <c r="R118" s="93">
        <v>0.0</v>
      </c>
      <c r="S118" s="93">
        <v>0.0</v>
      </c>
      <c r="T118" s="93">
        <v>0.0</v>
      </c>
      <c r="U118" s="93">
        <v>0.0</v>
      </c>
      <c r="V118" s="93">
        <v>0.0</v>
      </c>
      <c r="W118" s="93">
        <v>0.0</v>
      </c>
      <c r="X118" s="93">
        <v>0.0</v>
      </c>
      <c r="Y118" s="93">
        <v>20.0</v>
      </c>
      <c r="Z118" s="93">
        <v>117.0</v>
      </c>
      <c r="AA118" s="93">
        <v>75.0</v>
      </c>
      <c r="AB118" s="93">
        <v>101.0</v>
      </c>
      <c r="AC118" s="93">
        <v>51.0</v>
      </c>
      <c r="AD118" s="93">
        <v>116.0</v>
      </c>
      <c r="AE118" s="93">
        <v>44.0</v>
      </c>
      <c r="AF118" s="93">
        <v>135.0</v>
      </c>
      <c r="AG118" s="93">
        <v>48.0</v>
      </c>
      <c r="AH118" s="93">
        <v>32.0</v>
      </c>
      <c r="AI118" s="93">
        <v>45.0</v>
      </c>
      <c r="AJ118" s="93">
        <v>27.0</v>
      </c>
      <c r="AK118" s="93">
        <v>30.0</v>
      </c>
      <c r="AL118" s="93">
        <v>30.0</v>
      </c>
      <c r="AM118" s="93">
        <v>9.0</v>
      </c>
      <c r="AN118" s="93">
        <v>21.0</v>
      </c>
      <c r="AO118" s="69">
        <f t="shared" si="3"/>
        <v>588.0</v>
      </c>
      <c r="AP118" s="69">
        <f t="shared" si="4"/>
        <v>162.0</v>
      </c>
      <c r="AQ118" s="69">
        <f t="shared" si="5"/>
        <v>178.2</v>
      </c>
      <c r="AR118" s="47">
        <f t="shared" si="165"/>
        <v>28.1571428571429</v>
      </c>
      <c r="AS118" s="47">
        <f t="shared" si="166"/>
        <v>21.9857142857142</v>
      </c>
      <c r="AT118" s="47">
        <f t="shared" si="167"/>
        <v>43.971428571429</v>
      </c>
      <c r="AU118" s="47">
        <f t="shared" si="168"/>
        <v>48.9857142857142</v>
      </c>
      <c r="AV118" s="47">
        <f t="shared" si="169"/>
        <v>44.3571428571429</v>
      </c>
      <c r="AW118" s="47">
        <f t="shared" si="170"/>
        <v>36.2571428571429</v>
      </c>
      <c r="AX118" s="64">
        <f t="shared" si="12"/>
        <v>223.714285714286</v>
      </c>
      <c r="AY118" s="64" t="e">
        <f t="shared" si="13"/>
        <v>#REF!</v>
      </c>
      <c r="BB118" s="69" t="e">
        <f t="shared" si="116"/>
        <v>#REF!</v>
      </c>
      <c r="BC118" s="69"/>
      <c r="BE118" s="70"/>
      <c r="BF118" s="95" t="e">
        <f t="shared" si="15"/>
        <v>#REF!</v>
      </c>
      <c r="BG118" s="65">
        <f t="shared" si="16"/>
        <v>28.1571428571429</v>
      </c>
      <c r="BH118" s="65">
        <f t="shared" si="17"/>
      </c>
      <c r="BI118" s="65" t="e">
        <f t="shared" si="18"/>
        <v>#REF!</v>
      </c>
      <c r="BJ118" s="65">
        <f t="shared" si="19"/>
        <v>21.9857142857142</v>
      </c>
      <c r="BK118" s="65">
        <f t="shared" si="20"/>
      </c>
      <c r="BL118" s="65" t="e">
        <f t="shared" si="21"/>
        <v>#REF!</v>
      </c>
      <c r="BM118" s="65">
        <f t="shared" si="22"/>
        <v>43.971428571429</v>
      </c>
      <c r="BN118" s="65"/>
      <c r="BO118" s="65" t="e">
        <f t="shared" si="23"/>
        <v>#REF!</v>
      </c>
      <c r="BP118" s="65">
        <f t="shared" si="24"/>
        <v>48.9857142857142</v>
      </c>
      <c r="BQ118" s="65"/>
      <c r="BR118" s="65" t="e">
        <f t="shared" si="25"/>
        <v>#REF!</v>
      </c>
      <c r="BS118" s="65">
        <f t="shared" si="26"/>
        <v>44.3571428571429</v>
      </c>
      <c r="BT118" s="65"/>
      <c r="BU118" s="65" t="e">
        <f t="shared" si="27"/>
        <v>#REF!</v>
      </c>
      <c r="BV118" s="65">
        <f t="shared" si="28"/>
        <v>36.2571428571429</v>
      </c>
      <c r="BW118" s="65"/>
      <c r="BX118" s="65" t="e">
        <f t="shared" si="29"/>
        <v>#REF!</v>
      </c>
    </row>
    <row r="119" ht="14.0">
      <c r="A119" s="93" t="s">
        <v>179</v>
      </c>
      <c r="B119" s="93" t="s">
        <v>414</v>
      </c>
      <c r="C119" s="93" t="s">
        <v>425</v>
      </c>
      <c r="D119" s="93" t="s">
        <v>426</v>
      </c>
      <c r="E119" s="93">
        <v>0.0</v>
      </c>
      <c r="F119" s="93">
        <v>0.0</v>
      </c>
      <c r="G119" s="93">
        <v>0.0</v>
      </c>
      <c r="H119" s="93">
        <v>0.0</v>
      </c>
      <c r="I119" s="93">
        <v>0.0</v>
      </c>
      <c r="J119" s="93">
        <v>0.0</v>
      </c>
      <c r="K119" s="93">
        <v>0.0</v>
      </c>
      <c r="L119" s="93">
        <v>0.0</v>
      </c>
      <c r="M119" s="93">
        <v>0.0</v>
      </c>
      <c r="N119" s="93">
        <v>0.0</v>
      </c>
      <c r="O119" s="93">
        <v>0.0</v>
      </c>
      <c r="P119" s="93">
        <v>0.0</v>
      </c>
      <c r="Q119" s="93">
        <v>0.0</v>
      </c>
      <c r="R119" s="93">
        <v>0.0</v>
      </c>
      <c r="S119" s="93">
        <v>0.0</v>
      </c>
      <c r="T119" s="93">
        <v>0.0</v>
      </c>
      <c r="U119" s="93">
        <v>0.0</v>
      </c>
      <c r="V119" s="93">
        <v>0.0</v>
      </c>
      <c r="W119" s="93">
        <v>0.0</v>
      </c>
      <c r="X119" s="93">
        <v>0.0</v>
      </c>
      <c r="Y119" s="93">
        <v>9.0</v>
      </c>
      <c r="Z119" s="93">
        <v>123.0</v>
      </c>
      <c r="AA119" s="93">
        <v>57.0</v>
      </c>
      <c r="AB119" s="93">
        <v>83.0</v>
      </c>
      <c r="AC119" s="93">
        <v>57.0</v>
      </c>
      <c r="AD119" s="93">
        <v>139.0</v>
      </c>
      <c r="AE119" s="93">
        <v>75.0</v>
      </c>
      <c r="AF119" s="93">
        <v>155.0</v>
      </c>
      <c r="AG119" s="93">
        <v>57.0</v>
      </c>
      <c r="AH119" s="93">
        <v>30.0</v>
      </c>
      <c r="AI119" s="93">
        <v>57.0</v>
      </c>
      <c r="AJ119" s="93">
        <v>14.0</v>
      </c>
      <c r="AK119" s="93">
        <v>21.0</v>
      </c>
      <c r="AL119" s="93">
        <v>24.0</v>
      </c>
      <c r="AM119" s="93">
        <v>18.0</v>
      </c>
      <c r="AN119" s="93">
        <v>12.0</v>
      </c>
      <c r="AO119" s="69">
        <f t="shared" si="3"/>
        <v>659.0</v>
      </c>
      <c r="AP119" s="69">
        <f t="shared" si="4"/>
        <v>146.0</v>
      </c>
      <c r="AQ119" s="69">
        <f t="shared" si="5"/>
        <v>160.6</v>
      </c>
      <c r="AR119" s="47">
        <f t="shared" si="165"/>
        <v>25.3761904761904</v>
      </c>
      <c r="AS119" s="47">
        <f t="shared" si="166"/>
        <v>19.8142857142857</v>
      </c>
      <c r="AT119" s="47">
        <f t="shared" si="167"/>
        <v>39.6285714285714</v>
      </c>
      <c r="AU119" s="47">
        <f t="shared" si="168"/>
        <v>44.147619047619</v>
      </c>
      <c r="AV119" s="47">
        <f t="shared" si="169"/>
        <v>39.9761904761904</v>
      </c>
      <c r="AW119" s="47">
        <f t="shared" si="170"/>
        <v>32.6761904761904</v>
      </c>
      <c r="AX119" s="64">
        <f t="shared" si="12"/>
        <v>201.619047619047</v>
      </c>
      <c r="AY119" s="64" t="e">
        <f t="shared" si="13"/>
        <v>#REF!</v>
      </c>
      <c r="BB119" s="69" t="e">
        <f t="shared" si="116"/>
        <v>#REF!</v>
      </c>
      <c r="BC119" s="69"/>
      <c r="BE119" s="70"/>
      <c r="BF119" s="95" t="e">
        <f t="shared" si="15"/>
        <v>#REF!</v>
      </c>
      <c r="BG119" s="65">
        <f t="shared" si="16"/>
        <v>25.3761904761904</v>
      </c>
      <c r="BH119" s="65">
        <f t="shared" si="17"/>
      </c>
      <c r="BI119" s="65" t="e">
        <f t="shared" si="18"/>
        <v>#REF!</v>
      </c>
      <c r="BJ119" s="65">
        <f t="shared" si="19"/>
        <v>19.8142857142857</v>
      </c>
      <c r="BK119" s="65">
        <f t="shared" si="20"/>
      </c>
      <c r="BL119" s="65" t="e">
        <f t="shared" si="21"/>
        <v>#REF!</v>
      </c>
      <c r="BM119" s="65">
        <f t="shared" si="22"/>
        <v>39.6285714285714</v>
      </c>
      <c r="BN119" s="65"/>
      <c r="BO119" s="65" t="e">
        <f t="shared" si="23"/>
        <v>#REF!</v>
      </c>
      <c r="BP119" s="65">
        <f t="shared" si="24"/>
        <v>44.147619047619</v>
      </c>
      <c r="BQ119" s="65"/>
      <c r="BR119" s="65" t="e">
        <f t="shared" si="25"/>
        <v>#REF!</v>
      </c>
      <c r="BS119" s="65">
        <f t="shared" si="26"/>
        <v>39.9761904761904</v>
      </c>
      <c r="BT119" s="65"/>
      <c r="BU119" s="65" t="e">
        <f t="shared" si="27"/>
        <v>#REF!</v>
      </c>
      <c r="BV119" s="65">
        <f t="shared" si="28"/>
        <v>32.6761904761904</v>
      </c>
      <c r="BW119" s="65"/>
      <c r="BX119" s="65" t="e">
        <f t="shared" si="29"/>
        <v>#REF!</v>
      </c>
    </row>
    <row r="120">
      <c r="BC120" s="69"/>
      <c r="BE120" s="70"/>
    </row>
    <row r="261983">
      <c r="BC261983" s="69"/>
      <c r="BE261983" s="70"/>
    </row>
    <row r="261984">
      <c r="BC261984" s="69"/>
      <c r="BE261984" s="70"/>
    </row>
    <row r="261985">
      <c r="BC261985" s="69"/>
      <c r="BE261985" s="70"/>
    </row>
    <row r="261986">
      <c r="BC261986" s="69"/>
      <c r="BE261986" s="70"/>
    </row>
    <row r="261987">
      <c r="BC261987" s="69"/>
      <c r="BE261987" s="70"/>
    </row>
    <row r="261988">
      <c r="BC261988" s="69"/>
      <c r="BE261988" s="70"/>
    </row>
    <row r="261989">
      <c r="BC261989" s="69"/>
      <c r="BE261989" s="70"/>
    </row>
    <row r="261990">
      <c r="BE261990" s="70"/>
    </row>
    <row r="261991">
      <c r="BE261991" s="70"/>
    </row>
    <row r="261992">
      <c r="BE261992" s="70"/>
    </row>
    <row r="261993">
      <c r="BE261993" s="70"/>
    </row>
    <row r="261994">
      <c r="BE261994" s="70"/>
    </row>
    <row r="261995">
      <c r="BE261995" s="70"/>
    </row>
    <row r="261996">
      <c r="BE261996" s="70"/>
    </row>
    <row r="261997">
      <c r="BE261997" s="70"/>
    </row>
    <row r="261998">
      <c r="BE261998" s="70"/>
    </row>
    <row r="261999">
      <c r="BE261999" s="70"/>
    </row>
    <row r="262000">
      <c r="BE262000" s="70"/>
    </row>
    <row r="262001">
      <c r="BE262001" s="70"/>
    </row>
    <row r="262002">
      <c r="BE262002" s="70"/>
    </row>
    <row r="262003">
      <c r="BE262003" s="70"/>
    </row>
    <row r="262004">
      <c r="BE262004" s="70"/>
    </row>
    <row r="262005">
      <c r="BE262005" s="70"/>
    </row>
    <row r="262006">
      <c r="BE262006" s="70"/>
    </row>
    <row r="262007">
      <c r="BE262007" s="70"/>
    </row>
    <row r="262008">
      <c r="BE262008" s="70"/>
    </row>
    <row r="262009">
      <c r="BE262009" s="70"/>
    </row>
    <row r="262010">
      <c r="BE262010" s="70"/>
    </row>
    <row r="262011">
      <c r="BE262011" s="70"/>
    </row>
    <row r="262012">
      <c r="BE262012" s="70"/>
    </row>
    <row r="262013">
      <c r="BE262013" s="70"/>
    </row>
    <row r="262014">
      <c r="BE262014" s="70"/>
    </row>
    <row r="262015">
      <c r="BE262015" s="70"/>
    </row>
    <row r="262016">
      <c r="BE262016" s="70"/>
    </row>
    <row r="262017">
      <c r="BE262017" s="70"/>
    </row>
    <row r="262018">
      <c r="BE262018" s="70"/>
    </row>
    <row r="262019">
      <c r="BE262019" s="70"/>
    </row>
    <row r="262020">
      <c r="BE262020" s="70"/>
    </row>
    <row r="262021">
      <c r="BE262021" s="70"/>
    </row>
    <row r="262022">
      <c r="BE262022" s="70"/>
    </row>
  </sheetData>
  <mergeCells count="6">
    <mergeCell ref="BM5:BO5"/>
    <mergeCell ref="BP5:BR5"/>
    <mergeCell ref="BS5:BU5"/>
    <mergeCell ref="BV5:BX5"/>
    <mergeCell ref="BG5:BI5"/>
    <mergeCell ref="BJ5:BL5"/>
  </mergeCells>
  <conditionalFormatting sqref="C1:C4 C7:C261983">
    <cfRule dxfId="1" operator="containsText" type="containsText" priority="1" text="set up">
      <formula>NOT(ISERROR(SEARCH("set up",C1)))</formula>
    </cfRule>
  </conditionalFormatting>
  <conditionalFormatting sqref="BC1:BC4 BC7:BC13 BC15:BC15 BA83:BB83 BC34:BC34 BC36:BC36 BC38:BC40 BC49:BC49 BC68:BC71 BC75:BC75 BC84:BC84 BC86:BC86 BC88:BC88 BC106:BC261983">
    <cfRule dxfId="2" operator="lessThan" type="cellIs" priority="2">
      <formula>0</formula>
    </cfRule>
  </conditionalFormatting>
  <conditionalFormatting sqref="C1:C4 C7:C262021">
    <cfRule dxfId="1" operator="containsText" type="containsText" priority="3" text="SET UP">
      <formula>NOT(ISERROR(SEARCH("SET UP",C1)))</formula>
    </cfRule>
  </conditionalFormatting>
  <conditionalFormatting sqref="C5:C6">
    <cfRule dxfId="1" operator="containsText" type="containsText" priority="4" text="set up">
      <formula>NOT(ISERROR(SEARCH("set up",C5)))</formula>
    </cfRule>
  </conditionalFormatting>
  <conditionalFormatting sqref="BB5:BB6">
    <cfRule dxfId="2" operator="lessThan" type="cellIs" priority="5">
      <formula>0</formula>
    </cfRule>
  </conditionalFormatting>
  <conditionalFormatting sqref="C5:C6">
    <cfRule dxfId="1" operator="containsText" type="containsText" priority="6" text="SET UP">
      <formula>NOT(ISERROR(SEARCH("SET UP",C5)))</formula>
    </cfRule>
  </conditionalFormatting>
  <conditionalFormatting sqref="C5:C6">
    <cfRule dxfId="1" operator="containsText" type="containsText" priority="7" text="starter pack">
      <formula>NOT(ISERROR(SEARCH("starter pack",C5)))</formula>
    </cfRule>
  </conditionalFormatting>
  <conditionalFormatting sqref="BD5:BD6">
    <cfRule dxfId="4" operator="greaterThan" type="cellIs" priority="8">
      <formula>0</formula>
    </cfRule>
  </conditionalFormatting>
  <conditionalFormatting sqref="C5:C6">
    <cfRule dxfId="5" operator="containsText" type="containsText" priority="9" text="CDU">
      <formula>NOT(ISERROR(SEARCH("CDU",C5)))</formula>
    </cfRule>
  </conditionalFormatting>
  <conditionalFormatting sqref="C5:C6">
    <cfRule dxfId="5" operator="containsText" type="containsText" priority="10" text="DISPLAY">
      <formula>NOT(ISERROR(SEARCH("DISPLAY",C5)))</formula>
    </cfRule>
  </conditionalFormatting>
  <conditionalFormatting sqref="C1:C262021">
    <cfRule dxfId="5" operator="containsText" type="containsText" priority="11" text="Australian Natives">
      <formula>NOT(ISERROR(SEARCH("Australian Natives",C1)))</formula>
    </cfRule>
  </conditionalFormatting>
  <conditionalFormatting sqref="C1:C262021">
    <cfRule dxfId="7" operator="containsText" type="containsText" priority="12" text="Golden Wattle">
      <formula>NOT(ISERROR(SEARCH("Golden Wattle",C1)))</formula>
    </cfRule>
  </conditionalFormatting>
  <conditionalFormatting sqref="C1:C262021">
    <cfRule dxfId="1" operator="containsText" type="containsText" priority="13" text="set up">
      <formula>NOT(ISERROR(SEARCH("set up",C1)))</formula>
    </cfRule>
  </conditionalFormatting>
  <conditionalFormatting sqref="C1:C262021">
    <cfRule dxfId="1" operator="containsText" type="containsText" priority="14" text="setup">
      <formula>NOT(ISERROR(SEARCH("setup",C1)))</formula>
    </cfRule>
  </conditionalFormatting>
  <conditionalFormatting sqref="C1:C262021">
    <cfRule dxfId="1" operator="containsText" type="containsText" priority="15" text="starter pack">
      <formula>NOT(ISERROR(SEARCH("starter pack",C1)))</formula>
    </cfRule>
  </conditionalFormatting>
  <conditionalFormatting sqref="AC7:AN119">
    <cfRule dxfId="8" operator="lessThanOrEqual" type="cellIs" priority="16">
      <formula>0</formula>
    </cfRule>
  </conditionalFormatting>
  <conditionalFormatting sqref="BB7:BB13 BB15:BB29 BB31:BB82 BB84:BB119">
    <cfRule dxfId="3" operator="lessThanOrEqual" type="cellIs" priority="17">
      <formula>0</formula>
    </cfRule>
  </conditionalFormatting>
  <conditionalFormatting sqref="BF7:BX119">
    <cfRule dxfId="2" operator="lessThan" type="cellIs" priority="18">
      <formula>0</formula>
    </cfRule>
  </conditionalFormatting>
  <extLst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BX50"/>
  <sheetViews>
    <sheetView workbookViewId="0">
      <pane xSplit="4" ySplit="6" topLeftCell="E7" state="frozen"/>
    </sheetView>
  </sheetViews>
  <sheetFormatPr defaultRowHeight="14.0" customHeight="1"/>
  <cols>
    <col min="1" max="1" style="47" width="24.77"/>
    <col min="2" max="2" style="47" width="16.42"/>
    <col min="3" max="3" style="47" width="39.88"/>
    <col min="4" max="4" style="47" width="9.0"/>
    <col min="5" max="5" hidden="1" style="47" width="0.0" outlineLevel="2"/>
    <col min="6" max="6" hidden="1" style="47" width="0.0" outlineLevel="2"/>
    <col min="7" max="7" hidden="1" style="47" width="0.0" outlineLevel="2"/>
    <col min="8" max="8" hidden="1" style="47" width="0.0" outlineLevel="2"/>
    <col min="9" max="10" hidden="1" style="47" width="0.0" outlineLevel="2"/>
    <col min="11" max="11" hidden="1" style="47" width="0.0" outlineLevel="2"/>
    <col min="12" max="12" hidden="1" style="47" width="0.0" outlineLevel="2"/>
    <col min="13" max="13" hidden="1" style="47" width="0.0" outlineLevel="2"/>
    <col min="14" max="14" hidden="1" style="47" width="0.0" outlineLevel="2"/>
    <col min="15" max="15" hidden="1" style="47" width="0.0" outlineLevel="2"/>
    <col min="16" max="16" hidden="1" style="47" width="0.0" outlineLevel="2"/>
    <col min="17" max="17" hidden="1" style="47" width="0.0" outlineLevel="1"/>
    <col min="18" max="18" hidden="1" style="47" width="0.0" outlineLevel="1"/>
    <col min="19" max="19" hidden="1" style="47" width="0.0" outlineLevel="1"/>
    <col min="20" max="20" hidden="1" style="47" width="0.0" outlineLevel="1"/>
    <col min="21" max="22" hidden="1" style="47" width="0.0" outlineLevel="1"/>
    <col min="23" max="23" hidden="1" style="47" width="0.0" outlineLevel="1"/>
    <col min="24" max="24" hidden="1" style="47" width="0.0" outlineLevel="1"/>
    <col min="25" max="25" hidden="1" style="47" width="0.0" outlineLevel="1"/>
    <col min="26" max="26" hidden="1" style="47" width="0.0" outlineLevel="1"/>
    <col min="27" max="27" hidden="1" style="47" width="0.0" outlineLevel="1"/>
    <col min="28" max="28" hidden="1" style="47" width="0.0" outlineLevel="1"/>
    <col min="29" max="29" style="47" width="7.81" collapsed="1"/>
    <col min="30" max="30" style="47" width="7.55"/>
    <col min="31" max="31" style="47" width="8.08"/>
    <col min="32" max="32" style="47" width="7.94"/>
    <col min="33" max="34" style="47" width="7.68"/>
    <col min="35" max="35" style="47" width="8.08"/>
    <col min="36" max="36" style="47" width="7.68"/>
    <col min="37" max="37" style="47" width="8.34"/>
    <col min="38" max="38" style="47" width="7.68"/>
    <col min="39" max="39" style="47" width="7.15"/>
    <col min="40" max="40" style="47" width="8.08"/>
    <col min="41" max="42" style="64" width="10.46"/>
    <col min="43" max="43" style="69" width="10.46"/>
    <col min="44" max="49" style="47" width="8.08"/>
    <col min="50" max="50" style="64" width="9.93"/>
    <col min="51" max="56" style="47" width="13.24"/>
    <col min="57" max="57" style="47" width="14.97"/>
    <col min="58" max="58" style="47" width="12.45"/>
    <col min="59" max="59" style="47" width="8.34"/>
    <col min="60" max="60" style="47" width="6.22"/>
    <col min="61" max="61" style="47" width="9.93"/>
    <col min="62" max="62" style="47" width="8.34"/>
    <col min="63" max="63" style="47" width="6.22"/>
    <col min="64" max="64" style="47" width="9.93"/>
    <col min="65" max="65" style="47" width="8.34"/>
    <col min="66" max="66" style="47" width="6.22"/>
    <col min="67" max="67" style="47" width="9.93"/>
    <col min="68" max="68" style="47" width="8.34"/>
    <col min="69" max="69" style="47" width="6.22"/>
    <col min="70" max="70" style="47" width="9.93"/>
    <col min="71" max="71" style="47" width="8.34"/>
    <col min="72" max="72" style="47" width="6.22"/>
    <col min="73" max="73" style="47" width="9.93"/>
    <col min="74" max="74" style="47" width="8.34"/>
    <col min="75" max="75" style="47" width="6.22"/>
    <col min="76" max="76" style="47" width="9.93"/>
    <col min="77" max="2048" style="47" width="13.24"/>
  </cols>
  <sheetData>
    <row r="4" ht="14.0">
      <c r="AB4" s="104">
        <v>0.1</v>
      </c>
      <c r="AC4" s="104">
        <v>0.1</v>
      </c>
      <c r="AD4" s="104">
        <v>0.08</v>
      </c>
      <c r="AE4" s="104">
        <v>0.085</v>
      </c>
      <c r="AF4" s="104">
        <v>0.08</v>
      </c>
      <c r="AG4" s="104">
        <v>0.07</v>
      </c>
      <c r="AH4" s="104">
        <v>0.075</v>
      </c>
      <c r="AI4" s="104">
        <v>0.09</v>
      </c>
      <c r="AJ4" s="104">
        <v>0.11</v>
      </c>
      <c r="AK4" s="104">
        <v>0.09</v>
      </c>
      <c r="AL4" s="104">
        <v>0.065</v>
      </c>
      <c r="AM4" s="104">
        <v>0.055</v>
      </c>
      <c r="AN4" s="104">
        <v>0.1</v>
      </c>
      <c r="AO4" s="105">
        <f>SUM(AC4:AN4)</f>
        <v>1.0</v>
      </c>
      <c r="AP4" s="106">
        <f>SUM(AC4:AH4)</f>
        <v>0.49</v>
      </c>
      <c r="AQ4" s="107">
        <f>AP4*1.1</f>
        <v>0.539</v>
      </c>
      <c r="AR4" s="104">
        <v>0.1</v>
      </c>
      <c r="AS4" s="104">
        <v>0.08</v>
      </c>
      <c r="AT4" s="104">
        <v>0.085</v>
      </c>
      <c r="AU4" s="104">
        <v>0.08</v>
      </c>
      <c r="AV4" s="104">
        <v>0.07</v>
      </c>
      <c r="AW4" s="104">
        <v>0.075</v>
      </c>
    </row>
    <row r="5" ht="14.0" customFormat="1" s="47">
      <c r="A5" s="73"/>
      <c r="B5" s="73"/>
      <c r="C5" s="73"/>
      <c r="D5" s="73"/>
      <c r="E5" s="74">
        <v>45952</v>
      </c>
      <c r="F5" s="74">
        <v>45983</v>
      </c>
      <c r="G5" s="74">
        <v>46013</v>
      </c>
      <c r="H5" s="74">
        <v>45680</v>
      </c>
      <c r="I5" s="74">
        <v>45711</v>
      </c>
      <c r="J5" s="74">
        <v>45739</v>
      </c>
      <c r="K5" s="74">
        <v>45770</v>
      </c>
      <c r="L5" s="74">
        <v>45800</v>
      </c>
      <c r="M5" s="74">
        <v>45831</v>
      </c>
      <c r="N5" s="74">
        <v>45861</v>
      </c>
      <c r="O5" s="74">
        <v>45892</v>
      </c>
      <c r="P5" s="74">
        <v>45923</v>
      </c>
      <c r="Q5" s="75">
        <v>45953</v>
      </c>
      <c r="R5" s="75">
        <v>45984</v>
      </c>
      <c r="S5" s="75">
        <v>46014</v>
      </c>
      <c r="T5" s="75">
        <v>45681</v>
      </c>
      <c r="U5" s="75">
        <v>45712</v>
      </c>
      <c r="V5" s="75">
        <v>45740</v>
      </c>
      <c r="W5" s="75">
        <v>45771</v>
      </c>
      <c r="X5" s="75">
        <v>45801</v>
      </c>
      <c r="Y5" s="75">
        <v>45832</v>
      </c>
      <c r="Z5" s="75">
        <v>45862</v>
      </c>
      <c r="AA5" s="75">
        <v>45893</v>
      </c>
      <c r="AB5" s="75">
        <v>45924</v>
      </c>
      <c r="AC5" s="76">
        <v>45954</v>
      </c>
      <c r="AD5" s="76">
        <v>45985</v>
      </c>
      <c r="AE5" s="76">
        <v>46015</v>
      </c>
      <c r="AF5" s="76">
        <v>45682</v>
      </c>
      <c r="AG5" s="76">
        <v>45713</v>
      </c>
      <c r="AH5" s="76">
        <v>45741</v>
      </c>
      <c r="AI5" s="76">
        <v>45772</v>
      </c>
      <c r="AJ5" s="76">
        <v>45802</v>
      </c>
      <c r="AK5" s="76">
        <v>45833</v>
      </c>
      <c r="AL5" s="76">
        <v>45863</v>
      </c>
      <c r="AM5" s="76">
        <v>45894</v>
      </c>
      <c r="AN5" s="76">
        <v>45925</v>
      </c>
      <c r="AO5" s="77" t="s">
        <v>1</v>
      </c>
      <c r="AP5" s="77" t="s">
        <v>427</v>
      </c>
      <c r="AQ5" s="77" t="s">
        <v>427</v>
      </c>
      <c r="AR5" s="76">
        <v>45954</v>
      </c>
      <c r="AS5" s="76">
        <v>45985</v>
      </c>
      <c r="AT5" s="76">
        <v>46015</v>
      </c>
      <c r="AU5" s="76">
        <v>45682</v>
      </c>
      <c r="AV5" s="76">
        <v>45713</v>
      </c>
      <c r="AW5" s="76">
        <v>45741</v>
      </c>
      <c r="AX5" s="73" t="s">
        <v>3</v>
      </c>
      <c r="AY5" s="73" t="s">
        <v>3</v>
      </c>
      <c r="AZ5" s="80" t="s">
        <v>3</v>
      </c>
      <c r="BA5" s="73" t="s">
        <v>3</v>
      </c>
      <c r="BB5" s="108" t="s">
        <v>3</v>
      </c>
      <c r="BC5" s="73" t="s">
        <v>3</v>
      </c>
      <c r="BD5" s="80" t="s">
        <v>3</v>
      </c>
      <c r="BE5" s="81"/>
      <c r="BF5" s="73" t="s">
        <v>7</v>
      </c>
      <c r="BG5" s="73" t="s">
        <v>8</v>
      </c>
      <c r="BH5" s="73"/>
      <c r="BI5" s="73"/>
      <c r="BJ5" s="73" t="s">
        <v>9</v>
      </c>
      <c r="BK5" s="73"/>
      <c r="BL5" s="73"/>
      <c r="BM5" s="73" t="s">
        <v>10</v>
      </c>
      <c r="BN5" s="73"/>
      <c r="BO5" s="73"/>
      <c r="BP5" s="82">
        <v>46023</v>
      </c>
      <c r="BQ5" s="73"/>
      <c r="BR5" s="73"/>
      <c r="BS5" s="82">
        <v>46054</v>
      </c>
      <c r="BT5" s="73"/>
      <c r="BU5" s="73"/>
      <c r="BV5" s="82">
        <v>46082</v>
      </c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AMB5" s="83"/>
      <c r="AMC5" s="83"/>
      <c r="AMD5" s="83"/>
      <c r="AME5" s="83"/>
      <c r="AMF5" s="84"/>
    </row>
    <row r="6" customHeight="1" ht="45.0" customFormat="1" s="47">
      <c r="A6" s="85" t="s">
        <v>12</v>
      </c>
      <c r="B6" s="85" t="s">
        <v>13</v>
      </c>
      <c r="C6" s="85" t="s">
        <v>14</v>
      </c>
      <c r="D6" s="86" t="s">
        <v>15</v>
      </c>
      <c r="E6" s="87" t="s">
        <v>16</v>
      </c>
      <c r="F6" s="87" t="s">
        <v>16</v>
      </c>
      <c r="G6" s="87" t="s">
        <v>16</v>
      </c>
      <c r="H6" s="87" t="s">
        <v>16</v>
      </c>
      <c r="I6" s="87" t="s">
        <v>16</v>
      </c>
      <c r="J6" s="87" t="s">
        <v>16</v>
      </c>
      <c r="K6" s="87" t="s">
        <v>16</v>
      </c>
      <c r="L6" s="87" t="s">
        <v>16</v>
      </c>
      <c r="M6" s="87" t="s">
        <v>16</v>
      </c>
      <c r="N6" s="87" t="s">
        <v>16</v>
      </c>
      <c r="O6" s="87" t="s">
        <v>16</v>
      </c>
      <c r="P6" s="87" t="s">
        <v>16</v>
      </c>
      <c r="Q6" s="87" t="s">
        <v>16</v>
      </c>
      <c r="R6" s="87" t="s">
        <v>16</v>
      </c>
      <c r="S6" s="87" t="s">
        <v>16</v>
      </c>
      <c r="T6" s="87" t="s">
        <v>16</v>
      </c>
      <c r="U6" s="87" t="s">
        <v>16</v>
      </c>
      <c r="V6" s="87" t="s">
        <v>16</v>
      </c>
      <c r="W6" s="87" t="s">
        <v>16</v>
      </c>
      <c r="X6" s="87" t="s">
        <v>16</v>
      </c>
      <c r="Y6" s="87" t="s">
        <v>16</v>
      </c>
      <c r="Z6" s="87" t="s">
        <v>16</v>
      </c>
      <c r="AA6" s="87" t="s">
        <v>16</v>
      </c>
      <c r="AB6" s="87" t="s">
        <v>16</v>
      </c>
      <c r="AC6" s="87" t="s">
        <v>16</v>
      </c>
      <c r="AD6" s="87" t="s">
        <v>16</v>
      </c>
      <c r="AE6" s="87" t="s">
        <v>16</v>
      </c>
      <c r="AF6" s="87" t="s">
        <v>16</v>
      </c>
      <c r="AG6" s="87" t="s">
        <v>16</v>
      </c>
      <c r="AH6" s="87" t="s">
        <v>16</v>
      </c>
      <c r="AI6" s="87" t="s">
        <v>16</v>
      </c>
      <c r="AJ6" s="87" t="s">
        <v>16</v>
      </c>
      <c r="AK6" s="87" t="s">
        <v>16</v>
      </c>
      <c r="AL6" s="87" t="s">
        <v>16</v>
      </c>
      <c r="AM6" s="87" t="s">
        <v>16</v>
      </c>
      <c r="AN6" s="87" t="s">
        <v>16</v>
      </c>
      <c r="AO6" s="88" t="s">
        <v>3</v>
      </c>
      <c r="AP6" s="88" t="s">
        <v>3</v>
      </c>
      <c r="AQ6" s="88" t="s">
        <v>17</v>
      </c>
      <c r="AR6" s="89" t="s">
        <v>18</v>
      </c>
      <c r="AS6" s="89" t="s">
        <v>18</v>
      </c>
      <c r="AT6" s="89" t="s">
        <v>18</v>
      </c>
      <c r="AU6" s="89" t="s">
        <v>18</v>
      </c>
      <c r="AV6" s="89" t="s">
        <v>18</v>
      </c>
      <c r="AW6" s="89" t="s">
        <v>18</v>
      </c>
      <c r="AX6" s="89" t="s">
        <v>18</v>
      </c>
      <c r="AY6" s="87" t="s">
        <v>428</v>
      </c>
      <c r="AZ6" s="90" t="s">
        <v>178</v>
      </c>
      <c r="BA6" s="90" t="s">
        <v>429</v>
      </c>
      <c r="BB6" s="109" t="s">
        <v>22</v>
      </c>
      <c r="BC6" s="87" t="s">
        <v>23</v>
      </c>
      <c r="BD6" s="87" t="s">
        <v>24</v>
      </c>
      <c r="BE6" s="85" t="s">
        <v>25</v>
      </c>
      <c r="BF6" s="87" t="s">
        <v>26</v>
      </c>
      <c r="BG6" s="87" t="s">
        <v>18</v>
      </c>
      <c r="BH6" s="87" t="s">
        <v>27</v>
      </c>
      <c r="BI6" s="87" t="s">
        <v>28</v>
      </c>
      <c r="BJ6" s="87" t="s">
        <v>18</v>
      </c>
      <c r="BK6" s="87" t="s">
        <v>27</v>
      </c>
      <c r="BL6" s="87" t="s">
        <v>28</v>
      </c>
      <c r="BM6" s="87" t="s">
        <v>18</v>
      </c>
      <c r="BN6" s="87" t="s">
        <v>27</v>
      </c>
      <c r="BO6" s="87" t="s">
        <v>28</v>
      </c>
      <c r="BP6" s="87" t="s">
        <v>18</v>
      </c>
      <c r="BQ6" s="87" t="s">
        <v>27</v>
      </c>
      <c r="BR6" s="87" t="s">
        <v>28</v>
      </c>
      <c r="BS6" s="87" t="s">
        <v>18</v>
      </c>
      <c r="BT6" s="87" t="s">
        <v>27</v>
      </c>
      <c r="BU6" s="87" t="s">
        <v>28</v>
      </c>
      <c r="BV6" s="87" t="s">
        <v>18</v>
      </c>
      <c r="BW6" s="87" t="s">
        <v>27</v>
      </c>
      <c r="BX6" s="87" t="s">
        <v>28</v>
      </c>
      <c r="BY6" s="84"/>
      <c r="BZ6" s="84"/>
      <c r="CA6" s="84"/>
      <c r="CB6" s="84"/>
      <c r="CC6" s="84"/>
      <c r="CD6" s="84"/>
      <c r="CE6" s="84"/>
      <c r="CF6" s="84"/>
      <c r="CG6" s="84"/>
      <c r="CH6" s="84"/>
      <c r="CI6" s="84"/>
      <c r="CJ6" s="84"/>
      <c r="CK6" s="84"/>
      <c r="CL6" s="84"/>
      <c r="CM6" s="84"/>
      <c r="CN6" s="84"/>
      <c r="CO6" s="84"/>
      <c r="CP6" s="84"/>
      <c r="CQ6" s="84"/>
      <c r="CR6" s="84"/>
      <c r="CS6" s="84"/>
      <c r="CT6" s="84"/>
      <c r="CU6" s="84"/>
      <c r="CV6" s="84"/>
      <c r="CW6" s="84"/>
      <c r="CX6" s="84"/>
    </row>
    <row r="7" ht="14.0" customFormat="1" s="47">
      <c r="A7" s="93" t="s">
        <v>430</v>
      </c>
      <c r="B7" s="93" t="s">
        <v>431</v>
      </c>
      <c r="C7" s="93" t="s">
        <v>432</v>
      </c>
      <c r="D7" s="93" t="s">
        <v>433</v>
      </c>
      <c r="E7" s="93">
        <v>36.0</v>
      </c>
      <c r="F7" s="93">
        <v>24.0</v>
      </c>
      <c r="G7" s="93">
        <v>15.0</v>
      </c>
      <c r="H7" s="93">
        <v>9.0</v>
      </c>
      <c r="I7" s="93">
        <v>18.0</v>
      </c>
      <c r="J7" s="93">
        <v>12.0</v>
      </c>
      <c r="K7" s="93">
        <v>21.0</v>
      </c>
      <c r="L7" s="93">
        <v>18.0</v>
      </c>
      <c r="M7" s="93">
        <v>21.0</v>
      </c>
      <c r="N7" s="93">
        <v>39.0</v>
      </c>
      <c r="O7" s="93">
        <v>36.0</v>
      </c>
      <c r="P7" s="93">
        <v>33.0</v>
      </c>
      <c r="Q7" s="93">
        <v>54.0</v>
      </c>
      <c r="R7" s="93">
        <v>15.0</v>
      </c>
      <c r="S7" s="93">
        <v>0.0</v>
      </c>
      <c r="T7" s="93">
        <v>12.0</v>
      </c>
      <c r="U7" s="93">
        <v>15.0</v>
      </c>
      <c r="V7" s="93">
        <v>39.0</v>
      </c>
      <c r="W7" s="93">
        <v>12.0</v>
      </c>
      <c r="X7" s="93">
        <v>15.0</v>
      </c>
      <c r="Y7" s="93">
        <v>15.0</v>
      </c>
      <c r="Z7" s="93">
        <v>31.0</v>
      </c>
      <c r="AA7" s="93">
        <v>12.0</v>
      </c>
      <c r="AB7" s="93">
        <v>12.0</v>
      </c>
      <c r="AC7" s="93">
        <v>24.0</v>
      </c>
      <c r="AD7" s="93">
        <v>6.0</v>
      </c>
      <c r="AE7" s="93">
        <v>3.0</v>
      </c>
      <c r="AF7" s="93">
        <v>12.0</v>
      </c>
      <c r="AG7" s="110">
        <f>U7</f>
        <v>15.0</v>
      </c>
      <c r="AH7" s="93">
        <v>21.0</v>
      </c>
      <c r="AI7" s="93">
        <v>15.0</v>
      </c>
      <c r="AJ7" s="93">
        <v>6.0</v>
      </c>
      <c r="AK7" s="93">
        <v>3.0</v>
      </c>
      <c r="AL7" s="93">
        <v>6.0</v>
      </c>
      <c r="AM7" s="93">
        <v>18.0</v>
      </c>
      <c r="AN7" s="93">
        <v>10.0</v>
      </c>
      <c r="AO7" s="111">
        <f t="shared" ref="AO7:AO39" si="4">SUM(AC7:AN7)</f>
        <v>139.0</v>
      </c>
      <c r="AP7" s="64">
        <f t="shared" ref="AP7:AP29" si="5">SUM(AC7:AH7)</f>
        <v>81.0</v>
      </c>
      <c r="AQ7" s="69">
        <f t="shared" ref="AQ7:AQ39" si="6">AP7*1.1</f>
        <v>89.1</v>
      </c>
      <c r="AR7" s="65">
        <f t="shared" ref="AR7:AR10" si="7">AQ7*$AR$4/$AQ$4</f>
        <v>16.530612244898</v>
      </c>
      <c r="AS7" s="65">
        <f t="shared" ref="AS7:AS10" si="8">AQ7*$AS$4/$AQ$4</f>
        <v>13.2244897959183</v>
      </c>
      <c r="AT7" s="65">
        <f t="shared" ref="AT7:AT10" si="9">AQ7*$AT$4/$AQ$4</f>
        <v>14.0510204081632</v>
      </c>
      <c r="AU7" s="65">
        <f t="shared" ref="AU7:AU10" si="10">AQ7*$AU$4/$AQ$4</f>
        <v>13.2244897959183</v>
      </c>
      <c r="AV7" s="65">
        <f t="shared" ref="AV7:AV10" si="11">AQ7*$AV$4/$AQ$4</f>
        <v>11.5714285714286</v>
      </c>
      <c r="AW7" s="65">
        <f t="shared" ref="AW7:AW10" si="12">AQ7*$AW$4/$AQ$4</f>
        <v>12.3979591836734</v>
      </c>
      <c r="AX7" s="64">
        <f t="shared" ref="AX7:AX39" si="13">SUM(AR7:AW7)</f>
        <v>80.9999999999998</v>
      </c>
      <c r="AY7" s="64" t="e">
        <f t="shared" ref="AY7:AY39" si="14">VLOOKUP(D7,SEPT23SOH,3,false)</f>
        <v>#REF!</v>
      </c>
      <c r="BB7" s="69" t="e">
        <f t="shared" ref="BB7:BB9" si="15">AY7+AZ7+BA7-AX7</f>
        <v>#REF!</v>
      </c>
      <c r="BF7" s="65" t="e">
        <f t="shared" ref="BF7:BF9" si="16">AY7</f>
        <v>#REF!</v>
      </c>
      <c r="BG7" s="65">
        <f t="shared" ref="BG7:BG9" si="17">AR7</f>
        <v>16.530612244898</v>
      </c>
      <c r="BH7" s="65">
        <f t="shared" ref="BH7:BH39" si="18">BA7</f>
      </c>
      <c r="BI7" s="65" t="e">
        <f t="shared" ref="BI7:BI9" si="19">BF7+BH7-BG7</f>
        <v>#REF!</v>
      </c>
      <c r="BJ7" s="65">
        <f t="shared" ref="BJ7:BJ9" si="20">AS7</f>
        <v>13.2244897959183</v>
      </c>
      <c r="BK7" s="65"/>
      <c r="BL7" s="65" t="e">
        <f t="shared" ref="BL7:BL9" si="21">BI7+BK7-BJ7</f>
        <v>#REF!</v>
      </c>
      <c r="BM7" s="65">
        <f t="shared" ref="BM7:BM9" si="22">AT7</f>
        <v>14.0510204081632</v>
      </c>
      <c r="BN7" s="65"/>
      <c r="BO7" s="65" t="e">
        <f t="shared" ref="BO7:BO9" si="23">BL7+BN7-BM7</f>
        <v>#REF!</v>
      </c>
      <c r="BP7" s="65">
        <f t="shared" ref="BP7:BP9" si="24">AU7</f>
        <v>13.2244897959183</v>
      </c>
      <c r="BQ7" s="65"/>
      <c r="BR7" s="65" t="e">
        <f t="shared" ref="BR7:BR9" si="25">BO7+BQ7-BP7</f>
        <v>#REF!</v>
      </c>
      <c r="BS7" s="65">
        <f t="shared" ref="BS7:BS9" si="26">AV7</f>
        <v>11.5714285714286</v>
      </c>
      <c r="BT7" s="65"/>
      <c r="BU7" s="65" t="e">
        <f t="shared" ref="BU7:BU9" si="27">BR7+BT7-BS7</f>
        <v>#REF!</v>
      </c>
      <c r="BV7" s="65">
        <f t="shared" ref="BV7:BV9" si="28">AW7</f>
        <v>12.3979591836734</v>
      </c>
      <c r="BW7" s="65"/>
      <c r="BX7" s="65" t="e">
        <f t="shared" ref="BX7:BX9" si="29">BU7+BW7-BV7</f>
        <v>#REF!</v>
      </c>
    </row>
    <row r="8" ht="14.0" customFormat="1" s="47">
      <c r="A8" s="93" t="s">
        <v>430</v>
      </c>
      <c r="B8" s="93" t="s">
        <v>431</v>
      </c>
      <c r="C8" s="93" t="s">
        <v>434</v>
      </c>
      <c r="D8" s="93" t="s">
        <v>435</v>
      </c>
      <c r="E8" s="93">
        <v>30.0</v>
      </c>
      <c r="F8" s="93">
        <v>18.0</v>
      </c>
      <c r="G8" s="93">
        <v>6.0</v>
      </c>
      <c r="H8" s="93">
        <v>9.0</v>
      </c>
      <c r="I8" s="93">
        <v>49.0</v>
      </c>
      <c r="J8" s="93">
        <v>58.0</v>
      </c>
      <c r="K8" s="93">
        <v>60.0</v>
      </c>
      <c r="L8" s="93">
        <v>78.0</v>
      </c>
      <c r="M8" s="93">
        <v>50.0</v>
      </c>
      <c r="N8" s="93">
        <v>45.0</v>
      </c>
      <c r="O8" s="93">
        <v>41.0</v>
      </c>
      <c r="P8" s="93">
        <v>72.0</v>
      </c>
      <c r="Q8" s="93">
        <v>57.0</v>
      </c>
      <c r="R8" s="93">
        <v>48.0</v>
      </c>
      <c r="S8" s="93">
        <v>39.0</v>
      </c>
      <c r="T8" s="93">
        <v>39.0</v>
      </c>
      <c r="U8" s="93">
        <v>74.0</v>
      </c>
      <c r="V8" s="93">
        <v>54.0</v>
      </c>
      <c r="W8" s="93">
        <v>30.0</v>
      </c>
      <c r="X8" s="93">
        <v>33.0</v>
      </c>
      <c r="Y8" s="93">
        <v>15.0</v>
      </c>
      <c r="Z8" s="93">
        <v>25.0</v>
      </c>
      <c r="AA8" s="93">
        <v>36.0</v>
      </c>
      <c r="AB8" s="93">
        <v>36.0</v>
      </c>
      <c r="AC8" s="93">
        <v>54.0</v>
      </c>
      <c r="AD8" s="93">
        <v>33.0</v>
      </c>
      <c r="AE8" s="93">
        <v>24.0</v>
      </c>
      <c r="AF8" s="93">
        <v>39.0</v>
      </c>
      <c r="AG8" s="93">
        <v>42.0</v>
      </c>
      <c r="AH8" s="93">
        <v>18.0</v>
      </c>
      <c r="AI8" s="93">
        <v>15.0</v>
      </c>
      <c r="AJ8" s="93">
        <v>36.0</v>
      </c>
      <c r="AK8" s="93">
        <v>21.0</v>
      </c>
      <c r="AL8" s="93">
        <v>32.0</v>
      </c>
      <c r="AM8" s="93">
        <v>32.0</v>
      </c>
      <c r="AN8" s="93">
        <v>27.0</v>
      </c>
      <c r="AO8" s="111">
        <f t="shared" si="4"/>
        <v>373.0</v>
      </c>
      <c r="AP8" s="64">
        <f t="shared" si="5"/>
        <v>210.0</v>
      </c>
      <c r="AQ8" s="69">
        <f t="shared" si="6"/>
        <v>231.0</v>
      </c>
      <c r="AR8" s="65">
        <f t="shared" si="7"/>
        <v>42.8571428571429</v>
      </c>
      <c r="AS8" s="65">
        <f t="shared" si="8"/>
        <v>34.2857142857142</v>
      </c>
      <c r="AT8" s="65">
        <f t="shared" si="9"/>
        <v>36.4285714285714</v>
      </c>
      <c r="AU8" s="65">
        <f t="shared" si="10"/>
        <v>34.2857142857142</v>
      </c>
      <c r="AV8" s="65">
        <f t="shared" si="11"/>
        <v>30.0</v>
      </c>
      <c r="AW8" s="65">
        <f t="shared" si="12"/>
        <v>32.1428571428571</v>
      </c>
      <c r="AX8" s="64">
        <f t="shared" si="13"/>
        <v>210.0</v>
      </c>
      <c r="AY8" s="64" t="e">
        <f t="shared" si="14"/>
        <v>#REF!</v>
      </c>
      <c r="BB8" s="69" t="e">
        <f t="shared" si="15"/>
        <v>#REF!</v>
      </c>
      <c r="BF8" s="65" t="e">
        <f t="shared" si="16"/>
        <v>#REF!</v>
      </c>
      <c r="BG8" s="65">
        <f t="shared" si="17"/>
        <v>42.8571428571429</v>
      </c>
      <c r="BH8" s="65">
        <f t="shared" si="18"/>
      </c>
      <c r="BI8" s="65" t="e">
        <f t="shared" si="19"/>
        <v>#REF!</v>
      </c>
      <c r="BJ8" s="65">
        <f t="shared" si="20"/>
        <v>34.2857142857142</v>
      </c>
      <c r="BK8" s="65"/>
      <c r="BL8" s="65" t="e">
        <f t="shared" si="21"/>
        <v>#REF!</v>
      </c>
      <c r="BM8" s="65">
        <f t="shared" si="22"/>
        <v>36.4285714285714</v>
      </c>
      <c r="BN8" s="65"/>
      <c r="BO8" s="65" t="e">
        <f t="shared" si="23"/>
        <v>#REF!</v>
      </c>
      <c r="BP8" s="65">
        <f t="shared" si="24"/>
        <v>34.2857142857142</v>
      </c>
      <c r="BQ8" s="65"/>
      <c r="BR8" s="65" t="e">
        <f t="shared" si="25"/>
        <v>#REF!</v>
      </c>
      <c r="BS8" s="65">
        <f t="shared" si="26"/>
        <v>30.0</v>
      </c>
      <c r="BT8" s="65"/>
      <c r="BU8" s="65" t="e">
        <f t="shared" si="27"/>
        <v>#REF!</v>
      </c>
      <c r="BV8" s="65">
        <f t="shared" si="28"/>
        <v>32.1428571428571</v>
      </c>
      <c r="BW8" s="65"/>
      <c r="BX8" s="65" t="e">
        <f t="shared" si="29"/>
        <v>#REF!</v>
      </c>
    </row>
    <row r="9" ht="14.0" customFormat="1" s="47">
      <c r="A9" s="93" t="s">
        <v>430</v>
      </c>
      <c r="B9" s="93" t="s">
        <v>431</v>
      </c>
      <c r="C9" s="93" t="s">
        <v>436</v>
      </c>
      <c r="D9" s="93" t="s">
        <v>437</v>
      </c>
      <c r="E9" s="93">
        <v>30.0</v>
      </c>
      <c r="F9" s="93">
        <v>36.0</v>
      </c>
      <c r="G9" s="93">
        <v>6.0</v>
      </c>
      <c r="H9" s="93">
        <v>9.0</v>
      </c>
      <c r="I9" s="93">
        <v>52.0</v>
      </c>
      <c r="J9" s="93">
        <v>39.0</v>
      </c>
      <c r="K9" s="93">
        <v>54.0</v>
      </c>
      <c r="L9" s="93">
        <v>42.0</v>
      </c>
      <c r="M9" s="93">
        <v>21.0</v>
      </c>
      <c r="N9" s="93">
        <v>21.0</v>
      </c>
      <c r="O9" s="93">
        <v>30.0</v>
      </c>
      <c r="P9" s="93">
        <v>57.0</v>
      </c>
      <c r="Q9" s="93">
        <v>21.0</v>
      </c>
      <c r="R9" s="93">
        <v>21.0</v>
      </c>
      <c r="S9" s="93">
        <v>39.0</v>
      </c>
      <c r="T9" s="93">
        <v>27.0</v>
      </c>
      <c r="U9" s="93">
        <v>39.0</v>
      </c>
      <c r="V9" s="93">
        <v>39.0</v>
      </c>
      <c r="W9" s="93">
        <v>18.0</v>
      </c>
      <c r="X9" s="93">
        <v>9.0</v>
      </c>
      <c r="Y9" s="93">
        <v>6.0</v>
      </c>
      <c r="Z9" s="93">
        <v>16.0</v>
      </c>
      <c r="AA9" s="93">
        <v>27.0</v>
      </c>
      <c r="AB9" s="93">
        <v>24.0</v>
      </c>
      <c r="AC9" s="93">
        <v>30.0</v>
      </c>
      <c r="AD9" s="93">
        <v>12.0</v>
      </c>
      <c r="AE9" s="93">
        <v>12.0</v>
      </c>
      <c r="AF9" s="93">
        <v>21.0</v>
      </c>
      <c r="AG9" s="93">
        <v>15.0</v>
      </c>
      <c r="AH9" s="93">
        <v>3.0</v>
      </c>
      <c r="AI9" s="93">
        <v>3.0</v>
      </c>
      <c r="AJ9" s="93">
        <v>30.0</v>
      </c>
      <c r="AK9" s="93">
        <v>6.0</v>
      </c>
      <c r="AL9" s="93">
        <v>14.0</v>
      </c>
      <c r="AM9" s="93">
        <v>24.0</v>
      </c>
      <c r="AN9" s="93">
        <v>20.0</v>
      </c>
      <c r="AO9" s="111">
        <f t="shared" si="4"/>
        <v>190.0</v>
      </c>
      <c r="AP9" s="64">
        <f t="shared" si="5"/>
        <v>93.0</v>
      </c>
      <c r="AQ9" s="69">
        <f t="shared" si="6"/>
        <v>102.3</v>
      </c>
      <c r="AR9" s="65">
        <f t="shared" si="7"/>
        <v>18.9795918367347</v>
      </c>
      <c r="AS9" s="65">
        <f t="shared" si="8"/>
        <v>15.183673469388</v>
      </c>
      <c r="AT9" s="65">
        <f t="shared" si="9"/>
        <v>16.1326530612244</v>
      </c>
      <c r="AU9" s="65">
        <f t="shared" si="10"/>
        <v>15.183673469388</v>
      </c>
      <c r="AV9" s="65">
        <f t="shared" si="11"/>
        <v>13.2857142857142</v>
      </c>
      <c r="AW9" s="65">
        <f t="shared" si="12"/>
        <v>14.234693877551</v>
      </c>
      <c r="AX9" s="64">
        <f t="shared" si="13"/>
        <v>93.0000000000002</v>
      </c>
      <c r="AY9" s="64" t="e">
        <f t="shared" si="14"/>
        <v>#REF!</v>
      </c>
      <c r="BB9" s="69" t="e">
        <f t="shared" si="15"/>
        <v>#REF!</v>
      </c>
      <c r="BF9" s="65" t="e">
        <f t="shared" si="16"/>
        <v>#REF!</v>
      </c>
      <c r="BG9" s="65">
        <f t="shared" si="17"/>
        <v>18.9795918367347</v>
      </c>
      <c r="BH9" s="65">
        <f t="shared" si="18"/>
      </c>
      <c r="BI9" s="65" t="e">
        <f t="shared" si="19"/>
        <v>#REF!</v>
      </c>
      <c r="BJ9" s="65">
        <f t="shared" si="20"/>
        <v>15.183673469388</v>
      </c>
      <c r="BK9" s="65"/>
      <c r="BL9" s="65" t="e">
        <f t="shared" si="21"/>
        <v>#REF!</v>
      </c>
      <c r="BM9" s="65">
        <f t="shared" si="22"/>
        <v>16.1326530612244</v>
      </c>
      <c r="BN9" s="65"/>
      <c r="BO9" s="65" t="e">
        <f t="shared" si="23"/>
        <v>#REF!</v>
      </c>
      <c r="BP9" s="65">
        <f t="shared" si="24"/>
        <v>15.183673469388</v>
      </c>
      <c r="BQ9" s="65"/>
      <c r="BR9" s="65" t="e">
        <f t="shared" si="25"/>
        <v>#REF!</v>
      </c>
      <c r="BS9" s="65">
        <f t="shared" si="26"/>
        <v>13.2857142857142</v>
      </c>
      <c r="BT9" s="65"/>
      <c r="BU9" s="65" t="e">
        <f t="shared" si="27"/>
        <v>#REF!</v>
      </c>
      <c r="BV9" s="65">
        <f t="shared" si="28"/>
        <v>14.234693877551</v>
      </c>
      <c r="BW9" s="65"/>
      <c r="BX9" s="65" t="e">
        <f t="shared" si="29"/>
        <v>#REF!</v>
      </c>
    </row>
    <row r="10" ht="14.0" customFormat="1" s="47">
      <c r="A10" s="93" t="s">
        <v>430</v>
      </c>
      <c r="B10" s="93" t="s">
        <v>438</v>
      </c>
      <c r="C10" s="110" t="s">
        <v>439</v>
      </c>
      <c r="D10" s="93" t="s">
        <v>440</v>
      </c>
      <c r="E10" s="93">
        <v>0.0</v>
      </c>
      <c r="F10" s="93">
        <v>0.0</v>
      </c>
      <c r="G10" s="93">
        <v>0.0</v>
      </c>
      <c r="H10" s="93">
        <v>0.0</v>
      </c>
      <c r="I10" s="93">
        <v>0.0</v>
      </c>
      <c r="J10" s="93">
        <v>0.0</v>
      </c>
      <c r="K10" s="93">
        <v>0.0</v>
      </c>
      <c r="L10" s="93">
        <v>0.0</v>
      </c>
      <c r="M10" s="93">
        <v>0.0</v>
      </c>
      <c r="N10" s="93">
        <v>17.0</v>
      </c>
      <c r="O10" s="93">
        <v>11.0</v>
      </c>
      <c r="P10" s="93">
        <v>12.0</v>
      </c>
      <c r="Q10" s="93">
        <v>16.0</v>
      </c>
      <c r="R10" s="93">
        <v>11.0</v>
      </c>
      <c r="S10" s="93">
        <v>3.0</v>
      </c>
      <c r="T10" s="93">
        <v>3.0</v>
      </c>
      <c r="U10" s="93">
        <v>4.0</v>
      </c>
      <c r="V10" s="93">
        <v>6.0</v>
      </c>
      <c r="W10" s="93">
        <v>4.0</v>
      </c>
      <c r="X10" s="93">
        <v>0.0</v>
      </c>
      <c r="Y10" s="93">
        <v>2.0</v>
      </c>
      <c r="Z10" s="93">
        <v>2.0</v>
      </c>
      <c r="AA10" s="93">
        <v>1.0</v>
      </c>
      <c r="AB10" s="93">
        <v>9.0</v>
      </c>
      <c r="AC10" s="93">
        <v>5.0</v>
      </c>
      <c r="AD10" s="93">
        <v>4.0</v>
      </c>
      <c r="AE10" s="93">
        <v>1.0</v>
      </c>
      <c r="AF10" s="93">
        <v>1.0</v>
      </c>
      <c r="AG10" s="93">
        <v>2.0</v>
      </c>
      <c r="AH10" s="93">
        <v>1.0</v>
      </c>
      <c r="AI10" s="93">
        <v>5.0</v>
      </c>
      <c r="AJ10" s="93">
        <v>7.0</v>
      </c>
      <c r="AK10" s="93">
        <v>8.0</v>
      </c>
      <c r="AL10" s="93">
        <v>5.0</v>
      </c>
      <c r="AM10" s="93">
        <v>1.0</v>
      </c>
      <c r="AN10" s="93">
        <v>3.0</v>
      </c>
      <c r="AO10" s="111">
        <f t="shared" si="4"/>
        <v>43.0</v>
      </c>
      <c r="AP10" s="64">
        <f t="shared" si="5"/>
        <v>14.0</v>
      </c>
      <c r="AQ10" s="69">
        <f t="shared" si="6"/>
        <v>15.4</v>
      </c>
      <c r="AR10" s="97">
        <f t="shared" si="7"/>
        <v>2.8571428571429</v>
      </c>
      <c r="AS10" s="97">
        <f t="shared" si="8"/>
        <v>2.28571428571429</v>
      </c>
      <c r="AT10" s="97">
        <f t="shared" si="9"/>
        <v>2.42857142857142</v>
      </c>
      <c r="AU10" s="97">
        <f t="shared" si="10"/>
        <v>2.28571428571429</v>
      </c>
      <c r="AV10" s="97">
        <f t="shared" si="11"/>
        <v>2.0</v>
      </c>
      <c r="AW10" s="97">
        <f t="shared" si="12"/>
        <v>2.14285714285714</v>
      </c>
      <c r="AX10" s="64">
        <f t="shared" si="13"/>
        <v>14.0</v>
      </c>
      <c r="AY10" s="64" t="e">
        <f t="shared" si="14"/>
        <v>#REF!</v>
      </c>
      <c r="BF10" s="65"/>
      <c r="BG10" s="65"/>
      <c r="BH10" s="65">
        <f t="shared" si="18"/>
      </c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</row>
    <row r="11" ht="14.0" customFormat="1" s="47">
      <c r="A11" s="93" t="s">
        <v>430</v>
      </c>
      <c r="B11" s="93" t="s">
        <v>438</v>
      </c>
      <c r="C11" s="93" t="s">
        <v>441</v>
      </c>
      <c r="D11" s="112" t="s">
        <v>442</v>
      </c>
      <c r="E11" s="93">
        <v>162.0</v>
      </c>
      <c r="F11" s="93">
        <v>191.0</v>
      </c>
      <c r="G11" s="93">
        <v>60.0</v>
      </c>
      <c r="H11" s="93">
        <v>53.0</v>
      </c>
      <c r="I11" s="93">
        <v>102.0</v>
      </c>
      <c r="J11" s="93">
        <v>114.0</v>
      </c>
      <c r="K11" s="93">
        <v>109.0</v>
      </c>
      <c r="L11" s="93">
        <v>138.0</v>
      </c>
      <c r="M11" s="93">
        <v>96.0</v>
      </c>
      <c r="N11" s="93">
        <v>168.0</v>
      </c>
      <c r="O11" s="93">
        <v>150.0</v>
      </c>
      <c r="P11" s="93">
        <v>105.0</v>
      </c>
      <c r="Q11" s="93">
        <v>165.0</v>
      </c>
      <c r="R11" s="93">
        <v>120.0</v>
      </c>
      <c r="S11" s="93">
        <v>100.0</v>
      </c>
      <c r="T11" s="93">
        <v>89.0</v>
      </c>
      <c r="U11" s="93">
        <v>143.0</v>
      </c>
      <c r="V11" s="93">
        <v>123.0</v>
      </c>
      <c r="W11" s="93">
        <v>98.0</v>
      </c>
      <c r="X11" s="93">
        <v>102.0</v>
      </c>
      <c r="Y11" s="93">
        <v>78.0</v>
      </c>
      <c r="Z11" s="93">
        <v>64.0</v>
      </c>
      <c r="AA11" s="93">
        <v>118.0</v>
      </c>
      <c r="AB11" s="93">
        <v>114.0</v>
      </c>
      <c r="AC11" s="93">
        <v>96.0</v>
      </c>
      <c r="AD11" s="93">
        <v>114.0</v>
      </c>
      <c r="AE11" s="93">
        <v>57.0</v>
      </c>
      <c r="AF11" s="93">
        <v>56.0</v>
      </c>
      <c r="AG11" s="93">
        <v>100.0</v>
      </c>
      <c r="AH11" s="93">
        <v>86.0</v>
      </c>
      <c r="AI11" s="93">
        <v>78.0</v>
      </c>
      <c r="AJ11" s="93">
        <v>57.0</v>
      </c>
      <c r="AK11" s="93">
        <v>51.0</v>
      </c>
      <c r="AL11" s="93">
        <v>39.0</v>
      </c>
      <c r="AM11" s="93">
        <v>103.0</v>
      </c>
      <c r="AN11" s="93">
        <v>71.0</v>
      </c>
      <c r="AO11" s="111">
        <f t="shared" si="4"/>
        <v>908.0</v>
      </c>
      <c r="AP11" s="64">
        <f t="shared" si="5"/>
        <v>509.0</v>
      </c>
      <c r="AQ11" s="69">
        <f t="shared" si="6"/>
        <v>559.9</v>
      </c>
      <c r="AR11" s="65">
        <f t="shared" ref="AR11:AR15" si="30">AQ11*$AR$4/$AQ$4+1*$AR$10</f>
        <v>106.73469387755</v>
      </c>
      <c r="AS11" s="65">
        <f t="shared" ref="AS11:AS15" si="31">AQ11*$AS$4/$AQ$4+1*$AS$10</f>
        <v>85.3877551020408</v>
      </c>
      <c r="AT11" s="65">
        <f t="shared" ref="AT11:AT15" si="32">AQ11*$AT$4/$AQ$4+1*$AT$10</f>
        <v>90.7244897959183</v>
      </c>
      <c r="AU11" s="65">
        <f t="shared" ref="AU11:AU15" si="33">AQ11*$AU$4/$AQ$4+1*$AU$10</f>
        <v>85.3877551020408</v>
      </c>
      <c r="AV11" s="65">
        <f t="shared" ref="AV11:AV15" si="34">AQ11*$AV$4/$AQ$4+1*$AV$10</f>
        <v>74.7142857142857</v>
      </c>
      <c r="AW11" s="65">
        <f t="shared" ref="AW11:AW15" si="35">AQ11*$AW$4/$AQ$4+1*$AW$10</f>
        <v>80.0510204081632</v>
      </c>
      <c r="AX11" s="64">
        <f t="shared" si="13"/>
        <v>522.999999999999</v>
      </c>
      <c r="AY11" s="64" t="e">
        <f t="shared" si="14"/>
        <v>#REF!</v>
      </c>
      <c r="BB11" s="69" t="e">
        <f t="shared" ref="BB11:BB32" si="36">AY11+AZ11+BA11-AX11</f>
        <v>#REF!</v>
      </c>
      <c r="BF11" s="65" t="e">
        <f t="shared" ref="BF11:BF32" si="37">AY11</f>
        <v>#REF!</v>
      </c>
      <c r="BG11" s="65">
        <f t="shared" ref="BG11:BG32" si="38">AR11</f>
        <v>106.73469387755</v>
      </c>
      <c r="BH11" s="65">
        <f t="shared" si="18"/>
      </c>
      <c r="BI11" s="65" t="e">
        <f t="shared" ref="BI11:BI32" si="39">BF11+BH11-BG11</f>
        <v>#REF!</v>
      </c>
      <c r="BJ11" s="65">
        <f t="shared" ref="BJ11:BJ32" si="40">AS11</f>
        <v>85.3877551020408</v>
      </c>
      <c r="BK11" s="65"/>
      <c r="BL11" s="65" t="e">
        <f t="shared" ref="BL11:BL32" si="41">BI11+BK11-BJ11</f>
        <v>#REF!</v>
      </c>
      <c r="BM11" s="65">
        <f t="shared" ref="BM11:BM32" si="42">AT11</f>
        <v>90.7244897959183</v>
      </c>
      <c r="BN11" s="65"/>
      <c r="BO11" s="65" t="e">
        <f t="shared" ref="BO11:BO32" si="43">BL11+BN11-BM11</f>
        <v>#REF!</v>
      </c>
      <c r="BP11" s="65">
        <f t="shared" ref="BP11:BP32" si="44">AU11</f>
        <v>85.3877551020408</v>
      </c>
      <c r="BQ11" s="65"/>
      <c r="BR11" s="65" t="e">
        <f t="shared" ref="BR11:BR32" si="45">BO11+BQ11-BP11</f>
        <v>#REF!</v>
      </c>
      <c r="BS11" s="65">
        <f t="shared" ref="BS11:BS32" si="46">AV11</f>
        <v>74.7142857142857</v>
      </c>
      <c r="BT11" s="65"/>
      <c r="BU11" s="65" t="e">
        <f t="shared" ref="BU11:BU32" si="47">BR11+BT11-BS11</f>
        <v>#REF!</v>
      </c>
      <c r="BV11" s="65">
        <f t="shared" ref="BV11:BV32" si="48">AW11</f>
        <v>80.0510204081632</v>
      </c>
      <c r="BW11" s="65"/>
      <c r="BX11" s="65" t="e">
        <f t="shared" ref="BX11:BX32" si="49">BU11+BW11-BV11</f>
        <v>#REF!</v>
      </c>
    </row>
    <row r="12" ht="14.0" customFormat="1" s="47">
      <c r="A12" s="93" t="s">
        <v>430</v>
      </c>
      <c r="B12" s="93" t="s">
        <v>438</v>
      </c>
      <c r="C12" s="93" t="s">
        <v>443</v>
      </c>
      <c r="D12" s="112" t="s">
        <v>444</v>
      </c>
      <c r="E12" s="93">
        <v>123.0</v>
      </c>
      <c r="F12" s="93">
        <v>141.0</v>
      </c>
      <c r="G12" s="93">
        <v>41.0</v>
      </c>
      <c r="H12" s="93">
        <v>31.0</v>
      </c>
      <c r="I12" s="93">
        <v>108.0</v>
      </c>
      <c r="J12" s="93">
        <v>105.0</v>
      </c>
      <c r="K12" s="93">
        <v>84.0</v>
      </c>
      <c r="L12" s="93">
        <v>103.0</v>
      </c>
      <c r="M12" s="93">
        <v>90.0</v>
      </c>
      <c r="N12" s="93">
        <v>106.0</v>
      </c>
      <c r="O12" s="93">
        <v>95.0</v>
      </c>
      <c r="P12" s="93">
        <v>143.0</v>
      </c>
      <c r="Q12" s="93">
        <v>155.0</v>
      </c>
      <c r="R12" s="93">
        <v>102.0</v>
      </c>
      <c r="S12" s="93">
        <v>58.0</v>
      </c>
      <c r="T12" s="93">
        <v>89.0</v>
      </c>
      <c r="U12" s="93">
        <v>93.0</v>
      </c>
      <c r="V12" s="93">
        <v>99.0</v>
      </c>
      <c r="W12" s="93">
        <v>83.0</v>
      </c>
      <c r="X12" s="93">
        <v>77.0</v>
      </c>
      <c r="Y12" s="93">
        <v>60.0</v>
      </c>
      <c r="Z12" s="93">
        <v>25.0</v>
      </c>
      <c r="AA12" s="93">
        <v>60.0</v>
      </c>
      <c r="AB12" s="93">
        <v>87.0</v>
      </c>
      <c r="AC12" s="93">
        <v>65.0</v>
      </c>
      <c r="AD12" s="93">
        <v>104.0</v>
      </c>
      <c r="AE12" s="93">
        <v>33.0</v>
      </c>
      <c r="AF12" s="93">
        <v>45.0</v>
      </c>
      <c r="AG12" s="93">
        <v>58.0</v>
      </c>
      <c r="AH12" s="93">
        <v>56.0</v>
      </c>
      <c r="AI12" s="93">
        <v>47.0</v>
      </c>
      <c r="AJ12" s="93">
        <v>52.0</v>
      </c>
      <c r="AK12" s="93">
        <v>24.0</v>
      </c>
      <c r="AL12" s="93">
        <v>58.0</v>
      </c>
      <c r="AM12" s="93">
        <v>73.0</v>
      </c>
      <c r="AN12" s="93">
        <v>41.0</v>
      </c>
      <c r="AO12" s="111">
        <f t="shared" si="4"/>
        <v>656.0</v>
      </c>
      <c r="AP12" s="64">
        <f t="shared" si="5"/>
        <v>361.0</v>
      </c>
      <c r="AQ12" s="69">
        <f t="shared" si="6"/>
        <v>397.1</v>
      </c>
      <c r="AR12" s="65">
        <f t="shared" si="30"/>
        <v>76.530612244898</v>
      </c>
      <c r="AS12" s="65">
        <f t="shared" si="31"/>
        <v>61.2244897959182</v>
      </c>
      <c r="AT12" s="65">
        <f t="shared" si="32"/>
        <v>65.0510204081632</v>
      </c>
      <c r="AU12" s="65">
        <f t="shared" si="33"/>
        <v>61.2244897959182</v>
      </c>
      <c r="AV12" s="65">
        <f t="shared" si="34"/>
        <v>53.5714285714286</v>
      </c>
      <c r="AW12" s="65">
        <f t="shared" si="35"/>
        <v>57.3979591836734</v>
      </c>
      <c r="AX12" s="64">
        <f t="shared" si="13"/>
        <v>375.0</v>
      </c>
      <c r="AY12" s="64" t="e">
        <f t="shared" si="14"/>
        <v>#REF!</v>
      </c>
      <c r="BB12" s="69" t="e">
        <f t="shared" si="36"/>
        <v>#REF!</v>
      </c>
      <c r="BF12" s="65" t="e">
        <f t="shared" si="37"/>
        <v>#REF!</v>
      </c>
      <c r="BG12" s="65">
        <f t="shared" si="38"/>
        <v>76.530612244898</v>
      </c>
      <c r="BH12" s="65">
        <f t="shared" si="18"/>
      </c>
      <c r="BI12" s="65" t="e">
        <f t="shared" si="39"/>
        <v>#REF!</v>
      </c>
      <c r="BJ12" s="65">
        <f t="shared" si="40"/>
        <v>61.2244897959182</v>
      </c>
      <c r="BK12" s="65"/>
      <c r="BL12" s="65" t="e">
        <f t="shared" si="41"/>
        <v>#REF!</v>
      </c>
      <c r="BM12" s="65">
        <f t="shared" si="42"/>
        <v>65.0510204081632</v>
      </c>
      <c r="BN12" s="65"/>
      <c r="BO12" s="65" t="e">
        <f t="shared" si="43"/>
        <v>#REF!</v>
      </c>
      <c r="BP12" s="65">
        <f t="shared" si="44"/>
        <v>61.2244897959182</v>
      </c>
      <c r="BQ12" s="65"/>
      <c r="BR12" s="65" t="e">
        <f t="shared" si="45"/>
        <v>#REF!</v>
      </c>
      <c r="BS12" s="65">
        <f t="shared" si="46"/>
        <v>53.5714285714286</v>
      </c>
      <c r="BT12" s="65"/>
      <c r="BU12" s="65" t="e">
        <f t="shared" si="47"/>
        <v>#REF!</v>
      </c>
      <c r="BV12" s="65">
        <f t="shared" si="48"/>
        <v>57.3979591836734</v>
      </c>
      <c r="BW12" s="65"/>
      <c r="BX12" s="65" t="e">
        <f t="shared" si="49"/>
        <v>#REF!</v>
      </c>
    </row>
    <row r="13" ht="14.0" customFormat="1" s="47">
      <c r="A13" s="93" t="s">
        <v>430</v>
      </c>
      <c r="B13" s="93" t="s">
        <v>438</v>
      </c>
      <c r="C13" s="93" t="s">
        <v>445</v>
      </c>
      <c r="D13" s="112" t="s">
        <v>446</v>
      </c>
      <c r="E13" s="93">
        <v>0.0</v>
      </c>
      <c r="F13" s="93">
        <v>0.0</v>
      </c>
      <c r="G13" s="93">
        <v>0.0</v>
      </c>
      <c r="H13" s="93">
        <v>0.0</v>
      </c>
      <c r="I13" s="93">
        <v>0.0</v>
      </c>
      <c r="J13" s="93">
        <v>0.0</v>
      </c>
      <c r="K13" s="93">
        <v>0.0</v>
      </c>
      <c r="L13" s="93">
        <v>0.0</v>
      </c>
      <c r="M13" s="93">
        <v>9.0</v>
      </c>
      <c r="N13" s="93">
        <v>42.0</v>
      </c>
      <c r="O13" s="93">
        <v>46.0</v>
      </c>
      <c r="P13" s="93">
        <v>27.0</v>
      </c>
      <c r="Q13" s="93">
        <v>36.0</v>
      </c>
      <c r="R13" s="93">
        <v>27.0</v>
      </c>
      <c r="S13" s="93">
        <v>15.0</v>
      </c>
      <c r="T13" s="93">
        <v>36.0</v>
      </c>
      <c r="U13" s="93">
        <v>27.0</v>
      </c>
      <c r="V13" s="93">
        <v>33.0</v>
      </c>
      <c r="W13" s="93">
        <v>12.0</v>
      </c>
      <c r="X13" s="93">
        <v>21.0</v>
      </c>
      <c r="Y13" s="93">
        <v>23.0</v>
      </c>
      <c r="Z13" s="93">
        <v>1.0</v>
      </c>
      <c r="AA13" s="93">
        <v>25.0</v>
      </c>
      <c r="AB13" s="93">
        <v>15.0</v>
      </c>
      <c r="AC13" s="93">
        <v>21.0</v>
      </c>
      <c r="AD13" s="93">
        <v>18.0</v>
      </c>
      <c r="AE13" s="93">
        <v>9.0</v>
      </c>
      <c r="AF13" s="93">
        <v>12.0</v>
      </c>
      <c r="AG13" s="93">
        <v>15.0</v>
      </c>
      <c r="AH13" s="93">
        <v>3.0</v>
      </c>
      <c r="AI13" s="93">
        <v>6.0</v>
      </c>
      <c r="AJ13" s="93">
        <v>12.0</v>
      </c>
      <c r="AK13" s="93">
        <v>6.0</v>
      </c>
      <c r="AL13" s="93">
        <v>6.0</v>
      </c>
      <c r="AM13" s="93">
        <v>39.0</v>
      </c>
      <c r="AN13" s="93">
        <v>20.0</v>
      </c>
      <c r="AO13" s="111">
        <f t="shared" si="4"/>
        <v>167.0</v>
      </c>
      <c r="AP13" s="64">
        <f t="shared" si="5"/>
        <v>78.0</v>
      </c>
      <c r="AQ13" s="69">
        <f t="shared" si="6"/>
        <v>85.8</v>
      </c>
      <c r="AR13" s="65">
        <f t="shared" si="30"/>
        <v>18.775510204081</v>
      </c>
      <c r="AS13" s="65">
        <f t="shared" si="31"/>
        <v>15.0204081632652</v>
      </c>
      <c r="AT13" s="65">
        <f t="shared" si="32"/>
        <v>15.9591836734694</v>
      </c>
      <c r="AU13" s="65">
        <f t="shared" si="33"/>
        <v>15.0204081632652</v>
      </c>
      <c r="AV13" s="65">
        <f t="shared" si="34"/>
        <v>13.1428571428571</v>
      </c>
      <c r="AW13" s="65">
        <f t="shared" si="35"/>
        <v>14.0816326530611</v>
      </c>
      <c r="AX13" s="64">
        <f t="shared" si="13"/>
        <v>91.999999999999</v>
      </c>
      <c r="AY13" s="64" t="e">
        <f t="shared" si="14"/>
        <v>#REF!</v>
      </c>
      <c r="BB13" s="69" t="e">
        <f t="shared" si="36"/>
        <v>#REF!</v>
      </c>
      <c r="BE13" s="47" t="s">
        <v>447</v>
      </c>
      <c r="BF13" s="65" t="e">
        <f t="shared" si="37"/>
        <v>#REF!</v>
      </c>
      <c r="BG13" s="65">
        <f t="shared" si="38"/>
        <v>18.775510204081</v>
      </c>
      <c r="BH13" s="65">
        <f t="shared" si="18"/>
      </c>
      <c r="BI13" s="65" t="e">
        <f t="shared" si="39"/>
        <v>#REF!</v>
      </c>
      <c r="BJ13" s="65">
        <f t="shared" si="40"/>
        <v>15.0204081632652</v>
      </c>
      <c r="BK13" s="65"/>
      <c r="BL13" s="65" t="e">
        <f t="shared" si="41"/>
        <v>#REF!</v>
      </c>
      <c r="BM13" s="65">
        <f t="shared" si="42"/>
        <v>15.9591836734694</v>
      </c>
      <c r="BN13" s="65"/>
      <c r="BO13" s="65" t="e">
        <f t="shared" si="43"/>
        <v>#REF!</v>
      </c>
      <c r="BP13" s="65">
        <f t="shared" si="44"/>
        <v>15.0204081632652</v>
      </c>
      <c r="BQ13" s="65"/>
      <c r="BR13" s="65" t="e">
        <f t="shared" si="45"/>
        <v>#REF!</v>
      </c>
      <c r="BS13" s="65">
        <f t="shared" si="46"/>
        <v>13.1428571428571</v>
      </c>
      <c r="BT13" s="65"/>
      <c r="BU13" s="65" t="e">
        <f t="shared" si="47"/>
        <v>#REF!</v>
      </c>
      <c r="BV13" s="65">
        <f t="shared" si="48"/>
        <v>14.0816326530611</v>
      </c>
      <c r="BW13" s="65"/>
      <c r="BX13" s="65" t="e">
        <f t="shared" si="49"/>
        <v>#REF!</v>
      </c>
    </row>
    <row r="14" ht="14.0" customFormat="1" s="47">
      <c r="A14" s="93" t="s">
        <v>430</v>
      </c>
      <c r="B14" s="93" t="s">
        <v>438</v>
      </c>
      <c r="C14" s="93" t="s">
        <v>448</v>
      </c>
      <c r="D14" s="112" t="s">
        <v>449</v>
      </c>
      <c r="E14" s="93">
        <v>96.0</v>
      </c>
      <c r="F14" s="93">
        <v>93.0</v>
      </c>
      <c r="G14" s="93">
        <v>27.0</v>
      </c>
      <c r="H14" s="93">
        <v>12.0</v>
      </c>
      <c r="I14" s="93">
        <v>42.0</v>
      </c>
      <c r="J14" s="93">
        <v>37.0</v>
      </c>
      <c r="K14" s="93">
        <v>57.0</v>
      </c>
      <c r="L14" s="93">
        <v>52.0</v>
      </c>
      <c r="M14" s="93">
        <v>36.0</v>
      </c>
      <c r="N14" s="93">
        <v>45.0</v>
      </c>
      <c r="O14" s="93">
        <v>27.0</v>
      </c>
      <c r="P14" s="93">
        <v>30.0</v>
      </c>
      <c r="Q14" s="93">
        <v>48.0</v>
      </c>
      <c r="R14" s="93">
        <v>21.0</v>
      </c>
      <c r="S14" s="93">
        <v>20.0</v>
      </c>
      <c r="T14" s="93">
        <v>18.0</v>
      </c>
      <c r="U14" s="93">
        <v>21.0</v>
      </c>
      <c r="V14" s="93">
        <v>24.0</v>
      </c>
      <c r="W14" s="93">
        <v>18.0</v>
      </c>
      <c r="X14" s="93">
        <v>26.0</v>
      </c>
      <c r="Y14" s="93">
        <v>25.0</v>
      </c>
      <c r="Z14" s="93">
        <v>22.0</v>
      </c>
      <c r="AA14" s="93">
        <v>28.0</v>
      </c>
      <c r="AB14" s="93">
        <v>24.0</v>
      </c>
      <c r="AC14" s="93">
        <v>33.0</v>
      </c>
      <c r="AD14" s="93">
        <v>21.0</v>
      </c>
      <c r="AE14" s="93">
        <v>12.0</v>
      </c>
      <c r="AF14" s="93">
        <v>6.0</v>
      </c>
      <c r="AG14" s="93">
        <v>30.0</v>
      </c>
      <c r="AH14" s="93">
        <v>12.0</v>
      </c>
      <c r="AI14" s="93">
        <v>18.0</v>
      </c>
      <c r="AJ14" s="93">
        <v>22.0</v>
      </c>
      <c r="AK14" s="93">
        <v>19.0</v>
      </c>
      <c r="AL14" s="93">
        <v>9.0</v>
      </c>
      <c r="AM14" s="93">
        <v>21.0</v>
      </c>
      <c r="AN14" s="93">
        <v>8.0</v>
      </c>
      <c r="AO14" s="111">
        <f t="shared" si="4"/>
        <v>211.0</v>
      </c>
      <c r="AP14" s="64">
        <f t="shared" si="5"/>
        <v>114.0</v>
      </c>
      <c r="AQ14" s="69">
        <f t="shared" si="6"/>
        <v>125.4</v>
      </c>
      <c r="AR14" s="65">
        <f t="shared" si="30"/>
        <v>26.1224489795919</v>
      </c>
      <c r="AS14" s="65">
        <f t="shared" si="31"/>
        <v>20.8979591836733</v>
      </c>
      <c r="AT14" s="65">
        <f t="shared" si="32"/>
        <v>22.204081632653</v>
      </c>
      <c r="AU14" s="65">
        <f t="shared" si="33"/>
        <v>20.8979591836733</v>
      </c>
      <c r="AV14" s="65">
        <f t="shared" si="34"/>
        <v>18.2857142857142</v>
      </c>
      <c r="AW14" s="65">
        <f t="shared" si="35"/>
        <v>19.5918367346938</v>
      </c>
      <c r="AX14" s="64">
        <f t="shared" si="13"/>
        <v>127.999999999999</v>
      </c>
      <c r="AY14" s="64" t="e">
        <f t="shared" si="14"/>
        <v>#REF!</v>
      </c>
      <c r="BB14" s="69" t="e">
        <f t="shared" si="36"/>
        <v>#REF!</v>
      </c>
      <c r="BE14" s="47" t="s">
        <v>450</v>
      </c>
      <c r="BF14" s="65" t="e">
        <f t="shared" si="37"/>
        <v>#REF!</v>
      </c>
      <c r="BG14" s="65">
        <f t="shared" si="38"/>
        <v>26.1224489795919</v>
      </c>
      <c r="BH14" s="65">
        <f t="shared" si="18"/>
      </c>
      <c r="BI14" s="65" t="e">
        <f t="shared" si="39"/>
        <v>#REF!</v>
      </c>
      <c r="BJ14" s="65">
        <f t="shared" si="40"/>
        <v>20.8979591836733</v>
      </c>
      <c r="BK14" s="65"/>
      <c r="BL14" s="65" t="e">
        <f t="shared" si="41"/>
        <v>#REF!</v>
      </c>
      <c r="BM14" s="65">
        <f t="shared" si="42"/>
        <v>22.204081632653</v>
      </c>
      <c r="BN14" s="65"/>
      <c r="BO14" s="65" t="e">
        <f t="shared" si="43"/>
        <v>#REF!</v>
      </c>
      <c r="BP14" s="65">
        <f t="shared" si="44"/>
        <v>20.8979591836733</v>
      </c>
      <c r="BQ14" s="65"/>
      <c r="BR14" s="65" t="e">
        <f t="shared" si="45"/>
        <v>#REF!</v>
      </c>
      <c r="BS14" s="65">
        <f t="shared" si="46"/>
        <v>18.2857142857142</v>
      </c>
      <c r="BT14" s="65"/>
      <c r="BU14" s="65" t="e">
        <f t="shared" si="47"/>
        <v>#REF!</v>
      </c>
      <c r="BV14" s="65">
        <f t="shared" si="48"/>
        <v>19.5918367346938</v>
      </c>
      <c r="BW14" s="65"/>
      <c r="BX14" s="65" t="e">
        <f t="shared" si="49"/>
        <v>#REF!</v>
      </c>
    </row>
    <row r="15" ht="14.0" customFormat="1" s="47">
      <c r="A15" s="93" t="s">
        <v>430</v>
      </c>
      <c r="B15" s="93" t="s">
        <v>438</v>
      </c>
      <c r="C15" s="93" t="s">
        <v>451</v>
      </c>
      <c r="D15" s="112" t="s">
        <v>452</v>
      </c>
      <c r="E15" s="93">
        <v>0.0</v>
      </c>
      <c r="F15" s="93">
        <v>0.0</v>
      </c>
      <c r="G15" s="93">
        <v>0.0</v>
      </c>
      <c r="H15" s="93">
        <v>0.0</v>
      </c>
      <c r="I15" s="93">
        <v>0.0</v>
      </c>
      <c r="J15" s="93">
        <v>0.0</v>
      </c>
      <c r="K15" s="93">
        <v>0.0</v>
      </c>
      <c r="L15" s="93">
        <v>3.0</v>
      </c>
      <c r="M15" s="93">
        <v>41.0</v>
      </c>
      <c r="N15" s="93">
        <v>78.0</v>
      </c>
      <c r="O15" s="93">
        <v>57.0</v>
      </c>
      <c r="P15" s="93">
        <v>54.0</v>
      </c>
      <c r="Q15" s="93">
        <v>69.0</v>
      </c>
      <c r="R15" s="93">
        <v>39.0</v>
      </c>
      <c r="S15" s="93">
        <v>21.0</v>
      </c>
      <c r="T15" s="93">
        <v>12.0</v>
      </c>
      <c r="U15" s="93">
        <v>33.0</v>
      </c>
      <c r="V15" s="93">
        <v>36.0</v>
      </c>
      <c r="W15" s="93">
        <v>54.0</v>
      </c>
      <c r="X15" s="93">
        <v>27.0</v>
      </c>
      <c r="Y15" s="93">
        <v>26.0</v>
      </c>
      <c r="Z15" s="93">
        <v>31.0</v>
      </c>
      <c r="AA15" s="93">
        <v>25.0</v>
      </c>
      <c r="AB15" s="93">
        <v>42.0</v>
      </c>
      <c r="AC15" s="93">
        <v>42.0</v>
      </c>
      <c r="AD15" s="93">
        <v>42.0</v>
      </c>
      <c r="AE15" s="93">
        <v>12.0</v>
      </c>
      <c r="AF15" s="93">
        <v>6.0</v>
      </c>
      <c r="AG15" s="93">
        <v>39.0</v>
      </c>
      <c r="AH15" s="93">
        <v>9.0</v>
      </c>
      <c r="AI15" s="93">
        <v>6.0</v>
      </c>
      <c r="AJ15" s="93">
        <v>18.0</v>
      </c>
      <c r="AK15" s="93">
        <v>21.0</v>
      </c>
      <c r="AL15" s="93">
        <v>18.0</v>
      </c>
      <c r="AM15" s="93">
        <v>27.0</v>
      </c>
      <c r="AN15" s="93">
        <v>16.0</v>
      </c>
      <c r="AO15" s="111">
        <f t="shared" si="4"/>
        <v>256.0</v>
      </c>
      <c r="AP15" s="64">
        <f t="shared" si="5"/>
        <v>150.0</v>
      </c>
      <c r="AQ15" s="69">
        <f t="shared" si="6"/>
        <v>165.0</v>
      </c>
      <c r="AR15" s="65">
        <f t="shared" si="30"/>
        <v>33.469387755102</v>
      </c>
      <c r="AS15" s="65">
        <f t="shared" si="31"/>
        <v>26.7755102040816</v>
      </c>
      <c r="AT15" s="65">
        <f t="shared" si="32"/>
        <v>28.4489795918367</v>
      </c>
      <c r="AU15" s="65">
        <f t="shared" si="33"/>
        <v>26.7755102040816</v>
      </c>
      <c r="AV15" s="65">
        <f t="shared" si="34"/>
        <v>23.4285714285714</v>
      </c>
      <c r="AW15" s="65">
        <f t="shared" si="35"/>
        <v>25.1020408163264</v>
      </c>
      <c r="AX15" s="64">
        <f t="shared" si="13"/>
        <v>164.0</v>
      </c>
      <c r="AY15" s="64" t="e">
        <f t="shared" si="14"/>
        <v>#REF!</v>
      </c>
      <c r="BB15" s="69" t="e">
        <f t="shared" si="36"/>
        <v>#REF!</v>
      </c>
      <c r="BE15" s="47" t="s">
        <v>453</v>
      </c>
      <c r="BF15" s="65" t="e">
        <f t="shared" si="37"/>
        <v>#REF!</v>
      </c>
      <c r="BG15" s="65">
        <f t="shared" si="38"/>
        <v>33.469387755102</v>
      </c>
      <c r="BH15" s="65">
        <f t="shared" si="18"/>
      </c>
      <c r="BI15" s="65" t="e">
        <f t="shared" si="39"/>
        <v>#REF!</v>
      </c>
      <c r="BJ15" s="65">
        <f t="shared" si="40"/>
        <v>26.7755102040816</v>
      </c>
      <c r="BK15" s="65"/>
      <c r="BL15" s="65" t="e">
        <f t="shared" si="41"/>
        <v>#REF!</v>
      </c>
      <c r="BM15" s="65">
        <f t="shared" si="42"/>
        <v>28.4489795918367</v>
      </c>
      <c r="BN15" s="65"/>
      <c r="BO15" s="65" t="e">
        <f t="shared" si="43"/>
        <v>#REF!</v>
      </c>
      <c r="BP15" s="65">
        <f t="shared" si="44"/>
        <v>26.7755102040816</v>
      </c>
      <c r="BQ15" s="65"/>
      <c r="BR15" s="65" t="e">
        <f t="shared" si="45"/>
        <v>#REF!</v>
      </c>
      <c r="BS15" s="65">
        <f t="shared" si="46"/>
        <v>23.4285714285714</v>
      </c>
      <c r="BT15" s="65"/>
      <c r="BU15" s="65" t="e">
        <f t="shared" si="47"/>
        <v>#REF!</v>
      </c>
      <c r="BV15" s="65">
        <f t="shared" si="48"/>
        <v>25.1020408163264</v>
      </c>
      <c r="BW15" s="65"/>
      <c r="BX15" s="65" t="e">
        <f t="shared" si="49"/>
        <v>#REF!</v>
      </c>
    </row>
    <row r="16" ht="14.0" customFormat="1" s="47">
      <c r="A16" s="93" t="s">
        <v>430</v>
      </c>
      <c r="B16" s="93" t="s">
        <v>438</v>
      </c>
      <c r="C16" s="93" t="s">
        <v>454</v>
      </c>
      <c r="D16" s="93" t="s">
        <v>455</v>
      </c>
      <c r="E16" s="93">
        <v>0.0</v>
      </c>
      <c r="F16" s="93">
        <v>0.0</v>
      </c>
      <c r="G16" s="93">
        <v>0.0</v>
      </c>
      <c r="H16" s="93">
        <v>0.0</v>
      </c>
      <c r="I16" s="93">
        <v>0.0</v>
      </c>
      <c r="J16" s="93">
        <v>0.0</v>
      </c>
      <c r="K16" s="93">
        <v>0.0</v>
      </c>
      <c r="L16" s="93">
        <v>11.0</v>
      </c>
      <c r="M16" s="93">
        <v>76.0</v>
      </c>
      <c r="N16" s="93">
        <v>96.0</v>
      </c>
      <c r="O16" s="93">
        <v>71.0</v>
      </c>
      <c r="P16" s="93">
        <v>54.0</v>
      </c>
      <c r="Q16" s="93">
        <v>63.0</v>
      </c>
      <c r="R16" s="93">
        <v>33.0</v>
      </c>
      <c r="S16" s="93">
        <v>18.0</v>
      </c>
      <c r="T16" s="93">
        <v>18.0</v>
      </c>
      <c r="U16" s="93">
        <v>90.0</v>
      </c>
      <c r="V16" s="93">
        <v>75.0</v>
      </c>
      <c r="W16" s="93">
        <v>90.0</v>
      </c>
      <c r="X16" s="93">
        <v>24.0</v>
      </c>
      <c r="Y16" s="93">
        <v>21.0</v>
      </c>
      <c r="Z16" s="93">
        <v>10.0</v>
      </c>
      <c r="AA16" s="93">
        <v>28.0</v>
      </c>
      <c r="AB16" s="93">
        <v>27.0</v>
      </c>
      <c r="AC16" s="93">
        <v>12.0</v>
      </c>
      <c r="AD16" s="93">
        <v>33.0</v>
      </c>
      <c r="AE16" s="93">
        <v>15.0</v>
      </c>
      <c r="AF16" s="93">
        <v>12.0</v>
      </c>
      <c r="AG16" s="93">
        <v>27.0</v>
      </c>
      <c r="AH16" s="93">
        <v>27.0</v>
      </c>
      <c r="AI16" s="93">
        <v>30.0</v>
      </c>
      <c r="AJ16" s="93">
        <v>27.0</v>
      </c>
      <c r="AK16" s="93">
        <v>21.0</v>
      </c>
      <c r="AL16" s="93">
        <v>18.0</v>
      </c>
      <c r="AM16" s="93">
        <v>36.0</v>
      </c>
      <c r="AN16" s="93">
        <v>4.0</v>
      </c>
      <c r="AO16" s="111">
        <f t="shared" si="4"/>
        <v>262.0</v>
      </c>
      <c r="AP16" s="64">
        <f t="shared" si="5"/>
        <v>126.0</v>
      </c>
      <c r="AQ16" s="69">
        <f t="shared" si="6"/>
        <v>138.6</v>
      </c>
      <c r="AR16" s="65">
        <f t="shared" ref="AR16:AR29" si="50">AQ16*$AR$4/$AQ$4</f>
        <v>25.7142857142857</v>
      </c>
      <c r="AS16" s="65">
        <f t="shared" ref="AS16:AS29" si="51">AQ16*$AS$4/$AQ$4</f>
        <v>20.571428571429</v>
      </c>
      <c r="AT16" s="65">
        <f t="shared" ref="AT16:AT29" si="52">AQ16*$AT$4/$AQ$4</f>
        <v>21.8571428571429</v>
      </c>
      <c r="AU16" s="65">
        <f t="shared" ref="AU16:AU29" si="53">AQ16*$AU$4/$AQ$4</f>
        <v>20.571428571429</v>
      </c>
      <c r="AV16" s="65">
        <f t="shared" ref="AV16:AV29" si="54">AQ16*$AV$4/$AQ$4</f>
        <v>18.0</v>
      </c>
      <c r="AW16" s="97">
        <f>AH16*1.1</f>
        <v>29.7</v>
      </c>
      <c r="AX16" s="64">
        <f t="shared" si="13"/>
        <v>136.414285714287</v>
      </c>
      <c r="AY16" s="64" t="e">
        <f t="shared" si="14"/>
        <v>#REF!</v>
      </c>
      <c r="BB16" s="69" t="e">
        <f t="shared" si="36"/>
        <v>#REF!</v>
      </c>
      <c r="BF16" s="65" t="e">
        <f t="shared" si="37"/>
        <v>#REF!</v>
      </c>
      <c r="BG16" s="65">
        <f t="shared" si="38"/>
        <v>25.7142857142857</v>
      </c>
      <c r="BH16" s="65">
        <f t="shared" si="18"/>
      </c>
      <c r="BI16" s="65" t="e">
        <f t="shared" si="39"/>
        <v>#REF!</v>
      </c>
      <c r="BJ16" s="65">
        <f t="shared" si="40"/>
        <v>20.571428571429</v>
      </c>
      <c r="BK16" s="65"/>
      <c r="BL16" s="65" t="e">
        <f t="shared" si="41"/>
        <v>#REF!</v>
      </c>
      <c r="BM16" s="65">
        <f t="shared" si="42"/>
        <v>21.8571428571429</v>
      </c>
      <c r="BN16" s="65"/>
      <c r="BO16" s="65" t="e">
        <f t="shared" si="43"/>
        <v>#REF!</v>
      </c>
      <c r="BP16" s="65">
        <f t="shared" si="44"/>
        <v>20.571428571429</v>
      </c>
      <c r="BQ16" s="65"/>
      <c r="BR16" s="65" t="e">
        <f t="shared" si="45"/>
        <v>#REF!</v>
      </c>
      <c r="BS16" s="65">
        <f t="shared" si="46"/>
        <v>18.0</v>
      </c>
      <c r="BT16" s="65"/>
      <c r="BU16" s="65" t="e">
        <f t="shared" si="47"/>
        <v>#REF!</v>
      </c>
      <c r="BV16" s="65">
        <f t="shared" si="48"/>
        <v>29.7</v>
      </c>
      <c r="BW16" s="65"/>
      <c r="BX16" s="65" t="e">
        <f t="shared" si="49"/>
        <v>#REF!</v>
      </c>
    </row>
    <row r="17" ht="14.0" customFormat="1" s="47">
      <c r="A17" s="93" t="s">
        <v>430</v>
      </c>
      <c r="B17" s="93" t="s">
        <v>438</v>
      </c>
      <c r="C17" s="93" t="s">
        <v>456</v>
      </c>
      <c r="D17" s="93" t="s">
        <v>457</v>
      </c>
      <c r="E17" s="93">
        <v>0.0</v>
      </c>
      <c r="F17" s="93">
        <v>0.0</v>
      </c>
      <c r="G17" s="93">
        <v>0.0</v>
      </c>
      <c r="H17" s="93">
        <v>0.0</v>
      </c>
      <c r="I17" s="93">
        <v>0.0</v>
      </c>
      <c r="J17" s="93">
        <v>0.0</v>
      </c>
      <c r="K17" s="93">
        <v>0.0</v>
      </c>
      <c r="L17" s="93">
        <v>10.0</v>
      </c>
      <c r="M17" s="93">
        <v>70.0</v>
      </c>
      <c r="N17" s="93">
        <v>120.0</v>
      </c>
      <c r="O17" s="93">
        <v>133.0</v>
      </c>
      <c r="P17" s="93">
        <v>54.0</v>
      </c>
      <c r="Q17" s="93">
        <v>63.0</v>
      </c>
      <c r="R17" s="93">
        <v>39.0</v>
      </c>
      <c r="S17" s="93">
        <v>12.0</v>
      </c>
      <c r="T17" s="93">
        <v>15.0</v>
      </c>
      <c r="U17" s="93">
        <v>63.0</v>
      </c>
      <c r="V17" s="93">
        <v>30.0</v>
      </c>
      <c r="W17" s="93">
        <v>33.0</v>
      </c>
      <c r="X17" s="93">
        <v>18.0</v>
      </c>
      <c r="Y17" s="93">
        <v>20.0</v>
      </c>
      <c r="Z17" s="93">
        <v>28.0</v>
      </c>
      <c r="AA17" s="93">
        <v>53.0</v>
      </c>
      <c r="AB17" s="93">
        <v>44.0</v>
      </c>
      <c r="AC17" s="93">
        <v>3.0</v>
      </c>
      <c r="AD17" s="93">
        <v>36.0</v>
      </c>
      <c r="AE17" s="93">
        <v>18.0</v>
      </c>
      <c r="AF17" s="93">
        <v>9.0</v>
      </c>
      <c r="AG17" s="93">
        <v>12.0</v>
      </c>
      <c r="AH17" s="93">
        <v>9.0</v>
      </c>
      <c r="AI17" s="93">
        <v>6.0</v>
      </c>
      <c r="AJ17" s="93">
        <v>21.0</v>
      </c>
      <c r="AK17" s="93">
        <v>21.0</v>
      </c>
      <c r="AL17" s="93">
        <v>24.0</v>
      </c>
      <c r="AM17" s="93">
        <v>57.0</v>
      </c>
      <c r="AN17" s="93">
        <v>4.0</v>
      </c>
      <c r="AO17" s="111">
        <f t="shared" si="4"/>
        <v>220.0</v>
      </c>
      <c r="AP17" s="64">
        <f t="shared" si="5"/>
        <v>87.0</v>
      </c>
      <c r="AQ17" s="69">
        <f t="shared" si="6"/>
        <v>95.7</v>
      </c>
      <c r="AR17" s="65">
        <f t="shared" si="50"/>
        <v>17.7551020408163</v>
      </c>
      <c r="AS17" s="65">
        <f t="shared" si="51"/>
        <v>14.204081632653</v>
      </c>
      <c r="AT17" s="65">
        <f t="shared" si="52"/>
        <v>15.0918367346939</v>
      </c>
      <c r="AU17" s="65">
        <f t="shared" si="53"/>
        <v>14.204081632653</v>
      </c>
      <c r="AV17" s="65">
        <f t="shared" si="54"/>
        <v>12.4285714285714</v>
      </c>
      <c r="AW17" s="65">
        <f>AQ17*$AW$4/$AQ$4</f>
        <v>13.3163265306122</v>
      </c>
      <c r="AX17" s="64">
        <f t="shared" si="13"/>
        <v>86.9999999999998</v>
      </c>
      <c r="AY17" s="64" t="e">
        <f t="shared" si="14"/>
        <v>#REF!</v>
      </c>
      <c r="BB17" s="69" t="e">
        <f t="shared" si="36"/>
        <v>#REF!</v>
      </c>
      <c r="BF17" s="65" t="e">
        <f t="shared" si="37"/>
        <v>#REF!</v>
      </c>
      <c r="BG17" s="65">
        <f t="shared" si="38"/>
        <v>17.7551020408163</v>
      </c>
      <c r="BH17" s="65">
        <f t="shared" si="18"/>
      </c>
      <c r="BI17" s="65" t="e">
        <f t="shared" si="39"/>
        <v>#REF!</v>
      </c>
      <c r="BJ17" s="65">
        <f t="shared" si="40"/>
        <v>14.204081632653</v>
      </c>
      <c r="BK17" s="65"/>
      <c r="BL17" s="65" t="e">
        <f t="shared" si="41"/>
        <v>#REF!</v>
      </c>
      <c r="BM17" s="65">
        <f t="shared" si="42"/>
        <v>15.0918367346939</v>
      </c>
      <c r="BN17" s="65"/>
      <c r="BO17" s="65" t="e">
        <f t="shared" si="43"/>
        <v>#REF!</v>
      </c>
      <c r="BP17" s="65">
        <f t="shared" si="44"/>
        <v>14.204081632653</v>
      </c>
      <c r="BQ17" s="65"/>
      <c r="BR17" s="65" t="e">
        <f t="shared" si="45"/>
        <v>#REF!</v>
      </c>
      <c r="BS17" s="65">
        <f t="shared" si="46"/>
        <v>12.4285714285714</v>
      </c>
      <c r="BT17" s="65"/>
      <c r="BU17" s="65" t="e">
        <f t="shared" si="47"/>
        <v>#REF!</v>
      </c>
      <c r="BV17" s="65">
        <f t="shared" si="48"/>
        <v>13.3163265306122</v>
      </c>
      <c r="BW17" s="65"/>
      <c r="BX17" s="65" t="e">
        <f t="shared" si="49"/>
        <v>#REF!</v>
      </c>
    </row>
    <row r="18" ht="14.0" customFormat="1" s="47">
      <c r="A18" s="93" t="s">
        <v>430</v>
      </c>
      <c r="B18" s="93" t="s">
        <v>438</v>
      </c>
      <c r="C18" s="93" t="s">
        <v>458</v>
      </c>
      <c r="D18" s="93" t="s">
        <v>459</v>
      </c>
      <c r="E18" s="93">
        <v>0.0</v>
      </c>
      <c r="F18" s="93">
        <v>0.0</v>
      </c>
      <c r="G18" s="93">
        <v>0.0</v>
      </c>
      <c r="H18" s="93">
        <v>0.0</v>
      </c>
      <c r="I18" s="93">
        <v>0.0</v>
      </c>
      <c r="J18" s="93">
        <v>0.0</v>
      </c>
      <c r="K18" s="93">
        <v>0.0</v>
      </c>
      <c r="L18" s="93">
        <v>1.0</v>
      </c>
      <c r="M18" s="93">
        <v>43.0</v>
      </c>
      <c r="N18" s="93">
        <v>87.0</v>
      </c>
      <c r="O18" s="93">
        <v>73.0</v>
      </c>
      <c r="P18" s="93">
        <v>36.0</v>
      </c>
      <c r="Q18" s="93">
        <v>66.0</v>
      </c>
      <c r="R18" s="93">
        <v>39.0</v>
      </c>
      <c r="S18" s="93">
        <v>21.0</v>
      </c>
      <c r="T18" s="93">
        <v>15.0</v>
      </c>
      <c r="U18" s="93">
        <v>60.0</v>
      </c>
      <c r="V18" s="93">
        <v>99.0</v>
      </c>
      <c r="W18" s="93">
        <v>84.0</v>
      </c>
      <c r="X18" s="93">
        <v>33.0</v>
      </c>
      <c r="Y18" s="93">
        <v>15.0</v>
      </c>
      <c r="Z18" s="93">
        <v>31.0</v>
      </c>
      <c r="AA18" s="93">
        <v>21.0</v>
      </c>
      <c r="AB18" s="93">
        <v>33.0</v>
      </c>
      <c r="AC18" s="93">
        <v>9.0</v>
      </c>
      <c r="AD18" s="93">
        <v>27.0</v>
      </c>
      <c r="AE18" s="93">
        <v>9.0</v>
      </c>
      <c r="AF18" s="93">
        <v>15.0</v>
      </c>
      <c r="AG18" s="93">
        <v>30.0</v>
      </c>
      <c r="AH18" s="93">
        <v>36.0</v>
      </c>
      <c r="AI18" s="93">
        <v>45.0</v>
      </c>
      <c r="AJ18" s="93">
        <v>27.0</v>
      </c>
      <c r="AK18" s="93">
        <v>15.0</v>
      </c>
      <c r="AL18" s="93">
        <v>12.0</v>
      </c>
      <c r="AM18" s="93">
        <v>18.0</v>
      </c>
      <c r="AN18" s="93">
        <v>4.0</v>
      </c>
      <c r="AO18" s="111">
        <f t="shared" si="4"/>
        <v>247.0</v>
      </c>
      <c r="AP18" s="64">
        <f t="shared" si="5"/>
        <v>126.0</v>
      </c>
      <c r="AQ18" s="69">
        <f t="shared" si="6"/>
        <v>138.6</v>
      </c>
      <c r="AR18" s="65">
        <f t="shared" si="50"/>
        <v>25.7142857142857</v>
      </c>
      <c r="AS18" s="65">
        <f t="shared" si="51"/>
        <v>20.571428571429</v>
      </c>
      <c r="AT18" s="65">
        <f t="shared" si="52"/>
        <v>21.8571428571429</v>
      </c>
      <c r="AU18" s="65">
        <f t="shared" si="53"/>
        <v>20.571428571429</v>
      </c>
      <c r="AV18" s="65">
        <f t="shared" si="54"/>
        <v>18.0</v>
      </c>
      <c r="AW18" s="97">
        <f>AH18*1.1</f>
        <v>39.6</v>
      </c>
      <c r="AX18" s="64">
        <f t="shared" si="13"/>
        <v>146.314285714287</v>
      </c>
      <c r="AY18" s="64" t="e">
        <f t="shared" si="14"/>
        <v>#REF!</v>
      </c>
      <c r="BB18" s="69" t="e">
        <f t="shared" si="36"/>
        <v>#REF!</v>
      </c>
      <c r="BF18" s="65" t="e">
        <f t="shared" si="37"/>
        <v>#REF!</v>
      </c>
      <c r="BG18" s="65">
        <f t="shared" si="38"/>
        <v>25.7142857142857</v>
      </c>
      <c r="BH18" s="65">
        <f t="shared" si="18"/>
      </c>
      <c r="BI18" s="65" t="e">
        <f t="shared" si="39"/>
        <v>#REF!</v>
      </c>
      <c r="BJ18" s="65">
        <f t="shared" si="40"/>
        <v>20.571428571429</v>
      </c>
      <c r="BK18" s="65"/>
      <c r="BL18" s="65" t="e">
        <f t="shared" si="41"/>
        <v>#REF!</v>
      </c>
      <c r="BM18" s="65">
        <f t="shared" si="42"/>
        <v>21.8571428571429</v>
      </c>
      <c r="BN18" s="65"/>
      <c r="BO18" s="65" t="e">
        <f t="shared" si="43"/>
        <v>#REF!</v>
      </c>
      <c r="BP18" s="65">
        <f t="shared" si="44"/>
        <v>20.571428571429</v>
      </c>
      <c r="BQ18" s="65"/>
      <c r="BR18" s="65" t="e">
        <f t="shared" si="45"/>
        <v>#REF!</v>
      </c>
      <c r="BS18" s="65">
        <f t="shared" si="46"/>
        <v>18.0</v>
      </c>
      <c r="BT18" s="65"/>
      <c r="BU18" s="65" t="e">
        <f t="shared" si="47"/>
        <v>#REF!</v>
      </c>
      <c r="BV18" s="65">
        <f t="shared" si="48"/>
        <v>39.6</v>
      </c>
      <c r="BW18" s="65"/>
      <c r="BX18" s="65" t="e">
        <f t="shared" si="49"/>
        <v>#REF!</v>
      </c>
    </row>
    <row r="19" ht="14.0" customFormat="1" s="47">
      <c r="A19" s="93" t="s">
        <v>430</v>
      </c>
      <c r="B19" s="93" t="s">
        <v>438</v>
      </c>
      <c r="C19" s="93" t="s">
        <v>460</v>
      </c>
      <c r="D19" s="93" t="s">
        <v>461</v>
      </c>
      <c r="E19" s="93">
        <v>0.0</v>
      </c>
      <c r="F19" s="93">
        <v>0.0</v>
      </c>
      <c r="G19" s="93">
        <v>0.0</v>
      </c>
      <c r="H19" s="93">
        <v>0.0</v>
      </c>
      <c r="I19" s="93">
        <v>0.0</v>
      </c>
      <c r="J19" s="93">
        <v>0.0</v>
      </c>
      <c r="K19" s="93">
        <v>0.0</v>
      </c>
      <c r="L19" s="93">
        <v>2.0</v>
      </c>
      <c r="M19" s="93">
        <v>49.0</v>
      </c>
      <c r="N19" s="93">
        <v>99.0</v>
      </c>
      <c r="O19" s="93">
        <v>140.0</v>
      </c>
      <c r="P19" s="93">
        <v>24.0</v>
      </c>
      <c r="Q19" s="93">
        <v>57.0</v>
      </c>
      <c r="R19" s="93">
        <v>36.0</v>
      </c>
      <c r="S19" s="93">
        <v>12.0</v>
      </c>
      <c r="T19" s="93">
        <v>3.0</v>
      </c>
      <c r="U19" s="93">
        <v>21.0</v>
      </c>
      <c r="V19" s="93">
        <v>15.0</v>
      </c>
      <c r="W19" s="93">
        <v>9.0</v>
      </c>
      <c r="X19" s="93">
        <v>12.0</v>
      </c>
      <c r="Y19" s="93">
        <v>12.0</v>
      </c>
      <c r="Z19" s="93">
        <v>25.0</v>
      </c>
      <c r="AA19" s="93">
        <v>39.0</v>
      </c>
      <c r="AB19" s="93">
        <v>27.0</v>
      </c>
      <c r="AC19" s="93">
        <v>6.0</v>
      </c>
      <c r="AD19" s="93">
        <v>24.0</v>
      </c>
      <c r="AE19" s="93">
        <v>6.0</v>
      </c>
      <c r="AF19" s="93">
        <v>9.0</v>
      </c>
      <c r="AG19" s="93">
        <v>12.0</v>
      </c>
      <c r="AH19" s="93">
        <v>3.0</v>
      </c>
      <c r="AI19" s="93">
        <v>3.0</v>
      </c>
      <c r="AJ19" s="93">
        <v>9.0</v>
      </c>
      <c r="AK19" s="93">
        <v>15.0</v>
      </c>
      <c r="AL19" s="93">
        <v>24.0</v>
      </c>
      <c r="AM19" s="93">
        <v>45.0</v>
      </c>
      <c r="AN19" s="93">
        <v>8.0</v>
      </c>
      <c r="AO19" s="111">
        <f t="shared" si="4"/>
        <v>164.0</v>
      </c>
      <c r="AP19" s="64">
        <f t="shared" si="5"/>
        <v>60.0</v>
      </c>
      <c r="AQ19" s="69">
        <f t="shared" si="6"/>
        <v>66.0</v>
      </c>
      <c r="AR19" s="65">
        <f t="shared" si="50"/>
        <v>12.2448979591837</v>
      </c>
      <c r="AS19" s="65">
        <f t="shared" si="51"/>
        <v>9.79591836734693</v>
      </c>
      <c r="AT19" s="65">
        <f t="shared" si="52"/>
        <v>10.4081632653061</v>
      </c>
      <c r="AU19" s="65">
        <f t="shared" si="53"/>
        <v>9.79591836734693</v>
      </c>
      <c r="AV19" s="65">
        <f t="shared" si="54"/>
        <v>8.57142857142857</v>
      </c>
      <c r="AW19" s="65">
        <f t="shared" ref="AW19:AW23" si="58">AQ19*$AW$4/$AQ$4</f>
        <v>9.18367346938775</v>
      </c>
      <c r="AX19" s="64">
        <f t="shared" si="13"/>
        <v>60.0</v>
      </c>
      <c r="AY19" s="64" t="e">
        <f t="shared" si="14"/>
        <v>#REF!</v>
      </c>
      <c r="BB19" s="69" t="e">
        <f t="shared" si="36"/>
        <v>#REF!</v>
      </c>
      <c r="BF19" s="65" t="e">
        <f t="shared" si="37"/>
        <v>#REF!</v>
      </c>
      <c r="BG19" s="65">
        <f t="shared" si="38"/>
        <v>12.2448979591837</v>
      </c>
      <c r="BH19" s="65">
        <f t="shared" si="18"/>
      </c>
      <c r="BI19" s="65" t="e">
        <f t="shared" si="39"/>
        <v>#REF!</v>
      </c>
      <c r="BJ19" s="65">
        <f t="shared" si="40"/>
        <v>9.79591836734693</v>
      </c>
      <c r="BK19" s="65"/>
      <c r="BL19" s="65" t="e">
        <f t="shared" si="41"/>
        <v>#REF!</v>
      </c>
      <c r="BM19" s="65">
        <f t="shared" si="42"/>
        <v>10.4081632653061</v>
      </c>
      <c r="BN19" s="65"/>
      <c r="BO19" s="65" t="e">
        <f t="shared" si="43"/>
        <v>#REF!</v>
      </c>
      <c r="BP19" s="65">
        <f t="shared" si="44"/>
        <v>9.79591836734693</v>
      </c>
      <c r="BQ19" s="65"/>
      <c r="BR19" s="65" t="e">
        <f t="shared" si="45"/>
        <v>#REF!</v>
      </c>
      <c r="BS19" s="65">
        <f t="shared" si="46"/>
        <v>8.57142857142857</v>
      </c>
      <c r="BT19" s="65"/>
      <c r="BU19" s="65" t="e">
        <f t="shared" si="47"/>
        <v>#REF!</v>
      </c>
      <c r="BV19" s="65">
        <f t="shared" si="48"/>
        <v>9.18367346938775</v>
      </c>
      <c r="BW19" s="65"/>
      <c r="BX19" s="65" t="e">
        <f t="shared" si="49"/>
        <v>#REF!</v>
      </c>
    </row>
    <row r="20" ht="14.0" customFormat="1" s="47">
      <c r="A20" s="93" t="s">
        <v>430</v>
      </c>
      <c r="B20" s="93" t="s">
        <v>438</v>
      </c>
      <c r="C20" s="93" t="s">
        <v>462</v>
      </c>
      <c r="D20" s="93" t="s">
        <v>463</v>
      </c>
      <c r="E20" s="93">
        <v>0.0</v>
      </c>
      <c r="F20" s="93">
        <v>0.0</v>
      </c>
      <c r="G20" s="93">
        <v>0.0</v>
      </c>
      <c r="H20" s="93">
        <v>0.0</v>
      </c>
      <c r="I20" s="93">
        <v>0.0</v>
      </c>
      <c r="J20" s="93">
        <v>0.0</v>
      </c>
      <c r="K20" s="93">
        <v>0.0</v>
      </c>
      <c r="L20" s="93">
        <v>3.0</v>
      </c>
      <c r="M20" s="93">
        <v>39.0</v>
      </c>
      <c r="N20" s="93">
        <v>51.0</v>
      </c>
      <c r="O20" s="93">
        <v>24.0</v>
      </c>
      <c r="P20" s="93">
        <v>18.0</v>
      </c>
      <c r="Q20" s="93">
        <v>48.0</v>
      </c>
      <c r="R20" s="93">
        <v>48.0</v>
      </c>
      <c r="S20" s="93">
        <v>42.0</v>
      </c>
      <c r="T20" s="93">
        <v>27.0</v>
      </c>
      <c r="U20" s="93">
        <v>57.0</v>
      </c>
      <c r="V20" s="93">
        <v>39.0</v>
      </c>
      <c r="W20" s="93">
        <v>21.0</v>
      </c>
      <c r="X20" s="93">
        <v>17.0</v>
      </c>
      <c r="Y20" s="93">
        <v>3.0</v>
      </c>
      <c r="Z20" s="93">
        <v>7.0</v>
      </c>
      <c r="AA20" s="93">
        <v>24.0</v>
      </c>
      <c r="AB20" s="93">
        <v>27.0</v>
      </c>
      <c r="AC20" s="93">
        <v>18.0</v>
      </c>
      <c r="AD20" s="93">
        <v>27.0</v>
      </c>
      <c r="AE20" s="93">
        <v>21.0</v>
      </c>
      <c r="AF20" s="93">
        <v>18.0</v>
      </c>
      <c r="AG20" s="93">
        <v>24.0</v>
      </c>
      <c r="AH20" s="93">
        <v>18.0</v>
      </c>
      <c r="AI20" s="93">
        <v>9.0</v>
      </c>
      <c r="AJ20" s="110">
        <f>X20</f>
        <v>17.0</v>
      </c>
      <c r="AK20" s="110">
        <f>Y20</f>
        <v>3.0</v>
      </c>
      <c r="AL20" s="93">
        <v>9.0</v>
      </c>
      <c r="AM20" s="93">
        <v>18.0</v>
      </c>
      <c r="AN20" s="93">
        <v>20.0</v>
      </c>
      <c r="AO20" s="111">
        <f t="shared" si="4"/>
        <v>202.0</v>
      </c>
      <c r="AP20" s="64">
        <f t="shared" si="5"/>
        <v>126.0</v>
      </c>
      <c r="AQ20" s="69">
        <f t="shared" si="6"/>
        <v>138.6</v>
      </c>
      <c r="AR20" s="65">
        <f t="shared" si="50"/>
        <v>25.7142857142857</v>
      </c>
      <c r="AS20" s="65">
        <f t="shared" si="51"/>
        <v>20.571428571429</v>
      </c>
      <c r="AT20" s="65">
        <f t="shared" si="52"/>
        <v>21.8571428571429</v>
      </c>
      <c r="AU20" s="65">
        <f t="shared" si="53"/>
        <v>20.571428571429</v>
      </c>
      <c r="AV20" s="65">
        <f t="shared" si="54"/>
        <v>18.0</v>
      </c>
      <c r="AW20" s="65">
        <f t="shared" si="58"/>
        <v>19.2857142857142</v>
      </c>
      <c r="AX20" s="64">
        <f t="shared" si="13"/>
        <v>126.0</v>
      </c>
      <c r="AY20" s="64" t="e">
        <f t="shared" si="14"/>
        <v>#REF!</v>
      </c>
      <c r="BB20" s="69" t="e">
        <f t="shared" si="36"/>
        <v>#REF!</v>
      </c>
      <c r="BF20" s="65" t="e">
        <f t="shared" si="37"/>
        <v>#REF!</v>
      </c>
      <c r="BG20" s="65">
        <f t="shared" si="38"/>
        <v>25.7142857142857</v>
      </c>
      <c r="BH20" s="65">
        <f t="shared" si="18"/>
      </c>
      <c r="BI20" s="65" t="e">
        <f t="shared" si="39"/>
        <v>#REF!</v>
      </c>
      <c r="BJ20" s="65">
        <f t="shared" si="40"/>
        <v>20.571428571429</v>
      </c>
      <c r="BK20" s="65"/>
      <c r="BL20" s="65" t="e">
        <f t="shared" si="41"/>
        <v>#REF!</v>
      </c>
      <c r="BM20" s="65">
        <f t="shared" si="42"/>
        <v>21.8571428571429</v>
      </c>
      <c r="BN20" s="65"/>
      <c r="BO20" s="65" t="e">
        <f t="shared" si="43"/>
        <v>#REF!</v>
      </c>
      <c r="BP20" s="65">
        <f t="shared" si="44"/>
        <v>20.571428571429</v>
      </c>
      <c r="BQ20" s="65"/>
      <c r="BR20" s="65" t="e">
        <f t="shared" si="45"/>
        <v>#REF!</v>
      </c>
      <c r="BS20" s="65">
        <f t="shared" si="46"/>
        <v>18.0</v>
      </c>
      <c r="BT20" s="65"/>
      <c r="BU20" s="65" t="e">
        <f t="shared" si="47"/>
        <v>#REF!</v>
      </c>
      <c r="BV20" s="65">
        <f t="shared" si="48"/>
        <v>19.2857142857142</v>
      </c>
      <c r="BW20" s="65"/>
      <c r="BX20" s="65" t="e">
        <f t="shared" si="49"/>
        <v>#REF!</v>
      </c>
    </row>
    <row r="21" ht="14.0" customFormat="1" s="47">
      <c r="A21" s="93" t="s">
        <v>430</v>
      </c>
      <c r="B21" s="93" t="s">
        <v>438</v>
      </c>
      <c r="C21" s="93" t="s">
        <v>464</v>
      </c>
      <c r="D21" s="93" t="s">
        <v>465</v>
      </c>
      <c r="E21" s="93">
        <v>124.0</v>
      </c>
      <c r="F21" s="93">
        <v>79.0</v>
      </c>
      <c r="G21" s="93">
        <v>40.0</v>
      </c>
      <c r="H21" s="93">
        <v>43.0</v>
      </c>
      <c r="I21" s="93">
        <v>66.0</v>
      </c>
      <c r="J21" s="93">
        <v>43.0</v>
      </c>
      <c r="K21" s="93">
        <v>89.0</v>
      </c>
      <c r="L21" s="93">
        <v>101.0</v>
      </c>
      <c r="M21" s="93">
        <v>27.0</v>
      </c>
      <c r="N21" s="93">
        <v>66.0</v>
      </c>
      <c r="O21" s="93">
        <v>57.0</v>
      </c>
      <c r="P21" s="93">
        <v>51.0</v>
      </c>
      <c r="Q21" s="93">
        <v>124.0</v>
      </c>
      <c r="R21" s="93">
        <v>54.0</v>
      </c>
      <c r="S21" s="93">
        <v>24.0</v>
      </c>
      <c r="T21" s="93">
        <v>40.0</v>
      </c>
      <c r="U21" s="93">
        <v>76.0</v>
      </c>
      <c r="V21" s="93">
        <v>66.0</v>
      </c>
      <c r="W21" s="93">
        <v>10.0</v>
      </c>
      <c r="X21" s="93">
        <v>0.0</v>
      </c>
      <c r="Y21" s="93">
        <v>0.0</v>
      </c>
      <c r="Z21" s="93">
        <v>25.0</v>
      </c>
      <c r="AA21" s="93">
        <v>30.0</v>
      </c>
      <c r="AB21" s="93">
        <v>30.0</v>
      </c>
      <c r="AC21" s="93">
        <v>51.0</v>
      </c>
      <c r="AD21" s="93">
        <v>42.0</v>
      </c>
      <c r="AE21" s="93">
        <v>24.0</v>
      </c>
      <c r="AF21" s="93">
        <v>21.0</v>
      </c>
      <c r="AG21" s="93">
        <v>60.0</v>
      </c>
      <c r="AH21" s="93">
        <v>12.0</v>
      </c>
      <c r="AI21" s="93">
        <v>41.0</v>
      </c>
      <c r="AJ21" s="93">
        <v>24.0</v>
      </c>
      <c r="AK21" s="93">
        <v>16.0</v>
      </c>
      <c r="AL21" s="110">
        <f>Z21</f>
        <v>25.0</v>
      </c>
      <c r="AM21" s="93">
        <v>22.0</v>
      </c>
      <c r="AN21" s="93">
        <v>25.0</v>
      </c>
      <c r="AO21" s="111">
        <f t="shared" si="4"/>
        <v>363.0</v>
      </c>
      <c r="AP21" s="64">
        <f t="shared" si="5"/>
        <v>210.0</v>
      </c>
      <c r="AQ21" s="69">
        <f t="shared" si="6"/>
        <v>231.0</v>
      </c>
      <c r="AR21" s="65">
        <f t="shared" si="50"/>
        <v>42.8571428571429</v>
      </c>
      <c r="AS21" s="65">
        <f t="shared" si="51"/>
        <v>34.2857142857142</v>
      </c>
      <c r="AT21" s="65">
        <f t="shared" si="52"/>
        <v>36.4285714285714</v>
      </c>
      <c r="AU21" s="65">
        <f t="shared" si="53"/>
        <v>34.2857142857142</v>
      </c>
      <c r="AV21" s="65">
        <f t="shared" si="54"/>
        <v>30.0</v>
      </c>
      <c r="AW21" s="65">
        <f t="shared" si="58"/>
        <v>32.1428571428571</v>
      </c>
      <c r="AX21" s="64">
        <f t="shared" si="13"/>
        <v>210.0</v>
      </c>
      <c r="AY21" s="64" t="e">
        <f t="shared" si="14"/>
        <v>#REF!</v>
      </c>
      <c r="BB21" s="69" t="e">
        <f t="shared" si="36"/>
        <v>#REF!</v>
      </c>
      <c r="BE21" s="47" t="s">
        <v>453</v>
      </c>
      <c r="BF21" s="65" t="e">
        <f t="shared" si="37"/>
        <v>#REF!</v>
      </c>
      <c r="BG21" s="65">
        <f t="shared" si="38"/>
        <v>42.8571428571429</v>
      </c>
      <c r="BH21" s="65">
        <f t="shared" si="18"/>
      </c>
      <c r="BI21" s="65" t="e">
        <f t="shared" si="39"/>
        <v>#REF!</v>
      </c>
      <c r="BJ21" s="65">
        <f t="shared" si="40"/>
        <v>34.2857142857142</v>
      </c>
      <c r="BK21" s="65"/>
      <c r="BL21" s="65" t="e">
        <f t="shared" si="41"/>
        <v>#REF!</v>
      </c>
      <c r="BM21" s="65">
        <f t="shared" si="42"/>
        <v>36.4285714285714</v>
      </c>
      <c r="BN21" s="65"/>
      <c r="BO21" s="65" t="e">
        <f t="shared" si="43"/>
        <v>#REF!</v>
      </c>
      <c r="BP21" s="65">
        <f t="shared" si="44"/>
        <v>34.2857142857142</v>
      </c>
      <c r="BQ21" s="65"/>
      <c r="BR21" s="65" t="e">
        <f t="shared" si="45"/>
        <v>#REF!</v>
      </c>
      <c r="BS21" s="65">
        <f t="shared" si="46"/>
        <v>30.0</v>
      </c>
      <c r="BT21" s="65"/>
      <c r="BU21" s="65" t="e">
        <f t="shared" si="47"/>
        <v>#REF!</v>
      </c>
      <c r="BV21" s="65">
        <f t="shared" si="48"/>
        <v>32.1428571428571</v>
      </c>
      <c r="BW21" s="65"/>
      <c r="BX21" s="65" t="e">
        <f t="shared" si="49"/>
        <v>#REF!</v>
      </c>
    </row>
    <row r="22" ht="14.0" customFormat="1" s="47">
      <c r="A22" s="93" t="s">
        <v>430</v>
      </c>
      <c r="B22" s="93" t="s">
        <v>53</v>
      </c>
      <c r="C22" s="93" t="s">
        <v>466</v>
      </c>
      <c r="D22" s="93" t="s">
        <v>467</v>
      </c>
      <c r="E22" s="93">
        <v>66.0</v>
      </c>
      <c r="F22" s="93">
        <v>46.0</v>
      </c>
      <c r="G22" s="93">
        <v>43.0</v>
      </c>
      <c r="H22" s="93">
        <v>0.0</v>
      </c>
      <c r="I22" s="93">
        <v>28.0</v>
      </c>
      <c r="J22" s="93">
        <v>33.0</v>
      </c>
      <c r="K22" s="93">
        <v>135.0</v>
      </c>
      <c r="L22" s="93">
        <v>78.0</v>
      </c>
      <c r="M22" s="93">
        <v>30.0</v>
      </c>
      <c r="N22" s="93">
        <v>45.0</v>
      </c>
      <c r="O22" s="93">
        <v>46.0</v>
      </c>
      <c r="P22" s="93">
        <v>15.0</v>
      </c>
      <c r="Q22" s="93">
        <v>36.0</v>
      </c>
      <c r="R22" s="93">
        <v>54.0</v>
      </c>
      <c r="S22" s="93">
        <v>54.0</v>
      </c>
      <c r="T22" s="93">
        <v>21.0</v>
      </c>
      <c r="U22" s="93">
        <v>42.0</v>
      </c>
      <c r="V22" s="93">
        <v>84.0</v>
      </c>
      <c r="W22" s="93">
        <v>87.0</v>
      </c>
      <c r="X22" s="93">
        <v>66.0</v>
      </c>
      <c r="Y22" s="93">
        <v>7.0</v>
      </c>
      <c r="Z22" s="93">
        <v>34.0</v>
      </c>
      <c r="AA22" s="93">
        <v>48.0</v>
      </c>
      <c r="AB22" s="93">
        <v>39.0</v>
      </c>
      <c r="AC22" s="93">
        <v>39.0</v>
      </c>
      <c r="AD22" s="93">
        <v>77.0</v>
      </c>
      <c r="AE22" s="93">
        <v>76.0</v>
      </c>
      <c r="AF22" s="93">
        <v>96.0</v>
      </c>
      <c r="AG22" s="93">
        <v>73.0</v>
      </c>
      <c r="AH22" s="93">
        <v>85.0</v>
      </c>
      <c r="AI22" s="93">
        <v>110.0</v>
      </c>
      <c r="AJ22" s="93">
        <v>12.0</v>
      </c>
      <c r="AK22" s="93">
        <v>41.0</v>
      </c>
      <c r="AL22" s="93">
        <v>36.0</v>
      </c>
      <c r="AM22" s="93">
        <v>72.0</v>
      </c>
      <c r="AN22" s="93">
        <v>34.0</v>
      </c>
      <c r="AO22" s="111">
        <f t="shared" si="4"/>
        <v>751.0</v>
      </c>
      <c r="AP22" s="64">
        <f t="shared" si="5"/>
        <v>446.0</v>
      </c>
      <c r="AQ22" s="69">
        <f t="shared" si="6"/>
        <v>490.6</v>
      </c>
      <c r="AR22" s="65">
        <f t="shared" si="50"/>
        <v>91.0204081632653</v>
      </c>
      <c r="AS22" s="65">
        <f t="shared" si="51"/>
        <v>72.8163265306122</v>
      </c>
      <c r="AT22" s="65">
        <f t="shared" si="52"/>
        <v>77.3673469387755</v>
      </c>
      <c r="AU22" s="65">
        <f t="shared" si="53"/>
        <v>72.8163265306122</v>
      </c>
      <c r="AV22" s="65">
        <f t="shared" si="54"/>
        <v>63.7142857142857</v>
      </c>
      <c r="AW22" s="65">
        <f t="shared" si="58"/>
        <v>68.265306122449</v>
      </c>
      <c r="AX22" s="64">
        <f t="shared" si="13"/>
        <v>446.0</v>
      </c>
      <c r="AY22" s="64" t="e">
        <f t="shared" si="14"/>
        <v>#REF!</v>
      </c>
      <c r="BB22" s="69" t="e">
        <f t="shared" si="36"/>
        <v>#REF!</v>
      </c>
      <c r="BF22" s="65" t="e">
        <f t="shared" si="37"/>
        <v>#REF!</v>
      </c>
      <c r="BG22" s="65">
        <f t="shared" si="38"/>
        <v>91.0204081632653</v>
      </c>
      <c r="BH22" s="65">
        <f t="shared" si="18"/>
      </c>
      <c r="BI22" s="65" t="e">
        <f t="shared" si="39"/>
        <v>#REF!</v>
      </c>
      <c r="BJ22" s="65">
        <f t="shared" si="40"/>
        <v>72.8163265306122</v>
      </c>
      <c r="BK22" s="65"/>
      <c r="BL22" s="65" t="e">
        <f t="shared" si="41"/>
        <v>#REF!</v>
      </c>
      <c r="BM22" s="65">
        <f t="shared" si="42"/>
        <v>77.3673469387755</v>
      </c>
      <c r="BN22" s="65"/>
      <c r="BO22" s="65" t="e">
        <f t="shared" si="43"/>
        <v>#REF!</v>
      </c>
      <c r="BP22" s="65">
        <f t="shared" si="44"/>
        <v>72.8163265306122</v>
      </c>
      <c r="BQ22" s="65"/>
      <c r="BR22" s="65" t="e">
        <f t="shared" si="45"/>
        <v>#REF!</v>
      </c>
      <c r="BS22" s="65">
        <f t="shared" si="46"/>
        <v>63.7142857142857</v>
      </c>
      <c r="BT22" s="65"/>
      <c r="BU22" s="65" t="e">
        <f t="shared" si="47"/>
        <v>#REF!</v>
      </c>
      <c r="BV22" s="65">
        <f t="shared" si="48"/>
        <v>68.265306122449</v>
      </c>
      <c r="BW22" s="65"/>
      <c r="BX22" s="65" t="e">
        <f t="shared" si="49"/>
        <v>#REF!</v>
      </c>
    </row>
    <row r="23" ht="14.0" customFormat="1" s="47">
      <c r="A23" s="93" t="s">
        <v>430</v>
      </c>
      <c r="B23" s="93" t="s">
        <v>53</v>
      </c>
      <c r="C23" s="93" t="s">
        <v>468</v>
      </c>
      <c r="D23" s="93" t="s">
        <v>469</v>
      </c>
      <c r="E23" s="93">
        <v>76.0</v>
      </c>
      <c r="F23" s="93">
        <v>37.0</v>
      </c>
      <c r="G23" s="93">
        <v>40.0</v>
      </c>
      <c r="H23" s="93">
        <v>12.0</v>
      </c>
      <c r="I23" s="93">
        <v>39.0</v>
      </c>
      <c r="J23" s="93">
        <v>22.0</v>
      </c>
      <c r="K23" s="93">
        <v>27.0</v>
      </c>
      <c r="L23" s="93">
        <v>21.0</v>
      </c>
      <c r="M23" s="93">
        <v>15.0</v>
      </c>
      <c r="N23" s="93">
        <v>51.0</v>
      </c>
      <c r="O23" s="93">
        <v>90.0</v>
      </c>
      <c r="P23" s="93">
        <v>25.0</v>
      </c>
      <c r="Q23" s="93">
        <v>45.0</v>
      </c>
      <c r="R23" s="93">
        <v>21.0</v>
      </c>
      <c r="S23" s="93">
        <v>36.0</v>
      </c>
      <c r="T23" s="93">
        <v>15.0</v>
      </c>
      <c r="U23" s="93">
        <v>32.0</v>
      </c>
      <c r="V23" s="93">
        <v>24.0</v>
      </c>
      <c r="W23" s="93">
        <v>20.0</v>
      </c>
      <c r="X23" s="93">
        <v>21.0</v>
      </c>
      <c r="Y23" s="93">
        <v>18.0</v>
      </c>
      <c r="Z23" s="93">
        <v>103.0</v>
      </c>
      <c r="AA23" s="93">
        <v>117.0</v>
      </c>
      <c r="AB23" s="93">
        <v>36.0</v>
      </c>
      <c r="AC23" s="93">
        <v>48.0</v>
      </c>
      <c r="AD23" s="93">
        <v>65.0</v>
      </c>
      <c r="AE23" s="93">
        <v>48.0</v>
      </c>
      <c r="AF23" s="93">
        <v>88.0</v>
      </c>
      <c r="AG23" s="93">
        <v>17.0</v>
      </c>
      <c r="AH23" s="110">
        <f>V23</f>
        <v>24.0</v>
      </c>
      <c r="AI23" s="110">
        <f>W23</f>
        <v>20.0</v>
      </c>
      <c r="AJ23" s="93">
        <v>6.0</v>
      </c>
      <c r="AK23" s="93">
        <v>27.0</v>
      </c>
      <c r="AL23" s="93">
        <v>76.0</v>
      </c>
      <c r="AM23" s="93">
        <v>178.0</v>
      </c>
      <c r="AN23" s="93">
        <v>67.0</v>
      </c>
      <c r="AO23" s="111">
        <f t="shared" si="4"/>
        <v>664.0</v>
      </c>
      <c r="AP23" s="64">
        <f t="shared" si="5"/>
        <v>290.0</v>
      </c>
      <c r="AQ23" s="69">
        <f t="shared" si="6"/>
        <v>319.0</v>
      </c>
      <c r="AR23" s="65">
        <f t="shared" si="50"/>
        <v>59.1836734693878</v>
      </c>
      <c r="AS23" s="65">
        <f t="shared" si="51"/>
        <v>47.3469387755102</v>
      </c>
      <c r="AT23" s="65">
        <f t="shared" si="52"/>
        <v>50.3061224489796</v>
      </c>
      <c r="AU23" s="65">
        <f t="shared" si="53"/>
        <v>47.3469387755102</v>
      </c>
      <c r="AV23" s="65">
        <f t="shared" si="54"/>
        <v>41.4285714285714</v>
      </c>
      <c r="AW23" s="65">
        <f t="shared" si="58"/>
        <v>44.3877551020408</v>
      </c>
      <c r="AX23" s="64">
        <f t="shared" si="13"/>
        <v>290.0</v>
      </c>
      <c r="AY23" s="64" t="e">
        <f t="shared" si="14"/>
        <v>#REF!</v>
      </c>
      <c r="BB23" s="69" t="e">
        <f t="shared" si="36"/>
        <v>#REF!</v>
      </c>
      <c r="BF23" s="65" t="e">
        <f t="shared" si="37"/>
        <v>#REF!</v>
      </c>
      <c r="BG23" s="65">
        <f t="shared" si="38"/>
        <v>59.1836734693878</v>
      </c>
      <c r="BH23" s="65">
        <f t="shared" si="18"/>
      </c>
      <c r="BI23" s="65" t="e">
        <f t="shared" si="39"/>
        <v>#REF!</v>
      </c>
      <c r="BJ23" s="65">
        <f t="shared" si="40"/>
        <v>47.3469387755102</v>
      </c>
      <c r="BK23" s="65"/>
      <c r="BL23" s="65" t="e">
        <f t="shared" si="41"/>
        <v>#REF!</v>
      </c>
      <c r="BM23" s="65">
        <f t="shared" si="42"/>
        <v>50.3061224489796</v>
      </c>
      <c r="BN23" s="65"/>
      <c r="BO23" s="65" t="e">
        <f t="shared" si="43"/>
        <v>#REF!</v>
      </c>
      <c r="BP23" s="65">
        <f t="shared" si="44"/>
        <v>47.3469387755102</v>
      </c>
      <c r="BQ23" s="65"/>
      <c r="BR23" s="65" t="e">
        <f t="shared" si="45"/>
        <v>#REF!</v>
      </c>
      <c r="BS23" s="65">
        <f t="shared" si="46"/>
        <v>41.4285714285714</v>
      </c>
      <c r="BT23" s="65"/>
      <c r="BU23" s="65" t="e">
        <f t="shared" si="47"/>
        <v>#REF!</v>
      </c>
      <c r="BV23" s="65">
        <f t="shared" si="48"/>
        <v>44.3877551020408</v>
      </c>
      <c r="BW23" s="65"/>
      <c r="BX23" s="65" t="e">
        <f t="shared" si="49"/>
        <v>#REF!</v>
      </c>
    </row>
    <row r="24" ht="14.0" customFormat="1" s="47">
      <c r="A24" s="93" t="s">
        <v>430</v>
      </c>
      <c r="B24" s="93" t="s">
        <v>53</v>
      </c>
      <c r="C24" s="93" t="s">
        <v>470</v>
      </c>
      <c r="D24" s="93" t="s">
        <v>471</v>
      </c>
      <c r="E24" s="93">
        <v>89.0</v>
      </c>
      <c r="F24" s="93">
        <v>45.0</v>
      </c>
      <c r="G24" s="93">
        <v>66.0</v>
      </c>
      <c r="H24" s="93">
        <v>18.0</v>
      </c>
      <c r="I24" s="93">
        <v>57.0</v>
      </c>
      <c r="J24" s="93">
        <v>26.0</v>
      </c>
      <c r="K24" s="93">
        <v>84.0</v>
      </c>
      <c r="L24" s="93">
        <v>50.0</v>
      </c>
      <c r="M24" s="93">
        <v>27.0</v>
      </c>
      <c r="N24" s="93">
        <v>30.0</v>
      </c>
      <c r="O24" s="93">
        <v>36.0</v>
      </c>
      <c r="P24" s="93">
        <v>18.0</v>
      </c>
      <c r="Q24" s="93">
        <v>21.0</v>
      </c>
      <c r="R24" s="93">
        <v>27.0</v>
      </c>
      <c r="S24" s="93">
        <v>55.0</v>
      </c>
      <c r="T24" s="93">
        <v>15.0</v>
      </c>
      <c r="U24" s="93">
        <v>42.0</v>
      </c>
      <c r="V24" s="93">
        <v>60.0</v>
      </c>
      <c r="W24" s="93">
        <v>54.0</v>
      </c>
      <c r="X24" s="93">
        <v>63.0</v>
      </c>
      <c r="Y24" s="93">
        <v>24.0</v>
      </c>
      <c r="Z24" s="93">
        <v>28.0</v>
      </c>
      <c r="AA24" s="93">
        <v>42.0</v>
      </c>
      <c r="AB24" s="93">
        <v>42.0</v>
      </c>
      <c r="AC24" s="93">
        <v>30.0</v>
      </c>
      <c r="AD24" s="93">
        <v>77.0</v>
      </c>
      <c r="AE24" s="93">
        <v>54.0</v>
      </c>
      <c r="AF24" s="93">
        <v>83.0</v>
      </c>
      <c r="AG24" s="93">
        <v>45.0</v>
      </c>
      <c r="AH24" s="93">
        <v>68.0</v>
      </c>
      <c r="AI24" s="93">
        <v>49.0</v>
      </c>
      <c r="AJ24" s="93">
        <v>22.0</v>
      </c>
      <c r="AK24" s="93">
        <v>27.0</v>
      </c>
      <c r="AL24" s="93">
        <v>20.0</v>
      </c>
      <c r="AM24" s="93">
        <v>60.0</v>
      </c>
      <c r="AN24" s="93">
        <v>16.0</v>
      </c>
      <c r="AO24" s="111">
        <f t="shared" si="4"/>
        <v>551.0</v>
      </c>
      <c r="AP24" s="64">
        <f t="shared" si="5"/>
        <v>357.0</v>
      </c>
      <c r="AQ24" s="69">
        <f t="shared" si="6"/>
        <v>392.7</v>
      </c>
      <c r="AR24" s="65">
        <f t="shared" si="50"/>
        <v>72.8571428571429</v>
      </c>
      <c r="AS24" s="65">
        <f t="shared" si="51"/>
        <v>58.2857142857142</v>
      </c>
      <c r="AT24" s="65">
        <f t="shared" si="52"/>
        <v>61.9285714285714</v>
      </c>
      <c r="AU24" s="65">
        <f t="shared" si="53"/>
        <v>58.2857142857142</v>
      </c>
      <c r="AV24" s="65">
        <f t="shared" si="54"/>
        <v>51.0</v>
      </c>
      <c r="AW24" s="97">
        <f>AH24*1.1</f>
        <v>74.8</v>
      </c>
      <c r="AX24" s="64">
        <f t="shared" si="13"/>
        <v>377.157142857142</v>
      </c>
      <c r="AY24" s="64" t="e">
        <f t="shared" si="14"/>
        <v>#REF!</v>
      </c>
      <c r="BB24" s="69" t="e">
        <f t="shared" si="36"/>
        <v>#REF!</v>
      </c>
      <c r="BF24" s="65" t="e">
        <f t="shared" si="37"/>
        <v>#REF!</v>
      </c>
      <c r="BG24" s="65">
        <f t="shared" si="38"/>
        <v>72.8571428571429</v>
      </c>
      <c r="BH24" s="65">
        <f t="shared" si="18"/>
      </c>
      <c r="BI24" s="65" t="e">
        <f t="shared" si="39"/>
        <v>#REF!</v>
      </c>
      <c r="BJ24" s="65">
        <f t="shared" si="40"/>
        <v>58.2857142857142</v>
      </c>
      <c r="BK24" s="65"/>
      <c r="BL24" s="65" t="e">
        <f t="shared" si="41"/>
        <v>#REF!</v>
      </c>
      <c r="BM24" s="65">
        <f t="shared" si="42"/>
        <v>61.9285714285714</v>
      </c>
      <c r="BN24" s="65"/>
      <c r="BO24" s="65" t="e">
        <f t="shared" si="43"/>
        <v>#REF!</v>
      </c>
      <c r="BP24" s="65">
        <f t="shared" si="44"/>
        <v>58.2857142857142</v>
      </c>
      <c r="BQ24" s="65"/>
      <c r="BR24" s="65" t="e">
        <f t="shared" si="45"/>
        <v>#REF!</v>
      </c>
      <c r="BS24" s="65">
        <f t="shared" si="46"/>
        <v>51.0</v>
      </c>
      <c r="BT24" s="65"/>
      <c r="BU24" s="65" t="e">
        <f t="shared" si="47"/>
        <v>#REF!</v>
      </c>
      <c r="BV24" s="65">
        <f t="shared" si="48"/>
        <v>74.8</v>
      </c>
      <c r="BW24" s="65"/>
      <c r="BX24" s="65" t="e">
        <f t="shared" si="49"/>
        <v>#REF!</v>
      </c>
    </row>
    <row r="25" ht="14.0" customFormat="1" s="47">
      <c r="A25" s="93" t="s">
        <v>430</v>
      </c>
      <c r="B25" s="93" t="s">
        <v>53</v>
      </c>
      <c r="C25" s="93" t="s">
        <v>472</v>
      </c>
      <c r="D25" s="93" t="s">
        <v>473</v>
      </c>
      <c r="E25" s="93">
        <v>65.0</v>
      </c>
      <c r="F25" s="93">
        <v>16.0</v>
      </c>
      <c r="G25" s="93">
        <v>39.0</v>
      </c>
      <c r="H25" s="93">
        <v>18.0</v>
      </c>
      <c r="I25" s="93">
        <v>36.0</v>
      </c>
      <c r="J25" s="93">
        <v>18.0</v>
      </c>
      <c r="K25" s="93">
        <v>27.0</v>
      </c>
      <c r="L25" s="93">
        <v>12.0</v>
      </c>
      <c r="M25" s="93">
        <v>9.0</v>
      </c>
      <c r="N25" s="93">
        <v>31.0</v>
      </c>
      <c r="O25" s="93">
        <v>81.0</v>
      </c>
      <c r="P25" s="93">
        <v>22.0</v>
      </c>
      <c r="Q25" s="93">
        <v>32.0</v>
      </c>
      <c r="R25" s="93">
        <v>19.0</v>
      </c>
      <c r="S25" s="93">
        <v>29.0</v>
      </c>
      <c r="T25" s="93">
        <v>9.0</v>
      </c>
      <c r="U25" s="93">
        <v>18.0</v>
      </c>
      <c r="V25" s="93">
        <v>27.0</v>
      </c>
      <c r="W25" s="93">
        <v>6.0</v>
      </c>
      <c r="X25" s="93">
        <v>16.0</v>
      </c>
      <c r="Y25" s="93">
        <v>21.0</v>
      </c>
      <c r="Z25" s="93">
        <v>91.0</v>
      </c>
      <c r="AA25" s="93">
        <v>68.0</v>
      </c>
      <c r="AB25" s="93">
        <v>30.0</v>
      </c>
      <c r="AC25" s="93">
        <v>25.0</v>
      </c>
      <c r="AD25" s="93">
        <v>40.0</v>
      </c>
      <c r="AE25" s="93">
        <v>44.0</v>
      </c>
      <c r="AF25" s="93">
        <v>68.0</v>
      </c>
      <c r="AG25" s="93">
        <v>33.0</v>
      </c>
      <c r="AH25" s="93">
        <v>24.0</v>
      </c>
      <c r="AI25" s="93">
        <v>6.0</v>
      </c>
      <c r="AJ25" s="93">
        <v>27.0</v>
      </c>
      <c r="AK25" s="93">
        <v>6.0</v>
      </c>
      <c r="AL25" s="93">
        <v>37.0</v>
      </c>
      <c r="AM25" s="93">
        <v>130.0</v>
      </c>
      <c r="AN25" s="93">
        <v>27.0</v>
      </c>
      <c r="AO25" s="111">
        <f t="shared" si="4"/>
        <v>467.0</v>
      </c>
      <c r="AP25" s="64">
        <f t="shared" si="5"/>
        <v>234.0</v>
      </c>
      <c r="AQ25" s="69">
        <f t="shared" si="6"/>
        <v>257.4</v>
      </c>
      <c r="AR25" s="65">
        <f t="shared" si="50"/>
        <v>47.7551020408163</v>
      </c>
      <c r="AS25" s="65">
        <f t="shared" si="51"/>
        <v>38.204081632653</v>
      </c>
      <c r="AT25" s="65">
        <f t="shared" si="52"/>
        <v>40.5918367346939</v>
      </c>
      <c r="AU25" s="65">
        <f t="shared" si="53"/>
        <v>38.204081632653</v>
      </c>
      <c r="AV25" s="65">
        <f t="shared" si="54"/>
        <v>33.4285714285714</v>
      </c>
      <c r="AW25" s="65">
        <f t="shared" ref="AW25:AW27" si="65">AQ25*$AW$4/$AQ$4</f>
        <v>35.8163265306122</v>
      </c>
      <c r="AX25" s="64">
        <f t="shared" si="13"/>
        <v>234.0</v>
      </c>
      <c r="AY25" s="64" t="e">
        <f t="shared" si="14"/>
        <v>#REF!</v>
      </c>
      <c r="BB25" s="69" t="e">
        <f t="shared" si="36"/>
        <v>#REF!</v>
      </c>
      <c r="BF25" s="65" t="e">
        <f t="shared" si="37"/>
        <v>#REF!</v>
      </c>
      <c r="BG25" s="65">
        <f t="shared" si="38"/>
        <v>47.7551020408163</v>
      </c>
      <c r="BH25" s="65">
        <f t="shared" si="18"/>
      </c>
      <c r="BI25" s="65" t="e">
        <f t="shared" si="39"/>
        <v>#REF!</v>
      </c>
      <c r="BJ25" s="65">
        <f t="shared" si="40"/>
        <v>38.204081632653</v>
      </c>
      <c r="BK25" s="65"/>
      <c r="BL25" s="65" t="e">
        <f t="shared" si="41"/>
        <v>#REF!</v>
      </c>
      <c r="BM25" s="65">
        <f t="shared" si="42"/>
        <v>40.5918367346939</v>
      </c>
      <c r="BN25" s="65"/>
      <c r="BO25" s="65" t="e">
        <f t="shared" si="43"/>
        <v>#REF!</v>
      </c>
      <c r="BP25" s="65">
        <f t="shared" si="44"/>
        <v>38.204081632653</v>
      </c>
      <c r="BQ25" s="65"/>
      <c r="BR25" s="65" t="e">
        <f t="shared" si="45"/>
        <v>#REF!</v>
      </c>
      <c r="BS25" s="65">
        <f t="shared" si="46"/>
        <v>33.4285714285714</v>
      </c>
      <c r="BT25" s="65"/>
      <c r="BU25" s="65" t="e">
        <f t="shared" si="47"/>
        <v>#REF!</v>
      </c>
      <c r="BV25" s="65">
        <f t="shared" si="48"/>
        <v>35.8163265306122</v>
      </c>
      <c r="BW25" s="65"/>
      <c r="BX25" s="65" t="e">
        <f t="shared" si="49"/>
        <v>#REF!</v>
      </c>
    </row>
    <row r="26" ht="14.0" customFormat="1" s="47">
      <c r="A26" s="93" t="s">
        <v>430</v>
      </c>
      <c r="B26" s="93" t="s">
        <v>53</v>
      </c>
      <c r="C26" s="93" t="s">
        <v>474</v>
      </c>
      <c r="D26" s="93" t="s">
        <v>475</v>
      </c>
      <c r="E26" s="93">
        <v>27.0</v>
      </c>
      <c r="F26" s="93">
        <v>45.0</v>
      </c>
      <c r="G26" s="93">
        <v>39.0</v>
      </c>
      <c r="H26" s="93">
        <v>57.0</v>
      </c>
      <c r="I26" s="93">
        <v>46.0</v>
      </c>
      <c r="J26" s="93">
        <v>6.0</v>
      </c>
      <c r="K26" s="93">
        <v>36.0</v>
      </c>
      <c r="L26" s="93">
        <v>29.0</v>
      </c>
      <c r="M26" s="93">
        <v>26.0</v>
      </c>
      <c r="N26" s="93">
        <v>203.0</v>
      </c>
      <c r="O26" s="93">
        <v>71.0</v>
      </c>
      <c r="P26" s="93">
        <v>70.0</v>
      </c>
      <c r="Q26" s="93">
        <v>41.0</v>
      </c>
      <c r="R26" s="93">
        <v>33.0</v>
      </c>
      <c r="S26" s="93">
        <v>49.0</v>
      </c>
      <c r="T26" s="93">
        <v>26.0</v>
      </c>
      <c r="U26" s="93">
        <v>45.0</v>
      </c>
      <c r="V26" s="93">
        <v>11.0</v>
      </c>
      <c r="W26" s="93">
        <v>36.0</v>
      </c>
      <c r="X26" s="93">
        <v>26.0</v>
      </c>
      <c r="Y26" s="93">
        <v>13.0</v>
      </c>
      <c r="Z26" s="93">
        <v>67.0</v>
      </c>
      <c r="AA26" s="93">
        <v>204.0</v>
      </c>
      <c r="AB26" s="93">
        <v>129.0</v>
      </c>
      <c r="AC26" s="93">
        <v>36.0</v>
      </c>
      <c r="AD26" s="93">
        <v>72.0</v>
      </c>
      <c r="AE26" s="93">
        <v>114.0</v>
      </c>
      <c r="AF26" s="93">
        <v>159.0</v>
      </c>
      <c r="AG26" s="93">
        <v>33.0</v>
      </c>
      <c r="AH26" s="93">
        <v>39.0</v>
      </c>
      <c r="AI26" s="93">
        <v>39.0</v>
      </c>
      <c r="AJ26" s="93">
        <v>81.0</v>
      </c>
      <c r="AK26" s="93">
        <v>33.0</v>
      </c>
      <c r="AL26" s="93">
        <v>88.0</v>
      </c>
      <c r="AM26" s="93">
        <v>408.0</v>
      </c>
      <c r="AN26" s="93">
        <v>4.0</v>
      </c>
      <c r="AO26" s="111">
        <f t="shared" si="4"/>
        <v>1106.0</v>
      </c>
      <c r="AP26" s="64">
        <f t="shared" si="5"/>
        <v>453.0</v>
      </c>
      <c r="AQ26" s="69">
        <f t="shared" si="6"/>
        <v>498.3</v>
      </c>
      <c r="AR26" s="65">
        <f t="shared" si="50"/>
        <v>92.4489795918367</v>
      </c>
      <c r="AS26" s="65">
        <f t="shared" si="51"/>
        <v>73.9591836734693</v>
      </c>
      <c r="AT26" s="65">
        <f t="shared" si="52"/>
        <v>78.5816326530612</v>
      </c>
      <c r="AU26" s="65">
        <f t="shared" si="53"/>
        <v>73.9591836734693</v>
      </c>
      <c r="AV26" s="65">
        <f t="shared" si="54"/>
        <v>64.7142857142857</v>
      </c>
      <c r="AW26" s="65">
        <f t="shared" si="65"/>
        <v>69.3367346938776</v>
      </c>
      <c r="AX26" s="64">
        <f t="shared" si="13"/>
        <v>453.0</v>
      </c>
      <c r="AY26" s="64" t="e">
        <f t="shared" si="14"/>
        <v>#REF!</v>
      </c>
      <c r="BA26" s="47" t="e">
        <f t="shared" ref="BA26:BA30" si="66">VLOOKUP(C26,FYTMOCT6,3,false)</f>
        <v>#REF!</v>
      </c>
      <c r="BB26" s="69" t="e">
        <f t="shared" si="36"/>
        <v>#REF!</v>
      </c>
      <c r="BF26" s="65" t="e">
        <f t="shared" si="37"/>
        <v>#REF!</v>
      </c>
      <c r="BG26" s="65">
        <f t="shared" si="38"/>
        <v>92.4489795918367</v>
      </c>
      <c r="BH26" s="65" t="e">
        <f t="shared" si="18"/>
        <v>#REF!</v>
      </c>
      <c r="BI26" s="65" t="e">
        <f t="shared" si="39"/>
        <v>#REF!</v>
      </c>
      <c r="BJ26" s="65">
        <f t="shared" si="40"/>
        <v>73.9591836734693</v>
      </c>
      <c r="BK26" s="65"/>
      <c r="BL26" s="65" t="e">
        <f t="shared" si="41"/>
        <v>#REF!</v>
      </c>
      <c r="BM26" s="65">
        <f t="shared" si="42"/>
        <v>78.5816326530612</v>
      </c>
      <c r="BN26" s="65"/>
      <c r="BO26" s="65" t="e">
        <f t="shared" si="43"/>
        <v>#REF!</v>
      </c>
      <c r="BP26" s="65">
        <f t="shared" si="44"/>
        <v>73.9591836734693</v>
      </c>
      <c r="BQ26" s="65"/>
      <c r="BR26" s="65" t="e">
        <f t="shared" si="45"/>
        <v>#REF!</v>
      </c>
      <c r="BS26" s="65">
        <f t="shared" si="46"/>
        <v>64.7142857142857</v>
      </c>
      <c r="BT26" s="65"/>
      <c r="BU26" s="65" t="e">
        <f t="shared" si="47"/>
        <v>#REF!</v>
      </c>
      <c r="BV26" s="65">
        <f t="shared" si="48"/>
        <v>69.3367346938776</v>
      </c>
      <c r="BW26" s="65"/>
      <c r="BX26" s="65" t="e">
        <f t="shared" si="49"/>
        <v>#REF!</v>
      </c>
    </row>
    <row r="27" ht="14.0" customFormat="1" s="47">
      <c r="A27" s="93" t="s">
        <v>430</v>
      </c>
      <c r="B27" s="93" t="s">
        <v>53</v>
      </c>
      <c r="C27" s="93" t="s">
        <v>476</v>
      </c>
      <c r="D27" s="93" t="s">
        <v>477</v>
      </c>
      <c r="E27" s="93">
        <v>16.0</v>
      </c>
      <c r="F27" s="93">
        <v>48.0</v>
      </c>
      <c r="G27" s="93">
        <v>97.0</v>
      </c>
      <c r="H27" s="93">
        <v>39.0</v>
      </c>
      <c r="I27" s="93">
        <v>36.0</v>
      </c>
      <c r="J27" s="93">
        <v>31.0</v>
      </c>
      <c r="K27" s="93">
        <v>39.0</v>
      </c>
      <c r="L27" s="93">
        <v>39.0</v>
      </c>
      <c r="M27" s="93">
        <v>27.0</v>
      </c>
      <c r="N27" s="93">
        <v>201.0</v>
      </c>
      <c r="O27" s="93">
        <v>61.0</v>
      </c>
      <c r="P27" s="93">
        <v>40.0</v>
      </c>
      <c r="Q27" s="93">
        <v>21.0</v>
      </c>
      <c r="R27" s="93">
        <v>42.0</v>
      </c>
      <c r="S27" s="93">
        <v>43.0</v>
      </c>
      <c r="T27" s="93">
        <v>56.0</v>
      </c>
      <c r="U27" s="93">
        <v>33.0</v>
      </c>
      <c r="V27" s="93">
        <v>12.0</v>
      </c>
      <c r="W27" s="93">
        <v>30.0</v>
      </c>
      <c r="X27" s="93">
        <v>27.0</v>
      </c>
      <c r="Y27" s="93">
        <v>36.0</v>
      </c>
      <c r="Z27" s="93">
        <v>40.0</v>
      </c>
      <c r="AA27" s="93">
        <v>144.0</v>
      </c>
      <c r="AB27" s="93">
        <v>51.0</v>
      </c>
      <c r="AC27" s="93">
        <v>40.0</v>
      </c>
      <c r="AD27" s="93">
        <v>36.0</v>
      </c>
      <c r="AE27" s="93">
        <v>68.0</v>
      </c>
      <c r="AF27" s="93">
        <v>112.0</v>
      </c>
      <c r="AG27" s="93">
        <v>13.0</v>
      </c>
      <c r="AH27" s="93">
        <v>40.0</v>
      </c>
      <c r="AI27" s="93">
        <v>6.0</v>
      </c>
      <c r="AJ27" s="93">
        <v>55.0</v>
      </c>
      <c r="AK27" s="93">
        <v>28.0</v>
      </c>
      <c r="AL27" s="93">
        <v>39.0</v>
      </c>
      <c r="AM27" s="93">
        <v>258.0</v>
      </c>
      <c r="AN27" s="93">
        <v>1.0</v>
      </c>
      <c r="AO27" s="111">
        <f t="shared" si="4"/>
        <v>696.0</v>
      </c>
      <c r="AP27" s="64">
        <f t="shared" si="5"/>
        <v>309.0</v>
      </c>
      <c r="AQ27" s="69">
        <f t="shared" si="6"/>
        <v>339.9</v>
      </c>
      <c r="AR27" s="65">
        <f t="shared" si="50"/>
        <v>63.0612244897959</v>
      </c>
      <c r="AS27" s="65">
        <f t="shared" si="51"/>
        <v>50.4489795918367</v>
      </c>
      <c r="AT27" s="65">
        <f t="shared" si="52"/>
        <v>53.6020408163265</v>
      </c>
      <c r="AU27" s="65">
        <f t="shared" si="53"/>
        <v>50.4489795918367</v>
      </c>
      <c r="AV27" s="65">
        <f t="shared" si="54"/>
        <v>44.1428571428571</v>
      </c>
      <c r="AW27" s="65">
        <f t="shared" si="65"/>
        <v>47.2959183673469</v>
      </c>
      <c r="AX27" s="64">
        <f t="shared" si="13"/>
        <v>309.0</v>
      </c>
      <c r="AY27" s="64" t="e">
        <f t="shared" si="14"/>
        <v>#REF!</v>
      </c>
      <c r="BA27" s="47" t="e">
        <f t="shared" si="66"/>
        <v>#REF!</v>
      </c>
      <c r="BB27" s="69" t="e">
        <f t="shared" si="36"/>
        <v>#REF!</v>
      </c>
      <c r="BF27" s="65" t="e">
        <f t="shared" si="37"/>
        <v>#REF!</v>
      </c>
      <c r="BG27" s="65">
        <f t="shared" si="38"/>
        <v>63.0612244897959</v>
      </c>
      <c r="BH27" s="65" t="e">
        <f t="shared" si="18"/>
        <v>#REF!</v>
      </c>
      <c r="BI27" s="65" t="e">
        <f t="shared" si="39"/>
        <v>#REF!</v>
      </c>
      <c r="BJ27" s="65">
        <f t="shared" si="40"/>
        <v>50.4489795918367</v>
      </c>
      <c r="BK27" s="65"/>
      <c r="BL27" s="65" t="e">
        <f t="shared" si="41"/>
        <v>#REF!</v>
      </c>
      <c r="BM27" s="65">
        <f t="shared" si="42"/>
        <v>53.6020408163265</v>
      </c>
      <c r="BN27" s="65"/>
      <c r="BO27" s="65" t="e">
        <f t="shared" si="43"/>
        <v>#REF!</v>
      </c>
      <c r="BP27" s="65">
        <f t="shared" si="44"/>
        <v>50.4489795918367</v>
      </c>
      <c r="BQ27" s="65"/>
      <c r="BR27" s="65" t="e">
        <f t="shared" si="45"/>
        <v>#REF!</v>
      </c>
      <c r="BS27" s="65">
        <f t="shared" si="46"/>
        <v>44.1428571428571</v>
      </c>
      <c r="BT27" s="65"/>
      <c r="BU27" s="65" t="e">
        <f t="shared" si="47"/>
        <v>#REF!</v>
      </c>
      <c r="BV27" s="65">
        <f t="shared" si="48"/>
        <v>47.2959183673469</v>
      </c>
      <c r="BW27" s="65"/>
      <c r="BX27" s="65" t="e">
        <f t="shared" si="49"/>
        <v>#REF!</v>
      </c>
    </row>
    <row r="28" ht="14.0" customFormat="1" s="47">
      <c r="A28" s="93" t="s">
        <v>430</v>
      </c>
      <c r="B28" s="93" t="s">
        <v>53</v>
      </c>
      <c r="C28" s="93" t="s">
        <v>478</v>
      </c>
      <c r="D28" s="93" t="s">
        <v>479</v>
      </c>
      <c r="E28" s="93">
        <v>41.0</v>
      </c>
      <c r="F28" s="93">
        <v>23.0</v>
      </c>
      <c r="G28" s="93">
        <v>143.0</v>
      </c>
      <c r="H28" s="93">
        <v>36.0</v>
      </c>
      <c r="I28" s="93">
        <v>78.0</v>
      </c>
      <c r="J28" s="93">
        <v>39.0</v>
      </c>
      <c r="K28" s="93">
        <v>261.0</v>
      </c>
      <c r="L28" s="93">
        <v>48.0</v>
      </c>
      <c r="M28" s="93">
        <v>37.0</v>
      </c>
      <c r="N28" s="93">
        <v>30.0</v>
      </c>
      <c r="O28" s="93">
        <v>42.0</v>
      </c>
      <c r="P28" s="93">
        <v>34.0</v>
      </c>
      <c r="Q28" s="93">
        <v>49.0</v>
      </c>
      <c r="R28" s="93">
        <v>44.0</v>
      </c>
      <c r="S28" s="93">
        <v>136.0</v>
      </c>
      <c r="T28" s="93">
        <v>51.0</v>
      </c>
      <c r="U28" s="93">
        <v>33.0</v>
      </c>
      <c r="V28" s="93">
        <v>267.0</v>
      </c>
      <c r="W28" s="93">
        <v>26.0</v>
      </c>
      <c r="X28" s="93">
        <v>6.0</v>
      </c>
      <c r="Y28" s="93">
        <v>33.0</v>
      </c>
      <c r="Z28" s="93">
        <v>13.0</v>
      </c>
      <c r="AA28" s="93">
        <v>51.0</v>
      </c>
      <c r="AB28" s="93">
        <v>36.0</v>
      </c>
      <c r="AC28" s="93">
        <v>48.0</v>
      </c>
      <c r="AD28" s="93">
        <v>45.0</v>
      </c>
      <c r="AE28" s="93">
        <v>90.0</v>
      </c>
      <c r="AF28" s="93">
        <v>162.0</v>
      </c>
      <c r="AG28" s="93">
        <v>18.0</v>
      </c>
      <c r="AH28" s="93">
        <v>64.0</v>
      </c>
      <c r="AI28" s="93">
        <v>234.0</v>
      </c>
      <c r="AJ28" s="93">
        <v>24.0</v>
      </c>
      <c r="AK28" s="93">
        <v>13.0</v>
      </c>
      <c r="AL28" s="93">
        <v>34.0</v>
      </c>
      <c r="AM28" s="93">
        <v>109.0</v>
      </c>
      <c r="AN28" s="93">
        <v>1.0</v>
      </c>
      <c r="AO28" s="111">
        <f t="shared" si="4"/>
        <v>842.0</v>
      </c>
      <c r="AP28" s="64">
        <f t="shared" si="5"/>
        <v>427.0</v>
      </c>
      <c r="AQ28" s="69">
        <f t="shared" si="6"/>
        <v>469.7</v>
      </c>
      <c r="AR28" s="65">
        <f t="shared" si="50"/>
        <v>87.1428571428571</v>
      </c>
      <c r="AS28" s="65">
        <f t="shared" si="51"/>
        <v>69.7142857142857</v>
      </c>
      <c r="AT28" s="65">
        <f t="shared" si="52"/>
        <v>74.0714285714286</v>
      </c>
      <c r="AU28" s="65">
        <f t="shared" si="53"/>
        <v>69.7142857142857</v>
      </c>
      <c r="AV28" s="65">
        <f t="shared" si="54"/>
        <v>61.0</v>
      </c>
      <c r="AW28" s="97">
        <f>AH28*1.1</f>
        <v>70.4</v>
      </c>
      <c r="AX28" s="64">
        <f t="shared" si="13"/>
        <v>432.042857142857</v>
      </c>
      <c r="AY28" s="64" t="e">
        <f t="shared" si="14"/>
        <v>#REF!</v>
      </c>
      <c r="BA28" s="47" t="e">
        <f t="shared" si="66"/>
        <v>#REF!</v>
      </c>
      <c r="BB28" s="69" t="e">
        <f t="shared" si="36"/>
        <v>#REF!</v>
      </c>
      <c r="BE28" s="47" t="s">
        <v>480</v>
      </c>
      <c r="BF28" s="65" t="e">
        <f t="shared" si="37"/>
        <v>#REF!</v>
      </c>
      <c r="BG28" s="65">
        <f t="shared" si="38"/>
        <v>87.1428571428571</v>
      </c>
      <c r="BH28" s="65" t="e">
        <f t="shared" si="18"/>
        <v>#REF!</v>
      </c>
      <c r="BI28" s="65" t="e">
        <f t="shared" si="39"/>
        <v>#REF!</v>
      </c>
      <c r="BJ28" s="65">
        <f t="shared" si="40"/>
        <v>69.7142857142857</v>
      </c>
      <c r="BK28" s="65"/>
      <c r="BL28" s="65" t="e">
        <f t="shared" si="41"/>
        <v>#REF!</v>
      </c>
      <c r="BM28" s="65">
        <f t="shared" si="42"/>
        <v>74.0714285714286</v>
      </c>
      <c r="BN28" s="65"/>
      <c r="BO28" s="65" t="e">
        <f t="shared" si="43"/>
        <v>#REF!</v>
      </c>
      <c r="BP28" s="65">
        <f t="shared" si="44"/>
        <v>69.7142857142857</v>
      </c>
      <c r="BQ28" s="65"/>
      <c r="BR28" s="65" t="e">
        <f t="shared" si="45"/>
        <v>#REF!</v>
      </c>
      <c r="BS28" s="65">
        <f t="shared" si="46"/>
        <v>61.0</v>
      </c>
      <c r="BT28" s="65"/>
      <c r="BU28" s="65" t="e">
        <f t="shared" si="47"/>
        <v>#REF!</v>
      </c>
      <c r="BV28" s="65">
        <f t="shared" si="48"/>
        <v>70.4</v>
      </c>
      <c r="BW28" s="65"/>
      <c r="BX28" s="65" t="e">
        <f t="shared" si="49"/>
        <v>#REF!</v>
      </c>
    </row>
    <row r="29" ht="14.0" customFormat="1" s="47">
      <c r="A29" s="93" t="s">
        <v>430</v>
      </c>
      <c r="B29" s="93" t="s">
        <v>53</v>
      </c>
      <c r="C29" s="93" t="s">
        <v>481</v>
      </c>
      <c r="D29" s="93" t="s">
        <v>482</v>
      </c>
      <c r="E29" s="93">
        <v>50.0</v>
      </c>
      <c r="F29" s="93">
        <v>78.0</v>
      </c>
      <c r="G29" s="93">
        <v>109.0</v>
      </c>
      <c r="H29" s="93">
        <v>70.0</v>
      </c>
      <c r="I29" s="93">
        <v>103.0</v>
      </c>
      <c r="J29" s="93">
        <v>47.0</v>
      </c>
      <c r="K29" s="93">
        <v>341.0</v>
      </c>
      <c r="L29" s="93">
        <v>83.0</v>
      </c>
      <c r="M29" s="93">
        <v>44.0</v>
      </c>
      <c r="N29" s="93">
        <v>27.0</v>
      </c>
      <c r="O29" s="93">
        <v>57.0</v>
      </c>
      <c r="P29" s="93">
        <v>58.0</v>
      </c>
      <c r="Q29" s="93">
        <v>58.0</v>
      </c>
      <c r="R29" s="93">
        <v>18.0</v>
      </c>
      <c r="S29" s="93">
        <v>109.0</v>
      </c>
      <c r="T29" s="93">
        <v>59.0</v>
      </c>
      <c r="U29" s="93">
        <v>102.0</v>
      </c>
      <c r="V29" s="93">
        <v>292.0</v>
      </c>
      <c r="W29" s="93">
        <v>47.0</v>
      </c>
      <c r="X29" s="93">
        <v>42.0</v>
      </c>
      <c r="Y29" s="93">
        <v>15.0</v>
      </c>
      <c r="Z29" s="93">
        <v>67.0</v>
      </c>
      <c r="AA29" s="93">
        <v>48.0</v>
      </c>
      <c r="AB29" s="93">
        <v>85.0</v>
      </c>
      <c r="AC29" s="93">
        <v>48.0</v>
      </c>
      <c r="AD29" s="93">
        <v>101.0</v>
      </c>
      <c r="AE29" s="93">
        <v>180.0</v>
      </c>
      <c r="AF29" s="93">
        <v>135.0</v>
      </c>
      <c r="AG29" s="93">
        <v>91.0</v>
      </c>
      <c r="AH29" s="93">
        <v>66.0</v>
      </c>
      <c r="AI29" s="93">
        <v>327.0</v>
      </c>
      <c r="AJ29" s="93">
        <v>125.0</v>
      </c>
      <c r="AK29" s="93">
        <v>51.0</v>
      </c>
      <c r="AL29" s="93">
        <v>55.0</v>
      </c>
      <c r="AM29" s="93">
        <v>13.0</v>
      </c>
      <c r="AN29" s="110">
        <f>AB29</f>
        <v>85.0</v>
      </c>
      <c r="AO29" s="111">
        <f t="shared" si="4"/>
        <v>1277.0</v>
      </c>
      <c r="AP29" s="64">
        <f t="shared" si="5"/>
        <v>621.0</v>
      </c>
      <c r="AQ29" s="69">
        <f t="shared" si="6"/>
        <v>683.1</v>
      </c>
      <c r="AR29" s="65">
        <f t="shared" si="50"/>
        <v>126.734693877551</v>
      </c>
      <c r="AS29" s="65">
        <f t="shared" si="51"/>
        <v>101.38775510204</v>
      </c>
      <c r="AT29" s="65">
        <f t="shared" si="52"/>
        <v>107.724489795918</v>
      </c>
      <c r="AU29" s="65">
        <f t="shared" si="53"/>
        <v>101.38775510204</v>
      </c>
      <c r="AV29" s="65">
        <f t="shared" si="54"/>
        <v>88.7142857142857</v>
      </c>
      <c r="AW29" s="65">
        <f>AQ29*$AW$4/$AQ$4</f>
        <v>95.0510204081632</v>
      </c>
      <c r="AX29" s="64">
        <f t="shared" si="13"/>
        <v>620.999999999998</v>
      </c>
      <c r="AY29" s="64" t="e">
        <f t="shared" si="14"/>
        <v>#REF!</v>
      </c>
      <c r="BA29" s="47" t="e">
        <f t="shared" si="66"/>
        <v>#REF!</v>
      </c>
      <c r="BB29" s="69" t="e">
        <f t="shared" si="36"/>
        <v>#REF!</v>
      </c>
      <c r="BF29" s="65" t="e">
        <f t="shared" si="37"/>
        <v>#REF!</v>
      </c>
      <c r="BG29" s="65">
        <f t="shared" si="38"/>
        <v>126.734693877551</v>
      </c>
      <c r="BH29" s="65" t="e">
        <f t="shared" si="18"/>
        <v>#REF!</v>
      </c>
      <c r="BI29" s="65" t="e">
        <f t="shared" si="39"/>
        <v>#REF!</v>
      </c>
      <c r="BJ29" s="65">
        <f t="shared" si="40"/>
        <v>101.38775510204</v>
      </c>
      <c r="BK29" s="65"/>
      <c r="BL29" s="65" t="e">
        <f t="shared" si="41"/>
        <v>#REF!</v>
      </c>
      <c r="BM29" s="65">
        <f t="shared" si="42"/>
        <v>107.724489795918</v>
      </c>
      <c r="BN29" s="65"/>
      <c r="BO29" s="65" t="e">
        <f t="shared" si="43"/>
        <v>#REF!</v>
      </c>
      <c r="BP29" s="65">
        <f t="shared" si="44"/>
        <v>101.38775510204</v>
      </c>
      <c r="BQ29" s="65"/>
      <c r="BR29" s="65" t="e">
        <f t="shared" si="45"/>
        <v>#REF!</v>
      </c>
      <c r="BS29" s="65">
        <f t="shared" si="46"/>
        <v>88.7142857142857</v>
      </c>
      <c r="BT29" s="65"/>
      <c r="BU29" s="65" t="e">
        <f t="shared" si="47"/>
        <v>#REF!</v>
      </c>
      <c r="BV29" s="65">
        <f t="shared" si="48"/>
        <v>95.0510204081632</v>
      </c>
      <c r="BW29" s="65"/>
      <c r="BX29" s="65" t="e">
        <f t="shared" si="49"/>
        <v>#REF!</v>
      </c>
    </row>
    <row r="30" ht="14.0" customFormat="1" s="47">
      <c r="A30" s="93" t="s">
        <v>430</v>
      </c>
      <c r="B30" s="93" t="s">
        <v>53</v>
      </c>
      <c r="C30" s="93" t="s">
        <v>483</v>
      </c>
      <c r="D30" s="93" t="s">
        <v>484</v>
      </c>
      <c r="E30" s="93">
        <v>0.0</v>
      </c>
      <c r="F30" s="93">
        <v>0.0</v>
      </c>
      <c r="G30" s="93">
        <v>0.0</v>
      </c>
      <c r="H30" s="93">
        <v>0.0</v>
      </c>
      <c r="I30" s="93">
        <v>0.0</v>
      </c>
      <c r="J30" s="93">
        <v>0.0</v>
      </c>
      <c r="K30" s="93">
        <v>0.0</v>
      </c>
      <c r="L30" s="93">
        <v>0.0</v>
      </c>
      <c r="M30" s="93">
        <v>0.0</v>
      </c>
      <c r="N30" s="93">
        <v>0.0</v>
      </c>
      <c r="O30" s="93">
        <v>0.0</v>
      </c>
      <c r="P30" s="93">
        <v>0.0</v>
      </c>
      <c r="Q30" s="93">
        <v>0.0</v>
      </c>
      <c r="R30" s="93">
        <v>0.0</v>
      </c>
      <c r="S30" s="93">
        <v>0.0</v>
      </c>
      <c r="T30" s="93">
        <v>0.0</v>
      </c>
      <c r="U30" s="93">
        <v>0.0</v>
      </c>
      <c r="V30" s="93">
        <v>0.0</v>
      </c>
      <c r="W30" s="93">
        <v>0.0</v>
      </c>
      <c r="X30" s="93">
        <v>0.0</v>
      </c>
      <c r="Y30" s="93">
        <v>0.0</v>
      </c>
      <c r="Z30" s="93">
        <v>0.0</v>
      </c>
      <c r="AA30" s="93">
        <v>0.0</v>
      </c>
      <c r="AB30" s="93">
        <v>0.0</v>
      </c>
      <c r="AC30" s="93">
        <v>0.0</v>
      </c>
      <c r="AD30" s="93">
        <v>0.0</v>
      </c>
      <c r="AE30" s="93">
        <v>0.0</v>
      </c>
      <c r="AF30" s="93">
        <v>0.0</v>
      </c>
      <c r="AG30" s="93">
        <v>0.0</v>
      </c>
      <c r="AH30" s="93">
        <v>0.0</v>
      </c>
      <c r="AI30" s="93">
        <v>0.0</v>
      </c>
      <c r="AJ30" s="93">
        <v>0.0</v>
      </c>
      <c r="AK30" s="93">
        <v>0.0</v>
      </c>
      <c r="AL30" s="113">
        <v>64.0</v>
      </c>
      <c r="AM30" s="113">
        <v>78.0</v>
      </c>
      <c r="AN30" s="113">
        <v>35.0</v>
      </c>
      <c r="AO30" s="111">
        <f t="shared" si="4"/>
        <v>177.0</v>
      </c>
      <c r="AP30" s="64">
        <f>AM30+AN30</f>
        <v>113.0</v>
      </c>
      <c r="AQ30" s="69">
        <f t="shared" si="6"/>
        <v>124.3</v>
      </c>
      <c r="AR30" s="65">
        <f>AVERAGE(AL30:AN30)*1.1</f>
        <v>64.9</v>
      </c>
      <c r="AS30" s="65">
        <f>AR30</f>
        <v>64.9</v>
      </c>
      <c r="AT30" s="65">
        <f>AS30</f>
        <v>64.9</v>
      </c>
      <c r="AU30" s="65">
        <f>AT30</f>
        <v>64.9</v>
      </c>
      <c r="AV30" s="65">
        <f>AU30</f>
        <v>64.9</v>
      </c>
      <c r="AW30" s="65">
        <f>AV30</f>
        <v>64.9</v>
      </c>
      <c r="AX30" s="64">
        <f t="shared" si="13"/>
        <v>389.4</v>
      </c>
      <c r="AY30" s="64" t="e">
        <f t="shared" si="14"/>
        <v>#REF!</v>
      </c>
      <c r="BA30" s="47" t="e">
        <f t="shared" si="66"/>
        <v>#REF!</v>
      </c>
      <c r="BB30" s="69" t="e">
        <f t="shared" si="36"/>
        <v>#REF!</v>
      </c>
      <c r="BF30" s="65" t="e">
        <f t="shared" si="37"/>
        <v>#REF!</v>
      </c>
      <c r="BG30" s="65">
        <f t="shared" si="38"/>
        <v>64.9</v>
      </c>
      <c r="BH30" s="65" t="e">
        <f t="shared" si="18"/>
        <v>#REF!</v>
      </c>
      <c r="BI30" s="65" t="e">
        <f t="shared" si="39"/>
        <v>#REF!</v>
      </c>
      <c r="BJ30" s="65">
        <f t="shared" si="40"/>
        <v>64.9</v>
      </c>
      <c r="BK30" s="65"/>
      <c r="BL30" s="65" t="e">
        <f t="shared" si="41"/>
        <v>#REF!</v>
      </c>
      <c r="BM30" s="65">
        <f t="shared" si="42"/>
        <v>64.9</v>
      </c>
      <c r="BN30" s="65"/>
      <c r="BO30" s="65" t="e">
        <f t="shared" si="43"/>
        <v>#REF!</v>
      </c>
      <c r="BP30" s="65">
        <f t="shared" si="44"/>
        <v>64.9</v>
      </c>
      <c r="BQ30" s="65"/>
      <c r="BR30" s="65" t="e">
        <f t="shared" si="45"/>
        <v>#REF!</v>
      </c>
      <c r="BS30" s="65">
        <f t="shared" si="46"/>
        <v>64.9</v>
      </c>
      <c r="BT30" s="65"/>
      <c r="BU30" s="65" t="e">
        <f t="shared" si="47"/>
        <v>#REF!</v>
      </c>
      <c r="BV30" s="65">
        <f t="shared" si="48"/>
        <v>64.9</v>
      </c>
      <c r="BW30" s="65"/>
      <c r="BX30" s="65" t="e">
        <f t="shared" si="49"/>
        <v>#REF!</v>
      </c>
    </row>
    <row r="31" ht="14.0" customFormat="1" s="47">
      <c r="A31" s="93" t="s">
        <v>430</v>
      </c>
      <c r="B31" s="93" t="s">
        <v>53</v>
      </c>
      <c r="C31" s="93" t="s">
        <v>485</v>
      </c>
      <c r="D31" s="93" t="s">
        <v>486</v>
      </c>
      <c r="E31" s="93">
        <v>0.0</v>
      </c>
      <c r="F31" s="93">
        <v>0.0</v>
      </c>
      <c r="G31" s="93">
        <v>0.0</v>
      </c>
      <c r="H31" s="93">
        <v>0.0</v>
      </c>
      <c r="I31" s="93">
        <v>0.0</v>
      </c>
      <c r="J31" s="93">
        <v>0.0</v>
      </c>
      <c r="K31" s="93">
        <v>0.0</v>
      </c>
      <c r="L31" s="93">
        <v>0.0</v>
      </c>
      <c r="M31" s="93">
        <v>0.0</v>
      </c>
      <c r="N31" s="93">
        <v>0.0</v>
      </c>
      <c r="O31" s="93">
        <v>0.0</v>
      </c>
      <c r="P31" s="93">
        <v>0.0</v>
      </c>
      <c r="Q31" s="93">
        <v>0.0</v>
      </c>
      <c r="R31" s="93">
        <v>0.0</v>
      </c>
      <c r="S31" s="93">
        <v>0.0</v>
      </c>
      <c r="T31" s="93">
        <v>21.0</v>
      </c>
      <c r="U31" s="93">
        <v>37.0</v>
      </c>
      <c r="V31" s="93">
        <v>50.0</v>
      </c>
      <c r="W31" s="93">
        <v>48.0</v>
      </c>
      <c r="X31" s="93">
        <v>6.0</v>
      </c>
      <c r="Y31" s="93">
        <v>3.0</v>
      </c>
      <c r="Z31" s="93">
        <v>7.0</v>
      </c>
      <c r="AA31" s="93">
        <v>12.0</v>
      </c>
      <c r="AB31" s="93">
        <v>21.0</v>
      </c>
      <c r="AC31" s="93">
        <v>9.0</v>
      </c>
      <c r="AD31" s="93">
        <v>18.0</v>
      </c>
      <c r="AE31" s="93">
        <v>12.0</v>
      </c>
      <c r="AF31" s="93">
        <v>6.0</v>
      </c>
      <c r="AG31" s="93">
        <v>12.0</v>
      </c>
      <c r="AH31" s="93">
        <v>9.0</v>
      </c>
      <c r="AI31" s="93">
        <v>3.0</v>
      </c>
      <c r="AJ31" s="93">
        <v>12.0</v>
      </c>
      <c r="AK31" s="93">
        <v>3.0</v>
      </c>
      <c r="AL31" s="93">
        <v>15.0</v>
      </c>
      <c r="AM31" s="93">
        <v>3.0</v>
      </c>
      <c r="AN31" s="93">
        <v>12.0</v>
      </c>
      <c r="AO31" s="111">
        <f t="shared" si="4"/>
        <v>114.0</v>
      </c>
      <c r="AP31" s="64">
        <f t="shared" ref="AP31:AP39" si="77">SUM(AC31:AH31)</f>
        <v>66.0</v>
      </c>
      <c r="AQ31" s="69">
        <f t="shared" si="6"/>
        <v>72.6</v>
      </c>
      <c r="AR31" s="65">
        <f t="shared" ref="AR31:AR33" si="78">AQ31*$AR$4/$AQ$4</f>
        <v>13.469387755102</v>
      </c>
      <c r="AS31" s="65">
        <f t="shared" ref="AS31:AS33" si="79">AQ31*$AS$4/$AQ$4</f>
        <v>10.7755102040816</v>
      </c>
      <c r="AT31" s="65">
        <f t="shared" ref="AT31:AT33" si="80">AQ31*$AT$4/$AQ$4</f>
        <v>11.4489795918367</v>
      </c>
      <c r="AU31" s="65">
        <f t="shared" ref="AU31:AU33" si="81">AQ31*$AU$4/$AQ$4</f>
        <v>10.7755102040816</v>
      </c>
      <c r="AV31" s="65">
        <f t="shared" ref="AV31:AV33" si="82">AQ31*$AV$4/$AQ$4</f>
        <v>9.42857142857142</v>
      </c>
      <c r="AW31" s="65">
        <f t="shared" ref="AW31:AW33" si="83">AQ31*$AW$4/$AQ$4</f>
        <v>10.1020408163265</v>
      </c>
      <c r="AX31" s="64">
        <f t="shared" si="13"/>
        <v>65.9999999999998</v>
      </c>
      <c r="AY31" s="64" t="e">
        <f t="shared" si="14"/>
        <v>#REF!</v>
      </c>
      <c r="BB31" s="69" t="e">
        <f t="shared" si="36"/>
        <v>#REF!</v>
      </c>
      <c r="BF31" s="65" t="e">
        <f t="shared" si="37"/>
        <v>#REF!</v>
      </c>
      <c r="BG31" s="65">
        <f t="shared" si="38"/>
        <v>13.469387755102</v>
      </c>
      <c r="BH31" s="65">
        <f t="shared" si="18"/>
      </c>
      <c r="BI31" s="65" t="e">
        <f t="shared" si="39"/>
        <v>#REF!</v>
      </c>
      <c r="BJ31" s="65">
        <f t="shared" si="40"/>
        <v>10.7755102040816</v>
      </c>
      <c r="BK31" s="65"/>
      <c r="BL31" s="65" t="e">
        <f t="shared" si="41"/>
        <v>#REF!</v>
      </c>
      <c r="BM31" s="65">
        <f t="shared" si="42"/>
        <v>11.4489795918367</v>
      </c>
      <c r="BN31" s="65"/>
      <c r="BO31" s="65" t="e">
        <f t="shared" si="43"/>
        <v>#REF!</v>
      </c>
      <c r="BP31" s="65">
        <f t="shared" si="44"/>
        <v>10.7755102040816</v>
      </c>
      <c r="BQ31" s="65"/>
      <c r="BR31" s="65" t="e">
        <f t="shared" si="45"/>
        <v>#REF!</v>
      </c>
      <c r="BS31" s="65">
        <f t="shared" si="46"/>
        <v>9.42857142857142</v>
      </c>
      <c r="BT31" s="65"/>
      <c r="BU31" s="65" t="e">
        <f t="shared" si="47"/>
        <v>#REF!</v>
      </c>
      <c r="BV31" s="65">
        <f t="shared" si="48"/>
        <v>10.1020408163265</v>
      </c>
      <c r="BW31" s="65"/>
      <c r="BX31" s="65" t="e">
        <f t="shared" si="49"/>
        <v>#REF!</v>
      </c>
    </row>
    <row r="32" ht="14.0" customFormat="1" s="47">
      <c r="A32" s="93" t="s">
        <v>430</v>
      </c>
      <c r="B32" s="93" t="s">
        <v>53</v>
      </c>
      <c r="C32" s="93" t="s">
        <v>487</v>
      </c>
      <c r="D32" s="93" t="s">
        <v>488</v>
      </c>
      <c r="E32" s="93">
        <v>0.0</v>
      </c>
      <c r="F32" s="93">
        <v>0.0</v>
      </c>
      <c r="G32" s="93">
        <v>0.0</v>
      </c>
      <c r="H32" s="93">
        <v>0.0</v>
      </c>
      <c r="I32" s="93">
        <v>0.0</v>
      </c>
      <c r="J32" s="93">
        <v>0.0</v>
      </c>
      <c r="K32" s="93">
        <v>0.0</v>
      </c>
      <c r="L32" s="93">
        <v>0.0</v>
      </c>
      <c r="M32" s="93">
        <v>0.0</v>
      </c>
      <c r="N32" s="93">
        <v>0.0</v>
      </c>
      <c r="O32" s="93">
        <v>0.0</v>
      </c>
      <c r="P32" s="93">
        <v>0.0</v>
      </c>
      <c r="Q32" s="93">
        <v>0.0</v>
      </c>
      <c r="R32" s="93">
        <v>0.0</v>
      </c>
      <c r="S32" s="93">
        <v>0.0</v>
      </c>
      <c r="T32" s="93">
        <v>28.0</v>
      </c>
      <c r="U32" s="93">
        <v>95.0</v>
      </c>
      <c r="V32" s="93">
        <v>137.0</v>
      </c>
      <c r="W32" s="93">
        <v>64.0</v>
      </c>
      <c r="X32" s="93">
        <v>3.0</v>
      </c>
      <c r="Y32" s="93">
        <v>0.0</v>
      </c>
      <c r="Z32" s="93">
        <v>25.0</v>
      </c>
      <c r="AA32" s="93">
        <v>31.0</v>
      </c>
      <c r="AB32" s="93">
        <v>66.0</v>
      </c>
      <c r="AC32" s="93">
        <v>42.0</v>
      </c>
      <c r="AD32" s="93">
        <v>30.0</v>
      </c>
      <c r="AE32" s="93">
        <v>15.0</v>
      </c>
      <c r="AF32" s="93">
        <v>30.0</v>
      </c>
      <c r="AG32" s="93">
        <v>15.0</v>
      </c>
      <c r="AH32" s="93">
        <v>12.0</v>
      </c>
      <c r="AI32" s="93">
        <v>21.0</v>
      </c>
      <c r="AJ32" s="93">
        <v>27.0</v>
      </c>
      <c r="AK32" s="93">
        <v>12.0</v>
      </c>
      <c r="AL32" s="93">
        <v>24.0</v>
      </c>
      <c r="AM32" s="93">
        <v>18.0</v>
      </c>
      <c r="AN32" s="93">
        <v>16.0</v>
      </c>
      <c r="AO32" s="111">
        <f t="shared" si="4"/>
        <v>262.0</v>
      </c>
      <c r="AP32" s="64">
        <f t="shared" si="77"/>
        <v>144.0</v>
      </c>
      <c r="AQ32" s="69">
        <f t="shared" si="6"/>
        <v>158.4</v>
      </c>
      <c r="AR32" s="65">
        <f t="shared" si="78"/>
        <v>29.3877551020408</v>
      </c>
      <c r="AS32" s="65">
        <f t="shared" si="79"/>
        <v>23.5102040816327</v>
      </c>
      <c r="AT32" s="65">
        <f t="shared" si="80"/>
        <v>24.9795918367347</v>
      </c>
      <c r="AU32" s="65">
        <f t="shared" si="81"/>
        <v>23.5102040816327</v>
      </c>
      <c r="AV32" s="65">
        <f t="shared" si="82"/>
        <v>20.571428571429</v>
      </c>
      <c r="AW32" s="65">
        <f t="shared" si="83"/>
        <v>22.0408163265306</v>
      </c>
      <c r="AX32" s="64">
        <f t="shared" si="13"/>
        <v>144.0</v>
      </c>
      <c r="AY32" s="64" t="e">
        <f t="shared" si="14"/>
        <v>#REF!</v>
      </c>
      <c r="BB32" s="69" t="e">
        <f t="shared" si="36"/>
        <v>#REF!</v>
      </c>
      <c r="BF32" s="65" t="e">
        <f t="shared" si="37"/>
        <v>#REF!</v>
      </c>
      <c r="BG32" s="65">
        <f t="shared" si="38"/>
        <v>29.3877551020408</v>
      </c>
      <c r="BH32" s="65">
        <f t="shared" si="18"/>
      </c>
      <c r="BI32" s="65" t="e">
        <f t="shared" si="39"/>
        <v>#REF!</v>
      </c>
      <c r="BJ32" s="65">
        <f t="shared" si="40"/>
        <v>23.5102040816327</v>
      </c>
      <c r="BK32" s="65"/>
      <c r="BL32" s="65" t="e">
        <f t="shared" si="41"/>
        <v>#REF!</v>
      </c>
      <c r="BM32" s="65">
        <f t="shared" si="42"/>
        <v>24.9795918367347</v>
      </c>
      <c r="BN32" s="65"/>
      <c r="BO32" s="65" t="e">
        <f t="shared" si="43"/>
        <v>#REF!</v>
      </c>
      <c r="BP32" s="65">
        <f t="shared" si="44"/>
        <v>23.5102040816327</v>
      </c>
      <c r="BQ32" s="65"/>
      <c r="BR32" s="65" t="e">
        <f t="shared" si="45"/>
        <v>#REF!</v>
      </c>
      <c r="BS32" s="65">
        <f t="shared" si="46"/>
        <v>20.571428571429</v>
      </c>
      <c r="BT32" s="65"/>
      <c r="BU32" s="65" t="e">
        <f t="shared" si="47"/>
        <v>#REF!</v>
      </c>
      <c r="BV32" s="65">
        <f t="shared" si="48"/>
        <v>22.0408163265306</v>
      </c>
      <c r="BW32" s="65"/>
      <c r="BX32" s="65" t="e">
        <f t="shared" si="49"/>
        <v>#REF!</v>
      </c>
    </row>
    <row r="33" ht="14.0" customFormat="1" s="47">
      <c r="A33" s="93" t="s">
        <v>430</v>
      </c>
      <c r="B33" s="93" t="s">
        <v>489</v>
      </c>
      <c r="C33" s="110" t="s">
        <v>490</v>
      </c>
      <c r="D33" s="93" t="s">
        <v>491</v>
      </c>
      <c r="E33" s="93">
        <v>3.0</v>
      </c>
      <c r="F33" s="93">
        <v>0.0</v>
      </c>
      <c r="G33" s="93">
        <v>0.0</v>
      </c>
      <c r="H33" s="93">
        <v>0.0</v>
      </c>
      <c r="I33" s="93">
        <v>4.0</v>
      </c>
      <c r="J33" s="93">
        <v>2.0</v>
      </c>
      <c r="K33" s="93">
        <v>1.0</v>
      </c>
      <c r="L33" s="93">
        <v>2.0</v>
      </c>
      <c r="M33" s="93">
        <v>0.0</v>
      </c>
      <c r="N33" s="93">
        <v>0.0</v>
      </c>
      <c r="O33" s="93">
        <v>4.0</v>
      </c>
      <c r="P33" s="93">
        <v>6.0</v>
      </c>
      <c r="Q33" s="93">
        <v>11.0</v>
      </c>
      <c r="R33" s="93">
        <v>5.0</v>
      </c>
      <c r="S33" s="93">
        <v>1.0</v>
      </c>
      <c r="T33" s="93">
        <v>1.0</v>
      </c>
      <c r="U33" s="93">
        <v>6.0</v>
      </c>
      <c r="V33" s="93">
        <v>5.0</v>
      </c>
      <c r="W33" s="93">
        <v>1.0</v>
      </c>
      <c r="X33" s="93">
        <v>0.0</v>
      </c>
      <c r="Y33" s="93">
        <v>6.0</v>
      </c>
      <c r="Z33" s="93">
        <v>2.0</v>
      </c>
      <c r="AA33" s="93">
        <v>5.0</v>
      </c>
      <c r="AB33" s="93">
        <v>9.0</v>
      </c>
      <c r="AC33" s="93">
        <v>9.0</v>
      </c>
      <c r="AD33" s="93">
        <v>2.0</v>
      </c>
      <c r="AE33" s="93">
        <v>1.0</v>
      </c>
      <c r="AF33" s="93">
        <v>1.0</v>
      </c>
      <c r="AG33" s="93">
        <v>1.0</v>
      </c>
      <c r="AH33" s="93">
        <v>3.0</v>
      </c>
      <c r="AI33" s="93">
        <v>5.0</v>
      </c>
      <c r="AJ33" s="93">
        <v>3.0</v>
      </c>
      <c r="AK33" s="93">
        <v>4.0</v>
      </c>
      <c r="AL33" s="93">
        <v>4.0</v>
      </c>
      <c r="AM33" s="93">
        <v>0.0</v>
      </c>
      <c r="AN33" s="93">
        <v>3.0</v>
      </c>
      <c r="AO33" s="111">
        <f t="shared" si="4"/>
        <v>36.0</v>
      </c>
      <c r="AP33" s="64">
        <f t="shared" si="77"/>
        <v>17.0</v>
      </c>
      <c r="AQ33" s="69">
        <f t="shared" si="6"/>
        <v>18.7</v>
      </c>
      <c r="AR33" s="97">
        <f t="shared" si="78"/>
        <v>3.46938775510204</v>
      </c>
      <c r="AS33" s="97">
        <f t="shared" si="79"/>
        <v>2.77551020408163</v>
      </c>
      <c r="AT33" s="97">
        <f t="shared" si="80"/>
        <v>2.94897959183673</v>
      </c>
      <c r="AU33" s="97">
        <f t="shared" si="81"/>
        <v>2.77551020408163</v>
      </c>
      <c r="AV33" s="97">
        <f t="shared" si="82"/>
        <v>2.42857142857142</v>
      </c>
      <c r="AW33" s="97">
        <f t="shared" si="83"/>
        <v>2.60204081632653</v>
      </c>
      <c r="AX33" s="64">
        <f t="shared" si="13"/>
        <v>17.0</v>
      </c>
      <c r="AY33" s="64" t="e">
        <f t="shared" si="14"/>
        <v>#REF!</v>
      </c>
      <c r="BF33" s="65"/>
      <c r="BG33" s="65"/>
      <c r="BH33" s="65">
        <f t="shared" si="18"/>
      </c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</row>
    <row r="34" ht="14.0" customFormat="1" s="47">
      <c r="A34" s="93" t="s">
        <v>430</v>
      </c>
      <c r="B34" s="93" t="s">
        <v>489</v>
      </c>
      <c r="C34" s="93" t="s">
        <v>492</v>
      </c>
      <c r="D34" s="93" t="s">
        <v>493</v>
      </c>
      <c r="E34" s="93">
        <v>43.0</v>
      </c>
      <c r="F34" s="93">
        <v>30.0</v>
      </c>
      <c r="G34" s="93">
        <v>55.0</v>
      </c>
      <c r="H34" s="93">
        <v>31.0</v>
      </c>
      <c r="I34" s="93">
        <v>75.0</v>
      </c>
      <c r="J34" s="93">
        <v>97.0</v>
      </c>
      <c r="K34" s="93">
        <v>73.0</v>
      </c>
      <c r="L34" s="93">
        <v>76.0</v>
      </c>
      <c r="M34" s="93">
        <v>59.0</v>
      </c>
      <c r="N34" s="93">
        <v>120.0</v>
      </c>
      <c r="O34" s="93">
        <v>85.0</v>
      </c>
      <c r="P34" s="93">
        <v>52.0</v>
      </c>
      <c r="Q34" s="93">
        <v>88.0</v>
      </c>
      <c r="R34" s="93">
        <v>69.0</v>
      </c>
      <c r="S34" s="93">
        <v>60.0</v>
      </c>
      <c r="T34" s="93">
        <v>60.0</v>
      </c>
      <c r="U34" s="93">
        <v>94.0</v>
      </c>
      <c r="V34" s="93">
        <v>210.0</v>
      </c>
      <c r="W34" s="93">
        <v>73.0</v>
      </c>
      <c r="X34" s="93">
        <v>51.0</v>
      </c>
      <c r="Y34" s="93">
        <v>33.0</v>
      </c>
      <c r="Z34" s="93">
        <v>24.0</v>
      </c>
      <c r="AA34" s="93">
        <v>57.0</v>
      </c>
      <c r="AB34" s="93">
        <v>84.0</v>
      </c>
      <c r="AC34" s="93">
        <v>69.0</v>
      </c>
      <c r="AD34" s="93">
        <v>75.0</v>
      </c>
      <c r="AE34" s="93">
        <v>21.0</v>
      </c>
      <c r="AF34" s="93">
        <v>70.0</v>
      </c>
      <c r="AG34" s="93">
        <v>48.0</v>
      </c>
      <c r="AH34" s="93">
        <v>33.0</v>
      </c>
      <c r="AI34" s="93">
        <v>87.0</v>
      </c>
      <c r="AJ34" s="93">
        <v>49.0</v>
      </c>
      <c r="AK34" s="93">
        <v>42.0</v>
      </c>
      <c r="AL34" s="93">
        <v>48.0</v>
      </c>
      <c r="AM34" s="93">
        <v>39.0</v>
      </c>
      <c r="AN34" s="93">
        <v>49.0</v>
      </c>
      <c r="AO34" s="111">
        <f t="shared" si="4"/>
        <v>630.0</v>
      </c>
      <c r="AP34" s="64">
        <f t="shared" si="77"/>
        <v>316.0</v>
      </c>
      <c r="AQ34" s="69">
        <f t="shared" si="6"/>
        <v>347.6</v>
      </c>
      <c r="AR34" s="65">
        <f t="shared" ref="AR34:AR39" si="84">AQ34*$AR$4/$AQ$4+6*$AR$33</f>
        <v>85.3061224489795</v>
      </c>
      <c r="AS34" s="65">
        <f t="shared" ref="AS34:AS39" si="85">AQ34*$AS$4/$AQ$4+6*$AS$33</f>
        <v>68.2448979591837</v>
      </c>
      <c r="AT34" s="65">
        <f t="shared" ref="AT34:AT39" si="86">AQ34*$AT$4/$AQ$4+6*$AT$33</f>
        <v>72.5102040816325</v>
      </c>
      <c r="AU34" s="65">
        <f t="shared" ref="AU34:AU39" si="87">AQ34*$AU$4/$AQ$4+6*$AU$33</f>
        <v>68.2448979591837</v>
      </c>
      <c r="AV34" s="65">
        <f t="shared" ref="AV34:AV39" si="88">AQ34*$AV$4/$AQ$4+6*$AV$33</f>
        <v>59.7142857142856</v>
      </c>
      <c r="AW34" s="65">
        <f t="shared" ref="AW34:AW39" si="89">AQ34*$AW$4/$AQ$4+6*$AW$33</f>
        <v>63.9795918367346</v>
      </c>
      <c r="AX34" s="64">
        <f t="shared" si="13"/>
        <v>418.0</v>
      </c>
      <c r="AY34" s="64" t="e">
        <f t="shared" si="14"/>
        <v>#REF!</v>
      </c>
      <c r="BA34" s="47" t="e">
        <f>VLOOKUP(C34,FYTMOCT6,3,false)</f>
        <v>#REF!</v>
      </c>
      <c r="BB34" s="69" t="e">
        <f t="shared" ref="BB34:BB39" si="91">AY34+AZ34+BA34-AX34</f>
        <v>#REF!</v>
      </c>
      <c r="BE34" s="47" t="s">
        <v>494</v>
      </c>
      <c r="BF34" s="65" t="e">
        <f t="shared" ref="BF34:BF39" si="92">AY34</f>
        <v>#REF!</v>
      </c>
      <c r="BG34" s="65">
        <f t="shared" ref="BG34:BG39" si="93">AR34</f>
        <v>85.3061224489795</v>
      </c>
      <c r="BH34" s="65" t="e">
        <f t="shared" si="18"/>
        <v>#REF!</v>
      </c>
      <c r="BI34" s="65" t="e">
        <f t="shared" ref="BI34:BI39" si="94">BF34+BH34-BG34</f>
        <v>#REF!</v>
      </c>
      <c r="BJ34" s="65">
        <f t="shared" ref="BJ34:BJ39" si="95">AS34</f>
        <v>68.2448979591837</v>
      </c>
      <c r="BK34" s="65"/>
      <c r="BL34" s="65" t="e">
        <f t="shared" ref="BL34:BL39" si="96">BI34+BK34-BJ34</f>
        <v>#REF!</v>
      </c>
      <c r="BM34" s="65">
        <f t="shared" ref="BM34:BM39" si="97">AT34</f>
        <v>72.5102040816325</v>
      </c>
      <c r="BN34" s="65"/>
      <c r="BO34" s="65" t="e">
        <f t="shared" ref="BO34:BO39" si="98">BL34+BN34-BM34</f>
        <v>#REF!</v>
      </c>
      <c r="BP34" s="65">
        <f t="shared" ref="BP34:BP39" si="99">AU34</f>
        <v>68.2448979591837</v>
      </c>
      <c r="BQ34" s="65"/>
      <c r="BR34" s="65" t="e">
        <f t="shared" ref="BR34:BR39" si="100">BO34+BQ34-BP34</f>
        <v>#REF!</v>
      </c>
      <c r="BS34" s="65">
        <f t="shared" ref="BS34:BS39" si="101">AV34</f>
        <v>59.7142857142856</v>
      </c>
      <c r="BT34" s="65"/>
      <c r="BU34" s="65" t="e">
        <f t="shared" ref="BU34:BU39" si="102">BR34+BT34-BS34</f>
        <v>#REF!</v>
      </c>
      <c r="BV34" s="65">
        <f t="shared" ref="BV34:BV39" si="103">AW34</f>
        <v>63.9795918367346</v>
      </c>
      <c r="BW34" s="65"/>
      <c r="BX34" s="65" t="e">
        <f t="shared" ref="BX34:BX39" si="104">BU34+BW34-BV34</f>
        <v>#REF!</v>
      </c>
    </row>
    <row r="35" ht="14.0" customFormat="1" s="47">
      <c r="A35" s="93" t="s">
        <v>430</v>
      </c>
      <c r="B35" s="93" t="s">
        <v>489</v>
      </c>
      <c r="C35" s="93" t="s">
        <v>495</v>
      </c>
      <c r="D35" s="93" t="s">
        <v>496</v>
      </c>
      <c r="E35" s="93">
        <v>42.0</v>
      </c>
      <c r="F35" s="93">
        <v>57.0</v>
      </c>
      <c r="G35" s="93">
        <v>21.0</v>
      </c>
      <c r="H35" s="93">
        <v>24.0</v>
      </c>
      <c r="I35" s="93">
        <v>34.0</v>
      </c>
      <c r="J35" s="93">
        <v>41.0</v>
      </c>
      <c r="K35" s="93">
        <v>54.0</v>
      </c>
      <c r="L35" s="93">
        <v>48.0</v>
      </c>
      <c r="M35" s="93">
        <v>63.0</v>
      </c>
      <c r="N35" s="93">
        <v>102.0</v>
      </c>
      <c r="O35" s="93">
        <v>42.0</v>
      </c>
      <c r="P35" s="93">
        <v>36.0</v>
      </c>
      <c r="Q35" s="93">
        <v>63.0</v>
      </c>
      <c r="R35" s="93">
        <v>40.0</v>
      </c>
      <c r="S35" s="93">
        <v>42.0</v>
      </c>
      <c r="T35" s="93">
        <v>66.0</v>
      </c>
      <c r="U35" s="93">
        <v>76.0</v>
      </c>
      <c r="V35" s="93">
        <v>207.0</v>
      </c>
      <c r="W35" s="93">
        <v>21.0</v>
      </c>
      <c r="X35" s="93">
        <v>50.0</v>
      </c>
      <c r="Y35" s="93">
        <v>33.0</v>
      </c>
      <c r="Z35" s="93">
        <v>27.0</v>
      </c>
      <c r="AA35" s="93">
        <v>54.0</v>
      </c>
      <c r="AB35" s="93">
        <v>54.0</v>
      </c>
      <c r="AC35" s="93">
        <v>60.0</v>
      </c>
      <c r="AD35" s="93">
        <v>43.0</v>
      </c>
      <c r="AE35" s="93">
        <v>27.0</v>
      </c>
      <c r="AF35" s="93">
        <v>48.0</v>
      </c>
      <c r="AG35" s="93">
        <v>31.0</v>
      </c>
      <c r="AH35" s="93">
        <v>24.0</v>
      </c>
      <c r="AI35" s="93">
        <v>48.0</v>
      </c>
      <c r="AJ35" s="93">
        <v>34.0</v>
      </c>
      <c r="AK35" s="93">
        <v>27.0</v>
      </c>
      <c r="AL35" s="93">
        <v>27.0</v>
      </c>
      <c r="AM35" s="93">
        <v>24.0</v>
      </c>
      <c r="AN35" s="114">
        <v>250.0</v>
      </c>
      <c r="AO35" s="111">
        <f t="shared" si="4"/>
        <v>643.0</v>
      </c>
      <c r="AP35" s="64">
        <f t="shared" si="77"/>
        <v>233.0</v>
      </c>
      <c r="AQ35" s="69">
        <f t="shared" si="6"/>
        <v>256.3</v>
      </c>
      <c r="AR35" s="65">
        <f t="shared" si="84"/>
        <v>68.3673469387754</v>
      </c>
      <c r="AS35" s="65">
        <f t="shared" si="85"/>
        <v>54.6938775510204</v>
      </c>
      <c r="AT35" s="65">
        <f t="shared" si="86"/>
        <v>58.1122448979591</v>
      </c>
      <c r="AU35" s="65">
        <f t="shared" si="87"/>
        <v>54.6938775510204</v>
      </c>
      <c r="AV35" s="65">
        <f t="shared" si="88"/>
        <v>47.8571428571427</v>
      </c>
      <c r="AW35" s="65">
        <f t="shared" si="89"/>
        <v>51.2755102040815</v>
      </c>
      <c r="AX35" s="64">
        <f t="shared" si="13"/>
        <v>335.0</v>
      </c>
      <c r="AY35" s="64" t="e">
        <f t="shared" si="14"/>
        <v>#REF!</v>
      </c>
      <c r="BB35" s="69" t="e">
        <f t="shared" si="91"/>
        <v>#REF!</v>
      </c>
      <c r="BE35" s="47" t="s">
        <v>330</v>
      </c>
      <c r="BF35" s="65" t="e">
        <f t="shared" si="92"/>
        <v>#REF!</v>
      </c>
      <c r="BG35" s="65">
        <f t="shared" si="93"/>
        <v>68.3673469387754</v>
      </c>
      <c r="BH35" s="65">
        <f t="shared" si="18"/>
      </c>
      <c r="BI35" s="65" t="e">
        <f t="shared" si="94"/>
        <v>#REF!</v>
      </c>
      <c r="BJ35" s="65">
        <f t="shared" si="95"/>
        <v>54.6938775510204</v>
      </c>
      <c r="BK35" s="65"/>
      <c r="BL35" s="65" t="e">
        <f t="shared" si="96"/>
        <v>#REF!</v>
      </c>
      <c r="BM35" s="65">
        <f t="shared" si="97"/>
        <v>58.1122448979591</v>
      </c>
      <c r="BN35" s="65"/>
      <c r="BO35" s="65" t="e">
        <f t="shared" si="98"/>
        <v>#REF!</v>
      </c>
      <c r="BP35" s="65">
        <f t="shared" si="99"/>
        <v>54.6938775510204</v>
      </c>
      <c r="BQ35" s="65"/>
      <c r="BR35" s="65" t="e">
        <f t="shared" si="100"/>
        <v>#REF!</v>
      </c>
      <c r="BS35" s="65">
        <f t="shared" si="101"/>
        <v>47.8571428571427</v>
      </c>
      <c r="BT35" s="65"/>
      <c r="BU35" s="65" t="e">
        <f t="shared" si="102"/>
        <v>#REF!</v>
      </c>
      <c r="BV35" s="65">
        <f t="shared" si="103"/>
        <v>51.2755102040815</v>
      </c>
      <c r="BW35" s="65"/>
      <c r="BX35" s="65" t="e">
        <f t="shared" si="104"/>
        <v>#REF!</v>
      </c>
    </row>
    <row r="36" ht="14.0" customFormat="1" s="47">
      <c r="A36" s="93" t="s">
        <v>430</v>
      </c>
      <c r="B36" s="93" t="s">
        <v>489</v>
      </c>
      <c r="C36" s="93" t="s">
        <v>497</v>
      </c>
      <c r="D36" s="93" t="s">
        <v>498</v>
      </c>
      <c r="E36" s="93">
        <v>42.0</v>
      </c>
      <c r="F36" s="93">
        <v>45.0</v>
      </c>
      <c r="G36" s="93">
        <v>9.0</v>
      </c>
      <c r="H36" s="93">
        <v>21.0</v>
      </c>
      <c r="I36" s="93">
        <v>57.0</v>
      </c>
      <c r="J36" s="93">
        <v>48.0</v>
      </c>
      <c r="K36" s="93">
        <v>61.0</v>
      </c>
      <c r="L36" s="93">
        <v>42.0</v>
      </c>
      <c r="M36" s="93">
        <v>45.0</v>
      </c>
      <c r="N36" s="93">
        <v>90.0</v>
      </c>
      <c r="O36" s="93">
        <v>37.0</v>
      </c>
      <c r="P36" s="93">
        <v>36.0</v>
      </c>
      <c r="Q36" s="93">
        <v>69.0</v>
      </c>
      <c r="R36" s="93">
        <v>27.0</v>
      </c>
      <c r="S36" s="93">
        <v>33.0</v>
      </c>
      <c r="T36" s="93">
        <v>28.0</v>
      </c>
      <c r="U36" s="93">
        <v>49.0</v>
      </c>
      <c r="V36" s="93">
        <v>210.0</v>
      </c>
      <c r="W36" s="93">
        <v>55.0</v>
      </c>
      <c r="X36" s="93">
        <v>38.0</v>
      </c>
      <c r="Y36" s="93">
        <v>15.0</v>
      </c>
      <c r="Z36" s="93">
        <v>27.0</v>
      </c>
      <c r="AA36" s="93">
        <v>51.0</v>
      </c>
      <c r="AB36" s="93">
        <v>48.0</v>
      </c>
      <c r="AC36" s="93">
        <v>48.0</v>
      </c>
      <c r="AD36" s="93">
        <v>48.0</v>
      </c>
      <c r="AE36" s="93">
        <v>18.0</v>
      </c>
      <c r="AF36" s="93">
        <v>54.0</v>
      </c>
      <c r="AG36" s="93">
        <v>25.0</v>
      </c>
      <c r="AH36" s="93">
        <v>19.0</v>
      </c>
      <c r="AI36" s="93">
        <v>51.0</v>
      </c>
      <c r="AJ36" s="93">
        <v>33.0</v>
      </c>
      <c r="AK36" s="93">
        <v>21.0</v>
      </c>
      <c r="AL36" s="93">
        <v>21.0</v>
      </c>
      <c r="AM36" s="93">
        <v>21.0</v>
      </c>
      <c r="AN36" s="93">
        <v>37.0</v>
      </c>
      <c r="AO36" s="111">
        <f t="shared" si="4"/>
        <v>396.0</v>
      </c>
      <c r="AP36" s="64">
        <f t="shared" si="77"/>
        <v>212.0</v>
      </c>
      <c r="AQ36" s="69">
        <f t="shared" si="6"/>
        <v>233.2</v>
      </c>
      <c r="AR36" s="65">
        <f t="shared" si="84"/>
        <v>64.0816326530612</v>
      </c>
      <c r="AS36" s="65">
        <f t="shared" si="85"/>
        <v>51.2653061224489</v>
      </c>
      <c r="AT36" s="65">
        <f t="shared" si="86"/>
        <v>54.4693877551019</v>
      </c>
      <c r="AU36" s="65">
        <f t="shared" si="87"/>
        <v>51.2653061224489</v>
      </c>
      <c r="AV36" s="65">
        <f t="shared" si="88"/>
        <v>44.8571428571427</v>
      </c>
      <c r="AW36" s="65">
        <f t="shared" si="89"/>
        <v>48.0612244897958</v>
      </c>
      <c r="AX36" s="64">
        <f t="shared" si="13"/>
        <v>313.999999999999</v>
      </c>
      <c r="AY36" s="64" t="e">
        <f t="shared" si="14"/>
        <v>#REF!</v>
      </c>
      <c r="BB36" s="69" t="e">
        <f t="shared" si="91"/>
        <v>#REF!</v>
      </c>
      <c r="BF36" s="65" t="e">
        <f t="shared" si="92"/>
        <v>#REF!</v>
      </c>
      <c r="BG36" s="65">
        <f t="shared" si="93"/>
        <v>64.0816326530612</v>
      </c>
      <c r="BH36" s="65">
        <f t="shared" si="18"/>
      </c>
      <c r="BI36" s="65" t="e">
        <f t="shared" si="94"/>
        <v>#REF!</v>
      </c>
      <c r="BJ36" s="65">
        <f t="shared" si="95"/>
        <v>51.2653061224489</v>
      </c>
      <c r="BK36" s="65"/>
      <c r="BL36" s="65" t="e">
        <f t="shared" si="96"/>
        <v>#REF!</v>
      </c>
      <c r="BM36" s="65">
        <f t="shared" si="97"/>
        <v>54.4693877551019</v>
      </c>
      <c r="BN36" s="65"/>
      <c r="BO36" s="65" t="e">
        <f t="shared" si="98"/>
        <v>#REF!</v>
      </c>
      <c r="BP36" s="65">
        <f t="shared" si="99"/>
        <v>51.2653061224489</v>
      </c>
      <c r="BQ36" s="65"/>
      <c r="BR36" s="65" t="e">
        <f t="shared" si="100"/>
        <v>#REF!</v>
      </c>
      <c r="BS36" s="65">
        <f t="shared" si="101"/>
        <v>44.8571428571427</v>
      </c>
      <c r="BT36" s="65"/>
      <c r="BU36" s="65" t="e">
        <f t="shared" si="102"/>
        <v>#REF!</v>
      </c>
      <c r="BV36" s="65">
        <f t="shared" si="103"/>
        <v>48.0612244897958</v>
      </c>
      <c r="BW36" s="65"/>
      <c r="BX36" s="65" t="e">
        <f t="shared" si="104"/>
        <v>#REF!</v>
      </c>
    </row>
    <row r="37" ht="14.0" customFormat="1" s="47">
      <c r="A37" s="93" t="s">
        <v>430</v>
      </c>
      <c r="B37" s="93" t="s">
        <v>489</v>
      </c>
      <c r="C37" s="93" t="s">
        <v>499</v>
      </c>
      <c r="D37" s="93" t="s">
        <v>500</v>
      </c>
      <c r="E37" s="93">
        <v>45.0</v>
      </c>
      <c r="F37" s="93">
        <v>45.0</v>
      </c>
      <c r="G37" s="93">
        <v>9.0</v>
      </c>
      <c r="H37" s="93">
        <v>12.0</v>
      </c>
      <c r="I37" s="93">
        <v>48.0</v>
      </c>
      <c r="J37" s="93">
        <v>39.0</v>
      </c>
      <c r="K37" s="93">
        <v>54.0</v>
      </c>
      <c r="L37" s="93">
        <v>39.0</v>
      </c>
      <c r="M37" s="93">
        <v>39.0</v>
      </c>
      <c r="N37" s="93">
        <v>84.0</v>
      </c>
      <c r="O37" s="93">
        <v>32.0</v>
      </c>
      <c r="P37" s="93">
        <v>33.0</v>
      </c>
      <c r="Q37" s="93">
        <v>46.0</v>
      </c>
      <c r="R37" s="93">
        <v>12.0</v>
      </c>
      <c r="S37" s="93">
        <v>27.0</v>
      </c>
      <c r="T37" s="93">
        <v>33.0</v>
      </c>
      <c r="U37" s="93">
        <v>39.0</v>
      </c>
      <c r="V37" s="93">
        <v>186.0</v>
      </c>
      <c r="W37" s="93">
        <v>54.0</v>
      </c>
      <c r="X37" s="93">
        <v>54.0</v>
      </c>
      <c r="Y37" s="93">
        <v>23.0</v>
      </c>
      <c r="Z37" s="93">
        <v>15.0</v>
      </c>
      <c r="AA37" s="93">
        <v>30.0</v>
      </c>
      <c r="AB37" s="93">
        <v>48.0</v>
      </c>
      <c r="AC37" s="93">
        <v>33.0</v>
      </c>
      <c r="AD37" s="93">
        <v>58.0</v>
      </c>
      <c r="AE37" s="93">
        <v>24.0</v>
      </c>
      <c r="AF37" s="93">
        <v>27.0</v>
      </c>
      <c r="AG37" s="93">
        <v>35.0</v>
      </c>
      <c r="AH37" s="93">
        <v>11.0</v>
      </c>
      <c r="AI37" s="93">
        <v>42.0</v>
      </c>
      <c r="AJ37" s="93">
        <v>30.0</v>
      </c>
      <c r="AK37" s="93">
        <v>18.0</v>
      </c>
      <c r="AL37" s="93">
        <v>12.0</v>
      </c>
      <c r="AM37" s="93">
        <v>15.0</v>
      </c>
      <c r="AN37" s="114">
        <v>235.0</v>
      </c>
      <c r="AO37" s="111">
        <f t="shared" si="4"/>
        <v>540.0</v>
      </c>
      <c r="AP37" s="64">
        <f t="shared" si="77"/>
        <v>188.0</v>
      </c>
      <c r="AQ37" s="69">
        <f t="shared" si="6"/>
        <v>206.8</v>
      </c>
      <c r="AR37" s="65">
        <f t="shared" si="84"/>
        <v>59.1836734693877</v>
      </c>
      <c r="AS37" s="65">
        <f t="shared" si="85"/>
        <v>47.3469387755101</v>
      </c>
      <c r="AT37" s="65">
        <f t="shared" si="86"/>
        <v>50.3061224489794</v>
      </c>
      <c r="AU37" s="65">
        <f t="shared" si="87"/>
        <v>47.3469387755101</v>
      </c>
      <c r="AV37" s="65">
        <f t="shared" si="88"/>
        <v>41.4285714285714</v>
      </c>
      <c r="AW37" s="65">
        <f t="shared" si="89"/>
        <v>44.3877551020407</v>
      </c>
      <c r="AX37" s="64">
        <f t="shared" si="13"/>
        <v>289.999999999999</v>
      </c>
      <c r="AY37" s="64" t="e">
        <f t="shared" si="14"/>
        <v>#REF!</v>
      </c>
      <c r="BB37" s="69" t="e">
        <f t="shared" si="91"/>
        <v>#REF!</v>
      </c>
      <c r="BE37" s="47" t="s">
        <v>450</v>
      </c>
      <c r="BF37" s="65" t="e">
        <f t="shared" si="92"/>
        <v>#REF!</v>
      </c>
      <c r="BG37" s="65">
        <f t="shared" si="93"/>
        <v>59.1836734693877</v>
      </c>
      <c r="BH37" s="65">
        <f t="shared" si="18"/>
      </c>
      <c r="BI37" s="65" t="e">
        <f t="shared" si="94"/>
        <v>#REF!</v>
      </c>
      <c r="BJ37" s="65">
        <f t="shared" si="95"/>
        <v>47.3469387755101</v>
      </c>
      <c r="BK37" s="65"/>
      <c r="BL37" s="65" t="e">
        <f t="shared" si="96"/>
        <v>#REF!</v>
      </c>
      <c r="BM37" s="65">
        <f t="shared" si="97"/>
        <v>50.3061224489794</v>
      </c>
      <c r="BN37" s="65"/>
      <c r="BO37" s="65" t="e">
        <f t="shared" si="98"/>
        <v>#REF!</v>
      </c>
      <c r="BP37" s="65">
        <f t="shared" si="99"/>
        <v>47.3469387755101</v>
      </c>
      <c r="BQ37" s="65"/>
      <c r="BR37" s="65" t="e">
        <f t="shared" si="100"/>
        <v>#REF!</v>
      </c>
      <c r="BS37" s="65">
        <f t="shared" si="101"/>
        <v>41.4285714285714</v>
      </c>
      <c r="BT37" s="65"/>
      <c r="BU37" s="65" t="e">
        <f t="shared" si="102"/>
        <v>#REF!</v>
      </c>
      <c r="BV37" s="65">
        <f t="shared" si="103"/>
        <v>44.3877551020407</v>
      </c>
      <c r="BW37" s="65"/>
      <c r="BX37" s="65" t="e">
        <f t="shared" si="104"/>
        <v>#REF!</v>
      </c>
    </row>
    <row r="38" ht="14.0" customFormat="1" s="47">
      <c r="A38" s="93" t="s">
        <v>430</v>
      </c>
      <c r="B38" s="93" t="s">
        <v>489</v>
      </c>
      <c r="C38" s="93" t="s">
        <v>501</v>
      </c>
      <c r="D38" s="93" t="s">
        <v>502</v>
      </c>
      <c r="E38" s="93">
        <v>60.0</v>
      </c>
      <c r="F38" s="93">
        <v>57.0</v>
      </c>
      <c r="G38" s="93">
        <v>21.0</v>
      </c>
      <c r="H38" s="93">
        <v>9.0</v>
      </c>
      <c r="I38" s="93">
        <v>42.0</v>
      </c>
      <c r="J38" s="93">
        <v>48.0</v>
      </c>
      <c r="K38" s="93">
        <v>43.0</v>
      </c>
      <c r="L38" s="93">
        <v>52.0</v>
      </c>
      <c r="M38" s="93">
        <v>48.0</v>
      </c>
      <c r="N38" s="93">
        <v>72.0</v>
      </c>
      <c r="O38" s="93">
        <v>16.0</v>
      </c>
      <c r="P38" s="93">
        <v>21.0</v>
      </c>
      <c r="Q38" s="93">
        <v>45.0</v>
      </c>
      <c r="R38" s="93">
        <v>65.0</v>
      </c>
      <c r="S38" s="93">
        <v>35.0</v>
      </c>
      <c r="T38" s="93">
        <v>15.0</v>
      </c>
      <c r="U38" s="93">
        <v>51.0</v>
      </c>
      <c r="V38" s="93">
        <v>195.0</v>
      </c>
      <c r="W38" s="93">
        <v>21.0</v>
      </c>
      <c r="X38" s="93">
        <v>13.0</v>
      </c>
      <c r="Y38" s="93">
        <v>21.0</v>
      </c>
      <c r="Z38" s="93">
        <v>15.0</v>
      </c>
      <c r="AA38" s="93">
        <v>54.0</v>
      </c>
      <c r="AB38" s="93">
        <v>39.0</v>
      </c>
      <c r="AC38" s="93">
        <v>39.0</v>
      </c>
      <c r="AD38" s="93">
        <v>70.0</v>
      </c>
      <c r="AE38" s="93">
        <v>27.0</v>
      </c>
      <c r="AF38" s="93">
        <v>41.0</v>
      </c>
      <c r="AG38" s="93">
        <v>20.0</v>
      </c>
      <c r="AH38" s="93">
        <v>24.0</v>
      </c>
      <c r="AI38" s="93">
        <v>28.0</v>
      </c>
      <c r="AJ38" s="93">
        <v>27.0</v>
      </c>
      <c r="AK38" s="93">
        <v>15.0</v>
      </c>
      <c r="AL38" s="93">
        <v>18.0</v>
      </c>
      <c r="AM38" s="93">
        <v>9.0</v>
      </c>
      <c r="AN38" s="93">
        <v>34.0</v>
      </c>
      <c r="AO38" s="111">
        <f t="shared" si="4"/>
        <v>352.0</v>
      </c>
      <c r="AP38" s="64">
        <f t="shared" si="77"/>
        <v>221.0</v>
      </c>
      <c r="AQ38" s="69">
        <f t="shared" si="6"/>
        <v>243.1</v>
      </c>
      <c r="AR38" s="65">
        <f t="shared" si="84"/>
        <v>65.9183673469387</v>
      </c>
      <c r="AS38" s="65">
        <f t="shared" si="85"/>
        <v>52.734693877551</v>
      </c>
      <c r="AT38" s="65">
        <f t="shared" si="86"/>
        <v>56.0306122448978</v>
      </c>
      <c r="AU38" s="65">
        <f t="shared" si="87"/>
        <v>52.734693877551</v>
      </c>
      <c r="AV38" s="65">
        <f t="shared" si="88"/>
        <v>46.1428571428575</v>
      </c>
      <c r="AW38" s="65">
        <f t="shared" si="89"/>
        <v>49.438775510204</v>
      </c>
      <c r="AX38" s="64">
        <f t="shared" si="13"/>
        <v>323.0</v>
      </c>
      <c r="AY38" s="64" t="e">
        <f t="shared" si="14"/>
        <v>#REF!</v>
      </c>
      <c r="BB38" s="69" t="e">
        <f t="shared" si="91"/>
        <v>#REF!</v>
      </c>
      <c r="BF38" s="65" t="e">
        <f t="shared" si="92"/>
        <v>#REF!</v>
      </c>
      <c r="BG38" s="65">
        <f t="shared" si="93"/>
        <v>65.9183673469387</v>
      </c>
      <c r="BH38" s="65">
        <f t="shared" si="18"/>
      </c>
      <c r="BI38" s="65" t="e">
        <f t="shared" si="94"/>
        <v>#REF!</v>
      </c>
      <c r="BJ38" s="65">
        <f t="shared" si="95"/>
        <v>52.734693877551</v>
      </c>
      <c r="BK38" s="65"/>
      <c r="BL38" s="65" t="e">
        <f t="shared" si="96"/>
        <v>#REF!</v>
      </c>
      <c r="BM38" s="65">
        <f t="shared" si="97"/>
        <v>56.0306122448978</v>
      </c>
      <c r="BN38" s="65"/>
      <c r="BO38" s="65" t="e">
        <f t="shared" si="98"/>
        <v>#REF!</v>
      </c>
      <c r="BP38" s="65">
        <f t="shared" si="99"/>
        <v>52.734693877551</v>
      </c>
      <c r="BQ38" s="65"/>
      <c r="BR38" s="65" t="e">
        <f t="shared" si="100"/>
        <v>#REF!</v>
      </c>
      <c r="BS38" s="65">
        <f t="shared" si="101"/>
        <v>46.1428571428575</v>
      </c>
      <c r="BT38" s="65"/>
      <c r="BU38" s="65" t="e">
        <f t="shared" si="102"/>
        <v>#REF!</v>
      </c>
      <c r="BV38" s="65">
        <f t="shared" si="103"/>
        <v>49.438775510204</v>
      </c>
      <c r="BW38" s="65"/>
      <c r="BX38" s="65" t="e">
        <f t="shared" si="104"/>
        <v>#REF!</v>
      </c>
    </row>
    <row r="39" ht="14.0" customFormat="1" s="47">
      <c r="A39" s="93" t="s">
        <v>430</v>
      </c>
      <c r="B39" s="93" t="s">
        <v>489</v>
      </c>
      <c r="C39" s="93" t="s">
        <v>503</v>
      </c>
      <c r="D39" s="93" t="s">
        <v>504</v>
      </c>
      <c r="E39" s="93">
        <v>24.0</v>
      </c>
      <c r="F39" s="93">
        <v>30.0</v>
      </c>
      <c r="G39" s="93">
        <v>3.0</v>
      </c>
      <c r="H39" s="93">
        <v>9.0</v>
      </c>
      <c r="I39" s="93">
        <v>21.0</v>
      </c>
      <c r="J39" s="93">
        <v>30.0</v>
      </c>
      <c r="K39" s="93">
        <v>33.0</v>
      </c>
      <c r="L39" s="93">
        <v>18.0</v>
      </c>
      <c r="M39" s="93">
        <v>30.0</v>
      </c>
      <c r="N39" s="93">
        <v>48.0</v>
      </c>
      <c r="O39" s="93">
        <v>20.0</v>
      </c>
      <c r="P39" s="93">
        <v>15.0</v>
      </c>
      <c r="Q39" s="93">
        <v>33.0</v>
      </c>
      <c r="R39" s="93">
        <v>15.0</v>
      </c>
      <c r="S39" s="93">
        <v>21.0</v>
      </c>
      <c r="T39" s="93">
        <v>18.0</v>
      </c>
      <c r="U39" s="93">
        <v>48.0</v>
      </c>
      <c r="V39" s="93">
        <v>27.0</v>
      </c>
      <c r="W39" s="93">
        <v>39.0</v>
      </c>
      <c r="X39" s="93">
        <v>27.0</v>
      </c>
      <c r="Y39" s="93">
        <v>6.0</v>
      </c>
      <c r="Z39" s="93">
        <v>12.0</v>
      </c>
      <c r="AA39" s="93">
        <v>15.0</v>
      </c>
      <c r="AB39" s="93">
        <v>33.0</v>
      </c>
      <c r="AC39" s="93">
        <v>21.0</v>
      </c>
      <c r="AD39" s="93">
        <v>28.0</v>
      </c>
      <c r="AE39" s="93">
        <v>18.0</v>
      </c>
      <c r="AF39" s="93">
        <v>26.0</v>
      </c>
      <c r="AG39" s="93">
        <v>13.0</v>
      </c>
      <c r="AH39" s="93">
        <v>6.0</v>
      </c>
      <c r="AI39" s="93">
        <v>26.0</v>
      </c>
      <c r="AJ39" s="93">
        <v>16.0</v>
      </c>
      <c r="AK39" s="93">
        <v>6.0</v>
      </c>
      <c r="AL39" s="93">
        <v>16.0</v>
      </c>
      <c r="AM39" s="93">
        <v>9.0</v>
      </c>
      <c r="AN39" s="93">
        <v>20.0</v>
      </c>
      <c r="AO39" s="111">
        <f t="shared" si="4"/>
        <v>205.0</v>
      </c>
      <c r="AP39" s="64">
        <f t="shared" si="77"/>
        <v>112.0</v>
      </c>
      <c r="AQ39" s="69">
        <f t="shared" si="6"/>
        <v>123.2</v>
      </c>
      <c r="AR39" s="65">
        <f t="shared" si="84"/>
        <v>43.6734693877551</v>
      </c>
      <c r="AS39" s="65">
        <f t="shared" si="85"/>
        <v>34.938775510203</v>
      </c>
      <c r="AT39" s="65">
        <f t="shared" si="86"/>
        <v>37.1224489795917</v>
      </c>
      <c r="AU39" s="65">
        <f t="shared" si="87"/>
        <v>34.938775510203</v>
      </c>
      <c r="AV39" s="65">
        <f t="shared" si="88"/>
        <v>30.5714285714285</v>
      </c>
      <c r="AW39" s="65">
        <f t="shared" si="89"/>
        <v>32.7551020408162</v>
      </c>
      <c r="AX39" s="64">
        <f t="shared" si="13"/>
        <v>214.0</v>
      </c>
      <c r="AY39" s="64" t="e">
        <f t="shared" si="14"/>
        <v>#REF!</v>
      </c>
      <c r="BB39" s="69" t="e">
        <f t="shared" si="91"/>
        <v>#REF!</v>
      </c>
      <c r="BE39" s="47" t="s">
        <v>447</v>
      </c>
      <c r="BF39" s="65" t="e">
        <f t="shared" si="92"/>
        <v>#REF!</v>
      </c>
      <c r="BG39" s="65">
        <f t="shared" si="93"/>
        <v>43.6734693877551</v>
      </c>
      <c r="BH39" s="65">
        <f t="shared" si="18"/>
      </c>
      <c r="BI39" s="65" t="e">
        <f t="shared" si="94"/>
        <v>#REF!</v>
      </c>
      <c r="BJ39" s="65">
        <f t="shared" si="95"/>
        <v>34.938775510203</v>
      </c>
      <c r="BK39" s="65"/>
      <c r="BL39" s="65" t="e">
        <f t="shared" si="96"/>
        <v>#REF!</v>
      </c>
      <c r="BM39" s="65">
        <f t="shared" si="97"/>
        <v>37.1224489795917</v>
      </c>
      <c r="BN39" s="65"/>
      <c r="BO39" s="65" t="e">
        <f t="shared" si="98"/>
        <v>#REF!</v>
      </c>
      <c r="BP39" s="65">
        <f t="shared" si="99"/>
        <v>34.938775510203</v>
      </c>
      <c r="BQ39" s="65"/>
      <c r="BR39" s="65" t="e">
        <f t="shared" si="100"/>
        <v>#REF!</v>
      </c>
      <c r="BS39" s="65">
        <f t="shared" si="101"/>
        <v>30.5714285714285</v>
      </c>
      <c r="BT39" s="65"/>
      <c r="BU39" s="65" t="e">
        <f t="shared" si="102"/>
        <v>#REF!</v>
      </c>
      <c r="BV39" s="65">
        <f t="shared" si="103"/>
        <v>32.7551020408162</v>
      </c>
      <c r="BW39" s="65"/>
      <c r="BX39" s="65" t="e">
        <f t="shared" si="104"/>
        <v>#REF!</v>
      </c>
    </row>
    <row r="40" ht="14.0" customFormat="1" s="47">
      <c r="E40" s="64">
        <f>SUM(E7:E39)</f>
        <v>1290.0</v>
      </c>
      <c r="F40" s="64">
        <f>SUM(F7:F39)</f>
        <v>1184.0</v>
      </c>
      <c r="G40" s="64">
        <f>SUM(G7:G39)</f>
        <v>889.0</v>
      </c>
      <c r="H40" s="64">
        <f>SUM(H7:H39)</f>
        <v>522.0</v>
      </c>
      <c r="I40" s="64">
        <f>SUM(I7:I39)</f>
        <v>1141.0</v>
      </c>
      <c r="J40" s="64">
        <f>SUM(J7:J39)</f>
        <v>935.0</v>
      </c>
      <c r="K40" s="64">
        <f>SUM(K7:K39)</f>
        <v>1743.0</v>
      </c>
      <c r="L40" s="64">
        <f>SUM(L7:L39)</f>
        <v>1199.0</v>
      </c>
      <c r="M40" s="64">
        <f>SUM(M7:M39)</f>
        <v>1167.0</v>
      </c>
      <c r="N40" s="64">
        <f>SUM(N7:N39)</f>
        <v>2214.0</v>
      </c>
      <c r="O40" s="64">
        <f>SUM(O7:O39)</f>
        <v>1711.0</v>
      </c>
      <c r="P40" s="64">
        <f>SUM(P7:P39)</f>
        <v>1251.0</v>
      </c>
      <c r="Q40" s="64">
        <f>SUM(Q7:Q39)</f>
        <v>1700.0</v>
      </c>
      <c r="R40" s="64">
        <f>SUM(R7:R39)</f>
        <v>1144.0</v>
      </c>
      <c r="S40" s="64">
        <f>SUM(S7:S39)</f>
        <v>1154.0</v>
      </c>
      <c r="T40" s="64">
        <f>SUM(T7:T39)</f>
        <v>965.0</v>
      </c>
      <c r="U40" s="64">
        <f>SUM(U7:U39)</f>
        <v>1658.0</v>
      </c>
      <c r="V40" s="64">
        <f>SUM(V7:V39)</f>
        <v>2781.0</v>
      </c>
      <c r="W40" s="64">
        <f>SUM(W7:W39)</f>
        <v>1258.0</v>
      </c>
      <c r="X40" s="64">
        <f>SUM(X7:X39)</f>
        <v>923.0</v>
      </c>
      <c r="Y40" s="64">
        <f>SUM(Y7:Y39)</f>
        <v>628.0</v>
      </c>
      <c r="Z40" s="64">
        <f>SUM(Z7:Z39)</f>
        <v>940.0</v>
      </c>
      <c r="AA40" s="64">
        <f>SUM(AA7:AA39)</f>
        <v>1558.0</v>
      </c>
      <c r="AB40" s="64">
        <f>SUM(AB7:AB39)</f>
        <v>1401.0</v>
      </c>
      <c r="AC40" s="64">
        <f>SUM(AC7:AC39)</f>
        <v>1113.0</v>
      </c>
      <c r="AD40" s="64">
        <f>SUM(AD7:AD39)</f>
        <v>1428.0</v>
      </c>
      <c r="AE40" s="64">
        <f>SUM(AE7:AE39)</f>
        <v>1093.0</v>
      </c>
      <c r="AF40" s="64">
        <f>SUM(AF7:AF39)</f>
        <v>1488.0</v>
      </c>
      <c r="AG40" s="64">
        <f>SUM(AG7:AG39)</f>
        <v>1004.0</v>
      </c>
      <c r="AH40" s="64">
        <f>SUM(AH7:AH39)</f>
        <v>865.0</v>
      </c>
      <c r="AI40" s="64">
        <f>SUM(AI7:AI39)</f>
        <v>1429.0</v>
      </c>
      <c r="AJ40" s="64">
        <f>SUM(AJ7:AJ39)</f>
        <v>948.0</v>
      </c>
      <c r="AK40" s="64">
        <f>SUM(AK7:AK39)</f>
        <v>624.0</v>
      </c>
      <c r="AL40" s="64">
        <f>SUM(AL7:AL39)</f>
        <v>933.0</v>
      </c>
      <c r="AM40" s="64">
        <f>SUM(AM7:AM39)</f>
        <v>1978.0</v>
      </c>
      <c r="AN40" s="64">
        <f>SUM(AN7:AN39)</f>
        <v>1207.0</v>
      </c>
      <c r="AO40" s="64"/>
      <c r="AP40" s="64"/>
      <c r="AQ40" s="69"/>
      <c r="AX40" s="64"/>
    </row>
    <row r="41" ht="14.0" customFormat="1" s="47">
      <c r="A41" s="93" t="s">
        <v>430</v>
      </c>
      <c r="B41" s="93" t="s">
        <v>53</v>
      </c>
      <c r="C41" s="93" t="s">
        <v>474</v>
      </c>
      <c r="D41" s="93" t="s">
        <v>475</v>
      </c>
      <c r="E41" s="93">
        <v>27.0</v>
      </c>
      <c r="F41" s="93">
        <v>45.0</v>
      </c>
      <c r="G41" s="93">
        <v>39.0</v>
      </c>
      <c r="H41" s="93">
        <v>57.0</v>
      </c>
      <c r="I41" s="93">
        <v>46.0</v>
      </c>
      <c r="J41" s="93">
        <v>6.0</v>
      </c>
      <c r="K41" s="93">
        <v>36.0</v>
      </c>
      <c r="L41" s="93">
        <v>29.0</v>
      </c>
      <c r="M41" s="93">
        <v>26.0</v>
      </c>
      <c r="N41" s="93">
        <v>203.0</v>
      </c>
      <c r="O41" s="93">
        <v>71.0</v>
      </c>
      <c r="P41" s="93">
        <v>70.0</v>
      </c>
      <c r="Q41" s="93">
        <v>41.0</v>
      </c>
      <c r="R41" s="93">
        <v>33.0</v>
      </c>
      <c r="S41" s="93">
        <v>49.0</v>
      </c>
      <c r="T41" s="93">
        <v>26.0</v>
      </c>
      <c r="U41" s="93">
        <v>45.0</v>
      </c>
      <c r="V41" s="93">
        <v>11.0</v>
      </c>
      <c r="W41" s="93">
        <v>36.0</v>
      </c>
      <c r="X41" s="93">
        <v>26.0</v>
      </c>
      <c r="Y41" s="93">
        <v>13.0</v>
      </c>
      <c r="Z41" s="93">
        <v>67.0</v>
      </c>
      <c r="AA41" s="93">
        <v>204.0</v>
      </c>
      <c r="AB41" s="93">
        <v>129.0</v>
      </c>
      <c r="AC41" s="93">
        <v>36.0</v>
      </c>
      <c r="AD41" s="93">
        <v>72.0</v>
      </c>
      <c r="AE41" s="93">
        <v>114.0</v>
      </c>
      <c r="AF41" s="93">
        <v>159.0</v>
      </c>
      <c r="AG41" s="93">
        <v>33.0</v>
      </c>
      <c r="AH41" s="93">
        <v>39.0</v>
      </c>
      <c r="AI41" s="93">
        <v>39.0</v>
      </c>
      <c r="AJ41" s="93">
        <v>81.0</v>
      </c>
      <c r="AK41" s="93">
        <v>33.0</v>
      </c>
      <c r="AL41" s="93">
        <v>88.0</v>
      </c>
      <c r="AM41" s="93">
        <v>408.0</v>
      </c>
      <c r="AN41" s="93">
        <v>4.0</v>
      </c>
      <c r="AO41" s="111">
        <f t="shared" ref="AO41:AO44" si="141">SUM(AC41:AN41)</f>
        <v>1106.0</v>
      </c>
      <c r="AP41" s="64">
        <f t="shared" ref="AP41:AP44" si="142">SUM(AC41:AH41)</f>
        <v>453.0</v>
      </c>
      <c r="AQ41" s="69">
        <f t="shared" ref="AQ41:AQ44" si="143">AP41*1.1</f>
        <v>498.3</v>
      </c>
      <c r="AR41" s="65">
        <f t="shared" ref="AR41:AR43" si="144">AQ41*$AR$4/$AQ$4+AR47</f>
        <v>130.448979591837</v>
      </c>
      <c r="AS41" s="65">
        <f t="shared" ref="AS41:AS43" si="145">AQ41*$AS$4/$AQ$4+AS47</f>
        <v>146.959183673469</v>
      </c>
      <c r="AT41" s="65">
        <f t="shared" ref="AT41:AT43" si="146">AQ41*$AT$4/$AQ$4+AT47</f>
        <v>138.581632653061</v>
      </c>
      <c r="AU41" s="65">
        <f t="shared" ref="AU41:AU43" si="147">AQ41*$AU$4/$AQ$4+AU47</f>
        <v>73.9591836734693</v>
      </c>
      <c r="AV41" s="65">
        <f t="shared" ref="AV41:AV44" si="148">AQ41*$AV$4/$AQ$4</f>
        <v>64.7142857142857</v>
      </c>
      <c r="AW41" s="65">
        <f t="shared" ref="AW41:AW42" si="149">AQ41*$AW$4/$AQ$4</f>
        <v>69.3367346938776</v>
      </c>
      <c r="AX41" s="64">
        <f t="shared" ref="AX41:AX44" si="150">SUM(AR41:AW41)</f>
        <v>624.0</v>
      </c>
      <c r="AY41" s="64" t="e">
        <f t="shared" ref="AY41:AY44" si="151">VLOOKUP(D41,SEPT23SOH,3,false)</f>
        <v>#REF!</v>
      </c>
      <c r="BA41" s="47" t="e">
        <f t="shared" ref="BA41:BA44" si="152">VLOOKUP(C41,FYTMOCT6,3,false)</f>
        <v>#REF!</v>
      </c>
      <c r="BB41" s="69" t="e">
        <f t="shared" ref="BB41:BB44" si="153">AY41+AZ41+BA41-AX41</f>
        <v>#REF!</v>
      </c>
      <c r="BE41" s="47" t="s">
        <v>447</v>
      </c>
      <c r="BF41" s="65" t="e">
        <f t="shared" ref="BF41:BF44" si="154">AY41</f>
        <v>#REF!</v>
      </c>
      <c r="BG41" s="65">
        <f t="shared" ref="BG41:BG44" si="155">AR41</f>
        <v>130.448979591837</v>
      </c>
      <c r="BH41" s="65" t="e">
        <f t="shared" ref="BH41:BH44" si="156">BA41</f>
        <v>#REF!</v>
      </c>
      <c r="BI41" s="65" t="e">
        <f t="shared" ref="BI41:BI44" si="157">BF41+BH41-BG41</f>
        <v>#REF!</v>
      </c>
      <c r="BJ41" s="65">
        <f t="shared" ref="BJ41:BJ44" si="158">AS41</f>
        <v>146.959183673469</v>
      </c>
      <c r="BK41" s="65"/>
      <c r="BL41" s="65" t="e">
        <f t="shared" ref="BL41:BL44" si="159">BI41+BK41-BJ41</f>
        <v>#REF!</v>
      </c>
      <c r="BM41" s="65">
        <f t="shared" ref="BM41:BM44" si="160">AT41</f>
        <v>138.581632653061</v>
      </c>
      <c r="BN41" s="65"/>
      <c r="BO41" s="65" t="e">
        <f t="shared" ref="BO41:BO44" si="161">BL41+BN41-BM41</f>
        <v>#REF!</v>
      </c>
      <c r="BP41" s="65">
        <f t="shared" ref="BP41:BP44" si="162">AU41</f>
        <v>73.9591836734693</v>
      </c>
      <c r="BQ41" s="65"/>
      <c r="BR41" s="65" t="e">
        <f t="shared" ref="BR41:BR44" si="163">BO41+BQ41-BP41</f>
        <v>#REF!</v>
      </c>
      <c r="BS41" s="65">
        <f t="shared" ref="BS41:BS44" si="164">AV41</f>
        <v>64.7142857142857</v>
      </c>
      <c r="BT41" s="65"/>
      <c r="BU41" s="65" t="e">
        <f t="shared" ref="BU41:BU44" si="165">BR41+BT41-BS41</f>
        <v>#REF!</v>
      </c>
      <c r="BV41" s="65">
        <f t="shared" ref="BV41:BV44" si="166">AW41</f>
        <v>69.3367346938776</v>
      </c>
      <c r="BW41" s="65"/>
      <c r="BX41" s="65" t="e">
        <f t="shared" ref="BX41:BX44" si="167">BU41+BW41-BV41</f>
        <v>#REF!</v>
      </c>
    </row>
    <row r="42" ht="14.0" customFormat="1" s="47">
      <c r="A42" s="93" t="s">
        <v>430</v>
      </c>
      <c r="B42" s="93" t="s">
        <v>53</v>
      </c>
      <c r="C42" s="93" t="s">
        <v>476</v>
      </c>
      <c r="D42" s="93" t="s">
        <v>477</v>
      </c>
      <c r="E42" s="93">
        <v>16.0</v>
      </c>
      <c r="F42" s="93">
        <v>48.0</v>
      </c>
      <c r="G42" s="93">
        <v>97.0</v>
      </c>
      <c r="H42" s="93">
        <v>39.0</v>
      </c>
      <c r="I42" s="93">
        <v>36.0</v>
      </c>
      <c r="J42" s="93">
        <v>31.0</v>
      </c>
      <c r="K42" s="93">
        <v>39.0</v>
      </c>
      <c r="L42" s="93">
        <v>39.0</v>
      </c>
      <c r="M42" s="93">
        <v>27.0</v>
      </c>
      <c r="N42" s="93">
        <v>201.0</v>
      </c>
      <c r="O42" s="93">
        <v>61.0</v>
      </c>
      <c r="P42" s="93">
        <v>40.0</v>
      </c>
      <c r="Q42" s="93">
        <v>21.0</v>
      </c>
      <c r="R42" s="93">
        <v>42.0</v>
      </c>
      <c r="S42" s="93">
        <v>43.0</v>
      </c>
      <c r="T42" s="93">
        <v>56.0</v>
      </c>
      <c r="U42" s="93">
        <v>33.0</v>
      </c>
      <c r="V42" s="93">
        <v>12.0</v>
      </c>
      <c r="W42" s="93">
        <v>30.0</v>
      </c>
      <c r="X42" s="93">
        <v>27.0</v>
      </c>
      <c r="Y42" s="93">
        <v>36.0</v>
      </c>
      <c r="Z42" s="93">
        <v>40.0</v>
      </c>
      <c r="AA42" s="93">
        <v>144.0</v>
      </c>
      <c r="AB42" s="93">
        <v>51.0</v>
      </c>
      <c r="AC42" s="93">
        <v>40.0</v>
      </c>
      <c r="AD42" s="93">
        <v>36.0</v>
      </c>
      <c r="AE42" s="93">
        <v>68.0</v>
      </c>
      <c r="AF42" s="93">
        <v>112.0</v>
      </c>
      <c r="AG42" s="93">
        <v>13.0</v>
      </c>
      <c r="AH42" s="93">
        <v>40.0</v>
      </c>
      <c r="AI42" s="93">
        <v>6.0</v>
      </c>
      <c r="AJ42" s="93">
        <v>55.0</v>
      </c>
      <c r="AK42" s="93">
        <v>28.0</v>
      </c>
      <c r="AL42" s="93">
        <v>39.0</v>
      </c>
      <c r="AM42" s="93">
        <v>258.0</v>
      </c>
      <c r="AN42" s="93">
        <v>1.0</v>
      </c>
      <c r="AO42" s="111">
        <f t="shared" si="141"/>
        <v>696.0</v>
      </c>
      <c r="AP42" s="64">
        <f t="shared" si="142"/>
        <v>309.0</v>
      </c>
      <c r="AQ42" s="69">
        <f t="shared" si="143"/>
        <v>339.9</v>
      </c>
      <c r="AR42" s="65">
        <f t="shared" si="144"/>
        <v>80.0612244897959</v>
      </c>
      <c r="AS42" s="65">
        <f t="shared" si="145"/>
        <v>91.4489795918367</v>
      </c>
      <c r="AT42" s="65">
        <f t="shared" si="146"/>
        <v>143.602040816327</v>
      </c>
      <c r="AU42" s="65">
        <f t="shared" si="147"/>
        <v>50.4489795918367</v>
      </c>
      <c r="AV42" s="65">
        <f t="shared" si="148"/>
        <v>44.1428571428571</v>
      </c>
      <c r="AW42" s="65">
        <f t="shared" si="149"/>
        <v>47.2959183673469</v>
      </c>
      <c r="AX42" s="64">
        <f t="shared" si="150"/>
        <v>457.0</v>
      </c>
      <c r="AY42" s="64" t="e">
        <f t="shared" si="151"/>
        <v>#REF!</v>
      </c>
      <c r="BA42" s="47" t="e">
        <f t="shared" si="152"/>
        <v>#REF!</v>
      </c>
      <c r="BB42" s="69" t="e">
        <f t="shared" si="153"/>
        <v>#REF!</v>
      </c>
      <c r="BE42" s="47" t="s">
        <v>453</v>
      </c>
      <c r="BF42" s="65" t="e">
        <f t="shared" si="154"/>
        <v>#REF!</v>
      </c>
      <c r="BG42" s="65">
        <f t="shared" si="155"/>
        <v>80.0612244897959</v>
      </c>
      <c r="BH42" s="65" t="e">
        <f t="shared" si="156"/>
        <v>#REF!</v>
      </c>
      <c r="BI42" s="65" t="e">
        <f t="shared" si="157"/>
        <v>#REF!</v>
      </c>
      <c r="BJ42" s="65">
        <f t="shared" si="158"/>
        <v>91.4489795918367</v>
      </c>
      <c r="BK42" s="65"/>
      <c r="BL42" s="65" t="e">
        <f t="shared" si="159"/>
        <v>#REF!</v>
      </c>
      <c r="BM42" s="65">
        <f t="shared" si="160"/>
        <v>143.602040816327</v>
      </c>
      <c r="BN42" s="65"/>
      <c r="BO42" s="65" t="e">
        <f t="shared" si="161"/>
        <v>#REF!</v>
      </c>
      <c r="BP42" s="65">
        <f t="shared" si="162"/>
        <v>50.4489795918367</v>
      </c>
      <c r="BQ42" s="65"/>
      <c r="BR42" s="65" t="e">
        <f t="shared" si="163"/>
        <v>#REF!</v>
      </c>
      <c r="BS42" s="65">
        <f t="shared" si="164"/>
        <v>44.1428571428571</v>
      </c>
      <c r="BT42" s="65"/>
      <c r="BU42" s="65" t="e">
        <f t="shared" si="165"/>
        <v>#REF!</v>
      </c>
      <c r="BV42" s="65">
        <f t="shared" si="166"/>
        <v>47.2959183673469</v>
      </c>
      <c r="BW42" s="65"/>
      <c r="BX42" s="65" t="e">
        <f t="shared" si="167"/>
        <v>#REF!</v>
      </c>
    </row>
    <row r="43" ht="14.0" customFormat="1" s="47">
      <c r="A43" s="93" t="s">
        <v>430</v>
      </c>
      <c r="B43" s="93" t="s">
        <v>53</v>
      </c>
      <c r="C43" s="93" t="s">
        <v>478</v>
      </c>
      <c r="D43" s="93" t="s">
        <v>479</v>
      </c>
      <c r="E43" s="93">
        <v>41.0</v>
      </c>
      <c r="F43" s="93">
        <v>23.0</v>
      </c>
      <c r="G43" s="93">
        <v>143.0</v>
      </c>
      <c r="H43" s="93">
        <v>36.0</v>
      </c>
      <c r="I43" s="93">
        <v>78.0</v>
      </c>
      <c r="J43" s="93">
        <v>39.0</v>
      </c>
      <c r="K43" s="93">
        <v>261.0</v>
      </c>
      <c r="L43" s="93">
        <v>48.0</v>
      </c>
      <c r="M43" s="93">
        <v>37.0</v>
      </c>
      <c r="N43" s="93">
        <v>30.0</v>
      </c>
      <c r="O43" s="93">
        <v>42.0</v>
      </c>
      <c r="P43" s="93">
        <v>34.0</v>
      </c>
      <c r="Q43" s="93">
        <v>49.0</v>
      </c>
      <c r="R43" s="93">
        <v>44.0</v>
      </c>
      <c r="S43" s="93">
        <v>136.0</v>
      </c>
      <c r="T43" s="93">
        <v>51.0</v>
      </c>
      <c r="U43" s="93">
        <v>33.0</v>
      </c>
      <c r="V43" s="93">
        <v>267.0</v>
      </c>
      <c r="W43" s="93">
        <v>26.0</v>
      </c>
      <c r="X43" s="93">
        <v>6.0</v>
      </c>
      <c r="Y43" s="93">
        <v>33.0</v>
      </c>
      <c r="Z43" s="93">
        <v>13.0</v>
      </c>
      <c r="AA43" s="93">
        <v>51.0</v>
      </c>
      <c r="AB43" s="93">
        <v>36.0</v>
      </c>
      <c r="AC43" s="93">
        <v>48.0</v>
      </c>
      <c r="AD43" s="93">
        <v>45.0</v>
      </c>
      <c r="AE43" s="93">
        <v>90.0</v>
      </c>
      <c r="AF43" s="93">
        <v>162.0</v>
      </c>
      <c r="AG43" s="93">
        <v>18.0</v>
      </c>
      <c r="AH43" s="93">
        <v>64.0</v>
      </c>
      <c r="AI43" s="93">
        <v>234.0</v>
      </c>
      <c r="AJ43" s="93">
        <v>24.0</v>
      </c>
      <c r="AK43" s="93">
        <v>13.0</v>
      </c>
      <c r="AL43" s="93">
        <v>34.0</v>
      </c>
      <c r="AM43" s="93">
        <v>109.0</v>
      </c>
      <c r="AN43" s="93">
        <v>1.0</v>
      </c>
      <c r="AO43" s="111">
        <f t="shared" si="141"/>
        <v>842.0</v>
      </c>
      <c r="AP43" s="64">
        <f t="shared" si="142"/>
        <v>427.0</v>
      </c>
      <c r="AQ43" s="69">
        <f t="shared" si="143"/>
        <v>469.7</v>
      </c>
      <c r="AR43" s="65">
        <f t="shared" si="144"/>
        <v>123.142857142857</v>
      </c>
      <c r="AS43" s="65">
        <f t="shared" si="145"/>
        <v>146.714285714286</v>
      </c>
      <c r="AT43" s="65">
        <f t="shared" si="146"/>
        <v>219.07142857142</v>
      </c>
      <c r="AU43" s="65">
        <f t="shared" si="147"/>
        <v>73.7142857142857</v>
      </c>
      <c r="AV43" s="65">
        <f t="shared" si="148"/>
        <v>61.0</v>
      </c>
      <c r="AW43" s="97">
        <f>AH43*1.1</f>
        <v>70.4</v>
      </c>
      <c r="AX43" s="64">
        <f t="shared" si="150"/>
        <v>694.042857142849</v>
      </c>
      <c r="AY43" s="64" t="e">
        <f t="shared" si="151"/>
        <v>#REF!</v>
      </c>
      <c r="BA43" s="47" t="e">
        <f t="shared" si="152"/>
        <v>#REF!</v>
      </c>
      <c r="BB43" s="69" t="e">
        <f t="shared" si="153"/>
        <v>#REF!</v>
      </c>
      <c r="BE43" s="47" t="s">
        <v>505</v>
      </c>
      <c r="BF43" s="65" t="e">
        <f t="shared" si="154"/>
        <v>#REF!</v>
      </c>
      <c r="BG43" s="65">
        <f t="shared" si="155"/>
        <v>123.142857142857</v>
      </c>
      <c r="BH43" s="65" t="e">
        <f t="shared" si="156"/>
        <v>#REF!</v>
      </c>
      <c r="BI43" s="65" t="e">
        <f t="shared" si="157"/>
        <v>#REF!</v>
      </c>
      <c r="BJ43" s="65">
        <f t="shared" si="158"/>
        <v>146.714285714286</v>
      </c>
      <c r="BK43" s="65"/>
      <c r="BL43" s="65" t="e">
        <f t="shared" si="159"/>
        <v>#REF!</v>
      </c>
      <c r="BM43" s="65">
        <f t="shared" si="160"/>
        <v>219.07142857142</v>
      </c>
      <c r="BN43" s="65"/>
      <c r="BO43" s="65" t="e">
        <f t="shared" si="161"/>
        <v>#REF!</v>
      </c>
      <c r="BP43" s="65">
        <f t="shared" si="162"/>
        <v>73.7142857142857</v>
      </c>
      <c r="BQ43" s="65"/>
      <c r="BR43" s="65" t="e">
        <f t="shared" si="163"/>
        <v>#REF!</v>
      </c>
      <c r="BS43" s="65">
        <f t="shared" si="164"/>
        <v>61.0</v>
      </c>
      <c r="BT43" s="65"/>
      <c r="BU43" s="65" t="e">
        <f t="shared" si="165"/>
        <v>#REF!</v>
      </c>
      <c r="BV43" s="65">
        <f t="shared" si="166"/>
        <v>70.4</v>
      </c>
      <c r="BW43" s="65"/>
      <c r="BX43" s="65" t="e">
        <f t="shared" si="167"/>
        <v>#REF!</v>
      </c>
    </row>
    <row r="44" ht="14.0" customFormat="1" s="47">
      <c r="A44" s="93" t="s">
        <v>430</v>
      </c>
      <c r="B44" s="93" t="s">
        <v>53</v>
      </c>
      <c r="C44" s="93" t="s">
        <v>481</v>
      </c>
      <c r="D44" s="93" t="s">
        <v>482</v>
      </c>
      <c r="E44" s="93">
        <v>50.0</v>
      </c>
      <c r="F44" s="93">
        <v>78.0</v>
      </c>
      <c r="G44" s="93">
        <v>109.0</v>
      </c>
      <c r="H44" s="93">
        <v>70.0</v>
      </c>
      <c r="I44" s="93">
        <v>103.0</v>
      </c>
      <c r="J44" s="93">
        <v>47.0</v>
      </c>
      <c r="K44" s="93">
        <v>341.0</v>
      </c>
      <c r="L44" s="93">
        <v>83.0</v>
      </c>
      <c r="M44" s="93">
        <v>44.0</v>
      </c>
      <c r="N44" s="93">
        <v>27.0</v>
      </c>
      <c r="O44" s="93">
        <v>57.0</v>
      </c>
      <c r="P44" s="93">
        <v>58.0</v>
      </c>
      <c r="Q44" s="93">
        <v>58.0</v>
      </c>
      <c r="R44" s="93">
        <v>18.0</v>
      </c>
      <c r="S44" s="93">
        <v>109.0</v>
      </c>
      <c r="T44" s="93">
        <v>59.0</v>
      </c>
      <c r="U44" s="93">
        <v>102.0</v>
      </c>
      <c r="V44" s="93">
        <v>292.0</v>
      </c>
      <c r="W44" s="93">
        <v>47.0</v>
      </c>
      <c r="X44" s="93">
        <v>42.0</v>
      </c>
      <c r="Y44" s="93">
        <v>15.0</v>
      </c>
      <c r="Z44" s="93">
        <v>67.0</v>
      </c>
      <c r="AA44" s="93">
        <v>48.0</v>
      </c>
      <c r="AB44" s="93">
        <v>85.0</v>
      </c>
      <c r="AC44" s="93">
        <v>48.0</v>
      </c>
      <c r="AD44" s="93">
        <v>101.0</v>
      </c>
      <c r="AE44" s="93">
        <v>180.0</v>
      </c>
      <c r="AF44" s="93">
        <v>135.0</v>
      </c>
      <c r="AG44" s="93">
        <v>91.0</v>
      </c>
      <c r="AH44" s="93">
        <v>66.0</v>
      </c>
      <c r="AI44" s="93">
        <v>327.0</v>
      </c>
      <c r="AJ44" s="93">
        <v>125.0</v>
      </c>
      <c r="AK44" s="93">
        <v>51.0</v>
      </c>
      <c r="AL44" s="93">
        <v>55.0</v>
      </c>
      <c r="AM44" s="93">
        <v>13.0</v>
      </c>
      <c r="AN44" s="110">
        <f>AB44</f>
        <v>85.0</v>
      </c>
      <c r="AO44" s="111">
        <f t="shared" si="141"/>
        <v>1277.0</v>
      </c>
      <c r="AP44" s="64">
        <f t="shared" si="142"/>
        <v>621.0</v>
      </c>
      <c r="AQ44" s="69">
        <f t="shared" si="143"/>
        <v>683.1</v>
      </c>
      <c r="AR44" s="65">
        <f>AQ44*$AR$4/$AQ$4+AR46</f>
        <v>174.734693877551</v>
      </c>
      <c r="AS44" s="65">
        <f>AQ44*$AS$4/$AQ$4+AS46</f>
        <v>186.38775510204</v>
      </c>
      <c r="AT44" s="65">
        <f>AQ44*$AT$4/$AQ$4+AT46</f>
        <v>249.724489795918</v>
      </c>
      <c r="AU44" s="65">
        <f>AQ44*$AU$4/$AQ$4+AU46</f>
        <v>288.38775510204</v>
      </c>
      <c r="AV44" s="65">
        <f t="shared" si="148"/>
        <v>88.7142857142857</v>
      </c>
      <c r="AW44" s="65">
        <f>AQ44*$AW$4/$AQ$4</f>
        <v>95.0510204081632</v>
      </c>
      <c r="AX44" s="64">
        <f t="shared" si="150"/>
        <v>1083.0</v>
      </c>
      <c r="AY44" s="64" t="e">
        <f t="shared" si="151"/>
        <v>#REF!</v>
      </c>
      <c r="BA44" s="47" t="e">
        <f t="shared" si="152"/>
        <v>#REF!</v>
      </c>
      <c r="BB44" s="69" t="e">
        <f t="shared" si="153"/>
        <v>#REF!</v>
      </c>
      <c r="BE44" s="47" t="s">
        <v>453</v>
      </c>
      <c r="BF44" s="65" t="e">
        <f t="shared" si="154"/>
        <v>#REF!</v>
      </c>
      <c r="BG44" s="65">
        <f t="shared" si="155"/>
        <v>174.734693877551</v>
      </c>
      <c r="BH44" s="65" t="e">
        <f t="shared" si="156"/>
        <v>#REF!</v>
      </c>
      <c r="BI44" s="65" t="e">
        <f t="shared" si="157"/>
        <v>#REF!</v>
      </c>
      <c r="BJ44" s="65">
        <f t="shared" si="158"/>
        <v>186.38775510204</v>
      </c>
      <c r="BK44" s="65"/>
      <c r="BL44" s="65" t="e">
        <f t="shared" si="159"/>
        <v>#REF!</v>
      </c>
      <c r="BM44" s="65">
        <f t="shared" si="160"/>
        <v>249.724489795918</v>
      </c>
      <c r="BN44" s="65"/>
      <c r="BO44" s="65" t="e">
        <f t="shared" si="161"/>
        <v>#REF!</v>
      </c>
      <c r="BP44" s="65">
        <f t="shared" si="162"/>
        <v>288.38775510204</v>
      </c>
      <c r="BQ44" s="65"/>
      <c r="BR44" s="65" t="e">
        <f t="shared" si="163"/>
        <v>#REF!</v>
      </c>
      <c r="BS44" s="65">
        <f t="shared" si="164"/>
        <v>88.7142857142857</v>
      </c>
      <c r="BT44" s="65"/>
      <c r="BU44" s="65" t="e">
        <f t="shared" si="165"/>
        <v>#REF!</v>
      </c>
      <c r="BV44" s="65">
        <f t="shared" si="166"/>
        <v>95.0510204081632</v>
      </c>
      <c r="BW44" s="65"/>
      <c r="BX44" s="65" t="e">
        <f t="shared" si="167"/>
        <v>#REF!</v>
      </c>
    </row>
    <row r="45">
      <c r="AI45" s="67"/>
      <c r="AJ45" s="67"/>
      <c r="AK45" s="67"/>
      <c r="AL45" s="67"/>
      <c r="AM45" s="67"/>
      <c r="AN45" s="67"/>
      <c r="AO45" s="66"/>
      <c r="AP45" s="66"/>
    </row>
    <row r="46" ht="86.0" customFormat="1" s="47">
      <c r="AC46" s="115" t="s">
        <v>506</v>
      </c>
      <c r="AG46" s="116" t="s">
        <v>507</v>
      </c>
      <c r="AH46" s="117" t="s">
        <v>508</v>
      </c>
      <c r="AI46" s="70" t="s">
        <v>509</v>
      </c>
      <c r="AJ46" s="64" t="s">
        <v>27</v>
      </c>
      <c r="AK46" s="64" t="s">
        <v>3</v>
      </c>
      <c r="AL46" s="118" t="s">
        <v>510</v>
      </c>
      <c r="AM46" s="64" t="s">
        <v>22</v>
      </c>
      <c r="AO46" s="64"/>
      <c r="AP46" s="64"/>
      <c r="AQ46" s="119" t="s">
        <v>482</v>
      </c>
      <c r="AR46" s="119">
        <v>48.0</v>
      </c>
      <c r="AS46" s="119">
        <v>85.0</v>
      </c>
      <c r="AT46" s="119">
        <v>142.0</v>
      </c>
      <c r="AU46" s="119">
        <v>187.0</v>
      </c>
      <c r="AX46" s="64"/>
    </row>
    <row r="47" ht="14.0" customFormat="1" s="47">
      <c r="AC47" s="120" t="s">
        <v>511</v>
      </c>
      <c r="AG47" s="121" t="s">
        <v>477</v>
      </c>
      <c r="AH47" s="122">
        <v>148.0</v>
      </c>
      <c r="AI47" s="47">
        <v>160.0</v>
      </c>
      <c r="AJ47" s="47">
        <v>200.0</v>
      </c>
      <c r="AK47" s="47">
        <f t="shared" ref="AK47:AK50" si="175">AI47+AJ47</f>
        <v>360.0</v>
      </c>
      <c r="AL47" s="47">
        <v>309.0</v>
      </c>
      <c r="AM47" s="50">
        <f t="shared" ref="AM47:AM50" si="176">AK47-AL47-AH47</f>
        <v>-97.0</v>
      </c>
      <c r="AO47" s="64"/>
      <c r="AP47" s="64"/>
      <c r="AQ47" s="119" t="s">
        <v>475</v>
      </c>
      <c r="AR47" s="119">
        <v>38.0</v>
      </c>
      <c r="AS47" s="119">
        <v>73.0</v>
      </c>
      <c r="AT47" s="119">
        <v>60.0</v>
      </c>
      <c r="AU47" s="119">
        <v>0.0</v>
      </c>
      <c r="AX47" s="64"/>
    </row>
    <row r="48" ht="14.0" customFormat="1" s="47">
      <c r="AC48" s="120" t="s">
        <v>512</v>
      </c>
      <c r="AG48" s="121" t="s">
        <v>479</v>
      </c>
      <c r="AH48" s="122">
        <v>262.0</v>
      </c>
      <c r="AI48" s="47">
        <v>87.0</v>
      </c>
      <c r="AJ48" s="47">
        <v>320.0</v>
      </c>
      <c r="AK48" s="47">
        <f t="shared" si="175"/>
        <v>407.0</v>
      </c>
      <c r="AL48" s="47">
        <v>432.0</v>
      </c>
      <c r="AM48" s="50">
        <f t="shared" si="176"/>
        <v>-287.0</v>
      </c>
      <c r="AO48" s="64"/>
      <c r="AP48" s="64"/>
      <c r="AQ48" s="119" t="s">
        <v>477</v>
      </c>
      <c r="AR48" s="119">
        <v>17.0</v>
      </c>
      <c r="AS48" s="119">
        <v>41.0</v>
      </c>
      <c r="AT48" s="119">
        <v>90.0</v>
      </c>
      <c r="AU48" s="119">
        <v>0.0</v>
      </c>
      <c r="AX48" s="64"/>
    </row>
    <row r="49" ht="14.0" customFormat="1" s="47">
      <c r="AC49" s="120" t="s">
        <v>513</v>
      </c>
      <c r="AG49" s="121" t="s">
        <v>475</v>
      </c>
      <c r="AH49" s="122">
        <v>171.0</v>
      </c>
      <c r="AI49" s="47">
        <v>135.0</v>
      </c>
      <c r="AJ49" s="47">
        <v>360.0</v>
      </c>
      <c r="AK49" s="47">
        <f t="shared" si="175"/>
        <v>495.0</v>
      </c>
      <c r="AL49" s="47">
        <v>453.0</v>
      </c>
      <c r="AM49" s="50">
        <f t="shared" si="176"/>
        <v>-129.0</v>
      </c>
      <c r="AO49" s="64"/>
      <c r="AP49" s="64"/>
      <c r="AQ49" s="119" t="s">
        <v>479</v>
      </c>
      <c r="AR49" s="119">
        <v>36.0</v>
      </c>
      <c r="AS49" s="119">
        <v>77.0</v>
      </c>
      <c r="AT49" s="119">
        <v>145.0</v>
      </c>
      <c r="AU49" s="119">
        <v>4.0</v>
      </c>
      <c r="AX49" s="64"/>
    </row>
    <row r="50" ht="14.0" customFormat="1" s="47">
      <c r="AC50" s="120" t="s">
        <v>514</v>
      </c>
      <c r="AG50" s="121" t="s">
        <v>482</v>
      </c>
      <c r="AH50" s="122">
        <v>462.0</v>
      </c>
      <c r="AI50" s="47">
        <v>478.0</v>
      </c>
      <c r="AJ50" s="47">
        <v>320.0</v>
      </c>
      <c r="AK50" s="47">
        <f t="shared" si="175"/>
        <v>798.0</v>
      </c>
      <c r="AL50" s="47">
        <v>621.0</v>
      </c>
      <c r="AM50" s="50">
        <f t="shared" si="176"/>
        <v>-285.0</v>
      </c>
      <c r="AO50" s="64"/>
      <c r="AP50" s="64"/>
      <c r="AQ50" s="69"/>
      <c r="AX50" s="64"/>
    </row>
    <row r="51" customFormat="1" s="47">
      <c r="AO51" s="64"/>
      <c r="AP51" s="64"/>
      <c r="AQ51" s="69"/>
      <c r="AX51" s="64"/>
    </row>
  </sheetData>
  <mergeCells count="6">
    <mergeCell ref="BM5:BO5"/>
    <mergeCell ref="BP5:BR5"/>
    <mergeCell ref="BS5:BU5"/>
    <mergeCell ref="BV5:BX5"/>
    <mergeCell ref="BG5:BI5"/>
    <mergeCell ref="BJ5:BL5"/>
  </mergeCells>
  <conditionalFormatting sqref="C5:C6">
    <cfRule dxfId="1" operator="containsText" type="containsText" priority="1" text="set up">
      <formula>NOT(ISERROR(SEARCH("set up",C5)))</formula>
    </cfRule>
  </conditionalFormatting>
  <conditionalFormatting sqref="BB5:BB6">
    <cfRule dxfId="2" operator="lessThan" type="cellIs" priority="2">
      <formula>0</formula>
    </cfRule>
  </conditionalFormatting>
  <conditionalFormatting sqref="C5:C6">
    <cfRule dxfId="1" operator="containsText" type="containsText" priority="3" text="SET UP">
      <formula>NOT(ISERROR(SEARCH("SET UP",C5)))</formula>
    </cfRule>
  </conditionalFormatting>
  <conditionalFormatting sqref="C5:C6">
    <cfRule dxfId="1" operator="containsText" type="containsText" priority="4" text="starter pack">
      <formula>NOT(ISERROR(SEARCH("starter pack",C5)))</formula>
    </cfRule>
  </conditionalFormatting>
  <conditionalFormatting sqref="BD5:BD6">
    <cfRule dxfId="4" operator="greaterThan" type="cellIs" priority="5">
      <formula>0</formula>
    </cfRule>
  </conditionalFormatting>
  <conditionalFormatting sqref="C5:C6">
    <cfRule dxfId="5" operator="containsText" type="containsText" priority="6" text="CDU">
      <formula>NOT(ISERROR(SEARCH("CDU",C5)))</formula>
    </cfRule>
  </conditionalFormatting>
  <conditionalFormatting sqref="C5:C6">
    <cfRule dxfId="5" operator="containsText" type="containsText" priority="7" text="DISPLAY">
      <formula>NOT(ISERROR(SEARCH("DISPLAY",C5)))</formula>
    </cfRule>
  </conditionalFormatting>
  <conditionalFormatting sqref="C5:C6">
    <cfRule dxfId="5" operator="containsText" type="containsText" priority="8" text="Australian Natives">
      <formula>NOT(ISERROR(SEARCH("Australian Natives",C5)))</formula>
    </cfRule>
  </conditionalFormatting>
  <conditionalFormatting sqref="C5:C6">
    <cfRule dxfId="7" operator="containsText" type="containsText" priority="9" text="Golden Wattle">
      <formula>NOT(ISERROR(SEARCH("Golden Wattle",C5)))</formula>
    </cfRule>
  </conditionalFormatting>
  <conditionalFormatting sqref="C5:C6">
    <cfRule dxfId="1" operator="containsText" type="containsText" priority="10" text="set up">
      <formula>NOT(ISERROR(SEARCH("set up",C5)))</formula>
    </cfRule>
  </conditionalFormatting>
  <conditionalFormatting sqref="C5:C6">
    <cfRule dxfId="1" operator="containsText" type="containsText" priority="11" text="setup">
      <formula>NOT(ISERROR(SEARCH("setup",C5)))</formula>
    </cfRule>
  </conditionalFormatting>
  <conditionalFormatting sqref="C5:C6">
    <cfRule dxfId="1" operator="containsText" type="containsText" priority="12" text="starter pack">
      <formula>NOT(ISERROR(SEARCH("starter pack",C5)))</formula>
    </cfRule>
  </conditionalFormatting>
  <conditionalFormatting sqref="AY5:AY6">
    <cfRule dxfId="3" operator="lessThan" type="cellIs" priority="13">
      <formula>0</formula>
    </cfRule>
  </conditionalFormatting>
  <conditionalFormatting sqref="E7:AN44">
    <cfRule dxfId="0" operator="lessThanOrEqual" type="cellIs" priority="14">
      <formula>0</formula>
    </cfRule>
  </conditionalFormatting>
  <conditionalFormatting sqref="AY7:AY44">
    <cfRule dxfId="3" operator="lessThanOrEqual" type="cellIs" priority="15">
      <formula>0</formula>
    </cfRule>
  </conditionalFormatting>
  <conditionalFormatting sqref="BB7:BB9 BB11:BB32 BB34:BB39">
    <cfRule dxfId="3" operator="lessThanOrEqual" type="cellIs" priority="16">
      <formula>0</formula>
    </cfRule>
  </conditionalFormatting>
  <conditionalFormatting sqref="BF7:BX21 BF22:BJ39 BK26:BK26 BK34:BK34 BK35:BX39 BL22:BX34">
    <cfRule dxfId="3" operator="lessThan" type="cellIs" priority="17">
      <formula>0</formula>
    </cfRule>
  </conditionalFormatting>
  <conditionalFormatting sqref="BB41:BB44">
    <cfRule dxfId="3" operator="lessThanOrEqual" type="cellIs" priority="18">
      <formula>0</formula>
    </cfRule>
  </conditionalFormatting>
  <conditionalFormatting sqref="BL41:BX44 BF41:BJ44 BK41:BK41">
    <cfRule dxfId="3" operator="lessThan" type="cellIs" priority="19">
      <formula>0</formula>
    </cfRule>
  </conditionalFormatting>
  <extLst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DE101"/>
  <sheetViews>
    <sheetView workbookViewId="0">
      <pane xSplit="4" ySplit="6" topLeftCell="E7" state="frozen"/>
    </sheetView>
  </sheetViews>
  <sheetFormatPr defaultRowHeight="14.0" customHeight="1"/>
  <cols>
    <col min="1" max="1" style="36" width="13.24"/>
    <col min="2" max="2" style="36" width="16.03"/>
    <col min="3" max="3" style="36" width="45.97"/>
    <col min="4" max="4" style="36" width="11.52"/>
    <col min="5" max="5" hidden="1" style="36" width="0.0" outlineLevel="2"/>
    <col min="6" max="6" hidden="1" style="36" width="0.0" outlineLevel="2"/>
    <col min="7" max="7" hidden="1" style="36" width="0.0" outlineLevel="2"/>
    <col min="8" max="8" hidden="1" style="36" width="0.0" outlineLevel="2"/>
    <col min="9" max="10" hidden="1" style="36" width="0.0" outlineLevel="2"/>
    <col min="11" max="11" hidden="1" style="36" width="0.0" outlineLevel="2"/>
    <col min="12" max="12" hidden="1" style="36" width="0.0" outlineLevel="2"/>
    <col min="13" max="13" hidden="1" style="36" width="0.0" outlineLevel="2"/>
    <col min="14" max="14" hidden="1" style="36" width="0.0" outlineLevel="2"/>
    <col min="15" max="15" hidden="1" style="36" width="0.0" outlineLevel="2"/>
    <col min="16" max="16" hidden="1" style="36" width="0.0" outlineLevel="2"/>
    <col min="17" max="17" hidden="1" style="36" width="0.0" outlineLevel="2"/>
    <col min="18" max="18" hidden="1" style="36" width="0.0" outlineLevel="1" collapsed="1"/>
    <col min="19" max="19" hidden="1" style="36" width="0.0" outlineLevel="1"/>
    <col min="20" max="20" hidden="1" style="36" width="0.0" outlineLevel="1"/>
    <col min="21" max="22" hidden="1" style="36" width="0.0" outlineLevel="1"/>
    <col min="23" max="23" hidden="1" style="36" width="0.0" outlineLevel="1"/>
    <col min="24" max="24" hidden="1" style="36" width="0.0" outlineLevel="1"/>
    <col min="25" max="25" hidden="1" style="36" width="0.0" outlineLevel="1"/>
    <col min="26" max="26" hidden="1" style="36" width="0.0" outlineLevel="1"/>
    <col min="27" max="27" hidden="1" style="36" width="0.0" outlineLevel="1"/>
    <col min="28" max="28" hidden="1" style="36" width="0.0" outlineLevel="1"/>
    <col min="29" max="29" hidden="1" style="36" width="0.0" outlineLevel="1"/>
    <col min="30" max="30" hidden="1" style="36" width="0.0" outlineLevel="1"/>
    <col min="31" max="31" hidden="1" style="36" width="0.0" outlineLevel="1"/>
    <col min="32" max="32" hidden="1" style="36" width="0.0" outlineLevel="1"/>
    <col min="33" max="33" hidden="1" style="36" width="0.0" outlineLevel="1"/>
    <col min="34" max="34" style="36" width="7.68" collapsed="1"/>
    <col min="35" max="35" style="36" width="8.08"/>
    <col min="36" max="36" style="36" width="7.68"/>
    <col min="37" max="37" style="36" width="8.34"/>
    <col min="38" max="38" style="36" width="7.68"/>
    <col min="39" max="39" style="36" width="7.15"/>
    <col min="40" max="45" style="36" width="8.08"/>
    <col min="46" max="48" style="123" width="10.59"/>
    <col min="49" max="55" style="36" width="8.61"/>
    <col min="56" max="57" style="36" width="13.24"/>
    <col min="58" max="58" style="124" width="13.24"/>
    <col min="59" max="59" style="36" width="13.24"/>
    <col min="60" max="60" style="36" width="11.26"/>
    <col min="61" max="61" style="36" width="10.06"/>
    <col min="62" max="62" style="125" width="10.2"/>
    <col min="63" max="63" style="36" width="18.81"/>
    <col min="64" max="64" style="36" width="13.24"/>
    <col min="65" max="68" style="36" width="6.75"/>
    <col min="69" max="69" style="36" width="9.14"/>
    <col min="70" max="72" style="36" width="6.75"/>
    <col min="73" max="73" style="36" width="9.14"/>
    <col min="74" max="76" style="36" width="6.75"/>
    <col min="77" max="77" style="36" width="9.27"/>
    <col min="78" max="80" style="36" width="6.75"/>
    <col min="81" max="81" style="36" width="11.79"/>
    <col min="82" max="84" style="36" width="6.75"/>
    <col min="85" max="85" style="36" width="9.14"/>
    <col min="86" max="88" style="36" width="6.75"/>
    <col min="89" max="89" style="36" width="11.65"/>
    <col min="90" max="90" hidden="1" style="36" width="0.0" outlineLevel="1"/>
    <col min="91" max="92" hidden="1" style="36" width="0.0" outlineLevel="1"/>
    <col min="93" max="93" hidden="1" style="36" width="0.0" outlineLevel="1"/>
    <col min="94" max="94" hidden="1" style="36" width="0.0" outlineLevel="1"/>
    <col min="95" max="95" style="36" width="6.22" outlineLevel="1"/>
    <col min="96" max="96" style="36" width="13.24" collapsed="1"/>
    <col min="97" max="1037" style="36" width="13.24"/>
    <col min="1038" max="2048" width="13.24"/>
  </cols>
  <sheetData>
    <row r="1">
      <c r="A1" s="36" t="s">
        <v>515</v>
      </c>
      <c r="BE1" s="126"/>
      <c r="BJ1" s="127"/>
      <c r="BQ1" s="126"/>
      <c r="BU1" s="126"/>
      <c r="CG1" s="126"/>
      <c r="CK1" s="126"/>
      <c r="CO1" s="123"/>
      <c r="CR1" s="123"/>
    </row>
    <row r="2">
      <c r="BE2" s="126"/>
      <c r="BJ2" s="127"/>
      <c r="BQ2" s="126"/>
      <c r="BU2" s="126"/>
      <c r="CG2" s="126"/>
      <c r="CK2" s="126"/>
      <c r="CO2" s="123"/>
      <c r="CR2" s="123"/>
    </row>
    <row r="3">
      <c r="AU3" s="128">
        <f>SUM(AN4:AS4)</f>
        <v>0.55</v>
      </c>
      <c r="AV3" s="129">
        <f t="shared" ref="AV3:AV4" si="1">AU3*1.1</f>
        <v>0.605</v>
      </c>
      <c r="AW3" s="123"/>
      <c r="BE3" s="126"/>
      <c r="BJ3" s="127"/>
      <c r="BQ3" s="126"/>
      <c r="BU3" s="126"/>
      <c r="CG3" s="126"/>
      <c r="CK3" s="126"/>
      <c r="CO3" s="123"/>
      <c r="CR3" s="123"/>
    </row>
    <row r="4">
      <c r="A4" s="130"/>
      <c r="B4" s="130"/>
      <c r="C4" s="130"/>
      <c r="D4" s="131"/>
      <c r="E4" s="132">
        <v>0.1</v>
      </c>
      <c r="F4" s="132">
        <v>0.1</v>
      </c>
      <c r="G4" s="132">
        <v>0.1</v>
      </c>
      <c r="H4" s="132">
        <v>0.06</v>
      </c>
      <c r="I4" s="132">
        <v>0.09</v>
      </c>
      <c r="J4" s="133">
        <v>0.065</v>
      </c>
      <c r="K4" s="132">
        <v>0.08</v>
      </c>
      <c r="L4" s="132">
        <v>0.08</v>
      </c>
      <c r="M4" s="132">
        <v>0.06</v>
      </c>
      <c r="N4" s="132">
        <v>0.06</v>
      </c>
      <c r="O4" s="132">
        <v>0.08</v>
      </c>
      <c r="P4" s="132">
        <v>0.1</v>
      </c>
      <c r="Q4" s="132">
        <v>0.1</v>
      </c>
      <c r="R4" s="132">
        <v>0.1</v>
      </c>
      <c r="S4" s="132">
        <v>0.1</v>
      </c>
      <c r="T4" s="132">
        <v>0.06</v>
      </c>
      <c r="U4" s="132">
        <v>0.09</v>
      </c>
      <c r="V4" s="133">
        <v>0.065</v>
      </c>
      <c r="W4" s="132">
        <v>0.08</v>
      </c>
      <c r="X4" s="132">
        <v>0.08</v>
      </c>
      <c r="Y4" s="132">
        <v>0.06</v>
      </c>
      <c r="Z4" s="132">
        <v>0.06</v>
      </c>
      <c r="AA4" s="134">
        <v>0.08</v>
      </c>
      <c r="AB4" s="134">
        <v>0.1</v>
      </c>
      <c r="AC4" s="134">
        <v>0.1</v>
      </c>
      <c r="AD4" s="134">
        <v>0.1</v>
      </c>
      <c r="AE4" s="134">
        <v>0.1</v>
      </c>
      <c r="AF4" s="134">
        <v>0.06</v>
      </c>
      <c r="AG4" s="134">
        <v>0.09</v>
      </c>
      <c r="AH4" s="135">
        <v>0.07</v>
      </c>
      <c r="AI4" s="134">
        <v>0.08</v>
      </c>
      <c r="AJ4" s="134">
        <v>0.08</v>
      </c>
      <c r="AK4" s="134">
        <v>0.07</v>
      </c>
      <c r="AL4" s="134">
        <v>0.07</v>
      </c>
      <c r="AM4" s="134">
        <v>0.08</v>
      </c>
      <c r="AN4" s="134">
        <v>0.1</v>
      </c>
      <c r="AO4" s="134">
        <v>0.1</v>
      </c>
      <c r="AP4" s="134">
        <v>0.1</v>
      </c>
      <c r="AQ4" s="134">
        <v>0.1</v>
      </c>
      <c r="AR4" s="134">
        <v>0.06</v>
      </c>
      <c r="AS4" s="134">
        <v>0.09</v>
      </c>
      <c r="AT4" s="136">
        <f>SUM(AH4:AS4)</f>
        <v>1.0</v>
      </c>
      <c r="AU4" s="136">
        <f>SUM(AH4:AM4)</f>
        <v>0.45</v>
      </c>
      <c r="AV4" s="136">
        <f t="shared" si="1"/>
        <v>0.495</v>
      </c>
      <c r="AW4" s="135">
        <v>0.07</v>
      </c>
      <c r="AX4" s="134">
        <v>0.08</v>
      </c>
      <c r="AY4" s="134">
        <v>0.08</v>
      </c>
      <c r="AZ4" s="134">
        <v>0.07</v>
      </c>
      <c r="BA4" s="134">
        <v>0.07</v>
      </c>
      <c r="BB4" s="134">
        <v>0.08</v>
      </c>
      <c r="BC4" s="23"/>
      <c r="BD4" s="23"/>
      <c r="BE4" s="137"/>
      <c r="BF4" s="138"/>
      <c r="BG4" s="130"/>
      <c r="BH4" s="139"/>
      <c r="BI4" s="130"/>
      <c r="BJ4" s="140"/>
      <c r="BK4" s="141"/>
      <c r="BL4" s="130"/>
      <c r="BM4" s="130"/>
      <c r="BN4" s="130"/>
      <c r="BO4" s="130"/>
      <c r="BP4" s="130"/>
      <c r="BQ4" s="142"/>
      <c r="BR4" s="130"/>
      <c r="BS4" s="130"/>
      <c r="BT4" s="143"/>
      <c r="BU4" s="142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42"/>
      <c r="CH4" s="130"/>
      <c r="CI4" s="130"/>
      <c r="CJ4" s="130"/>
      <c r="CK4" s="142"/>
      <c r="CL4" s="130"/>
      <c r="CM4" s="130"/>
      <c r="CN4" s="130"/>
      <c r="CO4" s="23"/>
      <c r="CP4" s="130"/>
      <c r="CQ4" s="130"/>
      <c r="CR4" s="23"/>
      <c r="CS4" s="130"/>
      <c r="CT4" s="130"/>
      <c r="CU4" s="130"/>
      <c r="CV4" s="130"/>
      <c r="CW4" s="130"/>
      <c r="CX4" s="130"/>
      <c r="CY4" s="130"/>
      <c r="CZ4" s="130"/>
      <c r="DA4" s="130"/>
      <c r="DB4" s="130"/>
      <c r="DC4" s="130"/>
      <c r="DD4" s="130"/>
      <c r="DE4" s="130"/>
      <c r="DF4" s="130"/>
      <c r="DG4" s="130"/>
      <c r="DH4" s="130"/>
      <c r="DI4" s="130"/>
      <c r="DJ4" s="130"/>
      <c r="DK4" s="130"/>
      <c r="DL4" s="130"/>
      <c r="DM4" s="130"/>
      <c r="DN4" s="130"/>
      <c r="DO4" s="130"/>
      <c r="DP4" s="130"/>
      <c r="DQ4" s="130"/>
      <c r="DR4" s="130"/>
      <c r="AMS4" s="130"/>
      <c r="AMT4" s="130"/>
      <c r="AMU4" s="130"/>
      <c r="AMV4" s="130"/>
      <c r="AMW4" s="130"/>
    </row>
    <row r="5" ht="27.0">
      <c r="A5" s="140"/>
      <c r="B5" s="140"/>
      <c r="C5" s="140"/>
      <c r="D5" s="140"/>
      <c r="E5" s="144">
        <v>45954</v>
      </c>
      <c r="F5" s="145">
        <v>45985</v>
      </c>
      <c r="G5" s="145">
        <v>46015</v>
      </c>
      <c r="H5" s="145">
        <v>45682</v>
      </c>
      <c r="I5" s="145">
        <v>45713</v>
      </c>
      <c r="J5" s="145">
        <v>45741</v>
      </c>
      <c r="K5" s="145">
        <v>45772</v>
      </c>
      <c r="L5" s="145">
        <v>45802</v>
      </c>
      <c r="M5" s="145">
        <v>45833</v>
      </c>
      <c r="N5" s="145">
        <v>45863</v>
      </c>
      <c r="O5" s="145">
        <v>45893</v>
      </c>
      <c r="P5" s="145">
        <v>45924</v>
      </c>
      <c r="Q5" s="145">
        <v>45954</v>
      </c>
      <c r="R5" s="146">
        <v>45985</v>
      </c>
      <c r="S5" s="146">
        <v>46015</v>
      </c>
      <c r="T5" s="146">
        <v>45682</v>
      </c>
      <c r="U5" s="146">
        <v>45713</v>
      </c>
      <c r="V5" s="146">
        <v>45741</v>
      </c>
      <c r="W5" s="146">
        <v>45772</v>
      </c>
      <c r="X5" s="146">
        <v>45802</v>
      </c>
      <c r="Y5" s="146">
        <v>45833</v>
      </c>
      <c r="Z5" s="146">
        <v>45863</v>
      </c>
      <c r="AA5" s="146">
        <v>45893</v>
      </c>
      <c r="AB5" s="146">
        <v>45924</v>
      </c>
      <c r="AC5" s="146">
        <v>45954</v>
      </c>
      <c r="AD5" s="146">
        <v>45985</v>
      </c>
      <c r="AE5" s="146">
        <v>46015</v>
      </c>
      <c r="AF5" s="146">
        <v>45682</v>
      </c>
      <c r="AG5" s="144">
        <v>45713</v>
      </c>
      <c r="AH5" s="147">
        <v>45741</v>
      </c>
      <c r="AI5" s="147">
        <v>45772</v>
      </c>
      <c r="AJ5" s="147">
        <v>45802</v>
      </c>
      <c r="AK5" s="147">
        <v>45833</v>
      </c>
      <c r="AL5" s="147">
        <v>45863</v>
      </c>
      <c r="AM5" s="147">
        <v>45894</v>
      </c>
      <c r="AN5" s="147">
        <v>45925</v>
      </c>
      <c r="AO5" s="147">
        <v>45955</v>
      </c>
      <c r="AP5" s="147">
        <v>45986</v>
      </c>
      <c r="AQ5" s="147">
        <v>46016</v>
      </c>
      <c r="AR5" s="147">
        <v>46048</v>
      </c>
      <c r="AS5" s="147">
        <v>46079</v>
      </c>
      <c r="AT5" s="148" t="s">
        <v>1</v>
      </c>
      <c r="AU5" s="148" t="s">
        <v>516</v>
      </c>
      <c r="AV5" s="148" t="s">
        <v>516</v>
      </c>
      <c r="AW5" s="147">
        <v>46107</v>
      </c>
      <c r="AX5" s="147">
        <v>46138</v>
      </c>
      <c r="AY5" s="147">
        <v>46168</v>
      </c>
      <c r="AZ5" s="147">
        <v>46199</v>
      </c>
      <c r="BA5" s="147">
        <v>46229</v>
      </c>
      <c r="BB5" s="147">
        <v>46260</v>
      </c>
      <c r="BC5" s="140" t="s">
        <v>3</v>
      </c>
      <c r="BD5" s="140" t="s">
        <v>3</v>
      </c>
      <c r="BE5" s="149"/>
      <c r="BF5" s="150"/>
      <c r="BG5" s="140" t="s">
        <v>3</v>
      </c>
      <c r="BH5" s="151" t="s">
        <v>3</v>
      </c>
      <c r="BI5" s="140" t="s">
        <v>3</v>
      </c>
      <c r="BJ5" s="140" t="s">
        <v>3</v>
      </c>
      <c r="BK5" s="141"/>
      <c r="BL5" s="140" t="s">
        <v>517</v>
      </c>
      <c r="BM5" s="140"/>
      <c r="BN5" s="140" t="s">
        <v>518</v>
      </c>
      <c r="BO5" s="140"/>
      <c r="BP5" s="140"/>
      <c r="BQ5" s="140"/>
      <c r="BR5" s="140" t="s">
        <v>519</v>
      </c>
      <c r="BS5" s="140"/>
      <c r="BT5" s="140"/>
      <c r="BU5" s="140"/>
      <c r="BV5" s="140" t="s">
        <v>520</v>
      </c>
      <c r="BW5" s="140"/>
      <c r="BX5" s="140"/>
      <c r="BY5" s="149"/>
      <c r="BZ5" s="140" t="s">
        <v>4</v>
      </c>
      <c r="CA5" s="140"/>
      <c r="CB5" s="140"/>
      <c r="CC5" s="149"/>
      <c r="CD5" s="140" t="s">
        <v>5</v>
      </c>
      <c r="CE5" s="140"/>
      <c r="CF5" s="140"/>
      <c r="CG5" s="149"/>
      <c r="CH5" s="140" t="s">
        <v>521</v>
      </c>
      <c r="CI5" s="140"/>
      <c r="CJ5" s="140"/>
      <c r="CK5" s="149"/>
      <c r="CL5" s="140"/>
      <c r="CM5" s="140"/>
      <c r="CN5" s="140"/>
      <c r="CO5" s="152" t="s">
        <v>522</v>
      </c>
      <c r="CP5" s="140"/>
      <c r="CQ5" s="140"/>
      <c r="CR5" s="140"/>
      <c r="CS5" s="140"/>
      <c r="CT5" s="140"/>
      <c r="CU5" s="152" t="s">
        <v>523</v>
      </c>
      <c r="CV5" s="140"/>
      <c r="CW5" s="140"/>
      <c r="CX5" s="140"/>
      <c r="CY5" s="140"/>
      <c r="CZ5" s="152" t="s">
        <v>524</v>
      </c>
      <c r="DA5" s="140"/>
      <c r="DB5" s="140"/>
      <c r="DC5" s="140"/>
      <c r="DD5" s="140"/>
      <c r="DE5" s="152" t="s">
        <v>525</v>
      </c>
      <c r="DF5" s="140"/>
      <c r="DG5" s="140"/>
      <c r="DH5" s="140"/>
      <c r="DI5" s="140"/>
      <c r="DJ5" s="140"/>
      <c r="DK5" s="140"/>
      <c r="DL5" s="140"/>
      <c r="DM5" s="140"/>
      <c r="DN5" s="140"/>
      <c r="DO5" s="140"/>
      <c r="DP5" s="140"/>
      <c r="DQ5" s="140"/>
      <c r="DR5" s="140"/>
      <c r="DS5" s="140"/>
      <c r="DT5" s="140"/>
      <c r="DU5" s="140"/>
      <c r="DV5" s="140"/>
      <c r="DW5" s="140"/>
      <c r="DX5" s="140"/>
      <c r="DY5" s="140"/>
      <c r="DZ5" s="140"/>
      <c r="EA5" s="140"/>
      <c r="EB5" s="140"/>
      <c r="EC5" s="140"/>
      <c r="ED5" s="140"/>
      <c r="EE5" s="140"/>
      <c r="AMS5" s="23"/>
      <c r="AMT5" s="23"/>
      <c r="AMU5" s="23"/>
      <c r="AMV5" s="23"/>
      <c r="AMW5" s="130"/>
    </row>
    <row r="6" ht="27.0">
      <c r="A6" s="153" t="s">
        <v>12</v>
      </c>
      <c r="B6" s="153" t="s">
        <v>13</v>
      </c>
      <c r="C6" s="153" t="s">
        <v>14</v>
      </c>
      <c r="D6" s="154" t="s">
        <v>15</v>
      </c>
      <c r="E6" s="155" t="s">
        <v>16</v>
      </c>
      <c r="F6" s="155" t="s">
        <v>16</v>
      </c>
      <c r="G6" s="155" t="s">
        <v>16</v>
      </c>
      <c r="H6" s="155" t="s">
        <v>16</v>
      </c>
      <c r="I6" s="155" t="s">
        <v>16</v>
      </c>
      <c r="J6" s="155" t="s">
        <v>16</v>
      </c>
      <c r="K6" s="155" t="s">
        <v>16</v>
      </c>
      <c r="L6" s="155" t="s">
        <v>16</v>
      </c>
      <c r="M6" s="155" t="s">
        <v>16</v>
      </c>
      <c r="N6" s="155" t="s">
        <v>16</v>
      </c>
      <c r="O6" s="155" t="s">
        <v>16</v>
      </c>
      <c r="P6" s="155" t="s">
        <v>16</v>
      </c>
      <c r="Q6" s="155" t="s">
        <v>16</v>
      </c>
      <c r="R6" s="155" t="s">
        <v>16</v>
      </c>
      <c r="S6" s="155" t="s">
        <v>16</v>
      </c>
      <c r="T6" s="155" t="s">
        <v>16</v>
      </c>
      <c r="U6" s="155" t="s">
        <v>16</v>
      </c>
      <c r="V6" s="155" t="s">
        <v>16</v>
      </c>
      <c r="W6" s="155" t="s">
        <v>16</v>
      </c>
      <c r="X6" s="155" t="s">
        <v>16</v>
      </c>
      <c r="Y6" s="155" t="s">
        <v>16</v>
      </c>
      <c r="Z6" s="155" t="s">
        <v>16</v>
      </c>
      <c r="AA6" s="155" t="s">
        <v>16</v>
      </c>
      <c r="AB6" s="155" t="s">
        <v>16</v>
      </c>
      <c r="AC6" s="155" t="s">
        <v>16</v>
      </c>
      <c r="AD6" s="155" t="s">
        <v>16</v>
      </c>
      <c r="AE6" s="155" t="s">
        <v>16</v>
      </c>
      <c r="AF6" s="155" t="s">
        <v>16</v>
      </c>
      <c r="AG6" s="155" t="s">
        <v>16</v>
      </c>
      <c r="AH6" s="155" t="s">
        <v>16</v>
      </c>
      <c r="AI6" s="155" t="s">
        <v>16</v>
      </c>
      <c r="AJ6" s="155" t="s">
        <v>16</v>
      </c>
      <c r="AK6" s="155" t="s">
        <v>16</v>
      </c>
      <c r="AL6" s="155" t="s">
        <v>16</v>
      </c>
      <c r="AM6" s="155" t="s">
        <v>16</v>
      </c>
      <c r="AN6" s="155" t="s">
        <v>16</v>
      </c>
      <c r="AO6" s="155" t="s">
        <v>16</v>
      </c>
      <c r="AP6" s="155" t="s">
        <v>16</v>
      </c>
      <c r="AQ6" s="155" t="s">
        <v>16</v>
      </c>
      <c r="AR6" s="155" t="s">
        <v>16</v>
      </c>
      <c r="AS6" s="155" t="s">
        <v>16</v>
      </c>
      <c r="AT6" s="156" t="s">
        <v>3</v>
      </c>
      <c r="AU6" s="156" t="s">
        <v>3</v>
      </c>
      <c r="AV6" s="156" t="s">
        <v>17</v>
      </c>
      <c r="AW6" s="157" t="s">
        <v>18</v>
      </c>
      <c r="AX6" s="157" t="s">
        <v>18</v>
      </c>
      <c r="AY6" s="157" t="s">
        <v>18</v>
      </c>
      <c r="AZ6" s="157" t="s">
        <v>18</v>
      </c>
      <c r="BA6" s="157" t="s">
        <v>18</v>
      </c>
      <c r="BB6" s="157" t="s">
        <v>18</v>
      </c>
      <c r="BC6" s="158" t="s">
        <v>18</v>
      </c>
      <c r="BD6" s="155" t="s">
        <v>526</v>
      </c>
      <c r="BE6" s="159" t="s">
        <v>527</v>
      </c>
      <c r="BF6" s="160" t="s">
        <v>528</v>
      </c>
      <c r="BG6" s="161" t="s">
        <v>529</v>
      </c>
      <c r="BH6" s="162" t="s">
        <v>22</v>
      </c>
      <c r="BI6" s="155" t="s">
        <v>23</v>
      </c>
      <c r="BJ6" s="155" t="s">
        <v>24</v>
      </c>
      <c r="BK6" s="153" t="s">
        <v>25</v>
      </c>
      <c r="BL6" s="155" t="s">
        <v>26</v>
      </c>
      <c r="BM6" s="155" t="s">
        <v>27</v>
      </c>
      <c r="BN6" s="155" t="s">
        <v>18</v>
      </c>
      <c r="BO6" s="155" t="s">
        <v>27</v>
      </c>
      <c r="BP6" s="155" t="s">
        <v>28</v>
      </c>
      <c r="BQ6" s="159" t="s">
        <v>530</v>
      </c>
      <c r="BR6" s="155" t="s">
        <v>18</v>
      </c>
      <c r="BS6" s="155" t="s">
        <v>27</v>
      </c>
      <c r="BT6" s="155" t="s">
        <v>28</v>
      </c>
      <c r="BU6" s="159" t="s">
        <v>530</v>
      </c>
      <c r="BV6" s="155" t="s">
        <v>18</v>
      </c>
      <c r="BW6" s="155" t="s">
        <v>27</v>
      </c>
      <c r="BX6" s="155" t="s">
        <v>28</v>
      </c>
      <c r="BY6" s="159" t="s">
        <v>530</v>
      </c>
      <c r="BZ6" s="155" t="s">
        <v>18</v>
      </c>
      <c r="CA6" s="155" t="s">
        <v>27</v>
      </c>
      <c r="CB6" s="155" t="s">
        <v>28</v>
      </c>
      <c r="CC6" s="159" t="s">
        <v>530</v>
      </c>
      <c r="CD6" s="155" t="s">
        <v>18</v>
      </c>
      <c r="CE6" s="155" t="s">
        <v>27</v>
      </c>
      <c r="CF6" s="155" t="s">
        <v>28</v>
      </c>
      <c r="CG6" s="159" t="s">
        <v>530</v>
      </c>
      <c r="CH6" s="155" t="s">
        <v>18</v>
      </c>
      <c r="CI6" s="155" t="s">
        <v>27</v>
      </c>
      <c r="CJ6" s="155" t="s">
        <v>28</v>
      </c>
      <c r="CK6" s="159" t="s">
        <v>530</v>
      </c>
      <c r="CL6" s="152" t="s">
        <v>522</v>
      </c>
      <c r="CM6" s="152" t="s">
        <v>29</v>
      </c>
      <c r="CN6" s="152" t="s">
        <v>30</v>
      </c>
      <c r="CO6" s="152" t="s">
        <v>31</v>
      </c>
      <c r="CP6" s="130"/>
      <c r="CQ6" s="152"/>
      <c r="CR6" s="152" t="s">
        <v>523</v>
      </c>
      <c r="CS6" s="152" t="s">
        <v>29</v>
      </c>
      <c r="CT6" s="152" t="s">
        <v>30</v>
      </c>
      <c r="CU6" s="152" t="s">
        <v>31</v>
      </c>
      <c r="CV6" s="130"/>
      <c r="CW6" s="152" t="s">
        <v>524</v>
      </c>
      <c r="CX6" s="152" t="s">
        <v>29</v>
      </c>
      <c r="CY6" s="152" t="s">
        <v>30</v>
      </c>
      <c r="CZ6" s="152" t="s">
        <v>31</v>
      </c>
      <c r="DA6" s="130"/>
      <c r="DB6" s="152" t="s">
        <v>525</v>
      </c>
      <c r="DC6" s="152" t="s">
        <v>29</v>
      </c>
      <c r="DD6" s="152" t="s">
        <v>30</v>
      </c>
      <c r="DE6" s="152" t="s">
        <v>31</v>
      </c>
      <c r="DF6" s="130"/>
      <c r="DG6" s="130"/>
      <c r="DH6" s="130"/>
      <c r="DI6" s="130"/>
      <c r="DJ6" s="130"/>
      <c r="DK6" s="130"/>
      <c r="DL6" s="130"/>
      <c r="DM6" s="130"/>
      <c r="DN6" s="130"/>
      <c r="DO6" s="130"/>
      <c r="DP6" s="130"/>
      <c r="DQ6" s="130"/>
      <c r="DR6" s="130"/>
      <c r="DS6" s="130"/>
      <c r="DT6" s="130"/>
      <c r="DU6" s="130"/>
      <c r="DV6" s="130"/>
      <c r="DW6" s="130"/>
      <c r="DX6" s="130"/>
      <c r="DY6" s="130"/>
      <c r="DZ6" s="130"/>
      <c r="EA6" s="130"/>
      <c r="EB6" s="130"/>
      <c r="EC6" s="130"/>
      <c r="ED6" s="130"/>
      <c r="EE6" s="130"/>
      <c r="AMS6" s="130"/>
      <c r="AMT6" s="130"/>
      <c r="AMU6" s="130"/>
      <c r="AMV6" s="130"/>
      <c r="AMW6" s="130"/>
    </row>
    <row r="7">
      <c r="A7" s="163" t="s">
        <v>32</v>
      </c>
      <c r="B7" s="163" t="s">
        <v>33</v>
      </c>
      <c r="C7" s="163" t="s">
        <v>36</v>
      </c>
      <c r="D7" s="164" t="s">
        <v>37</v>
      </c>
      <c r="E7" s="163">
        <v>0.0</v>
      </c>
      <c r="F7" s="163">
        <v>0.0</v>
      </c>
      <c r="G7" s="163">
        <v>0.0</v>
      </c>
      <c r="H7" s="163">
        <v>2.0</v>
      </c>
      <c r="I7" s="163">
        <v>2.0</v>
      </c>
      <c r="J7" s="163">
        <v>1.0</v>
      </c>
      <c r="K7" s="163">
        <v>2.0</v>
      </c>
      <c r="L7" s="163">
        <v>1.0</v>
      </c>
      <c r="M7" s="163">
        <v>1.0</v>
      </c>
      <c r="N7" s="163">
        <v>1.0</v>
      </c>
      <c r="O7" s="163">
        <v>2.0</v>
      </c>
      <c r="P7" s="163">
        <v>2.0</v>
      </c>
      <c r="Q7" s="163">
        <v>0.0</v>
      </c>
      <c r="R7" s="163">
        <v>0.0</v>
      </c>
      <c r="S7" s="163">
        <v>0.0</v>
      </c>
      <c r="T7" s="163">
        <v>0.0</v>
      </c>
      <c r="U7" s="163">
        <v>0.0</v>
      </c>
      <c r="V7" s="163">
        <v>0.0</v>
      </c>
      <c r="W7" s="163">
        <v>0.0</v>
      </c>
      <c r="X7" s="163">
        <v>0.0</v>
      </c>
      <c r="Y7" s="163">
        <v>0.0</v>
      </c>
      <c r="Z7" s="163">
        <v>0.0</v>
      </c>
      <c r="AA7" s="163">
        <v>0.0</v>
      </c>
      <c r="AB7" s="163">
        <v>0.0</v>
      </c>
      <c r="AC7" s="163">
        <v>1.0</v>
      </c>
      <c r="AD7" s="163">
        <v>0.0</v>
      </c>
      <c r="AE7" s="163">
        <v>0.0</v>
      </c>
      <c r="AF7" s="163">
        <v>0.0</v>
      </c>
      <c r="AG7" s="163">
        <v>0.0</v>
      </c>
      <c r="AH7" s="163">
        <v>2.0</v>
      </c>
      <c r="AI7" s="163">
        <v>1.0</v>
      </c>
      <c r="AJ7" s="163">
        <v>0.0</v>
      </c>
      <c r="AK7" s="163">
        <v>0.0</v>
      </c>
      <c r="AL7" s="163">
        <v>1.0</v>
      </c>
      <c r="AM7" s="163">
        <v>0.0</v>
      </c>
      <c r="AN7" s="163">
        <v>2.0</v>
      </c>
      <c r="AO7" s="163">
        <v>1.0</v>
      </c>
      <c r="AP7" s="163">
        <v>1.0</v>
      </c>
      <c r="AQ7" s="163">
        <v>1.0</v>
      </c>
      <c r="AR7" s="163">
        <v>0.0</v>
      </c>
      <c r="AS7" s="163">
        <v>1.0</v>
      </c>
      <c r="AT7" s="139">
        <f t="shared" ref="AT7:AT97" si="4">SUM(AH7:AS7)</f>
        <v>10.0</v>
      </c>
      <c r="AU7" s="139">
        <f t="shared" ref="AU7:AU37" si="5">SUM(AH7:AM7)</f>
        <v>4.0</v>
      </c>
      <c r="AV7" s="139">
        <f t="shared" ref="AV7:AV97" si="6">AU7*1.1</f>
        <v>4.4</v>
      </c>
      <c r="AW7" s="165">
        <f>AV7*$AW$4/$AV$4</f>
        <v>0.622222222222222</v>
      </c>
      <c r="AX7" s="165">
        <f>AV7*$AX$4/$AV$4</f>
        <v>0.711111111111111</v>
      </c>
      <c r="AY7" s="165">
        <f>AV7*$AY$4/$AV$4</f>
        <v>0.711111111111111</v>
      </c>
      <c r="AZ7" s="165">
        <f>AV7*$AZ$4/$AV$4</f>
        <v>0.622222222222222</v>
      </c>
      <c r="BA7" s="165">
        <f>AV7*$BA$4/$AV$4</f>
        <v>0.622222222222222</v>
      </c>
      <c r="BB7" s="165">
        <f>AV7*$BB$4/$AV$4</f>
        <v>0.711111111111111</v>
      </c>
      <c r="BC7" s="166">
        <f t="shared" ref="BC7:BC44" si="13">SUM(AW7:BB7)</f>
        <v>4.0</v>
      </c>
      <c r="BD7" s="123">
        <f>VLOOKUP(C7,SOHFEB23,3,false)</f>
        <v>0.0</v>
      </c>
      <c r="BE7" s="167">
        <f>VLOOKUP(D7,VALUEFEB23,4,false)</f>
      </c>
      <c r="BF7" s="124">
        <f t="shared" ref="BF7:BF97" si="16">BE7*BD7</f>
        <v>0.0</v>
      </c>
      <c r="BH7" s="168"/>
      <c r="BI7" s="123"/>
      <c r="BM7" s="168"/>
      <c r="BN7" s="168"/>
      <c r="BO7" s="168"/>
      <c r="BP7" s="168"/>
      <c r="BQ7" s="126">
        <f t="shared" ref="BQ7:BQ25" si="17">BP7*BE7</f>
        <v>0.0</v>
      </c>
      <c r="BR7" s="168"/>
      <c r="BT7" s="168"/>
      <c r="BU7" s="126">
        <f t="shared" ref="BU7:BU25" si="18">BT7*BE7</f>
        <v>0.0</v>
      </c>
      <c r="BV7" s="168"/>
      <c r="BW7" s="168"/>
      <c r="BX7" s="168"/>
      <c r="BY7" s="126">
        <f t="shared" ref="BY7:BY25" si="19">BX7*BE7</f>
        <v>0.0</v>
      </c>
      <c r="BZ7" s="168"/>
      <c r="CA7" s="168"/>
      <c r="CB7" s="168"/>
      <c r="CC7" s="126">
        <f t="shared" ref="CC7:CC25" si="20">CB7*BE7</f>
        <v>0.0</v>
      </c>
      <c r="CD7" s="168"/>
      <c r="CE7" s="168"/>
      <c r="CF7" s="168"/>
      <c r="CG7" s="126">
        <f t="shared" ref="CG7:CG25" si="21">BE7*CF7</f>
        <v>0.0</v>
      </c>
      <c r="CH7" s="168"/>
      <c r="CI7" s="168"/>
      <c r="CJ7" s="168"/>
      <c r="CK7" s="126">
        <f t="shared" ref="CK7:CK25" si="22">CJ7*BE7</f>
        <v>0.0</v>
      </c>
      <c r="CL7" s="36">
        <f>CJ7*-1</f>
        <v>0.0</v>
      </c>
      <c r="CR7" s="123"/>
    </row>
    <row r="8">
      <c r="A8" s="163" t="s">
        <v>32</v>
      </c>
      <c r="B8" s="163" t="s">
        <v>33</v>
      </c>
      <c r="C8" s="163" t="s">
        <v>34</v>
      </c>
      <c r="D8" s="164" t="s">
        <v>35</v>
      </c>
      <c r="E8" s="163">
        <v>1.0</v>
      </c>
      <c r="F8" s="163">
        <v>2.0</v>
      </c>
      <c r="G8" s="163">
        <v>0.0</v>
      </c>
      <c r="H8" s="163">
        <v>0.0</v>
      </c>
      <c r="I8" s="163">
        <v>0.0</v>
      </c>
      <c r="J8" s="163">
        <v>-1.0</v>
      </c>
      <c r="K8" s="163">
        <v>0.0</v>
      </c>
      <c r="L8" s="163">
        <v>0.0</v>
      </c>
      <c r="M8" s="163">
        <v>0.0</v>
      </c>
      <c r="N8" s="163">
        <v>0.0</v>
      </c>
      <c r="O8" s="163">
        <v>0.0</v>
      </c>
      <c r="P8" s="163">
        <v>0.0</v>
      </c>
      <c r="Q8" s="163">
        <v>1.0</v>
      </c>
      <c r="R8" s="163">
        <v>1.0</v>
      </c>
      <c r="S8" s="163">
        <v>0.0</v>
      </c>
      <c r="T8" s="163">
        <v>1.0</v>
      </c>
      <c r="U8" s="163">
        <v>0.0</v>
      </c>
      <c r="V8" s="163">
        <v>1.0</v>
      </c>
      <c r="W8" s="163">
        <v>1.0</v>
      </c>
      <c r="X8" s="163">
        <v>0.0</v>
      </c>
      <c r="Y8" s="163">
        <v>0.0</v>
      </c>
      <c r="Z8" s="163">
        <v>0.0</v>
      </c>
      <c r="AA8" s="163">
        <v>0.0</v>
      </c>
      <c r="AB8" s="163">
        <v>0.0</v>
      </c>
      <c r="AC8" s="163">
        <v>0.0</v>
      </c>
      <c r="AD8" s="163">
        <v>1.0</v>
      </c>
      <c r="AE8" s="163">
        <v>0.0</v>
      </c>
      <c r="AF8" s="163">
        <v>0.0</v>
      </c>
      <c r="AG8" s="163">
        <v>1.0</v>
      </c>
      <c r="AH8" s="163">
        <v>0.0</v>
      </c>
      <c r="AI8" s="163">
        <v>0.0</v>
      </c>
      <c r="AJ8" s="163">
        <v>0.0</v>
      </c>
      <c r="AK8" s="163">
        <v>0.0</v>
      </c>
      <c r="AL8" s="163">
        <v>0.0</v>
      </c>
      <c r="AM8" s="163">
        <v>0.0</v>
      </c>
      <c r="AN8" s="163">
        <v>0.0</v>
      </c>
      <c r="AO8" s="163">
        <v>0.0</v>
      </c>
      <c r="AP8" s="163">
        <v>0.0</v>
      </c>
      <c r="AQ8" s="163">
        <v>0.0</v>
      </c>
      <c r="AR8" s="163">
        <v>2.0</v>
      </c>
      <c r="AS8" s="163">
        <v>0.0</v>
      </c>
      <c r="AT8" s="139">
        <f t="shared" si="4"/>
        <v>2.0</v>
      </c>
      <c r="AU8" s="139">
        <f t="shared" si="5"/>
        <v>0.0</v>
      </c>
      <c r="AV8" s="139">
        <f t="shared" si="6"/>
        <v>0.0</v>
      </c>
      <c r="AW8" s="169">
        <f>AW7</f>
        <v>0.622222222222222</v>
      </c>
      <c r="AX8" s="169">
        <f>AX7</f>
        <v>0.711111111111111</v>
      </c>
      <c r="AY8" s="169">
        <f>AY7</f>
        <v>0.711111111111111</v>
      </c>
      <c r="AZ8" s="169">
        <f>AZ7</f>
        <v>0.622222222222222</v>
      </c>
      <c r="BA8" s="169">
        <f>BA7</f>
        <v>0.622222222222222</v>
      </c>
      <c r="BB8" s="169">
        <f>BB7</f>
        <v>0.711111111111111</v>
      </c>
      <c r="BC8" s="166">
        <f t="shared" si="13"/>
        <v>4.0</v>
      </c>
      <c r="BD8" s="123">
        <f>VLOOKUP(C8,SOHFEB23,3,false)</f>
        <v>79.0</v>
      </c>
      <c r="BE8" s="167">
        <f>VLOOKUP(D8,VALUEFEB23,4,false)</f>
        <v>0.4163</v>
      </c>
      <c r="BF8" s="124">
        <f t="shared" si="16"/>
        <v>32.8877</v>
      </c>
      <c r="BH8" s="168">
        <f t="shared" ref="BH8:BH11" si="30">BD8+BG8-BC8</f>
        <v>75.0</v>
      </c>
      <c r="BI8" s="123"/>
      <c r="BL8" s="36">
        <f t="shared" ref="BL8:BL11" si="31">BD8</f>
        <v>79.0</v>
      </c>
      <c r="BM8" s="168"/>
      <c r="BN8" s="168">
        <f t="shared" ref="BN8:BN11" si="32">AW8</f>
        <v>0.622222222222222</v>
      </c>
      <c r="BO8" s="168"/>
      <c r="BP8" s="168">
        <f t="shared" ref="BP8:BP11" si="33">BL8-BN8+BO8+BM8</f>
        <v>78.3777777777778</v>
      </c>
      <c r="BQ8" s="126">
        <f t="shared" si="17"/>
        <v>32.628668888889</v>
      </c>
      <c r="BR8" s="168">
        <f t="shared" ref="BR8:BR11" si="34">AX8</f>
        <v>0.711111111111111</v>
      </c>
      <c r="BT8" s="168">
        <f t="shared" ref="BT8:BT11" si="35">BP8-BR8+BS8</f>
        <v>77.6666666666667</v>
      </c>
      <c r="BU8" s="126">
        <f t="shared" si="18"/>
        <v>32.3326333333333</v>
      </c>
      <c r="BV8" s="168">
        <f t="shared" ref="BV8:BV11" si="36">AY8</f>
        <v>0.711111111111111</v>
      </c>
      <c r="BW8" s="168"/>
      <c r="BX8" s="168">
        <f t="shared" ref="BX8:BX11" si="37">BT8-BV8+BW8</f>
        <v>76.9555555555556</v>
      </c>
      <c r="BY8" s="126">
        <f t="shared" si="19"/>
        <v>32.0365977777778</v>
      </c>
      <c r="BZ8" s="168">
        <f t="shared" ref="BZ8:BZ11" si="38">AZ8</f>
        <v>0.622222222222222</v>
      </c>
      <c r="CA8" s="168"/>
      <c r="CB8" s="168">
        <f t="shared" ref="CB8:CB11" si="39">BX8-BZ8+CA8</f>
        <v>76.3333333333333</v>
      </c>
      <c r="CC8" s="126">
        <f t="shared" si="20"/>
        <v>31.7775666666667</v>
      </c>
      <c r="CD8" s="168">
        <f t="shared" ref="CD8:CD11" si="40">BA8</f>
        <v>0.622222222222222</v>
      </c>
      <c r="CE8" s="168"/>
      <c r="CF8" s="168">
        <f t="shared" ref="CF8:CF11" si="41">CB8-CD8+CE8</f>
        <v>75.711111111111</v>
      </c>
      <c r="CG8" s="126">
        <f t="shared" si="21"/>
        <v>31.5185355555555</v>
      </c>
      <c r="CH8" s="168">
        <f t="shared" ref="CH8:CH11" si="42">BB8</f>
        <v>0.711111111111111</v>
      </c>
      <c r="CI8" s="168"/>
      <c r="CJ8" s="168">
        <f t="shared" ref="CJ8:CJ11" si="43">CF8-CH8+CI8</f>
        <v>74.9999999999999</v>
      </c>
      <c r="CK8" s="126">
        <f t="shared" si="22"/>
        <v>31.2225</v>
      </c>
      <c r="CR8" s="123"/>
    </row>
    <row r="9">
      <c r="A9" s="163" t="s">
        <v>32</v>
      </c>
      <c r="B9" s="163" t="s">
        <v>33</v>
      </c>
      <c r="C9" s="163" t="s">
        <v>38</v>
      </c>
      <c r="D9" s="164">
        <v>35801.0</v>
      </c>
      <c r="E9" s="163">
        <v>54.0</v>
      </c>
      <c r="F9" s="163">
        <v>0.0</v>
      </c>
      <c r="G9" s="163">
        <v>90.0</v>
      </c>
      <c r="H9" s="163">
        <v>24.0</v>
      </c>
      <c r="I9" s="163">
        <v>12.0</v>
      </c>
      <c r="J9" s="163">
        <v>0.0</v>
      </c>
      <c r="K9" s="163">
        <v>24.0</v>
      </c>
      <c r="L9" s="163">
        <v>30.0</v>
      </c>
      <c r="M9" s="163">
        <v>6.0</v>
      </c>
      <c r="N9" s="163">
        <v>12.0</v>
      </c>
      <c r="O9" s="163">
        <v>6.0</v>
      </c>
      <c r="P9" s="163">
        <v>30.0</v>
      </c>
      <c r="Q9" s="163">
        <v>24.0</v>
      </c>
      <c r="R9" s="163">
        <v>42.0</v>
      </c>
      <c r="S9" s="163">
        <v>48.0</v>
      </c>
      <c r="T9" s="163">
        <v>37.0</v>
      </c>
      <c r="U9" s="163">
        <v>30.0</v>
      </c>
      <c r="V9" s="163">
        <v>60.0</v>
      </c>
      <c r="W9" s="163">
        <v>30.0</v>
      </c>
      <c r="X9" s="163">
        <v>18.0</v>
      </c>
      <c r="Y9" s="163">
        <v>6.0</v>
      </c>
      <c r="Z9" s="163">
        <v>37.0</v>
      </c>
      <c r="AA9" s="163">
        <v>24.0</v>
      </c>
      <c r="AB9" s="163">
        <v>30.0</v>
      </c>
      <c r="AC9" s="163">
        <v>48.0</v>
      </c>
      <c r="AD9" s="163">
        <v>18.0</v>
      </c>
      <c r="AE9" s="163">
        <v>18.0</v>
      </c>
      <c r="AF9" s="163">
        <v>24.0</v>
      </c>
      <c r="AG9" s="163">
        <v>24.0</v>
      </c>
      <c r="AH9" s="163">
        <v>6.0</v>
      </c>
      <c r="AI9" s="163">
        <v>18.0</v>
      </c>
      <c r="AJ9" s="163">
        <v>18.0</v>
      </c>
      <c r="AK9" s="163">
        <v>13.0</v>
      </c>
      <c r="AL9" s="163">
        <v>6.0</v>
      </c>
      <c r="AM9" s="163">
        <v>12.0</v>
      </c>
      <c r="AN9" s="163">
        <v>19.0</v>
      </c>
      <c r="AO9" s="163">
        <v>12.0</v>
      </c>
      <c r="AP9" s="163">
        <v>84.0</v>
      </c>
      <c r="AQ9" s="163">
        <v>12.0</v>
      </c>
      <c r="AR9" s="163">
        <v>15.0</v>
      </c>
      <c r="AS9" s="163">
        <v>73.0</v>
      </c>
      <c r="AT9" s="139">
        <f t="shared" si="4"/>
        <v>288.0</v>
      </c>
      <c r="AU9" s="139">
        <f t="shared" si="5"/>
        <v>73.0</v>
      </c>
      <c r="AV9" s="139">
        <f t="shared" si="6"/>
        <v>80.3</v>
      </c>
      <c r="AW9" s="36">
        <f t="shared" ref="AW9:AW11" si="44">AV9*$AW$4/$AV$4+6*$AW$7</f>
        <v>15.0888888888893</v>
      </c>
      <c r="AX9" s="36">
        <f t="shared" ref="AX9:AX11" si="45">AV9*$AX$4/$AV$4+6*$AX$7</f>
        <v>17.2444444444444</v>
      </c>
      <c r="AY9" s="36">
        <f t="shared" ref="AY9:AY11" si="46">AV9*$AY$4/$AV$4+6*$AY$7</f>
        <v>17.2444444444444</v>
      </c>
      <c r="AZ9" s="36">
        <f t="shared" ref="AZ9:AZ12" si="47">AV9*$AZ$4/$AV$4</f>
        <v>11.355555555556</v>
      </c>
      <c r="BA9" s="36">
        <f t="shared" ref="BA9:BA12" si="48">AV9*$BA$4/$AV$4</f>
        <v>11.355555555556</v>
      </c>
      <c r="BB9" s="36">
        <f t="shared" ref="BB9:BB12" si="49">AV9*$BB$4/$AV$4</f>
        <v>12.9777777777778</v>
      </c>
      <c r="BC9" s="166">
        <f t="shared" si="13"/>
        <v>85.2666666666679</v>
      </c>
      <c r="BD9" s="123">
        <f>VLOOKUP(C9,SOHFEB23,3,false)</f>
        <v>15.0</v>
      </c>
      <c r="BE9" s="167">
        <f>VLOOKUP(D9,VALUEFEB23,4,false)</f>
        <v>6.2393</v>
      </c>
      <c r="BF9" s="124">
        <f t="shared" si="16"/>
        <v>93.5895</v>
      </c>
      <c r="BG9" s="168"/>
      <c r="BH9" s="168">
        <f t="shared" si="30"/>
        <v>-70.2666666666679</v>
      </c>
      <c r="BI9" s="123"/>
      <c r="BJ9" s="170"/>
      <c r="BK9" s="171" t="s">
        <v>518</v>
      </c>
      <c r="BL9" s="36">
        <f t="shared" si="31"/>
        <v>15.0</v>
      </c>
      <c r="BM9" s="168"/>
      <c r="BN9" s="168">
        <f t="shared" si="32"/>
        <v>15.0888888888893</v>
      </c>
      <c r="BO9" s="168"/>
      <c r="BP9" s="168">
        <f t="shared" si="33"/>
        <v>-0.0888888888893</v>
      </c>
      <c r="BQ9" s="126">
        <f t="shared" si="17"/>
        <v>-0.554604444447009</v>
      </c>
      <c r="BR9" s="168">
        <f t="shared" si="34"/>
        <v>17.2444444444444</v>
      </c>
      <c r="BS9" s="123"/>
      <c r="BT9" s="168">
        <f t="shared" si="35"/>
        <v>-17.3333333333337</v>
      </c>
      <c r="BU9" s="126">
        <f t="shared" si="18"/>
        <v>-108.147866666667</v>
      </c>
      <c r="BV9" s="168">
        <f t="shared" si="36"/>
        <v>17.2444444444444</v>
      </c>
      <c r="BW9" s="168"/>
      <c r="BX9" s="168">
        <f t="shared" si="37"/>
        <v>-34.5777777777781</v>
      </c>
      <c r="BY9" s="126">
        <f t="shared" si="19"/>
        <v>-215.74112888889</v>
      </c>
      <c r="BZ9" s="168">
        <f t="shared" si="38"/>
        <v>11.355555555556</v>
      </c>
      <c r="CA9" s="168"/>
      <c r="CB9" s="168">
        <f t="shared" si="39"/>
        <v>-45.9333333333341</v>
      </c>
      <c r="CC9" s="126">
        <f t="shared" si="20"/>
        <v>-286.591846666671</v>
      </c>
      <c r="CD9" s="168">
        <f t="shared" si="40"/>
        <v>11.355555555556</v>
      </c>
      <c r="CE9" s="168"/>
      <c r="CF9" s="168">
        <f t="shared" si="41"/>
        <v>-57.2888888888901</v>
      </c>
      <c r="CG9" s="126">
        <f t="shared" si="21"/>
        <v>-357.442564444452</v>
      </c>
      <c r="CH9" s="168">
        <f t="shared" si="42"/>
        <v>12.9777777777778</v>
      </c>
      <c r="CI9" s="168"/>
      <c r="CJ9" s="168">
        <f t="shared" si="43"/>
        <v>-70.2666666666679</v>
      </c>
      <c r="CK9" s="126">
        <f t="shared" si="22"/>
        <v>-438.414813333341</v>
      </c>
      <c r="CL9" s="36">
        <f t="shared" ref="CL9:CL11" si="50">CJ9*-1</f>
        <v>70.2666666666679</v>
      </c>
      <c r="CM9" s="36">
        <f t="shared" ref="CM9:CM11" si="51">CL9/6</f>
        <v>11.7111111111113</v>
      </c>
      <c r="CN9" s="36">
        <f t="shared" ref="CN9:CN11" si="52">ROUNDUP(CM9,0)</f>
        <v>12.0</v>
      </c>
      <c r="CO9" s="123">
        <f t="shared" ref="CO9:CO11" si="53">CN9*6</f>
        <v>72.0</v>
      </c>
      <c r="CR9" s="123">
        <f t="shared" ref="CR9:CR10" si="54">BX9</f>
        <v>-34.5777777777781</v>
      </c>
      <c r="CS9" s="168">
        <f t="shared" ref="CS9:CS97" si="55">(CR9/6)*-1</f>
        <v>5.76296296296301</v>
      </c>
      <c r="CT9" s="36">
        <f t="shared" ref="CT9:CT97" si="56">ROUNDUP(CS9,0)</f>
        <v>6.0</v>
      </c>
      <c r="CU9" s="123">
        <f t="shared" ref="CU9:CU97" si="57">CT9*6</f>
        <v>36.0</v>
      </c>
      <c r="CW9" s="172">
        <f t="shared" ref="CW9:CW10" si="58">CB9</f>
        <v>-45.9333333333341</v>
      </c>
      <c r="CX9" s="168">
        <f t="shared" ref="CX9:CX10" si="59">(CW9/6)*-1</f>
        <v>7.65555555555568</v>
      </c>
      <c r="CY9" s="36">
        <f t="shared" ref="CY9:CY10" si="60">ROUNDUP(CX9,0)</f>
        <v>8.0</v>
      </c>
      <c r="CZ9" s="123">
        <f t="shared" ref="CZ9:CZ10" si="61">CY9*6</f>
        <v>48.0</v>
      </c>
      <c r="DB9" s="172">
        <f t="shared" ref="DB9:DB10" si="62">CF9</f>
        <v>-57.2888888888901</v>
      </c>
      <c r="DC9" s="168">
        <f t="shared" ref="DC9:DC10" si="63">(DB9/6)*-1</f>
        <v>9.54814814814835</v>
      </c>
      <c r="DD9" s="36">
        <f t="shared" ref="DD9:DD10" si="64">ROUNDUP(DC9,0)</f>
        <v>10.0</v>
      </c>
      <c r="DE9" s="123">
        <f t="shared" ref="DE9:DE10" si="65">DD9*6</f>
        <v>60.0</v>
      </c>
    </row>
    <row r="10">
      <c r="A10" s="163" t="s">
        <v>32</v>
      </c>
      <c r="B10" s="163" t="s">
        <v>33</v>
      </c>
      <c r="C10" s="163" t="s">
        <v>39</v>
      </c>
      <c r="D10" s="164">
        <v>35804.0</v>
      </c>
      <c r="E10" s="163">
        <v>0.0</v>
      </c>
      <c r="F10" s="163">
        <v>18.0</v>
      </c>
      <c r="G10" s="163">
        <v>96.0</v>
      </c>
      <c r="H10" s="163">
        <v>12.0</v>
      </c>
      <c r="I10" s="163">
        <v>12.0</v>
      </c>
      <c r="J10" s="163">
        <v>6.0</v>
      </c>
      <c r="K10" s="163">
        <v>6.0</v>
      </c>
      <c r="L10" s="163">
        <v>12.0</v>
      </c>
      <c r="M10" s="163">
        <v>24.0</v>
      </c>
      <c r="N10" s="163">
        <v>18.0</v>
      </c>
      <c r="O10" s="163">
        <v>66.0</v>
      </c>
      <c r="P10" s="163">
        <v>24.0</v>
      </c>
      <c r="Q10" s="163">
        <v>0.0</v>
      </c>
      <c r="R10" s="163">
        <v>0.0</v>
      </c>
      <c r="S10" s="163">
        <v>6.0</v>
      </c>
      <c r="T10" s="163">
        <v>0.0</v>
      </c>
      <c r="U10" s="163">
        <v>6.0</v>
      </c>
      <c r="V10" s="163">
        <v>30.0</v>
      </c>
      <c r="W10" s="163">
        <v>42.0</v>
      </c>
      <c r="X10" s="163">
        <v>30.0</v>
      </c>
      <c r="Y10" s="163">
        <v>0.0</v>
      </c>
      <c r="Z10" s="163">
        <v>7.0</v>
      </c>
      <c r="AA10" s="163">
        <v>24.0</v>
      </c>
      <c r="AB10" s="163">
        <v>12.0</v>
      </c>
      <c r="AC10" s="163">
        <v>36.0</v>
      </c>
      <c r="AD10" s="163">
        <v>6.0</v>
      </c>
      <c r="AE10" s="163">
        <v>0.0</v>
      </c>
      <c r="AF10" s="163">
        <v>30.0</v>
      </c>
      <c r="AG10" s="163">
        <v>18.0</v>
      </c>
      <c r="AH10" s="163">
        <v>0.0</v>
      </c>
      <c r="AI10" s="163">
        <v>18.0</v>
      </c>
      <c r="AJ10" s="163">
        <v>12.0</v>
      </c>
      <c r="AK10" s="163">
        <v>6.0</v>
      </c>
      <c r="AL10" s="163">
        <v>0.0</v>
      </c>
      <c r="AM10" s="163">
        <v>36.0</v>
      </c>
      <c r="AN10" s="163">
        <v>18.0</v>
      </c>
      <c r="AO10" s="163">
        <v>30.0</v>
      </c>
      <c r="AP10" s="163">
        <v>30.0</v>
      </c>
      <c r="AQ10" s="163">
        <v>24.0</v>
      </c>
      <c r="AR10" s="163">
        <v>30.0</v>
      </c>
      <c r="AS10" s="163">
        <f>AG10</f>
        <v>18.0</v>
      </c>
      <c r="AT10" s="139">
        <f t="shared" si="4"/>
        <v>222.0</v>
      </c>
      <c r="AU10" s="139">
        <f t="shared" si="5"/>
        <v>72.0</v>
      </c>
      <c r="AV10" s="139">
        <f t="shared" si="6"/>
        <v>79.2</v>
      </c>
      <c r="AW10" s="36">
        <f t="shared" si="44"/>
        <v>14.9333333333333</v>
      </c>
      <c r="AX10" s="36">
        <f t="shared" si="45"/>
        <v>17.0666666666667</v>
      </c>
      <c r="AY10" s="36">
        <f t="shared" si="46"/>
        <v>17.0666666666667</v>
      </c>
      <c r="AZ10" s="36">
        <f t="shared" si="47"/>
        <v>11.2</v>
      </c>
      <c r="BA10" s="36">
        <f t="shared" si="48"/>
        <v>11.2</v>
      </c>
      <c r="BB10" s="36">
        <f t="shared" si="49"/>
        <v>12.8</v>
      </c>
      <c r="BC10" s="166">
        <f t="shared" si="13"/>
        <v>84.2666666666667</v>
      </c>
      <c r="BD10" s="123">
        <f>VLOOKUP(C10,SOHFEB23,3,false)</f>
        <v>0.0</v>
      </c>
      <c r="BE10" s="167"/>
      <c r="BF10" s="124">
        <f t="shared" si="16"/>
        <v>0.0</v>
      </c>
      <c r="BG10" s="168"/>
      <c r="BH10" s="168">
        <f t="shared" si="30"/>
        <v>-84.2666666666667</v>
      </c>
      <c r="BI10" s="123"/>
      <c r="BJ10" s="170"/>
      <c r="BK10" s="36" t="s">
        <v>73</v>
      </c>
      <c r="BL10" s="36">
        <f t="shared" si="31"/>
        <v>0.0</v>
      </c>
      <c r="BM10" s="168"/>
      <c r="BN10" s="168">
        <f t="shared" si="32"/>
        <v>14.9333333333333</v>
      </c>
      <c r="BO10" s="168"/>
      <c r="BP10" s="168">
        <f t="shared" si="33"/>
        <v>-14.9333333333333</v>
      </c>
      <c r="BQ10" s="126">
        <f t="shared" si="17"/>
        <v>0.0</v>
      </c>
      <c r="BR10" s="168">
        <f t="shared" si="34"/>
        <v>17.0666666666667</v>
      </c>
      <c r="BS10" s="123"/>
      <c r="BT10" s="168">
        <f t="shared" si="35"/>
        <v>-32.0</v>
      </c>
      <c r="BU10" s="126">
        <f t="shared" si="18"/>
        <v>0.0</v>
      </c>
      <c r="BV10" s="168">
        <f t="shared" si="36"/>
        <v>17.0666666666667</v>
      </c>
      <c r="BW10" s="168"/>
      <c r="BX10" s="168">
        <f t="shared" si="37"/>
        <v>-49.0666666666667</v>
      </c>
      <c r="BY10" s="126">
        <f t="shared" si="19"/>
        <v>0.0</v>
      </c>
      <c r="BZ10" s="168">
        <f t="shared" si="38"/>
        <v>11.2</v>
      </c>
      <c r="CA10" s="168"/>
      <c r="CB10" s="168">
        <f t="shared" si="39"/>
        <v>-60.2666666666665</v>
      </c>
      <c r="CC10" s="126">
        <f t="shared" si="20"/>
        <v>0.0</v>
      </c>
      <c r="CD10" s="168">
        <f t="shared" si="40"/>
        <v>11.2</v>
      </c>
      <c r="CE10" s="168"/>
      <c r="CF10" s="168">
        <f t="shared" si="41"/>
        <v>-71.4666666666665</v>
      </c>
      <c r="CG10" s="126">
        <f t="shared" si="21"/>
        <v>0.0</v>
      </c>
      <c r="CH10" s="168">
        <f t="shared" si="42"/>
        <v>12.8</v>
      </c>
      <c r="CI10" s="168"/>
      <c r="CJ10" s="168">
        <f t="shared" si="43"/>
        <v>-84.2666666666665</v>
      </c>
      <c r="CK10" s="126">
        <f t="shared" si="22"/>
        <v>0.0</v>
      </c>
      <c r="CL10" s="36">
        <f t="shared" si="50"/>
        <v>84.2666666666665</v>
      </c>
      <c r="CM10" s="36">
        <f t="shared" si="51"/>
        <v>14.0444444444444</v>
      </c>
      <c r="CN10" s="36">
        <f t="shared" si="52"/>
        <v>15.0</v>
      </c>
      <c r="CO10" s="123">
        <f t="shared" si="53"/>
        <v>90.0</v>
      </c>
      <c r="CR10" s="123">
        <f t="shared" si="54"/>
        <v>-49.0666666666667</v>
      </c>
      <c r="CS10" s="168">
        <f t="shared" si="55"/>
        <v>8.17777777777778</v>
      </c>
      <c r="CT10" s="36">
        <f t="shared" si="56"/>
        <v>9.0</v>
      </c>
      <c r="CU10" s="123">
        <f t="shared" si="57"/>
        <v>54.0</v>
      </c>
      <c r="CW10" s="172">
        <f t="shared" si="58"/>
        <v>-60.2666666666665</v>
      </c>
      <c r="CX10" s="168">
        <f t="shared" si="59"/>
        <v>10.0444444444444</v>
      </c>
      <c r="CY10" s="36">
        <f t="shared" si="60"/>
        <v>11.0</v>
      </c>
      <c r="CZ10" s="123">
        <f t="shared" si="61"/>
        <v>66.0</v>
      </c>
      <c r="DB10" s="172">
        <f t="shared" si="62"/>
        <v>-71.4666666666665</v>
      </c>
      <c r="DC10" s="168">
        <f t="shared" si="63"/>
        <v>11.911111111111</v>
      </c>
      <c r="DD10" s="36">
        <f t="shared" si="64"/>
        <v>12.0</v>
      </c>
      <c r="DE10" s="123">
        <f t="shared" si="65"/>
        <v>72.0</v>
      </c>
    </row>
    <row r="11">
      <c r="A11" s="163" t="s">
        <v>32</v>
      </c>
      <c r="B11" s="163" t="s">
        <v>33</v>
      </c>
      <c r="C11" s="163" t="s">
        <v>41</v>
      </c>
      <c r="D11" s="164">
        <v>35805.0</v>
      </c>
      <c r="E11" s="163">
        <v>0.0</v>
      </c>
      <c r="F11" s="163">
        <v>18.0</v>
      </c>
      <c r="G11" s="163">
        <v>90.0</v>
      </c>
      <c r="H11" s="163">
        <v>6.0</v>
      </c>
      <c r="I11" s="163">
        <v>6.0</v>
      </c>
      <c r="J11" s="163">
        <v>6.0</v>
      </c>
      <c r="K11" s="163">
        <v>0.0</v>
      </c>
      <c r="L11" s="163">
        <v>12.0</v>
      </c>
      <c r="M11" s="163">
        <v>6.0</v>
      </c>
      <c r="N11" s="163">
        <v>12.0</v>
      </c>
      <c r="O11" s="163">
        <v>54.0</v>
      </c>
      <c r="P11" s="163">
        <v>12.0</v>
      </c>
      <c r="Q11" s="163">
        <v>42.0</v>
      </c>
      <c r="R11" s="163">
        <v>54.0</v>
      </c>
      <c r="S11" s="163">
        <v>60.0</v>
      </c>
      <c r="T11" s="163">
        <v>6.0</v>
      </c>
      <c r="U11" s="163">
        <v>30.0</v>
      </c>
      <c r="V11" s="163">
        <v>54.0</v>
      </c>
      <c r="W11" s="163">
        <v>30.0</v>
      </c>
      <c r="X11" s="163">
        <v>48.0</v>
      </c>
      <c r="Y11" s="163">
        <v>12.0</v>
      </c>
      <c r="Z11" s="163">
        <v>13.0</v>
      </c>
      <c r="AA11" s="163">
        <v>18.0</v>
      </c>
      <c r="AB11" s="163">
        <v>12.0</v>
      </c>
      <c r="AC11" s="163">
        <v>18.0</v>
      </c>
      <c r="AD11" s="163">
        <v>18.0</v>
      </c>
      <c r="AE11" s="163">
        <v>18.0</v>
      </c>
      <c r="AF11" s="163">
        <v>12.0</v>
      </c>
      <c r="AG11" s="163">
        <v>18.0</v>
      </c>
      <c r="AH11" s="163">
        <v>12.0</v>
      </c>
      <c r="AI11" s="163">
        <v>12.0</v>
      </c>
      <c r="AJ11" s="163">
        <v>6.0</v>
      </c>
      <c r="AK11" s="163">
        <v>-6.0</v>
      </c>
      <c r="AL11" s="163">
        <v>11.0</v>
      </c>
      <c r="AM11" s="163">
        <v>18.0</v>
      </c>
      <c r="AN11" s="163">
        <v>7.0</v>
      </c>
      <c r="AO11" s="163">
        <v>6.0</v>
      </c>
      <c r="AP11" s="163">
        <v>48.0</v>
      </c>
      <c r="AQ11" s="163">
        <v>18.0</v>
      </c>
      <c r="AR11" s="163">
        <v>30.0</v>
      </c>
      <c r="AS11" s="163">
        <v>22.0</v>
      </c>
      <c r="AT11" s="139">
        <f t="shared" si="4"/>
        <v>184.0</v>
      </c>
      <c r="AU11" s="139">
        <f t="shared" si="5"/>
        <v>53.0</v>
      </c>
      <c r="AV11" s="139">
        <f t="shared" si="6"/>
        <v>58.3</v>
      </c>
      <c r="AW11" s="36">
        <f t="shared" si="44"/>
        <v>11.9777777777778</v>
      </c>
      <c r="AX11" s="36">
        <f t="shared" si="45"/>
        <v>13.688888888889</v>
      </c>
      <c r="AY11" s="36">
        <f t="shared" si="46"/>
        <v>13.688888888889</v>
      </c>
      <c r="AZ11" s="36">
        <f t="shared" si="47"/>
        <v>8.24444444444444</v>
      </c>
      <c r="BA11" s="36">
        <f t="shared" si="48"/>
        <v>8.24444444444444</v>
      </c>
      <c r="BB11" s="36">
        <f t="shared" si="49"/>
        <v>9.42222222222222</v>
      </c>
      <c r="BC11" s="166">
        <f t="shared" si="13"/>
        <v>65.2666666666669</v>
      </c>
      <c r="BD11" s="123">
        <f>VLOOKUP(C11,SOHFEB23,3,false)</f>
        <v>56.0</v>
      </c>
      <c r="BE11" s="167">
        <f>VLOOKUP(D11,VALUEFEB23,4,false)</f>
        <v>6.2363</v>
      </c>
      <c r="BF11" s="124">
        <f t="shared" si="16"/>
        <v>349.2328</v>
      </c>
      <c r="BG11" s="168"/>
      <c r="BH11" s="168">
        <f t="shared" si="30"/>
        <v>-9.26666666666689</v>
      </c>
      <c r="BI11" s="123"/>
      <c r="BJ11" s="170"/>
      <c r="BK11" s="171" t="s">
        <v>6</v>
      </c>
      <c r="BL11" s="36">
        <f t="shared" si="31"/>
        <v>56.0</v>
      </c>
      <c r="BM11" s="168"/>
      <c r="BN11" s="168">
        <f t="shared" si="32"/>
        <v>11.9777777777778</v>
      </c>
      <c r="BO11" s="168"/>
      <c r="BP11" s="168">
        <f t="shared" si="33"/>
        <v>44.0222222222222</v>
      </c>
      <c r="BQ11" s="126">
        <f t="shared" si="17"/>
        <v>274.535784444444</v>
      </c>
      <c r="BR11" s="168">
        <f t="shared" si="34"/>
        <v>13.688888888889</v>
      </c>
      <c r="BS11" s="123"/>
      <c r="BT11" s="168">
        <f t="shared" si="35"/>
        <v>30.3333333333331</v>
      </c>
      <c r="BU11" s="126">
        <f t="shared" si="18"/>
        <v>189.167766666665</v>
      </c>
      <c r="BV11" s="168">
        <f t="shared" si="36"/>
        <v>13.688888888889</v>
      </c>
      <c r="BW11" s="168"/>
      <c r="BX11" s="168">
        <f t="shared" si="37"/>
        <v>16.6444444444441</v>
      </c>
      <c r="BY11" s="126">
        <f t="shared" si="19"/>
        <v>103.799748888887</v>
      </c>
      <c r="BZ11" s="168">
        <f t="shared" si="38"/>
        <v>8.24444444444444</v>
      </c>
      <c r="CA11" s="168"/>
      <c r="CB11" s="168">
        <f t="shared" si="39"/>
        <v>8.39999999999966</v>
      </c>
      <c r="CC11" s="126">
        <f t="shared" si="20"/>
        <v>52.3849199999979</v>
      </c>
      <c r="CD11" s="168">
        <f t="shared" si="40"/>
        <v>8.24444444444444</v>
      </c>
      <c r="CE11" s="168"/>
      <c r="CF11" s="168">
        <f t="shared" si="41"/>
        <v>0.155555555555219</v>
      </c>
      <c r="CG11" s="126">
        <f t="shared" si="21"/>
        <v>0.970091111109012</v>
      </c>
      <c r="CH11" s="168">
        <f t="shared" si="42"/>
        <v>9.42222222222222</v>
      </c>
      <c r="CI11" s="168"/>
      <c r="CJ11" s="168">
        <f t="shared" si="43"/>
        <v>-9.266666666667</v>
      </c>
      <c r="CK11" s="126">
        <f t="shared" si="22"/>
        <v>-57.7897133333354</v>
      </c>
      <c r="CL11" s="36">
        <f t="shared" si="50"/>
        <v>9.266666666667</v>
      </c>
      <c r="CM11" s="36">
        <f t="shared" si="51"/>
        <v>1.5444444444445</v>
      </c>
      <c r="CN11" s="36">
        <f t="shared" si="52"/>
        <v>2.0</v>
      </c>
      <c r="CO11" s="123">
        <f t="shared" si="53"/>
        <v>12.0</v>
      </c>
      <c r="CR11" s="123">
        <f>CF11</f>
        <v>0.155555555555219</v>
      </c>
      <c r="CS11" s="168">
        <f t="shared" si="55"/>
        <v>-0.0259259259258698</v>
      </c>
      <c r="CT11" s="36">
        <f t="shared" si="56"/>
        <v>-1.0</v>
      </c>
      <c r="CU11" s="123">
        <f t="shared" si="57"/>
        <v>-6.0</v>
      </c>
    </row>
    <row r="12">
      <c r="A12" s="163" t="s">
        <v>32</v>
      </c>
      <c r="B12" s="163" t="s">
        <v>33</v>
      </c>
      <c r="C12" s="163" t="s">
        <v>43</v>
      </c>
      <c r="D12" s="164" t="s">
        <v>44</v>
      </c>
      <c r="E12" s="163">
        <v>2.0</v>
      </c>
      <c r="F12" s="163">
        <v>3.0</v>
      </c>
      <c r="G12" s="163">
        <v>2.0</v>
      </c>
      <c r="H12" s="163">
        <v>0.0</v>
      </c>
      <c r="I12" s="163">
        <v>2.0</v>
      </c>
      <c r="J12" s="163">
        <v>1.0</v>
      </c>
      <c r="K12" s="163">
        <v>1.0</v>
      </c>
      <c r="L12" s="163">
        <v>1.0</v>
      </c>
      <c r="M12" s="163">
        <v>2.0</v>
      </c>
      <c r="N12" s="163">
        <v>0.0</v>
      </c>
      <c r="O12" s="163">
        <v>1.0</v>
      </c>
      <c r="P12" s="163">
        <v>2.0</v>
      </c>
      <c r="Q12" s="163">
        <v>0.0</v>
      </c>
      <c r="R12" s="163">
        <v>1.0</v>
      </c>
      <c r="S12" s="163">
        <v>0.0</v>
      </c>
      <c r="T12" s="163">
        <v>0.0</v>
      </c>
      <c r="U12" s="163">
        <v>0.0</v>
      </c>
      <c r="V12" s="163">
        <v>2.0</v>
      </c>
      <c r="W12" s="163">
        <v>1.0</v>
      </c>
      <c r="X12" s="163">
        <v>0.0</v>
      </c>
      <c r="Y12" s="163">
        <v>1.0</v>
      </c>
      <c r="Z12" s="163">
        <v>1.0</v>
      </c>
      <c r="AA12" s="163">
        <v>1.0</v>
      </c>
      <c r="AB12" s="163">
        <v>4.0</v>
      </c>
      <c r="AC12" s="163">
        <v>2.0</v>
      </c>
      <c r="AD12" s="163">
        <v>5.0</v>
      </c>
      <c r="AE12" s="163">
        <v>0.0</v>
      </c>
      <c r="AF12" s="163">
        <v>3.0</v>
      </c>
      <c r="AG12" s="163">
        <v>2.0</v>
      </c>
      <c r="AH12" s="163">
        <v>3.0</v>
      </c>
      <c r="AI12" s="163">
        <v>1.0</v>
      </c>
      <c r="AJ12" s="163">
        <v>2.0</v>
      </c>
      <c r="AK12" s="163">
        <v>1.0</v>
      </c>
      <c r="AL12" s="163">
        <v>0.0</v>
      </c>
      <c r="AM12" s="163">
        <v>1.0</v>
      </c>
      <c r="AN12" s="163">
        <v>3.0</v>
      </c>
      <c r="AO12" s="163">
        <v>2.0</v>
      </c>
      <c r="AP12" s="163">
        <v>3.0</v>
      </c>
      <c r="AQ12" s="163">
        <v>0.0</v>
      </c>
      <c r="AR12" s="163">
        <v>2.0</v>
      </c>
      <c r="AS12" s="163">
        <v>1.0</v>
      </c>
      <c r="AT12" s="139">
        <f t="shared" si="4"/>
        <v>19.0</v>
      </c>
      <c r="AU12" s="139">
        <f t="shared" si="5"/>
        <v>8.0</v>
      </c>
      <c r="AV12" s="139">
        <f t="shared" si="6"/>
        <v>8.8</v>
      </c>
      <c r="AW12" s="165">
        <f>AV12*$AW$4/$AV$4</f>
        <v>1.24444444444444</v>
      </c>
      <c r="AX12" s="165">
        <f>AV12*$AX$4/$AV$4</f>
        <v>1.42222222222222</v>
      </c>
      <c r="AY12" s="165">
        <f>AV12*$AY$4/$AV$4</f>
        <v>1.42222222222222</v>
      </c>
      <c r="AZ12" s="165">
        <f t="shared" si="47"/>
        <v>1.24444444444444</v>
      </c>
      <c r="BA12" s="165">
        <f t="shared" si="48"/>
        <v>1.24444444444444</v>
      </c>
      <c r="BB12" s="165">
        <f t="shared" si="49"/>
        <v>1.42222222222222</v>
      </c>
      <c r="BC12" s="166">
        <f t="shared" si="13"/>
        <v>7.99999999999998</v>
      </c>
      <c r="BD12" s="123">
        <f>VLOOKUP(C12,SOHFEB23,3,false)</f>
        <v>3.0</v>
      </c>
      <c r="BE12" s="167">
        <f>VLOOKUP(D12,VALUEFEB23,4,false)</f>
        <v>104.5133</v>
      </c>
      <c r="BF12" s="124">
        <f t="shared" si="16"/>
        <v>313.5399</v>
      </c>
      <c r="BH12" s="168"/>
      <c r="BI12" s="123"/>
      <c r="BM12" s="168"/>
      <c r="BN12" s="168"/>
      <c r="BO12" s="168"/>
      <c r="BP12" s="168"/>
      <c r="BQ12" s="126">
        <f t="shared" si="17"/>
        <v>0.0</v>
      </c>
      <c r="BR12" s="168"/>
      <c r="BT12" s="168"/>
      <c r="BU12" s="126">
        <f t="shared" si="18"/>
        <v>0.0</v>
      </c>
      <c r="BV12" s="168"/>
      <c r="BW12" s="168"/>
      <c r="BX12" s="168"/>
      <c r="BY12" s="126">
        <f t="shared" si="19"/>
        <v>0.0</v>
      </c>
      <c r="BZ12" s="168"/>
      <c r="CA12" s="168"/>
      <c r="CB12" s="168"/>
      <c r="CC12" s="126">
        <f t="shared" si="20"/>
        <v>0.0</v>
      </c>
      <c r="CD12" s="168"/>
      <c r="CE12" s="168"/>
      <c r="CF12" s="168"/>
      <c r="CG12" s="126">
        <f t="shared" si="21"/>
        <v>0.0</v>
      </c>
      <c r="CH12" s="168"/>
      <c r="CI12" s="168"/>
      <c r="CJ12" s="168"/>
      <c r="CK12" s="126">
        <f t="shared" si="22"/>
        <v>0.0</v>
      </c>
      <c r="CR12" s="123"/>
      <c r="CS12" s="168">
        <f t="shared" si="55"/>
        <v>0.0</v>
      </c>
      <c r="CT12" s="36">
        <f t="shared" si="56"/>
        <v>0.0</v>
      </c>
      <c r="CU12" s="123">
        <f t="shared" si="57"/>
        <v>0.0</v>
      </c>
    </row>
    <row r="13">
      <c r="A13" s="163" t="s">
        <v>32</v>
      </c>
      <c r="B13" s="163" t="s">
        <v>45</v>
      </c>
      <c r="C13" s="163" t="s">
        <v>46</v>
      </c>
      <c r="D13" s="164" t="s">
        <v>47</v>
      </c>
      <c r="E13" s="163">
        <v>0.0</v>
      </c>
      <c r="F13" s="163">
        <v>0.0</v>
      </c>
      <c r="G13" s="163">
        <v>0.0</v>
      </c>
      <c r="H13" s="163">
        <v>0.0</v>
      </c>
      <c r="I13" s="163">
        <v>0.0</v>
      </c>
      <c r="J13" s="163">
        <v>0.0</v>
      </c>
      <c r="K13" s="163">
        <v>0.0</v>
      </c>
      <c r="L13" s="163">
        <v>0.0</v>
      </c>
      <c r="M13" s="163">
        <v>0.0</v>
      </c>
      <c r="N13" s="163">
        <v>0.0</v>
      </c>
      <c r="O13" s="163">
        <v>0.0</v>
      </c>
      <c r="P13" s="163">
        <v>0.0</v>
      </c>
      <c r="Q13" s="163">
        <v>0.0</v>
      </c>
      <c r="R13" s="163">
        <v>0.0</v>
      </c>
      <c r="S13" s="163">
        <v>0.0</v>
      </c>
      <c r="T13" s="163">
        <v>3.0</v>
      </c>
      <c r="U13" s="163">
        <v>0.0</v>
      </c>
      <c r="V13" s="163">
        <v>0.0</v>
      </c>
      <c r="W13" s="163">
        <v>1.0</v>
      </c>
      <c r="X13" s="163">
        <v>0.0</v>
      </c>
      <c r="Y13" s="163">
        <v>0.0</v>
      </c>
      <c r="Z13" s="163">
        <v>1.0</v>
      </c>
      <c r="AA13" s="163">
        <v>0.0</v>
      </c>
      <c r="AB13" s="163">
        <v>0.0</v>
      </c>
      <c r="AC13" s="163">
        <v>1.0</v>
      </c>
      <c r="AD13" s="163">
        <v>0.0</v>
      </c>
      <c r="AE13" s="163">
        <v>0.0</v>
      </c>
      <c r="AF13" s="163">
        <v>0.0</v>
      </c>
      <c r="AG13" s="163">
        <v>0.0</v>
      </c>
      <c r="AH13" s="163">
        <v>1.0</v>
      </c>
      <c r="AI13" s="163">
        <v>0.0</v>
      </c>
      <c r="AJ13" s="163">
        <v>0.0</v>
      </c>
      <c r="AK13" s="163">
        <v>0.0</v>
      </c>
      <c r="AL13" s="163">
        <v>0.0</v>
      </c>
      <c r="AM13" s="163">
        <v>0.0</v>
      </c>
      <c r="AN13" s="163">
        <v>0.0</v>
      </c>
      <c r="AO13" s="163">
        <v>0.0</v>
      </c>
      <c r="AP13" s="163">
        <v>1.0</v>
      </c>
      <c r="AQ13" s="163">
        <v>0.0</v>
      </c>
      <c r="AR13" s="163">
        <v>0.0</v>
      </c>
      <c r="AS13" s="163">
        <v>0.0</v>
      </c>
      <c r="AT13" s="139">
        <f t="shared" si="4"/>
        <v>2.0</v>
      </c>
      <c r="AU13" s="139">
        <f t="shared" si="5"/>
        <v>1.0</v>
      </c>
      <c r="AV13" s="139">
        <f t="shared" si="6"/>
        <v>1.1</v>
      </c>
      <c r="AW13" s="173">
        <f>AW12</f>
        <v>1.24444444444444</v>
      </c>
      <c r="AX13" s="173">
        <f>AX12</f>
        <v>1.42222222222222</v>
      </c>
      <c r="AY13" s="173">
        <f>AY12</f>
        <v>1.42222222222222</v>
      </c>
      <c r="AZ13" s="173">
        <f>AZ12</f>
        <v>1.24444444444444</v>
      </c>
      <c r="BA13" s="173">
        <f>BA12</f>
        <v>1.24444444444444</v>
      </c>
      <c r="BB13" s="173">
        <f>BB12</f>
        <v>1.42222222222222</v>
      </c>
      <c r="BC13" s="166">
        <f t="shared" si="13"/>
        <v>7.99999999999998</v>
      </c>
      <c r="BD13" s="123">
        <f>VLOOKUP(C13,SOHFEB23,3,false)</f>
        <v>32.0</v>
      </c>
      <c r="BE13" s="167">
        <f>VLOOKUP(D13,VALUEFEB23,4,false)</f>
        <v>11.5975</v>
      </c>
      <c r="BF13" s="124">
        <f t="shared" si="16"/>
        <v>371.12</v>
      </c>
      <c r="BH13" s="168">
        <f t="shared" ref="BH13:BH18" si="78">BD13+BG13-BC13</f>
        <v>24.0</v>
      </c>
      <c r="BI13" s="123"/>
      <c r="BL13" s="36">
        <f t="shared" ref="BL13:BL18" si="79">BD13</f>
        <v>32.0</v>
      </c>
      <c r="BM13" s="168"/>
      <c r="BN13" s="168">
        <f t="shared" ref="BN13:BN18" si="80">AW13</f>
        <v>1.24444444444444</v>
      </c>
      <c r="BO13" s="168"/>
      <c r="BP13" s="168">
        <f t="shared" ref="BP13:BP25" si="81">BL13-BN13+BO13+BM13</f>
        <v>30.7555555555556</v>
      </c>
      <c r="BQ13" s="126">
        <f t="shared" si="17"/>
        <v>356.687555555556</v>
      </c>
      <c r="BR13" s="168">
        <f t="shared" ref="BR13:BR18" si="82">AX13</f>
        <v>1.42222222222222</v>
      </c>
      <c r="BT13" s="168">
        <f t="shared" ref="BT13:BT18" si="83">BP13-BR13+BS13</f>
        <v>29.3333333333333</v>
      </c>
      <c r="BU13" s="126">
        <f t="shared" si="18"/>
        <v>340.193333333332</v>
      </c>
      <c r="BV13" s="168">
        <f t="shared" ref="BV13:BV18" si="84">AY13</f>
        <v>1.42222222222222</v>
      </c>
      <c r="BW13" s="168"/>
      <c r="BX13" s="168">
        <f t="shared" ref="BX13:BX18" si="85">BT13-BV13+BW13</f>
        <v>27.911111111111</v>
      </c>
      <c r="BY13" s="126">
        <f t="shared" si="19"/>
        <v>323.69911111111</v>
      </c>
      <c r="BZ13" s="168">
        <f t="shared" ref="BZ13:BZ18" si="86">AZ13</f>
        <v>1.24444444444444</v>
      </c>
      <c r="CA13" s="168"/>
      <c r="CB13" s="168">
        <f t="shared" ref="CB13:CB18" si="87">BX13-BZ13+CA13</f>
        <v>26.6666666666666</v>
      </c>
      <c r="CC13" s="126">
        <f t="shared" si="20"/>
        <v>309.266666666666</v>
      </c>
      <c r="CD13" s="168">
        <f t="shared" ref="CD13:CD18" si="88">BA13</f>
        <v>1.24444444444444</v>
      </c>
      <c r="CE13" s="168"/>
      <c r="CF13" s="168">
        <f t="shared" ref="CF13:CF18" si="89">CB13-CD13+CE13</f>
        <v>25.4222222222221</v>
      </c>
      <c r="CG13" s="126">
        <f t="shared" si="21"/>
        <v>294.83422222222</v>
      </c>
      <c r="CH13" s="168">
        <f t="shared" ref="CH13:CH18" si="90">BB13</f>
        <v>1.42222222222222</v>
      </c>
      <c r="CI13" s="168"/>
      <c r="CJ13" s="168">
        <f t="shared" ref="CJ13:CJ18" si="91">CF13-CH13+CI13</f>
        <v>23.9999999999999</v>
      </c>
      <c r="CK13" s="126">
        <f t="shared" si="22"/>
        <v>278.339999999999</v>
      </c>
      <c r="CR13" s="123"/>
      <c r="CS13" s="168">
        <f t="shared" si="55"/>
        <v>0.0</v>
      </c>
      <c r="CT13" s="36">
        <f t="shared" si="56"/>
        <v>0.0</v>
      </c>
      <c r="CU13" s="123">
        <f t="shared" si="57"/>
        <v>0.0</v>
      </c>
    </row>
    <row r="14">
      <c r="A14" s="163" t="s">
        <v>32</v>
      </c>
      <c r="B14" s="163" t="s">
        <v>33</v>
      </c>
      <c r="C14" s="163" t="s">
        <v>48</v>
      </c>
      <c r="D14" s="164">
        <v>36801.0</v>
      </c>
      <c r="E14" s="163">
        <v>15.0</v>
      </c>
      <c r="F14" s="163">
        <v>54.0</v>
      </c>
      <c r="G14" s="163">
        <v>39.0</v>
      </c>
      <c r="H14" s="163">
        <v>12.0</v>
      </c>
      <c r="I14" s="163">
        <v>15.0</v>
      </c>
      <c r="J14" s="163">
        <v>24.0</v>
      </c>
      <c r="K14" s="163">
        <v>30.0</v>
      </c>
      <c r="L14" s="163">
        <v>21.0</v>
      </c>
      <c r="M14" s="163">
        <v>21.0</v>
      </c>
      <c r="N14" s="163">
        <v>24.0</v>
      </c>
      <c r="O14" s="163">
        <v>18.0</v>
      </c>
      <c r="P14" s="163">
        <v>30.0</v>
      </c>
      <c r="Q14" s="163">
        <v>27.0</v>
      </c>
      <c r="R14" s="163">
        <v>3.0</v>
      </c>
      <c r="S14" s="163">
        <v>63.0</v>
      </c>
      <c r="T14" s="163">
        <v>18.0</v>
      </c>
      <c r="U14" s="163">
        <v>12.0</v>
      </c>
      <c r="V14" s="163">
        <v>24.0</v>
      </c>
      <c r="W14" s="163">
        <v>1.0</v>
      </c>
      <c r="X14" s="163">
        <v>39.0</v>
      </c>
      <c r="Y14" s="163">
        <v>30.0</v>
      </c>
      <c r="Z14" s="163">
        <v>13.0</v>
      </c>
      <c r="AA14" s="163">
        <v>18.0</v>
      </c>
      <c r="AB14" s="163">
        <v>33.0</v>
      </c>
      <c r="AC14" s="163">
        <v>45.0</v>
      </c>
      <c r="AD14" s="163">
        <v>3.0</v>
      </c>
      <c r="AE14" s="163">
        <v>33.0</v>
      </c>
      <c r="AF14" s="163">
        <v>39.0</v>
      </c>
      <c r="AG14" s="163">
        <v>15.0</v>
      </c>
      <c r="AH14" s="163">
        <v>27.0</v>
      </c>
      <c r="AI14" s="163">
        <v>18.0</v>
      </c>
      <c r="AJ14" s="163">
        <v>24.0</v>
      </c>
      <c r="AK14" s="163">
        <v>9.0</v>
      </c>
      <c r="AL14" s="163">
        <v>18.0</v>
      </c>
      <c r="AM14" s="163">
        <v>21.0</v>
      </c>
      <c r="AN14" s="163">
        <v>25.0</v>
      </c>
      <c r="AO14" s="163">
        <v>21.0</v>
      </c>
      <c r="AP14" s="163">
        <v>39.0</v>
      </c>
      <c r="AQ14" s="163">
        <v>54.0</v>
      </c>
      <c r="AR14" s="163">
        <v>25.0</v>
      </c>
      <c r="AS14" s="163">
        <v>26.0</v>
      </c>
      <c r="AT14" s="139">
        <f t="shared" si="4"/>
        <v>307.0</v>
      </c>
      <c r="AU14" s="139">
        <f t="shared" si="5"/>
        <v>117.0</v>
      </c>
      <c r="AV14" s="139">
        <f t="shared" si="6"/>
        <v>128.7</v>
      </c>
      <c r="AW14" s="36">
        <f t="shared" ref="AW14:AW18" si="92">AV14*$AW$4/$AV$4+3*$AW$12</f>
        <v>21.9333333333333</v>
      </c>
      <c r="AX14" s="36">
        <f t="shared" ref="AX14:AX17" si="93">AV14*$AX$4/$AV$4+3*$AX$12</f>
        <v>25.0666666666667</v>
      </c>
      <c r="AY14" s="36">
        <f t="shared" ref="AY14:AY17" si="94">AV14*$AY$4/$AV$4+3*$AY$12</f>
        <v>25.0666666666667</v>
      </c>
      <c r="AZ14" s="36">
        <f t="shared" ref="AZ14:AZ17" si="95">AV14*$AZ$4/$AV$4+3*$AZ$12</f>
        <v>21.9333333333333</v>
      </c>
      <c r="BA14" s="36">
        <f t="shared" ref="BA14:BA17" si="96">AV14*$BA$4/$AV$4+3*$BA$12</f>
        <v>21.9333333333333</v>
      </c>
      <c r="BB14" s="36">
        <f t="shared" ref="BB14:BB17" si="97">AV14*$BB$4/$AV$4+3*$BB$12</f>
        <v>25.0666666666667</v>
      </c>
      <c r="BC14" s="166">
        <f t="shared" si="13"/>
        <v>141.0</v>
      </c>
      <c r="BD14" s="123">
        <f>VLOOKUP(C14,SOHFEB23,3,false)</f>
        <v>112.0</v>
      </c>
      <c r="BE14" s="167">
        <f>VLOOKUP(D14,VALUEFEB23,4,false)</f>
        <v>6.2358</v>
      </c>
      <c r="BF14" s="124">
        <f t="shared" si="16"/>
        <v>698.4096</v>
      </c>
      <c r="BG14" s="168"/>
      <c r="BH14" s="168">
        <f t="shared" si="78"/>
        <v>-29.0</v>
      </c>
      <c r="BI14" s="123"/>
      <c r="BJ14" s="170"/>
      <c r="BK14" s="36" t="s">
        <v>5</v>
      </c>
      <c r="BL14" s="36">
        <f t="shared" si="79"/>
        <v>112.0</v>
      </c>
      <c r="BM14" s="168"/>
      <c r="BN14" s="168">
        <f t="shared" si="80"/>
        <v>21.9333333333333</v>
      </c>
      <c r="BO14" s="168"/>
      <c r="BP14" s="168">
        <f t="shared" si="81"/>
        <v>90.0666666666667</v>
      </c>
      <c r="BQ14" s="126">
        <f t="shared" si="17"/>
        <v>561.63772</v>
      </c>
      <c r="BR14" s="168">
        <f t="shared" si="82"/>
        <v>25.0666666666667</v>
      </c>
      <c r="BS14" s="123"/>
      <c r="BT14" s="168">
        <f t="shared" si="83"/>
        <v>65.0</v>
      </c>
      <c r="BU14" s="126">
        <f t="shared" si="18"/>
        <v>405.327</v>
      </c>
      <c r="BV14" s="168">
        <f t="shared" si="84"/>
        <v>25.0666666666667</v>
      </c>
      <c r="BW14" s="168"/>
      <c r="BX14" s="168">
        <f t="shared" si="85"/>
        <v>39.9333333333333</v>
      </c>
      <c r="BY14" s="126">
        <f t="shared" si="19"/>
        <v>249.01628</v>
      </c>
      <c r="BZ14" s="168">
        <f t="shared" si="86"/>
        <v>21.9333333333333</v>
      </c>
      <c r="CA14" s="168"/>
      <c r="CB14" s="168">
        <f t="shared" si="87"/>
        <v>18.0</v>
      </c>
      <c r="CC14" s="126">
        <f t="shared" si="20"/>
        <v>112.2444</v>
      </c>
      <c r="CD14" s="168">
        <f t="shared" si="88"/>
        <v>21.9333333333333</v>
      </c>
      <c r="CE14" s="168"/>
      <c r="CF14" s="168">
        <f t="shared" si="89"/>
        <v>-3.9333333333333</v>
      </c>
      <c r="CG14" s="126">
        <f t="shared" si="21"/>
        <v>-24.5274799999996</v>
      </c>
      <c r="CH14" s="168">
        <f t="shared" si="90"/>
        <v>25.0666666666667</v>
      </c>
      <c r="CI14" s="168"/>
      <c r="CJ14" s="168">
        <f t="shared" si="91"/>
        <v>-29.0</v>
      </c>
      <c r="CK14" s="126">
        <f t="shared" si="22"/>
        <v>-180.8382</v>
      </c>
      <c r="CL14" s="36">
        <f t="shared" ref="CL14:CL18" si="98">CJ14*-1</f>
        <v>29.0</v>
      </c>
      <c r="CM14" s="36">
        <f t="shared" ref="CM14:CM18" si="99">CL14/6</f>
        <v>4.83333333333333</v>
      </c>
      <c r="CN14" s="36">
        <f t="shared" ref="CN14:CN18" si="100">ROUNDUP(CM14,0)</f>
        <v>5.0</v>
      </c>
      <c r="CO14" s="123">
        <f t="shared" ref="CO14:CO18" si="101">CN14*6</f>
        <v>30.0</v>
      </c>
      <c r="CR14" s="123">
        <f>CF14</f>
        <v>-3.9333333333333</v>
      </c>
      <c r="CS14" s="168">
        <f t="shared" si="55"/>
        <v>0.65555555555555</v>
      </c>
      <c r="CT14" s="36">
        <f t="shared" si="56"/>
        <v>1.0</v>
      </c>
      <c r="CU14" s="123">
        <f t="shared" si="57"/>
        <v>6.0</v>
      </c>
      <c r="DB14" s="172">
        <f t="shared" ref="DB14:DB18" si="103">CF14</f>
        <v>-3.9333333333333</v>
      </c>
      <c r="DC14" s="168">
        <f t="shared" ref="DC14:DC18" si="104">(DB14/6)*-1</f>
        <v>0.65555555555555</v>
      </c>
      <c r="DD14" s="36">
        <f t="shared" ref="DD14:DD18" si="105">ROUNDUP(DC14,0)</f>
        <v>1.0</v>
      </c>
      <c r="DE14" s="123">
        <f t="shared" ref="DE14:DE18" si="106">DD14*6</f>
        <v>6.0</v>
      </c>
    </row>
    <row r="15">
      <c r="A15" s="163" t="s">
        <v>32</v>
      </c>
      <c r="B15" s="163" t="s">
        <v>33</v>
      </c>
      <c r="C15" s="163" t="s">
        <v>49</v>
      </c>
      <c r="D15" s="164">
        <v>36803.0</v>
      </c>
      <c r="E15" s="163">
        <v>18.0</v>
      </c>
      <c r="F15" s="163">
        <v>33.0</v>
      </c>
      <c r="G15" s="163">
        <v>24.0</v>
      </c>
      <c r="H15" s="163">
        <v>12.0</v>
      </c>
      <c r="I15" s="163">
        <v>12.0</v>
      </c>
      <c r="J15" s="163">
        <v>15.0</v>
      </c>
      <c r="K15" s="163">
        <v>21.0</v>
      </c>
      <c r="L15" s="163">
        <v>12.0</v>
      </c>
      <c r="M15" s="163">
        <v>9.0</v>
      </c>
      <c r="N15" s="163">
        <v>21.0</v>
      </c>
      <c r="O15" s="163">
        <v>9.0</v>
      </c>
      <c r="P15" s="163">
        <v>21.0</v>
      </c>
      <c r="Q15" s="163">
        <v>12.0</v>
      </c>
      <c r="R15" s="163">
        <v>15.0</v>
      </c>
      <c r="S15" s="163">
        <v>48.0</v>
      </c>
      <c r="T15" s="163">
        <v>15.0</v>
      </c>
      <c r="U15" s="163">
        <v>6.0</v>
      </c>
      <c r="V15" s="163">
        <v>30.0</v>
      </c>
      <c r="W15" s="163">
        <v>42.0</v>
      </c>
      <c r="X15" s="163">
        <v>9.0</v>
      </c>
      <c r="Y15" s="163">
        <v>0.0</v>
      </c>
      <c r="Z15" s="163">
        <v>7.0</v>
      </c>
      <c r="AA15" s="163">
        <v>18.0</v>
      </c>
      <c r="AB15" s="163">
        <v>18.0</v>
      </c>
      <c r="AC15" s="163">
        <v>22.0</v>
      </c>
      <c r="AD15" s="163">
        <v>24.0</v>
      </c>
      <c r="AE15" s="163">
        <v>29.0</v>
      </c>
      <c r="AF15" s="163">
        <v>24.0</v>
      </c>
      <c r="AG15" s="163">
        <v>6.0</v>
      </c>
      <c r="AH15" s="163">
        <v>24.0</v>
      </c>
      <c r="AI15" s="163">
        <v>15.0</v>
      </c>
      <c r="AJ15" s="163">
        <v>42.0</v>
      </c>
      <c r="AK15" s="163">
        <v>0.0</v>
      </c>
      <c r="AL15" s="163">
        <v>6.0</v>
      </c>
      <c r="AM15" s="163">
        <v>39.0</v>
      </c>
      <c r="AN15" s="163">
        <v>42.0</v>
      </c>
      <c r="AO15" s="163">
        <v>21.0</v>
      </c>
      <c r="AP15" s="163">
        <v>45.0</v>
      </c>
      <c r="AQ15" s="163">
        <v>66.0</v>
      </c>
      <c r="AR15" s="163">
        <v>18.0</v>
      </c>
      <c r="AS15" s="163">
        <v>29.0</v>
      </c>
      <c r="AT15" s="139">
        <f t="shared" si="4"/>
        <v>347.0</v>
      </c>
      <c r="AU15" s="139">
        <f t="shared" si="5"/>
        <v>126.0</v>
      </c>
      <c r="AV15" s="139">
        <f t="shared" si="6"/>
        <v>138.6</v>
      </c>
      <c r="AW15" s="36">
        <f t="shared" si="92"/>
        <v>23.3333333333333</v>
      </c>
      <c r="AX15" s="36">
        <f t="shared" si="93"/>
        <v>26.6666666666667</v>
      </c>
      <c r="AY15" s="36">
        <f t="shared" si="94"/>
        <v>26.6666666666667</v>
      </c>
      <c r="AZ15" s="36">
        <f t="shared" si="95"/>
        <v>23.3333333333333</v>
      </c>
      <c r="BA15" s="36">
        <f t="shared" si="96"/>
        <v>23.3333333333333</v>
      </c>
      <c r="BB15" s="36">
        <f t="shared" si="97"/>
        <v>26.6666666666667</v>
      </c>
      <c r="BC15" s="166">
        <f t="shared" si="13"/>
        <v>150.0</v>
      </c>
      <c r="BD15" s="123">
        <f>VLOOKUP(C15,SOHFEB23,3,false)</f>
        <v>63.0</v>
      </c>
      <c r="BE15" s="167">
        <f>VLOOKUP(D15,VALUEFEB23,4,false)</f>
        <v>6.2356</v>
      </c>
      <c r="BF15" s="124">
        <f t="shared" si="16"/>
        <v>392.8428</v>
      </c>
      <c r="BG15" s="168"/>
      <c r="BH15" s="168">
        <f t="shared" si="78"/>
        <v>-87.0</v>
      </c>
      <c r="BI15" s="123"/>
      <c r="BJ15" s="170"/>
      <c r="BK15" s="36" t="s">
        <v>520</v>
      </c>
      <c r="BL15" s="36">
        <f t="shared" si="79"/>
        <v>63.0</v>
      </c>
      <c r="BM15" s="168"/>
      <c r="BN15" s="168">
        <f t="shared" si="80"/>
        <v>23.3333333333333</v>
      </c>
      <c r="BO15" s="168"/>
      <c r="BP15" s="168">
        <f t="shared" si="81"/>
        <v>39.6666666666667</v>
      </c>
      <c r="BQ15" s="126">
        <f t="shared" si="17"/>
        <v>247.345466666667</v>
      </c>
      <c r="BR15" s="168">
        <f t="shared" si="82"/>
        <v>26.6666666666667</v>
      </c>
      <c r="BS15" s="123"/>
      <c r="BT15" s="168">
        <f t="shared" si="83"/>
        <v>13.0</v>
      </c>
      <c r="BU15" s="126">
        <f t="shared" si="18"/>
        <v>81.0628</v>
      </c>
      <c r="BV15" s="168">
        <f t="shared" si="84"/>
        <v>26.6666666666667</v>
      </c>
      <c r="BW15" s="168"/>
      <c r="BX15" s="168">
        <f t="shared" si="85"/>
        <v>-13.6666666666667</v>
      </c>
      <c r="BY15" s="126">
        <f t="shared" si="19"/>
        <v>-85.2198666666667</v>
      </c>
      <c r="BZ15" s="168">
        <f t="shared" si="86"/>
        <v>23.3333333333333</v>
      </c>
      <c r="CA15" s="168"/>
      <c r="CB15" s="168">
        <f t="shared" si="87"/>
        <v>-37.0</v>
      </c>
      <c r="CC15" s="126">
        <f t="shared" si="20"/>
        <v>-230.7172</v>
      </c>
      <c r="CD15" s="168">
        <f t="shared" si="88"/>
        <v>23.3333333333333</v>
      </c>
      <c r="CE15" s="168"/>
      <c r="CF15" s="168">
        <f t="shared" si="89"/>
        <v>-60.3333333333333</v>
      </c>
      <c r="CG15" s="126">
        <f t="shared" si="21"/>
        <v>-376.214533333333</v>
      </c>
      <c r="CH15" s="168">
        <f t="shared" si="90"/>
        <v>26.6666666666667</v>
      </c>
      <c r="CI15" s="168"/>
      <c r="CJ15" s="168">
        <f t="shared" si="91"/>
        <v>-87.0</v>
      </c>
      <c r="CK15" s="126">
        <f t="shared" si="22"/>
        <v>-542.4972</v>
      </c>
      <c r="CL15" s="36">
        <f t="shared" si="98"/>
        <v>87.0</v>
      </c>
      <c r="CM15" s="36">
        <f t="shared" si="99"/>
        <v>14.5</v>
      </c>
      <c r="CN15" s="36">
        <f t="shared" si="100"/>
        <v>15.0</v>
      </c>
      <c r="CO15" s="123">
        <f t="shared" si="101"/>
        <v>90.0</v>
      </c>
      <c r="CR15" s="123">
        <f t="shared" ref="CR15:CR16" si="107">BX15</f>
        <v>-13.6666666666667</v>
      </c>
      <c r="CS15" s="168">
        <f t="shared" si="55"/>
        <v>2.27777777777778</v>
      </c>
      <c r="CT15" s="36">
        <f t="shared" si="56"/>
        <v>3.0</v>
      </c>
      <c r="CU15" s="123">
        <f t="shared" si="57"/>
        <v>18.0</v>
      </c>
      <c r="CW15" s="172">
        <f t="shared" ref="CW15:CW18" si="108">CB15</f>
        <v>-37.0</v>
      </c>
      <c r="CX15" s="168">
        <f t="shared" ref="CX15:CX18" si="109">(CW15/6)*-1</f>
        <v>6.16666666666665</v>
      </c>
      <c r="CY15" s="36">
        <f t="shared" ref="CY15:CY18" si="110">ROUNDUP(CX15,0)</f>
        <v>7.0</v>
      </c>
      <c r="CZ15" s="123">
        <f t="shared" ref="CZ15:CZ18" si="111">CY15*6</f>
        <v>42.0</v>
      </c>
      <c r="DB15" s="172">
        <f t="shared" si="103"/>
        <v>-60.3333333333333</v>
      </c>
      <c r="DC15" s="168">
        <f t="shared" si="104"/>
        <v>10.0555555555554</v>
      </c>
      <c r="DD15" s="36">
        <f t="shared" si="105"/>
        <v>11.0</v>
      </c>
      <c r="DE15" s="123">
        <f t="shared" si="106"/>
        <v>66.0</v>
      </c>
    </row>
    <row r="16">
      <c r="A16" s="163" t="s">
        <v>32</v>
      </c>
      <c r="B16" s="163" t="s">
        <v>33</v>
      </c>
      <c r="C16" s="163" t="s">
        <v>50</v>
      </c>
      <c r="D16" s="164">
        <v>36804.0</v>
      </c>
      <c r="E16" s="163">
        <v>15.0</v>
      </c>
      <c r="F16" s="163">
        <v>39.0</v>
      </c>
      <c r="G16" s="163">
        <v>36.0</v>
      </c>
      <c r="H16" s="163">
        <v>27.0</v>
      </c>
      <c r="I16" s="163">
        <v>12.0</v>
      </c>
      <c r="J16" s="163">
        <v>18.0</v>
      </c>
      <c r="K16" s="163">
        <v>30.0</v>
      </c>
      <c r="L16" s="163">
        <v>18.0</v>
      </c>
      <c r="M16" s="163">
        <v>6.0</v>
      </c>
      <c r="N16" s="163">
        <v>12.0</v>
      </c>
      <c r="O16" s="163">
        <v>24.0</v>
      </c>
      <c r="P16" s="163">
        <v>21.0</v>
      </c>
      <c r="Q16" s="163">
        <v>30.0</v>
      </c>
      <c r="R16" s="163">
        <v>9.0</v>
      </c>
      <c r="S16" s="163">
        <v>51.0</v>
      </c>
      <c r="T16" s="163">
        <v>12.0</v>
      </c>
      <c r="U16" s="163">
        <v>15.0</v>
      </c>
      <c r="V16" s="163">
        <v>27.0</v>
      </c>
      <c r="W16" s="163">
        <v>36.0</v>
      </c>
      <c r="X16" s="163">
        <v>15.0</v>
      </c>
      <c r="Y16" s="163">
        <v>0.0</v>
      </c>
      <c r="Z16" s="163">
        <v>13.0</v>
      </c>
      <c r="AA16" s="163">
        <v>15.0</v>
      </c>
      <c r="AB16" s="163">
        <v>15.0</v>
      </c>
      <c r="AC16" s="163">
        <v>48.0</v>
      </c>
      <c r="AD16" s="163">
        <v>3.0</v>
      </c>
      <c r="AE16" s="163">
        <v>12.0</v>
      </c>
      <c r="AF16" s="163">
        <v>45.0</v>
      </c>
      <c r="AG16" s="163">
        <v>9.0</v>
      </c>
      <c r="AH16" s="163">
        <v>27.0</v>
      </c>
      <c r="AI16" s="163">
        <v>15.0</v>
      </c>
      <c r="AJ16" s="163">
        <v>21.0</v>
      </c>
      <c r="AK16" s="163">
        <v>6.0</v>
      </c>
      <c r="AL16" s="163">
        <v>15.0</v>
      </c>
      <c r="AM16" s="163">
        <v>15.0</v>
      </c>
      <c r="AN16" s="163">
        <v>21.0</v>
      </c>
      <c r="AO16" s="163">
        <v>45.0</v>
      </c>
      <c r="AP16" s="163">
        <v>36.0</v>
      </c>
      <c r="AQ16" s="163">
        <v>84.0</v>
      </c>
      <c r="AR16" s="163">
        <v>9.0</v>
      </c>
      <c r="AS16" s="163">
        <v>22.0</v>
      </c>
      <c r="AT16" s="139">
        <f t="shared" si="4"/>
        <v>316.0</v>
      </c>
      <c r="AU16" s="139">
        <f t="shared" si="5"/>
        <v>99.0</v>
      </c>
      <c r="AV16" s="139">
        <f t="shared" si="6"/>
        <v>108.9</v>
      </c>
      <c r="AW16" s="36">
        <f t="shared" si="92"/>
        <v>19.1333333333333</v>
      </c>
      <c r="AX16" s="36">
        <f t="shared" si="93"/>
        <v>21.8666666666667</v>
      </c>
      <c r="AY16" s="36">
        <f t="shared" si="94"/>
        <v>21.8666666666667</v>
      </c>
      <c r="AZ16" s="36">
        <f t="shared" si="95"/>
        <v>19.1333333333333</v>
      </c>
      <c r="BA16" s="36">
        <f t="shared" si="96"/>
        <v>19.1333333333333</v>
      </c>
      <c r="BB16" s="36">
        <f t="shared" si="97"/>
        <v>21.8666666666667</v>
      </c>
      <c r="BC16" s="166">
        <f t="shared" si="13"/>
        <v>123.0</v>
      </c>
      <c r="BD16" s="123">
        <f>VLOOKUP(C16,SOHFEB23,3,false)</f>
        <v>48.0</v>
      </c>
      <c r="BE16" s="167">
        <f>VLOOKUP(D16,VALUEFEB23,4,false)</f>
        <v>6.2354</v>
      </c>
      <c r="BF16" s="124">
        <f t="shared" si="16"/>
        <v>299.2992</v>
      </c>
      <c r="BG16" s="168"/>
      <c r="BH16" s="168">
        <f t="shared" si="78"/>
        <v>-75.0</v>
      </c>
      <c r="BI16" s="123"/>
      <c r="BJ16" s="170"/>
      <c r="BK16" s="36" t="s">
        <v>520</v>
      </c>
      <c r="BL16" s="36">
        <f t="shared" si="79"/>
        <v>48.0</v>
      </c>
      <c r="BM16" s="168"/>
      <c r="BN16" s="168">
        <f t="shared" si="80"/>
        <v>19.1333333333333</v>
      </c>
      <c r="BO16" s="168"/>
      <c r="BP16" s="168">
        <f t="shared" si="81"/>
        <v>28.8666666666667</v>
      </c>
      <c r="BQ16" s="126">
        <f t="shared" si="17"/>
        <v>179.995213333333</v>
      </c>
      <c r="BR16" s="168">
        <f t="shared" si="82"/>
        <v>21.8666666666667</v>
      </c>
      <c r="BS16" s="123"/>
      <c r="BT16" s="168">
        <f t="shared" si="83"/>
        <v>7.0</v>
      </c>
      <c r="BU16" s="126">
        <f t="shared" si="18"/>
        <v>43.6478</v>
      </c>
      <c r="BV16" s="168">
        <f t="shared" si="84"/>
        <v>21.8666666666667</v>
      </c>
      <c r="BW16" s="168"/>
      <c r="BX16" s="168">
        <f t="shared" si="85"/>
        <v>-14.8666666666667</v>
      </c>
      <c r="BY16" s="126">
        <f t="shared" si="19"/>
        <v>-92.6996133333334</v>
      </c>
      <c r="BZ16" s="168">
        <f t="shared" si="86"/>
        <v>19.1333333333333</v>
      </c>
      <c r="CA16" s="168"/>
      <c r="CB16" s="168">
        <f t="shared" si="87"/>
        <v>-34.0</v>
      </c>
      <c r="CC16" s="126">
        <f t="shared" si="20"/>
        <v>-212.0036</v>
      </c>
      <c r="CD16" s="168">
        <f t="shared" si="88"/>
        <v>19.1333333333333</v>
      </c>
      <c r="CE16" s="168"/>
      <c r="CF16" s="168">
        <f t="shared" si="89"/>
        <v>-53.1333333333333</v>
      </c>
      <c r="CG16" s="126">
        <f t="shared" si="21"/>
        <v>-331.307586666666</v>
      </c>
      <c r="CH16" s="168">
        <f t="shared" si="90"/>
        <v>21.8666666666667</v>
      </c>
      <c r="CI16" s="168"/>
      <c r="CJ16" s="168">
        <f t="shared" si="91"/>
        <v>-75.0</v>
      </c>
      <c r="CK16" s="126">
        <f t="shared" si="22"/>
        <v>-467.655</v>
      </c>
      <c r="CL16" s="36">
        <f t="shared" si="98"/>
        <v>75.0</v>
      </c>
      <c r="CM16" s="36">
        <f t="shared" si="99"/>
        <v>12.5</v>
      </c>
      <c r="CN16" s="36">
        <f t="shared" si="100"/>
        <v>13.0</v>
      </c>
      <c r="CO16" s="123">
        <f t="shared" si="101"/>
        <v>78.0</v>
      </c>
      <c r="CR16" s="123">
        <f t="shared" si="107"/>
        <v>-14.8666666666667</v>
      </c>
      <c r="CS16" s="168">
        <f t="shared" si="55"/>
        <v>2.47777777777778</v>
      </c>
      <c r="CT16" s="36">
        <f t="shared" si="56"/>
        <v>3.0</v>
      </c>
      <c r="CU16" s="123">
        <f t="shared" si="57"/>
        <v>18.0</v>
      </c>
      <c r="CW16" s="172">
        <f t="shared" si="108"/>
        <v>-34.0</v>
      </c>
      <c r="CX16" s="168">
        <f t="shared" si="109"/>
        <v>5.66666666666665</v>
      </c>
      <c r="CY16" s="36">
        <f t="shared" si="110"/>
        <v>6.0</v>
      </c>
      <c r="CZ16" s="123">
        <f t="shared" si="111"/>
        <v>36.0</v>
      </c>
      <c r="DB16" s="172">
        <f t="shared" si="103"/>
        <v>-53.1333333333333</v>
      </c>
      <c r="DC16" s="168">
        <f t="shared" si="104"/>
        <v>8.85555555555554</v>
      </c>
      <c r="DD16" s="36">
        <f t="shared" si="105"/>
        <v>9.0</v>
      </c>
      <c r="DE16" s="123">
        <f t="shared" si="106"/>
        <v>54.0</v>
      </c>
    </row>
    <row r="17">
      <c r="A17" s="163" t="s">
        <v>32</v>
      </c>
      <c r="B17" s="163" t="s">
        <v>33</v>
      </c>
      <c r="C17" s="163" t="s">
        <v>51</v>
      </c>
      <c r="D17" s="164">
        <v>36805.0</v>
      </c>
      <c r="E17" s="163">
        <v>24.0</v>
      </c>
      <c r="F17" s="163">
        <v>36.0</v>
      </c>
      <c r="G17" s="163">
        <v>27.0</v>
      </c>
      <c r="H17" s="163">
        <v>12.0</v>
      </c>
      <c r="I17" s="163">
        <v>9.0</v>
      </c>
      <c r="J17" s="163">
        <v>24.0</v>
      </c>
      <c r="K17" s="163">
        <v>27.0</v>
      </c>
      <c r="L17" s="163">
        <v>15.0</v>
      </c>
      <c r="M17" s="163">
        <v>15.0</v>
      </c>
      <c r="N17" s="163">
        <v>33.0</v>
      </c>
      <c r="O17" s="163">
        <v>15.0</v>
      </c>
      <c r="P17" s="163">
        <v>27.0</v>
      </c>
      <c r="Q17" s="163">
        <v>27.0</v>
      </c>
      <c r="R17" s="163">
        <v>27.0</v>
      </c>
      <c r="S17" s="163">
        <v>42.0</v>
      </c>
      <c r="T17" s="163">
        <v>6.0</v>
      </c>
      <c r="U17" s="163">
        <v>18.0</v>
      </c>
      <c r="V17" s="163">
        <v>42.0</v>
      </c>
      <c r="W17" s="163">
        <v>39.0</v>
      </c>
      <c r="X17" s="163">
        <v>12.0</v>
      </c>
      <c r="Y17" s="163">
        <v>9.0</v>
      </c>
      <c r="Z17" s="163">
        <v>7.0</v>
      </c>
      <c r="AA17" s="163">
        <v>30.0</v>
      </c>
      <c r="AB17" s="163">
        <v>24.0</v>
      </c>
      <c r="AC17" s="163">
        <v>42.0</v>
      </c>
      <c r="AD17" s="163">
        <v>30.0</v>
      </c>
      <c r="AE17" s="163">
        <v>18.0</v>
      </c>
      <c r="AF17" s="163">
        <v>39.0</v>
      </c>
      <c r="AG17" s="163">
        <v>33.0</v>
      </c>
      <c r="AH17" s="163">
        <v>37.0</v>
      </c>
      <c r="AI17" s="163">
        <v>3.0</v>
      </c>
      <c r="AJ17" s="163">
        <v>39.0</v>
      </c>
      <c r="AK17" s="163">
        <v>24.0</v>
      </c>
      <c r="AL17" s="163">
        <v>6.0</v>
      </c>
      <c r="AM17" s="163">
        <v>18.0</v>
      </c>
      <c r="AN17" s="163">
        <v>30.0</v>
      </c>
      <c r="AO17" s="163">
        <v>33.0</v>
      </c>
      <c r="AP17" s="163">
        <v>36.0</v>
      </c>
      <c r="AQ17" s="163">
        <v>72.0</v>
      </c>
      <c r="AR17" s="163">
        <v>12.0</v>
      </c>
      <c r="AS17" s="163">
        <v>26.0</v>
      </c>
      <c r="AT17" s="139">
        <f t="shared" si="4"/>
        <v>336.0</v>
      </c>
      <c r="AU17" s="139">
        <f t="shared" si="5"/>
        <v>127.0</v>
      </c>
      <c r="AV17" s="139">
        <f t="shared" si="6"/>
        <v>139.7</v>
      </c>
      <c r="AW17" s="36">
        <f t="shared" si="92"/>
        <v>23.4888888888889</v>
      </c>
      <c r="AX17" s="36">
        <f t="shared" si="93"/>
        <v>26.8444444444444</v>
      </c>
      <c r="AY17" s="36">
        <f t="shared" si="94"/>
        <v>26.8444444444444</v>
      </c>
      <c r="AZ17" s="36">
        <f t="shared" si="95"/>
        <v>23.4888888888889</v>
      </c>
      <c r="BA17" s="36">
        <f t="shared" si="96"/>
        <v>23.4888888888889</v>
      </c>
      <c r="BB17" s="36">
        <f t="shared" si="97"/>
        <v>26.8444444444444</v>
      </c>
      <c r="BC17" s="166">
        <f t="shared" si="13"/>
        <v>151.0</v>
      </c>
      <c r="BD17" s="123">
        <f>VLOOKUP(C17,SOHFEB23,3,false)</f>
        <v>87.0</v>
      </c>
      <c r="BE17" s="167">
        <f>VLOOKUP(D17,VALUEFEB23,4,false)</f>
        <v>6.2357</v>
      </c>
      <c r="BF17" s="124">
        <f t="shared" si="16"/>
        <v>542.5059</v>
      </c>
      <c r="BG17" s="168"/>
      <c r="BH17" s="168">
        <f t="shared" si="78"/>
        <v>-64.0</v>
      </c>
      <c r="BI17" s="123"/>
      <c r="BJ17" s="170"/>
      <c r="BK17" s="36" t="s">
        <v>4</v>
      </c>
      <c r="BL17" s="36">
        <f t="shared" si="79"/>
        <v>87.0</v>
      </c>
      <c r="BM17" s="168"/>
      <c r="BN17" s="168">
        <f t="shared" si="80"/>
        <v>23.4888888888889</v>
      </c>
      <c r="BO17" s="168"/>
      <c r="BP17" s="168">
        <f t="shared" si="81"/>
        <v>63.5111111111111</v>
      </c>
      <c r="BQ17" s="126">
        <f t="shared" si="17"/>
        <v>396.036235555555</v>
      </c>
      <c r="BR17" s="168">
        <f t="shared" si="82"/>
        <v>26.8444444444444</v>
      </c>
      <c r="BS17" s="123"/>
      <c r="BT17" s="168">
        <f t="shared" si="83"/>
        <v>36.6666666666667</v>
      </c>
      <c r="BU17" s="126">
        <f t="shared" si="18"/>
        <v>228.642333333333</v>
      </c>
      <c r="BV17" s="168">
        <f t="shared" si="84"/>
        <v>26.8444444444444</v>
      </c>
      <c r="BW17" s="168"/>
      <c r="BX17" s="168">
        <f t="shared" si="85"/>
        <v>9.8222222222223</v>
      </c>
      <c r="BY17" s="126">
        <f t="shared" si="19"/>
        <v>61.2484311111116</v>
      </c>
      <c r="BZ17" s="168">
        <f t="shared" si="86"/>
        <v>23.4888888888889</v>
      </c>
      <c r="CA17" s="168"/>
      <c r="CB17" s="168">
        <f t="shared" si="87"/>
        <v>-13.6666666666666</v>
      </c>
      <c r="CC17" s="126">
        <f t="shared" si="20"/>
        <v>-85.2212333333329</v>
      </c>
      <c r="CD17" s="168">
        <f t="shared" si="88"/>
        <v>23.4888888888889</v>
      </c>
      <c r="CE17" s="168"/>
      <c r="CF17" s="168">
        <f t="shared" si="89"/>
        <v>-37.1555555555555</v>
      </c>
      <c r="CG17" s="126">
        <f t="shared" si="21"/>
        <v>-231.690897777777</v>
      </c>
      <c r="CH17" s="168">
        <f t="shared" si="90"/>
        <v>26.8444444444444</v>
      </c>
      <c r="CI17" s="168"/>
      <c r="CJ17" s="168">
        <f t="shared" si="91"/>
        <v>-63.9999999999999</v>
      </c>
      <c r="CK17" s="126">
        <f t="shared" si="22"/>
        <v>-399.084799999999</v>
      </c>
      <c r="CL17" s="36">
        <f t="shared" si="98"/>
        <v>63.9999999999999</v>
      </c>
      <c r="CM17" s="36">
        <f t="shared" si="99"/>
        <v>10.6666666666667</v>
      </c>
      <c r="CN17" s="36">
        <f t="shared" si="100"/>
        <v>11.0</v>
      </c>
      <c r="CO17" s="123">
        <f t="shared" si="101"/>
        <v>66.0</v>
      </c>
      <c r="CR17" s="123">
        <f>CF17</f>
        <v>-37.1555555555555</v>
      </c>
      <c r="CS17" s="168">
        <f t="shared" si="55"/>
        <v>6.19259259259258</v>
      </c>
      <c r="CT17" s="36">
        <f t="shared" si="56"/>
        <v>7.0</v>
      </c>
      <c r="CU17" s="123">
        <f t="shared" si="57"/>
        <v>42.0</v>
      </c>
      <c r="CW17" s="172">
        <f t="shared" si="108"/>
        <v>-13.6666666666666</v>
      </c>
      <c r="CX17" s="168">
        <f t="shared" si="109"/>
        <v>2.2777777777777</v>
      </c>
      <c r="CY17" s="36">
        <f t="shared" si="110"/>
        <v>3.0</v>
      </c>
      <c r="CZ17" s="123">
        <f t="shared" si="111"/>
        <v>18.0</v>
      </c>
      <c r="DB17" s="172">
        <f t="shared" si="103"/>
        <v>-37.1555555555555</v>
      </c>
      <c r="DC17" s="168">
        <f t="shared" si="104"/>
        <v>6.19259259259258</v>
      </c>
      <c r="DD17" s="36">
        <f t="shared" si="105"/>
        <v>7.0</v>
      </c>
      <c r="DE17" s="123">
        <f t="shared" si="106"/>
        <v>42.0</v>
      </c>
    </row>
    <row r="18">
      <c r="A18" s="163" t="s">
        <v>32</v>
      </c>
      <c r="B18" s="163" t="s">
        <v>33</v>
      </c>
      <c r="C18" s="163" t="s">
        <v>52</v>
      </c>
      <c r="D18" s="164">
        <v>36806.0</v>
      </c>
      <c r="E18" s="163">
        <v>0.0</v>
      </c>
      <c r="F18" s="163">
        <v>0.0</v>
      </c>
      <c r="G18" s="163">
        <v>0.0</v>
      </c>
      <c r="H18" s="163">
        <v>0.0</v>
      </c>
      <c r="I18" s="163">
        <v>0.0</v>
      </c>
      <c r="J18" s="163">
        <v>0.0</v>
      </c>
      <c r="K18" s="163">
        <v>0.0</v>
      </c>
      <c r="L18" s="163">
        <v>0.0</v>
      </c>
      <c r="M18" s="163">
        <v>0.0</v>
      </c>
      <c r="N18" s="163">
        <v>0.0</v>
      </c>
      <c r="O18" s="163">
        <v>0.0</v>
      </c>
      <c r="P18" s="163">
        <v>0.0</v>
      </c>
      <c r="Q18" s="163">
        <v>0.0</v>
      </c>
      <c r="R18" s="163">
        <v>0.0</v>
      </c>
      <c r="S18" s="163">
        <v>0.0</v>
      </c>
      <c r="T18" s="163">
        <v>0.0</v>
      </c>
      <c r="U18" s="163">
        <v>0.0</v>
      </c>
      <c r="V18" s="163">
        <v>0.0</v>
      </c>
      <c r="W18" s="163">
        <v>0.0</v>
      </c>
      <c r="X18" s="163">
        <v>0.0</v>
      </c>
      <c r="Y18" s="163">
        <v>0.0</v>
      </c>
      <c r="Z18" s="163">
        <v>1.0</v>
      </c>
      <c r="AA18" s="163">
        <v>12.0</v>
      </c>
      <c r="AB18" s="163">
        <v>12.0</v>
      </c>
      <c r="AC18" s="163">
        <v>15.0</v>
      </c>
      <c r="AD18" s="174">
        <f>AC18</f>
        <v>15.0</v>
      </c>
      <c r="AE18" s="174">
        <f>AD18</f>
        <v>15.0</v>
      </c>
      <c r="AF18" s="163">
        <v>0.0</v>
      </c>
      <c r="AG18" s="163">
        <v>0.0</v>
      </c>
      <c r="AH18" s="163">
        <v>18.0</v>
      </c>
      <c r="AI18" s="163">
        <v>0.0</v>
      </c>
      <c r="AJ18" s="163">
        <v>39.0</v>
      </c>
      <c r="AK18" s="163">
        <v>30.0</v>
      </c>
      <c r="AL18" s="163">
        <v>18.0</v>
      </c>
      <c r="AM18" s="163">
        <v>15.0</v>
      </c>
      <c r="AN18" s="163">
        <v>3.0</v>
      </c>
      <c r="AO18" s="163">
        <v>36.0</v>
      </c>
      <c r="AP18" s="163">
        <v>-3.0</v>
      </c>
      <c r="AQ18" s="163">
        <v>36.0</v>
      </c>
      <c r="AR18" s="163">
        <v>15.0</v>
      </c>
      <c r="AS18" s="163">
        <v>29.0</v>
      </c>
      <c r="AT18" s="139">
        <f t="shared" si="4"/>
        <v>236.0</v>
      </c>
      <c r="AU18" s="139">
        <f t="shared" si="5"/>
        <v>120.0</v>
      </c>
      <c r="AV18" s="139">
        <f t="shared" si="6"/>
        <v>132.0</v>
      </c>
      <c r="AW18" s="36">
        <f t="shared" si="92"/>
        <v>22.4</v>
      </c>
      <c r="AX18" s="36">
        <f t="shared" ref="AX18:AX19" si="115">AV18*$AX$4/$AV$4</f>
        <v>21.3333333333333</v>
      </c>
      <c r="AY18" s="36">
        <f t="shared" ref="AY18:AY19" si="116">AV18*$AY$4/$AV$4</f>
        <v>21.3333333333333</v>
      </c>
      <c r="AZ18" s="36">
        <f t="shared" ref="AZ18:AZ19" si="117">AV18*$AZ$4/$AV$4</f>
        <v>18.6666666666667</v>
      </c>
      <c r="BA18" s="36">
        <f t="shared" ref="BA18:BA19" si="118">AV18*$BA$4/$AV$4</f>
        <v>18.6666666666667</v>
      </c>
      <c r="BB18" s="36">
        <f t="shared" ref="BB18:BB19" si="119">AV18*$BB$4/$AV$4</f>
        <v>21.3333333333333</v>
      </c>
      <c r="BC18" s="166">
        <f t="shared" si="13"/>
        <v>123.733333333333</v>
      </c>
      <c r="BD18" s="123">
        <f>VLOOKUP(C18,SOHFEB23,3,false)</f>
        <v>48.0</v>
      </c>
      <c r="BE18" s="167">
        <f>VLOOKUP(D18,VALUEFEB23,4,false)</f>
        <v>6.2354</v>
      </c>
      <c r="BF18" s="124">
        <f t="shared" si="16"/>
        <v>299.2992</v>
      </c>
      <c r="BG18" s="168"/>
      <c r="BH18" s="168">
        <f t="shared" si="78"/>
        <v>-75.733333333333</v>
      </c>
      <c r="BI18" s="123"/>
      <c r="BJ18" s="170"/>
      <c r="BK18" s="36" t="s">
        <v>520</v>
      </c>
      <c r="BL18" s="36">
        <f t="shared" si="79"/>
        <v>48.0</v>
      </c>
      <c r="BM18" s="168"/>
      <c r="BN18" s="168">
        <f t="shared" si="80"/>
        <v>22.4</v>
      </c>
      <c r="BO18" s="168"/>
      <c r="BP18" s="168">
        <f t="shared" si="81"/>
        <v>25.6</v>
      </c>
      <c r="BQ18" s="126">
        <f t="shared" si="17"/>
        <v>159.62624</v>
      </c>
      <c r="BR18" s="168">
        <f t="shared" si="82"/>
        <v>21.3333333333333</v>
      </c>
      <c r="BS18" s="123"/>
      <c r="BT18" s="168">
        <f t="shared" si="83"/>
        <v>4.2666666666667</v>
      </c>
      <c r="BU18" s="126">
        <f t="shared" si="18"/>
        <v>26.6043733333335</v>
      </c>
      <c r="BV18" s="168">
        <f t="shared" si="84"/>
        <v>21.3333333333333</v>
      </c>
      <c r="BW18" s="168"/>
      <c r="BX18" s="168">
        <f t="shared" si="85"/>
        <v>-17.0666666666666</v>
      </c>
      <c r="BY18" s="126">
        <f t="shared" si="19"/>
        <v>-106.417493333332</v>
      </c>
      <c r="BZ18" s="168">
        <f t="shared" si="86"/>
        <v>18.6666666666667</v>
      </c>
      <c r="CA18" s="168"/>
      <c r="CB18" s="168">
        <f t="shared" si="87"/>
        <v>-35.7333333333333</v>
      </c>
      <c r="CC18" s="126">
        <f t="shared" si="20"/>
        <v>-222.811626666666</v>
      </c>
      <c r="CD18" s="168">
        <f t="shared" si="88"/>
        <v>18.6666666666667</v>
      </c>
      <c r="CE18" s="168"/>
      <c r="CF18" s="168">
        <f t="shared" si="89"/>
        <v>-54.4</v>
      </c>
      <c r="CG18" s="126">
        <f t="shared" si="21"/>
        <v>-339.20576</v>
      </c>
      <c r="CH18" s="168">
        <f t="shared" si="90"/>
        <v>21.3333333333333</v>
      </c>
      <c r="CI18" s="168"/>
      <c r="CJ18" s="168">
        <f t="shared" si="91"/>
        <v>-75.7333333333332</v>
      </c>
      <c r="CK18" s="126">
        <f t="shared" si="22"/>
        <v>-472.227626666664</v>
      </c>
      <c r="CL18" s="36">
        <f t="shared" si="98"/>
        <v>75.7333333333332</v>
      </c>
      <c r="CM18" s="36">
        <f t="shared" si="99"/>
        <v>12.6222222222222</v>
      </c>
      <c r="CN18" s="36">
        <f t="shared" si="100"/>
        <v>13.0</v>
      </c>
      <c r="CO18" s="123">
        <f t="shared" si="101"/>
        <v>78.0</v>
      </c>
      <c r="CR18" s="123">
        <f>BX18</f>
        <v>-17.0666666666666</v>
      </c>
      <c r="CS18" s="168">
        <f t="shared" si="55"/>
        <v>2.84444444444443</v>
      </c>
      <c r="CT18" s="36">
        <f t="shared" si="56"/>
        <v>3.0</v>
      </c>
      <c r="CU18" s="123">
        <f t="shared" si="57"/>
        <v>18.0</v>
      </c>
      <c r="CW18" s="172">
        <f t="shared" si="108"/>
        <v>-35.7333333333333</v>
      </c>
      <c r="CX18" s="168">
        <f t="shared" si="109"/>
        <v>5.95555555555554</v>
      </c>
      <c r="CY18" s="36">
        <f t="shared" si="110"/>
        <v>6.0</v>
      </c>
      <c r="CZ18" s="123">
        <f t="shared" si="111"/>
        <v>36.0</v>
      </c>
      <c r="DB18" s="172">
        <f t="shared" si="103"/>
        <v>-54.4</v>
      </c>
      <c r="DC18" s="168">
        <f t="shared" si="104"/>
        <v>9.0666666666666</v>
      </c>
      <c r="DD18" s="36">
        <f t="shared" si="105"/>
        <v>10.0</v>
      </c>
      <c r="DE18" s="123">
        <f t="shared" si="106"/>
        <v>60.0</v>
      </c>
    </row>
    <row r="19">
      <c r="A19" s="163" t="s">
        <v>32</v>
      </c>
      <c r="B19" s="163" t="s">
        <v>53</v>
      </c>
      <c r="C19" s="163" t="s">
        <v>56</v>
      </c>
      <c r="D19" s="164" t="s">
        <v>57</v>
      </c>
      <c r="E19" s="163">
        <v>0.0</v>
      </c>
      <c r="F19" s="163">
        <v>0.0</v>
      </c>
      <c r="G19" s="163">
        <v>0.0</v>
      </c>
      <c r="H19" s="163">
        <v>0.0</v>
      </c>
      <c r="I19" s="163">
        <v>0.0</v>
      </c>
      <c r="J19" s="163">
        <v>0.0</v>
      </c>
      <c r="K19" s="163">
        <v>0.0</v>
      </c>
      <c r="L19" s="163">
        <v>0.0</v>
      </c>
      <c r="M19" s="163">
        <v>0.0</v>
      </c>
      <c r="N19" s="163">
        <v>0.0</v>
      </c>
      <c r="O19" s="163">
        <v>0.0</v>
      </c>
      <c r="P19" s="163">
        <v>0.0</v>
      </c>
      <c r="Q19" s="163">
        <v>0.0</v>
      </c>
      <c r="R19" s="163">
        <v>0.0</v>
      </c>
      <c r="S19" s="163">
        <v>0.0</v>
      </c>
      <c r="T19" s="163">
        <v>0.0</v>
      </c>
      <c r="U19" s="163">
        <v>0.0</v>
      </c>
      <c r="V19" s="163">
        <v>0.0</v>
      </c>
      <c r="W19" s="163">
        <v>0.0</v>
      </c>
      <c r="X19" s="163">
        <v>0.0</v>
      </c>
      <c r="Y19" s="163">
        <v>0.0</v>
      </c>
      <c r="Z19" s="163">
        <v>3.0</v>
      </c>
      <c r="AA19" s="163">
        <v>2.0</v>
      </c>
      <c r="AB19" s="163">
        <v>6.0</v>
      </c>
      <c r="AC19" s="163">
        <v>4.0</v>
      </c>
      <c r="AD19" s="163">
        <v>2.0</v>
      </c>
      <c r="AE19" s="163">
        <v>2.0</v>
      </c>
      <c r="AF19" s="163">
        <v>0.0</v>
      </c>
      <c r="AG19" s="163">
        <v>3.0</v>
      </c>
      <c r="AH19" s="163">
        <v>0.0</v>
      </c>
      <c r="AI19" s="163">
        <v>1.0</v>
      </c>
      <c r="AJ19" s="163">
        <v>0.0</v>
      </c>
      <c r="AK19" s="163">
        <v>0.0</v>
      </c>
      <c r="AL19" s="163">
        <v>0.0</v>
      </c>
      <c r="AM19" s="163">
        <v>4.0</v>
      </c>
      <c r="AN19" s="163">
        <v>1.0</v>
      </c>
      <c r="AO19" s="163">
        <v>2.0</v>
      </c>
      <c r="AP19" s="163">
        <v>0.0</v>
      </c>
      <c r="AQ19" s="163">
        <v>1.0</v>
      </c>
      <c r="AR19" s="163">
        <v>1.0</v>
      </c>
      <c r="AS19" s="163">
        <v>1.0</v>
      </c>
      <c r="AT19" s="139">
        <f t="shared" si="4"/>
        <v>11.0</v>
      </c>
      <c r="AU19" s="139">
        <f t="shared" si="5"/>
        <v>5.0</v>
      </c>
      <c r="AV19" s="139">
        <f t="shared" si="6"/>
        <v>5.5</v>
      </c>
      <c r="AW19" s="165">
        <f>AV19*$AW$4/$AV$4</f>
        <v>0.777777777777778</v>
      </c>
      <c r="AX19" s="165">
        <f t="shared" si="115"/>
        <v>0.888888888888889</v>
      </c>
      <c r="AY19" s="165">
        <f t="shared" si="116"/>
        <v>0.888888888888889</v>
      </c>
      <c r="AZ19" s="165">
        <f t="shared" si="117"/>
        <v>0.777777777777778</v>
      </c>
      <c r="BA19" s="165">
        <f t="shared" si="118"/>
        <v>0.777777777777778</v>
      </c>
      <c r="BB19" s="165">
        <f t="shared" si="119"/>
        <v>0.888888888888889</v>
      </c>
      <c r="BC19" s="166">
        <f t="shared" si="13"/>
        <v>5.0</v>
      </c>
      <c r="BD19" s="123">
        <f>VLOOKUP(C19,SOHFEB23,3,false)</f>
        <v>3.0</v>
      </c>
      <c r="BE19" s="167">
        <f>VLOOKUP(D19,VALUEFEB23,4,false)</f>
        <v>134.54</v>
      </c>
      <c r="BF19" s="124">
        <f t="shared" si="16"/>
        <v>403.62</v>
      </c>
      <c r="BH19" s="168"/>
      <c r="BI19" s="123"/>
      <c r="BM19" s="168"/>
      <c r="BN19" s="168"/>
      <c r="BO19" s="168"/>
      <c r="BP19" s="168">
        <f t="shared" si="81"/>
        <v>0.0</v>
      </c>
      <c r="BQ19" s="126">
        <f t="shared" si="17"/>
        <v>0.0</v>
      </c>
      <c r="BR19" s="168"/>
      <c r="BT19" s="168"/>
      <c r="BU19" s="126">
        <f t="shared" si="18"/>
        <v>0.0</v>
      </c>
      <c r="BV19" s="168"/>
      <c r="BW19" s="168"/>
      <c r="BX19" s="168"/>
      <c r="BY19" s="126">
        <f t="shared" si="19"/>
        <v>0.0</v>
      </c>
      <c r="BZ19" s="168"/>
      <c r="CA19" s="168"/>
      <c r="CB19" s="168"/>
      <c r="CC19" s="126">
        <f t="shared" si="20"/>
        <v>0.0</v>
      </c>
      <c r="CD19" s="168"/>
      <c r="CE19" s="168"/>
      <c r="CF19" s="168"/>
      <c r="CG19" s="126">
        <f t="shared" si="21"/>
        <v>0.0</v>
      </c>
      <c r="CH19" s="168"/>
      <c r="CI19" s="168"/>
      <c r="CJ19" s="168"/>
      <c r="CK19" s="126">
        <f t="shared" si="22"/>
        <v>0.0</v>
      </c>
      <c r="CR19" s="123"/>
      <c r="CS19" s="168">
        <f t="shared" si="55"/>
        <v>0.0</v>
      </c>
      <c r="CT19" s="36">
        <f t="shared" si="56"/>
        <v>0.0</v>
      </c>
      <c r="CU19" s="123">
        <f t="shared" si="57"/>
        <v>0.0</v>
      </c>
    </row>
    <row r="20">
      <c r="A20" s="163" t="s">
        <v>32</v>
      </c>
      <c r="B20" s="163" t="s">
        <v>53</v>
      </c>
      <c r="C20" s="163" t="s">
        <v>54</v>
      </c>
      <c r="D20" s="164" t="s">
        <v>55</v>
      </c>
      <c r="E20" s="163">
        <v>0.0</v>
      </c>
      <c r="F20" s="163">
        <v>0.0</v>
      </c>
      <c r="G20" s="163">
        <v>0.0</v>
      </c>
      <c r="H20" s="163">
        <v>0.0</v>
      </c>
      <c r="I20" s="163">
        <v>0.0</v>
      </c>
      <c r="J20" s="163">
        <v>0.0</v>
      </c>
      <c r="K20" s="163">
        <v>0.0</v>
      </c>
      <c r="L20" s="163">
        <v>0.0</v>
      </c>
      <c r="M20" s="163">
        <v>0.0</v>
      </c>
      <c r="N20" s="163">
        <v>0.0</v>
      </c>
      <c r="O20" s="163">
        <v>0.0</v>
      </c>
      <c r="P20" s="163">
        <v>0.0</v>
      </c>
      <c r="Q20" s="163">
        <v>0.0</v>
      </c>
      <c r="R20" s="163">
        <v>0.0</v>
      </c>
      <c r="S20" s="163">
        <v>0.0</v>
      </c>
      <c r="T20" s="163">
        <v>0.0</v>
      </c>
      <c r="U20" s="163">
        <v>0.0</v>
      </c>
      <c r="V20" s="163">
        <v>0.0</v>
      </c>
      <c r="W20" s="163">
        <v>0.0</v>
      </c>
      <c r="X20" s="163">
        <v>0.0</v>
      </c>
      <c r="Y20" s="163">
        <v>0.0</v>
      </c>
      <c r="Z20" s="163">
        <v>0.0</v>
      </c>
      <c r="AA20" s="163">
        <v>0.0</v>
      </c>
      <c r="AB20" s="163">
        <v>0.0</v>
      </c>
      <c r="AC20" s="163">
        <v>0.0</v>
      </c>
      <c r="AD20" s="163">
        <v>0.0</v>
      </c>
      <c r="AE20" s="163">
        <v>0.0</v>
      </c>
      <c r="AF20" s="163">
        <v>0.0</v>
      </c>
      <c r="AG20" s="163">
        <v>0.0</v>
      </c>
      <c r="AH20" s="163">
        <v>0.0</v>
      </c>
      <c r="AI20" s="163">
        <v>0.0</v>
      </c>
      <c r="AJ20" s="163">
        <v>1.0</v>
      </c>
      <c r="AK20" s="163">
        <v>0.0</v>
      </c>
      <c r="AL20" s="163">
        <v>0.0</v>
      </c>
      <c r="AM20" s="163">
        <v>0.0</v>
      </c>
      <c r="AN20" s="163">
        <v>0.0</v>
      </c>
      <c r="AO20" s="163">
        <v>0.0</v>
      </c>
      <c r="AP20" s="163">
        <v>0.0</v>
      </c>
      <c r="AQ20" s="163">
        <v>0.0</v>
      </c>
      <c r="AR20" s="163">
        <v>0.0</v>
      </c>
      <c r="AS20" s="163">
        <v>0.0</v>
      </c>
      <c r="AT20" s="139">
        <f t="shared" si="4"/>
        <v>1.0</v>
      </c>
      <c r="AU20" s="139">
        <f t="shared" si="5"/>
        <v>1.0</v>
      </c>
      <c r="AV20" s="139">
        <f t="shared" si="6"/>
        <v>1.1</v>
      </c>
      <c r="AW20" s="169">
        <f>AW19</f>
        <v>0.777777777777778</v>
      </c>
      <c r="AX20" s="169">
        <f>AX19</f>
        <v>0.888888888888889</v>
      </c>
      <c r="AY20" s="169">
        <f>AY19</f>
        <v>0.888888888888889</v>
      </c>
      <c r="AZ20" s="169">
        <f>AZ19</f>
        <v>0.777777777777778</v>
      </c>
      <c r="BA20" s="169">
        <f>BA19</f>
        <v>0.777777777777778</v>
      </c>
      <c r="BB20" s="169">
        <f>BB19</f>
        <v>0.888888888888889</v>
      </c>
      <c r="BC20" s="166">
        <f t="shared" si="13"/>
        <v>5.0</v>
      </c>
      <c r="BD20" s="123">
        <f>VLOOKUP(C20,SOHFEB23,3,false)</f>
        <v>105.0</v>
      </c>
      <c r="BE20" s="167">
        <f>VLOOKUP(D20,VALUEFEB23,4,false)</f>
        <v>0.9608</v>
      </c>
      <c r="BF20" s="124">
        <f t="shared" si="16"/>
        <v>100.884</v>
      </c>
      <c r="BH20" s="168">
        <f t="shared" ref="BH20:BH37" si="128">BD20+BG20-BC20</f>
        <v>100.0</v>
      </c>
      <c r="BI20" s="123"/>
      <c r="BL20" s="36">
        <f t="shared" ref="BL20:BL37" si="129">BD20</f>
        <v>105.0</v>
      </c>
      <c r="BM20" s="168"/>
      <c r="BN20" s="168">
        <f t="shared" ref="BN20:BN25" si="130">AW20</f>
        <v>0.777777777777778</v>
      </c>
      <c r="BO20" s="168"/>
      <c r="BP20" s="168">
        <f t="shared" si="81"/>
        <v>104.222222222222</v>
      </c>
      <c r="BQ20" s="126">
        <f t="shared" si="17"/>
        <v>100.13671111111</v>
      </c>
      <c r="BR20" s="168">
        <f t="shared" ref="BR20:BR25" si="131">AX20</f>
        <v>0.888888888888889</v>
      </c>
      <c r="BT20" s="168">
        <f t="shared" ref="BT20:BT25" si="132">BP20-BR20+BS20</f>
        <v>103.333333333333</v>
      </c>
      <c r="BU20" s="126">
        <f t="shared" si="18"/>
        <v>99.2826666666663</v>
      </c>
      <c r="BV20" s="168">
        <f t="shared" ref="BV20:BV25" si="133">AY20</f>
        <v>0.888888888888889</v>
      </c>
      <c r="BW20" s="168"/>
      <c r="BX20" s="168">
        <f t="shared" ref="BX20:BX25" si="134">BT20-BV20+BW20</f>
        <v>102.444444444444</v>
      </c>
      <c r="BY20" s="126">
        <f t="shared" si="19"/>
        <v>98.4286222222218</v>
      </c>
      <c r="BZ20" s="168">
        <f t="shared" ref="BZ20:BZ25" si="135">AZ20</f>
        <v>0.777777777777778</v>
      </c>
      <c r="CA20" s="168"/>
      <c r="CB20" s="168">
        <f t="shared" ref="CB20:CB25" si="136">BX20-BZ20+CA20</f>
        <v>101.666666666666</v>
      </c>
      <c r="CC20" s="126">
        <f t="shared" si="20"/>
        <v>97.6813333333327</v>
      </c>
      <c r="CD20" s="168">
        <f t="shared" ref="CD20:CD25" si="137">BA20</f>
        <v>0.777777777777778</v>
      </c>
      <c r="CE20" s="168"/>
      <c r="CF20" s="168">
        <f t="shared" ref="CF20:CF25" si="138">CB20-CD20+CE20</f>
        <v>100.888888888888</v>
      </c>
      <c r="CG20" s="126">
        <f t="shared" si="21"/>
        <v>96.9340444444436</v>
      </c>
      <c r="CH20" s="168">
        <f t="shared" ref="CH20:CH25" si="139">BB20</f>
        <v>0.888888888888889</v>
      </c>
      <c r="CI20" s="168"/>
      <c r="CJ20" s="168">
        <f t="shared" ref="CJ20:CJ25" si="140">CF20-CH20+CI20</f>
        <v>99.9999999999991</v>
      </c>
      <c r="CK20" s="126">
        <f t="shared" si="22"/>
        <v>96.0799999999991</v>
      </c>
      <c r="CR20" s="123"/>
      <c r="CS20" s="168">
        <f t="shared" si="55"/>
        <v>0.0</v>
      </c>
      <c r="CT20" s="36">
        <f t="shared" si="56"/>
        <v>0.0</v>
      </c>
      <c r="CU20" s="123">
        <f t="shared" si="57"/>
        <v>0.0</v>
      </c>
    </row>
    <row r="21">
      <c r="A21" s="163" t="s">
        <v>32</v>
      </c>
      <c r="B21" s="163" t="s">
        <v>53</v>
      </c>
      <c r="C21" s="163" t="s">
        <v>58</v>
      </c>
      <c r="D21" s="164">
        <v>71101.0</v>
      </c>
      <c r="E21" s="163">
        <v>0.0</v>
      </c>
      <c r="F21" s="163">
        <v>0.0</v>
      </c>
      <c r="G21" s="163">
        <v>0.0</v>
      </c>
      <c r="H21" s="163">
        <v>0.0</v>
      </c>
      <c r="I21" s="163">
        <v>0.0</v>
      </c>
      <c r="J21" s="163">
        <v>0.0</v>
      </c>
      <c r="K21" s="163">
        <v>0.0</v>
      </c>
      <c r="L21" s="163">
        <v>0.0</v>
      </c>
      <c r="M21" s="163">
        <v>0.0</v>
      </c>
      <c r="N21" s="163">
        <v>0.0</v>
      </c>
      <c r="O21" s="163">
        <v>0.0</v>
      </c>
      <c r="P21" s="163">
        <v>0.0</v>
      </c>
      <c r="Q21" s="163">
        <v>0.0</v>
      </c>
      <c r="R21" s="163">
        <v>0.0</v>
      </c>
      <c r="S21" s="163">
        <v>0.0</v>
      </c>
      <c r="T21" s="163">
        <v>0.0</v>
      </c>
      <c r="U21" s="163">
        <v>0.0</v>
      </c>
      <c r="V21" s="163">
        <v>0.0</v>
      </c>
      <c r="W21" s="163">
        <v>0.0</v>
      </c>
      <c r="X21" s="163">
        <v>0.0</v>
      </c>
      <c r="Y21" s="163">
        <v>5.0</v>
      </c>
      <c r="Z21" s="163">
        <v>107.0</v>
      </c>
      <c r="AA21" s="163">
        <v>57.0</v>
      </c>
      <c r="AB21" s="163">
        <v>63.0</v>
      </c>
      <c r="AC21" s="163">
        <v>42.0</v>
      </c>
      <c r="AD21" s="163">
        <v>63.0</v>
      </c>
      <c r="AE21" s="163">
        <v>45.0</v>
      </c>
      <c r="AF21" s="163">
        <v>48.0</v>
      </c>
      <c r="AG21" s="163">
        <v>30.0</v>
      </c>
      <c r="AH21" s="163">
        <v>42.0</v>
      </c>
      <c r="AI21" s="163">
        <v>18.0</v>
      </c>
      <c r="AJ21" s="163">
        <v>42.0</v>
      </c>
      <c r="AK21" s="163">
        <v>16.0</v>
      </c>
      <c r="AL21" s="163">
        <v>33.0</v>
      </c>
      <c r="AM21" s="163">
        <v>24.0</v>
      </c>
      <c r="AN21" s="163">
        <v>32.0</v>
      </c>
      <c r="AO21" s="163">
        <v>12.0</v>
      </c>
      <c r="AP21" s="163">
        <v>27.0</v>
      </c>
      <c r="AQ21" s="163">
        <v>30.0</v>
      </c>
      <c r="AR21" s="163">
        <v>21.0</v>
      </c>
      <c r="AS21" s="163">
        <v>18.0</v>
      </c>
      <c r="AT21" s="139">
        <f t="shared" si="4"/>
        <v>315.0</v>
      </c>
      <c r="AU21" s="139">
        <f t="shared" si="5"/>
        <v>175.0</v>
      </c>
      <c r="AV21" s="139">
        <f t="shared" si="6"/>
        <v>192.5</v>
      </c>
      <c r="AW21" s="36">
        <f t="shared" ref="AW21:AW25" si="141">AV21*$AW$4/$AV$4+3*$AW$19</f>
        <v>29.5555555555555</v>
      </c>
      <c r="AX21" s="36">
        <f t="shared" ref="AX21:AX25" si="142">AV21*$AX$4/$AV$4+3*$AX$19</f>
        <v>33.7777777777778</v>
      </c>
      <c r="AY21" s="36">
        <f t="shared" ref="AY21:AY25" si="143">AV21*$AY$4/$AV$4+3*$AY$19</f>
        <v>33.7777777777778</v>
      </c>
      <c r="AZ21" s="36">
        <f t="shared" ref="AZ21:AZ25" si="144">AV21*$AZ$4/$AV$4+3*$AZ$19</f>
        <v>29.5555555555555</v>
      </c>
      <c r="BA21" s="36">
        <f t="shared" ref="BA21:BA25" si="145">AV21*$BA$4/$AV$4+3*$BA$19</f>
        <v>29.5555555555555</v>
      </c>
      <c r="BB21" s="36">
        <f t="shared" ref="BB21:BB25" si="146">AV21*$BB$4/$AV$4+3*$BB$19</f>
        <v>33.7777777777778</v>
      </c>
      <c r="BC21" s="166">
        <f t="shared" si="13"/>
        <v>190.0</v>
      </c>
      <c r="BD21" s="123">
        <f>VLOOKUP(C21,SOHFEB23,3,false)</f>
        <v>127.0</v>
      </c>
      <c r="BE21" s="167">
        <f>VLOOKUP(D21,VALUEFEB23,4,false)</f>
        <v>8.6987</v>
      </c>
      <c r="BF21" s="124">
        <f t="shared" si="16"/>
        <v>1104.7349</v>
      </c>
      <c r="BG21" s="168"/>
      <c r="BH21" s="168">
        <f t="shared" si="128"/>
        <v>-63.0</v>
      </c>
      <c r="BI21" s="123"/>
      <c r="BJ21" s="170"/>
      <c r="BK21" s="36" t="s">
        <v>5</v>
      </c>
      <c r="BL21" s="36">
        <f t="shared" si="129"/>
        <v>127.0</v>
      </c>
      <c r="BM21" s="168"/>
      <c r="BN21" s="168">
        <f t="shared" si="130"/>
        <v>29.5555555555555</v>
      </c>
      <c r="BO21" s="168"/>
      <c r="BP21" s="168">
        <f t="shared" si="81"/>
        <v>97.4444444444445</v>
      </c>
      <c r="BQ21" s="126">
        <f t="shared" si="17"/>
        <v>847.639988888889</v>
      </c>
      <c r="BR21" s="168">
        <f t="shared" si="131"/>
        <v>33.7777777777778</v>
      </c>
      <c r="BS21" s="123"/>
      <c r="BT21" s="168">
        <f t="shared" si="132"/>
        <v>63.6666666666667</v>
      </c>
      <c r="BU21" s="126">
        <f t="shared" si="18"/>
        <v>553.817233333333</v>
      </c>
      <c r="BV21" s="168">
        <f t="shared" si="133"/>
        <v>33.7777777777778</v>
      </c>
      <c r="BW21" s="168"/>
      <c r="BX21" s="168">
        <f t="shared" si="134"/>
        <v>29.8888888888889</v>
      </c>
      <c r="BY21" s="126">
        <f t="shared" si="19"/>
        <v>259.994477777778</v>
      </c>
      <c r="BZ21" s="168">
        <f t="shared" si="135"/>
        <v>29.5555555555555</v>
      </c>
      <c r="CA21" s="168"/>
      <c r="CB21" s="168">
        <f t="shared" si="136"/>
        <v>0.3333333333334</v>
      </c>
      <c r="CC21" s="126">
        <f t="shared" si="20"/>
        <v>2.89956666666724</v>
      </c>
      <c r="CD21" s="168">
        <f t="shared" si="137"/>
        <v>29.5555555555555</v>
      </c>
      <c r="CE21" s="168"/>
      <c r="CF21" s="168">
        <f t="shared" si="138"/>
        <v>-29.2222222222221</v>
      </c>
      <c r="CG21" s="126">
        <f t="shared" si="21"/>
        <v>-254.195344444443</v>
      </c>
      <c r="CH21" s="168">
        <f t="shared" si="139"/>
        <v>33.7777777777778</v>
      </c>
      <c r="CI21" s="168"/>
      <c r="CJ21" s="168">
        <f t="shared" si="140"/>
        <v>-62.9999999999999</v>
      </c>
      <c r="CK21" s="126">
        <f t="shared" si="22"/>
        <v>-548.018099999999</v>
      </c>
      <c r="CL21" s="36">
        <f>CJ21*-1</f>
        <v>62.9999999999999</v>
      </c>
      <c r="CM21" s="36">
        <f>CL21/6</f>
        <v>10.5</v>
      </c>
      <c r="CN21" s="36">
        <f>ROUNDUP(CM21,0)</f>
        <v>11.0</v>
      </c>
      <c r="CO21" s="123">
        <f>CN21*6</f>
        <v>66.0</v>
      </c>
      <c r="CR21" s="123">
        <f>CF21</f>
        <v>-29.2222222222221</v>
      </c>
      <c r="CS21" s="168">
        <f t="shared" si="55"/>
        <v>4.87037037037035</v>
      </c>
      <c r="CT21" s="36">
        <f t="shared" si="56"/>
        <v>5.0</v>
      </c>
      <c r="CU21" s="123">
        <f t="shared" si="57"/>
        <v>30.0</v>
      </c>
      <c r="DB21" s="172">
        <f>CF21</f>
        <v>-29.2222222222221</v>
      </c>
      <c r="DC21" s="168">
        <f>(DB21/6)*-1</f>
        <v>4.87037037037035</v>
      </c>
      <c r="DD21" s="36">
        <f>ROUNDUP(DC21,0)</f>
        <v>5.0</v>
      </c>
      <c r="DE21" s="123">
        <f>DD21*6</f>
        <v>30.0</v>
      </c>
    </row>
    <row r="22">
      <c r="A22" s="163" t="s">
        <v>32</v>
      </c>
      <c r="B22" s="163" t="s">
        <v>53</v>
      </c>
      <c r="C22" s="163" t="s">
        <v>59</v>
      </c>
      <c r="D22" s="164">
        <v>71201.0</v>
      </c>
      <c r="E22" s="163">
        <v>0.0</v>
      </c>
      <c r="F22" s="163">
        <v>0.0</v>
      </c>
      <c r="G22" s="163">
        <v>0.0</v>
      </c>
      <c r="H22" s="163">
        <v>0.0</v>
      </c>
      <c r="I22" s="163">
        <v>0.0</v>
      </c>
      <c r="J22" s="163">
        <v>0.0</v>
      </c>
      <c r="K22" s="163">
        <v>0.0</v>
      </c>
      <c r="L22" s="163">
        <v>0.0</v>
      </c>
      <c r="M22" s="163">
        <v>0.0</v>
      </c>
      <c r="N22" s="163">
        <v>0.0</v>
      </c>
      <c r="O22" s="163">
        <v>0.0</v>
      </c>
      <c r="P22" s="163">
        <v>0.0</v>
      </c>
      <c r="Q22" s="163">
        <v>0.0</v>
      </c>
      <c r="R22" s="163">
        <v>0.0</v>
      </c>
      <c r="S22" s="163">
        <v>0.0</v>
      </c>
      <c r="T22" s="163">
        <v>0.0</v>
      </c>
      <c r="U22" s="163">
        <v>34.0</v>
      </c>
      <c r="V22" s="163">
        <v>33.0</v>
      </c>
      <c r="W22" s="163">
        <v>9.0</v>
      </c>
      <c r="X22" s="163">
        <v>6.0</v>
      </c>
      <c r="Y22" s="163">
        <v>3.0</v>
      </c>
      <c r="Z22" s="163">
        <v>24.0</v>
      </c>
      <c r="AA22" s="163">
        <v>10.0</v>
      </c>
      <c r="AB22" s="163">
        <v>9.0</v>
      </c>
      <c r="AC22" s="163">
        <v>3.0</v>
      </c>
      <c r="AD22" s="163">
        <v>6.0</v>
      </c>
      <c r="AE22" s="163">
        <v>12.0</v>
      </c>
      <c r="AF22" s="163">
        <v>3.0</v>
      </c>
      <c r="AG22" s="163">
        <v>0.0</v>
      </c>
      <c r="AH22" s="163">
        <v>6.0</v>
      </c>
      <c r="AI22" s="163">
        <v>9.0</v>
      </c>
      <c r="AJ22" s="163">
        <v>3.0</v>
      </c>
      <c r="AK22" s="163">
        <v>0.0</v>
      </c>
      <c r="AL22" s="163">
        <v>3.0</v>
      </c>
      <c r="AM22" s="163">
        <v>0.0</v>
      </c>
      <c r="AN22" s="163">
        <v>4.0</v>
      </c>
      <c r="AO22" s="163">
        <v>0.0</v>
      </c>
      <c r="AP22" s="163">
        <v>6.0</v>
      </c>
      <c r="AQ22" s="163">
        <v>0.0</v>
      </c>
      <c r="AR22" s="163">
        <v>3.0</v>
      </c>
      <c r="AS22" s="163">
        <v>4.0</v>
      </c>
      <c r="AT22" s="139">
        <f t="shared" si="4"/>
        <v>38.0</v>
      </c>
      <c r="AU22" s="139">
        <f t="shared" si="5"/>
        <v>21.0</v>
      </c>
      <c r="AV22" s="139">
        <f t="shared" si="6"/>
        <v>23.1</v>
      </c>
      <c r="AW22" s="36">
        <f t="shared" si="141"/>
        <v>5.6</v>
      </c>
      <c r="AX22" s="36">
        <f t="shared" si="142"/>
        <v>6.4</v>
      </c>
      <c r="AY22" s="36">
        <f t="shared" si="143"/>
        <v>6.4</v>
      </c>
      <c r="AZ22" s="36">
        <f t="shared" si="144"/>
        <v>5.6</v>
      </c>
      <c r="BA22" s="36">
        <f t="shared" si="145"/>
        <v>5.6</v>
      </c>
      <c r="BB22" s="36">
        <f t="shared" si="146"/>
        <v>6.4</v>
      </c>
      <c r="BC22" s="166">
        <f t="shared" si="13"/>
        <v>36.0</v>
      </c>
      <c r="BD22" s="123">
        <f>VLOOKUP(C22,SOHFEB23,3,false)</f>
        <v>258.0</v>
      </c>
      <c r="BE22" s="167">
        <f>VLOOKUP(D22,VALUEFEB23,4,false)</f>
        <v>7.2071</v>
      </c>
      <c r="BF22" s="124">
        <f t="shared" si="16"/>
        <v>1859.4318</v>
      </c>
      <c r="BH22" s="168">
        <f t="shared" si="128"/>
        <v>222.0</v>
      </c>
      <c r="BI22" s="123"/>
      <c r="BL22" s="36">
        <f t="shared" si="129"/>
        <v>258.0</v>
      </c>
      <c r="BM22" s="168"/>
      <c r="BN22" s="168">
        <f t="shared" si="130"/>
        <v>5.6</v>
      </c>
      <c r="BO22" s="168"/>
      <c r="BP22" s="168">
        <f t="shared" si="81"/>
        <v>252.4</v>
      </c>
      <c r="BQ22" s="126">
        <f t="shared" si="17"/>
        <v>1819.07204</v>
      </c>
      <c r="BR22" s="168">
        <f t="shared" si="131"/>
        <v>6.4</v>
      </c>
      <c r="BT22" s="168">
        <f t="shared" si="132"/>
        <v>246.0</v>
      </c>
      <c r="BU22" s="126">
        <f t="shared" si="18"/>
        <v>1772.9466</v>
      </c>
      <c r="BV22" s="168">
        <f t="shared" si="133"/>
        <v>6.4</v>
      </c>
      <c r="BW22" s="168"/>
      <c r="BX22" s="168">
        <f t="shared" si="134"/>
        <v>239.6</v>
      </c>
      <c r="BY22" s="126">
        <f t="shared" si="19"/>
        <v>1726.82116</v>
      </c>
      <c r="BZ22" s="168">
        <f t="shared" si="135"/>
        <v>5.6</v>
      </c>
      <c r="CA22" s="168"/>
      <c r="CB22" s="168">
        <f t="shared" si="136"/>
        <v>234.0</v>
      </c>
      <c r="CC22" s="126">
        <f t="shared" si="20"/>
        <v>1686.4614</v>
      </c>
      <c r="CD22" s="168">
        <f t="shared" si="137"/>
        <v>5.6</v>
      </c>
      <c r="CE22" s="168"/>
      <c r="CF22" s="168">
        <f t="shared" si="138"/>
        <v>228.4</v>
      </c>
      <c r="CG22" s="126">
        <f t="shared" si="21"/>
        <v>1646.10164</v>
      </c>
      <c r="CH22" s="168">
        <f t="shared" si="139"/>
        <v>6.4</v>
      </c>
      <c r="CI22" s="168"/>
      <c r="CJ22" s="168">
        <f t="shared" si="140"/>
        <v>222.0</v>
      </c>
      <c r="CK22" s="126">
        <f t="shared" si="22"/>
        <v>1599.9762</v>
      </c>
      <c r="CR22" s="123"/>
      <c r="CS22" s="168">
        <f t="shared" si="55"/>
        <v>0.0</v>
      </c>
      <c r="CT22" s="36">
        <f t="shared" si="56"/>
        <v>0.0</v>
      </c>
      <c r="CU22" s="123">
        <f t="shared" si="57"/>
        <v>0.0</v>
      </c>
    </row>
    <row r="23">
      <c r="A23" s="163" t="s">
        <v>32</v>
      </c>
      <c r="B23" s="163" t="s">
        <v>53</v>
      </c>
      <c r="C23" s="163" t="s">
        <v>60</v>
      </c>
      <c r="D23" s="164">
        <v>71301.0</v>
      </c>
      <c r="E23" s="163">
        <v>0.0</v>
      </c>
      <c r="F23" s="163">
        <v>0.0</v>
      </c>
      <c r="G23" s="163">
        <v>0.0</v>
      </c>
      <c r="H23" s="163">
        <v>0.0</v>
      </c>
      <c r="I23" s="163">
        <v>0.0</v>
      </c>
      <c r="J23" s="163">
        <v>0.0</v>
      </c>
      <c r="K23" s="163">
        <v>0.0</v>
      </c>
      <c r="L23" s="163">
        <v>0.0</v>
      </c>
      <c r="M23" s="163">
        <v>0.0</v>
      </c>
      <c r="N23" s="163">
        <v>0.0</v>
      </c>
      <c r="O23" s="163">
        <v>0.0</v>
      </c>
      <c r="P23" s="163">
        <v>0.0</v>
      </c>
      <c r="Q23" s="163">
        <v>0.0</v>
      </c>
      <c r="R23" s="163">
        <v>0.0</v>
      </c>
      <c r="S23" s="163">
        <v>0.0</v>
      </c>
      <c r="T23" s="163">
        <v>0.0</v>
      </c>
      <c r="U23" s="163">
        <v>0.0</v>
      </c>
      <c r="V23" s="163">
        <v>0.0</v>
      </c>
      <c r="W23" s="163">
        <v>0.0</v>
      </c>
      <c r="X23" s="163">
        <v>0.0</v>
      </c>
      <c r="Y23" s="163">
        <v>5.0</v>
      </c>
      <c r="Z23" s="163">
        <v>61.0</v>
      </c>
      <c r="AA23" s="163">
        <v>33.0</v>
      </c>
      <c r="AB23" s="163">
        <v>33.0</v>
      </c>
      <c r="AC23" s="163">
        <v>36.0</v>
      </c>
      <c r="AD23" s="163">
        <v>27.0</v>
      </c>
      <c r="AE23" s="163">
        <v>24.0</v>
      </c>
      <c r="AF23" s="163">
        <v>18.0</v>
      </c>
      <c r="AG23" s="163">
        <v>21.0</v>
      </c>
      <c r="AH23" s="163">
        <v>15.0</v>
      </c>
      <c r="AI23" s="163">
        <v>6.0</v>
      </c>
      <c r="AJ23" s="163">
        <v>15.0</v>
      </c>
      <c r="AK23" s="163">
        <v>0.0</v>
      </c>
      <c r="AL23" s="163">
        <v>24.0</v>
      </c>
      <c r="AM23" s="163">
        <v>0.0</v>
      </c>
      <c r="AN23" s="163">
        <v>18.0</v>
      </c>
      <c r="AO23" s="163">
        <v>9.0</v>
      </c>
      <c r="AP23" s="163">
        <v>12.0</v>
      </c>
      <c r="AQ23" s="163">
        <v>9.0</v>
      </c>
      <c r="AR23" s="163">
        <v>9.0</v>
      </c>
      <c r="AS23" s="163">
        <v>11.0</v>
      </c>
      <c r="AT23" s="139">
        <f t="shared" si="4"/>
        <v>128.0</v>
      </c>
      <c r="AU23" s="139">
        <f t="shared" si="5"/>
        <v>60.0</v>
      </c>
      <c r="AV23" s="139">
        <f t="shared" si="6"/>
        <v>66.0</v>
      </c>
      <c r="AW23" s="36">
        <f t="shared" si="141"/>
        <v>11.6666666666667</v>
      </c>
      <c r="AX23" s="36">
        <f t="shared" si="142"/>
        <v>13.3333333333333</v>
      </c>
      <c r="AY23" s="36">
        <f t="shared" si="143"/>
        <v>13.3333333333333</v>
      </c>
      <c r="AZ23" s="36">
        <f t="shared" si="144"/>
        <v>11.6666666666667</v>
      </c>
      <c r="BA23" s="36">
        <f t="shared" si="145"/>
        <v>11.6666666666667</v>
      </c>
      <c r="BB23" s="36">
        <f t="shared" si="146"/>
        <v>13.3333333333333</v>
      </c>
      <c r="BC23" s="166">
        <f t="shared" si="13"/>
        <v>75.0</v>
      </c>
      <c r="BD23" s="123">
        <f>VLOOKUP(C23,SOHFEB23,3,false)</f>
        <v>65.0</v>
      </c>
      <c r="BE23" s="167">
        <f>VLOOKUP(D23,VALUEFEB23,4,false)</f>
        <v>8.8102</v>
      </c>
      <c r="BF23" s="124">
        <f t="shared" si="16"/>
        <v>572.663</v>
      </c>
      <c r="BG23" s="168"/>
      <c r="BH23" s="168">
        <f t="shared" si="128"/>
        <v>-10.0</v>
      </c>
      <c r="BI23" s="123"/>
      <c r="BJ23" s="170"/>
      <c r="BK23" s="171" t="s">
        <v>6</v>
      </c>
      <c r="BL23" s="36">
        <f t="shared" si="129"/>
        <v>65.0</v>
      </c>
      <c r="BM23" s="168"/>
      <c r="BN23" s="168">
        <f t="shared" si="130"/>
        <v>11.6666666666667</v>
      </c>
      <c r="BO23" s="168"/>
      <c r="BP23" s="168">
        <f t="shared" si="81"/>
        <v>53.3333333333333</v>
      </c>
      <c r="BQ23" s="126">
        <f t="shared" si="17"/>
        <v>469.877333333333</v>
      </c>
      <c r="BR23" s="168">
        <f t="shared" si="131"/>
        <v>13.3333333333333</v>
      </c>
      <c r="BS23" s="123"/>
      <c r="BT23" s="168">
        <f t="shared" si="132"/>
        <v>40.0</v>
      </c>
      <c r="BU23" s="126">
        <f t="shared" si="18"/>
        <v>352.408</v>
      </c>
      <c r="BV23" s="168">
        <f t="shared" si="133"/>
        <v>13.3333333333333</v>
      </c>
      <c r="BW23" s="168"/>
      <c r="BX23" s="168">
        <f t="shared" si="134"/>
        <v>26.6666666666667</v>
      </c>
      <c r="BY23" s="126">
        <f t="shared" si="19"/>
        <v>234.938666666667</v>
      </c>
      <c r="BZ23" s="168">
        <f t="shared" si="135"/>
        <v>11.6666666666667</v>
      </c>
      <c r="CA23" s="168"/>
      <c r="CB23" s="168">
        <f t="shared" si="136"/>
        <v>15.0</v>
      </c>
      <c r="CC23" s="126">
        <f t="shared" si="20"/>
        <v>132.153</v>
      </c>
      <c r="CD23" s="168">
        <f t="shared" si="137"/>
        <v>11.6666666666667</v>
      </c>
      <c r="CE23" s="168"/>
      <c r="CF23" s="168">
        <f t="shared" si="138"/>
        <v>3.3333333333333</v>
      </c>
      <c r="CG23" s="126">
        <f t="shared" si="21"/>
        <v>29.367333333333</v>
      </c>
      <c r="CH23" s="168">
        <f t="shared" si="139"/>
        <v>13.3333333333333</v>
      </c>
      <c r="CI23" s="168"/>
      <c r="CJ23" s="168">
        <f t="shared" si="140"/>
        <v>-10.0</v>
      </c>
      <c r="CK23" s="126">
        <f t="shared" si="22"/>
        <v>-88.102</v>
      </c>
      <c r="CL23" s="36">
        <f t="shared" ref="CL23:CL24" si="156">CJ23*-1</f>
        <v>10.0</v>
      </c>
      <c r="CM23" s="36">
        <f t="shared" ref="CM23:CM24" si="157">CL23/6</f>
        <v>1.66666666666667</v>
      </c>
      <c r="CN23" s="36">
        <f t="shared" ref="CN23:CN24" si="158">ROUNDUP(CM23,0)</f>
        <v>2.0</v>
      </c>
      <c r="CO23" s="123">
        <f t="shared" ref="CO23:CO24" si="159">CN23*6</f>
        <v>12.0</v>
      </c>
      <c r="CR23" s="123">
        <f>CF23</f>
        <v>3.3333333333333</v>
      </c>
      <c r="CS23" s="168">
        <f t="shared" si="55"/>
        <v>-0.55555555555555</v>
      </c>
      <c r="CT23" s="36">
        <f t="shared" si="56"/>
        <v>-1.0</v>
      </c>
      <c r="CU23" s="123">
        <f t="shared" si="57"/>
        <v>-6.0</v>
      </c>
    </row>
    <row r="24">
      <c r="A24" s="163" t="s">
        <v>32</v>
      </c>
      <c r="B24" s="163" t="s">
        <v>53</v>
      </c>
      <c r="C24" s="163" t="s">
        <v>61</v>
      </c>
      <c r="D24" s="164">
        <v>71401.0</v>
      </c>
      <c r="E24" s="163">
        <v>0.0</v>
      </c>
      <c r="F24" s="163">
        <v>0.0</v>
      </c>
      <c r="G24" s="163">
        <v>0.0</v>
      </c>
      <c r="H24" s="163">
        <v>0.0</v>
      </c>
      <c r="I24" s="163">
        <v>0.0</v>
      </c>
      <c r="J24" s="163">
        <v>0.0</v>
      </c>
      <c r="K24" s="163">
        <v>0.0</v>
      </c>
      <c r="L24" s="163">
        <v>0.0</v>
      </c>
      <c r="M24" s="163">
        <v>0.0</v>
      </c>
      <c r="N24" s="163">
        <v>0.0</v>
      </c>
      <c r="O24" s="163">
        <v>0.0</v>
      </c>
      <c r="P24" s="163">
        <v>0.0</v>
      </c>
      <c r="Q24" s="163">
        <v>0.0</v>
      </c>
      <c r="R24" s="163">
        <v>0.0</v>
      </c>
      <c r="S24" s="163">
        <v>0.0</v>
      </c>
      <c r="T24" s="163">
        <v>0.0</v>
      </c>
      <c r="U24" s="163">
        <v>0.0</v>
      </c>
      <c r="V24" s="163">
        <v>0.0</v>
      </c>
      <c r="W24" s="163">
        <v>0.0</v>
      </c>
      <c r="X24" s="163">
        <v>0.0</v>
      </c>
      <c r="Y24" s="163">
        <v>5.0</v>
      </c>
      <c r="Z24" s="163">
        <v>79.0</v>
      </c>
      <c r="AA24" s="163">
        <v>39.0</v>
      </c>
      <c r="AB24" s="163">
        <v>30.0</v>
      </c>
      <c r="AC24" s="163">
        <v>27.0</v>
      </c>
      <c r="AD24" s="163">
        <v>15.0</v>
      </c>
      <c r="AE24" s="163">
        <v>15.0</v>
      </c>
      <c r="AF24" s="163">
        <v>24.0</v>
      </c>
      <c r="AG24" s="163">
        <v>12.0</v>
      </c>
      <c r="AH24" s="163">
        <v>18.0</v>
      </c>
      <c r="AI24" s="163">
        <v>9.0</v>
      </c>
      <c r="AJ24" s="163">
        <v>15.0</v>
      </c>
      <c r="AK24" s="163">
        <v>3.0</v>
      </c>
      <c r="AL24" s="163">
        <v>15.0</v>
      </c>
      <c r="AM24" s="163">
        <v>21.0</v>
      </c>
      <c r="AN24" s="163">
        <v>22.0</v>
      </c>
      <c r="AO24" s="163">
        <v>15.0</v>
      </c>
      <c r="AP24" s="163">
        <v>42.0</v>
      </c>
      <c r="AQ24" s="163">
        <v>18.0</v>
      </c>
      <c r="AR24" s="163">
        <v>3.0</v>
      </c>
      <c r="AS24" s="163">
        <v>7.0</v>
      </c>
      <c r="AT24" s="139">
        <f t="shared" si="4"/>
        <v>188.0</v>
      </c>
      <c r="AU24" s="139">
        <f t="shared" si="5"/>
        <v>81.0</v>
      </c>
      <c r="AV24" s="139">
        <f t="shared" si="6"/>
        <v>89.1</v>
      </c>
      <c r="AW24" s="36">
        <f t="shared" si="141"/>
        <v>14.9333333333333</v>
      </c>
      <c r="AX24" s="36">
        <f t="shared" si="142"/>
        <v>17.0666666666667</v>
      </c>
      <c r="AY24" s="36">
        <f t="shared" si="143"/>
        <v>17.0666666666667</v>
      </c>
      <c r="AZ24" s="36">
        <f t="shared" si="144"/>
        <v>14.9333333333333</v>
      </c>
      <c r="BA24" s="36">
        <f t="shared" si="145"/>
        <v>14.9333333333333</v>
      </c>
      <c r="BB24" s="36">
        <f t="shared" si="146"/>
        <v>17.0666666666667</v>
      </c>
      <c r="BC24" s="166">
        <f t="shared" si="13"/>
        <v>96.0</v>
      </c>
      <c r="BD24" s="123">
        <f>VLOOKUP(C24,SOHFEB23,3,false)</f>
        <v>94.0</v>
      </c>
      <c r="BE24" s="167">
        <f>VLOOKUP(D24,VALUEFEB23,4,false)</f>
        <v>9.1455</v>
      </c>
      <c r="BF24" s="124">
        <f t="shared" si="16"/>
        <v>859.677</v>
      </c>
      <c r="BH24" s="168">
        <f t="shared" si="128"/>
        <v>-2.0</v>
      </c>
      <c r="BI24" s="123"/>
      <c r="BJ24" s="170"/>
      <c r="BK24" s="171" t="s">
        <v>6</v>
      </c>
      <c r="BL24" s="36">
        <f t="shared" si="129"/>
        <v>94.0</v>
      </c>
      <c r="BM24" s="168"/>
      <c r="BN24" s="168">
        <f t="shared" si="130"/>
        <v>14.9333333333333</v>
      </c>
      <c r="BO24" s="168"/>
      <c r="BP24" s="168">
        <f t="shared" si="81"/>
        <v>79.0666666666667</v>
      </c>
      <c r="BQ24" s="126">
        <f t="shared" si="17"/>
        <v>723.1042</v>
      </c>
      <c r="BR24" s="168">
        <f t="shared" si="131"/>
        <v>17.0666666666667</v>
      </c>
      <c r="BT24" s="168">
        <f t="shared" si="132"/>
        <v>62.0</v>
      </c>
      <c r="BU24" s="126">
        <f t="shared" si="18"/>
        <v>567.021</v>
      </c>
      <c r="BV24" s="168">
        <f t="shared" si="133"/>
        <v>17.0666666666667</v>
      </c>
      <c r="BW24" s="168"/>
      <c r="BX24" s="168">
        <f t="shared" si="134"/>
        <v>44.9333333333333</v>
      </c>
      <c r="BY24" s="126">
        <f t="shared" si="19"/>
        <v>410.9378</v>
      </c>
      <c r="BZ24" s="168">
        <f t="shared" si="135"/>
        <v>14.9333333333333</v>
      </c>
      <c r="CA24" s="168"/>
      <c r="CB24" s="168">
        <f t="shared" si="136"/>
        <v>30.0</v>
      </c>
      <c r="CC24" s="126">
        <f t="shared" si="20"/>
        <v>274.365</v>
      </c>
      <c r="CD24" s="168">
        <f t="shared" si="137"/>
        <v>14.9333333333333</v>
      </c>
      <c r="CE24" s="168"/>
      <c r="CF24" s="168">
        <f t="shared" si="138"/>
        <v>15.0666666666667</v>
      </c>
      <c r="CG24" s="126">
        <f t="shared" si="21"/>
        <v>137.7922</v>
      </c>
      <c r="CH24" s="168">
        <f t="shared" si="139"/>
        <v>17.0666666666667</v>
      </c>
      <c r="CI24" s="168"/>
      <c r="CJ24" s="168">
        <f t="shared" si="140"/>
        <v>-1.99999999999998</v>
      </c>
      <c r="CK24" s="126">
        <f t="shared" si="22"/>
        <v>-18.2909999999998</v>
      </c>
      <c r="CL24" s="36">
        <f t="shared" si="156"/>
        <v>1.99999999999998</v>
      </c>
      <c r="CM24" s="36">
        <f t="shared" si="157"/>
        <v>0.33333333333333</v>
      </c>
      <c r="CN24" s="36">
        <f t="shared" si="158"/>
        <v>1.0</v>
      </c>
      <c r="CO24" s="123">
        <f t="shared" si="159"/>
        <v>6.0</v>
      </c>
      <c r="CR24" s="123"/>
      <c r="CS24" s="168">
        <f t="shared" si="55"/>
        <v>0.0</v>
      </c>
      <c r="CT24" s="36">
        <f t="shared" si="56"/>
        <v>0.0</v>
      </c>
      <c r="CU24" s="123">
        <f t="shared" si="57"/>
        <v>0.0</v>
      </c>
    </row>
    <row r="25">
      <c r="A25" s="163" t="s">
        <v>32</v>
      </c>
      <c r="B25" s="163" t="s">
        <v>53</v>
      </c>
      <c r="C25" s="163" t="s">
        <v>62</v>
      </c>
      <c r="D25" s="164">
        <v>71501.0</v>
      </c>
      <c r="E25" s="163">
        <v>0.0</v>
      </c>
      <c r="F25" s="163">
        <v>0.0</v>
      </c>
      <c r="G25" s="163">
        <v>0.0</v>
      </c>
      <c r="H25" s="163">
        <v>0.0</v>
      </c>
      <c r="I25" s="163">
        <v>0.0</v>
      </c>
      <c r="J25" s="163">
        <v>0.0</v>
      </c>
      <c r="K25" s="163">
        <v>0.0</v>
      </c>
      <c r="L25" s="163">
        <v>0.0</v>
      </c>
      <c r="M25" s="163">
        <v>0.0</v>
      </c>
      <c r="N25" s="163">
        <v>0.0</v>
      </c>
      <c r="O25" s="163">
        <v>0.0</v>
      </c>
      <c r="P25" s="163">
        <v>0.0</v>
      </c>
      <c r="Q25" s="163">
        <v>0.0</v>
      </c>
      <c r="R25" s="163">
        <v>0.0</v>
      </c>
      <c r="S25" s="163">
        <v>0.0</v>
      </c>
      <c r="T25" s="163">
        <v>0.0</v>
      </c>
      <c r="U25" s="163">
        <v>43.0</v>
      </c>
      <c r="V25" s="163">
        <v>90.0</v>
      </c>
      <c r="W25" s="163">
        <v>30.0</v>
      </c>
      <c r="X25" s="163">
        <v>6.0</v>
      </c>
      <c r="Y25" s="163">
        <v>15.0</v>
      </c>
      <c r="Z25" s="163">
        <v>36.0</v>
      </c>
      <c r="AA25" s="163">
        <v>7.0</v>
      </c>
      <c r="AB25" s="163">
        <v>15.0</v>
      </c>
      <c r="AC25" s="163">
        <v>21.0</v>
      </c>
      <c r="AD25" s="163">
        <v>6.0</v>
      </c>
      <c r="AE25" s="163">
        <v>9.0</v>
      </c>
      <c r="AF25" s="163">
        <v>21.0</v>
      </c>
      <c r="AG25" s="163">
        <v>6.0</v>
      </c>
      <c r="AH25" s="163">
        <v>9.0</v>
      </c>
      <c r="AI25" s="163">
        <v>3.0</v>
      </c>
      <c r="AJ25" s="163">
        <v>18.0</v>
      </c>
      <c r="AK25" s="163">
        <v>0.0</v>
      </c>
      <c r="AL25" s="163">
        <v>9.0</v>
      </c>
      <c r="AM25" s="163">
        <v>12.0</v>
      </c>
      <c r="AN25" s="163">
        <v>0.0</v>
      </c>
      <c r="AO25" s="163">
        <v>0.0</v>
      </c>
      <c r="AP25" s="163">
        <v>12.0</v>
      </c>
      <c r="AQ25" s="163">
        <v>6.0</v>
      </c>
      <c r="AR25" s="163">
        <v>6.0</v>
      </c>
      <c r="AS25" s="163">
        <v>4.0</v>
      </c>
      <c r="AT25" s="139">
        <f t="shared" si="4"/>
        <v>79.0</v>
      </c>
      <c r="AU25" s="139">
        <f t="shared" si="5"/>
        <v>51.0</v>
      </c>
      <c r="AV25" s="139">
        <f t="shared" si="6"/>
        <v>56.1</v>
      </c>
      <c r="AW25" s="36">
        <f t="shared" si="141"/>
        <v>10.2666666666667</v>
      </c>
      <c r="AX25" s="36">
        <f t="shared" si="142"/>
        <v>11.7333333333333</v>
      </c>
      <c r="AY25" s="36">
        <f t="shared" si="143"/>
        <v>11.7333333333333</v>
      </c>
      <c r="AZ25" s="36">
        <f t="shared" si="144"/>
        <v>10.2666666666667</v>
      </c>
      <c r="BA25" s="36">
        <f t="shared" si="145"/>
        <v>10.2666666666667</v>
      </c>
      <c r="BB25" s="36">
        <f t="shared" si="146"/>
        <v>11.7333333333333</v>
      </c>
      <c r="BC25" s="166">
        <f t="shared" si="13"/>
        <v>66.0</v>
      </c>
      <c r="BD25" s="123">
        <f>VLOOKUP(C25,SOHFEB23,3,false)</f>
        <v>214.0</v>
      </c>
      <c r="BE25" s="167">
        <f>VLOOKUP(D25,VALUEFEB23,4,false)</f>
        <v>9.6024</v>
      </c>
      <c r="BF25" s="124">
        <f t="shared" si="16"/>
        <v>2054.9136</v>
      </c>
      <c r="BH25" s="168">
        <f t="shared" si="128"/>
        <v>148.0</v>
      </c>
      <c r="BI25" s="123"/>
      <c r="BL25" s="36">
        <f t="shared" si="129"/>
        <v>214.0</v>
      </c>
      <c r="BM25" s="168"/>
      <c r="BN25" s="168">
        <f t="shared" si="130"/>
        <v>10.2666666666667</v>
      </c>
      <c r="BO25" s="168"/>
      <c r="BP25" s="168">
        <f t="shared" si="81"/>
        <v>203.733333333333</v>
      </c>
      <c r="BQ25" s="126">
        <f t="shared" si="17"/>
        <v>1956.32896</v>
      </c>
      <c r="BR25" s="168">
        <f t="shared" si="131"/>
        <v>11.7333333333333</v>
      </c>
      <c r="BT25" s="168">
        <f t="shared" si="132"/>
        <v>192.0</v>
      </c>
      <c r="BU25" s="126">
        <f t="shared" si="18"/>
        <v>1843.6608</v>
      </c>
      <c r="BV25" s="168">
        <f t="shared" si="133"/>
        <v>11.7333333333333</v>
      </c>
      <c r="BW25" s="168"/>
      <c r="BX25" s="168">
        <f t="shared" si="134"/>
        <v>180.266666666667</v>
      </c>
      <c r="BY25" s="126">
        <f t="shared" si="19"/>
        <v>1730.99264</v>
      </c>
      <c r="BZ25" s="168">
        <f t="shared" si="135"/>
        <v>10.2666666666667</v>
      </c>
      <c r="CA25" s="168"/>
      <c r="CB25" s="168">
        <f t="shared" si="136"/>
        <v>170.0</v>
      </c>
      <c r="CC25" s="126">
        <f t="shared" si="20"/>
        <v>1632.408</v>
      </c>
      <c r="CD25" s="168">
        <f t="shared" si="137"/>
        <v>10.2666666666667</v>
      </c>
      <c r="CE25" s="168"/>
      <c r="CF25" s="168">
        <f t="shared" si="138"/>
        <v>159.733333333333</v>
      </c>
      <c r="CG25" s="126">
        <f t="shared" si="21"/>
        <v>1533.82336</v>
      </c>
      <c r="CH25" s="168">
        <f t="shared" si="139"/>
        <v>11.7333333333333</v>
      </c>
      <c r="CI25" s="168"/>
      <c r="CJ25" s="168">
        <f t="shared" si="140"/>
        <v>148.0</v>
      </c>
      <c r="CK25" s="126">
        <f t="shared" si="22"/>
        <v>1421.1552</v>
      </c>
      <c r="CR25" s="123"/>
      <c r="CS25" s="168">
        <f t="shared" si="55"/>
        <v>0.0</v>
      </c>
      <c r="CT25" s="36">
        <f t="shared" si="56"/>
        <v>0.0</v>
      </c>
      <c r="CU25" s="123">
        <f t="shared" si="57"/>
        <v>0.0</v>
      </c>
    </row>
    <row r="26">
      <c r="A26" s="175" t="s">
        <v>32</v>
      </c>
      <c r="B26" s="175" t="s">
        <v>63</v>
      </c>
      <c r="C26" s="175" t="s">
        <v>66</v>
      </c>
      <c r="D26" s="176" t="s">
        <v>67</v>
      </c>
      <c r="E26" s="163">
        <v>6.0</v>
      </c>
      <c r="F26" s="163">
        <v>2.0</v>
      </c>
      <c r="G26" s="163">
        <v>2.0</v>
      </c>
      <c r="H26" s="163">
        <v>0.0</v>
      </c>
      <c r="I26" s="163">
        <v>4.0</v>
      </c>
      <c r="J26" s="163">
        <v>4.0</v>
      </c>
      <c r="K26" s="163">
        <v>1.0</v>
      </c>
      <c r="L26" s="163">
        <v>7.0</v>
      </c>
      <c r="M26" s="163">
        <v>2.0</v>
      </c>
      <c r="N26" s="163">
        <v>0.0</v>
      </c>
      <c r="O26" s="163">
        <v>1.0</v>
      </c>
      <c r="P26" s="163">
        <v>1.0</v>
      </c>
      <c r="Q26" s="163">
        <v>3.0</v>
      </c>
      <c r="R26" s="163">
        <v>0.0</v>
      </c>
      <c r="S26" s="163">
        <v>0.0</v>
      </c>
      <c r="T26" s="163">
        <v>2.0</v>
      </c>
      <c r="U26" s="163">
        <v>1.0</v>
      </c>
      <c r="V26" s="163">
        <v>5.0</v>
      </c>
      <c r="W26" s="163">
        <v>1.0</v>
      </c>
      <c r="X26" s="163">
        <v>0.0</v>
      </c>
      <c r="Y26" s="163">
        <v>2.0</v>
      </c>
      <c r="Z26" s="163">
        <v>1.0</v>
      </c>
      <c r="AA26" s="163">
        <v>0.0</v>
      </c>
      <c r="AB26" s="163">
        <v>2.0</v>
      </c>
      <c r="AC26" s="163">
        <v>3.0</v>
      </c>
      <c r="AD26" s="163">
        <v>2.0</v>
      </c>
      <c r="AE26" s="163">
        <v>0.0</v>
      </c>
      <c r="AF26" s="163">
        <v>1.0</v>
      </c>
      <c r="AG26" s="163">
        <v>0.0</v>
      </c>
      <c r="AH26" s="163">
        <v>1.0</v>
      </c>
      <c r="AI26" s="163">
        <v>0.0</v>
      </c>
      <c r="AJ26" s="163">
        <v>2.0</v>
      </c>
      <c r="AK26" s="163">
        <v>1.0</v>
      </c>
      <c r="AL26" s="163">
        <v>3.0</v>
      </c>
      <c r="AM26" s="163">
        <v>0.0</v>
      </c>
      <c r="AN26" s="163">
        <v>0.0</v>
      </c>
      <c r="AO26" s="163">
        <v>0.0</v>
      </c>
      <c r="AP26" s="163">
        <v>0.0</v>
      </c>
      <c r="AQ26" s="163">
        <v>0.0</v>
      </c>
      <c r="AR26" s="163">
        <v>0.0</v>
      </c>
      <c r="AS26" s="163">
        <v>0.0</v>
      </c>
      <c r="AT26" s="139">
        <f t="shared" si="4"/>
        <v>7.0</v>
      </c>
      <c r="AU26" s="139">
        <f t="shared" si="5"/>
        <v>7.0</v>
      </c>
      <c r="AV26" s="139">
        <f t="shared" si="6"/>
        <v>7.7</v>
      </c>
      <c r="BC26" s="166">
        <f t="shared" si="13"/>
        <v>0.0</v>
      </c>
      <c r="BD26" s="123">
        <f>VLOOKUP(C26,SOHFEB23,3,false)</f>
        <v>0.0</v>
      </c>
      <c r="BE26" s="167">
        <f>VLOOKUP(D26,VALUEFEB23,4,false)</f>
      </c>
      <c r="BF26" s="124">
        <f t="shared" si="16"/>
        <v>0.0</v>
      </c>
      <c r="BH26" s="168">
        <f t="shared" si="128"/>
        <v>0.0</v>
      </c>
      <c r="BI26" s="123"/>
      <c r="BK26" s="177"/>
      <c r="BL26" s="36">
        <f t="shared" si="129"/>
        <v>0.0</v>
      </c>
      <c r="BM26" s="168"/>
      <c r="BN26" s="168"/>
      <c r="BO26" s="168"/>
      <c r="BP26" s="168"/>
      <c r="BQ26" s="126"/>
      <c r="BR26" s="168"/>
      <c r="BT26" s="168"/>
      <c r="BU26" s="126"/>
      <c r="BV26" s="168"/>
      <c r="BW26" s="168"/>
      <c r="BX26" s="168"/>
      <c r="BY26" s="126"/>
      <c r="BZ26" s="168"/>
      <c r="CA26" s="168"/>
      <c r="CB26" s="168"/>
      <c r="CC26" s="126"/>
      <c r="CD26" s="168"/>
      <c r="CE26" s="168"/>
      <c r="CF26" s="168"/>
      <c r="CG26" s="126"/>
      <c r="CH26" s="168"/>
      <c r="CI26" s="168"/>
      <c r="CJ26" s="168"/>
      <c r="CK26" s="126"/>
      <c r="CR26" s="123"/>
      <c r="CS26" s="168">
        <f t="shared" si="55"/>
        <v>0.0</v>
      </c>
      <c r="CT26" s="36">
        <f t="shared" si="56"/>
        <v>0.0</v>
      </c>
      <c r="CU26" s="123">
        <f t="shared" si="57"/>
        <v>0.0</v>
      </c>
    </row>
    <row r="27">
      <c r="A27" s="175" t="s">
        <v>32</v>
      </c>
      <c r="B27" s="175" t="s">
        <v>63</v>
      </c>
      <c r="C27" s="175" t="s">
        <v>64</v>
      </c>
      <c r="D27" s="176" t="s">
        <v>65</v>
      </c>
      <c r="E27" s="163">
        <v>0.0</v>
      </c>
      <c r="F27" s="163">
        <v>0.0</v>
      </c>
      <c r="G27" s="163">
        <v>2.0</v>
      </c>
      <c r="H27" s="163">
        <v>0.0</v>
      </c>
      <c r="I27" s="163">
        <v>0.0</v>
      </c>
      <c r="J27" s="163">
        <v>0.0</v>
      </c>
      <c r="K27" s="163">
        <v>0.0</v>
      </c>
      <c r="L27" s="163">
        <v>0.0</v>
      </c>
      <c r="M27" s="163">
        <v>0.0</v>
      </c>
      <c r="N27" s="163">
        <v>0.0</v>
      </c>
      <c r="O27" s="163">
        <v>0.0</v>
      </c>
      <c r="P27" s="163">
        <v>1.0</v>
      </c>
      <c r="Q27" s="163">
        <v>0.0</v>
      </c>
      <c r="R27" s="163">
        <v>0.0</v>
      </c>
      <c r="S27" s="163">
        <v>0.0</v>
      </c>
      <c r="T27" s="163">
        <v>0.0</v>
      </c>
      <c r="U27" s="163">
        <v>0.0</v>
      </c>
      <c r="V27" s="163">
        <v>0.0</v>
      </c>
      <c r="W27" s="163">
        <v>1.0</v>
      </c>
      <c r="X27" s="163">
        <v>0.0</v>
      </c>
      <c r="Y27" s="163">
        <v>0.0</v>
      </c>
      <c r="Z27" s="163">
        <v>0.0</v>
      </c>
      <c r="AA27" s="163">
        <v>0.0</v>
      </c>
      <c r="AB27" s="163">
        <v>0.0</v>
      </c>
      <c r="AC27" s="163">
        <v>0.0</v>
      </c>
      <c r="AD27" s="163">
        <v>0.0</v>
      </c>
      <c r="AE27" s="163">
        <v>0.0</v>
      </c>
      <c r="AF27" s="163">
        <v>0.0</v>
      </c>
      <c r="AG27" s="163">
        <v>0.0</v>
      </c>
      <c r="AH27" s="163">
        <v>0.0</v>
      </c>
      <c r="AI27" s="163">
        <v>0.0</v>
      </c>
      <c r="AJ27" s="163">
        <v>0.0</v>
      </c>
      <c r="AK27" s="163">
        <v>0.0</v>
      </c>
      <c r="AL27" s="163">
        <v>0.0</v>
      </c>
      <c r="AM27" s="163">
        <v>0.0</v>
      </c>
      <c r="AN27" s="163">
        <v>0.0</v>
      </c>
      <c r="AO27" s="163">
        <v>0.0</v>
      </c>
      <c r="AP27" s="163">
        <v>0.0</v>
      </c>
      <c r="AQ27" s="163">
        <v>0.0</v>
      </c>
      <c r="AR27" s="163">
        <v>0.0</v>
      </c>
      <c r="AS27" s="163">
        <v>0.0</v>
      </c>
      <c r="AT27" s="139">
        <f t="shared" si="4"/>
        <v>0.0</v>
      </c>
      <c r="AU27" s="139">
        <f t="shared" si="5"/>
        <v>0.0</v>
      </c>
      <c r="AV27" s="139">
        <f t="shared" si="6"/>
        <v>0.0</v>
      </c>
      <c r="AW27" s="168"/>
      <c r="AX27" s="168"/>
      <c r="AY27" s="168"/>
      <c r="AZ27" s="168"/>
      <c r="BA27" s="168"/>
      <c r="BB27" s="168"/>
      <c r="BC27" s="166">
        <f t="shared" si="13"/>
        <v>0.0</v>
      </c>
      <c r="BD27" s="123">
        <f>VLOOKUP(C27,SOHFEB23,3,false)</f>
        <v>0.0</v>
      </c>
      <c r="BE27" s="167">
        <f>VLOOKUP(D27,VALUEFEB23,4,false)</f>
      </c>
      <c r="BF27" s="124">
        <f t="shared" si="16"/>
        <v>0.0</v>
      </c>
      <c r="BH27" s="168">
        <f t="shared" si="128"/>
        <v>0.0</v>
      </c>
      <c r="BI27" s="123"/>
      <c r="BK27" s="177"/>
      <c r="BL27" s="36">
        <f t="shared" si="129"/>
        <v>0.0</v>
      </c>
      <c r="BM27" s="168"/>
      <c r="BN27" s="168"/>
      <c r="BO27" s="168"/>
      <c r="BP27" s="168"/>
      <c r="BQ27" s="126"/>
      <c r="BR27" s="168"/>
      <c r="BT27" s="168"/>
      <c r="BU27" s="126"/>
      <c r="BV27" s="168"/>
      <c r="BW27" s="168"/>
      <c r="BX27" s="168"/>
      <c r="BY27" s="126"/>
      <c r="BZ27" s="168"/>
      <c r="CA27" s="168"/>
      <c r="CB27" s="168"/>
      <c r="CC27" s="126"/>
      <c r="CD27" s="168"/>
      <c r="CE27" s="168"/>
      <c r="CF27" s="168"/>
      <c r="CG27" s="126"/>
      <c r="CH27" s="168"/>
      <c r="CI27" s="168"/>
      <c r="CJ27" s="168"/>
      <c r="CK27" s="126"/>
      <c r="CR27" s="123"/>
      <c r="CS27" s="168">
        <f t="shared" si="55"/>
        <v>0.0</v>
      </c>
      <c r="CT27" s="36">
        <f t="shared" si="56"/>
        <v>0.0</v>
      </c>
      <c r="CU27" s="123">
        <f t="shared" si="57"/>
        <v>0.0</v>
      </c>
    </row>
    <row r="28">
      <c r="A28" s="175" t="s">
        <v>32</v>
      </c>
      <c r="B28" s="175" t="s">
        <v>63</v>
      </c>
      <c r="C28" s="175" t="s">
        <v>68</v>
      </c>
      <c r="D28" s="176">
        <v>41201.0</v>
      </c>
      <c r="E28" s="163">
        <v>24.0</v>
      </c>
      <c r="F28" s="163">
        <v>20.0</v>
      </c>
      <c r="G28" s="163">
        <v>34.0</v>
      </c>
      <c r="H28" s="163">
        <v>0.0</v>
      </c>
      <c r="I28" s="163">
        <v>13.0</v>
      </c>
      <c r="J28" s="163">
        <v>17.0</v>
      </c>
      <c r="K28" s="163">
        <v>8.0</v>
      </c>
      <c r="L28" s="163">
        <v>7.0</v>
      </c>
      <c r="M28" s="163">
        <v>10.0</v>
      </c>
      <c r="N28" s="163">
        <v>8.0</v>
      </c>
      <c r="O28" s="163">
        <v>30.0</v>
      </c>
      <c r="P28" s="163">
        <v>15.0</v>
      </c>
      <c r="Q28" s="163">
        <v>3.0</v>
      </c>
      <c r="R28" s="163">
        <v>15.0</v>
      </c>
      <c r="S28" s="163">
        <v>11.0</v>
      </c>
      <c r="T28" s="163">
        <v>39.0</v>
      </c>
      <c r="U28" s="163">
        <v>6.0</v>
      </c>
      <c r="V28" s="163">
        <v>15.0</v>
      </c>
      <c r="W28" s="163">
        <v>9.0</v>
      </c>
      <c r="X28" s="163">
        <v>51.0</v>
      </c>
      <c r="Y28" s="163">
        <v>9.0</v>
      </c>
      <c r="Z28" s="163">
        <v>6.0</v>
      </c>
      <c r="AA28" s="163">
        <v>3.0</v>
      </c>
      <c r="AB28" s="163">
        <v>9.0</v>
      </c>
      <c r="AC28" s="163">
        <v>15.0</v>
      </c>
      <c r="AD28" s="163">
        <v>24.0</v>
      </c>
      <c r="AE28" s="163">
        <v>28.0</v>
      </c>
      <c r="AF28" s="163">
        <v>18.0</v>
      </c>
      <c r="AG28" s="163">
        <v>9.0</v>
      </c>
      <c r="AH28" s="163">
        <v>6.0</v>
      </c>
      <c r="AI28" s="163">
        <v>6.0</v>
      </c>
      <c r="AJ28" s="163">
        <v>9.0</v>
      </c>
      <c r="AK28" s="163">
        <v>6.0</v>
      </c>
      <c r="AL28" s="163">
        <v>7.0</v>
      </c>
      <c r="AM28" s="163">
        <v>3.0</v>
      </c>
      <c r="AN28" s="163">
        <v>8.0</v>
      </c>
      <c r="AO28" s="163">
        <v>0.0</v>
      </c>
      <c r="AP28" s="163">
        <v>0.0</v>
      </c>
      <c r="AQ28" s="163">
        <v>0.0</v>
      </c>
      <c r="AR28" s="163">
        <v>0.0</v>
      </c>
      <c r="AS28" s="163">
        <v>4.0</v>
      </c>
      <c r="AT28" s="139">
        <f t="shared" si="4"/>
        <v>49.0</v>
      </c>
      <c r="AU28" s="139">
        <f t="shared" si="5"/>
        <v>37.0</v>
      </c>
      <c r="AV28" s="139">
        <f t="shared" si="6"/>
        <v>40.7</v>
      </c>
      <c r="BC28" s="166">
        <f t="shared" si="13"/>
        <v>0.0</v>
      </c>
      <c r="BD28" s="123">
        <f>VLOOKUP(C28,SOHFEB23,3,false)</f>
        <v>0.0</v>
      </c>
      <c r="BE28" s="167">
        <f>VLOOKUP(D28,VALUEFEB23,4,false)</f>
      </c>
      <c r="BF28" s="124">
        <f t="shared" si="16"/>
        <v>0.0</v>
      </c>
      <c r="BH28" s="168">
        <f t="shared" si="128"/>
        <v>0.0</v>
      </c>
      <c r="BI28" s="123"/>
      <c r="BJ28" s="170"/>
      <c r="BK28" s="177"/>
      <c r="BL28" s="36">
        <f t="shared" si="129"/>
        <v>0.0</v>
      </c>
      <c r="BM28" s="168"/>
      <c r="BN28" s="168"/>
      <c r="BO28" s="168"/>
      <c r="BP28" s="168"/>
      <c r="BQ28" s="126"/>
      <c r="BR28" s="168"/>
      <c r="BS28" s="123"/>
      <c r="BT28" s="168"/>
      <c r="BU28" s="126"/>
      <c r="BV28" s="168"/>
      <c r="BW28" s="168"/>
      <c r="BX28" s="168"/>
      <c r="BY28" s="126"/>
      <c r="BZ28" s="168"/>
      <c r="CA28" s="168"/>
      <c r="CB28" s="168"/>
      <c r="CC28" s="126"/>
      <c r="CD28" s="168"/>
      <c r="CE28" s="168"/>
      <c r="CF28" s="168"/>
      <c r="CG28" s="126"/>
      <c r="CH28" s="168"/>
      <c r="CI28" s="168"/>
      <c r="CJ28" s="168"/>
      <c r="CK28" s="126"/>
      <c r="CL28" s="36">
        <f t="shared" ref="CL28:CL32" si="161">CJ28*-1</f>
        <v>0.0</v>
      </c>
      <c r="CM28" s="36">
        <f t="shared" ref="CM28:CM32" si="162">CL28/6</f>
        <v>0.0</v>
      </c>
      <c r="CN28" s="36">
        <f t="shared" ref="CN28:CN32" si="163">ROUNDUP(CM28,0)</f>
        <v>0.0</v>
      </c>
      <c r="CO28" s="123">
        <f t="shared" ref="CO28:CO32" si="164">CN28*6</f>
        <v>0.0</v>
      </c>
      <c r="CR28" s="123"/>
      <c r="CS28" s="168">
        <f t="shared" si="55"/>
        <v>0.0</v>
      </c>
      <c r="CT28" s="36">
        <f t="shared" si="56"/>
        <v>0.0</v>
      </c>
      <c r="CU28" s="123">
        <f t="shared" si="57"/>
        <v>0.0</v>
      </c>
    </row>
    <row r="29">
      <c r="A29" s="175" t="s">
        <v>32</v>
      </c>
      <c r="B29" s="175" t="s">
        <v>63</v>
      </c>
      <c r="C29" s="175" t="s">
        <v>69</v>
      </c>
      <c r="D29" s="176">
        <v>41202.0</v>
      </c>
      <c r="E29" s="163">
        <v>22.0</v>
      </c>
      <c r="F29" s="163">
        <v>21.0</v>
      </c>
      <c r="G29" s="163">
        <v>15.0</v>
      </c>
      <c r="H29" s="163">
        <v>12.0</v>
      </c>
      <c r="I29" s="163">
        <v>15.0</v>
      </c>
      <c r="J29" s="163">
        <v>15.0</v>
      </c>
      <c r="K29" s="163">
        <v>16.0</v>
      </c>
      <c r="L29" s="163">
        <v>10.0</v>
      </c>
      <c r="M29" s="163">
        <v>4.0</v>
      </c>
      <c r="N29" s="163">
        <v>4.0</v>
      </c>
      <c r="O29" s="163">
        <v>12.0</v>
      </c>
      <c r="P29" s="163">
        <v>9.0</v>
      </c>
      <c r="Q29" s="163">
        <v>7.0</v>
      </c>
      <c r="R29" s="163">
        <v>15.0</v>
      </c>
      <c r="S29" s="163">
        <v>31.0</v>
      </c>
      <c r="T29" s="163">
        <v>21.0</v>
      </c>
      <c r="U29" s="163">
        <v>18.0</v>
      </c>
      <c r="V29" s="163">
        <v>3.0</v>
      </c>
      <c r="W29" s="163">
        <v>9.0</v>
      </c>
      <c r="X29" s="163">
        <v>36.0</v>
      </c>
      <c r="Y29" s="163">
        <v>0.0</v>
      </c>
      <c r="Z29" s="163">
        <v>9.0</v>
      </c>
      <c r="AA29" s="163">
        <v>3.0</v>
      </c>
      <c r="AB29" s="163">
        <v>6.0</v>
      </c>
      <c r="AC29" s="163">
        <v>21.0</v>
      </c>
      <c r="AD29" s="163">
        <v>17.0</v>
      </c>
      <c r="AE29" s="163">
        <v>15.0</v>
      </c>
      <c r="AF29" s="163">
        <v>16.0</v>
      </c>
      <c r="AG29" s="163">
        <v>9.0</v>
      </c>
      <c r="AH29" s="163">
        <v>9.0</v>
      </c>
      <c r="AI29" s="163">
        <v>3.0</v>
      </c>
      <c r="AJ29" s="163">
        <v>6.0</v>
      </c>
      <c r="AK29" s="163">
        <v>0.0</v>
      </c>
      <c r="AL29" s="163">
        <v>9.0</v>
      </c>
      <c r="AM29" s="163">
        <v>12.0</v>
      </c>
      <c r="AN29" s="163">
        <v>0.0</v>
      </c>
      <c r="AO29" s="163">
        <v>0.0</v>
      </c>
      <c r="AP29" s="163">
        <v>0.0</v>
      </c>
      <c r="AQ29" s="163">
        <v>0.0</v>
      </c>
      <c r="AR29" s="163">
        <v>0.0</v>
      </c>
      <c r="AS29" s="163">
        <v>0.0</v>
      </c>
      <c r="AT29" s="139">
        <f t="shared" si="4"/>
        <v>39.0</v>
      </c>
      <c r="AU29" s="139">
        <f t="shared" si="5"/>
        <v>39.0</v>
      </c>
      <c r="AV29" s="139">
        <f t="shared" si="6"/>
        <v>42.9</v>
      </c>
      <c r="BC29" s="166">
        <f t="shared" si="13"/>
        <v>0.0</v>
      </c>
      <c r="BD29" s="123">
        <f>VLOOKUP(C29,SOHFEB23,3,false)</f>
        <v>0.0</v>
      </c>
      <c r="BE29" s="167">
        <f>VLOOKUP(D29,VALUEFEB23,4,false)</f>
      </c>
      <c r="BF29" s="124">
        <f t="shared" si="16"/>
        <v>0.0</v>
      </c>
      <c r="BH29" s="168">
        <f t="shared" si="128"/>
        <v>0.0</v>
      </c>
      <c r="BI29" s="123"/>
      <c r="BJ29" s="170"/>
      <c r="BK29" s="177"/>
      <c r="BL29" s="36">
        <f t="shared" si="129"/>
        <v>0.0</v>
      </c>
      <c r="BM29" s="168"/>
      <c r="BN29" s="168"/>
      <c r="BO29" s="168"/>
      <c r="BP29" s="168"/>
      <c r="BQ29" s="126"/>
      <c r="BR29" s="168"/>
      <c r="BS29" s="123"/>
      <c r="BT29" s="168"/>
      <c r="BU29" s="126"/>
      <c r="BV29" s="168"/>
      <c r="BW29" s="168"/>
      <c r="BX29" s="168"/>
      <c r="BY29" s="126"/>
      <c r="BZ29" s="168"/>
      <c r="CA29" s="168"/>
      <c r="CB29" s="168"/>
      <c r="CC29" s="126"/>
      <c r="CD29" s="168"/>
      <c r="CE29" s="168"/>
      <c r="CF29" s="168"/>
      <c r="CG29" s="126"/>
      <c r="CH29" s="168"/>
      <c r="CI29" s="168"/>
      <c r="CJ29" s="168"/>
      <c r="CK29" s="126"/>
      <c r="CL29" s="36">
        <f t="shared" si="161"/>
        <v>0.0</v>
      </c>
      <c r="CM29" s="36">
        <f t="shared" si="162"/>
        <v>0.0</v>
      </c>
      <c r="CN29" s="36">
        <f t="shared" si="163"/>
        <v>0.0</v>
      </c>
      <c r="CO29" s="123">
        <f t="shared" si="164"/>
        <v>0.0</v>
      </c>
      <c r="CR29" s="123"/>
      <c r="CS29" s="168">
        <f t="shared" si="55"/>
        <v>0.0</v>
      </c>
      <c r="CT29" s="36">
        <f t="shared" si="56"/>
        <v>0.0</v>
      </c>
      <c r="CU29" s="123">
        <f t="shared" si="57"/>
        <v>0.0</v>
      </c>
    </row>
    <row r="30">
      <c r="A30" s="175" t="s">
        <v>32</v>
      </c>
      <c r="B30" s="175" t="s">
        <v>63</v>
      </c>
      <c r="C30" s="175" t="s">
        <v>70</v>
      </c>
      <c r="D30" s="176">
        <v>41205.0</v>
      </c>
      <c r="E30" s="163">
        <v>6.0</v>
      </c>
      <c r="F30" s="163">
        <v>10.0</v>
      </c>
      <c r="G30" s="163">
        <v>10.0</v>
      </c>
      <c r="H30" s="163">
        <v>1.0</v>
      </c>
      <c r="I30" s="163">
        <v>5.0</v>
      </c>
      <c r="J30" s="163">
        <v>11.0</v>
      </c>
      <c r="K30" s="163">
        <v>7.0</v>
      </c>
      <c r="L30" s="163">
        <v>1.0</v>
      </c>
      <c r="M30" s="163">
        <v>5.0</v>
      </c>
      <c r="N30" s="163">
        <v>10.0</v>
      </c>
      <c r="O30" s="163">
        <v>4.0</v>
      </c>
      <c r="P30" s="163">
        <v>9.0</v>
      </c>
      <c r="Q30" s="163">
        <v>6.0</v>
      </c>
      <c r="R30" s="163">
        <v>7.0</v>
      </c>
      <c r="S30" s="163">
        <v>15.0</v>
      </c>
      <c r="T30" s="163">
        <v>17.0</v>
      </c>
      <c r="U30" s="163">
        <v>7.0</v>
      </c>
      <c r="V30" s="163">
        <v>6.0</v>
      </c>
      <c r="W30" s="163">
        <v>0.0</v>
      </c>
      <c r="X30" s="163">
        <v>29.0</v>
      </c>
      <c r="Y30" s="163">
        <v>6.0</v>
      </c>
      <c r="Z30" s="163">
        <v>9.0</v>
      </c>
      <c r="AA30" s="163">
        <v>-6.0</v>
      </c>
      <c r="AB30" s="163">
        <v>6.0</v>
      </c>
      <c r="AC30" s="163">
        <v>0.0</v>
      </c>
      <c r="AD30" s="163">
        <v>12.0</v>
      </c>
      <c r="AE30" s="163">
        <v>6.0</v>
      </c>
      <c r="AF30" s="163">
        <v>7.0</v>
      </c>
      <c r="AG30" s="163">
        <v>0.0</v>
      </c>
      <c r="AH30" s="163">
        <v>3.0</v>
      </c>
      <c r="AI30" s="163">
        <v>3.0</v>
      </c>
      <c r="AJ30" s="163">
        <v>4.0</v>
      </c>
      <c r="AK30" s="163">
        <v>0.0</v>
      </c>
      <c r="AL30" s="163">
        <v>3.0</v>
      </c>
      <c r="AM30" s="163">
        <v>7.0</v>
      </c>
      <c r="AN30" s="163">
        <v>1.0</v>
      </c>
      <c r="AO30" s="163">
        <v>0.0</v>
      </c>
      <c r="AP30" s="163">
        <v>0.0</v>
      </c>
      <c r="AQ30" s="163">
        <v>0.0</v>
      </c>
      <c r="AR30" s="163">
        <v>0.0</v>
      </c>
      <c r="AS30" s="163">
        <v>4.0</v>
      </c>
      <c r="AT30" s="139">
        <f t="shared" si="4"/>
        <v>25.0</v>
      </c>
      <c r="AU30" s="139">
        <f t="shared" si="5"/>
        <v>20.0</v>
      </c>
      <c r="AV30" s="139">
        <f t="shared" si="6"/>
        <v>22.0</v>
      </c>
      <c r="BC30" s="166">
        <f t="shared" si="13"/>
        <v>0.0</v>
      </c>
      <c r="BD30" s="123">
        <f>VLOOKUP(C30,SOHFEB23,3,false)</f>
        <v>0.0</v>
      </c>
      <c r="BE30" s="167">
        <f>VLOOKUP(D30,VALUEFEB23,4,false)</f>
      </c>
      <c r="BF30" s="124">
        <f t="shared" si="16"/>
        <v>0.0</v>
      </c>
      <c r="BH30" s="168">
        <f t="shared" si="128"/>
        <v>0.0</v>
      </c>
      <c r="BI30" s="123"/>
      <c r="BJ30" s="170"/>
      <c r="BK30" s="177"/>
      <c r="BL30" s="36">
        <f t="shared" si="129"/>
        <v>0.0</v>
      </c>
      <c r="BM30" s="168"/>
      <c r="BN30" s="168"/>
      <c r="BO30" s="168"/>
      <c r="BP30" s="168"/>
      <c r="BQ30" s="126"/>
      <c r="BR30" s="168"/>
      <c r="BS30" s="123"/>
      <c r="BT30" s="168"/>
      <c r="BU30" s="126"/>
      <c r="BV30" s="168"/>
      <c r="BW30" s="168"/>
      <c r="BX30" s="168"/>
      <c r="BY30" s="126"/>
      <c r="BZ30" s="168"/>
      <c r="CA30" s="168"/>
      <c r="CB30" s="168"/>
      <c r="CC30" s="126"/>
      <c r="CD30" s="168"/>
      <c r="CE30" s="168"/>
      <c r="CF30" s="168"/>
      <c r="CG30" s="126"/>
      <c r="CH30" s="168"/>
      <c r="CI30" s="168"/>
      <c r="CJ30" s="168"/>
      <c r="CK30" s="126"/>
      <c r="CL30" s="36">
        <f t="shared" si="161"/>
        <v>0.0</v>
      </c>
      <c r="CM30" s="36">
        <f t="shared" si="162"/>
        <v>0.0</v>
      </c>
      <c r="CN30" s="36">
        <f t="shared" si="163"/>
        <v>0.0</v>
      </c>
      <c r="CO30" s="123">
        <f t="shared" si="164"/>
        <v>0.0</v>
      </c>
      <c r="CR30" s="123"/>
      <c r="CS30" s="168">
        <f t="shared" si="55"/>
        <v>0.0</v>
      </c>
      <c r="CT30" s="36">
        <f t="shared" si="56"/>
        <v>0.0</v>
      </c>
      <c r="CU30" s="123">
        <f t="shared" si="57"/>
        <v>0.0</v>
      </c>
    </row>
    <row r="31">
      <c r="A31" s="175" t="s">
        <v>32</v>
      </c>
      <c r="B31" s="175" t="s">
        <v>63</v>
      </c>
      <c r="C31" s="175" t="s">
        <v>71</v>
      </c>
      <c r="D31" s="176">
        <v>41233.0</v>
      </c>
      <c r="E31" s="163">
        <v>0.0</v>
      </c>
      <c r="F31" s="163">
        <v>0.0</v>
      </c>
      <c r="G31" s="163">
        <v>0.0</v>
      </c>
      <c r="H31" s="163">
        <v>0.0</v>
      </c>
      <c r="I31" s="163">
        <v>3.0</v>
      </c>
      <c r="J31" s="163">
        <v>9.0</v>
      </c>
      <c r="K31" s="163">
        <v>6.0</v>
      </c>
      <c r="L31" s="163">
        <v>6.0</v>
      </c>
      <c r="M31" s="163">
        <v>6.0</v>
      </c>
      <c r="N31" s="163">
        <v>15.0</v>
      </c>
      <c r="O31" s="163">
        <v>6.0</v>
      </c>
      <c r="P31" s="163">
        <v>3.0</v>
      </c>
      <c r="Q31" s="163">
        <v>6.0</v>
      </c>
      <c r="R31" s="163">
        <v>6.0</v>
      </c>
      <c r="S31" s="163">
        <v>36.0</v>
      </c>
      <c r="T31" s="163">
        <v>0.0</v>
      </c>
      <c r="U31" s="163">
        <v>21.0</v>
      </c>
      <c r="V31" s="163">
        <v>12.0</v>
      </c>
      <c r="W31" s="163">
        <v>6.0</v>
      </c>
      <c r="X31" s="163">
        <v>6.0</v>
      </c>
      <c r="Y31" s="163">
        <v>9.0</v>
      </c>
      <c r="Z31" s="163">
        <v>12.0</v>
      </c>
      <c r="AA31" s="163">
        <v>-3.0</v>
      </c>
      <c r="AB31" s="163">
        <v>9.0</v>
      </c>
      <c r="AC31" s="163">
        <v>6.0</v>
      </c>
      <c r="AD31" s="163">
        <v>12.0</v>
      </c>
      <c r="AE31" s="163">
        <v>3.0</v>
      </c>
      <c r="AF31" s="163">
        <v>6.0</v>
      </c>
      <c r="AG31" s="163">
        <v>3.0</v>
      </c>
      <c r="AH31" s="163">
        <v>0.0</v>
      </c>
      <c r="AI31" s="163">
        <v>3.0</v>
      </c>
      <c r="AJ31" s="163">
        <v>3.0</v>
      </c>
      <c r="AK31" s="163">
        <v>0.0</v>
      </c>
      <c r="AL31" s="163">
        <v>6.0</v>
      </c>
      <c r="AM31" s="163">
        <v>3.0</v>
      </c>
      <c r="AN31" s="163">
        <v>3.0</v>
      </c>
      <c r="AO31" s="163">
        <v>6.0</v>
      </c>
      <c r="AP31" s="163">
        <v>6.0</v>
      </c>
      <c r="AQ31" s="163">
        <v>0.0</v>
      </c>
      <c r="AR31" s="163">
        <v>0.0</v>
      </c>
      <c r="AS31" s="163">
        <v>4.0</v>
      </c>
      <c r="AT31" s="139">
        <f t="shared" si="4"/>
        <v>34.0</v>
      </c>
      <c r="AU31" s="139">
        <f t="shared" si="5"/>
        <v>15.0</v>
      </c>
      <c r="AV31" s="139">
        <f t="shared" si="6"/>
        <v>16.5</v>
      </c>
      <c r="BC31" s="166">
        <f t="shared" si="13"/>
        <v>0.0</v>
      </c>
      <c r="BD31" s="123">
        <f>VLOOKUP(C31,SOHFEB23,3,false)</f>
        <v>0.0</v>
      </c>
      <c r="BE31" s="167">
        <f>VLOOKUP(D31,VALUEFEB23,4,false)</f>
      </c>
      <c r="BF31" s="124">
        <f t="shared" si="16"/>
        <v>0.0</v>
      </c>
      <c r="BH31" s="168">
        <f t="shared" si="128"/>
        <v>0.0</v>
      </c>
      <c r="BI31" s="123"/>
      <c r="BJ31" s="170"/>
      <c r="BK31" s="177"/>
      <c r="BL31" s="36">
        <f t="shared" si="129"/>
        <v>0.0</v>
      </c>
      <c r="BM31" s="168"/>
      <c r="BN31" s="168"/>
      <c r="BO31" s="168"/>
      <c r="BP31" s="168"/>
      <c r="BQ31" s="126"/>
      <c r="BR31" s="168"/>
      <c r="BS31" s="123"/>
      <c r="BT31" s="168"/>
      <c r="BU31" s="126"/>
      <c r="BV31" s="168"/>
      <c r="BW31" s="168"/>
      <c r="BX31" s="168"/>
      <c r="BY31" s="126"/>
      <c r="BZ31" s="168"/>
      <c r="CA31" s="168"/>
      <c r="CB31" s="168"/>
      <c r="CC31" s="126"/>
      <c r="CD31" s="168"/>
      <c r="CE31" s="168"/>
      <c r="CF31" s="168"/>
      <c r="CG31" s="126"/>
      <c r="CH31" s="168"/>
      <c r="CI31" s="168"/>
      <c r="CJ31" s="168"/>
      <c r="CK31" s="126"/>
      <c r="CL31" s="36">
        <f t="shared" si="161"/>
        <v>0.0</v>
      </c>
      <c r="CM31" s="36">
        <f t="shared" si="162"/>
        <v>0.0</v>
      </c>
      <c r="CN31" s="36">
        <f t="shared" si="163"/>
        <v>0.0</v>
      </c>
      <c r="CO31" s="123">
        <f t="shared" si="164"/>
        <v>0.0</v>
      </c>
      <c r="CR31" s="123"/>
      <c r="CS31" s="168">
        <f t="shared" si="55"/>
        <v>0.0</v>
      </c>
      <c r="CT31" s="36">
        <f t="shared" si="56"/>
        <v>0.0</v>
      </c>
      <c r="CU31" s="123">
        <f t="shared" si="57"/>
        <v>0.0</v>
      </c>
    </row>
    <row r="32">
      <c r="A32" s="175" t="s">
        <v>32</v>
      </c>
      <c r="B32" s="175" t="s">
        <v>63</v>
      </c>
      <c r="C32" s="175" t="s">
        <v>72</v>
      </c>
      <c r="D32" s="176">
        <v>41234.0</v>
      </c>
      <c r="E32" s="163">
        <v>0.0</v>
      </c>
      <c r="F32" s="163">
        <v>0.0</v>
      </c>
      <c r="G32" s="163">
        <v>0.0</v>
      </c>
      <c r="H32" s="163">
        <v>0.0</v>
      </c>
      <c r="I32" s="163">
        <v>9.0</v>
      </c>
      <c r="J32" s="163">
        <v>12.0</v>
      </c>
      <c r="K32" s="163">
        <v>0.0</v>
      </c>
      <c r="L32" s="163">
        <v>0.0</v>
      </c>
      <c r="M32" s="163">
        <v>6.0</v>
      </c>
      <c r="N32" s="163">
        <v>9.0</v>
      </c>
      <c r="O32" s="163">
        <v>6.0</v>
      </c>
      <c r="P32" s="163">
        <v>3.0</v>
      </c>
      <c r="Q32" s="163">
        <v>3.0</v>
      </c>
      <c r="R32" s="163">
        <v>0.0</v>
      </c>
      <c r="S32" s="163">
        <v>0.0</v>
      </c>
      <c r="T32" s="163">
        <v>0.0</v>
      </c>
      <c r="U32" s="163">
        <v>0.0</v>
      </c>
      <c r="V32" s="163">
        <v>0.0</v>
      </c>
      <c r="W32" s="163">
        <v>3.0</v>
      </c>
      <c r="X32" s="163">
        <v>4.0</v>
      </c>
      <c r="Y32" s="163">
        <v>0.0</v>
      </c>
      <c r="Z32" s="163">
        <v>0.0</v>
      </c>
      <c r="AA32" s="163">
        <v>0.0</v>
      </c>
      <c r="AB32" s="163">
        <v>0.0</v>
      </c>
      <c r="AC32" s="163">
        <v>0.0</v>
      </c>
      <c r="AD32" s="163">
        <v>0.0</v>
      </c>
      <c r="AE32" s="163">
        <v>0.0</v>
      </c>
      <c r="AF32" s="163">
        <v>3.0</v>
      </c>
      <c r="AG32" s="163">
        <v>0.0</v>
      </c>
      <c r="AH32" s="163">
        <v>0.0</v>
      </c>
      <c r="AI32" s="163">
        <v>0.0</v>
      </c>
      <c r="AJ32" s="163">
        <v>6.0</v>
      </c>
      <c r="AK32" s="163">
        <v>0.0</v>
      </c>
      <c r="AL32" s="163">
        <v>0.0</v>
      </c>
      <c r="AM32" s="163">
        <v>0.0</v>
      </c>
      <c r="AN32" s="163">
        <v>0.0</v>
      </c>
      <c r="AO32" s="163">
        <v>0.0</v>
      </c>
      <c r="AP32" s="163">
        <v>0.0</v>
      </c>
      <c r="AQ32" s="163">
        <v>0.0</v>
      </c>
      <c r="AR32" s="163">
        <v>0.0</v>
      </c>
      <c r="AS32" s="163">
        <v>4.0</v>
      </c>
      <c r="AT32" s="139">
        <f t="shared" si="4"/>
        <v>10.0</v>
      </c>
      <c r="AU32" s="139">
        <f t="shared" si="5"/>
        <v>6.0</v>
      </c>
      <c r="AV32" s="139">
        <f t="shared" si="6"/>
        <v>6.6</v>
      </c>
      <c r="BC32" s="166">
        <f t="shared" si="13"/>
        <v>0.0</v>
      </c>
      <c r="BD32" s="123">
        <f>VLOOKUP(C32,SOHFEB23,3,false)</f>
        <v>0.0</v>
      </c>
      <c r="BE32" s="167">
        <f>VLOOKUP(D32,VALUEFEB23,4,false)</f>
      </c>
      <c r="BF32" s="124">
        <f t="shared" si="16"/>
        <v>0.0</v>
      </c>
      <c r="BH32" s="168">
        <f t="shared" si="128"/>
        <v>0.0</v>
      </c>
      <c r="BI32" s="123"/>
      <c r="BJ32" s="170"/>
      <c r="BK32" s="177"/>
      <c r="BL32" s="36">
        <f t="shared" si="129"/>
        <v>0.0</v>
      </c>
      <c r="BM32" s="168"/>
      <c r="BN32" s="168"/>
      <c r="BO32" s="168"/>
      <c r="BP32" s="168"/>
      <c r="BQ32" s="126"/>
      <c r="BR32" s="168"/>
      <c r="BS32" s="123"/>
      <c r="BT32" s="168"/>
      <c r="BU32" s="126"/>
      <c r="BV32" s="168"/>
      <c r="BW32" s="168"/>
      <c r="BX32" s="168"/>
      <c r="BY32" s="126"/>
      <c r="BZ32" s="168"/>
      <c r="CA32" s="168"/>
      <c r="CB32" s="168"/>
      <c r="CC32" s="126"/>
      <c r="CD32" s="168"/>
      <c r="CE32" s="168"/>
      <c r="CF32" s="168"/>
      <c r="CG32" s="126"/>
      <c r="CH32" s="168"/>
      <c r="CI32" s="168"/>
      <c r="CJ32" s="168"/>
      <c r="CK32" s="126"/>
      <c r="CL32" s="36">
        <f t="shared" si="161"/>
        <v>0.0</v>
      </c>
      <c r="CM32" s="36">
        <f t="shared" si="162"/>
        <v>0.0</v>
      </c>
      <c r="CN32" s="36">
        <f t="shared" si="163"/>
        <v>0.0</v>
      </c>
      <c r="CO32" s="123">
        <f t="shared" si="164"/>
        <v>0.0</v>
      </c>
      <c r="CR32" s="123"/>
      <c r="CS32" s="168">
        <f t="shared" si="55"/>
        <v>0.0</v>
      </c>
      <c r="CT32" s="36">
        <f t="shared" si="56"/>
        <v>0.0</v>
      </c>
      <c r="CU32" s="123">
        <f t="shared" si="57"/>
        <v>0.0</v>
      </c>
    </row>
    <row r="33">
      <c r="A33" s="175" t="s">
        <v>32</v>
      </c>
      <c r="B33" s="175" t="s">
        <v>74</v>
      </c>
      <c r="C33" s="175" t="s">
        <v>75</v>
      </c>
      <c r="D33" s="176" t="s">
        <v>76</v>
      </c>
      <c r="E33" s="163">
        <v>1.0</v>
      </c>
      <c r="F33" s="163">
        <v>1.0</v>
      </c>
      <c r="G33" s="163">
        <v>5.0</v>
      </c>
      <c r="H33" s="163">
        <v>0.0</v>
      </c>
      <c r="I33" s="163">
        <v>1.0</v>
      </c>
      <c r="J33" s="163">
        <v>3.0</v>
      </c>
      <c r="K33" s="163">
        <v>2.0</v>
      </c>
      <c r="L33" s="163">
        <v>1.0</v>
      </c>
      <c r="M33" s="163">
        <v>1.0</v>
      </c>
      <c r="N33" s="163">
        <v>3.0</v>
      </c>
      <c r="O33" s="163">
        <v>1.0</v>
      </c>
      <c r="P33" s="163">
        <v>0.0</v>
      </c>
      <c r="Q33" s="163">
        <v>2.0</v>
      </c>
      <c r="R33" s="163">
        <v>0.0</v>
      </c>
      <c r="S33" s="163">
        <v>1.0</v>
      </c>
      <c r="T33" s="163">
        <v>0.0</v>
      </c>
      <c r="U33" s="163">
        <v>1.0</v>
      </c>
      <c r="V33" s="163">
        <v>1.0</v>
      </c>
      <c r="W33" s="163">
        <v>0.0</v>
      </c>
      <c r="X33" s="163">
        <v>3.0</v>
      </c>
      <c r="Y33" s="163">
        <v>1.0</v>
      </c>
      <c r="Z33" s="163">
        <v>0.0</v>
      </c>
      <c r="AA33" s="163">
        <v>2.0</v>
      </c>
      <c r="AB33" s="163">
        <v>1.0</v>
      </c>
      <c r="AC33" s="163">
        <v>2.0</v>
      </c>
      <c r="AD33" s="163">
        <v>2.0</v>
      </c>
      <c r="AE33" s="163">
        <v>0.0</v>
      </c>
      <c r="AF33" s="163">
        <v>1.0</v>
      </c>
      <c r="AG33" s="163">
        <v>0.0</v>
      </c>
      <c r="AH33" s="163">
        <v>1.0</v>
      </c>
      <c r="AI33" s="163">
        <v>0.0</v>
      </c>
      <c r="AJ33" s="163">
        <v>2.0</v>
      </c>
      <c r="AK33" s="163">
        <v>0.0</v>
      </c>
      <c r="AL33" s="163">
        <v>0.0</v>
      </c>
      <c r="AM33" s="163">
        <v>3.0</v>
      </c>
      <c r="AN33" s="163">
        <v>0.0</v>
      </c>
      <c r="AO33" s="163">
        <v>2.0</v>
      </c>
      <c r="AP33" s="163">
        <v>2.0</v>
      </c>
      <c r="AQ33" s="163">
        <v>0.0</v>
      </c>
      <c r="AR33" s="163">
        <v>0.0</v>
      </c>
      <c r="AS33" s="163">
        <v>0.0</v>
      </c>
      <c r="AT33" s="139">
        <f t="shared" si="4"/>
        <v>10.0</v>
      </c>
      <c r="AU33" s="139">
        <f t="shared" si="5"/>
        <v>6.0</v>
      </c>
      <c r="AV33" s="139">
        <f t="shared" si="6"/>
        <v>6.6</v>
      </c>
      <c r="BC33" s="166">
        <f t="shared" si="13"/>
        <v>0.0</v>
      </c>
      <c r="BD33" s="123">
        <f>VLOOKUP(D33,FEB23SOH,3,false)</f>
        <v>0.0</v>
      </c>
      <c r="BE33" s="167">
        <f>VLOOKUP(D33,VALUEFEB23,4,false)</f>
      </c>
      <c r="BF33" s="178">
        <f t="shared" si="16"/>
        <v>0.0</v>
      </c>
      <c r="BH33" s="168">
        <f t="shared" si="128"/>
        <v>0.0</v>
      </c>
      <c r="BI33" s="123"/>
      <c r="BK33" s="177"/>
      <c r="BL33" s="36">
        <f t="shared" si="129"/>
        <v>0.0</v>
      </c>
      <c r="BM33" s="168"/>
      <c r="BN33" s="168"/>
      <c r="BO33" s="168"/>
      <c r="BP33" s="168"/>
      <c r="BQ33" s="126"/>
      <c r="BR33" s="168"/>
      <c r="BT33" s="168"/>
      <c r="BU33" s="126"/>
      <c r="BV33" s="168"/>
      <c r="BW33" s="168"/>
      <c r="BX33" s="168"/>
      <c r="BY33" s="126"/>
      <c r="BZ33" s="168"/>
      <c r="CA33" s="168"/>
      <c r="CB33" s="168"/>
      <c r="CC33" s="126"/>
      <c r="CD33" s="168"/>
      <c r="CE33" s="168"/>
      <c r="CF33" s="168"/>
      <c r="CG33" s="126"/>
      <c r="CH33" s="168"/>
      <c r="CI33" s="168"/>
      <c r="CJ33" s="168"/>
      <c r="CK33" s="126"/>
      <c r="CR33" s="123"/>
      <c r="CS33" s="168">
        <f t="shared" si="55"/>
        <v>0.0</v>
      </c>
      <c r="CT33" s="36">
        <f t="shared" si="56"/>
        <v>0.0</v>
      </c>
      <c r="CU33" s="123">
        <f t="shared" si="57"/>
        <v>0.0</v>
      </c>
    </row>
    <row r="34">
      <c r="A34" s="175" t="s">
        <v>32</v>
      </c>
      <c r="B34" s="175" t="s">
        <v>74</v>
      </c>
      <c r="C34" s="175" t="s">
        <v>77</v>
      </c>
      <c r="D34" s="176">
        <v>43301.0</v>
      </c>
      <c r="E34" s="163">
        <v>18.0</v>
      </c>
      <c r="F34" s="163">
        <v>21.0</v>
      </c>
      <c r="G34" s="163">
        <v>21.0</v>
      </c>
      <c r="H34" s="163">
        <v>12.0</v>
      </c>
      <c r="I34" s="163">
        <v>15.0</v>
      </c>
      <c r="J34" s="163">
        <v>15.0</v>
      </c>
      <c r="K34" s="163">
        <v>6.0</v>
      </c>
      <c r="L34" s="163">
        <v>12.0</v>
      </c>
      <c r="M34" s="163">
        <v>33.0</v>
      </c>
      <c r="N34" s="163">
        <v>30.0</v>
      </c>
      <c r="O34" s="163">
        <v>66.0</v>
      </c>
      <c r="P34" s="163">
        <v>70.0</v>
      </c>
      <c r="Q34" s="163">
        <v>21.0</v>
      </c>
      <c r="R34" s="163">
        <v>3.0</v>
      </c>
      <c r="S34" s="163">
        <v>2.0</v>
      </c>
      <c r="T34" s="163">
        <v>0.0</v>
      </c>
      <c r="U34" s="163">
        <v>153.0</v>
      </c>
      <c r="V34" s="163">
        <v>30.0</v>
      </c>
      <c r="W34" s="163">
        <v>18.0</v>
      </c>
      <c r="X34" s="163">
        <v>12.0</v>
      </c>
      <c r="Y34" s="163">
        <v>15.0</v>
      </c>
      <c r="Z34" s="163">
        <v>16.0</v>
      </c>
      <c r="AA34" s="163">
        <v>15.0</v>
      </c>
      <c r="AB34" s="163">
        <v>18.0</v>
      </c>
      <c r="AC34" s="163">
        <v>18.0</v>
      </c>
      <c r="AD34" s="163">
        <v>18.0</v>
      </c>
      <c r="AE34" s="163">
        <v>24.0</v>
      </c>
      <c r="AF34" s="163">
        <v>12.0</v>
      </c>
      <c r="AG34" s="163">
        <v>15.0</v>
      </c>
      <c r="AH34" s="163">
        <v>15.0</v>
      </c>
      <c r="AI34" s="163">
        <v>9.0</v>
      </c>
      <c r="AJ34" s="163">
        <v>3.0</v>
      </c>
      <c r="AK34" s="163">
        <v>0.0</v>
      </c>
      <c r="AL34" s="163">
        <v>12.0</v>
      </c>
      <c r="AM34" s="163">
        <v>6.0</v>
      </c>
      <c r="AN34" s="163">
        <v>0.0</v>
      </c>
      <c r="AO34" s="163">
        <v>18.0</v>
      </c>
      <c r="AP34" s="163">
        <v>12.0</v>
      </c>
      <c r="AQ34" s="163">
        <v>6.0</v>
      </c>
      <c r="AR34" s="163">
        <v>8.0</v>
      </c>
      <c r="AS34" s="163">
        <v>0.0</v>
      </c>
      <c r="AT34" s="139">
        <f t="shared" si="4"/>
        <v>89.0</v>
      </c>
      <c r="AU34" s="139">
        <f t="shared" si="5"/>
        <v>45.0</v>
      </c>
      <c r="AV34" s="139">
        <f t="shared" si="6"/>
        <v>49.5</v>
      </c>
      <c r="BC34" s="166">
        <f t="shared" si="13"/>
        <v>0.0</v>
      </c>
      <c r="BD34" s="123">
        <f>VLOOKUP(C34,SOHFEB23,3,false)</f>
        <v>0.0</v>
      </c>
      <c r="BE34" s="167">
        <f>VLOOKUP(D34,VALUEFEB23,4,false)</f>
      </c>
      <c r="BF34" s="124">
        <f t="shared" si="16"/>
        <v>0.0</v>
      </c>
      <c r="BH34" s="168">
        <f t="shared" si="128"/>
        <v>0.0</v>
      </c>
      <c r="BI34" s="123"/>
      <c r="BJ34" s="170"/>
      <c r="BK34" s="177"/>
      <c r="BL34" s="36">
        <f t="shared" si="129"/>
        <v>0.0</v>
      </c>
      <c r="BM34" s="168"/>
      <c r="BN34" s="168"/>
      <c r="BO34" s="168"/>
      <c r="BP34" s="168"/>
      <c r="BQ34" s="126"/>
      <c r="BR34" s="168"/>
      <c r="BS34" s="123"/>
      <c r="BT34" s="168"/>
      <c r="BU34" s="126"/>
      <c r="BV34" s="168"/>
      <c r="BW34" s="168"/>
      <c r="BX34" s="168"/>
      <c r="BY34" s="126"/>
      <c r="BZ34" s="168"/>
      <c r="CA34" s="168"/>
      <c r="CB34" s="168"/>
      <c r="CC34" s="126"/>
      <c r="CD34" s="168"/>
      <c r="CE34" s="168"/>
      <c r="CF34" s="168"/>
      <c r="CG34" s="126"/>
      <c r="CH34" s="168"/>
      <c r="CI34" s="168"/>
      <c r="CJ34" s="168"/>
      <c r="CK34" s="126"/>
      <c r="CL34" s="36">
        <f t="shared" ref="CL34:CL37" si="167">CJ34*-1</f>
        <v>0.0</v>
      </c>
      <c r="CM34" s="36">
        <f t="shared" ref="CM34:CM37" si="168">CL34/6</f>
        <v>0.0</v>
      </c>
      <c r="CN34" s="36">
        <f t="shared" ref="CN34:CN37" si="169">ROUNDUP(CM34,0)</f>
        <v>0.0</v>
      </c>
      <c r="CO34" s="123">
        <f t="shared" ref="CO34:CO37" si="170">CN34*6</f>
        <v>0.0</v>
      </c>
      <c r="CR34" s="123"/>
      <c r="CS34" s="168">
        <f t="shared" si="55"/>
        <v>0.0</v>
      </c>
      <c r="CT34" s="36">
        <f t="shared" si="56"/>
        <v>0.0</v>
      </c>
      <c r="CU34" s="123">
        <f t="shared" si="57"/>
        <v>0.0</v>
      </c>
    </row>
    <row r="35">
      <c r="A35" s="175" t="s">
        <v>32</v>
      </c>
      <c r="B35" s="175" t="s">
        <v>74</v>
      </c>
      <c r="C35" s="175" t="s">
        <v>78</v>
      </c>
      <c r="D35" s="176">
        <v>43302.0</v>
      </c>
      <c r="E35" s="163">
        <v>12.0</v>
      </c>
      <c r="F35" s="163">
        <v>30.0</v>
      </c>
      <c r="G35" s="163">
        <v>24.0</v>
      </c>
      <c r="H35" s="163">
        <v>3.0</v>
      </c>
      <c r="I35" s="163">
        <v>6.0</v>
      </c>
      <c r="J35" s="163">
        <v>3.0</v>
      </c>
      <c r="K35" s="163">
        <v>0.0</v>
      </c>
      <c r="L35" s="163">
        <v>0.0</v>
      </c>
      <c r="M35" s="163">
        <v>12.0</v>
      </c>
      <c r="N35" s="163">
        <v>15.0</v>
      </c>
      <c r="O35" s="163">
        <v>9.0</v>
      </c>
      <c r="P35" s="163">
        <v>6.0</v>
      </c>
      <c r="Q35" s="163">
        <v>12.0</v>
      </c>
      <c r="R35" s="163">
        <v>6.0</v>
      </c>
      <c r="S35" s="163">
        <v>9.0</v>
      </c>
      <c r="T35" s="163">
        <v>9.0</v>
      </c>
      <c r="U35" s="163">
        <v>9.0</v>
      </c>
      <c r="V35" s="163">
        <v>3.0</v>
      </c>
      <c r="W35" s="163">
        <v>9.0</v>
      </c>
      <c r="X35" s="163">
        <v>9.0</v>
      </c>
      <c r="Y35" s="163">
        <v>0.0</v>
      </c>
      <c r="Z35" s="163">
        <v>10.0</v>
      </c>
      <c r="AA35" s="163">
        <v>3.0</v>
      </c>
      <c r="AB35" s="163">
        <v>18.0</v>
      </c>
      <c r="AC35" s="163">
        <v>15.0</v>
      </c>
      <c r="AD35" s="163">
        <v>3.0</v>
      </c>
      <c r="AE35" s="163">
        <v>9.0</v>
      </c>
      <c r="AF35" s="163">
        <v>6.0</v>
      </c>
      <c r="AG35" s="163">
        <v>0.0</v>
      </c>
      <c r="AH35" s="163">
        <v>3.0</v>
      </c>
      <c r="AI35" s="163">
        <v>3.0</v>
      </c>
      <c r="AJ35" s="163">
        <v>3.0</v>
      </c>
      <c r="AK35" s="163">
        <v>0.0</v>
      </c>
      <c r="AL35" s="163">
        <v>6.0</v>
      </c>
      <c r="AM35" s="163">
        <v>0.0</v>
      </c>
      <c r="AN35" s="163">
        <v>3.0</v>
      </c>
      <c r="AO35" s="163">
        <v>6.0</v>
      </c>
      <c r="AP35" s="163">
        <v>0.0</v>
      </c>
      <c r="AQ35" s="163">
        <v>6.0</v>
      </c>
      <c r="AR35" s="163">
        <v>0.0</v>
      </c>
      <c r="AS35" s="163">
        <v>2.0</v>
      </c>
      <c r="AT35" s="139">
        <f t="shared" si="4"/>
        <v>32.0</v>
      </c>
      <c r="AU35" s="139">
        <f t="shared" si="5"/>
        <v>15.0</v>
      </c>
      <c r="AV35" s="139">
        <f t="shared" si="6"/>
        <v>16.5</v>
      </c>
      <c r="BC35" s="166">
        <f t="shared" si="13"/>
        <v>0.0</v>
      </c>
      <c r="BD35" s="123">
        <f>VLOOKUP(C35,SOHFEB23,3,false)</f>
        <v>0.0</v>
      </c>
      <c r="BE35" s="167">
        <f>VLOOKUP(D35,VALUEFEB23,4,false)</f>
      </c>
      <c r="BF35" s="124">
        <f t="shared" si="16"/>
        <v>0.0</v>
      </c>
      <c r="BH35" s="168">
        <f t="shared" si="128"/>
        <v>0.0</v>
      </c>
      <c r="BI35" s="123"/>
      <c r="BJ35" s="170"/>
      <c r="BK35" s="177"/>
      <c r="BL35" s="36">
        <f t="shared" si="129"/>
        <v>0.0</v>
      </c>
      <c r="BM35" s="168"/>
      <c r="BN35" s="168"/>
      <c r="BO35" s="168"/>
      <c r="BP35" s="168"/>
      <c r="BQ35" s="126"/>
      <c r="BR35" s="168"/>
      <c r="BS35" s="123"/>
      <c r="BT35" s="168"/>
      <c r="BU35" s="126"/>
      <c r="BV35" s="168"/>
      <c r="BW35" s="168"/>
      <c r="BX35" s="168"/>
      <c r="BY35" s="126"/>
      <c r="BZ35" s="168"/>
      <c r="CA35" s="168"/>
      <c r="CB35" s="168"/>
      <c r="CC35" s="126"/>
      <c r="CD35" s="168"/>
      <c r="CE35" s="168"/>
      <c r="CF35" s="168"/>
      <c r="CG35" s="126"/>
      <c r="CH35" s="168"/>
      <c r="CI35" s="168"/>
      <c r="CJ35" s="168"/>
      <c r="CK35" s="126"/>
      <c r="CL35" s="36">
        <f t="shared" si="167"/>
        <v>0.0</v>
      </c>
      <c r="CM35" s="36">
        <f t="shared" si="168"/>
        <v>0.0</v>
      </c>
      <c r="CN35" s="36">
        <f t="shared" si="169"/>
        <v>0.0</v>
      </c>
      <c r="CO35" s="123">
        <f t="shared" si="170"/>
        <v>0.0</v>
      </c>
      <c r="CR35" s="123"/>
      <c r="CS35" s="168">
        <f t="shared" si="55"/>
        <v>0.0</v>
      </c>
      <c r="CT35" s="36">
        <f t="shared" si="56"/>
        <v>0.0</v>
      </c>
      <c r="CU35" s="123">
        <f t="shared" si="57"/>
        <v>0.0</v>
      </c>
    </row>
    <row r="36">
      <c r="A36" s="175" t="s">
        <v>32</v>
      </c>
      <c r="B36" s="175" t="s">
        <v>74</v>
      </c>
      <c r="C36" s="175" t="s">
        <v>79</v>
      </c>
      <c r="D36" s="176">
        <v>43304.0</v>
      </c>
      <c r="E36" s="163">
        <v>12.0</v>
      </c>
      <c r="F36" s="163">
        <v>30.0</v>
      </c>
      <c r="G36" s="163">
        <v>30.0</v>
      </c>
      <c r="H36" s="163">
        <v>0.0</v>
      </c>
      <c r="I36" s="163">
        <v>12.0</v>
      </c>
      <c r="J36" s="163">
        <v>8.0</v>
      </c>
      <c r="K36" s="163">
        <v>3.0</v>
      </c>
      <c r="L36" s="163">
        <v>4.0</v>
      </c>
      <c r="M36" s="163">
        <v>9.0</v>
      </c>
      <c r="N36" s="163">
        <v>6.0</v>
      </c>
      <c r="O36" s="163">
        <v>9.0</v>
      </c>
      <c r="P36" s="163">
        <v>9.0</v>
      </c>
      <c r="Q36" s="163">
        <v>3.0</v>
      </c>
      <c r="R36" s="163">
        <v>12.0</v>
      </c>
      <c r="S36" s="163">
        <v>12.0</v>
      </c>
      <c r="T36" s="163">
        <v>18.0</v>
      </c>
      <c r="U36" s="163">
        <v>6.0</v>
      </c>
      <c r="V36" s="163">
        <v>9.0</v>
      </c>
      <c r="W36" s="163">
        <v>11.0</v>
      </c>
      <c r="X36" s="163">
        <v>9.0</v>
      </c>
      <c r="Y36" s="163">
        <v>3.0</v>
      </c>
      <c r="Z36" s="163">
        <v>1.0</v>
      </c>
      <c r="AA36" s="163">
        <v>12.0</v>
      </c>
      <c r="AB36" s="163">
        <v>3.0</v>
      </c>
      <c r="AC36" s="163">
        <v>12.0</v>
      </c>
      <c r="AD36" s="163">
        <v>6.0</v>
      </c>
      <c r="AE36" s="163">
        <v>6.0</v>
      </c>
      <c r="AF36" s="163">
        <v>18.0</v>
      </c>
      <c r="AG36" s="163">
        <v>0.0</v>
      </c>
      <c r="AH36" s="163">
        <v>6.0</v>
      </c>
      <c r="AI36" s="163">
        <v>3.0</v>
      </c>
      <c r="AJ36" s="163">
        <v>6.0</v>
      </c>
      <c r="AK36" s="163">
        <v>3.0</v>
      </c>
      <c r="AL36" s="163">
        <v>9.0</v>
      </c>
      <c r="AM36" s="163">
        <v>3.0</v>
      </c>
      <c r="AN36" s="163">
        <v>6.0</v>
      </c>
      <c r="AO36" s="163">
        <v>9.0</v>
      </c>
      <c r="AP36" s="163">
        <v>3.0</v>
      </c>
      <c r="AQ36" s="163">
        <v>0.0</v>
      </c>
      <c r="AR36" s="163">
        <v>0.0</v>
      </c>
      <c r="AS36" s="163">
        <v>0.0</v>
      </c>
      <c r="AT36" s="139">
        <f t="shared" si="4"/>
        <v>48.0</v>
      </c>
      <c r="AU36" s="139">
        <f t="shared" si="5"/>
        <v>30.0</v>
      </c>
      <c r="AV36" s="139">
        <f t="shared" si="6"/>
        <v>33.0</v>
      </c>
      <c r="BC36" s="166">
        <f t="shared" si="13"/>
        <v>0.0</v>
      </c>
      <c r="BD36" s="123">
        <f>VLOOKUP(C36,SOHFEB23,3,false)</f>
        <v>0.0</v>
      </c>
      <c r="BE36" s="167">
        <f>VLOOKUP(D36,VALUEFEB23,4,false)</f>
      </c>
      <c r="BF36" s="124">
        <f t="shared" si="16"/>
        <v>0.0</v>
      </c>
      <c r="BH36" s="168">
        <f t="shared" si="128"/>
        <v>0.0</v>
      </c>
      <c r="BI36" s="123"/>
      <c r="BJ36" s="170"/>
      <c r="BK36" s="177"/>
      <c r="BL36" s="36">
        <f t="shared" si="129"/>
        <v>0.0</v>
      </c>
      <c r="BM36" s="168"/>
      <c r="BN36" s="168"/>
      <c r="BO36" s="168"/>
      <c r="BP36" s="168"/>
      <c r="BQ36" s="126"/>
      <c r="BR36" s="168"/>
      <c r="BS36" s="123"/>
      <c r="BT36" s="168"/>
      <c r="BU36" s="126"/>
      <c r="BV36" s="168"/>
      <c r="BW36" s="168"/>
      <c r="BX36" s="168"/>
      <c r="BY36" s="126"/>
      <c r="BZ36" s="168"/>
      <c r="CA36" s="168"/>
      <c r="CB36" s="168"/>
      <c r="CC36" s="126"/>
      <c r="CD36" s="168"/>
      <c r="CE36" s="168"/>
      <c r="CF36" s="168"/>
      <c r="CG36" s="126"/>
      <c r="CH36" s="168"/>
      <c r="CI36" s="168"/>
      <c r="CJ36" s="168"/>
      <c r="CK36" s="126"/>
      <c r="CL36" s="36">
        <f t="shared" si="167"/>
        <v>0.0</v>
      </c>
      <c r="CM36" s="36">
        <f t="shared" si="168"/>
        <v>0.0</v>
      </c>
      <c r="CN36" s="36">
        <f t="shared" si="169"/>
        <v>0.0</v>
      </c>
      <c r="CO36" s="123">
        <f t="shared" si="170"/>
        <v>0.0</v>
      </c>
      <c r="CR36" s="123"/>
      <c r="CS36" s="168">
        <f t="shared" si="55"/>
        <v>0.0</v>
      </c>
      <c r="CT36" s="36">
        <f t="shared" si="56"/>
        <v>0.0</v>
      </c>
      <c r="CU36" s="123">
        <f t="shared" si="57"/>
        <v>0.0</v>
      </c>
    </row>
    <row r="37">
      <c r="A37" s="175" t="s">
        <v>32</v>
      </c>
      <c r="B37" s="175" t="s">
        <v>74</v>
      </c>
      <c r="C37" s="175" t="s">
        <v>80</v>
      </c>
      <c r="D37" s="176">
        <v>43332.0</v>
      </c>
      <c r="E37" s="163">
        <v>0.0</v>
      </c>
      <c r="F37" s="163">
        <v>0.0</v>
      </c>
      <c r="G37" s="163">
        <v>0.0</v>
      </c>
      <c r="H37" s="163">
        <v>0.0</v>
      </c>
      <c r="I37" s="163">
        <v>15.0</v>
      </c>
      <c r="J37" s="163">
        <v>9.0</v>
      </c>
      <c r="K37" s="163">
        <v>9.0</v>
      </c>
      <c r="L37" s="163">
        <v>0.0</v>
      </c>
      <c r="M37" s="163">
        <v>0.0</v>
      </c>
      <c r="N37" s="163">
        <v>0.0</v>
      </c>
      <c r="O37" s="163">
        <v>0.0</v>
      </c>
      <c r="P37" s="163">
        <v>9.0</v>
      </c>
      <c r="Q37" s="163">
        <v>15.0</v>
      </c>
      <c r="R37" s="163">
        <v>15.0</v>
      </c>
      <c r="S37" s="163">
        <v>24.0</v>
      </c>
      <c r="T37" s="163">
        <v>0.0</v>
      </c>
      <c r="U37" s="163">
        <v>9.0</v>
      </c>
      <c r="V37" s="163">
        <v>9.0</v>
      </c>
      <c r="W37" s="163">
        <v>18.0</v>
      </c>
      <c r="X37" s="163">
        <v>14.0</v>
      </c>
      <c r="Y37" s="163">
        <v>3.0</v>
      </c>
      <c r="Z37" s="163">
        <v>4.0</v>
      </c>
      <c r="AA37" s="163">
        <v>9.0</v>
      </c>
      <c r="AB37" s="163">
        <v>6.0</v>
      </c>
      <c r="AC37" s="163">
        <v>6.0</v>
      </c>
      <c r="AD37" s="163">
        <v>15.0</v>
      </c>
      <c r="AE37" s="163">
        <v>18.0</v>
      </c>
      <c r="AF37" s="163">
        <v>6.0</v>
      </c>
      <c r="AG37" s="163">
        <v>9.0</v>
      </c>
      <c r="AH37" s="163">
        <v>9.0</v>
      </c>
      <c r="AI37" s="163">
        <v>6.0</v>
      </c>
      <c r="AJ37" s="163">
        <v>3.0</v>
      </c>
      <c r="AK37" s="163">
        <v>3.0</v>
      </c>
      <c r="AL37" s="163">
        <v>6.0</v>
      </c>
      <c r="AM37" s="163">
        <v>0.0</v>
      </c>
      <c r="AN37" s="163">
        <v>3.0</v>
      </c>
      <c r="AO37" s="163">
        <v>9.0</v>
      </c>
      <c r="AP37" s="163">
        <v>12.0</v>
      </c>
      <c r="AQ37" s="163">
        <v>0.0</v>
      </c>
      <c r="AR37" s="163">
        <v>0.0</v>
      </c>
      <c r="AS37" s="163">
        <v>4.0</v>
      </c>
      <c r="AT37" s="139">
        <f t="shared" si="4"/>
        <v>55.0</v>
      </c>
      <c r="AU37" s="139">
        <f t="shared" si="5"/>
        <v>27.0</v>
      </c>
      <c r="AV37" s="139">
        <f t="shared" si="6"/>
        <v>29.7</v>
      </c>
      <c r="BC37" s="166">
        <f t="shared" si="13"/>
        <v>0.0</v>
      </c>
      <c r="BD37" s="123">
        <f>VLOOKUP(C37,SOHFEB23,3,false)</f>
        <v>0.0</v>
      </c>
      <c r="BE37" s="167">
        <f>VLOOKUP(D37,VALUEFEB23,4,false)</f>
      </c>
      <c r="BF37" s="124">
        <f t="shared" si="16"/>
        <v>0.0</v>
      </c>
      <c r="BH37" s="168">
        <f t="shared" si="128"/>
        <v>0.0</v>
      </c>
      <c r="BI37" s="123"/>
      <c r="BJ37" s="170"/>
      <c r="BK37" s="177"/>
      <c r="BL37" s="36">
        <f t="shared" si="129"/>
        <v>0.0</v>
      </c>
      <c r="BM37" s="168"/>
      <c r="BN37" s="168"/>
      <c r="BO37" s="168"/>
      <c r="BP37" s="168"/>
      <c r="BQ37" s="126"/>
      <c r="BR37" s="168"/>
      <c r="BS37" s="123"/>
      <c r="BT37" s="168"/>
      <c r="BU37" s="126"/>
      <c r="BV37" s="168"/>
      <c r="BW37" s="168"/>
      <c r="BX37" s="168"/>
      <c r="BY37" s="126"/>
      <c r="BZ37" s="168"/>
      <c r="CA37" s="168"/>
      <c r="CB37" s="168"/>
      <c r="CC37" s="126"/>
      <c r="CD37" s="168"/>
      <c r="CE37" s="168"/>
      <c r="CF37" s="168"/>
      <c r="CG37" s="126"/>
      <c r="CH37" s="168"/>
      <c r="CI37" s="168"/>
      <c r="CJ37" s="168"/>
      <c r="CK37" s="126"/>
      <c r="CL37" s="36">
        <f t="shared" si="167"/>
        <v>0.0</v>
      </c>
      <c r="CM37" s="36">
        <f t="shared" si="168"/>
        <v>0.0</v>
      </c>
      <c r="CN37" s="36">
        <f t="shared" si="169"/>
        <v>0.0</v>
      </c>
      <c r="CO37" s="123">
        <f t="shared" si="170"/>
        <v>0.0</v>
      </c>
      <c r="CR37" s="123"/>
      <c r="CS37" s="168">
        <f t="shared" si="55"/>
        <v>0.0</v>
      </c>
      <c r="CT37" s="36">
        <f t="shared" si="56"/>
        <v>0.0</v>
      </c>
      <c r="CU37" s="123">
        <f t="shared" si="57"/>
        <v>0.0</v>
      </c>
    </row>
    <row r="38">
      <c r="A38" s="163" t="s">
        <v>32</v>
      </c>
      <c r="B38" s="163" t="s">
        <v>81</v>
      </c>
      <c r="C38" s="163" t="s">
        <v>531</v>
      </c>
      <c r="D38" s="164" t="s">
        <v>532</v>
      </c>
      <c r="E38" s="163">
        <v>0.0</v>
      </c>
      <c r="F38" s="163">
        <v>0.0</v>
      </c>
      <c r="G38" s="163">
        <v>0.0</v>
      </c>
      <c r="H38" s="163">
        <v>0.0</v>
      </c>
      <c r="I38" s="163">
        <v>0.0</v>
      </c>
      <c r="J38" s="163">
        <v>0.0</v>
      </c>
      <c r="K38" s="163">
        <v>0.0</v>
      </c>
      <c r="L38" s="163">
        <v>0.0</v>
      </c>
      <c r="M38" s="163">
        <v>0.0</v>
      </c>
      <c r="N38" s="163">
        <v>0.0</v>
      </c>
      <c r="O38" s="163">
        <v>0.0</v>
      </c>
      <c r="P38" s="163">
        <v>0.0</v>
      </c>
      <c r="Q38" s="163">
        <v>0.0</v>
      </c>
      <c r="R38" s="163">
        <v>0.0</v>
      </c>
      <c r="S38" s="163">
        <v>0.0</v>
      </c>
      <c r="T38" s="163">
        <v>0.0</v>
      </c>
      <c r="U38" s="163">
        <v>0.0</v>
      </c>
      <c r="V38" s="163">
        <v>0.0</v>
      </c>
      <c r="W38" s="163">
        <v>0.0</v>
      </c>
      <c r="X38" s="163">
        <v>0.0</v>
      </c>
      <c r="Y38" s="163">
        <v>0.0</v>
      </c>
      <c r="Z38" s="163">
        <v>0.0</v>
      </c>
      <c r="AA38" s="163">
        <v>0.0</v>
      </c>
      <c r="AB38" s="163">
        <v>0.0</v>
      </c>
      <c r="AC38" s="163">
        <v>0.0</v>
      </c>
      <c r="AD38" s="163">
        <v>0.0</v>
      </c>
      <c r="AE38" s="163">
        <v>0.0</v>
      </c>
      <c r="AF38" s="163">
        <v>0.0</v>
      </c>
      <c r="AG38" s="163">
        <v>0.0</v>
      </c>
      <c r="AH38" s="163">
        <v>0.0</v>
      </c>
      <c r="AI38" s="163">
        <v>0.0</v>
      </c>
      <c r="AJ38" s="163">
        <v>0.0</v>
      </c>
      <c r="AK38" s="163">
        <v>0.0</v>
      </c>
      <c r="AL38" s="163">
        <v>10.0</v>
      </c>
      <c r="AM38" s="163">
        <v>23.0</v>
      </c>
      <c r="AN38" s="179">
        <v>2.0</v>
      </c>
      <c r="AO38" s="179">
        <v>0.0</v>
      </c>
      <c r="AP38" s="179">
        <v>0.0</v>
      </c>
      <c r="AQ38" s="179">
        <v>28.0</v>
      </c>
      <c r="AR38" s="179">
        <v>4.0</v>
      </c>
      <c r="AS38" s="179">
        <v>0.0</v>
      </c>
      <c r="AT38" s="139">
        <f t="shared" si="4"/>
        <v>67.0</v>
      </c>
      <c r="AU38" s="139">
        <f t="shared" ref="AU38:AU44" si="171">SUM(AN38:AS38)</f>
        <v>34.0</v>
      </c>
      <c r="AV38" s="139">
        <f t="shared" si="6"/>
        <v>37.4</v>
      </c>
      <c r="AW38" s="165">
        <f>AV38*$AW$4/$AV$3</f>
        <v>4.32727272727272</v>
      </c>
      <c r="AX38" s="165">
        <f>AV38*$AX$4/$AV$3</f>
        <v>4.94545454545454</v>
      </c>
      <c r="AY38" s="165">
        <f>AV38*$AY$4/$AV$3</f>
        <v>4.94545454545454</v>
      </c>
      <c r="AZ38" s="165">
        <f>AV38*$AZ$4/$AV$3</f>
        <v>4.32727272727272</v>
      </c>
      <c r="BA38" s="165">
        <f>AV38*$BA$4/$AV$3</f>
        <v>4.32727272727272</v>
      </c>
      <c r="BB38" s="165">
        <f>AV38*$BB$4/$AV$3</f>
        <v>4.94545454545454</v>
      </c>
      <c r="BC38" s="166">
        <f t="shared" si="13"/>
        <v>27.8181818181818</v>
      </c>
      <c r="BD38" s="123">
        <f>VLOOKUP(C38,SOHFEB23,3,false)</f>
        <v>0.0</v>
      </c>
      <c r="BE38" s="167">
        <f>VLOOKUP(D38,VALUEFEB23,4,false)</f>
      </c>
      <c r="BF38" s="124">
        <f t="shared" si="16"/>
        <v>0.0</v>
      </c>
      <c r="BH38" s="168"/>
      <c r="BI38" s="123"/>
      <c r="BM38" s="168"/>
      <c r="BN38" s="168"/>
      <c r="BO38" s="168"/>
      <c r="BP38" s="168"/>
      <c r="BQ38" s="126"/>
      <c r="BR38" s="168"/>
      <c r="BT38" s="168"/>
      <c r="BU38" s="126"/>
      <c r="BV38" s="168"/>
      <c r="BW38" s="168"/>
      <c r="BX38" s="168"/>
      <c r="BY38" s="126"/>
      <c r="BZ38" s="168"/>
      <c r="CA38" s="168"/>
      <c r="CB38" s="168"/>
      <c r="CC38" s="126"/>
      <c r="CD38" s="168"/>
      <c r="CE38" s="168"/>
      <c r="CF38" s="168"/>
      <c r="CG38" s="126"/>
      <c r="CH38" s="168"/>
      <c r="CI38" s="168"/>
      <c r="CJ38" s="168"/>
      <c r="CK38" s="126"/>
      <c r="CR38" s="123"/>
      <c r="CS38" s="168">
        <f t="shared" si="55"/>
        <v>0.0</v>
      </c>
      <c r="CT38" s="36">
        <f t="shared" si="56"/>
        <v>0.0</v>
      </c>
      <c r="CU38" s="123">
        <f t="shared" si="57"/>
        <v>0.0</v>
      </c>
    </row>
    <row r="39">
      <c r="A39" s="163" t="s">
        <v>32</v>
      </c>
      <c r="B39" s="163" t="s">
        <v>81</v>
      </c>
      <c r="C39" s="163" t="s">
        <v>533</v>
      </c>
      <c r="D39" s="164" t="s">
        <v>534</v>
      </c>
      <c r="E39" s="163">
        <v>0.0</v>
      </c>
      <c r="F39" s="163">
        <v>0.0</v>
      </c>
      <c r="G39" s="163">
        <v>0.0</v>
      </c>
      <c r="H39" s="163">
        <v>0.0</v>
      </c>
      <c r="I39" s="163">
        <v>0.0</v>
      </c>
      <c r="J39" s="163">
        <v>0.0</v>
      </c>
      <c r="K39" s="163">
        <v>0.0</v>
      </c>
      <c r="L39" s="163">
        <v>0.0</v>
      </c>
      <c r="M39" s="163">
        <v>0.0</v>
      </c>
      <c r="N39" s="163">
        <v>0.0</v>
      </c>
      <c r="O39" s="163">
        <v>0.0</v>
      </c>
      <c r="P39" s="163">
        <v>0.0</v>
      </c>
      <c r="Q39" s="163">
        <v>0.0</v>
      </c>
      <c r="R39" s="163">
        <v>0.0</v>
      </c>
      <c r="S39" s="163">
        <v>0.0</v>
      </c>
      <c r="T39" s="163">
        <v>0.0</v>
      </c>
      <c r="U39" s="163">
        <v>0.0</v>
      </c>
      <c r="V39" s="163">
        <v>0.0</v>
      </c>
      <c r="W39" s="163">
        <v>0.0</v>
      </c>
      <c r="X39" s="163">
        <v>0.0</v>
      </c>
      <c r="Y39" s="163">
        <v>0.0</v>
      </c>
      <c r="Z39" s="163">
        <v>0.0</v>
      </c>
      <c r="AA39" s="163">
        <v>0.0</v>
      </c>
      <c r="AB39" s="163">
        <v>0.0</v>
      </c>
      <c r="AC39" s="163">
        <v>0.0</v>
      </c>
      <c r="AD39" s="163">
        <v>0.0</v>
      </c>
      <c r="AE39" s="163">
        <v>0.0</v>
      </c>
      <c r="AF39" s="163">
        <v>0.0</v>
      </c>
      <c r="AG39" s="163">
        <v>0.0</v>
      </c>
      <c r="AH39" s="163">
        <v>0.0</v>
      </c>
      <c r="AI39" s="163">
        <v>0.0</v>
      </c>
      <c r="AJ39" s="163">
        <v>0.0</v>
      </c>
      <c r="AK39" s="163">
        <v>0.0</v>
      </c>
      <c r="AL39" s="163">
        <v>0.0</v>
      </c>
      <c r="AM39" s="163">
        <v>1.0</v>
      </c>
      <c r="AN39" s="179">
        <v>2.0</v>
      </c>
      <c r="AO39" s="179">
        <v>0.0</v>
      </c>
      <c r="AP39" s="179">
        <v>0.0</v>
      </c>
      <c r="AQ39" s="179">
        <v>1.0</v>
      </c>
      <c r="AR39" s="179">
        <v>3.0</v>
      </c>
      <c r="AS39" s="179">
        <v>2.0</v>
      </c>
      <c r="AT39" s="139">
        <f t="shared" si="4"/>
        <v>9.0</v>
      </c>
      <c r="AU39" s="139">
        <f t="shared" si="171"/>
        <v>8.0</v>
      </c>
      <c r="AV39" s="139">
        <f t="shared" si="6"/>
        <v>8.8</v>
      </c>
      <c r="AW39" s="173">
        <f>AW38</f>
        <v>4.32727272727272</v>
      </c>
      <c r="AX39" s="173">
        <f>AX38</f>
        <v>4.94545454545454</v>
      </c>
      <c r="AY39" s="173">
        <f>AY38</f>
        <v>4.94545454545454</v>
      </c>
      <c r="AZ39" s="173">
        <f>AZ38</f>
        <v>4.32727272727272</v>
      </c>
      <c r="BA39" s="173">
        <f>BA38</f>
        <v>4.32727272727272</v>
      </c>
      <c r="BB39" s="173">
        <f>BB38</f>
        <v>4.94545454545454</v>
      </c>
      <c r="BC39" s="166">
        <f t="shared" si="13"/>
        <v>27.8181818181818</v>
      </c>
      <c r="BD39" s="123">
        <f>VLOOKUP(D39,FEB23SOH,3,false)</f>
        <v>61.0</v>
      </c>
      <c r="BE39" s="167">
        <f>VLOOKUP(D39,VALUEFEB23,4,false)</f>
        <v>0.1607</v>
      </c>
      <c r="BF39" s="178">
        <f t="shared" si="16"/>
        <v>9.8027</v>
      </c>
      <c r="BH39" s="168">
        <f t="shared" ref="BH39:BH62" si="185">BD39+BG39-BC39</f>
        <v>33.1818181818182</v>
      </c>
      <c r="BI39" s="123"/>
      <c r="BJ39" s="170"/>
      <c r="BL39" s="36">
        <f t="shared" ref="BL39:BL62" si="186">BD39</f>
        <v>61.0</v>
      </c>
      <c r="BM39" s="168"/>
      <c r="BN39" s="168">
        <f t="shared" ref="BN39:BN44" si="187">AW39</f>
        <v>4.32727272727272</v>
      </c>
      <c r="BO39" s="168"/>
      <c r="BP39" s="168">
        <f t="shared" ref="BP39:BP44" si="188">BL39-BN39+BO39+BM39</f>
        <v>56.6727272727272</v>
      </c>
      <c r="BQ39" s="126">
        <f t="shared" ref="BQ39:BQ44" si="189">BP39*BE39</f>
        <v>9.10730727272726</v>
      </c>
      <c r="BR39" s="168">
        <f t="shared" ref="BR39:BR44" si="190">AX39</f>
        <v>4.94545454545454</v>
      </c>
      <c r="BS39" s="123"/>
      <c r="BT39" s="168">
        <f t="shared" ref="BT39:BT44" si="191">BP39-BR39+BS39</f>
        <v>51.7272727272727</v>
      </c>
      <c r="BU39" s="126">
        <f t="shared" ref="BU39:BU44" si="192">BT39*BE39</f>
        <v>8.31257272727272</v>
      </c>
      <c r="BV39" s="168">
        <f t="shared" ref="BV39:BV44" si="193">AY39</f>
        <v>4.94545454545454</v>
      </c>
      <c r="BW39" s="168"/>
      <c r="BX39" s="168">
        <f t="shared" ref="BX39:BX44" si="194">BT39-BV39+BW39</f>
        <v>46.7818181818181</v>
      </c>
      <c r="BY39" s="126">
        <f t="shared" ref="BY39:BY44" si="195">BX39*BE39</f>
        <v>7.51783818181817</v>
      </c>
      <c r="BZ39" s="168">
        <f t="shared" ref="BZ39:BZ44" si="196">AZ39</f>
        <v>4.32727272727272</v>
      </c>
      <c r="CA39" s="168"/>
      <c r="CB39" s="168">
        <f t="shared" ref="CB39:CB44" si="197">BX39-BZ39+CA39</f>
        <v>42.4545454545453</v>
      </c>
      <c r="CC39" s="126">
        <f t="shared" ref="CC39:CC44" si="198">CB39*BE39</f>
        <v>6.82244545454543</v>
      </c>
      <c r="CD39" s="168">
        <f t="shared" ref="CD39:CD44" si="199">BA39</f>
        <v>4.32727272727272</v>
      </c>
      <c r="CE39" s="168"/>
      <c r="CF39" s="168">
        <f t="shared" ref="CF39:CF44" si="200">CB39-CD39+CE39</f>
        <v>38.1272727272726</v>
      </c>
      <c r="CG39" s="126">
        <f t="shared" ref="CG39:CG44" si="201">BE39*CF39</f>
        <v>6.1270527272727</v>
      </c>
      <c r="CH39" s="168">
        <f t="shared" ref="CH39:CH44" si="202">BB39</f>
        <v>4.94545454545454</v>
      </c>
      <c r="CI39" s="168"/>
      <c r="CJ39" s="168">
        <f t="shared" ref="CJ39:CJ44" si="203">CF39-CH39+CI39</f>
        <v>33.181818181818</v>
      </c>
      <c r="CK39" s="126">
        <f t="shared" ref="CK39:CK44" si="204">CJ39*BE39</f>
        <v>5.33231818181815</v>
      </c>
      <c r="CL39" s="36">
        <f t="shared" ref="CL39:CL44" si="205">CJ39*-1</f>
        <v>-33.181818181818</v>
      </c>
      <c r="CM39" s="36">
        <f t="shared" ref="CM39:CM44" si="206">CL39/6</f>
        <v>-5.530303030303</v>
      </c>
      <c r="CN39" s="36">
        <f t="shared" ref="CN39:CN44" si="207">ROUNDUP(CM39,0)</f>
        <v>-6.0</v>
      </c>
      <c r="CO39" s="123">
        <f t="shared" ref="CO39:CO44" si="208">CN39*6</f>
        <v>-36.0</v>
      </c>
      <c r="CR39" s="123"/>
      <c r="CS39" s="168">
        <f t="shared" si="55"/>
        <v>0.0</v>
      </c>
      <c r="CT39" s="36">
        <f t="shared" si="56"/>
        <v>0.0</v>
      </c>
      <c r="CU39" s="123">
        <f t="shared" si="57"/>
        <v>0.0</v>
      </c>
    </row>
    <row r="40">
      <c r="A40" s="163" t="s">
        <v>32</v>
      </c>
      <c r="B40" s="163" t="s">
        <v>81</v>
      </c>
      <c r="C40" s="163" t="s">
        <v>535</v>
      </c>
      <c r="D40" s="164">
        <v>37601.0</v>
      </c>
      <c r="E40" s="163">
        <v>0.0</v>
      </c>
      <c r="F40" s="163">
        <v>0.0</v>
      </c>
      <c r="G40" s="163">
        <v>0.0</v>
      </c>
      <c r="H40" s="163">
        <v>0.0</v>
      </c>
      <c r="I40" s="163">
        <v>0.0</v>
      </c>
      <c r="J40" s="163">
        <v>0.0</v>
      </c>
      <c r="K40" s="163">
        <v>0.0</v>
      </c>
      <c r="L40" s="163">
        <v>0.0</v>
      </c>
      <c r="M40" s="163">
        <v>0.0</v>
      </c>
      <c r="N40" s="163">
        <v>0.0</v>
      </c>
      <c r="O40" s="163">
        <v>0.0</v>
      </c>
      <c r="P40" s="163">
        <v>0.0</v>
      </c>
      <c r="Q40" s="163">
        <v>0.0</v>
      </c>
      <c r="R40" s="163">
        <v>0.0</v>
      </c>
      <c r="S40" s="163">
        <v>0.0</v>
      </c>
      <c r="T40" s="163">
        <v>0.0</v>
      </c>
      <c r="U40" s="163">
        <v>0.0</v>
      </c>
      <c r="V40" s="163">
        <v>0.0</v>
      </c>
      <c r="W40" s="163">
        <v>0.0</v>
      </c>
      <c r="X40" s="163">
        <v>0.0</v>
      </c>
      <c r="Y40" s="163">
        <v>0.0</v>
      </c>
      <c r="Z40" s="163">
        <v>0.0</v>
      </c>
      <c r="AA40" s="163">
        <v>0.0</v>
      </c>
      <c r="AB40" s="163">
        <v>0.0</v>
      </c>
      <c r="AC40" s="163">
        <v>0.0</v>
      </c>
      <c r="AD40" s="163">
        <v>0.0</v>
      </c>
      <c r="AE40" s="163">
        <v>0.0</v>
      </c>
      <c r="AF40" s="163">
        <v>0.0</v>
      </c>
      <c r="AG40" s="163">
        <v>0.0</v>
      </c>
      <c r="AH40" s="163">
        <v>0.0</v>
      </c>
      <c r="AI40" s="163">
        <v>0.0</v>
      </c>
      <c r="AJ40" s="163">
        <v>0.0</v>
      </c>
      <c r="AK40" s="163">
        <v>0.0</v>
      </c>
      <c r="AL40" s="163">
        <v>6.0</v>
      </c>
      <c r="AM40" s="163">
        <v>132.0</v>
      </c>
      <c r="AN40" s="179">
        <v>6.0</v>
      </c>
      <c r="AO40" s="179">
        <v>0.0</v>
      </c>
      <c r="AP40" s="179">
        <v>0.0</v>
      </c>
      <c r="AQ40" s="179">
        <v>444.0</v>
      </c>
      <c r="AR40" s="179">
        <v>0.0</v>
      </c>
      <c r="AS40" s="179">
        <v>0.0</v>
      </c>
      <c r="AT40" s="139">
        <f t="shared" si="4"/>
        <v>588.0</v>
      </c>
      <c r="AU40" s="139">
        <f t="shared" si="171"/>
        <v>450.0</v>
      </c>
      <c r="AV40" s="139">
        <f t="shared" si="6"/>
        <v>495.0</v>
      </c>
      <c r="AW40" s="168">
        <f t="shared" ref="AW40:AW43" si="209">AV40*$AW$4/$AV$3+6*$AW$38</f>
        <v>83.2363636363635</v>
      </c>
      <c r="AX40" s="36">
        <f t="shared" ref="AX40:AX43" si="210">AV40*$AX$4/$AV$3+6*$AX$38</f>
        <v>95.1272727272726</v>
      </c>
      <c r="AY40" s="36">
        <f t="shared" ref="AY40:AY43" si="211">AV40*$AY$4/$AV$3+6*$AY$38</f>
        <v>95.1272727272726</v>
      </c>
      <c r="AZ40" s="36">
        <f t="shared" ref="AZ40:AZ43" si="212">AV40*$AZ$4/$AV$3+6*$AZ$38</f>
        <v>83.2363636363635</v>
      </c>
      <c r="BA40" s="36">
        <f t="shared" ref="BA40:BA43" si="213">AV40*$BA$4/$AV$3+6*$BA$38</f>
        <v>83.2363636363635</v>
      </c>
      <c r="BB40" s="36">
        <f t="shared" ref="BB40:BB43" si="214">AV40*$BB$4/$AV$3+6*$BB$38</f>
        <v>95.1272727272726</v>
      </c>
      <c r="BC40" s="166">
        <f t="shared" si="13"/>
        <v>535.090909090908</v>
      </c>
      <c r="BD40" s="123">
        <f>VLOOKUP(D40,FEB23SOH,3,false)</f>
        <v>0.0</v>
      </c>
      <c r="BE40" s="167">
        <f>VLOOKUP(D40,VALUEFEB23,4,false)</f>
      </c>
      <c r="BF40" s="178">
        <f t="shared" si="16"/>
        <v>0.0</v>
      </c>
      <c r="BG40" s="168"/>
      <c r="BH40" s="168">
        <f t="shared" si="185"/>
        <v>-535.090909090908</v>
      </c>
      <c r="BI40" s="123"/>
      <c r="BJ40" s="170"/>
      <c r="BK40" s="36" t="s">
        <v>73</v>
      </c>
      <c r="BL40" s="36">
        <f t="shared" si="186"/>
        <v>0.0</v>
      </c>
      <c r="BM40" s="168"/>
      <c r="BN40" s="168">
        <f t="shared" si="187"/>
        <v>83.2363636363635</v>
      </c>
      <c r="BO40" s="168"/>
      <c r="BP40" s="168">
        <f t="shared" si="188"/>
        <v>-83.2363636363635</v>
      </c>
      <c r="BQ40" s="126">
        <f t="shared" si="189"/>
        <v>0.0</v>
      </c>
      <c r="BR40" s="168">
        <f t="shared" si="190"/>
        <v>95.1272727272726</v>
      </c>
      <c r="BS40" s="123"/>
      <c r="BT40" s="168">
        <f t="shared" si="191"/>
        <v>-178.363636363636</v>
      </c>
      <c r="BU40" s="126">
        <f t="shared" si="192"/>
        <v>0.0</v>
      </c>
      <c r="BV40" s="168">
        <f t="shared" si="193"/>
        <v>95.1272727272726</v>
      </c>
      <c r="BW40" s="168"/>
      <c r="BX40" s="168">
        <f t="shared" si="194"/>
        <v>-273.490909090907</v>
      </c>
      <c r="BY40" s="126">
        <f t="shared" si="195"/>
        <v>0.0</v>
      </c>
      <c r="BZ40" s="168">
        <f t="shared" si="196"/>
        <v>83.2363636363635</v>
      </c>
      <c r="CA40" s="168"/>
      <c r="CB40" s="168">
        <f t="shared" si="197"/>
        <v>-356.72727272727</v>
      </c>
      <c r="CC40" s="126">
        <f t="shared" si="198"/>
        <v>0.0</v>
      </c>
      <c r="CD40" s="168">
        <f t="shared" si="199"/>
        <v>83.2363636363635</v>
      </c>
      <c r="CE40" s="168"/>
      <c r="CF40" s="168">
        <f t="shared" si="200"/>
        <v>-439.963636363633</v>
      </c>
      <c r="CG40" s="126">
        <f t="shared" si="201"/>
        <v>0.0</v>
      </c>
      <c r="CH40" s="168">
        <f t="shared" si="202"/>
        <v>95.1272727272726</v>
      </c>
      <c r="CI40" s="168"/>
      <c r="CJ40" s="168">
        <f t="shared" si="203"/>
        <v>-535.090909090904</v>
      </c>
      <c r="CK40" s="126">
        <f t="shared" si="204"/>
        <v>0.0</v>
      </c>
      <c r="CL40" s="36">
        <f t="shared" si="205"/>
        <v>535.090909090904</v>
      </c>
      <c r="CM40" s="36">
        <f t="shared" si="206"/>
        <v>89.1818181818173</v>
      </c>
      <c r="CN40" s="36">
        <f t="shared" si="207"/>
        <v>90.0</v>
      </c>
      <c r="CO40" s="123">
        <f t="shared" si="208"/>
        <v>540.0</v>
      </c>
      <c r="CR40" s="123">
        <f t="shared" ref="CR40:CR41" si="215">BX40</f>
        <v>-273.490909090907</v>
      </c>
      <c r="CS40" s="168">
        <f t="shared" si="55"/>
        <v>45.5818181818178</v>
      </c>
      <c r="CT40" s="36">
        <f t="shared" si="56"/>
        <v>46.0</v>
      </c>
      <c r="CU40" s="123">
        <f t="shared" si="57"/>
        <v>276.0</v>
      </c>
      <c r="CW40" s="172">
        <f t="shared" ref="CW40:CW41" si="216">CB40</f>
        <v>-356.72727272727</v>
      </c>
      <c r="CX40" s="168">
        <f t="shared" ref="CX40:CX41" si="217">(CW40/6)*-1</f>
        <v>59.454545454545</v>
      </c>
      <c r="CY40" s="36">
        <f t="shared" ref="CY40:CY41" si="218">ROUNDUP(CX40,0)</f>
        <v>60.0</v>
      </c>
      <c r="CZ40" s="123">
        <f t="shared" ref="CZ40:CZ41" si="219">CY40*6</f>
        <v>360.0</v>
      </c>
      <c r="DB40" s="172">
        <f t="shared" ref="DB40:DB41" si="220">CF40</f>
        <v>-439.963636363633</v>
      </c>
      <c r="DC40" s="168">
        <f t="shared" ref="DC40:DC41" si="221">(DB40/6)*-1</f>
        <v>73.3272727272721</v>
      </c>
      <c r="DD40" s="36">
        <f t="shared" ref="DD40:DD41" si="222">ROUNDUP(DC40,0)</f>
        <v>74.0</v>
      </c>
      <c r="DE40" s="123">
        <f t="shared" ref="DE40:DE41" si="223">DD40*6</f>
        <v>444.0</v>
      </c>
    </row>
    <row r="41">
      <c r="A41" s="163" t="s">
        <v>32</v>
      </c>
      <c r="B41" s="163" t="s">
        <v>81</v>
      </c>
      <c r="C41" s="163" t="s">
        <v>536</v>
      </c>
      <c r="D41" s="164">
        <v>37602.0</v>
      </c>
      <c r="E41" s="163">
        <v>0.0</v>
      </c>
      <c r="F41" s="163">
        <v>0.0</v>
      </c>
      <c r="G41" s="163">
        <v>0.0</v>
      </c>
      <c r="H41" s="163">
        <v>0.0</v>
      </c>
      <c r="I41" s="163">
        <v>0.0</v>
      </c>
      <c r="J41" s="163">
        <v>0.0</v>
      </c>
      <c r="K41" s="163">
        <v>0.0</v>
      </c>
      <c r="L41" s="163">
        <v>0.0</v>
      </c>
      <c r="M41" s="163">
        <v>0.0</v>
      </c>
      <c r="N41" s="163">
        <v>0.0</v>
      </c>
      <c r="O41" s="163">
        <v>0.0</v>
      </c>
      <c r="P41" s="163">
        <v>0.0</v>
      </c>
      <c r="Q41" s="163">
        <v>0.0</v>
      </c>
      <c r="R41" s="163">
        <v>0.0</v>
      </c>
      <c r="S41" s="163">
        <v>0.0</v>
      </c>
      <c r="T41" s="163">
        <v>0.0</v>
      </c>
      <c r="U41" s="163">
        <v>0.0</v>
      </c>
      <c r="V41" s="163">
        <v>0.0</v>
      </c>
      <c r="W41" s="163">
        <v>0.0</v>
      </c>
      <c r="X41" s="163">
        <v>0.0</v>
      </c>
      <c r="Y41" s="163">
        <v>0.0</v>
      </c>
      <c r="Z41" s="163">
        <v>0.0</v>
      </c>
      <c r="AA41" s="163">
        <v>0.0</v>
      </c>
      <c r="AB41" s="163">
        <v>0.0</v>
      </c>
      <c r="AC41" s="163">
        <v>0.0</v>
      </c>
      <c r="AD41" s="163">
        <v>0.0</v>
      </c>
      <c r="AE41" s="163">
        <v>0.0</v>
      </c>
      <c r="AF41" s="163">
        <v>0.0</v>
      </c>
      <c r="AG41" s="163">
        <v>0.0</v>
      </c>
      <c r="AH41" s="163">
        <v>0.0</v>
      </c>
      <c r="AI41" s="163">
        <v>0.0</v>
      </c>
      <c r="AJ41" s="163">
        <v>0.0</v>
      </c>
      <c r="AK41" s="163">
        <v>0.0</v>
      </c>
      <c r="AL41" s="163">
        <v>12.0</v>
      </c>
      <c r="AM41" s="163">
        <v>133.0</v>
      </c>
      <c r="AN41" s="179">
        <v>0.0</v>
      </c>
      <c r="AO41" s="179">
        <v>0.0</v>
      </c>
      <c r="AP41" s="179">
        <v>6.0</v>
      </c>
      <c r="AQ41" s="179">
        <v>474.0</v>
      </c>
      <c r="AR41" s="179">
        <v>336.0</v>
      </c>
      <c r="AS41" s="179">
        <v>77.0</v>
      </c>
      <c r="AT41" s="139">
        <f t="shared" si="4"/>
        <v>1038.0</v>
      </c>
      <c r="AU41" s="139">
        <f t="shared" si="171"/>
        <v>893.0</v>
      </c>
      <c r="AV41" s="139">
        <f t="shared" si="6"/>
        <v>982.3</v>
      </c>
      <c r="AW41" s="168">
        <f t="shared" si="209"/>
        <v>139.618181818181</v>
      </c>
      <c r="AX41" s="36">
        <f t="shared" si="210"/>
        <v>159.563636363636</v>
      </c>
      <c r="AY41" s="36">
        <f t="shared" si="211"/>
        <v>159.563636363636</v>
      </c>
      <c r="AZ41" s="36">
        <f t="shared" si="212"/>
        <v>139.618181818181</v>
      </c>
      <c r="BA41" s="36">
        <f t="shared" si="213"/>
        <v>139.618181818181</v>
      </c>
      <c r="BB41" s="36">
        <f t="shared" si="214"/>
        <v>159.563636363636</v>
      </c>
      <c r="BC41" s="166">
        <f t="shared" si="13"/>
        <v>897.545454545451</v>
      </c>
      <c r="BD41" s="123">
        <f>VLOOKUP(D41,FEB23SOH,3,false)</f>
        <v>3.0</v>
      </c>
      <c r="BE41" s="167">
        <f>VLOOKUP(D41,VALUEFEB23,4,false)</f>
        <v>3.4667</v>
      </c>
      <c r="BF41" s="178">
        <f t="shared" si="16"/>
        <v>10.4001</v>
      </c>
      <c r="BG41" s="168"/>
      <c r="BH41" s="168">
        <f t="shared" si="185"/>
        <v>-894.545454545451</v>
      </c>
      <c r="BI41" s="123"/>
      <c r="BJ41" s="170"/>
      <c r="BK41" s="171" t="s">
        <v>518</v>
      </c>
      <c r="BL41" s="36">
        <f t="shared" si="186"/>
        <v>3.0</v>
      </c>
      <c r="BM41" s="168"/>
      <c r="BN41" s="168">
        <f t="shared" si="187"/>
        <v>139.618181818181</v>
      </c>
      <c r="BO41" s="168"/>
      <c r="BP41" s="168">
        <f t="shared" si="188"/>
        <v>-136.618181818181</v>
      </c>
      <c r="BQ41" s="126">
        <f t="shared" si="189"/>
        <v>-473.614250909088</v>
      </c>
      <c r="BR41" s="168">
        <f t="shared" si="190"/>
        <v>159.563636363636</v>
      </c>
      <c r="BS41" s="123"/>
      <c r="BT41" s="168">
        <f t="shared" si="191"/>
        <v>-296.181818181817</v>
      </c>
      <c r="BU41" s="126">
        <f t="shared" si="192"/>
        <v>-1026.7735090909</v>
      </c>
      <c r="BV41" s="168">
        <f t="shared" si="193"/>
        <v>159.563636363636</v>
      </c>
      <c r="BW41" s="168"/>
      <c r="BX41" s="168">
        <f t="shared" si="194"/>
        <v>-455.745454545452</v>
      </c>
      <c r="BY41" s="126">
        <f t="shared" si="195"/>
        <v>-1579.93276727271</v>
      </c>
      <c r="BZ41" s="168">
        <f t="shared" si="196"/>
        <v>139.618181818181</v>
      </c>
      <c r="CA41" s="168"/>
      <c r="CB41" s="168">
        <f t="shared" si="197"/>
        <v>-595.363636363633</v>
      </c>
      <c r="CC41" s="126">
        <f t="shared" si="198"/>
        <v>-2063.9471181818</v>
      </c>
      <c r="CD41" s="168">
        <f t="shared" si="199"/>
        <v>139.618181818181</v>
      </c>
      <c r="CE41" s="168"/>
      <c r="CF41" s="168">
        <f t="shared" si="200"/>
        <v>-734.981818181814</v>
      </c>
      <c r="CG41" s="126">
        <f t="shared" si="201"/>
        <v>-2547.96146909089</v>
      </c>
      <c r="CH41" s="168">
        <f t="shared" si="202"/>
        <v>159.563636363636</v>
      </c>
      <c r="CI41" s="168"/>
      <c r="CJ41" s="168">
        <f t="shared" si="203"/>
        <v>-894.54545454545</v>
      </c>
      <c r="CK41" s="126">
        <f t="shared" si="204"/>
        <v>-3101.12072727271</v>
      </c>
      <c r="CL41" s="36">
        <f t="shared" si="205"/>
        <v>894.54545454545</v>
      </c>
      <c r="CM41" s="36">
        <f t="shared" si="206"/>
        <v>149.090909090908</v>
      </c>
      <c r="CN41" s="36">
        <f t="shared" si="207"/>
        <v>150.0</v>
      </c>
      <c r="CO41" s="123">
        <f t="shared" si="208"/>
        <v>900.0</v>
      </c>
      <c r="CR41" s="123">
        <f t="shared" si="215"/>
        <v>-455.745454545452</v>
      </c>
      <c r="CS41" s="168">
        <f t="shared" si="55"/>
        <v>75.9575757575753</v>
      </c>
      <c r="CT41" s="36">
        <f t="shared" si="56"/>
        <v>76.0</v>
      </c>
      <c r="CU41" s="123">
        <f t="shared" si="57"/>
        <v>456.0</v>
      </c>
      <c r="CW41" s="172">
        <f t="shared" si="216"/>
        <v>-595.363636363633</v>
      </c>
      <c r="CX41" s="168">
        <f t="shared" si="217"/>
        <v>99.2272727272721</v>
      </c>
      <c r="CY41" s="36">
        <f t="shared" si="218"/>
        <v>100.0</v>
      </c>
      <c r="CZ41" s="123">
        <f t="shared" si="219"/>
        <v>600.0</v>
      </c>
      <c r="DB41" s="172">
        <f t="shared" si="220"/>
        <v>-734.981818181814</v>
      </c>
      <c r="DC41" s="168">
        <f t="shared" si="221"/>
        <v>122.496969696969</v>
      </c>
      <c r="DD41" s="36">
        <f t="shared" si="222"/>
        <v>123.0</v>
      </c>
      <c r="DE41" s="123">
        <f t="shared" si="223"/>
        <v>738.0</v>
      </c>
    </row>
    <row r="42">
      <c r="A42" s="163" t="s">
        <v>32</v>
      </c>
      <c r="B42" s="163" t="s">
        <v>81</v>
      </c>
      <c r="C42" s="163" t="s">
        <v>537</v>
      </c>
      <c r="D42" s="164">
        <v>37603.0</v>
      </c>
      <c r="E42" s="163">
        <v>0.0</v>
      </c>
      <c r="F42" s="163">
        <v>0.0</v>
      </c>
      <c r="G42" s="163">
        <v>0.0</v>
      </c>
      <c r="H42" s="163">
        <v>0.0</v>
      </c>
      <c r="I42" s="163">
        <v>0.0</v>
      </c>
      <c r="J42" s="163">
        <v>0.0</v>
      </c>
      <c r="K42" s="163">
        <v>0.0</v>
      </c>
      <c r="L42" s="163">
        <v>0.0</v>
      </c>
      <c r="M42" s="163">
        <v>0.0</v>
      </c>
      <c r="N42" s="163">
        <v>0.0</v>
      </c>
      <c r="O42" s="163">
        <v>0.0</v>
      </c>
      <c r="P42" s="163">
        <v>0.0</v>
      </c>
      <c r="Q42" s="163">
        <v>0.0</v>
      </c>
      <c r="R42" s="163">
        <v>0.0</v>
      </c>
      <c r="S42" s="163">
        <v>0.0</v>
      </c>
      <c r="T42" s="163">
        <v>0.0</v>
      </c>
      <c r="U42" s="163">
        <v>0.0</v>
      </c>
      <c r="V42" s="163">
        <v>0.0</v>
      </c>
      <c r="W42" s="163">
        <v>0.0</v>
      </c>
      <c r="X42" s="163">
        <v>0.0</v>
      </c>
      <c r="Y42" s="163">
        <v>0.0</v>
      </c>
      <c r="Z42" s="163">
        <v>0.0</v>
      </c>
      <c r="AA42" s="163">
        <v>0.0</v>
      </c>
      <c r="AB42" s="163">
        <v>0.0</v>
      </c>
      <c r="AC42" s="163">
        <v>0.0</v>
      </c>
      <c r="AD42" s="163">
        <v>0.0</v>
      </c>
      <c r="AE42" s="163">
        <v>0.0</v>
      </c>
      <c r="AF42" s="163">
        <v>0.0</v>
      </c>
      <c r="AG42" s="163">
        <v>0.0</v>
      </c>
      <c r="AH42" s="163">
        <v>0.0</v>
      </c>
      <c r="AI42" s="163">
        <v>0.0</v>
      </c>
      <c r="AJ42" s="163">
        <v>0.0</v>
      </c>
      <c r="AK42" s="163">
        <v>0.0</v>
      </c>
      <c r="AL42" s="163">
        <v>6.0</v>
      </c>
      <c r="AM42" s="163">
        <v>6.0</v>
      </c>
      <c r="AN42" s="179">
        <v>43.0</v>
      </c>
      <c r="AO42" s="179">
        <v>36.0</v>
      </c>
      <c r="AP42" s="179">
        <v>18.0</v>
      </c>
      <c r="AQ42" s="179">
        <v>60.0</v>
      </c>
      <c r="AR42" s="179">
        <v>30.0</v>
      </c>
      <c r="AS42" s="179">
        <v>58.0</v>
      </c>
      <c r="AT42" s="139">
        <f t="shared" si="4"/>
        <v>257.0</v>
      </c>
      <c r="AU42" s="139">
        <f t="shared" si="171"/>
        <v>245.0</v>
      </c>
      <c r="AV42" s="139">
        <f t="shared" si="6"/>
        <v>269.5</v>
      </c>
      <c r="AW42" s="168">
        <f t="shared" si="209"/>
        <v>57.1454545454544</v>
      </c>
      <c r="AX42" s="36">
        <f t="shared" si="210"/>
        <v>65.3090909090908</v>
      </c>
      <c r="AY42" s="36">
        <f t="shared" si="211"/>
        <v>65.3090909090908</v>
      </c>
      <c r="AZ42" s="36">
        <f t="shared" si="212"/>
        <v>57.1454545454544</v>
      </c>
      <c r="BA42" s="36">
        <f t="shared" si="213"/>
        <v>57.1454545454544</v>
      </c>
      <c r="BB42" s="36">
        <f t="shared" si="214"/>
        <v>65.3090909090908</v>
      </c>
      <c r="BC42" s="166">
        <f t="shared" si="13"/>
        <v>367.36363636363</v>
      </c>
      <c r="BD42" s="123">
        <f>VLOOKUP(C42,SOHFEB23,3,false)</f>
        <v>425.0</v>
      </c>
      <c r="BE42" s="167">
        <f>VLOOKUP(D42,VALUEFEB23,4,false)</f>
        <v>3.4135</v>
      </c>
      <c r="BF42" s="124">
        <f t="shared" si="16"/>
        <v>1450.7375</v>
      </c>
      <c r="BG42" s="168"/>
      <c r="BH42" s="168">
        <f t="shared" si="185"/>
        <v>57.63636363637</v>
      </c>
      <c r="BI42" s="123"/>
      <c r="BJ42" s="170"/>
      <c r="BK42" s="171"/>
      <c r="BL42" s="36">
        <f t="shared" si="186"/>
        <v>425.0</v>
      </c>
      <c r="BM42" s="168"/>
      <c r="BN42" s="168">
        <f t="shared" si="187"/>
        <v>57.1454545454544</v>
      </c>
      <c r="BO42" s="168"/>
      <c r="BP42" s="168">
        <f t="shared" si="188"/>
        <v>367.85454545454</v>
      </c>
      <c r="BQ42" s="126">
        <f t="shared" si="189"/>
        <v>1255.67149090907</v>
      </c>
      <c r="BR42" s="168">
        <f t="shared" si="190"/>
        <v>65.3090909090908</v>
      </c>
      <c r="BS42" s="123"/>
      <c r="BT42" s="168">
        <f t="shared" si="191"/>
        <v>302.545454545449</v>
      </c>
      <c r="BU42" s="126">
        <f t="shared" si="192"/>
        <v>1032.73890909089</v>
      </c>
      <c r="BV42" s="168">
        <f t="shared" si="193"/>
        <v>65.3090909090908</v>
      </c>
      <c r="BW42" s="168"/>
      <c r="BX42" s="168">
        <f t="shared" si="194"/>
        <v>237.236363636358</v>
      </c>
      <c r="BY42" s="126">
        <f t="shared" si="195"/>
        <v>809.806327272708</v>
      </c>
      <c r="BZ42" s="168">
        <f t="shared" si="196"/>
        <v>57.1454545454544</v>
      </c>
      <c r="CA42" s="168"/>
      <c r="CB42" s="168">
        <f t="shared" si="197"/>
        <v>180.090909090903</v>
      </c>
      <c r="CC42" s="126">
        <f t="shared" si="198"/>
        <v>614.740318181797</v>
      </c>
      <c r="CD42" s="168">
        <f t="shared" si="199"/>
        <v>57.1454545454544</v>
      </c>
      <c r="CE42" s="168"/>
      <c r="CF42" s="168">
        <f t="shared" si="200"/>
        <v>122.945454545449</v>
      </c>
      <c r="CG42" s="126">
        <f t="shared" si="201"/>
        <v>419.67430909089</v>
      </c>
      <c r="CH42" s="168">
        <f t="shared" si="202"/>
        <v>65.3090909090908</v>
      </c>
      <c r="CI42" s="168"/>
      <c r="CJ42" s="168">
        <f t="shared" si="203"/>
        <v>57.6363636363582</v>
      </c>
      <c r="CK42" s="126">
        <f t="shared" si="204"/>
        <v>196.741727272709</v>
      </c>
      <c r="CL42" s="36">
        <f t="shared" si="205"/>
        <v>-57.6363636363582</v>
      </c>
      <c r="CM42" s="36">
        <f t="shared" si="206"/>
        <v>-9.6060606060597</v>
      </c>
      <c r="CN42" s="36">
        <f t="shared" si="207"/>
        <v>-10.0</v>
      </c>
      <c r="CO42" s="123">
        <f t="shared" si="208"/>
        <v>-60.0</v>
      </c>
      <c r="CR42" s="123"/>
      <c r="CS42" s="168">
        <f t="shared" si="55"/>
        <v>0.0</v>
      </c>
      <c r="CT42" s="36">
        <f t="shared" si="56"/>
        <v>0.0</v>
      </c>
      <c r="CU42" s="123">
        <f t="shared" si="57"/>
        <v>0.0</v>
      </c>
    </row>
    <row r="43">
      <c r="A43" s="163" t="s">
        <v>32</v>
      </c>
      <c r="B43" s="163" t="s">
        <v>81</v>
      </c>
      <c r="C43" s="163" t="s">
        <v>538</v>
      </c>
      <c r="D43" s="164">
        <v>37604.0</v>
      </c>
      <c r="E43" s="163">
        <v>0.0</v>
      </c>
      <c r="F43" s="163">
        <v>0.0</v>
      </c>
      <c r="G43" s="163">
        <v>0.0</v>
      </c>
      <c r="H43" s="163">
        <v>0.0</v>
      </c>
      <c r="I43" s="163">
        <v>0.0</v>
      </c>
      <c r="J43" s="163">
        <v>0.0</v>
      </c>
      <c r="K43" s="163">
        <v>0.0</v>
      </c>
      <c r="L43" s="163">
        <v>0.0</v>
      </c>
      <c r="M43" s="163">
        <v>0.0</v>
      </c>
      <c r="N43" s="163">
        <v>0.0</v>
      </c>
      <c r="O43" s="163">
        <v>0.0</v>
      </c>
      <c r="P43" s="163">
        <v>0.0</v>
      </c>
      <c r="Q43" s="163">
        <v>0.0</v>
      </c>
      <c r="R43" s="163">
        <v>0.0</v>
      </c>
      <c r="S43" s="163">
        <v>0.0</v>
      </c>
      <c r="T43" s="163">
        <v>0.0</v>
      </c>
      <c r="U43" s="163">
        <v>0.0</v>
      </c>
      <c r="V43" s="163">
        <v>0.0</v>
      </c>
      <c r="W43" s="163">
        <v>0.0</v>
      </c>
      <c r="X43" s="163">
        <v>0.0</v>
      </c>
      <c r="Y43" s="163">
        <v>0.0</v>
      </c>
      <c r="Z43" s="163">
        <v>0.0</v>
      </c>
      <c r="AA43" s="163">
        <v>0.0</v>
      </c>
      <c r="AB43" s="163">
        <v>0.0</v>
      </c>
      <c r="AC43" s="163">
        <v>0.0</v>
      </c>
      <c r="AD43" s="163">
        <v>0.0</v>
      </c>
      <c r="AE43" s="163">
        <v>0.0</v>
      </c>
      <c r="AF43" s="163">
        <v>0.0</v>
      </c>
      <c r="AG43" s="163">
        <v>0.0</v>
      </c>
      <c r="AH43" s="163">
        <v>0.0</v>
      </c>
      <c r="AI43" s="163">
        <v>0.0</v>
      </c>
      <c r="AJ43" s="163">
        <v>0.0</v>
      </c>
      <c r="AK43" s="163">
        <v>0.0</v>
      </c>
      <c r="AL43" s="163">
        <v>6.0</v>
      </c>
      <c r="AM43" s="163">
        <v>12.0</v>
      </c>
      <c r="AN43" s="179">
        <v>49.0</v>
      </c>
      <c r="AO43" s="179">
        <v>72.0</v>
      </c>
      <c r="AP43" s="179">
        <v>36.0</v>
      </c>
      <c r="AQ43" s="179">
        <v>78.0</v>
      </c>
      <c r="AR43" s="179">
        <v>24.0</v>
      </c>
      <c r="AS43" s="179">
        <v>73.0</v>
      </c>
      <c r="AT43" s="139">
        <f t="shared" si="4"/>
        <v>350.0</v>
      </c>
      <c r="AU43" s="139">
        <f t="shared" si="171"/>
        <v>332.0</v>
      </c>
      <c r="AV43" s="139">
        <f t="shared" si="6"/>
        <v>365.2</v>
      </c>
      <c r="AW43" s="168">
        <f t="shared" si="209"/>
        <v>68.2181818181817</v>
      </c>
      <c r="AX43" s="36">
        <f t="shared" si="210"/>
        <v>77.9636363636362</v>
      </c>
      <c r="AY43" s="36">
        <f t="shared" si="211"/>
        <v>77.9636363636362</v>
      </c>
      <c r="AZ43" s="36">
        <f t="shared" si="212"/>
        <v>68.2181818181817</v>
      </c>
      <c r="BA43" s="36">
        <f t="shared" si="213"/>
        <v>68.2181818181817</v>
      </c>
      <c r="BB43" s="36">
        <f t="shared" si="214"/>
        <v>77.9636363636362</v>
      </c>
      <c r="BC43" s="166">
        <f t="shared" si="13"/>
        <v>438.545454545453</v>
      </c>
      <c r="BD43" s="123">
        <f>VLOOKUP(C43,SOHFEB23,3,false)</f>
        <v>485.0</v>
      </c>
      <c r="BE43" s="167">
        <f>VLOOKUP(D43,VALUEFEB23,4,false)</f>
        <v>3.4424</v>
      </c>
      <c r="BF43" s="124">
        <f t="shared" si="16"/>
        <v>1669.564</v>
      </c>
      <c r="BG43" s="168"/>
      <c r="BH43" s="168">
        <f t="shared" si="185"/>
        <v>46.454545454547</v>
      </c>
      <c r="BI43" s="123"/>
      <c r="BJ43" s="170"/>
      <c r="BK43" s="171"/>
      <c r="BL43" s="36">
        <f t="shared" si="186"/>
        <v>485.0</v>
      </c>
      <c r="BM43" s="168"/>
      <c r="BN43" s="168">
        <f t="shared" si="187"/>
        <v>68.2181818181817</v>
      </c>
      <c r="BO43" s="168"/>
      <c r="BP43" s="168">
        <f t="shared" si="188"/>
        <v>416.781818181818</v>
      </c>
      <c r="BQ43" s="126">
        <f t="shared" si="189"/>
        <v>1434.72973090909</v>
      </c>
      <c r="BR43" s="168">
        <f t="shared" si="190"/>
        <v>77.9636363636362</v>
      </c>
      <c r="BS43" s="123"/>
      <c r="BT43" s="168">
        <f t="shared" si="191"/>
        <v>338.818181818181</v>
      </c>
      <c r="BU43" s="126">
        <f t="shared" si="192"/>
        <v>1166.3477090909</v>
      </c>
      <c r="BV43" s="168">
        <f t="shared" si="193"/>
        <v>77.9636363636362</v>
      </c>
      <c r="BW43" s="168"/>
      <c r="BX43" s="168">
        <f t="shared" si="194"/>
        <v>260.854545454544</v>
      </c>
      <c r="BY43" s="126">
        <f t="shared" si="195"/>
        <v>897.965687272722</v>
      </c>
      <c r="BZ43" s="168">
        <f t="shared" si="196"/>
        <v>68.2181818181817</v>
      </c>
      <c r="CA43" s="168"/>
      <c r="CB43" s="168">
        <f t="shared" si="197"/>
        <v>192.636363636362</v>
      </c>
      <c r="CC43" s="126">
        <f t="shared" si="198"/>
        <v>663.131418181812</v>
      </c>
      <c r="CD43" s="168">
        <f t="shared" si="199"/>
        <v>68.2181818181817</v>
      </c>
      <c r="CE43" s="168"/>
      <c r="CF43" s="168">
        <f t="shared" si="200"/>
        <v>124.41818181818</v>
      </c>
      <c r="CG43" s="126">
        <f t="shared" si="201"/>
        <v>428.297149090902</v>
      </c>
      <c r="CH43" s="168">
        <f t="shared" si="202"/>
        <v>77.9636363636362</v>
      </c>
      <c r="CI43" s="168"/>
      <c r="CJ43" s="168">
        <f t="shared" si="203"/>
        <v>46.4545454545438</v>
      </c>
      <c r="CK43" s="126">
        <f t="shared" si="204"/>
        <v>159.915127272721</v>
      </c>
      <c r="CL43" s="36">
        <f t="shared" si="205"/>
        <v>-46.4545454545438</v>
      </c>
      <c r="CM43" s="36">
        <f t="shared" si="206"/>
        <v>-7.74242424242395</v>
      </c>
      <c r="CN43" s="36">
        <f t="shared" si="207"/>
        <v>-8.0</v>
      </c>
      <c r="CO43" s="123">
        <f t="shared" si="208"/>
        <v>-48.0</v>
      </c>
      <c r="CR43" s="123"/>
      <c r="CS43" s="168">
        <f t="shared" si="55"/>
        <v>0.0</v>
      </c>
      <c r="CT43" s="36">
        <f t="shared" si="56"/>
        <v>0.0</v>
      </c>
      <c r="CU43" s="123">
        <f t="shared" si="57"/>
        <v>0.0</v>
      </c>
    </row>
    <row r="44">
      <c r="A44" s="163" t="s">
        <v>32</v>
      </c>
      <c r="B44" s="163" t="s">
        <v>539</v>
      </c>
      <c r="C44" s="163" t="s">
        <v>540</v>
      </c>
      <c r="D44" s="164" t="s">
        <v>541</v>
      </c>
      <c r="E44" s="163">
        <v>0.0</v>
      </c>
      <c r="F44" s="163">
        <v>0.0</v>
      </c>
      <c r="G44" s="163">
        <v>0.0</v>
      </c>
      <c r="H44" s="163">
        <v>0.0</v>
      </c>
      <c r="I44" s="163">
        <v>0.0</v>
      </c>
      <c r="J44" s="163">
        <v>0.0</v>
      </c>
      <c r="K44" s="163">
        <v>0.0</v>
      </c>
      <c r="L44" s="163">
        <v>0.0</v>
      </c>
      <c r="M44" s="163">
        <v>0.0</v>
      </c>
      <c r="N44" s="163">
        <v>0.0</v>
      </c>
      <c r="O44" s="163">
        <v>0.0</v>
      </c>
      <c r="P44" s="163">
        <v>0.0</v>
      </c>
      <c r="Q44" s="163">
        <v>0.0</v>
      </c>
      <c r="R44" s="163">
        <v>0.0</v>
      </c>
      <c r="S44" s="163">
        <v>0.0</v>
      </c>
      <c r="T44" s="163">
        <v>0.0</v>
      </c>
      <c r="U44" s="163">
        <v>0.0</v>
      </c>
      <c r="V44" s="163">
        <v>0.0</v>
      </c>
      <c r="W44" s="163">
        <v>0.0</v>
      </c>
      <c r="X44" s="163">
        <v>0.0</v>
      </c>
      <c r="Y44" s="163">
        <v>0.0</v>
      </c>
      <c r="Z44" s="163">
        <v>0.0</v>
      </c>
      <c r="AA44" s="163">
        <v>0.0</v>
      </c>
      <c r="AB44" s="163">
        <v>0.0</v>
      </c>
      <c r="AC44" s="163">
        <v>0.0</v>
      </c>
      <c r="AD44" s="163">
        <v>0.0</v>
      </c>
      <c r="AE44" s="163">
        <v>0.0</v>
      </c>
      <c r="AF44" s="163">
        <v>0.0</v>
      </c>
      <c r="AG44" s="163">
        <v>0.0</v>
      </c>
      <c r="AH44" s="163">
        <v>0.0</v>
      </c>
      <c r="AI44" s="163">
        <v>0.0</v>
      </c>
      <c r="AJ44" s="163">
        <v>0.0</v>
      </c>
      <c r="AK44" s="163">
        <v>0.0</v>
      </c>
      <c r="AL44" s="163">
        <v>15.0</v>
      </c>
      <c r="AM44" s="163">
        <v>24.0</v>
      </c>
      <c r="AN44" s="179">
        <v>15.0</v>
      </c>
      <c r="AO44" s="179">
        <v>33.0</v>
      </c>
      <c r="AP44" s="179">
        <v>33.0</v>
      </c>
      <c r="AQ44" s="179">
        <v>17.0</v>
      </c>
      <c r="AR44" s="179">
        <v>4.0</v>
      </c>
      <c r="AS44" s="179">
        <v>11.0</v>
      </c>
      <c r="AT44" s="139">
        <f t="shared" si="4"/>
        <v>152.0</v>
      </c>
      <c r="AU44" s="139">
        <f t="shared" si="171"/>
        <v>113.0</v>
      </c>
      <c r="AV44" s="139">
        <f t="shared" si="6"/>
        <v>124.3</v>
      </c>
      <c r="AW44" s="168">
        <f>AV44*$AW$4/$AV$3</f>
        <v>14.3818181818181</v>
      </c>
      <c r="AX44" s="36">
        <f>AV44*$AX$4/$AV$3</f>
        <v>16.4363636363636</v>
      </c>
      <c r="AY44" s="36">
        <f>AV44*$AY$4/$AV$3</f>
        <v>16.4363636363636</v>
      </c>
      <c r="AZ44" s="36">
        <f>AV44*$AZ$4/$AV$3</f>
        <v>14.3818181818181</v>
      </c>
      <c r="BA44" s="36">
        <f>AV44*$BA$4/$AV$3</f>
        <v>14.3818181818181</v>
      </c>
      <c r="BB44" s="36">
        <f>AV44*$BB$4/$AV$3</f>
        <v>16.4363636363636</v>
      </c>
      <c r="BC44" s="166">
        <f t="shared" si="13"/>
        <v>92.454545454545</v>
      </c>
      <c r="BD44" s="123">
        <f>VLOOKUP(C44,SOHFEB23,3,false)</f>
        <v>77.0</v>
      </c>
      <c r="BE44" s="167">
        <f>VLOOKUP(D44,VALUEFEB23,4,false)</f>
        <v>149.6209</v>
      </c>
      <c r="BF44" s="124">
        <f t="shared" si="16"/>
        <v>11520.8093</v>
      </c>
      <c r="BG44" s="168"/>
      <c r="BH44" s="168">
        <f t="shared" si="185"/>
        <v>-15.454545454544</v>
      </c>
      <c r="BI44" s="123"/>
      <c r="BJ44" s="170"/>
      <c r="BK44" s="171" t="s">
        <v>6</v>
      </c>
      <c r="BL44" s="36">
        <f t="shared" si="186"/>
        <v>77.0</v>
      </c>
      <c r="BM44" s="168"/>
      <c r="BN44" s="168">
        <f t="shared" si="187"/>
        <v>14.3818181818181</v>
      </c>
      <c r="BO44" s="168"/>
      <c r="BP44" s="168">
        <f t="shared" si="188"/>
        <v>62.6181818181819</v>
      </c>
      <c r="BQ44" s="126">
        <f t="shared" si="189"/>
        <v>9368.98872000001</v>
      </c>
      <c r="BR44" s="168">
        <f t="shared" si="190"/>
        <v>16.4363636363636</v>
      </c>
      <c r="BS44" s="123"/>
      <c r="BT44" s="168">
        <f t="shared" si="191"/>
        <v>46.1818181818183</v>
      </c>
      <c r="BU44" s="126">
        <f t="shared" si="192"/>
        <v>6909.76520000001</v>
      </c>
      <c r="BV44" s="168">
        <f t="shared" si="193"/>
        <v>16.4363636363636</v>
      </c>
      <c r="BW44" s="168"/>
      <c r="BX44" s="168">
        <f t="shared" si="194"/>
        <v>29.7454545454547</v>
      </c>
      <c r="BY44" s="126">
        <f t="shared" si="195"/>
        <v>4450.54168000002</v>
      </c>
      <c r="BZ44" s="168">
        <f t="shared" si="196"/>
        <v>14.3818181818181</v>
      </c>
      <c r="CA44" s="168"/>
      <c r="CB44" s="168">
        <f t="shared" si="197"/>
        <v>15.3636363636366</v>
      </c>
      <c r="CC44" s="126">
        <f t="shared" si="198"/>
        <v>2298.72110000003</v>
      </c>
      <c r="CD44" s="168">
        <f t="shared" si="199"/>
        <v>14.3818181818181</v>
      </c>
      <c r="CE44" s="168"/>
      <c r="CF44" s="168">
        <f t="shared" si="200"/>
        <v>0.9818181818185</v>
      </c>
      <c r="CG44" s="126">
        <f t="shared" si="201"/>
        <v>146.900520000048</v>
      </c>
      <c r="CH44" s="168">
        <f t="shared" si="202"/>
        <v>16.4363636363636</v>
      </c>
      <c r="CI44" s="168"/>
      <c r="CJ44" s="168">
        <f t="shared" si="203"/>
        <v>-15.454545454545</v>
      </c>
      <c r="CK44" s="126">
        <f t="shared" si="204"/>
        <v>-2312.32299999993</v>
      </c>
      <c r="CL44" s="36">
        <f t="shared" si="205"/>
        <v>15.454545454545</v>
      </c>
      <c r="CM44" s="36">
        <f t="shared" si="206"/>
        <v>2.5757575757575</v>
      </c>
      <c r="CN44" s="36">
        <f t="shared" si="207"/>
        <v>3.0</v>
      </c>
      <c r="CO44" s="123">
        <f t="shared" si="208"/>
        <v>18.0</v>
      </c>
      <c r="CR44" s="123">
        <f>CF44</f>
        <v>0.9818181818185</v>
      </c>
      <c r="CS44" s="168">
        <f t="shared" si="55"/>
        <v>-0.163636363636417</v>
      </c>
      <c r="CT44" s="36">
        <f t="shared" si="56"/>
        <v>-1.0</v>
      </c>
      <c r="CU44" s="123">
        <f t="shared" si="57"/>
        <v>-6.0</v>
      </c>
    </row>
    <row r="45">
      <c r="A45" s="175" t="s">
        <v>32</v>
      </c>
      <c r="B45" s="175" t="s">
        <v>81</v>
      </c>
      <c r="C45" s="175" t="s">
        <v>90</v>
      </c>
      <c r="D45" s="176">
        <v>43006.0</v>
      </c>
      <c r="E45" s="163">
        <v>39.0</v>
      </c>
      <c r="F45" s="163">
        <v>26.0</v>
      </c>
      <c r="G45" s="163">
        <v>27.0</v>
      </c>
      <c r="H45" s="163">
        <v>15.0</v>
      </c>
      <c r="I45" s="163">
        <v>15.0</v>
      </c>
      <c r="J45" s="163">
        <v>15.0</v>
      </c>
      <c r="K45" s="163">
        <v>18.0</v>
      </c>
      <c r="L45" s="163">
        <v>34.0</v>
      </c>
      <c r="M45" s="163">
        <v>12.0</v>
      </c>
      <c r="N45" s="163">
        <v>21.0</v>
      </c>
      <c r="O45" s="163">
        <v>15.0</v>
      </c>
      <c r="P45" s="163">
        <v>14.0</v>
      </c>
      <c r="Q45" s="163">
        <v>3.0</v>
      </c>
      <c r="R45" s="163">
        <v>26.0</v>
      </c>
      <c r="S45" s="163">
        <v>21.0</v>
      </c>
      <c r="T45" s="163">
        <v>12.0</v>
      </c>
      <c r="U45" s="163">
        <v>27.0</v>
      </c>
      <c r="V45" s="163">
        <v>15.0</v>
      </c>
      <c r="W45" s="163">
        <v>15.0</v>
      </c>
      <c r="X45" s="163">
        <v>15.0</v>
      </c>
      <c r="Y45" s="163">
        <v>27.0</v>
      </c>
      <c r="Z45" s="163">
        <v>9.0</v>
      </c>
      <c r="AA45" s="163">
        <v>6.0</v>
      </c>
      <c r="AB45" s="163">
        <v>18.0</v>
      </c>
      <c r="AC45" s="163">
        <v>6.0</v>
      </c>
      <c r="AD45" s="163">
        <v>12.0</v>
      </c>
      <c r="AE45" s="163">
        <v>12.0</v>
      </c>
      <c r="AF45" s="163">
        <v>6.0</v>
      </c>
      <c r="AG45" s="163">
        <v>3.0</v>
      </c>
      <c r="AH45" s="163">
        <v>15.0</v>
      </c>
      <c r="AI45" s="163">
        <v>9.0</v>
      </c>
      <c r="AJ45" s="163">
        <v>9.0</v>
      </c>
      <c r="AK45" s="163">
        <v>9.0</v>
      </c>
      <c r="AL45" s="163">
        <v>9.0</v>
      </c>
      <c r="AM45" s="163">
        <v>12.0</v>
      </c>
      <c r="AN45" s="163">
        <v>0.0</v>
      </c>
      <c r="AO45" s="163">
        <v>0.0</v>
      </c>
      <c r="AP45" s="163">
        <v>0.0</v>
      </c>
      <c r="AQ45" s="163">
        <v>0.0</v>
      </c>
      <c r="AR45" s="163">
        <v>0.0</v>
      </c>
      <c r="AS45" s="163">
        <v>0.0</v>
      </c>
      <c r="AT45" s="139">
        <f t="shared" si="4"/>
        <v>63.0</v>
      </c>
      <c r="AU45" s="139">
        <f t="shared" ref="AU45:AU97" si="232">SUM(AH45:AM45)</f>
        <v>63.0</v>
      </c>
      <c r="AV45" s="139">
        <f t="shared" si="6"/>
        <v>69.3</v>
      </c>
      <c r="BC45" s="168"/>
      <c r="BD45" s="123">
        <f>VLOOKUP(C45,SOHFEB23,3,false)</f>
        <v>0.0</v>
      </c>
      <c r="BE45" s="167">
        <f>VLOOKUP(D45,VALUEFEB23,4,false)</f>
      </c>
      <c r="BF45" s="124">
        <f t="shared" si="16"/>
        <v>0.0</v>
      </c>
      <c r="BH45" s="168">
        <f t="shared" si="185"/>
        <v>0.0</v>
      </c>
      <c r="BI45" s="123"/>
      <c r="BK45" s="177"/>
      <c r="BL45" s="36">
        <f t="shared" si="186"/>
        <v>0.0</v>
      </c>
      <c r="BM45" s="168"/>
      <c r="BP45" s="168"/>
      <c r="BQ45" s="126"/>
      <c r="BU45" s="126"/>
      <c r="BY45" s="126"/>
      <c r="CC45" s="126"/>
      <c r="CG45" s="126"/>
      <c r="CK45" s="126"/>
      <c r="CR45" s="123"/>
      <c r="CS45" s="168">
        <f t="shared" si="55"/>
        <v>0.0</v>
      </c>
      <c r="CT45" s="36">
        <f t="shared" si="56"/>
        <v>0.0</v>
      </c>
      <c r="CU45" s="123">
        <f t="shared" si="57"/>
        <v>0.0</v>
      </c>
    </row>
    <row r="46">
      <c r="A46" s="175" t="s">
        <v>32</v>
      </c>
      <c r="B46" s="175" t="s">
        <v>81</v>
      </c>
      <c r="C46" s="175" t="s">
        <v>91</v>
      </c>
      <c r="D46" s="176">
        <v>43010.0</v>
      </c>
      <c r="E46" s="163">
        <v>39.0</v>
      </c>
      <c r="F46" s="163">
        <v>20.0</v>
      </c>
      <c r="G46" s="163">
        <v>15.0</v>
      </c>
      <c r="H46" s="163">
        <v>15.0</v>
      </c>
      <c r="I46" s="163">
        <v>18.0</v>
      </c>
      <c r="J46" s="163">
        <v>24.0</v>
      </c>
      <c r="K46" s="163">
        <v>21.0</v>
      </c>
      <c r="L46" s="163">
        <v>36.0</v>
      </c>
      <c r="M46" s="163">
        <v>9.0</v>
      </c>
      <c r="N46" s="163">
        <v>21.0</v>
      </c>
      <c r="O46" s="163">
        <v>18.0</v>
      </c>
      <c r="P46" s="163">
        <v>17.0</v>
      </c>
      <c r="Q46" s="163">
        <v>6.0</v>
      </c>
      <c r="R46" s="163">
        <v>15.0</v>
      </c>
      <c r="S46" s="163">
        <v>24.0</v>
      </c>
      <c r="T46" s="163">
        <v>15.0</v>
      </c>
      <c r="U46" s="163">
        <v>21.0</v>
      </c>
      <c r="V46" s="163">
        <v>18.0</v>
      </c>
      <c r="W46" s="163">
        <v>9.0</v>
      </c>
      <c r="X46" s="163">
        <v>12.0</v>
      </c>
      <c r="Y46" s="163">
        <v>18.0</v>
      </c>
      <c r="Z46" s="163">
        <v>9.0</v>
      </c>
      <c r="AA46" s="163">
        <v>12.0</v>
      </c>
      <c r="AB46" s="163">
        <v>24.0</v>
      </c>
      <c r="AC46" s="163">
        <v>18.0</v>
      </c>
      <c r="AD46" s="163">
        <v>11.0</v>
      </c>
      <c r="AE46" s="163">
        <v>18.0</v>
      </c>
      <c r="AF46" s="163">
        <v>15.0</v>
      </c>
      <c r="AG46" s="163">
        <v>6.0</v>
      </c>
      <c r="AH46" s="163">
        <v>15.0</v>
      </c>
      <c r="AI46" s="163">
        <v>3.0</v>
      </c>
      <c r="AJ46" s="163">
        <v>9.0</v>
      </c>
      <c r="AK46" s="163">
        <v>6.0</v>
      </c>
      <c r="AL46" s="163">
        <v>9.0</v>
      </c>
      <c r="AM46" s="163">
        <v>12.0</v>
      </c>
      <c r="AN46" s="163">
        <v>3.0</v>
      </c>
      <c r="AO46" s="163">
        <v>12.0</v>
      </c>
      <c r="AP46" s="163">
        <v>6.0</v>
      </c>
      <c r="AQ46" s="163">
        <v>15.0</v>
      </c>
      <c r="AR46" s="163">
        <v>0.0</v>
      </c>
      <c r="AS46" s="163">
        <v>1.0</v>
      </c>
      <c r="AT46" s="139">
        <f t="shared" si="4"/>
        <v>91.0</v>
      </c>
      <c r="AU46" s="139">
        <f t="shared" si="232"/>
        <v>54.0</v>
      </c>
      <c r="AV46" s="139">
        <f t="shared" si="6"/>
        <v>59.4</v>
      </c>
      <c r="BC46" s="168"/>
      <c r="BD46" s="123">
        <f>VLOOKUP(C46,SOHFEB23,3,false)</f>
        <v>0.0</v>
      </c>
      <c r="BE46" s="167">
        <f>VLOOKUP(D46,VALUEFEB23,4,false)</f>
      </c>
      <c r="BF46" s="124">
        <f t="shared" si="16"/>
        <v>0.0</v>
      </c>
      <c r="BH46" s="168">
        <f t="shared" si="185"/>
        <v>0.0</v>
      </c>
      <c r="BI46" s="123"/>
      <c r="BK46" s="177"/>
      <c r="BL46" s="36">
        <f t="shared" si="186"/>
        <v>0.0</v>
      </c>
      <c r="BM46" s="168"/>
      <c r="BP46" s="168"/>
      <c r="BQ46" s="126"/>
      <c r="BU46" s="126"/>
      <c r="BY46" s="126"/>
      <c r="CC46" s="126"/>
      <c r="CG46" s="126"/>
      <c r="CK46" s="126"/>
      <c r="CR46" s="123"/>
      <c r="CS46" s="168">
        <f t="shared" si="55"/>
        <v>0.0</v>
      </c>
      <c r="CT46" s="36">
        <f t="shared" si="56"/>
        <v>0.0</v>
      </c>
      <c r="CU46" s="123">
        <f t="shared" si="57"/>
        <v>0.0</v>
      </c>
    </row>
    <row r="47">
      <c r="A47" s="175" t="s">
        <v>32</v>
      </c>
      <c r="B47" s="175" t="s">
        <v>81</v>
      </c>
      <c r="C47" s="175" t="s">
        <v>92</v>
      </c>
      <c r="D47" s="176">
        <v>43011.0</v>
      </c>
      <c r="E47" s="163">
        <v>39.0</v>
      </c>
      <c r="F47" s="163">
        <v>19.0</v>
      </c>
      <c r="G47" s="163">
        <v>39.0</v>
      </c>
      <c r="H47" s="163">
        <v>0.0</v>
      </c>
      <c r="I47" s="163">
        <v>18.0</v>
      </c>
      <c r="J47" s="163">
        <v>30.0</v>
      </c>
      <c r="K47" s="163">
        <v>15.0</v>
      </c>
      <c r="L47" s="163">
        <v>45.0</v>
      </c>
      <c r="M47" s="163">
        <v>3.0</v>
      </c>
      <c r="N47" s="163">
        <v>30.0</v>
      </c>
      <c r="O47" s="163">
        <v>18.0</v>
      </c>
      <c r="P47" s="163">
        <v>13.0</v>
      </c>
      <c r="Q47" s="163">
        <v>18.0</v>
      </c>
      <c r="R47" s="163">
        <v>18.0</v>
      </c>
      <c r="S47" s="163">
        <v>24.0</v>
      </c>
      <c r="T47" s="163">
        <v>15.0</v>
      </c>
      <c r="U47" s="163">
        <v>18.0</v>
      </c>
      <c r="V47" s="163">
        <v>18.0</v>
      </c>
      <c r="W47" s="163">
        <v>3.0</v>
      </c>
      <c r="X47" s="163">
        <v>9.0</v>
      </c>
      <c r="Y47" s="163">
        <v>24.0</v>
      </c>
      <c r="Z47" s="163">
        <v>9.0</v>
      </c>
      <c r="AA47" s="163">
        <v>15.0</v>
      </c>
      <c r="AB47" s="163">
        <v>3.0</v>
      </c>
      <c r="AC47" s="163">
        <v>9.0</v>
      </c>
      <c r="AD47" s="163">
        <v>7.0</v>
      </c>
      <c r="AE47" s="163">
        <v>15.0</v>
      </c>
      <c r="AF47" s="163">
        <v>9.0</v>
      </c>
      <c r="AG47" s="163">
        <v>3.0</v>
      </c>
      <c r="AH47" s="163">
        <v>15.0</v>
      </c>
      <c r="AI47" s="163">
        <v>3.0</v>
      </c>
      <c r="AJ47" s="163">
        <v>12.0</v>
      </c>
      <c r="AK47" s="163">
        <v>3.0</v>
      </c>
      <c r="AL47" s="163">
        <v>12.0</v>
      </c>
      <c r="AM47" s="163">
        <v>6.0</v>
      </c>
      <c r="AN47" s="163">
        <v>6.0</v>
      </c>
      <c r="AO47" s="163">
        <v>13.0</v>
      </c>
      <c r="AP47" s="163">
        <v>0.0</v>
      </c>
      <c r="AQ47" s="163">
        <v>0.0</v>
      </c>
      <c r="AR47" s="163">
        <v>0.0</v>
      </c>
      <c r="AS47" s="163">
        <v>0.0</v>
      </c>
      <c r="AT47" s="139">
        <f t="shared" si="4"/>
        <v>70.0</v>
      </c>
      <c r="AU47" s="139">
        <f t="shared" si="232"/>
        <v>51.0</v>
      </c>
      <c r="AV47" s="139">
        <f t="shared" si="6"/>
        <v>56.1</v>
      </c>
      <c r="BC47" s="168"/>
      <c r="BD47" s="123">
        <f>VLOOKUP(C47,SOHFEB23,3,false)</f>
        <v>0.0</v>
      </c>
      <c r="BE47" s="167">
        <f>VLOOKUP(D47,VALUEFEB23,4,false)</f>
      </c>
      <c r="BF47" s="124">
        <f t="shared" si="16"/>
        <v>0.0</v>
      </c>
      <c r="BH47" s="168">
        <f t="shared" si="185"/>
        <v>0.0</v>
      </c>
      <c r="BI47" s="123"/>
      <c r="BK47" s="177"/>
      <c r="BL47" s="36">
        <f t="shared" si="186"/>
        <v>0.0</v>
      </c>
      <c r="BM47" s="168"/>
      <c r="BP47" s="168"/>
      <c r="BQ47" s="126"/>
      <c r="BU47" s="126"/>
      <c r="BY47" s="126"/>
      <c r="CC47" s="126"/>
      <c r="CG47" s="126"/>
      <c r="CK47" s="126"/>
      <c r="CR47" s="123"/>
      <c r="CS47" s="168">
        <f t="shared" si="55"/>
        <v>0.0</v>
      </c>
      <c r="CT47" s="36">
        <f t="shared" si="56"/>
        <v>0.0</v>
      </c>
      <c r="CU47" s="123">
        <f t="shared" si="57"/>
        <v>0.0</v>
      </c>
    </row>
    <row r="48">
      <c r="A48" s="175" t="s">
        <v>32</v>
      </c>
      <c r="B48" s="175" t="s">
        <v>81</v>
      </c>
      <c r="C48" s="175" t="s">
        <v>93</v>
      </c>
      <c r="D48" s="176">
        <v>43012.0</v>
      </c>
      <c r="E48" s="163">
        <v>24.0</v>
      </c>
      <c r="F48" s="163">
        <v>20.0</v>
      </c>
      <c r="G48" s="163">
        <v>21.0</v>
      </c>
      <c r="H48" s="163">
        <v>12.0</v>
      </c>
      <c r="I48" s="163">
        <v>9.0</v>
      </c>
      <c r="J48" s="163">
        <v>12.0</v>
      </c>
      <c r="K48" s="163">
        <v>24.0</v>
      </c>
      <c r="L48" s="163">
        <v>24.0</v>
      </c>
      <c r="M48" s="163">
        <v>3.0</v>
      </c>
      <c r="N48" s="163">
        <v>21.0</v>
      </c>
      <c r="O48" s="163">
        <v>3.0</v>
      </c>
      <c r="P48" s="163">
        <v>10.0</v>
      </c>
      <c r="Q48" s="163">
        <v>12.0</v>
      </c>
      <c r="R48" s="163">
        <v>19.0</v>
      </c>
      <c r="S48" s="163">
        <v>22.0</v>
      </c>
      <c r="T48" s="163">
        <v>6.0</v>
      </c>
      <c r="U48" s="163">
        <v>12.0</v>
      </c>
      <c r="V48" s="163">
        <v>9.0</v>
      </c>
      <c r="W48" s="163">
        <v>14.0</v>
      </c>
      <c r="X48" s="163">
        <v>12.0</v>
      </c>
      <c r="Y48" s="163">
        <v>3.0</v>
      </c>
      <c r="Z48" s="163">
        <v>12.0</v>
      </c>
      <c r="AA48" s="163">
        <v>3.0</v>
      </c>
      <c r="AB48" s="163">
        <v>15.0</v>
      </c>
      <c r="AC48" s="163">
        <v>6.0</v>
      </c>
      <c r="AD48" s="163">
        <v>5.0</v>
      </c>
      <c r="AE48" s="163">
        <v>15.0</v>
      </c>
      <c r="AF48" s="163">
        <v>3.0</v>
      </c>
      <c r="AG48" s="163">
        <v>9.0</v>
      </c>
      <c r="AH48" s="163">
        <v>12.0</v>
      </c>
      <c r="AI48" s="163">
        <v>6.0</v>
      </c>
      <c r="AJ48" s="163">
        <v>0.0</v>
      </c>
      <c r="AK48" s="163">
        <v>6.0</v>
      </c>
      <c r="AL48" s="163">
        <v>6.0</v>
      </c>
      <c r="AM48" s="163">
        <v>6.0</v>
      </c>
      <c r="AN48" s="163">
        <v>3.0</v>
      </c>
      <c r="AO48" s="163">
        <v>12.0</v>
      </c>
      <c r="AP48" s="163">
        <v>12.0</v>
      </c>
      <c r="AQ48" s="163">
        <v>9.0</v>
      </c>
      <c r="AR48" s="163">
        <v>-4.0</v>
      </c>
      <c r="AS48" s="163">
        <v>22.0</v>
      </c>
      <c r="AT48" s="139">
        <f t="shared" si="4"/>
        <v>90.0</v>
      </c>
      <c r="AU48" s="139">
        <f t="shared" si="232"/>
        <v>36.0</v>
      </c>
      <c r="AV48" s="139">
        <f t="shared" si="6"/>
        <v>39.6</v>
      </c>
      <c r="BC48" s="168"/>
      <c r="BD48" s="123">
        <f>VLOOKUP(C48,SOHFEB23,3,false)</f>
        <v>39.0</v>
      </c>
      <c r="BE48" s="167">
        <f>VLOOKUP(D48,VALUEFEB23,4,false)</f>
        <v>3.3772</v>
      </c>
      <c r="BF48" s="124">
        <f t="shared" si="16"/>
        <v>131.7108</v>
      </c>
      <c r="BH48" s="168">
        <f t="shared" si="185"/>
        <v>39.0</v>
      </c>
      <c r="BI48" s="123"/>
      <c r="BK48" s="177"/>
      <c r="BL48" s="36">
        <f t="shared" si="186"/>
        <v>39.0</v>
      </c>
      <c r="BM48" s="168"/>
      <c r="BP48" s="168"/>
      <c r="BQ48" s="126"/>
      <c r="BU48" s="126"/>
      <c r="BY48" s="126"/>
      <c r="CC48" s="126"/>
      <c r="CG48" s="126"/>
      <c r="CK48" s="126"/>
      <c r="CR48" s="123"/>
      <c r="CS48" s="168">
        <f t="shared" si="55"/>
        <v>0.0</v>
      </c>
      <c r="CT48" s="36">
        <f t="shared" si="56"/>
        <v>0.0</v>
      </c>
      <c r="CU48" s="123">
        <f t="shared" si="57"/>
        <v>0.0</v>
      </c>
    </row>
    <row r="49">
      <c r="A49" s="175" t="s">
        <v>32</v>
      </c>
      <c r="B49" s="175" t="s">
        <v>81</v>
      </c>
      <c r="C49" s="175" t="s">
        <v>94</v>
      </c>
      <c r="D49" s="176">
        <v>43032.0</v>
      </c>
      <c r="E49" s="163">
        <v>0.0</v>
      </c>
      <c r="F49" s="163">
        <v>0.0</v>
      </c>
      <c r="G49" s="163">
        <v>0.0</v>
      </c>
      <c r="H49" s="163">
        <v>0.0</v>
      </c>
      <c r="I49" s="163">
        <v>0.0</v>
      </c>
      <c r="J49" s="163">
        <v>0.0</v>
      </c>
      <c r="K49" s="163">
        <v>0.0</v>
      </c>
      <c r="L49" s="163">
        <v>0.0</v>
      </c>
      <c r="M49" s="163">
        <v>0.0</v>
      </c>
      <c r="N49" s="163">
        <v>0.0</v>
      </c>
      <c r="O49" s="163">
        <v>0.0</v>
      </c>
      <c r="P49" s="163">
        <v>0.0</v>
      </c>
      <c r="Q49" s="163">
        <v>0.0</v>
      </c>
      <c r="R49" s="163">
        <v>0.0</v>
      </c>
      <c r="S49" s="163">
        <v>0.0</v>
      </c>
      <c r="T49" s="163">
        <v>0.0</v>
      </c>
      <c r="U49" s="163">
        <v>0.0</v>
      </c>
      <c r="V49" s="163">
        <v>0.0</v>
      </c>
      <c r="W49" s="163">
        <v>0.0</v>
      </c>
      <c r="X49" s="163">
        <v>0.0</v>
      </c>
      <c r="Y49" s="163">
        <v>0.0</v>
      </c>
      <c r="Z49" s="163">
        <v>0.0</v>
      </c>
      <c r="AA49" s="163">
        <v>0.0</v>
      </c>
      <c r="AB49" s="163">
        <v>3.0</v>
      </c>
      <c r="AC49" s="163">
        <v>6.0</v>
      </c>
      <c r="AD49" s="163">
        <v>0.0</v>
      </c>
      <c r="AE49" s="163">
        <v>3.0</v>
      </c>
      <c r="AF49" s="163">
        <v>0.0</v>
      </c>
      <c r="AG49" s="163">
        <v>0.0</v>
      </c>
      <c r="AH49" s="163">
        <v>3.0</v>
      </c>
      <c r="AI49" s="163">
        <v>9.0</v>
      </c>
      <c r="AJ49" s="163">
        <v>0.0</v>
      </c>
      <c r="AK49" s="163">
        <v>0.0</v>
      </c>
      <c r="AL49" s="163">
        <v>6.0</v>
      </c>
      <c r="AM49" s="163">
        <v>6.0</v>
      </c>
      <c r="AN49" s="163">
        <v>3.0</v>
      </c>
      <c r="AO49" s="163">
        <v>0.0</v>
      </c>
      <c r="AP49" s="163">
        <v>0.0</v>
      </c>
      <c r="AQ49" s="163">
        <v>15.0</v>
      </c>
      <c r="AR49" s="163">
        <v>9.0</v>
      </c>
      <c r="AS49" s="163">
        <v>7.0</v>
      </c>
      <c r="AT49" s="139">
        <f t="shared" si="4"/>
        <v>58.0</v>
      </c>
      <c r="AU49" s="139">
        <f t="shared" si="232"/>
        <v>24.0</v>
      </c>
      <c r="AV49" s="139">
        <f t="shared" si="6"/>
        <v>26.4</v>
      </c>
      <c r="BC49" s="168"/>
      <c r="BD49" s="123">
        <f>VLOOKUP(C49,SOHFEB23,3,false)</f>
        <v>130.0</v>
      </c>
      <c r="BE49" s="167">
        <f>VLOOKUP(D49,VALUEFEB23,4,false)</f>
        <v>4.4282</v>
      </c>
      <c r="BF49" s="124">
        <f t="shared" si="16"/>
        <v>575.666</v>
      </c>
      <c r="BH49" s="168">
        <f t="shared" si="185"/>
        <v>130.0</v>
      </c>
      <c r="BI49" s="123"/>
      <c r="BK49" s="177"/>
      <c r="BL49" s="36">
        <f t="shared" si="186"/>
        <v>130.0</v>
      </c>
      <c r="BM49" s="168"/>
      <c r="BP49" s="168"/>
      <c r="BQ49" s="126"/>
      <c r="BU49" s="126"/>
      <c r="BY49" s="126"/>
      <c r="CC49" s="126"/>
      <c r="CG49" s="126"/>
      <c r="CK49" s="126"/>
      <c r="CR49" s="123"/>
      <c r="CS49" s="168">
        <f t="shared" si="55"/>
        <v>0.0</v>
      </c>
      <c r="CT49" s="36">
        <f t="shared" si="56"/>
        <v>0.0</v>
      </c>
      <c r="CU49" s="123">
        <f t="shared" si="57"/>
        <v>0.0</v>
      </c>
    </row>
    <row r="50">
      <c r="A50" s="175" t="s">
        <v>32</v>
      </c>
      <c r="B50" s="175" t="s">
        <v>81</v>
      </c>
      <c r="C50" s="175" t="s">
        <v>95</v>
      </c>
      <c r="D50" s="176">
        <v>43033.0</v>
      </c>
      <c r="E50" s="163">
        <v>0.0</v>
      </c>
      <c r="F50" s="163">
        <v>0.0</v>
      </c>
      <c r="G50" s="163">
        <v>0.0</v>
      </c>
      <c r="H50" s="163">
        <v>0.0</v>
      </c>
      <c r="I50" s="163">
        <v>0.0</v>
      </c>
      <c r="J50" s="163">
        <v>0.0</v>
      </c>
      <c r="K50" s="163">
        <v>0.0</v>
      </c>
      <c r="L50" s="163">
        <v>0.0</v>
      </c>
      <c r="M50" s="163">
        <v>0.0</v>
      </c>
      <c r="N50" s="163">
        <v>0.0</v>
      </c>
      <c r="O50" s="163">
        <v>0.0</v>
      </c>
      <c r="P50" s="163">
        <v>0.0</v>
      </c>
      <c r="Q50" s="163">
        <v>0.0</v>
      </c>
      <c r="R50" s="163">
        <v>0.0</v>
      </c>
      <c r="S50" s="163">
        <v>0.0</v>
      </c>
      <c r="T50" s="163">
        <v>0.0</v>
      </c>
      <c r="U50" s="163">
        <v>0.0</v>
      </c>
      <c r="V50" s="163">
        <v>0.0</v>
      </c>
      <c r="W50" s="163">
        <v>0.0</v>
      </c>
      <c r="X50" s="163">
        <v>0.0</v>
      </c>
      <c r="Y50" s="163">
        <v>3.0</v>
      </c>
      <c r="Z50" s="163">
        <v>3.0</v>
      </c>
      <c r="AA50" s="163">
        <v>0.0</v>
      </c>
      <c r="AB50" s="163">
        <v>0.0</v>
      </c>
      <c r="AC50" s="163">
        <v>9.0</v>
      </c>
      <c r="AD50" s="163">
        <v>3.0</v>
      </c>
      <c r="AE50" s="163">
        <v>3.0</v>
      </c>
      <c r="AF50" s="163">
        <v>3.0</v>
      </c>
      <c r="AG50" s="163">
        <v>0.0</v>
      </c>
      <c r="AH50" s="163">
        <v>0.0</v>
      </c>
      <c r="AI50" s="163">
        <v>0.0</v>
      </c>
      <c r="AJ50" s="163">
        <v>3.0</v>
      </c>
      <c r="AK50" s="163">
        <v>0.0</v>
      </c>
      <c r="AL50" s="163">
        <v>3.0</v>
      </c>
      <c r="AM50" s="163">
        <v>0.0</v>
      </c>
      <c r="AN50" s="163">
        <v>3.0</v>
      </c>
      <c r="AO50" s="163">
        <v>0.0</v>
      </c>
      <c r="AP50" s="163">
        <v>6.0</v>
      </c>
      <c r="AQ50" s="163">
        <v>6.0</v>
      </c>
      <c r="AR50" s="163">
        <v>12.0</v>
      </c>
      <c r="AS50" s="163">
        <v>7.0</v>
      </c>
      <c r="AT50" s="139">
        <f t="shared" si="4"/>
        <v>40.0</v>
      </c>
      <c r="AU50" s="139">
        <f t="shared" si="232"/>
        <v>6.0</v>
      </c>
      <c r="AV50" s="139">
        <f t="shared" si="6"/>
        <v>6.6</v>
      </c>
      <c r="BC50" s="168"/>
      <c r="BD50" s="123">
        <f>VLOOKUP(C50,SOHFEB23,3,false)</f>
        <v>136.0</v>
      </c>
      <c r="BE50" s="167">
        <f>VLOOKUP(D50,VALUEFEB23,4,false)</f>
        <v>4.4603</v>
      </c>
      <c r="BF50" s="124">
        <f t="shared" si="16"/>
        <v>606.6008</v>
      </c>
      <c r="BH50" s="168">
        <f t="shared" si="185"/>
        <v>136.0</v>
      </c>
      <c r="BI50" s="123"/>
      <c r="BK50" s="177"/>
      <c r="BL50" s="36">
        <f t="shared" si="186"/>
        <v>136.0</v>
      </c>
      <c r="BM50" s="168"/>
      <c r="BP50" s="168"/>
      <c r="BQ50" s="126"/>
      <c r="BU50" s="126"/>
      <c r="BY50" s="126"/>
      <c r="CC50" s="126"/>
      <c r="CG50" s="126"/>
      <c r="CK50" s="126"/>
      <c r="CR50" s="123"/>
      <c r="CS50" s="168">
        <f t="shared" si="55"/>
        <v>0.0</v>
      </c>
      <c r="CT50" s="36">
        <f t="shared" si="56"/>
        <v>0.0</v>
      </c>
      <c r="CU50" s="123">
        <f t="shared" si="57"/>
        <v>0.0</v>
      </c>
    </row>
    <row r="51">
      <c r="A51" s="175" t="s">
        <v>32</v>
      </c>
      <c r="B51" s="175" t="s">
        <v>81</v>
      </c>
      <c r="C51" s="175" t="s">
        <v>96</v>
      </c>
      <c r="D51" s="176">
        <v>43034.0</v>
      </c>
      <c r="E51" s="163">
        <v>0.0</v>
      </c>
      <c r="F51" s="163">
        <v>0.0</v>
      </c>
      <c r="G51" s="163">
        <v>0.0</v>
      </c>
      <c r="H51" s="163">
        <v>0.0</v>
      </c>
      <c r="I51" s="163">
        <v>0.0</v>
      </c>
      <c r="J51" s="163">
        <v>0.0</v>
      </c>
      <c r="K51" s="163">
        <v>0.0</v>
      </c>
      <c r="L51" s="163">
        <v>0.0</v>
      </c>
      <c r="M51" s="163">
        <v>0.0</v>
      </c>
      <c r="N51" s="163">
        <v>0.0</v>
      </c>
      <c r="O51" s="163">
        <v>0.0</v>
      </c>
      <c r="P51" s="163">
        <v>0.0</v>
      </c>
      <c r="Q51" s="163">
        <v>0.0</v>
      </c>
      <c r="R51" s="163">
        <v>0.0</v>
      </c>
      <c r="S51" s="163">
        <v>0.0</v>
      </c>
      <c r="T51" s="163">
        <v>0.0</v>
      </c>
      <c r="U51" s="163">
        <v>0.0</v>
      </c>
      <c r="V51" s="163">
        <v>0.0</v>
      </c>
      <c r="W51" s="163">
        <v>0.0</v>
      </c>
      <c r="X51" s="163">
        <v>0.0</v>
      </c>
      <c r="Y51" s="163">
        <v>3.0</v>
      </c>
      <c r="Z51" s="163">
        <v>6.0</v>
      </c>
      <c r="AA51" s="163">
        <v>3.0</v>
      </c>
      <c r="AB51" s="163">
        <v>3.0</v>
      </c>
      <c r="AC51" s="163">
        <v>6.0</v>
      </c>
      <c r="AD51" s="163">
        <v>2.0</v>
      </c>
      <c r="AE51" s="163">
        <v>3.0</v>
      </c>
      <c r="AF51" s="163">
        <v>0.0</v>
      </c>
      <c r="AG51" s="163">
        <v>0.0</v>
      </c>
      <c r="AH51" s="163">
        <v>0.0</v>
      </c>
      <c r="AI51" s="163">
        <v>3.0</v>
      </c>
      <c r="AJ51" s="163">
        <v>0.0</v>
      </c>
      <c r="AK51" s="163">
        <v>3.0</v>
      </c>
      <c r="AL51" s="163">
        <v>6.0</v>
      </c>
      <c r="AM51" s="163">
        <v>0.0</v>
      </c>
      <c r="AN51" s="163">
        <v>0.0</v>
      </c>
      <c r="AO51" s="163">
        <v>0.0</v>
      </c>
      <c r="AP51" s="163">
        <v>0.0</v>
      </c>
      <c r="AQ51" s="163">
        <v>3.0</v>
      </c>
      <c r="AR51" s="163">
        <v>9.0</v>
      </c>
      <c r="AS51" s="163">
        <v>7.0</v>
      </c>
      <c r="AT51" s="139">
        <f t="shared" si="4"/>
        <v>31.0</v>
      </c>
      <c r="AU51" s="139">
        <f t="shared" si="232"/>
        <v>12.0</v>
      </c>
      <c r="AV51" s="139">
        <f t="shared" si="6"/>
        <v>13.2</v>
      </c>
      <c r="BC51" s="168"/>
      <c r="BD51" s="123">
        <f>VLOOKUP(C51,SOHFEB23,3,false)</f>
        <v>148.0</v>
      </c>
      <c r="BE51" s="167">
        <f>VLOOKUP(D51,VALUEFEB23,4,false)</f>
        <v>4.5164</v>
      </c>
      <c r="BF51" s="124">
        <f t="shared" si="16"/>
        <v>668.4272</v>
      </c>
      <c r="BH51" s="168">
        <f t="shared" si="185"/>
        <v>148.0</v>
      </c>
      <c r="BI51" s="123"/>
      <c r="BK51" s="177"/>
      <c r="BL51" s="36">
        <f t="shared" si="186"/>
        <v>148.0</v>
      </c>
      <c r="BM51" s="168"/>
      <c r="BP51" s="168"/>
      <c r="BQ51" s="126"/>
      <c r="BU51" s="126"/>
      <c r="BY51" s="126"/>
      <c r="CC51" s="126"/>
      <c r="CG51" s="126"/>
      <c r="CK51" s="126"/>
      <c r="CR51" s="123"/>
      <c r="CS51" s="168">
        <f t="shared" si="55"/>
        <v>0.0</v>
      </c>
      <c r="CT51" s="36">
        <f t="shared" si="56"/>
        <v>0.0</v>
      </c>
      <c r="CU51" s="123">
        <f t="shared" si="57"/>
        <v>0.0</v>
      </c>
    </row>
    <row r="52">
      <c r="A52" s="175" t="s">
        <v>32</v>
      </c>
      <c r="B52" s="175" t="s">
        <v>81</v>
      </c>
      <c r="C52" s="175" t="s">
        <v>101</v>
      </c>
      <c r="D52" s="176">
        <v>43201.0</v>
      </c>
      <c r="E52" s="163">
        <v>21.0</v>
      </c>
      <c r="F52" s="163">
        <v>24.0</v>
      </c>
      <c r="G52" s="163">
        <v>15.0</v>
      </c>
      <c r="H52" s="163">
        <v>6.0</v>
      </c>
      <c r="I52" s="163">
        <v>15.0</v>
      </c>
      <c r="J52" s="163">
        <v>6.0</v>
      </c>
      <c r="K52" s="163">
        <v>3.0</v>
      </c>
      <c r="L52" s="163">
        <v>17.0</v>
      </c>
      <c r="M52" s="163">
        <v>12.0</v>
      </c>
      <c r="N52" s="163">
        <v>15.0</v>
      </c>
      <c r="O52" s="163">
        <v>12.0</v>
      </c>
      <c r="P52" s="163">
        <v>7.0</v>
      </c>
      <c r="Q52" s="163">
        <v>3.0</v>
      </c>
      <c r="R52" s="163">
        <v>17.0</v>
      </c>
      <c r="S52" s="163">
        <v>6.0</v>
      </c>
      <c r="T52" s="163">
        <v>3.0</v>
      </c>
      <c r="U52" s="163">
        <v>24.0</v>
      </c>
      <c r="V52" s="163">
        <v>21.0</v>
      </c>
      <c r="W52" s="163">
        <v>9.0</v>
      </c>
      <c r="X52" s="163">
        <v>18.0</v>
      </c>
      <c r="Y52" s="163">
        <v>6.0</v>
      </c>
      <c r="Z52" s="163">
        <v>6.0</v>
      </c>
      <c r="AA52" s="163">
        <v>6.0</v>
      </c>
      <c r="AB52" s="163">
        <v>3.0</v>
      </c>
      <c r="AC52" s="163">
        <v>21.0</v>
      </c>
      <c r="AD52" s="163">
        <v>15.0</v>
      </c>
      <c r="AE52" s="163">
        <v>3.0</v>
      </c>
      <c r="AF52" s="163">
        <v>18.0</v>
      </c>
      <c r="AG52" s="163">
        <v>3.0</v>
      </c>
      <c r="AH52" s="163">
        <v>3.0</v>
      </c>
      <c r="AI52" s="163">
        <v>6.0</v>
      </c>
      <c r="AJ52" s="163">
        <v>0.0</v>
      </c>
      <c r="AK52" s="163">
        <v>0.0</v>
      </c>
      <c r="AL52" s="163">
        <v>0.0</v>
      </c>
      <c r="AM52" s="163">
        <v>9.0</v>
      </c>
      <c r="AN52" s="163">
        <v>0.0</v>
      </c>
      <c r="AO52" s="163">
        <v>6.0</v>
      </c>
      <c r="AP52" s="163">
        <v>12.0</v>
      </c>
      <c r="AQ52" s="163">
        <v>21.0</v>
      </c>
      <c r="AR52" s="163">
        <v>0.0</v>
      </c>
      <c r="AS52" s="163">
        <v>0.0</v>
      </c>
      <c r="AT52" s="139">
        <f t="shared" si="4"/>
        <v>57.0</v>
      </c>
      <c r="AU52" s="139">
        <f t="shared" si="232"/>
        <v>18.0</v>
      </c>
      <c r="AV52" s="139">
        <f t="shared" si="6"/>
        <v>19.8</v>
      </c>
      <c r="BC52" s="168"/>
      <c r="BD52" s="123">
        <f>VLOOKUP(C52,SOHFEB23,3,false)</f>
        <v>0.0</v>
      </c>
      <c r="BE52" s="167">
        <f>VLOOKUP(D52,VALUEFEB23,4,false)</f>
      </c>
      <c r="BF52" s="124">
        <f t="shared" si="16"/>
        <v>0.0</v>
      </c>
      <c r="BH52" s="168">
        <f t="shared" si="185"/>
        <v>0.0</v>
      </c>
      <c r="BI52" s="123"/>
      <c r="BK52" s="177"/>
      <c r="BL52" s="36">
        <f t="shared" si="186"/>
        <v>0.0</v>
      </c>
      <c r="BM52" s="168"/>
      <c r="BP52" s="168"/>
      <c r="BQ52" s="126"/>
      <c r="BU52" s="126"/>
      <c r="BY52" s="126"/>
      <c r="CC52" s="126"/>
      <c r="CG52" s="126"/>
      <c r="CK52" s="126"/>
      <c r="CR52" s="123"/>
      <c r="CS52" s="168">
        <f t="shared" si="55"/>
        <v>0.0</v>
      </c>
      <c r="CT52" s="36">
        <f t="shared" si="56"/>
        <v>0.0</v>
      </c>
      <c r="CU52" s="123">
        <f t="shared" si="57"/>
        <v>0.0</v>
      </c>
    </row>
    <row r="53">
      <c r="A53" s="175" t="s">
        <v>32</v>
      </c>
      <c r="B53" s="175" t="s">
        <v>81</v>
      </c>
      <c r="C53" s="175" t="s">
        <v>102</v>
      </c>
      <c r="D53" s="176">
        <v>43203.0</v>
      </c>
      <c r="E53" s="163">
        <v>37.0</v>
      </c>
      <c r="F53" s="163">
        <v>36.0</v>
      </c>
      <c r="G53" s="163">
        <v>9.0</v>
      </c>
      <c r="H53" s="163">
        <v>15.0</v>
      </c>
      <c r="I53" s="163">
        <v>21.0</v>
      </c>
      <c r="J53" s="163">
        <v>18.0</v>
      </c>
      <c r="K53" s="163">
        <v>21.0</v>
      </c>
      <c r="L53" s="163">
        <v>24.0</v>
      </c>
      <c r="M53" s="163">
        <v>6.0</v>
      </c>
      <c r="N53" s="163">
        <v>12.0</v>
      </c>
      <c r="O53" s="163">
        <v>15.0</v>
      </c>
      <c r="P53" s="163">
        <v>30.0</v>
      </c>
      <c r="Q53" s="163">
        <v>9.0</v>
      </c>
      <c r="R53" s="163">
        <v>21.0</v>
      </c>
      <c r="S53" s="163">
        <v>39.0</v>
      </c>
      <c r="T53" s="163">
        <v>6.0</v>
      </c>
      <c r="U53" s="163">
        <v>19.0</v>
      </c>
      <c r="V53" s="163">
        <v>33.0</v>
      </c>
      <c r="W53" s="163">
        <v>12.0</v>
      </c>
      <c r="X53" s="163">
        <v>33.0</v>
      </c>
      <c r="Y53" s="163">
        <v>24.0</v>
      </c>
      <c r="Z53" s="163">
        <v>12.0</v>
      </c>
      <c r="AA53" s="163">
        <v>3.0</v>
      </c>
      <c r="AB53" s="163">
        <v>6.0</v>
      </c>
      <c r="AC53" s="163">
        <v>24.0</v>
      </c>
      <c r="AD53" s="163">
        <v>21.0</v>
      </c>
      <c r="AE53" s="163">
        <v>15.0</v>
      </c>
      <c r="AF53" s="163">
        <v>15.0</v>
      </c>
      <c r="AG53" s="163">
        <v>21.0</v>
      </c>
      <c r="AH53" s="163">
        <v>12.0</v>
      </c>
      <c r="AI53" s="163">
        <v>12.0</v>
      </c>
      <c r="AJ53" s="163">
        <v>4.0</v>
      </c>
      <c r="AK53" s="163">
        <v>0.0</v>
      </c>
      <c r="AL53" s="163">
        <v>0.0</v>
      </c>
      <c r="AM53" s="163">
        <v>0.0</v>
      </c>
      <c r="AN53" s="163">
        <v>0.0</v>
      </c>
      <c r="AO53" s="163">
        <v>0.0</v>
      </c>
      <c r="AP53" s="163">
        <v>3.0</v>
      </c>
      <c r="AQ53" s="163">
        <v>12.0</v>
      </c>
      <c r="AR53" s="163">
        <v>0.0</v>
      </c>
      <c r="AS53" s="163">
        <v>0.0</v>
      </c>
      <c r="AT53" s="139">
        <f t="shared" si="4"/>
        <v>43.0</v>
      </c>
      <c r="AU53" s="139">
        <f t="shared" si="232"/>
        <v>28.0</v>
      </c>
      <c r="AV53" s="139">
        <f t="shared" si="6"/>
        <v>30.8</v>
      </c>
      <c r="BC53" s="168"/>
      <c r="BD53" s="123">
        <f>VLOOKUP(C53,SOHFEB23,3,false)</f>
        <v>0.0</v>
      </c>
      <c r="BE53" s="167">
        <f>VLOOKUP(D53,VALUEFEB23,4,false)</f>
      </c>
      <c r="BF53" s="124">
        <f t="shared" si="16"/>
        <v>0.0</v>
      </c>
      <c r="BH53" s="168">
        <f t="shared" si="185"/>
        <v>0.0</v>
      </c>
      <c r="BI53" s="123"/>
      <c r="BK53" s="177"/>
      <c r="BL53" s="36">
        <f t="shared" si="186"/>
        <v>0.0</v>
      </c>
      <c r="BM53" s="168"/>
      <c r="BP53" s="168"/>
      <c r="BQ53" s="126"/>
      <c r="BU53" s="126"/>
      <c r="BY53" s="126"/>
      <c r="CC53" s="126"/>
      <c r="CG53" s="126"/>
      <c r="CK53" s="126"/>
      <c r="CR53" s="123"/>
      <c r="CS53" s="168">
        <f t="shared" si="55"/>
        <v>0.0</v>
      </c>
      <c r="CT53" s="36">
        <f t="shared" si="56"/>
        <v>0.0</v>
      </c>
      <c r="CU53" s="123">
        <f t="shared" si="57"/>
        <v>0.0</v>
      </c>
    </row>
    <row r="54">
      <c r="A54" s="175" t="s">
        <v>32</v>
      </c>
      <c r="B54" s="175" t="s">
        <v>81</v>
      </c>
      <c r="C54" s="175" t="s">
        <v>106</v>
      </c>
      <c r="D54" s="176">
        <v>43206.0</v>
      </c>
      <c r="E54" s="163">
        <v>30.0</v>
      </c>
      <c r="F54" s="163">
        <v>24.0</v>
      </c>
      <c r="G54" s="163">
        <v>24.0</v>
      </c>
      <c r="H54" s="163">
        <v>12.0</v>
      </c>
      <c r="I54" s="163">
        <v>24.0</v>
      </c>
      <c r="J54" s="163">
        <v>24.0</v>
      </c>
      <c r="K54" s="163">
        <v>15.0</v>
      </c>
      <c r="L54" s="163">
        <v>39.0</v>
      </c>
      <c r="M54" s="163">
        <v>12.0</v>
      </c>
      <c r="N54" s="163">
        <v>24.0</v>
      </c>
      <c r="O54" s="163">
        <v>24.0</v>
      </c>
      <c r="P54" s="163">
        <v>40.0</v>
      </c>
      <c r="Q54" s="163">
        <v>9.0</v>
      </c>
      <c r="R54" s="163">
        <v>36.0</v>
      </c>
      <c r="S54" s="163">
        <v>30.0</v>
      </c>
      <c r="T54" s="163">
        <v>18.0</v>
      </c>
      <c r="U54" s="163">
        <v>34.0</v>
      </c>
      <c r="V54" s="163">
        <v>24.0</v>
      </c>
      <c r="W54" s="163">
        <v>12.0</v>
      </c>
      <c r="X54" s="163">
        <v>30.0</v>
      </c>
      <c r="Y54" s="163">
        <v>24.0</v>
      </c>
      <c r="Z54" s="163">
        <v>18.0</v>
      </c>
      <c r="AA54" s="163">
        <v>12.0</v>
      </c>
      <c r="AB54" s="163">
        <v>6.0</v>
      </c>
      <c r="AC54" s="163">
        <v>21.0</v>
      </c>
      <c r="AD54" s="163">
        <v>6.0</v>
      </c>
      <c r="AE54" s="163">
        <v>15.0</v>
      </c>
      <c r="AF54" s="163">
        <v>24.0</v>
      </c>
      <c r="AG54" s="163">
        <v>9.0</v>
      </c>
      <c r="AH54" s="163">
        <v>6.0</v>
      </c>
      <c r="AI54" s="163">
        <v>9.0</v>
      </c>
      <c r="AJ54" s="163">
        <v>12.0</v>
      </c>
      <c r="AK54" s="163">
        <v>3.0</v>
      </c>
      <c r="AL54" s="163">
        <v>6.0</v>
      </c>
      <c r="AM54" s="163">
        <v>18.0</v>
      </c>
      <c r="AN54" s="163">
        <v>3.0</v>
      </c>
      <c r="AO54" s="163">
        <v>22.0</v>
      </c>
      <c r="AP54" s="163">
        <v>0.0</v>
      </c>
      <c r="AQ54" s="163">
        <v>0.0</v>
      </c>
      <c r="AR54" s="163">
        <v>0.0</v>
      </c>
      <c r="AS54" s="163">
        <v>0.0</v>
      </c>
      <c r="AT54" s="139">
        <f t="shared" si="4"/>
        <v>79.0</v>
      </c>
      <c r="AU54" s="139">
        <f t="shared" si="232"/>
        <v>54.0</v>
      </c>
      <c r="AV54" s="139">
        <f t="shared" si="6"/>
        <v>59.4</v>
      </c>
      <c r="BC54" s="168"/>
      <c r="BD54" s="123">
        <f>VLOOKUP(C54,SOHFEB23,3,false)</f>
        <v>0.0</v>
      </c>
      <c r="BE54" s="167">
        <f>VLOOKUP(D54,VALUEFEB23,4,false)</f>
      </c>
      <c r="BF54" s="124">
        <f t="shared" si="16"/>
        <v>0.0</v>
      </c>
      <c r="BH54" s="168">
        <f t="shared" si="185"/>
        <v>0.0</v>
      </c>
      <c r="BI54" s="123"/>
      <c r="BK54" s="177"/>
      <c r="BL54" s="36">
        <f t="shared" si="186"/>
        <v>0.0</v>
      </c>
      <c r="BM54" s="168"/>
      <c r="BP54" s="168"/>
      <c r="BQ54" s="126"/>
      <c r="BU54" s="126"/>
      <c r="BY54" s="126"/>
      <c r="CC54" s="126"/>
      <c r="CG54" s="126"/>
      <c r="CK54" s="126"/>
      <c r="CR54" s="123"/>
      <c r="CS54" s="168">
        <f t="shared" si="55"/>
        <v>0.0</v>
      </c>
      <c r="CT54" s="36">
        <f t="shared" si="56"/>
        <v>0.0</v>
      </c>
      <c r="CU54" s="123">
        <f t="shared" si="57"/>
        <v>0.0</v>
      </c>
    </row>
    <row r="55">
      <c r="A55" s="175" t="s">
        <v>32</v>
      </c>
      <c r="B55" s="175" t="s">
        <v>81</v>
      </c>
      <c r="C55" s="175" t="s">
        <v>107</v>
      </c>
      <c r="D55" s="176">
        <v>43215.0</v>
      </c>
      <c r="E55" s="163">
        <v>30.0</v>
      </c>
      <c r="F55" s="163">
        <v>18.0</v>
      </c>
      <c r="G55" s="163">
        <v>21.0</v>
      </c>
      <c r="H55" s="163">
        <v>9.0</v>
      </c>
      <c r="I55" s="163">
        <v>21.0</v>
      </c>
      <c r="J55" s="163">
        <v>21.0</v>
      </c>
      <c r="K55" s="163">
        <v>21.0</v>
      </c>
      <c r="L55" s="163">
        <v>36.0</v>
      </c>
      <c r="M55" s="163">
        <v>15.0</v>
      </c>
      <c r="N55" s="163">
        <v>21.0</v>
      </c>
      <c r="O55" s="163">
        <v>12.0</v>
      </c>
      <c r="P55" s="163">
        <v>33.0</v>
      </c>
      <c r="Q55" s="163">
        <v>9.0</v>
      </c>
      <c r="R55" s="163">
        <v>18.0</v>
      </c>
      <c r="S55" s="163">
        <v>18.0</v>
      </c>
      <c r="T55" s="163">
        <v>12.0</v>
      </c>
      <c r="U55" s="163">
        <v>18.0</v>
      </c>
      <c r="V55" s="163">
        <v>39.0</v>
      </c>
      <c r="W55" s="163">
        <v>12.0</v>
      </c>
      <c r="X55" s="163">
        <v>18.0</v>
      </c>
      <c r="Y55" s="163">
        <v>21.0</v>
      </c>
      <c r="Z55" s="163">
        <v>18.0</v>
      </c>
      <c r="AA55" s="163">
        <v>6.0</v>
      </c>
      <c r="AB55" s="163">
        <v>12.0</v>
      </c>
      <c r="AC55" s="163">
        <v>21.0</v>
      </c>
      <c r="AD55" s="163">
        <v>9.0</v>
      </c>
      <c r="AE55" s="163">
        <v>18.0</v>
      </c>
      <c r="AF55" s="163">
        <v>12.0</v>
      </c>
      <c r="AG55" s="163">
        <v>12.0</v>
      </c>
      <c r="AH55" s="163">
        <v>15.0</v>
      </c>
      <c r="AI55" s="163">
        <v>3.0</v>
      </c>
      <c r="AJ55" s="163">
        <v>12.0</v>
      </c>
      <c r="AK55" s="163">
        <v>0.0</v>
      </c>
      <c r="AL55" s="163">
        <v>9.0</v>
      </c>
      <c r="AM55" s="163">
        <v>9.0</v>
      </c>
      <c r="AN55" s="163">
        <v>3.0</v>
      </c>
      <c r="AO55" s="163">
        <v>15.0</v>
      </c>
      <c r="AP55" s="163">
        <v>0.0</v>
      </c>
      <c r="AQ55" s="163">
        <v>0.0</v>
      </c>
      <c r="AR55" s="163">
        <v>0.0</v>
      </c>
      <c r="AS55" s="163">
        <v>0.0</v>
      </c>
      <c r="AT55" s="139">
        <f t="shared" si="4"/>
        <v>66.0</v>
      </c>
      <c r="AU55" s="139">
        <f t="shared" si="232"/>
        <v>48.0</v>
      </c>
      <c r="AV55" s="139">
        <f t="shared" si="6"/>
        <v>52.8</v>
      </c>
      <c r="BC55" s="168"/>
      <c r="BD55" s="123">
        <f>VLOOKUP(C55,SOHFEB23,3,false)</f>
        <v>0.0</v>
      </c>
      <c r="BE55" s="167">
        <f>VLOOKUP(D55,VALUEFEB23,4,false)</f>
      </c>
      <c r="BF55" s="124">
        <f t="shared" si="16"/>
        <v>0.0</v>
      </c>
      <c r="BH55" s="168">
        <f t="shared" si="185"/>
        <v>0.0</v>
      </c>
      <c r="BI55" s="123"/>
      <c r="BK55" s="177"/>
      <c r="BL55" s="36">
        <f t="shared" si="186"/>
        <v>0.0</v>
      </c>
      <c r="BM55" s="168"/>
      <c r="BP55" s="168"/>
      <c r="BQ55" s="126"/>
      <c r="BU55" s="126"/>
      <c r="BY55" s="126"/>
      <c r="CC55" s="126"/>
      <c r="CG55" s="126"/>
      <c r="CK55" s="126"/>
      <c r="CR55" s="123"/>
      <c r="CS55" s="168">
        <f t="shared" si="55"/>
        <v>0.0</v>
      </c>
      <c r="CT55" s="36">
        <f t="shared" si="56"/>
        <v>0.0</v>
      </c>
      <c r="CU55" s="123">
        <f t="shared" si="57"/>
        <v>0.0</v>
      </c>
    </row>
    <row r="56">
      <c r="A56" s="175" t="s">
        <v>32</v>
      </c>
      <c r="B56" s="175" t="s">
        <v>81</v>
      </c>
      <c r="C56" s="175" t="s">
        <v>108</v>
      </c>
      <c r="D56" s="176">
        <v>43232.0</v>
      </c>
      <c r="E56" s="163">
        <v>0.0</v>
      </c>
      <c r="F56" s="163">
        <v>0.0</v>
      </c>
      <c r="G56" s="163">
        <v>0.0</v>
      </c>
      <c r="H56" s="163">
        <v>0.0</v>
      </c>
      <c r="I56" s="163">
        <v>13.0</v>
      </c>
      <c r="J56" s="163">
        <v>18.0</v>
      </c>
      <c r="K56" s="163">
        <v>9.0</v>
      </c>
      <c r="L56" s="163">
        <v>24.0</v>
      </c>
      <c r="M56" s="163">
        <v>12.0</v>
      </c>
      <c r="N56" s="163">
        <v>6.0</v>
      </c>
      <c r="O56" s="163">
        <v>10.0</v>
      </c>
      <c r="P56" s="163">
        <v>18.0</v>
      </c>
      <c r="Q56" s="163">
        <v>6.0</v>
      </c>
      <c r="R56" s="163">
        <v>15.0</v>
      </c>
      <c r="S56" s="163">
        <v>21.0</v>
      </c>
      <c r="T56" s="163">
        <v>0.0</v>
      </c>
      <c r="U56" s="163">
        <v>6.0</v>
      </c>
      <c r="V56" s="163">
        <v>15.0</v>
      </c>
      <c r="W56" s="163">
        <v>12.0</v>
      </c>
      <c r="X56" s="163">
        <v>6.0</v>
      </c>
      <c r="Y56" s="163">
        <v>0.0</v>
      </c>
      <c r="Z56" s="163">
        <v>6.0</v>
      </c>
      <c r="AA56" s="163">
        <v>0.0</v>
      </c>
      <c r="AB56" s="163">
        <v>6.0</v>
      </c>
      <c r="AC56" s="163">
        <v>15.0</v>
      </c>
      <c r="AD56" s="163">
        <v>0.0</v>
      </c>
      <c r="AE56" s="163">
        <v>3.0</v>
      </c>
      <c r="AF56" s="163">
        <v>12.0</v>
      </c>
      <c r="AG56" s="163">
        <v>0.0</v>
      </c>
      <c r="AH56" s="163">
        <v>3.0</v>
      </c>
      <c r="AI56" s="163">
        <v>6.0</v>
      </c>
      <c r="AJ56" s="163">
        <v>0.0</v>
      </c>
      <c r="AK56" s="163">
        <v>0.0</v>
      </c>
      <c r="AL56" s="163">
        <v>0.0</v>
      </c>
      <c r="AM56" s="163">
        <v>0.0</v>
      </c>
      <c r="AN56" s="163">
        <v>0.0</v>
      </c>
      <c r="AO56" s="163">
        <v>0.0</v>
      </c>
      <c r="AP56" s="163">
        <v>3.0</v>
      </c>
      <c r="AQ56" s="163">
        <v>12.0</v>
      </c>
      <c r="AR56" s="163">
        <v>6.0</v>
      </c>
      <c r="AS56" s="163">
        <v>0.0</v>
      </c>
      <c r="AT56" s="139">
        <f t="shared" si="4"/>
        <v>30.0</v>
      </c>
      <c r="AU56" s="139">
        <f t="shared" si="232"/>
        <v>9.0</v>
      </c>
      <c r="AV56" s="139">
        <f t="shared" si="6"/>
        <v>9.9</v>
      </c>
      <c r="BC56" s="168"/>
      <c r="BD56" s="123">
        <f>VLOOKUP(C56,SOHFEB23,3,false)</f>
        <v>27.0</v>
      </c>
      <c r="BE56" s="167">
        <f>VLOOKUP(D56,VALUEFEB23,4,false)</f>
        <v>4.8074</v>
      </c>
      <c r="BF56" s="124">
        <f t="shared" si="16"/>
        <v>129.7998</v>
      </c>
      <c r="BH56" s="168">
        <f t="shared" si="185"/>
        <v>27.0</v>
      </c>
      <c r="BI56" s="123"/>
      <c r="BK56" s="177"/>
      <c r="BL56" s="36">
        <f t="shared" si="186"/>
        <v>27.0</v>
      </c>
      <c r="BM56" s="168"/>
      <c r="BP56" s="168"/>
      <c r="BQ56" s="126"/>
      <c r="BU56" s="126"/>
      <c r="BY56" s="126"/>
      <c r="CC56" s="126"/>
      <c r="CG56" s="126"/>
      <c r="CK56" s="126"/>
      <c r="CR56" s="123"/>
      <c r="CS56" s="168">
        <f t="shared" si="55"/>
        <v>0.0</v>
      </c>
      <c r="CT56" s="36">
        <f t="shared" si="56"/>
        <v>0.0</v>
      </c>
      <c r="CU56" s="123">
        <f t="shared" si="57"/>
        <v>0.0</v>
      </c>
    </row>
    <row r="57">
      <c r="A57" s="175" t="s">
        <v>32</v>
      </c>
      <c r="B57" s="175" t="s">
        <v>81</v>
      </c>
      <c r="C57" s="175" t="s">
        <v>104</v>
      </c>
      <c r="D57" s="176">
        <v>43245.0</v>
      </c>
      <c r="E57" s="163">
        <v>0.0</v>
      </c>
      <c r="F57" s="163">
        <v>0.0</v>
      </c>
      <c r="G57" s="163">
        <v>0.0</v>
      </c>
      <c r="H57" s="163">
        <v>0.0</v>
      </c>
      <c r="I57" s="163">
        <v>0.0</v>
      </c>
      <c r="J57" s="163">
        <v>0.0</v>
      </c>
      <c r="K57" s="163">
        <v>0.0</v>
      </c>
      <c r="L57" s="163">
        <v>0.0</v>
      </c>
      <c r="M57" s="163">
        <v>0.0</v>
      </c>
      <c r="N57" s="163">
        <v>0.0</v>
      </c>
      <c r="O57" s="163">
        <v>0.0</v>
      </c>
      <c r="P57" s="163">
        <v>0.0</v>
      </c>
      <c r="Q57" s="163">
        <v>0.0</v>
      </c>
      <c r="R57" s="163">
        <v>0.0</v>
      </c>
      <c r="S57" s="163">
        <v>0.0</v>
      </c>
      <c r="T57" s="163">
        <v>3.0</v>
      </c>
      <c r="U57" s="163">
        <v>0.0</v>
      </c>
      <c r="V57" s="163">
        <v>30.0</v>
      </c>
      <c r="W57" s="163">
        <v>6.0</v>
      </c>
      <c r="X57" s="163">
        <v>21.0</v>
      </c>
      <c r="Y57" s="163">
        <v>12.0</v>
      </c>
      <c r="Z57" s="163">
        <v>15.0</v>
      </c>
      <c r="AA57" s="163">
        <v>0.0</v>
      </c>
      <c r="AB57" s="163">
        <v>9.0</v>
      </c>
      <c r="AC57" s="163">
        <v>21.0</v>
      </c>
      <c r="AD57" s="163">
        <v>0.0</v>
      </c>
      <c r="AE57" s="163">
        <v>3.0</v>
      </c>
      <c r="AF57" s="163">
        <v>6.0</v>
      </c>
      <c r="AG57" s="163">
        <v>18.0</v>
      </c>
      <c r="AH57" s="163">
        <v>0.0</v>
      </c>
      <c r="AI57" s="163">
        <v>3.0</v>
      </c>
      <c r="AJ57" s="163">
        <v>6.0</v>
      </c>
      <c r="AK57" s="163">
        <v>0.0</v>
      </c>
      <c r="AL57" s="163">
        <v>3.0</v>
      </c>
      <c r="AM57" s="163">
        <v>9.0</v>
      </c>
      <c r="AN57" s="163">
        <v>0.0</v>
      </c>
      <c r="AO57" s="163">
        <v>6.0</v>
      </c>
      <c r="AP57" s="163">
        <v>0.0</v>
      </c>
      <c r="AQ57" s="163">
        <v>0.0</v>
      </c>
      <c r="AR57" s="163">
        <v>0.0</v>
      </c>
      <c r="AS57" s="163">
        <v>0.0</v>
      </c>
      <c r="AT57" s="139">
        <f t="shared" si="4"/>
        <v>27.0</v>
      </c>
      <c r="AU57" s="139">
        <f t="shared" si="232"/>
        <v>21.0</v>
      </c>
      <c r="AV57" s="139">
        <f t="shared" si="6"/>
        <v>23.1</v>
      </c>
      <c r="BC57" s="168"/>
      <c r="BD57" s="123">
        <f>VLOOKUP(C57,SOHFEB23,3,false)</f>
        <v>0.0</v>
      </c>
      <c r="BE57" s="167">
        <f>VLOOKUP(D57,VALUEFEB23,4,false)</f>
      </c>
      <c r="BF57" s="124">
        <f t="shared" si="16"/>
        <v>0.0</v>
      </c>
      <c r="BH57" s="168">
        <f t="shared" si="185"/>
        <v>0.0</v>
      </c>
      <c r="BI57" s="123"/>
      <c r="BK57" s="177"/>
      <c r="BL57" s="36">
        <f t="shared" si="186"/>
        <v>0.0</v>
      </c>
      <c r="BM57" s="168"/>
      <c r="BP57" s="168"/>
      <c r="BQ57" s="126"/>
      <c r="BU57" s="126"/>
      <c r="BY57" s="126"/>
      <c r="CC57" s="126"/>
      <c r="CG57" s="126"/>
      <c r="CK57" s="126"/>
      <c r="CR57" s="123"/>
      <c r="CS57" s="168">
        <f t="shared" si="55"/>
        <v>0.0</v>
      </c>
      <c r="CT57" s="36">
        <f t="shared" si="56"/>
        <v>0.0</v>
      </c>
      <c r="CU57" s="123">
        <f t="shared" si="57"/>
        <v>0.0</v>
      </c>
    </row>
    <row r="58">
      <c r="A58" s="175" t="s">
        <v>32</v>
      </c>
      <c r="B58" s="175" t="s">
        <v>81</v>
      </c>
      <c r="C58" s="175" t="s">
        <v>84</v>
      </c>
      <c r="D58" s="176" t="s">
        <v>85</v>
      </c>
      <c r="E58" s="163">
        <v>1.0</v>
      </c>
      <c r="F58" s="163">
        <v>0.0</v>
      </c>
      <c r="G58" s="163">
        <v>0.0</v>
      </c>
      <c r="H58" s="163">
        <v>0.0</v>
      </c>
      <c r="I58" s="163">
        <v>0.0</v>
      </c>
      <c r="J58" s="163">
        <v>0.0</v>
      </c>
      <c r="K58" s="163">
        <v>0.0</v>
      </c>
      <c r="L58" s="163">
        <v>4.0</v>
      </c>
      <c r="M58" s="163">
        <v>0.0</v>
      </c>
      <c r="N58" s="163">
        <v>0.0</v>
      </c>
      <c r="O58" s="163">
        <v>0.0</v>
      </c>
      <c r="P58" s="163">
        <v>3.0</v>
      </c>
      <c r="Q58" s="163">
        <v>0.0</v>
      </c>
      <c r="R58" s="163">
        <v>0.0</v>
      </c>
      <c r="S58" s="163">
        <v>0.0</v>
      </c>
      <c r="T58" s="163">
        <v>0.0</v>
      </c>
      <c r="U58" s="163">
        <v>0.0</v>
      </c>
      <c r="V58" s="163">
        <v>0.0</v>
      </c>
      <c r="W58" s="163">
        <v>0.0</v>
      </c>
      <c r="X58" s="163">
        <v>0.0</v>
      </c>
      <c r="Y58" s="163">
        <v>0.0</v>
      </c>
      <c r="Z58" s="163">
        <v>0.0</v>
      </c>
      <c r="AA58" s="163">
        <v>0.0</v>
      </c>
      <c r="AB58" s="163">
        <v>0.0</v>
      </c>
      <c r="AC58" s="163">
        <v>0.0</v>
      </c>
      <c r="AD58" s="163">
        <v>0.0</v>
      </c>
      <c r="AE58" s="163">
        <v>0.0</v>
      </c>
      <c r="AF58" s="163">
        <v>0.0</v>
      </c>
      <c r="AG58" s="163">
        <v>0.0</v>
      </c>
      <c r="AH58" s="163">
        <v>1.0</v>
      </c>
      <c r="AI58" s="163">
        <v>0.0</v>
      </c>
      <c r="AJ58" s="163">
        <v>0.0</v>
      </c>
      <c r="AK58" s="163">
        <v>0.0</v>
      </c>
      <c r="AL58" s="163">
        <v>0.0</v>
      </c>
      <c r="AM58" s="163">
        <v>0.0</v>
      </c>
      <c r="AN58" s="163">
        <v>0.0</v>
      </c>
      <c r="AO58" s="163">
        <v>0.0</v>
      </c>
      <c r="AP58" s="163">
        <v>0.0</v>
      </c>
      <c r="AQ58" s="163">
        <v>0.0</v>
      </c>
      <c r="AR58" s="163">
        <v>0.0</v>
      </c>
      <c r="AS58" s="163">
        <v>0.0</v>
      </c>
      <c r="AT58" s="139">
        <f t="shared" si="4"/>
        <v>1.0</v>
      </c>
      <c r="AU58" s="139">
        <f t="shared" si="232"/>
        <v>1.0</v>
      </c>
      <c r="AV58" s="139">
        <f t="shared" si="6"/>
        <v>1.1</v>
      </c>
      <c r="BC58" s="168"/>
      <c r="BD58" s="123">
        <f>VLOOKUP(C58,SOHFEB23,3,false)</f>
        <v>0.0</v>
      </c>
      <c r="BE58" s="167">
        <f>VLOOKUP(D58,VALUEFEB23,4,false)</f>
      </c>
      <c r="BF58" s="124">
        <f t="shared" si="16"/>
        <v>0.0</v>
      </c>
      <c r="BH58" s="168">
        <f t="shared" si="185"/>
        <v>0.0</v>
      </c>
      <c r="BI58" s="123"/>
      <c r="BK58" s="177"/>
      <c r="BL58" s="36">
        <f t="shared" si="186"/>
        <v>0.0</v>
      </c>
      <c r="BM58" s="168"/>
      <c r="BP58" s="168"/>
      <c r="BQ58" s="126"/>
      <c r="BU58" s="126"/>
      <c r="BY58" s="126"/>
      <c r="CC58" s="126"/>
      <c r="CG58" s="126"/>
      <c r="CK58" s="126"/>
      <c r="CR58" s="123"/>
      <c r="CS58" s="168">
        <f t="shared" si="55"/>
        <v>0.0</v>
      </c>
      <c r="CT58" s="36">
        <f t="shared" si="56"/>
        <v>0.0</v>
      </c>
      <c r="CU58" s="123">
        <f t="shared" si="57"/>
        <v>0.0</v>
      </c>
    </row>
    <row r="59">
      <c r="A59" s="175" t="s">
        <v>32</v>
      </c>
      <c r="B59" s="175" t="s">
        <v>81</v>
      </c>
      <c r="C59" s="175" t="s">
        <v>99</v>
      </c>
      <c r="D59" s="176" t="s">
        <v>100</v>
      </c>
      <c r="E59" s="163">
        <v>1.0</v>
      </c>
      <c r="F59" s="163">
        <v>2.0</v>
      </c>
      <c r="G59" s="163">
        <v>0.0</v>
      </c>
      <c r="H59" s="163">
        <v>0.0</v>
      </c>
      <c r="I59" s="163">
        <v>1.0</v>
      </c>
      <c r="J59" s="163">
        <v>1.0</v>
      </c>
      <c r="K59" s="163">
        <v>0.0</v>
      </c>
      <c r="L59" s="163">
        <v>1.0</v>
      </c>
      <c r="M59" s="163">
        <v>0.0</v>
      </c>
      <c r="N59" s="163">
        <v>0.0</v>
      </c>
      <c r="O59" s="163">
        <v>1.0</v>
      </c>
      <c r="P59" s="163">
        <v>0.0</v>
      </c>
      <c r="Q59" s="163">
        <v>0.0</v>
      </c>
      <c r="R59" s="163">
        <v>1.0</v>
      </c>
      <c r="S59" s="163">
        <v>0.0</v>
      </c>
      <c r="T59" s="163">
        <v>0.0</v>
      </c>
      <c r="U59" s="163">
        <v>0.0</v>
      </c>
      <c r="V59" s="163">
        <v>1.0</v>
      </c>
      <c r="W59" s="163">
        <v>0.0</v>
      </c>
      <c r="X59" s="163">
        <v>0.0</v>
      </c>
      <c r="Y59" s="163">
        <v>1.0</v>
      </c>
      <c r="Z59" s="163">
        <v>0.0</v>
      </c>
      <c r="AA59" s="163">
        <v>0.0</v>
      </c>
      <c r="AB59" s="163">
        <v>0.0</v>
      </c>
      <c r="AC59" s="163">
        <v>1.0</v>
      </c>
      <c r="AD59" s="163">
        <v>0.0</v>
      </c>
      <c r="AE59" s="163">
        <v>0.0</v>
      </c>
      <c r="AF59" s="163">
        <v>0.0</v>
      </c>
      <c r="AG59" s="163">
        <v>0.0</v>
      </c>
      <c r="AH59" s="163">
        <v>1.0</v>
      </c>
      <c r="AI59" s="163">
        <v>0.0</v>
      </c>
      <c r="AJ59" s="163">
        <v>0.0</v>
      </c>
      <c r="AK59" s="163">
        <v>0.0</v>
      </c>
      <c r="AL59" s="163">
        <v>0.0</v>
      </c>
      <c r="AM59" s="163">
        <v>1.0</v>
      </c>
      <c r="AN59" s="163">
        <v>1.0</v>
      </c>
      <c r="AO59" s="163">
        <v>2.0</v>
      </c>
      <c r="AP59" s="163">
        <v>0.0</v>
      </c>
      <c r="AQ59" s="163">
        <v>0.0</v>
      </c>
      <c r="AR59" s="163">
        <v>0.0</v>
      </c>
      <c r="AS59" s="163">
        <v>0.0</v>
      </c>
      <c r="AT59" s="139">
        <f t="shared" si="4"/>
        <v>5.0</v>
      </c>
      <c r="AU59" s="139">
        <f t="shared" si="232"/>
        <v>2.0</v>
      </c>
      <c r="AV59" s="139">
        <f t="shared" si="6"/>
        <v>2.2</v>
      </c>
      <c r="BC59" s="168"/>
      <c r="BD59" s="123">
        <f>VLOOKUP(C59,SOHFEB23,3,false)</f>
        <v>0.0</v>
      </c>
      <c r="BE59" s="167">
        <f>VLOOKUP(D59,VALUEFEB23,4,false)</f>
      </c>
      <c r="BF59" s="124">
        <f t="shared" si="16"/>
        <v>0.0</v>
      </c>
      <c r="BH59" s="168">
        <f t="shared" si="185"/>
        <v>0.0</v>
      </c>
      <c r="BI59" s="123"/>
      <c r="BK59" s="177"/>
      <c r="BL59" s="36">
        <f t="shared" si="186"/>
        <v>0.0</v>
      </c>
      <c r="BM59" s="168"/>
      <c r="BP59" s="168"/>
      <c r="BQ59" s="126"/>
      <c r="BU59" s="126"/>
      <c r="BY59" s="126"/>
      <c r="CC59" s="126"/>
      <c r="CG59" s="126"/>
      <c r="CK59" s="126"/>
      <c r="CR59" s="123"/>
      <c r="CS59" s="168">
        <f t="shared" si="55"/>
        <v>0.0</v>
      </c>
      <c r="CT59" s="36">
        <f t="shared" si="56"/>
        <v>0.0</v>
      </c>
      <c r="CU59" s="123">
        <f t="shared" si="57"/>
        <v>0.0</v>
      </c>
    </row>
    <row r="60">
      <c r="A60" s="175" t="s">
        <v>32</v>
      </c>
      <c r="B60" s="175" t="s">
        <v>81</v>
      </c>
      <c r="C60" s="175" t="s">
        <v>82</v>
      </c>
      <c r="D60" s="176" t="s">
        <v>83</v>
      </c>
      <c r="E60" s="163">
        <v>3.0</v>
      </c>
      <c r="F60" s="163">
        <v>0.0</v>
      </c>
      <c r="G60" s="163">
        <v>0.0</v>
      </c>
      <c r="H60" s="163">
        <v>0.0</v>
      </c>
      <c r="I60" s="163">
        <v>6.0</v>
      </c>
      <c r="J60" s="163">
        <v>3.0</v>
      </c>
      <c r="K60" s="163">
        <v>4.0</v>
      </c>
      <c r="L60" s="163">
        <v>2.0</v>
      </c>
      <c r="M60" s="163">
        <v>2.0</v>
      </c>
      <c r="N60" s="163">
        <v>7.0</v>
      </c>
      <c r="O60" s="163">
        <v>5.0</v>
      </c>
      <c r="P60" s="163">
        <v>3.0</v>
      </c>
      <c r="Q60" s="163">
        <v>1.0</v>
      </c>
      <c r="R60" s="163">
        <v>8.0</v>
      </c>
      <c r="S60" s="163">
        <v>4.0</v>
      </c>
      <c r="T60" s="163">
        <v>1.0</v>
      </c>
      <c r="U60" s="163">
        <v>4.0</v>
      </c>
      <c r="V60" s="163">
        <v>8.0</v>
      </c>
      <c r="W60" s="163">
        <v>4.0</v>
      </c>
      <c r="X60" s="163">
        <v>0.0</v>
      </c>
      <c r="Y60" s="163">
        <v>2.0</v>
      </c>
      <c r="Z60" s="163">
        <v>3.0</v>
      </c>
      <c r="AA60" s="163">
        <v>3.0</v>
      </c>
      <c r="AB60" s="163">
        <v>0.0</v>
      </c>
      <c r="AC60" s="163">
        <v>3.0</v>
      </c>
      <c r="AD60" s="163">
        <v>4.0</v>
      </c>
      <c r="AE60" s="163">
        <v>2.0</v>
      </c>
      <c r="AF60" s="163">
        <v>2.0</v>
      </c>
      <c r="AG60" s="163">
        <v>2.0</v>
      </c>
      <c r="AH60" s="163">
        <v>4.0</v>
      </c>
      <c r="AI60" s="163">
        <v>3.0</v>
      </c>
      <c r="AJ60" s="163">
        <v>3.0</v>
      </c>
      <c r="AK60" s="163">
        <v>4.0</v>
      </c>
      <c r="AL60" s="163">
        <v>0.0</v>
      </c>
      <c r="AM60" s="163">
        <v>3.0</v>
      </c>
      <c r="AN60" s="163">
        <v>4.0</v>
      </c>
      <c r="AO60" s="163">
        <v>4.0</v>
      </c>
      <c r="AP60" s="163">
        <v>6.0</v>
      </c>
      <c r="AQ60" s="163">
        <v>5.0</v>
      </c>
      <c r="AR60" s="163">
        <v>1.0</v>
      </c>
      <c r="AS60" s="163">
        <v>5.0</v>
      </c>
      <c r="AT60" s="139">
        <f t="shared" si="4"/>
        <v>42.0</v>
      </c>
      <c r="AU60" s="139">
        <f t="shared" si="232"/>
        <v>17.0</v>
      </c>
      <c r="AV60" s="139">
        <f t="shared" si="6"/>
        <v>18.7</v>
      </c>
      <c r="BC60" s="168"/>
      <c r="BD60" s="123">
        <f>VLOOKUP(C60,SOHFEB23,3,false)</f>
        <v>1.0</v>
      </c>
      <c r="BE60" s="167">
        <f>VLOOKUP(D60,VALUEFEB23,4,false)</f>
        <v>51.21</v>
      </c>
      <c r="BF60" s="124">
        <f t="shared" si="16"/>
        <v>51.21</v>
      </c>
      <c r="BH60" s="168">
        <f t="shared" si="185"/>
        <v>1.0</v>
      </c>
      <c r="BI60" s="123"/>
      <c r="BK60" s="177"/>
      <c r="BL60" s="36">
        <f t="shared" si="186"/>
        <v>1.0</v>
      </c>
      <c r="BM60" s="168"/>
      <c r="BP60" s="168"/>
      <c r="BQ60" s="126"/>
      <c r="BU60" s="126"/>
      <c r="BY60" s="126"/>
      <c r="CC60" s="126"/>
      <c r="CG60" s="126"/>
      <c r="CK60" s="126"/>
      <c r="CR60" s="123"/>
      <c r="CS60" s="168">
        <f t="shared" si="55"/>
        <v>0.0</v>
      </c>
      <c r="CT60" s="36">
        <f t="shared" si="56"/>
        <v>0.0</v>
      </c>
      <c r="CU60" s="123">
        <f t="shared" si="57"/>
        <v>0.0</v>
      </c>
    </row>
    <row r="61">
      <c r="A61" s="175" t="s">
        <v>32</v>
      </c>
      <c r="B61" s="175" t="s">
        <v>81</v>
      </c>
      <c r="C61" s="175" t="s">
        <v>97</v>
      </c>
      <c r="D61" s="176" t="s">
        <v>98</v>
      </c>
      <c r="E61" s="163">
        <v>4.0</v>
      </c>
      <c r="F61" s="163">
        <v>1.0</v>
      </c>
      <c r="G61" s="163">
        <v>0.0</v>
      </c>
      <c r="H61" s="163">
        <v>0.0</v>
      </c>
      <c r="I61" s="163">
        <v>7.0</v>
      </c>
      <c r="J61" s="163">
        <v>2.0</v>
      </c>
      <c r="K61" s="163">
        <v>4.0</v>
      </c>
      <c r="L61" s="163">
        <v>2.0</v>
      </c>
      <c r="M61" s="163">
        <v>0.0</v>
      </c>
      <c r="N61" s="163">
        <v>5.0</v>
      </c>
      <c r="O61" s="163">
        <v>4.0</v>
      </c>
      <c r="P61" s="163">
        <v>6.0</v>
      </c>
      <c r="Q61" s="163">
        <v>4.0</v>
      </c>
      <c r="R61" s="163">
        <v>6.0</v>
      </c>
      <c r="S61" s="163">
        <v>3.0</v>
      </c>
      <c r="T61" s="163">
        <v>0.0</v>
      </c>
      <c r="U61" s="163">
        <v>2.0</v>
      </c>
      <c r="V61" s="163">
        <v>6.0</v>
      </c>
      <c r="W61" s="163">
        <v>2.0</v>
      </c>
      <c r="X61" s="163">
        <v>1.0</v>
      </c>
      <c r="Y61" s="163">
        <v>1.0</v>
      </c>
      <c r="Z61" s="163">
        <v>1.0</v>
      </c>
      <c r="AA61" s="163">
        <v>1.0</v>
      </c>
      <c r="AB61" s="163">
        <v>1.0</v>
      </c>
      <c r="AC61" s="163">
        <v>3.0</v>
      </c>
      <c r="AD61" s="163">
        <v>4.0</v>
      </c>
      <c r="AE61" s="163">
        <v>0.0</v>
      </c>
      <c r="AF61" s="163">
        <v>1.0</v>
      </c>
      <c r="AG61" s="163">
        <v>1.0</v>
      </c>
      <c r="AH61" s="163">
        <v>3.0</v>
      </c>
      <c r="AI61" s="163">
        <v>1.0</v>
      </c>
      <c r="AJ61" s="163">
        <v>2.0</v>
      </c>
      <c r="AK61" s="163">
        <v>0.0</v>
      </c>
      <c r="AL61" s="163">
        <v>1.0</v>
      </c>
      <c r="AM61" s="163">
        <v>1.0</v>
      </c>
      <c r="AN61" s="163">
        <v>1.0</v>
      </c>
      <c r="AO61" s="163">
        <v>2.0</v>
      </c>
      <c r="AP61" s="163">
        <v>0.0</v>
      </c>
      <c r="AQ61" s="163">
        <v>0.0</v>
      </c>
      <c r="AR61" s="163">
        <v>0.0</v>
      </c>
      <c r="AS61" s="163">
        <v>0.0</v>
      </c>
      <c r="AT61" s="139">
        <f t="shared" si="4"/>
        <v>11.0</v>
      </c>
      <c r="AU61" s="139">
        <f t="shared" si="232"/>
        <v>8.0</v>
      </c>
      <c r="AV61" s="139">
        <f t="shared" si="6"/>
        <v>8.8</v>
      </c>
      <c r="BC61" s="168"/>
      <c r="BD61" s="123">
        <f>VLOOKUP(D61,FEB23SOH,3,false)</f>
        <v>0.0</v>
      </c>
      <c r="BE61" s="167">
        <f>VLOOKUP(D61,VALUEFEB23,4,false)</f>
      </c>
      <c r="BF61" s="178">
        <f t="shared" si="16"/>
        <v>0.0</v>
      </c>
      <c r="BH61" s="168">
        <f t="shared" si="185"/>
        <v>0.0</v>
      </c>
      <c r="BI61" s="123"/>
      <c r="BK61" s="177"/>
      <c r="BL61" s="36">
        <f t="shared" si="186"/>
        <v>0.0</v>
      </c>
      <c r="BM61" s="168"/>
      <c r="BP61" s="168"/>
      <c r="BQ61" s="126"/>
      <c r="BU61" s="126"/>
      <c r="BY61" s="126"/>
      <c r="CC61" s="126"/>
      <c r="CG61" s="126"/>
      <c r="CK61" s="126"/>
      <c r="CR61" s="123"/>
      <c r="CS61" s="168">
        <f t="shared" si="55"/>
        <v>0.0</v>
      </c>
      <c r="CT61" s="36">
        <f t="shared" si="56"/>
        <v>0.0</v>
      </c>
      <c r="CU61" s="123">
        <f t="shared" si="57"/>
        <v>0.0</v>
      </c>
    </row>
    <row r="62">
      <c r="A62" s="163" t="s">
        <v>32</v>
      </c>
      <c r="B62" s="163" t="s">
        <v>81</v>
      </c>
      <c r="C62" s="163" t="s">
        <v>109</v>
      </c>
      <c r="D62" s="164">
        <v>992432.0</v>
      </c>
      <c r="E62" s="163">
        <v>0.0</v>
      </c>
      <c r="F62" s="163">
        <v>0.0</v>
      </c>
      <c r="G62" s="163">
        <v>0.0</v>
      </c>
      <c r="H62" s="163">
        <v>0.0</v>
      </c>
      <c r="I62" s="163">
        <v>0.0</v>
      </c>
      <c r="J62" s="163">
        <v>0.0</v>
      </c>
      <c r="K62" s="163">
        <v>0.0</v>
      </c>
      <c r="L62" s="163">
        <v>0.0</v>
      </c>
      <c r="M62" s="163">
        <v>0.0</v>
      </c>
      <c r="N62" s="163">
        <v>0.0</v>
      </c>
      <c r="O62" s="163">
        <v>0.0</v>
      </c>
      <c r="P62" s="163">
        <v>0.0</v>
      </c>
      <c r="Q62" s="163">
        <v>1.0</v>
      </c>
      <c r="R62" s="163">
        <v>0.0</v>
      </c>
      <c r="S62" s="163">
        <v>0.0</v>
      </c>
      <c r="T62" s="163">
        <v>0.0</v>
      </c>
      <c r="U62" s="163">
        <v>0.0</v>
      </c>
      <c r="V62" s="163">
        <v>0.0</v>
      </c>
      <c r="W62" s="163">
        <v>0.0</v>
      </c>
      <c r="X62" s="163">
        <v>0.0</v>
      </c>
      <c r="Y62" s="163">
        <v>1.0</v>
      </c>
      <c r="Z62" s="163">
        <v>1.0</v>
      </c>
      <c r="AA62" s="163">
        <v>0.0</v>
      </c>
      <c r="AB62" s="163">
        <v>0.0</v>
      </c>
      <c r="AC62" s="163">
        <v>1.0</v>
      </c>
      <c r="AD62" s="163">
        <v>2.0</v>
      </c>
      <c r="AE62" s="163">
        <v>0.0</v>
      </c>
      <c r="AF62" s="163">
        <v>0.0</v>
      </c>
      <c r="AG62" s="163">
        <v>0.0</v>
      </c>
      <c r="AH62" s="163">
        <v>0.0</v>
      </c>
      <c r="AI62" s="163">
        <v>0.0</v>
      </c>
      <c r="AJ62" s="163">
        <v>0.0</v>
      </c>
      <c r="AK62" s="163">
        <v>0.0</v>
      </c>
      <c r="AL62" s="163">
        <v>1.0</v>
      </c>
      <c r="AM62" s="163">
        <v>0.0</v>
      </c>
      <c r="AN62" s="163">
        <v>2.0</v>
      </c>
      <c r="AO62" s="163">
        <v>1.0</v>
      </c>
      <c r="AP62" s="163">
        <v>0.0</v>
      </c>
      <c r="AQ62" s="163">
        <v>0.0</v>
      </c>
      <c r="AR62" s="163">
        <v>0.0</v>
      </c>
      <c r="AS62" s="163">
        <v>0.0</v>
      </c>
      <c r="AT62" s="139">
        <f t="shared" si="4"/>
        <v>4.0</v>
      </c>
      <c r="AU62" s="139">
        <f t="shared" si="232"/>
        <v>1.0</v>
      </c>
      <c r="AV62" s="139">
        <f t="shared" si="6"/>
        <v>1.1</v>
      </c>
      <c r="AW62" s="173">
        <f t="shared" ref="AW62:AW64" si="234">AV62*$AW$4/$AV$4</f>
        <v>0.155555555555556</v>
      </c>
      <c r="AX62" s="173">
        <f t="shared" ref="AX62:AX64" si="235">AV62*$AX$4/$AV$4</f>
        <v>0.177777777777778</v>
      </c>
      <c r="AY62" s="173">
        <f t="shared" ref="AY62:AY64" si="236">AV62*$AY$4/$AV$4</f>
        <v>0.177777777777778</v>
      </c>
      <c r="AZ62" s="173">
        <f t="shared" ref="AZ62:AZ64" si="237">AV62*$AZ$4/$AV$4</f>
        <v>0.155555555555556</v>
      </c>
      <c r="BA62" s="173">
        <f t="shared" ref="BA62:BA64" si="238">AV62*$BA$4/$AV$4</f>
        <v>0.155555555555556</v>
      </c>
      <c r="BB62" s="173">
        <f t="shared" ref="BB62:BB64" si="239">AV62*$BB$4/$AV$4</f>
        <v>0.177777777777778</v>
      </c>
      <c r="BC62" s="166">
        <f t="shared" ref="BC62:BC80" si="240">SUM(AW62:BB62)</f>
        <v>1.0</v>
      </c>
      <c r="BD62" s="123">
        <f>VLOOKUP(C62,SOHFEB23,3,false)</f>
        <v>297.0</v>
      </c>
      <c r="BE62" s="167">
        <f>VLOOKUP(D62,VALUEFEB23,4,false)</f>
        <v>0.0597</v>
      </c>
      <c r="BF62" s="124">
        <f t="shared" si="16"/>
        <v>17.7309</v>
      </c>
      <c r="BH62" s="168">
        <f t="shared" si="185"/>
        <v>296.0</v>
      </c>
      <c r="BI62" s="123"/>
      <c r="BL62" s="36">
        <f t="shared" si="186"/>
        <v>297.0</v>
      </c>
      <c r="BM62" s="168"/>
      <c r="BN62" s="168">
        <f>AW62</f>
        <v>0.155555555555556</v>
      </c>
      <c r="BO62" s="168"/>
      <c r="BP62" s="168">
        <f t="shared" ref="BP62:BP80" si="243">BL62-BN62+BO62+BM62</f>
        <v>296.844444444444</v>
      </c>
      <c r="BQ62" s="126">
        <f t="shared" ref="BQ62:BQ80" si="244">BP62*BE62</f>
        <v>17.7216133333333</v>
      </c>
      <c r="BR62" s="168">
        <f>AX62</f>
        <v>0.177777777777778</v>
      </c>
      <c r="BT62" s="168">
        <f>BP62-BR62+BS62</f>
        <v>296.666666666666</v>
      </c>
      <c r="BU62" s="126">
        <f t="shared" ref="BU62:BU97" si="247">BT62*BE62</f>
        <v>17.711</v>
      </c>
      <c r="BV62" s="168">
        <f>AY62</f>
        <v>0.177777777777778</v>
      </c>
      <c r="BW62" s="168"/>
      <c r="BX62" s="168">
        <f>BT62-BV62+BW62</f>
        <v>296.488888888888</v>
      </c>
      <c r="BY62" s="126">
        <f t="shared" ref="BY62:BY97" si="250">BX62*BE62</f>
        <v>17.7003866666666</v>
      </c>
      <c r="BZ62" s="168">
        <f>AZ62</f>
        <v>0.155555555555556</v>
      </c>
      <c r="CA62" s="168"/>
      <c r="CB62" s="168">
        <f>BX62-BZ62+CA62</f>
        <v>296.333333333332</v>
      </c>
      <c r="CC62" s="126">
        <f t="shared" ref="CC62:CC97" si="253">CB62*BE62</f>
        <v>17.6910999999999</v>
      </c>
      <c r="CD62" s="168">
        <f>BA62</f>
        <v>0.155555555555556</v>
      </c>
      <c r="CE62" s="168"/>
      <c r="CF62" s="168">
        <f>CB62-CD62+CE62</f>
        <v>296.177777777776</v>
      </c>
      <c r="CG62" s="126">
        <f t="shared" ref="CG62:CG97" si="256">BE62*CF62</f>
        <v>17.6818133333332</v>
      </c>
      <c r="CH62" s="168">
        <f>BB62</f>
        <v>0.177777777777778</v>
      </c>
      <c r="CI62" s="168"/>
      <c r="CJ62" s="168">
        <f>CF62-CH62+CI62</f>
        <v>295.999999999998</v>
      </c>
      <c r="CK62" s="126">
        <f t="shared" ref="CK62:CK97" si="259">CJ62*BE62</f>
        <v>17.6711999999999</v>
      </c>
      <c r="CR62" s="123"/>
      <c r="CS62" s="168">
        <f t="shared" si="55"/>
        <v>0.0</v>
      </c>
      <c r="CT62" s="36">
        <f t="shared" si="56"/>
        <v>0.0</v>
      </c>
      <c r="CU62" s="123">
        <f t="shared" si="57"/>
        <v>0.0</v>
      </c>
    </row>
    <row r="63">
      <c r="A63" s="163" t="s">
        <v>32</v>
      </c>
      <c r="B63" s="163" t="s">
        <v>110</v>
      </c>
      <c r="C63" s="163" t="s">
        <v>116</v>
      </c>
      <c r="D63" s="164" t="s">
        <v>117</v>
      </c>
      <c r="E63" s="163">
        <v>12.0</v>
      </c>
      <c r="F63" s="163">
        <v>3.0</v>
      </c>
      <c r="G63" s="163">
        <v>10.0</v>
      </c>
      <c r="H63" s="163">
        <v>4.0</v>
      </c>
      <c r="I63" s="163">
        <v>19.0</v>
      </c>
      <c r="J63" s="163">
        <v>6.0</v>
      </c>
      <c r="K63" s="163">
        <v>5.0</v>
      </c>
      <c r="L63" s="163">
        <v>4.0</v>
      </c>
      <c r="M63" s="163">
        <v>8.0</v>
      </c>
      <c r="N63" s="163">
        <v>5.0</v>
      </c>
      <c r="O63" s="163">
        <v>9.0</v>
      </c>
      <c r="P63" s="163">
        <v>15.0</v>
      </c>
      <c r="Q63" s="163">
        <v>10.0</v>
      </c>
      <c r="R63" s="163">
        <v>5.0</v>
      </c>
      <c r="S63" s="163">
        <v>5.0</v>
      </c>
      <c r="T63" s="163">
        <v>1.0</v>
      </c>
      <c r="U63" s="163">
        <v>8.0</v>
      </c>
      <c r="V63" s="163">
        <v>11.0</v>
      </c>
      <c r="W63" s="163">
        <v>3.0</v>
      </c>
      <c r="X63" s="163">
        <v>3.0</v>
      </c>
      <c r="Y63" s="163">
        <v>4.0</v>
      </c>
      <c r="Z63" s="163">
        <v>3.0</v>
      </c>
      <c r="AA63" s="163">
        <v>8.0</v>
      </c>
      <c r="AB63" s="163">
        <v>7.0</v>
      </c>
      <c r="AC63" s="163">
        <v>7.0</v>
      </c>
      <c r="AD63" s="163">
        <v>7.0</v>
      </c>
      <c r="AE63" s="163">
        <v>2.0</v>
      </c>
      <c r="AF63" s="163">
        <v>4.0</v>
      </c>
      <c r="AG63" s="163">
        <v>5.0</v>
      </c>
      <c r="AH63" s="163">
        <v>0.0</v>
      </c>
      <c r="AI63" s="163">
        <v>0.0</v>
      </c>
      <c r="AJ63" s="163">
        <v>5.0</v>
      </c>
      <c r="AK63" s="163">
        <v>5.0</v>
      </c>
      <c r="AL63" s="163">
        <v>3.0</v>
      </c>
      <c r="AM63" s="163">
        <v>2.0</v>
      </c>
      <c r="AN63" s="163">
        <v>4.0</v>
      </c>
      <c r="AO63" s="163">
        <v>4.0</v>
      </c>
      <c r="AP63" s="163">
        <v>10.0</v>
      </c>
      <c r="AQ63" s="163">
        <v>3.0</v>
      </c>
      <c r="AR63" s="163">
        <v>4.0</v>
      </c>
      <c r="AS63" s="163">
        <v>2.0</v>
      </c>
      <c r="AT63" s="139">
        <f t="shared" si="4"/>
        <v>42.0</v>
      </c>
      <c r="AU63" s="139">
        <f t="shared" si="232"/>
        <v>15.0</v>
      </c>
      <c r="AV63" s="139">
        <f t="shared" si="6"/>
        <v>16.5</v>
      </c>
      <c r="AW63" s="165">
        <f t="shared" si="234"/>
        <v>2.33333333333333</v>
      </c>
      <c r="AX63" s="165">
        <f t="shared" si="235"/>
        <v>2.66666666666667</v>
      </c>
      <c r="AY63" s="165">
        <f t="shared" si="236"/>
        <v>2.66666666666667</v>
      </c>
      <c r="AZ63" s="165">
        <f t="shared" si="237"/>
        <v>2.33333333333333</v>
      </c>
      <c r="BA63" s="165">
        <f t="shared" si="238"/>
        <v>2.33333333333333</v>
      </c>
      <c r="BB63" s="165">
        <f t="shared" si="239"/>
        <v>2.66666666666667</v>
      </c>
      <c r="BC63" s="166">
        <f t="shared" si="240"/>
        <v>15.0</v>
      </c>
      <c r="BD63" s="123">
        <f>VLOOKUP(D63,FEB23SOH,3,false)</f>
        <v>0.0</v>
      </c>
      <c r="BE63" s="167">
        <f>VLOOKUP(D63,VALUEFEB23,4,false)</f>
        <v>88.985</v>
      </c>
      <c r="BF63" s="178">
        <f t="shared" si="16"/>
        <v>0.0</v>
      </c>
      <c r="BH63" s="168"/>
      <c r="BI63" s="123"/>
      <c r="BM63" s="168"/>
      <c r="BN63" s="168"/>
      <c r="BO63" s="168"/>
      <c r="BP63" s="168">
        <f t="shared" si="243"/>
        <v>0.0</v>
      </c>
      <c r="BQ63" s="126">
        <f t="shared" si="244"/>
        <v>0.0</v>
      </c>
      <c r="BR63" s="168"/>
      <c r="BT63" s="168"/>
      <c r="BU63" s="126">
        <f t="shared" si="247"/>
        <v>0.0</v>
      </c>
      <c r="BV63" s="168"/>
      <c r="BW63" s="168"/>
      <c r="BX63" s="168"/>
      <c r="BY63" s="126">
        <f t="shared" si="250"/>
        <v>0.0</v>
      </c>
      <c r="BZ63" s="168"/>
      <c r="CA63" s="168"/>
      <c r="CB63" s="168"/>
      <c r="CC63" s="126">
        <f t="shared" si="253"/>
        <v>0.0</v>
      </c>
      <c r="CD63" s="168"/>
      <c r="CE63" s="168"/>
      <c r="CF63" s="168"/>
      <c r="CG63" s="126">
        <f t="shared" si="256"/>
        <v>0.0</v>
      </c>
      <c r="CH63" s="168"/>
      <c r="CI63" s="168"/>
      <c r="CJ63" s="168"/>
      <c r="CK63" s="126">
        <f t="shared" si="259"/>
        <v>0.0</v>
      </c>
      <c r="CR63" s="123"/>
      <c r="CS63" s="168">
        <f t="shared" si="55"/>
        <v>0.0</v>
      </c>
      <c r="CT63" s="36">
        <f t="shared" si="56"/>
        <v>0.0</v>
      </c>
      <c r="CU63" s="123">
        <f t="shared" si="57"/>
        <v>0.0</v>
      </c>
    </row>
    <row r="64">
      <c r="A64" s="163" t="s">
        <v>32</v>
      </c>
      <c r="B64" s="163" t="s">
        <v>45</v>
      </c>
      <c r="C64" s="163" t="s">
        <v>118</v>
      </c>
      <c r="D64" s="164" t="s">
        <v>119</v>
      </c>
      <c r="E64" s="163">
        <v>0.0</v>
      </c>
      <c r="F64" s="163">
        <v>0.0</v>
      </c>
      <c r="G64" s="163">
        <v>0.0</v>
      </c>
      <c r="H64" s="163">
        <v>0.0</v>
      </c>
      <c r="I64" s="163">
        <v>1.0</v>
      </c>
      <c r="J64" s="163">
        <v>1.0</v>
      </c>
      <c r="K64" s="163">
        <v>0.0</v>
      </c>
      <c r="L64" s="163">
        <v>0.0</v>
      </c>
      <c r="M64" s="163">
        <v>2.0</v>
      </c>
      <c r="N64" s="163">
        <v>0.0</v>
      </c>
      <c r="O64" s="163">
        <v>1.0</v>
      </c>
      <c r="P64" s="163">
        <v>0.0</v>
      </c>
      <c r="Q64" s="163">
        <v>0.0</v>
      </c>
      <c r="R64" s="163">
        <v>0.0</v>
      </c>
      <c r="S64" s="163">
        <v>0.0</v>
      </c>
      <c r="T64" s="163">
        <v>0.0</v>
      </c>
      <c r="U64" s="163">
        <v>0.0</v>
      </c>
      <c r="V64" s="163">
        <v>3.0</v>
      </c>
      <c r="W64" s="163">
        <v>5.0</v>
      </c>
      <c r="X64" s="163">
        <v>0.0</v>
      </c>
      <c r="Y64" s="163">
        <v>1.0</v>
      </c>
      <c r="Z64" s="163">
        <v>0.0</v>
      </c>
      <c r="AA64" s="163">
        <v>0.0</v>
      </c>
      <c r="AB64" s="163">
        <v>0.0</v>
      </c>
      <c r="AC64" s="163">
        <v>0.0</v>
      </c>
      <c r="AD64" s="163">
        <v>0.0</v>
      </c>
      <c r="AE64" s="163">
        <v>0.0</v>
      </c>
      <c r="AF64" s="163">
        <v>0.0</v>
      </c>
      <c r="AG64" s="163">
        <v>3.0</v>
      </c>
      <c r="AH64" s="163">
        <v>4.0</v>
      </c>
      <c r="AI64" s="163">
        <v>0.0</v>
      </c>
      <c r="AJ64" s="163">
        <v>0.0</v>
      </c>
      <c r="AK64" s="163">
        <v>0.0</v>
      </c>
      <c r="AL64" s="163">
        <v>0.0</v>
      </c>
      <c r="AM64" s="163">
        <v>0.0</v>
      </c>
      <c r="AN64" s="163">
        <v>0.0</v>
      </c>
      <c r="AO64" s="163">
        <v>0.0</v>
      </c>
      <c r="AP64" s="163">
        <v>0.0</v>
      </c>
      <c r="AQ64" s="163">
        <v>0.0</v>
      </c>
      <c r="AR64" s="163">
        <v>0.0</v>
      </c>
      <c r="AS64" s="163">
        <v>0.0</v>
      </c>
      <c r="AT64" s="139">
        <f t="shared" si="4"/>
        <v>4.0</v>
      </c>
      <c r="AU64" s="139">
        <f t="shared" si="232"/>
        <v>4.0</v>
      </c>
      <c r="AV64" s="139">
        <f t="shared" si="6"/>
        <v>4.4</v>
      </c>
      <c r="AW64" s="173">
        <f t="shared" si="234"/>
        <v>0.622222222222222</v>
      </c>
      <c r="AX64" s="173">
        <f t="shared" si="235"/>
        <v>0.711111111111111</v>
      </c>
      <c r="AY64" s="173">
        <f t="shared" si="236"/>
        <v>0.711111111111111</v>
      </c>
      <c r="AZ64" s="173">
        <f t="shared" si="237"/>
        <v>0.622222222222222</v>
      </c>
      <c r="BA64" s="173">
        <f t="shared" si="238"/>
        <v>0.622222222222222</v>
      </c>
      <c r="BB64" s="173">
        <f t="shared" si="239"/>
        <v>0.711111111111111</v>
      </c>
      <c r="BC64" s="166">
        <f t="shared" si="240"/>
        <v>4.0</v>
      </c>
      <c r="BD64" s="123">
        <f>VLOOKUP(C64,SOHFEB23,3,false)</f>
        <v>0.0</v>
      </c>
      <c r="BE64" s="167"/>
      <c r="BF64" s="124">
        <f t="shared" si="16"/>
        <v>0.0</v>
      </c>
      <c r="BG64" s="168"/>
      <c r="BH64" s="168">
        <f t="shared" ref="BH64:BH77" si="262">BD64+BG64-BC64</f>
        <v>-4.0</v>
      </c>
      <c r="BI64" s="123"/>
      <c r="BJ64" s="170"/>
      <c r="BK64" s="36" t="s">
        <v>73</v>
      </c>
      <c r="BL64" s="36">
        <f t="shared" ref="BL64:BL77" si="263">BD64</f>
        <v>0.0</v>
      </c>
      <c r="BM64" s="168"/>
      <c r="BN64" s="168">
        <f t="shared" ref="BN64:BN77" si="264">AW64</f>
        <v>0.622222222222222</v>
      </c>
      <c r="BO64" s="168"/>
      <c r="BP64" s="168">
        <f t="shared" si="243"/>
        <v>-0.622222222222222</v>
      </c>
      <c r="BQ64" s="126">
        <f t="shared" si="244"/>
        <v>0.0</v>
      </c>
      <c r="BR64" s="168">
        <f t="shared" ref="BR64:BR77" si="265">AX64</f>
        <v>0.711111111111111</v>
      </c>
      <c r="BS64" s="123"/>
      <c r="BT64" s="168">
        <f t="shared" ref="BT64:BT77" si="266">BP64-BR64+BS64</f>
        <v>-1.33333333333333</v>
      </c>
      <c r="BU64" s="126">
        <f t="shared" si="247"/>
        <v>0.0</v>
      </c>
      <c r="BV64" s="168">
        <f t="shared" ref="BV64:BV77" si="267">AY64</f>
        <v>0.711111111111111</v>
      </c>
      <c r="BW64" s="168"/>
      <c r="BX64" s="168">
        <f t="shared" ref="BX64:BX77" si="268">BT64-BV64+BW64</f>
        <v>-2.04444444444444</v>
      </c>
      <c r="BY64" s="126">
        <f t="shared" si="250"/>
        <v>0.0</v>
      </c>
      <c r="BZ64" s="168">
        <f t="shared" ref="BZ64:BZ77" si="269">AZ64</f>
        <v>0.622222222222222</v>
      </c>
      <c r="CA64" s="168"/>
      <c r="CB64" s="168">
        <f t="shared" ref="CB64:CB77" si="270">BX64-BZ64+CA64</f>
        <v>-2.66666666666666</v>
      </c>
      <c r="CC64" s="126">
        <f t="shared" si="253"/>
        <v>0.0</v>
      </c>
      <c r="CD64" s="168">
        <f t="shared" ref="CD64:CD77" si="271">BA64</f>
        <v>0.622222222222222</v>
      </c>
      <c r="CE64" s="168"/>
      <c r="CF64" s="168">
        <f t="shared" ref="CF64:CF77" si="272">CB64-CD64+CE64</f>
        <v>-3.28888888888888</v>
      </c>
      <c r="CG64" s="126">
        <f t="shared" si="256"/>
        <v>0.0</v>
      </c>
      <c r="CH64" s="168">
        <f t="shared" ref="CH64:CH77" si="273">BB64</f>
        <v>0.711111111111111</v>
      </c>
      <c r="CI64" s="168"/>
      <c r="CJ64" s="168">
        <f t="shared" ref="CJ64:CJ77" si="274">CF64-CH64+CI64</f>
        <v>-3.99999999999999</v>
      </c>
      <c r="CK64" s="126">
        <f t="shared" si="259"/>
        <v>0.0</v>
      </c>
      <c r="CL64" s="36">
        <f t="shared" ref="CL64:CL77" si="275">CJ64*-1</f>
        <v>3.99999999999999</v>
      </c>
      <c r="CM64" s="36">
        <f t="shared" ref="CM64:CM77" si="276">CL64/6</f>
        <v>0.666666666666665</v>
      </c>
      <c r="CN64" s="36">
        <f t="shared" ref="CN64:CN77" si="277">ROUNDUP(CM64,0)</f>
        <v>1.0</v>
      </c>
      <c r="CO64" s="123">
        <f t="shared" ref="CO64:CO77" si="278">CN64*6</f>
        <v>6.0</v>
      </c>
      <c r="CR64" s="123">
        <f>BX64</f>
        <v>-2.04444444444444</v>
      </c>
      <c r="CS64" s="168">
        <f t="shared" si="55"/>
        <v>0.340740740740738</v>
      </c>
      <c r="CT64" s="36">
        <f t="shared" si="56"/>
        <v>1.0</v>
      </c>
      <c r="CU64" s="123">
        <f t="shared" si="57"/>
        <v>6.0</v>
      </c>
      <c r="CW64" s="172">
        <f t="shared" ref="CW64:CW68" si="280">CB64</f>
        <v>-2.66666666666666</v>
      </c>
      <c r="CX64" s="168">
        <f t="shared" ref="CX64:CX68" si="281">(CW64/6)*-1</f>
        <v>0.444444444444443</v>
      </c>
      <c r="CY64" s="36">
        <f t="shared" ref="CY64:CY68" si="282">ROUNDUP(CX64,0)</f>
        <v>1.0</v>
      </c>
      <c r="CZ64" s="123">
        <f t="shared" ref="CZ64:CZ68" si="283">CY64*6</f>
        <v>6.0</v>
      </c>
      <c r="DB64" s="172">
        <f t="shared" ref="DB64:DB72" si="284">CF64</f>
        <v>-3.28888888888888</v>
      </c>
      <c r="DC64" s="168">
        <f t="shared" ref="DC64:DC72" si="285">(DB64/6)*-1</f>
        <v>0.548148148148145</v>
      </c>
      <c r="DD64" s="36">
        <f t="shared" ref="DD64:DD72" si="286">ROUNDUP(DC64,0)</f>
        <v>1.0</v>
      </c>
      <c r="DE64" s="123">
        <f t="shared" ref="DE64:DE72" si="287">DD64*6</f>
        <v>6.0</v>
      </c>
    </row>
    <row r="65">
      <c r="A65" s="163" t="s">
        <v>32</v>
      </c>
      <c r="B65" s="163" t="s">
        <v>110</v>
      </c>
      <c r="C65" s="180" t="s">
        <v>120</v>
      </c>
      <c r="D65" s="164">
        <v>43101.0</v>
      </c>
      <c r="E65" s="163">
        <v>12.0</v>
      </c>
      <c r="F65" s="163">
        <v>30.0</v>
      </c>
      <c r="G65" s="163">
        <v>39.0</v>
      </c>
      <c r="H65" s="163">
        <v>18.0</v>
      </c>
      <c r="I65" s="163">
        <v>18.0</v>
      </c>
      <c r="J65" s="163">
        <v>27.0</v>
      </c>
      <c r="K65" s="163">
        <v>18.0</v>
      </c>
      <c r="L65" s="163">
        <v>21.0</v>
      </c>
      <c r="M65" s="163">
        <v>24.0</v>
      </c>
      <c r="N65" s="163">
        <v>15.0</v>
      </c>
      <c r="O65" s="163">
        <v>34.0</v>
      </c>
      <c r="P65" s="163">
        <v>24.0</v>
      </c>
      <c r="Q65" s="163">
        <v>15.0</v>
      </c>
      <c r="R65" s="163">
        <v>21.0</v>
      </c>
      <c r="S65" s="163">
        <v>42.0</v>
      </c>
      <c r="T65" s="163">
        <v>12.0</v>
      </c>
      <c r="U65" s="163">
        <v>30.0</v>
      </c>
      <c r="V65" s="163">
        <v>39.0</v>
      </c>
      <c r="W65" s="163">
        <v>42.0</v>
      </c>
      <c r="X65" s="163">
        <v>22.0</v>
      </c>
      <c r="Y65" s="163">
        <v>21.0</v>
      </c>
      <c r="Z65" s="163">
        <v>36.0</v>
      </c>
      <c r="AA65" s="163">
        <v>33.0</v>
      </c>
      <c r="AB65" s="163">
        <v>12.0</v>
      </c>
      <c r="AC65" s="163">
        <v>30.0</v>
      </c>
      <c r="AD65" s="163">
        <v>36.0</v>
      </c>
      <c r="AE65" s="163">
        <v>27.0</v>
      </c>
      <c r="AF65" s="163">
        <v>27.0</v>
      </c>
      <c r="AG65" s="163">
        <v>24.0</v>
      </c>
      <c r="AH65" s="163">
        <v>9.0</v>
      </c>
      <c r="AI65" s="163">
        <v>6.0</v>
      </c>
      <c r="AJ65" s="163">
        <v>39.0</v>
      </c>
      <c r="AK65" s="163">
        <v>24.0</v>
      </c>
      <c r="AL65" s="163">
        <v>27.0</v>
      </c>
      <c r="AM65" s="163">
        <v>16.0</v>
      </c>
      <c r="AN65" s="163">
        <v>18.0</v>
      </c>
      <c r="AO65" s="163">
        <v>36.0</v>
      </c>
      <c r="AP65" s="163">
        <v>6.0</v>
      </c>
      <c r="AQ65" s="163">
        <v>24.0</v>
      </c>
      <c r="AR65" s="163">
        <v>15.0</v>
      </c>
      <c r="AS65" s="163">
        <v>29.0</v>
      </c>
      <c r="AT65" s="139">
        <f t="shared" si="4"/>
        <v>249.0</v>
      </c>
      <c r="AU65" s="139">
        <f t="shared" si="232"/>
        <v>121.0</v>
      </c>
      <c r="AV65" s="139">
        <f t="shared" si="6"/>
        <v>133.1</v>
      </c>
      <c r="AW65" s="36">
        <f t="shared" ref="AW65:AW69" si="288">AV65*$AW$4/$AV$4+3*$AW$63</f>
        <v>25.8222222222222</v>
      </c>
      <c r="AX65" s="36">
        <f t="shared" ref="AX65:AX69" si="289">AV65*$AX$4/$AV$4+3*$AX$63</f>
        <v>29.5111111111111</v>
      </c>
      <c r="AY65" s="36">
        <f t="shared" ref="AY65:AY69" si="290">AV65*$AY$4/$AV$4+3*$AY$63</f>
        <v>29.5111111111111</v>
      </c>
      <c r="AZ65" s="36">
        <f t="shared" ref="AZ65:AZ69" si="291">AV65*$AZ$4/$AV$4+3*$AZ$63</f>
        <v>25.8222222222222</v>
      </c>
      <c r="BA65" s="36">
        <f t="shared" ref="BA65:BA69" si="292">AV65*$BA$4/$AV$4+3*$BA$63</f>
        <v>25.8222222222222</v>
      </c>
      <c r="BB65" s="36">
        <f t="shared" ref="BB65:BB69" si="293">AV65*$BB$4/$AV$4+3*$BB$63</f>
        <v>29.5111111111111</v>
      </c>
      <c r="BC65" s="166">
        <f t="shared" si="240"/>
        <v>166.0</v>
      </c>
      <c r="BD65" s="123">
        <f>VLOOKUP(C65,SOHFEB23,3,false)</f>
        <v>107.0</v>
      </c>
      <c r="BE65" s="167">
        <f>VLOOKUP(D65,VALUEFEB23,4,false)</f>
        <v>2.7713</v>
      </c>
      <c r="BF65" s="124">
        <f t="shared" si="16"/>
        <v>296.5291</v>
      </c>
      <c r="BG65" s="168"/>
      <c r="BH65" s="168">
        <f t="shared" si="262"/>
        <v>-59.0</v>
      </c>
      <c r="BI65" s="123"/>
      <c r="BJ65" s="170"/>
      <c r="BK65" s="36" t="s">
        <v>4</v>
      </c>
      <c r="BL65" s="36">
        <f t="shared" si="263"/>
        <v>107.0</v>
      </c>
      <c r="BM65" s="168"/>
      <c r="BN65" s="168">
        <f t="shared" si="264"/>
        <v>25.8222222222222</v>
      </c>
      <c r="BO65" s="168"/>
      <c r="BP65" s="168">
        <f t="shared" si="243"/>
        <v>81.1777777777778</v>
      </c>
      <c r="BQ65" s="126">
        <f t="shared" si="244"/>
        <v>224.967975555556</v>
      </c>
      <c r="BR65" s="168">
        <f t="shared" si="265"/>
        <v>29.5111111111111</v>
      </c>
      <c r="BS65" s="123"/>
      <c r="BT65" s="168">
        <f t="shared" si="266"/>
        <v>51.6666666666667</v>
      </c>
      <c r="BU65" s="126">
        <f t="shared" si="247"/>
        <v>143.183833333333</v>
      </c>
      <c r="BV65" s="168">
        <f t="shared" si="267"/>
        <v>29.5111111111111</v>
      </c>
      <c r="BW65" s="168"/>
      <c r="BX65" s="168">
        <f t="shared" si="268"/>
        <v>22.1555555555556</v>
      </c>
      <c r="BY65" s="126">
        <f t="shared" si="250"/>
        <v>61.3996911111112</v>
      </c>
      <c r="BZ65" s="168">
        <f t="shared" si="269"/>
        <v>25.8222222222222</v>
      </c>
      <c r="CA65" s="168"/>
      <c r="CB65" s="168">
        <f t="shared" si="270"/>
        <v>-3.6666666666666</v>
      </c>
      <c r="CC65" s="126">
        <f t="shared" si="253"/>
        <v>-10.1614333333331</v>
      </c>
      <c r="CD65" s="168">
        <f t="shared" si="271"/>
        <v>25.8222222222222</v>
      </c>
      <c r="CE65" s="168"/>
      <c r="CF65" s="168">
        <f t="shared" si="272"/>
        <v>-29.4888888888888</v>
      </c>
      <c r="CG65" s="126">
        <f t="shared" si="256"/>
        <v>-81.7225577777775</v>
      </c>
      <c r="CH65" s="168">
        <f t="shared" si="273"/>
        <v>29.5111111111111</v>
      </c>
      <c r="CI65" s="168"/>
      <c r="CJ65" s="168">
        <f t="shared" si="274"/>
        <v>-58.9999999999999</v>
      </c>
      <c r="CK65" s="126">
        <f t="shared" si="259"/>
        <v>-163.506699999998</v>
      </c>
      <c r="CL65" s="36">
        <f t="shared" si="275"/>
        <v>58.9999999999999</v>
      </c>
      <c r="CM65" s="36">
        <f t="shared" si="276"/>
        <v>9.83333333333331</v>
      </c>
      <c r="CN65" s="36">
        <f t="shared" si="277"/>
        <v>10.0</v>
      </c>
      <c r="CO65" s="123">
        <f t="shared" si="278"/>
        <v>60.0</v>
      </c>
      <c r="CR65" s="123">
        <f t="shared" ref="CR65:CR66" si="295">CF65</f>
        <v>-29.4888888888888</v>
      </c>
      <c r="CS65" s="168">
        <f t="shared" si="55"/>
        <v>4.91481481481478</v>
      </c>
      <c r="CT65" s="36">
        <f t="shared" si="56"/>
        <v>5.0</v>
      </c>
      <c r="CU65" s="123">
        <f t="shared" si="57"/>
        <v>30.0</v>
      </c>
      <c r="CW65" s="172">
        <f t="shared" si="280"/>
        <v>-3.6666666666666</v>
      </c>
      <c r="CX65" s="168">
        <f t="shared" si="281"/>
        <v>0.6111111111111</v>
      </c>
      <c r="CY65" s="36">
        <f t="shared" si="282"/>
        <v>1.0</v>
      </c>
      <c r="CZ65" s="123">
        <f t="shared" si="283"/>
        <v>6.0</v>
      </c>
      <c r="DB65" s="172">
        <f t="shared" si="284"/>
        <v>-29.4888888888888</v>
      </c>
      <c r="DC65" s="168">
        <f t="shared" si="285"/>
        <v>4.91481481481478</v>
      </c>
      <c r="DD65" s="36">
        <f t="shared" si="286"/>
        <v>5.0</v>
      </c>
      <c r="DE65" s="123">
        <f t="shared" si="287"/>
        <v>30.0</v>
      </c>
    </row>
    <row r="66">
      <c r="A66" s="163" t="s">
        <v>32</v>
      </c>
      <c r="B66" s="163" t="s">
        <v>110</v>
      </c>
      <c r="C66" s="180" t="s">
        <v>121</v>
      </c>
      <c r="D66" s="164">
        <v>43104.0</v>
      </c>
      <c r="E66" s="163">
        <v>15.0</v>
      </c>
      <c r="F66" s="163">
        <v>6.0</v>
      </c>
      <c r="G66" s="163">
        <v>39.0</v>
      </c>
      <c r="H66" s="163">
        <v>15.0</v>
      </c>
      <c r="I66" s="163">
        <v>30.0</v>
      </c>
      <c r="J66" s="163">
        <v>30.0</v>
      </c>
      <c r="K66" s="163">
        <v>39.0</v>
      </c>
      <c r="L66" s="163">
        <v>12.0</v>
      </c>
      <c r="M66" s="163">
        <v>27.0</v>
      </c>
      <c r="N66" s="163">
        <v>24.0</v>
      </c>
      <c r="O66" s="163">
        <v>27.0</v>
      </c>
      <c r="P66" s="163">
        <v>24.0</v>
      </c>
      <c r="Q66" s="163">
        <v>15.0</v>
      </c>
      <c r="R66" s="163">
        <v>15.0</v>
      </c>
      <c r="S66" s="163">
        <v>24.0</v>
      </c>
      <c r="T66" s="163">
        <v>12.0</v>
      </c>
      <c r="U66" s="163">
        <v>21.0</v>
      </c>
      <c r="V66" s="163">
        <v>36.0</v>
      </c>
      <c r="W66" s="163">
        <v>21.0</v>
      </c>
      <c r="X66" s="163">
        <v>19.0</v>
      </c>
      <c r="Y66" s="163">
        <v>5.0</v>
      </c>
      <c r="Z66" s="163">
        <v>0.0</v>
      </c>
      <c r="AA66" s="163">
        <v>0.0</v>
      </c>
      <c r="AB66" s="163">
        <v>3.0</v>
      </c>
      <c r="AC66" s="163">
        <v>0.0</v>
      </c>
      <c r="AD66" s="163">
        <v>12.0</v>
      </c>
      <c r="AE66" s="163">
        <v>3.0</v>
      </c>
      <c r="AF66" s="163">
        <v>6.0</v>
      </c>
      <c r="AG66" s="163">
        <v>0.0</v>
      </c>
      <c r="AH66" s="163">
        <v>24.0</v>
      </c>
      <c r="AI66" s="163">
        <v>0.0</v>
      </c>
      <c r="AJ66" s="163">
        <v>3.0</v>
      </c>
      <c r="AK66" s="163">
        <v>3.0</v>
      </c>
      <c r="AL66" s="163">
        <v>6.0</v>
      </c>
      <c r="AM66" s="163">
        <v>0.0</v>
      </c>
      <c r="AN66" s="163">
        <v>6.0</v>
      </c>
      <c r="AO66" s="163">
        <v>30.0</v>
      </c>
      <c r="AP66" s="163">
        <v>3.0</v>
      </c>
      <c r="AQ66" s="163">
        <v>6.0</v>
      </c>
      <c r="AR66" s="163">
        <v>15.0</v>
      </c>
      <c r="AS66" s="163">
        <v>15.0</v>
      </c>
      <c r="AT66" s="139">
        <f t="shared" si="4"/>
        <v>111.0</v>
      </c>
      <c r="AU66" s="139">
        <f t="shared" si="232"/>
        <v>36.0</v>
      </c>
      <c r="AV66" s="139">
        <f t="shared" si="6"/>
        <v>39.6</v>
      </c>
      <c r="AW66" s="36">
        <f t="shared" si="288"/>
        <v>12.6</v>
      </c>
      <c r="AX66" s="36">
        <f t="shared" si="289"/>
        <v>14.4</v>
      </c>
      <c r="AY66" s="36">
        <f t="shared" si="290"/>
        <v>14.4</v>
      </c>
      <c r="AZ66" s="36">
        <f t="shared" si="291"/>
        <v>12.6</v>
      </c>
      <c r="BA66" s="36">
        <f t="shared" si="292"/>
        <v>12.6</v>
      </c>
      <c r="BB66" s="36">
        <f t="shared" si="293"/>
        <v>14.4</v>
      </c>
      <c r="BC66" s="166">
        <f t="shared" si="240"/>
        <v>81.0</v>
      </c>
      <c r="BD66" s="123">
        <f>VLOOKUP(C66,SOHFEB23,3,false)</f>
        <v>42.0</v>
      </c>
      <c r="BE66" s="167">
        <f>VLOOKUP(D66,VALUEFEB23,4,false)</f>
        <v>2.7719</v>
      </c>
      <c r="BF66" s="124">
        <f t="shared" si="16"/>
        <v>116.4198</v>
      </c>
      <c r="BG66" s="168"/>
      <c r="BH66" s="168">
        <f t="shared" si="262"/>
        <v>-39.0</v>
      </c>
      <c r="BI66" s="123"/>
      <c r="BJ66" s="170"/>
      <c r="BK66" s="36" t="s">
        <v>4</v>
      </c>
      <c r="BL66" s="36">
        <f t="shared" si="263"/>
        <v>42.0</v>
      </c>
      <c r="BM66" s="168"/>
      <c r="BN66" s="168">
        <f t="shared" si="264"/>
        <v>12.6</v>
      </c>
      <c r="BO66" s="168"/>
      <c r="BP66" s="168">
        <f t="shared" si="243"/>
        <v>29.4</v>
      </c>
      <c r="BQ66" s="126">
        <f t="shared" si="244"/>
        <v>81.49386</v>
      </c>
      <c r="BR66" s="168">
        <f t="shared" si="265"/>
        <v>14.4</v>
      </c>
      <c r="BS66" s="123"/>
      <c r="BT66" s="168">
        <f t="shared" si="266"/>
        <v>15.0</v>
      </c>
      <c r="BU66" s="126">
        <f t="shared" si="247"/>
        <v>41.5785</v>
      </c>
      <c r="BV66" s="168">
        <f t="shared" si="267"/>
        <v>14.4</v>
      </c>
      <c r="BW66" s="168"/>
      <c r="BX66" s="168">
        <f t="shared" si="268"/>
        <v>0.6</v>
      </c>
      <c r="BY66" s="126">
        <f t="shared" si="250"/>
        <v>1.66314</v>
      </c>
      <c r="BZ66" s="168">
        <f t="shared" si="269"/>
        <v>12.6</v>
      </c>
      <c r="CA66" s="168"/>
      <c r="CB66" s="168">
        <f t="shared" si="270"/>
        <v>-12.0</v>
      </c>
      <c r="CC66" s="126">
        <f t="shared" si="253"/>
        <v>-33.2628</v>
      </c>
      <c r="CD66" s="168">
        <f t="shared" si="271"/>
        <v>12.6</v>
      </c>
      <c r="CE66" s="168"/>
      <c r="CF66" s="168">
        <f t="shared" si="272"/>
        <v>-24.6</v>
      </c>
      <c r="CG66" s="126">
        <f t="shared" si="256"/>
        <v>-68.18874</v>
      </c>
      <c r="CH66" s="168">
        <f t="shared" si="273"/>
        <v>14.4</v>
      </c>
      <c r="CI66" s="168"/>
      <c r="CJ66" s="168">
        <f t="shared" si="274"/>
        <v>-39.0</v>
      </c>
      <c r="CK66" s="126">
        <f t="shared" si="259"/>
        <v>-108.1041</v>
      </c>
      <c r="CL66" s="36">
        <f t="shared" si="275"/>
        <v>39.0</v>
      </c>
      <c r="CM66" s="36">
        <f t="shared" si="276"/>
        <v>6.5</v>
      </c>
      <c r="CN66" s="36">
        <f t="shared" si="277"/>
        <v>7.0</v>
      </c>
      <c r="CO66" s="123">
        <f t="shared" si="278"/>
        <v>42.0</v>
      </c>
      <c r="CR66" s="123">
        <f t="shared" si="295"/>
        <v>-24.6</v>
      </c>
      <c r="CS66" s="168">
        <f t="shared" si="55"/>
        <v>4.1</v>
      </c>
      <c r="CT66" s="36">
        <f t="shared" si="56"/>
        <v>5.0</v>
      </c>
      <c r="CU66" s="123">
        <f t="shared" si="57"/>
        <v>30.0</v>
      </c>
      <c r="CW66" s="172">
        <f t="shared" si="280"/>
        <v>-12.0</v>
      </c>
      <c r="CX66" s="168">
        <f t="shared" si="281"/>
        <v>2.0</v>
      </c>
      <c r="CY66" s="36">
        <f t="shared" si="282"/>
        <v>2.0</v>
      </c>
      <c r="CZ66" s="123">
        <f t="shared" si="283"/>
        <v>12.0</v>
      </c>
      <c r="DB66" s="172">
        <f t="shared" si="284"/>
        <v>-24.6</v>
      </c>
      <c r="DC66" s="168">
        <f t="shared" si="285"/>
        <v>4.1</v>
      </c>
      <c r="DD66" s="36">
        <f t="shared" si="286"/>
        <v>5.0</v>
      </c>
      <c r="DE66" s="123">
        <f t="shared" si="287"/>
        <v>30.0</v>
      </c>
    </row>
    <row r="67">
      <c r="A67" s="163" t="s">
        <v>32</v>
      </c>
      <c r="B67" s="163" t="s">
        <v>110</v>
      </c>
      <c r="C67" s="180" t="s">
        <v>122</v>
      </c>
      <c r="D67" s="164">
        <v>43105.0</v>
      </c>
      <c r="E67" s="163">
        <v>9.0</v>
      </c>
      <c r="F67" s="163">
        <v>0.0</v>
      </c>
      <c r="G67" s="163">
        <v>48.0</v>
      </c>
      <c r="H67" s="163">
        <v>18.0</v>
      </c>
      <c r="I67" s="163">
        <v>27.0</v>
      </c>
      <c r="J67" s="163">
        <v>24.0</v>
      </c>
      <c r="K67" s="163">
        <v>27.0</v>
      </c>
      <c r="L67" s="163">
        <v>18.0</v>
      </c>
      <c r="M67" s="163">
        <v>21.0</v>
      </c>
      <c r="N67" s="163">
        <v>9.0</v>
      </c>
      <c r="O67" s="163">
        <v>21.0</v>
      </c>
      <c r="P67" s="163">
        <v>24.0</v>
      </c>
      <c r="Q67" s="163">
        <v>15.0</v>
      </c>
      <c r="R67" s="163">
        <v>24.0</v>
      </c>
      <c r="S67" s="163">
        <v>36.0</v>
      </c>
      <c r="T67" s="163">
        <v>15.0</v>
      </c>
      <c r="U67" s="163">
        <v>24.0</v>
      </c>
      <c r="V67" s="163">
        <v>30.0</v>
      </c>
      <c r="W67" s="163">
        <v>34.0</v>
      </c>
      <c r="X67" s="163">
        <v>19.0</v>
      </c>
      <c r="Y67" s="163">
        <v>24.0</v>
      </c>
      <c r="Z67" s="163">
        <v>21.0</v>
      </c>
      <c r="AA67" s="163">
        <v>27.0</v>
      </c>
      <c r="AB67" s="163">
        <v>21.0</v>
      </c>
      <c r="AC67" s="163">
        <v>42.0</v>
      </c>
      <c r="AD67" s="163">
        <v>24.0</v>
      </c>
      <c r="AE67" s="163">
        <v>33.0</v>
      </c>
      <c r="AF67" s="174">
        <f t="shared" ref="AF67:AF68" si="296">T67</f>
        <v>15.0</v>
      </c>
      <c r="AG67" s="163">
        <f t="shared" ref="AG67:AG68" si="297">U67</f>
        <v>24.0</v>
      </c>
      <c r="AH67" s="163">
        <f t="shared" ref="AH67:AH70" si="298">V67</f>
        <v>30.0</v>
      </c>
      <c r="AI67" s="163">
        <f t="shared" ref="AI67:AI70" si="299">W67</f>
        <v>34.0</v>
      </c>
      <c r="AJ67" s="163">
        <v>37.0</v>
      </c>
      <c r="AK67" s="163">
        <v>15.0</v>
      </c>
      <c r="AL67" s="163">
        <v>45.0</v>
      </c>
      <c r="AM67" s="163">
        <v>8.0</v>
      </c>
      <c r="AN67" s="163">
        <v>0.0</v>
      </c>
      <c r="AO67" s="163">
        <v>24.0</v>
      </c>
      <c r="AP67" s="163">
        <v>12.0</v>
      </c>
      <c r="AQ67" s="163">
        <v>24.0</v>
      </c>
      <c r="AR67" s="163">
        <v>24.0</v>
      </c>
      <c r="AS67" s="163">
        <v>22.0</v>
      </c>
      <c r="AT67" s="139">
        <f t="shared" si="4"/>
        <v>275.0</v>
      </c>
      <c r="AU67" s="139">
        <f t="shared" si="232"/>
        <v>169.0</v>
      </c>
      <c r="AV67" s="139">
        <f t="shared" si="6"/>
        <v>185.9</v>
      </c>
      <c r="AW67" s="36">
        <f t="shared" si="288"/>
        <v>33.2888888888889</v>
      </c>
      <c r="AX67" s="36">
        <f t="shared" si="289"/>
        <v>38.0444444444444</v>
      </c>
      <c r="AY67" s="36">
        <f t="shared" si="290"/>
        <v>38.0444444444444</v>
      </c>
      <c r="AZ67" s="36">
        <f t="shared" si="291"/>
        <v>33.2888888888889</v>
      </c>
      <c r="BA67" s="36">
        <f t="shared" si="292"/>
        <v>33.2888888888889</v>
      </c>
      <c r="BB67" s="36">
        <f t="shared" si="293"/>
        <v>38.0444444444444</v>
      </c>
      <c r="BC67" s="166">
        <f t="shared" si="240"/>
        <v>214.0</v>
      </c>
      <c r="BD67" s="123">
        <f>VLOOKUP(C67,SOHFEB23,3,false)</f>
        <v>78.0</v>
      </c>
      <c r="BE67" s="167">
        <f>VLOOKUP(D67,VALUEFEB23,4,false)</f>
        <v>2.6688</v>
      </c>
      <c r="BF67" s="124">
        <f t="shared" si="16"/>
        <v>208.1664</v>
      </c>
      <c r="BG67" s="168"/>
      <c r="BH67" s="168">
        <f t="shared" si="262"/>
        <v>-136.0</v>
      </c>
      <c r="BI67" s="123"/>
      <c r="BJ67" s="170"/>
      <c r="BK67" s="36" t="s">
        <v>520</v>
      </c>
      <c r="BL67" s="36">
        <f t="shared" si="263"/>
        <v>78.0</v>
      </c>
      <c r="BM67" s="168"/>
      <c r="BN67" s="168">
        <f t="shared" si="264"/>
        <v>33.2888888888889</v>
      </c>
      <c r="BO67" s="168"/>
      <c r="BP67" s="168">
        <f t="shared" si="243"/>
        <v>44.7111111111111</v>
      </c>
      <c r="BQ67" s="126">
        <f t="shared" si="244"/>
        <v>119.325013333333</v>
      </c>
      <c r="BR67" s="168">
        <f t="shared" si="265"/>
        <v>38.0444444444444</v>
      </c>
      <c r="BS67" s="123"/>
      <c r="BT67" s="168">
        <f t="shared" si="266"/>
        <v>6.6666666666667</v>
      </c>
      <c r="BU67" s="126">
        <f t="shared" si="247"/>
        <v>17.792</v>
      </c>
      <c r="BV67" s="168">
        <f t="shared" si="267"/>
        <v>38.0444444444444</v>
      </c>
      <c r="BW67" s="168"/>
      <c r="BX67" s="168">
        <f t="shared" si="268"/>
        <v>-31.3777777777777</v>
      </c>
      <c r="BY67" s="126">
        <f t="shared" si="250"/>
        <v>-83.7410133333331</v>
      </c>
      <c r="BZ67" s="168">
        <f t="shared" si="269"/>
        <v>33.2888888888889</v>
      </c>
      <c r="CA67" s="168"/>
      <c r="CB67" s="168">
        <f t="shared" si="270"/>
        <v>-64.6666666666666</v>
      </c>
      <c r="CC67" s="126">
        <f t="shared" si="253"/>
        <v>-172.58239999998</v>
      </c>
      <c r="CD67" s="168">
        <f t="shared" si="271"/>
        <v>33.2888888888889</v>
      </c>
      <c r="CE67" s="168"/>
      <c r="CF67" s="168">
        <f t="shared" si="272"/>
        <v>-97.9555555555554</v>
      </c>
      <c r="CG67" s="126">
        <f t="shared" si="256"/>
        <v>-261.423786666666</v>
      </c>
      <c r="CH67" s="168">
        <f t="shared" si="273"/>
        <v>38.0444444444444</v>
      </c>
      <c r="CI67" s="168"/>
      <c r="CJ67" s="168">
        <f t="shared" si="274"/>
        <v>-135.999999999998</v>
      </c>
      <c r="CK67" s="126">
        <f t="shared" si="259"/>
        <v>-362.956799999994</v>
      </c>
      <c r="CL67" s="36">
        <f t="shared" si="275"/>
        <v>135.999999999998</v>
      </c>
      <c r="CM67" s="36">
        <f t="shared" si="276"/>
        <v>22.6666666666663</v>
      </c>
      <c r="CN67" s="36">
        <f t="shared" si="277"/>
        <v>23.0</v>
      </c>
      <c r="CO67" s="123">
        <f t="shared" si="278"/>
        <v>138.0</v>
      </c>
      <c r="CR67" s="123">
        <f t="shared" ref="CR67:CR68" si="300">BX67</f>
        <v>-31.3777777777777</v>
      </c>
      <c r="CS67" s="168">
        <f t="shared" si="55"/>
        <v>5.22962962962961</v>
      </c>
      <c r="CT67" s="36">
        <f t="shared" si="56"/>
        <v>6.0</v>
      </c>
      <c r="CU67" s="123">
        <f t="shared" si="57"/>
        <v>36.0</v>
      </c>
      <c r="CW67" s="172">
        <f t="shared" si="280"/>
        <v>-64.6666666666666</v>
      </c>
      <c r="CX67" s="168">
        <f t="shared" si="281"/>
        <v>10.777777777776</v>
      </c>
      <c r="CY67" s="36">
        <f t="shared" si="282"/>
        <v>11.0</v>
      </c>
      <c r="CZ67" s="123">
        <f t="shared" si="283"/>
        <v>66.0</v>
      </c>
      <c r="DB67" s="172">
        <f t="shared" si="284"/>
        <v>-97.9555555555554</v>
      </c>
      <c r="DC67" s="168">
        <f t="shared" si="285"/>
        <v>16.3259259259259</v>
      </c>
      <c r="DD67" s="36">
        <f t="shared" si="286"/>
        <v>17.0</v>
      </c>
      <c r="DE67" s="123">
        <f t="shared" si="287"/>
        <v>102.0</v>
      </c>
    </row>
    <row r="68">
      <c r="A68" s="163" t="s">
        <v>32</v>
      </c>
      <c r="B68" s="163" t="s">
        <v>110</v>
      </c>
      <c r="C68" s="180" t="s">
        <v>123</v>
      </c>
      <c r="D68" s="164">
        <v>43106.0</v>
      </c>
      <c r="E68" s="163">
        <v>18.0</v>
      </c>
      <c r="F68" s="163">
        <v>24.0</v>
      </c>
      <c r="G68" s="163">
        <v>45.0</v>
      </c>
      <c r="H68" s="163">
        <v>24.0</v>
      </c>
      <c r="I68" s="163">
        <v>39.0</v>
      </c>
      <c r="J68" s="163">
        <v>18.0</v>
      </c>
      <c r="K68" s="163">
        <v>33.0</v>
      </c>
      <c r="L68" s="163">
        <v>28.0</v>
      </c>
      <c r="M68" s="163">
        <v>36.0</v>
      </c>
      <c r="N68" s="163">
        <v>33.0</v>
      </c>
      <c r="O68" s="163">
        <v>45.0</v>
      </c>
      <c r="P68" s="163">
        <v>36.0</v>
      </c>
      <c r="Q68" s="163">
        <v>18.0</v>
      </c>
      <c r="R68" s="163">
        <v>27.0</v>
      </c>
      <c r="S68" s="163">
        <v>39.0</v>
      </c>
      <c r="T68" s="163">
        <v>33.0</v>
      </c>
      <c r="U68" s="163">
        <v>21.0</v>
      </c>
      <c r="V68" s="163">
        <v>39.0</v>
      </c>
      <c r="W68" s="163">
        <v>45.0</v>
      </c>
      <c r="X68" s="163">
        <v>37.0</v>
      </c>
      <c r="Y68" s="163">
        <v>21.0</v>
      </c>
      <c r="Z68" s="163">
        <v>30.0</v>
      </c>
      <c r="AA68" s="163">
        <v>36.0</v>
      </c>
      <c r="AB68" s="163">
        <v>23.0</v>
      </c>
      <c r="AC68" s="163">
        <v>48.0</v>
      </c>
      <c r="AD68" s="163">
        <v>69.0</v>
      </c>
      <c r="AE68" s="163">
        <v>7.0</v>
      </c>
      <c r="AF68" s="174">
        <f t="shared" si="296"/>
        <v>33.0</v>
      </c>
      <c r="AG68" s="163">
        <f t="shared" si="297"/>
        <v>21.0</v>
      </c>
      <c r="AH68" s="163">
        <f t="shared" si="298"/>
        <v>39.0</v>
      </c>
      <c r="AI68" s="163">
        <f t="shared" si="299"/>
        <v>45.0</v>
      </c>
      <c r="AJ68" s="163">
        <v>33.0</v>
      </c>
      <c r="AK68" s="163">
        <v>18.0</v>
      </c>
      <c r="AL68" s="163">
        <v>15.0</v>
      </c>
      <c r="AM68" s="163">
        <v>36.0</v>
      </c>
      <c r="AN68" s="163">
        <v>24.0</v>
      </c>
      <c r="AO68" s="163">
        <v>42.0</v>
      </c>
      <c r="AP68" s="163">
        <v>30.0</v>
      </c>
      <c r="AQ68" s="163">
        <v>27.0</v>
      </c>
      <c r="AR68" s="163">
        <v>36.0</v>
      </c>
      <c r="AS68" s="163">
        <v>47.0</v>
      </c>
      <c r="AT68" s="139">
        <f t="shared" si="4"/>
        <v>392.0</v>
      </c>
      <c r="AU68" s="139">
        <f t="shared" si="232"/>
        <v>186.0</v>
      </c>
      <c r="AV68" s="139">
        <f t="shared" si="6"/>
        <v>204.6</v>
      </c>
      <c r="AW68" s="36">
        <f t="shared" si="288"/>
        <v>35.9333333333333</v>
      </c>
      <c r="AX68" s="36">
        <f t="shared" si="289"/>
        <v>41.0666666666667</v>
      </c>
      <c r="AY68" s="36">
        <f t="shared" si="290"/>
        <v>41.0666666666667</v>
      </c>
      <c r="AZ68" s="36">
        <f t="shared" si="291"/>
        <v>35.9333333333333</v>
      </c>
      <c r="BA68" s="36">
        <f t="shared" si="292"/>
        <v>35.9333333333333</v>
      </c>
      <c r="BB68" s="36">
        <f t="shared" si="293"/>
        <v>41.0666666666667</v>
      </c>
      <c r="BC68" s="166">
        <f t="shared" si="240"/>
        <v>231.0</v>
      </c>
      <c r="BD68" s="123">
        <f>VLOOKUP(C68,SOHFEB23,3,false)</f>
        <v>39.0</v>
      </c>
      <c r="BE68" s="167">
        <f>VLOOKUP(D68,VALUEFEB23,4,false)</f>
        <v>2.7726</v>
      </c>
      <c r="BF68" s="124">
        <f t="shared" si="16"/>
        <v>108.1314</v>
      </c>
      <c r="BG68" s="168"/>
      <c r="BH68" s="168">
        <f t="shared" si="262"/>
        <v>-192.0</v>
      </c>
      <c r="BI68" s="123"/>
      <c r="BJ68" s="170"/>
      <c r="BK68" s="36" t="s">
        <v>519</v>
      </c>
      <c r="BL68" s="36">
        <f t="shared" si="263"/>
        <v>39.0</v>
      </c>
      <c r="BM68" s="168"/>
      <c r="BN68" s="168">
        <f t="shared" si="264"/>
        <v>35.9333333333333</v>
      </c>
      <c r="BO68" s="168"/>
      <c r="BP68" s="168">
        <f t="shared" si="243"/>
        <v>3.0666666666667</v>
      </c>
      <c r="BQ68" s="126">
        <f t="shared" si="244"/>
        <v>8.50264000000009</v>
      </c>
      <c r="BR68" s="168">
        <f t="shared" si="265"/>
        <v>41.0666666666667</v>
      </c>
      <c r="BS68" s="123"/>
      <c r="BT68" s="168">
        <f t="shared" si="266"/>
        <v>-38.0</v>
      </c>
      <c r="BU68" s="126">
        <f t="shared" si="247"/>
        <v>-105.3588</v>
      </c>
      <c r="BV68" s="168">
        <f t="shared" si="267"/>
        <v>41.0666666666667</v>
      </c>
      <c r="BW68" s="168"/>
      <c r="BX68" s="168">
        <f t="shared" si="268"/>
        <v>-79.0666666666665</v>
      </c>
      <c r="BY68" s="126">
        <f t="shared" si="250"/>
        <v>-219.220239999998</v>
      </c>
      <c r="BZ68" s="168">
        <f t="shared" si="269"/>
        <v>35.9333333333333</v>
      </c>
      <c r="CA68" s="168"/>
      <c r="CB68" s="168">
        <f t="shared" si="270"/>
        <v>-114.9999999998</v>
      </c>
      <c r="CC68" s="126">
        <f t="shared" si="253"/>
        <v>-318.848999999444</v>
      </c>
      <c r="CD68" s="168">
        <f t="shared" si="271"/>
        <v>35.9333333333333</v>
      </c>
      <c r="CE68" s="168"/>
      <c r="CF68" s="168">
        <f t="shared" si="272"/>
        <v>-150.933333333133</v>
      </c>
      <c r="CG68" s="126">
        <f t="shared" si="256"/>
        <v>-418.477759999444</v>
      </c>
      <c r="CH68" s="168">
        <f t="shared" si="273"/>
        <v>41.0666666666667</v>
      </c>
      <c r="CI68" s="168"/>
      <c r="CJ68" s="168">
        <f t="shared" si="274"/>
        <v>-191.999999999798</v>
      </c>
      <c r="CK68" s="126">
        <f t="shared" si="259"/>
        <v>-532.33919999944</v>
      </c>
      <c r="CL68" s="36">
        <f t="shared" si="275"/>
        <v>191.999999999798</v>
      </c>
      <c r="CM68" s="36">
        <f t="shared" si="276"/>
        <v>31.9999999999663</v>
      </c>
      <c r="CN68" s="36">
        <f t="shared" si="277"/>
        <v>32.0</v>
      </c>
      <c r="CO68" s="123">
        <f t="shared" si="278"/>
        <v>192.0</v>
      </c>
      <c r="CR68" s="123">
        <f t="shared" si="300"/>
        <v>-79.0666666666665</v>
      </c>
      <c r="CS68" s="168">
        <f t="shared" si="55"/>
        <v>13.177777777776</v>
      </c>
      <c r="CT68" s="36">
        <f t="shared" si="56"/>
        <v>14.0</v>
      </c>
      <c r="CU68" s="123">
        <f t="shared" si="57"/>
        <v>84.0</v>
      </c>
      <c r="CW68" s="172">
        <f t="shared" si="280"/>
        <v>-114.9999999998</v>
      </c>
      <c r="CX68" s="168">
        <f t="shared" si="281"/>
        <v>19.1666666666333</v>
      </c>
      <c r="CY68" s="36">
        <f t="shared" si="282"/>
        <v>20.0</v>
      </c>
      <c r="CZ68" s="123">
        <f t="shared" si="283"/>
        <v>120.0</v>
      </c>
      <c r="DB68" s="172">
        <f t="shared" si="284"/>
        <v>-150.933333333133</v>
      </c>
      <c r="DC68" s="168">
        <f t="shared" si="285"/>
        <v>25.1555555555221</v>
      </c>
      <c r="DD68" s="36">
        <f t="shared" si="286"/>
        <v>26.0</v>
      </c>
      <c r="DE68" s="123">
        <f t="shared" si="287"/>
        <v>156.0</v>
      </c>
    </row>
    <row r="69">
      <c r="A69" s="163" t="s">
        <v>32</v>
      </c>
      <c r="B69" s="163" t="s">
        <v>110</v>
      </c>
      <c r="C69" s="180" t="s">
        <v>124</v>
      </c>
      <c r="D69" s="164">
        <v>43107.0</v>
      </c>
      <c r="E69" s="163">
        <v>0.0</v>
      </c>
      <c r="F69" s="163">
        <v>0.0</v>
      </c>
      <c r="G69" s="163">
        <v>0.0</v>
      </c>
      <c r="H69" s="163">
        <v>0.0</v>
      </c>
      <c r="I69" s="163">
        <v>0.0</v>
      </c>
      <c r="J69" s="163">
        <v>0.0</v>
      </c>
      <c r="K69" s="163">
        <v>0.0</v>
      </c>
      <c r="L69" s="163">
        <v>0.0</v>
      </c>
      <c r="M69" s="163">
        <v>0.0</v>
      </c>
      <c r="N69" s="163">
        <v>0.0</v>
      </c>
      <c r="O69" s="163">
        <v>0.0</v>
      </c>
      <c r="P69" s="163">
        <v>0.0</v>
      </c>
      <c r="Q69" s="163">
        <v>0.0</v>
      </c>
      <c r="R69" s="163">
        <v>12.0</v>
      </c>
      <c r="S69" s="163">
        <v>48.0</v>
      </c>
      <c r="T69" s="163">
        <v>9.0</v>
      </c>
      <c r="U69" s="163">
        <v>15.0</v>
      </c>
      <c r="V69" s="163">
        <v>12.0</v>
      </c>
      <c r="W69" s="163">
        <v>12.0</v>
      </c>
      <c r="X69" s="163">
        <v>10.0</v>
      </c>
      <c r="Y69" s="163">
        <v>24.0</v>
      </c>
      <c r="Z69" s="163">
        <v>15.0</v>
      </c>
      <c r="AA69" s="163">
        <v>15.0</v>
      </c>
      <c r="AB69" s="163">
        <v>18.0</v>
      </c>
      <c r="AC69" s="163">
        <v>27.0</v>
      </c>
      <c r="AD69" s="163">
        <v>24.0</v>
      </c>
      <c r="AE69" s="163">
        <v>12.0</v>
      </c>
      <c r="AF69" s="163">
        <v>42.0</v>
      </c>
      <c r="AG69" s="163">
        <v>27.0</v>
      </c>
      <c r="AH69" s="163">
        <f t="shared" si="298"/>
        <v>12.0</v>
      </c>
      <c r="AI69" s="163">
        <f t="shared" si="299"/>
        <v>12.0</v>
      </c>
      <c r="AJ69" s="163">
        <v>18.0</v>
      </c>
      <c r="AK69" s="163">
        <v>18.0</v>
      </c>
      <c r="AL69" s="163">
        <v>21.0</v>
      </c>
      <c r="AM69" s="163">
        <v>15.0</v>
      </c>
      <c r="AN69" s="163">
        <v>15.0</v>
      </c>
      <c r="AO69" s="163">
        <v>18.0</v>
      </c>
      <c r="AP69" s="163">
        <v>12.0</v>
      </c>
      <c r="AQ69" s="163">
        <v>27.0</v>
      </c>
      <c r="AR69" s="163">
        <v>12.0</v>
      </c>
      <c r="AS69" s="163">
        <v>11.0</v>
      </c>
      <c r="AT69" s="139">
        <f t="shared" si="4"/>
        <v>191.0</v>
      </c>
      <c r="AU69" s="139">
        <f t="shared" si="232"/>
        <v>96.0</v>
      </c>
      <c r="AV69" s="139">
        <f t="shared" si="6"/>
        <v>105.6</v>
      </c>
      <c r="AW69" s="36">
        <f t="shared" si="288"/>
        <v>21.9333333333333</v>
      </c>
      <c r="AX69" s="36">
        <f t="shared" si="289"/>
        <v>25.0666666666667</v>
      </c>
      <c r="AY69" s="36">
        <f t="shared" si="290"/>
        <v>25.0666666666667</v>
      </c>
      <c r="AZ69" s="36">
        <f t="shared" si="291"/>
        <v>21.9333333333333</v>
      </c>
      <c r="BA69" s="36">
        <f t="shared" si="292"/>
        <v>21.9333333333333</v>
      </c>
      <c r="BB69" s="36">
        <f t="shared" si="293"/>
        <v>25.0666666666667</v>
      </c>
      <c r="BC69" s="166">
        <f t="shared" si="240"/>
        <v>141.0</v>
      </c>
      <c r="BD69" s="123">
        <f>VLOOKUP(C69,SOHFEB23,3,false)</f>
        <v>105.0</v>
      </c>
      <c r="BE69" s="167">
        <f>VLOOKUP(D69,VALUEFEB23,4,false)</f>
        <v>2.7443</v>
      </c>
      <c r="BF69" s="124">
        <f t="shared" si="16"/>
        <v>288.1515</v>
      </c>
      <c r="BG69" s="168"/>
      <c r="BH69" s="168">
        <f t="shared" si="262"/>
        <v>-36.0</v>
      </c>
      <c r="BI69" s="123"/>
      <c r="BJ69" s="170"/>
      <c r="BK69" s="36" t="s">
        <v>5</v>
      </c>
      <c r="BL69" s="36">
        <f t="shared" si="263"/>
        <v>105.0</v>
      </c>
      <c r="BM69" s="168"/>
      <c r="BN69" s="168">
        <f t="shared" si="264"/>
        <v>21.9333333333333</v>
      </c>
      <c r="BO69" s="168"/>
      <c r="BP69" s="168">
        <f t="shared" si="243"/>
        <v>83.0666666666667</v>
      </c>
      <c r="BQ69" s="126">
        <f t="shared" si="244"/>
        <v>227.959853333333</v>
      </c>
      <c r="BR69" s="168">
        <f t="shared" si="265"/>
        <v>25.0666666666667</v>
      </c>
      <c r="BS69" s="123"/>
      <c r="BT69" s="168">
        <f t="shared" si="266"/>
        <v>58.0</v>
      </c>
      <c r="BU69" s="126">
        <f t="shared" si="247"/>
        <v>159.1694</v>
      </c>
      <c r="BV69" s="168">
        <f t="shared" si="267"/>
        <v>25.0666666666667</v>
      </c>
      <c r="BW69" s="168"/>
      <c r="BX69" s="168">
        <f t="shared" si="268"/>
        <v>32.9333333333333</v>
      </c>
      <c r="BY69" s="126">
        <f t="shared" si="250"/>
        <v>90.3789466666666</v>
      </c>
      <c r="BZ69" s="168">
        <f t="shared" si="269"/>
        <v>21.9333333333333</v>
      </c>
      <c r="CA69" s="168"/>
      <c r="CB69" s="168">
        <f t="shared" si="270"/>
        <v>11.0</v>
      </c>
      <c r="CC69" s="126">
        <f t="shared" si="253"/>
        <v>30.1873</v>
      </c>
      <c r="CD69" s="168">
        <f t="shared" si="271"/>
        <v>21.9333333333333</v>
      </c>
      <c r="CE69" s="168"/>
      <c r="CF69" s="168">
        <f t="shared" si="272"/>
        <v>-10.9333333333333</v>
      </c>
      <c r="CG69" s="126">
        <f t="shared" si="256"/>
        <v>-30.0043466666664</v>
      </c>
      <c r="CH69" s="168">
        <f t="shared" si="273"/>
        <v>25.0666666666667</v>
      </c>
      <c r="CI69" s="168"/>
      <c r="CJ69" s="168">
        <f t="shared" si="274"/>
        <v>-36.0</v>
      </c>
      <c r="CK69" s="126">
        <f t="shared" si="259"/>
        <v>-98.7948</v>
      </c>
      <c r="CL69" s="36">
        <f t="shared" si="275"/>
        <v>36.0</v>
      </c>
      <c r="CM69" s="36">
        <f t="shared" si="276"/>
        <v>6.0</v>
      </c>
      <c r="CN69" s="36">
        <f t="shared" si="277"/>
        <v>6.0</v>
      </c>
      <c r="CO69" s="123">
        <f t="shared" si="278"/>
        <v>36.0</v>
      </c>
      <c r="CR69" s="123">
        <f>CF69</f>
        <v>-10.9333333333333</v>
      </c>
      <c r="CS69" s="168">
        <f t="shared" si="55"/>
        <v>1.82222222222221</v>
      </c>
      <c r="CT69" s="36">
        <f t="shared" si="56"/>
        <v>2.0</v>
      </c>
      <c r="CU69" s="123">
        <f t="shared" si="57"/>
        <v>12.0</v>
      </c>
      <c r="DB69" s="172">
        <f t="shared" si="284"/>
        <v>-10.9333333333333</v>
      </c>
      <c r="DC69" s="168">
        <f t="shared" si="285"/>
        <v>1.82222222222221</v>
      </c>
      <c r="DD69" s="36">
        <f t="shared" si="286"/>
        <v>2.0</v>
      </c>
      <c r="DE69" s="123">
        <f t="shared" si="287"/>
        <v>12.0</v>
      </c>
    </row>
    <row r="70">
      <c r="A70" s="163" t="s">
        <v>32</v>
      </c>
      <c r="B70" s="163" t="s">
        <v>110</v>
      </c>
      <c r="C70" s="163" t="s">
        <v>125</v>
      </c>
      <c r="D70" s="164">
        <v>43110.0</v>
      </c>
      <c r="E70" s="163">
        <v>0.0</v>
      </c>
      <c r="F70" s="163">
        <v>0.0</v>
      </c>
      <c r="G70" s="163">
        <v>54.0</v>
      </c>
      <c r="H70" s="163">
        <v>45.0</v>
      </c>
      <c r="I70" s="163">
        <v>51.0</v>
      </c>
      <c r="J70" s="163">
        <v>30.0</v>
      </c>
      <c r="K70" s="163">
        <v>36.0</v>
      </c>
      <c r="L70" s="163">
        <v>34.0</v>
      </c>
      <c r="M70" s="163">
        <v>42.0</v>
      </c>
      <c r="N70" s="163">
        <v>60.0</v>
      </c>
      <c r="O70" s="163">
        <v>54.0</v>
      </c>
      <c r="P70" s="163">
        <v>66.0</v>
      </c>
      <c r="Q70" s="163">
        <v>33.0</v>
      </c>
      <c r="R70" s="163">
        <v>51.0</v>
      </c>
      <c r="S70" s="163">
        <v>55.0</v>
      </c>
      <c r="T70" s="163">
        <v>48.0</v>
      </c>
      <c r="U70" s="163">
        <v>27.0</v>
      </c>
      <c r="V70" s="163">
        <v>50.0</v>
      </c>
      <c r="W70" s="163">
        <v>42.0</v>
      </c>
      <c r="X70" s="163">
        <v>55.0</v>
      </c>
      <c r="Y70" s="163">
        <v>42.0</v>
      </c>
      <c r="Z70" s="163">
        <v>45.0</v>
      </c>
      <c r="AA70" s="163">
        <v>24.0</v>
      </c>
      <c r="AB70" s="163">
        <v>57.0</v>
      </c>
      <c r="AC70" s="163">
        <v>63.0</v>
      </c>
      <c r="AD70" s="163">
        <v>63.0</v>
      </c>
      <c r="AE70" s="163">
        <v>42.0</v>
      </c>
      <c r="AF70" s="163">
        <v>11.0</v>
      </c>
      <c r="AG70" s="163">
        <f>U70</f>
        <v>27.0</v>
      </c>
      <c r="AH70" s="163">
        <f t="shared" si="298"/>
        <v>50.0</v>
      </c>
      <c r="AI70" s="163">
        <f t="shared" si="299"/>
        <v>42.0</v>
      </c>
      <c r="AJ70" s="163">
        <f t="shared" ref="AJ70:AJ71" si="303">X70</f>
        <v>55.0</v>
      </c>
      <c r="AK70" s="163">
        <f t="shared" ref="AK70:AK71" si="304">Y70</f>
        <v>42.0</v>
      </c>
      <c r="AL70" s="163">
        <v>6.0</v>
      </c>
      <c r="AM70" s="163">
        <v>15.0</v>
      </c>
      <c r="AN70" s="163">
        <v>9.0</v>
      </c>
      <c r="AO70" s="163">
        <v>36.0</v>
      </c>
      <c r="AP70" s="163">
        <v>18.0</v>
      </c>
      <c r="AQ70" s="163">
        <v>18.0</v>
      </c>
      <c r="AR70" s="163">
        <v>18.0</v>
      </c>
      <c r="AS70" s="163">
        <v>22.0</v>
      </c>
      <c r="AT70" s="139">
        <f t="shared" si="4"/>
        <v>331.0</v>
      </c>
      <c r="AU70" s="139">
        <f t="shared" si="232"/>
        <v>210.0</v>
      </c>
      <c r="AV70" s="139">
        <f t="shared" si="6"/>
        <v>231.0</v>
      </c>
      <c r="AW70" s="36">
        <f t="shared" ref="AW70:AW71" si="305">AV70*$AW$4/$AV$4</f>
        <v>32.6666666666667</v>
      </c>
      <c r="AX70" s="36">
        <f t="shared" ref="AX70:AX71" si="306">AV70*$AX$4/$AV$4</f>
        <v>37.3333333333333</v>
      </c>
      <c r="AY70" s="36">
        <f t="shared" ref="AY70:AY71" si="307">AV70*$AY$4/$AV$4</f>
        <v>37.3333333333333</v>
      </c>
      <c r="AZ70" s="36">
        <f t="shared" ref="AZ70:AZ71" si="308">AV70*$AZ$4/$AV$4</f>
        <v>32.6666666666667</v>
      </c>
      <c r="BA70" s="36">
        <f t="shared" ref="BA70:BA71" si="309">AV70*$BA$4/$AV$4</f>
        <v>32.6666666666667</v>
      </c>
      <c r="BB70" s="36">
        <f t="shared" ref="BB70:BB71" si="310">AV70*$BB$4/$AV$4</f>
        <v>37.3333333333333</v>
      </c>
      <c r="BC70" s="166">
        <f t="shared" si="240"/>
        <v>210.0</v>
      </c>
      <c r="BD70" s="123">
        <f>VLOOKUP(C70,SOHFEB23,3,false)</f>
        <v>9.0</v>
      </c>
      <c r="BE70" s="167">
        <f>VLOOKUP(D70,VALUEFEB23,4,false)</f>
        <v>2.63</v>
      </c>
      <c r="BF70" s="124">
        <f t="shared" si="16"/>
        <v>23.67</v>
      </c>
      <c r="BG70" s="168"/>
      <c r="BH70" s="168">
        <f t="shared" si="262"/>
        <v>-201.0</v>
      </c>
      <c r="BI70" s="123"/>
      <c r="BJ70" s="170"/>
      <c r="BK70" s="171" t="s">
        <v>518</v>
      </c>
      <c r="BL70" s="36">
        <f t="shared" si="263"/>
        <v>9.0</v>
      </c>
      <c r="BM70" s="168"/>
      <c r="BN70" s="168">
        <f t="shared" si="264"/>
        <v>32.6666666666667</v>
      </c>
      <c r="BO70" s="168"/>
      <c r="BP70" s="168">
        <f t="shared" si="243"/>
        <v>-23.6666666666667</v>
      </c>
      <c r="BQ70" s="126">
        <f t="shared" si="244"/>
        <v>-62.2433333333334</v>
      </c>
      <c r="BR70" s="168">
        <f t="shared" si="265"/>
        <v>37.3333333333333</v>
      </c>
      <c r="BS70" s="123"/>
      <c r="BT70" s="168">
        <f t="shared" si="266"/>
        <v>-61.0</v>
      </c>
      <c r="BU70" s="126">
        <f t="shared" si="247"/>
        <v>-160.43</v>
      </c>
      <c r="BV70" s="168">
        <f t="shared" si="267"/>
        <v>37.3333333333333</v>
      </c>
      <c r="BW70" s="168"/>
      <c r="BX70" s="168">
        <f t="shared" si="268"/>
        <v>-98.3333333333333</v>
      </c>
      <c r="BY70" s="126">
        <f t="shared" si="250"/>
        <v>-258.61666666666</v>
      </c>
      <c r="BZ70" s="168">
        <f t="shared" si="269"/>
        <v>32.6666666666667</v>
      </c>
      <c r="CA70" s="168"/>
      <c r="CB70" s="168">
        <f t="shared" si="270"/>
        <v>-131.0</v>
      </c>
      <c r="CC70" s="126">
        <f t="shared" si="253"/>
        <v>-344.53</v>
      </c>
      <c r="CD70" s="168">
        <f t="shared" si="271"/>
        <v>32.6666666666667</v>
      </c>
      <c r="CE70" s="168"/>
      <c r="CF70" s="168">
        <f t="shared" si="272"/>
        <v>-163.666666666665</v>
      </c>
      <c r="CG70" s="126">
        <f t="shared" si="256"/>
        <v>-430.44333333332</v>
      </c>
      <c r="CH70" s="168">
        <f t="shared" si="273"/>
        <v>37.3333333333333</v>
      </c>
      <c r="CI70" s="168"/>
      <c r="CJ70" s="168">
        <f t="shared" si="274"/>
        <v>-200.999999999998</v>
      </c>
      <c r="CK70" s="126">
        <f t="shared" si="259"/>
        <v>-528.629999999994</v>
      </c>
      <c r="CL70" s="36">
        <f t="shared" si="275"/>
        <v>200.999999999998</v>
      </c>
      <c r="CM70" s="36">
        <f t="shared" si="276"/>
        <v>33.4999999999997</v>
      </c>
      <c r="CN70" s="36">
        <f t="shared" si="277"/>
        <v>34.0</v>
      </c>
      <c r="CO70" s="123">
        <f t="shared" si="278"/>
        <v>204.0</v>
      </c>
      <c r="CR70" s="123">
        <f t="shared" ref="CR70:CR71" si="311">BX70</f>
        <v>-98.3333333333333</v>
      </c>
      <c r="CS70" s="168">
        <f t="shared" si="55"/>
        <v>16.3888888888887</v>
      </c>
      <c r="CT70" s="36">
        <f t="shared" si="56"/>
        <v>17.0</v>
      </c>
      <c r="CU70" s="123">
        <f t="shared" si="57"/>
        <v>102.0</v>
      </c>
      <c r="CW70" s="172">
        <f t="shared" ref="CW70:CW72" si="312">CB70</f>
        <v>-131.0</v>
      </c>
      <c r="CX70" s="168">
        <f t="shared" ref="CX70:CX72" si="313">(CW70/6)*-1</f>
        <v>21.8333333333333</v>
      </c>
      <c r="CY70" s="36">
        <f t="shared" ref="CY70:CY72" si="314">ROUNDUP(CX70,0)</f>
        <v>22.0</v>
      </c>
      <c r="CZ70" s="123">
        <f t="shared" ref="CZ70:CZ72" si="315">CY70*6</f>
        <v>132.0</v>
      </c>
      <c r="DB70" s="172">
        <f t="shared" si="284"/>
        <v>-163.666666666665</v>
      </c>
      <c r="DC70" s="168">
        <f t="shared" si="285"/>
        <v>27.2777777777775</v>
      </c>
      <c r="DD70" s="36">
        <f t="shared" si="286"/>
        <v>28.0</v>
      </c>
      <c r="DE70" s="123">
        <f t="shared" si="287"/>
        <v>168.0</v>
      </c>
    </row>
    <row r="71">
      <c r="A71" s="163" t="s">
        <v>32</v>
      </c>
      <c r="B71" s="163" t="s">
        <v>110</v>
      </c>
      <c r="C71" s="163" t="s">
        <v>126</v>
      </c>
      <c r="D71" s="164">
        <v>43111.0</v>
      </c>
      <c r="E71" s="163">
        <v>0.0</v>
      </c>
      <c r="F71" s="163">
        <v>0.0</v>
      </c>
      <c r="G71" s="163">
        <v>0.0</v>
      </c>
      <c r="H71" s="163">
        <v>0.0</v>
      </c>
      <c r="I71" s="163">
        <v>0.0</v>
      </c>
      <c r="J71" s="163">
        <v>0.0</v>
      </c>
      <c r="K71" s="163">
        <v>0.0</v>
      </c>
      <c r="L71" s="163">
        <v>0.0</v>
      </c>
      <c r="M71" s="163">
        <v>0.0</v>
      </c>
      <c r="N71" s="163">
        <v>0.0</v>
      </c>
      <c r="O71" s="163">
        <v>0.0</v>
      </c>
      <c r="P71" s="163">
        <v>0.0</v>
      </c>
      <c r="Q71" s="163">
        <v>0.0</v>
      </c>
      <c r="R71" s="163">
        <v>9.0</v>
      </c>
      <c r="S71" s="163">
        <v>48.0</v>
      </c>
      <c r="T71" s="163">
        <v>21.0</v>
      </c>
      <c r="U71" s="163">
        <v>39.0</v>
      </c>
      <c r="V71" s="163">
        <v>49.0</v>
      </c>
      <c r="W71" s="163">
        <v>27.0</v>
      </c>
      <c r="X71" s="163">
        <v>31.0</v>
      </c>
      <c r="Y71" s="163">
        <v>33.0</v>
      </c>
      <c r="Z71" s="163">
        <v>27.0</v>
      </c>
      <c r="AA71" s="163">
        <v>18.0</v>
      </c>
      <c r="AB71" s="163">
        <v>30.0</v>
      </c>
      <c r="AC71" s="163">
        <v>27.0</v>
      </c>
      <c r="AD71" s="163">
        <v>30.0</v>
      </c>
      <c r="AE71" s="163">
        <v>24.0</v>
      </c>
      <c r="AF71" s="163">
        <v>33.0</v>
      </c>
      <c r="AG71" s="163">
        <v>21.0</v>
      </c>
      <c r="AH71" s="163">
        <v>54.0</v>
      </c>
      <c r="AI71" s="163">
        <v>12.0</v>
      </c>
      <c r="AJ71" s="163">
        <f t="shared" si="303"/>
        <v>31.0</v>
      </c>
      <c r="AK71" s="163">
        <f t="shared" si="304"/>
        <v>33.0</v>
      </c>
      <c r="AL71" s="163">
        <f>Z71</f>
        <v>27.0</v>
      </c>
      <c r="AM71" s="163">
        <f>AA71</f>
        <v>18.0</v>
      </c>
      <c r="AN71" s="163">
        <f>AB71</f>
        <v>30.0</v>
      </c>
      <c r="AO71" s="163">
        <v>9.0</v>
      </c>
      <c r="AP71" s="163">
        <v>21.0</v>
      </c>
      <c r="AQ71" s="163">
        <v>15.0</v>
      </c>
      <c r="AR71" s="163">
        <v>9.0</v>
      </c>
      <c r="AS71" s="163">
        <v>15.0</v>
      </c>
      <c r="AT71" s="139">
        <f t="shared" si="4"/>
        <v>274.0</v>
      </c>
      <c r="AU71" s="139">
        <f t="shared" si="232"/>
        <v>175.0</v>
      </c>
      <c r="AV71" s="139">
        <f t="shared" si="6"/>
        <v>192.5</v>
      </c>
      <c r="AW71" s="36">
        <f t="shared" si="305"/>
        <v>27.2222222222222</v>
      </c>
      <c r="AX71" s="36">
        <f t="shared" si="306"/>
        <v>31.1111111111111</v>
      </c>
      <c r="AY71" s="36">
        <f t="shared" si="307"/>
        <v>31.1111111111111</v>
      </c>
      <c r="AZ71" s="36">
        <f t="shared" si="308"/>
        <v>27.2222222222222</v>
      </c>
      <c r="BA71" s="36">
        <f t="shared" si="309"/>
        <v>27.2222222222222</v>
      </c>
      <c r="BB71" s="36">
        <f t="shared" si="310"/>
        <v>31.1111111111111</v>
      </c>
      <c r="BC71" s="166">
        <f t="shared" si="240"/>
        <v>175.0</v>
      </c>
      <c r="BD71" s="123">
        <f>VLOOKUP(C71,SOHFEB23,3,false)</f>
        <v>81.0</v>
      </c>
      <c r="BE71" s="167">
        <f>VLOOKUP(D71,VALUEFEB23,4,false)</f>
        <v>2.7664</v>
      </c>
      <c r="BF71" s="124">
        <f t="shared" si="16"/>
        <v>224.0784</v>
      </c>
      <c r="BG71" s="168"/>
      <c r="BH71" s="168">
        <f t="shared" si="262"/>
        <v>-94.0</v>
      </c>
      <c r="BI71" s="123"/>
      <c r="BJ71" s="170"/>
      <c r="BK71" s="36" t="s">
        <v>520</v>
      </c>
      <c r="BL71" s="36">
        <f t="shared" si="263"/>
        <v>81.0</v>
      </c>
      <c r="BM71" s="168"/>
      <c r="BN71" s="168">
        <f t="shared" si="264"/>
        <v>27.2222222222222</v>
      </c>
      <c r="BO71" s="168"/>
      <c r="BP71" s="168">
        <f t="shared" si="243"/>
        <v>53.7777777777778</v>
      </c>
      <c r="BQ71" s="126">
        <f t="shared" si="244"/>
        <v>148.770844444444</v>
      </c>
      <c r="BR71" s="168">
        <f t="shared" si="265"/>
        <v>31.1111111111111</v>
      </c>
      <c r="BS71" s="123"/>
      <c r="BT71" s="168">
        <f t="shared" si="266"/>
        <v>22.6666666666667</v>
      </c>
      <c r="BU71" s="126">
        <f t="shared" si="247"/>
        <v>62.7050666666668</v>
      </c>
      <c r="BV71" s="168">
        <f t="shared" si="267"/>
        <v>31.1111111111111</v>
      </c>
      <c r="BW71" s="168"/>
      <c r="BX71" s="168">
        <f t="shared" si="268"/>
        <v>-8.4444444444444</v>
      </c>
      <c r="BY71" s="126">
        <f t="shared" si="250"/>
        <v>-23.3607111111108</v>
      </c>
      <c r="BZ71" s="168">
        <f t="shared" si="269"/>
        <v>27.2222222222222</v>
      </c>
      <c r="CA71" s="168"/>
      <c r="CB71" s="168">
        <f t="shared" si="270"/>
        <v>-35.6666666666666</v>
      </c>
      <c r="CC71" s="126">
        <f t="shared" si="253"/>
        <v>-98.6682666666664</v>
      </c>
      <c r="CD71" s="168">
        <f t="shared" si="271"/>
        <v>27.2222222222222</v>
      </c>
      <c r="CE71" s="168"/>
      <c r="CF71" s="168">
        <f t="shared" si="272"/>
        <v>-62.8888888888888</v>
      </c>
      <c r="CG71" s="126">
        <f t="shared" si="256"/>
        <v>-173.975822222221</v>
      </c>
      <c r="CH71" s="168">
        <f t="shared" si="273"/>
        <v>31.1111111111111</v>
      </c>
      <c r="CI71" s="168"/>
      <c r="CJ71" s="168">
        <f t="shared" si="274"/>
        <v>-93.9999999999999</v>
      </c>
      <c r="CK71" s="126">
        <f t="shared" si="259"/>
        <v>-260.04159999998</v>
      </c>
      <c r="CL71" s="36">
        <f t="shared" si="275"/>
        <v>93.9999999999999</v>
      </c>
      <c r="CM71" s="36">
        <f t="shared" si="276"/>
        <v>15.6666666666667</v>
      </c>
      <c r="CN71" s="36">
        <f t="shared" si="277"/>
        <v>16.0</v>
      </c>
      <c r="CO71" s="123">
        <f t="shared" si="278"/>
        <v>96.0</v>
      </c>
      <c r="CR71" s="123">
        <f t="shared" si="311"/>
        <v>-8.4444444444444</v>
      </c>
      <c r="CS71" s="168">
        <f t="shared" si="55"/>
        <v>1.4074074074074</v>
      </c>
      <c r="CT71" s="36">
        <f t="shared" si="56"/>
        <v>2.0</v>
      </c>
      <c r="CU71" s="123">
        <f t="shared" si="57"/>
        <v>12.0</v>
      </c>
      <c r="CW71" s="172">
        <f t="shared" si="312"/>
        <v>-35.6666666666666</v>
      </c>
      <c r="CX71" s="168">
        <f t="shared" si="313"/>
        <v>5.94444444444443</v>
      </c>
      <c r="CY71" s="36">
        <f t="shared" si="314"/>
        <v>6.0</v>
      </c>
      <c r="CZ71" s="123">
        <f t="shared" si="315"/>
        <v>36.0</v>
      </c>
      <c r="DB71" s="172">
        <f t="shared" si="284"/>
        <v>-62.8888888888888</v>
      </c>
      <c r="DC71" s="168">
        <f t="shared" si="285"/>
        <v>10.4814814814814</v>
      </c>
      <c r="DD71" s="36">
        <f t="shared" si="286"/>
        <v>11.0</v>
      </c>
      <c r="DE71" s="123">
        <f t="shared" si="287"/>
        <v>66.0</v>
      </c>
    </row>
    <row r="72">
      <c r="A72" s="163" t="s">
        <v>32</v>
      </c>
      <c r="B72" s="163" t="s">
        <v>110</v>
      </c>
      <c r="C72" s="180" t="s">
        <v>127</v>
      </c>
      <c r="D72" s="164">
        <v>43112.0</v>
      </c>
      <c r="E72" s="163">
        <v>15.0</v>
      </c>
      <c r="F72" s="163">
        <v>9.0</v>
      </c>
      <c r="G72" s="163">
        <v>51.0</v>
      </c>
      <c r="H72" s="163">
        <v>39.0</v>
      </c>
      <c r="I72" s="163">
        <v>33.0</v>
      </c>
      <c r="J72" s="163">
        <v>45.0</v>
      </c>
      <c r="K72" s="163">
        <v>33.0</v>
      </c>
      <c r="L72" s="163">
        <v>39.0</v>
      </c>
      <c r="M72" s="163">
        <v>39.0</v>
      </c>
      <c r="N72" s="163">
        <v>36.0</v>
      </c>
      <c r="O72" s="163">
        <v>33.0</v>
      </c>
      <c r="P72" s="163">
        <v>32.0</v>
      </c>
      <c r="Q72" s="163">
        <v>24.0</v>
      </c>
      <c r="R72" s="163">
        <v>48.0</v>
      </c>
      <c r="S72" s="163">
        <v>51.0</v>
      </c>
      <c r="T72" s="163">
        <v>21.0</v>
      </c>
      <c r="U72" s="163">
        <v>33.0</v>
      </c>
      <c r="V72" s="163">
        <v>42.0</v>
      </c>
      <c r="W72" s="163">
        <v>39.0</v>
      </c>
      <c r="X72" s="163">
        <v>31.0</v>
      </c>
      <c r="Y72" s="163">
        <v>30.0</v>
      </c>
      <c r="Z72" s="163">
        <v>27.0</v>
      </c>
      <c r="AA72" s="163">
        <v>51.0</v>
      </c>
      <c r="AB72" s="163">
        <v>40.0</v>
      </c>
      <c r="AC72" s="163">
        <v>33.0</v>
      </c>
      <c r="AD72" s="163">
        <v>54.0</v>
      </c>
      <c r="AE72" s="163">
        <v>39.0</v>
      </c>
      <c r="AF72" s="163">
        <v>56.0</v>
      </c>
      <c r="AG72" s="163">
        <v>46.0</v>
      </c>
      <c r="AH72" s="163">
        <v>66.0</v>
      </c>
      <c r="AI72" s="163">
        <v>12.0</v>
      </c>
      <c r="AJ72" s="163">
        <v>51.0</v>
      </c>
      <c r="AK72" s="163">
        <v>21.0</v>
      </c>
      <c r="AL72" s="163">
        <v>33.0</v>
      </c>
      <c r="AM72" s="163">
        <v>21.0</v>
      </c>
      <c r="AN72" s="163">
        <v>24.0</v>
      </c>
      <c r="AO72" s="163">
        <v>36.0</v>
      </c>
      <c r="AP72" s="163">
        <v>13.0</v>
      </c>
      <c r="AQ72" s="163">
        <v>27.0</v>
      </c>
      <c r="AR72" s="163">
        <v>27.0</v>
      </c>
      <c r="AS72" s="163">
        <v>40.0</v>
      </c>
      <c r="AT72" s="139">
        <f t="shared" si="4"/>
        <v>371.0</v>
      </c>
      <c r="AU72" s="139">
        <f t="shared" si="232"/>
        <v>204.0</v>
      </c>
      <c r="AV72" s="139">
        <f t="shared" si="6"/>
        <v>224.4</v>
      </c>
      <c r="AW72" s="36">
        <f>AV72*$AW$4/$AV$4+3*$AW$63</f>
        <v>38.7333333333333</v>
      </c>
      <c r="AX72" s="36">
        <f>AV72*$AX$4/$AV$4+3*$AX$63</f>
        <v>44.2666666666667</v>
      </c>
      <c r="AY72" s="36">
        <f>AV72*$AY$4/$AV$4+3*$AY$63</f>
        <v>44.2666666666667</v>
      </c>
      <c r="AZ72" s="36">
        <f>AV72*$AZ$4/$AV$4+3*$AZ$63</f>
        <v>38.7333333333333</v>
      </c>
      <c r="BA72" s="36">
        <f>AV72*$BA$4/$AV$4+3*$BA$63</f>
        <v>38.7333333333333</v>
      </c>
      <c r="BB72" s="36">
        <f>AV72*$BB$4/$AV$4+3*$BB$63</f>
        <v>44.2666666666667</v>
      </c>
      <c r="BC72" s="166">
        <f t="shared" si="240"/>
        <v>249.0</v>
      </c>
      <c r="BD72" s="123">
        <f>VLOOKUP(C72,SOHFEB23,3,false)</f>
        <v>164.0</v>
      </c>
      <c r="BE72" s="167">
        <f>VLOOKUP(D72,VALUEFEB23,4,false)</f>
        <v>2.7401</v>
      </c>
      <c r="BF72" s="124">
        <f t="shared" si="16"/>
        <v>449.3764</v>
      </c>
      <c r="BG72" s="168"/>
      <c r="BH72" s="168">
        <f t="shared" si="262"/>
        <v>-85.0</v>
      </c>
      <c r="BI72" s="123"/>
      <c r="BJ72" s="170"/>
      <c r="BK72" s="36" t="s">
        <v>4</v>
      </c>
      <c r="BL72" s="36">
        <f t="shared" si="263"/>
        <v>164.0</v>
      </c>
      <c r="BM72" s="168"/>
      <c r="BN72" s="168">
        <f t="shared" si="264"/>
        <v>38.7333333333333</v>
      </c>
      <c r="BO72" s="168"/>
      <c r="BP72" s="168">
        <f t="shared" si="243"/>
        <v>125.26666666667</v>
      </c>
      <c r="BQ72" s="126">
        <f t="shared" si="244"/>
        <v>343.243193333342</v>
      </c>
      <c r="BR72" s="168">
        <f t="shared" si="265"/>
        <v>44.2666666666667</v>
      </c>
      <c r="BS72" s="123"/>
      <c r="BT72" s="168">
        <f t="shared" si="266"/>
        <v>81.0000000000033</v>
      </c>
      <c r="BU72" s="126">
        <f t="shared" si="247"/>
        <v>221.948100000009</v>
      </c>
      <c r="BV72" s="168">
        <f t="shared" si="267"/>
        <v>44.2666666666667</v>
      </c>
      <c r="BW72" s="168"/>
      <c r="BX72" s="168">
        <f t="shared" si="268"/>
        <v>36.7333333333366</v>
      </c>
      <c r="BY72" s="126">
        <f t="shared" si="250"/>
        <v>100.65300666668</v>
      </c>
      <c r="BZ72" s="168">
        <f t="shared" si="269"/>
        <v>38.7333333333333</v>
      </c>
      <c r="CA72" s="168"/>
      <c r="CB72" s="168">
        <f t="shared" si="270"/>
        <v>-1.99999999999668</v>
      </c>
      <c r="CC72" s="126">
        <f t="shared" si="253"/>
        <v>-5.4801999999909</v>
      </c>
      <c r="CD72" s="168">
        <f t="shared" si="271"/>
        <v>38.7333333333333</v>
      </c>
      <c r="CE72" s="168"/>
      <c r="CF72" s="168">
        <f t="shared" si="272"/>
        <v>-40.7333333333298</v>
      </c>
      <c r="CG72" s="126">
        <f t="shared" si="256"/>
        <v>-111.6134066666</v>
      </c>
      <c r="CH72" s="168">
        <f t="shared" si="273"/>
        <v>44.2666666666667</v>
      </c>
      <c r="CI72" s="168"/>
      <c r="CJ72" s="168">
        <f t="shared" si="274"/>
        <v>-84.9999999999965</v>
      </c>
      <c r="CK72" s="126">
        <f t="shared" si="259"/>
        <v>-232.90849999999</v>
      </c>
      <c r="CL72" s="36">
        <f t="shared" si="275"/>
        <v>84.9999999999965</v>
      </c>
      <c r="CM72" s="36">
        <f t="shared" si="276"/>
        <v>14.166666666666</v>
      </c>
      <c r="CN72" s="36">
        <f t="shared" si="277"/>
        <v>15.0</v>
      </c>
      <c r="CO72" s="123">
        <f t="shared" si="278"/>
        <v>90.0</v>
      </c>
      <c r="CR72" s="123">
        <f>CF72</f>
        <v>-40.7333333333298</v>
      </c>
      <c r="CS72" s="168">
        <f t="shared" si="55"/>
        <v>6.7888888888883</v>
      </c>
      <c r="CT72" s="36">
        <f t="shared" si="56"/>
        <v>7.0</v>
      </c>
      <c r="CU72" s="123">
        <f t="shared" si="57"/>
        <v>42.0</v>
      </c>
      <c r="CW72" s="172">
        <f t="shared" si="312"/>
        <v>-1.99999999999668</v>
      </c>
      <c r="CX72" s="168">
        <f t="shared" si="313"/>
        <v>0.33333333333278</v>
      </c>
      <c r="CY72" s="36">
        <f t="shared" si="314"/>
        <v>1.0</v>
      </c>
      <c r="CZ72" s="123">
        <f t="shared" si="315"/>
        <v>6.0</v>
      </c>
      <c r="DB72" s="172">
        <f t="shared" si="284"/>
        <v>-40.7333333333298</v>
      </c>
      <c r="DC72" s="168">
        <f t="shared" si="285"/>
        <v>6.7888888888883</v>
      </c>
      <c r="DD72" s="36">
        <f t="shared" si="286"/>
        <v>7.0</v>
      </c>
      <c r="DE72" s="123">
        <f t="shared" si="287"/>
        <v>42.0</v>
      </c>
    </row>
    <row r="73">
      <c r="A73" s="163" t="s">
        <v>32</v>
      </c>
      <c r="B73" s="163" t="s">
        <v>110</v>
      </c>
      <c r="C73" s="163" t="s">
        <v>128</v>
      </c>
      <c r="D73" s="164">
        <v>43133.0</v>
      </c>
      <c r="E73" s="163">
        <v>0.0</v>
      </c>
      <c r="F73" s="163">
        <v>0.0</v>
      </c>
      <c r="G73" s="163">
        <v>0.0</v>
      </c>
      <c r="H73" s="163">
        <v>0.0</v>
      </c>
      <c r="I73" s="163">
        <v>0.0</v>
      </c>
      <c r="J73" s="163">
        <v>0.0</v>
      </c>
      <c r="K73" s="163">
        <v>0.0</v>
      </c>
      <c r="L73" s="163">
        <v>0.0</v>
      </c>
      <c r="M73" s="163">
        <v>0.0</v>
      </c>
      <c r="N73" s="163">
        <v>0.0</v>
      </c>
      <c r="O73" s="163">
        <v>0.0</v>
      </c>
      <c r="P73" s="163">
        <v>0.0</v>
      </c>
      <c r="Q73" s="163">
        <v>0.0</v>
      </c>
      <c r="R73" s="163">
        <v>6.0</v>
      </c>
      <c r="S73" s="163">
        <v>39.0</v>
      </c>
      <c r="T73" s="163">
        <v>9.0</v>
      </c>
      <c r="U73" s="163">
        <v>21.0</v>
      </c>
      <c r="V73" s="163">
        <v>15.0</v>
      </c>
      <c r="W73" s="163">
        <v>15.0</v>
      </c>
      <c r="X73" s="163">
        <v>4.0</v>
      </c>
      <c r="Y73" s="163">
        <v>18.0</v>
      </c>
      <c r="Z73" s="163">
        <v>9.0</v>
      </c>
      <c r="AA73" s="163">
        <v>9.0</v>
      </c>
      <c r="AB73" s="163">
        <v>9.0</v>
      </c>
      <c r="AC73" s="163">
        <v>6.0</v>
      </c>
      <c r="AD73" s="163">
        <v>12.0</v>
      </c>
      <c r="AE73" s="163">
        <v>18.0</v>
      </c>
      <c r="AF73" s="163">
        <v>29.0</v>
      </c>
      <c r="AG73" s="163">
        <v>0.0</v>
      </c>
      <c r="AH73" s="163">
        <v>0.0</v>
      </c>
      <c r="AI73" s="163">
        <v>3.0</v>
      </c>
      <c r="AJ73" s="163">
        <v>15.0</v>
      </c>
      <c r="AK73" s="163">
        <v>9.0</v>
      </c>
      <c r="AL73" s="163">
        <v>6.0</v>
      </c>
      <c r="AM73" s="163">
        <v>6.0</v>
      </c>
      <c r="AN73" s="163">
        <v>6.0</v>
      </c>
      <c r="AO73" s="163">
        <v>18.0</v>
      </c>
      <c r="AP73" s="163">
        <v>0.0</v>
      </c>
      <c r="AQ73" s="163">
        <v>6.0</v>
      </c>
      <c r="AR73" s="163">
        <v>9.0</v>
      </c>
      <c r="AS73" s="163">
        <v>7.0</v>
      </c>
      <c r="AT73" s="139">
        <f t="shared" si="4"/>
        <v>85.0</v>
      </c>
      <c r="AU73" s="139">
        <f t="shared" si="232"/>
        <v>39.0</v>
      </c>
      <c r="AV73" s="139">
        <f t="shared" si="6"/>
        <v>42.9</v>
      </c>
      <c r="AW73" s="36">
        <f t="shared" ref="AW73:AW74" si="326">AV73*$AW$4/$AV$4</f>
        <v>6.06666666666667</v>
      </c>
      <c r="AX73" s="36">
        <f t="shared" ref="AX73:AX74" si="327">AV73*$AX$4/$AV$4</f>
        <v>6.93333333333333</v>
      </c>
      <c r="AY73" s="36">
        <f t="shared" ref="AY73:AY74" si="328">AV73*$AY$4/$AV$4</f>
        <v>6.93333333333333</v>
      </c>
      <c r="AZ73" s="36">
        <f t="shared" ref="AZ73:AZ74" si="329">AV73*$AZ$4/$AV$4</f>
        <v>6.06666666666667</v>
      </c>
      <c r="BA73" s="36">
        <f t="shared" ref="BA73:BA74" si="330">AV73*$BA$4/$AV$4</f>
        <v>6.06666666666667</v>
      </c>
      <c r="BB73" s="36">
        <f t="shared" ref="BB73:BB74" si="331">AV73*$BB$4/$AV$4</f>
        <v>6.93333333333333</v>
      </c>
      <c r="BC73" s="166">
        <f t="shared" si="240"/>
        <v>39.0</v>
      </c>
      <c r="BD73" s="123">
        <f>VLOOKUP(C73,SOHFEB23,3,false)</f>
        <v>42.0</v>
      </c>
      <c r="BE73" s="167">
        <f>VLOOKUP(D73,VALUEFEB23,4,false)</f>
        <v>2.7707</v>
      </c>
      <c r="BF73" s="124">
        <f t="shared" si="16"/>
        <v>116.3694</v>
      </c>
      <c r="BH73" s="168">
        <f t="shared" si="262"/>
        <v>3.0</v>
      </c>
      <c r="BI73" s="123"/>
      <c r="BJ73" s="170"/>
      <c r="BL73" s="36">
        <f t="shared" si="263"/>
        <v>42.0</v>
      </c>
      <c r="BM73" s="168"/>
      <c r="BN73" s="168">
        <f t="shared" si="264"/>
        <v>6.06666666666667</v>
      </c>
      <c r="BO73" s="168"/>
      <c r="BP73" s="168">
        <f t="shared" si="243"/>
        <v>35.9333333333333</v>
      </c>
      <c r="BQ73" s="126">
        <f t="shared" si="244"/>
        <v>99.5604866666666</v>
      </c>
      <c r="BR73" s="168">
        <f t="shared" si="265"/>
        <v>6.93333333333333</v>
      </c>
      <c r="BS73" s="123"/>
      <c r="BT73" s="168">
        <f t="shared" si="266"/>
        <v>29.0</v>
      </c>
      <c r="BU73" s="126">
        <f t="shared" si="247"/>
        <v>80.3503</v>
      </c>
      <c r="BV73" s="168">
        <f t="shared" si="267"/>
        <v>6.93333333333333</v>
      </c>
      <c r="BW73" s="168"/>
      <c r="BX73" s="168">
        <f t="shared" si="268"/>
        <v>22.0666666666667</v>
      </c>
      <c r="BY73" s="126">
        <f t="shared" si="250"/>
        <v>61.1401133333334</v>
      </c>
      <c r="BZ73" s="168">
        <f t="shared" si="269"/>
        <v>6.06666666666667</v>
      </c>
      <c r="CA73" s="168"/>
      <c r="CB73" s="168">
        <f t="shared" si="270"/>
        <v>16.0</v>
      </c>
      <c r="CC73" s="126">
        <f t="shared" si="253"/>
        <v>44.3312</v>
      </c>
      <c r="CD73" s="168">
        <f t="shared" si="271"/>
        <v>6.06666666666667</v>
      </c>
      <c r="CE73" s="168"/>
      <c r="CF73" s="168">
        <f t="shared" si="272"/>
        <v>9.93333333333333</v>
      </c>
      <c r="CG73" s="126">
        <f t="shared" si="256"/>
        <v>27.522286666667</v>
      </c>
      <c r="CH73" s="168">
        <f t="shared" si="273"/>
        <v>6.93333333333333</v>
      </c>
      <c r="CI73" s="168"/>
      <c r="CJ73" s="168">
        <f t="shared" si="274"/>
        <v>3.0</v>
      </c>
      <c r="CK73" s="126">
        <f t="shared" si="259"/>
        <v>8.3121</v>
      </c>
      <c r="CL73" s="36">
        <f t="shared" si="275"/>
        <v>-3.0</v>
      </c>
      <c r="CM73" s="36">
        <f t="shared" si="276"/>
        <v>-0.5</v>
      </c>
      <c r="CN73" s="36">
        <f t="shared" si="277"/>
        <v>-1.0</v>
      </c>
      <c r="CO73" s="123">
        <f t="shared" si="278"/>
        <v>-6.0</v>
      </c>
      <c r="CR73" s="123"/>
      <c r="CS73" s="168">
        <f t="shared" si="55"/>
        <v>0.0</v>
      </c>
      <c r="CT73" s="36">
        <f t="shared" si="56"/>
        <v>0.0</v>
      </c>
      <c r="CU73" s="123">
        <f t="shared" si="57"/>
        <v>0.0</v>
      </c>
    </row>
    <row r="74">
      <c r="A74" s="163" t="s">
        <v>32</v>
      </c>
      <c r="B74" s="163" t="s">
        <v>110</v>
      </c>
      <c r="C74" s="163" t="s">
        <v>130</v>
      </c>
      <c r="D74" s="164">
        <v>43134.0</v>
      </c>
      <c r="E74" s="163">
        <v>0.0</v>
      </c>
      <c r="F74" s="163">
        <v>0.0</v>
      </c>
      <c r="G74" s="163">
        <v>0.0</v>
      </c>
      <c r="H74" s="163">
        <v>0.0</v>
      </c>
      <c r="I74" s="163">
        <v>24.0</v>
      </c>
      <c r="J74" s="163">
        <v>33.0</v>
      </c>
      <c r="K74" s="163">
        <v>21.0</v>
      </c>
      <c r="L74" s="163">
        <v>34.0</v>
      </c>
      <c r="M74" s="163">
        <v>24.0</v>
      </c>
      <c r="N74" s="163">
        <v>12.0</v>
      </c>
      <c r="O74" s="163">
        <v>3.0</v>
      </c>
      <c r="P74" s="163">
        <v>3.0</v>
      </c>
      <c r="Q74" s="163">
        <v>3.0</v>
      </c>
      <c r="R74" s="163">
        <v>6.0</v>
      </c>
      <c r="S74" s="163">
        <v>6.0</v>
      </c>
      <c r="T74" s="163">
        <v>4.0</v>
      </c>
      <c r="U74" s="163">
        <v>0.0</v>
      </c>
      <c r="V74" s="163">
        <v>9.0</v>
      </c>
      <c r="W74" s="163">
        <v>3.0</v>
      </c>
      <c r="X74" s="163">
        <v>19.0</v>
      </c>
      <c r="Y74" s="163">
        <v>31.0</v>
      </c>
      <c r="Z74" s="163">
        <v>9.0</v>
      </c>
      <c r="AA74" s="163">
        <v>9.0</v>
      </c>
      <c r="AB74" s="163">
        <v>12.0</v>
      </c>
      <c r="AC74" s="163">
        <v>6.0</v>
      </c>
      <c r="AD74" s="163">
        <v>27.0</v>
      </c>
      <c r="AE74" s="163">
        <v>15.0</v>
      </c>
      <c r="AF74" s="163">
        <v>27.0</v>
      </c>
      <c r="AG74" s="163">
        <v>6.0</v>
      </c>
      <c r="AH74" s="163">
        <v>24.0</v>
      </c>
      <c r="AI74" s="163">
        <v>6.0</v>
      </c>
      <c r="AJ74" s="163">
        <v>33.0</v>
      </c>
      <c r="AK74" s="163">
        <v>18.0</v>
      </c>
      <c r="AL74" s="163">
        <v>18.0</v>
      </c>
      <c r="AM74" s="163">
        <v>18.0</v>
      </c>
      <c r="AN74" s="163">
        <v>15.0</v>
      </c>
      <c r="AO74" s="163">
        <v>18.0</v>
      </c>
      <c r="AP74" s="163">
        <v>12.0</v>
      </c>
      <c r="AQ74" s="163">
        <v>9.0</v>
      </c>
      <c r="AR74" s="163">
        <v>30.0</v>
      </c>
      <c r="AS74" s="163">
        <v>7.0</v>
      </c>
      <c r="AT74" s="139">
        <f t="shared" si="4"/>
        <v>208.0</v>
      </c>
      <c r="AU74" s="139">
        <f t="shared" si="232"/>
        <v>117.0</v>
      </c>
      <c r="AV74" s="139">
        <f t="shared" si="6"/>
        <v>128.7</v>
      </c>
      <c r="AW74" s="36">
        <f t="shared" si="326"/>
        <v>18.2</v>
      </c>
      <c r="AX74" s="36">
        <f t="shared" si="327"/>
        <v>20.8</v>
      </c>
      <c r="AY74" s="36">
        <f t="shared" si="328"/>
        <v>20.8</v>
      </c>
      <c r="AZ74" s="36">
        <f t="shared" si="329"/>
        <v>18.2</v>
      </c>
      <c r="BA74" s="36">
        <f t="shared" si="330"/>
        <v>18.2</v>
      </c>
      <c r="BB74" s="36">
        <f t="shared" si="331"/>
        <v>20.8</v>
      </c>
      <c r="BC74" s="166">
        <f t="shared" si="240"/>
        <v>117.0</v>
      </c>
      <c r="BD74" s="123">
        <f>VLOOKUP(C74,SOHFEB23,3,false)</f>
        <v>45.0</v>
      </c>
      <c r="BE74" s="167">
        <f>VLOOKUP(D74,VALUEFEB23,4,false)</f>
        <v>2.7713</v>
      </c>
      <c r="BF74" s="124">
        <f t="shared" si="16"/>
        <v>124.7085</v>
      </c>
      <c r="BG74" s="168"/>
      <c r="BH74" s="168">
        <f t="shared" si="262"/>
        <v>-72.0</v>
      </c>
      <c r="BI74" s="123"/>
      <c r="BJ74" s="170"/>
      <c r="BK74" s="36" t="s">
        <v>520</v>
      </c>
      <c r="BL74" s="36">
        <f t="shared" si="263"/>
        <v>45.0</v>
      </c>
      <c r="BM74" s="168"/>
      <c r="BN74" s="168">
        <f t="shared" si="264"/>
        <v>18.2</v>
      </c>
      <c r="BO74" s="168"/>
      <c r="BP74" s="168">
        <f t="shared" si="243"/>
        <v>26.8</v>
      </c>
      <c r="BQ74" s="126">
        <f t="shared" si="244"/>
        <v>74.27084</v>
      </c>
      <c r="BR74" s="168">
        <f t="shared" si="265"/>
        <v>20.8</v>
      </c>
      <c r="BS74" s="123"/>
      <c r="BT74" s="168">
        <f t="shared" si="266"/>
        <v>6.0</v>
      </c>
      <c r="BU74" s="126">
        <f t="shared" si="247"/>
        <v>16.6278</v>
      </c>
      <c r="BV74" s="168">
        <f t="shared" si="267"/>
        <v>20.8</v>
      </c>
      <c r="BW74" s="168"/>
      <c r="BX74" s="168">
        <f t="shared" si="268"/>
        <v>-14.8</v>
      </c>
      <c r="BY74" s="126">
        <f t="shared" si="250"/>
        <v>-41.01524</v>
      </c>
      <c r="BZ74" s="168">
        <f t="shared" si="269"/>
        <v>18.2</v>
      </c>
      <c r="CA74" s="168"/>
      <c r="CB74" s="168">
        <f t="shared" si="270"/>
        <v>-33.0</v>
      </c>
      <c r="CC74" s="126">
        <f t="shared" si="253"/>
        <v>-91.4529</v>
      </c>
      <c r="CD74" s="168">
        <f t="shared" si="271"/>
        <v>18.2</v>
      </c>
      <c r="CE74" s="168"/>
      <c r="CF74" s="168">
        <f t="shared" si="272"/>
        <v>-51.2</v>
      </c>
      <c r="CG74" s="126">
        <f t="shared" si="256"/>
        <v>-141.89056</v>
      </c>
      <c r="CH74" s="168">
        <f t="shared" si="273"/>
        <v>20.8</v>
      </c>
      <c r="CI74" s="168"/>
      <c r="CJ74" s="168">
        <f t="shared" si="274"/>
        <v>-72.0</v>
      </c>
      <c r="CK74" s="126">
        <f t="shared" si="259"/>
        <v>-199.5336</v>
      </c>
      <c r="CL74" s="36">
        <f t="shared" si="275"/>
        <v>72.0</v>
      </c>
      <c r="CM74" s="36">
        <f t="shared" si="276"/>
        <v>12.0</v>
      </c>
      <c r="CN74" s="36">
        <f t="shared" si="277"/>
        <v>12.0</v>
      </c>
      <c r="CO74" s="123">
        <f t="shared" si="278"/>
        <v>72.0</v>
      </c>
      <c r="CR74" s="123">
        <f>BX74</f>
        <v>-14.8</v>
      </c>
      <c r="CS74" s="168">
        <f t="shared" si="55"/>
        <v>2.46666666666665</v>
      </c>
      <c r="CT74" s="36">
        <f t="shared" si="56"/>
        <v>3.0</v>
      </c>
      <c r="CU74" s="123">
        <f t="shared" si="57"/>
        <v>18.0</v>
      </c>
      <c r="CW74" s="172">
        <f>CB74</f>
        <v>-33.0</v>
      </c>
      <c r="CX74" s="168">
        <f>(CW74/6)*-1</f>
        <v>5.5</v>
      </c>
      <c r="CY74" s="36">
        <f>ROUNDUP(CX74,0)</f>
        <v>6.0</v>
      </c>
      <c r="CZ74" s="123">
        <f>CY74*6</f>
        <v>36.0</v>
      </c>
      <c r="DB74" s="172">
        <f t="shared" ref="DB74:DB77" si="337">CF74</f>
        <v>-51.2</v>
      </c>
      <c r="DC74" s="168">
        <f t="shared" ref="DC74:DC77" si="338">(DB74/6)*-1</f>
        <v>8.53333333333333</v>
      </c>
      <c r="DD74" s="36">
        <f t="shared" ref="DD74:DD77" si="339">ROUNDUP(DC74,0)</f>
        <v>9.0</v>
      </c>
      <c r="DE74" s="123">
        <f t="shared" ref="DE74:DE77" si="340">DD74*6</f>
        <v>54.0</v>
      </c>
    </row>
    <row r="75">
      <c r="A75" s="163" t="s">
        <v>32</v>
      </c>
      <c r="B75" s="163" t="s">
        <v>110</v>
      </c>
      <c r="C75" s="180" t="s">
        <v>131</v>
      </c>
      <c r="D75" s="164">
        <v>43145.0</v>
      </c>
      <c r="E75" s="163">
        <v>0.0</v>
      </c>
      <c r="F75" s="163">
        <v>0.0</v>
      </c>
      <c r="G75" s="163">
        <v>0.0</v>
      </c>
      <c r="H75" s="163">
        <v>0.0</v>
      </c>
      <c r="I75" s="163">
        <v>24.0</v>
      </c>
      <c r="J75" s="163">
        <v>24.0</v>
      </c>
      <c r="K75" s="163">
        <v>24.0</v>
      </c>
      <c r="L75" s="163">
        <v>24.0</v>
      </c>
      <c r="M75" s="163">
        <v>36.0</v>
      </c>
      <c r="N75" s="163">
        <v>15.0</v>
      </c>
      <c r="O75" s="163">
        <v>18.0</v>
      </c>
      <c r="P75" s="163">
        <v>30.0</v>
      </c>
      <c r="Q75" s="163">
        <v>15.0</v>
      </c>
      <c r="R75" s="163">
        <v>18.0</v>
      </c>
      <c r="S75" s="163">
        <v>35.0</v>
      </c>
      <c r="T75" s="163">
        <v>9.0</v>
      </c>
      <c r="U75" s="163">
        <v>15.0</v>
      </c>
      <c r="V75" s="163">
        <v>24.0</v>
      </c>
      <c r="W75" s="163">
        <v>18.0</v>
      </c>
      <c r="X75" s="163">
        <v>37.0</v>
      </c>
      <c r="Y75" s="163">
        <v>19.0</v>
      </c>
      <c r="Z75" s="163">
        <v>18.0</v>
      </c>
      <c r="AA75" s="163">
        <v>9.0</v>
      </c>
      <c r="AB75" s="163">
        <v>18.0</v>
      </c>
      <c r="AC75" s="163">
        <v>27.0</v>
      </c>
      <c r="AD75" s="163">
        <v>27.0</v>
      </c>
      <c r="AE75" s="163">
        <v>27.0</v>
      </c>
      <c r="AF75" s="163">
        <v>33.0</v>
      </c>
      <c r="AG75" s="163">
        <v>13.0</v>
      </c>
      <c r="AH75" s="163">
        <v>0.0</v>
      </c>
      <c r="AI75" s="163">
        <v>3.0</v>
      </c>
      <c r="AJ75" s="163">
        <v>30.0</v>
      </c>
      <c r="AK75" s="163">
        <v>12.0</v>
      </c>
      <c r="AL75" s="163">
        <v>24.0</v>
      </c>
      <c r="AM75" s="163">
        <v>9.0</v>
      </c>
      <c r="AN75" s="163">
        <v>12.0</v>
      </c>
      <c r="AO75" s="163">
        <v>23.0</v>
      </c>
      <c r="AP75" s="163">
        <v>6.0</v>
      </c>
      <c r="AQ75" s="163">
        <v>27.0</v>
      </c>
      <c r="AR75" s="163">
        <v>6.0</v>
      </c>
      <c r="AS75" s="163">
        <v>22.0</v>
      </c>
      <c r="AT75" s="139">
        <f t="shared" si="4"/>
        <v>174.0</v>
      </c>
      <c r="AU75" s="139">
        <f t="shared" si="232"/>
        <v>78.0</v>
      </c>
      <c r="AV75" s="139">
        <f t="shared" si="6"/>
        <v>85.8</v>
      </c>
      <c r="AW75" s="36">
        <f t="shared" ref="AW75:AW76" si="341">AV75*$AW$4/$AV$4+3*$AW$63</f>
        <v>19.1333333333333</v>
      </c>
      <c r="AX75" s="36">
        <f t="shared" ref="AX75:AX76" si="342">AV75*$AX$4/$AV$4+3*$AX$63</f>
        <v>21.8666666666667</v>
      </c>
      <c r="AY75" s="36">
        <f t="shared" ref="AY75:AY76" si="343">AV75*$AY$4/$AV$4+3*$AY$63</f>
        <v>21.8666666666667</v>
      </c>
      <c r="AZ75" s="36">
        <f t="shared" ref="AZ75:AZ76" si="344">AV75*$AZ$4/$AV$4+3*$AZ$63</f>
        <v>19.1333333333333</v>
      </c>
      <c r="BA75" s="36">
        <f t="shared" ref="BA75:BA76" si="345">AV75*$BA$4/$AV$4+3*$BA$63</f>
        <v>19.1333333333333</v>
      </c>
      <c r="BB75" s="36">
        <f t="shared" ref="BB75:BB76" si="346">AV75*$BB$4/$AV$4+3*$BB$63</f>
        <v>21.8666666666667</v>
      </c>
      <c r="BC75" s="166">
        <f t="shared" si="240"/>
        <v>123.0</v>
      </c>
      <c r="BD75" s="123">
        <f>VLOOKUP(C75,SOHFEB23,3,false)</f>
        <v>94.0</v>
      </c>
      <c r="BE75" s="167">
        <f>VLOOKUP(D75,VALUEFEB23,4,false)</f>
        <v>2.7484</v>
      </c>
      <c r="BF75" s="124">
        <f t="shared" si="16"/>
        <v>258.3496</v>
      </c>
      <c r="BG75" s="168"/>
      <c r="BH75" s="168">
        <f t="shared" si="262"/>
        <v>-29.0</v>
      </c>
      <c r="BI75" s="123"/>
      <c r="BJ75" s="170"/>
      <c r="BK75" s="36" t="s">
        <v>5</v>
      </c>
      <c r="BL75" s="36">
        <f t="shared" si="263"/>
        <v>94.0</v>
      </c>
      <c r="BM75" s="168"/>
      <c r="BN75" s="168">
        <f t="shared" si="264"/>
        <v>19.1333333333333</v>
      </c>
      <c r="BO75" s="168"/>
      <c r="BP75" s="168">
        <f t="shared" si="243"/>
        <v>74.8666666666667</v>
      </c>
      <c r="BQ75" s="126">
        <f t="shared" si="244"/>
        <v>205.763546666667</v>
      </c>
      <c r="BR75" s="168">
        <f t="shared" si="265"/>
        <v>21.8666666666667</v>
      </c>
      <c r="BS75" s="123"/>
      <c r="BT75" s="168">
        <f t="shared" si="266"/>
        <v>53.0</v>
      </c>
      <c r="BU75" s="126">
        <f t="shared" si="247"/>
        <v>145.6652</v>
      </c>
      <c r="BV75" s="168">
        <f t="shared" si="267"/>
        <v>21.8666666666667</v>
      </c>
      <c r="BW75" s="168"/>
      <c r="BX75" s="168">
        <f t="shared" si="268"/>
        <v>31.1333333333333</v>
      </c>
      <c r="BY75" s="126">
        <f t="shared" si="250"/>
        <v>85.5668533333332</v>
      </c>
      <c r="BZ75" s="168">
        <f t="shared" si="269"/>
        <v>19.1333333333333</v>
      </c>
      <c r="CA75" s="168"/>
      <c r="CB75" s="168">
        <f t="shared" si="270"/>
        <v>12.0</v>
      </c>
      <c r="CC75" s="126">
        <f t="shared" si="253"/>
        <v>32.9808</v>
      </c>
      <c r="CD75" s="168">
        <f t="shared" si="271"/>
        <v>19.1333333333333</v>
      </c>
      <c r="CE75" s="168"/>
      <c r="CF75" s="168">
        <f t="shared" si="272"/>
        <v>-7.1333333333333</v>
      </c>
      <c r="CG75" s="126">
        <f t="shared" si="256"/>
        <v>-19.6052533333332</v>
      </c>
      <c r="CH75" s="168">
        <f t="shared" si="273"/>
        <v>21.8666666666667</v>
      </c>
      <c r="CI75" s="168"/>
      <c r="CJ75" s="168">
        <f t="shared" si="274"/>
        <v>-29.0</v>
      </c>
      <c r="CK75" s="126">
        <f t="shared" si="259"/>
        <v>-79.7036</v>
      </c>
      <c r="CL75" s="36">
        <f t="shared" si="275"/>
        <v>29.0</v>
      </c>
      <c r="CM75" s="36">
        <f t="shared" si="276"/>
        <v>4.83333333333333</v>
      </c>
      <c r="CN75" s="36">
        <f t="shared" si="277"/>
        <v>5.0</v>
      </c>
      <c r="CO75" s="123">
        <f t="shared" si="278"/>
        <v>30.0</v>
      </c>
      <c r="CR75" s="123">
        <f t="shared" ref="CR75:CR76" si="347">CF75</f>
        <v>-7.1333333333333</v>
      </c>
      <c r="CS75" s="168">
        <f t="shared" si="55"/>
        <v>1.18888888888888</v>
      </c>
      <c r="CT75" s="36">
        <f t="shared" si="56"/>
        <v>2.0</v>
      </c>
      <c r="CU75" s="123">
        <f t="shared" si="57"/>
        <v>12.0</v>
      </c>
      <c r="DB75" s="172">
        <f t="shared" si="337"/>
        <v>-7.1333333333333</v>
      </c>
      <c r="DC75" s="168">
        <f t="shared" si="338"/>
        <v>1.18888888888888</v>
      </c>
      <c r="DD75" s="36">
        <f t="shared" si="339"/>
        <v>2.0</v>
      </c>
      <c r="DE75" s="123">
        <f t="shared" si="340"/>
        <v>12.0</v>
      </c>
    </row>
    <row r="76">
      <c r="A76" s="163" t="s">
        <v>32</v>
      </c>
      <c r="B76" s="163" t="s">
        <v>110</v>
      </c>
      <c r="C76" s="180" t="s">
        <v>132</v>
      </c>
      <c r="D76" s="164">
        <v>43150.0</v>
      </c>
      <c r="E76" s="163">
        <v>0.0</v>
      </c>
      <c r="F76" s="163">
        <v>0.0</v>
      </c>
      <c r="G76" s="163">
        <v>0.0</v>
      </c>
      <c r="H76" s="163">
        <v>0.0</v>
      </c>
      <c r="I76" s="163">
        <v>0.0</v>
      </c>
      <c r="J76" s="163">
        <v>0.0</v>
      </c>
      <c r="K76" s="163">
        <v>0.0</v>
      </c>
      <c r="L76" s="163">
        <v>0.0</v>
      </c>
      <c r="M76" s="163">
        <v>0.0</v>
      </c>
      <c r="N76" s="163">
        <v>0.0</v>
      </c>
      <c r="O76" s="163">
        <v>0.0</v>
      </c>
      <c r="P76" s="163">
        <v>0.0</v>
      </c>
      <c r="Q76" s="163">
        <v>0.0</v>
      </c>
      <c r="R76" s="163">
        <v>9.0</v>
      </c>
      <c r="S76" s="163">
        <v>39.0</v>
      </c>
      <c r="T76" s="163">
        <v>9.0</v>
      </c>
      <c r="U76" s="163">
        <v>15.0</v>
      </c>
      <c r="V76" s="163">
        <v>24.0</v>
      </c>
      <c r="W76" s="163">
        <v>12.0</v>
      </c>
      <c r="X76" s="163">
        <v>4.0</v>
      </c>
      <c r="Y76" s="163">
        <v>9.0</v>
      </c>
      <c r="Z76" s="163">
        <v>3.0</v>
      </c>
      <c r="AA76" s="163">
        <v>3.0</v>
      </c>
      <c r="AB76" s="163">
        <v>9.0</v>
      </c>
      <c r="AC76" s="163">
        <v>21.0</v>
      </c>
      <c r="AD76" s="163">
        <v>21.0</v>
      </c>
      <c r="AE76" s="163">
        <v>9.0</v>
      </c>
      <c r="AF76" s="163">
        <v>15.0</v>
      </c>
      <c r="AG76" s="163">
        <v>21.0</v>
      </c>
      <c r="AH76" s="163">
        <v>2.0</v>
      </c>
      <c r="AI76" s="163">
        <v>3.0</v>
      </c>
      <c r="AJ76" s="163">
        <v>15.0</v>
      </c>
      <c r="AK76" s="163">
        <v>0.0</v>
      </c>
      <c r="AL76" s="163">
        <v>21.0</v>
      </c>
      <c r="AM76" s="163">
        <v>3.0</v>
      </c>
      <c r="AN76" s="163">
        <v>6.0</v>
      </c>
      <c r="AO76" s="163">
        <v>21.0</v>
      </c>
      <c r="AP76" s="163">
        <v>6.0</v>
      </c>
      <c r="AQ76" s="163">
        <v>0.0</v>
      </c>
      <c r="AR76" s="163">
        <v>6.0</v>
      </c>
      <c r="AS76" s="163">
        <v>4.0</v>
      </c>
      <c r="AT76" s="139">
        <f t="shared" si="4"/>
        <v>87.0</v>
      </c>
      <c r="AU76" s="139">
        <f t="shared" si="232"/>
        <v>44.0</v>
      </c>
      <c r="AV76" s="139">
        <f t="shared" si="6"/>
        <v>48.4</v>
      </c>
      <c r="AW76" s="36">
        <f t="shared" si="341"/>
        <v>13.8444444444444</v>
      </c>
      <c r="AX76" s="36">
        <f t="shared" si="342"/>
        <v>15.8222222222222</v>
      </c>
      <c r="AY76" s="36">
        <f t="shared" si="343"/>
        <v>15.8222222222222</v>
      </c>
      <c r="AZ76" s="36">
        <f t="shared" si="344"/>
        <v>13.8444444444444</v>
      </c>
      <c r="BA76" s="36">
        <f t="shared" si="345"/>
        <v>13.8444444444444</v>
      </c>
      <c r="BB76" s="36">
        <f t="shared" si="346"/>
        <v>15.8222222222222</v>
      </c>
      <c r="BC76" s="166">
        <f t="shared" si="240"/>
        <v>88.9999999999998</v>
      </c>
      <c r="BD76" s="123">
        <f>VLOOKUP(C76,SOHFEB23,3,false)</f>
        <v>66.0</v>
      </c>
      <c r="BE76" s="167">
        <f>VLOOKUP(D76,VALUEFEB23,4,false)</f>
        <v>2.7111</v>
      </c>
      <c r="BF76" s="124">
        <f t="shared" si="16"/>
        <v>178.9326</v>
      </c>
      <c r="BG76" s="168"/>
      <c r="BH76" s="168">
        <f t="shared" si="262"/>
        <v>-22.9999999999998</v>
      </c>
      <c r="BI76" s="123"/>
      <c r="BJ76" s="170"/>
      <c r="BK76" s="36" t="s">
        <v>5</v>
      </c>
      <c r="BL76" s="36">
        <f t="shared" si="263"/>
        <v>66.0</v>
      </c>
      <c r="BM76" s="168"/>
      <c r="BN76" s="168">
        <f t="shared" si="264"/>
        <v>13.8444444444444</v>
      </c>
      <c r="BO76" s="168"/>
      <c r="BP76" s="168">
        <f t="shared" si="243"/>
        <v>52.1555555555556</v>
      </c>
      <c r="BQ76" s="126">
        <f t="shared" si="244"/>
        <v>141.398926666667</v>
      </c>
      <c r="BR76" s="168">
        <f t="shared" si="265"/>
        <v>15.8222222222222</v>
      </c>
      <c r="BS76" s="123"/>
      <c r="BT76" s="168">
        <f t="shared" si="266"/>
        <v>36.3333333333334</v>
      </c>
      <c r="BU76" s="126">
        <f t="shared" si="247"/>
        <v>98.5033000000001</v>
      </c>
      <c r="BV76" s="168">
        <f t="shared" si="267"/>
        <v>15.8222222222222</v>
      </c>
      <c r="BW76" s="168"/>
      <c r="BX76" s="168">
        <f t="shared" si="268"/>
        <v>20.5111111111111</v>
      </c>
      <c r="BY76" s="126">
        <f t="shared" si="250"/>
        <v>55.6076733333333</v>
      </c>
      <c r="BZ76" s="168">
        <f t="shared" si="269"/>
        <v>13.8444444444444</v>
      </c>
      <c r="CA76" s="168"/>
      <c r="CB76" s="168">
        <f t="shared" si="270"/>
        <v>6.6666666666667</v>
      </c>
      <c r="CC76" s="126">
        <f t="shared" si="253"/>
        <v>18.074</v>
      </c>
      <c r="CD76" s="168">
        <f t="shared" si="271"/>
        <v>13.8444444444444</v>
      </c>
      <c r="CE76" s="168"/>
      <c r="CF76" s="168">
        <f t="shared" si="272"/>
        <v>-7.1777777777777</v>
      </c>
      <c r="CG76" s="126">
        <f t="shared" si="256"/>
        <v>-19.4596733333331</v>
      </c>
      <c r="CH76" s="168">
        <f t="shared" si="273"/>
        <v>15.8222222222222</v>
      </c>
      <c r="CI76" s="168"/>
      <c r="CJ76" s="168">
        <f t="shared" si="274"/>
        <v>-22.9999999999999</v>
      </c>
      <c r="CK76" s="126">
        <f t="shared" si="259"/>
        <v>-62.3552999999997</v>
      </c>
      <c r="CL76" s="36">
        <f t="shared" si="275"/>
        <v>22.9999999999999</v>
      </c>
      <c r="CM76" s="36">
        <f t="shared" si="276"/>
        <v>3.83333333333331</v>
      </c>
      <c r="CN76" s="36">
        <f t="shared" si="277"/>
        <v>4.0</v>
      </c>
      <c r="CO76" s="123">
        <f t="shared" si="278"/>
        <v>24.0</v>
      </c>
      <c r="CR76" s="123">
        <f t="shared" si="347"/>
        <v>-7.1777777777777</v>
      </c>
      <c r="CS76" s="168">
        <f t="shared" si="55"/>
        <v>1.19629629629628</v>
      </c>
      <c r="CT76" s="36">
        <f t="shared" si="56"/>
        <v>2.0</v>
      </c>
      <c r="CU76" s="123">
        <f t="shared" si="57"/>
        <v>12.0</v>
      </c>
      <c r="DB76" s="172">
        <f t="shared" si="337"/>
        <v>-7.1777777777777</v>
      </c>
      <c r="DC76" s="168">
        <f t="shared" si="338"/>
        <v>1.19629629629628</v>
      </c>
      <c r="DD76" s="36">
        <f t="shared" si="339"/>
        <v>2.0</v>
      </c>
      <c r="DE76" s="123">
        <f t="shared" si="340"/>
        <v>12.0</v>
      </c>
    </row>
    <row r="77">
      <c r="A77" s="163" t="s">
        <v>32</v>
      </c>
      <c r="B77" s="163" t="s">
        <v>110</v>
      </c>
      <c r="C77" s="163" t="s">
        <v>133</v>
      </c>
      <c r="D77" s="164">
        <v>43190.0</v>
      </c>
      <c r="E77" s="163">
        <v>0.0</v>
      </c>
      <c r="F77" s="163">
        <v>0.0</v>
      </c>
      <c r="G77" s="163">
        <v>0.0</v>
      </c>
      <c r="H77" s="163">
        <v>0.0</v>
      </c>
      <c r="I77" s="163">
        <v>0.0</v>
      </c>
      <c r="J77" s="163">
        <v>0.0</v>
      </c>
      <c r="K77" s="163">
        <v>0.0</v>
      </c>
      <c r="L77" s="163">
        <v>0.0</v>
      </c>
      <c r="M77" s="163">
        <v>0.0</v>
      </c>
      <c r="N77" s="163">
        <v>6.0</v>
      </c>
      <c r="O77" s="163">
        <v>18.0</v>
      </c>
      <c r="P77" s="163">
        <v>39.0</v>
      </c>
      <c r="Q77" s="163">
        <v>12.0</v>
      </c>
      <c r="R77" s="163">
        <v>21.0</v>
      </c>
      <c r="S77" s="163">
        <v>12.0</v>
      </c>
      <c r="T77" s="163">
        <v>9.0</v>
      </c>
      <c r="U77" s="163">
        <v>6.0</v>
      </c>
      <c r="V77" s="163">
        <v>33.0</v>
      </c>
      <c r="W77" s="163">
        <v>36.0</v>
      </c>
      <c r="X77" s="163">
        <v>1.0</v>
      </c>
      <c r="Y77" s="163">
        <v>18.0</v>
      </c>
      <c r="Z77" s="163">
        <v>10.0</v>
      </c>
      <c r="AA77" s="163">
        <v>24.0</v>
      </c>
      <c r="AB77" s="163">
        <v>30.0</v>
      </c>
      <c r="AC77" s="163">
        <v>24.0</v>
      </c>
      <c r="AD77" s="163">
        <v>33.0</v>
      </c>
      <c r="AE77" s="163">
        <v>9.0</v>
      </c>
      <c r="AF77" s="163">
        <v>18.0</v>
      </c>
      <c r="AG77" s="163">
        <v>0.0</v>
      </c>
      <c r="AH77" s="163">
        <v>9.0</v>
      </c>
      <c r="AI77" s="163">
        <v>3.0</v>
      </c>
      <c r="AJ77" s="163">
        <v>24.0</v>
      </c>
      <c r="AK77" s="163">
        <v>12.0</v>
      </c>
      <c r="AL77" s="163">
        <v>15.0</v>
      </c>
      <c r="AM77" s="163">
        <v>10.0</v>
      </c>
      <c r="AN77" s="163">
        <v>0.0</v>
      </c>
      <c r="AO77" s="163">
        <v>33.0</v>
      </c>
      <c r="AP77" s="163">
        <v>6.0</v>
      </c>
      <c r="AQ77" s="163">
        <v>9.0</v>
      </c>
      <c r="AR77" s="163">
        <v>0.0</v>
      </c>
      <c r="AS77" s="163">
        <v>0.0</v>
      </c>
      <c r="AT77" s="139">
        <f t="shared" si="4"/>
        <v>121.0</v>
      </c>
      <c r="AU77" s="139">
        <f t="shared" si="232"/>
        <v>73.0</v>
      </c>
      <c r="AV77" s="139">
        <f t="shared" si="6"/>
        <v>80.3</v>
      </c>
      <c r="AW77" s="36">
        <f t="shared" ref="AW77:AW78" si="348">AV77*$AW$4/$AV$4</f>
        <v>11.355555555556</v>
      </c>
      <c r="AX77" s="36">
        <f t="shared" ref="AX77:AX78" si="349">AV77*$AX$4/$AV$4</f>
        <v>12.9777777777778</v>
      </c>
      <c r="AY77" s="36">
        <f t="shared" ref="AY77:AY78" si="350">AV77*$AY$4/$AV$4</f>
        <v>12.9777777777778</v>
      </c>
      <c r="AZ77" s="36">
        <f t="shared" ref="AZ77:AZ78" si="351">AV77*$AZ$4/$AV$4</f>
        <v>11.355555555556</v>
      </c>
      <c r="BA77" s="36">
        <f t="shared" ref="BA77:BA78" si="352">AV77*$BA$4/$AV$4</f>
        <v>11.355555555556</v>
      </c>
      <c r="BB77" s="36">
        <f t="shared" ref="BB77:BB78" si="353">AV77*$BB$4/$AV$4</f>
        <v>12.9777777777778</v>
      </c>
      <c r="BC77" s="166">
        <f t="shared" si="240"/>
        <v>73.0000000000014</v>
      </c>
      <c r="BD77" s="123">
        <f>VLOOKUP(C77,SOHFEB23,3,false)</f>
        <v>0.0</v>
      </c>
      <c r="BE77" s="167">
        <f>VLOOKUP(D77,VALUEFEB23,4,false)</f>
      </c>
      <c r="BF77" s="124">
        <f t="shared" si="16"/>
        <v>0.0</v>
      </c>
      <c r="BG77" s="168"/>
      <c r="BH77" s="168">
        <f t="shared" si="262"/>
        <v>-73.0000000000014</v>
      </c>
      <c r="BI77" s="123"/>
      <c r="BJ77" s="170"/>
      <c r="BK77" s="36" t="s">
        <v>73</v>
      </c>
      <c r="BL77" s="36">
        <f t="shared" si="263"/>
        <v>0.0</v>
      </c>
      <c r="BM77" s="168"/>
      <c r="BN77" s="168">
        <f t="shared" si="264"/>
        <v>11.355555555556</v>
      </c>
      <c r="BO77" s="168"/>
      <c r="BP77" s="168">
        <f t="shared" si="243"/>
        <v>-11.355555555556</v>
      </c>
      <c r="BQ77" s="126">
        <f t="shared" si="244"/>
        <v>0.0</v>
      </c>
      <c r="BR77" s="168">
        <f t="shared" si="265"/>
        <v>12.9777777777778</v>
      </c>
      <c r="BS77" s="123"/>
      <c r="BT77" s="168">
        <f t="shared" si="266"/>
        <v>-24.333333333333</v>
      </c>
      <c r="BU77" s="126">
        <f t="shared" si="247"/>
        <v>0.0</v>
      </c>
      <c r="BV77" s="168">
        <f t="shared" si="267"/>
        <v>12.9777777777778</v>
      </c>
      <c r="BW77" s="168"/>
      <c r="BX77" s="168">
        <f t="shared" si="268"/>
        <v>-37.3111111111108</v>
      </c>
      <c r="BY77" s="126">
        <f t="shared" si="250"/>
        <v>0.0</v>
      </c>
      <c r="BZ77" s="168">
        <f t="shared" si="269"/>
        <v>11.355555555556</v>
      </c>
      <c r="CA77" s="168"/>
      <c r="CB77" s="168">
        <f t="shared" si="270"/>
        <v>-48.6666666666668</v>
      </c>
      <c r="CC77" s="126">
        <f t="shared" si="253"/>
        <v>0.0</v>
      </c>
      <c r="CD77" s="168">
        <f t="shared" si="271"/>
        <v>11.355555555556</v>
      </c>
      <c r="CE77" s="168"/>
      <c r="CF77" s="168">
        <f t="shared" si="272"/>
        <v>-60.0222222222228</v>
      </c>
      <c r="CG77" s="126">
        <f t="shared" si="256"/>
        <v>0.0</v>
      </c>
      <c r="CH77" s="168">
        <f t="shared" si="273"/>
        <v>12.9777777777778</v>
      </c>
      <c r="CI77" s="168"/>
      <c r="CJ77" s="168">
        <f t="shared" si="274"/>
        <v>-73.0000000000006</v>
      </c>
      <c r="CK77" s="126">
        <f t="shared" si="259"/>
        <v>0.0</v>
      </c>
      <c r="CL77" s="36">
        <f t="shared" si="275"/>
        <v>73.0000000000006</v>
      </c>
      <c r="CM77" s="36">
        <f t="shared" si="276"/>
        <v>12.1666666666668</v>
      </c>
      <c r="CN77" s="36">
        <f t="shared" si="277"/>
        <v>13.0</v>
      </c>
      <c r="CO77" s="123">
        <f t="shared" si="278"/>
        <v>78.0</v>
      </c>
      <c r="CR77" s="123">
        <f>BX77</f>
        <v>-37.3111111111108</v>
      </c>
      <c r="CS77" s="168">
        <f t="shared" si="55"/>
        <v>6.21851851851845</v>
      </c>
      <c r="CT77" s="36">
        <f t="shared" si="56"/>
        <v>7.0</v>
      </c>
      <c r="CU77" s="123">
        <f t="shared" si="57"/>
        <v>42.0</v>
      </c>
      <c r="CW77" s="172">
        <f>CB77</f>
        <v>-48.6666666666668</v>
      </c>
      <c r="CX77" s="168">
        <f>(CW77/6)*-1</f>
        <v>8.11111111111113</v>
      </c>
      <c r="CY77" s="36">
        <f>ROUNDUP(CX77,0)</f>
        <v>9.0</v>
      </c>
      <c r="CZ77" s="123">
        <f>CY77*6</f>
        <v>54.0</v>
      </c>
      <c r="DB77" s="172">
        <f t="shared" si="337"/>
        <v>-60.0222222222228</v>
      </c>
      <c r="DC77" s="168">
        <f t="shared" si="338"/>
        <v>10.0037037037038</v>
      </c>
      <c r="DD77" s="36">
        <f t="shared" si="339"/>
        <v>11.0</v>
      </c>
      <c r="DE77" s="123">
        <f t="shared" si="340"/>
        <v>66.0</v>
      </c>
    </row>
    <row r="78">
      <c r="A78" s="163" t="s">
        <v>32</v>
      </c>
      <c r="B78" s="163" t="s">
        <v>110</v>
      </c>
      <c r="C78" s="163" t="s">
        <v>111</v>
      </c>
      <c r="D78" s="164" t="s">
        <v>112</v>
      </c>
      <c r="E78" s="163">
        <v>0.0</v>
      </c>
      <c r="F78" s="163">
        <v>0.0</v>
      </c>
      <c r="G78" s="163">
        <v>0.0</v>
      </c>
      <c r="H78" s="163">
        <v>0.0</v>
      </c>
      <c r="I78" s="163">
        <v>0.0</v>
      </c>
      <c r="J78" s="163">
        <v>0.0</v>
      </c>
      <c r="K78" s="163">
        <v>0.0</v>
      </c>
      <c r="L78" s="163">
        <v>0.0</v>
      </c>
      <c r="M78" s="163">
        <v>0.0</v>
      </c>
      <c r="N78" s="163">
        <v>0.0</v>
      </c>
      <c r="O78" s="163">
        <v>0.0</v>
      </c>
      <c r="P78" s="163">
        <v>8.0</v>
      </c>
      <c r="Q78" s="163">
        <v>26.0</v>
      </c>
      <c r="R78" s="163">
        <v>34.0</v>
      </c>
      <c r="S78" s="163">
        <v>16.0</v>
      </c>
      <c r="T78" s="163">
        <v>0.0</v>
      </c>
      <c r="U78" s="163">
        <v>26.0</v>
      </c>
      <c r="V78" s="163">
        <v>38.0</v>
      </c>
      <c r="W78" s="163">
        <v>7.0</v>
      </c>
      <c r="X78" s="163">
        <v>17.0</v>
      </c>
      <c r="Y78" s="163">
        <v>17.0</v>
      </c>
      <c r="Z78" s="163">
        <v>18.0</v>
      </c>
      <c r="AA78" s="163">
        <v>21.0</v>
      </c>
      <c r="AB78" s="181">
        <v>24.0</v>
      </c>
      <c r="AC78" s="181">
        <v>18.0</v>
      </c>
      <c r="AD78" s="181">
        <v>13.0</v>
      </c>
      <c r="AE78" s="181">
        <v>18.0</v>
      </c>
      <c r="AF78" s="181">
        <v>18.0</v>
      </c>
      <c r="AG78" s="181">
        <v>3.0</v>
      </c>
      <c r="AH78" s="181">
        <v>8.0</v>
      </c>
      <c r="AI78" s="181">
        <v>14.0</v>
      </c>
      <c r="AJ78" s="181">
        <v>8.0</v>
      </c>
      <c r="AK78" s="181">
        <v>5.0</v>
      </c>
      <c r="AL78" s="181">
        <v>7.0</v>
      </c>
      <c r="AM78" s="181">
        <v>8.0</v>
      </c>
      <c r="AN78" s="181">
        <v>11.0</v>
      </c>
      <c r="AO78" s="181">
        <v>18.0</v>
      </c>
      <c r="AP78" s="181">
        <v>15.0</v>
      </c>
      <c r="AQ78" s="181">
        <v>9.0</v>
      </c>
      <c r="AR78" s="181">
        <v>6.0</v>
      </c>
      <c r="AS78" s="181">
        <v>22.0</v>
      </c>
      <c r="AT78" s="139">
        <f t="shared" si="4"/>
        <v>131.0</v>
      </c>
      <c r="AU78" s="139">
        <f t="shared" si="232"/>
        <v>50.0</v>
      </c>
      <c r="AV78" s="139">
        <f t="shared" si="6"/>
        <v>55.0</v>
      </c>
      <c r="AW78" s="165">
        <f t="shared" si="348"/>
        <v>7.777777777778</v>
      </c>
      <c r="AX78" s="165">
        <f t="shared" si="349"/>
        <v>8.88888888888889</v>
      </c>
      <c r="AY78" s="165">
        <f t="shared" si="350"/>
        <v>8.88888888888889</v>
      </c>
      <c r="AZ78" s="165">
        <f t="shared" si="351"/>
        <v>7.777777777778</v>
      </c>
      <c r="BA78" s="165">
        <f t="shared" si="352"/>
        <v>7.777777777778</v>
      </c>
      <c r="BB78" s="165">
        <f t="shared" si="353"/>
        <v>8.88888888888889</v>
      </c>
      <c r="BC78" s="166">
        <f t="shared" si="240"/>
        <v>50.0</v>
      </c>
      <c r="BD78" s="123">
        <f>VLOOKUP(C78,SOHFEB23,3,false)</f>
        <v>3.0</v>
      </c>
      <c r="BE78" s="167">
        <f>VLOOKUP(D78,VALUEFEB23,4,false)</f>
        <v>66.04</v>
      </c>
      <c r="BF78" s="124">
        <f t="shared" si="16"/>
        <v>198.12</v>
      </c>
      <c r="BH78" s="168"/>
      <c r="BI78" s="123"/>
      <c r="BM78" s="168"/>
      <c r="BN78" s="168"/>
      <c r="BO78" s="168"/>
      <c r="BP78" s="168">
        <f t="shared" si="243"/>
        <v>0.0</v>
      </c>
      <c r="BQ78" s="126">
        <f t="shared" si="244"/>
        <v>0.0</v>
      </c>
      <c r="BR78" s="168"/>
      <c r="BT78" s="168"/>
      <c r="BU78" s="126">
        <f t="shared" si="247"/>
        <v>0.0</v>
      </c>
      <c r="BV78" s="168"/>
      <c r="BW78" s="168"/>
      <c r="BX78" s="168"/>
      <c r="BY78" s="126">
        <f t="shared" si="250"/>
        <v>0.0</v>
      </c>
      <c r="BZ78" s="168"/>
      <c r="CA78" s="168"/>
      <c r="CB78" s="168"/>
      <c r="CC78" s="126">
        <f t="shared" si="253"/>
        <v>0.0</v>
      </c>
      <c r="CD78" s="168"/>
      <c r="CE78" s="168"/>
      <c r="CF78" s="168"/>
      <c r="CG78" s="126">
        <f t="shared" si="256"/>
        <v>0.0</v>
      </c>
      <c r="CH78" s="168"/>
      <c r="CI78" s="168"/>
      <c r="CJ78" s="168"/>
      <c r="CK78" s="126">
        <f t="shared" si="259"/>
        <v>0.0</v>
      </c>
      <c r="CR78" s="123"/>
      <c r="CS78" s="168">
        <f t="shared" si="55"/>
        <v>0.0</v>
      </c>
      <c r="CT78" s="36">
        <f t="shared" si="56"/>
        <v>0.0</v>
      </c>
      <c r="CU78" s="123">
        <f t="shared" si="57"/>
        <v>0.0</v>
      </c>
    </row>
    <row r="79">
      <c r="A79" s="163" t="s">
        <v>32</v>
      </c>
      <c r="B79" s="163" t="s">
        <v>110</v>
      </c>
      <c r="C79" s="163" t="s">
        <v>113</v>
      </c>
      <c r="D79" s="164" t="s">
        <v>114</v>
      </c>
      <c r="E79" s="163">
        <v>0.0</v>
      </c>
      <c r="F79" s="163">
        <v>0.0</v>
      </c>
      <c r="G79" s="163">
        <v>0.0</v>
      </c>
      <c r="H79" s="163">
        <v>0.0</v>
      </c>
      <c r="I79" s="163">
        <v>0.0</v>
      </c>
      <c r="J79" s="163">
        <v>0.0</v>
      </c>
      <c r="K79" s="163">
        <v>0.0</v>
      </c>
      <c r="L79" s="163">
        <v>0.0</v>
      </c>
      <c r="M79" s="163">
        <v>0.0</v>
      </c>
      <c r="N79" s="163">
        <v>0.0</v>
      </c>
      <c r="O79" s="163">
        <v>0.0</v>
      </c>
      <c r="P79" s="163">
        <v>0.0</v>
      </c>
      <c r="Q79" s="163">
        <v>0.0</v>
      </c>
      <c r="R79" s="163">
        <v>0.0</v>
      </c>
      <c r="S79" s="163">
        <v>1.0</v>
      </c>
      <c r="T79" s="163">
        <v>0.0</v>
      </c>
      <c r="U79" s="163">
        <v>0.0</v>
      </c>
      <c r="V79" s="163">
        <v>0.0</v>
      </c>
      <c r="W79" s="163">
        <v>0.0</v>
      </c>
      <c r="X79" s="163">
        <v>0.0</v>
      </c>
      <c r="Y79" s="163">
        <v>0.0</v>
      </c>
      <c r="Z79" s="163">
        <v>1.0</v>
      </c>
      <c r="AA79" s="163">
        <v>0.0</v>
      </c>
      <c r="AB79" s="163">
        <v>0.0</v>
      </c>
      <c r="AC79" s="163">
        <v>0.0</v>
      </c>
      <c r="AD79" s="163">
        <v>0.0</v>
      </c>
      <c r="AE79" s="163">
        <v>0.0</v>
      </c>
      <c r="AF79" s="163">
        <v>0.0</v>
      </c>
      <c r="AG79" s="163">
        <v>0.0</v>
      </c>
      <c r="AH79" s="163">
        <v>0.0</v>
      </c>
      <c r="AI79" s="163">
        <v>0.0</v>
      </c>
      <c r="AJ79" s="163">
        <v>0.0</v>
      </c>
      <c r="AK79" s="163">
        <v>0.0</v>
      </c>
      <c r="AL79" s="163">
        <v>0.0</v>
      </c>
      <c r="AM79" s="163">
        <v>0.0</v>
      </c>
      <c r="AN79" s="163">
        <v>0.0</v>
      </c>
      <c r="AO79" s="163">
        <v>0.0</v>
      </c>
      <c r="AP79" s="163">
        <v>0.0</v>
      </c>
      <c r="AQ79" s="163">
        <v>0.0</v>
      </c>
      <c r="AR79" s="163">
        <v>0.0</v>
      </c>
      <c r="AS79" s="163">
        <v>0.0</v>
      </c>
      <c r="AT79" s="139">
        <f t="shared" si="4"/>
        <v>0.0</v>
      </c>
      <c r="AU79" s="139">
        <f t="shared" si="232"/>
        <v>0.0</v>
      </c>
      <c r="AV79" s="139">
        <f t="shared" si="6"/>
        <v>0.0</v>
      </c>
      <c r="AW79" s="173">
        <f>AW78</f>
        <v>7.777777777778</v>
      </c>
      <c r="AX79" s="173">
        <f>AX78</f>
        <v>8.88888888888889</v>
      </c>
      <c r="AY79" s="173">
        <f>AY78</f>
        <v>8.88888888888889</v>
      </c>
      <c r="AZ79" s="173">
        <f>AZ78</f>
        <v>7.777777777778</v>
      </c>
      <c r="BA79" s="173">
        <f>BA78</f>
        <v>7.777777777778</v>
      </c>
      <c r="BB79" s="173">
        <f>BB78</f>
        <v>8.88888888888889</v>
      </c>
      <c r="BC79" s="166">
        <f t="shared" si="240"/>
        <v>50.0</v>
      </c>
      <c r="BD79" s="123">
        <f>VLOOKUP(C79,SOHFEB23,3,false)</f>
        <v>71.0</v>
      </c>
      <c r="BE79" s="167">
        <f>VLOOKUP(D79,VALUEFEB23,4,false)</f>
        <v>11.9845</v>
      </c>
      <c r="BF79" s="124">
        <f t="shared" si="16"/>
        <v>850.8995</v>
      </c>
      <c r="BH79" s="168">
        <f t="shared" ref="BH79:BH97" si="365">BD79+BG79-BC79</f>
        <v>21.0</v>
      </c>
      <c r="BI79" s="123"/>
      <c r="BJ79" s="170"/>
      <c r="BL79" s="36">
        <f t="shared" ref="BL79:BL97" si="366">BD79</f>
        <v>71.0</v>
      </c>
      <c r="BM79" s="168"/>
      <c r="BN79" s="168">
        <f t="shared" ref="BN79:BN80" si="367">AW79</f>
        <v>7.777777777778</v>
      </c>
      <c r="BO79" s="168"/>
      <c r="BP79" s="168">
        <f t="shared" si="243"/>
        <v>63.222222222222</v>
      </c>
      <c r="BQ79" s="126">
        <f t="shared" si="244"/>
        <v>757.68672222222</v>
      </c>
      <c r="BR79" s="168">
        <f t="shared" ref="BR79:BR80" si="368">AX79</f>
        <v>8.88888888888889</v>
      </c>
      <c r="BS79" s="123"/>
      <c r="BT79" s="168">
        <f t="shared" ref="BT79:BT80" si="369">BP79-BR79+BS79</f>
        <v>54.3333333333331</v>
      </c>
      <c r="BU79" s="126">
        <f t="shared" si="247"/>
        <v>651.15783333333</v>
      </c>
      <c r="BV79" s="168">
        <f t="shared" ref="BV79:BV80" si="370">AY79</f>
        <v>8.88888888888889</v>
      </c>
      <c r="BW79" s="168"/>
      <c r="BX79" s="168">
        <f t="shared" ref="BX79:BX80" si="371">BT79-BV79+BW79</f>
        <v>45.4444444444442</v>
      </c>
      <c r="BY79" s="126">
        <f t="shared" si="250"/>
        <v>544.628944444441</v>
      </c>
      <c r="BZ79" s="168">
        <f t="shared" ref="BZ79:BZ80" si="372">AZ79</f>
        <v>7.777777777778</v>
      </c>
      <c r="CA79" s="168"/>
      <c r="CB79" s="168">
        <f t="shared" ref="CB79:CB80" si="373">BX79-BZ79+CA79</f>
        <v>37.6666666666662</v>
      </c>
      <c r="CC79" s="126">
        <f t="shared" si="253"/>
        <v>451.416166666661</v>
      </c>
      <c r="CD79" s="168">
        <f t="shared" ref="CD79:CD80" si="374">BA79</f>
        <v>7.777777777778</v>
      </c>
      <c r="CE79" s="168"/>
      <c r="CF79" s="168">
        <f t="shared" ref="CF79:CF80" si="375">CB79-CD79+CE79</f>
        <v>29.8888888888882</v>
      </c>
      <c r="CG79" s="126">
        <f t="shared" si="256"/>
        <v>358.20338888888</v>
      </c>
      <c r="CH79" s="168">
        <f t="shared" ref="CH79:CH80" si="376">BB79</f>
        <v>8.88888888888889</v>
      </c>
      <c r="CI79" s="168"/>
      <c r="CJ79" s="168">
        <f t="shared" ref="CJ79:CJ80" si="377">CF79-CH79+CI79</f>
        <v>20.9999999999993</v>
      </c>
      <c r="CK79" s="126">
        <f t="shared" si="259"/>
        <v>251.674499999991</v>
      </c>
      <c r="CL79" s="36">
        <f t="shared" ref="CL79:CL80" si="378">CJ79*-1</f>
        <v>-20.9999999999993</v>
      </c>
      <c r="CM79" s="36">
        <f t="shared" ref="CM79:CM80" si="379">CL79/6</f>
        <v>-3.49999999999988</v>
      </c>
      <c r="CN79" s="36">
        <f t="shared" ref="CN79:CN80" si="380">ROUNDUP(CM79,0)</f>
        <v>-4.0</v>
      </c>
      <c r="CO79" s="123">
        <f t="shared" ref="CO79:CO80" si="381">CN79*6</f>
        <v>-24.0</v>
      </c>
      <c r="CR79" s="123"/>
      <c r="CS79" s="168">
        <f t="shared" si="55"/>
        <v>0.0</v>
      </c>
      <c r="CT79" s="36">
        <f t="shared" si="56"/>
        <v>0.0</v>
      </c>
      <c r="CU79" s="123">
        <f t="shared" si="57"/>
        <v>0.0</v>
      </c>
    </row>
    <row r="80">
      <c r="A80" s="163" t="s">
        <v>32</v>
      </c>
      <c r="B80" s="163" t="s">
        <v>110</v>
      </c>
      <c r="C80" s="163" t="s">
        <v>115</v>
      </c>
      <c r="D80" s="164">
        <v>34101.0</v>
      </c>
      <c r="E80" s="163">
        <v>0.0</v>
      </c>
      <c r="F80" s="163">
        <v>0.0</v>
      </c>
      <c r="G80" s="163">
        <v>0.0</v>
      </c>
      <c r="H80" s="163">
        <v>0.0</v>
      </c>
      <c r="I80" s="163">
        <v>0.0</v>
      </c>
      <c r="J80" s="163">
        <v>0.0</v>
      </c>
      <c r="K80" s="163">
        <v>0.0</v>
      </c>
      <c r="L80" s="163">
        <v>0.0</v>
      </c>
      <c r="M80" s="163">
        <v>0.0</v>
      </c>
      <c r="N80" s="163">
        <v>0.0</v>
      </c>
      <c r="O80" s="163">
        <v>0.0</v>
      </c>
      <c r="P80" s="163">
        <v>6.0</v>
      </c>
      <c r="Q80" s="163">
        <v>84.0</v>
      </c>
      <c r="R80" s="163">
        <v>46.0</v>
      </c>
      <c r="S80" s="163">
        <v>45.0</v>
      </c>
      <c r="T80" s="163">
        <v>0.0</v>
      </c>
      <c r="U80" s="163">
        <v>243.0</v>
      </c>
      <c r="V80" s="163">
        <v>156.0</v>
      </c>
      <c r="W80" s="163">
        <v>133.0</v>
      </c>
      <c r="X80" s="163">
        <v>162.0</v>
      </c>
      <c r="Y80" s="163">
        <v>123.0</v>
      </c>
      <c r="Z80" s="163">
        <v>180.0</v>
      </c>
      <c r="AA80" s="163">
        <v>168.0</v>
      </c>
      <c r="AB80" s="163">
        <v>313.0</v>
      </c>
      <c r="AC80" s="163">
        <v>576.0</v>
      </c>
      <c r="AD80" s="163">
        <v>473.0</v>
      </c>
      <c r="AE80" s="174">
        <f>AD80</f>
        <v>473.0</v>
      </c>
      <c r="AF80" s="174">
        <f>AD80</f>
        <v>473.0</v>
      </c>
      <c r="AG80" s="163">
        <v>240.0</v>
      </c>
      <c r="AH80" s="163">
        <v>276.0</v>
      </c>
      <c r="AI80" s="163">
        <v>229.0</v>
      </c>
      <c r="AJ80" s="163">
        <v>240.0</v>
      </c>
      <c r="AK80" s="163">
        <v>159.0</v>
      </c>
      <c r="AL80" s="163">
        <v>120.0</v>
      </c>
      <c r="AM80" s="163">
        <v>253.0</v>
      </c>
      <c r="AN80" s="163">
        <v>195.0</v>
      </c>
      <c r="AO80" s="163">
        <v>264.0</v>
      </c>
      <c r="AP80" s="163">
        <v>432.0</v>
      </c>
      <c r="AQ80" s="163">
        <v>540.0</v>
      </c>
      <c r="AR80" s="163">
        <v>288.0</v>
      </c>
      <c r="AS80" s="163">
        <v>131.0</v>
      </c>
      <c r="AT80" s="139">
        <f t="shared" si="4"/>
        <v>3127.0</v>
      </c>
      <c r="AU80" s="139">
        <f t="shared" si="232"/>
        <v>1277.0</v>
      </c>
      <c r="AV80" s="139">
        <f t="shared" si="6"/>
        <v>1404.7</v>
      </c>
      <c r="AW80" s="36">
        <f>AV80*$AW$4/$AV$4+12*AW78</f>
        <v>291.97777777778</v>
      </c>
      <c r="AX80" s="36">
        <f>AV80*$AX$4/$AV$4+12*$AX$78</f>
        <v>333.688888888889</v>
      </c>
      <c r="AY80" s="36">
        <f>AV80*$AY$4/$AV$4+12*$AY$78</f>
        <v>333.688888888889</v>
      </c>
      <c r="AZ80" s="36">
        <f>AV80*$AZ$4/$AV$4+12*$AZ$78</f>
        <v>291.97777777778</v>
      </c>
      <c r="BA80" s="36">
        <f>AV80*$BA$4/$AV$4+12*$BA$78</f>
        <v>291.97777777778</v>
      </c>
      <c r="BB80" s="36">
        <f>AV80*$BB$4/$AV$4+12*$BB$78</f>
        <v>333.688888888889</v>
      </c>
      <c r="BC80" s="166">
        <f t="shared" si="240"/>
        <v>1877.0</v>
      </c>
      <c r="BD80" s="123">
        <f>VLOOKUP(C80,SOHFEB23,3,false)</f>
        <v>1828.0</v>
      </c>
      <c r="BE80" s="167">
        <f>VLOOKUP(D80,VALUEFEB23,4,false)</f>
        <v>4.8496</v>
      </c>
      <c r="BF80" s="124">
        <f t="shared" si="16"/>
        <v>8865.0688</v>
      </c>
      <c r="BH80" s="168">
        <f t="shared" si="365"/>
        <v>-49.0</v>
      </c>
      <c r="BI80" s="123"/>
      <c r="BJ80" s="170"/>
      <c r="BK80" s="171" t="s">
        <v>6</v>
      </c>
      <c r="BL80" s="36">
        <f t="shared" si="366"/>
        <v>1828.0</v>
      </c>
      <c r="BM80" s="168"/>
      <c r="BN80" s="168">
        <f t="shared" si="367"/>
        <v>291.97777777778</v>
      </c>
      <c r="BO80" s="168"/>
      <c r="BP80" s="168">
        <f t="shared" si="243"/>
        <v>1536.02222222222</v>
      </c>
      <c r="BQ80" s="126">
        <f t="shared" si="244"/>
        <v>7449.09336888888</v>
      </c>
      <c r="BR80" s="168">
        <f t="shared" si="368"/>
        <v>333.688888888889</v>
      </c>
      <c r="BS80" s="123"/>
      <c r="BT80" s="168">
        <f t="shared" si="369"/>
        <v>1202.33333333333</v>
      </c>
      <c r="BU80" s="126">
        <f t="shared" si="247"/>
        <v>5830.83573333331</v>
      </c>
      <c r="BV80" s="168">
        <f t="shared" si="370"/>
        <v>333.688888888889</v>
      </c>
      <c r="BW80" s="168"/>
      <c r="BX80" s="168">
        <f t="shared" si="371"/>
        <v>868.644444444441</v>
      </c>
      <c r="BY80" s="126">
        <f t="shared" si="250"/>
        <v>4212.57809777776</v>
      </c>
      <c r="BZ80" s="168">
        <f t="shared" si="372"/>
        <v>291.97777777778</v>
      </c>
      <c r="CA80" s="168"/>
      <c r="CB80" s="168">
        <f t="shared" si="373"/>
        <v>576.666666666661</v>
      </c>
      <c r="CC80" s="126">
        <f t="shared" si="253"/>
        <v>2796.60266666663</v>
      </c>
      <c r="CD80" s="168">
        <f t="shared" si="374"/>
        <v>291.97777777778</v>
      </c>
      <c r="CE80" s="168"/>
      <c r="CF80" s="168">
        <f t="shared" si="375"/>
        <v>284.68888888888</v>
      </c>
      <c r="CG80" s="126">
        <f t="shared" si="256"/>
        <v>1380.62723555551</v>
      </c>
      <c r="CH80" s="168">
        <f t="shared" si="376"/>
        <v>333.688888888889</v>
      </c>
      <c r="CI80" s="168"/>
      <c r="CJ80" s="168">
        <f t="shared" si="377"/>
        <v>-49.000000000007</v>
      </c>
      <c r="CK80" s="126">
        <f t="shared" si="259"/>
        <v>-237.630400000033</v>
      </c>
      <c r="CL80" s="36">
        <f t="shared" si="378"/>
        <v>49.000000000007</v>
      </c>
      <c r="CM80" s="36">
        <f t="shared" si="379"/>
        <v>8.16666666666783</v>
      </c>
      <c r="CN80" s="36">
        <f t="shared" si="380"/>
        <v>9.0</v>
      </c>
      <c r="CO80" s="123">
        <f t="shared" si="381"/>
        <v>54.0</v>
      </c>
      <c r="CR80" s="123"/>
      <c r="CS80" s="168">
        <f t="shared" si="55"/>
        <v>0.0</v>
      </c>
      <c r="CT80" s="36">
        <f t="shared" si="56"/>
        <v>0.0</v>
      </c>
      <c r="CU80" s="123">
        <f t="shared" si="57"/>
        <v>0.0</v>
      </c>
    </row>
    <row r="81">
      <c r="A81" s="175" t="s">
        <v>32</v>
      </c>
      <c r="B81" s="175" t="s">
        <v>134</v>
      </c>
      <c r="C81" s="175" t="s">
        <v>141</v>
      </c>
      <c r="D81" s="176">
        <v>40732.0</v>
      </c>
      <c r="E81" s="163">
        <v>0.0</v>
      </c>
      <c r="F81" s="163">
        <v>0.0</v>
      </c>
      <c r="G81" s="163">
        <v>0.0</v>
      </c>
      <c r="H81" s="163">
        <v>0.0</v>
      </c>
      <c r="I81" s="163">
        <v>12.0</v>
      </c>
      <c r="J81" s="163">
        <v>18.0</v>
      </c>
      <c r="K81" s="163">
        <v>12.0</v>
      </c>
      <c r="L81" s="163">
        <v>15.0</v>
      </c>
      <c r="M81" s="163">
        <v>9.0</v>
      </c>
      <c r="N81" s="163">
        <v>9.0</v>
      </c>
      <c r="O81" s="163">
        <v>0.0</v>
      </c>
      <c r="P81" s="163">
        <v>12.0</v>
      </c>
      <c r="Q81" s="163">
        <v>15.0</v>
      </c>
      <c r="R81" s="163">
        <v>12.0</v>
      </c>
      <c r="S81" s="163">
        <v>21.0</v>
      </c>
      <c r="T81" s="163">
        <v>18.0</v>
      </c>
      <c r="U81" s="163">
        <v>24.0</v>
      </c>
      <c r="V81" s="163">
        <v>6.0</v>
      </c>
      <c r="W81" s="163">
        <v>15.0</v>
      </c>
      <c r="X81" s="163">
        <v>34.0</v>
      </c>
      <c r="Y81" s="163">
        <v>9.0</v>
      </c>
      <c r="Z81" s="163">
        <v>15.0</v>
      </c>
      <c r="AA81" s="163">
        <v>15.0</v>
      </c>
      <c r="AB81" s="163">
        <v>9.0</v>
      </c>
      <c r="AC81" s="163">
        <v>9.0</v>
      </c>
      <c r="AD81" s="163">
        <v>24.0</v>
      </c>
      <c r="AE81" s="163">
        <v>15.0</v>
      </c>
      <c r="AF81" s="163">
        <v>7.0</v>
      </c>
      <c r="AG81" s="163">
        <v>15.0</v>
      </c>
      <c r="AH81" s="163">
        <v>21.0</v>
      </c>
      <c r="AI81" s="163">
        <v>6.0</v>
      </c>
      <c r="AJ81" s="163">
        <v>24.0</v>
      </c>
      <c r="AK81" s="163">
        <v>9.0</v>
      </c>
      <c r="AL81" s="163">
        <v>0.0</v>
      </c>
      <c r="AM81" s="163">
        <v>0.0</v>
      </c>
      <c r="AN81" s="163">
        <v>0.0</v>
      </c>
      <c r="AO81" s="163">
        <v>0.0</v>
      </c>
      <c r="AP81" s="163">
        <v>0.0</v>
      </c>
      <c r="AQ81" s="163">
        <v>0.0</v>
      </c>
      <c r="AR81" s="163">
        <v>0.0</v>
      </c>
      <c r="AS81" s="163">
        <v>0.0</v>
      </c>
      <c r="AT81" s="139">
        <f t="shared" si="4"/>
        <v>60.0</v>
      </c>
      <c r="AU81" s="139">
        <f t="shared" si="232"/>
        <v>60.0</v>
      </c>
      <c r="AV81" s="139">
        <f t="shared" si="6"/>
        <v>66.0</v>
      </c>
      <c r="BC81" s="168"/>
      <c r="BD81" s="123">
        <f>VLOOKUP(C81,SOHFEB23,3,false)</f>
        <v>0.0</v>
      </c>
      <c r="BE81" s="167">
        <f>VLOOKUP(D81,VALUEFEB23,4,false)</f>
      </c>
      <c r="BF81" s="124">
        <f t="shared" si="16"/>
        <v>0.0</v>
      </c>
      <c r="BH81" s="168">
        <f t="shared" si="365"/>
        <v>0.0</v>
      </c>
      <c r="BI81" s="123"/>
      <c r="BK81" s="177"/>
      <c r="BL81" s="36">
        <f t="shared" si="366"/>
        <v>0.0</v>
      </c>
      <c r="BM81" s="168"/>
      <c r="BP81" s="168"/>
      <c r="BQ81" s="126"/>
      <c r="BU81" s="126">
        <f t="shared" si="247"/>
        <v>0.0</v>
      </c>
      <c r="BY81" s="126">
        <f t="shared" si="250"/>
        <v>0.0</v>
      </c>
      <c r="CC81" s="126">
        <f t="shared" si="253"/>
        <v>0.0</v>
      </c>
      <c r="CG81" s="126">
        <f t="shared" si="256"/>
        <v>0.0</v>
      </c>
      <c r="CK81" s="126">
        <f t="shared" si="259"/>
        <v>0.0</v>
      </c>
      <c r="CR81" s="123"/>
      <c r="CS81" s="168">
        <f t="shared" si="55"/>
        <v>0.0</v>
      </c>
      <c r="CT81" s="36">
        <f t="shared" si="56"/>
        <v>0.0</v>
      </c>
      <c r="CU81" s="123">
        <f t="shared" si="57"/>
        <v>0.0</v>
      </c>
    </row>
    <row r="82">
      <c r="A82" s="175" t="s">
        <v>32</v>
      </c>
      <c r="B82" s="175" t="s">
        <v>134</v>
      </c>
      <c r="C82" s="175" t="s">
        <v>142</v>
      </c>
      <c r="D82" s="176">
        <v>40734.0</v>
      </c>
      <c r="E82" s="163">
        <v>0.0</v>
      </c>
      <c r="F82" s="163">
        <v>0.0</v>
      </c>
      <c r="G82" s="163">
        <v>0.0</v>
      </c>
      <c r="H82" s="163">
        <v>0.0</v>
      </c>
      <c r="I82" s="163">
        <v>0.0</v>
      </c>
      <c r="J82" s="163">
        <v>0.0</v>
      </c>
      <c r="K82" s="163">
        <v>0.0</v>
      </c>
      <c r="L82" s="163">
        <v>0.0</v>
      </c>
      <c r="M82" s="163">
        <v>0.0</v>
      </c>
      <c r="N82" s="163">
        <v>12.0</v>
      </c>
      <c r="O82" s="163">
        <v>3.0</v>
      </c>
      <c r="P82" s="163">
        <v>6.0</v>
      </c>
      <c r="Q82" s="163">
        <v>6.0</v>
      </c>
      <c r="R82" s="163">
        <v>6.0</v>
      </c>
      <c r="S82" s="163">
        <v>6.0</v>
      </c>
      <c r="T82" s="163">
        <v>12.0</v>
      </c>
      <c r="U82" s="163">
        <v>9.0</v>
      </c>
      <c r="V82" s="163">
        <v>9.0</v>
      </c>
      <c r="W82" s="163">
        <v>6.0</v>
      </c>
      <c r="X82" s="163">
        <v>0.0</v>
      </c>
      <c r="Y82" s="163">
        <v>6.0</v>
      </c>
      <c r="Z82" s="163">
        <v>3.0</v>
      </c>
      <c r="AA82" s="163">
        <v>0.0</v>
      </c>
      <c r="AB82" s="163">
        <v>3.0</v>
      </c>
      <c r="AC82" s="163">
        <v>9.0</v>
      </c>
      <c r="AD82" s="163">
        <v>15.0</v>
      </c>
      <c r="AE82" s="163">
        <v>6.0</v>
      </c>
      <c r="AF82" s="163">
        <v>9.0</v>
      </c>
      <c r="AG82" s="163">
        <v>0.0</v>
      </c>
      <c r="AH82" s="163">
        <v>15.0</v>
      </c>
      <c r="AI82" s="163">
        <v>12.0</v>
      </c>
      <c r="AJ82" s="163">
        <v>12.0</v>
      </c>
      <c r="AK82" s="163">
        <v>0.0</v>
      </c>
      <c r="AL82" s="163">
        <v>0.0</v>
      </c>
      <c r="AM82" s="163">
        <v>0.0</v>
      </c>
      <c r="AN82" s="163">
        <v>0.0</v>
      </c>
      <c r="AO82" s="163">
        <v>0.0</v>
      </c>
      <c r="AP82" s="163">
        <v>0.0</v>
      </c>
      <c r="AQ82" s="163">
        <v>0.0</v>
      </c>
      <c r="AR82" s="163">
        <v>0.0</v>
      </c>
      <c r="AS82" s="163">
        <v>0.0</v>
      </c>
      <c r="AT82" s="139">
        <f t="shared" si="4"/>
        <v>39.0</v>
      </c>
      <c r="AU82" s="139">
        <f t="shared" si="232"/>
        <v>39.0</v>
      </c>
      <c r="AV82" s="139">
        <f t="shared" si="6"/>
        <v>42.9</v>
      </c>
      <c r="BC82" s="168"/>
      <c r="BD82" s="123">
        <f>VLOOKUP(C82,SOHFEB23,3,false)</f>
        <v>0.0</v>
      </c>
      <c r="BE82" s="167">
        <f>VLOOKUP(D82,VALUEFEB23,4,false)</f>
      </c>
      <c r="BF82" s="124">
        <f t="shared" si="16"/>
        <v>0.0</v>
      </c>
      <c r="BH82" s="168">
        <f t="shared" si="365"/>
        <v>0.0</v>
      </c>
      <c r="BI82" s="123"/>
      <c r="BK82" s="177"/>
      <c r="BL82" s="36">
        <f t="shared" si="366"/>
        <v>0.0</v>
      </c>
      <c r="BM82" s="168"/>
      <c r="BP82" s="168"/>
      <c r="BQ82" s="126"/>
      <c r="BU82" s="126">
        <f t="shared" si="247"/>
        <v>0.0</v>
      </c>
      <c r="BY82" s="126">
        <f t="shared" si="250"/>
        <v>0.0</v>
      </c>
      <c r="CC82" s="126">
        <f t="shared" si="253"/>
        <v>0.0</v>
      </c>
      <c r="CG82" s="126">
        <f t="shared" si="256"/>
        <v>0.0</v>
      </c>
      <c r="CK82" s="126">
        <f t="shared" si="259"/>
        <v>0.0</v>
      </c>
      <c r="CR82" s="123"/>
      <c r="CS82" s="168">
        <f t="shared" si="55"/>
        <v>0.0</v>
      </c>
      <c r="CT82" s="36">
        <f t="shared" si="56"/>
        <v>0.0</v>
      </c>
      <c r="CU82" s="123">
        <f t="shared" si="57"/>
        <v>0.0</v>
      </c>
    </row>
    <row r="83">
      <c r="A83" s="175" t="s">
        <v>32</v>
      </c>
      <c r="B83" s="175" t="s">
        <v>153</v>
      </c>
      <c r="C83" s="175" t="s">
        <v>154</v>
      </c>
      <c r="D83" s="176" t="s">
        <v>155</v>
      </c>
      <c r="E83" s="163">
        <v>8.0</v>
      </c>
      <c r="F83" s="163">
        <v>2.0</v>
      </c>
      <c r="G83" s="163">
        <v>2.0</v>
      </c>
      <c r="H83" s="163">
        <v>1.0</v>
      </c>
      <c r="I83" s="163">
        <v>5.0</v>
      </c>
      <c r="J83" s="163">
        <v>6.0</v>
      </c>
      <c r="K83" s="163">
        <v>3.0</v>
      </c>
      <c r="L83" s="163">
        <v>8.0</v>
      </c>
      <c r="M83" s="163">
        <v>3.0</v>
      </c>
      <c r="N83" s="163">
        <v>1.0</v>
      </c>
      <c r="O83" s="163">
        <v>9.0</v>
      </c>
      <c r="P83" s="163">
        <v>5.0</v>
      </c>
      <c r="Q83" s="163">
        <v>12.0</v>
      </c>
      <c r="R83" s="163">
        <v>11.0</v>
      </c>
      <c r="S83" s="163">
        <v>4.0</v>
      </c>
      <c r="T83" s="163">
        <v>5.0</v>
      </c>
      <c r="U83" s="163">
        <v>4.0</v>
      </c>
      <c r="V83" s="163">
        <v>10.0</v>
      </c>
      <c r="W83" s="163">
        <v>7.0</v>
      </c>
      <c r="X83" s="163">
        <v>1.0</v>
      </c>
      <c r="Y83" s="163">
        <v>2.0</v>
      </c>
      <c r="Z83" s="163">
        <v>3.0</v>
      </c>
      <c r="AA83" s="163">
        <v>3.0</v>
      </c>
      <c r="AB83" s="163">
        <v>8.0</v>
      </c>
      <c r="AC83" s="163">
        <v>4.0</v>
      </c>
      <c r="AD83" s="163">
        <v>2.0</v>
      </c>
      <c r="AE83" s="163">
        <v>1.0</v>
      </c>
      <c r="AF83" s="163">
        <v>4.0</v>
      </c>
      <c r="AG83" s="163">
        <v>2.0</v>
      </c>
      <c r="AH83" s="163">
        <v>3.0</v>
      </c>
      <c r="AI83" s="163">
        <v>0.0</v>
      </c>
      <c r="AJ83" s="163">
        <v>0.0</v>
      </c>
      <c r="AK83" s="163">
        <v>0.0</v>
      </c>
      <c r="AL83" s="163">
        <v>4.0</v>
      </c>
      <c r="AM83" s="163">
        <v>0.0</v>
      </c>
      <c r="AN83" s="163">
        <v>3.0</v>
      </c>
      <c r="AO83" s="163">
        <v>2.0</v>
      </c>
      <c r="AP83" s="163">
        <v>6.0</v>
      </c>
      <c r="AQ83" s="163">
        <v>1.0</v>
      </c>
      <c r="AR83" s="163">
        <v>0.0</v>
      </c>
      <c r="AS83" s="163">
        <v>1.0</v>
      </c>
      <c r="AT83" s="139">
        <f t="shared" si="4"/>
        <v>20.0</v>
      </c>
      <c r="AU83" s="139">
        <f t="shared" si="232"/>
        <v>7.0</v>
      </c>
      <c r="AV83" s="139">
        <f t="shared" si="6"/>
        <v>7.7</v>
      </c>
      <c r="BC83" s="166"/>
      <c r="BD83" s="123">
        <f>VLOOKUP(C83,SOHFEB23,3,false)</f>
        <v>2.0</v>
      </c>
      <c r="BE83" s="167">
        <f>VLOOKUP(D83,VALUEFEB23,4,false)</f>
        <v>79.165</v>
      </c>
      <c r="BF83" s="124">
        <f t="shared" si="16"/>
        <v>158.33</v>
      </c>
      <c r="BH83" s="168">
        <f t="shared" si="365"/>
        <v>2.0</v>
      </c>
      <c r="BI83" s="123"/>
      <c r="BK83" s="177"/>
      <c r="BL83" s="36">
        <f t="shared" si="366"/>
        <v>2.0</v>
      </c>
      <c r="BM83" s="168"/>
      <c r="BN83" s="168"/>
      <c r="BO83" s="168"/>
      <c r="BP83" s="168"/>
      <c r="BQ83" s="126"/>
      <c r="BR83" s="168"/>
      <c r="BT83" s="168"/>
      <c r="BU83" s="126">
        <f t="shared" si="247"/>
        <v>0.0</v>
      </c>
      <c r="BV83" s="168"/>
      <c r="BW83" s="168"/>
      <c r="BX83" s="168"/>
      <c r="BY83" s="126">
        <f t="shared" si="250"/>
        <v>0.0</v>
      </c>
      <c r="BZ83" s="168"/>
      <c r="CA83" s="168"/>
      <c r="CB83" s="168"/>
      <c r="CC83" s="126">
        <f t="shared" si="253"/>
        <v>0.0</v>
      </c>
      <c r="CD83" s="168"/>
      <c r="CE83" s="168"/>
      <c r="CF83" s="168"/>
      <c r="CG83" s="126">
        <f t="shared" si="256"/>
        <v>0.0</v>
      </c>
      <c r="CH83" s="168"/>
      <c r="CI83" s="168"/>
      <c r="CJ83" s="168"/>
      <c r="CK83" s="126">
        <f t="shared" si="259"/>
        <v>0.0</v>
      </c>
      <c r="CR83" s="123"/>
      <c r="CS83" s="168">
        <f t="shared" si="55"/>
        <v>0.0</v>
      </c>
      <c r="CT83" s="36">
        <f t="shared" si="56"/>
        <v>0.0</v>
      </c>
      <c r="CU83" s="123">
        <f t="shared" si="57"/>
        <v>0.0</v>
      </c>
    </row>
    <row r="84">
      <c r="A84" s="175" t="s">
        <v>32</v>
      </c>
      <c r="B84" s="175" t="s">
        <v>153</v>
      </c>
      <c r="C84" s="175" t="s">
        <v>156</v>
      </c>
      <c r="D84" s="176" t="s">
        <v>157</v>
      </c>
      <c r="E84" s="163">
        <v>0.0</v>
      </c>
      <c r="F84" s="163">
        <v>0.0</v>
      </c>
      <c r="G84" s="163">
        <v>1.0</v>
      </c>
      <c r="H84" s="163">
        <v>0.0</v>
      </c>
      <c r="I84" s="163">
        <v>0.0</v>
      </c>
      <c r="J84" s="163">
        <v>0.0</v>
      </c>
      <c r="K84" s="163">
        <v>1.0</v>
      </c>
      <c r="L84" s="163">
        <v>0.0</v>
      </c>
      <c r="M84" s="163">
        <v>0.0</v>
      </c>
      <c r="N84" s="163">
        <v>0.0</v>
      </c>
      <c r="O84" s="163">
        <v>1.0</v>
      </c>
      <c r="P84" s="163">
        <v>0.0</v>
      </c>
      <c r="Q84" s="163">
        <v>0.0</v>
      </c>
      <c r="R84" s="163">
        <v>0.0</v>
      </c>
      <c r="S84" s="163">
        <v>0.0</v>
      </c>
      <c r="T84" s="163">
        <v>0.0</v>
      </c>
      <c r="U84" s="163">
        <v>1.0</v>
      </c>
      <c r="V84" s="163">
        <v>0.0</v>
      </c>
      <c r="W84" s="163">
        <v>0.0</v>
      </c>
      <c r="X84" s="163">
        <v>0.0</v>
      </c>
      <c r="Y84" s="163">
        <v>1.0</v>
      </c>
      <c r="Z84" s="163">
        <v>0.0</v>
      </c>
      <c r="AA84" s="163">
        <v>0.0</v>
      </c>
      <c r="AB84" s="163">
        <v>0.0</v>
      </c>
      <c r="AC84" s="163">
        <v>0.0</v>
      </c>
      <c r="AD84" s="163">
        <v>0.0</v>
      </c>
      <c r="AE84" s="163">
        <v>0.0</v>
      </c>
      <c r="AF84" s="163">
        <v>0.0</v>
      </c>
      <c r="AG84" s="163">
        <v>0.0</v>
      </c>
      <c r="AH84" s="163">
        <v>0.0</v>
      </c>
      <c r="AI84" s="163">
        <v>0.0</v>
      </c>
      <c r="AJ84" s="163">
        <v>0.0</v>
      </c>
      <c r="AK84" s="163">
        <v>0.0</v>
      </c>
      <c r="AL84" s="163">
        <v>0.0</v>
      </c>
      <c r="AM84" s="163">
        <v>0.0</v>
      </c>
      <c r="AN84" s="163">
        <v>0.0</v>
      </c>
      <c r="AO84" s="163">
        <v>0.0</v>
      </c>
      <c r="AP84" s="163">
        <v>0.0</v>
      </c>
      <c r="AQ84" s="163">
        <v>0.0</v>
      </c>
      <c r="AR84" s="163">
        <v>0.0</v>
      </c>
      <c r="AS84" s="163">
        <v>0.0</v>
      </c>
      <c r="AT84" s="139">
        <f t="shared" si="4"/>
        <v>0.0</v>
      </c>
      <c r="AU84" s="139">
        <f t="shared" si="232"/>
        <v>0.0</v>
      </c>
      <c r="AV84" s="139">
        <f t="shared" si="6"/>
        <v>0.0</v>
      </c>
      <c r="BC84" s="166"/>
      <c r="BD84" s="123">
        <f>VLOOKUP(C84,SOHFEB23,3,false)</f>
        <v>0.0</v>
      </c>
      <c r="BE84" s="167">
        <f>VLOOKUP(D84,VALUEFEB23,4,false)</f>
      </c>
      <c r="BF84" s="124">
        <f t="shared" si="16"/>
        <v>0.0</v>
      </c>
      <c r="BH84" s="168">
        <f t="shared" si="365"/>
        <v>0.0</v>
      </c>
      <c r="BI84" s="123"/>
      <c r="BK84" s="177"/>
      <c r="BL84" s="36">
        <f t="shared" si="366"/>
        <v>0.0</v>
      </c>
      <c r="BM84" s="168"/>
      <c r="BN84" s="168">
        <f t="shared" ref="BN84:BN97" si="390">AW84</f>
      </c>
      <c r="BO84" s="168"/>
      <c r="BP84" s="168">
        <f t="shared" ref="BP84:BP97" si="391">BL84-BN84+BO84+BM84</f>
        <v>0.0</v>
      </c>
      <c r="BQ84" s="126">
        <v>0.0</v>
      </c>
      <c r="BR84" s="168">
        <f t="shared" ref="BR84:BR97" si="392">AX84</f>
      </c>
      <c r="BT84" s="168">
        <f t="shared" ref="BT84:BT97" si="393">BP84-BR84+BS84</f>
        <v>0.0</v>
      </c>
      <c r="BU84" s="126">
        <f t="shared" si="247"/>
        <v>0.0</v>
      </c>
      <c r="BV84" s="168">
        <f t="shared" ref="BV84:BV97" si="394">AY84</f>
      </c>
      <c r="BW84" s="168"/>
      <c r="BX84" s="168">
        <f t="shared" ref="BX84:BX97" si="395">BT84-BV84+BW84</f>
        <v>0.0</v>
      </c>
      <c r="BY84" s="126">
        <f t="shared" si="250"/>
        <v>0.0</v>
      </c>
      <c r="BZ84" s="168">
        <f t="shared" ref="BZ84:BZ97" si="396">AZ84</f>
      </c>
      <c r="CA84" s="168"/>
      <c r="CB84" s="168">
        <f t="shared" ref="CB84:CB97" si="397">BX84-BZ84+CA84</f>
        <v>0.0</v>
      </c>
      <c r="CC84" s="126">
        <f t="shared" si="253"/>
        <v>0.0</v>
      </c>
      <c r="CD84" s="168">
        <f t="shared" ref="CD84:CD97" si="398">BA84</f>
      </c>
      <c r="CE84" s="168"/>
      <c r="CF84" s="168">
        <f t="shared" ref="CF84:CF97" si="399">CB84-CD84+CE84</f>
        <v>0.0</v>
      </c>
      <c r="CG84" s="126">
        <f t="shared" si="256"/>
        <v>0.0</v>
      </c>
      <c r="CH84" s="168">
        <f t="shared" ref="CH84:CH97" si="400">BB84</f>
      </c>
      <c r="CI84" s="168"/>
      <c r="CJ84" s="168">
        <f t="shared" ref="CJ84:CJ97" si="401">CF84-CH84+CI84</f>
        <v>0.0</v>
      </c>
      <c r="CK84" s="126">
        <f t="shared" si="259"/>
        <v>0.0</v>
      </c>
      <c r="CR84" s="123"/>
      <c r="CS84" s="168">
        <f t="shared" si="55"/>
        <v>0.0</v>
      </c>
      <c r="CT84" s="36">
        <f t="shared" si="56"/>
        <v>0.0</v>
      </c>
      <c r="CU84" s="123">
        <f t="shared" si="57"/>
        <v>0.0</v>
      </c>
    </row>
    <row r="85">
      <c r="A85" s="175" t="s">
        <v>32</v>
      </c>
      <c r="B85" s="175" t="s">
        <v>153</v>
      </c>
      <c r="C85" s="175" t="s">
        <v>158</v>
      </c>
      <c r="D85" s="176">
        <v>40501.0</v>
      </c>
      <c r="E85" s="163">
        <v>54.0</v>
      </c>
      <c r="F85" s="163">
        <v>42.0</v>
      </c>
      <c r="G85" s="163">
        <v>18.0</v>
      </c>
      <c r="H85" s="163">
        <v>18.0</v>
      </c>
      <c r="I85" s="163">
        <v>27.0</v>
      </c>
      <c r="J85" s="163">
        <v>24.0</v>
      </c>
      <c r="K85" s="163">
        <v>84.0</v>
      </c>
      <c r="L85" s="163">
        <v>48.0</v>
      </c>
      <c r="M85" s="163">
        <v>24.0</v>
      </c>
      <c r="N85" s="163">
        <v>18.0</v>
      </c>
      <c r="O85" s="163">
        <v>28.0</v>
      </c>
      <c r="P85" s="163">
        <v>51.0</v>
      </c>
      <c r="Q85" s="163">
        <v>21.0</v>
      </c>
      <c r="R85" s="163">
        <v>42.0</v>
      </c>
      <c r="S85" s="163">
        <v>30.0</v>
      </c>
      <c r="T85" s="163">
        <v>18.0</v>
      </c>
      <c r="U85" s="163">
        <v>21.0</v>
      </c>
      <c r="V85" s="163">
        <v>18.0</v>
      </c>
      <c r="W85" s="163">
        <v>18.0</v>
      </c>
      <c r="X85" s="163">
        <v>19.0</v>
      </c>
      <c r="Y85" s="163">
        <v>18.0</v>
      </c>
      <c r="Z85" s="163">
        <v>9.0</v>
      </c>
      <c r="AA85" s="163">
        <v>18.0</v>
      </c>
      <c r="AB85" s="163">
        <v>33.0</v>
      </c>
      <c r="AC85" s="163">
        <v>12.0</v>
      </c>
      <c r="AD85" s="163">
        <v>21.0</v>
      </c>
      <c r="AE85" s="163">
        <v>21.0</v>
      </c>
      <c r="AF85" s="163">
        <v>6.0</v>
      </c>
      <c r="AG85" s="163">
        <v>18.0</v>
      </c>
      <c r="AH85" s="163">
        <v>18.0</v>
      </c>
      <c r="AI85" s="163">
        <v>15.0</v>
      </c>
      <c r="AJ85" s="163">
        <v>9.0</v>
      </c>
      <c r="AK85" s="163">
        <v>12.0</v>
      </c>
      <c r="AL85" s="163">
        <v>15.0</v>
      </c>
      <c r="AM85" s="163">
        <v>3.0</v>
      </c>
      <c r="AN85" s="163">
        <v>18.0</v>
      </c>
      <c r="AO85" s="163">
        <v>21.0</v>
      </c>
      <c r="AP85" s="163">
        <v>21.0</v>
      </c>
      <c r="AQ85" s="163">
        <v>21.0</v>
      </c>
      <c r="AR85" s="163">
        <v>9.0</v>
      </c>
      <c r="AS85" s="163">
        <v>22.0</v>
      </c>
      <c r="AT85" s="139">
        <f t="shared" si="4"/>
        <v>184.0</v>
      </c>
      <c r="AU85" s="139">
        <f t="shared" si="232"/>
        <v>72.0</v>
      </c>
      <c r="AV85" s="139">
        <f t="shared" si="6"/>
        <v>79.2</v>
      </c>
      <c r="BC85" s="166"/>
      <c r="BD85" s="123">
        <f>VLOOKUP(C85,SOHFEB23,3,false)</f>
        <v>0.0</v>
      </c>
      <c r="BE85" s="167">
        <f>VLOOKUP(D85,VALUEFEB23,4,false)</f>
      </c>
      <c r="BF85" s="124">
        <f t="shared" si="16"/>
        <v>0.0</v>
      </c>
      <c r="BH85" s="168">
        <f t="shared" si="365"/>
        <v>0.0</v>
      </c>
      <c r="BI85" s="123"/>
      <c r="BK85" s="177"/>
      <c r="BL85" s="36">
        <f t="shared" si="366"/>
        <v>0.0</v>
      </c>
      <c r="BM85" s="168"/>
      <c r="BN85" s="168">
        <f t="shared" si="390"/>
      </c>
      <c r="BO85" s="168"/>
      <c r="BP85" s="168">
        <f t="shared" si="391"/>
        <v>0.0</v>
      </c>
      <c r="BQ85" s="126">
        <f t="shared" ref="BQ85:BQ97" si="402">BP85*BE85</f>
        <v>0.0</v>
      </c>
      <c r="BR85" s="168">
        <f t="shared" si="392"/>
      </c>
      <c r="BS85" s="123"/>
      <c r="BT85" s="168">
        <f t="shared" si="393"/>
        <v>0.0</v>
      </c>
      <c r="BU85" s="126">
        <f t="shared" si="247"/>
        <v>0.0</v>
      </c>
      <c r="BV85" s="168">
        <f t="shared" si="394"/>
      </c>
      <c r="BW85" s="168"/>
      <c r="BX85" s="168">
        <f t="shared" si="395"/>
        <v>0.0</v>
      </c>
      <c r="BY85" s="126">
        <f t="shared" si="250"/>
        <v>0.0</v>
      </c>
      <c r="BZ85" s="168">
        <f t="shared" si="396"/>
      </c>
      <c r="CA85" s="168"/>
      <c r="CB85" s="168">
        <f t="shared" si="397"/>
        <v>0.0</v>
      </c>
      <c r="CC85" s="126">
        <f t="shared" si="253"/>
        <v>0.0</v>
      </c>
      <c r="CD85" s="168">
        <f t="shared" si="398"/>
      </c>
      <c r="CE85" s="168"/>
      <c r="CF85" s="168">
        <f t="shared" si="399"/>
        <v>0.0</v>
      </c>
      <c r="CG85" s="126">
        <f t="shared" si="256"/>
        <v>0.0</v>
      </c>
      <c r="CH85" s="168">
        <f t="shared" si="400"/>
      </c>
      <c r="CI85" s="168"/>
      <c r="CJ85" s="168">
        <f t="shared" si="401"/>
        <v>0.0</v>
      </c>
      <c r="CK85" s="126">
        <f t="shared" si="259"/>
        <v>0.0</v>
      </c>
      <c r="CL85" s="36">
        <f t="shared" ref="CL85:CL97" si="403">CJ85*-1</f>
        <v>0.0</v>
      </c>
      <c r="CM85" s="36">
        <f t="shared" ref="CM85:CM97" si="404">CL85/6</f>
        <v>0.0</v>
      </c>
      <c r="CN85" s="36">
        <f t="shared" ref="CN85:CN97" si="405">ROUNDUP(CM85,0)</f>
        <v>0.0</v>
      </c>
      <c r="CO85" s="123">
        <f t="shared" ref="CO85:CO97" si="406">CN85*6</f>
        <v>0.0</v>
      </c>
      <c r="CR85" s="123"/>
      <c r="CS85" s="168">
        <f t="shared" si="55"/>
        <v>0.0</v>
      </c>
      <c r="CT85" s="36">
        <f t="shared" si="56"/>
        <v>0.0</v>
      </c>
      <c r="CU85" s="123">
        <f t="shared" si="57"/>
        <v>0.0</v>
      </c>
    </row>
    <row r="86">
      <c r="A86" s="175" t="s">
        <v>32</v>
      </c>
      <c r="B86" s="175" t="s">
        <v>153</v>
      </c>
      <c r="C86" s="175" t="s">
        <v>159</v>
      </c>
      <c r="D86" s="176">
        <v>40502.0</v>
      </c>
      <c r="E86" s="163">
        <v>21.0</v>
      </c>
      <c r="F86" s="163">
        <v>27.0</v>
      </c>
      <c r="G86" s="163">
        <v>18.0</v>
      </c>
      <c r="H86" s="163">
        <v>9.0</v>
      </c>
      <c r="I86" s="163">
        <v>18.0</v>
      </c>
      <c r="J86" s="163">
        <v>12.0</v>
      </c>
      <c r="K86" s="163">
        <v>39.0</v>
      </c>
      <c r="L86" s="163">
        <v>21.0</v>
      </c>
      <c r="M86" s="163">
        <v>12.0</v>
      </c>
      <c r="N86" s="163">
        <v>12.0</v>
      </c>
      <c r="O86" s="163">
        <v>15.0</v>
      </c>
      <c r="P86" s="163">
        <v>9.0</v>
      </c>
      <c r="Q86" s="163">
        <v>12.0</v>
      </c>
      <c r="R86" s="163">
        <v>3.0</v>
      </c>
      <c r="S86" s="163">
        <v>15.0</v>
      </c>
      <c r="T86" s="163">
        <v>6.0</v>
      </c>
      <c r="U86" s="163">
        <v>12.0</v>
      </c>
      <c r="V86" s="163">
        <v>3.0</v>
      </c>
      <c r="W86" s="163">
        <v>12.0</v>
      </c>
      <c r="X86" s="163">
        <v>21.0</v>
      </c>
      <c r="Y86" s="163">
        <v>9.0</v>
      </c>
      <c r="Z86" s="163">
        <v>0.0</v>
      </c>
      <c r="AA86" s="163">
        <v>12.0</v>
      </c>
      <c r="AB86" s="163">
        <v>18.0</v>
      </c>
      <c r="AC86" s="163">
        <v>6.0</v>
      </c>
      <c r="AD86" s="163">
        <v>15.0</v>
      </c>
      <c r="AE86" s="163">
        <v>18.0</v>
      </c>
      <c r="AF86" s="163">
        <v>0.0</v>
      </c>
      <c r="AG86" s="163">
        <v>12.0</v>
      </c>
      <c r="AH86" s="163">
        <v>12.0</v>
      </c>
      <c r="AI86" s="163">
        <v>6.0</v>
      </c>
      <c r="AJ86" s="163">
        <v>0.0</v>
      </c>
      <c r="AK86" s="163">
        <v>9.0</v>
      </c>
      <c r="AL86" s="163">
        <v>9.0</v>
      </c>
      <c r="AM86" s="163">
        <v>6.0</v>
      </c>
      <c r="AN86" s="163">
        <v>9.0</v>
      </c>
      <c r="AO86" s="163">
        <v>12.0</v>
      </c>
      <c r="AP86" s="163">
        <v>6.0</v>
      </c>
      <c r="AQ86" s="163">
        <v>18.0</v>
      </c>
      <c r="AR86" s="163">
        <v>12.0</v>
      </c>
      <c r="AS86" s="163">
        <v>15.0</v>
      </c>
      <c r="AT86" s="139">
        <f t="shared" si="4"/>
        <v>114.0</v>
      </c>
      <c r="AU86" s="139">
        <f t="shared" si="232"/>
        <v>42.0</v>
      </c>
      <c r="AV86" s="139">
        <f t="shared" si="6"/>
        <v>46.2</v>
      </c>
      <c r="BC86" s="166"/>
      <c r="BD86" s="123">
        <f>VLOOKUP(C86,SOHFEB23,3,false)</f>
        <v>0.0</v>
      </c>
      <c r="BE86" s="167">
        <f>VLOOKUP(D86,VALUEFEB23,4,false)</f>
      </c>
      <c r="BF86" s="124">
        <f t="shared" si="16"/>
        <v>0.0</v>
      </c>
      <c r="BH86" s="168">
        <f t="shared" si="365"/>
        <v>0.0</v>
      </c>
      <c r="BI86" s="123"/>
      <c r="BK86" s="177"/>
      <c r="BL86" s="36">
        <f t="shared" si="366"/>
        <v>0.0</v>
      </c>
      <c r="BM86" s="168"/>
      <c r="BN86" s="168">
        <f t="shared" si="390"/>
      </c>
      <c r="BO86" s="168"/>
      <c r="BP86" s="168">
        <f t="shared" si="391"/>
        <v>0.0</v>
      </c>
      <c r="BQ86" s="126">
        <f t="shared" si="402"/>
        <v>0.0</v>
      </c>
      <c r="BR86" s="168">
        <f t="shared" si="392"/>
      </c>
      <c r="BS86" s="123"/>
      <c r="BT86" s="168">
        <f t="shared" si="393"/>
        <v>0.0</v>
      </c>
      <c r="BU86" s="126">
        <f t="shared" si="247"/>
        <v>0.0</v>
      </c>
      <c r="BV86" s="168">
        <f t="shared" si="394"/>
      </c>
      <c r="BW86" s="168"/>
      <c r="BX86" s="168">
        <f t="shared" si="395"/>
        <v>0.0</v>
      </c>
      <c r="BY86" s="126">
        <f t="shared" si="250"/>
        <v>0.0</v>
      </c>
      <c r="BZ86" s="168">
        <f t="shared" si="396"/>
      </c>
      <c r="CA86" s="168"/>
      <c r="CB86" s="168">
        <f t="shared" si="397"/>
        <v>0.0</v>
      </c>
      <c r="CC86" s="126">
        <f t="shared" si="253"/>
        <v>0.0</v>
      </c>
      <c r="CD86" s="168">
        <f t="shared" si="398"/>
      </c>
      <c r="CE86" s="168"/>
      <c r="CF86" s="168">
        <f t="shared" si="399"/>
        <v>0.0</v>
      </c>
      <c r="CG86" s="126">
        <f t="shared" si="256"/>
        <v>0.0</v>
      </c>
      <c r="CH86" s="168">
        <f t="shared" si="400"/>
      </c>
      <c r="CI86" s="168"/>
      <c r="CJ86" s="168">
        <f t="shared" si="401"/>
        <v>0.0</v>
      </c>
      <c r="CK86" s="126">
        <f t="shared" si="259"/>
        <v>0.0</v>
      </c>
      <c r="CL86" s="36">
        <f t="shared" si="403"/>
        <v>0.0</v>
      </c>
      <c r="CM86" s="36">
        <f t="shared" si="404"/>
        <v>0.0</v>
      </c>
      <c r="CN86" s="36">
        <f t="shared" si="405"/>
        <v>0.0</v>
      </c>
      <c r="CO86" s="123">
        <f t="shared" si="406"/>
        <v>0.0</v>
      </c>
      <c r="CR86" s="123"/>
      <c r="CS86" s="168">
        <f t="shared" si="55"/>
        <v>0.0</v>
      </c>
      <c r="CT86" s="36">
        <f t="shared" si="56"/>
        <v>0.0</v>
      </c>
      <c r="CU86" s="123">
        <f t="shared" si="57"/>
        <v>0.0</v>
      </c>
    </row>
    <row r="87">
      <c r="A87" s="175" t="s">
        <v>32</v>
      </c>
      <c r="B87" s="175" t="s">
        <v>153</v>
      </c>
      <c r="C87" s="175" t="s">
        <v>160</v>
      </c>
      <c r="D87" s="176">
        <v>40523.0</v>
      </c>
      <c r="E87" s="163">
        <v>15.0</v>
      </c>
      <c r="F87" s="163">
        <v>9.0</v>
      </c>
      <c r="G87" s="163">
        <v>9.0</v>
      </c>
      <c r="H87" s="163">
        <v>9.0</v>
      </c>
      <c r="I87" s="163">
        <v>3.0</v>
      </c>
      <c r="J87" s="163">
        <v>6.0</v>
      </c>
      <c r="K87" s="163">
        <v>27.0</v>
      </c>
      <c r="L87" s="163">
        <v>9.0</v>
      </c>
      <c r="M87" s="163">
        <v>9.0</v>
      </c>
      <c r="N87" s="163">
        <v>3.0</v>
      </c>
      <c r="O87" s="163">
        <v>3.0</v>
      </c>
      <c r="P87" s="163">
        <v>18.0</v>
      </c>
      <c r="Q87" s="163">
        <v>-3.0</v>
      </c>
      <c r="R87" s="163">
        <v>3.0</v>
      </c>
      <c r="S87" s="163">
        <v>6.0</v>
      </c>
      <c r="T87" s="163">
        <v>0.0</v>
      </c>
      <c r="U87" s="163">
        <v>3.0</v>
      </c>
      <c r="V87" s="163">
        <v>3.0</v>
      </c>
      <c r="W87" s="163">
        <v>3.0</v>
      </c>
      <c r="X87" s="163">
        <v>18.0</v>
      </c>
      <c r="Y87" s="163">
        <v>0.0</v>
      </c>
      <c r="Z87" s="163">
        <v>3.0</v>
      </c>
      <c r="AA87" s="163">
        <v>3.0</v>
      </c>
      <c r="AB87" s="163">
        <v>6.0</v>
      </c>
      <c r="AC87" s="163">
        <v>3.0</v>
      </c>
      <c r="AD87" s="163">
        <v>18.0</v>
      </c>
      <c r="AE87" s="163">
        <v>3.0</v>
      </c>
      <c r="AF87" s="163">
        <v>0.0</v>
      </c>
      <c r="AG87" s="163">
        <v>3.0</v>
      </c>
      <c r="AH87" s="163">
        <v>3.0</v>
      </c>
      <c r="AI87" s="163">
        <v>3.0</v>
      </c>
      <c r="AJ87" s="163">
        <v>9.0</v>
      </c>
      <c r="AK87" s="163">
        <v>3.0</v>
      </c>
      <c r="AL87" s="163">
        <v>0.0</v>
      </c>
      <c r="AM87" s="163">
        <v>3.0</v>
      </c>
      <c r="AN87" s="163">
        <v>3.0</v>
      </c>
      <c r="AO87" s="163">
        <v>6.0</v>
      </c>
      <c r="AP87" s="163">
        <v>9.0</v>
      </c>
      <c r="AQ87" s="163">
        <v>6.0</v>
      </c>
      <c r="AR87" s="163">
        <v>3.0</v>
      </c>
      <c r="AS87" s="163">
        <v>11.0</v>
      </c>
      <c r="AT87" s="139">
        <f t="shared" si="4"/>
        <v>59.0</v>
      </c>
      <c r="AU87" s="139">
        <f t="shared" si="232"/>
        <v>21.0</v>
      </c>
      <c r="AV87" s="139">
        <f t="shared" si="6"/>
        <v>23.1</v>
      </c>
      <c r="BC87" s="166"/>
      <c r="BD87" s="123">
        <f>VLOOKUP(C87,SOHFEB23,3,false)</f>
        <v>0.0</v>
      </c>
      <c r="BE87" s="167">
        <f>VLOOKUP(D87,VALUEFEB23,4,false)</f>
      </c>
      <c r="BF87" s="124">
        <f t="shared" si="16"/>
        <v>0.0</v>
      </c>
      <c r="BH87" s="168">
        <f t="shared" si="365"/>
        <v>0.0</v>
      </c>
      <c r="BI87" s="123"/>
      <c r="BK87" s="177"/>
      <c r="BL87" s="36">
        <f t="shared" si="366"/>
        <v>0.0</v>
      </c>
      <c r="BM87" s="168"/>
      <c r="BN87" s="168">
        <f t="shared" si="390"/>
      </c>
      <c r="BO87" s="168"/>
      <c r="BP87" s="168">
        <f t="shared" si="391"/>
        <v>0.0</v>
      </c>
      <c r="BQ87" s="126">
        <f t="shared" si="402"/>
        <v>0.0</v>
      </c>
      <c r="BR87" s="168">
        <f t="shared" si="392"/>
      </c>
      <c r="BS87" s="123"/>
      <c r="BT87" s="168">
        <f t="shared" si="393"/>
        <v>0.0</v>
      </c>
      <c r="BU87" s="126">
        <f t="shared" si="247"/>
        <v>0.0</v>
      </c>
      <c r="BV87" s="168">
        <f t="shared" si="394"/>
      </c>
      <c r="BW87" s="168"/>
      <c r="BX87" s="168">
        <f t="shared" si="395"/>
        <v>0.0</v>
      </c>
      <c r="BY87" s="126">
        <f t="shared" si="250"/>
        <v>0.0</v>
      </c>
      <c r="BZ87" s="168">
        <f t="shared" si="396"/>
      </c>
      <c r="CA87" s="168"/>
      <c r="CB87" s="168">
        <f t="shared" si="397"/>
        <v>0.0</v>
      </c>
      <c r="CC87" s="126">
        <f t="shared" si="253"/>
        <v>0.0</v>
      </c>
      <c r="CD87" s="168">
        <f t="shared" si="398"/>
      </c>
      <c r="CE87" s="168"/>
      <c r="CF87" s="168">
        <f t="shared" si="399"/>
        <v>0.0</v>
      </c>
      <c r="CG87" s="126">
        <f t="shared" si="256"/>
        <v>0.0</v>
      </c>
      <c r="CH87" s="168">
        <f t="shared" si="400"/>
      </c>
      <c r="CI87" s="168"/>
      <c r="CJ87" s="168">
        <f t="shared" si="401"/>
        <v>0.0</v>
      </c>
      <c r="CK87" s="126">
        <f t="shared" si="259"/>
        <v>0.0</v>
      </c>
      <c r="CL87" s="36">
        <f t="shared" si="403"/>
        <v>0.0</v>
      </c>
      <c r="CM87" s="36">
        <f t="shared" si="404"/>
        <v>0.0</v>
      </c>
      <c r="CN87" s="36">
        <f t="shared" si="405"/>
        <v>0.0</v>
      </c>
      <c r="CO87" s="123">
        <f t="shared" si="406"/>
        <v>0.0</v>
      </c>
      <c r="CR87" s="123"/>
      <c r="CS87" s="168">
        <f t="shared" si="55"/>
        <v>0.0</v>
      </c>
      <c r="CT87" s="36">
        <f t="shared" si="56"/>
        <v>0.0</v>
      </c>
      <c r="CU87" s="123">
        <f t="shared" si="57"/>
        <v>0.0</v>
      </c>
    </row>
    <row r="88">
      <c r="A88" s="175" t="s">
        <v>32</v>
      </c>
      <c r="B88" s="175" t="s">
        <v>153</v>
      </c>
      <c r="C88" s="175" t="s">
        <v>161</v>
      </c>
      <c r="D88" s="176">
        <v>40533.0</v>
      </c>
      <c r="E88" s="163">
        <v>18.0</v>
      </c>
      <c r="F88" s="163">
        <v>21.0</v>
      </c>
      <c r="G88" s="163">
        <v>21.0</v>
      </c>
      <c r="H88" s="163">
        <v>9.0</v>
      </c>
      <c r="I88" s="163">
        <v>0.0</v>
      </c>
      <c r="J88" s="163">
        <v>12.0</v>
      </c>
      <c r="K88" s="163">
        <v>21.0</v>
      </c>
      <c r="L88" s="163">
        <v>3.0</v>
      </c>
      <c r="M88" s="163">
        <v>15.0</v>
      </c>
      <c r="N88" s="163">
        <v>15.0</v>
      </c>
      <c r="O88" s="163">
        <v>15.0</v>
      </c>
      <c r="P88" s="163">
        <v>18.0</v>
      </c>
      <c r="Q88" s="163">
        <v>4.0</v>
      </c>
      <c r="R88" s="163">
        <v>6.0</v>
      </c>
      <c r="S88" s="163">
        <v>3.0</v>
      </c>
      <c r="T88" s="163">
        <v>12.0</v>
      </c>
      <c r="U88" s="163">
        <v>12.0</v>
      </c>
      <c r="V88" s="163">
        <v>18.0</v>
      </c>
      <c r="W88" s="163">
        <v>6.0</v>
      </c>
      <c r="X88" s="163">
        <v>19.0</v>
      </c>
      <c r="Y88" s="163">
        <v>0.0</v>
      </c>
      <c r="Z88" s="163">
        <v>6.0</v>
      </c>
      <c r="AA88" s="163">
        <v>3.0</v>
      </c>
      <c r="AB88" s="163">
        <v>15.0</v>
      </c>
      <c r="AC88" s="163">
        <v>9.0</v>
      </c>
      <c r="AD88" s="163">
        <v>9.0</v>
      </c>
      <c r="AE88" s="163">
        <v>6.0</v>
      </c>
      <c r="AF88" s="163">
        <v>0.0</v>
      </c>
      <c r="AG88" s="163">
        <v>12.0</v>
      </c>
      <c r="AH88" s="163">
        <v>6.0</v>
      </c>
      <c r="AI88" s="163">
        <v>3.0</v>
      </c>
      <c r="AJ88" s="163">
        <v>3.0</v>
      </c>
      <c r="AK88" s="163">
        <v>6.0</v>
      </c>
      <c r="AL88" s="163">
        <v>12.0</v>
      </c>
      <c r="AM88" s="163">
        <v>0.0</v>
      </c>
      <c r="AN88" s="163">
        <v>2.0</v>
      </c>
      <c r="AO88" s="163">
        <v>3.0</v>
      </c>
      <c r="AP88" s="163">
        <v>9.0</v>
      </c>
      <c r="AQ88" s="163">
        <v>6.0</v>
      </c>
      <c r="AR88" s="163">
        <v>3.0</v>
      </c>
      <c r="AS88" s="163">
        <v>7.0</v>
      </c>
      <c r="AT88" s="139">
        <f t="shared" si="4"/>
        <v>60.0</v>
      </c>
      <c r="AU88" s="139">
        <f t="shared" si="232"/>
        <v>30.0</v>
      </c>
      <c r="AV88" s="139">
        <f t="shared" si="6"/>
        <v>33.0</v>
      </c>
      <c r="BC88" s="166"/>
      <c r="BD88" s="123">
        <f>VLOOKUP(C88,SOHFEB23,3,false)</f>
        <v>19.0</v>
      </c>
      <c r="BE88" s="167">
        <f>VLOOKUP(D88,VALUEFEB23,4,false)</f>
        <v>5.2795</v>
      </c>
      <c r="BF88" s="124">
        <f t="shared" si="16"/>
        <v>100.3105</v>
      </c>
      <c r="BH88" s="168">
        <f t="shared" si="365"/>
        <v>19.0</v>
      </c>
      <c r="BI88" s="123"/>
      <c r="BK88" s="177"/>
      <c r="BL88" s="36">
        <f t="shared" si="366"/>
        <v>19.0</v>
      </c>
      <c r="BM88" s="168"/>
      <c r="BN88" s="168">
        <f t="shared" si="390"/>
      </c>
      <c r="BO88" s="168"/>
      <c r="BP88" s="168">
        <f t="shared" si="391"/>
        <v>19.0</v>
      </c>
      <c r="BQ88" s="126">
        <f t="shared" si="402"/>
        <v>100.3105</v>
      </c>
      <c r="BR88" s="168">
        <f t="shared" si="392"/>
      </c>
      <c r="BS88" s="123"/>
      <c r="BT88" s="168">
        <f t="shared" si="393"/>
        <v>19.0</v>
      </c>
      <c r="BU88" s="126">
        <f t="shared" si="247"/>
        <v>100.3105</v>
      </c>
      <c r="BV88" s="168">
        <f t="shared" si="394"/>
      </c>
      <c r="BW88" s="168"/>
      <c r="BX88" s="168">
        <f t="shared" si="395"/>
        <v>19.0</v>
      </c>
      <c r="BY88" s="126">
        <f t="shared" si="250"/>
        <v>100.3105</v>
      </c>
      <c r="BZ88" s="168">
        <f t="shared" si="396"/>
      </c>
      <c r="CA88" s="168"/>
      <c r="CB88" s="168">
        <f t="shared" si="397"/>
        <v>19.0</v>
      </c>
      <c r="CC88" s="126">
        <f t="shared" si="253"/>
        <v>100.3105</v>
      </c>
      <c r="CD88" s="168">
        <f t="shared" si="398"/>
      </c>
      <c r="CE88" s="168"/>
      <c r="CF88" s="168">
        <f t="shared" si="399"/>
        <v>19.0</v>
      </c>
      <c r="CG88" s="126">
        <f t="shared" si="256"/>
        <v>100.3105</v>
      </c>
      <c r="CH88" s="168">
        <f t="shared" si="400"/>
      </c>
      <c r="CI88" s="168"/>
      <c r="CJ88" s="168">
        <f t="shared" si="401"/>
        <v>19.0</v>
      </c>
      <c r="CK88" s="126">
        <f t="shared" si="259"/>
        <v>100.3105</v>
      </c>
      <c r="CL88" s="36">
        <f t="shared" si="403"/>
        <v>-19.0</v>
      </c>
      <c r="CM88" s="36">
        <f t="shared" si="404"/>
        <v>-3.1666666666666</v>
      </c>
      <c r="CN88" s="36">
        <f t="shared" si="405"/>
        <v>-4.0</v>
      </c>
      <c r="CO88" s="123">
        <f t="shared" si="406"/>
        <v>-24.0</v>
      </c>
      <c r="CR88" s="123"/>
      <c r="CS88" s="168">
        <f t="shared" si="55"/>
        <v>0.0</v>
      </c>
      <c r="CT88" s="36">
        <f t="shared" si="56"/>
        <v>0.0</v>
      </c>
      <c r="CU88" s="123">
        <f t="shared" si="57"/>
        <v>0.0</v>
      </c>
    </row>
    <row r="89">
      <c r="A89" s="175" t="s">
        <v>32</v>
      </c>
      <c r="B89" s="175" t="s">
        <v>153</v>
      </c>
      <c r="C89" s="175" t="s">
        <v>162</v>
      </c>
      <c r="D89" s="176">
        <v>40534.0</v>
      </c>
      <c r="E89" s="163">
        <v>0.0</v>
      </c>
      <c r="F89" s="163">
        <v>0.0</v>
      </c>
      <c r="G89" s="163">
        <v>0.0</v>
      </c>
      <c r="H89" s="163">
        <v>0.0</v>
      </c>
      <c r="I89" s="163">
        <v>12.0</v>
      </c>
      <c r="J89" s="163">
        <v>18.0</v>
      </c>
      <c r="K89" s="163">
        <v>0.0</v>
      </c>
      <c r="L89" s="163">
        <v>3.0</v>
      </c>
      <c r="M89" s="163">
        <v>6.0</v>
      </c>
      <c r="N89" s="163">
        <v>15.0</v>
      </c>
      <c r="O89" s="163">
        <v>9.0</v>
      </c>
      <c r="P89" s="163">
        <v>15.0</v>
      </c>
      <c r="Q89" s="163">
        <v>9.0</v>
      </c>
      <c r="R89" s="163">
        <v>9.0</v>
      </c>
      <c r="S89" s="163">
        <v>3.0</v>
      </c>
      <c r="T89" s="163">
        <v>12.0</v>
      </c>
      <c r="U89" s="163">
        <v>9.0</v>
      </c>
      <c r="V89" s="163">
        <v>3.0</v>
      </c>
      <c r="W89" s="163">
        <v>9.0</v>
      </c>
      <c r="X89" s="163">
        <v>15.0</v>
      </c>
      <c r="Y89" s="163">
        <v>3.0</v>
      </c>
      <c r="Z89" s="163">
        <v>9.0</v>
      </c>
      <c r="AA89" s="163">
        <v>6.0</v>
      </c>
      <c r="AB89" s="163">
        <v>6.0</v>
      </c>
      <c r="AC89" s="163">
        <v>3.0</v>
      </c>
      <c r="AD89" s="163">
        <v>3.0</v>
      </c>
      <c r="AE89" s="163">
        <v>6.0</v>
      </c>
      <c r="AF89" s="163">
        <v>0.0</v>
      </c>
      <c r="AG89" s="163">
        <v>9.0</v>
      </c>
      <c r="AH89" s="163">
        <v>6.0</v>
      </c>
      <c r="AI89" s="163">
        <v>3.0</v>
      </c>
      <c r="AJ89" s="163">
        <v>3.0</v>
      </c>
      <c r="AK89" s="163">
        <v>0.0</v>
      </c>
      <c r="AL89" s="163">
        <v>0.0</v>
      </c>
      <c r="AM89" s="163">
        <v>0.0</v>
      </c>
      <c r="AN89" s="163">
        <v>6.0</v>
      </c>
      <c r="AO89" s="163">
        <v>3.0</v>
      </c>
      <c r="AP89" s="163">
        <v>9.0</v>
      </c>
      <c r="AQ89" s="163">
        <v>3.0</v>
      </c>
      <c r="AR89" s="163">
        <v>0.0</v>
      </c>
      <c r="AS89" s="163">
        <v>11.0</v>
      </c>
      <c r="AT89" s="139">
        <f t="shared" si="4"/>
        <v>44.0</v>
      </c>
      <c r="AU89" s="139">
        <f t="shared" si="232"/>
        <v>12.0</v>
      </c>
      <c r="AV89" s="139">
        <f t="shared" si="6"/>
        <v>13.2</v>
      </c>
      <c r="BC89" s="166"/>
      <c r="BD89" s="123">
        <f>VLOOKUP(C89,SOHFEB23,3,false)</f>
        <v>3.0</v>
      </c>
      <c r="BE89" s="167">
        <f>VLOOKUP(D89,VALUEFEB23,4,false)</f>
        <v>5.2867</v>
      </c>
      <c r="BF89" s="124">
        <f t="shared" si="16"/>
        <v>15.8601</v>
      </c>
      <c r="BH89" s="168">
        <f t="shared" si="365"/>
        <v>3.0</v>
      </c>
      <c r="BI89" s="123"/>
      <c r="BK89" s="177"/>
      <c r="BL89" s="36">
        <f t="shared" si="366"/>
        <v>3.0</v>
      </c>
      <c r="BM89" s="168"/>
      <c r="BN89" s="168">
        <f t="shared" si="390"/>
      </c>
      <c r="BO89" s="168"/>
      <c r="BP89" s="168">
        <f t="shared" si="391"/>
        <v>3.0</v>
      </c>
      <c r="BQ89" s="126">
        <f t="shared" si="402"/>
        <v>15.8601</v>
      </c>
      <c r="BR89" s="168">
        <f t="shared" si="392"/>
      </c>
      <c r="BS89" s="123"/>
      <c r="BT89" s="168">
        <f t="shared" si="393"/>
        <v>3.0</v>
      </c>
      <c r="BU89" s="126">
        <f t="shared" si="247"/>
        <v>15.8601</v>
      </c>
      <c r="BV89" s="168">
        <f t="shared" si="394"/>
      </c>
      <c r="BW89" s="168"/>
      <c r="BX89" s="168">
        <f t="shared" si="395"/>
        <v>3.0</v>
      </c>
      <c r="BY89" s="126">
        <f t="shared" si="250"/>
        <v>15.8601</v>
      </c>
      <c r="BZ89" s="168">
        <f t="shared" si="396"/>
      </c>
      <c r="CA89" s="168"/>
      <c r="CB89" s="168">
        <f t="shared" si="397"/>
        <v>3.0</v>
      </c>
      <c r="CC89" s="126">
        <f t="shared" si="253"/>
        <v>15.8601</v>
      </c>
      <c r="CD89" s="168">
        <f t="shared" si="398"/>
      </c>
      <c r="CE89" s="168"/>
      <c r="CF89" s="168">
        <f t="shared" si="399"/>
        <v>3.0</v>
      </c>
      <c r="CG89" s="126">
        <f t="shared" si="256"/>
        <v>15.8601</v>
      </c>
      <c r="CH89" s="168">
        <f t="shared" si="400"/>
      </c>
      <c r="CI89" s="168"/>
      <c r="CJ89" s="168">
        <f t="shared" si="401"/>
        <v>3.0</v>
      </c>
      <c r="CK89" s="126">
        <f t="shared" si="259"/>
        <v>15.8601</v>
      </c>
      <c r="CL89" s="36">
        <f t="shared" si="403"/>
        <v>-3.0</v>
      </c>
      <c r="CM89" s="36">
        <f t="shared" si="404"/>
        <v>-0.5</v>
      </c>
      <c r="CN89" s="36">
        <f t="shared" si="405"/>
        <v>-1.0</v>
      </c>
      <c r="CO89" s="123">
        <f t="shared" si="406"/>
        <v>-6.0</v>
      </c>
      <c r="CR89" s="123"/>
      <c r="CS89" s="168">
        <f t="shared" si="55"/>
        <v>0.0</v>
      </c>
      <c r="CT89" s="36">
        <f t="shared" si="56"/>
        <v>0.0</v>
      </c>
      <c r="CU89" s="123">
        <f t="shared" si="57"/>
        <v>0.0</v>
      </c>
    </row>
    <row r="90">
      <c r="A90" s="163" t="s">
        <v>32</v>
      </c>
      <c r="B90" s="163" t="s">
        <v>163</v>
      </c>
      <c r="C90" s="163" t="s">
        <v>164</v>
      </c>
      <c r="D90" s="164">
        <v>40402.0</v>
      </c>
      <c r="E90" s="163">
        <v>34.0</v>
      </c>
      <c r="F90" s="163">
        <v>26.0</v>
      </c>
      <c r="G90" s="163">
        <v>24.0</v>
      </c>
      <c r="H90" s="163">
        <v>27.0</v>
      </c>
      <c r="I90" s="163">
        <v>16.0</v>
      </c>
      <c r="J90" s="163">
        <v>24.0</v>
      </c>
      <c r="K90" s="163">
        <v>28.0</v>
      </c>
      <c r="L90" s="163">
        <v>24.0</v>
      </c>
      <c r="M90" s="163">
        <v>18.0</v>
      </c>
      <c r="N90" s="163">
        <v>10.0</v>
      </c>
      <c r="O90" s="163">
        <v>31.0</v>
      </c>
      <c r="P90" s="163">
        <v>21.0</v>
      </c>
      <c r="Q90" s="163">
        <v>25.0</v>
      </c>
      <c r="R90" s="163">
        <v>42.0</v>
      </c>
      <c r="S90" s="163">
        <v>21.0</v>
      </c>
      <c r="T90" s="163">
        <v>12.0</v>
      </c>
      <c r="U90" s="163">
        <v>22.0</v>
      </c>
      <c r="V90" s="163">
        <v>21.0</v>
      </c>
      <c r="W90" s="163">
        <v>21.0</v>
      </c>
      <c r="X90" s="163">
        <v>22.0</v>
      </c>
      <c r="Y90" s="163">
        <v>20.0</v>
      </c>
      <c r="Z90" s="163">
        <v>10.0</v>
      </c>
      <c r="AA90" s="163">
        <v>12.0</v>
      </c>
      <c r="AB90" s="163">
        <v>45.0</v>
      </c>
      <c r="AC90" s="163">
        <v>27.0</v>
      </c>
      <c r="AD90" s="163">
        <v>33.0</v>
      </c>
      <c r="AE90" s="163">
        <v>21.0</v>
      </c>
      <c r="AF90" s="163">
        <v>12.0</v>
      </c>
      <c r="AG90" s="163">
        <v>27.0</v>
      </c>
      <c r="AH90" s="163">
        <v>15.0</v>
      </c>
      <c r="AI90" s="163">
        <v>3.0</v>
      </c>
      <c r="AJ90" s="163">
        <v>30.0</v>
      </c>
      <c r="AK90" s="163">
        <v>18.0</v>
      </c>
      <c r="AL90" s="163">
        <v>6.0</v>
      </c>
      <c r="AM90" s="163">
        <v>21.0</v>
      </c>
      <c r="AN90" s="163">
        <v>3.0</v>
      </c>
      <c r="AO90" s="163">
        <v>30.0</v>
      </c>
      <c r="AP90" s="163">
        <v>36.0</v>
      </c>
      <c r="AQ90" s="163">
        <v>21.0</v>
      </c>
      <c r="AR90" s="163">
        <v>24.0</v>
      </c>
      <c r="AS90" s="163">
        <v>4.0</v>
      </c>
      <c r="AT90" s="139">
        <f t="shared" si="4"/>
        <v>211.0</v>
      </c>
      <c r="AU90" s="139">
        <f t="shared" si="232"/>
        <v>93.0</v>
      </c>
      <c r="AV90" s="139">
        <f t="shared" si="6"/>
        <v>102.3</v>
      </c>
      <c r="AW90" s="36">
        <f t="shared" ref="AW90:AW95" si="407">AV90*$AW$4/$AV$4</f>
        <v>14.466666666667</v>
      </c>
      <c r="AX90" s="36">
        <f t="shared" ref="AX90:AX95" si="408">AV90*$AX$4/$AV$4</f>
        <v>16.5333333333333</v>
      </c>
      <c r="AY90" s="36">
        <f t="shared" ref="AY90:AY95" si="409">AV90*$AY$4/$AV$4</f>
        <v>16.5333333333333</v>
      </c>
      <c r="AZ90" s="36">
        <f t="shared" ref="AZ90:AZ95" si="410">AV90*$AZ$4/$AV$4</f>
        <v>14.466666666667</v>
      </c>
      <c r="BA90" s="36">
        <f t="shared" ref="BA90:BA95" si="411">AV90*$BA$4/$AV$4</f>
        <v>14.466666666667</v>
      </c>
      <c r="BB90" s="36">
        <f t="shared" ref="BB90:BB95" si="412">AV90*$BB$4/$AV$4</f>
        <v>16.5333333333333</v>
      </c>
      <c r="BC90" s="166">
        <f t="shared" ref="BC90:BC97" si="413">SUM(AW90:BB90)</f>
        <v>93.0000000000009</v>
      </c>
      <c r="BD90" s="123">
        <f>VLOOKUP(C90,SOHFEB23,3,false)</f>
        <v>66.0</v>
      </c>
      <c r="BE90" s="167">
        <f>VLOOKUP(D90,VALUEFEB23,4,false)</f>
        <v>8.9292</v>
      </c>
      <c r="BF90" s="124">
        <f t="shared" si="16"/>
        <v>589.3272</v>
      </c>
      <c r="BG90" s="168"/>
      <c r="BH90" s="168">
        <f t="shared" si="365"/>
        <v>-27.0000000000007</v>
      </c>
      <c r="BI90" s="123"/>
      <c r="BJ90" s="170"/>
      <c r="BK90" s="36" t="s">
        <v>5</v>
      </c>
      <c r="BL90" s="36">
        <f t="shared" si="366"/>
        <v>66.0</v>
      </c>
      <c r="BM90" s="168"/>
      <c r="BN90" s="168">
        <f t="shared" si="390"/>
        <v>14.466666666667</v>
      </c>
      <c r="BO90" s="168"/>
      <c r="BP90" s="168">
        <f t="shared" si="391"/>
        <v>51.533333333333</v>
      </c>
      <c r="BQ90" s="126">
        <f t="shared" si="402"/>
        <v>460.151439999997</v>
      </c>
      <c r="BR90" s="168">
        <f t="shared" si="392"/>
        <v>16.5333333333333</v>
      </c>
      <c r="BS90" s="123"/>
      <c r="BT90" s="168">
        <f t="shared" si="393"/>
        <v>34.9999999999997</v>
      </c>
      <c r="BU90" s="126">
        <f t="shared" si="247"/>
        <v>312.521999999997</v>
      </c>
      <c r="BV90" s="168">
        <f t="shared" si="394"/>
        <v>16.5333333333333</v>
      </c>
      <c r="BW90" s="168"/>
      <c r="BX90" s="168">
        <f t="shared" si="395"/>
        <v>18.4666666666664</v>
      </c>
      <c r="BY90" s="126">
        <f t="shared" si="250"/>
        <v>164.89256</v>
      </c>
      <c r="BZ90" s="168">
        <f t="shared" si="396"/>
        <v>14.466666666667</v>
      </c>
      <c r="CA90" s="168"/>
      <c r="CB90" s="168">
        <f t="shared" si="397"/>
        <v>3.9999999999994</v>
      </c>
      <c r="CC90" s="126">
        <f t="shared" si="253"/>
        <v>35.7167999999946</v>
      </c>
      <c r="CD90" s="168">
        <f t="shared" si="398"/>
        <v>14.466666666667</v>
      </c>
      <c r="CE90" s="168"/>
      <c r="CF90" s="168">
        <f t="shared" si="399"/>
        <v>-10.4666666666676</v>
      </c>
      <c r="CG90" s="126">
        <f t="shared" si="256"/>
        <v>-93.4589600000083</v>
      </c>
      <c r="CH90" s="168">
        <f t="shared" si="400"/>
        <v>16.5333333333333</v>
      </c>
      <c r="CI90" s="168"/>
      <c r="CJ90" s="168">
        <f t="shared" si="401"/>
        <v>-27.0000000000009</v>
      </c>
      <c r="CK90" s="126">
        <f t="shared" si="259"/>
        <v>-241.088400000008</v>
      </c>
      <c r="CL90" s="36">
        <f t="shared" si="403"/>
        <v>27.0000000000009</v>
      </c>
      <c r="CM90" s="36">
        <f t="shared" si="404"/>
        <v>4.50000000000015</v>
      </c>
      <c r="CN90" s="36">
        <f t="shared" si="405"/>
        <v>5.0</v>
      </c>
      <c r="CO90" s="123">
        <f t="shared" si="406"/>
        <v>30.0</v>
      </c>
      <c r="CR90" s="123">
        <f t="shared" ref="CR90:CR93" si="414">CF90</f>
        <v>-10.4666666666676</v>
      </c>
      <c r="CS90" s="168">
        <f t="shared" si="55"/>
        <v>1.7444444444446</v>
      </c>
      <c r="CT90" s="36">
        <f t="shared" si="56"/>
        <v>2.0</v>
      </c>
      <c r="CU90" s="123">
        <f t="shared" si="57"/>
        <v>12.0</v>
      </c>
      <c r="DB90" s="172">
        <f t="shared" ref="DB90:DB93" si="415">CF90</f>
        <v>-10.4666666666676</v>
      </c>
      <c r="DC90" s="168">
        <f t="shared" ref="DC90:DC93" si="416">(DB90/6)*-1</f>
        <v>1.7444444444446</v>
      </c>
      <c r="DD90" s="36">
        <f t="shared" ref="DD90:DD93" si="417">ROUNDUP(DC90,0)</f>
        <v>2.0</v>
      </c>
      <c r="DE90" s="123">
        <f t="shared" ref="DE90:DE93" si="418">DD90*6</f>
        <v>12.0</v>
      </c>
    </row>
    <row r="91">
      <c r="A91" s="163" t="s">
        <v>32</v>
      </c>
      <c r="B91" s="163" t="s">
        <v>163</v>
      </c>
      <c r="C91" s="163" t="s">
        <v>165</v>
      </c>
      <c r="D91" s="164">
        <v>40403.0</v>
      </c>
      <c r="E91" s="163">
        <v>30.0</v>
      </c>
      <c r="F91" s="163">
        <v>23.0</v>
      </c>
      <c r="G91" s="163">
        <v>21.0</v>
      </c>
      <c r="H91" s="163">
        <v>18.0</v>
      </c>
      <c r="I91" s="163">
        <v>17.0</v>
      </c>
      <c r="J91" s="163">
        <v>23.0</v>
      </c>
      <c r="K91" s="163">
        <v>26.0</v>
      </c>
      <c r="L91" s="163">
        <v>13.0</v>
      </c>
      <c r="M91" s="163">
        <v>22.0</v>
      </c>
      <c r="N91" s="163">
        <v>25.0</v>
      </c>
      <c r="O91" s="163">
        <v>23.0</v>
      </c>
      <c r="P91" s="163">
        <v>30.0</v>
      </c>
      <c r="Q91" s="163">
        <v>26.0</v>
      </c>
      <c r="R91" s="163">
        <v>36.0</v>
      </c>
      <c r="S91" s="163">
        <v>18.0</v>
      </c>
      <c r="T91" s="163">
        <v>20.0</v>
      </c>
      <c r="U91" s="163">
        <v>19.0</v>
      </c>
      <c r="V91" s="163">
        <v>33.0</v>
      </c>
      <c r="W91" s="163">
        <v>25.0</v>
      </c>
      <c r="X91" s="163">
        <v>35.0</v>
      </c>
      <c r="Y91" s="163">
        <v>24.0</v>
      </c>
      <c r="Z91" s="163">
        <v>18.0</v>
      </c>
      <c r="AA91" s="163">
        <v>15.0</v>
      </c>
      <c r="AB91" s="163">
        <v>57.0</v>
      </c>
      <c r="AC91" s="163">
        <v>33.0</v>
      </c>
      <c r="AD91" s="163">
        <v>30.0</v>
      </c>
      <c r="AE91" s="163">
        <v>33.0</v>
      </c>
      <c r="AF91" s="163">
        <v>27.0</v>
      </c>
      <c r="AG91" s="163">
        <v>27.0</v>
      </c>
      <c r="AH91" s="163">
        <v>24.0</v>
      </c>
      <c r="AI91" s="163">
        <v>21.0</v>
      </c>
      <c r="AJ91" s="163">
        <v>24.0</v>
      </c>
      <c r="AK91" s="163">
        <v>18.0</v>
      </c>
      <c r="AL91" s="163">
        <v>21.0</v>
      </c>
      <c r="AM91" s="163">
        <v>15.0</v>
      </c>
      <c r="AN91" s="163">
        <v>9.0</v>
      </c>
      <c r="AO91" s="163">
        <v>13.0</v>
      </c>
      <c r="AP91" s="163">
        <v>33.0</v>
      </c>
      <c r="AQ91" s="163">
        <v>27.0</v>
      </c>
      <c r="AR91" s="163">
        <v>21.0</v>
      </c>
      <c r="AS91" s="163">
        <v>7.0</v>
      </c>
      <c r="AT91" s="139">
        <f t="shared" si="4"/>
        <v>233.0</v>
      </c>
      <c r="AU91" s="139">
        <f t="shared" si="232"/>
        <v>123.0</v>
      </c>
      <c r="AV91" s="139">
        <f t="shared" si="6"/>
        <v>135.3</v>
      </c>
      <c r="AW91" s="36">
        <f t="shared" si="407"/>
        <v>19.1333333333333</v>
      </c>
      <c r="AX91" s="36">
        <f t="shared" si="408"/>
        <v>21.8666666666667</v>
      </c>
      <c r="AY91" s="36">
        <f t="shared" si="409"/>
        <v>21.8666666666667</v>
      </c>
      <c r="AZ91" s="36">
        <f t="shared" si="410"/>
        <v>19.1333333333333</v>
      </c>
      <c r="BA91" s="36">
        <f t="shared" si="411"/>
        <v>19.1333333333333</v>
      </c>
      <c r="BB91" s="36">
        <f t="shared" si="412"/>
        <v>21.8666666666667</v>
      </c>
      <c r="BC91" s="166">
        <f t="shared" si="413"/>
        <v>123.0</v>
      </c>
      <c r="BD91" s="123">
        <f>VLOOKUP(C91,SOHFEB23,3,false)</f>
        <v>100.0</v>
      </c>
      <c r="BE91" s="167">
        <f>VLOOKUP(D91,VALUEFEB23,4,false)</f>
        <v>8.7835</v>
      </c>
      <c r="BF91" s="124">
        <f t="shared" si="16"/>
        <v>878.35</v>
      </c>
      <c r="BG91" s="168"/>
      <c r="BH91" s="168">
        <f t="shared" si="365"/>
        <v>-23.0</v>
      </c>
      <c r="BI91" s="123"/>
      <c r="BJ91" s="170"/>
      <c r="BK91" s="36" t="s">
        <v>5</v>
      </c>
      <c r="BL91" s="36">
        <f t="shared" si="366"/>
        <v>100.0</v>
      </c>
      <c r="BM91" s="168"/>
      <c r="BN91" s="168">
        <f t="shared" si="390"/>
        <v>19.1333333333333</v>
      </c>
      <c r="BO91" s="168"/>
      <c r="BP91" s="168">
        <f t="shared" si="391"/>
        <v>80.8666666666667</v>
      </c>
      <c r="BQ91" s="126">
        <f t="shared" si="402"/>
        <v>710.292366666667</v>
      </c>
      <c r="BR91" s="168">
        <f t="shared" si="392"/>
        <v>21.8666666666667</v>
      </c>
      <c r="BS91" s="123"/>
      <c r="BT91" s="168">
        <f t="shared" si="393"/>
        <v>59.0</v>
      </c>
      <c r="BU91" s="126">
        <f t="shared" si="247"/>
        <v>518.2265</v>
      </c>
      <c r="BV91" s="168">
        <f t="shared" si="394"/>
        <v>21.8666666666667</v>
      </c>
      <c r="BW91" s="168"/>
      <c r="BX91" s="168">
        <f t="shared" si="395"/>
        <v>37.1333333333333</v>
      </c>
      <c r="BY91" s="126">
        <f t="shared" si="250"/>
        <v>326.160633333333</v>
      </c>
      <c r="BZ91" s="168">
        <f t="shared" si="396"/>
        <v>19.1333333333333</v>
      </c>
      <c r="CA91" s="168"/>
      <c r="CB91" s="168">
        <f t="shared" si="397"/>
        <v>18.0</v>
      </c>
      <c r="CC91" s="126">
        <f t="shared" si="253"/>
        <v>158.103</v>
      </c>
      <c r="CD91" s="168">
        <f t="shared" si="398"/>
        <v>19.1333333333333</v>
      </c>
      <c r="CE91" s="168"/>
      <c r="CF91" s="168">
        <f t="shared" si="399"/>
        <v>-1.1333333333333</v>
      </c>
      <c r="CG91" s="126">
        <f t="shared" si="256"/>
        <v>-9.95463333333304</v>
      </c>
      <c r="CH91" s="168">
        <f t="shared" si="400"/>
        <v>21.8666666666667</v>
      </c>
      <c r="CI91" s="168"/>
      <c r="CJ91" s="168">
        <f t="shared" si="401"/>
        <v>-23.0</v>
      </c>
      <c r="CK91" s="126">
        <f t="shared" si="259"/>
        <v>-202.0205</v>
      </c>
      <c r="CL91" s="36">
        <f t="shared" si="403"/>
        <v>23.0</v>
      </c>
      <c r="CM91" s="36">
        <f t="shared" si="404"/>
        <v>3.83333333333333</v>
      </c>
      <c r="CN91" s="36">
        <f t="shared" si="405"/>
        <v>4.0</v>
      </c>
      <c r="CO91" s="123">
        <f t="shared" si="406"/>
        <v>24.0</v>
      </c>
      <c r="CR91" s="123">
        <f t="shared" si="414"/>
        <v>-1.1333333333333</v>
      </c>
      <c r="CS91" s="168">
        <f t="shared" si="55"/>
        <v>0.188888888888883</v>
      </c>
      <c r="CT91" s="36">
        <f t="shared" si="56"/>
        <v>1.0</v>
      </c>
      <c r="CU91" s="123">
        <f t="shared" si="57"/>
        <v>6.0</v>
      </c>
      <c r="DB91" s="172">
        <f t="shared" si="415"/>
        <v>-1.1333333333333</v>
      </c>
      <c r="DC91" s="168">
        <f t="shared" si="416"/>
        <v>0.188888888888883</v>
      </c>
      <c r="DD91" s="36">
        <f t="shared" si="417"/>
        <v>1.0</v>
      </c>
      <c r="DE91" s="123">
        <f t="shared" si="418"/>
        <v>6.0</v>
      </c>
    </row>
    <row r="92">
      <c r="A92" s="163" t="s">
        <v>32</v>
      </c>
      <c r="B92" s="163" t="s">
        <v>163</v>
      </c>
      <c r="C92" s="163" t="s">
        <v>166</v>
      </c>
      <c r="D92" s="164">
        <v>40404.0</v>
      </c>
      <c r="E92" s="163">
        <v>27.0</v>
      </c>
      <c r="F92" s="163">
        <v>-6.0</v>
      </c>
      <c r="G92" s="163">
        <v>34.0</v>
      </c>
      <c r="H92" s="163">
        <v>18.0</v>
      </c>
      <c r="I92" s="163">
        <v>15.0</v>
      </c>
      <c r="J92" s="163">
        <v>19.0</v>
      </c>
      <c r="K92" s="163">
        <v>18.0</v>
      </c>
      <c r="L92" s="163">
        <v>9.0</v>
      </c>
      <c r="M92" s="163">
        <v>13.0</v>
      </c>
      <c r="N92" s="163">
        <v>19.0</v>
      </c>
      <c r="O92" s="163">
        <v>24.0</v>
      </c>
      <c r="P92" s="163">
        <v>27.0</v>
      </c>
      <c r="Q92" s="163">
        <v>24.0</v>
      </c>
      <c r="R92" s="163">
        <v>30.0</v>
      </c>
      <c r="S92" s="163">
        <v>21.0</v>
      </c>
      <c r="T92" s="163">
        <v>9.0</v>
      </c>
      <c r="U92" s="163">
        <v>15.0</v>
      </c>
      <c r="V92" s="163">
        <v>12.0</v>
      </c>
      <c r="W92" s="163">
        <v>15.0</v>
      </c>
      <c r="X92" s="163">
        <v>24.0</v>
      </c>
      <c r="Y92" s="163">
        <v>15.0</v>
      </c>
      <c r="Z92" s="163">
        <v>9.0</v>
      </c>
      <c r="AA92" s="163">
        <v>9.0</v>
      </c>
      <c r="AB92" s="163">
        <v>30.0</v>
      </c>
      <c r="AC92" s="163">
        <v>33.0</v>
      </c>
      <c r="AD92" s="163">
        <v>27.0</v>
      </c>
      <c r="AE92" s="163">
        <v>24.0</v>
      </c>
      <c r="AF92" s="163">
        <v>12.0</v>
      </c>
      <c r="AG92" s="163">
        <v>15.0</v>
      </c>
      <c r="AH92" s="163">
        <v>9.0</v>
      </c>
      <c r="AI92" s="163">
        <v>15.0</v>
      </c>
      <c r="AJ92" s="163">
        <v>18.0</v>
      </c>
      <c r="AK92" s="163">
        <v>18.0</v>
      </c>
      <c r="AL92" s="163">
        <v>12.0</v>
      </c>
      <c r="AM92" s="163">
        <v>18.0</v>
      </c>
      <c r="AN92" s="163">
        <v>12.0</v>
      </c>
      <c r="AO92" s="163">
        <v>20.0</v>
      </c>
      <c r="AP92" s="163">
        <v>27.0</v>
      </c>
      <c r="AQ92" s="163">
        <v>21.0</v>
      </c>
      <c r="AR92" s="163">
        <v>3.0</v>
      </c>
      <c r="AS92" s="163">
        <v>4.0</v>
      </c>
      <c r="AT92" s="139">
        <f t="shared" si="4"/>
        <v>177.0</v>
      </c>
      <c r="AU92" s="139">
        <f t="shared" si="232"/>
        <v>90.0</v>
      </c>
      <c r="AV92" s="139">
        <f t="shared" si="6"/>
        <v>99.0</v>
      </c>
      <c r="AW92" s="36">
        <f t="shared" si="407"/>
        <v>14.0</v>
      </c>
      <c r="AX92" s="36">
        <f t="shared" si="408"/>
        <v>16.0</v>
      </c>
      <c r="AY92" s="36">
        <f t="shared" si="409"/>
        <v>16.0</v>
      </c>
      <c r="AZ92" s="36">
        <f t="shared" si="410"/>
        <v>14.0</v>
      </c>
      <c r="BA92" s="36">
        <f t="shared" si="411"/>
        <v>14.0</v>
      </c>
      <c r="BB92" s="36">
        <f t="shared" si="412"/>
        <v>16.0</v>
      </c>
      <c r="BC92" s="166">
        <f t="shared" si="413"/>
        <v>90.0</v>
      </c>
      <c r="BD92" s="123">
        <f>VLOOKUP(C92,SOHFEB23,3,false)</f>
        <v>61.0</v>
      </c>
      <c r="BE92" s="167">
        <f>VLOOKUP(D92,VALUEFEB23,4,false)</f>
        <v>8.8302</v>
      </c>
      <c r="BF92" s="124">
        <f t="shared" si="16"/>
        <v>538.6422</v>
      </c>
      <c r="BG92" s="168"/>
      <c r="BH92" s="168">
        <f t="shared" si="365"/>
        <v>-29.0</v>
      </c>
      <c r="BI92" s="123"/>
      <c r="BJ92" s="170"/>
      <c r="BK92" s="36" t="s">
        <v>5</v>
      </c>
      <c r="BL92" s="36">
        <f t="shared" si="366"/>
        <v>61.0</v>
      </c>
      <c r="BM92" s="168"/>
      <c r="BN92" s="168">
        <f t="shared" si="390"/>
        <v>14.0</v>
      </c>
      <c r="BO92" s="168"/>
      <c r="BP92" s="168">
        <f t="shared" si="391"/>
        <v>47.0</v>
      </c>
      <c r="BQ92" s="126">
        <f t="shared" si="402"/>
        <v>415.0194</v>
      </c>
      <c r="BR92" s="168">
        <f t="shared" si="392"/>
        <v>16.0</v>
      </c>
      <c r="BS92" s="123"/>
      <c r="BT92" s="168">
        <f t="shared" si="393"/>
        <v>31.0</v>
      </c>
      <c r="BU92" s="126">
        <f t="shared" si="247"/>
        <v>273.7362</v>
      </c>
      <c r="BV92" s="168">
        <f t="shared" si="394"/>
        <v>16.0</v>
      </c>
      <c r="BW92" s="168"/>
      <c r="BX92" s="168">
        <f t="shared" si="395"/>
        <v>15.0</v>
      </c>
      <c r="BY92" s="126">
        <f t="shared" si="250"/>
        <v>132.453</v>
      </c>
      <c r="BZ92" s="168">
        <f t="shared" si="396"/>
        <v>14.0</v>
      </c>
      <c r="CA92" s="168"/>
      <c r="CB92" s="168">
        <f t="shared" si="397"/>
        <v>1.0</v>
      </c>
      <c r="CC92" s="126">
        <f t="shared" si="253"/>
        <v>8.8302</v>
      </c>
      <c r="CD92" s="168">
        <f t="shared" si="398"/>
        <v>14.0</v>
      </c>
      <c r="CE92" s="168"/>
      <c r="CF92" s="168">
        <f t="shared" si="399"/>
        <v>-13.0</v>
      </c>
      <c r="CG92" s="126">
        <f t="shared" si="256"/>
        <v>-114.7926</v>
      </c>
      <c r="CH92" s="168">
        <f t="shared" si="400"/>
        <v>16.0</v>
      </c>
      <c r="CI92" s="168"/>
      <c r="CJ92" s="168">
        <f t="shared" si="401"/>
        <v>-29.0</v>
      </c>
      <c r="CK92" s="126">
        <f t="shared" si="259"/>
        <v>-256.0758</v>
      </c>
      <c r="CL92" s="36">
        <f t="shared" si="403"/>
        <v>29.0</v>
      </c>
      <c r="CM92" s="36">
        <f t="shared" si="404"/>
        <v>4.83333333333333</v>
      </c>
      <c r="CN92" s="36">
        <f t="shared" si="405"/>
        <v>5.0</v>
      </c>
      <c r="CO92" s="123">
        <f t="shared" si="406"/>
        <v>30.0</v>
      </c>
      <c r="CR92" s="123">
        <f t="shared" si="414"/>
        <v>-13.0</v>
      </c>
      <c r="CS92" s="168">
        <f t="shared" si="55"/>
        <v>2.1666666666666</v>
      </c>
      <c r="CT92" s="36">
        <f t="shared" si="56"/>
        <v>3.0</v>
      </c>
      <c r="CU92" s="123">
        <f t="shared" si="57"/>
        <v>18.0</v>
      </c>
      <c r="DB92" s="172">
        <f t="shared" si="415"/>
        <v>-13.0</v>
      </c>
      <c r="DC92" s="168">
        <f t="shared" si="416"/>
        <v>2.1666666666666</v>
      </c>
      <c r="DD92" s="36">
        <f t="shared" si="417"/>
        <v>3.0</v>
      </c>
      <c r="DE92" s="123">
        <f t="shared" si="418"/>
        <v>18.0</v>
      </c>
    </row>
    <row r="93">
      <c r="A93" s="163" t="s">
        <v>32</v>
      </c>
      <c r="B93" s="163" t="s">
        <v>163</v>
      </c>
      <c r="C93" s="163" t="s">
        <v>167</v>
      </c>
      <c r="D93" s="164">
        <v>40407.0</v>
      </c>
      <c r="E93" s="163">
        <v>0.0</v>
      </c>
      <c r="F93" s="163">
        <v>3.0</v>
      </c>
      <c r="G93" s="163">
        <v>12.0</v>
      </c>
      <c r="H93" s="163">
        <v>6.0</v>
      </c>
      <c r="I93" s="163">
        <v>12.0</v>
      </c>
      <c r="J93" s="163">
        <v>19.0</v>
      </c>
      <c r="K93" s="163">
        <v>9.0</v>
      </c>
      <c r="L93" s="163">
        <v>9.0</v>
      </c>
      <c r="M93" s="163">
        <v>6.0</v>
      </c>
      <c r="N93" s="163">
        <v>3.0</v>
      </c>
      <c r="O93" s="163">
        <v>15.0</v>
      </c>
      <c r="P93" s="163">
        <v>15.0</v>
      </c>
      <c r="Q93" s="163">
        <v>0.0</v>
      </c>
      <c r="R93" s="163">
        <v>14.0</v>
      </c>
      <c r="S93" s="163">
        <v>18.0</v>
      </c>
      <c r="T93" s="163">
        <v>3.0</v>
      </c>
      <c r="U93" s="163">
        <v>15.0</v>
      </c>
      <c r="V93" s="163">
        <v>15.0</v>
      </c>
      <c r="W93" s="163">
        <v>9.0</v>
      </c>
      <c r="X93" s="163">
        <v>21.0</v>
      </c>
      <c r="Y93" s="163">
        <v>9.0</v>
      </c>
      <c r="Z93" s="163">
        <v>3.0</v>
      </c>
      <c r="AA93" s="163">
        <v>6.0</v>
      </c>
      <c r="AB93" s="163">
        <v>24.0</v>
      </c>
      <c r="AC93" s="163">
        <v>15.0</v>
      </c>
      <c r="AD93" s="163">
        <v>12.0</v>
      </c>
      <c r="AE93" s="163">
        <v>15.0</v>
      </c>
      <c r="AF93" s="163">
        <v>9.0</v>
      </c>
      <c r="AG93" s="163">
        <v>15.0</v>
      </c>
      <c r="AH93" s="163">
        <v>0.0</v>
      </c>
      <c r="AI93" s="163">
        <v>9.0</v>
      </c>
      <c r="AJ93" s="163">
        <v>21.0</v>
      </c>
      <c r="AK93" s="163">
        <v>6.0</v>
      </c>
      <c r="AL93" s="163">
        <v>6.0</v>
      </c>
      <c r="AM93" s="163">
        <v>15.0</v>
      </c>
      <c r="AN93" s="163">
        <v>6.0</v>
      </c>
      <c r="AO93" s="163">
        <v>18.0</v>
      </c>
      <c r="AP93" s="163">
        <v>18.0</v>
      </c>
      <c r="AQ93" s="163">
        <v>9.0</v>
      </c>
      <c r="AR93" s="163">
        <v>9.0</v>
      </c>
      <c r="AS93" s="163">
        <v>0.0</v>
      </c>
      <c r="AT93" s="139">
        <f t="shared" si="4"/>
        <v>117.0</v>
      </c>
      <c r="AU93" s="139">
        <f t="shared" si="232"/>
        <v>57.0</v>
      </c>
      <c r="AV93" s="139">
        <f t="shared" si="6"/>
        <v>62.7</v>
      </c>
      <c r="AW93" s="36">
        <f t="shared" si="407"/>
        <v>8.86666666666667</v>
      </c>
      <c r="AX93" s="36">
        <f t="shared" si="408"/>
        <v>10.1333333333333</v>
      </c>
      <c r="AY93" s="36">
        <f t="shared" si="409"/>
        <v>10.1333333333333</v>
      </c>
      <c r="AZ93" s="36">
        <f t="shared" si="410"/>
        <v>8.86666666666667</v>
      </c>
      <c r="BA93" s="36">
        <f t="shared" si="411"/>
        <v>8.86666666666667</v>
      </c>
      <c r="BB93" s="36">
        <f t="shared" si="412"/>
        <v>10.1333333333333</v>
      </c>
      <c r="BC93" s="166">
        <f t="shared" si="413"/>
        <v>56.9999999999999</v>
      </c>
      <c r="BD93" s="123">
        <f>VLOOKUP(C93,SOHFEB23,3,false)</f>
        <v>45.0</v>
      </c>
      <c r="BE93" s="167">
        <f>VLOOKUP(D93,VALUEFEB23,4,false)</f>
        <v>8.8064</v>
      </c>
      <c r="BF93" s="124">
        <f t="shared" si="16"/>
        <v>396.288</v>
      </c>
      <c r="BG93" s="168"/>
      <c r="BH93" s="168">
        <f t="shared" si="365"/>
        <v>-11.9999999999999</v>
      </c>
      <c r="BI93" s="123"/>
      <c r="BJ93" s="170"/>
      <c r="BK93" s="36" t="s">
        <v>5</v>
      </c>
      <c r="BL93" s="36">
        <f t="shared" si="366"/>
        <v>45.0</v>
      </c>
      <c r="BM93" s="168"/>
      <c r="BN93" s="168">
        <f t="shared" si="390"/>
        <v>8.86666666666667</v>
      </c>
      <c r="BO93" s="168"/>
      <c r="BP93" s="168">
        <f t="shared" si="391"/>
        <v>36.1333333333333</v>
      </c>
      <c r="BQ93" s="126">
        <f t="shared" si="402"/>
        <v>318.204586666666</v>
      </c>
      <c r="BR93" s="168">
        <f t="shared" si="392"/>
        <v>10.1333333333333</v>
      </c>
      <c r="BS93" s="123"/>
      <c r="BT93" s="168">
        <f t="shared" si="393"/>
        <v>26.0</v>
      </c>
      <c r="BU93" s="126">
        <f t="shared" si="247"/>
        <v>228.9664</v>
      </c>
      <c r="BV93" s="168">
        <f t="shared" si="394"/>
        <v>10.1333333333333</v>
      </c>
      <c r="BW93" s="168"/>
      <c r="BX93" s="168">
        <f t="shared" si="395"/>
        <v>15.8666666666667</v>
      </c>
      <c r="BY93" s="126">
        <f t="shared" si="250"/>
        <v>139.728213333333</v>
      </c>
      <c r="BZ93" s="168">
        <f t="shared" si="396"/>
        <v>8.86666666666667</v>
      </c>
      <c r="CA93" s="168"/>
      <c r="CB93" s="168">
        <f t="shared" si="397"/>
        <v>7.00000000000002</v>
      </c>
      <c r="CC93" s="126">
        <f t="shared" si="253"/>
        <v>61.6448000000001</v>
      </c>
      <c r="CD93" s="168">
        <f t="shared" si="398"/>
        <v>8.86666666666667</v>
      </c>
      <c r="CE93" s="168"/>
      <c r="CF93" s="168">
        <f t="shared" si="399"/>
        <v>-1.86666666666665</v>
      </c>
      <c r="CG93" s="126">
        <f t="shared" si="256"/>
        <v>-16.4386133333331</v>
      </c>
      <c r="CH93" s="168">
        <f t="shared" si="400"/>
        <v>10.1333333333333</v>
      </c>
      <c r="CI93" s="168"/>
      <c r="CJ93" s="168">
        <f t="shared" si="401"/>
        <v>-11.999999999998</v>
      </c>
      <c r="CK93" s="126">
        <f t="shared" si="259"/>
        <v>-105.676799999982</v>
      </c>
      <c r="CL93" s="36">
        <f t="shared" si="403"/>
        <v>11.999999999998</v>
      </c>
      <c r="CM93" s="36">
        <f t="shared" si="404"/>
        <v>1.99999999999967</v>
      </c>
      <c r="CN93" s="36">
        <f t="shared" si="405"/>
        <v>2.0</v>
      </c>
      <c r="CO93" s="123">
        <f t="shared" si="406"/>
        <v>12.0</v>
      </c>
      <c r="CR93" s="123">
        <f t="shared" si="414"/>
        <v>-1.86666666666665</v>
      </c>
      <c r="CS93" s="168">
        <f t="shared" si="55"/>
        <v>0.311111111111108</v>
      </c>
      <c r="CT93" s="36">
        <f t="shared" si="56"/>
        <v>1.0</v>
      </c>
      <c r="CU93" s="123">
        <f t="shared" si="57"/>
        <v>6.0</v>
      </c>
      <c r="DB93" s="172">
        <f t="shared" si="415"/>
        <v>-1.86666666666665</v>
      </c>
      <c r="DC93" s="168">
        <f t="shared" si="416"/>
        <v>0.311111111111108</v>
      </c>
      <c r="DD93" s="36">
        <f t="shared" si="417"/>
        <v>1.0</v>
      </c>
      <c r="DE93" s="123">
        <f t="shared" si="418"/>
        <v>6.0</v>
      </c>
    </row>
    <row r="94">
      <c r="A94" s="163" t="s">
        <v>32</v>
      </c>
      <c r="B94" s="163" t="s">
        <v>163</v>
      </c>
      <c r="C94" s="163" t="s">
        <v>168</v>
      </c>
      <c r="D94" s="164">
        <v>40408.0</v>
      </c>
      <c r="E94" s="163">
        <v>0.0</v>
      </c>
      <c r="F94" s="163">
        <v>0.0</v>
      </c>
      <c r="G94" s="163">
        <v>12.0</v>
      </c>
      <c r="H94" s="163">
        <v>13.0</v>
      </c>
      <c r="I94" s="163">
        <v>21.0</v>
      </c>
      <c r="J94" s="163">
        <v>18.0</v>
      </c>
      <c r="K94" s="163">
        <v>15.0</v>
      </c>
      <c r="L94" s="163">
        <v>9.0</v>
      </c>
      <c r="M94" s="163">
        <v>6.0</v>
      </c>
      <c r="N94" s="163">
        <v>3.0</v>
      </c>
      <c r="O94" s="163">
        <v>12.0</v>
      </c>
      <c r="P94" s="163">
        <v>24.0</v>
      </c>
      <c r="Q94" s="163">
        <v>15.0</v>
      </c>
      <c r="R94" s="163">
        <v>13.0</v>
      </c>
      <c r="S94" s="163">
        <v>15.0</v>
      </c>
      <c r="T94" s="163">
        <v>8.0</v>
      </c>
      <c r="U94" s="163">
        <v>8.0</v>
      </c>
      <c r="V94" s="163">
        <v>27.0</v>
      </c>
      <c r="W94" s="163">
        <v>12.0</v>
      </c>
      <c r="X94" s="163">
        <v>19.0</v>
      </c>
      <c r="Y94" s="163">
        <v>6.0</v>
      </c>
      <c r="Z94" s="163">
        <v>4.0</v>
      </c>
      <c r="AA94" s="163">
        <v>12.0</v>
      </c>
      <c r="AB94" s="163">
        <v>15.0</v>
      </c>
      <c r="AC94" s="163">
        <v>21.0</v>
      </c>
      <c r="AD94" s="163">
        <v>18.0</v>
      </c>
      <c r="AE94" s="163">
        <v>21.0</v>
      </c>
      <c r="AF94" s="163">
        <v>15.0</v>
      </c>
      <c r="AG94" s="163">
        <v>10.0</v>
      </c>
      <c r="AH94" s="163">
        <v>0.0</v>
      </c>
      <c r="AI94" s="163">
        <v>18.0</v>
      </c>
      <c r="AJ94" s="163">
        <v>14.0</v>
      </c>
      <c r="AK94" s="163">
        <v>3.0</v>
      </c>
      <c r="AL94" s="163">
        <v>6.0</v>
      </c>
      <c r="AM94" s="163">
        <v>21.0</v>
      </c>
      <c r="AN94" s="163">
        <v>3.0</v>
      </c>
      <c r="AO94" s="163">
        <v>6.0</v>
      </c>
      <c r="AP94" s="163">
        <v>24.0</v>
      </c>
      <c r="AQ94" s="163">
        <v>27.0</v>
      </c>
      <c r="AR94" s="163">
        <v>9.0</v>
      </c>
      <c r="AS94" s="163">
        <v>7.0</v>
      </c>
      <c r="AT94" s="139">
        <f t="shared" si="4"/>
        <v>138.0</v>
      </c>
      <c r="AU94" s="139">
        <f t="shared" si="232"/>
        <v>62.0</v>
      </c>
      <c r="AV94" s="139">
        <f t="shared" si="6"/>
        <v>68.2</v>
      </c>
      <c r="AW94" s="36">
        <f t="shared" si="407"/>
        <v>9.64444444444444</v>
      </c>
      <c r="AX94" s="36">
        <f t="shared" si="408"/>
        <v>11.0222222222222</v>
      </c>
      <c r="AY94" s="36">
        <f t="shared" si="409"/>
        <v>11.0222222222222</v>
      </c>
      <c r="AZ94" s="36">
        <f t="shared" si="410"/>
        <v>9.64444444444444</v>
      </c>
      <c r="BA94" s="36">
        <f t="shared" si="411"/>
        <v>9.64444444444444</v>
      </c>
      <c r="BB94" s="36">
        <f t="shared" si="412"/>
        <v>11.0222222222222</v>
      </c>
      <c r="BC94" s="166">
        <f t="shared" si="413"/>
        <v>61.9999999999999</v>
      </c>
      <c r="BD94" s="123">
        <f>VLOOKUP(C94,SOHFEB23,3,false)</f>
        <v>72.0</v>
      </c>
      <c r="BE94" s="167">
        <f>VLOOKUP(D94,VALUEFEB23,4,false)</f>
        <v>8.9715</v>
      </c>
      <c r="BF94" s="124">
        <f t="shared" si="16"/>
        <v>645.948</v>
      </c>
      <c r="BH94" s="168">
        <f t="shared" si="365"/>
        <v>10.0000000000001</v>
      </c>
      <c r="BI94" s="123"/>
      <c r="BJ94" s="170"/>
      <c r="BK94" s="171"/>
      <c r="BL94" s="36">
        <f t="shared" si="366"/>
        <v>72.0</v>
      </c>
      <c r="BM94" s="168"/>
      <c r="BN94" s="168">
        <f t="shared" si="390"/>
        <v>9.64444444444444</v>
      </c>
      <c r="BO94" s="168"/>
      <c r="BP94" s="168">
        <f t="shared" si="391"/>
        <v>62.3555555555556</v>
      </c>
      <c r="BQ94" s="126">
        <f t="shared" si="402"/>
        <v>559.422866666667</v>
      </c>
      <c r="BR94" s="168">
        <f t="shared" si="392"/>
        <v>11.0222222222222</v>
      </c>
      <c r="BS94" s="123"/>
      <c r="BT94" s="168">
        <f t="shared" si="393"/>
        <v>51.3333333333334</v>
      </c>
      <c r="BU94" s="126">
        <f t="shared" si="247"/>
        <v>460.537</v>
      </c>
      <c r="BV94" s="168">
        <f t="shared" si="394"/>
        <v>11.0222222222222</v>
      </c>
      <c r="BW94" s="168"/>
      <c r="BX94" s="168">
        <f t="shared" si="395"/>
        <v>40.3111111111112</v>
      </c>
      <c r="BY94" s="126">
        <f t="shared" si="250"/>
        <v>361.651133333334</v>
      </c>
      <c r="BZ94" s="168">
        <f t="shared" si="396"/>
        <v>9.64444444444444</v>
      </c>
      <c r="CA94" s="168"/>
      <c r="CB94" s="168">
        <f t="shared" si="397"/>
        <v>30.6666666666668</v>
      </c>
      <c r="CC94" s="126">
        <f t="shared" si="253"/>
        <v>275.126000000001</v>
      </c>
      <c r="CD94" s="168">
        <f t="shared" si="398"/>
        <v>9.64444444444444</v>
      </c>
      <c r="CE94" s="168"/>
      <c r="CF94" s="168">
        <f t="shared" si="399"/>
        <v>21.0222222222223</v>
      </c>
      <c r="CG94" s="126">
        <f t="shared" si="256"/>
        <v>188.600866666667</v>
      </c>
      <c r="CH94" s="168">
        <f t="shared" si="400"/>
        <v>11.0222222222222</v>
      </c>
      <c r="CI94" s="168"/>
      <c r="CJ94" s="168">
        <f t="shared" si="401"/>
        <v>10.0000000000001</v>
      </c>
      <c r="CK94" s="126">
        <f t="shared" si="259"/>
        <v>89.7150000000009</v>
      </c>
      <c r="CL94" s="36">
        <f t="shared" si="403"/>
        <v>-10.0000000000001</v>
      </c>
      <c r="CM94" s="36">
        <f t="shared" si="404"/>
        <v>-1.66666666666668</v>
      </c>
      <c r="CN94" s="36">
        <f t="shared" si="405"/>
        <v>-2.0</v>
      </c>
      <c r="CO94" s="123">
        <f t="shared" si="406"/>
        <v>-12.0</v>
      </c>
      <c r="CR94" s="123"/>
      <c r="CS94" s="168">
        <f t="shared" si="55"/>
        <v>0.0</v>
      </c>
      <c r="CT94" s="36">
        <f t="shared" si="56"/>
        <v>0.0</v>
      </c>
      <c r="CU94" s="123">
        <f t="shared" si="57"/>
        <v>0.0</v>
      </c>
    </row>
    <row r="95">
      <c r="A95" s="163" t="s">
        <v>32</v>
      </c>
      <c r="B95" s="163" t="s">
        <v>163</v>
      </c>
      <c r="C95" s="163" t="s">
        <v>169</v>
      </c>
      <c r="D95" s="164">
        <v>40409.0</v>
      </c>
      <c r="E95" s="163">
        <v>0.0</v>
      </c>
      <c r="F95" s="163">
        <v>0.0</v>
      </c>
      <c r="G95" s="163">
        <v>6.0</v>
      </c>
      <c r="H95" s="163">
        <v>9.0</v>
      </c>
      <c r="I95" s="163">
        <v>12.0</v>
      </c>
      <c r="J95" s="163">
        <v>21.0</v>
      </c>
      <c r="K95" s="163">
        <v>12.0</v>
      </c>
      <c r="L95" s="163">
        <v>12.0</v>
      </c>
      <c r="M95" s="163">
        <v>9.0</v>
      </c>
      <c r="N95" s="163">
        <v>3.0</v>
      </c>
      <c r="O95" s="163">
        <v>12.0</v>
      </c>
      <c r="P95" s="163">
        <v>21.0</v>
      </c>
      <c r="Q95" s="163">
        <v>6.0</v>
      </c>
      <c r="R95" s="163">
        <v>12.0</v>
      </c>
      <c r="S95" s="163">
        <v>15.0</v>
      </c>
      <c r="T95" s="163">
        <v>6.0</v>
      </c>
      <c r="U95" s="163">
        <v>6.0</v>
      </c>
      <c r="V95" s="163">
        <v>27.0</v>
      </c>
      <c r="W95" s="163">
        <v>15.0</v>
      </c>
      <c r="X95" s="163">
        <v>31.0</v>
      </c>
      <c r="Y95" s="163">
        <v>15.0</v>
      </c>
      <c r="Z95" s="163">
        <v>8.0</v>
      </c>
      <c r="AA95" s="163">
        <v>18.0</v>
      </c>
      <c r="AB95" s="163">
        <v>21.0</v>
      </c>
      <c r="AC95" s="163">
        <v>21.0</v>
      </c>
      <c r="AD95" s="163">
        <v>33.0</v>
      </c>
      <c r="AE95" s="163">
        <v>10.0</v>
      </c>
      <c r="AF95" s="163">
        <v>11.0</v>
      </c>
      <c r="AG95" s="163">
        <v>30.0</v>
      </c>
      <c r="AH95" s="163">
        <v>0.0</v>
      </c>
      <c r="AI95" s="163">
        <v>6.0</v>
      </c>
      <c r="AJ95" s="163">
        <v>27.0</v>
      </c>
      <c r="AK95" s="163">
        <v>12.0</v>
      </c>
      <c r="AL95" s="163">
        <v>3.0</v>
      </c>
      <c r="AM95" s="163">
        <v>18.0</v>
      </c>
      <c r="AN95" s="163">
        <v>6.0</v>
      </c>
      <c r="AO95" s="163">
        <v>24.0</v>
      </c>
      <c r="AP95" s="163">
        <v>21.0</v>
      </c>
      <c r="AQ95" s="163">
        <v>18.0</v>
      </c>
      <c r="AR95" s="163">
        <v>21.0</v>
      </c>
      <c r="AS95" s="163">
        <v>11.0</v>
      </c>
      <c r="AT95" s="139">
        <f t="shared" si="4"/>
        <v>167.0</v>
      </c>
      <c r="AU95" s="139">
        <f t="shared" si="232"/>
        <v>66.0</v>
      </c>
      <c r="AV95" s="139">
        <f t="shared" si="6"/>
        <v>72.6</v>
      </c>
      <c r="AW95" s="36">
        <f t="shared" si="407"/>
        <v>10.2666666666667</v>
      </c>
      <c r="AX95" s="36">
        <f t="shared" si="408"/>
        <v>11.7333333333333</v>
      </c>
      <c r="AY95" s="36">
        <f t="shared" si="409"/>
        <v>11.7333333333333</v>
      </c>
      <c r="AZ95" s="36">
        <f t="shared" si="410"/>
        <v>10.2666666666667</v>
      </c>
      <c r="BA95" s="36">
        <f t="shared" si="411"/>
        <v>10.2666666666667</v>
      </c>
      <c r="BB95" s="36">
        <f t="shared" si="412"/>
        <v>11.7333333333333</v>
      </c>
      <c r="BC95" s="166">
        <f t="shared" si="413"/>
        <v>66.0</v>
      </c>
      <c r="BD95" s="123">
        <f>VLOOKUP(C95,SOHFEB23,3,false)</f>
        <v>39.0</v>
      </c>
      <c r="BE95" s="167">
        <f>VLOOKUP(D95,VALUEFEB23,4,false)</f>
        <v>9.0082</v>
      </c>
      <c r="BF95" s="124">
        <f t="shared" si="16"/>
        <v>351.3198</v>
      </c>
      <c r="BG95" s="168"/>
      <c r="BH95" s="168">
        <f t="shared" si="365"/>
        <v>-27.0</v>
      </c>
      <c r="BI95" s="123"/>
      <c r="BJ95" s="170"/>
      <c r="BK95" s="36" t="s">
        <v>4</v>
      </c>
      <c r="BL95" s="36">
        <f t="shared" si="366"/>
        <v>39.0</v>
      </c>
      <c r="BM95" s="168"/>
      <c r="BN95" s="168">
        <f t="shared" si="390"/>
        <v>10.2666666666667</v>
      </c>
      <c r="BO95" s="168"/>
      <c r="BP95" s="168">
        <f t="shared" si="391"/>
        <v>28.7333333333333</v>
      </c>
      <c r="BQ95" s="126">
        <f t="shared" si="402"/>
        <v>258.835613333333</v>
      </c>
      <c r="BR95" s="168">
        <f t="shared" si="392"/>
        <v>11.7333333333333</v>
      </c>
      <c r="BS95" s="123"/>
      <c r="BT95" s="168">
        <f t="shared" si="393"/>
        <v>17.0</v>
      </c>
      <c r="BU95" s="126">
        <f t="shared" si="247"/>
        <v>153.1394</v>
      </c>
      <c r="BV95" s="168">
        <f t="shared" si="394"/>
        <v>11.7333333333333</v>
      </c>
      <c r="BW95" s="168"/>
      <c r="BX95" s="168">
        <f t="shared" si="395"/>
        <v>5.2666666666667</v>
      </c>
      <c r="BY95" s="126">
        <f t="shared" si="250"/>
        <v>47.443186666667</v>
      </c>
      <c r="BZ95" s="168">
        <f t="shared" si="396"/>
        <v>10.2666666666667</v>
      </c>
      <c r="CA95" s="168"/>
      <c r="CB95" s="168">
        <f t="shared" si="397"/>
        <v>-4.999999999998</v>
      </c>
      <c r="CC95" s="126">
        <f t="shared" si="253"/>
        <v>-45.0409999999818</v>
      </c>
      <c r="CD95" s="168">
        <f t="shared" si="398"/>
        <v>10.2666666666667</v>
      </c>
      <c r="CE95" s="168"/>
      <c r="CF95" s="168">
        <f t="shared" si="399"/>
        <v>-15.2666666666647</v>
      </c>
      <c r="CG95" s="126">
        <f t="shared" si="256"/>
        <v>-137.52518666664</v>
      </c>
      <c r="CH95" s="168">
        <f t="shared" si="400"/>
        <v>11.7333333333333</v>
      </c>
      <c r="CI95" s="168"/>
      <c r="CJ95" s="168">
        <f t="shared" si="401"/>
        <v>-26.999999999998</v>
      </c>
      <c r="CK95" s="126">
        <f t="shared" si="259"/>
        <v>-243.221399999982</v>
      </c>
      <c r="CL95" s="36">
        <f t="shared" si="403"/>
        <v>26.999999999998</v>
      </c>
      <c r="CM95" s="36">
        <f t="shared" si="404"/>
        <v>4.49999999999967</v>
      </c>
      <c r="CN95" s="36">
        <f t="shared" si="405"/>
        <v>5.0</v>
      </c>
      <c r="CO95" s="123">
        <f t="shared" si="406"/>
        <v>30.0</v>
      </c>
      <c r="CR95" s="123">
        <f>CF95</f>
        <v>-15.2666666666647</v>
      </c>
      <c r="CS95" s="168">
        <f t="shared" si="55"/>
        <v>2.54444444444411</v>
      </c>
      <c r="CT95" s="36">
        <f t="shared" si="56"/>
        <v>3.0</v>
      </c>
      <c r="CU95" s="123">
        <f t="shared" si="57"/>
        <v>18.0</v>
      </c>
      <c r="CW95" s="172">
        <f>CB95</f>
        <v>-4.999999999998</v>
      </c>
      <c r="CX95" s="168">
        <f>(CW95/6)*-1</f>
        <v>0.833333333333</v>
      </c>
      <c r="CY95" s="36">
        <f>ROUNDUP(CX95,0)</f>
        <v>1.0</v>
      </c>
      <c r="CZ95" s="123">
        <f>CY95*6</f>
        <v>6.0</v>
      </c>
      <c r="DB95" s="172">
        <f>CF95</f>
        <v>-15.2666666666647</v>
      </c>
      <c r="DC95" s="168">
        <f>(DB95/6)*-1</f>
        <v>2.54444444444411</v>
      </c>
      <c r="DD95" s="36">
        <f>ROUNDUP(DC95,0)</f>
        <v>3.0</v>
      </c>
      <c r="DE95" s="123">
        <f>DD95*6</f>
        <v>18.0</v>
      </c>
    </row>
    <row r="96">
      <c r="A96" s="175" t="s">
        <v>32</v>
      </c>
      <c r="B96" s="175" t="s">
        <v>170</v>
      </c>
      <c r="C96" s="175" t="s">
        <v>171</v>
      </c>
      <c r="D96" s="176">
        <v>41001.0</v>
      </c>
      <c r="E96" s="163">
        <v>30.0</v>
      </c>
      <c r="F96" s="163">
        <v>48.0</v>
      </c>
      <c r="G96" s="163">
        <v>48.0</v>
      </c>
      <c r="H96" s="163">
        <v>21.0</v>
      </c>
      <c r="I96" s="163">
        <v>16.0</v>
      </c>
      <c r="J96" s="163">
        <v>12.0</v>
      </c>
      <c r="K96" s="163">
        <v>21.0</v>
      </c>
      <c r="L96" s="163">
        <v>21.0</v>
      </c>
      <c r="M96" s="163">
        <v>0.0</v>
      </c>
      <c r="N96" s="163">
        <v>18.0</v>
      </c>
      <c r="O96" s="163">
        <v>12.0</v>
      </c>
      <c r="P96" s="163">
        <v>45.0</v>
      </c>
      <c r="Q96" s="163">
        <v>30.0</v>
      </c>
      <c r="R96" s="163">
        <v>30.0</v>
      </c>
      <c r="S96" s="163">
        <v>63.0</v>
      </c>
      <c r="T96" s="163">
        <v>24.0</v>
      </c>
      <c r="U96" s="163">
        <v>33.0</v>
      </c>
      <c r="V96" s="163">
        <v>36.0</v>
      </c>
      <c r="W96" s="163">
        <v>15.0</v>
      </c>
      <c r="X96" s="163">
        <v>31.0</v>
      </c>
      <c r="Y96" s="163">
        <v>3.0</v>
      </c>
      <c r="Z96" s="163">
        <v>4.0</v>
      </c>
      <c r="AA96" s="163">
        <v>9.0</v>
      </c>
      <c r="AB96" s="163">
        <v>18.0</v>
      </c>
      <c r="AC96" s="163">
        <v>12.0</v>
      </c>
      <c r="AD96" s="163">
        <v>21.0</v>
      </c>
      <c r="AE96" s="163">
        <v>6.0</v>
      </c>
      <c r="AF96" s="163">
        <v>9.0</v>
      </c>
      <c r="AG96" s="163">
        <v>21.0</v>
      </c>
      <c r="AH96" s="163">
        <v>9.0</v>
      </c>
      <c r="AI96" s="163">
        <v>6.0</v>
      </c>
      <c r="AJ96" s="163">
        <v>6.0</v>
      </c>
      <c r="AK96" s="163">
        <v>0.0</v>
      </c>
      <c r="AL96" s="163">
        <v>12.0</v>
      </c>
      <c r="AM96" s="163">
        <v>9.0</v>
      </c>
      <c r="AN96" s="163">
        <v>6.0</v>
      </c>
      <c r="AO96" s="163">
        <v>12.0</v>
      </c>
      <c r="AP96" s="163">
        <v>12.0</v>
      </c>
      <c r="AQ96" s="163">
        <v>9.0</v>
      </c>
      <c r="AR96" s="163">
        <v>3.0</v>
      </c>
      <c r="AS96" s="163">
        <v>11.0</v>
      </c>
      <c r="AT96" s="139">
        <f t="shared" si="4"/>
        <v>95.0</v>
      </c>
      <c r="AU96" s="139">
        <f t="shared" si="232"/>
        <v>42.0</v>
      </c>
      <c r="AV96" s="139">
        <f t="shared" si="6"/>
        <v>46.2</v>
      </c>
      <c r="BC96" s="123">
        <f t="shared" si="413"/>
        <v>0.0</v>
      </c>
      <c r="BD96" s="123">
        <f>VLOOKUP(C96,SOHFEB23,3,false)</f>
        <v>24.0</v>
      </c>
      <c r="BE96" s="167">
        <f>VLOOKUP(D96,VALUEFEB23,4,false)</f>
        <v>16.4942</v>
      </c>
      <c r="BF96" s="124">
        <f t="shared" si="16"/>
        <v>395.8608</v>
      </c>
      <c r="BH96" s="168">
        <f t="shared" si="365"/>
        <v>24.0</v>
      </c>
      <c r="BI96" s="123"/>
      <c r="BK96" s="177"/>
      <c r="BL96" s="36">
        <f t="shared" si="366"/>
        <v>24.0</v>
      </c>
      <c r="BM96" s="168"/>
      <c r="BN96" s="168">
        <f t="shared" si="390"/>
      </c>
      <c r="BO96" s="168"/>
      <c r="BP96" s="168">
        <f t="shared" si="391"/>
        <v>24.0</v>
      </c>
      <c r="BQ96" s="126">
        <f t="shared" si="402"/>
        <v>395.8608</v>
      </c>
      <c r="BR96" s="168">
        <f t="shared" si="392"/>
      </c>
      <c r="BS96" s="123"/>
      <c r="BT96" s="168">
        <f t="shared" si="393"/>
        <v>24.0</v>
      </c>
      <c r="BU96" s="126">
        <f t="shared" si="247"/>
        <v>395.8608</v>
      </c>
      <c r="BV96" s="168">
        <f t="shared" si="394"/>
      </c>
      <c r="BW96" s="168"/>
      <c r="BX96" s="168">
        <f t="shared" si="395"/>
        <v>24.0</v>
      </c>
      <c r="BY96" s="126">
        <f t="shared" si="250"/>
        <v>395.8608</v>
      </c>
      <c r="BZ96" s="168">
        <f t="shared" si="396"/>
      </c>
      <c r="CA96" s="168"/>
      <c r="CB96" s="168">
        <f t="shared" si="397"/>
        <v>24.0</v>
      </c>
      <c r="CC96" s="126">
        <f t="shared" si="253"/>
        <v>395.8608</v>
      </c>
      <c r="CD96" s="168">
        <f t="shared" si="398"/>
      </c>
      <c r="CE96" s="168"/>
      <c r="CF96" s="168">
        <f t="shared" si="399"/>
        <v>24.0</v>
      </c>
      <c r="CG96" s="126">
        <f t="shared" si="256"/>
        <v>395.8608</v>
      </c>
      <c r="CH96" s="168">
        <f t="shared" si="400"/>
      </c>
      <c r="CI96" s="168"/>
      <c r="CJ96" s="168">
        <f t="shared" si="401"/>
        <v>24.0</v>
      </c>
      <c r="CK96" s="126">
        <f t="shared" si="259"/>
        <v>395.8608</v>
      </c>
      <c r="CL96" s="36">
        <f t="shared" si="403"/>
        <v>-24.0</v>
      </c>
      <c r="CM96" s="36">
        <f t="shared" si="404"/>
        <v>-4.0</v>
      </c>
      <c r="CN96" s="36">
        <f t="shared" si="405"/>
        <v>-4.0</v>
      </c>
      <c r="CO96" s="123">
        <f t="shared" si="406"/>
        <v>-24.0</v>
      </c>
      <c r="CR96" s="123"/>
      <c r="CS96" s="168">
        <f t="shared" si="55"/>
        <v>0.0</v>
      </c>
      <c r="CT96" s="36">
        <f t="shared" si="56"/>
        <v>0.0</v>
      </c>
      <c r="CU96" s="123">
        <f t="shared" si="57"/>
        <v>0.0</v>
      </c>
    </row>
    <row r="97">
      <c r="A97" s="175" t="s">
        <v>32</v>
      </c>
      <c r="B97" s="175" t="s">
        <v>170</v>
      </c>
      <c r="C97" s="175" t="s">
        <v>172</v>
      </c>
      <c r="D97" s="176">
        <v>41002.0</v>
      </c>
      <c r="E97" s="163">
        <v>51.0</v>
      </c>
      <c r="F97" s="163">
        <v>45.0</v>
      </c>
      <c r="G97" s="163">
        <v>69.0</v>
      </c>
      <c r="H97" s="163">
        <v>12.0</v>
      </c>
      <c r="I97" s="163">
        <v>22.0</v>
      </c>
      <c r="J97" s="163">
        <v>21.0</v>
      </c>
      <c r="K97" s="163">
        <v>6.0</v>
      </c>
      <c r="L97" s="163">
        <v>19.0</v>
      </c>
      <c r="M97" s="163">
        <v>24.0</v>
      </c>
      <c r="N97" s="163">
        <v>18.0</v>
      </c>
      <c r="O97" s="163">
        <v>9.0</v>
      </c>
      <c r="P97" s="163">
        <v>51.0</v>
      </c>
      <c r="Q97" s="163">
        <v>30.0</v>
      </c>
      <c r="R97" s="163">
        <v>30.0</v>
      </c>
      <c r="S97" s="163">
        <v>63.0</v>
      </c>
      <c r="T97" s="163">
        <v>21.0</v>
      </c>
      <c r="U97" s="163">
        <v>14.0</v>
      </c>
      <c r="V97" s="163">
        <v>0.0</v>
      </c>
      <c r="W97" s="163">
        <v>0.0</v>
      </c>
      <c r="X97" s="163">
        <v>12.0</v>
      </c>
      <c r="Y97" s="163">
        <v>0.0</v>
      </c>
      <c r="Z97" s="163">
        <v>10.0</v>
      </c>
      <c r="AA97" s="163">
        <v>12.0</v>
      </c>
      <c r="AB97" s="163">
        <v>3.0</v>
      </c>
      <c r="AC97" s="163">
        <v>6.0</v>
      </c>
      <c r="AD97" s="163">
        <v>6.0</v>
      </c>
      <c r="AE97" s="163">
        <v>21.0</v>
      </c>
      <c r="AF97" s="163">
        <v>6.0</v>
      </c>
      <c r="AG97" s="163">
        <v>12.0</v>
      </c>
      <c r="AH97" s="163">
        <v>7.0</v>
      </c>
      <c r="AI97" s="163">
        <v>0.0</v>
      </c>
      <c r="AJ97" s="163">
        <v>6.0</v>
      </c>
      <c r="AK97" s="163">
        <v>3.0</v>
      </c>
      <c r="AL97" s="163">
        <v>15.0</v>
      </c>
      <c r="AM97" s="163">
        <v>10.0</v>
      </c>
      <c r="AN97" s="163">
        <v>3.0</v>
      </c>
      <c r="AO97" s="163">
        <v>12.0</v>
      </c>
      <c r="AP97" s="163">
        <v>9.0</v>
      </c>
      <c r="AQ97" s="163">
        <v>15.0</v>
      </c>
      <c r="AR97" s="163">
        <v>3.0</v>
      </c>
      <c r="AS97" s="163">
        <v>4.0</v>
      </c>
      <c r="AT97" s="139">
        <f t="shared" si="4"/>
        <v>87.0</v>
      </c>
      <c r="AU97" s="139">
        <f t="shared" si="232"/>
        <v>41.0</v>
      </c>
      <c r="AV97" s="139">
        <f t="shared" si="6"/>
        <v>45.1</v>
      </c>
      <c r="BC97" s="123">
        <f t="shared" si="413"/>
        <v>0.0</v>
      </c>
      <c r="BD97" s="123">
        <f>VLOOKUP(C97,SOHFEB23,3,false)</f>
        <v>5.0</v>
      </c>
      <c r="BE97" s="167">
        <f>VLOOKUP(D97,VALUEFEB23,4,false)</f>
        <v>16.494</v>
      </c>
      <c r="BF97" s="124">
        <f t="shared" si="16"/>
        <v>82.47</v>
      </c>
      <c r="BH97" s="168">
        <f t="shared" si="365"/>
        <v>5.0</v>
      </c>
      <c r="BI97" s="123"/>
      <c r="BK97" s="177"/>
      <c r="BL97" s="36">
        <f t="shared" si="366"/>
        <v>5.0</v>
      </c>
      <c r="BM97" s="168"/>
      <c r="BN97" s="168">
        <f t="shared" si="390"/>
      </c>
      <c r="BO97" s="168"/>
      <c r="BP97" s="168">
        <f t="shared" si="391"/>
        <v>5.0</v>
      </c>
      <c r="BQ97" s="126">
        <f t="shared" si="402"/>
        <v>82.47</v>
      </c>
      <c r="BR97" s="168">
        <f t="shared" si="392"/>
      </c>
      <c r="BS97" s="123"/>
      <c r="BT97" s="168">
        <f t="shared" si="393"/>
        <v>5.0</v>
      </c>
      <c r="BU97" s="126">
        <f t="shared" si="247"/>
        <v>82.47</v>
      </c>
      <c r="BV97" s="168">
        <f t="shared" si="394"/>
      </c>
      <c r="BW97" s="168"/>
      <c r="BX97" s="168">
        <f t="shared" si="395"/>
        <v>5.0</v>
      </c>
      <c r="BY97" s="126">
        <f t="shared" si="250"/>
        <v>82.47</v>
      </c>
      <c r="BZ97" s="168">
        <f t="shared" si="396"/>
      </c>
      <c r="CA97" s="168"/>
      <c r="CB97" s="168">
        <f t="shared" si="397"/>
        <v>5.0</v>
      </c>
      <c r="CC97" s="126">
        <f t="shared" si="253"/>
        <v>82.47</v>
      </c>
      <c r="CD97" s="168">
        <f t="shared" si="398"/>
      </c>
      <c r="CE97" s="168"/>
      <c r="CF97" s="168">
        <f t="shared" si="399"/>
        <v>5.0</v>
      </c>
      <c r="CG97" s="126">
        <f t="shared" si="256"/>
        <v>82.47</v>
      </c>
      <c r="CH97" s="168">
        <f t="shared" si="400"/>
      </c>
      <c r="CI97" s="168"/>
      <c r="CJ97" s="168">
        <f t="shared" si="401"/>
        <v>5.0</v>
      </c>
      <c r="CK97" s="126">
        <f t="shared" si="259"/>
        <v>82.47</v>
      </c>
      <c r="CL97" s="36">
        <f t="shared" si="403"/>
        <v>-5.0</v>
      </c>
      <c r="CM97" s="36">
        <f t="shared" si="404"/>
        <v>-0.833333333333333</v>
      </c>
      <c r="CN97" s="36">
        <f t="shared" si="405"/>
        <v>-1.0</v>
      </c>
      <c r="CO97" s="123">
        <f t="shared" si="406"/>
        <v>-6.0</v>
      </c>
      <c r="CR97" s="123"/>
      <c r="CS97" s="168">
        <f t="shared" si="55"/>
        <v>0.0</v>
      </c>
      <c r="CT97" s="36">
        <f t="shared" si="56"/>
        <v>0.0</v>
      </c>
      <c r="CU97" s="123">
        <f t="shared" si="57"/>
        <v>0.0</v>
      </c>
    </row>
    <row r="98">
      <c r="AC98" s="123">
        <f>SUM(AC7:AC97)</f>
        <v>1878.0</v>
      </c>
      <c r="AD98" s="123">
        <f>SUM(AD7:AD97)</f>
        <v>1666.0</v>
      </c>
      <c r="AE98" s="123">
        <f>SUM(AE7:AE97)</f>
        <v>1472.0</v>
      </c>
      <c r="AF98" s="123">
        <f>SUM(AF7:AF97)</f>
        <v>1517.0</v>
      </c>
      <c r="AG98" s="123">
        <f>SUM(AG7:AG97)</f>
        <v>1039.0</v>
      </c>
      <c r="AH98" s="123">
        <f>SUM(AH7:AH97)</f>
        <v>1163.0</v>
      </c>
      <c r="AI98" s="123">
        <f>SUM(AI7:AI97)</f>
        <v>809.0</v>
      </c>
      <c r="AJ98" s="123">
        <f>SUM(AJ7:AJ97)</f>
        <v>1259.0</v>
      </c>
      <c r="AK98" s="123">
        <f>SUM(AK7:AK97)</f>
        <v>660.0</v>
      </c>
      <c r="AL98" s="123">
        <f>SUM(AL7:AL97)</f>
        <v>867.0</v>
      </c>
      <c r="AM98" s="123">
        <f>SUM(AM7:AM97)</f>
        <v>1273.0</v>
      </c>
      <c r="AN98" s="123">
        <f>SUM(AN7:AN97)</f>
        <v>884.0</v>
      </c>
      <c r="AO98" s="123">
        <f>SUM(AO7:AO97)</f>
        <v>1343.0</v>
      </c>
      <c r="AP98" s="123">
        <f>SUM(AP7:AP97)</f>
        <v>1437.0</v>
      </c>
      <c r="AQ98" s="123">
        <f>SUM(AQ7:AQ97)</f>
        <v>2616.0</v>
      </c>
      <c r="AR98" s="123">
        <f>SUM(AR7:AR97)</f>
        <v>1268.0</v>
      </c>
      <c r="AS98" s="123">
        <f>SUM(AS7:AS97)</f>
        <v>1095.0</v>
      </c>
      <c r="AT98" s="139"/>
      <c r="AU98" s="139"/>
      <c r="AV98" s="139"/>
      <c r="BJ98" s="127"/>
      <c r="CO98" s="123">
        <f>SUM(CO9:CO97)</f>
        <v>3060.0</v>
      </c>
      <c r="CU98" s="123">
        <f>SUBTOTAL(109,CU9:CU97)</f>
        <v>1434.0</v>
      </c>
    </row>
    <row r="99">
      <c r="AC99" s="182" t="e">
        <f>AC98/$AT$98</f>
        <v>#DIV/0!</v>
      </c>
      <c r="AD99" s="182"/>
      <c r="AE99" s="182"/>
      <c r="AF99" s="182"/>
      <c r="AG99" s="182"/>
      <c r="AH99" s="123"/>
      <c r="AI99" s="123"/>
      <c r="AJ99" s="123"/>
      <c r="AK99" s="123"/>
      <c r="AL99" s="123"/>
      <c r="AM99" s="123"/>
      <c r="AN99" s="123"/>
      <c r="AO99" s="123"/>
      <c r="AP99" s="123"/>
      <c r="AQ99" s="123"/>
      <c r="AR99" s="123"/>
      <c r="AS99" s="123"/>
      <c r="AT99" s="123"/>
      <c r="AU99" s="139"/>
      <c r="AV99" s="139"/>
      <c r="BJ99" s="127"/>
      <c r="CO99" s="123">
        <f>SUBTOTAL(109,CO9:CO98)</f>
        <v>6120.0</v>
      </c>
      <c r="CU99" s="123">
        <f>SUBTOTAL(109,CU9:CU98)</f>
        <v>1434.0</v>
      </c>
      <c r="CV99" s="123">
        <f>CO99-CU99</f>
        <v>4686.0</v>
      </c>
    </row>
    <row r="100">
      <c r="AH100" s="123"/>
      <c r="AI100" s="123"/>
      <c r="AJ100" s="123"/>
      <c r="AK100" s="123"/>
      <c r="AL100" s="123"/>
      <c r="AM100" s="123"/>
      <c r="AN100" s="123"/>
      <c r="AO100" s="123"/>
      <c r="AP100" s="123"/>
      <c r="AQ100" s="123"/>
      <c r="AR100" s="123"/>
      <c r="AS100" s="123"/>
      <c r="AT100" s="123"/>
      <c r="AU100" s="139"/>
      <c r="AV100" s="139"/>
      <c r="BJ100" s="127"/>
      <c r="CO100" s="123"/>
    </row>
    <row r="101">
      <c r="A101" s="123"/>
      <c r="B101" s="123"/>
      <c r="C101" s="123"/>
      <c r="D101" s="123"/>
      <c r="E101" s="123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BF101" s="183"/>
      <c r="BG101" s="123"/>
      <c r="BH101" s="123"/>
      <c r="BI101" s="123"/>
      <c r="BJ101" s="127"/>
      <c r="BK101" s="123"/>
      <c r="BL101" s="123"/>
      <c r="BM101" s="123"/>
      <c r="BN101" s="123"/>
      <c r="BO101" s="123"/>
      <c r="BP101" s="123"/>
      <c r="BQ101" s="167">
        <f>SUBTOTAL(109,BQ7:BQ101)</f>
        <v>32872.9237359596</v>
      </c>
      <c r="BR101" s="123"/>
      <c r="BS101" s="123"/>
      <c r="BT101" s="123"/>
      <c r="BU101" s="167">
        <f>SUBTOTAL(109,BU7:BU101)</f>
        <v>24281.4255218181</v>
      </c>
      <c r="BV101" s="123"/>
      <c r="BW101" s="123"/>
      <c r="BX101" s="123"/>
      <c r="BY101" s="167">
        <f>SUBTOTAL(109,BY7:BY101)</f>
        <v>15689.9273076768</v>
      </c>
      <c r="BZ101" s="123"/>
      <c r="CA101" s="123"/>
      <c r="CB101" s="123"/>
      <c r="CC101" s="167">
        <f>SUBTOTAL(109,CC7:CC101)</f>
        <v>8218.94194363693</v>
      </c>
      <c r="CD101" s="167"/>
      <c r="CE101" s="167"/>
      <c r="CF101" s="167"/>
      <c r="CG101" s="167">
        <f>SUBTOTAL(109,CG7:CG101)</f>
        <v>747.956579596594</v>
      </c>
      <c r="CH101" s="167"/>
      <c r="CI101" s="167"/>
      <c r="CJ101" s="167"/>
      <c r="CK101" s="167">
        <f>SUBTOTAL(109,CK7:CK101)</f>
        <v>-7790.31240787813</v>
      </c>
      <c r="CL101" s="123"/>
      <c r="CM101" s="123"/>
      <c r="CN101" s="123"/>
      <c r="CO101" s="123"/>
      <c r="CP101" s="123"/>
      <c r="CQ101" s="123"/>
      <c r="CR101" s="123">
        <f>SUBTOTAL(109,CR9:CR100)</f>
        <v>-1357.49898989896</v>
      </c>
      <c r="CS101" s="123"/>
      <c r="CT101" s="123"/>
      <c r="CU101" s="123">
        <f>SUBTOTAL(109,CU9:CU100)</f>
        <v>1434.0</v>
      </c>
      <c r="CV101" s="123"/>
      <c r="CW101" s="123">
        <f>SUBTOTAL(109,CW9:CW100)</f>
        <v>-1632.02424242403</v>
      </c>
      <c r="CX101" s="123"/>
      <c r="CY101" s="123"/>
      <c r="CZ101" s="123">
        <f>SUBTOTAL(109,CZ9:CZ100)</f>
        <v>1686.0</v>
      </c>
      <c r="DA101" s="123"/>
      <c r="DB101" s="123"/>
      <c r="DC101" s="123"/>
      <c r="DD101" s="123"/>
      <c r="DE101" s="123">
        <f>SUBTOTAL(109,DE9:DE100)</f>
        <v>2388.0</v>
      </c>
      <c r="DF101" s="123"/>
      <c r="DG101" s="123"/>
      <c r="DH101" s="123"/>
      <c r="DI101" s="123"/>
      <c r="DJ101" s="123"/>
      <c r="DK101" s="123"/>
      <c r="DL101" s="123"/>
      <c r="DM101" s="123"/>
      <c r="DN101" s="123"/>
      <c r="DO101" s="123"/>
      <c r="DP101" s="123"/>
      <c r="DQ101" s="123"/>
      <c r="DR101" s="123"/>
      <c r="DS101" s="123"/>
      <c r="DT101" s="123"/>
      <c r="DU101" s="123"/>
      <c r="DV101" s="123"/>
      <c r="DW101" s="123"/>
      <c r="DX101" s="123"/>
      <c r="DY101" s="123"/>
      <c r="DZ101" s="123"/>
      <c r="EA101" s="123"/>
      <c r="EB101" s="123"/>
      <c r="EC101" s="123"/>
      <c r="ED101" s="123"/>
      <c r="EE101" s="123"/>
    </row>
    <row r="102">
      <c r="D102" s="123"/>
      <c r="AC102" s="123"/>
      <c r="AD102" s="123"/>
      <c r="AE102" s="123"/>
      <c r="AF102" s="123"/>
      <c r="AG102" s="123"/>
      <c r="AH102" s="123"/>
      <c r="AI102" s="123"/>
      <c r="AJ102" s="123"/>
      <c r="AK102" s="123"/>
      <c r="AL102" s="123"/>
      <c r="AM102" s="123"/>
      <c r="AN102" s="123"/>
      <c r="AO102" s="123"/>
      <c r="AP102" s="123"/>
      <c r="AQ102" s="123"/>
      <c r="AR102" s="123"/>
      <c r="AS102" s="123"/>
      <c r="AT102" s="123"/>
      <c r="BJ102" s="127"/>
      <c r="BQ102" s="126"/>
      <c r="BU102" s="126"/>
      <c r="CG102" s="126"/>
      <c r="CK102" s="126"/>
      <c r="CO102" s="123"/>
      <c r="CR102" s="123"/>
    </row>
    <row r="103">
      <c r="BE103" s="126"/>
      <c r="BJ103" s="127"/>
      <c r="BQ103" s="126"/>
      <c r="BU103" s="126"/>
      <c r="CG103" s="126"/>
      <c r="CK103" s="126"/>
      <c r="CO103" s="123"/>
      <c r="CR103" s="123"/>
    </row>
    <row r="262142">
      <c r="BE262142" s="126"/>
      <c r="BJ262142" s="127"/>
      <c r="BQ262142" s="126"/>
      <c r="BU262142" s="126"/>
      <c r="CG262142" s="126"/>
      <c r="CK262142" s="126"/>
      <c r="CO262142" s="123"/>
      <c r="CR262142" s="123"/>
    </row>
    <row r="262143">
      <c r="BE262143" s="126"/>
      <c r="BJ262143" s="127"/>
      <c r="BQ262143" s="126"/>
      <c r="BU262143" s="126"/>
      <c r="CG262143" s="126"/>
      <c r="CK262143" s="126"/>
      <c r="CO262143" s="123"/>
      <c r="CR262143" s="123"/>
    </row>
    <row r="262144">
      <c r="BE262144" s="126"/>
      <c r="BJ262144" s="127"/>
      <c r="BQ262144" s="126"/>
      <c r="BU262144" s="126"/>
      <c r="CG262144" s="126"/>
      <c r="CK262144" s="126"/>
      <c r="CO262144" s="123"/>
      <c r="CR262144" s="123"/>
    </row>
  </sheetData>
  <mergeCells count="6">
    <mergeCell ref="BN5:BP5"/>
    <mergeCell ref="CD5:CF5"/>
    <mergeCell ref="CH5:CJ5"/>
    <mergeCell ref="BR5:BT5"/>
    <mergeCell ref="BV5:BX5"/>
    <mergeCell ref="BZ5:CB5"/>
  </mergeCells>
  <conditionalFormatting sqref="C4:C6">
    <cfRule dxfId="1" operator="containsText" type="containsText" priority="1" text="set up">
      <formula>NOT(ISERROR(SEARCH("set up",C4)))</formula>
    </cfRule>
  </conditionalFormatting>
  <conditionalFormatting sqref="BH4:BH6">
    <cfRule dxfId="2" operator="lessThan" type="cellIs" priority="2">
      <formula>0</formula>
    </cfRule>
  </conditionalFormatting>
  <conditionalFormatting sqref="C4:C6">
    <cfRule dxfId="1" operator="containsText" type="containsText" priority="3" text="SET UP">
      <formula>NOT(ISERROR(SEARCH("SET UP",C4)))</formula>
    </cfRule>
  </conditionalFormatting>
  <conditionalFormatting sqref="C4:C6">
    <cfRule dxfId="1" operator="containsText" type="containsText" priority="4" text="starter pack">
      <formula>NOT(ISERROR(SEARCH("starter pack",C4)))</formula>
    </cfRule>
  </conditionalFormatting>
  <conditionalFormatting sqref="BJ4:BJ6">
    <cfRule dxfId="4" operator="greaterThan" type="cellIs" priority="5">
      <formula>0</formula>
    </cfRule>
  </conditionalFormatting>
  <conditionalFormatting sqref="C4:C6">
    <cfRule dxfId="5" operator="containsText" type="containsText" priority="6" text="CDU">
      <formula>NOT(ISERROR(SEARCH("CDU",C4)))</formula>
    </cfRule>
  </conditionalFormatting>
  <conditionalFormatting sqref="C4:C6">
    <cfRule dxfId="5" operator="containsText" type="containsText" priority="7" text="DISPLAY">
      <formula>NOT(ISERROR(SEARCH("DISPLAY",C4)))</formula>
    </cfRule>
  </conditionalFormatting>
  <conditionalFormatting sqref="C4:C6">
    <cfRule dxfId="1" operator="containsText" type="containsText" priority="8" text="STARTER PACK">
      <formula>NOT(ISERROR(SEARCH("STARTER PACK",C4)))</formula>
    </cfRule>
  </conditionalFormatting>
  <conditionalFormatting sqref="C4:C6">
    <cfRule dxfId="1" operator="containsText" type="containsText" priority="9" text="SET UP">
      <formula>NOT(ISERROR(SEARCH("SET UP",C4)))</formula>
    </cfRule>
  </conditionalFormatting>
  <conditionalFormatting sqref="C4:C6">
    <cfRule dxfId="9" operator="containsText" type="containsText" priority="10" text="CDU">
      <formula>NOT(ISERROR(SEARCH("CDU",C4)))</formula>
    </cfRule>
  </conditionalFormatting>
  <conditionalFormatting sqref="C4:C6">
    <cfRule dxfId="9" operator="containsText" type="containsText" priority="11" text="STAND">
      <formula>NOT(ISERROR(SEARCH("STAND",C4)))</formula>
    </cfRule>
  </conditionalFormatting>
  <conditionalFormatting sqref="C4:C6">
    <cfRule dxfId="1" operator="containsText" type="containsText" priority="12" text="set up">
      <formula>NOT(ISERROR(SEARCH("set up",C4)))</formula>
    </cfRule>
  </conditionalFormatting>
  <conditionalFormatting sqref="C4:C6">
    <cfRule dxfId="1" operator="containsText" type="containsText" priority="13" text="setup">
      <formula>NOT(ISERROR(SEARCH("setup",C4)))</formula>
    </cfRule>
  </conditionalFormatting>
  <conditionalFormatting sqref="C4:C6">
    <cfRule dxfId="1" operator="containsText" type="containsText" priority="14" text="starter pack">
      <formula>NOT(ISERROR(SEARCH("starter pack",C4)))</formula>
    </cfRule>
  </conditionalFormatting>
  <conditionalFormatting sqref="C4:C6">
    <cfRule dxfId="5" operator="containsText" type="containsText" priority="15" text="cdu">
      <formula>NOT(ISERROR(SEARCH("cdu",C4)))</formula>
    </cfRule>
  </conditionalFormatting>
  <conditionalFormatting sqref="C4:C6">
    <cfRule dxfId="5" operator="containsText" type="containsText" priority="16" text="display">
      <formula>NOT(ISERROR(SEARCH("display",C4)))</formula>
    </cfRule>
  </conditionalFormatting>
  <conditionalFormatting sqref="E98:AB100 E7:AS97 AC99:AG100">
    <cfRule dxfId="0" operator="lessThanOrEqual" type="cellIs" priority="17">
      <formula>0</formula>
    </cfRule>
  </conditionalFormatting>
  <conditionalFormatting sqref="C1:C262142">
    <cfRule dxfId="1" operator="containsText" type="containsText" priority="18" text="STARTER PACK">
      <formula>NOT(ISERROR(SEARCH("STARTER PACK",C1)))</formula>
    </cfRule>
  </conditionalFormatting>
  <conditionalFormatting sqref="C1:C262142">
    <cfRule dxfId="1" operator="containsText" type="containsText" priority="19" text="SET UP">
      <formula>NOT(ISERROR(SEARCH("SET UP",C1)))</formula>
    </cfRule>
  </conditionalFormatting>
  <conditionalFormatting sqref="C1:C262142">
    <cfRule dxfId="5" operator="containsText" type="containsText" priority="20" text="DISPLAY">
      <formula>NOT(ISERROR(SEARCH("DISPLAY",C1)))</formula>
    </cfRule>
  </conditionalFormatting>
  <conditionalFormatting sqref="C1:C262142">
    <cfRule dxfId="5" operator="containsText" type="containsText" priority="21" text="CDU">
      <formula>NOT(ISERROR(SEARCH("CDU",C1)))</formula>
    </cfRule>
  </conditionalFormatting>
  <conditionalFormatting sqref="BD9:BD33 BE9:BE97 BD39:BD41 BD61:BD61 BD63:BD97 BD7:BE8">
    <cfRule dxfId="3" operator="lessThanOrEqual" type="cellIs" priority="22">
      <formula>0</formula>
    </cfRule>
  </conditionalFormatting>
  <conditionalFormatting sqref="BN62:BO80 BN83:BO97 BM45:BM97 BP45:BQ97 BR62:BR80 BT62:BT80 BR83:BR97 BT83:BT97 BU45:BU97 BV62:BX80 BV83:BX97 BY45:BY97 BZ62:CB80 BZ83:CB97 CC45:CC97 CD62:CF80 CH62:CJ80 CD83:CF97 CH83:CJ97 CG45:CG97 BM7:BR44 BT7:CJ44">
    <cfRule dxfId="3" operator="lessThan" type="cellIs" priority="23">
      <formula>0</formula>
    </cfRule>
  </conditionalFormatting>
  <conditionalFormatting sqref="BL8:BL37 BL45:BL61 BL81:BL89 BL96:BL97">
    <cfRule dxfId="3" operator="lessThanOrEqual" type="cellIs" priority="24">
      <formula>0</formula>
    </cfRule>
  </conditionalFormatting>
  <conditionalFormatting sqref="CQ1:CR5 CQ6:CQ262144 CR101:CR262144 CR90:CR93 CR95:CR95 CR7:CR10 CR15:CR16 CR18:CR18 CR40:CR41 CR64:CR64 CR67:CR68 CR70:CR71 CR74:CR74 CR77:CR77">
    <cfRule dxfId="3" operator="lessThan" type="cellIs" priority="25">
      <formula>0</formula>
    </cfRule>
  </conditionalFormatting>
  <conditionalFormatting sqref="BH7:BH97">
    <cfRule dxfId="3" operator="lessThan" type="cellIs" priority="26">
      <formula>0</formula>
    </cfRule>
  </conditionalFormatting>
  <extLst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P56"/>
  <sheetViews>
    <sheetView workbookViewId="0">
      <pane xSplit="4" ySplit="6" topLeftCell="E7" state="frozen"/>
    </sheetView>
  </sheetViews>
  <sheetFormatPr defaultRowHeight="14.0" customHeight="1"/>
  <cols>
    <col min="1" max="1" style="47" width="24.64"/>
    <col min="2" max="2" style="47" width="18.28"/>
    <col min="3" max="3" style="47" width="40.01"/>
    <col min="4" max="4" style="47" width="14.7"/>
    <col min="5" max="16" hidden="1" style="47" width="0.0" outlineLevel="2"/>
    <col min="17" max="17" hidden="1" style="47" width="0.0" outlineLevel="1" collapsed="1"/>
    <col min="18" max="32" hidden="1" style="47" width="0.0" outlineLevel="1"/>
    <col min="33" max="33" style="47" width="7.28" collapsed="1"/>
    <col min="34" max="45" style="47" width="7.28"/>
    <col min="46" max="47" style="64" width="14.7"/>
    <col min="48" max="48" style="69" width="14.7"/>
    <col min="49" max="55" style="47" width="7.68"/>
    <col min="56" max="56" style="64" width="10.86"/>
    <col min="57" max="57" style="47" width="10.86"/>
    <col min="58" max="59" style="184" width="12.71"/>
    <col min="60" max="61" style="185" width="12.45"/>
    <col min="62" max="63" style="47" width="10.99"/>
    <col min="64" max="64" style="47" width="11.39"/>
    <col min="65" max="65" style="47" width="9.53"/>
    <col min="66" max="66" style="47" width="9.93"/>
    <col min="67" max="69" style="47" width="8.21"/>
    <col min="70" max="70" style="47" width="8.87"/>
    <col min="71" max="73" style="47" width="7.81"/>
    <col min="74" max="74" style="47" width="8.87"/>
    <col min="75" max="77" style="47" width="7.68"/>
    <col min="78" max="78" style="47" width="8.87"/>
    <col min="79" max="81" style="47" width="7.15"/>
    <col min="82" max="82" style="47" width="13.51"/>
    <col min="83" max="85" style="47" width="6.88"/>
    <col min="86" max="86" style="47" width="13.51"/>
    <col min="87" max="89" style="47" width="7.15"/>
    <col min="90" max="90" style="67" width="13.11"/>
    <col min="91" max="93" style="47" width="7.15"/>
    <col min="94" max="94" style="67" width="13.11"/>
    <col min="95" max="2048" style="47" width="14.7"/>
  </cols>
  <sheetData>
    <row r="1">
      <c r="BM1" s="185"/>
    </row>
    <row r="2">
      <c r="BM2" s="185"/>
    </row>
    <row r="3" ht="14.0">
      <c r="AU3" s="186">
        <f>SUM(AN4:AS4)</f>
        <v>0.515</v>
      </c>
      <c r="AV3" s="187">
        <f t="shared" ref="AV3:AV4" si="1">AU3*1.1</f>
        <v>0.5665</v>
      </c>
      <c r="BM3" s="185"/>
    </row>
    <row r="4" ht="14.0">
      <c r="AB4" s="104">
        <v>0.1</v>
      </c>
      <c r="AC4" s="104">
        <v>0.1</v>
      </c>
      <c r="AD4" s="104"/>
      <c r="AE4" s="104">
        <v>0.085</v>
      </c>
      <c r="AF4" s="104">
        <v>0.08</v>
      </c>
      <c r="AG4" s="104">
        <v>0.07</v>
      </c>
      <c r="AH4" s="104">
        <v>0.075</v>
      </c>
      <c r="AI4" s="104">
        <v>0.09</v>
      </c>
      <c r="AJ4" s="104">
        <v>0.11</v>
      </c>
      <c r="AK4" s="104">
        <v>0.09</v>
      </c>
      <c r="AL4" s="104">
        <v>0.065</v>
      </c>
      <c r="AM4" s="104">
        <v>0.055</v>
      </c>
      <c r="AN4" s="104">
        <v>0.1</v>
      </c>
      <c r="AO4" s="104">
        <v>0.1</v>
      </c>
      <c r="AP4" s="104">
        <v>0.08</v>
      </c>
      <c r="AQ4" s="104">
        <v>0.085</v>
      </c>
      <c r="AR4" s="104">
        <v>0.08</v>
      </c>
      <c r="AS4" s="104">
        <v>0.07</v>
      </c>
      <c r="AT4" s="105">
        <f>SUM(AH4:AS4)</f>
        <v>1.0</v>
      </c>
      <c r="AU4" s="106">
        <f>SUM(AH4:AM4)</f>
        <v>0.485</v>
      </c>
      <c r="AV4" s="107">
        <f t="shared" si="1"/>
        <v>0.5335</v>
      </c>
      <c r="AW4" s="104">
        <v>0.075</v>
      </c>
      <c r="AX4" s="104">
        <v>0.09</v>
      </c>
      <c r="AY4" s="104">
        <v>0.11</v>
      </c>
      <c r="AZ4" s="104">
        <v>0.09</v>
      </c>
      <c r="BA4" s="104">
        <v>0.065</v>
      </c>
      <c r="BB4" s="104">
        <v>0.055</v>
      </c>
      <c r="BC4" s="104">
        <v>0.1</v>
      </c>
      <c r="BM4" s="185"/>
    </row>
    <row r="5" ht="14.0" customFormat="1" s="47">
      <c r="A5" s="73"/>
      <c r="B5" s="73"/>
      <c r="C5" s="73"/>
      <c r="D5" s="73"/>
      <c r="E5" s="74">
        <v>45952</v>
      </c>
      <c r="F5" s="74">
        <v>45983</v>
      </c>
      <c r="G5" s="74">
        <v>46013</v>
      </c>
      <c r="H5" s="74">
        <v>45680</v>
      </c>
      <c r="I5" s="74">
        <v>45711</v>
      </c>
      <c r="J5" s="74">
        <v>45739</v>
      </c>
      <c r="K5" s="74">
        <v>45770</v>
      </c>
      <c r="L5" s="74">
        <v>45800</v>
      </c>
      <c r="M5" s="74">
        <v>45831</v>
      </c>
      <c r="N5" s="74">
        <v>45861</v>
      </c>
      <c r="O5" s="74">
        <v>45892</v>
      </c>
      <c r="P5" s="74">
        <v>45923</v>
      </c>
      <c r="Q5" s="75">
        <v>45953</v>
      </c>
      <c r="R5" s="75">
        <v>45984</v>
      </c>
      <c r="S5" s="75">
        <v>46014</v>
      </c>
      <c r="T5" s="75">
        <v>45681</v>
      </c>
      <c r="U5" s="75">
        <v>45712</v>
      </c>
      <c r="V5" s="75">
        <v>45740</v>
      </c>
      <c r="W5" s="75">
        <v>45771</v>
      </c>
      <c r="X5" s="75">
        <v>45801</v>
      </c>
      <c r="Y5" s="75">
        <v>45832</v>
      </c>
      <c r="Z5" s="75">
        <v>45862</v>
      </c>
      <c r="AA5" s="75">
        <v>45893</v>
      </c>
      <c r="AB5" s="75">
        <v>45924</v>
      </c>
      <c r="AC5" s="75">
        <v>45954</v>
      </c>
      <c r="AD5" s="75">
        <v>45985</v>
      </c>
      <c r="AE5" s="75">
        <v>46015</v>
      </c>
      <c r="AF5" s="75">
        <v>45682</v>
      </c>
      <c r="AG5" s="75">
        <v>45713</v>
      </c>
      <c r="AH5" s="76">
        <v>45741</v>
      </c>
      <c r="AI5" s="76">
        <v>45772</v>
      </c>
      <c r="AJ5" s="76">
        <v>45802</v>
      </c>
      <c r="AK5" s="76">
        <v>45833</v>
      </c>
      <c r="AL5" s="76">
        <v>45863</v>
      </c>
      <c r="AM5" s="76">
        <v>45894</v>
      </c>
      <c r="AN5" s="76">
        <v>45925</v>
      </c>
      <c r="AO5" s="76">
        <v>45955</v>
      </c>
      <c r="AP5" s="76">
        <v>45986</v>
      </c>
      <c r="AQ5" s="76">
        <v>46016</v>
      </c>
      <c r="AR5" s="76">
        <v>46048</v>
      </c>
      <c r="AS5" s="76">
        <v>46079</v>
      </c>
      <c r="AT5" s="77" t="s">
        <v>1</v>
      </c>
      <c r="AU5" s="77" t="s">
        <v>542</v>
      </c>
      <c r="AV5" s="77" t="s">
        <v>542</v>
      </c>
      <c r="AW5" s="76">
        <v>46107</v>
      </c>
      <c r="AX5" s="76">
        <v>46138</v>
      </c>
      <c r="AY5" s="76">
        <v>46168</v>
      </c>
      <c r="AZ5" s="76">
        <v>46199</v>
      </c>
      <c r="BA5" s="76">
        <v>46229</v>
      </c>
      <c r="BB5" s="76">
        <v>46260</v>
      </c>
      <c r="BC5" s="76">
        <v>46291</v>
      </c>
      <c r="BD5" s="73" t="s">
        <v>3</v>
      </c>
      <c r="BE5" s="73" t="s">
        <v>3</v>
      </c>
      <c r="BF5" s="188"/>
      <c r="BG5" s="188"/>
      <c r="BH5" s="73" t="s">
        <v>3</v>
      </c>
      <c r="BI5" s="73" t="s">
        <v>3</v>
      </c>
      <c r="BJ5" s="79" t="s">
        <v>3</v>
      </c>
      <c r="BK5" s="73" t="s">
        <v>3</v>
      </c>
      <c r="BL5" s="73" t="s">
        <v>3</v>
      </c>
      <c r="BM5" s="189"/>
      <c r="BN5" s="73" t="s">
        <v>517</v>
      </c>
      <c r="BO5" s="82" t="s">
        <v>518</v>
      </c>
      <c r="BP5" s="73"/>
      <c r="BQ5" s="73"/>
      <c r="BR5" s="73"/>
      <c r="BS5" s="82" t="s">
        <v>519</v>
      </c>
      <c r="BT5" s="73"/>
      <c r="BU5" s="73"/>
      <c r="BV5" s="73"/>
      <c r="BW5" s="82" t="s">
        <v>520</v>
      </c>
      <c r="BX5" s="73"/>
      <c r="BY5" s="73"/>
      <c r="BZ5" s="73"/>
      <c r="CA5" s="82" t="s">
        <v>4</v>
      </c>
      <c r="CB5" s="73"/>
      <c r="CC5" s="73"/>
      <c r="CD5" s="73"/>
      <c r="CE5" s="82" t="s">
        <v>5</v>
      </c>
      <c r="CF5" s="73"/>
      <c r="CG5" s="73"/>
      <c r="CH5" s="73"/>
      <c r="CI5" s="82" t="s">
        <v>6</v>
      </c>
      <c r="CJ5" s="73"/>
      <c r="CK5" s="73"/>
      <c r="CL5" s="80"/>
      <c r="CM5" s="82" t="s">
        <v>543</v>
      </c>
      <c r="CN5" s="73"/>
      <c r="CO5" s="73"/>
      <c r="CP5" s="80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DD5" s="73"/>
      <c r="DE5" s="73"/>
      <c r="DF5" s="73"/>
      <c r="DG5" s="73"/>
      <c r="DH5" s="73"/>
      <c r="DI5" s="73"/>
      <c r="DJ5" s="73"/>
      <c r="DK5" s="73"/>
      <c r="DL5" s="73"/>
      <c r="DM5" s="73"/>
      <c r="DN5" s="73"/>
      <c r="DO5" s="73"/>
      <c r="DP5" s="73"/>
      <c r="AMB5" s="83"/>
      <c r="AMC5" s="83"/>
      <c r="AMD5" s="83"/>
      <c r="AME5" s="83"/>
      <c r="AMF5" s="84"/>
    </row>
    <row r="6" customHeight="1" ht="45.0" customFormat="1" s="47">
      <c r="A6" s="85" t="s">
        <v>12</v>
      </c>
      <c r="B6" s="85" t="s">
        <v>13</v>
      </c>
      <c r="C6" s="85" t="s">
        <v>14</v>
      </c>
      <c r="D6" s="86" t="s">
        <v>15</v>
      </c>
      <c r="E6" s="87" t="s">
        <v>16</v>
      </c>
      <c r="F6" s="87" t="s">
        <v>16</v>
      </c>
      <c r="G6" s="87" t="s">
        <v>16</v>
      </c>
      <c r="H6" s="87" t="s">
        <v>16</v>
      </c>
      <c r="I6" s="87" t="s">
        <v>16</v>
      </c>
      <c r="J6" s="87" t="s">
        <v>16</v>
      </c>
      <c r="K6" s="87" t="s">
        <v>16</v>
      </c>
      <c r="L6" s="87" t="s">
        <v>16</v>
      </c>
      <c r="M6" s="87" t="s">
        <v>16</v>
      </c>
      <c r="N6" s="87" t="s">
        <v>16</v>
      </c>
      <c r="O6" s="87" t="s">
        <v>16</v>
      </c>
      <c r="P6" s="87" t="s">
        <v>16</v>
      </c>
      <c r="Q6" s="87" t="s">
        <v>16</v>
      </c>
      <c r="R6" s="87" t="s">
        <v>16</v>
      </c>
      <c r="S6" s="87" t="s">
        <v>16</v>
      </c>
      <c r="T6" s="87" t="s">
        <v>16</v>
      </c>
      <c r="U6" s="87" t="s">
        <v>16</v>
      </c>
      <c r="V6" s="87" t="s">
        <v>16</v>
      </c>
      <c r="W6" s="87" t="s">
        <v>16</v>
      </c>
      <c r="X6" s="87" t="s">
        <v>16</v>
      </c>
      <c r="Y6" s="87" t="s">
        <v>16</v>
      </c>
      <c r="Z6" s="87" t="s">
        <v>16</v>
      </c>
      <c r="AA6" s="87" t="s">
        <v>16</v>
      </c>
      <c r="AB6" s="87" t="s">
        <v>16</v>
      </c>
      <c r="AC6" s="87" t="s">
        <v>16</v>
      </c>
      <c r="AD6" s="87" t="s">
        <v>16</v>
      </c>
      <c r="AE6" s="87" t="s">
        <v>16</v>
      </c>
      <c r="AF6" s="87" t="s">
        <v>16</v>
      </c>
      <c r="AG6" s="87" t="s">
        <v>16</v>
      </c>
      <c r="AH6" s="87" t="s">
        <v>16</v>
      </c>
      <c r="AI6" s="87" t="s">
        <v>16</v>
      </c>
      <c r="AJ6" s="87" t="s">
        <v>16</v>
      </c>
      <c r="AK6" s="87" t="s">
        <v>16</v>
      </c>
      <c r="AL6" s="87" t="s">
        <v>16</v>
      </c>
      <c r="AM6" s="87" t="s">
        <v>16</v>
      </c>
      <c r="AN6" s="87" t="s">
        <v>16</v>
      </c>
      <c r="AO6" s="87" t="s">
        <v>16</v>
      </c>
      <c r="AP6" s="87" t="s">
        <v>16</v>
      </c>
      <c r="AQ6" s="87" t="s">
        <v>16</v>
      </c>
      <c r="AR6" s="87" t="s">
        <v>16</v>
      </c>
      <c r="AS6" s="87" t="s">
        <v>16</v>
      </c>
      <c r="AT6" s="88" t="s">
        <v>3</v>
      </c>
      <c r="AU6" s="88" t="s">
        <v>3</v>
      </c>
      <c r="AV6" s="88" t="s">
        <v>17</v>
      </c>
      <c r="AW6" s="89" t="s">
        <v>18</v>
      </c>
      <c r="AX6" s="89" t="s">
        <v>18</v>
      </c>
      <c r="AY6" s="89" t="s">
        <v>18</v>
      </c>
      <c r="AZ6" s="89" t="s">
        <v>18</v>
      </c>
      <c r="BA6" s="89" t="s">
        <v>18</v>
      </c>
      <c r="BB6" s="89" t="s">
        <v>18</v>
      </c>
      <c r="BC6" s="89" t="s">
        <v>18</v>
      </c>
      <c r="BD6" s="89" t="s">
        <v>18</v>
      </c>
      <c r="BE6" s="87" t="s">
        <v>526</v>
      </c>
      <c r="BF6" s="190" t="s">
        <v>544</v>
      </c>
      <c r="BG6" s="190" t="s">
        <v>530</v>
      </c>
      <c r="BH6" s="90" t="s">
        <v>529</v>
      </c>
      <c r="BI6" s="90" t="s">
        <v>545</v>
      </c>
      <c r="BJ6" s="91" t="s">
        <v>22</v>
      </c>
      <c r="BK6" s="87" t="s">
        <v>23</v>
      </c>
      <c r="BL6" s="87" t="s">
        <v>24</v>
      </c>
      <c r="BM6" s="86" t="s">
        <v>25</v>
      </c>
      <c r="BN6" s="87" t="s">
        <v>26</v>
      </c>
      <c r="BO6" s="87" t="s">
        <v>18</v>
      </c>
      <c r="BP6" s="87" t="s">
        <v>27</v>
      </c>
      <c r="BQ6" s="87" t="s">
        <v>28</v>
      </c>
      <c r="BR6" s="191" t="s">
        <v>530</v>
      </c>
      <c r="BS6" s="87" t="s">
        <v>18</v>
      </c>
      <c r="BT6" s="87" t="s">
        <v>27</v>
      </c>
      <c r="BU6" s="87" t="s">
        <v>28</v>
      </c>
      <c r="BV6" s="191" t="s">
        <v>530</v>
      </c>
      <c r="BW6" s="87" t="s">
        <v>18</v>
      </c>
      <c r="BX6" s="87" t="s">
        <v>27</v>
      </c>
      <c r="BY6" s="87" t="s">
        <v>28</v>
      </c>
      <c r="BZ6" s="191" t="s">
        <v>530</v>
      </c>
      <c r="CA6" s="87" t="s">
        <v>18</v>
      </c>
      <c r="CB6" s="87" t="s">
        <v>27</v>
      </c>
      <c r="CC6" s="87" t="s">
        <v>28</v>
      </c>
      <c r="CD6" s="191" t="s">
        <v>530</v>
      </c>
      <c r="CE6" s="87" t="s">
        <v>18</v>
      </c>
      <c r="CF6" s="87" t="s">
        <v>27</v>
      </c>
      <c r="CG6" s="87" t="s">
        <v>28</v>
      </c>
      <c r="CH6" s="191" t="s">
        <v>530</v>
      </c>
      <c r="CI6" s="87" t="s">
        <v>18</v>
      </c>
      <c r="CJ6" s="87" t="s">
        <v>27</v>
      </c>
      <c r="CK6" s="87" t="s">
        <v>28</v>
      </c>
      <c r="CL6" s="192" t="s">
        <v>530</v>
      </c>
      <c r="CM6" s="87" t="s">
        <v>18</v>
      </c>
      <c r="CN6" s="87" t="s">
        <v>27</v>
      </c>
      <c r="CO6" s="87" t="s">
        <v>28</v>
      </c>
      <c r="CP6" s="192" t="s">
        <v>530</v>
      </c>
      <c r="CQ6" s="84"/>
      <c r="CR6" s="84"/>
      <c r="CS6" s="84"/>
      <c r="CT6" s="84"/>
      <c r="CU6" s="84"/>
      <c r="CV6" s="84"/>
      <c r="CW6" s="84"/>
      <c r="CX6" s="84"/>
      <c r="CY6" s="84"/>
      <c r="CZ6" s="84"/>
      <c r="DA6" s="84"/>
      <c r="DB6" s="84"/>
      <c r="DC6" s="84"/>
      <c r="DD6" s="84"/>
      <c r="DE6" s="84"/>
      <c r="DF6" s="84"/>
      <c r="DG6" s="84"/>
      <c r="DH6" s="84"/>
      <c r="DI6" s="84"/>
      <c r="DJ6" s="84"/>
      <c r="DK6" s="84"/>
      <c r="DL6" s="84"/>
      <c r="DM6" s="84"/>
      <c r="DN6" s="84"/>
      <c r="DO6" s="84"/>
      <c r="DP6" s="84"/>
    </row>
    <row r="7" ht="14.0" customFormat="1" s="47">
      <c r="A7" s="93" t="s">
        <v>430</v>
      </c>
      <c r="B7" s="93" t="s">
        <v>431</v>
      </c>
      <c r="C7" s="93" t="s">
        <v>432</v>
      </c>
      <c r="D7" s="93" t="s">
        <v>433</v>
      </c>
      <c r="E7" s="93">
        <v>36.0</v>
      </c>
      <c r="F7" s="93">
        <v>24.0</v>
      </c>
      <c r="G7" s="93">
        <v>15.0</v>
      </c>
      <c r="H7" s="93">
        <v>9.0</v>
      </c>
      <c r="I7" s="93">
        <v>18.0</v>
      </c>
      <c r="J7" s="93">
        <v>12.0</v>
      </c>
      <c r="K7" s="93">
        <v>21.0</v>
      </c>
      <c r="L7" s="93">
        <v>18.0</v>
      </c>
      <c r="M7" s="93">
        <v>21.0</v>
      </c>
      <c r="N7" s="93">
        <v>39.0</v>
      </c>
      <c r="O7" s="93">
        <v>36.0</v>
      </c>
      <c r="P7" s="93">
        <v>33.0</v>
      </c>
      <c r="Q7" s="93">
        <v>54.0</v>
      </c>
      <c r="R7" s="93">
        <v>15.0</v>
      </c>
      <c r="S7" s="93">
        <v>0.0</v>
      </c>
      <c r="T7" s="93">
        <v>12.0</v>
      </c>
      <c r="U7" s="93">
        <v>15.0</v>
      </c>
      <c r="V7" s="93">
        <v>39.0</v>
      </c>
      <c r="W7" s="93">
        <v>12.0</v>
      </c>
      <c r="X7" s="93">
        <v>15.0</v>
      </c>
      <c r="Y7" s="93">
        <v>15.0</v>
      </c>
      <c r="Z7" s="93">
        <v>31.0</v>
      </c>
      <c r="AA7" s="93">
        <v>12.0</v>
      </c>
      <c r="AB7" s="93">
        <v>12.0</v>
      </c>
      <c r="AC7" s="93">
        <v>24.0</v>
      </c>
      <c r="AD7" s="93">
        <v>6.0</v>
      </c>
      <c r="AE7" s="93">
        <v>3.0</v>
      </c>
      <c r="AF7" s="93">
        <v>12.0</v>
      </c>
      <c r="AG7" s="110">
        <f>U7</f>
        <v>15.0</v>
      </c>
      <c r="AH7" s="93">
        <v>21.0</v>
      </c>
      <c r="AI7" s="93">
        <v>15.0</v>
      </c>
      <c r="AJ7" s="93">
        <v>6.0</v>
      </c>
      <c r="AK7" s="93">
        <v>3.0</v>
      </c>
      <c r="AL7" s="93">
        <v>6.0</v>
      </c>
      <c r="AM7" s="93">
        <v>18.0</v>
      </c>
      <c r="AN7" s="93">
        <v>25.0</v>
      </c>
      <c r="AO7" s="93">
        <v>12.0</v>
      </c>
      <c r="AP7" s="93">
        <v>30.0</v>
      </c>
      <c r="AQ7" s="93">
        <v>12.0</v>
      </c>
      <c r="AR7" s="93">
        <v>16.0</v>
      </c>
      <c r="AS7" s="93">
        <v>22.0</v>
      </c>
      <c r="AT7" s="111">
        <f t="shared" ref="AT7:AT41" si="5">SUM(AH7:AS7)</f>
        <v>186.0</v>
      </c>
      <c r="AU7" s="64">
        <f t="shared" ref="AU7:AU20" si="6">SUM(AH7:AM7)</f>
        <v>69.0</v>
      </c>
      <c r="AV7" s="69">
        <f t="shared" ref="AV7:AV41" si="7">AU7*1.1</f>
        <v>75.9</v>
      </c>
      <c r="AW7" s="65">
        <f t="shared" ref="AW7:AW11" si="8">AV7*$AW$4/$AV$4</f>
        <v>10.6701030927835</v>
      </c>
      <c r="AX7" s="65">
        <f t="shared" ref="AX7:AX11" si="9">AV7*$AX$4/$AV$4</f>
        <v>12.8041237113402</v>
      </c>
      <c r="AY7" s="65">
        <f t="shared" ref="AY7:AY11" si="10">AV7*$AY$4/$AV$4</f>
        <v>15.6494845360824</v>
      </c>
      <c r="AZ7" s="65">
        <f t="shared" ref="AZ7:AZ11" si="11">AV7*$AZ$4/$AV$4</f>
        <v>12.8041237113402</v>
      </c>
      <c r="BA7" s="65">
        <f t="shared" ref="BA7:BA11" si="12">AV7*$BA$4/$AV$4</f>
        <v>9.24742268041237</v>
      </c>
      <c r="BB7" s="65">
        <f t="shared" ref="BB7:BB11" si="13">AV7*$BB$4/$AV$4</f>
        <v>7.82474226804123</v>
      </c>
      <c r="BC7" s="65">
        <f t="shared" ref="BC7:BC11" si="14">AV7*$BB$4/$AV$4</f>
        <v>7.82474226804123</v>
      </c>
      <c r="BD7" s="193">
        <f t="shared" ref="BD7:BD41" si="15">SUM(AW7:BC7)</f>
        <v>76.8247422680411</v>
      </c>
      <c r="BE7" s="64">
        <f>VLOOKUP(D7,FEB23SOH,3,false)</f>
        <v>40.0</v>
      </c>
      <c r="BF7" s="194">
        <f>VLOOKUP(D7,VALUEFEB23,4,false)</f>
        <v>6.3078</v>
      </c>
      <c r="BG7" s="194">
        <f t="shared" ref="BG7:BG41" si="18">BF7*BE7</f>
        <v>252.312</v>
      </c>
      <c r="BH7" s="185"/>
      <c r="BI7" s="185"/>
      <c r="BJ7" s="69">
        <f t="shared" ref="BJ7:BJ9" si="19">BE7+BH7+BI7-BD7</f>
        <v>-36.8247422680411</v>
      </c>
      <c r="BK7" s="65"/>
      <c r="BL7" s="64"/>
      <c r="BM7" s="185" t="s">
        <v>4</v>
      </c>
      <c r="BN7" s="65">
        <f t="shared" ref="BN7:BN9" si="20">BE7</f>
        <v>40.0</v>
      </c>
      <c r="BO7" s="65">
        <f t="shared" ref="BO7:BO9" si="21">AW7</f>
        <v>10.6701030927835</v>
      </c>
      <c r="BP7" s="65"/>
      <c r="BQ7" s="65">
        <f t="shared" ref="BQ7:BQ9" si="22">BN7+BP7-BO7</f>
        <v>29.3298969072165</v>
      </c>
      <c r="BR7" s="194">
        <f t="shared" ref="BR7:BR9" si="23">BQ7*BF7</f>
        <v>185.00712371134</v>
      </c>
      <c r="BS7" s="65">
        <f t="shared" ref="BS7:BS9" si="24">AX7</f>
        <v>12.8041237113402</v>
      </c>
      <c r="BT7" s="65"/>
      <c r="BU7" s="65">
        <f t="shared" ref="BU7:BU9" si="25">BQ7+BT7-BS7</f>
        <v>16.5257731958763</v>
      </c>
      <c r="BV7" s="194">
        <f t="shared" ref="BV7:BV9" si="26">BU7*BF7</f>
        <v>104.241272164949</v>
      </c>
      <c r="BW7" s="65">
        <f t="shared" ref="BW7:BW9" si="27">AY7</f>
        <v>15.6494845360824</v>
      </c>
      <c r="BX7" s="65"/>
      <c r="BY7" s="65">
        <f t="shared" ref="BY7:BY9" si="28">BU7+BX7-BW7</f>
        <v>0.8762886597939</v>
      </c>
      <c r="BZ7" s="194">
        <f t="shared" ref="BZ7:BZ9" si="29">BY7*BF7</f>
        <v>5.52745360824796</v>
      </c>
      <c r="CA7" s="65">
        <f t="shared" ref="CA7:CA9" si="30">AZ7</f>
        <v>12.8041237113402</v>
      </c>
      <c r="CB7" s="65"/>
      <c r="CC7" s="65">
        <f t="shared" ref="CC7:CC9" si="31">BY7+CB7-CA7</f>
        <v>-11.9278350515463</v>
      </c>
      <c r="CD7" s="194">
        <f t="shared" ref="CD7:CD9" si="32">CC7*BF7</f>
        <v>-75.2383979381436</v>
      </c>
      <c r="CE7" s="65">
        <f t="shared" ref="CE7:CE9" si="33">BA7</f>
        <v>9.24742268041237</v>
      </c>
      <c r="CF7" s="65"/>
      <c r="CG7" s="65">
        <f t="shared" ref="CG7:CG9" si="34">CC7+CF7-CE7</f>
        <v>-21.1752577319585</v>
      </c>
      <c r="CH7" s="194">
        <f t="shared" ref="CH7:CH9" si="35">CG7*BF7</f>
        <v>-133.569290721646</v>
      </c>
      <c r="CI7" s="65">
        <f t="shared" ref="CI7:CI9" si="36">BB7</f>
        <v>7.82474226804123</v>
      </c>
      <c r="CJ7" s="65"/>
      <c r="CK7" s="65">
        <f t="shared" ref="CK7:CK9" si="37">CG7+CJ7-CI7</f>
        <v>-28.9999999999997</v>
      </c>
      <c r="CL7" s="195">
        <f t="shared" ref="CL7:CL9" si="38">CK7*BF7</f>
        <v>-182.926199999998</v>
      </c>
      <c r="CM7" s="65">
        <f t="shared" ref="CM7:CM9" si="39">BC7</f>
        <v>7.82474226804123</v>
      </c>
      <c r="CN7" s="65"/>
      <c r="CO7" s="65">
        <f t="shared" ref="CO7:CO9" si="40">CK7+CN7-CM7</f>
        <v>-36.8247422680409</v>
      </c>
      <c r="CP7" s="195">
        <f t="shared" ref="CP7:CP9" si="41">CO7*BJ7</f>
        <v>1356.06164310764</v>
      </c>
    </row>
    <row r="8" ht="14.0" customFormat="1" s="47">
      <c r="A8" s="93" t="s">
        <v>430</v>
      </c>
      <c r="B8" s="93" t="s">
        <v>431</v>
      </c>
      <c r="C8" s="93" t="s">
        <v>434</v>
      </c>
      <c r="D8" s="93" t="s">
        <v>435</v>
      </c>
      <c r="E8" s="93">
        <v>30.0</v>
      </c>
      <c r="F8" s="93">
        <v>18.0</v>
      </c>
      <c r="G8" s="93">
        <v>6.0</v>
      </c>
      <c r="H8" s="93">
        <v>9.0</v>
      </c>
      <c r="I8" s="93">
        <v>49.0</v>
      </c>
      <c r="J8" s="93">
        <v>58.0</v>
      </c>
      <c r="K8" s="93">
        <v>60.0</v>
      </c>
      <c r="L8" s="93">
        <v>78.0</v>
      </c>
      <c r="M8" s="93">
        <v>50.0</v>
      </c>
      <c r="N8" s="93">
        <v>45.0</v>
      </c>
      <c r="O8" s="93">
        <v>41.0</v>
      </c>
      <c r="P8" s="93">
        <v>72.0</v>
      </c>
      <c r="Q8" s="93">
        <v>57.0</v>
      </c>
      <c r="R8" s="93">
        <v>48.0</v>
      </c>
      <c r="S8" s="93">
        <v>39.0</v>
      </c>
      <c r="T8" s="93">
        <v>39.0</v>
      </c>
      <c r="U8" s="93">
        <v>74.0</v>
      </c>
      <c r="V8" s="93">
        <v>54.0</v>
      </c>
      <c r="W8" s="93">
        <v>30.0</v>
      </c>
      <c r="X8" s="93">
        <v>33.0</v>
      </c>
      <c r="Y8" s="93">
        <v>15.0</v>
      </c>
      <c r="Z8" s="93">
        <v>25.0</v>
      </c>
      <c r="AA8" s="93">
        <v>36.0</v>
      </c>
      <c r="AB8" s="93">
        <v>36.0</v>
      </c>
      <c r="AC8" s="93">
        <v>54.0</v>
      </c>
      <c r="AD8" s="93">
        <v>33.0</v>
      </c>
      <c r="AE8" s="93">
        <v>24.0</v>
      </c>
      <c r="AF8" s="93">
        <v>39.0</v>
      </c>
      <c r="AG8" s="93">
        <v>42.0</v>
      </c>
      <c r="AH8" s="93">
        <v>18.0</v>
      </c>
      <c r="AI8" s="93">
        <v>15.0</v>
      </c>
      <c r="AJ8" s="93">
        <v>36.0</v>
      </c>
      <c r="AK8" s="93">
        <v>21.0</v>
      </c>
      <c r="AL8" s="93">
        <v>32.0</v>
      </c>
      <c r="AM8" s="93">
        <v>32.0</v>
      </c>
      <c r="AN8" s="93">
        <v>28.0</v>
      </c>
      <c r="AO8" s="93">
        <v>39.0</v>
      </c>
      <c r="AP8" s="93">
        <v>48.0</v>
      </c>
      <c r="AQ8" s="93">
        <v>45.0</v>
      </c>
      <c r="AR8" s="93">
        <v>9.0</v>
      </c>
      <c r="AS8" s="93">
        <v>44.0</v>
      </c>
      <c r="AT8" s="111">
        <f t="shared" si="5"/>
        <v>367.0</v>
      </c>
      <c r="AU8" s="64">
        <f t="shared" si="6"/>
        <v>154.0</v>
      </c>
      <c r="AV8" s="69">
        <f t="shared" si="7"/>
        <v>169.4</v>
      </c>
      <c r="AW8" s="65">
        <f t="shared" si="8"/>
        <v>23.8144329896907</v>
      </c>
      <c r="AX8" s="65">
        <f t="shared" si="9"/>
        <v>28.5773195876289</v>
      </c>
      <c r="AY8" s="65">
        <f t="shared" si="10"/>
        <v>34.9278350515463</v>
      </c>
      <c r="AZ8" s="65">
        <f t="shared" si="11"/>
        <v>28.5773195876289</v>
      </c>
      <c r="BA8" s="65">
        <f t="shared" si="12"/>
        <v>20.639175257732</v>
      </c>
      <c r="BB8" s="65">
        <f t="shared" si="13"/>
        <v>17.4639175257731</v>
      </c>
      <c r="BC8" s="65">
        <f t="shared" si="14"/>
        <v>17.4639175257731</v>
      </c>
      <c r="BD8" s="193">
        <f t="shared" si="15"/>
        <v>171.463917525773</v>
      </c>
      <c r="BE8" s="64">
        <f>VLOOKUP(D8,FEB23SOH,3,false)</f>
        <v>875.0</v>
      </c>
      <c r="BF8" s="194">
        <f>VLOOKUP(D8,VALUEFEB23,4,false)</f>
        <v>6.6798</v>
      </c>
      <c r="BG8" s="194">
        <f t="shared" si="18"/>
        <v>5844.825</v>
      </c>
      <c r="BH8" s="185"/>
      <c r="BI8" s="185"/>
      <c r="BJ8" s="69">
        <f t="shared" si="19"/>
        <v>703.536082474227</v>
      </c>
      <c r="BK8" s="65"/>
      <c r="BM8" s="185"/>
      <c r="BN8" s="65">
        <f t="shared" si="20"/>
        <v>875.0</v>
      </c>
      <c r="BO8" s="65">
        <f t="shared" si="21"/>
        <v>23.8144329896907</v>
      </c>
      <c r="BP8" s="65"/>
      <c r="BQ8" s="65">
        <f t="shared" si="22"/>
        <v>851.185567010309</v>
      </c>
      <c r="BR8" s="194">
        <f t="shared" si="23"/>
        <v>5685.74935051546</v>
      </c>
      <c r="BS8" s="65">
        <f t="shared" si="24"/>
        <v>28.5773195876289</v>
      </c>
      <c r="BT8" s="65"/>
      <c r="BU8" s="65">
        <f t="shared" si="25"/>
        <v>822.60824742268</v>
      </c>
      <c r="BV8" s="194">
        <f t="shared" si="26"/>
        <v>5494.85857113401</v>
      </c>
      <c r="BW8" s="65">
        <f t="shared" si="27"/>
        <v>34.9278350515463</v>
      </c>
      <c r="BX8" s="65"/>
      <c r="BY8" s="65">
        <f t="shared" si="28"/>
        <v>787.680412371133</v>
      </c>
      <c r="BZ8" s="194">
        <f t="shared" si="29"/>
        <v>5261.54761855669</v>
      </c>
      <c r="CA8" s="65">
        <f t="shared" si="30"/>
        <v>28.5773195876289</v>
      </c>
      <c r="CB8" s="65"/>
      <c r="CC8" s="65">
        <f t="shared" si="31"/>
        <v>759.103092783504</v>
      </c>
      <c r="CD8" s="194">
        <f t="shared" si="32"/>
        <v>5070.65683917525</v>
      </c>
      <c r="CE8" s="65">
        <f t="shared" si="33"/>
        <v>20.639175257732</v>
      </c>
      <c r="CF8" s="65"/>
      <c r="CG8" s="65">
        <f t="shared" si="34"/>
        <v>738.463917525772</v>
      </c>
      <c r="CH8" s="194">
        <f t="shared" si="35"/>
        <v>4932.79127628865</v>
      </c>
      <c r="CI8" s="65">
        <f t="shared" si="36"/>
        <v>17.4639175257731</v>
      </c>
      <c r="CJ8" s="65"/>
      <c r="CK8" s="65">
        <f t="shared" si="37"/>
        <v>720.999999999999</v>
      </c>
      <c r="CL8" s="195">
        <f t="shared" si="38"/>
        <v>4816.13579999999</v>
      </c>
      <c r="CM8" s="65">
        <f t="shared" si="39"/>
        <v>17.4639175257731</v>
      </c>
      <c r="CN8" s="65"/>
      <c r="CO8" s="65">
        <f t="shared" si="40"/>
        <v>703.53608247422</v>
      </c>
      <c r="CP8" s="195">
        <f t="shared" si="41"/>
        <v>494963.019343177</v>
      </c>
    </row>
    <row r="9" ht="14.0" customFormat="1" s="47">
      <c r="A9" s="93" t="s">
        <v>430</v>
      </c>
      <c r="B9" s="93" t="s">
        <v>431</v>
      </c>
      <c r="C9" s="93" t="s">
        <v>436</v>
      </c>
      <c r="D9" s="93" t="s">
        <v>437</v>
      </c>
      <c r="E9" s="93">
        <v>30.0</v>
      </c>
      <c r="F9" s="93">
        <v>36.0</v>
      </c>
      <c r="G9" s="93">
        <v>6.0</v>
      </c>
      <c r="H9" s="93">
        <v>9.0</v>
      </c>
      <c r="I9" s="93">
        <v>52.0</v>
      </c>
      <c r="J9" s="93">
        <v>39.0</v>
      </c>
      <c r="K9" s="93">
        <v>54.0</v>
      </c>
      <c r="L9" s="93">
        <v>42.0</v>
      </c>
      <c r="M9" s="93">
        <v>21.0</v>
      </c>
      <c r="N9" s="93">
        <v>21.0</v>
      </c>
      <c r="O9" s="93">
        <v>30.0</v>
      </c>
      <c r="P9" s="93">
        <v>57.0</v>
      </c>
      <c r="Q9" s="93">
        <v>21.0</v>
      </c>
      <c r="R9" s="93">
        <v>21.0</v>
      </c>
      <c r="S9" s="93">
        <v>39.0</v>
      </c>
      <c r="T9" s="93">
        <v>27.0</v>
      </c>
      <c r="U9" s="93">
        <v>39.0</v>
      </c>
      <c r="V9" s="93">
        <v>39.0</v>
      </c>
      <c r="W9" s="93">
        <v>18.0</v>
      </c>
      <c r="X9" s="93">
        <v>9.0</v>
      </c>
      <c r="Y9" s="93">
        <v>6.0</v>
      </c>
      <c r="Z9" s="93">
        <v>16.0</v>
      </c>
      <c r="AA9" s="93">
        <v>27.0</v>
      </c>
      <c r="AB9" s="93">
        <v>24.0</v>
      </c>
      <c r="AC9" s="93">
        <v>30.0</v>
      </c>
      <c r="AD9" s="93">
        <v>12.0</v>
      </c>
      <c r="AE9" s="93">
        <v>12.0</v>
      </c>
      <c r="AF9" s="93">
        <v>21.0</v>
      </c>
      <c r="AG9" s="93">
        <v>15.0</v>
      </c>
      <c r="AH9" s="93">
        <v>3.0</v>
      </c>
      <c r="AI9" s="93">
        <v>3.0</v>
      </c>
      <c r="AJ9" s="93">
        <v>30.0</v>
      </c>
      <c r="AK9" s="93">
        <v>6.0</v>
      </c>
      <c r="AL9" s="93">
        <v>14.0</v>
      </c>
      <c r="AM9" s="93">
        <v>24.0</v>
      </c>
      <c r="AN9" s="93">
        <v>15.0</v>
      </c>
      <c r="AO9" s="93">
        <v>30.0</v>
      </c>
      <c r="AP9" s="93">
        <v>24.0</v>
      </c>
      <c r="AQ9" s="93">
        <v>21.0</v>
      </c>
      <c r="AR9" s="93">
        <v>6.0</v>
      </c>
      <c r="AS9" s="93">
        <v>49.0</v>
      </c>
      <c r="AT9" s="111">
        <f t="shared" si="5"/>
        <v>225.0</v>
      </c>
      <c r="AU9" s="64">
        <f t="shared" si="6"/>
        <v>80.0</v>
      </c>
      <c r="AV9" s="69">
        <f t="shared" si="7"/>
        <v>88.0</v>
      </c>
      <c r="AW9" s="65">
        <f t="shared" si="8"/>
        <v>12.3711340206186</v>
      </c>
      <c r="AX9" s="65">
        <f t="shared" si="9"/>
        <v>14.8453608247422</v>
      </c>
      <c r="AY9" s="65">
        <f t="shared" si="10"/>
        <v>18.1443298969072</v>
      </c>
      <c r="AZ9" s="65">
        <f t="shared" si="11"/>
        <v>14.8453608247422</v>
      </c>
      <c r="BA9" s="65">
        <f t="shared" si="12"/>
        <v>10.721649484536</v>
      </c>
      <c r="BB9" s="65">
        <f t="shared" si="13"/>
        <v>9.0721649484536</v>
      </c>
      <c r="BC9" s="65">
        <f t="shared" si="14"/>
        <v>9.0721649484536</v>
      </c>
      <c r="BD9" s="193">
        <f t="shared" si="15"/>
        <v>89.0721649484534</v>
      </c>
      <c r="BE9" s="64">
        <f>VLOOKUP(D9,FEB23SOH,3,false)</f>
        <v>274.0</v>
      </c>
      <c r="BF9" s="194">
        <f>VLOOKUP(D9,VALUEFEB23,4,false)</f>
        <v>6.6677</v>
      </c>
      <c r="BG9" s="194">
        <f t="shared" si="18"/>
        <v>1826.9498</v>
      </c>
      <c r="BH9" s="185"/>
      <c r="BI9" s="185"/>
      <c r="BJ9" s="69">
        <f t="shared" si="19"/>
        <v>184.927835051547</v>
      </c>
      <c r="BK9" s="65"/>
      <c r="BM9" s="185"/>
      <c r="BN9" s="65">
        <f t="shared" si="20"/>
        <v>274.0</v>
      </c>
      <c r="BO9" s="65">
        <f t="shared" si="21"/>
        <v>12.3711340206186</v>
      </c>
      <c r="BP9" s="65"/>
      <c r="BQ9" s="65">
        <f t="shared" si="22"/>
        <v>261.628865979381</v>
      </c>
      <c r="BR9" s="194">
        <f t="shared" si="23"/>
        <v>1744.46278969071</v>
      </c>
      <c r="BS9" s="65">
        <f t="shared" si="24"/>
        <v>14.8453608247422</v>
      </c>
      <c r="BT9" s="65"/>
      <c r="BU9" s="65">
        <f t="shared" si="25"/>
        <v>246.783505154639</v>
      </c>
      <c r="BV9" s="194">
        <f t="shared" si="26"/>
        <v>1645.47837731959</v>
      </c>
      <c r="BW9" s="65">
        <f t="shared" si="27"/>
        <v>18.1443298969072</v>
      </c>
      <c r="BX9" s="65"/>
      <c r="BY9" s="65">
        <f t="shared" si="28"/>
        <v>228.639175257731</v>
      </c>
      <c r="BZ9" s="194">
        <f t="shared" si="29"/>
        <v>1524.49742886597</v>
      </c>
      <c r="CA9" s="65">
        <f t="shared" si="30"/>
        <v>14.8453608247422</v>
      </c>
      <c r="CB9" s="65"/>
      <c r="CC9" s="65">
        <f t="shared" si="31"/>
        <v>213.793814432989</v>
      </c>
      <c r="CD9" s="194">
        <f t="shared" si="32"/>
        <v>1425.51301649484</v>
      </c>
      <c r="CE9" s="65">
        <f t="shared" si="33"/>
        <v>10.721649484536</v>
      </c>
      <c r="CF9" s="65"/>
      <c r="CG9" s="65">
        <f t="shared" si="34"/>
        <v>203.072164948453</v>
      </c>
      <c r="CH9" s="194">
        <f t="shared" si="35"/>
        <v>1354.0242742268</v>
      </c>
      <c r="CI9" s="65">
        <f t="shared" si="36"/>
        <v>9.0721649484536</v>
      </c>
      <c r="CJ9" s="65"/>
      <c r="CK9" s="65">
        <f t="shared" si="37"/>
        <v>193.999999999999</v>
      </c>
      <c r="CL9" s="195">
        <f t="shared" si="38"/>
        <v>1293.53379999999</v>
      </c>
      <c r="CM9" s="65">
        <f t="shared" si="39"/>
        <v>9.0721649484536</v>
      </c>
      <c r="CN9" s="65"/>
      <c r="CO9" s="65">
        <f t="shared" si="40"/>
        <v>184.927835051545</v>
      </c>
      <c r="CP9" s="195">
        <f t="shared" si="41"/>
        <v>34198.3041768518</v>
      </c>
    </row>
    <row r="10" ht="14.0" customFormat="1" s="47">
      <c r="A10" s="93" t="s">
        <v>430</v>
      </c>
      <c r="B10" s="93" t="s">
        <v>438</v>
      </c>
      <c r="C10" s="110" t="s">
        <v>439</v>
      </c>
      <c r="D10" s="93" t="s">
        <v>440</v>
      </c>
      <c r="E10" s="93">
        <v>0.0</v>
      </c>
      <c r="F10" s="93">
        <v>0.0</v>
      </c>
      <c r="G10" s="93">
        <v>0.0</v>
      </c>
      <c r="H10" s="93">
        <v>0.0</v>
      </c>
      <c r="I10" s="93">
        <v>0.0</v>
      </c>
      <c r="J10" s="93">
        <v>0.0</v>
      </c>
      <c r="K10" s="93">
        <v>0.0</v>
      </c>
      <c r="L10" s="93">
        <v>0.0</v>
      </c>
      <c r="M10" s="93">
        <v>0.0</v>
      </c>
      <c r="N10" s="93">
        <v>17.0</v>
      </c>
      <c r="O10" s="93">
        <v>11.0</v>
      </c>
      <c r="P10" s="93">
        <v>12.0</v>
      </c>
      <c r="Q10" s="93">
        <v>16.0</v>
      </c>
      <c r="R10" s="93">
        <v>11.0</v>
      </c>
      <c r="S10" s="93">
        <v>3.0</v>
      </c>
      <c r="T10" s="93">
        <v>3.0</v>
      </c>
      <c r="U10" s="93">
        <v>4.0</v>
      </c>
      <c r="V10" s="93">
        <v>6.0</v>
      </c>
      <c r="W10" s="93">
        <v>4.0</v>
      </c>
      <c r="X10" s="93">
        <v>0.0</v>
      </c>
      <c r="Y10" s="93">
        <v>2.0</v>
      </c>
      <c r="Z10" s="93">
        <v>2.0</v>
      </c>
      <c r="AA10" s="93">
        <v>1.0</v>
      </c>
      <c r="AB10" s="93">
        <v>9.0</v>
      </c>
      <c r="AC10" s="93">
        <v>5.0</v>
      </c>
      <c r="AD10" s="93">
        <v>4.0</v>
      </c>
      <c r="AE10" s="93">
        <v>1.0</v>
      </c>
      <c r="AF10" s="93">
        <v>1.0</v>
      </c>
      <c r="AG10" s="93">
        <v>2.0</v>
      </c>
      <c r="AH10" s="93">
        <v>1.0</v>
      </c>
      <c r="AI10" s="93">
        <v>5.0</v>
      </c>
      <c r="AJ10" s="93">
        <v>7.0</v>
      </c>
      <c r="AK10" s="93">
        <v>8.0</v>
      </c>
      <c r="AL10" s="93">
        <v>5.0</v>
      </c>
      <c r="AM10" s="93">
        <v>1.0</v>
      </c>
      <c r="AN10" s="93">
        <v>4.0</v>
      </c>
      <c r="AO10" s="93">
        <v>10.0</v>
      </c>
      <c r="AP10" s="93">
        <v>8.0</v>
      </c>
      <c r="AQ10" s="93">
        <v>1.0</v>
      </c>
      <c r="AR10" s="93">
        <v>2.0</v>
      </c>
      <c r="AS10" s="93">
        <v>10.0</v>
      </c>
      <c r="AT10" s="111">
        <f t="shared" si="5"/>
        <v>62.0</v>
      </c>
      <c r="AU10" s="64">
        <f t="shared" si="6"/>
        <v>27.0</v>
      </c>
      <c r="AV10" s="69">
        <f t="shared" si="7"/>
        <v>29.7</v>
      </c>
      <c r="AW10" s="97">
        <f t="shared" si="8"/>
        <v>4.17525773195876</v>
      </c>
      <c r="AX10" s="97">
        <f t="shared" si="9"/>
        <v>5.01030927835051</v>
      </c>
      <c r="AY10" s="97">
        <f t="shared" si="10"/>
        <v>6.12371134020619</v>
      </c>
      <c r="AZ10" s="97">
        <f t="shared" si="11"/>
        <v>5.01030927835051</v>
      </c>
      <c r="BA10" s="97">
        <f t="shared" si="12"/>
        <v>3.61855670103092</v>
      </c>
      <c r="BB10" s="97">
        <f t="shared" si="13"/>
        <v>3.06185567010309</v>
      </c>
      <c r="BC10" s="65">
        <f t="shared" si="14"/>
        <v>3.06185567010309</v>
      </c>
      <c r="BD10" s="193">
        <f t="shared" si="15"/>
        <v>30.061855670103</v>
      </c>
      <c r="BE10" s="64">
        <f>VLOOKUP(D10,FEB23SOH,3,false)</f>
        <v>-3.0</v>
      </c>
      <c r="BF10" s="194">
        <f>VLOOKUP(D10,VALUEFEB23,4,false)</f>
        <v>25.09</v>
      </c>
      <c r="BG10" s="194">
        <f t="shared" si="18"/>
        <v>-75.27</v>
      </c>
      <c r="BH10" s="185"/>
      <c r="BI10" s="185"/>
      <c r="BK10" s="65"/>
      <c r="BM10" s="185"/>
      <c r="BN10" s="65"/>
      <c r="BO10" s="65"/>
      <c r="BP10" s="65"/>
      <c r="BQ10" s="65"/>
      <c r="BR10" s="194"/>
      <c r="BS10" s="65"/>
      <c r="BT10" s="65"/>
      <c r="BU10" s="65"/>
      <c r="BV10" s="194"/>
      <c r="BW10" s="65"/>
      <c r="BX10" s="65"/>
      <c r="BY10" s="65"/>
      <c r="BZ10" s="194"/>
      <c r="CA10" s="65"/>
      <c r="CB10" s="65"/>
      <c r="CC10" s="65"/>
      <c r="CD10" s="194"/>
      <c r="CE10" s="65"/>
      <c r="CF10" s="65"/>
      <c r="CG10" s="65"/>
      <c r="CH10" s="194"/>
      <c r="CI10" s="65"/>
      <c r="CJ10" s="65"/>
      <c r="CK10" s="65"/>
      <c r="CL10" s="195"/>
      <c r="CM10" s="65"/>
      <c r="CN10" s="65"/>
      <c r="CO10" s="65"/>
      <c r="CP10" s="195"/>
    </row>
    <row r="11" ht="14.0" customFormat="1" s="47">
      <c r="A11" s="93" t="s">
        <v>430</v>
      </c>
      <c r="B11" s="93" t="s">
        <v>438</v>
      </c>
      <c r="C11" s="110" t="s">
        <v>439</v>
      </c>
      <c r="D11" s="112" t="s">
        <v>546</v>
      </c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>
        <v>0.0</v>
      </c>
      <c r="AE11" s="93">
        <v>0.0</v>
      </c>
      <c r="AF11" s="93">
        <v>0.0</v>
      </c>
      <c r="AG11" s="93">
        <v>0.0</v>
      </c>
      <c r="AH11" s="93">
        <v>0.0</v>
      </c>
      <c r="AI11" s="93">
        <v>0.0</v>
      </c>
      <c r="AJ11" s="93">
        <v>0.0</v>
      </c>
      <c r="AK11" s="93">
        <v>0.0</v>
      </c>
      <c r="AL11" s="93">
        <v>0.0</v>
      </c>
      <c r="AM11" s="93">
        <v>0.0</v>
      </c>
      <c r="AN11" s="93">
        <v>1.0</v>
      </c>
      <c r="AO11" s="93">
        <v>1.0</v>
      </c>
      <c r="AP11" s="93">
        <v>0.0</v>
      </c>
      <c r="AQ11" s="93">
        <v>1.0</v>
      </c>
      <c r="AR11" s="93">
        <v>0.0</v>
      </c>
      <c r="AS11" s="93">
        <v>7.0</v>
      </c>
      <c r="AT11" s="111">
        <f t="shared" si="5"/>
        <v>10.0</v>
      </c>
      <c r="AU11" s="64">
        <f t="shared" si="6"/>
        <v>0.0</v>
      </c>
      <c r="AV11" s="69">
        <f t="shared" si="7"/>
        <v>0.0</v>
      </c>
      <c r="AW11" s="97">
        <f t="shared" si="8"/>
        <v>0.0</v>
      </c>
      <c r="AX11" s="97">
        <f t="shared" si="9"/>
        <v>0.0</v>
      </c>
      <c r="AY11" s="97">
        <f t="shared" si="10"/>
        <v>0.0</v>
      </c>
      <c r="AZ11" s="97">
        <f t="shared" si="11"/>
        <v>0.0</v>
      </c>
      <c r="BA11" s="97">
        <f t="shared" si="12"/>
        <v>0.0</v>
      </c>
      <c r="BB11" s="97">
        <f t="shared" si="13"/>
        <v>0.0</v>
      </c>
      <c r="BC11" s="65">
        <f t="shared" si="14"/>
        <v>0.0</v>
      </c>
      <c r="BD11" s="193">
        <f t="shared" si="15"/>
        <v>0.0</v>
      </c>
      <c r="BE11" s="64">
        <f>VLOOKUP(D11,FEB23SOH,3,false)</f>
        <v>-1.0</v>
      </c>
      <c r="BF11" s="194">
        <f>VLOOKUP(D11,VALUEFEB23,4,false)</f>
        <v>23.32</v>
      </c>
      <c r="BG11" s="194">
        <f t="shared" si="18"/>
        <v>-23.32</v>
      </c>
      <c r="BH11" s="185"/>
      <c r="BI11" s="185"/>
      <c r="BJ11" s="185"/>
      <c r="BK11" s="65"/>
      <c r="BL11" s="64">
        <f>BJ11*-1</f>
        <v>0.0</v>
      </c>
      <c r="BM11" s="185"/>
      <c r="BN11" s="65"/>
      <c r="BO11" s="65"/>
      <c r="BP11" s="65"/>
      <c r="BQ11" s="65"/>
      <c r="BR11" s="194"/>
      <c r="BS11" s="65"/>
      <c r="BT11" s="65"/>
      <c r="BU11" s="65"/>
      <c r="BV11" s="194"/>
      <c r="BW11" s="65"/>
      <c r="BX11" s="65"/>
      <c r="BY11" s="65"/>
      <c r="BZ11" s="194"/>
      <c r="CA11" s="65"/>
      <c r="CB11" s="65"/>
      <c r="CC11" s="65"/>
      <c r="CD11" s="194"/>
      <c r="CE11" s="65"/>
      <c r="CF11" s="65"/>
      <c r="CG11" s="65"/>
      <c r="CH11" s="194"/>
      <c r="CI11" s="65"/>
      <c r="CJ11" s="65"/>
      <c r="CK11" s="65"/>
      <c r="CL11" s="195"/>
      <c r="CM11" s="65"/>
      <c r="CN11" s="65"/>
      <c r="CO11" s="65"/>
      <c r="CP11" s="195"/>
    </row>
    <row r="12" ht="14.0" customFormat="1" s="47">
      <c r="A12" s="93" t="s">
        <v>430</v>
      </c>
      <c r="B12" s="93" t="s">
        <v>438</v>
      </c>
      <c r="C12" s="93" t="s">
        <v>441</v>
      </c>
      <c r="D12" s="112" t="s">
        <v>442</v>
      </c>
      <c r="E12" s="93">
        <v>162.0</v>
      </c>
      <c r="F12" s="93">
        <v>191.0</v>
      </c>
      <c r="G12" s="93">
        <v>60.0</v>
      </c>
      <c r="H12" s="93">
        <v>53.0</v>
      </c>
      <c r="I12" s="93">
        <v>102.0</v>
      </c>
      <c r="J12" s="93">
        <v>114.0</v>
      </c>
      <c r="K12" s="93">
        <v>109.0</v>
      </c>
      <c r="L12" s="93">
        <v>138.0</v>
      </c>
      <c r="M12" s="93">
        <v>96.0</v>
      </c>
      <c r="N12" s="93">
        <v>168.0</v>
      </c>
      <c r="O12" s="93">
        <v>150.0</v>
      </c>
      <c r="P12" s="93">
        <v>105.0</v>
      </c>
      <c r="Q12" s="93">
        <v>165.0</v>
      </c>
      <c r="R12" s="93">
        <v>120.0</v>
      </c>
      <c r="S12" s="93">
        <v>100.0</v>
      </c>
      <c r="T12" s="93">
        <v>89.0</v>
      </c>
      <c r="U12" s="93">
        <v>143.0</v>
      </c>
      <c r="V12" s="93">
        <v>123.0</v>
      </c>
      <c r="W12" s="93">
        <v>98.0</v>
      </c>
      <c r="X12" s="93">
        <v>102.0</v>
      </c>
      <c r="Y12" s="93">
        <v>78.0</v>
      </c>
      <c r="Z12" s="93">
        <v>64.0</v>
      </c>
      <c r="AA12" s="93">
        <v>118.0</v>
      </c>
      <c r="AB12" s="93">
        <v>114.0</v>
      </c>
      <c r="AC12" s="93">
        <v>96.0</v>
      </c>
      <c r="AD12" s="93">
        <v>114.0</v>
      </c>
      <c r="AE12" s="93">
        <v>57.0</v>
      </c>
      <c r="AF12" s="93">
        <v>56.0</v>
      </c>
      <c r="AG12" s="93">
        <v>100.0</v>
      </c>
      <c r="AH12" s="93">
        <v>86.0</v>
      </c>
      <c r="AI12" s="93">
        <v>78.0</v>
      </c>
      <c r="AJ12" s="93">
        <v>57.0</v>
      </c>
      <c r="AK12" s="93">
        <v>51.0</v>
      </c>
      <c r="AL12" s="93">
        <v>39.0</v>
      </c>
      <c r="AM12" s="93">
        <v>103.0</v>
      </c>
      <c r="AN12" s="93">
        <v>85.0</v>
      </c>
      <c r="AO12" s="93">
        <v>90.0</v>
      </c>
      <c r="AP12" s="93">
        <v>158.0</v>
      </c>
      <c r="AQ12" s="93">
        <v>61.0</v>
      </c>
      <c r="AR12" s="93">
        <v>30.0</v>
      </c>
      <c r="AS12" s="93">
        <v>84.0</v>
      </c>
      <c r="AT12" s="111">
        <f t="shared" si="5"/>
        <v>922.0</v>
      </c>
      <c r="AU12" s="64">
        <f t="shared" si="6"/>
        <v>414.0</v>
      </c>
      <c r="AV12" s="69">
        <f t="shared" si="7"/>
        <v>455.4</v>
      </c>
      <c r="AW12" s="65">
        <f t="shared" ref="AW12:AW16" si="43">AV12*$AW$4/$AV$4+1*$AW$10</f>
        <v>68.1958762886598</v>
      </c>
      <c r="AX12" s="65">
        <f t="shared" ref="AX12:AX16" si="44">AV12*$AX$4/$AV$4+1*$AX$10</f>
        <v>81.8350515463917</v>
      </c>
      <c r="AY12" s="65">
        <f t="shared" ref="AY12:AY16" si="45">AV12*$AY$4/$AV$4+1*$AY$10</f>
        <v>100.020618556701</v>
      </c>
      <c r="AZ12" s="65">
        <f t="shared" ref="AZ12:AZ16" si="46">AV12*$AZ$4/$AV$4+1*$AZ$10</f>
        <v>81.8350515463917</v>
      </c>
      <c r="BA12" s="65">
        <f t="shared" ref="BA12:BA16" si="47">AV12*$BA$4/$AV$4+1*$BA$10</f>
        <v>59.1030927835051</v>
      </c>
      <c r="BB12" s="65">
        <f t="shared" ref="BB12:BB16" si="48">AV12*$BB$4/$AV$4+1*$BB$10</f>
        <v>50.0103092783504</v>
      </c>
      <c r="BC12" s="65">
        <f t="shared" ref="BC12:BC16" si="49">AV12*$BB$4/$AV$4+1*$BB$10</f>
        <v>50.0103092783504</v>
      </c>
      <c r="BD12" s="193">
        <f t="shared" si="15"/>
        <v>491.01030927835</v>
      </c>
      <c r="BE12" s="64">
        <f>VLOOKUP(D12,FEB23SOH,3,false)</f>
        <v>436.0</v>
      </c>
      <c r="BF12" s="194">
        <f>VLOOKUP(D12,VALUEFEB23,4,false)</f>
        <v>4.7002</v>
      </c>
      <c r="BG12" s="194">
        <f t="shared" si="18"/>
        <v>2049.2872</v>
      </c>
      <c r="BH12" s="185"/>
      <c r="BI12" s="185"/>
      <c r="BJ12" s="69">
        <f t="shared" ref="BJ12:BJ30" si="50">BE12+BH12+BI12-BD12</f>
        <v>-55.01030927835</v>
      </c>
      <c r="BK12" s="65"/>
      <c r="BL12" s="64"/>
      <c r="BM12" s="185" t="s">
        <v>6</v>
      </c>
      <c r="BN12" s="65">
        <f t="shared" ref="BN12:BN30" si="51">BE12</f>
        <v>436.0</v>
      </c>
      <c r="BO12" s="65">
        <f t="shared" ref="BO12:BO30" si="52">AW12</f>
        <v>68.1958762886598</v>
      </c>
      <c r="BP12" s="65"/>
      <c r="BQ12" s="65">
        <f t="shared" ref="BQ12:BQ30" si="53">BN12+BP12-BO12</f>
        <v>367.80412371134</v>
      </c>
      <c r="BR12" s="194">
        <f t="shared" ref="BR12:BR30" si="54">BQ12*BF12</f>
        <v>1728.75294226804</v>
      </c>
      <c r="BS12" s="65">
        <f t="shared" ref="BS12:BS30" si="55">AX12</f>
        <v>81.8350515463917</v>
      </c>
      <c r="BT12" s="65"/>
      <c r="BU12" s="65">
        <f t="shared" ref="BU12:BU30" si="56">BQ12+BT12-BS12</f>
        <v>285.969072164948</v>
      </c>
      <c r="BV12" s="194">
        <f t="shared" ref="BV12:BV30" si="57">BU12*BF12</f>
        <v>1344.11183298969</v>
      </c>
      <c r="BW12" s="65">
        <f t="shared" ref="BW12:BW30" si="58">AY12</f>
        <v>100.020618556701</v>
      </c>
      <c r="BX12" s="65"/>
      <c r="BY12" s="65">
        <f t="shared" ref="BY12:BY30" si="59">BU12+BX12-BW12</f>
        <v>185.948453608247</v>
      </c>
      <c r="BZ12" s="194">
        <f t="shared" ref="BZ12:BZ30" si="60">BY12*BF12</f>
        <v>873.994921649482</v>
      </c>
      <c r="CA12" s="65">
        <f t="shared" ref="CA12:CA30" si="61">AZ12</f>
        <v>81.8350515463917</v>
      </c>
      <c r="CB12" s="65"/>
      <c r="CC12" s="65">
        <f t="shared" ref="CC12:CC30" si="62">BY12+CB12-CA12</f>
        <v>104.113402061855</v>
      </c>
      <c r="CD12" s="194">
        <f t="shared" ref="CD12:CD30" si="63">CC12*BF12</f>
        <v>489.35381237113</v>
      </c>
      <c r="CE12" s="65">
        <f t="shared" ref="CE12:CE30" si="64">BA12</f>
        <v>59.1030927835051</v>
      </c>
      <c r="CF12" s="65"/>
      <c r="CG12" s="65">
        <f t="shared" ref="CG12:CG30" si="65">CC12+CF12-CE12</f>
        <v>45.0103092783499</v>
      </c>
      <c r="CH12" s="194">
        <f t="shared" ref="CH12:CH30" si="66">CG12*BF12</f>
        <v>211.5574556701</v>
      </c>
      <c r="CI12" s="65">
        <f t="shared" ref="CI12:CI30" si="67">BB12</f>
        <v>50.0103092783504</v>
      </c>
      <c r="CJ12" s="65"/>
      <c r="CK12" s="65">
        <f t="shared" ref="CK12:CK30" si="68">CG12+CJ12-CI12</f>
        <v>-5.0000000000004</v>
      </c>
      <c r="CL12" s="195">
        <f t="shared" ref="CL12:CL30" si="69">CK12*BF12</f>
        <v>-23.5010000000017</v>
      </c>
      <c r="CM12" s="65">
        <f t="shared" ref="CM12:CM41" si="70">BC12</f>
        <v>50.0103092783504</v>
      </c>
      <c r="CN12" s="65"/>
      <c r="CO12" s="65">
        <f t="shared" ref="CO12:CO30" si="71">CK12+CN12-CM12</f>
        <v>-55.0103092783506</v>
      </c>
      <c r="CP12" s="195">
        <f t="shared" ref="CP12:CP30" si="72">CO12*BJ12</f>
        <v>3026.13412689975</v>
      </c>
    </row>
    <row r="13" ht="14.0" customFormat="1" s="47">
      <c r="A13" s="93" t="s">
        <v>430</v>
      </c>
      <c r="B13" s="93" t="s">
        <v>438</v>
      </c>
      <c r="C13" s="93" t="s">
        <v>443</v>
      </c>
      <c r="D13" s="112" t="s">
        <v>444</v>
      </c>
      <c r="E13" s="93">
        <v>123.0</v>
      </c>
      <c r="F13" s="93">
        <v>141.0</v>
      </c>
      <c r="G13" s="93">
        <v>41.0</v>
      </c>
      <c r="H13" s="93">
        <v>31.0</v>
      </c>
      <c r="I13" s="93">
        <v>108.0</v>
      </c>
      <c r="J13" s="93">
        <v>105.0</v>
      </c>
      <c r="K13" s="93">
        <v>84.0</v>
      </c>
      <c r="L13" s="93">
        <v>103.0</v>
      </c>
      <c r="M13" s="93">
        <v>90.0</v>
      </c>
      <c r="N13" s="93">
        <v>106.0</v>
      </c>
      <c r="O13" s="93">
        <v>95.0</v>
      </c>
      <c r="P13" s="93">
        <v>143.0</v>
      </c>
      <c r="Q13" s="93">
        <v>155.0</v>
      </c>
      <c r="R13" s="93">
        <v>102.0</v>
      </c>
      <c r="S13" s="93">
        <v>58.0</v>
      </c>
      <c r="T13" s="93">
        <v>89.0</v>
      </c>
      <c r="U13" s="93">
        <v>93.0</v>
      </c>
      <c r="V13" s="93">
        <v>99.0</v>
      </c>
      <c r="W13" s="93">
        <v>83.0</v>
      </c>
      <c r="X13" s="93">
        <v>77.0</v>
      </c>
      <c r="Y13" s="93">
        <v>60.0</v>
      </c>
      <c r="Z13" s="93">
        <v>25.0</v>
      </c>
      <c r="AA13" s="93">
        <v>60.0</v>
      </c>
      <c r="AB13" s="93">
        <v>87.0</v>
      </c>
      <c r="AC13" s="93">
        <v>65.0</v>
      </c>
      <c r="AD13" s="93">
        <v>104.0</v>
      </c>
      <c r="AE13" s="93">
        <v>33.0</v>
      </c>
      <c r="AF13" s="93">
        <v>45.0</v>
      </c>
      <c r="AG13" s="93">
        <v>58.0</v>
      </c>
      <c r="AH13" s="93">
        <v>56.0</v>
      </c>
      <c r="AI13" s="93">
        <v>47.0</v>
      </c>
      <c r="AJ13" s="93">
        <v>52.0</v>
      </c>
      <c r="AK13" s="93">
        <v>24.0</v>
      </c>
      <c r="AL13" s="93">
        <v>58.0</v>
      </c>
      <c r="AM13" s="93">
        <v>73.0</v>
      </c>
      <c r="AN13" s="93">
        <v>53.0</v>
      </c>
      <c r="AO13" s="93">
        <v>58.0</v>
      </c>
      <c r="AP13" s="93">
        <v>73.0</v>
      </c>
      <c r="AQ13" s="93">
        <v>52.0</v>
      </c>
      <c r="AR13" s="93">
        <v>18.0</v>
      </c>
      <c r="AS13" s="93">
        <v>51.0</v>
      </c>
      <c r="AT13" s="111">
        <f t="shared" si="5"/>
        <v>615.0</v>
      </c>
      <c r="AU13" s="64">
        <f t="shared" si="6"/>
        <v>310.0</v>
      </c>
      <c r="AV13" s="69">
        <f t="shared" si="7"/>
        <v>341.0</v>
      </c>
      <c r="AW13" s="65">
        <f t="shared" si="43"/>
        <v>52.1134020618557</v>
      </c>
      <c r="AX13" s="65">
        <f t="shared" si="44"/>
        <v>62.5360824742267</v>
      </c>
      <c r="AY13" s="65">
        <f t="shared" si="45"/>
        <v>76.4329896907216</v>
      </c>
      <c r="AZ13" s="65">
        <f t="shared" si="46"/>
        <v>62.5360824742267</v>
      </c>
      <c r="BA13" s="65">
        <f t="shared" si="47"/>
        <v>45.1649484536082</v>
      </c>
      <c r="BB13" s="65">
        <f t="shared" si="48"/>
        <v>38.2164948453608</v>
      </c>
      <c r="BC13" s="65">
        <f t="shared" si="49"/>
        <v>38.2164948453608</v>
      </c>
      <c r="BD13" s="193">
        <f t="shared" si="15"/>
        <v>375.21649484536</v>
      </c>
      <c r="BE13" s="64">
        <f>VLOOKUP(D13,FEB23SOH,3,false)</f>
        <v>347.0</v>
      </c>
      <c r="BF13" s="194">
        <f>VLOOKUP(D13,VALUEFEB23,4,false)</f>
        <v>4.7277</v>
      </c>
      <c r="BG13" s="194">
        <f t="shared" si="18"/>
        <v>1640.5119</v>
      </c>
      <c r="BH13" s="185"/>
      <c r="BI13" s="185"/>
      <c r="BJ13" s="69">
        <f t="shared" si="50"/>
        <v>-28.2164948453598</v>
      </c>
      <c r="BK13" s="65"/>
      <c r="BM13" s="185" t="s">
        <v>543</v>
      </c>
      <c r="BN13" s="65">
        <f t="shared" si="51"/>
        <v>347.0</v>
      </c>
      <c r="BO13" s="65">
        <f t="shared" si="52"/>
        <v>52.1134020618557</v>
      </c>
      <c r="BP13" s="65"/>
      <c r="BQ13" s="65">
        <f t="shared" si="53"/>
        <v>294.886597938144</v>
      </c>
      <c r="BR13" s="194">
        <f t="shared" si="54"/>
        <v>1394.13536907216</v>
      </c>
      <c r="BS13" s="65">
        <f t="shared" si="55"/>
        <v>62.5360824742267</v>
      </c>
      <c r="BT13" s="65"/>
      <c r="BU13" s="65">
        <f t="shared" si="56"/>
        <v>232.350515463917</v>
      </c>
      <c r="BV13" s="194">
        <f t="shared" si="57"/>
        <v>1098.48353195876</v>
      </c>
      <c r="BW13" s="65">
        <f t="shared" si="58"/>
        <v>76.4329896907216</v>
      </c>
      <c r="BX13" s="65"/>
      <c r="BY13" s="65">
        <f t="shared" si="59"/>
        <v>155.917525773195</v>
      </c>
      <c r="BZ13" s="194">
        <f t="shared" si="60"/>
        <v>737.131286597933</v>
      </c>
      <c r="CA13" s="65">
        <f t="shared" si="61"/>
        <v>62.5360824742267</v>
      </c>
      <c r="CB13" s="65"/>
      <c r="CC13" s="65">
        <f t="shared" si="62"/>
        <v>93.3814432989682</v>
      </c>
      <c r="CD13" s="194">
        <f t="shared" si="63"/>
        <v>441.479449484531</v>
      </c>
      <c r="CE13" s="65">
        <f t="shared" si="64"/>
        <v>45.1649484536082</v>
      </c>
      <c r="CF13" s="65"/>
      <c r="CG13" s="65">
        <f t="shared" si="65"/>
        <v>48.21649484536</v>
      </c>
      <c r="CH13" s="194">
        <f t="shared" si="66"/>
        <v>227.953122680408</v>
      </c>
      <c r="CI13" s="65">
        <f t="shared" si="67"/>
        <v>38.2164948453608</v>
      </c>
      <c r="CJ13" s="65"/>
      <c r="CK13" s="65">
        <f t="shared" si="68"/>
        <v>9.9999999999992</v>
      </c>
      <c r="CL13" s="195">
        <f t="shared" si="69"/>
        <v>47.2769999999962</v>
      </c>
      <c r="CM13" s="65">
        <f t="shared" si="70"/>
        <v>38.2164948453608</v>
      </c>
      <c r="CN13" s="65"/>
      <c r="CO13" s="65">
        <f t="shared" si="71"/>
        <v>-28.2164948453616</v>
      </c>
      <c r="CP13" s="195">
        <f t="shared" si="72"/>
        <v>796.170581358267</v>
      </c>
    </row>
    <row r="14" ht="14.0" customFormat="1" s="47">
      <c r="A14" s="93" t="s">
        <v>430</v>
      </c>
      <c r="B14" s="93" t="s">
        <v>438</v>
      </c>
      <c r="C14" s="93" t="s">
        <v>445</v>
      </c>
      <c r="D14" s="112" t="s">
        <v>446</v>
      </c>
      <c r="E14" s="93">
        <v>0.0</v>
      </c>
      <c r="F14" s="93">
        <v>0.0</v>
      </c>
      <c r="G14" s="93">
        <v>0.0</v>
      </c>
      <c r="H14" s="93">
        <v>0.0</v>
      </c>
      <c r="I14" s="93">
        <v>0.0</v>
      </c>
      <c r="J14" s="93">
        <v>0.0</v>
      </c>
      <c r="K14" s="93">
        <v>0.0</v>
      </c>
      <c r="L14" s="93">
        <v>0.0</v>
      </c>
      <c r="M14" s="93">
        <v>9.0</v>
      </c>
      <c r="N14" s="93">
        <v>42.0</v>
      </c>
      <c r="O14" s="93">
        <v>46.0</v>
      </c>
      <c r="P14" s="93">
        <v>27.0</v>
      </c>
      <c r="Q14" s="93">
        <v>36.0</v>
      </c>
      <c r="R14" s="93">
        <v>27.0</v>
      </c>
      <c r="S14" s="93">
        <v>15.0</v>
      </c>
      <c r="T14" s="93">
        <v>36.0</v>
      </c>
      <c r="U14" s="93">
        <v>27.0</v>
      </c>
      <c r="V14" s="93">
        <v>33.0</v>
      </c>
      <c r="W14" s="93">
        <v>12.0</v>
      </c>
      <c r="X14" s="93">
        <v>21.0</v>
      </c>
      <c r="Y14" s="93">
        <v>23.0</v>
      </c>
      <c r="Z14" s="93">
        <v>1.0</v>
      </c>
      <c r="AA14" s="93">
        <v>25.0</v>
      </c>
      <c r="AB14" s="93">
        <v>15.0</v>
      </c>
      <c r="AC14" s="93">
        <v>21.0</v>
      </c>
      <c r="AD14" s="93">
        <v>18.0</v>
      </c>
      <c r="AE14" s="93">
        <v>9.0</v>
      </c>
      <c r="AF14" s="93">
        <v>12.0</v>
      </c>
      <c r="AG14" s="93">
        <v>15.0</v>
      </c>
      <c r="AH14" s="93">
        <v>3.0</v>
      </c>
      <c r="AI14" s="93">
        <v>6.0</v>
      </c>
      <c r="AJ14" s="93">
        <v>12.0</v>
      </c>
      <c r="AK14" s="93">
        <v>6.0</v>
      </c>
      <c r="AL14" s="93">
        <v>6.0</v>
      </c>
      <c r="AM14" s="93">
        <v>39.0</v>
      </c>
      <c r="AN14" s="93">
        <v>33.0</v>
      </c>
      <c r="AO14" s="93">
        <v>18.0</v>
      </c>
      <c r="AP14" s="93">
        <v>21.0</v>
      </c>
      <c r="AQ14" s="93">
        <v>9.0</v>
      </c>
      <c r="AR14" s="93">
        <v>6.0</v>
      </c>
      <c r="AS14" s="93">
        <v>4.0</v>
      </c>
      <c r="AT14" s="111">
        <f t="shared" si="5"/>
        <v>163.0</v>
      </c>
      <c r="AU14" s="64">
        <f t="shared" si="6"/>
        <v>72.0</v>
      </c>
      <c r="AV14" s="69">
        <f t="shared" si="7"/>
        <v>79.2</v>
      </c>
      <c r="AW14" s="65">
        <f t="shared" si="43"/>
        <v>15.3092783505154</v>
      </c>
      <c r="AX14" s="65">
        <f t="shared" si="44"/>
        <v>18.3711340206185</v>
      </c>
      <c r="AY14" s="65">
        <f t="shared" si="45"/>
        <v>22.4536082474226</v>
      </c>
      <c r="AZ14" s="65">
        <f t="shared" si="46"/>
        <v>18.3711340206185</v>
      </c>
      <c r="BA14" s="65">
        <f t="shared" si="47"/>
        <v>13.2680412371133</v>
      </c>
      <c r="BB14" s="65">
        <f t="shared" si="48"/>
        <v>11.2268041237113</v>
      </c>
      <c r="BC14" s="65">
        <f t="shared" si="49"/>
        <v>11.2268041237113</v>
      </c>
      <c r="BD14" s="193">
        <f t="shared" si="15"/>
        <v>110.22680412371</v>
      </c>
      <c r="BE14" s="64">
        <f>VLOOKUP(D14,FEB23SOH,3,false)</f>
        <v>81.0</v>
      </c>
      <c r="BF14" s="194">
        <f>VLOOKUP(D14,VALUEFEB23,4,false)</f>
        <v>4.8067</v>
      </c>
      <c r="BG14" s="194">
        <f t="shared" si="18"/>
        <v>389.3427</v>
      </c>
      <c r="BH14" s="185"/>
      <c r="BI14" s="185"/>
      <c r="BJ14" s="69">
        <f t="shared" si="50"/>
        <v>-29.2268041237098</v>
      </c>
      <c r="BK14" s="65"/>
      <c r="BL14" s="64"/>
      <c r="BM14" s="185" t="s">
        <v>5</v>
      </c>
      <c r="BN14" s="65">
        <f t="shared" si="51"/>
        <v>81.0</v>
      </c>
      <c r="BO14" s="65">
        <f t="shared" si="52"/>
        <v>15.3092783505154</v>
      </c>
      <c r="BP14" s="65"/>
      <c r="BQ14" s="65">
        <f t="shared" si="53"/>
        <v>65.6907216494846</v>
      </c>
      <c r="BR14" s="194">
        <f t="shared" si="54"/>
        <v>315.755591752578</v>
      </c>
      <c r="BS14" s="65">
        <f t="shared" si="55"/>
        <v>18.3711340206185</v>
      </c>
      <c r="BT14" s="65"/>
      <c r="BU14" s="65">
        <f t="shared" si="56"/>
        <v>47.3195876288661</v>
      </c>
      <c r="BV14" s="194">
        <f t="shared" si="57"/>
        <v>227.45106185567</v>
      </c>
      <c r="BW14" s="65">
        <f t="shared" si="58"/>
        <v>22.4536082474226</v>
      </c>
      <c r="BX14" s="65"/>
      <c r="BY14" s="65">
        <f t="shared" si="59"/>
        <v>24.8659793814435</v>
      </c>
      <c r="BZ14" s="194">
        <f t="shared" si="60"/>
        <v>119.523303092784</v>
      </c>
      <c r="CA14" s="65">
        <f t="shared" si="61"/>
        <v>18.3711340206185</v>
      </c>
      <c r="CB14" s="65"/>
      <c r="CC14" s="65">
        <f t="shared" si="62"/>
        <v>6.494845360825</v>
      </c>
      <c r="CD14" s="194">
        <f t="shared" si="63"/>
        <v>31.2187731958775</v>
      </c>
      <c r="CE14" s="65">
        <f t="shared" si="64"/>
        <v>13.2680412371133</v>
      </c>
      <c r="CF14" s="65"/>
      <c r="CG14" s="65">
        <f t="shared" si="65"/>
        <v>-6.7731958762883</v>
      </c>
      <c r="CH14" s="194">
        <f t="shared" si="66"/>
        <v>-32.5567206185548</v>
      </c>
      <c r="CI14" s="65">
        <f t="shared" si="67"/>
        <v>11.2268041237113</v>
      </c>
      <c r="CJ14" s="65"/>
      <c r="CK14" s="65">
        <f t="shared" si="68"/>
        <v>-17.9999999999996</v>
      </c>
      <c r="CL14" s="195">
        <f t="shared" si="69"/>
        <v>-86.520599999998</v>
      </c>
      <c r="CM14" s="65">
        <f t="shared" si="70"/>
        <v>11.2268041237113</v>
      </c>
      <c r="CN14" s="65"/>
      <c r="CO14" s="65">
        <f t="shared" si="71"/>
        <v>-29.2268041237109</v>
      </c>
      <c r="CP14" s="195">
        <f t="shared" si="72"/>
        <v>854.206079285732</v>
      </c>
    </row>
    <row r="15" ht="14.0" customFormat="1" s="47">
      <c r="A15" s="93" t="s">
        <v>430</v>
      </c>
      <c r="B15" s="93" t="s">
        <v>438</v>
      </c>
      <c r="C15" s="93" t="s">
        <v>448</v>
      </c>
      <c r="D15" s="112" t="s">
        <v>449</v>
      </c>
      <c r="E15" s="93">
        <v>96.0</v>
      </c>
      <c r="F15" s="93">
        <v>93.0</v>
      </c>
      <c r="G15" s="93">
        <v>27.0</v>
      </c>
      <c r="H15" s="93">
        <v>12.0</v>
      </c>
      <c r="I15" s="93">
        <v>42.0</v>
      </c>
      <c r="J15" s="93">
        <v>37.0</v>
      </c>
      <c r="K15" s="93">
        <v>57.0</v>
      </c>
      <c r="L15" s="93">
        <v>52.0</v>
      </c>
      <c r="M15" s="93">
        <v>36.0</v>
      </c>
      <c r="N15" s="93">
        <v>45.0</v>
      </c>
      <c r="O15" s="93">
        <v>27.0</v>
      </c>
      <c r="P15" s="93">
        <v>30.0</v>
      </c>
      <c r="Q15" s="93">
        <v>48.0</v>
      </c>
      <c r="R15" s="93">
        <v>21.0</v>
      </c>
      <c r="S15" s="93">
        <v>20.0</v>
      </c>
      <c r="T15" s="93">
        <v>18.0</v>
      </c>
      <c r="U15" s="93">
        <v>21.0</v>
      </c>
      <c r="V15" s="93">
        <v>24.0</v>
      </c>
      <c r="W15" s="93">
        <v>18.0</v>
      </c>
      <c r="X15" s="93">
        <v>26.0</v>
      </c>
      <c r="Y15" s="93">
        <v>25.0</v>
      </c>
      <c r="Z15" s="93">
        <v>22.0</v>
      </c>
      <c r="AA15" s="93">
        <v>28.0</v>
      </c>
      <c r="AB15" s="93">
        <v>24.0</v>
      </c>
      <c r="AC15" s="93">
        <v>33.0</v>
      </c>
      <c r="AD15" s="93">
        <v>21.0</v>
      </c>
      <c r="AE15" s="93">
        <v>12.0</v>
      </c>
      <c r="AF15" s="93">
        <v>6.0</v>
      </c>
      <c r="AG15" s="93">
        <v>30.0</v>
      </c>
      <c r="AH15" s="93">
        <v>12.0</v>
      </c>
      <c r="AI15" s="93">
        <v>18.0</v>
      </c>
      <c r="AJ15" s="93">
        <v>22.0</v>
      </c>
      <c r="AK15" s="93">
        <v>19.0</v>
      </c>
      <c r="AL15" s="93">
        <v>9.0</v>
      </c>
      <c r="AM15" s="93">
        <v>21.0</v>
      </c>
      <c r="AN15" s="93">
        <v>18.0</v>
      </c>
      <c r="AO15" s="93">
        <v>12.0</v>
      </c>
      <c r="AP15" s="93">
        <v>27.0</v>
      </c>
      <c r="AQ15" s="93">
        <v>9.0</v>
      </c>
      <c r="AR15" s="93">
        <v>6.0</v>
      </c>
      <c r="AS15" s="93">
        <v>11.0</v>
      </c>
      <c r="AT15" s="111">
        <f t="shared" si="5"/>
        <v>184.0</v>
      </c>
      <c r="AU15" s="64">
        <f t="shared" si="6"/>
        <v>101.0</v>
      </c>
      <c r="AV15" s="69">
        <f t="shared" si="7"/>
        <v>111.1</v>
      </c>
      <c r="AW15" s="65">
        <f t="shared" si="43"/>
        <v>19.7938144329897</v>
      </c>
      <c r="AX15" s="65">
        <f t="shared" si="44"/>
        <v>23.7525773195876</v>
      </c>
      <c r="AY15" s="65">
        <f t="shared" si="45"/>
        <v>29.0309278350514</v>
      </c>
      <c r="AZ15" s="65">
        <f t="shared" si="46"/>
        <v>23.7525773195876</v>
      </c>
      <c r="BA15" s="65">
        <f t="shared" si="47"/>
        <v>17.1546391752577</v>
      </c>
      <c r="BB15" s="65">
        <f t="shared" si="48"/>
        <v>14.5154639175258</v>
      </c>
      <c r="BC15" s="65">
        <f t="shared" si="49"/>
        <v>14.5154639175258</v>
      </c>
      <c r="BD15" s="193">
        <f t="shared" si="15"/>
        <v>142.515463917526</v>
      </c>
      <c r="BE15" s="64">
        <f>VLOOKUP(D15,FEB23SOH,3,false)</f>
        <v>155.0</v>
      </c>
      <c r="BF15" s="194">
        <f>VLOOKUP(D15,VALUEFEB23,4,false)</f>
        <v>4.9423</v>
      </c>
      <c r="BG15" s="194">
        <f t="shared" si="18"/>
        <v>766.0565</v>
      </c>
      <c r="BH15" s="185"/>
      <c r="BI15" s="185"/>
      <c r="BJ15" s="69">
        <f t="shared" si="50"/>
        <v>12.484536082474</v>
      </c>
      <c r="BK15" s="65"/>
      <c r="BM15" s="185"/>
      <c r="BN15" s="65">
        <f t="shared" si="51"/>
        <v>155.0</v>
      </c>
      <c r="BO15" s="65">
        <f t="shared" si="52"/>
        <v>19.7938144329897</v>
      </c>
      <c r="BP15" s="65"/>
      <c r="BQ15" s="65">
        <f t="shared" si="53"/>
        <v>135.20618556701</v>
      </c>
      <c r="BR15" s="194">
        <f t="shared" si="54"/>
        <v>668.229530927833</v>
      </c>
      <c r="BS15" s="65">
        <f t="shared" si="55"/>
        <v>23.7525773195876</v>
      </c>
      <c r="BT15" s="65"/>
      <c r="BU15" s="65">
        <f t="shared" si="56"/>
        <v>111.453608247422</v>
      </c>
      <c r="BV15" s="194">
        <f t="shared" si="57"/>
        <v>550.837168041233</v>
      </c>
      <c r="BW15" s="65">
        <f t="shared" si="58"/>
        <v>29.0309278350514</v>
      </c>
      <c r="BX15" s="65"/>
      <c r="BY15" s="65">
        <f t="shared" si="59"/>
        <v>82.4226804123706</v>
      </c>
      <c r="BZ15" s="194">
        <f t="shared" si="60"/>
        <v>407.357613402059</v>
      </c>
      <c r="CA15" s="65">
        <f t="shared" si="61"/>
        <v>23.7525773195876</v>
      </c>
      <c r="CB15" s="65"/>
      <c r="CC15" s="65">
        <f t="shared" si="62"/>
        <v>58.670103092783</v>
      </c>
      <c r="CD15" s="194">
        <f t="shared" si="63"/>
        <v>289.965250515461</v>
      </c>
      <c r="CE15" s="65">
        <f t="shared" si="64"/>
        <v>17.1546391752577</v>
      </c>
      <c r="CF15" s="65"/>
      <c r="CG15" s="65">
        <f t="shared" si="65"/>
        <v>41.5154639175253</v>
      </c>
      <c r="CH15" s="194">
        <f t="shared" si="66"/>
        <v>205.181877319585</v>
      </c>
      <c r="CI15" s="65">
        <f t="shared" si="67"/>
        <v>14.5154639175258</v>
      </c>
      <c r="CJ15" s="65"/>
      <c r="CK15" s="65">
        <f t="shared" si="68"/>
        <v>26.9999999999995</v>
      </c>
      <c r="CL15" s="195">
        <f t="shared" si="69"/>
        <v>133.442099999998</v>
      </c>
      <c r="CM15" s="65">
        <f t="shared" si="70"/>
        <v>14.5154639175258</v>
      </c>
      <c r="CN15" s="65"/>
      <c r="CO15" s="65">
        <f t="shared" si="71"/>
        <v>12.4845360824737</v>
      </c>
      <c r="CP15" s="195">
        <f t="shared" si="72"/>
        <v>155.863641194591</v>
      </c>
    </row>
    <row r="16" ht="14.0" customFormat="1" s="47">
      <c r="A16" s="93" t="s">
        <v>430</v>
      </c>
      <c r="B16" s="93" t="s">
        <v>438</v>
      </c>
      <c r="C16" s="93" t="s">
        <v>451</v>
      </c>
      <c r="D16" s="112" t="s">
        <v>452</v>
      </c>
      <c r="E16" s="93">
        <v>0.0</v>
      </c>
      <c r="F16" s="93">
        <v>0.0</v>
      </c>
      <c r="G16" s="93">
        <v>0.0</v>
      </c>
      <c r="H16" s="93">
        <v>0.0</v>
      </c>
      <c r="I16" s="93">
        <v>0.0</v>
      </c>
      <c r="J16" s="93">
        <v>0.0</v>
      </c>
      <c r="K16" s="93">
        <v>0.0</v>
      </c>
      <c r="L16" s="93">
        <v>3.0</v>
      </c>
      <c r="M16" s="93">
        <v>41.0</v>
      </c>
      <c r="N16" s="93">
        <v>78.0</v>
      </c>
      <c r="O16" s="93">
        <v>57.0</v>
      </c>
      <c r="P16" s="93">
        <v>54.0</v>
      </c>
      <c r="Q16" s="93">
        <v>69.0</v>
      </c>
      <c r="R16" s="93">
        <v>39.0</v>
      </c>
      <c r="S16" s="93">
        <v>21.0</v>
      </c>
      <c r="T16" s="93">
        <v>12.0</v>
      </c>
      <c r="U16" s="93">
        <v>33.0</v>
      </c>
      <c r="V16" s="93">
        <v>36.0</v>
      </c>
      <c r="W16" s="93">
        <v>54.0</v>
      </c>
      <c r="X16" s="93">
        <v>27.0</v>
      </c>
      <c r="Y16" s="93">
        <v>26.0</v>
      </c>
      <c r="Z16" s="93">
        <v>31.0</v>
      </c>
      <c r="AA16" s="93">
        <v>25.0</v>
      </c>
      <c r="AB16" s="93">
        <v>42.0</v>
      </c>
      <c r="AC16" s="93">
        <v>42.0</v>
      </c>
      <c r="AD16" s="93">
        <v>42.0</v>
      </c>
      <c r="AE16" s="93">
        <v>12.0</v>
      </c>
      <c r="AF16" s="93">
        <v>6.0</v>
      </c>
      <c r="AG16" s="93">
        <v>39.0</v>
      </c>
      <c r="AH16" s="93">
        <v>9.0</v>
      </c>
      <c r="AI16" s="93">
        <v>6.0</v>
      </c>
      <c r="AJ16" s="93">
        <v>18.0</v>
      </c>
      <c r="AK16" s="93">
        <v>21.0</v>
      </c>
      <c r="AL16" s="93">
        <v>18.0</v>
      </c>
      <c r="AM16" s="93">
        <v>27.0</v>
      </c>
      <c r="AN16" s="93">
        <v>18.0</v>
      </c>
      <c r="AO16" s="93">
        <v>21.0</v>
      </c>
      <c r="AP16" s="93">
        <v>30.0</v>
      </c>
      <c r="AQ16" s="93">
        <v>9.0</v>
      </c>
      <c r="AR16" s="93">
        <v>6.0</v>
      </c>
      <c r="AS16" s="93">
        <v>18.0</v>
      </c>
      <c r="AT16" s="111">
        <f t="shared" si="5"/>
        <v>201.0</v>
      </c>
      <c r="AU16" s="64">
        <f t="shared" si="6"/>
        <v>99.0</v>
      </c>
      <c r="AV16" s="69">
        <f t="shared" si="7"/>
        <v>108.9</v>
      </c>
      <c r="AW16" s="65">
        <f t="shared" si="43"/>
        <v>19.4845360824741</v>
      </c>
      <c r="AX16" s="65">
        <f t="shared" si="44"/>
        <v>23.3814432989695</v>
      </c>
      <c r="AY16" s="65">
        <f t="shared" si="45"/>
        <v>28.5773195876289</v>
      </c>
      <c r="AZ16" s="65">
        <f t="shared" si="46"/>
        <v>23.3814432989695</v>
      </c>
      <c r="BA16" s="65">
        <f t="shared" si="47"/>
        <v>16.8865979381443</v>
      </c>
      <c r="BB16" s="65">
        <f t="shared" si="48"/>
        <v>14.2886597938143</v>
      </c>
      <c r="BC16" s="65">
        <f t="shared" si="49"/>
        <v>14.2886597938143</v>
      </c>
      <c r="BD16" s="193">
        <f t="shared" si="15"/>
        <v>140.288659793814</v>
      </c>
      <c r="BE16" s="64">
        <f>VLOOKUP(D16,FEB23SOH,3,false)</f>
        <v>185.0</v>
      </c>
      <c r="BF16" s="194">
        <f>VLOOKUP(D16,VALUEFEB23,4,false)</f>
        <v>5.6182</v>
      </c>
      <c r="BG16" s="194">
        <f t="shared" si="18"/>
        <v>1039.367</v>
      </c>
      <c r="BH16" s="185"/>
      <c r="BI16" s="185"/>
      <c r="BJ16" s="69">
        <f t="shared" si="50"/>
        <v>44.711340206186</v>
      </c>
      <c r="BK16" s="65"/>
      <c r="BM16" s="185"/>
      <c r="BN16" s="65">
        <f t="shared" si="51"/>
        <v>185.0</v>
      </c>
      <c r="BO16" s="65">
        <f t="shared" si="52"/>
        <v>19.4845360824741</v>
      </c>
      <c r="BP16" s="65"/>
      <c r="BQ16" s="65">
        <f t="shared" si="53"/>
        <v>165.515463917526</v>
      </c>
      <c r="BR16" s="194">
        <f t="shared" si="54"/>
        <v>929.898979381444</v>
      </c>
      <c r="BS16" s="65">
        <f t="shared" si="55"/>
        <v>23.3814432989695</v>
      </c>
      <c r="BT16" s="65"/>
      <c r="BU16" s="65">
        <f t="shared" si="56"/>
        <v>142.134020618557</v>
      </c>
      <c r="BV16" s="194">
        <f t="shared" si="57"/>
        <v>798.537354639177</v>
      </c>
      <c r="BW16" s="65">
        <f t="shared" si="58"/>
        <v>28.5773195876289</v>
      </c>
      <c r="BX16" s="65"/>
      <c r="BY16" s="65">
        <f t="shared" si="59"/>
        <v>113.556701030928</v>
      </c>
      <c r="BZ16" s="194">
        <f t="shared" si="60"/>
        <v>637.98425773196</v>
      </c>
      <c r="CA16" s="65">
        <f t="shared" si="61"/>
        <v>23.3814432989695</v>
      </c>
      <c r="CB16" s="65"/>
      <c r="CC16" s="65">
        <f t="shared" si="62"/>
        <v>90.1752577319585</v>
      </c>
      <c r="CD16" s="194">
        <f t="shared" si="63"/>
        <v>506.622632989689</v>
      </c>
      <c r="CE16" s="65">
        <f t="shared" si="64"/>
        <v>16.8865979381443</v>
      </c>
      <c r="CF16" s="65"/>
      <c r="CG16" s="65">
        <f t="shared" si="65"/>
        <v>73.2886597938141</v>
      </c>
      <c r="CH16" s="194">
        <f t="shared" si="66"/>
        <v>411.750348453606</v>
      </c>
      <c r="CI16" s="65">
        <f t="shared" si="67"/>
        <v>14.2886597938143</v>
      </c>
      <c r="CJ16" s="65"/>
      <c r="CK16" s="65">
        <f t="shared" si="68"/>
        <v>58.9999999999998</v>
      </c>
      <c r="CL16" s="195">
        <f t="shared" si="69"/>
        <v>331.473799999999</v>
      </c>
      <c r="CM16" s="65">
        <f t="shared" si="70"/>
        <v>14.2886597938143</v>
      </c>
      <c r="CN16" s="65"/>
      <c r="CO16" s="65">
        <f t="shared" si="71"/>
        <v>44.7113402061855</v>
      </c>
      <c r="CP16" s="195">
        <f t="shared" si="72"/>
        <v>1999.10394303328</v>
      </c>
    </row>
    <row r="17" ht="14.0" customFormat="1" s="47">
      <c r="A17" s="93" t="s">
        <v>430</v>
      </c>
      <c r="B17" s="93" t="s">
        <v>438</v>
      </c>
      <c r="C17" s="93" t="s">
        <v>454</v>
      </c>
      <c r="D17" s="93" t="s">
        <v>455</v>
      </c>
      <c r="E17" s="93">
        <v>0.0</v>
      </c>
      <c r="F17" s="93">
        <v>0.0</v>
      </c>
      <c r="G17" s="93">
        <v>0.0</v>
      </c>
      <c r="H17" s="93">
        <v>0.0</v>
      </c>
      <c r="I17" s="93">
        <v>0.0</v>
      </c>
      <c r="J17" s="93">
        <v>0.0</v>
      </c>
      <c r="K17" s="93">
        <v>0.0</v>
      </c>
      <c r="L17" s="93">
        <v>11.0</v>
      </c>
      <c r="M17" s="93">
        <v>76.0</v>
      </c>
      <c r="N17" s="93">
        <v>96.0</v>
      </c>
      <c r="O17" s="93">
        <v>71.0</v>
      </c>
      <c r="P17" s="93">
        <v>54.0</v>
      </c>
      <c r="Q17" s="93">
        <v>63.0</v>
      </c>
      <c r="R17" s="93">
        <v>33.0</v>
      </c>
      <c r="S17" s="93">
        <v>18.0</v>
      </c>
      <c r="T17" s="93">
        <v>18.0</v>
      </c>
      <c r="U17" s="93">
        <v>90.0</v>
      </c>
      <c r="V17" s="93">
        <v>75.0</v>
      </c>
      <c r="W17" s="93">
        <v>90.0</v>
      </c>
      <c r="X17" s="93">
        <v>24.0</v>
      </c>
      <c r="Y17" s="93">
        <v>21.0</v>
      </c>
      <c r="Z17" s="93">
        <v>10.0</v>
      </c>
      <c r="AA17" s="93">
        <v>28.0</v>
      </c>
      <c r="AB17" s="93">
        <v>27.0</v>
      </c>
      <c r="AC17" s="93">
        <v>12.0</v>
      </c>
      <c r="AD17" s="93">
        <v>33.0</v>
      </c>
      <c r="AE17" s="93">
        <v>15.0</v>
      </c>
      <c r="AF17" s="93">
        <v>12.0</v>
      </c>
      <c r="AG17" s="93">
        <v>27.0</v>
      </c>
      <c r="AH17" s="93">
        <v>27.0</v>
      </c>
      <c r="AI17" s="93">
        <v>30.0</v>
      </c>
      <c r="AJ17" s="93">
        <v>27.0</v>
      </c>
      <c r="AK17" s="93">
        <v>21.0</v>
      </c>
      <c r="AL17" s="93">
        <v>18.0</v>
      </c>
      <c r="AM17" s="93">
        <v>36.0</v>
      </c>
      <c r="AN17" s="93">
        <v>24.0</v>
      </c>
      <c r="AO17" s="93">
        <v>12.0</v>
      </c>
      <c r="AP17" s="93">
        <v>21.0</v>
      </c>
      <c r="AQ17" s="93">
        <v>18.0</v>
      </c>
      <c r="AR17" s="93">
        <v>9.0</v>
      </c>
      <c r="AS17" s="93">
        <v>44.0</v>
      </c>
      <c r="AT17" s="111">
        <f t="shared" si="5"/>
        <v>287.0</v>
      </c>
      <c r="AU17" s="64">
        <f t="shared" si="6"/>
        <v>159.0</v>
      </c>
      <c r="AV17" s="69">
        <f t="shared" si="7"/>
        <v>174.9</v>
      </c>
      <c r="AW17" s="196">
        <f>AH17*1.1</f>
        <v>29.7</v>
      </c>
      <c r="AX17" s="196">
        <f>AI17*1.1</f>
        <v>33.0</v>
      </c>
      <c r="AY17" s="196">
        <f>AJ17*1.1</f>
        <v>29.7</v>
      </c>
      <c r="AZ17" s="196">
        <f>AK17*1.1</f>
        <v>23.1</v>
      </c>
      <c r="BA17" s="196">
        <f t="shared" ref="BA17:BA19" si="77">AL17*1.1</f>
        <v>19.8</v>
      </c>
      <c r="BB17" s="196">
        <f t="shared" ref="BB17:BB19" si="78">AM17*1.1</f>
        <v>39.6</v>
      </c>
      <c r="BC17" s="196">
        <f t="shared" ref="BC17:BC19" si="79">AN17*1.1</f>
        <v>26.4</v>
      </c>
      <c r="BD17" s="193">
        <f t="shared" si="15"/>
        <v>201.3</v>
      </c>
      <c r="BE17" s="64">
        <f>VLOOKUP(D17,FEB23SOH,3,false)</f>
        <v>152.0</v>
      </c>
      <c r="BF17" s="194">
        <f>VLOOKUP(D17,VALUEFEB23,4,false)</f>
        <v>4.2977</v>
      </c>
      <c r="BG17" s="194">
        <f t="shared" si="18"/>
        <v>653.2504</v>
      </c>
      <c r="BH17" s="185"/>
      <c r="BI17" s="185"/>
      <c r="BJ17" s="69">
        <f t="shared" si="50"/>
        <v>-49.3</v>
      </c>
      <c r="BK17" s="65"/>
      <c r="BL17" s="64"/>
      <c r="BM17" s="185" t="s">
        <v>6</v>
      </c>
      <c r="BN17" s="65">
        <f t="shared" si="51"/>
        <v>152.0</v>
      </c>
      <c r="BO17" s="65">
        <f t="shared" si="52"/>
        <v>29.7</v>
      </c>
      <c r="BP17" s="65"/>
      <c r="BQ17" s="65">
        <f t="shared" si="53"/>
        <v>122.3</v>
      </c>
      <c r="BR17" s="194">
        <f t="shared" si="54"/>
        <v>525.60871</v>
      </c>
      <c r="BS17" s="65">
        <f t="shared" si="55"/>
        <v>33.0</v>
      </c>
      <c r="BT17" s="65"/>
      <c r="BU17" s="65">
        <f t="shared" si="56"/>
        <v>89.3</v>
      </c>
      <c r="BV17" s="194">
        <f t="shared" si="57"/>
        <v>383.78461</v>
      </c>
      <c r="BW17" s="65">
        <f t="shared" si="58"/>
        <v>29.7</v>
      </c>
      <c r="BX17" s="65"/>
      <c r="BY17" s="65">
        <f t="shared" si="59"/>
        <v>59.6</v>
      </c>
      <c r="BZ17" s="194">
        <f t="shared" si="60"/>
        <v>256.14292</v>
      </c>
      <c r="CA17" s="65">
        <f t="shared" si="61"/>
        <v>23.1</v>
      </c>
      <c r="CB17" s="65"/>
      <c r="CC17" s="65">
        <f t="shared" si="62"/>
        <v>36.5</v>
      </c>
      <c r="CD17" s="194">
        <f t="shared" si="63"/>
        <v>156.86605</v>
      </c>
      <c r="CE17" s="65">
        <f t="shared" si="64"/>
        <v>19.8</v>
      </c>
      <c r="CF17" s="65"/>
      <c r="CG17" s="65">
        <f t="shared" si="65"/>
        <v>16.7</v>
      </c>
      <c r="CH17" s="194">
        <f t="shared" si="66"/>
        <v>71.77159</v>
      </c>
      <c r="CI17" s="65">
        <f t="shared" si="67"/>
        <v>39.6</v>
      </c>
      <c r="CJ17" s="65"/>
      <c r="CK17" s="65">
        <f t="shared" si="68"/>
        <v>-22.9</v>
      </c>
      <c r="CL17" s="195">
        <f t="shared" si="69"/>
        <v>-98.4173299999998</v>
      </c>
      <c r="CM17" s="65">
        <f t="shared" si="70"/>
        <v>26.4</v>
      </c>
      <c r="CN17" s="65"/>
      <c r="CO17" s="65">
        <f t="shared" si="71"/>
        <v>-49.3</v>
      </c>
      <c r="CP17" s="195">
        <f t="shared" si="72"/>
        <v>2430.49</v>
      </c>
    </row>
    <row r="18" ht="14.0" customFormat="1" s="47">
      <c r="A18" s="93" t="s">
        <v>430</v>
      </c>
      <c r="B18" s="93" t="s">
        <v>438</v>
      </c>
      <c r="C18" s="93" t="s">
        <v>456</v>
      </c>
      <c r="D18" s="93" t="s">
        <v>457</v>
      </c>
      <c r="E18" s="93">
        <v>0.0</v>
      </c>
      <c r="F18" s="93">
        <v>0.0</v>
      </c>
      <c r="G18" s="93">
        <v>0.0</v>
      </c>
      <c r="H18" s="93">
        <v>0.0</v>
      </c>
      <c r="I18" s="93">
        <v>0.0</v>
      </c>
      <c r="J18" s="93">
        <v>0.0</v>
      </c>
      <c r="K18" s="93">
        <v>0.0</v>
      </c>
      <c r="L18" s="93">
        <v>10.0</v>
      </c>
      <c r="M18" s="93">
        <v>70.0</v>
      </c>
      <c r="N18" s="93">
        <v>120.0</v>
      </c>
      <c r="O18" s="93">
        <v>133.0</v>
      </c>
      <c r="P18" s="93">
        <v>54.0</v>
      </c>
      <c r="Q18" s="93">
        <v>63.0</v>
      </c>
      <c r="R18" s="93">
        <v>39.0</v>
      </c>
      <c r="S18" s="93">
        <v>12.0</v>
      </c>
      <c r="T18" s="93">
        <v>15.0</v>
      </c>
      <c r="U18" s="93">
        <v>63.0</v>
      </c>
      <c r="V18" s="93">
        <v>30.0</v>
      </c>
      <c r="W18" s="93">
        <v>33.0</v>
      </c>
      <c r="X18" s="93">
        <v>18.0</v>
      </c>
      <c r="Y18" s="93">
        <v>20.0</v>
      </c>
      <c r="Z18" s="93">
        <v>28.0</v>
      </c>
      <c r="AA18" s="93">
        <v>53.0</v>
      </c>
      <c r="AB18" s="93">
        <v>44.0</v>
      </c>
      <c r="AC18" s="93">
        <v>3.0</v>
      </c>
      <c r="AD18" s="93">
        <v>36.0</v>
      </c>
      <c r="AE18" s="93">
        <v>18.0</v>
      </c>
      <c r="AF18" s="93">
        <v>9.0</v>
      </c>
      <c r="AG18" s="93">
        <v>12.0</v>
      </c>
      <c r="AH18" s="93">
        <v>9.0</v>
      </c>
      <c r="AI18" s="93">
        <v>6.0</v>
      </c>
      <c r="AJ18" s="93">
        <v>21.0</v>
      </c>
      <c r="AK18" s="93">
        <v>21.0</v>
      </c>
      <c r="AL18" s="197">
        <v>24.0</v>
      </c>
      <c r="AM18" s="197">
        <v>57.0</v>
      </c>
      <c r="AN18" s="93">
        <v>21.0</v>
      </c>
      <c r="AO18" s="93">
        <v>15.0</v>
      </c>
      <c r="AP18" s="93">
        <v>15.0</v>
      </c>
      <c r="AQ18" s="93">
        <v>24.0</v>
      </c>
      <c r="AR18" s="93">
        <v>6.0</v>
      </c>
      <c r="AS18" s="93">
        <v>18.0</v>
      </c>
      <c r="AT18" s="111">
        <f t="shared" si="5"/>
        <v>237.0</v>
      </c>
      <c r="AU18" s="64">
        <f t="shared" si="6"/>
        <v>138.0</v>
      </c>
      <c r="AV18" s="69">
        <f t="shared" si="7"/>
        <v>151.8</v>
      </c>
      <c r="AW18" s="65">
        <f>AV18*$AW$4/$AV$4</f>
        <v>21.340206185567</v>
      </c>
      <c r="AX18" s="65">
        <f>AV18*$AX$4/$AV$4</f>
        <v>25.6082474226804</v>
      </c>
      <c r="AY18" s="65">
        <f>AV18*$AY$4/$AV$4</f>
        <v>31.298969072165</v>
      </c>
      <c r="AZ18" s="65">
        <f>AV18*$AZ$4/$AV$4</f>
        <v>25.6082474226804</v>
      </c>
      <c r="BA18" s="198">
        <f t="shared" si="77"/>
        <v>26.4</v>
      </c>
      <c r="BB18" s="198">
        <f t="shared" si="78"/>
        <v>62.7</v>
      </c>
      <c r="BC18" s="198">
        <f t="shared" si="79"/>
        <v>23.1</v>
      </c>
      <c r="BD18" s="193">
        <f t="shared" si="15"/>
        <v>216.055670103092</v>
      </c>
      <c r="BE18" s="64">
        <f>VLOOKUP(D18,FEB23SOH,3,false)</f>
        <v>275.0</v>
      </c>
      <c r="BF18" s="194">
        <f>VLOOKUP(D18,VALUEFEB23,4,false)</f>
        <v>4.3638</v>
      </c>
      <c r="BG18" s="194">
        <f t="shared" si="18"/>
        <v>1200.045</v>
      </c>
      <c r="BH18" s="185"/>
      <c r="BI18" s="185"/>
      <c r="BJ18" s="69">
        <f t="shared" si="50"/>
        <v>58.944329896908</v>
      </c>
      <c r="BK18" s="65"/>
      <c r="BM18" s="185"/>
      <c r="BN18" s="65">
        <f t="shared" si="51"/>
        <v>275.0</v>
      </c>
      <c r="BO18" s="65">
        <f t="shared" si="52"/>
        <v>21.340206185567</v>
      </c>
      <c r="BP18" s="65"/>
      <c r="BQ18" s="65">
        <f t="shared" si="53"/>
        <v>253.659793814433</v>
      </c>
      <c r="BR18" s="194">
        <f t="shared" si="54"/>
        <v>1106.92060824742</v>
      </c>
      <c r="BS18" s="65">
        <f t="shared" si="55"/>
        <v>25.6082474226804</v>
      </c>
      <c r="BT18" s="65"/>
      <c r="BU18" s="65">
        <f t="shared" si="56"/>
        <v>228.051546391752</v>
      </c>
      <c r="BV18" s="194">
        <f t="shared" si="57"/>
        <v>995.171338144328</v>
      </c>
      <c r="BW18" s="65">
        <f t="shared" si="58"/>
        <v>31.298969072165</v>
      </c>
      <c r="BX18" s="65"/>
      <c r="BY18" s="65">
        <f t="shared" si="59"/>
        <v>196.752577319587</v>
      </c>
      <c r="BZ18" s="194">
        <f t="shared" si="60"/>
        <v>858.588896907213</v>
      </c>
      <c r="CA18" s="65">
        <f t="shared" si="61"/>
        <v>25.6082474226804</v>
      </c>
      <c r="CB18" s="65"/>
      <c r="CC18" s="65">
        <f t="shared" si="62"/>
        <v>171.1443298969</v>
      </c>
      <c r="CD18" s="194">
        <f t="shared" si="63"/>
        <v>746.839626804092</v>
      </c>
      <c r="CE18" s="65">
        <f t="shared" si="64"/>
        <v>26.4</v>
      </c>
      <c r="CF18" s="65"/>
      <c r="CG18" s="65">
        <f t="shared" si="65"/>
        <v>144.7443298969</v>
      </c>
      <c r="CH18" s="194">
        <f t="shared" si="66"/>
        <v>631.635306804092</v>
      </c>
      <c r="CI18" s="65">
        <f t="shared" si="67"/>
        <v>62.7</v>
      </c>
      <c r="CJ18" s="65"/>
      <c r="CK18" s="65">
        <f t="shared" si="68"/>
        <v>82.0443298969</v>
      </c>
      <c r="CL18" s="195">
        <f t="shared" si="69"/>
        <v>358.025046804092</v>
      </c>
      <c r="CM18" s="65">
        <f t="shared" si="70"/>
        <v>23.1</v>
      </c>
      <c r="CN18" s="65"/>
      <c r="CO18" s="65">
        <f t="shared" si="71"/>
        <v>58.9443298969</v>
      </c>
      <c r="CP18" s="195">
        <f t="shared" si="72"/>
        <v>3474.43402699505</v>
      </c>
    </row>
    <row r="19" ht="14.0" customFormat="1" s="47">
      <c r="A19" s="93" t="s">
        <v>430</v>
      </c>
      <c r="B19" s="93" t="s">
        <v>438</v>
      </c>
      <c r="C19" s="93" t="s">
        <v>458</v>
      </c>
      <c r="D19" s="93" t="s">
        <v>459</v>
      </c>
      <c r="E19" s="93">
        <v>0.0</v>
      </c>
      <c r="F19" s="93">
        <v>0.0</v>
      </c>
      <c r="G19" s="93">
        <v>0.0</v>
      </c>
      <c r="H19" s="93">
        <v>0.0</v>
      </c>
      <c r="I19" s="93">
        <v>0.0</v>
      </c>
      <c r="J19" s="93">
        <v>0.0</v>
      </c>
      <c r="K19" s="93">
        <v>0.0</v>
      </c>
      <c r="L19" s="93">
        <v>1.0</v>
      </c>
      <c r="M19" s="93">
        <v>43.0</v>
      </c>
      <c r="N19" s="93">
        <v>87.0</v>
      </c>
      <c r="O19" s="93">
        <v>73.0</v>
      </c>
      <c r="P19" s="93">
        <v>36.0</v>
      </c>
      <c r="Q19" s="93">
        <v>66.0</v>
      </c>
      <c r="R19" s="93">
        <v>39.0</v>
      </c>
      <c r="S19" s="93">
        <v>21.0</v>
      </c>
      <c r="T19" s="93">
        <v>15.0</v>
      </c>
      <c r="U19" s="93">
        <v>60.0</v>
      </c>
      <c r="V19" s="93">
        <v>99.0</v>
      </c>
      <c r="W19" s="93">
        <v>84.0</v>
      </c>
      <c r="X19" s="93">
        <v>33.0</v>
      </c>
      <c r="Y19" s="93">
        <v>15.0</v>
      </c>
      <c r="Z19" s="93">
        <v>31.0</v>
      </c>
      <c r="AA19" s="93">
        <v>21.0</v>
      </c>
      <c r="AB19" s="93">
        <v>33.0</v>
      </c>
      <c r="AC19" s="93">
        <v>9.0</v>
      </c>
      <c r="AD19" s="93">
        <v>27.0</v>
      </c>
      <c r="AE19" s="93">
        <v>9.0</v>
      </c>
      <c r="AF19" s="93">
        <v>15.0</v>
      </c>
      <c r="AG19" s="93">
        <v>30.0</v>
      </c>
      <c r="AH19" s="93">
        <v>36.0</v>
      </c>
      <c r="AI19" s="93">
        <v>45.0</v>
      </c>
      <c r="AJ19" s="93">
        <v>27.0</v>
      </c>
      <c r="AK19" s="93">
        <v>15.0</v>
      </c>
      <c r="AL19" s="93">
        <v>12.0</v>
      </c>
      <c r="AM19" s="93">
        <v>18.0</v>
      </c>
      <c r="AN19" s="93">
        <v>6.0</v>
      </c>
      <c r="AO19" s="93">
        <v>6.0</v>
      </c>
      <c r="AP19" s="93">
        <v>18.0</v>
      </c>
      <c r="AQ19" s="93">
        <v>3.0</v>
      </c>
      <c r="AR19" s="93">
        <v>9.0</v>
      </c>
      <c r="AS19" s="93">
        <v>40.0</v>
      </c>
      <c r="AT19" s="111">
        <f t="shared" si="5"/>
        <v>235.0</v>
      </c>
      <c r="AU19" s="64">
        <f t="shared" si="6"/>
        <v>153.0</v>
      </c>
      <c r="AV19" s="69">
        <f t="shared" si="7"/>
        <v>168.3</v>
      </c>
      <c r="AW19" s="196">
        <f>AH19*1.1</f>
        <v>39.6</v>
      </c>
      <c r="AX19" s="196">
        <f>AI19*1.1</f>
        <v>49.5</v>
      </c>
      <c r="AY19" s="196">
        <f>AJ19*1.1</f>
        <v>29.7</v>
      </c>
      <c r="AZ19" s="196">
        <f>AK19*1.1</f>
        <v>16.5</v>
      </c>
      <c r="BA19" s="196">
        <f t="shared" si="77"/>
        <v>13.2</v>
      </c>
      <c r="BB19" s="196">
        <f t="shared" si="78"/>
        <v>19.8</v>
      </c>
      <c r="BC19" s="196">
        <f t="shared" si="79"/>
        <v>6.6</v>
      </c>
      <c r="BD19" s="193">
        <f t="shared" si="15"/>
        <v>174.9</v>
      </c>
      <c r="BE19" s="64">
        <f>VLOOKUP(D19,FEB23SOH,3,false)</f>
        <v>276.0</v>
      </c>
      <c r="BF19" s="194">
        <f>VLOOKUP(D19,VALUEFEB23,4,false)</f>
        <v>4.2982</v>
      </c>
      <c r="BG19" s="194">
        <f t="shared" si="18"/>
        <v>1186.3032</v>
      </c>
      <c r="BH19" s="185"/>
      <c r="BI19" s="185"/>
      <c r="BJ19" s="69">
        <f t="shared" si="50"/>
        <v>101.1</v>
      </c>
      <c r="BK19" s="65"/>
      <c r="BM19" s="185"/>
      <c r="BN19" s="65">
        <f t="shared" si="51"/>
        <v>276.0</v>
      </c>
      <c r="BO19" s="65">
        <f t="shared" si="52"/>
        <v>39.6</v>
      </c>
      <c r="BP19" s="65"/>
      <c r="BQ19" s="65">
        <f t="shared" si="53"/>
        <v>236.4</v>
      </c>
      <c r="BR19" s="194">
        <f t="shared" si="54"/>
        <v>1016.09448</v>
      </c>
      <c r="BS19" s="65">
        <f t="shared" si="55"/>
        <v>49.5</v>
      </c>
      <c r="BT19" s="65"/>
      <c r="BU19" s="65">
        <f t="shared" si="56"/>
        <v>186.9</v>
      </c>
      <c r="BV19" s="194">
        <f t="shared" si="57"/>
        <v>803.33358</v>
      </c>
      <c r="BW19" s="65">
        <f t="shared" si="58"/>
        <v>29.7</v>
      </c>
      <c r="BX19" s="65"/>
      <c r="BY19" s="65">
        <f t="shared" si="59"/>
        <v>157.2</v>
      </c>
      <c r="BZ19" s="194">
        <f t="shared" si="60"/>
        <v>675.67704</v>
      </c>
      <c r="CA19" s="65">
        <f t="shared" si="61"/>
        <v>16.5</v>
      </c>
      <c r="CB19" s="65"/>
      <c r="CC19" s="65">
        <f t="shared" si="62"/>
        <v>140.7</v>
      </c>
      <c r="CD19" s="194">
        <f t="shared" si="63"/>
        <v>604.75674</v>
      </c>
      <c r="CE19" s="65">
        <f t="shared" si="64"/>
        <v>13.2</v>
      </c>
      <c r="CF19" s="65"/>
      <c r="CG19" s="65">
        <f t="shared" si="65"/>
        <v>127.5</v>
      </c>
      <c r="CH19" s="194">
        <f t="shared" si="66"/>
        <v>548.0205</v>
      </c>
      <c r="CI19" s="65">
        <f t="shared" si="67"/>
        <v>19.8</v>
      </c>
      <c r="CJ19" s="65"/>
      <c r="CK19" s="65">
        <f t="shared" si="68"/>
        <v>107.7</v>
      </c>
      <c r="CL19" s="195">
        <f t="shared" si="69"/>
        <v>462.91614</v>
      </c>
      <c r="CM19" s="65">
        <f t="shared" si="70"/>
        <v>6.6</v>
      </c>
      <c r="CN19" s="65"/>
      <c r="CO19" s="65">
        <f t="shared" si="71"/>
        <v>101.1</v>
      </c>
      <c r="CP19" s="195">
        <f t="shared" si="72"/>
        <v>10221.21</v>
      </c>
    </row>
    <row r="20" ht="14.0" customFormat="1" s="47">
      <c r="A20" s="93" t="s">
        <v>430</v>
      </c>
      <c r="B20" s="93" t="s">
        <v>438</v>
      </c>
      <c r="C20" s="93" t="s">
        <v>460</v>
      </c>
      <c r="D20" s="93" t="s">
        <v>461</v>
      </c>
      <c r="E20" s="93">
        <v>0.0</v>
      </c>
      <c r="F20" s="93">
        <v>0.0</v>
      </c>
      <c r="G20" s="93">
        <v>0.0</v>
      </c>
      <c r="H20" s="93">
        <v>0.0</v>
      </c>
      <c r="I20" s="93">
        <v>0.0</v>
      </c>
      <c r="J20" s="93">
        <v>0.0</v>
      </c>
      <c r="K20" s="93">
        <v>0.0</v>
      </c>
      <c r="L20" s="93">
        <v>2.0</v>
      </c>
      <c r="M20" s="93">
        <v>49.0</v>
      </c>
      <c r="N20" s="93">
        <v>99.0</v>
      </c>
      <c r="O20" s="93">
        <v>140.0</v>
      </c>
      <c r="P20" s="93">
        <v>24.0</v>
      </c>
      <c r="Q20" s="93">
        <v>57.0</v>
      </c>
      <c r="R20" s="93">
        <v>36.0</v>
      </c>
      <c r="S20" s="93">
        <v>12.0</v>
      </c>
      <c r="T20" s="93">
        <v>3.0</v>
      </c>
      <c r="U20" s="93">
        <v>21.0</v>
      </c>
      <c r="V20" s="93">
        <v>15.0</v>
      </c>
      <c r="W20" s="93">
        <v>9.0</v>
      </c>
      <c r="X20" s="93">
        <v>12.0</v>
      </c>
      <c r="Y20" s="93">
        <v>12.0</v>
      </c>
      <c r="Z20" s="93">
        <v>25.0</v>
      </c>
      <c r="AA20" s="93">
        <v>39.0</v>
      </c>
      <c r="AB20" s="93">
        <v>27.0</v>
      </c>
      <c r="AC20" s="93">
        <v>6.0</v>
      </c>
      <c r="AD20" s="93">
        <v>24.0</v>
      </c>
      <c r="AE20" s="93">
        <v>6.0</v>
      </c>
      <c r="AF20" s="93">
        <v>9.0</v>
      </c>
      <c r="AG20" s="93">
        <v>12.0</v>
      </c>
      <c r="AH20" s="93">
        <v>3.0</v>
      </c>
      <c r="AI20" s="93">
        <v>3.0</v>
      </c>
      <c r="AJ20" s="93">
        <v>9.0</v>
      </c>
      <c r="AK20" s="93">
        <v>15.0</v>
      </c>
      <c r="AL20" s="197">
        <v>24.0</v>
      </c>
      <c r="AM20" s="197">
        <v>45.0</v>
      </c>
      <c r="AN20" s="93">
        <v>12.0</v>
      </c>
      <c r="AO20" s="93">
        <v>6.0</v>
      </c>
      <c r="AP20" s="93">
        <v>9.0</v>
      </c>
      <c r="AQ20" s="93">
        <v>6.0</v>
      </c>
      <c r="AR20" s="93">
        <v>6.0</v>
      </c>
      <c r="AS20" s="93">
        <v>0.0</v>
      </c>
      <c r="AT20" s="111">
        <f t="shared" si="5"/>
        <v>138.0</v>
      </c>
      <c r="AU20" s="64">
        <f t="shared" si="6"/>
        <v>99.0</v>
      </c>
      <c r="AV20" s="69">
        <f t="shared" si="7"/>
        <v>108.9</v>
      </c>
      <c r="AW20" s="65">
        <f>AV20*$AW$4/$AV$4</f>
        <v>15.3092783505154</v>
      </c>
      <c r="AX20" s="65">
        <f>AV20*$AX$4/$AV$4</f>
        <v>18.371134020619</v>
      </c>
      <c r="AY20" s="65">
        <f>AV20*$AY$4/$AV$4</f>
        <v>22.4536082474227</v>
      </c>
      <c r="AZ20" s="65">
        <f>AV20*$AZ$4/$AV$4</f>
        <v>18.371134020619</v>
      </c>
      <c r="BA20" s="198">
        <f>AV20*$BA$4/$AV$4</f>
        <v>13.2680412371134</v>
      </c>
      <c r="BB20" s="198">
        <f>AV20*$BB$4/$AV$4</f>
        <v>11.2268041237113</v>
      </c>
      <c r="BC20" s="198">
        <f>AV20*$BB$4/$AV$4</f>
        <v>11.2268041237113</v>
      </c>
      <c r="BD20" s="193">
        <f t="shared" si="15"/>
        <v>110.226804123712</v>
      </c>
      <c r="BE20" s="64">
        <f>VLOOKUP(D20,FEB23SOH,3,false)</f>
        <v>316.0</v>
      </c>
      <c r="BF20" s="194">
        <f>VLOOKUP(D20,VALUEFEB23,4,false)</f>
        <v>4.4839</v>
      </c>
      <c r="BG20" s="194">
        <f t="shared" si="18"/>
        <v>1416.9124</v>
      </c>
      <c r="BH20" s="185"/>
      <c r="BI20" s="185"/>
      <c r="BJ20" s="69">
        <f t="shared" si="50"/>
        <v>205.773195876288</v>
      </c>
      <c r="BK20" s="65"/>
      <c r="BM20" s="185"/>
      <c r="BN20" s="65">
        <f t="shared" si="51"/>
        <v>316.0</v>
      </c>
      <c r="BO20" s="65">
        <f t="shared" si="52"/>
        <v>15.3092783505154</v>
      </c>
      <c r="BP20" s="65"/>
      <c r="BQ20" s="65">
        <f t="shared" si="53"/>
        <v>300.690721649484</v>
      </c>
      <c r="BR20" s="194">
        <f t="shared" si="54"/>
        <v>1348.26712680412</v>
      </c>
      <c r="BS20" s="65">
        <f t="shared" si="55"/>
        <v>18.371134020619</v>
      </c>
      <c r="BT20" s="65"/>
      <c r="BU20" s="65">
        <f t="shared" si="56"/>
        <v>282.319587628864</v>
      </c>
      <c r="BV20" s="194">
        <f t="shared" si="57"/>
        <v>1265.89279896906</v>
      </c>
      <c r="BW20" s="65">
        <f t="shared" si="58"/>
        <v>22.4536082474227</v>
      </c>
      <c r="BX20" s="65"/>
      <c r="BY20" s="65">
        <f t="shared" si="59"/>
        <v>259.865979381441</v>
      </c>
      <c r="BZ20" s="194">
        <f t="shared" si="60"/>
        <v>1165.21306494844</v>
      </c>
      <c r="CA20" s="65">
        <f t="shared" si="61"/>
        <v>18.371134020619</v>
      </c>
      <c r="CB20" s="65"/>
      <c r="CC20" s="65">
        <f t="shared" si="62"/>
        <v>241.494845360821</v>
      </c>
      <c r="CD20" s="194">
        <f t="shared" si="63"/>
        <v>1082.83873711339</v>
      </c>
      <c r="CE20" s="65">
        <f t="shared" si="64"/>
        <v>13.2680412371134</v>
      </c>
      <c r="CF20" s="65"/>
      <c r="CG20" s="65">
        <f t="shared" si="65"/>
        <v>228.226804123708</v>
      </c>
      <c r="CH20" s="194">
        <f t="shared" si="66"/>
        <v>1023.34616701029</v>
      </c>
      <c r="CI20" s="65">
        <f t="shared" si="67"/>
        <v>11.2268041237113</v>
      </c>
      <c r="CJ20" s="65"/>
      <c r="CK20" s="65">
        <f t="shared" si="68"/>
        <v>216.999999999997</v>
      </c>
      <c r="CL20" s="195">
        <f t="shared" si="69"/>
        <v>973.006299999987</v>
      </c>
      <c r="CM20" s="65">
        <f t="shared" si="70"/>
        <v>11.2268041237113</v>
      </c>
      <c r="CN20" s="65"/>
      <c r="CO20" s="65">
        <f t="shared" si="71"/>
        <v>205.773195876286</v>
      </c>
      <c r="CP20" s="195">
        <f t="shared" si="72"/>
        <v>42342.6081411408</v>
      </c>
    </row>
    <row r="21" ht="14.0" customFormat="1" s="47">
      <c r="A21" s="93" t="s">
        <v>430</v>
      </c>
      <c r="B21" s="93" t="s">
        <v>438</v>
      </c>
      <c r="C21" s="93" t="s">
        <v>547</v>
      </c>
      <c r="D21" s="93" t="s">
        <v>548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G21" s="93">
        <v>0.0</v>
      </c>
      <c r="AH21" s="93">
        <v>0.0</v>
      </c>
      <c r="AI21" s="93">
        <v>0.0</v>
      </c>
      <c r="AJ21" s="93">
        <v>0.0</v>
      </c>
      <c r="AK21" s="93">
        <v>0.0</v>
      </c>
      <c r="AL21" s="93">
        <v>0.0</v>
      </c>
      <c r="AM21" s="93">
        <v>0.0</v>
      </c>
      <c r="AN21" s="93">
        <v>0.0</v>
      </c>
      <c r="AO21" s="93">
        <v>0.0</v>
      </c>
      <c r="AP21" s="93">
        <v>0.0</v>
      </c>
      <c r="AQ21" s="93">
        <v>0.0</v>
      </c>
      <c r="AR21" s="93">
        <v>0.0</v>
      </c>
      <c r="AS21" s="93">
        <v>62.0</v>
      </c>
      <c r="AT21" s="111">
        <f t="shared" si="5"/>
        <v>62.0</v>
      </c>
      <c r="AU21" s="186">
        <f>SUM(AN21:AS21)</f>
        <v>62.0</v>
      </c>
      <c r="AV21" s="69">
        <f t="shared" si="7"/>
        <v>68.2</v>
      </c>
      <c r="AW21" s="65">
        <f>AV21*$AW$4/$AV$3</f>
        <v>9.02912621359223</v>
      </c>
      <c r="AX21" s="65">
        <f>AV21*$AX$4/$AV$3</f>
        <v>10.8349514563107</v>
      </c>
      <c r="AY21" s="65">
        <f>AV21*$AY$4/$AV$3</f>
        <v>13.2427184466019</v>
      </c>
      <c r="AZ21" s="65">
        <f>AV21*$AZ$4/$AV$3</f>
        <v>10.8349514563107</v>
      </c>
      <c r="BA21" s="65">
        <f>AV21*$BA$4/$AV$3</f>
        <v>7.8252427184466</v>
      </c>
      <c r="BB21" s="65">
        <f>AV21*$BB$4/$AV$3</f>
        <v>6.62135922330097</v>
      </c>
      <c r="BC21" s="65">
        <f t="shared" ref="BC21:BC23" si="102">AV21*$BB$4/$AV$3</f>
        <v>6.62135922330097</v>
      </c>
      <c r="BD21" s="193">
        <f t="shared" si="15"/>
        <v>65.009708737864</v>
      </c>
      <c r="BE21" s="64">
        <f>VLOOKUP(D21,FEB23SOH,3,false)</f>
        <v>311.0</v>
      </c>
      <c r="BF21" s="194">
        <f>VLOOKUP(D21,VALUEFEB23,4,false)</f>
        <v>4.8067</v>
      </c>
      <c r="BG21" s="194">
        <f t="shared" si="18"/>
        <v>1494.8837</v>
      </c>
      <c r="BH21" s="185"/>
      <c r="BI21" s="185"/>
      <c r="BJ21" s="69">
        <f t="shared" si="50"/>
        <v>245.990291262136</v>
      </c>
      <c r="BK21" s="65"/>
      <c r="BM21" s="185"/>
      <c r="BN21" s="65">
        <f t="shared" si="51"/>
        <v>311.0</v>
      </c>
      <c r="BO21" s="65">
        <f t="shared" si="52"/>
        <v>9.02912621359223</v>
      </c>
      <c r="BP21" s="65"/>
      <c r="BQ21" s="65">
        <f t="shared" si="53"/>
        <v>301.9708737864</v>
      </c>
      <c r="BR21" s="194">
        <f t="shared" si="54"/>
        <v>1451.48339902909</v>
      </c>
      <c r="BS21" s="65">
        <f t="shared" si="55"/>
        <v>10.8349514563107</v>
      </c>
      <c r="BT21" s="65"/>
      <c r="BU21" s="65">
        <f t="shared" si="56"/>
        <v>291.135922330089</v>
      </c>
      <c r="BV21" s="194">
        <f t="shared" si="57"/>
        <v>1399.40303786403</v>
      </c>
      <c r="BW21" s="65">
        <f t="shared" si="58"/>
        <v>13.2427184466019</v>
      </c>
      <c r="BX21" s="65"/>
      <c r="BY21" s="65">
        <f t="shared" si="59"/>
        <v>277.893203883487</v>
      </c>
      <c r="BZ21" s="194">
        <f t="shared" si="60"/>
        <v>1335.74926310676</v>
      </c>
      <c r="CA21" s="65">
        <f t="shared" si="61"/>
        <v>10.8349514563107</v>
      </c>
      <c r="CB21" s="65"/>
      <c r="CC21" s="65">
        <f t="shared" si="62"/>
        <v>267.058252427176</v>
      </c>
      <c r="CD21" s="194">
        <f t="shared" si="63"/>
        <v>1283.6689019417</v>
      </c>
      <c r="CE21" s="65">
        <f t="shared" si="64"/>
        <v>7.8252427184466</v>
      </c>
      <c r="CF21" s="65"/>
      <c r="CG21" s="65">
        <f t="shared" si="65"/>
        <v>259.233009708729</v>
      </c>
      <c r="CH21" s="194">
        <f t="shared" si="66"/>
        <v>1246.05530776694</v>
      </c>
      <c r="CI21" s="65">
        <f t="shared" si="67"/>
        <v>6.62135922330097</v>
      </c>
      <c r="CJ21" s="65"/>
      <c r="CK21" s="65">
        <f t="shared" si="68"/>
        <v>252.611650485428</v>
      </c>
      <c r="CL21" s="195">
        <f t="shared" si="69"/>
        <v>1214.2284203883</v>
      </c>
      <c r="CM21" s="65">
        <f t="shared" si="70"/>
        <v>6.62135922330097</v>
      </c>
      <c r="CN21" s="65"/>
      <c r="CO21" s="65">
        <f t="shared" si="71"/>
        <v>245.990291262127</v>
      </c>
      <c r="CP21" s="195">
        <f t="shared" si="72"/>
        <v>60511.2233952282</v>
      </c>
    </row>
    <row r="22" ht="14.0" customFormat="1" s="47">
      <c r="A22" s="93" t="s">
        <v>430</v>
      </c>
      <c r="B22" s="93" t="s">
        <v>438</v>
      </c>
      <c r="C22" s="93" t="s">
        <v>462</v>
      </c>
      <c r="D22" s="93" t="s">
        <v>463</v>
      </c>
      <c r="E22" s="93">
        <v>0.0</v>
      </c>
      <c r="F22" s="93">
        <v>0.0</v>
      </c>
      <c r="G22" s="93">
        <v>0.0</v>
      </c>
      <c r="H22" s="93">
        <v>0.0</v>
      </c>
      <c r="I22" s="93">
        <v>0.0</v>
      </c>
      <c r="J22" s="93">
        <v>0.0</v>
      </c>
      <c r="K22" s="93">
        <v>0.0</v>
      </c>
      <c r="L22" s="93">
        <v>3.0</v>
      </c>
      <c r="M22" s="93">
        <v>39.0</v>
      </c>
      <c r="N22" s="93">
        <v>51.0</v>
      </c>
      <c r="O22" s="93">
        <v>24.0</v>
      </c>
      <c r="P22" s="93">
        <v>18.0</v>
      </c>
      <c r="Q22" s="93">
        <v>48.0</v>
      </c>
      <c r="R22" s="93">
        <v>48.0</v>
      </c>
      <c r="S22" s="93">
        <v>42.0</v>
      </c>
      <c r="T22" s="93">
        <v>27.0</v>
      </c>
      <c r="U22" s="93">
        <v>57.0</v>
      </c>
      <c r="V22" s="93">
        <v>39.0</v>
      </c>
      <c r="W22" s="93">
        <v>21.0</v>
      </c>
      <c r="X22" s="93">
        <v>17.0</v>
      </c>
      <c r="Y22" s="93">
        <v>3.0</v>
      </c>
      <c r="Z22" s="93">
        <v>7.0</v>
      </c>
      <c r="AA22" s="93">
        <v>24.0</v>
      </c>
      <c r="AB22" s="93">
        <v>27.0</v>
      </c>
      <c r="AC22" s="93">
        <v>18.0</v>
      </c>
      <c r="AD22" s="93">
        <v>27.0</v>
      </c>
      <c r="AE22" s="93">
        <v>21.0</v>
      </c>
      <c r="AF22" s="93">
        <v>18.0</v>
      </c>
      <c r="AG22" s="93">
        <v>24.0</v>
      </c>
      <c r="AH22" s="93">
        <v>18.0</v>
      </c>
      <c r="AI22" s="93">
        <v>9.0</v>
      </c>
      <c r="AJ22" s="110">
        <f>X22</f>
        <v>17.0</v>
      </c>
      <c r="AK22" s="110">
        <f>Y22</f>
        <v>3.0</v>
      </c>
      <c r="AL22" s="93">
        <v>9.0</v>
      </c>
      <c r="AM22" s="93">
        <v>18.0</v>
      </c>
      <c r="AN22" s="93">
        <v>24.0</v>
      </c>
      <c r="AO22" s="93">
        <v>12.0</v>
      </c>
      <c r="AP22" s="93">
        <v>18.0</v>
      </c>
      <c r="AQ22" s="93">
        <v>6.0</v>
      </c>
      <c r="AR22" s="93">
        <v>3.0</v>
      </c>
      <c r="AS22" s="93">
        <v>11.0</v>
      </c>
      <c r="AT22" s="111">
        <f t="shared" si="5"/>
        <v>148.0</v>
      </c>
      <c r="AU22" s="64">
        <f t="shared" ref="AU22:AU27" si="105">SUM(AH22:AM22)</f>
        <v>74.0</v>
      </c>
      <c r="AV22" s="69">
        <f t="shared" si="7"/>
        <v>81.4</v>
      </c>
      <c r="AW22" s="65">
        <f t="shared" ref="AW22:AW23" si="106">AV22*$AW$4/$AV$4</f>
        <v>11.4432989690721</v>
      </c>
      <c r="AX22" s="65">
        <f t="shared" ref="AX22:AX23" si="107">AV22*$AX$4/$AV$4</f>
        <v>13.731958762887</v>
      </c>
      <c r="AY22" s="65">
        <f t="shared" ref="AY22:AY23" si="108">AV22*$AY$4/$AV$4</f>
        <v>16.7835051546391</v>
      </c>
      <c r="AZ22" s="65">
        <f t="shared" ref="AZ22:AZ23" si="109">AV22*$AZ$4/$AV$4</f>
        <v>13.731958762887</v>
      </c>
      <c r="BA22" s="65">
        <f t="shared" ref="BA22:BA23" si="110">AV22*$BA$4/$AV$4</f>
        <v>9.91752577319588</v>
      </c>
      <c r="BB22" s="65">
        <f t="shared" ref="BB22:BB23" si="111">AV22*$BB$4/$AV$4</f>
        <v>8.39175257731959</v>
      </c>
      <c r="BC22" s="65">
        <f t="shared" si="102"/>
        <v>7.90291262135922</v>
      </c>
      <c r="BD22" s="193">
        <f t="shared" si="15"/>
        <v>81.9029126213599</v>
      </c>
      <c r="BE22" s="64">
        <f>VLOOKUP(D22,FEB23SOH,3,false)</f>
        <v>184.0</v>
      </c>
      <c r="BF22" s="194">
        <f>VLOOKUP(D22,VALUEFEB23,4,false)</f>
        <v>4.957</v>
      </c>
      <c r="BG22" s="194">
        <f t="shared" si="18"/>
        <v>912.088</v>
      </c>
      <c r="BH22" s="185"/>
      <c r="BI22" s="185"/>
      <c r="BJ22" s="69">
        <f t="shared" si="50"/>
        <v>102.09708737864</v>
      </c>
      <c r="BK22" s="65"/>
      <c r="BM22" s="185"/>
      <c r="BN22" s="65">
        <f t="shared" si="51"/>
        <v>184.0</v>
      </c>
      <c r="BO22" s="65">
        <f t="shared" si="52"/>
        <v>11.4432989690721</v>
      </c>
      <c r="BP22" s="65"/>
      <c r="BQ22" s="65">
        <f t="shared" si="53"/>
        <v>172.556701030928</v>
      </c>
      <c r="BR22" s="194">
        <f t="shared" si="54"/>
        <v>855.36356701031</v>
      </c>
      <c r="BS22" s="65">
        <f t="shared" si="55"/>
        <v>13.731958762887</v>
      </c>
      <c r="BT22" s="65"/>
      <c r="BU22" s="65">
        <f t="shared" si="56"/>
        <v>158.824742268041</v>
      </c>
      <c r="BV22" s="194">
        <f t="shared" si="57"/>
        <v>787.294247422679</v>
      </c>
      <c r="BW22" s="65">
        <f t="shared" si="58"/>
        <v>16.7835051546391</v>
      </c>
      <c r="BX22" s="65"/>
      <c r="BY22" s="65">
        <f t="shared" si="59"/>
        <v>142.041237113401</v>
      </c>
      <c r="BZ22" s="194">
        <f t="shared" si="60"/>
        <v>704.098412371129</v>
      </c>
      <c r="CA22" s="65">
        <f t="shared" si="61"/>
        <v>13.731958762887</v>
      </c>
      <c r="CB22" s="65"/>
      <c r="CC22" s="65">
        <f t="shared" si="62"/>
        <v>128.309278350514</v>
      </c>
      <c r="CD22" s="194">
        <f t="shared" si="63"/>
        <v>636.029092783498</v>
      </c>
      <c r="CE22" s="65">
        <f t="shared" si="64"/>
        <v>9.91752577319588</v>
      </c>
      <c r="CF22" s="65"/>
      <c r="CG22" s="65">
        <f t="shared" si="65"/>
        <v>118.391752577318</v>
      </c>
      <c r="CH22" s="194">
        <f t="shared" si="66"/>
        <v>586.867917525765</v>
      </c>
      <c r="CI22" s="65">
        <f t="shared" si="67"/>
        <v>8.39175257731959</v>
      </c>
      <c r="CJ22" s="65"/>
      <c r="CK22" s="65">
        <f t="shared" si="68"/>
        <v>109.999999999998</v>
      </c>
      <c r="CL22" s="195">
        <f t="shared" si="69"/>
        <v>545.26999999999</v>
      </c>
      <c r="CM22" s="65">
        <f t="shared" si="70"/>
        <v>7.90291262135922</v>
      </c>
      <c r="CN22" s="65"/>
      <c r="CO22" s="65">
        <f t="shared" si="71"/>
        <v>102.09708737863</v>
      </c>
      <c r="CP22" s="195">
        <f t="shared" si="72"/>
        <v>10423.8152512006</v>
      </c>
    </row>
    <row r="23" ht="14.0" customFormat="1" s="47">
      <c r="A23" s="93" t="s">
        <v>430</v>
      </c>
      <c r="B23" s="93" t="s">
        <v>438</v>
      </c>
      <c r="C23" s="93" t="s">
        <v>464</v>
      </c>
      <c r="D23" s="93" t="s">
        <v>465</v>
      </c>
      <c r="E23" s="93">
        <v>124.0</v>
      </c>
      <c r="F23" s="93">
        <v>79.0</v>
      </c>
      <c r="G23" s="93">
        <v>40.0</v>
      </c>
      <c r="H23" s="93">
        <v>43.0</v>
      </c>
      <c r="I23" s="93">
        <v>66.0</v>
      </c>
      <c r="J23" s="93">
        <v>43.0</v>
      </c>
      <c r="K23" s="93">
        <v>89.0</v>
      </c>
      <c r="L23" s="93">
        <v>101.0</v>
      </c>
      <c r="M23" s="93">
        <v>27.0</v>
      </c>
      <c r="N23" s="93">
        <v>66.0</v>
      </c>
      <c r="O23" s="93">
        <v>57.0</v>
      </c>
      <c r="P23" s="93">
        <v>51.0</v>
      </c>
      <c r="Q23" s="93">
        <v>124.0</v>
      </c>
      <c r="R23" s="93">
        <v>54.0</v>
      </c>
      <c r="S23" s="93">
        <v>24.0</v>
      </c>
      <c r="T23" s="93">
        <v>40.0</v>
      </c>
      <c r="U23" s="93">
        <v>76.0</v>
      </c>
      <c r="V23" s="93">
        <v>66.0</v>
      </c>
      <c r="W23" s="93">
        <v>10.0</v>
      </c>
      <c r="X23" s="93">
        <v>0.0</v>
      </c>
      <c r="Y23" s="93">
        <v>0.0</v>
      </c>
      <c r="Z23" s="93">
        <v>25.0</v>
      </c>
      <c r="AA23" s="93">
        <v>30.0</v>
      </c>
      <c r="AB23" s="93">
        <v>30.0</v>
      </c>
      <c r="AC23" s="93">
        <v>51.0</v>
      </c>
      <c r="AD23" s="93">
        <v>42.0</v>
      </c>
      <c r="AE23" s="93">
        <v>24.0</v>
      </c>
      <c r="AF23" s="93">
        <v>21.0</v>
      </c>
      <c r="AG23" s="93">
        <v>60.0</v>
      </c>
      <c r="AH23" s="93">
        <v>12.0</v>
      </c>
      <c r="AI23" s="93">
        <v>41.0</v>
      </c>
      <c r="AJ23" s="93">
        <v>24.0</v>
      </c>
      <c r="AK23" s="93">
        <v>16.0</v>
      </c>
      <c r="AL23" s="110">
        <f>Z23</f>
        <v>25.0</v>
      </c>
      <c r="AM23" s="93">
        <v>22.0</v>
      </c>
      <c r="AN23" s="93">
        <v>24.0</v>
      </c>
      <c r="AO23" s="93">
        <v>24.0</v>
      </c>
      <c r="AP23" s="93">
        <v>54.0</v>
      </c>
      <c r="AQ23" s="93">
        <v>24.0</v>
      </c>
      <c r="AR23" s="93">
        <v>15.0</v>
      </c>
      <c r="AS23" s="93">
        <v>29.0</v>
      </c>
      <c r="AT23" s="111">
        <f t="shared" si="5"/>
        <v>310.0</v>
      </c>
      <c r="AU23" s="64">
        <f t="shared" si="105"/>
        <v>140.0</v>
      </c>
      <c r="AV23" s="69">
        <f t="shared" si="7"/>
        <v>154.0</v>
      </c>
      <c r="AW23" s="65">
        <f t="shared" si="106"/>
        <v>21.6494845360824</v>
      </c>
      <c r="AX23" s="65">
        <f t="shared" si="107"/>
        <v>25.979381443299</v>
      </c>
      <c r="AY23" s="65">
        <f t="shared" si="108"/>
        <v>31.7525773195876</v>
      </c>
      <c r="AZ23" s="65">
        <f t="shared" si="109"/>
        <v>25.979381443299</v>
      </c>
      <c r="BA23" s="65">
        <f t="shared" si="110"/>
        <v>18.7628865979381</v>
      </c>
      <c r="BB23" s="65">
        <f t="shared" si="111"/>
        <v>15.8762886597938</v>
      </c>
      <c r="BC23" s="65">
        <f t="shared" si="102"/>
        <v>14.9514563106796</v>
      </c>
      <c r="BD23" s="193">
        <f t="shared" si="15"/>
        <v>154.95145631068</v>
      </c>
      <c r="BE23" s="64">
        <f>VLOOKUP(D23,FEB23SOH,3,false)</f>
        <v>218.0</v>
      </c>
      <c r="BF23" s="194">
        <f>VLOOKUP(D23,VALUEFEB23,4,false)</f>
        <v>4.8067</v>
      </c>
      <c r="BG23" s="194">
        <f t="shared" si="18"/>
        <v>1047.8606</v>
      </c>
      <c r="BH23" s="185"/>
      <c r="BI23" s="185"/>
      <c r="BJ23" s="69">
        <f t="shared" si="50"/>
        <v>63.04854368932</v>
      </c>
      <c r="BK23" s="65"/>
      <c r="BM23" s="185"/>
      <c r="BN23" s="65">
        <f t="shared" si="51"/>
        <v>218.0</v>
      </c>
      <c r="BO23" s="65">
        <f t="shared" si="52"/>
        <v>21.6494845360824</v>
      </c>
      <c r="BP23" s="65"/>
      <c r="BQ23" s="65">
        <f t="shared" si="53"/>
        <v>196.350515463918</v>
      </c>
      <c r="BR23" s="194">
        <f t="shared" si="54"/>
        <v>943.798022680414</v>
      </c>
      <c r="BS23" s="65">
        <f t="shared" si="55"/>
        <v>25.979381443299</v>
      </c>
      <c r="BT23" s="65"/>
      <c r="BU23" s="65">
        <f t="shared" si="56"/>
        <v>170.371134020619</v>
      </c>
      <c r="BV23" s="194">
        <f t="shared" si="57"/>
        <v>818.922929896909</v>
      </c>
      <c r="BW23" s="65">
        <f t="shared" si="58"/>
        <v>31.7525773195876</v>
      </c>
      <c r="BX23" s="65"/>
      <c r="BY23" s="65">
        <f t="shared" si="59"/>
        <v>138.618556701031</v>
      </c>
      <c r="BZ23" s="194">
        <f t="shared" si="60"/>
        <v>666.29781649484</v>
      </c>
      <c r="CA23" s="65">
        <f t="shared" si="61"/>
        <v>25.979381443299</v>
      </c>
      <c r="CB23" s="65"/>
      <c r="CC23" s="65">
        <f t="shared" si="62"/>
        <v>112.639175257731</v>
      </c>
      <c r="CD23" s="194">
        <f t="shared" si="63"/>
        <v>541.42272371133</v>
      </c>
      <c r="CE23" s="65">
        <f t="shared" si="64"/>
        <v>18.7628865979381</v>
      </c>
      <c r="CF23" s="65"/>
      <c r="CG23" s="65">
        <f t="shared" si="65"/>
        <v>93.8762886597929</v>
      </c>
      <c r="CH23" s="194">
        <f t="shared" si="66"/>
        <v>451.23515670102</v>
      </c>
      <c r="CI23" s="65">
        <f t="shared" si="67"/>
        <v>15.8762886597938</v>
      </c>
      <c r="CJ23" s="65"/>
      <c r="CK23" s="65">
        <f t="shared" si="68"/>
        <v>77.9999999999991</v>
      </c>
      <c r="CL23" s="195">
        <f t="shared" si="69"/>
        <v>374.922599999996</v>
      </c>
      <c r="CM23" s="65">
        <f t="shared" si="70"/>
        <v>14.9514563106796</v>
      </c>
      <c r="CN23" s="65"/>
      <c r="CO23" s="65">
        <f t="shared" si="71"/>
        <v>63.0485436893195</v>
      </c>
      <c r="CP23" s="195">
        <f t="shared" si="72"/>
        <v>3975.11886134406</v>
      </c>
    </row>
    <row r="24" ht="14.0" customFormat="1" s="47">
      <c r="A24" s="93" t="s">
        <v>430</v>
      </c>
      <c r="B24" s="93" t="s">
        <v>53</v>
      </c>
      <c r="C24" s="93" t="s">
        <v>466</v>
      </c>
      <c r="D24" s="93" t="s">
        <v>467</v>
      </c>
      <c r="E24" s="93">
        <v>66.0</v>
      </c>
      <c r="F24" s="93">
        <v>46.0</v>
      </c>
      <c r="G24" s="93">
        <v>43.0</v>
      </c>
      <c r="H24" s="93">
        <v>0.0</v>
      </c>
      <c r="I24" s="93">
        <v>28.0</v>
      </c>
      <c r="J24" s="93">
        <v>33.0</v>
      </c>
      <c r="K24" s="93">
        <v>135.0</v>
      </c>
      <c r="L24" s="93">
        <v>78.0</v>
      </c>
      <c r="M24" s="93">
        <v>30.0</v>
      </c>
      <c r="N24" s="93">
        <v>45.0</v>
      </c>
      <c r="O24" s="93">
        <v>46.0</v>
      </c>
      <c r="P24" s="93">
        <v>15.0</v>
      </c>
      <c r="Q24" s="93">
        <v>36.0</v>
      </c>
      <c r="R24" s="93">
        <v>54.0</v>
      </c>
      <c r="S24" s="93">
        <v>54.0</v>
      </c>
      <c r="T24" s="93">
        <v>21.0</v>
      </c>
      <c r="U24" s="93">
        <v>42.0</v>
      </c>
      <c r="V24" s="93">
        <v>84.0</v>
      </c>
      <c r="W24" s="93">
        <v>87.0</v>
      </c>
      <c r="X24" s="93">
        <v>66.0</v>
      </c>
      <c r="Y24" s="93">
        <v>7.0</v>
      </c>
      <c r="Z24" s="93">
        <v>34.0</v>
      </c>
      <c r="AA24" s="93">
        <v>48.0</v>
      </c>
      <c r="AB24" s="93">
        <v>39.0</v>
      </c>
      <c r="AC24" s="93">
        <v>39.0</v>
      </c>
      <c r="AD24" s="93">
        <v>77.0</v>
      </c>
      <c r="AE24" s="93">
        <v>76.0</v>
      </c>
      <c r="AF24" s="93">
        <v>96.0</v>
      </c>
      <c r="AG24" s="93">
        <v>73.0</v>
      </c>
      <c r="AH24" s="93">
        <v>85.0</v>
      </c>
      <c r="AI24" s="93">
        <v>110.0</v>
      </c>
      <c r="AJ24" s="93">
        <v>12.0</v>
      </c>
      <c r="AK24" s="93">
        <v>41.0</v>
      </c>
      <c r="AL24" s="93">
        <v>36.0</v>
      </c>
      <c r="AM24" s="93">
        <v>72.0</v>
      </c>
      <c r="AN24" s="93">
        <v>52.0</v>
      </c>
      <c r="AO24" s="93">
        <v>56.0</v>
      </c>
      <c r="AP24" s="93">
        <v>46.0</v>
      </c>
      <c r="AQ24" s="93">
        <v>60.0</v>
      </c>
      <c r="AR24" s="93">
        <v>46.0</v>
      </c>
      <c r="AS24" s="93">
        <v>172.0</v>
      </c>
      <c r="AT24" s="111">
        <f t="shared" si="5"/>
        <v>788.0</v>
      </c>
      <c r="AU24" s="64">
        <f t="shared" si="105"/>
        <v>356.0</v>
      </c>
      <c r="AV24" s="69">
        <f t="shared" si="7"/>
        <v>391.6</v>
      </c>
      <c r="AW24" s="196">
        <f>AH24*1.1</f>
        <v>93.5</v>
      </c>
      <c r="AX24" s="196">
        <f>AI24*1.1</f>
        <v>121.0</v>
      </c>
      <c r="AY24" s="196">
        <f>AJ24*1.1</f>
        <v>13.2</v>
      </c>
      <c r="AZ24" s="196">
        <f>AK24*1.1</f>
        <v>45.1</v>
      </c>
      <c r="BA24" s="196">
        <f t="shared" ref="BA24:BA27" si="117">AL24*1.1</f>
        <v>39.6</v>
      </c>
      <c r="BB24" s="196">
        <f t="shared" ref="BB24:BB27" si="118">AM24*1.1</f>
        <v>79.2</v>
      </c>
      <c r="BC24" s="196">
        <f t="shared" ref="BC24:BC27" si="119">AN24*1.1</f>
        <v>57.2</v>
      </c>
      <c r="BD24" s="193">
        <f t="shared" si="15"/>
        <v>448.8</v>
      </c>
      <c r="BE24" s="64">
        <f>VLOOKUP(D24,FEB23SOH,3,false)</f>
        <v>447.0</v>
      </c>
      <c r="BF24" s="194">
        <f>VLOOKUP(D24,VALUEFEB23,4,false)</f>
        <v>6.6798</v>
      </c>
      <c r="BG24" s="194">
        <f t="shared" si="18"/>
        <v>2985.8706</v>
      </c>
      <c r="BH24" s="185"/>
      <c r="BI24" s="185"/>
      <c r="BJ24" s="69">
        <f t="shared" si="50"/>
        <v>-1.80000000000001</v>
      </c>
      <c r="BK24" s="65"/>
      <c r="BM24" s="185" t="s">
        <v>543</v>
      </c>
      <c r="BN24" s="65">
        <f t="shared" si="51"/>
        <v>447.0</v>
      </c>
      <c r="BO24" s="65">
        <f t="shared" si="52"/>
        <v>93.5</v>
      </c>
      <c r="BP24" s="65"/>
      <c r="BQ24" s="65">
        <f t="shared" si="53"/>
        <v>353.5</v>
      </c>
      <c r="BR24" s="194">
        <f t="shared" si="54"/>
        <v>2361.3093</v>
      </c>
      <c r="BS24" s="65">
        <f t="shared" si="55"/>
        <v>121.0</v>
      </c>
      <c r="BT24" s="65"/>
      <c r="BU24" s="65">
        <f t="shared" si="56"/>
        <v>232.5</v>
      </c>
      <c r="BV24" s="194">
        <f t="shared" si="57"/>
        <v>1553.0535</v>
      </c>
      <c r="BW24" s="65">
        <f t="shared" si="58"/>
        <v>13.2</v>
      </c>
      <c r="BX24" s="65"/>
      <c r="BY24" s="65">
        <f t="shared" si="59"/>
        <v>219.3</v>
      </c>
      <c r="BZ24" s="194">
        <f t="shared" si="60"/>
        <v>1464.88014</v>
      </c>
      <c r="CA24" s="65">
        <f t="shared" si="61"/>
        <v>45.1</v>
      </c>
      <c r="CB24" s="65"/>
      <c r="CC24" s="65">
        <f t="shared" si="62"/>
        <v>174.2</v>
      </c>
      <c r="CD24" s="194">
        <f t="shared" si="63"/>
        <v>1163.62116</v>
      </c>
      <c r="CE24" s="65">
        <f t="shared" si="64"/>
        <v>39.6</v>
      </c>
      <c r="CF24" s="65"/>
      <c r="CG24" s="65">
        <f t="shared" si="65"/>
        <v>134.6</v>
      </c>
      <c r="CH24" s="194">
        <f t="shared" si="66"/>
        <v>899.10108</v>
      </c>
      <c r="CI24" s="65">
        <f t="shared" si="67"/>
        <v>79.2</v>
      </c>
      <c r="CJ24" s="65"/>
      <c r="CK24" s="65">
        <f t="shared" si="68"/>
        <v>55.4</v>
      </c>
      <c r="CL24" s="195">
        <f t="shared" si="69"/>
        <v>370.06092</v>
      </c>
      <c r="CM24" s="65">
        <f t="shared" si="70"/>
        <v>57.2</v>
      </c>
      <c r="CN24" s="65"/>
      <c r="CO24" s="65">
        <f t="shared" si="71"/>
        <v>-1.8</v>
      </c>
      <c r="CP24" s="195">
        <f t="shared" si="72"/>
        <v>3.24000000000001</v>
      </c>
    </row>
    <row r="25" ht="14.0" customFormat="1" s="47">
      <c r="A25" s="93" t="s">
        <v>430</v>
      </c>
      <c r="B25" s="93" t="s">
        <v>53</v>
      </c>
      <c r="C25" s="93" t="s">
        <v>468</v>
      </c>
      <c r="D25" s="93" t="s">
        <v>469</v>
      </c>
      <c r="E25" s="93">
        <v>76.0</v>
      </c>
      <c r="F25" s="93">
        <v>37.0</v>
      </c>
      <c r="G25" s="93">
        <v>40.0</v>
      </c>
      <c r="H25" s="93">
        <v>12.0</v>
      </c>
      <c r="I25" s="93">
        <v>39.0</v>
      </c>
      <c r="J25" s="93">
        <v>22.0</v>
      </c>
      <c r="K25" s="93">
        <v>27.0</v>
      </c>
      <c r="L25" s="93">
        <v>21.0</v>
      </c>
      <c r="M25" s="93">
        <v>15.0</v>
      </c>
      <c r="N25" s="93">
        <v>51.0</v>
      </c>
      <c r="O25" s="93">
        <v>90.0</v>
      </c>
      <c r="P25" s="93">
        <v>25.0</v>
      </c>
      <c r="Q25" s="93">
        <v>45.0</v>
      </c>
      <c r="R25" s="93">
        <v>21.0</v>
      </c>
      <c r="S25" s="93">
        <v>36.0</v>
      </c>
      <c r="T25" s="93">
        <v>15.0</v>
      </c>
      <c r="U25" s="93">
        <v>32.0</v>
      </c>
      <c r="V25" s="93">
        <v>24.0</v>
      </c>
      <c r="W25" s="93">
        <v>20.0</v>
      </c>
      <c r="X25" s="93">
        <v>21.0</v>
      </c>
      <c r="Y25" s="93">
        <v>18.0</v>
      </c>
      <c r="Z25" s="93">
        <v>103.0</v>
      </c>
      <c r="AA25" s="93">
        <v>117.0</v>
      </c>
      <c r="AB25" s="93">
        <v>36.0</v>
      </c>
      <c r="AC25" s="93">
        <v>48.0</v>
      </c>
      <c r="AD25" s="93">
        <v>65.0</v>
      </c>
      <c r="AE25" s="93">
        <v>48.0</v>
      </c>
      <c r="AF25" s="93">
        <v>88.0</v>
      </c>
      <c r="AG25" s="93">
        <v>17.0</v>
      </c>
      <c r="AH25" s="110">
        <f>V25</f>
        <v>24.0</v>
      </c>
      <c r="AI25" s="110">
        <f>W25</f>
        <v>20.0</v>
      </c>
      <c r="AJ25" s="93">
        <v>6.0</v>
      </c>
      <c r="AK25" s="93">
        <v>27.0</v>
      </c>
      <c r="AL25" s="197">
        <v>76.0</v>
      </c>
      <c r="AM25" s="197">
        <v>178.0</v>
      </c>
      <c r="AN25" s="93">
        <v>55.0</v>
      </c>
      <c r="AO25" s="93">
        <v>63.0</v>
      </c>
      <c r="AP25" s="93">
        <v>59.0</v>
      </c>
      <c r="AQ25" s="93">
        <v>51.0</v>
      </c>
      <c r="AR25" s="93">
        <v>37.0</v>
      </c>
      <c r="AS25" s="93">
        <v>99.0</v>
      </c>
      <c r="AT25" s="111">
        <f t="shared" si="5"/>
        <v>695.0</v>
      </c>
      <c r="AU25" s="64">
        <f t="shared" si="105"/>
        <v>331.0</v>
      </c>
      <c r="AV25" s="69">
        <f t="shared" si="7"/>
        <v>364.1</v>
      </c>
      <c r="AW25" s="65">
        <f>AV25*$AW$4/$AV$4</f>
        <v>51.1855670103092</v>
      </c>
      <c r="AX25" s="65">
        <f>AV25*$AX$4/$AV$4</f>
        <v>61.4226804123711</v>
      </c>
      <c r="AY25" s="65">
        <f>AV25*$AY$4/$AV$4</f>
        <v>75.0721649484536</v>
      </c>
      <c r="AZ25" s="65">
        <f>AV25*$AZ$4/$AV$4</f>
        <v>61.4226804123711</v>
      </c>
      <c r="BA25" s="198">
        <f t="shared" si="117"/>
        <v>83.6</v>
      </c>
      <c r="BB25" s="198">
        <f t="shared" si="118"/>
        <v>195.8</v>
      </c>
      <c r="BC25" s="198">
        <f t="shared" si="119"/>
        <v>60.5</v>
      </c>
      <c r="BD25" s="193">
        <f t="shared" si="15"/>
        <v>589.003092783505</v>
      </c>
      <c r="BE25" s="64">
        <f>VLOOKUP(D25,FEB23SOH,3,false)</f>
        <v>176.0</v>
      </c>
      <c r="BF25" s="194">
        <f>VLOOKUP(D25,VALUEFEB23,4,false)</f>
        <v>6.8012</v>
      </c>
      <c r="BG25" s="194">
        <f t="shared" si="18"/>
        <v>1197.0112</v>
      </c>
      <c r="BH25" s="185"/>
      <c r="BI25" s="185"/>
      <c r="BJ25" s="69">
        <f t="shared" si="50"/>
        <v>-413.003092783505</v>
      </c>
      <c r="BK25" s="65"/>
      <c r="BL25" s="64"/>
      <c r="BM25" s="185" t="s">
        <v>520</v>
      </c>
      <c r="BN25" s="65">
        <f t="shared" si="51"/>
        <v>176.0</v>
      </c>
      <c r="BO25" s="65">
        <f t="shared" si="52"/>
        <v>51.1855670103092</v>
      </c>
      <c r="BP25" s="65"/>
      <c r="BQ25" s="65">
        <f t="shared" si="53"/>
        <v>124.81443298969</v>
      </c>
      <c r="BR25" s="194">
        <f t="shared" si="54"/>
        <v>848.88792164948</v>
      </c>
      <c r="BS25" s="65">
        <f t="shared" si="55"/>
        <v>61.4226804123711</v>
      </c>
      <c r="BT25" s="65"/>
      <c r="BU25" s="65">
        <f t="shared" si="56"/>
        <v>63.3917525773189</v>
      </c>
      <c r="BV25" s="194">
        <f t="shared" si="57"/>
        <v>431.139987628861</v>
      </c>
      <c r="BW25" s="65">
        <f t="shared" si="58"/>
        <v>75.0721649484536</v>
      </c>
      <c r="BX25" s="65"/>
      <c r="BY25" s="65">
        <f t="shared" si="59"/>
        <v>-11.6804123711347</v>
      </c>
      <c r="BZ25" s="194">
        <f t="shared" si="60"/>
        <v>-79.4408206185613</v>
      </c>
      <c r="CA25" s="65">
        <f t="shared" si="61"/>
        <v>61.4226804123711</v>
      </c>
      <c r="CB25" s="65"/>
      <c r="CC25" s="65">
        <f t="shared" si="62"/>
        <v>-73.1030927835058</v>
      </c>
      <c r="CD25" s="194">
        <f t="shared" si="63"/>
        <v>-497.188754639178</v>
      </c>
      <c r="CE25" s="65">
        <f t="shared" si="64"/>
        <v>83.6</v>
      </c>
      <c r="CF25" s="65"/>
      <c r="CG25" s="65">
        <f t="shared" si="65"/>
        <v>-156.7030927835</v>
      </c>
      <c r="CH25" s="194">
        <f t="shared" si="66"/>
        <v>-1065.76907463914</v>
      </c>
      <c r="CI25" s="65">
        <f t="shared" si="67"/>
        <v>195.8</v>
      </c>
      <c r="CJ25" s="65"/>
      <c r="CK25" s="65">
        <f t="shared" si="68"/>
        <v>-352.5030927835</v>
      </c>
      <c r="CL25" s="195">
        <f t="shared" si="69"/>
        <v>-2397.44403463914</v>
      </c>
      <c r="CM25" s="65">
        <f t="shared" si="70"/>
        <v>60.5</v>
      </c>
      <c r="CN25" s="65"/>
      <c r="CO25" s="65">
        <f t="shared" si="71"/>
        <v>-413.0030927835</v>
      </c>
      <c r="CP25" s="195">
        <f t="shared" si="72"/>
        <v>170571.554648738</v>
      </c>
    </row>
    <row r="26" ht="14.0" customFormat="1" s="47">
      <c r="A26" s="93" t="s">
        <v>430</v>
      </c>
      <c r="B26" s="93" t="s">
        <v>53</v>
      </c>
      <c r="C26" s="93" t="s">
        <v>470</v>
      </c>
      <c r="D26" s="93" t="s">
        <v>471</v>
      </c>
      <c r="E26" s="93">
        <v>89.0</v>
      </c>
      <c r="F26" s="93">
        <v>45.0</v>
      </c>
      <c r="G26" s="93">
        <v>66.0</v>
      </c>
      <c r="H26" s="93">
        <v>18.0</v>
      </c>
      <c r="I26" s="93">
        <v>57.0</v>
      </c>
      <c r="J26" s="93">
        <v>26.0</v>
      </c>
      <c r="K26" s="93">
        <v>84.0</v>
      </c>
      <c r="L26" s="93">
        <v>50.0</v>
      </c>
      <c r="M26" s="93">
        <v>27.0</v>
      </c>
      <c r="N26" s="93">
        <v>30.0</v>
      </c>
      <c r="O26" s="93">
        <v>36.0</v>
      </c>
      <c r="P26" s="93">
        <v>18.0</v>
      </c>
      <c r="Q26" s="93">
        <v>21.0</v>
      </c>
      <c r="R26" s="93">
        <v>27.0</v>
      </c>
      <c r="S26" s="93">
        <v>55.0</v>
      </c>
      <c r="T26" s="93">
        <v>15.0</v>
      </c>
      <c r="U26" s="93">
        <v>42.0</v>
      </c>
      <c r="V26" s="93">
        <v>60.0</v>
      </c>
      <c r="W26" s="93">
        <v>54.0</v>
      </c>
      <c r="X26" s="93">
        <v>63.0</v>
      </c>
      <c r="Y26" s="93">
        <v>24.0</v>
      </c>
      <c r="Z26" s="93">
        <v>28.0</v>
      </c>
      <c r="AA26" s="93">
        <v>42.0</v>
      </c>
      <c r="AB26" s="93">
        <v>42.0</v>
      </c>
      <c r="AC26" s="93">
        <v>30.0</v>
      </c>
      <c r="AD26" s="93">
        <v>77.0</v>
      </c>
      <c r="AE26" s="93">
        <v>54.0</v>
      </c>
      <c r="AF26" s="93">
        <v>83.0</v>
      </c>
      <c r="AG26" s="93">
        <v>45.0</v>
      </c>
      <c r="AH26" s="93">
        <v>68.0</v>
      </c>
      <c r="AI26" s="93">
        <v>49.0</v>
      </c>
      <c r="AJ26" s="93">
        <v>22.0</v>
      </c>
      <c r="AK26" s="93">
        <v>27.0</v>
      </c>
      <c r="AL26" s="93">
        <v>20.0</v>
      </c>
      <c r="AM26" s="93">
        <v>60.0</v>
      </c>
      <c r="AN26" s="93">
        <v>40.0</v>
      </c>
      <c r="AO26" s="93">
        <v>51.0</v>
      </c>
      <c r="AP26" s="93">
        <v>36.0</v>
      </c>
      <c r="AQ26" s="93">
        <v>53.0</v>
      </c>
      <c r="AR26" s="93">
        <v>37.0</v>
      </c>
      <c r="AS26" s="93">
        <v>142.0</v>
      </c>
      <c r="AT26" s="111">
        <f t="shared" si="5"/>
        <v>605.0</v>
      </c>
      <c r="AU26" s="64">
        <f t="shared" si="105"/>
        <v>246.0</v>
      </c>
      <c r="AV26" s="69">
        <f t="shared" si="7"/>
        <v>270.6</v>
      </c>
      <c r="AW26" s="196">
        <f>AH26*1.1</f>
        <v>74.8</v>
      </c>
      <c r="AX26" s="196">
        <f>AI26*1.1</f>
        <v>53.9</v>
      </c>
      <c r="AY26" s="196">
        <f>AJ26*1.1</f>
        <v>24.2</v>
      </c>
      <c r="AZ26" s="196">
        <f>AK26*1.1</f>
        <v>29.7</v>
      </c>
      <c r="BA26" s="196">
        <f t="shared" si="117"/>
        <v>22.0</v>
      </c>
      <c r="BB26" s="196">
        <f t="shared" si="118"/>
        <v>66.0</v>
      </c>
      <c r="BC26" s="196">
        <f t="shared" si="119"/>
        <v>44.0</v>
      </c>
      <c r="BD26" s="193">
        <f t="shared" si="15"/>
        <v>314.6</v>
      </c>
      <c r="BE26" s="64">
        <f>VLOOKUP(D26,FEB23SOH,3,false)</f>
        <v>249.0</v>
      </c>
      <c r="BF26" s="194">
        <f>VLOOKUP(D26,VALUEFEB23,4,false)</f>
        <v>6.6798</v>
      </c>
      <c r="BG26" s="194">
        <f t="shared" si="18"/>
        <v>1663.2702</v>
      </c>
      <c r="BH26" s="185"/>
      <c r="BI26" s="185"/>
      <c r="BJ26" s="69">
        <f t="shared" si="50"/>
        <v>-65.6</v>
      </c>
      <c r="BK26" s="65"/>
      <c r="BL26" s="64"/>
      <c r="BM26" s="185" t="s">
        <v>6</v>
      </c>
      <c r="BN26" s="65">
        <f t="shared" si="51"/>
        <v>249.0</v>
      </c>
      <c r="BO26" s="65">
        <f t="shared" si="52"/>
        <v>74.8</v>
      </c>
      <c r="BP26" s="65"/>
      <c r="BQ26" s="65">
        <f t="shared" si="53"/>
        <v>174.2</v>
      </c>
      <c r="BR26" s="194">
        <f t="shared" si="54"/>
        <v>1163.62116</v>
      </c>
      <c r="BS26" s="65">
        <f t="shared" si="55"/>
        <v>53.9</v>
      </c>
      <c r="BT26" s="65"/>
      <c r="BU26" s="65">
        <f t="shared" si="56"/>
        <v>120.3</v>
      </c>
      <c r="BV26" s="194">
        <f t="shared" si="57"/>
        <v>803.57994</v>
      </c>
      <c r="BW26" s="65">
        <f t="shared" si="58"/>
        <v>24.2</v>
      </c>
      <c r="BX26" s="65"/>
      <c r="BY26" s="65">
        <f t="shared" si="59"/>
        <v>96.1</v>
      </c>
      <c r="BZ26" s="194">
        <f t="shared" si="60"/>
        <v>641.92878</v>
      </c>
      <c r="CA26" s="65">
        <f t="shared" si="61"/>
        <v>29.7</v>
      </c>
      <c r="CB26" s="65"/>
      <c r="CC26" s="65">
        <f t="shared" si="62"/>
        <v>66.4</v>
      </c>
      <c r="CD26" s="194">
        <f t="shared" si="63"/>
        <v>443.53872</v>
      </c>
      <c r="CE26" s="65">
        <f t="shared" si="64"/>
        <v>22.0</v>
      </c>
      <c r="CF26" s="65"/>
      <c r="CG26" s="65">
        <f t="shared" si="65"/>
        <v>44.4</v>
      </c>
      <c r="CH26" s="194">
        <f t="shared" si="66"/>
        <v>296.58312</v>
      </c>
      <c r="CI26" s="65">
        <f t="shared" si="67"/>
        <v>66.0</v>
      </c>
      <c r="CJ26" s="65"/>
      <c r="CK26" s="65">
        <f t="shared" si="68"/>
        <v>-21.6</v>
      </c>
      <c r="CL26" s="195">
        <f t="shared" si="69"/>
        <v>-144.28368</v>
      </c>
      <c r="CM26" s="65">
        <f t="shared" si="70"/>
        <v>44.0</v>
      </c>
      <c r="CN26" s="65"/>
      <c r="CO26" s="65">
        <f t="shared" si="71"/>
        <v>-65.6</v>
      </c>
      <c r="CP26" s="195">
        <f t="shared" si="72"/>
        <v>4303.36</v>
      </c>
    </row>
    <row r="27" ht="14.0" customFormat="1" s="47">
      <c r="A27" s="93" t="s">
        <v>430</v>
      </c>
      <c r="B27" s="93" t="s">
        <v>53</v>
      </c>
      <c r="C27" s="93" t="s">
        <v>472</v>
      </c>
      <c r="D27" s="93" t="s">
        <v>473</v>
      </c>
      <c r="E27" s="93">
        <v>65.0</v>
      </c>
      <c r="F27" s="93">
        <v>16.0</v>
      </c>
      <c r="G27" s="93">
        <v>39.0</v>
      </c>
      <c r="H27" s="93">
        <v>18.0</v>
      </c>
      <c r="I27" s="93">
        <v>36.0</v>
      </c>
      <c r="J27" s="93">
        <v>18.0</v>
      </c>
      <c r="K27" s="93">
        <v>27.0</v>
      </c>
      <c r="L27" s="93">
        <v>12.0</v>
      </c>
      <c r="M27" s="93">
        <v>9.0</v>
      </c>
      <c r="N27" s="93">
        <v>31.0</v>
      </c>
      <c r="O27" s="93">
        <v>81.0</v>
      </c>
      <c r="P27" s="93">
        <v>22.0</v>
      </c>
      <c r="Q27" s="93">
        <v>32.0</v>
      </c>
      <c r="R27" s="93">
        <v>19.0</v>
      </c>
      <c r="S27" s="93">
        <v>29.0</v>
      </c>
      <c r="T27" s="93">
        <v>9.0</v>
      </c>
      <c r="U27" s="93">
        <v>18.0</v>
      </c>
      <c r="V27" s="93">
        <v>27.0</v>
      </c>
      <c r="W27" s="93">
        <v>6.0</v>
      </c>
      <c r="X27" s="93">
        <v>16.0</v>
      </c>
      <c r="Y27" s="93">
        <v>21.0</v>
      </c>
      <c r="Z27" s="93">
        <v>91.0</v>
      </c>
      <c r="AA27" s="93">
        <v>68.0</v>
      </c>
      <c r="AB27" s="93">
        <v>30.0</v>
      </c>
      <c r="AC27" s="93">
        <v>25.0</v>
      </c>
      <c r="AD27" s="93">
        <v>40.0</v>
      </c>
      <c r="AE27" s="93">
        <v>44.0</v>
      </c>
      <c r="AF27" s="93">
        <v>68.0</v>
      </c>
      <c r="AG27" s="93">
        <v>33.0</v>
      </c>
      <c r="AH27" s="93">
        <v>24.0</v>
      </c>
      <c r="AI27" s="93">
        <v>6.0</v>
      </c>
      <c r="AJ27" s="93">
        <v>27.0</v>
      </c>
      <c r="AK27" s="93">
        <v>6.0</v>
      </c>
      <c r="AL27" s="197">
        <v>37.0</v>
      </c>
      <c r="AM27" s="197">
        <v>130.0</v>
      </c>
      <c r="AN27" s="93">
        <v>32.0</v>
      </c>
      <c r="AO27" s="93">
        <v>39.0</v>
      </c>
      <c r="AP27" s="93">
        <v>33.0</v>
      </c>
      <c r="AQ27" s="93">
        <v>30.0</v>
      </c>
      <c r="AR27" s="93">
        <v>36.0</v>
      </c>
      <c r="AS27" s="93">
        <v>69.0</v>
      </c>
      <c r="AT27" s="111">
        <f t="shared" si="5"/>
        <v>469.0</v>
      </c>
      <c r="AU27" s="64">
        <f t="shared" si="105"/>
        <v>230.0</v>
      </c>
      <c r="AV27" s="69">
        <f t="shared" si="7"/>
        <v>253.0</v>
      </c>
      <c r="AW27" s="65">
        <f>AV27*$AW$4/$AV$4</f>
        <v>35.5670103092783</v>
      </c>
      <c r="AX27" s="65">
        <f>AV27*$AX$4/$AV$4</f>
        <v>42.680412371134</v>
      </c>
      <c r="AY27" s="65">
        <f>AV27*$AY$4/$AV$4</f>
        <v>52.1649484536082</v>
      </c>
      <c r="AZ27" s="65">
        <f>AV27*$AZ$4/$AV$4</f>
        <v>42.680412371134</v>
      </c>
      <c r="BA27" s="198">
        <f t="shared" si="117"/>
        <v>40.7</v>
      </c>
      <c r="BB27" s="198">
        <f t="shared" si="118"/>
        <v>143.0</v>
      </c>
      <c r="BC27" s="198">
        <f t="shared" si="119"/>
        <v>35.2</v>
      </c>
      <c r="BD27" s="193">
        <f t="shared" si="15"/>
        <v>391.992783505154</v>
      </c>
      <c r="BE27" s="64">
        <f>VLOOKUP(D27,FEB23SOH,3,false)</f>
        <v>317.0</v>
      </c>
      <c r="BF27" s="194">
        <f>VLOOKUP(D27,VALUEFEB23,4,false)</f>
        <v>6.7964</v>
      </c>
      <c r="BG27" s="194">
        <f t="shared" si="18"/>
        <v>2154.4588</v>
      </c>
      <c r="BH27" s="185"/>
      <c r="BI27" s="185"/>
      <c r="BJ27" s="69">
        <f t="shared" si="50"/>
        <v>-74.992783505154</v>
      </c>
      <c r="BK27" s="65"/>
      <c r="BL27" s="64"/>
      <c r="BM27" s="185" t="s">
        <v>6</v>
      </c>
      <c r="BN27" s="65">
        <f t="shared" si="51"/>
        <v>317.0</v>
      </c>
      <c r="BO27" s="65">
        <f t="shared" si="52"/>
        <v>35.5670103092783</v>
      </c>
      <c r="BP27" s="65"/>
      <c r="BQ27" s="65">
        <f t="shared" si="53"/>
        <v>281.432989690721</v>
      </c>
      <c r="BR27" s="194">
        <f t="shared" si="54"/>
        <v>1912.73117113401</v>
      </c>
      <c r="BS27" s="65">
        <f t="shared" si="55"/>
        <v>42.680412371134</v>
      </c>
      <c r="BT27" s="65"/>
      <c r="BU27" s="65">
        <f t="shared" si="56"/>
        <v>238.752577319587</v>
      </c>
      <c r="BV27" s="194">
        <f t="shared" si="57"/>
        <v>1622.65801649484</v>
      </c>
      <c r="BW27" s="65">
        <f t="shared" si="58"/>
        <v>52.1649484536082</v>
      </c>
      <c r="BX27" s="65"/>
      <c r="BY27" s="65">
        <f t="shared" si="59"/>
        <v>186.58762886598</v>
      </c>
      <c r="BZ27" s="194">
        <f t="shared" si="60"/>
        <v>1268.12416082474</v>
      </c>
      <c r="CA27" s="65">
        <f t="shared" si="61"/>
        <v>42.680412371134</v>
      </c>
      <c r="CB27" s="65"/>
      <c r="CC27" s="65">
        <f t="shared" si="62"/>
        <v>143.907216494846</v>
      </c>
      <c r="CD27" s="194">
        <f t="shared" si="63"/>
        <v>978.051006185571</v>
      </c>
      <c r="CE27" s="65">
        <f t="shared" si="64"/>
        <v>40.7</v>
      </c>
      <c r="CF27" s="65"/>
      <c r="CG27" s="65">
        <f t="shared" si="65"/>
        <v>103.207216494846</v>
      </c>
      <c r="CH27" s="194">
        <f t="shared" si="66"/>
        <v>701.437526185571</v>
      </c>
      <c r="CI27" s="65">
        <f t="shared" si="67"/>
        <v>143.0</v>
      </c>
      <c r="CJ27" s="65"/>
      <c r="CK27" s="65">
        <f t="shared" si="68"/>
        <v>-39.792783505154</v>
      </c>
      <c r="CL27" s="195">
        <f t="shared" si="69"/>
        <v>-270.447673814427</v>
      </c>
      <c r="CM27" s="65">
        <f t="shared" si="70"/>
        <v>35.2</v>
      </c>
      <c r="CN27" s="65"/>
      <c r="CO27" s="65">
        <f t="shared" si="71"/>
        <v>-74.992783505154</v>
      </c>
      <c r="CP27" s="195">
        <f t="shared" si="72"/>
        <v>5623.9175778509</v>
      </c>
    </row>
    <row r="28" ht="14.0" customFormat="1" s="47">
      <c r="A28" s="93" t="s">
        <v>430</v>
      </c>
      <c r="B28" s="93" t="s">
        <v>53</v>
      </c>
      <c r="C28" s="93" t="s">
        <v>483</v>
      </c>
      <c r="D28" s="93" t="s">
        <v>484</v>
      </c>
      <c r="E28" s="93">
        <v>0.0</v>
      </c>
      <c r="F28" s="93">
        <v>0.0</v>
      </c>
      <c r="G28" s="93">
        <v>0.0</v>
      </c>
      <c r="H28" s="93">
        <v>0.0</v>
      </c>
      <c r="I28" s="93">
        <v>0.0</v>
      </c>
      <c r="J28" s="93">
        <v>0.0</v>
      </c>
      <c r="K28" s="93">
        <v>0.0</v>
      </c>
      <c r="L28" s="93">
        <v>0.0</v>
      </c>
      <c r="M28" s="93">
        <v>0.0</v>
      </c>
      <c r="N28" s="93">
        <v>0.0</v>
      </c>
      <c r="O28" s="93">
        <v>0.0</v>
      </c>
      <c r="P28" s="93">
        <v>0.0</v>
      </c>
      <c r="Q28" s="93">
        <v>0.0</v>
      </c>
      <c r="R28" s="93">
        <v>0.0</v>
      </c>
      <c r="S28" s="93">
        <v>0.0</v>
      </c>
      <c r="T28" s="93">
        <v>0.0</v>
      </c>
      <c r="U28" s="93">
        <v>0.0</v>
      </c>
      <c r="V28" s="93">
        <v>0.0</v>
      </c>
      <c r="W28" s="93">
        <v>0.0</v>
      </c>
      <c r="X28" s="93">
        <v>0.0</v>
      </c>
      <c r="Y28" s="93">
        <v>0.0</v>
      </c>
      <c r="Z28" s="93">
        <v>0.0</v>
      </c>
      <c r="AA28" s="93">
        <v>0.0</v>
      </c>
      <c r="AB28" s="93">
        <v>0.0</v>
      </c>
      <c r="AC28" s="93">
        <v>0.0</v>
      </c>
      <c r="AD28" s="93">
        <v>0.0</v>
      </c>
      <c r="AE28" s="93">
        <v>0.0</v>
      </c>
      <c r="AF28" s="93">
        <v>0.0</v>
      </c>
      <c r="AG28" s="93">
        <v>0.0</v>
      </c>
      <c r="AH28" s="93">
        <v>0.0</v>
      </c>
      <c r="AI28" s="93">
        <v>0.0</v>
      </c>
      <c r="AJ28" s="93">
        <v>0.0</v>
      </c>
      <c r="AK28" s="93">
        <v>0.0</v>
      </c>
      <c r="AL28" s="93">
        <v>64.0</v>
      </c>
      <c r="AM28" s="113">
        <v>78.0</v>
      </c>
      <c r="AN28" s="113">
        <v>42.0</v>
      </c>
      <c r="AO28" s="113">
        <v>75.0</v>
      </c>
      <c r="AP28" s="113">
        <v>39.0</v>
      </c>
      <c r="AQ28" s="113">
        <v>36.0</v>
      </c>
      <c r="AR28" s="113">
        <v>27.0</v>
      </c>
      <c r="AS28" s="113">
        <v>40.0</v>
      </c>
      <c r="AT28" s="111">
        <f t="shared" si="5"/>
        <v>401.0</v>
      </c>
      <c r="AU28" s="186">
        <f>SUM(AN28:AS28)</f>
        <v>259.0</v>
      </c>
      <c r="AV28" s="199">
        <f t="shared" si="7"/>
        <v>284.9</v>
      </c>
      <c r="AW28" s="65">
        <f>AV28*$AW$4/$AV$3</f>
        <v>37.7184466019418</v>
      </c>
      <c r="AX28" s="65">
        <f>AV28*$AX$4/$AV$3</f>
        <v>45.26213592233</v>
      </c>
      <c r="AY28" s="65">
        <f>AV28*$AY$4/$AV$3</f>
        <v>55.3203883495146</v>
      </c>
      <c r="AZ28" s="65">
        <f>AV28*$AZ$4/$AV$3</f>
        <v>45.26213592233</v>
      </c>
      <c r="BA28" s="65">
        <f>AV28*$BA$4/$AV$3</f>
        <v>32.6893203883495</v>
      </c>
      <c r="BB28" s="65">
        <f>AV28*$BB$4/$AV$3</f>
        <v>27.6601941747572</v>
      </c>
      <c r="BC28" s="65">
        <f>AV29*$BB$4/$AV$4</f>
        <v>5.10309278350516</v>
      </c>
      <c r="BD28" s="193">
        <f t="shared" si="15"/>
        <v>249.015714142728</v>
      </c>
      <c r="BE28" s="64">
        <f>VLOOKUP(D28,FEB23SOH,3,false)</f>
        <v>1904.0</v>
      </c>
      <c r="BF28" s="194">
        <f>VLOOKUP(D28,VALUEFEB23,4,false)</f>
        <v>9.8528</v>
      </c>
      <c r="BG28" s="194">
        <f t="shared" si="18"/>
        <v>18759.7312</v>
      </c>
      <c r="BH28" s="185"/>
      <c r="BI28" s="185"/>
      <c r="BJ28" s="69">
        <f t="shared" si="50"/>
        <v>1654.98428585727</v>
      </c>
      <c r="BK28" s="65"/>
      <c r="BM28" s="185"/>
      <c r="BN28" s="65">
        <f t="shared" si="51"/>
        <v>1904.0</v>
      </c>
      <c r="BO28" s="65">
        <f t="shared" si="52"/>
        <v>37.7184466019418</v>
      </c>
      <c r="BP28" s="65"/>
      <c r="BQ28" s="65">
        <f t="shared" si="53"/>
        <v>1866.28155339806</v>
      </c>
      <c r="BR28" s="194">
        <f t="shared" si="54"/>
        <v>18388.0988893204</v>
      </c>
      <c r="BS28" s="65">
        <f t="shared" si="55"/>
        <v>45.26213592233</v>
      </c>
      <c r="BT28" s="65"/>
      <c r="BU28" s="65">
        <f t="shared" si="56"/>
        <v>1821.01941747572</v>
      </c>
      <c r="BV28" s="194">
        <f t="shared" si="57"/>
        <v>17942.140116504</v>
      </c>
      <c r="BW28" s="65">
        <f t="shared" si="58"/>
        <v>55.3203883495146</v>
      </c>
      <c r="BX28" s="65"/>
      <c r="BY28" s="65">
        <f t="shared" si="59"/>
        <v>1765.6990291262</v>
      </c>
      <c r="BZ28" s="194">
        <f t="shared" si="60"/>
        <v>17397.0793941746</v>
      </c>
      <c r="CA28" s="65">
        <f t="shared" si="61"/>
        <v>45.26213592233</v>
      </c>
      <c r="CB28" s="65"/>
      <c r="CC28" s="65">
        <f t="shared" si="62"/>
        <v>1720.43689320387</v>
      </c>
      <c r="CD28" s="194">
        <f t="shared" si="63"/>
        <v>16951.120621359</v>
      </c>
      <c r="CE28" s="65">
        <f t="shared" si="64"/>
        <v>32.6893203883495</v>
      </c>
      <c r="CF28" s="65"/>
      <c r="CG28" s="65">
        <f t="shared" si="65"/>
        <v>1687.74757281552</v>
      </c>
      <c r="CH28" s="194">
        <f t="shared" si="66"/>
        <v>16629.039285437</v>
      </c>
      <c r="CI28" s="65">
        <f t="shared" si="67"/>
        <v>27.6601941747572</v>
      </c>
      <c r="CJ28" s="65"/>
      <c r="CK28" s="65">
        <f t="shared" si="68"/>
        <v>1660.08737864076</v>
      </c>
      <c r="CL28" s="195">
        <f t="shared" si="69"/>
        <v>16356.5089242717</v>
      </c>
      <c r="CM28" s="65">
        <f t="shared" si="70"/>
        <v>5.10309278350516</v>
      </c>
      <c r="CN28" s="65"/>
      <c r="CO28" s="65">
        <f t="shared" si="71"/>
        <v>1654.98428585726</v>
      </c>
      <c r="CP28" s="195">
        <f t="shared" si="72"/>
        <v>2738972.98643448</v>
      </c>
    </row>
    <row r="29" ht="14.0" customFormat="1" s="47">
      <c r="A29" s="93" t="s">
        <v>430</v>
      </c>
      <c r="B29" s="93" t="s">
        <v>53</v>
      </c>
      <c r="C29" s="93" t="s">
        <v>485</v>
      </c>
      <c r="D29" s="93" t="s">
        <v>486</v>
      </c>
      <c r="E29" s="93">
        <v>0.0</v>
      </c>
      <c r="F29" s="93">
        <v>0.0</v>
      </c>
      <c r="G29" s="93">
        <v>0.0</v>
      </c>
      <c r="H29" s="93">
        <v>0.0</v>
      </c>
      <c r="I29" s="93">
        <v>0.0</v>
      </c>
      <c r="J29" s="93">
        <v>0.0</v>
      </c>
      <c r="K29" s="93">
        <v>0.0</v>
      </c>
      <c r="L29" s="93">
        <v>0.0</v>
      </c>
      <c r="M29" s="93">
        <v>0.0</v>
      </c>
      <c r="N29" s="93">
        <v>0.0</v>
      </c>
      <c r="O29" s="93">
        <v>0.0</v>
      </c>
      <c r="P29" s="93">
        <v>0.0</v>
      </c>
      <c r="Q29" s="93">
        <v>0.0</v>
      </c>
      <c r="R29" s="93">
        <v>0.0</v>
      </c>
      <c r="S29" s="93">
        <v>0.0</v>
      </c>
      <c r="T29" s="93">
        <v>21.0</v>
      </c>
      <c r="U29" s="93">
        <v>37.0</v>
      </c>
      <c r="V29" s="93">
        <v>50.0</v>
      </c>
      <c r="W29" s="93">
        <v>48.0</v>
      </c>
      <c r="X29" s="93">
        <v>6.0</v>
      </c>
      <c r="Y29" s="93">
        <v>3.0</v>
      </c>
      <c r="Z29" s="93">
        <v>7.0</v>
      </c>
      <c r="AA29" s="93">
        <v>12.0</v>
      </c>
      <c r="AB29" s="93">
        <v>21.0</v>
      </c>
      <c r="AC29" s="93">
        <v>9.0</v>
      </c>
      <c r="AD29" s="93">
        <v>18.0</v>
      </c>
      <c r="AE29" s="93">
        <v>12.0</v>
      </c>
      <c r="AF29" s="93">
        <v>6.0</v>
      </c>
      <c r="AG29" s="93">
        <v>12.0</v>
      </c>
      <c r="AH29" s="93">
        <v>9.0</v>
      </c>
      <c r="AI29" s="93">
        <v>3.0</v>
      </c>
      <c r="AJ29" s="93">
        <v>12.0</v>
      </c>
      <c r="AK29" s="93">
        <v>3.0</v>
      </c>
      <c r="AL29" s="93">
        <v>15.0</v>
      </c>
      <c r="AM29" s="93">
        <v>3.0</v>
      </c>
      <c r="AN29" s="93">
        <v>24.0</v>
      </c>
      <c r="AO29" s="93">
        <v>18.0</v>
      </c>
      <c r="AP29" s="93">
        <v>6.0</v>
      </c>
      <c r="AQ29" s="93">
        <v>6.0</v>
      </c>
      <c r="AR29" s="93">
        <v>0.0</v>
      </c>
      <c r="AS29" s="93">
        <v>7.0</v>
      </c>
      <c r="AT29" s="111">
        <f t="shared" si="5"/>
        <v>106.0</v>
      </c>
      <c r="AU29" s="64">
        <f t="shared" ref="AU29:AU41" si="142">SUM(AH29:AM29)</f>
        <v>45.0</v>
      </c>
      <c r="AV29" s="69">
        <f t="shared" si="7"/>
        <v>49.5</v>
      </c>
      <c r="AW29" s="65">
        <f t="shared" ref="AW29:AW30" si="143">AV29*$AW$4/$AV$4</f>
        <v>6.95876288659793</v>
      </c>
      <c r="AX29" s="65">
        <f t="shared" ref="AX29:AX30" si="144">AV29*$AX$4/$AV$4</f>
        <v>8.35051546391752</v>
      </c>
      <c r="AY29" s="65">
        <f t="shared" ref="AY29:AY30" si="145">AV29*$AY$4/$AV$4</f>
        <v>10.2061855670103</v>
      </c>
      <c r="AZ29" s="65">
        <f t="shared" ref="AZ29:AZ30" si="146">AV29*$AZ$4/$AV$4</f>
        <v>8.35051546391752</v>
      </c>
      <c r="BA29" s="65">
        <f t="shared" ref="BA29:BA30" si="147">AV29*$BA$4/$AV$4</f>
        <v>6.03092783505154</v>
      </c>
      <c r="BB29" s="65">
        <f t="shared" ref="BB29:BB30" si="148">AV29*$BB$4/$AV$4</f>
        <v>5.10309278350516</v>
      </c>
      <c r="BC29" s="65">
        <f t="shared" ref="BC29:BC30" si="149">AW29*$BB$4/$AV$4</f>
        <v>0.717398235731745</v>
      </c>
      <c r="BD29" s="193">
        <f t="shared" si="15"/>
        <v>45.7173982357317</v>
      </c>
      <c r="BE29" s="64">
        <f>VLOOKUP(D29,FEB23SOH,3,false)</f>
        <v>103.0</v>
      </c>
      <c r="BF29" s="194">
        <f>VLOOKUP(D29,VALUEFEB23,4,false)</f>
        <v>4.298</v>
      </c>
      <c r="BG29" s="194">
        <f t="shared" si="18"/>
        <v>442.694</v>
      </c>
      <c r="BH29" s="185"/>
      <c r="BI29" s="185"/>
      <c r="BJ29" s="69">
        <f t="shared" si="50"/>
        <v>57.2826017642683</v>
      </c>
      <c r="BK29" s="65"/>
      <c r="BM29" s="185"/>
      <c r="BN29" s="65">
        <f t="shared" si="51"/>
        <v>103.0</v>
      </c>
      <c r="BO29" s="65">
        <f t="shared" si="52"/>
        <v>6.95876288659793</v>
      </c>
      <c r="BP29" s="65"/>
      <c r="BQ29" s="65">
        <f t="shared" si="53"/>
        <v>96.041237113402</v>
      </c>
      <c r="BR29" s="194">
        <f t="shared" si="54"/>
        <v>412.785237113401</v>
      </c>
      <c r="BS29" s="65">
        <f t="shared" si="55"/>
        <v>8.35051546391752</v>
      </c>
      <c r="BT29" s="65"/>
      <c r="BU29" s="65">
        <f t="shared" si="56"/>
        <v>87.6907216494844</v>
      </c>
      <c r="BV29" s="194">
        <f t="shared" si="57"/>
        <v>376.894721649484</v>
      </c>
      <c r="BW29" s="65">
        <f t="shared" si="58"/>
        <v>10.2061855670103</v>
      </c>
      <c r="BX29" s="65"/>
      <c r="BY29" s="65">
        <f t="shared" si="59"/>
        <v>77.4845360824741</v>
      </c>
      <c r="BZ29" s="194">
        <f t="shared" si="60"/>
        <v>333.028536082473</v>
      </c>
      <c r="CA29" s="65">
        <f t="shared" si="61"/>
        <v>8.35051546391752</v>
      </c>
      <c r="CB29" s="65"/>
      <c r="CC29" s="65">
        <f t="shared" si="62"/>
        <v>69.1340206185566</v>
      </c>
      <c r="CD29" s="194">
        <f t="shared" si="63"/>
        <v>297.138020618556</v>
      </c>
      <c r="CE29" s="65">
        <f t="shared" si="64"/>
        <v>6.03092783505154</v>
      </c>
      <c r="CF29" s="65"/>
      <c r="CG29" s="65">
        <f t="shared" si="65"/>
        <v>63.103092783505</v>
      </c>
      <c r="CH29" s="194">
        <f t="shared" si="66"/>
        <v>271.217092783504</v>
      </c>
      <c r="CI29" s="65">
        <f t="shared" si="67"/>
        <v>5.10309278350516</v>
      </c>
      <c r="CJ29" s="65"/>
      <c r="CK29" s="65">
        <f t="shared" si="68"/>
        <v>57.9999999999998</v>
      </c>
      <c r="CL29" s="195">
        <f t="shared" si="69"/>
        <v>249.283999999999</v>
      </c>
      <c r="CM29" s="65">
        <f t="shared" si="70"/>
        <v>0.717398235731745</v>
      </c>
      <c r="CN29" s="65"/>
      <c r="CO29" s="65">
        <f t="shared" si="71"/>
        <v>57.282601764268</v>
      </c>
      <c r="CP29" s="195">
        <f t="shared" si="72"/>
        <v>3281.29646488373</v>
      </c>
    </row>
    <row r="30" ht="14.0" customFormat="1" s="47">
      <c r="A30" s="93" t="s">
        <v>430</v>
      </c>
      <c r="B30" s="93" t="s">
        <v>53</v>
      </c>
      <c r="C30" s="93" t="s">
        <v>487</v>
      </c>
      <c r="D30" s="93" t="s">
        <v>488</v>
      </c>
      <c r="E30" s="93">
        <v>0.0</v>
      </c>
      <c r="F30" s="93">
        <v>0.0</v>
      </c>
      <c r="G30" s="93">
        <v>0.0</v>
      </c>
      <c r="H30" s="93">
        <v>0.0</v>
      </c>
      <c r="I30" s="93">
        <v>0.0</v>
      </c>
      <c r="J30" s="93">
        <v>0.0</v>
      </c>
      <c r="K30" s="93">
        <v>0.0</v>
      </c>
      <c r="L30" s="93">
        <v>0.0</v>
      </c>
      <c r="M30" s="93">
        <v>0.0</v>
      </c>
      <c r="N30" s="93">
        <v>0.0</v>
      </c>
      <c r="O30" s="93">
        <v>0.0</v>
      </c>
      <c r="P30" s="93">
        <v>0.0</v>
      </c>
      <c r="Q30" s="93">
        <v>0.0</v>
      </c>
      <c r="R30" s="93">
        <v>0.0</v>
      </c>
      <c r="S30" s="93">
        <v>0.0</v>
      </c>
      <c r="T30" s="93">
        <v>28.0</v>
      </c>
      <c r="U30" s="93">
        <v>95.0</v>
      </c>
      <c r="V30" s="93">
        <v>137.0</v>
      </c>
      <c r="W30" s="93">
        <v>64.0</v>
      </c>
      <c r="X30" s="93">
        <v>3.0</v>
      </c>
      <c r="Y30" s="93">
        <v>0.0</v>
      </c>
      <c r="Z30" s="93">
        <v>25.0</v>
      </c>
      <c r="AA30" s="93">
        <v>31.0</v>
      </c>
      <c r="AB30" s="93">
        <v>66.0</v>
      </c>
      <c r="AC30" s="93">
        <v>42.0</v>
      </c>
      <c r="AD30" s="93">
        <v>30.0</v>
      </c>
      <c r="AE30" s="93">
        <v>15.0</v>
      </c>
      <c r="AF30" s="93">
        <v>30.0</v>
      </c>
      <c r="AG30" s="93">
        <v>15.0</v>
      </c>
      <c r="AH30" s="93">
        <v>12.0</v>
      </c>
      <c r="AI30" s="93">
        <v>21.0</v>
      </c>
      <c r="AJ30" s="93">
        <v>27.0</v>
      </c>
      <c r="AK30" s="93">
        <v>12.0</v>
      </c>
      <c r="AL30" s="93">
        <v>24.0</v>
      </c>
      <c r="AM30" s="93">
        <v>18.0</v>
      </c>
      <c r="AN30" s="93">
        <v>30.0</v>
      </c>
      <c r="AO30" s="93">
        <v>27.0</v>
      </c>
      <c r="AP30" s="93">
        <v>24.0</v>
      </c>
      <c r="AQ30" s="93">
        <v>18.0</v>
      </c>
      <c r="AR30" s="93">
        <v>15.0</v>
      </c>
      <c r="AS30" s="93">
        <v>29.0</v>
      </c>
      <c r="AT30" s="111">
        <f t="shared" si="5"/>
        <v>257.0</v>
      </c>
      <c r="AU30" s="64">
        <f t="shared" si="142"/>
        <v>114.0</v>
      </c>
      <c r="AV30" s="69">
        <f t="shared" si="7"/>
        <v>125.4</v>
      </c>
      <c r="AW30" s="65">
        <f t="shared" si="143"/>
        <v>17.6288659793814</v>
      </c>
      <c r="AX30" s="65">
        <f t="shared" si="144"/>
        <v>21.1546391752577</v>
      </c>
      <c r="AY30" s="65">
        <f t="shared" si="145"/>
        <v>25.8556701030928</v>
      </c>
      <c r="AZ30" s="65">
        <f t="shared" si="146"/>
        <v>21.1546391752577</v>
      </c>
      <c r="BA30" s="65">
        <f t="shared" si="147"/>
        <v>15.2783505154639</v>
      </c>
      <c r="BB30" s="65">
        <f t="shared" si="148"/>
        <v>12.9278350515463</v>
      </c>
      <c r="BC30" s="65">
        <f t="shared" si="149"/>
        <v>1.81740886385375</v>
      </c>
      <c r="BD30" s="193">
        <f t="shared" si="15"/>
        <v>115.817408863853</v>
      </c>
      <c r="BE30" s="64">
        <f>VLOOKUP(D30,FEB23SOH,3,false)</f>
        <v>173.0</v>
      </c>
      <c r="BF30" s="194">
        <f>VLOOKUP(D30,VALUEFEB23,4,false)</f>
        <v>4.8852</v>
      </c>
      <c r="BG30" s="194">
        <f t="shared" si="18"/>
        <v>845.1396</v>
      </c>
      <c r="BH30" s="185"/>
      <c r="BI30" s="185"/>
      <c r="BJ30" s="69">
        <f t="shared" si="50"/>
        <v>57.182591136147</v>
      </c>
      <c r="BK30" s="65"/>
      <c r="BM30" s="185"/>
      <c r="BN30" s="65">
        <f t="shared" si="51"/>
        <v>173.0</v>
      </c>
      <c r="BO30" s="65">
        <f t="shared" si="52"/>
        <v>17.6288659793814</v>
      </c>
      <c r="BP30" s="65"/>
      <c r="BQ30" s="65">
        <f t="shared" si="53"/>
        <v>155.371134020619</v>
      </c>
      <c r="BR30" s="194">
        <f t="shared" si="54"/>
        <v>759.019063917528</v>
      </c>
      <c r="BS30" s="65">
        <f t="shared" si="55"/>
        <v>21.1546391752577</v>
      </c>
      <c r="BT30" s="65"/>
      <c r="BU30" s="65">
        <f t="shared" si="56"/>
        <v>134.216494845361</v>
      </c>
      <c r="BV30" s="194">
        <f t="shared" si="57"/>
        <v>655.674420618558</v>
      </c>
      <c r="BW30" s="65">
        <f t="shared" si="58"/>
        <v>25.8556701030928</v>
      </c>
      <c r="BX30" s="65"/>
      <c r="BY30" s="65">
        <f t="shared" si="59"/>
        <v>108.360824742268</v>
      </c>
      <c r="BZ30" s="194">
        <f t="shared" si="60"/>
        <v>529.364301030928</v>
      </c>
      <c r="CA30" s="65">
        <f t="shared" si="61"/>
        <v>21.1546391752577</v>
      </c>
      <c r="CB30" s="65"/>
      <c r="CC30" s="65">
        <f t="shared" si="62"/>
        <v>87.2061855670103</v>
      </c>
      <c r="CD30" s="194">
        <f t="shared" si="63"/>
        <v>426.019657731959</v>
      </c>
      <c r="CE30" s="65">
        <f t="shared" si="64"/>
        <v>15.2783505154639</v>
      </c>
      <c r="CF30" s="65"/>
      <c r="CG30" s="65">
        <f t="shared" si="65"/>
        <v>71.9278350515464</v>
      </c>
      <c r="CH30" s="194">
        <f t="shared" si="66"/>
        <v>351.381859793814</v>
      </c>
      <c r="CI30" s="65">
        <f t="shared" si="67"/>
        <v>12.9278350515463</v>
      </c>
      <c r="CJ30" s="65"/>
      <c r="CK30" s="65">
        <f t="shared" si="68"/>
        <v>59.0000000000001</v>
      </c>
      <c r="CL30" s="195">
        <f t="shared" si="69"/>
        <v>288.2268</v>
      </c>
      <c r="CM30" s="65">
        <f t="shared" si="70"/>
        <v>1.81740886385375</v>
      </c>
      <c r="CN30" s="65"/>
      <c r="CO30" s="65">
        <f t="shared" si="71"/>
        <v>57.1825911361463</v>
      </c>
      <c r="CP30" s="195">
        <f t="shared" si="72"/>
        <v>3269.84872904371</v>
      </c>
    </row>
    <row r="31" ht="14.0" customFormat="1" s="47">
      <c r="A31" s="93" t="s">
        <v>430</v>
      </c>
      <c r="B31" s="93" t="s">
        <v>489</v>
      </c>
      <c r="C31" s="110" t="s">
        <v>490</v>
      </c>
      <c r="D31" s="93" t="s">
        <v>491</v>
      </c>
      <c r="E31" s="93">
        <v>3.0</v>
      </c>
      <c r="F31" s="93">
        <v>0.0</v>
      </c>
      <c r="G31" s="93">
        <v>0.0</v>
      </c>
      <c r="H31" s="93">
        <v>0.0</v>
      </c>
      <c r="I31" s="93">
        <v>4.0</v>
      </c>
      <c r="J31" s="93">
        <v>2.0</v>
      </c>
      <c r="K31" s="93">
        <v>1.0</v>
      </c>
      <c r="L31" s="93">
        <v>2.0</v>
      </c>
      <c r="M31" s="93">
        <v>0.0</v>
      </c>
      <c r="N31" s="93">
        <v>0.0</v>
      </c>
      <c r="O31" s="93">
        <v>4.0</v>
      </c>
      <c r="P31" s="93">
        <v>6.0</v>
      </c>
      <c r="Q31" s="93">
        <v>11.0</v>
      </c>
      <c r="R31" s="93">
        <v>5.0</v>
      </c>
      <c r="S31" s="93">
        <v>1.0</v>
      </c>
      <c r="T31" s="93">
        <v>1.0</v>
      </c>
      <c r="U31" s="93">
        <v>6.0</v>
      </c>
      <c r="V31" s="93">
        <v>5.0</v>
      </c>
      <c r="W31" s="93">
        <v>1.0</v>
      </c>
      <c r="X31" s="93">
        <v>0.0</v>
      </c>
      <c r="Y31" s="93">
        <v>6.0</v>
      </c>
      <c r="Z31" s="93">
        <v>2.0</v>
      </c>
      <c r="AA31" s="93">
        <v>5.0</v>
      </c>
      <c r="AB31" s="93">
        <v>9.0</v>
      </c>
      <c r="AC31" s="93">
        <v>9.0</v>
      </c>
      <c r="AD31" s="93">
        <v>2.0</v>
      </c>
      <c r="AE31" s="93">
        <v>1.0</v>
      </c>
      <c r="AF31" s="93">
        <v>1.0</v>
      </c>
      <c r="AG31" s="93">
        <v>1.0</v>
      </c>
      <c r="AH31" s="93">
        <v>3.0</v>
      </c>
      <c r="AI31" s="93">
        <v>5.0</v>
      </c>
      <c r="AJ31" s="93">
        <v>3.0</v>
      </c>
      <c r="AK31" s="93">
        <v>4.0</v>
      </c>
      <c r="AL31" s="93">
        <v>4.0</v>
      </c>
      <c r="AM31" s="110">
        <f>AA31</f>
        <v>5.0</v>
      </c>
      <c r="AN31" s="93">
        <v>3.0</v>
      </c>
      <c r="AO31" s="93">
        <v>1.0</v>
      </c>
      <c r="AP31" s="93">
        <v>4.0</v>
      </c>
      <c r="AQ31" s="93">
        <v>3.0</v>
      </c>
      <c r="AR31" s="93">
        <v>1.0</v>
      </c>
      <c r="AS31" s="93">
        <v>2.0</v>
      </c>
      <c r="AT31" s="111">
        <f t="shared" si="5"/>
        <v>38.0</v>
      </c>
      <c r="AU31" s="64">
        <f t="shared" si="142"/>
        <v>24.0</v>
      </c>
      <c r="AV31" s="69">
        <f t="shared" si="7"/>
        <v>26.4</v>
      </c>
      <c r="AW31" s="97">
        <v>3.0</v>
      </c>
      <c r="AX31" s="97">
        <v>4.0</v>
      </c>
      <c r="AY31" s="97">
        <v>4.0</v>
      </c>
      <c r="AZ31" s="97">
        <v>4.0</v>
      </c>
      <c r="BA31" s="97">
        <v>3.0</v>
      </c>
      <c r="BB31" s="97">
        <v>2.0</v>
      </c>
      <c r="BC31" s="97">
        <v>3.0</v>
      </c>
      <c r="BD31" s="193">
        <f t="shared" si="15"/>
        <v>23.0</v>
      </c>
      <c r="BE31" s="64">
        <f>VLOOKUP(D31,FEB23SOH,3,false)</f>
        <v>-1.0</v>
      </c>
      <c r="BF31" s="194">
        <f>VLOOKUP(D31,VALUEFEB23,4,false)</f>
      </c>
      <c r="BG31" s="194">
        <f t="shared" si="18"/>
        <v>0.0</v>
      </c>
      <c r="BH31" s="185"/>
      <c r="BI31" s="185"/>
      <c r="BK31" s="65"/>
      <c r="BM31" s="185"/>
      <c r="BN31" s="65"/>
      <c r="BO31" s="65"/>
      <c r="BP31" s="65"/>
      <c r="BQ31" s="65"/>
      <c r="BR31" s="194"/>
      <c r="BS31" s="65"/>
      <c r="BT31" s="65"/>
      <c r="BU31" s="65"/>
      <c r="BV31" s="194"/>
      <c r="BW31" s="65"/>
      <c r="BX31" s="65"/>
      <c r="BY31" s="65"/>
      <c r="BZ31" s="194"/>
      <c r="CA31" s="65"/>
      <c r="CB31" s="65"/>
      <c r="CC31" s="65"/>
      <c r="CD31" s="194"/>
      <c r="CE31" s="65"/>
      <c r="CF31" s="65"/>
      <c r="CG31" s="65"/>
      <c r="CH31" s="65"/>
      <c r="CI31" s="65"/>
      <c r="CJ31" s="65"/>
      <c r="CK31" s="65"/>
      <c r="CL31" s="65"/>
      <c r="CM31" s="65">
        <f t="shared" si="70"/>
        <v>3.0</v>
      </c>
      <c r="CN31" s="65"/>
      <c r="CO31" s="65"/>
      <c r="CP31" s="65"/>
    </row>
    <row r="32" ht="14.0" customFormat="1" s="47">
      <c r="A32" s="93" t="s">
        <v>430</v>
      </c>
      <c r="B32" s="93" t="s">
        <v>489</v>
      </c>
      <c r="C32" s="93" t="s">
        <v>492</v>
      </c>
      <c r="D32" s="93" t="s">
        <v>493</v>
      </c>
      <c r="E32" s="93">
        <v>43.0</v>
      </c>
      <c r="F32" s="93">
        <v>30.0</v>
      </c>
      <c r="G32" s="93">
        <v>55.0</v>
      </c>
      <c r="H32" s="93">
        <v>31.0</v>
      </c>
      <c r="I32" s="93">
        <v>75.0</v>
      </c>
      <c r="J32" s="93">
        <v>97.0</v>
      </c>
      <c r="K32" s="93">
        <v>73.0</v>
      </c>
      <c r="L32" s="93">
        <v>76.0</v>
      </c>
      <c r="M32" s="93">
        <v>59.0</v>
      </c>
      <c r="N32" s="93">
        <v>120.0</v>
      </c>
      <c r="O32" s="93">
        <v>85.0</v>
      </c>
      <c r="P32" s="93">
        <v>52.0</v>
      </c>
      <c r="Q32" s="93">
        <v>88.0</v>
      </c>
      <c r="R32" s="93">
        <v>69.0</v>
      </c>
      <c r="S32" s="93">
        <v>60.0</v>
      </c>
      <c r="T32" s="93">
        <v>60.0</v>
      </c>
      <c r="U32" s="93">
        <v>94.0</v>
      </c>
      <c r="V32" s="93">
        <v>210.0</v>
      </c>
      <c r="W32" s="93">
        <v>73.0</v>
      </c>
      <c r="X32" s="93">
        <v>51.0</v>
      </c>
      <c r="Y32" s="93">
        <v>33.0</v>
      </c>
      <c r="Z32" s="93">
        <v>24.0</v>
      </c>
      <c r="AA32" s="93">
        <v>57.0</v>
      </c>
      <c r="AB32" s="93">
        <v>84.0</v>
      </c>
      <c r="AC32" s="93">
        <v>69.0</v>
      </c>
      <c r="AD32" s="93">
        <v>75.0</v>
      </c>
      <c r="AE32" s="93">
        <v>21.0</v>
      </c>
      <c r="AF32" s="93">
        <v>70.0</v>
      </c>
      <c r="AG32" s="93">
        <v>48.0</v>
      </c>
      <c r="AH32" s="93">
        <v>33.0</v>
      </c>
      <c r="AI32" s="93">
        <v>87.0</v>
      </c>
      <c r="AJ32" s="93">
        <v>49.0</v>
      </c>
      <c r="AK32" s="93">
        <v>42.0</v>
      </c>
      <c r="AL32" s="93">
        <v>48.0</v>
      </c>
      <c r="AM32" s="93">
        <v>39.0</v>
      </c>
      <c r="AN32" s="93">
        <v>40.0</v>
      </c>
      <c r="AO32" s="93">
        <v>114.0</v>
      </c>
      <c r="AP32" s="93">
        <v>84.0</v>
      </c>
      <c r="AQ32" s="93">
        <v>36.0</v>
      </c>
      <c r="AR32" s="93">
        <v>51.0</v>
      </c>
      <c r="AS32" s="93">
        <v>58.0</v>
      </c>
      <c r="AT32" s="111">
        <f t="shared" si="5"/>
        <v>681.0</v>
      </c>
      <c r="AU32" s="64">
        <f t="shared" si="142"/>
        <v>298.0</v>
      </c>
      <c r="AV32" s="69">
        <f t="shared" si="7"/>
        <v>327.8</v>
      </c>
      <c r="AW32" s="65">
        <f t="shared" ref="AW32:AW37" si="151">AV32*$AW$4/$AV$4+6*$AW$31</f>
        <v>64.0824742268041</v>
      </c>
      <c r="AX32" s="65">
        <f t="shared" ref="AX32:AX37" si="152">AV32*$AX$4/$AV$4+6*$AX$31</f>
        <v>79.298969072165</v>
      </c>
      <c r="AY32" s="65">
        <f t="shared" ref="AY32:AY37" si="153">AV32*$AY$4/$AV$4+6*$AY$31</f>
        <v>91.5876288659793</v>
      </c>
      <c r="AZ32" s="65">
        <f t="shared" ref="AZ32:AZ37" si="154">AV32*$AZ$4/$AV$4+6*$AZ$31</f>
        <v>79.298969072165</v>
      </c>
      <c r="BA32" s="65">
        <f t="shared" ref="BA32:BA37" si="155">AV32*$BA$4/$AV$4+6*$BA$31</f>
        <v>57.9381443298969</v>
      </c>
      <c r="BB32" s="65">
        <f t="shared" ref="BB32:BB37" si="156">AV32*$BB$4/$AV$4+6*$BB$31</f>
        <v>45.7938144329897</v>
      </c>
      <c r="BC32" s="65">
        <f t="shared" ref="BC32:BC37" si="157">AV32*$BB$4/$AV$4+6*$BC$31</f>
        <v>51.7938144329897</v>
      </c>
      <c r="BD32" s="193">
        <f t="shared" si="15"/>
        <v>469.79381443299</v>
      </c>
      <c r="BE32" s="64">
        <f>VLOOKUP(D32,FEB23SOH,3,false)</f>
        <v>405.0</v>
      </c>
      <c r="BF32" s="194">
        <f>VLOOKUP(D32,VALUEFEB23,4,false)</f>
        <v>4.4324</v>
      </c>
      <c r="BG32" s="194">
        <f t="shared" si="18"/>
        <v>1795.122</v>
      </c>
      <c r="BH32" s="185"/>
      <c r="BI32" s="185"/>
      <c r="BJ32" s="69">
        <f t="shared" ref="BJ32:BJ41" si="158">BE32+BH32+BI32-BD32</f>
        <v>-64.79381443299</v>
      </c>
      <c r="BK32" s="65"/>
      <c r="BL32" s="64"/>
      <c r="BM32" s="185" t="s">
        <v>6</v>
      </c>
      <c r="BN32" s="65">
        <f t="shared" ref="BN32:BN41" si="159">BE32</f>
        <v>405.0</v>
      </c>
      <c r="BO32" s="65">
        <f t="shared" ref="BO32:BO41" si="160">AW32</f>
        <v>64.0824742268041</v>
      </c>
      <c r="BP32" s="65"/>
      <c r="BQ32" s="65">
        <f t="shared" ref="BQ32:BQ41" si="161">BN32+BP32-BO32</f>
        <v>340.917525773196</v>
      </c>
      <c r="BR32" s="194">
        <f t="shared" ref="BR32:BR41" si="162">BQ32*BF32</f>
        <v>1511.08284123711</v>
      </c>
      <c r="BS32" s="65">
        <f t="shared" ref="BS32:BS41" si="163">AX32</f>
        <v>79.298969072165</v>
      </c>
      <c r="BT32" s="65"/>
      <c r="BU32" s="65">
        <f t="shared" ref="BU32:BU41" si="164">BQ32+BT32-BS32</f>
        <v>261.618556701031</v>
      </c>
      <c r="BV32" s="194">
        <f t="shared" ref="BV32:BV41" si="165">BU32*BF32</f>
        <v>1159.59809072165</v>
      </c>
      <c r="BW32" s="65">
        <f t="shared" ref="BW32:BW41" si="166">AY32</f>
        <v>91.5876288659793</v>
      </c>
      <c r="BX32" s="65"/>
      <c r="BY32" s="65">
        <f t="shared" ref="BY32:BY41" si="167">BU32+BX32-BW32</f>
        <v>170.030927835051</v>
      </c>
      <c r="BZ32" s="194">
        <f t="shared" ref="BZ32:BZ41" si="168">BY32*BF32</f>
        <v>753.64508453608</v>
      </c>
      <c r="CA32" s="65">
        <f t="shared" ref="CA32:CA41" si="169">AZ32</f>
        <v>79.298969072165</v>
      </c>
      <c r="CB32" s="65"/>
      <c r="CC32" s="65">
        <f t="shared" ref="CC32:CC41" si="170">BY32+CB32-CA32</f>
        <v>90.731958762886</v>
      </c>
      <c r="CD32" s="194">
        <f t="shared" ref="CD32:CD41" si="171">CC32*BF32</f>
        <v>402.160334020616</v>
      </c>
      <c r="CE32" s="65">
        <f t="shared" ref="CE32:CE41" si="172">BA32</f>
        <v>57.9381443298969</v>
      </c>
      <c r="CF32" s="65"/>
      <c r="CG32" s="65">
        <f t="shared" ref="CG32:CG41" si="173">CC32+CF32-CE32</f>
        <v>32.793814432989</v>
      </c>
      <c r="CH32" s="194">
        <f t="shared" ref="CH32:CH41" si="174">CG32*BF32</f>
        <v>145.35530309278</v>
      </c>
      <c r="CI32" s="65">
        <f t="shared" ref="CI32:CI41" si="175">BB32</f>
        <v>45.7938144329897</v>
      </c>
      <c r="CJ32" s="65"/>
      <c r="CK32" s="65">
        <f t="shared" ref="CK32:CK41" si="176">CG32+CJ32-CI32</f>
        <v>-13.0</v>
      </c>
      <c r="CL32" s="195">
        <f t="shared" ref="CL32:CL41" si="177">CK32*BF32</f>
        <v>-57.6212</v>
      </c>
      <c r="CM32" s="65">
        <f t="shared" si="70"/>
        <v>51.7938144329897</v>
      </c>
      <c r="CN32" s="65"/>
      <c r="CO32" s="65">
        <f t="shared" ref="CO32:CO41" si="178">CK32+CN32-CM32</f>
        <v>-64.7938144329897</v>
      </c>
      <c r="CP32" s="195">
        <f t="shared" ref="CP32:CP41" si="179">CO32*BJ32</f>
        <v>4198.23838877672</v>
      </c>
    </row>
    <row r="33" ht="14.0" customFormat="1" s="47">
      <c r="A33" s="93" t="s">
        <v>430</v>
      </c>
      <c r="B33" s="93" t="s">
        <v>489</v>
      </c>
      <c r="C33" s="93" t="s">
        <v>495</v>
      </c>
      <c r="D33" s="93" t="s">
        <v>496</v>
      </c>
      <c r="E33" s="93">
        <v>42.0</v>
      </c>
      <c r="F33" s="93">
        <v>57.0</v>
      </c>
      <c r="G33" s="93">
        <v>21.0</v>
      </c>
      <c r="H33" s="93">
        <v>24.0</v>
      </c>
      <c r="I33" s="93">
        <v>34.0</v>
      </c>
      <c r="J33" s="93">
        <v>41.0</v>
      </c>
      <c r="K33" s="93">
        <v>54.0</v>
      </c>
      <c r="L33" s="93">
        <v>48.0</v>
      </c>
      <c r="M33" s="93">
        <v>63.0</v>
      </c>
      <c r="N33" s="93">
        <v>102.0</v>
      </c>
      <c r="O33" s="93">
        <v>42.0</v>
      </c>
      <c r="P33" s="93">
        <v>36.0</v>
      </c>
      <c r="Q33" s="93">
        <v>63.0</v>
      </c>
      <c r="R33" s="93">
        <v>40.0</v>
      </c>
      <c r="S33" s="93">
        <v>42.0</v>
      </c>
      <c r="T33" s="93">
        <v>66.0</v>
      </c>
      <c r="U33" s="93">
        <v>76.0</v>
      </c>
      <c r="V33" s="93">
        <v>207.0</v>
      </c>
      <c r="W33" s="93">
        <v>21.0</v>
      </c>
      <c r="X33" s="93">
        <v>50.0</v>
      </c>
      <c r="Y33" s="93">
        <v>33.0</v>
      </c>
      <c r="Z33" s="93">
        <v>27.0</v>
      </c>
      <c r="AA33" s="93">
        <v>54.0</v>
      </c>
      <c r="AB33" s="93">
        <v>54.0</v>
      </c>
      <c r="AC33" s="93">
        <v>60.0</v>
      </c>
      <c r="AD33" s="93">
        <v>43.0</v>
      </c>
      <c r="AE33" s="93">
        <v>27.0</v>
      </c>
      <c r="AF33" s="93">
        <v>48.0</v>
      </c>
      <c r="AG33" s="93">
        <v>31.0</v>
      </c>
      <c r="AH33" s="93">
        <v>24.0</v>
      </c>
      <c r="AI33" s="93">
        <v>48.0</v>
      </c>
      <c r="AJ33" s="93">
        <v>34.0</v>
      </c>
      <c r="AK33" s="93">
        <v>27.0</v>
      </c>
      <c r="AL33" s="93">
        <v>27.0</v>
      </c>
      <c r="AM33" s="93">
        <v>24.0</v>
      </c>
      <c r="AN33" s="114">
        <v>183.0</v>
      </c>
      <c r="AO33" s="114">
        <v>66.0</v>
      </c>
      <c r="AP33" s="93">
        <v>60.0</v>
      </c>
      <c r="AQ33" s="93">
        <v>6.0</v>
      </c>
      <c r="AR33" s="93">
        <v>1.0</v>
      </c>
      <c r="AS33" s="93">
        <v>15.0</v>
      </c>
      <c r="AT33" s="111">
        <f t="shared" si="5"/>
        <v>515.0</v>
      </c>
      <c r="AU33" s="64">
        <f t="shared" si="142"/>
        <v>184.0</v>
      </c>
      <c r="AV33" s="69">
        <f t="shared" si="7"/>
        <v>202.4</v>
      </c>
      <c r="AW33" s="65">
        <f t="shared" si="151"/>
        <v>46.4536082474227</v>
      </c>
      <c r="AX33" s="65">
        <f t="shared" si="152"/>
        <v>58.1443298969072</v>
      </c>
      <c r="AY33" s="65">
        <f t="shared" si="153"/>
        <v>65.7319587628866</v>
      </c>
      <c r="AZ33" s="65">
        <f t="shared" si="154"/>
        <v>58.1443298969072</v>
      </c>
      <c r="BA33" s="65">
        <f t="shared" si="155"/>
        <v>42.659793814432</v>
      </c>
      <c r="BB33" s="65">
        <f t="shared" si="156"/>
        <v>32.8659793814432</v>
      </c>
      <c r="BC33" s="65">
        <f t="shared" si="157"/>
        <v>38.8659793814432</v>
      </c>
      <c r="BD33" s="193">
        <f t="shared" si="15"/>
        <v>342.865979381442</v>
      </c>
      <c r="BE33" s="64">
        <f>VLOOKUP(D33,FEB23SOH,3,false)</f>
        <v>342.0</v>
      </c>
      <c r="BF33" s="194">
        <f>VLOOKUP(D33,VALUEFEB23,4,false)</f>
        <v>4.3697</v>
      </c>
      <c r="BG33" s="194">
        <f t="shared" si="18"/>
        <v>1494.4374</v>
      </c>
      <c r="BH33" s="185"/>
      <c r="BI33" s="185"/>
      <c r="BJ33" s="69">
        <f t="shared" si="158"/>
        <v>-0.865979381442002</v>
      </c>
      <c r="BK33" s="65"/>
      <c r="BM33" s="185" t="s">
        <v>543</v>
      </c>
      <c r="BN33" s="65">
        <f t="shared" si="159"/>
        <v>342.0</v>
      </c>
      <c r="BO33" s="65">
        <f t="shared" si="160"/>
        <v>46.4536082474227</v>
      </c>
      <c r="BP33" s="65"/>
      <c r="BQ33" s="65">
        <f t="shared" si="161"/>
        <v>295.546391752577</v>
      </c>
      <c r="BR33" s="194">
        <f t="shared" si="162"/>
        <v>1291.44906804123</v>
      </c>
      <c r="BS33" s="65">
        <f t="shared" si="163"/>
        <v>58.1443298969072</v>
      </c>
      <c r="BT33" s="65"/>
      <c r="BU33" s="65">
        <f t="shared" si="164"/>
        <v>237.40206185567</v>
      </c>
      <c r="BV33" s="194">
        <f t="shared" si="165"/>
        <v>1037.37578969072</v>
      </c>
      <c r="BW33" s="65">
        <f t="shared" si="166"/>
        <v>65.7319587628866</v>
      </c>
      <c r="BX33" s="65"/>
      <c r="BY33" s="65">
        <f t="shared" si="167"/>
        <v>171.670103092783</v>
      </c>
      <c r="BZ33" s="194">
        <f t="shared" si="168"/>
        <v>750.146849484533</v>
      </c>
      <c r="CA33" s="65">
        <f t="shared" si="169"/>
        <v>58.1443298969072</v>
      </c>
      <c r="CB33" s="65"/>
      <c r="CC33" s="65">
        <f t="shared" si="170"/>
        <v>113.525773195876</v>
      </c>
      <c r="CD33" s="194">
        <f t="shared" si="171"/>
        <v>496.073571134019</v>
      </c>
      <c r="CE33" s="65">
        <f t="shared" si="172"/>
        <v>42.659793814432</v>
      </c>
      <c r="CF33" s="65"/>
      <c r="CG33" s="65">
        <f t="shared" si="173"/>
        <v>70.865979381444</v>
      </c>
      <c r="CH33" s="194">
        <f t="shared" si="174"/>
        <v>309.663070103096</v>
      </c>
      <c r="CI33" s="65">
        <f t="shared" si="175"/>
        <v>32.8659793814432</v>
      </c>
      <c r="CJ33" s="65"/>
      <c r="CK33" s="65">
        <f t="shared" si="176"/>
        <v>38.0000000000008</v>
      </c>
      <c r="CL33" s="195">
        <f t="shared" si="177"/>
        <v>166.048600000003</v>
      </c>
      <c r="CM33" s="65">
        <f t="shared" si="70"/>
        <v>38.8659793814432</v>
      </c>
      <c r="CN33" s="65"/>
      <c r="CO33" s="65">
        <f t="shared" si="178"/>
        <v>-0.8659793814424</v>
      </c>
      <c r="CP33" s="195">
        <f t="shared" si="179"/>
        <v>0.749920289083017</v>
      </c>
    </row>
    <row r="34" ht="14.0" customFormat="1" s="47">
      <c r="A34" s="93" t="s">
        <v>430</v>
      </c>
      <c r="B34" s="93" t="s">
        <v>489</v>
      </c>
      <c r="C34" s="93" t="s">
        <v>497</v>
      </c>
      <c r="D34" s="93" t="s">
        <v>498</v>
      </c>
      <c r="E34" s="93">
        <v>42.0</v>
      </c>
      <c r="F34" s="93">
        <v>45.0</v>
      </c>
      <c r="G34" s="93">
        <v>9.0</v>
      </c>
      <c r="H34" s="93">
        <v>21.0</v>
      </c>
      <c r="I34" s="93">
        <v>57.0</v>
      </c>
      <c r="J34" s="93">
        <v>48.0</v>
      </c>
      <c r="K34" s="93">
        <v>61.0</v>
      </c>
      <c r="L34" s="93">
        <v>42.0</v>
      </c>
      <c r="M34" s="93">
        <v>45.0</v>
      </c>
      <c r="N34" s="93">
        <v>90.0</v>
      </c>
      <c r="O34" s="93">
        <v>37.0</v>
      </c>
      <c r="P34" s="93">
        <v>36.0</v>
      </c>
      <c r="Q34" s="93">
        <v>69.0</v>
      </c>
      <c r="R34" s="93">
        <v>27.0</v>
      </c>
      <c r="S34" s="93">
        <v>33.0</v>
      </c>
      <c r="T34" s="93">
        <v>28.0</v>
      </c>
      <c r="U34" s="93">
        <v>49.0</v>
      </c>
      <c r="V34" s="93">
        <v>210.0</v>
      </c>
      <c r="W34" s="93">
        <v>55.0</v>
      </c>
      <c r="X34" s="93">
        <v>38.0</v>
      </c>
      <c r="Y34" s="93">
        <v>15.0</v>
      </c>
      <c r="Z34" s="93">
        <v>27.0</v>
      </c>
      <c r="AA34" s="93">
        <v>51.0</v>
      </c>
      <c r="AB34" s="93">
        <v>48.0</v>
      </c>
      <c r="AC34" s="93">
        <v>48.0</v>
      </c>
      <c r="AD34" s="93">
        <v>48.0</v>
      </c>
      <c r="AE34" s="93">
        <v>18.0</v>
      </c>
      <c r="AF34" s="93">
        <v>54.0</v>
      </c>
      <c r="AG34" s="93">
        <v>25.0</v>
      </c>
      <c r="AH34" s="93">
        <v>19.0</v>
      </c>
      <c r="AI34" s="93">
        <v>51.0</v>
      </c>
      <c r="AJ34" s="93">
        <v>33.0</v>
      </c>
      <c r="AK34" s="93">
        <v>21.0</v>
      </c>
      <c r="AL34" s="93">
        <v>21.0</v>
      </c>
      <c r="AM34" s="93">
        <v>21.0</v>
      </c>
      <c r="AN34" s="93">
        <v>30.0</v>
      </c>
      <c r="AO34" s="93">
        <v>45.0</v>
      </c>
      <c r="AP34" s="114">
        <v>54.0</v>
      </c>
      <c r="AQ34" s="114">
        <v>33.0</v>
      </c>
      <c r="AR34" s="114">
        <v>27.0</v>
      </c>
      <c r="AS34" s="114">
        <v>58.0</v>
      </c>
      <c r="AT34" s="111">
        <f t="shared" si="5"/>
        <v>413.0</v>
      </c>
      <c r="AU34" s="64">
        <f t="shared" si="142"/>
        <v>166.0</v>
      </c>
      <c r="AV34" s="69">
        <f t="shared" si="7"/>
        <v>182.6</v>
      </c>
      <c r="AW34" s="65">
        <f t="shared" si="151"/>
        <v>43.6701030927835</v>
      </c>
      <c r="AX34" s="65">
        <f t="shared" si="152"/>
        <v>54.8041237113401</v>
      </c>
      <c r="AY34" s="65">
        <f t="shared" si="153"/>
        <v>61.6494845360824</v>
      </c>
      <c r="AZ34" s="65">
        <f t="shared" si="154"/>
        <v>54.8041237113401</v>
      </c>
      <c r="BA34" s="65">
        <f t="shared" si="155"/>
        <v>40.2474226804123</v>
      </c>
      <c r="BB34" s="65">
        <f t="shared" si="156"/>
        <v>30.8247422680412</v>
      </c>
      <c r="BC34" s="65">
        <f t="shared" si="157"/>
        <v>36.8247422680412</v>
      </c>
      <c r="BD34" s="193">
        <f t="shared" si="15"/>
        <v>322.82474226804</v>
      </c>
      <c r="BE34" s="64">
        <f>VLOOKUP(D34,FEB23SOH,3,false)</f>
        <v>261.0</v>
      </c>
      <c r="BF34" s="194">
        <f>VLOOKUP(D34,VALUEFEB23,4,false)</f>
        <v>4.223</v>
      </c>
      <c r="BG34" s="194">
        <f t="shared" si="18"/>
        <v>1102.203</v>
      </c>
      <c r="BH34" s="185"/>
      <c r="BI34" s="185"/>
      <c r="BJ34" s="69">
        <f t="shared" si="158"/>
        <v>-61.8247422680398</v>
      </c>
      <c r="BK34" s="65"/>
      <c r="BL34" s="64"/>
      <c r="BM34" s="185" t="s">
        <v>6</v>
      </c>
      <c r="BN34" s="65">
        <f t="shared" si="159"/>
        <v>261.0</v>
      </c>
      <c r="BO34" s="65">
        <f t="shared" si="160"/>
        <v>43.6701030927835</v>
      </c>
      <c r="BP34" s="65"/>
      <c r="BQ34" s="65">
        <f t="shared" si="161"/>
        <v>217.329896907217</v>
      </c>
      <c r="BR34" s="194">
        <f t="shared" si="162"/>
        <v>917.784154639177</v>
      </c>
      <c r="BS34" s="65">
        <f t="shared" si="163"/>
        <v>54.8041237113401</v>
      </c>
      <c r="BT34" s="65"/>
      <c r="BU34" s="65">
        <f t="shared" si="164"/>
        <v>162.525773195877</v>
      </c>
      <c r="BV34" s="194">
        <f t="shared" si="165"/>
        <v>686.346340206189</v>
      </c>
      <c r="BW34" s="65">
        <f t="shared" si="166"/>
        <v>61.6494845360824</v>
      </c>
      <c r="BX34" s="65"/>
      <c r="BY34" s="65">
        <f t="shared" si="167"/>
        <v>100.876288659794</v>
      </c>
      <c r="BZ34" s="194">
        <f t="shared" si="168"/>
        <v>426.00056701031</v>
      </c>
      <c r="CA34" s="65">
        <f t="shared" si="169"/>
        <v>54.8041237113401</v>
      </c>
      <c r="CB34" s="65"/>
      <c r="CC34" s="65">
        <f t="shared" si="170"/>
        <v>46.0721649484539</v>
      </c>
      <c r="CD34" s="194">
        <f t="shared" si="171"/>
        <v>194.56275257732</v>
      </c>
      <c r="CE34" s="65">
        <f t="shared" si="172"/>
        <v>40.2474226804123</v>
      </c>
      <c r="CF34" s="65"/>
      <c r="CG34" s="65">
        <f t="shared" si="173"/>
        <v>5.8247422680416</v>
      </c>
      <c r="CH34" s="194">
        <f t="shared" si="174"/>
        <v>24.5978865979397</v>
      </c>
      <c r="CI34" s="65">
        <f t="shared" si="175"/>
        <v>30.8247422680412</v>
      </c>
      <c r="CJ34" s="65"/>
      <c r="CK34" s="65">
        <f t="shared" si="176"/>
        <v>-24.9999999999996</v>
      </c>
      <c r="CL34" s="195">
        <f t="shared" si="177"/>
        <v>-105.574999999998</v>
      </c>
      <c r="CM34" s="65">
        <f t="shared" si="70"/>
        <v>36.8247422680412</v>
      </c>
      <c r="CN34" s="65"/>
      <c r="CO34" s="65">
        <f t="shared" si="178"/>
        <v>-61.8247422680406</v>
      </c>
      <c r="CP34" s="195">
        <f t="shared" si="179"/>
        <v>3822.2987565096</v>
      </c>
    </row>
    <row r="35" ht="14.0" customFormat="1" s="47">
      <c r="A35" s="93" t="s">
        <v>430</v>
      </c>
      <c r="B35" s="93" t="s">
        <v>489</v>
      </c>
      <c r="C35" s="93" t="s">
        <v>499</v>
      </c>
      <c r="D35" s="93" t="s">
        <v>500</v>
      </c>
      <c r="E35" s="93">
        <v>45.0</v>
      </c>
      <c r="F35" s="93">
        <v>45.0</v>
      </c>
      <c r="G35" s="93">
        <v>9.0</v>
      </c>
      <c r="H35" s="93">
        <v>12.0</v>
      </c>
      <c r="I35" s="93">
        <v>48.0</v>
      </c>
      <c r="J35" s="93">
        <v>39.0</v>
      </c>
      <c r="K35" s="93">
        <v>54.0</v>
      </c>
      <c r="L35" s="93">
        <v>39.0</v>
      </c>
      <c r="M35" s="93">
        <v>39.0</v>
      </c>
      <c r="N35" s="93">
        <v>84.0</v>
      </c>
      <c r="O35" s="93">
        <v>32.0</v>
      </c>
      <c r="P35" s="93">
        <v>33.0</v>
      </c>
      <c r="Q35" s="93">
        <v>46.0</v>
      </c>
      <c r="R35" s="93">
        <v>12.0</v>
      </c>
      <c r="S35" s="93">
        <v>27.0</v>
      </c>
      <c r="T35" s="93">
        <v>33.0</v>
      </c>
      <c r="U35" s="93">
        <v>39.0</v>
      </c>
      <c r="V35" s="93">
        <v>186.0</v>
      </c>
      <c r="W35" s="93">
        <v>54.0</v>
      </c>
      <c r="X35" s="93">
        <v>54.0</v>
      </c>
      <c r="Y35" s="93">
        <v>23.0</v>
      </c>
      <c r="Z35" s="93">
        <v>15.0</v>
      </c>
      <c r="AA35" s="93">
        <v>30.0</v>
      </c>
      <c r="AB35" s="93">
        <v>48.0</v>
      </c>
      <c r="AC35" s="93">
        <v>33.0</v>
      </c>
      <c r="AD35" s="93">
        <v>58.0</v>
      </c>
      <c r="AE35" s="93">
        <v>24.0</v>
      </c>
      <c r="AF35" s="93">
        <v>27.0</v>
      </c>
      <c r="AG35" s="93">
        <v>35.0</v>
      </c>
      <c r="AH35" s="93">
        <v>11.0</v>
      </c>
      <c r="AI35" s="93">
        <v>42.0</v>
      </c>
      <c r="AJ35" s="93">
        <v>30.0</v>
      </c>
      <c r="AK35" s="93">
        <v>18.0</v>
      </c>
      <c r="AL35" s="93">
        <v>12.0</v>
      </c>
      <c r="AM35" s="93">
        <v>15.0</v>
      </c>
      <c r="AN35" s="114">
        <v>175.0</v>
      </c>
      <c r="AO35" s="114">
        <v>34.0</v>
      </c>
      <c r="AP35" s="93">
        <v>72.0</v>
      </c>
      <c r="AQ35" s="93">
        <v>27.0</v>
      </c>
      <c r="AR35" s="93">
        <v>39.0</v>
      </c>
      <c r="AS35" s="93">
        <v>58.0</v>
      </c>
      <c r="AT35" s="111">
        <f t="shared" si="5"/>
        <v>533.0</v>
      </c>
      <c r="AU35" s="64">
        <f t="shared" si="142"/>
        <v>128.0</v>
      </c>
      <c r="AV35" s="69">
        <f t="shared" si="7"/>
        <v>140.8</v>
      </c>
      <c r="AW35" s="65">
        <f t="shared" si="151"/>
        <v>37.7938144329897</v>
      </c>
      <c r="AX35" s="65">
        <f t="shared" si="152"/>
        <v>47.7525773195876</v>
      </c>
      <c r="AY35" s="65">
        <f t="shared" si="153"/>
        <v>53.0309278350515</v>
      </c>
      <c r="AZ35" s="65">
        <f t="shared" si="154"/>
        <v>47.7525773195876</v>
      </c>
      <c r="BA35" s="65">
        <f t="shared" si="155"/>
        <v>35.1546391752577</v>
      </c>
      <c r="BB35" s="65">
        <f t="shared" si="156"/>
        <v>26.5154639175258</v>
      </c>
      <c r="BC35" s="65">
        <f t="shared" si="157"/>
        <v>32.5154639175258</v>
      </c>
      <c r="BD35" s="193">
        <f t="shared" si="15"/>
        <v>280.515463917526</v>
      </c>
      <c r="BE35" s="64">
        <f>VLOOKUP(D35,FEB23SOH,3,false)</f>
        <v>200.0</v>
      </c>
      <c r="BF35" s="194">
        <f>VLOOKUP(D35,VALUEFEB23,4,false)</f>
        <v>4.3238</v>
      </c>
      <c r="BG35" s="194">
        <f t="shared" si="18"/>
        <v>864.76</v>
      </c>
      <c r="BH35" s="185"/>
      <c r="BI35" s="185"/>
      <c r="BJ35" s="69">
        <f t="shared" si="158"/>
        <v>-80.515463917526</v>
      </c>
      <c r="BK35" s="65"/>
      <c r="BL35" s="64"/>
      <c r="BM35" s="185" t="s">
        <v>5</v>
      </c>
      <c r="BN35" s="65">
        <f t="shared" si="159"/>
        <v>200.0</v>
      </c>
      <c r="BO35" s="65">
        <f t="shared" si="160"/>
        <v>37.7938144329897</v>
      </c>
      <c r="BP35" s="65"/>
      <c r="BQ35" s="65">
        <f t="shared" si="161"/>
        <v>162.20618556701</v>
      </c>
      <c r="BR35" s="194">
        <f t="shared" si="162"/>
        <v>701.347105154638</v>
      </c>
      <c r="BS35" s="65">
        <f t="shared" si="163"/>
        <v>47.7525773195876</v>
      </c>
      <c r="BT35" s="65"/>
      <c r="BU35" s="65">
        <f t="shared" si="164"/>
        <v>114.453608247422</v>
      </c>
      <c r="BV35" s="194">
        <f t="shared" si="165"/>
        <v>494.874511340203</v>
      </c>
      <c r="BW35" s="65">
        <f t="shared" si="166"/>
        <v>53.0309278350515</v>
      </c>
      <c r="BX35" s="65"/>
      <c r="BY35" s="65">
        <f t="shared" si="167"/>
        <v>61.4226804123705</v>
      </c>
      <c r="BZ35" s="194">
        <f t="shared" si="168"/>
        <v>265.579385567</v>
      </c>
      <c r="CA35" s="65">
        <f t="shared" si="169"/>
        <v>47.7525773195876</v>
      </c>
      <c r="CB35" s="65"/>
      <c r="CC35" s="65">
        <f t="shared" si="170"/>
        <v>13.670103092782</v>
      </c>
      <c r="CD35" s="194">
        <f t="shared" si="171"/>
        <v>59.1067917525708</v>
      </c>
      <c r="CE35" s="65">
        <f t="shared" si="172"/>
        <v>35.1546391752577</v>
      </c>
      <c r="CF35" s="65"/>
      <c r="CG35" s="65">
        <f t="shared" si="173"/>
        <v>-21.4845360824757</v>
      </c>
      <c r="CH35" s="194">
        <f t="shared" si="174"/>
        <v>-92.8948371134084</v>
      </c>
      <c r="CI35" s="65">
        <f t="shared" si="175"/>
        <v>26.5154639175258</v>
      </c>
      <c r="CJ35" s="65"/>
      <c r="CK35" s="65">
        <f t="shared" si="176"/>
        <v>-48.0000000000015</v>
      </c>
      <c r="CL35" s="195">
        <f t="shared" si="177"/>
        <v>-207.5424</v>
      </c>
      <c r="CM35" s="65">
        <f t="shared" si="70"/>
        <v>32.5154639175258</v>
      </c>
      <c r="CN35" s="65"/>
      <c r="CO35" s="65">
        <f t="shared" si="178"/>
        <v>-80.5154639175273</v>
      </c>
      <c r="CP35" s="195">
        <f t="shared" si="179"/>
        <v>6482.73992985453</v>
      </c>
    </row>
    <row r="36" ht="14.0" customFormat="1" s="47">
      <c r="A36" s="93" t="s">
        <v>430</v>
      </c>
      <c r="B36" s="93" t="s">
        <v>489</v>
      </c>
      <c r="C36" s="93" t="s">
        <v>501</v>
      </c>
      <c r="D36" s="93" t="s">
        <v>502</v>
      </c>
      <c r="E36" s="93">
        <v>60.0</v>
      </c>
      <c r="F36" s="93">
        <v>57.0</v>
      </c>
      <c r="G36" s="93">
        <v>21.0</v>
      </c>
      <c r="H36" s="93">
        <v>9.0</v>
      </c>
      <c r="I36" s="93">
        <v>42.0</v>
      </c>
      <c r="J36" s="93">
        <v>48.0</v>
      </c>
      <c r="K36" s="93">
        <v>43.0</v>
      </c>
      <c r="L36" s="93">
        <v>52.0</v>
      </c>
      <c r="M36" s="93">
        <v>48.0</v>
      </c>
      <c r="N36" s="93">
        <v>72.0</v>
      </c>
      <c r="O36" s="93">
        <v>16.0</v>
      </c>
      <c r="P36" s="93">
        <v>21.0</v>
      </c>
      <c r="Q36" s="93">
        <v>45.0</v>
      </c>
      <c r="R36" s="93">
        <v>65.0</v>
      </c>
      <c r="S36" s="93">
        <v>35.0</v>
      </c>
      <c r="T36" s="93">
        <v>15.0</v>
      </c>
      <c r="U36" s="93">
        <v>51.0</v>
      </c>
      <c r="V36" s="93">
        <v>195.0</v>
      </c>
      <c r="W36" s="93">
        <v>21.0</v>
      </c>
      <c r="X36" s="93">
        <v>13.0</v>
      </c>
      <c r="Y36" s="93">
        <v>21.0</v>
      </c>
      <c r="Z36" s="93">
        <v>15.0</v>
      </c>
      <c r="AA36" s="93">
        <v>54.0</v>
      </c>
      <c r="AB36" s="93">
        <v>39.0</v>
      </c>
      <c r="AC36" s="93">
        <v>39.0</v>
      </c>
      <c r="AD36" s="93">
        <v>70.0</v>
      </c>
      <c r="AE36" s="93">
        <v>27.0</v>
      </c>
      <c r="AF36" s="93">
        <v>41.0</v>
      </c>
      <c r="AG36" s="93">
        <v>20.0</v>
      </c>
      <c r="AH36" s="93">
        <v>24.0</v>
      </c>
      <c r="AI36" s="93">
        <v>28.0</v>
      </c>
      <c r="AJ36" s="93">
        <v>27.0</v>
      </c>
      <c r="AK36" s="93">
        <v>15.0</v>
      </c>
      <c r="AL36" s="93">
        <v>18.0</v>
      </c>
      <c r="AM36" s="93">
        <v>9.0</v>
      </c>
      <c r="AN36" s="93">
        <v>28.0</v>
      </c>
      <c r="AO36" s="93">
        <v>48.0</v>
      </c>
      <c r="AP36" s="114">
        <v>51.0</v>
      </c>
      <c r="AQ36" s="114">
        <v>18.0</v>
      </c>
      <c r="AR36" s="114">
        <v>27.0</v>
      </c>
      <c r="AS36" s="114">
        <v>62.0</v>
      </c>
      <c r="AT36" s="111">
        <f t="shared" si="5"/>
        <v>355.0</v>
      </c>
      <c r="AU36" s="64">
        <f t="shared" si="142"/>
        <v>121.0</v>
      </c>
      <c r="AV36" s="69">
        <f t="shared" si="7"/>
        <v>133.1</v>
      </c>
      <c r="AW36" s="65">
        <f t="shared" si="151"/>
        <v>36.7113402061856</v>
      </c>
      <c r="AX36" s="65">
        <f t="shared" si="152"/>
        <v>46.4536082474227</v>
      </c>
      <c r="AY36" s="65">
        <f t="shared" si="153"/>
        <v>51.4432989690721</v>
      </c>
      <c r="AZ36" s="65">
        <f t="shared" si="154"/>
        <v>46.4536082474227</v>
      </c>
      <c r="BA36" s="65">
        <f t="shared" si="155"/>
        <v>34.2164948453608</v>
      </c>
      <c r="BB36" s="65">
        <f t="shared" si="156"/>
        <v>25.721649484536</v>
      </c>
      <c r="BC36" s="65">
        <f t="shared" si="157"/>
        <v>31.721649484536</v>
      </c>
      <c r="BD36" s="193">
        <f t="shared" si="15"/>
        <v>272.72164948453</v>
      </c>
      <c r="BE36" s="64">
        <f>VLOOKUP(D36,FEB23SOH,3,false)</f>
        <v>305.0</v>
      </c>
      <c r="BF36" s="194">
        <f>VLOOKUP(D36,VALUEFEB23,4,false)</f>
        <v>4.6987</v>
      </c>
      <c r="BG36" s="194">
        <f t="shared" si="18"/>
        <v>1433.1035</v>
      </c>
      <c r="BH36" s="185"/>
      <c r="BI36" s="185"/>
      <c r="BJ36" s="69">
        <f t="shared" si="158"/>
        <v>32.27835051547</v>
      </c>
      <c r="BK36" s="65"/>
      <c r="BM36" s="185"/>
      <c r="BN36" s="65">
        <f t="shared" si="159"/>
        <v>305.0</v>
      </c>
      <c r="BO36" s="65">
        <f t="shared" si="160"/>
        <v>36.7113402061856</v>
      </c>
      <c r="BP36" s="65"/>
      <c r="BQ36" s="65">
        <f t="shared" si="161"/>
        <v>268.288659793814</v>
      </c>
      <c r="BR36" s="194">
        <f t="shared" si="162"/>
        <v>1260.60792577319</v>
      </c>
      <c r="BS36" s="65">
        <f t="shared" si="163"/>
        <v>46.4536082474227</v>
      </c>
      <c r="BT36" s="65"/>
      <c r="BU36" s="65">
        <f t="shared" si="164"/>
        <v>221.835051546391</v>
      </c>
      <c r="BV36" s="194">
        <f t="shared" si="165"/>
        <v>1042.33635670102</v>
      </c>
      <c r="BW36" s="65">
        <f t="shared" si="166"/>
        <v>51.4432989690721</v>
      </c>
      <c r="BX36" s="65"/>
      <c r="BY36" s="65">
        <f t="shared" si="167"/>
        <v>170.39175257731</v>
      </c>
      <c r="BZ36" s="194">
        <f t="shared" si="168"/>
        <v>800.619727835006</v>
      </c>
      <c r="CA36" s="65">
        <f t="shared" si="169"/>
        <v>46.4536082474227</v>
      </c>
      <c r="CB36" s="65"/>
      <c r="CC36" s="65">
        <f t="shared" si="170"/>
        <v>123.938144329887</v>
      </c>
      <c r="CD36" s="194">
        <f t="shared" si="171"/>
        <v>582.34815876284</v>
      </c>
      <c r="CE36" s="65">
        <f t="shared" si="172"/>
        <v>34.2164948453608</v>
      </c>
      <c r="CF36" s="65"/>
      <c r="CG36" s="65">
        <f t="shared" si="173"/>
        <v>89.7216494845262</v>
      </c>
      <c r="CH36" s="194">
        <f t="shared" si="174"/>
        <v>421.575114432943</v>
      </c>
      <c r="CI36" s="65">
        <f t="shared" si="175"/>
        <v>25.721649484536</v>
      </c>
      <c r="CJ36" s="65"/>
      <c r="CK36" s="65">
        <f t="shared" si="176"/>
        <v>63.9999999999901</v>
      </c>
      <c r="CL36" s="195">
        <f t="shared" si="177"/>
        <v>300.716799999953</v>
      </c>
      <c r="CM36" s="65">
        <f t="shared" si="70"/>
        <v>31.721649484536</v>
      </c>
      <c r="CN36" s="65"/>
      <c r="CO36" s="65">
        <f t="shared" si="178"/>
        <v>32.2783505154541</v>
      </c>
      <c r="CP36" s="195">
        <f t="shared" si="179"/>
        <v>1041.89191199902</v>
      </c>
    </row>
    <row r="37" ht="14.0" customFormat="1" s="47">
      <c r="A37" s="93" t="s">
        <v>430</v>
      </c>
      <c r="B37" s="93" t="s">
        <v>489</v>
      </c>
      <c r="C37" s="93" t="s">
        <v>503</v>
      </c>
      <c r="D37" s="93" t="s">
        <v>504</v>
      </c>
      <c r="E37" s="93">
        <v>24.0</v>
      </c>
      <c r="F37" s="93">
        <v>30.0</v>
      </c>
      <c r="G37" s="93">
        <v>3.0</v>
      </c>
      <c r="H37" s="93">
        <v>9.0</v>
      </c>
      <c r="I37" s="93">
        <v>21.0</v>
      </c>
      <c r="J37" s="93">
        <v>30.0</v>
      </c>
      <c r="K37" s="93">
        <v>33.0</v>
      </c>
      <c r="L37" s="93">
        <v>18.0</v>
      </c>
      <c r="M37" s="93">
        <v>30.0</v>
      </c>
      <c r="N37" s="93">
        <v>48.0</v>
      </c>
      <c r="O37" s="93">
        <v>20.0</v>
      </c>
      <c r="P37" s="93">
        <v>15.0</v>
      </c>
      <c r="Q37" s="93">
        <v>33.0</v>
      </c>
      <c r="R37" s="93">
        <v>15.0</v>
      </c>
      <c r="S37" s="93">
        <v>21.0</v>
      </c>
      <c r="T37" s="93">
        <v>18.0</v>
      </c>
      <c r="U37" s="93">
        <v>48.0</v>
      </c>
      <c r="V37" s="93">
        <v>27.0</v>
      </c>
      <c r="W37" s="93">
        <v>39.0</v>
      </c>
      <c r="X37" s="93">
        <v>27.0</v>
      </c>
      <c r="Y37" s="93">
        <v>6.0</v>
      </c>
      <c r="Z37" s="93">
        <v>12.0</v>
      </c>
      <c r="AA37" s="93">
        <v>15.0</v>
      </c>
      <c r="AB37" s="93">
        <v>33.0</v>
      </c>
      <c r="AC37" s="93">
        <v>21.0</v>
      </c>
      <c r="AD37" s="93">
        <v>28.0</v>
      </c>
      <c r="AE37" s="93">
        <v>18.0</v>
      </c>
      <c r="AF37" s="93">
        <v>26.0</v>
      </c>
      <c r="AG37" s="93">
        <v>13.0</v>
      </c>
      <c r="AH37" s="93">
        <v>6.0</v>
      </c>
      <c r="AI37" s="93">
        <v>26.0</v>
      </c>
      <c r="AJ37" s="93">
        <v>16.0</v>
      </c>
      <c r="AK37" s="93">
        <v>6.0</v>
      </c>
      <c r="AL37" s="93">
        <v>16.0</v>
      </c>
      <c r="AM37" s="93">
        <v>9.0</v>
      </c>
      <c r="AN37" s="93">
        <v>18.0</v>
      </c>
      <c r="AO37" s="93">
        <v>36.0</v>
      </c>
      <c r="AP37" s="93">
        <v>45.0</v>
      </c>
      <c r="AQ37" s="93">
        <v>18.0</v>
      </c>
      <c r="AR37" s="93">
        <v>30.0</v>
      </c>
      <c r="AS37" s="93">
        <v>15.0</v>
      </c>
      <c r="AT37" s="111">
        <f t="shared" si="5"/>
        <v>241.0</v>
      </c>
      <c r="AU37" s="64">
        <f t="shared" si="142"/>
        <v>79.0</v>
      </c>
      <c r="AV37" s="69">
        <f t="shared" si="7"/>
        <v>86.9</v>
      </c>
      <c r="AW37" s="65">
        <f t="shared" si="151"/>
        <v>30.2164948453608</v>
      </c>
      <c r="AX37" s="65">
        <f t="shared" si="152"/>
        <v>38.659793814433</v>
      </c>
      <c r="AY37" s="65">
        <f t="shared" si="153"/>
        <v>41.9175257732</v>
      </c>
      <c r="AZ37" s="65">
        <f t="shared" si="154"/>
        <v>38.659793814433</v>
      </c>
      <c r="BA37" s="65">
        <f t="shared" si="155"/>
        <v>28.5876288659792</v>
      </c>
      <c r="BB37" s="65">
        <f t="shared" si="156"/>
        <v>20.9587628865979</v>
      </c>
      <c r="BC37" s="65">
        <f t="shared" si="157"/>
        <v>26.9587628865979</v>
      </c>
      <c r="BD37" s="193">
        <f t="shared" si="15"/>
        <v>225.958762886601</v>
      </c>
      <c r="BE37" s="64">
        <f>VLOOKUP(D37,FEB23SOH,3,false)</f>
        <v>177.0</v>
      </c>
      <c r="BF37" s="194">
        <f>VLOOKUP(D37,VALUEFEB23,4,false)</f>
        <v>4.3697</v>
      </c>
      <c r="BG37" s="194">
        <f t="shared" si="18"/>
        <v>773.4369</v>
      </c>
      <c r="BH37" s="185"/>
      <c r="BI37" s="185"/>
      <c r="BJ37" s="69">
        <f t="shared" si="158"/>
        <v>-48.9587628866008</v>
      </c>
      <c r="BK37" s="65"/>
      <c r="BL37" s="64"/>
      <c r="BM37" s="185" t="s">
        <v>5</v>
      </c>
      <c r="BN37" s="65">
        <f t="shared" si="159"/>
        <v>177.0</v>
      </c>
      <c r="BO37" s="65">
        <f t="shared" si="160"/>
        <v>30.2164948453608</v>
      </c>
      <c r="BP37" s="65"/>
      <c r="BQ37" s="65">
        <f t="shared" si="161"/>
        <v>146.783505154639</v>
      </c>
      <c r="BR37" s="194">
        <f t="shared" si="162"/>
        <v>641.399882474226</v>
      </c>
      <c r="BS37" s="65">
        <f t="shared" si="163"/>
        <v>38.659793814433</v>
      </c>
      <c r="BT37" s="65"/>
      <c r="BU37" s="65">
        <f t="shared" si="164"/>
        <v>108.123711340206</v>
      </c>
      <c r="BV37" s="194">
        <f t="shared" si="165"/>
        <v>472.468181443298</v>
      </c>
      <c r="BW37" s="65">
        <f t="shared" si="166"/>
        <v>41.9175257732</v>
      </c>
      <c r="BX37" s="65"/>
      <c r="BY37" s="65">
        <f t="shared" si="167"/>
        <v>66.206185567006</v>
      </c>
      <c r="BZ37" s="194">
        <f t="shared" si="168"/>
        <v>289.301169072146</v>
      </c>
      <c r="CA37" s="65">
        <f t="shared" si="169"/>
        <v>38.659793814433</v>
      </c>
      <c r="CB37" s="65"/>
      <c r="CC37" s="65">
        <f t="shared" si="170"/>
        <v>27.546391752573</v>
      </c>
      <c r="CD37" s="194">
        <f t="shared" si="171"/>
        <v>120.369468041218</v>
      </c>
      <c r="CE37" s="65">
        <f t="shared" si="172"/>
        <v>28.5876288659792</v>
      </c>
      <c r="CF37" s="65"/>
      <c r="CG37" s="65">
        <f t="shared" si="173"/>
        <v>-1.0412371134062</v>
      </c>
      <c r="CH37" s="194">
        <f t="shared" si="174"/>
        <v>-4.54989381445107</v>
      </c>
      <c r="CI37" s="65">
        <f t="shared" si="175"/>
        <v>20.9587628865979</v>
      </c>
      <c r="CJ37" s="65"/>
      <c r="CK37" s="65">
        <f t="shared" si="176"/>
        <v>-22.0000000000041</v>
      </c>
      <c r="CL37" s="195">
        <f t="shared" si="177"/>
        <v>-96.1334000000179</v>
      </c>
      <c r="CM37" s="65">
        <f t="shared" si="70"/>
        <v>26.9587628865979</v>
      </c>
      <c r="CN37" s="65"/>
      <c r="CO37" s="65">
        <f t="shared" si="178"/>
        <v>-48.958762886602</v>
      </c>
      <c r="CP37" s="195">
        <f t="shared" si="179"/>
        <v>2396.96046338646</v>
      </c>
    </row>
    <row r="38" ht="14.0" customFormat="1" s="47">
      <c r="A38" s="93" t="s">
        <v>430</v>
      </c>
      <c r="B38" s="93" t="s">
        <v>53</v>
      </c>
      <c r="C38" s="93" t="s">
        <v>474</v>
      </c>
      <c r="D38" s="93" t="s">
        <v>475</v>
      </c>
      <c r="E38" s="93">
        <v>27.0</v>
      </c>
      <c r="F38" s="93">
        <v>45.0</v>
      </c>
      <c r="G38" s="93">
        <v>39.0</v>
      </c>
      <c r="H38" s="93">
        <v>57.0</v>
      </c>
      <c r="I38" s="93">
        <v>46.0</v>
      </c>
      <c r="J38" s="93">
        <v>6.0</v>
      </c>
      <c r="K38" s="93">
        <v>36.0</v>
      </c>
      <c r="L38" s="93">
        <v>29.0</v>
      </c>
      <c r="M38" s="93">
        <v>26.0</v>
      </c>
      <c r="N38" s="197">
        <v>11.0</v>
      </c>
      <c r="O38" s="197">
        <v>71.0</v>
      </c>
      <c r="P38" s="93">
        <v>22.0</v>
      </c>
      <c r="Q38" s="93">
        <v>41.0</v>
      </c>
      <c r="R38" s="93">
        <v>9.0</v>
      </c>
      <c r="S38" s="93">
        <v>25.0</v>
      </c>
      <c r="T38" s="93">
        <v>2.0</v>
      </c>
      <c r="U38" s="93">
        <v>21.0</v>
      </c>
      <c r="V38" s="93">
        <v>11.0</v>
      </c>
      <c r="W38" s="93">
        <v>12.0</v>
      </c>
      <c r="X38" s="93">
        <v>2.0</v>
      </c>
      <c r="Y38" s="93">
        <v>13.0</v>
      </c>
      <c r="Z38" s="197">
        <v>43.0</v>
      </c>
      <c r="AA38" s="197">
        <v>36.0</v>
      </c>
      <c r="AB38" s="93">
        <v>9.0</v>
      </c>
      <c r="AC38" s="93">
        <v>12.0</v>
      </c>
      <c r="AD38" s="93">
        <v>24.0</v>
      </c>
      <c r="AE38" s="93">
        <v>42.0</v>
      </c>
      <c r="AF38" s="93">
        <v>15.0</v>
      </c>
      <c r="AG38" s="93">
        <v>9.0</v>
      </c>
      <c r="AH38" s="93">
        <v>15.0</v>
      </c>
      <c r="AI38" s="93">
        <v>15.0</v>
      </c>
      <c r="AJ38" s="93">
        <v>9.0</v>
      </c>
      <c r="AK38" s="93">
        <v>9.0</v>
      </c>
      <c r="AL38" s="200">
        <v>40.0</v>
      </c>
      <c r="AM38" s="200">
        <v>24.0</v>
      </c>
      <c r="AN38" s="93">
        <v>18.0</v>
      </c>
      <c r="AO38" s="93">
        <v>6.0</v>
      </c>
      <c r="AP38" s="93">
        <v>12.0</v>
      </c>
      <c r="AQ38" s="93">
        <v>21.0</v>
      </c>
      <c r="AR38" s="93">
        <v>3.0</v>
      </c>
      <c r="AS38" s="93">
        <v>23.0</v>
      </c>
      <c r="AT38" s="111">
        <f t="shared" si="5"/>
        <v>195.0</v>
      </c>
      <c r="AU38" s="64">
        <f t="shared" si="142"/>
        <v>112.0</v>
      </c>
      <c r="AV38" s="69">
        <f t="shared" si="7"/>
        <v>123.2</v>
      </c>
      <c r="AW38" s="65">
        <f t="shared" ref="AW38:AW41" si="180">AV38*$AW$4/$AV$4</f>
        <v>17.319587628866</v>
      </c>
      <c r="AX38" s="65">
        <f t="shared" ref="AX38:AX39" si="181">AV38*$AX$4/$AV$4</f>
        <v>20.7835051546391</v>
      </c>
      <c r="AY38" s="65">
        <f t="shared" ref="AY38:AY39" si="182">AV38*$AY$4/$AV$4</f>
        <v>25.4020618556701</v>
      </c>
      <c r="AZ38" s="65">
        <f t="shared" ref="AZ38:AZ41" si="183">AV38*$AZ$4/$AV$4</f>
        <v>20.7835051546391</v>
      </c>
      <c r="BA38" s="198">
        <f t="shared" ref="BA38:BA39" si="184">AL38*1.1</f>
        <v>44.0</v>
      </c>
      <c r="BB38" s="198">
        <f t="shared" ref="BB38:BB39" si="185">AM38*1.1</f>
        <v>26.4</v>
      </c>
      <c r="BC38" s="198">
        <f t="shared" ref="BC38:BC39" si="186">AN38*1.1</f>
        <v>19.8</v>
      </c>
      <c r="BD38" s="193">
        <f t="shared" si="15"/>
        <v>174.488659793814</v>
      </c>
      <c r="BE38" s="64">
        <f>VLOOKUP(D38,FEB23SOH,3,false)</f>
        <v>713.0</v>
      </c>
      <c r="BF38" s="194">
        <f>VLOOKUP(D38,VALUEFEB23,4,false)</f>
        <v>6.4454</v>
      </c>
      <c r="BG38" s="194">
        <f t="shared" si="18"/>
        <v>4595.5702</v>
      </c>
      <c r="BH38" s="185"/>
      <c r="BI38" s="185"/>
      <c r="BJ38" s="69">
        <f t="shared" si="158"/>
        <v>538.511340206186</v>
      </c>
      <c r="BK38" s="65"/>
      <c r="BM38" s="185"/>
      <c r="BN38" s="65">
        <f t="shared" si="159"/>
        <v>713.0</v>
      </c>
      <c r="BO38" s="65">
        <f t="shared" si="160"/>
        <v>17.319587628866</v>
      </c>
      <c r="BP38" s="65"/>
      <c r="BQ38" s="65">
        <f t="shared" si="161"/>
        <v>695.680412371134</v>
      </c>
      <c r="BR38" s="194">
        <f t="shared" si="162"/>
        <v>4483.9385298969</v>
      </c>
      <c r="BS38" s="65">
        <f t="shared" si="163"/>
        <v>20.7835051546391</v>
      </c>
      <c r="BT38" s="65"/>
      <c r="BU38" s="65">
        <f t="shared" si="164"/>
        <v>674.896907216494</v>
      </c>
      <c r="BV38" s="194">
        <f t="shared" si="165"/>
        <v>4349.98052577319</v>
      </c>
      <c r="BW38" s="65">
        <f t="shared" si="166"/>
        <v>25.4020618556701</v>
      </c>
      <c r="BX38" s="65"/>
      <c r="BY38" s="65">
        <f t="shared" si="167"/>
        <v>649.494845360823</v>
      </c>
      <c r="BZ38" s="194">
        <f t="shared" si="168"/>
        <v>4186.25407628864</v>
      </c>
      <c r="CA38" s="65">
        <f t="shared" si="169"/>
        <v>20.7835051546391</v>
      </c>
      <c r="CB38" s="65"/>
      <c r="CC38" s="65">
        <f t="shared" si="170"/>
        <v>628.711340206183</v>
      </c>
      <c r="CD38" s="194">
        <f t="shared" si="171"/>
        <v>4052.29607216493</v>
      </c>
      <c r="CE38" s="65">
        <f t="shared" si="172"/>
        <v>44.0</v>
      </c>
      <c r="CF38" s="65"/>
      <c r="CG38" s="65">
        <f t="shared" si="173"/>
        <v>584.711340206183</v>
      </c>
      <c r="CH38" s="194">
        <f t="shared" si="174"/>
        <v>3768.69847216493</v>
      </c>
      <c r="CI38" s="65">
        <f t="shared" si="175"/>
        <v>26.4</v>
      </c>
      <c r="CJ38" s="65"/>
      <c r="CK38" s="65">
        <f t="shared" si="176"/>
        <v>558.311340206183</v>
      </c>
      <c r="CL38" s="195">
        <f t="shared" si="177"/>
        <v>3598.53991216493</v>
      </c>
      <c r="CM38" s="65">
        <f t="shared" si="70"/>
        <v>19.8</v>
      </c>
      <c r="CN38" s="65"/>
      <c r="CO38" s="65">
        <f t="shared" si="178"/>
        <v>538.511340206183</v>
      </c>
      <c r="CP38" s="195">
        <f t="shared" si="179"/>
        <v>289994.463530661</v>
      </c>
    </row>
    <row r="39" ht="14.0" customFormat="1" s="47">
      <c r="A39" s="93" t="s">
        <v>430</v>
      </c>
      <c r="B39" s="93" t="s">
        <v>53</v>
      </c>
      <c r="C39" s="93" t="s">
        <v>476</v>
      </c>
      <c r="D39" s="93" t="s">
        <v>477</v>
      </c>
      <c r="E39" s="93">
        <v>16.0</v>
      </c>
      <c r="F39" s="93">
        <v>48.0</v>
      </c>
      <c r="G39" s="93">
        <v>97.0</v>
      </c>
      <c r="H39" s="93">
        <v>39.0</v>
      </c>
      <c r="I39" s="93">
        <v>36.0</v>
      </c>
      <c r="J39" s="93">
        <v>31.0</v>
      </c>
      <c r="K39" s="93">
        <v>39.0</v>
      </c>
      <c r="L39" s="93">
        <v>39.0</v>
      </c>
      <c r="M39" s="93">
        <v>27.0</v>
      </c>
      <c r="N39" s="197">
        <v>9.0</v>
      </c>
      <c r="O39" s="197">
        <v>61.0</v>
      </c>
      <c r="P39" s="93">
        <v>16.0</v>
      </c>
      <c r="Q39" s="93">
        <v>21.0</v>
      </c>
      <c r="R39" s="93">
        <v>18.0</v>
      </c>
      <c r="S39" s="93">
        <v>19.0</v>
      </c>
      <c r="T39" s="93">
        <v>8.0</v>
      </c>
      <c r="U39" s="93">
        <v>9.0</v>
      </c>
      <c r="V39" s="93">
        <v>12.0</v>
      </c>
      <c r="W39" s="93">
        <v>6.0</v>
      </c>
      <c r="X39" s="93">
        <v>3.0</v>
      </c>
      <c r="Y39" s="93">
        <v>12.0</v>
      </c>
      <c r="Z39" s="197">
        <v>40.0</v>
      </c>
      <c r="AA39" s="197">
        <v>24.0</v>
      </c>
      <c r="AB39" s="93">
        <v>3.0</v>
      </c>
      <c r="AC39" s="93">
        <v>16.0</v>
      </c>
      <c r="AD39" s="93">
        <v>12.0</v>
      </c>
      <c r="AE39" s="93">
        <v>20.0</v>
      </c>
      <c r="AF39" s="93">
        <v>16.0</v>
      </c>
      <c r="AG39" s="93">
        <v>13.0</v>
      </c>
      <c r="AH39" s="93">
        <v>16.0</v>
      </c>
      <c r="AI39" s="93">
        <v>6.0</v>
      </c>
      <c r="AJ39" s="93">
        <v>7.0</v>
      </c>
      <c r="AK39" s="93">
        <v>4.0</v>
      </c>
      <c r="AL39" s="200">
        <v>15.0</v>
      </c>
      <c r="AM39" s="200">
        <v>18.0</v>
      </c>
      <c r="AN39" s="93">
        <v>10.0</v>
      </c>
      <c r="AO39" s="93">
        <v>12.0</v>
      </c>
      <c r="AP39" s="93">
        <v>9.0</v>
      </c>
      <c r="AQ39" s="93">
        <v>15.0</v>
      </c>
      <c r="AR39" s="93">
        <v>3.0</v>
      </c>
      <c r="AS39" s="93">
        <v>11.0</v>
      </c>
      <c r="AT39" s="111">
        <f t="shared" si="5"/>
        <v>126.0</v>
      </c>
      <c r="AU39" s="64">
        <f t="shared" si="142"/>
        <v>66.0</v>
      </c>
      <c r="AV39" s="69">
        <f t="shared" si="7"/>
        <v>72.6</v>
      </c>
      <c r="AW39" s="65">
        <f t="shared" si="180"/>
        <v>10.2061855670103</v>
      </c>
      <c r="AX39" s="65">
        <f t="shared" si="181"/>
        <v>12.2474226804123</v>
      </c>
      <c r="AY39" s="65">
        <f t="shared" si="182"/>
        <v>14.9690721649484</v>
      </c>
      <c r="AZ39" s="65">
        <f t="shared" si="183"/>
        <v>12.2474226804123</v>
      </c>
      <c r="BA39" s="198">
        <f t="shared" si="184"/>
        <v>16.5</v>
      </c>
      <c r="BB39" s="198">
        <f t="shared" si="185"/>
        <v>19.8</v>
      </c>
      <c r="BC39" s="198">
        <f t="shared" si="186"/>
        <v>11.0</v>
      </c>
      <c r="BD39" s="193">
        <f t="shared" si="15"/>
        <v>96.9701030927833</v>
      </c>
      <c r="BE39" s="64">
        <f>VLOOKUP(D39,FEB23SOH,3,false)</f>
        <v>370.0</v>
      </c>
      <c r="BF39" s="194">
        <f>VLOOKUP(D39,VALUEFEB23,4,false)</f>
        <v>6.0959</v>
      </c>
      <c r="BG39" s="194">
        <f t="shared" si="18"/>
        <v>2255.483</v>
      </c>
      <c r="BH39" s="185"/>
      <c r="BI39" s="185"/>
      <c r="BJ39" s="69">
        <f t="shared" si="158"/>
        <v>273.02989690721</v>
      </c>
      <c r="BK39" s="65"/>
      <c r="BL39" s="64"/>
      <c r="BM39" s="185"/>
      <c r="BN39" s="65">
        <f t="shared" si="159"/>
        <v>370.0</v>
      </c>
      <c r="BO39" s="65">
        <f t="shared" si="160"/>
        <v>10.2061855670103</v>
      </c>
      <c r="BP39" s="65"/>
      <c r="BQ39" s="65">
        <f t="shared" si="161"/>
        <v>359.79381443299</v>
      </c>
      <c r="BR39" s="194">
        <f t="shared" si="162"/>
        <v>2193.26711340206</v>
      </c>
      <c r="BS39" s="65">
        <f t="shared" si="163"/>
        <v>12.2474226804123</v>
      </c>
      <c r="BT39" s="65"/>
      <c r="BU39" s="65">
        <f t="shared" si="164"/>
        <v>347.546391752578</v>
      </c>
      <c r="BV39" s="194">
        <f t="shared" si="165"/>
        <v>2118.60804948454</v>
      </c>
      <c r="BW39" s="65">
        <f t="shared" si="166"/>
        <v>14.9690721649484</v>
      </c>
      <c r="BX39" s="65"/>
      <c r="BY39" s="65">
        <f t="shared" si="167"/>
        <v>332.57731958763</v>
      </c>
      <c r="BZ39" s="194">
        <f t="shared" si="168"/>
        <v>2027.35808247423</v>
      </c>
      <c r="CA39" s="65">
        <f t="shared" si="169"/>
        <v>12.2474226804123</v>
      </c>
      <c r="CB39" s="65"/>
      <c r="CC39" s="65">
        <f t="shared" si="170"/>
        <v>320.32989690721</v>
      </c>
      <c r="CD39" s="194">
        <f t="shared" si="171"/>
        <v>1952.69901855666</v>
      </c>
      <c r="CE39" s="65">
        <f t="shared" si="172"/>
        <v>16.5</v>
      </c>
      <c r="CF39" s="65"/>
      <c r="CG39" s="65">
        <f t="shared" si="173"/>
        <v>303.82989690721</v>
      </c>
      <c r="CH39" s="194">
        <f t="shared" si="174"/>
        <v>1852.11666855666</v>
      </c>
      <c r="CI39" s="65">
        <f t="shared" si="175"/>
        <v>19.8</v>
      </c>
      <c r="CJ39" s="65"/>
      <c r="CK39" s="65">
        <f t="shared" si="176"/>
        <v>284.02989690721</v>
      </c>
      <c r="CL39" s="195">
        <f t="shared" si="177"/>
        <v>1731.41784855666</v>
      </c>
      <c r="CM39" s="65">
        <f t="shared" si="70"/>
        <v>11.0</v>
      </c>
      <c r="CN39" s="65"/>
      <c r="CO39" s="65">
        <f t="shared" si="178"/>
        <v>273.02989690721</v>
      </c>
      <c r="CP39" s="195">
        <f t="shared" si="179"/>
        <v>74545.3246051617</v>
      </c>
    </row>
    <row r="40" ht="14.0" customFormat="1" s="47">
      <c r="A40" s="93" t="s">
        <v>430</v>
      </c>
      <c r="B40" s="93" t="s">
        <v>53</v>
      </c>
      <c r="C40" s="93" t="s">
        <v>478</v>
      </c>
      <c r="D40" s="93" t="s">
        <v>479</v>
      </c>
      <c r="E40" s="93">
        <v>15.0</v>
      </c>
      <c r="F40" s="93">
        <v>45.0</v>
      </c>
      <c r="G40" s="93">
        <v>24.0</v>
      </c>
      <c r="H40" s="93">
        <v>13.0</v>
      </c>
      <c r="I40" s="93">
        <v>6.0</v>
      </c>
      <c r="J40" s="93">
        <v>18.0</v>
      </c>
      <c r="K40" s="93">
        <v>10.0</v>
      </c>
      <c r="L40" s="93">
        <v>25.0</v>
      </c>
      <c r="M40" s="93">
        <v>20.0</v>
      </c>
      <c r="N40" s="93">
        <v>40.0</v>
      </c>
      <c r="O40" s="93">
        <v>3.0</v>
      </c>
      <c r="P40" s="93">
        <v>9.0</v>
      </c>
      <c r="Q40" s="93">
        <v>27.0</v>
      </c>
      <c r="R40" s="93">
        <v>26.0</v>
      </c>
      <c r="S40" s="93">
        <v>6.0</v>
      </c>
      <c r="T40" s="93">
        <v>9.0</v>
      </c>
      <c r="U40" s="93">
        <v>13.0</v>
      </c>
      <c r="V40" s="93">
        <v>3.0</v>
      </c>
      <c r="W40" s="93">
        <v>12.0</v>
      </c>
      <c r="X40" s="93">
        <v>24.0</v>
      </c>
      <c r="Y40" s="93">
        <v>21.0</v>
      </c>
      <c r="Z40" s="93">
        <v>18.0</v>
      </c>
      <c r="AA40" s="93">
        <v>18.0</v>
      </c>
      <c r="AB40" s="93">
        <v>6.0</v>
      </c>
      <c r="AC40" s="93">
        <v>40.0</v>
      </c>
      <c r="AD40" s="93">
        <v>18.0</v>
      </c>
      <c r="AE40" s="93">
        <v>0.0</v>
      </c>
      <c r="AF40" s="93">
        <v>13.0</v>
      </c>
      <c r="AG40" s="93">
        <v>10.0</v>
      </c>
      <c r="AH40" s="93">
        <v>13.0</v>
      </c>
      <c r="AI40" s="93">
        <v>4.0</v>
      </c>
      <c r="AJ40" s="93">
        <v>33.0</v>
      </c>
      <c r="AK40" s="93">
        <v>12.0</v>
      </c>
      <c r="AL40" s="93">
        <v>18.0</v>
      </c>
      <c r="AM40" s="93">
        <v>6.0</v>
      </c>
      <c r="AN40" s="93">
        <v>4.0</v>
      </c>
      <c r="AO40" s="93">
        <v>33.0</v>
      </c>
      <c r="AP40" s="93">
        <v>12.0</v>
      </c>
      <c r="AQ40" s="93">
        <v>18.0</v>
      </c>
      <c r="AR40" s="93">
        <v>6.0</v>
      </c>
      <c r="AS40" s="93">
        <v>33.0</v>
      </c>
      <c r="AT40" s="111">
        <f t="shared" si="5"/>
        <v>192.0</v>
      </c>
      <c r="AU40" s="64">
        <f t="shared" si="142"/>
        <v>86.0</v>
      </c>
      <c r="AV40" s="69">
        <f t="shared" si="7"/>
        <v>94.6</v>
      </c>
      <c r="AW40" s="65">
        <f t="shared" si="180"/>
        <v>13.298969072164</v>
      </c>
      <c r="AX40" s="196">
        <f t="shared" ref="AX40:AX41" si="187">AI40*1.1</f>
        <v>4.4</v>
      </c>
      <c r="AY40" s="65">
        <f t="shared" ref="AY40:AY41" si="188">AJ40*1.1</f>
        <v>36.3</v>
      </c>
      <c r="AZ40" s="65">
        <f t="shared" si="183"/>
        <v>15.9587628865979</v>
      </c>
      <c r="BA40" s="65">
        <f t="shared" ref="BA40:BA41" si="189">AV40*$BA$4/$AV$4</f>
        <v>11.5257731958762</v>
      </c>
      <c r="BB40" s="65">
        <f t="shared" ref="BB40:BB41" si="190">AV40*$BB$4/$AV$4</f>
        <v>9.75257731958763</v>
      </c>
      <c r="BC40" s="65">
        <f>AV41*$BB$4/$AV$4</f>
        <v>8.16494845360824</v>
      </c>
      <c r="BD40" s="193">
        <f t="shared" si="15"/>
        <v>99.401030927834</v>
      </c>
      <c r="BE40" s="64">
        <f>VLOOKUP(D40,FEB23SOH,3,false)</f>
        <v>797.0</v>
      </c>
      <c r="BF40" s="194">
        <f>VLOOKUP(D40,VALUEFEB23,4,false)</f>
        <v>6.3043</v>
      </c>
      <c r="BG40" s="194">
        <f t="shared" si="18"/>
        <v>5024.5271</v>
      </c>
      <c r="BH40" s="185"/>
      <c r="BI40" s="185"/>
      <c r="BJ40" s="69">
        <f t="shared" si="158"/>
        <v>697.598969072166</v>
      </c>
      <c r="BK40" s="65"/>
      <c r="BM40" s="185"/>
      <c r="BN40" s="65">
        <f t="shared" si="159"/>
        <v>797.0</v>
      </c>
      <c r="BO40" s="65">
        <f t="shared" si="160"/>
        <v>13.298969072164</v>
      </c>
      <c r="BP40" s="65"/>
      <c r="BQ40" s="65">
        <f t="shared" si="161"/>
        <v>783.701030927836</v>
      </c>
      <c r="BR40" s="194">
        <f t="shared" si="162"/>
        <v>4940.68640927836</v>
      </c>
      <c r="BS40" s="65">
        <f t="shared" si="163"/>
        <v>4.4</v>
      </c>
      <c r="BT40" s="65"/>
      <c r="BU40" s="65">
        <f t="shared" si="164"/>
        <v>779.301030927836</v>
      </c>
      <c r="BV40" s="194">
        <f t="shared" si="165"/>
        <v>4912.94748927836</v>
      </c>
      <c r="BW40" s="65">
        <f t="shared" si="166"/>
        <v>36.3</v>
      </c>
      <c r="BX40" s="65"/>
      <c r="BY40" s="65">
        <f t="shared" si="167"/>
        <v>743.001030927836</v>
      </c>
      <c r="BZ40" s="194">
        <f t="shared" si="168"/>
        <v>4684.10139927836</v>
      </c>
      <c r="CA40" s="65">
        <f t="shared" si="169"/>
        <v>15.9587628865979</v>
      </c>
      <c r="CB40" s="65"/>
      <c r="CC40" s="65">
        <f t="shared" si="170"/>
        <v>727.042268041238</v>
      </c>
      <c r="CD40" s="194">
        <f t="shared" si="171"/>
        <v>4583.49257041238</v>
      </c>
      <c r="CE40" s="65">
        <f t="shared" si="172"/>
        <v>11.5257731958762</v>
      </c>
      <c r="CF40" s="65"/>
      <c r="CG40" s="65">
        <f t="shared" si="173"/>
        <v>715.516494845361</v>
      </c>
      <c r="CH40" s="194">
        <f t="shared" si="174"/>
        <v>4510.8306384536</v>
      </c>
      <c r="CI40" s="65">
        <f t="shared" si="175"/>
        <v>9.75257731958763</v>
      </c>
      <c r="CJ40" s="65"/>
      <c r="CK40" s="65">
        <f t="shared" si="176"/>
        <v>705.763917525773</v>
      </c>
      <c r="CL40" s="195">
        <f t="shared" si="177"/>
        <v>4449.34746525773</v>
      </c>
      <c r="CM40" s="65">
        <f t="shared" si="70"/>
        <v>8.16494845360824</v>
      </c>
      <c r="CN40" s="65"/>
      <c r="CO40" s="65">
        <f t="shared" si="178"/>
        <v>697.598969072164</v>
      </c>
      <c r="CP40" s="195">
        <f t="shared" si="179"/>
        <v>486644.321650547</v>
      </c>
    </row>
    <row r="41" ht="14.0" customFormat="1" s="47">
      <c r="A41" s="93" t="s">
        <v>430</v>
      </c>
      <c r="B41" s="93" t="s">
        <v>53</v>
      </c>
      <c r="C41" s="93" t="s">
        <v>481</v>
      </c>
      <c r="D41" s="93" t="s">
        <v>482</v>
      </c>
      <c r="E41" s="93">
        <v>23.0</v>
      </c>
      <c r="F41" s="93">
        <v>101.0</v>
      </c>
      <c r="G41" s="93">
        <v>35.0</v>
      </c>
      <c r="H41" s="93">
        <v>20.0</v>
      </c>
      <c r="I41" s="93">
        <v>3.0</v>
      </c>
      <c r="J41" s="93">
        <v>33.0</v>
      </c>
      <c r="K41" s="93">
        <v>10.0</v>
      </c>
      <c r="L41" s="93">
        <v>34.0</v>
      </c>
      <c r="M41" s="93">
        <v>18.0</v>
      </c>
      <c r="N41" s="93">
        <v>37.0</v>
      </c>
      <c r="O41" s="93">
        <v>11.0</v>
      </c>
      <c r="P41" s="93">
        <v>30.0</v>
      </c>
      <c r="Q41" s="93">
        <v>52.0</v>
      </c>
      <c r="R41" s="93">
        <v>47.0</v>
      </c>
      <c r="S41" s="93">
        <v>18.0</v>
      </c>
      <c r="T41" s="93">
        <v>15.0</v>
      </c>
      <c r="U41" s="93">
        <v>19.0</v>
      </c>
      <c r="V41" s="93">
        <v>24.0</v>
      </c>
      <c r="W41" s="93">
        <v>13.0</v>
      </c>
      <c r="X41" s="93">
        <v>24.0</v>
      </c>
      <c r="Y41" s="93">
        <v>53.0</v>
      </c>
      <c r="Z41" s="93">
        <v>60.0</v>
      </c>
      <c r="AA41" s="93">
        <v>15.0</v>
      </c>
      <c r="AB41" s="93">
        <v>19.0</v>
      </c>
      <c r="AC41" s="93">
        <v>66.0</v>
      </c>
      <c r="AD41" s="93">
        <v>63.0</v>
      </c>
      <c r="AE41" s="93">
        <v>25.0</v>
      </c>
      <c r="AF41" s="93">
        <v>3.0</v>
      </c>
      <c r="AG41" s="93">
        <v>7.0</v>
      </c>
      <c r="AH41" s="93">
        <v>13.0</v>
      </c>
      <c r="AI41" s="110">
        <f>W41</f>
        <v>13.0</v>
      </c>
      <c r="AJ41" s="93">
        <v>15.0</v>
      </c>
      <c r="AK41" s="93">
        <v>6.0</v>
      </c>
      <c r="AL41" s="93">
        <v>15.0</v>
      </c>
      <c r="AM41" s="93">
        <v>10.0</v>
      </c>
      <c r="AN41" s="93">
        <f>AB41</f>
        <v>19.0</v>
      </c>
      <c r="AO41" s="93">
        <v>15.0</v>
      </c>
      <c r="AP41" s="93">
        <v>6.0</v>
      </c>
      <c r="AQ41" s="93">
        <v>15.0</v>
      </c>
      <c r="AR41" s="93">
        <v>10.0</v>
      </c>
      <c r="AS41" s="93">
        <v>37.0</v>
      </c>
      <c r="AT41" s="111">
        <f t="shared" si="5"/>
        <v>174.0</v>
      </c>
      <c r="AU41" s="64">
        <f t="shared" si="142"/>
        <v>72.0</v>
      </c>
      <c r="AV41" s="69">
        <f t="shared" si="7"/>
        <v>79.2</v>
      </c>
      <c r="AW41" s="65">
        <f t="shared" si="180"/>
        <v>11.1340206185567</v>
      </c>
      <c r="AX41" s="196">
        <f t="shared" si="187"/>
        <v>14.3</v>
      </c>
      <c r="AY41" s="65">
        <f t="shared" si="188"/>
        <v>16.5</v>
      </c>
      <c r="AZ41" s="65">
        <f t="shared" si="183"/>
        <v>13.360824742268</v>
      </c>
      <c r="BA41" s="65">
        <f t="shared" si="189"/>
        <v>9.64948453608247</v>
      </c>
      <c r="BB41" s="65">
        <f t="shared" si="190"/>
        <v>8.16494845360824</v>
      </c>
      <c r="BC41" s="65">
        <f>AW41*$BB$4/$AV$4</f>
        <v>1.1478371771708</v>
      </c>
      <c r="BD41" s="193">
        <f t="shared" si="15"/>
        <v>74.2571155276862</v>
      </c>
      <c r="BE41" s="64">
        <f>VLOOKUP(D41,FEB23SOH,3,false)</f>
        <v>918.0</v>
      </c>
      <c r="BF41" s="194">
        <f>VLOOKUP(D41,VALUEFEB23,4,false)</f>
        <v>6.3287</v>
      </c>
      <c r="BG41" s="194">
        <f t="shared" si="18"/>
        <v>5809.7466</v>
      </c>
      <c r="BH41" s="185"/>
      <c r="BI41" s="185"/>
      <c r="BJ41" s="69">
        <f t="shared" si="158"/>
        <v>843.742884472313</v>
      </c>
      <c r="BK41" s="65"/>
      <c r="BM41" s="185"/>
      <c r="BN41" s="65">
        <f t="shared" si="159"/>
        <v>918.0</v>
      </c>
      <c r="BO41" s="65">
        <f t="shared" si="160"/>
        <v>11.1340206185567</v>
      </c>
      <c r="BP41" s="65"/>
      <c r="BQ41" s="65">
        <f t="shared" si="161"/>
        <v>906.865979381443</v>
      </c>
      <c r="BR41" s="194">
        <f t="shared" si="162"/>
        <v>5739.28272371133</v>
      </c>
      <c r="BS41" s="65">
        <f t="shared" si="163"/>
        <v>14.3</v>
      </c>
      <c r="BT41" s="65"/>
      <c r="BU41" s="65">
        <f t="shared" si="164"/>
        <v>892.565979381443</v>
      </c>
      <c r="BV41" s="194">
        <f t="shared" si="165"/>
        <v>5648.78231371133</v>
      </c>
      <c r="BW41" s="65">
        <f t="shared" si="166"/>
        <v>16.5</v>
      </c>
      <c r="BX41" s="65"/>
      <c r="BY41" s="65">
        <f t="shared" si="167"/>
        <v>876.065979381443</v>
      </c>
      <c r="BZ41" s="194">
        <f t="shared" si="168"/>
        <v>5544.35876371133</v>
      </c>
      <c r="CA41" s="65">
        <f t="shared" si="169"/>
        <v>13.360824742268</v>
      </c>
      <c r="CB41" s="65"/>
      <c r="CC41" s="65">
        <f t="shared" si="170"/>
        <v>862.705154639174</v>
      </c>
      <c r="CD41" s="194">
        <f t="shared" si="171"/>
        <v>5459.80211216494</v>
      </c>
      <c r="CE41" s="65">
        <f t="shared" si="172"/>
        <v>9.64948453608247</v>
      </c>
      <c r="CF41" s="65"/>
      <c r="CG41" s="65">
        <f t="shared" si="173"/>
        <v>853.055670103091</v>
      </c>
      <c r="CH41" s="194">
        <f t="shared" si="174"/>
        <v>5398.73341938143</v>
      </c>
      <c r="CI41" s="65">
        <f t="shared" si="175"/>
        <v>8.16494845360824</v>
      </c>
      <c r="CJ41" s="65"/>
      <c r="CK41" s="65">
        <f t="shared" si="176"/>
        <v>844.890721649482</v>
      </c>
      <c r="CL41" s="195">
        <f t="shared" si="177"/>
        <v>5347.05991010308</v>
      </c>
      <c r="CM41" s="65">
        <f t="shared" si="70"/>
        <v>1.1478371771708</v>
      </c>
      <c r="CN41" s="65"/>
      <c r="CO41" s="65">
        <f t="shared" si="178"/>
        <v>843.742884472311</v>
      </c>
      <c r="CP41" s="195">
        <f t="shared" si="179"/>
        <v>711902.055097657</v>
      </c>
    </row>
    <row r="42" ht="14.0" customFormat="1" s="47">
      <c r="BD42" s="64"/>
      <c r="BE42" s="64"/>
      <c r="BF42" s="64"/>
      <c r="BG42" s="201">
        <f>SUM(BG7:BG41)</f>
        <v>74817.9707</v>
      </c>
      <c r="BH42" s="185"/>
      <c r="BI42" s="185"/>
      <c r="BM42" s="185"/>
      <c r="BN42" s="69"/>
      <c r="BQ42" s="69"/>
      <c r="BR42" s="202">
        <f>SUM(BR7:BR41)</f>
        <v>69426.826087834</v>
      </c>
      <c r="BU42" s="69"/>
      <c r="BV42" s="202">
        <f>SUM(BV7:BV41)</f>
        <v>63026.2600636463</v>
      </c>
      <c r="BY42" s="69"/>
      <c r="BZ42" s="202">
        <f>SUM(BZ7:BZ41)</f>
        <v>56511.6608940853</v>
      </c>
      <c r="CC42" s="69"/>
      <c r="CD42" s="202">
        <f>SUM(CD7:CD41)</f>
        <v>50897.204529486</v>
      </c>
      <c r="CG42" s="69"/>
      <c r="CH42" s="202">
        <f>SUM(CH7:CH41)</f>
        <v>46153.1810205233</v>
      </c>
      <c r="CI42" s="65">
        <f>BF42</f>
      </c>
      <c r="CJ42" s="65"/>
      <c r="CK42" s="65"/>
      <c r="CL42" s="203">
        <f>SUM(CL7:CL41)</f>
        <v>39737.0296690928</v>
      </c>
      <c r="CM42" s="65">
        <f>BJ42</f>
      </c>
      <c r="CN42" s="65"/>
      <c r="CO42" s="65"/>
      <c r="CP42" s="203">
        <f>SUM(CP7:CP41)</f>
        <v>5177783.01132066</v>
      </c>
      <c r="BZR42" s="36"/>
      <c r="BZS42" s="36"/>
      <c r="BZT42" s="36"/>
    </row>
    <row r="43" ht="14.0" customFormat="1" s="47">
      <c r="A43" s="204"/>
      <c r="B43" s="204"/>
      <c r="C43" s="205" t="s">
        <v>549</v>
      </c>
      <c r="AW43" s="206" t="s">
        <v>549</v>
      </c>
      <c r="AX43" s="205"/>
      <c r="AY43" s="205"/>
      <c r="AZ43" s="205"/>
      <c r="BA43" s="205"/>
      <c r="BB43" s="205"/>
      <c r="BC43" s="205"/>
      <c r="BD43" s="205"/>
      <c r="BE43" s="64"/>
      <c r="BF43" s="64"/>
      <c r="BG43" s="201"/>
      <c r="BH43" s="185"/>
      <c r="BI43" s="185"/>
      <c r="BM43" s="185"/>
      <c r="BN43" s="69"/>
      <c r="BO43" s="69"/>
      <c r="BP43" s="69"/>
      <c r="BQ43" s="69"/>
      <c r="BR43" s="69"/>
      <c r="BS43" s="69"/>
      <c r="BT43" s="69"/>
      <c r="BU43" s="69"/>
      <c r="BV43" s="69"/>
      <c r="BW43" s="69"/>
      <c r="BX43" s="69"/>
      <c r="BY43" s="69"/>
      <c r="BZ43" s="69"/>
      <c r="CA43" s="69"/>
      <c r="CB43" s="69"/>
      <c r="CC43" s="69"/>
      <c r="CD43" s="69"/>
      <c r="CE43" s="69"/>
      <c r="CF43" s="69"/>
      <c r="CG43" s="69"/>
      <c r="CH43" s="69"/>
      <c r="CI43" s="69"/>
      <c r="CJ43" s="69"/>
      <c r="CK43" s="69"/>
      <c r="CL43" s="69"/>
      <c r="CM43" s="69"/>
      <c r="BZR43" s="36"/>
      <c r="BZS43" s="36"/>
      <c r="BZT43" s="36"/>
    </row>
    <row r="44" ht="14.0" customFormat="1" s="47">
      <c r="A44" s="47" t="s">
        <v>550</v>
      </c>
      <c r="B44" s="93" t="s">
        <v>53</v>
      </c>
      <c r="C44" s="47" t="s">
        <v>474</v>
      </c>
      <c r="D44" s="47" t="s">
        <v>475</v>
      </c>
      <c r="E44" s="47">
        <v>237.6</v>
      </c>
      <c r="AC44" s="120" t="s">
        <v>512</v>
      </c>
      <c r="AG44" s="185"/>
      <c r="AW44" s="207">
        <v>0.0</v>
      </c>
      <c r="AX44" s="208">
        <v>384.0</v>
      </c>
      <c r="AY44" s="207">
        <v>110.0</v>
      </c>
      <c r="AZ44" s="95">
        <v>52.8</v>
      </c>
      <c r="BA44" s="95">
        <v>52.8</v>
      </c>
      <c r="BB44" s="95">
        <v>0.0</v>
      </c>
      <c r="BC44" s="95">
        <f>120*1.1</f>
        <v>132.0</v>
      </c>
      <c r="BD44" s="193">
        <f t="shared" ref="BD44:BD47" si="206">SUM(AW44:BC44)</f>
        <v>731.6</v>
      </c>
      <c r="BE44" s="64">
        <f>VLOOKUP(D44,FEB23SOH,3,false)</f>
        <v>713.0</v>
      </c>
      <c r="BF44" s="194">
        <f>VLOOKUP(D44,VALUEFEB23,4,false)</f>
        <v>6.4454</v>
      </c>
      <c r="BG44" s="194">
        <f t="shared" ref="BG44:BG47" si="209">BF44*BE44</f>
        <v>4595.5702</v>
      </c>
      <c r="BH44" s="185"/>
      <c r="BI44" s="185"/>
      <c r="BJ44" s="65">
        <f t="shared" ref="BJ44:BJ47" si="210">BE38+BH38-BD38-BD44</f>
        <v>-193.088659793814</v>
      </c>
      <c r="BL44" s="64"/>
      <c r="BM44" s="185" t="s">
        <v>5</v>
      </c>
      <c r="BN44" s="65">
        <f t="shared" ref="BN44:BN51" si="211">BE44</f>
        <v>713.0</v>
      </c>
      <c r="BO44" s="65">
        <f t="shared" ref="BO44:BO47" si="212">AW44+AW38</f>
        <v>17.319587628866</v>
      </c>
      <c r="BP44" s="65"/>
      <c r="BQ44" s="65">
        <f t="shared" ref="BQ44:BQ51" si="213">BN44+BP44-BO44</f>
        <v>695.680412371134</v>
      </c>
      <c r="BR44" s="194">
        <f t="shared" ref="BR44:BR51" si="214">BQ44*BF44</f>
        <v>4483.9385298969</v>
      </c>
      <c r="BS44" s="65">
        <f t="shared" ref="BS44:BS47" si="215">AX44+AX38</f>
        <v>404.783505154639</v>
      </c>
      <c r="BT44" s="65"/>
      <c r="BU44" s="65">
        <f t="shared" ref="BU44:BU51" si="216">BQ44+BT44-BS44</f>
        <v>290.896907216495</v>
      </c>
      <c r="BV44" s="194">
        <f t="shared" ref="BV44:BV51" si="217">BU44*BF44</f>
        <v>1874.9469257732</v>
      </c>
      <c r="BW44" s="65">
        <f t="shared" ref="BW44:BW47" si="218">AY44+AY38</f>
        <v>135.40206185567</v>
      </c>
      <c r="BX44" s="65"/>
      <c r="BY44" s="65">
        <f t="shared" ref="BY44:BY51" si="219">BU44+BX44-BW44</f>
        <v>155.494845360824</v>
      </c>
      <c r="BZ44" s="194">
        <f t="shared" ref="BZ44:BZ51" si="220">BY44*BF44</f>
        <v>1002.22647628866</v>
      </c>
      <c r="CA44" s="65">
        <f t="shared" ref="CA44:CA47" si="221">AZ44+AZ38</f>
        <v>73.5835051546391</v>
      </c>
      <c r="CB44" s="65"/>
      <c r="CC44" s="65">
        <f t="shared" ref="CC44:CC51" si="222">BY44+CB44-CA44</f>
        <v>81.9113402061849</v>
      </c>
      <c r="CD44" s="194">
        <f t="shared" ref="CD44:CD51" si="223">CC44*BF44</f>
        <v>527.951352164944</v>
      </c>
      <c r="CE44" s="65">
        <f t="shared" ref="CE44:CE47" si="224">BA44+BA38</f>
        <v>96.8</v>
      </c>
      <c r="CF44" s="65"/>
      <c r="CG44" s="65">
        <f t="shared" ref="CG44:CG51" si="225">CC44+CF44-CE44</f>
        <v>-14.888659793815</v>
      </c>
      <c r="CH44" s="194">
        <f t="shared" ref="CH44:CH51" si="226">CG44*BF44</f>
        <v>-95.9633678350552</v>
      </c>
      <c r="CI44" s="65">
        <f t="shared" ref="CI44:CI47" si="227">BB44+BB38</f>
        <v>26.4</v>
      </c>
      <c r="CJ44" s="65"/>
      <c r="CK44" s="65">
        <f t="shared" ref="CK44:CK51" si="228">CG44+CJ44-CI44</f>
        <v>-41.288659793815</v>
      </c>
      <c r="CL44" s="195">
        <f t="shared" ref="CL44:CL51" si="229">CK44*BF44</f>
        <v>-266.121927835055</v>
      </c>
      <c r="CM44" s="65">
        <f>BC44+BC38</f>
        <v>151.8</v>
      </c>
      <c r="CN44" s="65"/>
      <c r="CO44" s="65">
        <f t="shared" ref="CO44:CO51" si="231">CK44+CN44-CM44</f>
        <v>-193.088659793815</v>
      </c>
      <c r="CP44" s="195">
        <f t="shared" ref="CP44:CP51" si="232">CO44*BJ44</f>
        <v>37283.2305409714</v>
      </c>
      <c r="BZR44" s="36"/>
      <c r="BZS44" s="36"/>
      <c r="BZT44" s="36"/>
    </row>
    <row r="45" ht="14.0" customFormat="1" s="47">
      <c r="A45" s="47" t="s">
        <v>550</v>
      </c>
      <c r="B45" s="93" t="s">
        <v>53</v>
      </c>
      <c r="C45" s="47" t="s">
        <v>476</v>
      </c>
      <c r="D45" s="47" t="s">
        <v>477</v>
      </c>
      <c r="E45" s="47">
        <v>132.0</v>
      </c>
      <c r="AC45" s="120" t="s">
        <v>513</v>
      </c>
      <c r="AW45" s="207">
        <v>26.4</v>
      </c>
      <c r="AX45" s="208">
        <v>216.0</v>
      </c>
      <c r="AY45" s="207">
        <v>26.4</v>
      </c>
      <c r="AZ45" s="95">
        <v>0.0</v>
      </c>
      <c r="BA45" s="95">
        <v>26.4</v>
      </c>
      <c r="BB45" s="95">
        <v>105.6</v>
      </c>
      <c r="BC45" s="95">
        <f>48*1.1</f>
        <v>52.8</v>
      </c>
      <c r="BD45" s="193">
        <f t="shared" si="206"/>
        <v>453.6</v>
      </c>
      <c r="BE45" s="64">
        <f>VLOOKUP(D45,FEB23SOH,3,false)</f>
        <v>370.0</v>
      </c>
      <c r="BF45" s="194">
        <f>VLOOKUP(D45,VALUEFEB23,4,false)</f>
        <v>6.0959</v>
      </c>
      <c r="BG45" s="194">
        <f t="shared" si="209"/>
        <v>2255.483</v>
      </c>
      <c r="BH45" s="185"/>
      <c r="BI45" s="185"/>
      <c r="BJ45" s="65">
        <f t="shared" si="210"/>
        <v>-180.57010309279</v>
      </c>
      <c r="BL45" s="64"/>
      <c r="BM45" s="185" t="s">
        <v>6</v>
      </c>
      <c r="BN45" s="65">
        <f t="shared" si="211"/>
        <v>370.0</v>
      </c>
      <c r="BO45" s="65">
        <f t="shared" si="212"/>
        <v>36.6061855670103</v>
      </c>
      <c r="BP45" s="65"/>
      <c r="BQ45" s="65">
        <f t="shared" si="213"/>
        <v>333.39381443299</v>
      </c>
      <c r="BR45" s="194">
        <f t="shared" si="214"/>
        <v>2032.33535340206</v>
      </c>
      <c r="BS45" s="65">
        <f t="shared" si="215"/>
        <v>228.247422680412</v>
      </c>
      <c r="BT45" s="65"/>
      <c r="BU45" s="65">
        <f t="shared" si="216"/>
        <v>105.146391752578</v>
      </c>
      <c r="BV45" s="194">
        <f t="shared" si="217"/>
        <v>640.96188948454</v>
      </c>
      <c r="BW45" s="65">
        <f t="shared" si="218"/>
        <v>41.3690721649484</v>
      </c>
      <c r="BX45" s="65"/>
      <c r="BY45" s="65">
        <f t="shared" si="219"/>
        <v>63.7773195876296</v>
      </c>
      <c r="BZ45" s="194">
        <f t="shared" si="220"/>
        <v>388.780162474231</v>
      </c>
      <c r="CA45" s="65">
        <f t="shared" si="221"/>
        <v>12.2474226804123</v>
      </c>
      <c r="CB45" s="65"/>
      <c r="CC45" s="65">
        <f t="shared" si="222"/>
        <v>51.5298969072173</v>
      </c>
      <c r="CD45" s="194">
        <f t="shared" si="223"/>
        <v>314.1210985567</v>
      </c>
      <c r="CE45" s="65">
        <f t="shared" si="224"/>
        <v>42.9</v>
      </c>
      <c r="CF45" s="65"/>
      <c r="CG45" s="65">
        <f t="shared" si="225"/>
        <v>8.6298969072173</v>
      </c>
      <c r="CH45" s="194">
        <f t="shared" si="226"/>
        <v>52.606988556706</v>
      </c>
      <c r="CI45" s="65">
        <f t="shared" si="227"/>
        <v>125.4</v>
      </c>
      <c r="CJ45" s="65"/>
      <c r="CK45" s="65">
        <f t="shared" si="228"/>
        <v>-116.770103092782</v>
      </c>
      <c r="CL45" s="195">
        <f t="shared" si="229"/>
        <v>-711.818871443288</v>
      </c>
      <c r="CM45" s="65">
        <f>BC46+BC40</f>
        <v>87.3649484536082</v>
      </c>
      <c r="CN45" s="65"/>
      <c r="CO45" s="65">
        <f t="shared" si="231"/>
        <v>-204.13505154639</v>
      </c>
      <c r="CP45" s="195">
        <f t="shared" si="232"/>
        <v>36860.6873025836</v>
      </c>
    </row>
    <row r="46" ht="14.0" customFormat="1" s="47">
      <c r="A46" s="47" t="s">
        <v>550</v>
      </c>
      <c r="B46" s="93" t="s">
        <v>53</v>
      </c>
      <c r="C46" s="47" t="s">
        <v>478</v>
      </c>
      <c r="D46" s="47" t="s">
        <v>479</v>
      </c>
      <c r="E46" s="47">
        <v>330.0</v>
      </c>
      <c r="AC46" s="120" t="s">
        <v>511</v>
      </c>
      <c r="AW46" s="207">
        <v>26.4</v>
      </c>
      <c r="AX46" s="207">
        <v>26.4</v>
      </c>
      <c r="AY46" s="207">
        <v>79.2</v>
      </c>
      <c r="AZ46" s="95">
        <v>26.4</v>
      </c>
      <c r="BA46" s="95">
        <v>52.8</v>
      </c>
      <c r="BB46" s="209">
        <v>422.4</v>
      </c>
      <c r="BC46" s="95">
        <f>72*1.1</f>
        <v>79.2</v>
      </c>
      <c r="BD46" s="193">
        <f t="shared" si="206"/>
        <v>712.8</v>
      </c>
      <c r="BE46" s="64">
        <f>VLOOKUP(D46,FEB23SOH,3,false)</f>
        <v>797.0</v>
      </c>
      <c r="BF46" s="194">
        <f>VLOOKUP(D46,VALUEFEB23,4,false)</f>
        <v>6.3043</v>
      </c>
      <c r="BG46" s="194">
        <f t="shared" si="209"/>
        <v>5024.5271</v>
      </c>
      <c r="BH46" s="185"/>
      <c r="BI46" s="185"/>
      <c r="BJ46" s="65">
        <f t="shared" si="210"/>
        <v>-15.2010309278339</v>
      </c>
      <c r="BM46" s="185" t="s">
        <v>543</v>
      </c>
      <c r="BN46" s="65">
        <f t="shared" si="211"/>
        <v>797.0</v>
      </c>
      <c r="BO46" s="65">
        <f t="shared" si="212"/>
        <v>39.698969072164</v>
      </c>
      <c r="BP46" s="65"/>
      <c r="BQ46" s="65">
        <f t="shared" si="213"/>
        <v>757.301030927836</v>
      </c>
      <c r="BR46" s="194">
        <f t="shared" si="214"/>
        <v>4774.25288927836</v>
      </c>
      <c r="BS46" s="65">
        <f t="shared" si="215"/>
        <v>30.8</v>
      </c>
      <c r="BT46" s="65"/>
      <c r="BU46" s="65">
        <f t="shared" si="216"/>
        <v>726.501030927836</v>
      </c>
      <c r="BV46" s="194">
        <f t="shared" si="217"/>
        <v>4580.08044927836</v>
      </c>
      <c r="BW46" s="65">
        <f t="shared" si="218"/>
        <v>115.5</v>
      </c>
      <c r="BX46" s="65"/>
      <c r="BY46" s="65">
        <f t="shared" si="219"/>
        <v>611.001030927836</v>
      </c>
      <c r="BZ46" s="194">
        <f t="shared" si="220"/>
        <v>3851.93379927836</v>
      </c>
      <c r="CA46" s="65">
        <f t="shared" si="221"/>
        <v>42.3587628865979</v>
      </c>
      <c r="CB46" s="65"/>
      <c r="CC46" s="65">
        <f t="shared" si="222"/>
        <v>568.642268041238</v>
      </c>
      <c r="CD46" s="194">
        <f t="shared" si="223"/>
        <v>3584.89145041238</v>
      </c>
      <c r="CE46" s="65">
        <f t="shared" si="224"/>
        <v>64.3257731958762</v>
      </c>
      <c r="CF46" s="65"/>
      <c r="CG46" s="65">
        <f t="shared" si="225"/>
        <v>504.316494845361</v>
      </c>
      <c r="CH46" s="194">
        <f t="shared" si="226"/>
        <v>3179.3624784536</v>
      </c>
      <c r="CI46" s="65">
        <f t="shared" si="227"/>
        <v>432.15257731959</v>
      </c>
      <c r="CJ46" s="65"/>
      <c r="CK46" s="65">
        <f t="shared" si="228"/>
        <v>72.163917525771</v>
      </c>
      <c r="CL46" s="195">
        <f t="shared" si="229"/>
        <v>454.942985257718</v>
      </c>
      <c r="CM46" s="65">
        <f t="shared" ref="CM46:CM47" si="236">BC46+BC40</f>
        <v>87.3649484536082</v>
      </c>
      <c r="CN46" s="65"/>
      <c r="CO46" s="65">
        <f t="shared" si="231"/>
        <v>-15.2010309278372</v>
      </c>
      <c r="CP46" s="195">
        <f t="shared" si="232"/>
        <v>231.071341269012</v>
      </c>
    </row>
    <row r="47" ht="14.0" customFormat="1" s="47">
      <c r="A47" s="47" t="s">
        <v>550</v>
      </c>
      <c r="B47" s="93" t="s">
        <v>53</v>
      </c>
      <c r="C47" s="47" t="s">
        <v>481</v>
      </c>
      <c r="D47" s="47" t="s">
        <v>482</v>
      </c>
      <c r="E47" s="47">
        <v>585.2</v>
      </c>
      <c r="AC47" s="115" t="s">
        <v>506</v>
      </c>
      <c r="AW47" s="207">
        <v>26.4</v>
      </c>
      <c r="AX47" s="207">
        <v>0.0</v>
      </c>
      <c r="AY47" s="207">
        <v>52.8</v>
      </c>
      <c r="AZ47" s="95">
        <v>26.4</v>
      </c>
      <c r="BA47" s="95">
        <v>26.4</v>
      </c>
      <c r="BB47" s="209">
        <v>264.0</v>
      </c>
      <c r="BC47" s="95">
        <f>24*1.1</f>
        <v>26.4</v>
      </c>
      <c r="BD47" s="193">
        <f t="shared" si="206"/>
        <v>422.4</v>
      </c>
      <c r="BE47" s="64">
        <f>VLOOKUP(D47,FEB23SOH,3,false)</f>
        <v>918.0</v>
      </c>
      <c r="BF47" s="194">
        <f>VLOOKUP(D47,VALUEFEB23,4,false)</f>
        <v>6.3287</v>
      </c>
      <c r="BG47" s="194">
        <f t="shared" si="209"/>
        <v>5809.7466</v>
      </c>
      <c r="BH47" s="185"/>
      <c r="BI47" s="185"/>
      <c r="BJ47" s="65">
        <f t="shared" si="210"/>
        <v>421.342884472313</v>
      </c>
      <c r="BM47" s="185"/>
      <c r="BN47" s="65">
        <f t="shared" si="211"/>
        <v>918.0</v>
      </c>
      <c r="BO47" s="65">
        <f t="shared" si="212"/>
        <v>37.5340206185567</v>
      </c>
      <c r="BP47" s="65"/>
      <c r="BQ47" s="65">
        <f t="shared" si="213"/>
        <v>880.465979381443</v>
      </c>
      <c r="BR47" s="194">
        <f t="shared" si="214"/>
        <v>5572.20504371133</v>
      </c>
      <c r="BS47" s="65">
        <f t="shared" si="215"/>
        <v>14.3</v>
      </c>
      <c r="BT47" s="65"/>
      <c r="BU47" s="65">
        <f t="shared" si="216"/>
        <v>866.165979381443</v>
      </c>
      <c r="BV47" s="194">
        <f t="shared" si="217"/>
        <v>5481.70463371133</v>
      </c>
      <c r="BW47" s="65">
        <f t="shared" si="218"/>
        <v>69.3</v>
      </c>
      <c r="BX47" s="65"/>
      <c r="BY47" s="65">
        <f t="shared" si="219"/>
        <v>796.865979381443</v>
      </c>
      <c r="BZ47" s="194">
        <f t="shared" si="220"/>
        <v>5043.12572371133</v>
      </c>
      <c r="CA47" s="65">
        <f t="shared" si="221"/>
        <v>39.760824742268</v>
      </c>
      <c r="CB47" s="65"/>
      <c r="CC47" s="65">
        <f t="shared" si="222"/>
        <v>757.105154639175</v>
      </c>
      <c r="CD47" s="194">
        <f t="shared" si="223"/>
        <v>4791.49139216494</v>
      </c>
      <c r="CE47" s="65">
        <f t="shared" si="224"/>
        <v>36.0494845360824</v>
      </c>
      <c r="CF47" s="65"/>
      <c r="CG47" s="65">
        <f t="shared" si="225"/>
        <v>721.055670103092</v>
      </c>
      <c r="CH47" s="194">
        <f t="shared" si="226"/>
        <v>4563.34501938143</v>
      </c>
      <c r="CI47" s="65">
        <f t="shared" si="227"/>
        <v>272.164948453608</v>
      </c>
      <c r="CJ47" s="65"/>
      <c r="CK47" s="65">
        <f t="shared" si="228"/>
        <v>448.890721649483</v>
      </c>
      <c r="CL47" s="195">
        <f t="shared" si="229"/>
        <v>2840.89471010308</v>
      </c>
      <c r="CM47" s="65">
        <f t="shared" si="236"/>
        <v>27.5478371771708</v>
      </c>
      <c r="CN47" s="65"/>
      <c r="CO47" s="65">
        <f t="shared" si="231"/>
        <v>421.342884472312</v>
      </c>
      <c r="CP47" s="195">
        <f t="shared" si="232"/>
        <v>177529.826295449</v>
      </c>
    </row>
    <row hidden="1" r="48" ht="14.0" outlineLevel="1" customFormat="1" s="47">
      <c r="D48" s="47" t="s">
        <v>475</v>
      </c>
      <c r="AC48" s="120" t="s">
        <v>514</v>
      </c>
      <c r="AV48" s="69"/>
      <c r="AW48" s="47">
        <f t="shared" ref="AW48:AW51" si="238">AW44+AW38</f>
        <v>17.319587628866</v>
      </c>
      <c r="AX48" s="47">
        <f t="shared" ref="AX48:AX51" si="239">AX44+AX38</f>
        <v>404.783505154639</v>
      </c>
      <c r="AY48" s="47">
        <f t="shared" ref="AY48:AY51" si="240">AY44+AY38</f>
        <v>135.40206185567</v>
      </c>
      <c r="AZ48" s="47">
        <f t="shared" ref="AZ48:AZ51" si="241">AZ44+AZ38</f>
        <v>73.5835051546391</v>
      </c>
      <c r="BA48" s="47">
        <f t="shared" ref="BA48:BA51" si="242">BA44+BA38</f>
        <v>96.8</v>
      </c>
      <c r="BB48" s="47">
        <f t="shared" ref="BB48:BB51" si="243">BB44+BB38</f>
        <v>26.4</v>
      </c>
      <c r="BC48" s="47">
        <f t="shared" ref="BC48:BC51" si="244">BC44+BC38</f>
        <v>151.8</v>
      </c>
      <c r="BD48" s="193">
        <f t="shared" ref="BD48:BD51" si="245">SUM(AW48:BB48)</f>
        <v>754.288659793814</v>
      </c>
      <c r="BE48" s="64">
        <f>VLOOKUP(D48,FEB23SOH,3,false)</f>
        <v>713.0</v>
      </c>
      <c r="BF48" s="194">
        <f>VLOOKUP(D48,VALUEFEB23,4,false)</f>
        <v>6.4454</v>
      </c>
      <c r="BG48" s="194"/>
      <c r="BH48" s="185"/>
      <c r="BI48" s="185"/>
      <c r="BJ48" s="69">
        <f t="shared" ref="BJ48:BJ51" si="246">BE48+BH48+BI48-BD48</f>
        <v>-41.2886597938138</v>
      </c>
      <c r="BM48" s="185"/>
      <c r="BN48" s="65">
        <f t="shared" si="211"/>
        <v>713.0</v>
      </c>
      <c r="BO48" s="65">
        <f t="shared" ref="BO48:BO51" si="247">AW48</f>
        <v>17.319587628866</v>
      </c>
      <c r="BP48" s="65"/>
      <c r="BQ48" s="65">
        <f t="shared" si="213"/>
        <v>695.680412371134</v>
      </c>
      <c r="BR48" s="194">
        <f t="shared" si="214"/>
        <v>4483.9385298969</v>
      </c>
      <c r="BS48" s="65">
        <f t="shared" ref="BS48:BS51" si="248">AX48</f>
        <v>404.783505154639</v>
      </c>
      <c r="BT48" s="65"/>
      <c r="BU48" s="65">
        <f t="shared" si="216"/>
        <v>290.896907216495</v>
      </c>
      <c r="BV48" s="194">
        <f t="shared" si="217"/>
        <v>1874.9469257732</v>
      </c>
      <c r="BW48" s="65">
        <f t="shared" ref="BW48:BW51" si="249">AY48</f>
        <v>135.40206185567</v>
      </c>
      <c r="BX48" s="65"/>
      <c r="BY48" s="65">
        <f t="shared" si="219"/>
        <v>155.494845360824</v>
      </c>
      <c r="BZ48" s="194">
        <f t="shared" si="220"/>
        <v>1002.22647628866</v>
      </c>
      <c r="CA48" s="65">
        <f t="shared" ref="CA48:CA51" si="250">AZ48</f>
        <v>73.5835051546391</v>
      </c>
      <c r="CB48" s="65"/>
      <c r="CC48" s="65">
        <f t="shared" si="222"/>
        <v>81.9113402061849</v>
      </c>
      <c r="CD48" s="194">
        <f t="shared" si="223"/>
        <v>527.951352164944</v>
      </c>
      <c r="CE48" s="65">
        <f t="shared" ref="CE48:CE51" si="251">BA48</f>
        <v>96.8</v>
      </c>
      <c r="CF48" s="65"/>
      <c r="CG48" s="65">
        <f t="shared" si="225"/>
        <v>-14.888659793815</v>
      </c>
      <c r="CH48" s="194">
        <f t="shared" si="226"/>
        <v>-95.9633678350552</v>
      </c>
      <c r="CI48" s="65">
        <f t="shared" ref="CI48:CI51" si="252">BB48</f>
        <v>26.4</v>
      </c>
      <c r="CJ48" s="65"/>
      <c r="CK48" s="65">
        <f t="shared" si="228"/>
        <v>-41.288659793815</v>
      </c>
      <c r="CL48" s="195">
        <f t="shared" si="229"/>
        <v>-266.121927835055</v>
      </c>
      <c r="CM48" s="65">
        <f t="shared" ref="CM48:CM51" si="253">BF48</f>
        <v>6.4454</v>
      </c>
      <c r="CN48" s="65"/>
      <c r="CO48" s="65">
        <f t="shared" si="231"/>
        <v>-47.734059793815</v>
      </c>
      <c r="CP48" s="195">
        <f t="shared" si="232"/>
        <v>1970.87535540439</v>
      </c>
    </row>
    <row hidden="1" r="49" ht="14.0" outlineLevel="1" customFormat="1" s="47">
      <c r="D49" s="47" t="s">
        <v>477</v>
      </c>
      <c r="AT49" s="64"/>
      <c r="AU49" s="64"/>
      <c r="AV49" s="69"/>
      <c r="AW49" s="47">
        <f t="shared" si="238"/>
        <v>36.6061855670103</v>
      </c>
      <c r="AX49" s="47">
        <f t="shared" si="239"/>
        <v>228.247422680412</v>
      </c>
      <c r="AY49" s="47">
        <f t="shared" si="240"/>
        <v>41.3690721649484</v>
      </c>
      <c r="AZ49" s="47">
        <f t="shared" si="241"/>
        <v>12.2474226804123</v>
      </c>
      <c r="BA49" s="47">
        <f t="shared" si="242"/>
        <v>42.9</v>
      </c>
      <c r="BB49" s="47">
        <f t="shared" si="243"/>
        <v>125.4</v>
      </c>
      <c r="BC49" s="47">
        <f t="shared" si="244"/>
        <v>63.8</v>
      </c>
      <c r="BD49" s="193">
        <f t="shared" si="245"/>
        <v>486.770103092782</v>
      </c>
      <c r="BE49" s="64">
        <f>VLOOKUP(D49,FEB23SOH,3,false)</f>
        <v>370.0</v>
      </c>
      <c r="BF49" s="194">
        <f>VLOOKUP(D49,VALUEFEB23,4,false)</f>
        <v>6.0959</v>
      </c>
      <c r="BG49" s="194"/>
      <c r="BH49" s="185"/>
      <c r="BI49" s="185"/>
      <c r="BJ49" s="69">
        <f t="shared" si="246"/>
        <v>-116.770103092782</v>
      </c>
      <c r="BM49" s="185"/>
      <c r="BN49" s="65">
        <f t="shared" si="211"/>
        <v>370.0</v>
      </c>
      <c r="BO49" s="65">
        <f t="shared" si="247"/>
        <v>36.6061855670103</v>
      </c>
      <c r="BP49" s="65"/>
      <c r="BQ49" s="65">
        <f t="shared" si="213"/>
        <v>333.39381443299</v>
      </c>
      <c r="BR49" s="194">
        <f t="shared" si="214"/>
        <v>2032.33535340206</v>
      </c>
      <c r="BS49" s="65">
        <f t="shared" si="248"/>
        <v>228.247422680412</v>
      </c>
      <c r="BT49" s="65"/>
      <c r="BU49" s="65">
        <f t="shared" si="216"/>
        <v>105.146391752578</v>
      </c>
      <c r="BV49" s="194">
        <f t="shared" si="217"/>
        <v>640.96188948454</v>
      </c>
      <c r="BW49" s="65">
        <f t="shared" si="249"/>
        <v>41.3690721649484</v>
      </c>
      <c r="BX49" s="65"/>
      <c r="BY49" s="65">
        <f t="shared" si="219"/>
        <v>63.7773195876296</v>
      </c>
      <c r="BZ49" s="194">
        <f t="shared" si="220"/>
        <v>388.780162474231</v>
      </c>
      <c r="CA49" s="65">
        <f t="shared" si="250"/>
        <v>12.2474226804123</v>
      </c>
      <c r="CB49" s="65"/>
      <c r="CC49" s="65">
        <f t="shared" si="222"/>
        <v>51.5298969072173</v>
      </c>
      <c r="CD49" s="194">
        <f t="shared" si="223"/>
        <v>314.1210985567</v>
      </c>
      <c r="CE49" s="65">
        <f t="shared" si="251"/>
        <v>42.9</v>
      </c>
      <c r="CF49" s="65"/>
      <c r="CG49" s="65">
        <f t="shared" si="225"/>
        <v>8.6298969072173</v>
      </c>
      <c r="CH49" s="194">
        <f t="shared" si="226"/>
        <v>52.606988556706</v>
      </c>
      <c r="CI49" s="65">
        <f t="shared" si="252"/>
        <v>125.4</v>
      </c>
      <c r="CJ49" s="65"/>
      <c r="CK49" s="65">
        <f t="shared" si="228"/>
        <v>-116.770103092782</v>
      </c>
      <c r="CL49" s="195">
        <f t="shared" si="229"/>
        <v>-711.818871443288</v>
      </c>
      <c r="CM49" s="65">
        <f t="shared" si="253"/>
        <v>6.0959</v>
      </c>
      <c r="CN49" s="65"/>
      <c r="CO49" s="65">
        <f t="shared" si="231"/>
        <v>-122.866003092782</v>
      </c>
      <c r="CP49" s="195">
        <f t="shared" si="232"/>
        <v>14347.0758477422</v>
      </c>
    </row>
    <row hidden="1" r="50" ht="14.0" outlineLevel="1">
      <c r="D50" s="47" t="s">
        <v>479</v>
      </c>
      <c r="AW50" s="47">
        <f t="shared" si="238"/>
        <v>39.698969072164</v>
      </c>
      <c r="AX50" s="47">
        <f t="shared" si="239"/>
        <v>30.8</v>
      </c>
      <c r="AY50" s="47">
        <f t="shared" si="240"/>
        <v>115.5</v>
      </c>
      <c r="AZ50" s="47">
        <f t="shared" si="241"/>
        <v>42.3587628865979</v>
      </c>
      <c r="BA50" s="47">
        <f t="shared" si="242"/>
        <v>64.3257731958762</v>
      </c>
      <c r="BB50" s="47">
        <f t="shared" si="243"/>
        <v>432.15257731959</v>
      </c>
      <c r="BC50" s="47">
        <f t="shared" si="244"/>
        <v>87.3649484536082</v>
      </c>
      <c r="BD50" s="193">
        <f t="shared" si="245"/>
        <v>724.836082474228</v>
      </c>
      <c r="BE50" s="64">
        <f>VLOOKUP(D50,FEB23SOH,3,false)</f>
        <v>797.0</v>
      </c>
      <c r="BF50" s="194">
        <f>VLOOKUP(D50,VALUEFEB23,4,false)</f>
        <v>6.3043</v>
      </c>
      <c r="BG50" s="194"/>
      <c r="BJ50" s="69">
        <f t="shared" si="246"/>
        <v>72.163917525772</v>
      </c>
      <c r="BM50" s="185"/>
      <c r="BN50" s="65">
        <f t="shared" si="211"/>
        <v>797.0</v>
      </c>
      <c r="BO50" s="65">
        <f t="shared" si="247"/>
        <v>39.698969072164</v>
      </c>
      <c r="BP50" s="65"/>
      <c r="BQ50" s="65">
        <f t="shared" si="213"/>
        <v>757.301030927836</v>
      </c>
      <c r="BR50" s="194">
        <f t="shared" si="214"/>
        <v>4774.25288927836</v>
      </c>
      <c r="BS50" s="65">
        <f t="shared" si="248"/>
        <v>30.8</v>
      </c>
      <c r="BT50" s="65"/>
      <c r="BU50" s="65">
        <f t="shared" si="216"/>
        <v>726.501030927836</v>
      </c>
      <c r="BV50" s="194">
        <f t="shared" si="217"/>
        <v>4580.08044927836</v>
      </c>
      <c r="BW50" s="65">
        <f t="shared" si="249"/>
        <v>115.5</v>
      </c>
      <c r="BX50" s="65"/>
      <c r="BY50" s="65">
        <f t="shared" si="219"/>
        <v>611.001030927836</v>
      </c>
      <c r="BZ50" s="194">
        <f t="shared" si="220"/>
        <v>3851.93379927836</v>
      </c>
      <c r="CA50" s="65">
        <f t="shared" si="250"/>
        <v>42.3587628865979</v>
      </c>
      <c r="CB50" s="65"/>
      <c r="CC50" s="65">
        <f t="shared" si="222"/>
        <v>568.642268041238</v>
      </c>
      <c r="CD50" s="194">
        <f t="shared" si="223"/>
        <v>3584.89145041238</v>
      </c>
      <c r="CE50" s="65">
        <f t="shared" si="251"/>
        <v>64.3257731958762</v>
      </c>
      <c r="CF50" s="65"/>
      <c r="CG50" s="65">
        <f t="shared" si="225"/>
        <v>504.316494845361</v>
      </c>
      <c r="CH50" s="194">
        <f t="shared" si="226"/>
        <v>3179.3624784536</v>
      </c>
      <c r="CI50" s="65">
        <f t="shared" si="252"/>
        <v>432.15257731959</v>
      </c>
      <c r="CJ50" s="65"/>
      <c r="CK50" s="65">
        <f t="shared" si="228"/>
        <v>72.163917525771</v>
      </c>
      <c r="CL50" s="195">
        <f t="shared" si="229"/>
        <v>454.942985257718</v>
      </c>
      <c r="CM50" s="65">
        <f t="shared" si="253"/>
        <v>6.3043</v>
      </c>
      <c r="CN50" s="65"/>
      <c r="CO50" s="65">
        <f t="shared" si="231"/>
        <v>65.859617525771</v>
      </c>
      <c r="CP50" s="195">
        <f t="shared" si="232"/>
        <v>4752.68800740862</v>
      </c>
    </row>
    <row hidden="1" r="51" ht="14.0" outlineLevel="1">
      <c r="D51" s="47" t="s">
        <v>482</v>
      </c>
      <c r="AW51" s="47">
        <f t="shared" si="238"/>
        <v>37.5340206185567</v>
      </c>
      <c r="AX51" s="47">
        <f t="shared" si="239"/>
        <v>14.3</v>
      </c>
      <c r="AY51" s="47">
        <f t="shared" si="240"/>
        <v>69.3</v>
      </c>
      <c r="AZ51" s="47">
        <f t="shared" si="241"/>
        <v>39.760824742268</v>
      </c>
      <c r="BA51" s="47">
        <f t="shared" si="242"/>
        <v>36.0494845360824</v>
      </c>
      <c r="BB51" s="47">
        <f t="shared" si="243"/>
        <v>272.164948453608</v>
      </c>
      <c r="BC51" s="47">
        <f t="shared" si="244"/>
        <v>27.5478371771708</v>
      </c>
      <c r="BD51" s="193">
        <f t="shared" si="245"/>
        <v>469.109278350515</v>
      </c>
      <c r="BE51" s="64">
        <f>VLOOKUP(D51,FEB23SOH,3,false)</f>
        <v>918.0</v>
      </c>
      <c r="BF51" s="194">
        <f>VLOOKUP(D51,VALUEFEB23,4,false)</f>
        <v>6.3287</v>
      </c>
      <c r="BG51" s="194"/>
      <c r="BJ51" s="69">
        <f t="shared" si="246"/>
        <v>448.890721649485</v>
      </c>
      <c r="BM51" s="185"/>
      <c r="BN51" s="65">
        <f t="shared" si="211"/>
        <v>918.0</v>
      </c>
      <c r="BO51" s="65">
        <f t="shared" si="247"/>
        <v>37.5340206185567</v>
      </c>
      <c r="BP51" s="65"/>
      <c r="BQ51" s="65">
        <f t="shared" si="213"/>
        <v>880.465979381443</v>
      </c>
      <c r="BR51" s="194">
        <f t="shared" si="214"/>
        <v>5572.20504371133</v>
      </c>
      <c r="BS51" s="65">
        <f t="shared" si="248"/>
        <v>14.3</v>
      </c>
      <c r="BT51" s="65"/>
      <c r="BU51" s="65">
        <f t="shared" si="216"/>
        <v>866.165979381443</v>
      </c>
      <c r="BV51" s="194">
        <f t="shared" si="217"/>
        <v>5481.70463371133</v>
      </c>
      <c r="BW51" s="65">
        <f t="shared" si="249"/>
        <v>69.3</v>
      </c>
      <c r="BX51" s="65"/>
      <c r="BY51" s="65">
        <f t="shared" si="219"/>
        <v>796.865979381443</v>
      </c>
      <c r="BZ51" s="194">
        <f t="shared" si="220"/>
        <v>5043.12572371133</v>
      </c>
      <c r="CA51" s="65">
        <f t="shared" si="250"/>
        <v>39.760824742268</v>
      </c>
      <c r="CB51" s="65"/>
      <c r="CC51" s="65">
        <f t="shared" si="222"/>
        <v>757.105154639175</v>
      </c>
      <c r="CD51" s="194">
        <f t="shared" si="223"/>
        <v>4791.49139216494</v>
      </c>
      <c r="CE51" s="65">
        <f t="shared" si="251"/>
        <v>36.0494845360824</v>
      </c>
      <c r="CF51" s="65"/>
      <c r="CG51" s="65">
        <f t="shared" si="225"/>
        <v>721.055670103092</v>
      </c>
      <c r="CH51" s="194">
        <f t="shared" si="226"/>
        <v>4563.34501938143</v>
      </c>
      <c r="CI51" s="65">
        <f t="shared" si="252"/>
        <v>272.164948453608</v>
      </c>
      <c r="CJ51" s="65"/>
      <c r="CK51" s="65">
        <f t="shared" si="228"/>
        <v>448.890721649483</v>
      </c>
      <c r="CL51" s="195">
        <f t="shared" si="229"/>
        <v>2840.89471010308</v>
      </c>
      <c r="CM51" s="65">
        <f t="shared" si="253"/>
        <v>6.3287</v>
      </c>
      <c r="CN51" s="65"/>
      <c r="CO51" s="65">
        <f t="shared" si="231"/>
        <v>442.562021649483</v>
      </c>
      <c r="CP51" s="195">
        <f t="shared" si="232"/>
        <v>198661.985272891</v>
      </c>
    </row>
    <row r="52" collapsed="1">
      <c r="BM52" s="185"/>
    </row>
    <row r="53" ht="14.0">
      <c r="BD53" s="69">
        <f t="shared" ref="BD53:BD56" si="254">BD38+BD44</f>
        <v>906.088659793814</v>
      </c>
      <c r="BE53" s="47">
        <v>713.0</v>
      </c>
      <c r="BF53" s="210">
        <f t="shared" ref="BF53:BF56" si="255">BE53-BD53</f>
        <v>-193.088659793814</v>
      </c>
      <c r="BM53" s="185"/>
    </row>
    <row r="54" ht="14.0">
      <c r="BD54" s="69">
        <f t="shared" si="254"/>
        <v>550.570103092783</v>
      </c>
      <c r="BE54" s="47">
        <v>370.0</v>
      </c>
      <c r="BF54" s="210">
        <f t="shared" si="255"/>
        <v>-180.570103092783</v>
      </c>
      <c r="BM54" s="185"/>
    </row>
    <row r="55" ht="14.0">
      <c r="BD55" s="69">
        <f t="shared" si="254"/>
        <v>812.201030927833</v>
      </c>
      <c r="BE55" s="47">
        <v>797.0</v>
      </c>
      <c r="BF55" s="210">
        <f t="shared" si="255"/>
        <v>-15.201030927833</v>
      </c>
      <c r="BM55" s="185"/>
    </row>
    <row r="56" ht="14.0">
      <c r="BD56" s="69">
        <f t="shared" si="254"/>
        <v>496.657115527686</v>
      </c>
      <c r="BE56" s="47">
        <v>918.0</v>
      </c>
      <c r="BF56" s="210">
        <f t="shared" si="255"/>
        <v>421.342884472314</v>
      </c>
      <c r="BM56" s="185"/>
    </row>
    <row r="57">
      <c r="BM57" s="185"/>
    </row>
    <row r="262143">
      <c r="BM262143" s="185"/>
    </row>
    <row r="262144">
      <c r="BM262144" s="185"/>
    </row>
  </sheetData>
  <mergeCells count="7">
    <mergeCell ref="CE5:CG5"/>
    <mergeCell ref="BO5:BQ5"/>
    <mergeCell ref="CI5:CJ5"/>
    <mergeCell ref="BS5:BU5"/>
    <mergeCell ref="BW5:BY5"/>
    <mergeCell ref="CM5:CN5"/>
    <mergeCell ref="CA5:CC5"/>
  </mergeCells>
  <conditionalFormatting sqref="C5:C6">
    <cfRule dxfId="1" operator="containsText" type="containsText" priority="1" text="set up">
      <formula>NOT(ISERROR(SEARCH("set up",C5)))</formula>
    </cfRule>
  </conditionalFormatting>
  <conditionalFormatting sqref="BJ5:BJ6">
    <cfRule dxfId="2" operator="lessThan" type="cellIs" priority="2">
      <formula>0</formula>
    </cfRule>
  </conditionalFormatting>
  <conditionalFormatting sqref="C5:C6">
    <cfRule dxfId="1" operator="containsText" type="containsText" priority="3" text="SET UP">
      <formula>NOT(ISERROR(SEARCH("SET UP",C5)))</formula>
    </cfRule>
  </conditionalFormatting>
  <conditionalFormatting sqref="C5:C6">
    <cfRule dxfId="1" operator="containsText" type="containsText" priority="4" text="starter pack">
      <formula>NOT(ISERROR(SEARCH("starter pack",C5)))</formula>
    </cfRule>
  </conditionalFormatting>
  <conditionalFormatting sqref="BL5:BL6">
    <cfRule dxfId="4" operator="greaterThan" type="cellIs" priority="5">
      <formula>0</formula>
    </cfRule>
  </conditionalFormatting>
  <conditionalFormatting sqref="C5:C6">
    <cfRule dxfId="5" operator="containsText" type="containsText" priority="6" text="CDU">
      <formula>NOT(ISERROR(SEARCH("CDU",C5)))</formula>
    </cfRule>
  </conditionalFormatting>
  <conditionalFormatting sqref="C5:C6">
    <cfRule dxfId="5" operator="containsText" type="containsText" priority="7" text="DISPLAY">
      <formula>NOT(ISERROR(SEARCH("DISPLAY",C5)))</formula>
    </cfRule>
  </conditionalFormatting>
  <conditionalFormatting sqref="C5:C6">
    <cfRule dxfId="5" operator="containsText" type="containsText" priority="8" text="Australian Natives">
      <formula>NOT(ISERROR(SEARCH("Australian Natives",C5)))</formula>
    </cfRule>
  </conditionalFormatting>
  <conditionalFormatting sqref="C5:C6">
    <cfRule dxfId="7" operator="containsText" type="containsText" priority="9" text="Golden Wattle">
      <formula>NOT(ISERROR(SEARCH("Golden Wattle",C5)))</formula>
    </cfRule>
  </conditionalFormatting>
  <conditionalFormatting sqref="C5:C6">
    <cfRule dxfId="1" operator="containsText" type="containsText" priority="10" text="set up">
      <formula>NOT(ISERROR(SEARCH("set up",C5)))</formula>
    </cfRule>
  </conditionalFormatting>
  <conditionalFormatting sqref="C5:C6">
    <cfRule dxfId="1" operator="containsText" type="containsText" priority="11" text="setup">
      <formula>NOT(ISERROR(SEARCH("setup",C5)))</formula>
    </cfRule>
  </conditionalFormatting>
  <conditionalFormatting sqref="C5:C6">
    <cfRule dxfId="1" operator="containsText" type="containsText" priority="12" text="starter pack">
      <formula>NOT(ISERROR(SEARCH("starter pack",C5)))</formula>
    </cfRule>
  </conditionalFormatting>
  <conditionalFormatting sqref="BE5:BE6">
    <cfRule dxfId="3" operator="lessThan" type="cellIs" priority="13">
      <formula>0</formula>
    </cfRule>
  </conditionalFormatting>
  <conditionalFormatting sqref="E7:AS10 AN11:AO11 E11:AC20 AD12:AS20 E21:AS41 E42:AC48">
    <cfRule dxfId="0" operator="lessThanOrEqual" type="cellIs" priority="14">
      <formula>0</formula>
    </cfRule>
  </conditionalFormatting>
  <conditionalFormatting sqref="BE7:BE51">
    <cfRule dxfId="3" operator="lessThanOrEqual" type="cellIs" priority="15">
      <formula>0</formula>
    </cfRule>
  </conditionalFormatting>
  <conditionalFormatting sqref="BJ7:BJ9 BJ32:BJ41 BJ12:BJ30">
    <cfRule dxfId="3" operator="lessThanOrEqual" type="cellIs" priority="16">
      <formula>0</formula>
    </cfRule>
  </conditionalFormatting>
  <conditionalFormatting sqref="BN7:CH9 BN32:CH41 BN12:CH30">
    <cfRule dxfId="3" operator="lessThan" type="cellIs" priority="17">
      <formula>0</formula>
    </cfRule>
  </conditionalFormatting>
  <conditionalFormatting sqref="BX42:BX42 BX1:BX4 BX52:BX262143">
    <cfRule dxfId="10" operator="greaterThan" type="cellIs" priority="18">
      <formula>0</formula>
    </cfRule>
  </conditionalFormatting>
  <conditionalFormatting sqref="AD11:AM11">
    <cfRule dxfId="0" operator="lessThanOrEqual" type="cellIs" priority="19">
      <formula>0</formula>
    </cfRule>
  </conditionalFormatting>
  <conditionalFormatting sqref="AP11:AS11">
    <cfRule dxfId="0" operator="lessThanOrEqual" type="cellIs" priority="20">
      <formula>0</formula>
    </cfRule>
  </conditionalFormatting>
  <conditionalFormatting sqref="BP6:BP6">
    <cfRule dxfId="10" operator="greaterThan" type="cellIs" priority="21">
      <formula>0</formula>
    </cfRule>
  </conditionalFormatting>
  <conditionalFormatting sqref="CI42:CK42 CI7:CI9 CL7:CL9 CI32:CI41 CL32:CL41 CL12:CL30 CI12:CI30">
    <cfRule dxfId="3" operator="lessThan" type="cellIs" priority="22">
      <formula>0</formula>
    </cfRule>
  </conditionalFormatting>
  <conditionalFormatting sqref="CJ7:CK9 CJ32:CK41 CJ12:CK30">
    <cfRule dxfId="3" operator="lessThan" type="cellIs" priority="23">
      <formula>0</formula>
    </cfRule>
  </conditionalFormatting>
  <conditionalFormatting sqref="BR44:CH47 BN44:BP47">
    <cfRule dxfId="3" operator="lessThan" type="cellIs" priority="24">
      <formula>0</formula>
    </cfRule>
  </conditionalFormatting>
  <conditionalFormatting sqref="CI44:CI47">
    <cfRule dxfId="3" operator="lessThan" type="cellIs" priority="25">
      <formula>0</formula>
    </cfRule>
  </conditionalFormatting>
  <conditionalFormatting sqref="CJ44:CK47">
    <cfRule dxfId="3" operator="lessThan" type="cellIs" priority="26">
      <formula>0</formula>
    </cfRule>
  </conditionalFormatting>
  <conditionalFormatting sqref="CL44:CL47">
    <cfRule dxfId="3" operator="lessThan" type="cellIs" priority="27">
      <formula>0</formula>
    </cfRule>
  </conditionalFormatting>
  <conditionalFormatting sqref="BJ44:BJ47">
    <cfRule dxfId="3" operator="lessThan" type="cellIs" priority="28">
      <formula>0</formula>
    </cfRule>
  </conditionalFormatting>
  <conditionalFormatting sqref="BE44:BE51">
    <cfRule dxfId="3" operator="lessThanOrEqual" type="cellIs" priority="29">
      <formula>0</formula>
    </cfRule>
  </conditionalFormatting>
  <conditionalFormatting sqref="BT5:BT5">
    <cfRule dxfId="10" operator="greaterThan" type="cellIs" priority="30">
      <formula>0</formula>
    </cfRule>
  </conditionalFormatting>
  <conditionalFormatting sqref="BQ44:BQ47">
    <cfRule dxfId="3" operator="lessThan" type="cellIs" priority="31">
      <formula>0</formula>
    </cfRule>
  </conditionalFormatting>
  <conditionalFormatting sqref="BJ48:BJ51">
    <cfRule dxfId="3" operator="lessThanOrEqual" type="cellIs" priority="32">
      <formula>0</formula>
    </cfRule>
  </conditionalFormatting>
  <conditionalFormatting sqref="BN48:CH51">
    <cfRule dxfId="3" operator="lessThan" type="cellIs" priority="33">
      <formula>0</formula>
    </cfRule>
  </conditionalFormatting>
  <conditionalFormatting sqref="CI48:CI51 CL48:CL51">
    <cfRule dxfId="3" operator="lessThan" type="cellIs" priority="34">
      <formula>0</formula>
    </cfRule>
  </conditionalFormatting>
  <conditionalFormatting sqref="CJ48:CK51">
    <cfRule dxfId="3" operator="lessThan" type="cellIs" priority="35">
      <formula>0</formula>
    </cfRule>
  </conditionalFormatting>
  <conditionalFormatting sqref="CP32:CP41 CP12:CP30 CM42:CO42 CP7:CP9 CM7:CM9 CM12:CM41">
    <cfRule dxfId="3" operator="lessThan" type="cellIs" priority="36">
      <formula>0</formula>
    </cfRule>
  </conditionalFormatting>
  <conditionalFormatting sqref="CN7:CO9 CN32:CO41 CN12:CO30">
    <cfRule dxfId="3" operator="lessThan" type="cellIs" priority="37">
      <formula>0</formula>
    </cfRule>
  </conditionalFormatting>
  <conditionalFormatting sqref="CM44:CM47">
    <cfRule dxfId="3" operator="lessThan" type="cellIs" priority="38">
      <formula>0</formula>
    </cfRule>
  </conditionalFormatting>
  <conditionalFormatting sqref="CN44:CO47">
    <cfRule dxfId="3" operator="lessThan" type="cellIs" priority="39">
      <formula>0</formula>
    </cfRule>
  </conditionalFormatting>
  <conditionalFormatting sqref="CP44:CP47">
    <cfRule dxfId="3" operator="lessThan" type="cellIs" priority="40">
      <formula>0</formula>
    </cfRule>
  </conditionalFormatting>
  <conditionalFormatting sqref="CM48:CM51 CP48:CP51">
    <cfRule dxfId="3" operator="lessThan" type="cellIs" priority="41">
      <formula>0</formula>
    </cfRule>
  </conditionalFormatting>
  <conditionalFormatting sqref="CN48:CO51">
    <cfRule dxfId="3" operator="lessThan" type="cellIs" priority="42">
      <formula>0</formula>
    </cfRule>
  </conditionalFormatting>
  <extLst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M20"/>
  <sheetViews>
    <sheetView workbookViewId="0"/>
  </sheetViews>
  <sheetFormatPr defaultRowHeight="14.0" customHeight="1"/>
  <cols>
    <col min="1" max="1" width="26.1"/>
    <col min="2" max="13" width="9.14"/>
    <col min="14" max="2048" width="13.24"/>
  </cols>
  <sheetData>
    <row r="1" ht="14.0">
      <c r="A1" s="211" t="s">
        <v>551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</row>
    <row r="2" ht="14.0">
      <c r="A2" s="212" t="s">
        <v>552</v>
      </c>
      <c r="B2" s="212">
        <v>22.0</v>
      </c>
      <c r="C2" s="212"/>
      <c r="D2" s="212">
        <v>40.0</v>
      </c>
      <c r="E2" s="212">
        <v>40.0</v>
      </c>
      <c r="F2" s="212">
        <v>20.0</v>
      </c>
      <c r="G2" s="212">
        <v>10.0</v>
      </c>
      <c r="H2" s="212">
        <v>10.0</v>
      </c>
      <c r="I2" s="212">
        <v>0.0</v>
      </c>
      <c r="J2" s="212">
        <v>0.0</v>
      </c>
      <c r="K2" s="212">
        <v>5.0</v>
      </c>
      <c r="L2" s="212">
        <v>5.0</v>
      </c>
      <c r="M2" s="212">
        <v>0.0</v>
      </c>
    </row>
    <row r="3" ht="14.0">
      <c r="A3" s="212" t="s">
        <v>553</v>
      </c>
      <c r="B3" s="212">
        <f>B2</f>
        <v>22.0</v>
      </c>
      <c r="C3" s="212"/>
      <c r="D3" s="212">
        <f>B3+D2</f>
        <v>62.0</v>
      </c>
      <c r="E3" s="212">
        <f>D3+E2</f>
        <v>102.0</v>
      </c>
      <c r="F3" s="212">
        <f>E3+F2</f>
        <v>122.0</v>
      </c>
      <c r="G3" s="212">
        <f>F3+G2</f>
        <v>132.0</v>
      </c>
      <c r="H3" s="212">
        <f>G3+H2</f>
        <v>142.0</v>
      </c>
      <c r="I3" s="212">
        <f>H3+I2</f>
        <v>142.0</v>
      </c>
      <c r="J3" s="212">
        <f>I3+J2</f>
        <v>142.0</v>
      </c>
      <c r="K3" s="212">
        <f>J3+K2</f>
        <v>147.0</v>
      </c>
      <c r="L3" s="212">
        <f>K3+L2</f>
        <v>152.0</v>
      </c>
      <c r="M3" s="212">
        <f>L3+M2</f>
        <v>152.0</v>
      </c>
    </row>
    <row r="4">
      <c r="A4" s="212"/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</row>
    <row r="5" ht="14.0">
      <c r="A5" s="212" t="s">
        <v>554</v>
      </c>
      <c r="B5" s="212">
        <f>B2*3</f>
        <v>66.0</v>
      </c>
      <c r="C5" s="212"/>
      <c r="D5" s="212">
        <f>D2*3</f>
        <v>120.0</v>
      </c>
      <c r="E5" s="212">
        <f>E2*3</f>
        <v>120.0</v>
      </c>
      <c r="F5" s="212">
        <f>F2*3</f>
        <v>60.0</v>
      </c>
      <c r="G5" s="212">
        <f>G2*3</f>
        <v>30.0</v>
      </c>
      <c r="H5" s="212">
        <f>H2*3</f>
        <v>30.0</v>
      </c>
      <c r="I5" s="212">
        <f>I2*3</f>
        <v>0.0</v>
      </c>
      <c r="J5" s="212">
        <f>J2*3</f>
        <v>0.0</v>
      </c>
      <c r="K5" s="212">
        <f>K2*3</f>
        <v>15.0</v>
      </c>
      <c r="L5" s="212">
        <f>L2*3</f>
        <v>15.0</v>
      </c>
      <c r="M5" s="212">
        <f>M2*3</f>
        <v>0.0</v>
      </c>
    </row>
    <row r="6" ht="14.0">
      <c r="A6" s="212" t="s">
        <v>555</v>
      </c>
      <c r="B6" s="212"/>
      <c r="C6" s="212"/>
      <c r="D6" s="212"/>
      <c r="E6" s="212">
        <f>D3*2</f>
        <v>124.0</v>
      </c>
      <c r="F6" s="212">
        <f>E3*2</f>
        <v>204.0</v>
      </c>
      <c r="G6" s="212">
        <f>F3*2</f>
        <v>244.0</v>
      </c>
      <c r="H6" s="212">
        <f>G3*2</f>
        <v>264.0</v>
      </c>
      <c r="I6" s="212">
        <f>H3*2</f>
        <v>284.0</v>
      </c>
      <c r="J6" s="212">
        <f>I3*2</f>
        <v>284.0</v>
      </c>
      <c r="K6" s="212">
        <f>J3*2</f>
        <v>284.0</v>
      </c>
      <c r="L6" s="212">
        <f>K3*2</f>
        <v>294.0</v>
      </c>
      <c r="M6" s="212">
        <f>L3*2</f>
        <v>304.0</v>
      </c>
    </row>
    <row r="7">
      <c r="A7" s="212"/>
      <c r="B7" s="212"/>
      <c r="C7" s="212"/>
      <c r="D7" s="212"/>
      <c r="E7" s="212"/>
      <c r="F7" s="212"/>
      <c r="G7" s="212"/>
      <c r="H7" s="212"/>
      <c r="I7" s="212"/>
      <c r="J7" s="212"/>
      <c r="K7" s="212"/>
      <c r="L7" s="212"/>
      <c r="M7" s="212"/>
    </row>
    <row r="8" ht="14.0">
      <c r="A8" s="212" t="s">
        <v>556</v>
      </c>
      <c r="B8" s="212">
        <f>B5+B6</f>
        <v>66.0</v>
      </c>
      <c r="C8" s="212"/>
      <c r="D8" s="212">
        <f>D5+D6</f>
        <v>120.0</v>
      </c>
      <c r="E8" s="212">
        <f>E5+E6</f>
        <v>244.0</v>
      </c>
      <c r="F8" s="212">
        <f>F5+F6</f>
        <v>264.0</v>
      </c>
      <c r="G8" s="212">
        <f>G5+G6</f>
        <v>274.0</v>
      </c>
      <c r="H8" s="212">
        <f>H5+H6</f>
        <v>294.0</v>
      </c>
      <c r="I8" s="212">
        <f>I5+I6</f>
        <v>284.0</v>
      </c>
      <c r="J8" s="212">
        <f>J5+J6</f>
        <v>284.0</v>
      </c>
      <c r="K8" s="212">
        <f>K5+K6</f>
        <v>299.0</v>
      </c>
      <c r="L8" s="212">
        <f>L5+L6</f>
        <v>309.0</v>
      </c>
      <c r="M8" s="212">
        <f>M5+M6</f>
        <v>304.0</v>
      </c>
    </row>
    <row r="9">
      <c r="A9" s="212"/>
      <c r="B9" s="212"/>
      <c r="C9" s="212"/>
      <c r="D9" s="212"/>
      <c r="E9" s="212"/>
      <c r="F9" s="212"/>
      <c r="G9" s="212"/>
      <c r="H9" s="212"/>
      <c r="I9" s="212"/>
      <c r="J9" s="212"/>
      <c r="K9" s="212"/>
      <c r="L9" s="212"/>
      <c r="M9" s="212"/>
    </row>
    <row r="10" ht="14.0">
      <c r="A10" s="212" t="s">
        <v>557</v>
      </c>
      <c r="B10" s="212">
        <f>B8</f>
        <v>66.0</v>
      </c>
      <c r="C10" s="212"/>
      <c r="D10" s="212">
        <f>B10+D8</f>
        <v>186.0</v>
      </c>
      <c r="E10" s="212">
        <v>244.0</v>
      </c>
      <c r="F10" s="212">
        <v>450.0</v>
      </c>
      <c r="G10" s="212">
        <v>518.0</v>
      </c>
      <c r="H10" s="212">
        <v>744.0</v>
      </c>
      <c r="I10" s="212">
        <v>802.0</v>
      </c>
      <c r="J10" s="212">
        <v>1028.0</v>
      </c>
      <c r="K10" s="212">
        <v>1101.0</v>
      </c>
      <c r="L10" s="212">
        <v>1337.0</v>
      </c>
      <c r="M10" s="212">
        <v>1405.0</v>
      </c>
    </row>
    <row r="11">
      <c r="A11" s="212"/>
      <c r="B11" s="212"/>
      <c r="C11" s="212"/>
      <c r="D11" s="212"/>
      <c r="E11" s="212"/>
      <c r="F11" s="212"/>
      <c r="G11" s="212"/>
      <c r="H11" s="212"/>
      <c r="I11" s="212"/>
      <c r="J11" s="212"/>
      <c r="K11" s="212"/>
      <c r="L11" s="212"/>
      <c r="M11" s="212"/>
    </row>
    <row r="12" ht="14.0">
      <c r="A12" s="212" t="s">
        <v>558</v>
      </c>
      <c r="B12" s="212"/>
      <c r="C12" s="212"/>
      <c r="D12" s="212"/>
      <c r="E12" s="212">
        <v>-124.0</v>
      </c>
      <c r="F12" s="212">
        <v>-264.0</v>
      </c>
      <c r="G12" s="212">
        <v>328.0</v>
      </c>
      <c r="H12" s="212"/>
      <c r="I12" s="212"/>
      <c r="J12" s="212"/>
      <c r="K12" s="212"/>
      <c r="L12" s="212"/>
      <c r="M12" s="212"/>
    </row>
    <row r="13">
      <c r="A13" s="212"/>
      <c r="B13" s="212"/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</row>
    <row r="14" ht="14.0">
      <c r="A14" s="212" t="s">
        <v>559</v>
      </c>
      <c r="B14" s="212">
        <f>500-B10</f>
        <v>434.0</v>
      </c>
      <c r="C14" s="212"/>
      <c r="D14" s="212">
        <f>B14-D15</f>
        <v>314.0</v>
      </c>
      <c r="E14" s="212">
        <f>D14-E15</f>
        <v>194.0</v>
      </c>
      <c r="F14" s="212">
        <f>E14-F15</f>
        <v>194.0</v>
      </c>
      <c r="G14" s="212">
        <f>F14-G15+G17</f>
        <v>1492.0</v>
      </c>
      <c r="H14" s="212">
        <f>G14-H15</f>
        <v>1198.0</v>
      </c>
      <c r="I14" s="212">
        <f>H14-I15</f>
        <v>914.0</v>
      </c>
      <c r="J14" s="212">
        <f>I14-J15</f>
        <v>630.0</v>
      </c>
      <c r="K14" s="212">
        <f>J14-K15</f>
        <v>331.0</v>
      </c>
      <c r="L14" s="212">
        <f>K14-L15</f>
        <v>22.0</v>
      </c>
      <c r="M14" s="212">
        <f>L14-M15</f>
        <v>-282.0</v>
      </c>
    </row>
    <row r="15" ht="14.0">
      <c r="A15" s="212" t="s">
        <v>560</v>
      </c>
      <c r="B15" s="212">
        <f>B8+B12</f>
        <v>66.0</v>
      </c>
      <c r="C15" s="212"/>
      <c r="D15" s="212">
        <f>D8+D12</f>
        <v>120.0</v>
      </c>
      <c r="E15" s="212">
        <f>E8+E12</f>
        <v>120.0</v>
      </c>
      <c r="F15" s="212">
        <f>F8+F12</f>
        <v>0.0</v>
      </c>
      <c r="G15" s="212">
        <f>G8+G12</f>
        <v>602.0</v>
      </c>
      <c r="H15" s="212">
        <f>H8+H12</f>
        <v>294.0</v>
      </c>
      <c r="I15" s="212">
        <f>I8+I12</f>
        <v>284.0</v>
      </c>
      <c r="J15" s="212">
        <f>J8+J12</f>
        <v>284.0</v>
      </c>
      <c r="K15" s="212">
        <f>K8+K12</f>
        <v>299.0</v>
      </c>
      <c r="L15" s="212">
        <f>L8+L12</f>
        <v>309.0</v>
      </c>
      <c r="M15" s="212">
        <f>M8+M12</f>
        <v>304.0</v>
      </c>
    </row>
    <row r="16">
      <c r="A16" s="212"/>
      <c r="B16" s="212"/>
      <c r="C16" s="212"/>
      <c r="D16" s="212"/>
      <c r="E16" s="212"/>
      <c r="F16" s="212"/>
      <c r="G16" s="212"/>
      <c r="H16" s="212"/>
      <c r="I16" s="212"/>
      <c r="J16" s="212"/>
      <c r="K16" s="212"/>
      <c r="L16" s="212"/>
      <c r="M16" s="212"/>
    </row>
    <row r="17" ht="14.0">
      <c r="A17" s="212" t="s">
        <v>561</v>
      </c>
      <c r="B17" s="212"/>
      <c r="C17" s="212"/>
      <c r="D17" s="212"/>
      <c r="E17" s="212"/>
      <c r="F17" s="212"/>
      <c r="G17" s="213">
        <v>1900.0</v>
      </c>
      <c r="H17" s="212"/>
      <c r="I17" s="212"/>
      <c r="J17" s="212"/>
      <c r="K17" s="212"/>
      <c r="L17" s="212"/>
      <c r="M17" s="212"/>
    </row>
    <row r="20" ht="17.0">
      <c r="A20" s="214" t="s">
        <v>562</v>
      </c>
    </row>
  </sheetData>
  <extLst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K243"/>
  <sheetViews>
    <sheetView workbookViewId="0">
      <pane xSplit="4" ySplit="6" topLeftCell="E7" state="frozen"/>
    </sheetView>
  </sheetViews>
  <sheetFormatPr defaultRowHeight="14.0" customHeight="1"/>
  <cols>
    <col min="1" max="1" style="47" width="28.08"/>
    <col min="2" max="2" style="47" width="13.24"/>
    <col min="3" max="3" style="47" width="55.25"/>
    <col min="4" max="4" style="185" width="12.71"/>
    <col min="5" max="5" hidden="1" style="47" width="0.0" outlineLevel="2"/>
    <col min="6" max="6" hidden="1" style="47" width="0.0" outlineLevel="2"/>
    <col min="7" max="8" hidden="1" style="47" width="0.0" outlineLevel="2"/>
    <col min="9" max="9" hidden="1" style="47" width="0.0" outlineLevel="2"/>
    <col min="10" max="11" hidden="1" style="47" width="0.0" outlineLevel="2"/>
    <col min="12" max="12" hidden="1" style="47" width="0.0" outlineLevel="2"/>
    <col min="13" max="13" hidden="1" style="47" width="0.0" outlineLevel="2"/>
    <col min="14" max="14" hidden="1" style="47" width="0.0" outlineLevel="2"/>
    <col min="15" max="15" hidden="1" style="47" width="0.0" outlineLevel="2"/>
    <col min="16" max="16" style="47" width="8.47" outlineLevel="1" collapsed="1"/>
    <col min="17" max="17" style="47" width="7.28" outlineLevel="1"/>
    <col min="18" max="18" style="47" width="6.49" outlineLevel="1"/>
    <col min="19" max="20" style="47" width="8.21" outlineLevel="1"/>
    <col min="21" max="21" style="47" width="7.94" outlineLevel="1"/>
    <col min="22" max="23" style="47" width="8.21" outlineLevel="1"/>
    <col min="24" max="24" style="47" width="7.28" outlineLevel="1"/>
    <col min="25" max="25" style="47" width="8.08" outlineLevel="1"/>
    <col min="26" max="26" style="47" width="8.21" outlineLevel="1"/>
    <col min="27" max="27" style="47" width="7.81" outlineLevel="1"/>
    <col min="28" max="28" style="47" width="7.81" outlineLevel="1"/>
    <col min="29" max="30" style="47" width="7.81" outlineLevel="1"/>
    <col min="31" max="31" style="47" width="8.87" outlineLevel="1"/>
    <col min="32" max="33" style="47" width="7.81" outlineLevel="1"/>
    <col min="34" max="36" style="47" width="7.81"/>
    <col min="37" max="37" style="47" width="7.81"/>
    <col min="38" max="38" style="47" width="7.81"/>
    <col min="39" max="39" style="47" width="7.81"/>
    <col min="40" max="45" style="47" width="8.34"/>
    <col min="46" max="48" style="64" width="10.46"/>
    <col min="49" max="54" style="47" width="8.61"/>
    <col min="55" max="55" style="64" width="8.21"/>
    <col min="56" max="56" style="64" width="10.33"/>
    <col min="57" max="57" style="215" width="10.33"/>
    <col min="58" max="58" style="216" width="14.3"/>
    <col min="59" max="60" style="64" width="12.32"/>
    <col min="61" max="61" style="95" width="13.24"/>
    <col min="62" max="62" style="217" width="10.06"/>
    <col min="63" max="63" style="47" width="9.0"/>
    <col min="64" max="64" style="218" width="16.82"/>
    <col min="65" max="65" style="67" width="8.08"/>
    <col min="66" max="68" style="47" width="8.08"/>
    <col min="69" max="69" style="194" width="12.32"/>
    <col min="70" max="72" style="47" width="8.08"/>
    <col min="73" max="73" style="47" width="14.7"/>
    <col min="74" max="76" style="47" width="8.08"/>
    <col min="77" max="77" style="47" width="10.73"/>
    <col min="78" max="80" style="47" width="8.08"/>
    <col min="81" max="81" style="47" width="13.51"/>
    <col min="82" max="84" style="47" width="8.08"/>
    <col min="85" max="85" style="47" width="10.06"/>
    <col min="86" max="88" style="47" width="8.08"/>
    <col min="89" max="89" style="47" width="13.51"/>
    <col min="90" max="1028" style="47" width="13.24"/>
    <col min="1029" max="1032" style="47" width="13.24"/>
    <col min="1033" max="1035" style="47" width="13.24"/>
    <col min="1036" max="2048" style="47" width="13.24"/>
  </cols>
  <sheetData>
    <row r="1" ht="14.0" customFormat="1" s="47">
      <c r="C1" s="47" t="s">
        <v>0</v>
      </c>
      <c r="D1" s="185"/>
      <c r="AT1" s="68"/>
      <c r="AU1" s="68"/>
      <c r="AV1" s="68"/>
      <c r="BC1" s="64"/>
      <c r="BD1" s="64"/>
      <c r="BE1" s="215"/>
      <c r="BF1" s="216"/>
      <c r="BG1" s="64"/>
      <c r="BH1" s="64"/>
      <c r="BI1" s="95"/>
      <c r="BJ1" s="217"/>
      <c r="BK1" s="185"/>
      <c r="BL1" s="103"/>
      <c r="BM1" s="67"/>
      <c r="BQ1" s="194"/>
    </row>
    <row r="2" customFormat="1" s="47">
      <c r="D2" s="185"/>
      <c r="AT2" s="68"/>
      <c r="AU2" s="68"/>
      <c r="AV2" s="68"/>
      <c r="BC2" s="64"/>
      <c r="BD2" s="64"/>
      <c r="BE2" s="215"/>
      <c r="BF2" s="216"/>
      <c r="BG2" s="64"/>
      <c r="BH2" s="64"/>
      <c r="BI2" s="95"/>
      <c r="BJ2" s="217"/>
      <c r="BK2" s="185"/>
      <c r="BL2" s="103"/>
      <c r="BM2" s="67"/>
      <c r="BQ2" s="194"/>
    </row>
    <row r="3" ht="14.0" customFormat="1" s="47">
      <c r="D3" s="185"/>
      <c r="AT3" s="219" t="s">
        <v>516</v>
      </c>
      <c r="AU3" s="220">
        <f>SUM(AH4:AM4)</f>
        <v>0.441</v>
      </c>
      <c r="AV3" s="221">
        <f t="shared" ref="AV3:AV4" si="1">AU3*1.1</f>
        <v>0.4851</v>
      </c>
      <c r="AW3" s="47" t="s">
        <v>24</v>
      </c>
      <c r="AX3" s="47" t="s">
        <v>24</v>
      </c>
      <c r="AY3" s="47" t="s">
        <v>563</v>
      </c>
      <c r="BC3" s="64"/>
      <c r="BD3" s="64"/>
      <c r="BE3" s="215"/>
      <c r="BF3" s="216"/>
      <c r="BG3" s="64"/>
      <c r="BH3" s="64"/>
      <c r="BI3" s="95"/>
      <c r="BJ3" s="217"/>
      <c r="BK3" s="185"/>
      <c r="BL3" s="103"/>
      <c r="BM3" s="67"/>
      <c r="BQ3" s="194"/>
      <c r="BZ3" s="222" t="s">
        <v>564</v>
      </c>
    </row>
    <row r="4" ht="14.0" customFormat="1" s="47">
      <c r="D4" s="185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>
        <v>0.057</v>
      </c>
      <c r="AC4" s="71">
        <v>0.114</v>
      </c>
      <c r="AD4" s="71">
        <v>0.127</v>
      </c>
      <c r="AE4" s="71">
        <v>0.115</v>
      </c>
      <c r="AF4" s="71">
        <v>0.094</v>
      </c>
      <c r="AG4" s="71">
        <v>0.052</v>
      </c>
      <c r="AH4" s="223">
        <v>0.065</v>
      </c>
      <c r="AI4" s="223">
        <v>0.07</v>
      </c>
      <c r="AJ4" s="223">
        <v>0.097</v>
      </c>
      <c r="AK4" s="223">
        <v>0.046</v>
      </c>
      <c r="AL4" s="223">
        <v>0.09</v>
      </c>
      <c r="AM4" s="223">
        <v>0.073</v>
      </c>
      <c r="AN4" s="224">
        <v>0.057</v>
      </c>
      <c r="AO4" s="224">
        <v>0.114</v>
      </c>
      <c r="AP4" s="224">
        <v>0.127</v>
      </c>
      <c r="AQ4" s="224">
        <v>0.115</v>
      </c>
      <c r="AR4" s="224">
        <v>0.094</v>
      </c>
      <c r="AS4" s="224">
        <v>0.052</v>
      </c>
      <c r="AT4" s="72">
        <f>SUM(AG4:AR4)</f>
        <v>1.0</v>
      </c>
      <c r="AU4" s="225">
        <f>SUM(AN4:AS4)</f>
        <v>0.559</v>
      </c>
      <c r="AV4" s="225">
        <f t="shared" si="1"/>
        <v>0.6149</v>
      </c>
      <c r="AW4" s="71">
        <v>0.065</v>
      </c>
      <c r="AX4" s="71">
        <v>0.07</v>
      </c>
      <c r="AY4" s="71">
        <v>0.097</v>
      </c>
      <c r="AZ4" s="71">
        <v>0.046</v>
      </c>
      <c r="BA4" s="71">
        <v>0.09</v>
      </c>
      <c r="BB4" s="71">
        <v>0.073</v>
      </c>
      <c r="BC4" s="71"/>
      <c r="BD4" s="64"/>
      <c r="BE4" s="215"/>
      <c r="BF4" s="216"/>
      <c r="BG4" s="64"/>
      <c r="BH4" s="64"/>
      <c r="BI4" s="95"/>
      <c r="BJ4" s="217"/>
      <c r="BK4" s="185"/>
      <c r="BL4" s="103"/>
      <c r="BM4" s="67"/>
      <c r="BQ4" s="194"/>
      <c r="BZ4" s="226" t="s">
        <v>565</v>
      </c>
    </row>
    <row r="5" ht="14.0" customFormat="1" s="47">
      <c r="A5" s="73"/>
      <c r="B5" s="73"/>
      <c r="C5" s="73"/>
      <c r="D5" s="73"/>
      <c r="E5" s="74">
        <v>45952</v>
      </c>
      <c r="F5" s="74">
        <v>45983</v>
      </c>
      <c r="G5" s="74">
        <v>46013</v>
      </c>
      <c r="H5" s="74">
        <v>45680</v>
      </c>
      <c r="I5" s="74">
        <v>45711</v>
      </c>
      <c r="J5" s="74">
        <v>45739</v>
      </c>
      <c r="K5" s="74">
        <v>45770</v>
      </c>
      <c r="L5" s="74">
        <v>45800</v>
      </c>
      <c r="M5" s="74">
        <v>45831</v>
      </c>
      <c r="N5" s="74">
        <v>45861</v>
      </c>
      <c r="O5" s="74">
        <v>45892</v>
      </c>
      <c r="P5" s="75">
        <v>45923</v>
      </c>
      <c r="Q5" s="75">
        <v>45953</v>
      </c>
      <c r="R5" s="75">
        <v>45984</v>
      </c>
      <c r="S5" s="75">
        <v>46014</v>
      </c>
      <c r="T5" s="75">
        <v>45681</v>
      </c>
      <c r="U5" s="75">
        <v>45712</v>
      </c>
      <c r="V5" s="75">
        <v>45740</v>
      </c>
      <c r="W5" s="75">
        <v>45771</v>
      </c>
      <c r="X5" s="75">
        <v>45801</v>
      </c>
      <c r="Y5" s="75">
        <v>45832</v>
      </c>
      <c r="Z5" s="75">
        <v>45862</v>
      </c>
      <c r="AA5" s="75">
        <v>45893</v>
      </c>
      <c r="AB5" s="75">
        <v>45924</v>
      </c>
      <c r="AC5" s="227">
        <v>45954</v>
      </c>
      <c r="AD5" s="75">
        <v>45985</v>
      </c>
      <c r="AE5" s="75">
        <v>46015</v>
      </c>
      <c r="AF5" s="75">
        <v>45682</v>
      </c>
      <c r="AG5" s="227">
        <v>45713</v>
      </c>
      <c r="AH5" s="76">
        <v>45741</v>
      </c>
      <c r="AI5" s="76">
        <v>45772</v>
      </c>
      <c r="AJ5" s="76">
        <v>45802</v>
      </c>
      <c r="AK5" s="76">
        <v>45833</v>
      </c>
      <c r="AL5" s="76">
        <v>45863</v>
      </c>
      <c r="AM5" s="76">
        <v>45894</v>
      </c>
      <c r="AN5" s="76">
        <v>45925</v>
      </c>
      <c r="AO5" s="76">
        <v>45955</v>
      </c>
      <c r="AP5" s="76">
        <v>45986</v>
      </c>
      <c r="AQ5" s="76">
        <v>46016</v>
      </c>
      <c r="AR5" s="76">
        <v>46048</v>
      </c>
      <c r="AS5" s="76">
        <v>46079</v>
      </c>
      <c r="AT5" s="77" t="s">
        <v>1</v>
      </c>
      <c r="AU5" s="77" t="s">
        <v>566</v>
      </c>
      <c r="AV5" s="77" t="s">
        <v>566</v>
      </c>
      <c r="AW5" s="76">
        <v>46107</v>
      </c>
      <c r="AX5" s="76">
        <v>46138</v>
      </c>
      <c r="AY5" s="76">
        <v>46168</v>
      </c>
      <c r="AZ5" s="76">
        <v>46199</v>
      </c>
      <c r="BA5" s="76">
        <v>46229</v>
      </c>
      <c r="BB5" s="76">
        <v>46260</v>
      </c>
      <c r="BC5" s="73" t="s">
        <v>3</v>
      </c>
      <c r="BD5" s="73" t="s">
        <v>3</v>
      </c>
      <c r="BE5" s="228"/>
      <c r="BF5" s="188"/>
      <c r="BG5" s="73" t="s">
        <v>3</v>
      </c>
      <c r="BH5" s="73" t="s">
        <v>3</v>
      </c>
      <c r="BI5" s="108" t="s">
        <v>3</v>
      </c>
      <c r="BJ5" s="73" t="s">
        <v>3</v>
      </c>
      <c r="BK5" s="73" t="s">
        <v>3</v>
      </c>
      <c r="BL5" s="81"/>
      <c r="BM5" s="73" t="s">
        <v>517</v>
      </c>
      <c r="BN5" s="82" t="s">
        <v>518</v>
      </c>
      <c r="BO5" s="73"/>
      <c r="BP5" s="73"/>
      <c r="BQ5" s="73"/>
      <c r="BR5" s="82" t="s">
        <v>519</v>
      </c>
      <c r="BS5" s="73"/>
      <c r="BT5" s="73"/>
      <c r="BU5" s="73"/>
      <c r="BV5" s="82" t="s">
        <v>520</v>
      </c>
      <c r="BW5" s="73"/>
      <c r="BX5" s="73"/>
      <c r="BY5" s="73"/>
      <c r="BZ5" s="82" t="s">
        <v>4</v>
      </c>
      <c r="CA5" s="73"/>
      <c r="CB5" s="73"/>
      <c r="CC5" s="73"/>
      <c r="CD5" s="82" t="s">
        <v>5</v>
      </c>
      <c r="CE5" s="73"/>
      <c r="CF5" s="73"/>
      <c r="CG5" s="73"/>
      <c r="CH5" s="82" t="s">
        <v>6</v>
      </c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DD5" s="73"/>
      <c r="DE5" s="73"/>
      <c r="DF5" s="73"/>
      <c r="DG5" s="73"/>
      <c r="DH5" s="73"/>
      <c r="DI5" s="73"/>
      <c r="DJ5" s="73"/>
      <c r="DK5" s="73"/>
      <c r="AMN5" s="83"/>
      <c r="AMO5" s="83"/>
      <c r="AMP5" s="83"/>
      <c r="AMQ5" s="83"/>
      <c r="AMR5" s="84"/>
    </row>
    <row r="6" ht="43.0" customFormat="1" s="47">
      <c r="A6" s="85" t="s">
        <v>12</v>
      </c>
      <c r="B6" s="85" t="s">
        <v>13</v>
      </c>
      <c r="C6" s="85" t="s">
        <v>14</v>
      </c>
      <c r="D6" s="86" t="s">
        <v>15</v>
      </c>
      <c r="E6" s="87" t="s">
        <v>16</v>
      </c>
      <c r="F6" s="87" t="s">
        <v>16</v>
      </c>
      <c r="G6" s="87" t="s">
        <v>16</v>
      </c>
      <c r="H6" s="87" t="s">
        <v>16</v>
      </c>
      <c r="I6" s="87" t="s">
        <v>16</v>
      </c>
      <c r="J6" s="87" t="s">
        <v>16</v>
      </c>
      <c r="K6" s="87" t="s">
        <v>16</v>
      </c>
      <c r="L6" s="87" t="s">
        <v>16</v>
      </c>
      <c r="M6" s="87" t="s">
        <v>16</v>
      </c>
      <c r="N6" s="87" t="s">
        <v>16</v>
      </c>
      <c r="O6" s="87" t="s">
        <v>16</v>
      </c>
      <c r="P6" s="87" t="s">
        <v>16</v>
      </c>
      <c r="Q6" s="87" t="s">
        <v>16</v>
      </c>
      <c r="R6" s="87" t="s">
        <v>16</v>
      </c>
      <c r="S6" s="87" t="s">
        <v>16</v>
      </c>
      <c r="T6" s="87" t="s">
        <v>16</v>
      </c>
      <c r="U6" s="87" t="s">
        <v>16</v>
      </c>
      <c r="V6" s="87" t="s">
        <v>16</v>
      </c>
      <c r="W6" s="87" t="s">
        <v>16</v>
      </c>
      <c r="X6" s="87" t="s">
        <v>16</v>
      </c>
      <c r="Y6" s="87" t="s">
        <v>16</v>
      </c>
      <c r="Z6" s="87" t="s">
        <v>16</v>
      </c>
      <c r="AA6" s="87" t="s">
        <v>16</v>
      </c>
      <c r="AB6" s="87" t="s">
        <v>16</v>
      </c>
      <c r="AC6" s="87" t="s">
        <v>16</v>
      </c>
      <c r="AD6" s="87" t="s">
        <v>16</v>
      </c>
      <c r="AE6" s="87" t="s">
        <v>16</v>
      </c>
      <c r="AF6" s="87" t="s">
        <v>16</v>
      </c>
      <c r="AG6" s="87" t="s">
        <v>16</v>
      </c>
      <c r="AH6" s="87" t="s">
        <v>16</v>
      </c>
      <c r="AI6" s="87" t="s">
        <v>16</v>
      </c>
      <c r="AJ6" s="87" t="s">
        <v>16</v>
      </c>
      <c r="AK6" s="87" t="s">
        <v>16</v>
      </c>
      <c r="AL6" s="87" t="s">
        <v>16</v>
      </c>
      <c r="AM6" s="87" t="s">
        <v>16</v>
      </c>
      <c r="AN6" s="87" t="s">
        <v>16</v>
      </c>
      <c r="AO6" s="87" t="s">
        <v>16</v>
      </c>
      <c r="AP6" s="87" t="s">
        <v>16</v>
      </c>
      <c r="AQ6" s="87" t="s">
        <v>16</v>
      </c>
      <c r="AR6" s="87" t="s">
        <v>16</v>
      </c>
      <c r="AS6" s="87" t="s">
        <v>16</v>
      </c>
      <c r="AT6" s="88" t="s">
        <v>3</v>
      </c>
      <c r="AU6" s="88" t="s">
        <v>3</v>
      </c>
      <c r="AV6" s="88" t="s">
        <v>17</v>
      </c>
      <c r="AW6" s="89" t="s">
        <v>18</v>
      </c>
      <c r="AX6" s="89" t="s">
        <v>18</v>
      </c>
      <c r="AY6" s="89" t="s">
        <v>18</v>
      </c>
      <c r="AZ6" s="89" t="s">
        <v>18</v>
      </c>
      <c r="BA6" s="89" t="s">
        <v>18</v>
      </c>
      <c r="BB6" s="89" t="s">
        <v>18</v>
      </c>
      <c r="BC6" s="89" t="s">
        <v>18</v>
      </c>
      <c r="BD6" s="87" t="s">
        <v>526</v>
      </c>
      <c r="BE6" s="190" t="s">
        <v>567</v>
      </c>
      <c r="BF6" s="191" t="s">
        <v>568</v>
      </c>
      <c r="BG6" s="90" t="s">
        <v>529</v>
      </c>
      <c r="BH6" s="90" t="s">
        <v>545</v>
      </c>
      <c r="BI6" s="109" t="s">
        <v>22</v>
      </c>
      <c r="BJ6" s="87" t="s">
        <v>23</v>
      </c>
      <c r="BK6" s="87" t="s">
        <v>24</v>
      </c>
      <c r="BL6" s="86" t="s">
        <v>25</v>
      </c>
      <c r="BM6" s="87" t="s">
        <v>26</v>
      </c>
      <c r="BN6" s="87" t="s">
        <v>18</v>
      </c>
      <c r="BO6" s="87" t="s">
        <v>27</v>
      </c>
      <c r="BP6" s="87" t="s">
        <v>28</v>
      </c>
      <c r="BQ6" s="191" t="s">
        <v>568</v>
      </c>
      <c r="BR6" s="87" t="s">
        <v>18</v>
      </c>
      <c r="BS6" s="87" t="s">
        <v>27</v>
      </c>
      <c r="BT6" s="87" t="s">
        <v>28</v>
      </c>
      <c r="BU6" s="191" t="s">
        <v>568</v>
      </c>
      <c r="BV6" s="87" t="s">
        <v>18</v>
      </c>
      <c r="BW6" s="87" t="s">
        <v>27</v>
      </c>
      <c r="BX6" s="87" t="s">
        <v>28</v>
      </c>
      <c r="BY6" s="191" t="s">
        <v>568</v>
      </c>
      <c r="BZ6" s="87" t="s">
        <v>18</v>
      </c>
      <c r="CA6" s="87" t="s">
        <v>27</v>
      </c>
      <c r="CB6" s="87" t="s">
        <v>28</v>
      </c>
      <c r="CC6" s="191" t="s">
        <v>568</v>
      </c>
      <c r="CD6" s="87" t="s">
        <v>18</v>
      </c>
      <c r="CE6" s="87" t="s">
        <v>27</v>
      </c>
      <c r="CF6" s="87" t="s">
        <v>28</v>
      </c>
      <c r="CG6" s="191" t="s">
        <v>568</v>
      </c>
      <c r="CH6" s="87" t="s">
        <v>18</v>
      </c>
      <c r="CI6" s="87" t="s">
        <v>27</v>
      </c>
      <c r="CJ6" s="87" t="s">
        <v>28</v>
      </c>
      <c r="CK6" s="191" t="s">
        <v>568</v>
      </c>
      <c r="CL6" s="84"/>
      <c r="CM6" s="84"/>
      <c r="CN6" s="84"/>
      <c r="CO6" s="84"/>
      <c r="CP6" s="84"/>
      <c r="CQ6" s="84"/>
      <c r="CR6" s="84"/>
      <c r="CS6" s="84"/>
      <c r="CT6" s="84"/>
      <c r="CU6" s="84"/>
      <c r="CV6" s="84"/>
      <c r="CW6" s="84"/>
      <c r="CX6" s="84"/>
      <c r="CY6" s="84"/>
      <c r="CZ6" s="84"/>
      <c r="DA6" s="84"/>
      <c r="DB6" s="84"/>
      <c r="DC6" s="84"/>
      <c r="DD6" s="84"/>
      <c r="DE6" s="84"/>
      <c r="DF6" s="84"/>
      <c r="DG6" s="84"/>
      <c r="DH6" s="84"/>
      <c r="DI6" s="84"/>
      <c r="DJ6" s="84"/>
      <c r="DK6" s="84"/>
    </row>
    <row r="7" ht="14.0" customFormat="1" s="47">
      <c r="A7" s="93" t="s">
        <v>179</v>
      </c>
      <c r="B7" s="93" t="s">
        <v>180</v>
      </c>
      <c r="C7" s="93" t="s">
        <v>181</v>
      </c>
      <c r="D7" s="229" t="s">
        <v>182</v>
      </c>
      <c r="E7" s="93">
        <v>0.0</v>
      </c>
      <c r="F7" s="93">
        <v>0.0</v>
      </c>
      <c r="G7" s="93">
        <v>0.0</v>
      </c>
      <c r="H7" s="93">
        <v>0.0</v>
      </c>
      <c r="I7" s="93">
        <v>0.0</v>
      </c>
      <c r="J7" s="93">
        <v>0.0</v>
      </c>
      <c r="K7" s="93">
        <v>0.0</v>
      </c>
      <c r="L7" s="93">
        <v>0.0</v>
      </c>
      <c r="M7" s="93">
        <v>0.0</v>
      </c>
      <c r="N7" s="93">
        <v>0.0</v>
      </c>
      <c r="O7" s="93">
        <v>0.0</v>
      </c>
      <c r="P7" s="93">
        <v>0.0</v>
      </c>
      <c r="Q7" s="93">
        <v>0.0</v>
      </c>
      <c r="R7" s="93">
        <v>0.0</v>
      </c>
      <c r="S7" s="93">
        <v>0.0</v>
      </c>
      <c r="T7" s="93">
        <v>0.0</v>
      </c>
      <c r="U7" s="93">
        <v>0.0</v>
      </c>
      <c r="V7" s="93">
        <v>0.0</v>
      </c>
      <c r="W7" s="93">
        <v>0.0</v>
      </c>
      <c r="X7" s="93">
        <v>0.0</v>
      </c>
      <c r="Y7" s="93">
        <v>0.0</v>
      </c>
      <c r="Z7" s="93">
        <v>0.0</v>
      </c>
      <c r="AA7" s="93">
        <v>0.0</v>
      </c>
      <c r="AB7" s="93">
        <v>0.0</v>
      </c>
      <c r="AC7" s="93">
        <v>0.0</v>
      </c>
      <c r="AD7" s="93">
        <v>0.0</v>
      </c>
      <c r="AE7" s="93">
        <v>0.0</v>
      </c>
      <c r="AF7" s="93">
        <v>0.0</v>
      </c>
      <c r="AG7" s="93">
        <v>0.0</v>
      </c>
      <c r="AH7" s="93">
        <v>12.0</v>
      </c>
      <c r="AI7" s="93">
        <v>164.0</v>
      </c>
      <c r="AJ7" s="93">
        <v>120.0</v>
      </c>
      <c r="AK7" s="93">
        <v>48.0</v>
      </c>
      <c r="AL7" s="93">
        <v>36.0</v>
      </c>
      <c r="AM7" s="93">
        <v>66.0</v>
      </c>
      <c r="AN7" s="230">
        <v>210.0</v>
      </c>
      <c r="AO7" s="230">
        <v>342.0</v>
      </c>
      <c r="AP7" s="230">
        <v>162.0</v>
      </c>
      <c r="AQ7" s="231">
        <v>132.0</v>
      </c>
      <c r="AR7" s="231">
        <v>48.0</v>
      </c>
      <c r="AS7" s="231">
        <v>7.0</v>
      </c>
      <c r="AT7" s="69">
        <f t="shared" ref="AT7:AT237" si="4">SUM(AH7:AS7)</f>
        <v>1347.0</v>
      </c>
      <c r="AU7" s="69">
        <f t="shared" ref="AU7:AU9" si="5">SUM(AN7:AS7)</f>
        <v>901.0</v>
      </c>
      <c r="AV7" s="69">
        <f t="shared" ref="AV7:AV157" si="6">AU7*1.1</f>
        <v>991.1</v>
      </c>
      <c r="AW7" s="65">
        <f t="shared" ref="AW7:AW8" si="7">AV7*$AW$4/$AV$4</f>
        <v>104.767441860465</v>
      </c>
      <c r="AX7" s="65">
        <f t="shared" ref="AX7:AX8" si="8">AV7*$AX$4/$AV$4</f>
        <v>112.826475849731</v>
      </c>
      <c r="AY7" s="65">
        <f t="shared" ref="AY7:AY8" si="9">AV7*$AY$4/$AV$4</f>
        <v>156.345259391771</v>
      </c>
      <c r="AZ7" s="65">
        <f t="shared" ref="AZ7:AZ8" si="10">AV7*$AZ$4/$AV$4</f>
        <v>74.1431127012522</v>
      </c>
      <c r="BA7" s="65">
        <f t="shared" ref="BA7:BA8" si="11">AV7*$BA$4/$AV$4</f>
        <v>145.062611806798</v>
      </c>
      <c r="BB7" s="65">
        <f t="shared" ref="BB7:BB8" si="12">AV7*$BB$4/$AV$4</f>
        <v>117.661896243291</v>
      </c>
      <c r="BC7" s="69">
        <f t="shared" ref="BC7:BC237" si="13">SUM(AW7:BB7)</f>
        <v>710.806797853308</v>
      </c>
      <c r="BD7" s="69">
        <f>VLOOKUP(D7,FEB23SOH,3,false)</f>
        <v>0.0</v>
      </c>
      <c r="BE7" s="201">
        <f>VLOOKUP(D7,VALUEFEB23,4,false)</f>
        <v>1.1433</v>
      </c>
      <c r="BF7" s="215">
        <f t="shared" ref="BF7:BF157" si="16">BE7*BD7</f>
        <v>0.0</v>
      </c>
      <c r="BG7" s="64"/>
      <c r="BH7" s="64"/>
      <c r="BI7" s="193">
        <f t="shared" ref="BI7:BI13" si="17">BD7+BG7+BH7-BC7</f>
        <v>-710.806797853308</v>
      </c>
      <c r="BJ7" s="217">
        <v>501.0</v>
      </c>
      <c r="BK7" s="232">
        <f>BI7*-1</f>
        <v>710.806797853308</v>
      </c>
      <c r="BL7" s="103" t="s">
        <v>73</v>
      </c>
      <c r="BM7" s="95">
        <f t="shared" ref="BM7:BM13" si="19">BD7</f>
        <v>0.0</v>
      </c>
      <c r="BN7" s="65">
        <f t="shared" ref="BN7:BN13" si="20">AW7</f>
        <v>104.767441860465</v>
      </c>
      <c r="BO7" s="65">
        <f t="shared" ref="BO7:BO236" si="21">BG7</f>
      </c>
      <c r="BP7" s="65">
        <f t="shared" ref="BP7:BP13" si="22">BM7+BO7-BN7</f>
        <v>-104.767441860465</v>
      </c>
      <c r="BQ7" s="194">
        <f t="shared" ref="BQ7:BQ13" si="23">BP7*BE7</f>
        <v>-119.780616279068</v>
      </c>
      <c r="BR7" s="65">
        <f t="shared" ref="BR7:BR13" si="24">AX7</f>
        <v>112.826475849731</v>
      </c>
      <c r="BS7" s="65">
        <f t="shared" ref="BS7:BS236" si="25">BH7</f>
      </c>
      <c r="BT7" s="65">
        <f t="shared" ref="BT7:BT13" si="26">BP7+BS7-BR7</f>
        <v>-217.593917710196</v>
      </c>
      <c r="BU7" s="194">
        <f t="shared" ref="BU7:BU13" si="27">BT7*BE7</f>
        <v>-248.775126118067</v>
      </c>
      <c r="BV7" s="65">
        <f t="shared" ref="BV7:BV13" si="28">AY7</f>
        <v>156.345259391771</v>
      </c>
      <c r="BW7" s="65">
        <f t="shared" ref="BW7:BW13" si="29">BH7</f>
      </c>
      <c r="BX7" s="65">
        <f t="shared" ref="BX7:BX13" si="30">BT7+BW7-BV7</f>
        <v>-373.939177101967</v>
      </c>
      <c r="BY7" s="194">
        <f t="shared" ref="BY7:BY13" si="31">BX7*BE7</f>
        <v>-427.52466118066</v>
      </c>
      <c r="BZ7" s="65">
        <f t="shared" ref="BZ7:BZ13" si="32">AZ7</f>
        <v>74.1431127012522</v>
      </c>
      <c r="CA7" s="65"/>
      <c r="CB7" s="65">
        <f t="shared" ref="CB7:CB13" si="33">BX7+CA7-BZ7</f>
        <v>-448.082289803219</v>
      </c>
      <c r="CC7" s="194">
        <f t="shared" ref="CC7:CC13" si="34">CB7*BE7</f>
        <v>-512.29248193202</v>
      </c>
      <c r="CD7" s="65">
        <f t="shared" ref="CD7:CD13" si="35">BA7</f>
        <v>145.062611806798</v>
      </c>
      <c r="CE7" s="65"/>
      <c r="CF7" s="65">
        <f t="shared" ref="CF7:CF13" si="36">CB7+CE7-CD7</f>
        <v>-593.144901610017</v>
      </c>
      <c r="CG7" s="194">
        <f t="shared" ref="CG7:CG13" si="37">CF7*BE7</f>
        <v>-678.142566010732</v>
      </c>
      <c r="CH7" s="65">
        <f t="shared" ref="CH7:CH13" si="38">BB7</f>
        <v>117.661896243291</v>
      </c>
      <c r="CI7" s="65"/>
      <c r="CJ7" s="65">
        <f t="shared" ref="CJ7:CJ13" si="39">CF7+CI7-CH7</f>
        <v>-710.806797853308</v>
      </c>
      <c r="CK7" s="194">
        <f t="shared" ref="CK7:CK13" si="40">CF7*BE7</f>
        <v>-678.142566010732</v>
      </c>
    </row>
    <row r="8" ht="14.0" customFormat="1" s="47">
      <c r="A8" s="93" t="s">
        <v>179</v>
      </c>
      <c r="B8" s="93" t="s">
        <v>180</v>
      </c>
      <c r="C8" s="93" t="s">
        <v>183</v>
      </c>
      <c r="D8" s="229" t="s">
        <v>184</v>
      </c>
      <c r="E8" s="93">
        <v>0.0</v>
      </c>
      <c r="F8" s="93">
        <v>0.0</v>
      </c>
      <c r="G8" s="93">
        <v>0.0</v>
      </c>
      <c r="H8" s="93">
        <v>0.0</v>
      </c>
      <c r="I8" s="93">
        <v>0.0</v>
      </c>
      <c r="J8" s="93">
        <v>0.0</v>
      </c>
      <c r="K8" s="93">
        <v>0.0</v>
      </c>
      <c r="L8" s="93">
        <v>0.0</v>
      </c>
      <c r="M8" s="93">
        <v>0.0</v>
      </c>
      <c r="N8" s="93">
        <v>0.0</v>
      </c>
      <c r="O8" s="93">
        <v>0.0</v>
      </c>
      <c r="P8" s="93">
        <v>0.0</v>
      </c>
      <c r="Q8" s="93">
        <v>0.0</v>
      </c>
      <c r="R8" s="93">
        <v>0.0</v>
      </c>
      <c r="S8" s="93">
        <v>0.0</v>
      </c>
      <c r="T8" s="93">
        <v>0.0</v>
      </c>
      <c r="U8" s="93">
        <v>0.0</v>
      </c>
      <c r="V8" s="93">
        <v>0.0</v>
      </c>
      <c r="W8" s="93">
        <v>0.0</v>
      </c>
      <c r="X8" s="93">
        <v>0.0</v>
      </c>
      <c r="Y8" s="93">
        <v>0.0</v>
      </c>
      <c r="Z8" s="93">
        <v>0.0</v>
      </c>
      <c r="AA8" s="93">
        <v>0.0</v>
      </c>
      <c r="AB8" s="93">
        <v>0.0</v>
      </c>
      <c r="AC8" s="93">
        <v>0.0</v>
      </c>
      <c r="AD8" s="93">
        <v>0.0</v>
      </c>
      <c r="AE8" s="93">
        <v>0.0</v>
      </c>
      <c r="AF8" s="93">
        <v>0.0</v>
      </c>
      <c r="AG8" s="93">
        <v>0.0</v>
      </c>
      <c r="AH8" s="93">
        <v>6.0</v>
      </c>
      <c r="AI8" s="93">
        <v>146.0</v>
      </c>
      <c r="AJ8" s="93">
        <v>60.0</v>
      </c>
      <c r="AK8" s="93">
        <v>36.0</v>
      </c>
      <c r="AL8" s="93">
        <v>18.0</v>
      </c>
      <c r="AM8" s="93">
        <v>36.0</v>
      </c>
      <c r="AN8" s="230">
        <v>156.0</v>
      </c>
      <c r="AO8" s="230">
        <v>138.0</v>
      </c>
      <c r="AP8" s="230">
        <v>126.0</v>
      </c>
      <c r="AQ8" s="231">
        <v>90.0</v>
      </c>
      <c r="AR8" s="231">
        <v>78.0</v>
      </c>
      <c r="AS8" s="231">
        <v>175.0</v>
      </c>
      <c r="AT8" s="69">
        <f t="shared" si="4"/>
        <v>1065.0</v>
      </c>
      <c r="AU8" s="69">
        <f t="shared" si="5"/>
        <v>763.0</v>
      </c>
      <c r="AV8" s="69">
        <f t="shared" si="6"/>
        <v>839.3</v>
      </c>
      <c r="AW8" s="47">
        <f t="shared" si="7"/>
        <v>88.7209302325581</v>
      </c>
      <c r="AX8" s="47">
        <f t="shared" si="8"/>
        <v>95.5456171735241</v>
      </c>
      <c r="AY8" s="47">
        <f t="shared" si="9"/>
        <v>132.39892665474</v>
      </c>
      <c r="AZ8" s="47">
        <f t="shared" si="10"/>
        <v>62.7871198568872</v>
      </c>
      <c r="BA8" s="47">
        <f t="shared" si="11"/>
        <v>122.844364937388</v>
      </c>
      <c r="BB8" s="47">
        <f t="shared" si="12"/>
        <v>99.6404293381038</v>
      </c>
      <c r="BC8" s="64">
        <f t="shared" si="13"/>
        <v>601.937388193201</v>
      </c>
      <c r="BD8" s="69">
        <f>VLOOKUP(D8,FEB23SOH,3,false)</f>
        <v>421.0</v>
      </c>
      <c r="BE8" s="201">
        <f>VLOOKUP(D8,VALUEFEB23,4,false)</f>
        <v>1.1426</v>
      </c>
      <c r="BF8" s="215">
        <f t="shared" si="16"/>
        <v>481.0346</v>
      </c>
      <c r="BG8" s="64"/>
      <c r="BH8" s="64"/>
      <c r="BI8" s="193">
        <f t="shared" si="17"/>
        <v>-180.9373881932</v>
      </c>
      <c r="BJ8" s="217">
        <v>501.0</v>
      </c>
      <c r="BK8" s="185">
        <f>BJ8</f>
        <v>501.0</v>
      </c>
      <c r="BL8" s="103" t="s">
        <v>5</v>
      </c>
      <c r="BM8" s="95">
        <f t="shared" si="19"/>
        <v>421.0</v>
      </c>
      <c r="BN8" s="65">
        <f t="shared" si="20"/>
        <v>88.7209302325581</v>
      </c>
      <c r="BO8" s="65">
        <f t="shared" si="21"/>
      </c>
      <c r="BP8" s="65">
        <f t="shared" si="22"/>
        <v>332.279069767441</v>
      </c>
      <c r="BQ8" s="194">
        <f t="shared" si="23"/>
        <v>379.662065116278</v>
      </c>
      <c r="BR8" s="65">
        <f t="shared" si="24"/>
        <v>95.5456171735241</v>
      </c>
      <c r="BS8" s="65">
        <f t="shared" si="25"/>
      </c>
      <c r="BT8" s="65">
        <f t="shared" si="26"/>
        <v>236.733452593917</v>
      </c>
      <c r="BU8" s="194">
        <f t="shared" si="27"/>
        <v>270.49164293381</v>
      </c>
      <c r="BV8" s="65">
        <f t="shared" si="28"/>
        <v>132.39892665474</v>
      </c>
      <c r="BW8" s="65">
        <f t="shared" si="29"/>
      </c>
      <c r="BX8" s="65">
        <f t="shared" si="30"/>
        <v>104.334525939177</v>
      </c>
      <c r="BY8" s="194">
        <f t="shared" si="31"/>
        <v>119.212629338103</v>
      </c>
      <c r="BZ8" s="65">
        <f t="shared" si="32"/>
        <v>62.7871198568872</v>
      </c>
      <c r="CA8" s="65"/>
      <c r="CB8" s="65">
        <f t="shared" si="33"/>
        <v>41.5474060822898</v>
      </c>
      <c r="CC8" s="194">
        <f t="shared" si="34"/>
        <v>47.4720661896243</v>
      </c>
      <c r="CD8" s="65">
        <f t="shared" si="35"/>
        <v>122.844364937388</v>
      </c>
      <c r="CE8" s="65"/>
      <c r="CF8" s="65">
        <f t="shared" si="36"/>
        <v>-81.2969588550982</v>
      </c>
      <c r="CG8" s="194">
        <f t="shared" si="37"/>
        <v>-92.8899051878352</v>
      </c>
      <c r="CH8" s="65">
        <f t="shared" si="38"/>
        <v>99.6404293381038</v>
      </c>
      <c r="CI8" s="65"/>
      <c r="CJ8" s="65">
        <f t="shared" si="39"/>
        <v>-180.937388193202</v>
      </c>
      <c r="CK8" s="194">
        <f t="shared" si="40"/>
        <v>-92.8899051878352</v>
      </c>
    </row>
    <row r="9" ht="14.0">
      <c r="A9" s="93" t="s">
        <v>179</v>
      </c>
      <c r="B9" s="93" t="s">
        <v>33</v>
      </c>
      <c r="C9" s="93" t="s">
        <v>185</v>
      </c>
      <c r="D9" s="229" t="s">
        <v>186</v>
      </c>
      <c r="E9" s="93">
        <v>0.0</v>
      </c>
      <c r="F9" s="93">
        <v>0.0</v>
      </c>
      <c r="G9" s="93">
        <v>0.0</v>
      </c>
      <c r="H9" s="93">
        <v>0.0</v>
      </c>
      <c r="I9" s="93">
        <v>25.0</v>
      </c>
      <c r="J9" s="93">
        <v>13.0</v>
      </c>
      <c r="K9" s="93">
        <v>8.0</v>
      </c>
      <c r="L9" s="93">
        <v>8.0</v>
      </c>
      <c r="M9" s="93">
        <v>11.0</v>
      </c>
      <c r="N9" s="93">
        <v>8.0</v>
      </c>
      <c r="O9" s="93">
        <v>13.0</v>
      </c>
      <c r="P9" s="93">
        <v>14.0</v>
      </c>
      <c r="Q9" s="93">
        <v>20.0</v>
      </c>
      <c r="R9" s="93">
        <v>5.0</v>
      </c>
      <c r="S9" s="93">
        <v>12.0</v>
      </c>
      <c r="T9" s="93">
        <v>8.0</v>
      </c>
      <c r="U9" s="93">
        <v>6.0</v>
      </c>
      <c r="V9" s="93">
        <v>10.0</v>
      </c>
      <c r="W9" s="93">
        <v>12.0</v>
      </c>
      <c r="X9" s="93">
        <v>4.0</v>
      </c>
      <c r="Y9" s="93">
        <v>13.0</v>
      </c>
      <c r="Z9" s="93">
        <v>1.0</v>
      </c>
      <c r="AA9" s="93">
        <v>8.0</v>
      </c>
      <c r="AB9" s="93">
        <v>0.0</v>
      </c>
      <c r="AC9" s="93">
        <v>4.0</v>
      </c>
      <c r="AD9" s="93">
        <v>4.0</v>
      </c>
      <c r="AE9" s="93">
        <v>0.0</v>
      </c>
      <c r="AF9" s="93">
        <v>14.0</v>
      </c>
      <c r="AG9" s="93">
        <v>0.0</v>
      </c>
      <c r="AH9" s="93">
        <v>0.0</v>
      </c>
      <c r="AI9" s="93">
        <v>6.0</v>
      </c>
      <c r="AJ9" s="93">
        <v>8.0</v>
      </c>
      <c r="AK9" s="93">
        <v>0.0</v>
      </c>
      <c r="AL9" s="93">
        <v>6.0</v>
      </c>
      <c r="AM9" s="93">
        <v>6.0</v>
      </c>
      <c r="AN9" s="230">
        <v>2.0</v>
      </c>
      <c r="AO9" s="230">
        <v>12.0</v>
      </c>
      <c r="AP9" s="230">
        <v>8.0</v>
      </c>
      <c r="AQ9" s="231">
        <v>0.0</v>
      </c>
      <c r="AR9" s="231">
        <v>2.0</v>
      </c>
      <c r="AS9" s="231">
        <v>5.0</v>
      </c>
      <c r="AT9" s="69">
        <f t="shared" si="4"/>
        <v>55.0</v>
      </c>
      <c r="AU9" s="69">
        <f t="shared" si="5"/>
        <v>29.0</v>
      </c>
      <c r="AV9" s="69">
        <f t="shared" si="6"/>
        <v>31.9</v>
      </c>
      <c r="AW9" s="47">
        <f>AV9*$AW$4/$AV$4+1*$AW$14</f>
        <v>3.96166218425354</v>
      </c>
      <c r="AX9" s="47">
        <f t="shared" ref="AX9:AX13" si="43">AV9*$AX$4/$AV$4+1*$AX$14</f>
        <v>4.26640542919612</v>
      </c>
      <c r="AY9" s="47">
        <f t="shared" ref="AY9:AY13" si="44">AV9*$AY$4/$AV$4+1*$AY$14</f>
        <v>5.912018951886</v>
      </c>
      <c r="AZ9" s="47">
        <f t="shared" ref="AZ9:AZ13" si="45">AV9*$AZ$4/$AV$4+1*$AZ$14</f>
        <v>2.80363785347173</v>
      </c>
      <c r="BA9" s="47">
        <f t="shared" ref="BA9:BA13" si="46">AV9*$BA$4/$AV$4+1*$BA$14</f>
        <v>5.48537840896644</v>
      </c>
      <c r="BB9" s="47">
        <f t="shared" ref="BB9:BB13" si="47">AV9*$BB$4/$AV$4+1*$BB$14</f>
        <v>4.44925137616168</v>
      </c>
      <c r="BC9" s="64">
        <f t="shared" si="13"/>
        <v>26.8783542039355</v>
      </c>
      <c r="BD9" s="69">
        <f>VLOOKUP(D9,FEB23SOH,3,false)</f>
        <v>94.0</v>
      </c>
      <c r="BE9" s="201">
        <f>VLOOKUP(D9,VALUEFEB23,4,false)</f>
        <v>5.9061</v>
      </c>
      <c r="BF9" s="215">
        <f t="shared" si="16"/>
        <v>555.1734</v>
      </c>
      <c r="BI9" s="193">
        <f t="shared" si="17"/>
        <v>67.1216457960645</v>
      </c>
      <c r="BL9" s="103"/>
      <c r="BM9" s="95">
        <f t="shared" si="19"/>
        <v>94.0</v>
      </c>
      <c r="BN9" s="65">
        <f t="shared" si="20"/>
        <v>3.96166218425354</v>
      </c>
      <c r="BO9" s="65">
        <f t="shared" si="21"/>
      </c>
      <c r="BP9" s="65">
        <f t="shared" si="22"/>
        <v>90.0383378157464</v>
      </c>
      <c r="BQ9" s="194">
        <f t="shared" si="23"/>
        <v>531.77542697358</v>
      </c>
      <c r="BR9" s="65">
        <f t="shared" si="24"/>
        <v>4.26640542919612</v>
      </c>
      <c r="BS9" s="65">
        <f t="shared" si="25"/>
      </c>
      <c r="BT9" s="65">
        <f t="shared" si="26"/>
        <v>85.7719323865502</v>
      </c>
      <c r="BU9" s="194">
        <f t="shared" si="27"/>
        <v>506.577609868204</v>
      </c>
      <c r="BV9" s="65">
        <f t="shared" si="28"/>
        <v>5.912018951886</v>
      </c>
      <c r="BW9" s="65">
        <f t="shared" si="29"/>
      </c>
      <c r="BX9" s="65">
        <f t="shared" si="30"/>
        <v>79.8599134346642</v>
      </c>
      <c r="BY9" s="194">
        <f t="shared" si="31"/>
        <v>471.66063473647</v>
      </c>
      <c r="BZ9" s="65">
        <f t="shared" si="32"/>
        <v>2.80363785347173</v>
      </c>
      <c r="CA9" s="65"/>
      <c r="CB9" s="65">
        <f t="shared" si="33"/>
        <v>77.0562755811924</v>
      </c>
      <c r="CC9" s="194">
        <f t="shared" si="34"/>
        <v>455.10206921008</v>
      </c>
      <c r="CD9" s="65">
        <f t="shared" si="35"/>
        <v>5.48537840896644</v>
      </c>
      <c r="CE9" s="65"/>
      <c r="CF9" s="65">
        <f t="shared" si="36"/>
        <v>71.570897172226</v>
      </c>
      <c r="CG9" s="194">
        <f t="shared" si="37"/>
        <v>422.704875788884</v>
      </c>
      <c r="CH9" s="65">
        <f t="shared" si="38"/>
        <v>4.44925137616168</v>
      </c>
      <c r="CI9" s="65"/>
      <c r="CJ9" s="65">
        <f t="shared" si="39"/>
        <v>67.1216457960643</v>
      </c>
      <c r="CK9" s="194">
        <f t="shared" si="40"/>
        <v>422.704875788884</v>
      </c>
    </row>
    <row r="10" ht="14.0">
      <c r="A10" s="93" t="s">
        <v>179</v>
      </c>
      <c r="B10" s="93" t="s">
        <v>33</v>
      </c>
      <c r="C10" s="93" t="s">
        <v>187</v>
      </c>
      <c r="D10" s="229" t="s">
        <v>188</v>
      </c>
      <c r="E10" s="93">
        <v>0.0</v>
      </c>
      <c r="F10" s="93">
        <v>0.0</v>
      </c>
      <c r="G10" s="93">
        <v>0.0</v>
      </c>
      <c r="H10" s="93">
        <v>0.0</v>
      </c>
      <c r="I10" s="93">
        <v>0.0</v>
      </c>
      <c r="J10" s="93">
        <v>0.0</v>
      </c>
      <c r="K10" s="93">
        <v>0.0</v>
      </c>
      <c r="L10" s="93">
        <v>0.0</v>
      </c>
      <c r="M10" s="93">
        <v>0.0</v>
      </c>
      <c r="N10" s="93">
        <v>0.0</v>
      </c>
      <c r="O10" s="93">
        <v>0.0</v>
      </c>
      <c r="P10" s="93">
        <v>0.0</v>
      </c>
      <c r="Q10" s="93">
        <v>0.0</v>
      </c>
      <c r="R10" s="93">
        <v>0.0</v>
      </c>
      <c r="S10" s="93">
        <v>0.0</v>
      </c>
      <c r="T10" s="93">
        <v>0.0</v>
      </c>
      <c r="U10" s="93">
        <v>0.0</v>
      </c>
      <c r="V10" s="93">
        <v>0.0</v>
      </c>
      <c r="W10" s="93">
        <v>0.0</v>
      </c>
      <c r="X10" s="93">
        <v>0.0</v>
      </c>
      <c r="Y10" s="93">
        <v>0.0</v>
      </c>
      <c r="Z10" s="93">
        <v>0.0</v>
      </c>
      <c r="AA10" s="93">
        <v>0.0</v>
      </c>
      <c r="AB10" s="93">
        <v>0.0</v>
      </c>
      <c r="AC10" s="93">
        <v>0.0</v>
      </c>
      <c r="AD10" s="93">
        <v>16.0</v>
      </c>
      <c r="AE10" s="93">
        <v>20.0</v>
      </c>
      <c r="AF10" s="93">
        <v>8.0</v>
      </c>
      <c r="AG10" s="93">
        <v>20.0</v>
      </c>
      <c r="AH10" s="114">
        <v>23.0</v>
      </c>
      <c r="AI10" s="114">
        <v>22.0</v>
      </c>
      <c r="AJ10" s="114">
        <v>12.0</v>
      </c>
      <c r="AK10" s="114">
        <v>12.0</v>
      </c>
      <c r="AL10" s="114">
        <v>10.0</v>
      </c>
      <c r="AM10" s="114">
        <v>4.0</v>
      </c>
      <c r="AN10" s="93">
        <v>4.0</v>
      </c>
      <c r="AO10" s="93">
        <v>32.0</v>
      </c>
      <c r="AP10" s="93">
        <v>6.0</v>
      </c>
      <c r="AQ10" s="233">
        <v>12.0</v>
      </c>
      <c r="AR10" s="233">
        <v>6.0</v>
      </c>
      <c r="AS10" s="233">
        <v>7.0</v>
      </c>
      <c r="AT10" s="69">
        <f t="shared" si="4"/>
        <v>150.0</v>
      </c>
      <c r="AU10" s="69">
        <f t="shared" ref="AU10:AU14" si="48">SUM(AH10:AM10)</f>
        <v>83.0</v>
      </c>
      <c r="AV10" s="69">
        <f t="shared" si="6"/>
        <v>91.3</v>
      </c>
      <c r="AW10" s="47">
        <f>AV11*$AW$4/$AV$3+1*$AW$14</f>
        <v>12.2335600907029</v>
      </c>
      <c r="AX10" s="47">
        <f t="shared" si="43"/>
        <v>11.0284805633642</v>
      </c>
      <c r="AY10" s="47">
        <f t="shared" si="44"/>
        <v>15.2823230663762</v>
      </c>
      <c r="AZ10" s="47">
        <f t="shared" si="45"/>
        <v>7.24728722735367</v>
      </c>
      <c r="BA10" s="47">
        <f t="shared" si="46"/>
        <v>14.1794750100402</v>
      </c>
      <c r="BB10" s="47">
        <f t="shared" si="47"/>
        <v>11.5011297303656</v>
      </c>
      <c r="BC10" s="64">
        <f t="shared" si="13"/>
        <v>71.4722556882028</v>
      </c>
      <c r="BD10" s="69">
        <f>VLOOKUP(D10,FEB23SOH,3,false)</f>
        <v>261.0</v>
      </c>
      <c r="BE10" s="201">
        <f>VLOOKUP(D10,VALUEFEB23,4,false)</f>
        <v>6.2478</v>
      </c>
      <c r="BF10" s="215">
        <f t="shared" si="16"/>
        <v>1630.6758</v>
      </c>
      <c r="BI10" s="193">
        <f t="shared" si="17"/>
        <v>189.527744311797</v>
      </c>
      <c r="BL10" s="103"/>
      <c r="BM10" s="95">
        <f t="shared" si="19"/>
        <v>261.0</v>
      </c>
      <c r="BN10" s="65">
        <f t="shared" si="20"/>
        <v>12.2335600907029</v>
      </c>
      <c r="BO10" s="65">
        <f t="shared" si="21"/>
      </c>
      <c r="BP10" s="65">
        <f t="shared" si="22"/>
        <v>248.766439909297</v>
      </c>
      <c r="BQ10" s="194">
        <f t="shared" si="23"/>
        <v>1554.2429632653</v>
      </c>
      <c r="BR10" s="65">
        <f t="shared" si="24"/>
        <v>11.0284805633642</v>
      </c>
      <c r="BS10" s="65">
        <f t="shared" si="25"/>
      </c>
      <c r="BT10" s="65">
        <f t="shared" si="26"/>
        <v>237.737959345932</v>
      </c>
      <c r="BU10" s="194">
        <f t="shared" si="27"/>
        <v>1485.33922240151</v>
      </c>
      <c r="BV10" s="65">
        <f t="shared" si="28"/>
        <v>15.2823230663762</v>
      </c>
      <c r="BW10" s="65">
        <f t="shared" si="29"/>
      </c>
      <c r="BX10" s="65">
        <f t="shared" si="30"/>
        <v>222.455636279556</v>
      </c>
      <c r="BY10" s="194">
        <f t="shared" si="31"/>
        <v>1389.85832434741</v>
      </c>
      <c r="BZ10" s="65">
        <f t="shared" si="32"/>
        <v>7.24728722735367</v>
      </c>
      <c r="CA10" s="65"/>
      <c r="CB10" s="65">
        <f t="shared" si="33"/>
        <v>215.208349052202</v>
      </c>
      <c r="CC10" s="194">
        <f t="shared" si="34"/>
        <v>1344.57872320834</v>
      </c>
      <c r="CD10" s="65">
        <f t="shared" si="35"/>
        <v>14.1794750100402</v>
      </c>
      <c r="CE10" s="65"/>
      <c r="CF10" s="65">
        <f t="shared" si="36"/>
        <v>201.028874042161</v>
      </c>
      <c r="CG10" s="194">
        <f t="shared" si="37"/>
        <v>1255.98819924061</v>
      </c>
      <c r="CH10" s="65">
        <f t="shared" si="38"/>
        <v>11.5011297303656</v>
      </c>
      <c r="CI10" s="65"/>
      <c r="CJ10" s="65">
        <f t="shared" si="39"/>
        <v>189.527744311795</v>
      </c>
      <c r="CK10" s="194">
        <f t="shared" si="40"/>
        <v>1255.98819924061</v>
      </c>
    </row>
    <row r="11" ht="14.0">
      <c r="A11" s="93" t="s">
        <v>179</v>
      </c>
      <c r="B11" s="93" t="s">
        <v>33</v>
      </c>
      <c r="C11" s="93" t="s">
        <v>189</v>
      </c>
      <c r="D11" s="234" t="s">
        <v>190</v>
      </c>
      <c r="E11" s="93">
        <v>0.0</v>
      </c>
      <c r="F11" s="93">
        <v>0.0</v>
      </c>
      <c r="G11" s="93">
        <v>0.0</v>
      </c>
      <c r="H11" s="93">
        <v>0.0</v>
      </c>
      <c r="I11" s="93">
        <v>0.0</v>
      </c>
      <c r="J11" s="93">
        <v>0.0</v>
      </c>
      <c r="K11" s="93">
        <v>0.0</v>
      </c>
      <c r="L11" s="93">
        <v>0.0</v>
      </c>
      <c r="M11" s="93">
        <v>0.0</v>
      </c>
      <c r="N11" s="93">
        <v>0.0</v>
      </c>
      <c r="O11" s="93">
        <v>0.0</v>
      </c>
      <c r="P11" s="93">
        <v>0.0</v>
      </c>
      <c r="Q11" s="93">
        <v>0.0</v>
      </c>
      <c r="R11" s="93">
        <v>0.0</v>
      </c>
      <c r="S11" s="93">
        <v>0.0</v>
      </c>
      <c r="T11" s="93">
        <v>0.0</v>
      </c>
      <c r="U11" s="93">
        <v>0.0</v>
      </c>
      <c r="V11" s="93">
        <v>0.0</v>
      </c>
      <c r="W11" s="93">
        <v>0.0</v>
      </c>
      <c r="X11" s="93">
        <v>0.0</v>
      </c>
      <c r="Y11" s="93">
        <v>0.0</v>
      </c>
      <c r="Z11" s="93">
        <v>0.0</v>
      </c>
      <c r="AA11" s="93">
        <v>0.0</v>
      </c>
      <c r="AB11" s="93">
        <v>0.0</v>
      </c>
      <c r="AC11" s="93">
        <v>0.0</v>
      </c>
      <c r="AD11" s="93">
        <v>6.0</v>
      </c>
      <c r="AE11" s="93">
        <v>17.0</v>
      </c>
      <c r="AF11" s="93">
        <v>6.0</v>
      </c>
      <c r="AG11" s="93">
        <v>14.0</v>
      </c>
      <c r="AH11" s="114">
        <v>18.0</v>
      </c>
      <c r="AI11" s="114">
        <v>27.0</v>
      </c>
      <c r="AJ11" s="114">
        <v>8.0</v>
      </c>
      <c r="AK11" s="114">
        <v>10.0</v>
      </c>
      <c r="AL11" s="114">
        <v>12.0</v>
      </c>
      <c r="AM11" s="114">
        <v>4.0</v>
      </c>
      <c r="AN11" s="93">
        <v>6.0</v>
      </c>
      <c r="AO11" s="93">
        <v>28.0</v>
      </c>
      <c r="AP11" s="93">
        <v>0.0</v>
      </c>
      <c r="AQ11" s="233">
        <v>6.0</v>
      </c>
      <c r="AR11" s="233">
        <v>6.0</v>
      </c>
      <c r="AS11" s="233">
        <v>1.0</v>
      </c>
      <c r="AT11" s="69">
        <f t="shared" si="4"/>
        <v>126.0</v>
      </c>
      <c r="AU11" s="69">
        <f t="shared" si="48"/>
        <v>79.0</v>
      </c>
      <c r="AV11" s="69">
        <f t="shared" si="6"/>
        <v>86.9</v>
      </c>
      <c r="AW11" s="47">
        <f t="shared" ref="AW11:AW13" si="50">AV11*$AW$4/$AV$3+1*$AW$14</f>
        <v>12.2335600907029</v>
      </c>
      <c r="AX11" s="47">
        <f t="shared" si="43"/>
        <v>10.5275861089814</v>
      </c>
      <c r="AY11" s="47">
        <f t="shared" si="44"/>
        <v>14.5882264653033</v>
      </c>
      <c r="AZ11" s="47">
        <f t="shared" si="45"/>
        <v>6.91812801447352</v>
      </c>
      <c r="BA11" s="47">
        <f t="shared" si="46"/>
        <v>13.5354678544046</v>
      </c>
      <c r="BB11" s="47">
        <f t="shared" si="47"/>
        <v>10.9787683707943</v>
      </c>
      <c r="BC11" s="64">
        <f t="shared" si="13"/>
        <v>68.78173690466</v>
      </c>
      <c r="BD11" s="69">
        <f>VLOOKUP(D11,FEB23SOH,3,false)</f>
        <v>311.0</v>
      </c>
      <c r="BE11" s="201">
        <f>VLOOKUP(D11,VALUEFEB23,4,false)</f>
        <v>6.2474</v>
      </c>
      <c r="BF11" s="215">
        <f t="shared" si="16"/>
        <v>1942.9414</v>
      </c>
      <c r="BI11" s="193">
        <f t="shared" si="17"/>
        <v>242.21826309534</v>
      </c>
      <c r="BK11" s="99"/>
      <c r="BL11" s="103"/>
      <c r="BM11" s="95">
        <f t="shared" si="19"/>
        <v>311.0</v>
      </c>
      <c r="BN11" s="65">
        <f t="shared" si="20"/>
        <v>12.2335600907029</v>
      </c>
      <c r="BO11" s="65">
        <f t="shared" si="21"/>
      </c>
      <c r="BP11" s="65">
        <f t="shared" si="22"/>
        <v>298.766439909297</v>
      </c>
      <c r="BQ11" s="194">
        <f t="shared" si="23"/>
        <v>1866.51345668934</v>
      </c>
      <c r="BR11" s="65">
        <f t="shared" si="24"/>
        <v>10.5275861089814</v>
      </c>
      <c r="BS11" s="65">
        <f t="shared" si="25"/>
      </c>
      <c r="BT11" s="65">
        <f t="shared" si="26"/>
        <v>288.238853800316</v>
      </c>
      <c r="BU11" s="194">
        <f t="shared" si="27"/>
        <v>1800.74341523209</v>
      </c>
      <c r="BV11" s="65">
        <f t="shared" si="28"/>
        <v>14.5882264653033</v>
      </c>
      <c r="BW11" s="65">
        <f t="shared" si="29"/>
      </c>
      <c r="BX11" s="65">
        <f t="shared" si="30"/>
        <v>273.650627335012</v>
      </c>
      <c r="BY11" s="194">
        <f t="shared" si="31"/>
        <v>1709.60492921275</v>
      </c>
      <c r="BZ11" s="65">
        <f t="shared" si="32"/>
        <v>6.91812801447352</v>
      </c>
      <c r="CA11" s="65"/>
      <c r="CB11" s="65">
        <f t="shared" si="33"/>
        <v>266.73249932053</v>
      </c>
      <c r="CC11" s="194">
        <f t="shared" si="34"/>
        <v>1666.38461625508</v>
      </c>
      <c r="CD11" s="65">
        <f t="shared" si="35"/>
        <v>13.5354678544046</v>
      </c>
      <c r="CE11" s="65"/>
      <c r="CF11" s="65">
        <f t="shared" si="36"/>
        <v>253.197031466125</v>
      </c>
      <c r="CG11" s="194">
        <f t="shared" si="37"/>
        <v>1581.82313438147</v>
      </c>
      <c r="CH11" s="65">
        <f t="shared" si="38"/>
        <v>10.9787683707943</v>
      </c>
      <c r="CI11" s="65"/>
      <c r="CJ11" s="65">
        <f t="shared" si="39"/>
        <v>242.21826309533</v>
      </c>
      <c r="CK11" s="194">
        <f t="shared" si="40"/>
        <v>1581.82313438147</v>
      </c>
    </row>
    <row r="12" ht="14.0">
      <c r="A12" s="93" t="s">
        <v>179</v>
      </c>
      <c r="B12" s="93" t="s">
        <v>33</v>
      </c>
      <c r="C12" s="93" t="s">
        <v>191</v>
      </c>
      <c r="D12" s="234" t="s">
        <v>192</v>
      </c>
      <c r="E12" s="93">
        <v>0.0</v>
      </c>
      <c r="F12" s="93">
        <v>0.0</v>
      </c>
      <c r="G12" s="93">
        <v>0.0</v>
      </c>
      <c r="H12" s="93">
        <v>0.0</v>
      </c>
      <c r="I12" s="93">
        <v>0.0</v>
      </c>
      <c r="J12" s="93">
        <v>0.0</v>
      </c>
      <c r="K12" s="93">
        <v>0.0</v>
      </c>
      <c r="L12" s="93">
        <v>0.0</v>
      </c>
      <c r="M12" s="93">
        <v>0.0</v>
      </c>
      <c r="N12" s="93">
        <v>0.0</v>
      </c>
      <c r="O12" s="93">
        <v>0.0</v>
      </c>
      <c r="P12" s="93">
        <v>0.0</v>
      </c>
      <c r="Q12" s="93">
        <v>0.0</v>
      </c>
      <c r="R12" s="93">
        <v>0.0</v>
      </c>
      <c r="S12" s="93">
        <v>0.0</v>
      </c>
      <c r="T12" s="93">
        <v>0.0</v>
      </c>
      <c r="U12" s="93">
        <v>0.0</v>
      </c>
      <c r="V12" s="93">
        <v>0.0</v>
      </c>
      <c r="W12" s="93">
        <v>0.0</v>
      </c>
      <c r="X12" s="93">
        <v>0.0</v>
      </c>
      <c r="Y12" s="93">
        <v>0.0</v>
      </c>
      <c r="Z12" s="93">
        <v>0.0</v>
      </c>
      <c r="AA12" s="93">
        <v>0.0</v>
      </c>
      <c r="AB12" s="93">
        <v>0.0</v>
      </c>
      <c r="AC12" s="93">
        <v>0.0</v>
      </c>
      <c r="AD12" s="93">
        <v>8.0</v>
      </c>
      <c r="AE12" s="93">
        <v>7.0</v>
      </c>
      <c r="AF12" s="93">
        <v>8.0</v>
      </c>
      <c r="AG12" s="93">
        <v>8.0</v>
      </c>
      <c r="AH12" s="114">
        <v>14.0</v>
      </c>
      <c r="AI12" s="114">
        <v>12.0</v>
      </c>
      <c r="AJ12" s="114">
        <v>2.0</v>
      </c>
      <c r="AK12" s="114">
        <v>2.0</v>
      </c>
      <c r="AL12" s="114">
        <v>4.0</v>
      </c>
      <c r="AM12" s="114">
        <v>2.0</v>
      </c>
      <c r="AN12" s="93">
        <v>5.0</v>
      </c>
      <c r="AO12" s="93">
        <v>16.0</v>
      </c>
      <c r="AP12" s="93">
        <v>2.0</v>
      </c>
      <c r="AQ12" s="233">
        <v>4.0</v>
      </c>
      <c r="AR12" s="233">
        <v>2.0</v>
      </c>
      <c r="AS12" s="233">
        <v>5.0</v>
      </c>
      <c r="AT12" s="69">
        <f t="shared" si="4"/>
        <v>70.0</v>
      </c>
      <c r="AU12" s="69">
        <f t="shared" si="48"/>
        <v>36.0</v>
      </c>
      <c r="AV12" s="69">
        <f t="shared" si="6"/>
        <v>39.6</v>
      </c>
      <c r="AW12" s="47">
        <f t="shared" si="50"/>
        <v>5.89569160997732</v>
      </c>
      <c r="AX12" s="47">
        <f t="shared" si="43"/>
        <v>5.142970724366</v>
      </c>
      <c r="AY12" s="47">
        <f t="shared" si="44"/>
        <v>7.1266880037644</v>
      </c>
      <c r="AZ12" s="47">
        <f t="shared" si="45"/>
        <v>3.37966647601199</v>
      </c>
      <c r="BA12" s="47">
        <f t="shared" si="46"/>
        <v>6.6123909313278</v>
      </c>
      <c r="BB12" s="47">
        <f t="shared" si="47"/>
        <v>5.36338375541033</v>
      </c>
      <c r="BC12" s="64">
        <f t="shared" si="13"/>
        <v>33.5207915008579</v>
      </c>
      <c r="BD12" s="69">
        <f>VLOOKUP(D12,FEB23SOH,3,false)</f>
        <v>377.0</v>
      </c>
      <c r="BE12" s="201">
        <f>VLOOKUP(D12,VALUEFEB23,4,false)</f>
        <v>6.2472</v>
      </c>
      <c r="BF12" s="215">
        <f t="shared" si="16"/>
        <v>2355.1944</v>
      </c>
      <c r="BI12" s="193">
        <f t="shared" si="17"/>
        <v>343.479208499142</v>
      </c>
      <c r="BK12" s="99"/>
      <c r="BL12" s="103"/>
      <c r="BM12" s="95">
        <f t="shared" si="19"/>
        <v>377.0</v>
      </c>
      <c r="BN12" s="65">
        <f t="shared" si="20"/>
        <v>5.89569160997732</v>
      </c>
      <c r="BO12" s="65">
        <f t="shared" si="21"/>
      </c>
      <c r="BP12" s="65">
        <f t="shared" si="22"/>
        <v>371.104308390022</v>
      </c>
      <c r="BQ12" s="194">
        <f t="shared" si="23"/>
        <v>2318.36283537414</v>
      </c>
      <c r="BR12" s="65">
        <f t="shared" si="24"/>
        <v>5.142970724366</v>
      </c>
      <c r="BS12" s="65">
        <f t="shared" si="25"/>
      </c>
      <c r="BT12" s="65">
        <f t="shared" si="26"/>
        <v>365.961337665656</v>
      </c>
      <c r="BU12" s="194">
        <f t="shared" si="27"/>
        <v>2286.23366866489</v>
      </c>
      <c r="BV12" s="65">
        <f t="shared" si="28"/>
        <v>7.1266880037644</v>
      </c>
      <c r="BW12" s="65">
        <f t="shared" si="29"/>
      </c>
      <c r="BX12" s="65">
        <f t="shared" si="30"/>
        <v>358.834649661891</v>
      </c>
      <c r="BY12" s="194">
        <f t="shared" si="31"/>
        <v>2241.71182336777</v>
      </c>
      <c r="BZ12" s="65">
        <f t="shared" si="32"/>
        <v>3.37966647601199</v>
      </c>
      <c r="CA12" s="65"/>
      <c r="CB12" s="65">
        <f t="shared" si="33"/>
        <v>355.454983185879</v>
      </c>
      <c r="CC12" s="194">
        <f t="shared" si="34"/>
        <v>2220.59837095882</v>
      </c>
      <c r="CD12" s="65">
        <f t="shared" si="35"/>
        <v>6.6123909313278</v>
      </c>
      <c r="CE12" s="65"/>
      <c r="CF12" s="65">
        <f t="shared" si="36"/>
        <v>348.842592254551</v>
      </c>
      <c r="CG12" s="194">
        <f t="shared" si="37"/>
        <v>2179.28944233263</v>
      </c>
      <c r="CH12" s="65">
        <f t="shared" si="38"/>
        <v>5.36338375541033</v>
      </c>
      <c r="CI12" s="65"/>
      <c r="CJ12" s="65">
        <f t="shared" si="39"/>
        <v>343.47920849914</v>
      </c>
      <c r="CK12" s="194">
        <f t="shared" si="40"/>
        <v>2179.28944233263</v>
      </c>
    </row>
    <row r="13" ht="14.0">
      <c r="A13" s="93" t="s">
        <v>179</v>
      </c>
      <c r="B13" s="93" t="s">
        <v>33</v>
      </c>
      <c r="C13" s="93" t="s">
        <v>193</v>
      </c>
      <c r="D13" s="234" t="s">
        <v>194</v>
      </c>
      <c r="E13" s="93">
        <v>0.0</v>
      </c>
      <c r="F13" s="93">
        <v>0.0</v>
      </c>
      <c r="G13" s="93">
        <v>0.0</v>
      </c>
      <c r="H13" s="93">
        <v>0.0</v>
      </c>
      <c r="I13" s="93">
        <v>0.0</v>
      </c>
      <c r="J13" s="93">
        <v>0.0</v>
      </c>
      <c r="K13" s="93">
        <v>0.0</v>
      </c>
      <c r="L13" s="93">
        <v>0.0</v>
      </c>
      <c r="M13" s="93">
        <v>0.0</v>
      </c>
      <c r="N13" s="93">
        <v>0.0</v>
      </c>
      <c r="O13" s="93">
        <v>0.0</v>
      </c>
      <c r="P13" s="93">
        <v>0.0</v>
      </c>
      <c r="Q13" s="93">
        <v>0.0</v>
      </c>
      <c r="R13" s="93">
        <v>0.0</v>
      </c>
      <c r="S13" s="93">
        <v>0.0</v>
      </c>
      <c r="T13" s="93">
        <v>0.0</v>
      </c>
      <c r="U13" s="93">
        <v>0.0</v>
      </c>
      <c r="V13" s="93">
        <v>0.0</v>
      </c>
      <c r="W13" s="93">
        <v>0.0</v>
      </c>
      <c r="X13" s="93">
        <v>0.0</v>
      </c>
      <c r="Y13" s="93">
        <v>0.0</v>
      </c>
      <c r="Z13" s="93">
        <v>0.0</v>
      </c>
      <c r="AA13" s="93">
        <v>0.0</v>
      </c>
      <c r="AB13" s="93">
        <v>0.0</v>
      </c>
      <c r="AC13" s="93">
        <v>0.0</v>
      </c>
      <c r="AD13" s="93">
        <v>8.0</v>
      </c>
      <c r="AE13" s="93">
        <v>4.0</v>
      </c>
      <c r="AF13" s="93">
        <v>2.0</v>
      </c>
      <c r="AG13" s="93">
        <v>28.0</v>
      </c>
      <c r="AH13" s="114">
        <v>10.0</v>
      </c>
      <c r="AI13" s="114">
        <v>10.0</v>
      </c>
      <c r="AJ13" s="114">
        <v>2.0</v>
      </c>
      <c r="AK13" s="114">
        <v>4.0</v>
      </c>
      <c r="AL13" s="114">
        <v>8.0</v>
      </c>
      <c r="AM13" s="114">
        <v>4.0</v>
      </c>
      <c r="AN13" s="93">
        <v>4.0</v>
      </c>
      <c r="AO13" s="93">
        <v>22.0</v>
      </c>
      <c r="AP13" s="93">
        <v>10.0</v>
      </c>
      <c r="AQ13" s="233">
        <v>2.0</v>
      </c>
      <c r="AR13" s="233">
        <v>2.0</v>
      </c>
      <c r="AS13" s="233">
        <v>0.0</v>
      </c>
      <c r="AT13" s="69">
        <f t="shared" si="4"/>
        <v>78.0</v>
      </c>
      <c r="AU13" s="69">
        <f t="shared" si="48"/>
        <v>38.0</v>
      </c>
      <c r="AV13" s="69">
        <f t="shared" si="6"/>
        <v>41.8</v>
      </c>
      <c r="AW13" s="47">
        <f t="shared" si="50"/>
        <v>6.19047619047619</v>
      </c>
      <c r="AX13" s="47">
        <f t="shared" si="43"/>
        <v>5.39341795155749</v>
      </c>
      <c r="AY13" s="47">
        <f t="shared" si="44"/>
        <v>7.47373630430109</v>
      </c>
      <c r="AZ13" s="47">
        <f t="shared" si="45"/>
        <v>3.54424608245206</v>
      </c>
      <c r="BA13" s="47">
        <f t="shared" si="46"/>
        <v>6.93439450914533</v>
      </c>
      <c r="BB13" s="47">
        <f t="shared" si="47"/>
        <v>5.62456443519567</v>
      </c>
      <c r="BC13" s="64">
        <f t="shared" si="13"/>
        <v>35.1608354731278</v>
      </c>
      <c r="BD13" s="69">
        <f>VLOOKUP(D13,FEB23SOH,3,false)</f>
        <v>357.0</v>
      </c>
      <c r="BE13" s="201">
        <f>VLOOKUP(D13,VALUEFEB23,4,false)</f>
        <v>6.2472</v>
      </c>
      <c r="BF13" s="215">
        <f t="shared" si="16"/>
        <v>2230.2504</v>
      </c>
      <c r="BI13" s="193">
        <f t="shared" si="17"/>
        <v>321.839164526872</v>
      </c>
      <c r="BK13" s="99"/>
      <c r="BL13" s="103"/>
      <c r="BM13" s="95">
        <f t="shared" si="19"/>
        <v>357.0</v>
      </c>
      <c r="BN13" s="65">
        <f t="shared" si="20"/>
        <v>6.19047619047619</v>
      </c>
      <c r="BO13" s="65">
        <f t="shared" si="21"/>
      </c>
      <c r="BP13" s="65">
        <f t="shared" si="22"/>
        <v>350.809523809523</v>
      </c>
      <c r="BQ13" s="194">
        <f t="shared" si="23"/>
        <v>2191.57725714285</v>
      </c>
      <c r="BR13" s="65">
        <f t="shared" si="24"/>
        <v>5.39341795155749</v>
      </c>
      <c r="BS13" s="65">
        <f t="shared" si="25"/>
      </c>
      <c r="BT13" s="65">
        <f t="shared" si="26"/>
        <v>345.41610585797</v>
      </c>
      <c r="BU13" s="194">
        <f t="shared" si="27"/>
        <v>2157.88349651591</v>
      </c>
      <c r="BV13" s="65">
        <f t="shared" si="28"/>
        <v>7.47373630430109</v>
      </c>
      <c r="BW13" s="65">
        <f t="shared" si="29"/>
      </c>
      <c r="BX13" s="65">
        <f t="shared" si="30"/>
        <v>337.94236955367</v>
      </c>
      <c r="BY13" s="194">
        <f t="shared" si="31"/>
        <v>2111.19357107569</v>
      </c>
      <c r="BZ13" s="65">
        <f t="shared" si="32"/>
        <v>3.54424608245206</v>
      </c>
      <c r="CA13" s="65"/>
      <c r="CB13" s="65">
        <f t="shared" si="33"/>
        <v>334.398123471218</v>
      </c>
      <c r="CC13" s="194">
        <f t="shared" si="34"/>
        <v>2089.05195694939</v>
      </c>
      <c r="CD13" s="65">
        <f t="shared" si="35"/>
        <v>6.93439450914533</v>
      </c>
      <c r="CE13" s="65"/>
      <c r="CF13" s="65">
        <f t="shared" si="36"/>
        <v>327.463728962072</v>
      </c>
      <c r="CG13" s="194">
        <f t="shared" si="37"/>
        <v>2045.73140757186</v>
      </c>
      <c r="CH13" s="65">
        <f t="shared" si="38"/>
        <v>5.62456443519567</v>
      </c>
      <c r="CI13" s="65"/>
      <c r="CJ13" s="65">
        <f t="shared" si="39"/>
        <v>321.839164526876</v>
      </c>
      <c r="CK13" s="194">
        <f t="shared" si="40"/>
        <v>2045.73140757186</v>
      </c>
    </row>
    <row r="14" ht="14.0">
      <c r="A14" s="93" t="s">
        <v>179</v>
      </c>
      <c r="B14" s="93" t="s">
        <v>33</v>
      </c>
      <c r="C14" s="93" t="s">
        <v>195</v>
      </c>
      <c r="D14" s="229" t="s">
        <v>196</v>
      </c>
      <c r="E14" s="93">
        <v>0.0</v>
      </c>
      <c r="F14" s="93">
        <v>0.0</v>
      </c>
      <c r="G14" s="93">
        <v>0.0</v>
      </c>
      <c r="H14" s="93">
        <v>0.0</v>
      </c>
      <c r="I14" s="93">
        <v>6.0</v>
      </c>
      <c r="J14" s="93">
        <v>17.0</v>
      </c>
      <c r="K14" s="93">
        <v>7.0</v>
      </c>
      <c r="L14" s="93">
        <v>3.0</v>
      </c>
      <c r="M14" s="93">
        <v>3.0</v>
      </c>
      <c r="N14" s="93">
        <v>2.0</v>
      </c>
      <c r="O14" s="93">
        <v>2.0</v>
      </c>
      <c r="P14" s="93">
        <v>2.0</v>
      </c>
      <c r="Q14" s="93">
        <v>5.0</v>
      </c>
      <c r="R14" s="93">
        <v>0.0</v>
      </c>
      <c r="S14" s="93">
        <v>0.0</v>
      </c>
      <c r="T14" s="93">
        <v>0.0</v>
      </c>
      <c r="U14" s="93">
        <v>1.0</v>
      </c>
      <c r="V14" s="93">
        <v>0.0</v>
      </c>
      <c r="W14" s="93">
        <v>2.0</v>
      </c>
      <c r="X14" s="93">
        <v>1.0</v>
      </c>
      <c r="Y14" s="93">
        <v>0.0</v>
      </c>
      <c r="Z14" s="93">
        <v>0.0</v>
      </c>
      <c r="AA14" s="93">
        <v>0.0</v>
      </c>
      <c r="AB14" s="93">
        <v>0.0</v>
      </c>
      <c r="AC14" s="93">
        <v>0.0</v>
      </c>
      <c r="AD14" s="93">
        <v>0.0</v>
      </c>
      <c r="AE14" s="93">
        <v>1.0</v>
      </c>
      <c r="AF14" s="93">
        <v>0.0</v>
      </c>
      <c r="AG14" s="93">
        <v>6.0</v>
      </c>
      <c r="AH14" s="114">
        <v>2.0</v>
      </c>
      <c r="AI14" s="114">
        <v>0.0</v>
      </c>
      <c r="AJ14" s="114">
        <v>0.0</v>
      </c>
      <c r="AK14" s="114">
        <v>0.0</v>
      </c>
      <c r="AL14" s="114">
        <v>1.0</v>
      </c>
      <c r="AM14" s="114">
        <v>1.0</v>
      </c>
      <c r="AN14" s="93">
        <v>1.0</v>
      </c>
      <c r="AO14" s="93">
        <v>1.0</v>
      </c>
      <c r="AP14" s="93">
        <v>2.0</v>
      </c>
      <c r="AQ14" s="233">
        <v>1.0</v>
      </c>
      <c r="AR14" s="233">
        <v>0.0</v>
      </c>
      <c r="AS14" s="233">
        <v>1.0</v>
      </c>
      <c r="AT14" s="69">
        <f t="shared" si="4"/>
        <v>10.0</v>
      </c>
      <c r="AU14" s="69">
        <f t="shared" si="48"/>
        <v>4.0</v>
      </c>
      <c r="AV14" s="69">
        <f t="shared" si="6"/>
        <v>4.4</v>
      </c>
      <c r="AW14" s="235">
        <f>AV14*$AW$4/$AV$3</f>
        <v>0.589569160997732</v>
      </c>
      <c r="AX14" s="235">
        <f>AV14*$AX$4/$AV$3</f>
        <v>0.634920634920635</v>
      </c>
      <c r="AY14" s="235">
        <f>AV14*$AY$4/$AV$3</f>
        <v>0.879818594104309</v>
      </c>
      <c r="AZ14" s="235">
        <f>AV14*$AZ$4/$AV$3</f>
        <v>0.417233560090702</v>
      </c>
      <c r="BA14" s="235">
        <f>AV14*$BA$4/$AV$3</f>
        <v>0.816326530612245</v>
      </c>
      <c r="BB14" s="235">
        <f>AV14*$BB$4/$AV$3</f>
        <v>0.662131519274376</v>
      </c>
      <c r="BC14" s="64">
        <f t="shared" si="13"/>
        <v>4.0</v>
      </c>
      <c r="BD14" s="69">
        <f>VLOOKUP(D14,FEB23SOH,3,false)</f>
        <v>1.0</v>
      </c>
      <c r="BE14" s="201">
        <f>VLOOKUP(D14,VALUEFEB23,4,false)</f>
        <v>30.895</v>
      </c>
      <c r="BF14" s="215">
        <f t="shared" si="16"/>
        <v>30.895</v>
      </c>
      <c r="BO14" s="65">
        <f t="shared" si="21"/>
      </c>
      <c r="BP14" s="64"/>
      <c r="BQ14" s="64"/>
      <c r="BR14" s="64"/>
      <c r="BS14" s="65">
        <f t="shared" si="25"/>
      </c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</row>
    <row r="15" ht="14.0" customFormat="1" s="47">
      <c r="A15" s="93" t="s">
        <v>179</v>
      </c>
      <c r="B15" s="93" t="s">
        <v>197</v>
      </c>
      <c r="C15" s="93" t="s">
        <v>198</v>
      </c>
      <c r="D15" s="234" t="s">
        <v>199</v>
      </c>
      <c r="E15" s="93">
        <v>0.0</v>
      </c>
      <c r="F15" s="93">
        <v>0.0</v>
      </c>
      <c r="G15" s="93">
        <v>0.0</v>
      </c>
      <c r="H15" s="93">
        <v>0.0</v>
      </c>
      <c r="I15" s="93">
        <v>0.0</v>
      </c>
      <c r="J15" s="93">
        <v>0.0</v>
      </c>
      <c r="K15" s="93">
        <v>0.0</v>
      </c>
      <c r="L15" s="93">
        <v>0.0</v>
      </c>
      <c r="M15" s="93">
        <v>0.0</v>
      </c>
      <c r="N15" s="93">
        <v>0.0</v>
      </c>
      <c r="O15" s="93">
        <v>0.0</v>
      </c>
      <c r="P15" s="93">
        <v>0.0</v>
      </c>
      <c r="Q15" s="93">
        <v>0.0</v>
      </c>
      <c r="R15" s="93">
        <v>0.0</v>
      </c>
      <c r="S15" s="93">
        <v>0.0</v>
      </c>
      <c r="T15" s="93">
        <v>0.0</v>
      </c>
      <c r="U15" s="93">
        <v>0.0</v>
      </c>
      <c r="V15" s="93">
        <v>0.0</v>
      </c>
      <c r="W15" s="93">
        <v>0.0</v>
      </c>
      <c r="X15" s="93">
        <v>0.0</v>
      </c>
      <c r="Y15" s="93">
        <v>0.0</v>
      </c>
      <c r="Z15" s="93">
        <v>0.0</v>
      </c>
      <c r="AA15" s="93">
        <v>0.0</v>
      </c>
      <c r="AB15" s="93">
        <v>0.0</v>
      </c>
      <c r="AC15" s="93">
        <v>0.0</v>
      </c>
      <c r="AD15" s="93">
        <v>0.0</v>
      </c>
      <c r="AE15" s="93">
        <v>0.0</v>
      </c>
      <c r="AF15" s="93">
        <v>0.0</v>
      </c>
      <c r="AG15" s="93">
        <v>0.0</v>
      </c>
      <c r="AH15" s="93">
        <v>0.0</v>
      </c>
      <c r="AI15" s="93">
        <v>0.0</v>
      </c>
      <c r="AJ15" s="93">
        <v>78.0</v>
      </c>
      <c r="AK15" s="93">
        <v>84.0</v>
      </c>
      <c r="AL15" s="93">
        <v>51.0</v>
      </c>
      <c r="AM15" s="93">
        <v>45.0</v>
      </c>
      <c r="AN15" s="230">
        <v>127.0</v>
      </c>
      <c r="AO15" s="230">
        <v>93.0</v>
      </c>
      <c r="AP15" s="230">
        <v>24.0</v>
      </c>
      <c r="AQ15" s="231">
        <v>0.0</v>
      </c>
      <c r="AR15" s="231">
        <v>0.0</v>
      </c>
      <c r="AS15" s="231">
        <v>0.0</v>
      </c>
      <c r="AT15" s="69">
        <f t="shared" si="4"/>
        <v>502.0</v>
      </c>
      <c r="AU15" s="69">
        <f t="shared" ref="AU15:AU19" si="57">SUM(AN15:AS15)</f>
        <v>244.0</v>
      </c>
      <c r="AV15" s="69">
        <f t="shared" si="6"/>
        <v>268.4</v>
      </c>
      <c r="AW15" s="47">
        <f t="shared" ref="AW15:AW19" si="58">AV15*$AW$4/$AV$4</f>
        <v>28.3720930232558</v>
      </c>
      <c r="AX15" s="47">
        <f t="shared" ref="AX15:AX19" si="59">AV15*$AX$4/$AV$4</f>
        <v>30.5545617173524</v>
      </c>
      <c r="AY15" s="47">
        <f t="shared" ref="AY15:AY19" si="60">AV15*$AY$4/$AV$4</f>
        <v>42.339892665474</v>
      </c>
      <c r="AZ15" s="47">
        <f t="shared" ref="AZ15:AZ19" si="61">AV15*$AZ$4/$AV$4</f>
        <v>20.0787119856887</v>
      </c>
      <c r="BA15" s="47">
        <f t="shared" ref="BA15:BA19" si="62">AV15*$BA$4/$AV$4</f>
        <v>39.2844364937388</v>
      </c>
      <c r="BB15" s="47">
        <f t="shared" ref="BB15:BB19" si="63">AV15*$BB$4/$AV$4</f>
        <v>31.8640429338103</v>
      </c>
      <c r="BC15" s="64">
        <f t="shared" si="13"/>
        <v>192.49373881932</v>
      </c>
      <c r="BD15" s="69">
        <f>VLOOKUP(D15,FEB23SOH,3,false)</f>
        <v>-3.0</v>
      </c>
      <c r="BE15" s="201">
        <f>VLOOKUP(D15,VALUEFEB23,4,false)</f>
      </c>
      <c r="BF15" s="215">
        <f t="shared" si="16"/>
        <v>0.0</v>
      </c>
      <c r="BG15" s="64"/>
      <c r="BH15" s="64"/>
      <c r="BI15" s="193">
        <f t="shared" ref="BI15:BI31" si="64">BD15+BG15+BH15-BC15</f>
        <v>-195.49373881932</v>
      </c>
      <c r="BJ15" s="217"/>
      <c r="BK15" s="236"/>
      <c r="BL15" s="103" t="s">
        <v>73</v>
      </c>
      <c r="BM15" s="95">
        <f t="shared" ref="BM15:BM31" si="65">BD15</f>
        <v>-3.0</v>
      </c>
      <c r="BN15" s="65">
        <f t="shared" ref="BN15:BN31" si="66">AW15</f>
        <v>28.3720930232558</v>
      </c>
      <c r="BO15" s="65">
        <f t="shared" si="21"/>
      </c>
      <c r="BP15" s="65">
        <f t="shared" ref="BP15:BP31" si="67">BM15+BO15-BN15</f>
        <v>-31.3720930232558</v>
      </c>
      <c r="BQ15" s="194">
        <f t="shared" ref="BQ15:BQ123" si="68">BP15*BE15</f>
        <v>0.0</v>
      </c>
      <c r="BR15" s="65">
        <f t="shared" ref="BR15:BR31" si="69">AX15</f>
        <v>30.5545617173524</v>
      </c>
      <c r="BS15" s="65">
        <f t="shared" si="25"/>
      </c>
      <c r="BT15" s="65">
        <f t="shared" ref="BT15:BT31" si="70">BP15+BS15-BR15</f>
        <v>-61.9266547406082</v>
      </c>
      <c r="BU15" s="194">
        <f t="shared" ref="BU15:BU123" si="71">BT15*BE15</f>
        <v>0.0</v>
      </c>
      <c r="BV15" s="65">
        <f t="shared" ref="BV15:BV31" si="72">AY15</f>
        <v>42.339892665474</v>
      </c>
      <c r="BW15" s="65">
        <f t="shared" ref="BW15:BW123" si="73">BH15</f>
      </c>
      <c r="BX15" s="65">
        <f t="shared" ref="BX15:BX31" si="74">BT15+BW15-BV15</f>
        <v>-104.266547406082</v>
      </c>
      <c r="BY15" s="194">
        <f t="shared" ref="BY15:BY123" si="75">BX15*BE15</f>
        <v>0.0</v>
      </c>
      <c r="BZ15" s="65">
        <f t="shared" ref="BZ15:BZ31" si="76">AZ15</f>
        <v>20.0787119856887</v>
      </c>
      <c r="CA15" s="65"/>
      <c r="CB15" s="65">
        <f t="shared" ref="CB15:CB31" si="77">BX15+CA15-BZ15</f>
        <v>-124.34525939177</v>
      </c>
      <c r="CC15" s="194">
        <f t="shared" ref="CC15:CC123" si="78">CB15*BE15</f>
        <v>0.0</v>
      </c>
      <c r="CD15" s="65">
        <f t="shared" ref="CD15:CD31" si="79">BA15</f>
        <v>39.2844364937388</v>
      </c>
      <c r="CE15" s="65"/>
      <c r="CF15" s="65">
        <f t="shared" ref="CF15:CF31" si="80">CB15+CE15-CD15</f>
        <v>-163.629695885507</v>
      </c>
      <c r="CG15" s="194">
        <f t="shared" ref="CG15:CG123" si="81">CF15*BE15</f>
        <v>0.0</v>
      </c>
      <c r="CH15" s="65">
        <f t="shared" ref="CH15:CH31" si="82">BB15</f>
        <v>31.8640429338103</v>
      </c>
      <c r="CI15" s="65"/>
      <c r="CJ15" s="65">
        <f t="shared" ref="CJ15:CJ31" si="83">CF15+CI15-CH15</f>
        <v>-195.493738819317</v>
      </c>
      <c r="CK15" s="194">
        <f t="shared" ref="CK15:CK123" si="84">CF15*BE15</f>
        <v>0.0</v>
      </c>
    </row>
    <row r="16" ht="14.0" customFormat="1" s="47">
      <c r="A16" s="93" t="s">
        <v>179</v>
      </c>
      <c r="B16" s="93" t="s">
        <v>197</v>
      </c>
      <c r="C16" s="93" t="s">
        <v>200</v>
      </c>
      <c r="D16" s="234" t="s">
        <v>201</v>
      </c>
      <c r="E16" s="93">
        <v>0.0</v>
      </c>
      <c r="F16" s="93">
        <v>0.0</v>
      </c>
      <c r="G16" s="93">
        <v>0.0</v>
      </c>
      <c r="H16" s="93">
        <v>0.0</v>
      </c>
      <c r="I16" s="93">
        <v>0.0</v>
      </c>
      <c r="J16" s="93">
        <v>0.0</v>
      </c>
      <c r="K16" s="93">
        <v>0.0</v>
      </c>
      <c r="L16" s="93">
        <v>0.0</v>
      </c>
      <c r="M16" s="93">
        <v>0.0</v>
      </c>
      <c r="N16" s="93">
        <v>0.0</v>
      </c>
      <c r="O16" s="93">
        <v>0.0</v>
      </c>
      <c r="P16" s="93">
        <v>0.0</v>
      </c>
      <c r="Q16" s="93">
        <v>0.0</v>
      </c>
      <c r="R16" s="93">
        <v>0.0</v>
      </c>
      <c r="S16" s="93">
        <v>0.0</v>
      </c>
      <c r="T16" s="93">
        <v>0.0</v>
      </c>
      <c r="U16" s="93">
        <v>0.0</v>
      </c>
      <c r="V16" s="93">
        <v>0.0</v>
      </c>
      <c r="W16" s="93">
        <v>0.0</v>
      </c>
      <c r="X16" s="93">
        <v>0.0</v>
      </c>
      <c r="Y16" s="93">
        <v>0.0</v>
      </c>
      <c r="Z16" s="93">
        <v>0.0</v>
      </c>
      <c r="AA16" s="93">
        <v>0.0</v>
      </c>
      <c r="AB16" s="93">
        <v>0.0</v>
      </c>
      <c r="AC16" s="93">
        <v>0.0</v>
      </c>
      <c r="AD16" s="93">
        <v>0.0</v>
      </c>
      <c r="AE16" s="93">
        <v>0.0</v>
      </c>
      <c r="AF16" s="93">
        <v>0.0</v>
      </c>
      <c r="AG16" s="93">
        <v>0.0</v>
      </c>
      <c r="AH16" s="93">
        <v>0.0</v>
      </c>
      <c r="AI16" s="93">
        <v>0.0</v>
      </c>
      <c r="AJ16" s="93">
        <v>55.0</v>
      </c>
      <c r="AK16" s="93">
        <v>69.0</v>
      </c>
      <c r="AL16" s="93">
        <v>39.0</v>
      </c>
      <c r="AM16" s="93">
        <v>36.0</v>
      </c>
      <c r="AN16" s="230">
        <v>96.0</v>
      </c>
      <c r="AO16" s="230">
        <v>63.0</v>
      </c>
      <c r="AP16" s="230">
        <v>27.0</v>
      </c>
      <c r="AQ16" s="231">
        <v>18.0</v>
      </c>
      <c r="AR16" s="231">
        <v>12.0</v>
      </c>
      <c r="AS16" s="231">
        <v>91.0</v>
      </c>
      <c r="AT16" s="69">
        <f t="shared" si="4"/>
        <v>506.0</v>
      </c>
      <c r="AU16" s="69">
        <f t="shared" si="57"/>
        <v>307.0</v>
      </c>
      <c r="AV16" s="69">
        <f t="shared" si="6"/>
        <v>337.7</v>
      </c>
      <c r="AW16" s="47">
        <f t="shared" si="58"/>
        <v>35.6976744186047</v>
      </c>
      <c r="AX16" s="47">
        <f t="shared" si="59"/>
        <v>38.4436493738819</v>
      </c>
      <c r="AY16" s="47">
        <f t="shared" si="60"/>
        <v>53.2719141323792</v>
      </c>
      <c r="AZ16" s="47">
        <f t="shared" si="61"/>
        <v>25.26296958855</v>
      </c>
      <c r="BA16" s="47">
        <f t="shared" si="62"/>
        <v>49.427549194991</v>
      </c>
      <c r="BB16" s="47">
        <f t="shared" si="63"/>
        <v>40.0912343470483</v>
      </c>
      <c r="BC16" s="64">
        <f t="shared" si="13"/>
        <v>242.194991055455</v>
      </c>
      <c r="BD16" s="69">
        <f>VLOOKUP(D16,FEB23SOH,3,false)</f>
        <v>2.0</v>
      </c>
      <c r="BE16" s="201">
        <f>VLOOKUP(D16,VALUEFEB23,4,false)</f>
        <v>5.2288</v>
      </c>
      <c r="BF16" s="215">
        <f t="shared" si="16"/>
        <v>10.4576</v>
      </c>
      <c r="BG16" s="64"/>
      <c r="BH16" s="64"/>
      <c r="BI16" s="193">
        <f t="shared" si="64"/>
        <v>-240.194991055455</v>
      </c>
      <c r="BJ16" s="217"/>
      <c r="BK16" s="236"/>
      <c r="BL16" s="103" t="s">
        <v>518</v>
      </c>
      <c r="BM16" s="95">
        <f t="shared" si="65"/>
        <v>2.0</v>
      </c>
      <c r="BN16" s="65">
        <f t="shared" si="66"/>
        <v>35.6976744186047</v>
      </c>
      <c r="BO16" s="65">
        <f t="shared" si="21"/>
      </c>
      <c r="BP16" s="65">
        <f t="shared" si="67"/>
        <v>-33.6976744186047</v>
      </c>
      <c r="BQ16" s="194">
        <f t="shared" si="68"/>
        <v>-176.1984</v>
      </c>
      <c r="BR16" s="65">
        <f t="shared" si="69"/>
        <v>38.4436493738819</v>
      </c>
      <c r="BS16" s="65">
        <f t="shared" si="25"/>
      </c>
      <c r="BT16" s="65">
        <f t="shared" si="70"/>
        <v>-72.1413237924864</v>
      </c>
      <c r="BU16" s="194">
        <f t="shared" si="71"/>
        <v>-377.212553846152</v>
      </c>
      <c r="BV16" s="65">
        <f t="shared" si="72"/>
        <v>53.2719141323792</v>
      </c>
      <c r="BW16" s="65">
        <f t="shared" si="73"/>
      </c>
      <c r="BX16" s="65">
        <f t="shared" si="74"/>
        <v>-125.413237924864</v>
      </c>
      <c r="BY16" s="194">
        <f t="shared" si="75"/>
        <v>-655.760738461527</v>
      </c>
      <c r="BZ16" s="65">
        <f t="shared" si="76"/>
        <v>25.26296958855</v>
      </c>
      <c r="CA16" s="65"/>
      <c r="CB16" s="65">
        <f t="shared" si="77"/>
        <v>-150.676207513414</v>
      </c>
      <c r="CC16" s="194">
        <f t="shared" si="78"/>
        <v>-787.855753846139</v>
      </c>
      <c r="CD16" s="65">
        <f t="shared" si="79"/>
        <v>49.427549194991</v>
      </c>
      <c r="CE16" s="65"/>
      <c r="CF16" s="65">
        <f t="shared" si="80"/>
        <v>-200.103756708405</v>
      </c>
      <c r="CG16" s="194">
        <f t="shared" si="81"/>
        <v>-1046.3025230769</v>
      </c>
      <c r="CH16" s="65">
        <f t="shared" si="82"/>
        <v>40.0912343470483</v>
      </c>
      <c r="CI16" s="65"/>
      <c r="CJ16" s="65">
        <f t="shared" si="83"/>
        <v>-240.194991055453</v>
      </c>
      <c r="CK16" s="194">
        <f t="shared" si="84"/>
        <v>-1046.3025230769</v>
      </c>
    </row>
    <row r="17" ht="14.0" customFormat="1" s="47">
      <c r="A17" s="93" t="s">
        <v>179</v>
      </c>
      <c r="B17" s="93" t="s">
        <v>197</v>
      </c>
      <c r="C17" s="93" t="s">
        <v>202</v>
      </c>
      <c r="D17" s="234" t="s">
        <v>203</v>
      </c>
      <c r="E17" s="93">
        <v>0.0</v>
      </c>
      <c r="F17" s="93">
        <v>0.0</v>
      </c>
      <c r="G17" s="93">
        <v>0.0</v>
      </c>
      <c r="H17" s="93">
        <v>0.0</v>
      </c>
      <c r="I17" s="93">
        <v>0.0</v>
      </c>
      <c r="J17" s="93">
        <v>0.0</v>
      </c>
      <c r="K17" s="93">
        <v>0.0</v>
      </c>
      <c r="L17" s="93">
        <v>0.0</v>
      </c>
      <c r="M17" s="93">
        <v>0.0</v>
      </c>
      <c r="N17" s="93">
        <v>0.0</v>
      </c>
      <c r="O17" s="93">
        <v>0.0</v>
      </c>
      <c r="P17" s="93">
        <v>0.0</v>
      </c>
      <c r="Q17" s="93">
        <v>0.0</v>
      </c>
      <c r="R17" s="93">
        <v>0.0</v>
      </c>
      <c r="S17" s="93">
        <v>0.0</v>
      </c>
      <c r="T17" s="93">
        <v>0.0</v>
      </c>
      <c r="U17" s="93">
        <v>0.0</v>
      </c>
      <c r="V17" s="93">
        <v>0.0</v>
      </c>
      <c r="W17" s="93">
        <v>0.0</v>
      </c>
      <c r="X17" s="93">
        <v>0.0</v>
      </c>
      <c r="Y17" s="93">
        <v>0.0</v>
      </c>
      <c r="Z17" s="93">
        <v>0.0</v>
      </c>
      <c r="AA17" s="93">
        <v>0.0</v>
      </c>
      <c r="AB17" s="93">
        <v>0.0</v>
      </c>
      <c r="AC17" s="93">
        <v>0.0</v>
      </c>
      <c r="AD17" s="93">
        <v>0.0</v>
      </c>
      <c r="AE17" s="93">
        <v>0.0</v>
      </c>
      <c r="AF17" s="93">
        <v>0.0</v>
      </c>
      <c r="AG17" s="93">
        <v>0.0</v>
      </c>
      <c r="AH17" s="93">
        <v>0.0</v>
      </c>
      <c r="AI17" s="93">
        <v>0.0</v>
      </c>
      <c r="AJ17" s="93">
        <v>33.0</v>
      </c>
      <c r="AK17" s="93">
        <v>33.0</v>
      </c>
      <c r="AL17" s="93">
        <v>18.0</v>
      </c>
      <c r="AM17" s="93">
        <v>39.0</v>
      </c>
      <c r="AN17" s="230">
        <v>75.0</v>
      </c>
      <c r="AO17" s="230">
        <v>75.0</v>
      </c>
      <c r="AP17" s="230">
        <v>30.0</v>
      </c>
      <c r="AQ17" s="231">
        <v>27.0</v>
      </c>
      <c r="AR17" s="231">
        <v>15.0</v>
      </c>
      <c r="AS17" s="231">
        <v>99.0</v>
      </c>
      <c r="AT17" s="69">
        <f t="shared" si="4"/>
        <v>444.0</v>
      </c>
      <c r="AU17" s="69">
        <f t="shared" si="57"/>
        <v>321.0</v>
      </c>
      <c r="AV17" s="69">
        <f t="shared" si="6"/>
        <v>353.1</v>
      </c>
      <c r="AW17" s="47">
        <f t="shared" si="58"/>
        <v>37.3255813953488</v>
      </c>
      <c r="AX17" s="47">
        <f t="shared" si="59"/>
        <v>40.1967799642218</v>
      </c>
      <c r="AY17" s="47">
        <f t="shared" si="60"/>
        <v>55.701252236136</v>
      </c>
      <c r="AZ17" s="47">
        <f t="shared" si="61"/>
        <v>26.4150268336314</v>
      </c>
      <c r="BA17" s="47">
        <f t="shared" si="62"/>
        <v>51.6815742397138</v>
      </c>
      <c r="BB17" s="47">
        <f t="shared" si="63"/>
        <v>41.9194991055456</v>
      </c>
      <c r="BC17" s="64">
        <f t="shared" si="13"/>
        <v>253.239713774597</v>
      </c>
      <c r="BD17" s="69">
        <f>VLOOKUP(D17,FEB23SOH,3,false)</f>
        <v>63.0</v>
      </c>
      <c r="BE17" s="201">
        <f>VLOOKUP(D17,VALUEFEB23,4,false)</f>
        <v>5.1827</v>
      </c>
      <c r="BF17" s="215">
        <f t="shared" si="16"/>
        <v>326.5101</v>
      </c>
      <c r="BG17" s="64"/>
      <c r="BH17" s="64"/>
      <c r="BI17" s="193">
        <f t="shared" si="64"/>
        <v>-190.239713774597</v>
      </c>
      <c r="BJ17" s="217"/>
      <c r="BK17" s="236"/>
      <c r="BL17" s="103" t="s">
        <v>519</v>
      </c>
      <c r="BM17" s="95">
        <f t="shared" si="65"/>
        <v>63.0</v>
      </c>
      <c r="BN17" s="65">
        <f t="shared" si="66"/>
        <v>37.3255813953488</v>
      </c>
      <c r="BO17" s="65">
        <f t="shared" si="21"/>
      </c>
      <c r="BP17" s="65">
        <f t="shared" si="67"/>
        <v>25.6744186046512</v>
      </c>
      <c r="BQ17" s="194">
        <f t="shared" si="68"/>
        <v>133.062809302326</v>
      </c>
      <c r="BR17" s="65">
        <f t="shared" si="69"/>
        <v>40.1967799642218</v>
      </c>
      <c r="BS17" s="65">
        <f t="shared" si="25"/>
      </c>
      <c r="BT17" s="65">
        <f t="shared" si="70"/>
        <v>-14.5223613595704</v>
      </c>
      <c r="BU17" s="194">
        <f t="shared" si="71"/>
        <v>-75.2650422182455</v>
      </c>
      <c r="BV17" s="65">
        <f t="shared" si="72"/>
        <v>55.701252236136</v>
      </c>
      <c r="BW17" s="65">
        <f t="shared" si="73"/>
      </c>
      <c r="BX17" s="65">
        <f t="shared" si="74"/>
        <v>-70.2236135957064</v>
      </c>
      <c r="BY17" s="194">
        <f t="shared" si="75"/>
        <v>-363.94792218245</v>
      </c>
      <c r="BZ17" s="65">
        <f t="shared" si="76"/>
        <v>26.4150268336314</v>
      </c>
      <c r="CA17" s="65"/>
      <c r="CB17" s="65">
        <f t="shared" si="77"/>
        <v>-96.6386404293378</v>
      </c>
      <c r="CC17" s="194">
        <f t="shared" si="78"/>
        <v>-500.849081753129</v>
      </c>
      <c r="CD17" s="65">
        <f t="shared" si="79"/>
        <v>51.6815742397138</v>
      </c>
      <c r="CE17" s="65"/>
      <c r="CF17" s="65">
        <f t="shared" si="80"/>
        <v>-148.320214669051</v>
      </c>
      <c r="CG17" s="194">
        <f t="shared" si="81"/>
        <v>-768.69917656529</v>
      </c>
      <c r="CH17" s="65">
        <f t="shared" si="82"/>
        <v>41.9194991055456</v>
      </c>
      <c r="CI17" s="65"/>
      <c r="CJ17" s="65">
        <f t="shared" si="83"/>
        <v>-190.239713774595</v>
      </c>
      <c r="CK17" s="194">
        <f t="shared" si="84"/>
        <v>-768.69917656529</v>
      </c>
    </row>
    <row r="18" ht="14.0">
      <c r="A18" s="93" t="s">
        <v>179</v>
      </c>
      <c r="B18" s="93" t="s">
        <v>197</v>
      </c>
      <c r="C18" s="93" t="s">
        <v>204</v>
      </c>
      <c r="D18" s="234" t="s">
        <v>205</v>
      </c>
      <c r="E18" s="93">
        <v>0.0</v>
      </c>
      <c r="F18" s="93">
        <v>0.0</v>
      </c>
      <c r="G18" s="93">
        <v>0.0</v>
      </c>
      <c r="H18" s="93">
        <v>0.0</v>
      </c>
      <c r="I18" s="93">
        <v>0.0</v>
      </c>
      <c r="J18" s="93">
        <v>0.0</v>
      </c>
      <c r="K18" s="93">
        <v>0.0</v>
      </c>
      <c r="L18" s="93">
        <v>0.0</v>
      </c>
      <c r="M18" s="93">
        <v>0.0</v>
      </c>
      <c r="N18" s="93">
        <v>0.0</v>
      </c>
      <c r="O18" s="93">
        <v>0.0</v>
      </c>
      <c r="P18" s="93">
        <v>0.0</v>
      </c>
      <c r="Q18" s="93">
        <v>0.0</v>
      </c>
      <c r="R18" s="93">
        <v>0.0</v>
      </c>
      <c r="S18" s="93">
        <v>0.0</v>
      </c>
      <c r="T18" s="93">
        <v>0.0</v>
      </c>
      <c r="U18" s="93">
        <v>0.0</v>
      </c>
      <c r="V18" s="93">
        <v>0.0</v>
      </c>
      <c r="W18" s="93">
        <v>0.0</v>
      </c>
      <c r="X18" s="93">
        <v>0.0</v>
      </c>
      <c r="Y18" s="93">
        <v>0.0</v>
      </c>
      <c r="Z18" s="93">
        <v>0.0</v>
      </c>
      <c r="AA18" s="93">
        <v>0.0</v>
      </c>
      <c r="AB18" s="93">
        <v>0.0</v>
      </c>
      <c r="AC18" s="93">
        <v>0.0</v>
      </c>
      <c r="AD18" s="93">
        <v>0.0</v>
      </c>
      <c r="AE18" s="93">
        <v>0.0</v>
      </c>
      <c r="AF18" s="93">
        <v>0.0</v>
      </c>
      <c r="AG18" s="93">
        <v>0.0</v>
      </c>
      <c r="AH18" s="93">
        <v>0.0</v>
      </c>
      <c r="AI18" s="93">
        <v>0.0</v>
      </c>
      <c r="AJ18" s="93">
        <v>21.0</v>
      </c>
      <c r="AK18" s="93">
        <v>24.0</v>
      </c>
      <c r="AL18" s="93">
        <v>15.0</v>
      </c>
      <c r="AM18" s="93">
        <v>18.0</v>
      </c>
      <c r="AN18" s="230">
        <v>30.0</v>
      </c>
      <c r="AO18" s="230">
        <v>39.0</v>
      </c>
      <c r="AP18" s="230">
        <v>18.0</v>
      </c>
      <c r="AQ18" s="231">
        <v>21.0</v>
      </c>
      <c r="AR18" s="231">
        <v>9.0</v>
      </c>
      <c r="AS18" s="231">
        <v>29.0</v>
      </c>
      <c r="AT18" s="69">
        <f t="shared" si="4"/>
        <v>224.0</v>
      </c>
      <c r="AU18" s="69">
        <f t="shared" si="57"/>
        <v>146.0</v>
      </c>
      <c r="AV18" s="69">
        <f t="shared" si="6"/>
        <v>160.6</v>
      </c>
      <c r="AW18" s="47">
        <f t="shared" si="58"/>
        <v>16.9767441860465</v>
      </c>
      <c r="AX18" s="47">
        <f t="shared" si="59"/>
        <v>18.2826475849731</v>
      </c>
      <c r="AY18" s="47">
        <f t="shared" si="60"/>
        <v>25.3345259391771</v>
      </c>
      <c r="AZ18" s="47">
        <f t="shared" si="61"/>
        <v>12.0143112701252</v>
      </c>
      <c r="BA18" s="47">
        <f t="shared" si="62"/>
        <v>23.5062611806798</v>
      </c>
      <c r="BB18" s="47">
        <f t="shared" si="63"/>
        <v>19.0661896243291</v>
      </c>
      <c r="BC18" s="64">
        <f t="shared" si="13"/>
        <v>115.18067978533</v>
      </c>
      <c r="BD18" s="69">
        <f>VLOOKUP(D18,FEB23SOH,3,false)</f>
        <v>276.0</v>
      </c>
      <c r="BE18" s="201">
        <f>VLOOKUP(D18,VALUEFEB23,4,false)</f>
        <v>5.1787</v>
      </c>
      <c r="BF18" s="215">
        <f t="shared" si="16"/>
        <v>1429.3212</v>
      </c>
      <c r="BI18" s="193">
        <f t="shared" si="64"/>
        <v>160.81932021467</v>
      </c>
      <c r="BK18" s="99"/>
      <c r="BL18" s="103"/>
      <c r="BM18" s="95">
        <f t="shared" si="65"/>
        <v>276.0</v>
      </c>
      <c r="BN18" s="65">
        <f t="shared" si="66"/>
        <v>16.9767441860465</v>
      </c>
      <c r="BO18" s="65">
        <f t="shared" si="21"/>
      </c>
      <c r="BP18" s="65">
        <f t="shared" si="67"/>
        <v>259.023255813953</v>
      </c>
      <c r="BQ18" s="194">
        <f t="shared" si="68"/>
        <v>1341.40373488371</v>
      </c>
      <c r="BR18" s="65">
        <f t="shared" si="69"/>
        <v>18.2826475849731</v>
      </c>
      <c r="BS18" s="65">
        <f t="shared" si="25"/>
      </c>
      <c r="BT18" s="65">
        <f t="shared" si="70"/>
        <v>240.74060822898</v>
      </c>
      <c r="BU18" s="194">
        <f t="shared" si="71"/>
        <v>1246.72338783541</v>
      </c>
      <c r="BV18" s="65">
        <f t="shared" si="72"/>
        <v>25.3345259391771</v>
      </c>
      <c r="BW18" s="65">
        <f t="shared" si="73"/>
      </c>
      <c r="BX18" s="65">
        <f t="shared" si="74"/>
        <v>215.406082289802</v>
      </c>
      <c r="BY18" s="194">
        <f t="shared" si="75"/>
        <v>1115.5234783542</v>
      </c>
      <c r="BZ18" s="65">
        <f t="shared" si="76"/>
        <v>12.0143112701252</v>
      </c>
      <c r="CA18" s="65"/>
      <c r="CB18" s="65">
        <f t="shared" si="77"/>
        <v>203.391771019677</v>
      </c>
      <c r="CC18" s="194">
        <f t="shared" si="78"/>
        <v>1053.3049645796</v>
      </c>
      <c r="CD18" s="65">
        <f t="shared" si="79"/>
        <v>23.5062611806798</v>
      </c>
      <c r="CE18" s="65"/>
      <c r="CF18" s="65">
        <f t="shared" si="80"/>
        <v>179.885509838997</v>
      </c>
      <c r="CG18" s="194">
        <f t="shared" si="81"/>
        <v>931.573089803213</v>
      </c>
      <c r="CH18" s="65">
        <f t="shared" si="82"/>
        <v>19.0661896243291</v>
      </c>
      <c r="CI18" s="65"/>
      <c r="CJ18" s="65">
        <f t="shared" si="83"/>
        <v>160.81932021467</v>
      </c>
      <c r="CK18" s="194">
        <f t="shared" si="84"/>
        <v>931.573089803213</v>
      </c>
    </row>
    <row r="19" ht="14.0">
      <c r="A19" s="93" t="s">
        <v>179</v>
      </c>
      <c r="B19" s="93" t="s">
        <v>197</v>
      </c>
      <c r="C19" s="93" t="s">
        <v>206</v>
      </c>
      <c r="D19" s="234" t="s">
        <v>207</v>
      </c>
      <c r="E19" s="93">
        <v>0.0</v>
      </c>
      <c r="F19" s="93">
        <v>0.0</v>
      </c>
      <c r="G19" s="93">
        <v>0.0</v>
      </c>
      <c r="H19" s="93">
        <v>0.0</v>
      </c>
      <c r="I19" s="93">
        <v>0.0</v>
      </c>
      <c r="J19" s="93">
        <v>0.0</v>
      </c>
      <c r="K19" s="93">
        <v>0.0</v>
      </c>
      <c r="L19" s="93">
        <v>0.0</v>
      </c>
      <c r="M19" s="93">
        <v>0.0</v>
      </c>
      <c r="N19" s="93">
        <v>0.0</v>
      </c>
      <c r="O19" s="93">
        <v>0.0</v>
      </c>
      <c r="P19" s="93">
        <v>0.0</v>
      </c>
      <c r="Q19" s="93">
        <v>0.0</v>
      </c>
      <c r="R19" s="93">
        <v>0.0</v>
      </c>
      <c r="S19" s="93">
        <v>0.0</v>
      </c>
      <c r="T19" s="93">
        <v>0.0</v>
      </c>
      <c r="U19" s="93">
        <v>0.0</v>
      </c>
      <c r="V19" s="93">
        <v>0.0</v>
      </c>
      <c r="W19" s="93">
        <v>0.0</v>
      </c>
      <c r="X19" s="93">
        <v>0.0</v>
      </c>
      <c r="Y19" s="93">
        <v>0.0</v>
      </c>
      <c r="Z19" s="93">
        <v>0.0</v>
      </c>
      <c r="AA19" s="93">
        <v>0.0</v>
      </c>
      <c r="AB19" s="93">
        <v>0.0</v>
      </c>
      <c r="AC19" s="93">
        <v>0.0</v>
      </c>
      <c r="AD19" s="93">
        <v>0.0</v>
      </c>
      <c r="AE19" s="93">
        <v>0.0</v>
      </c>
      <c r="AF19" s="93">
        <v>0.0</v>
      </c>
      <c r="AG19" s="93">
        <v>0.0</v>
      </c>
      <c r="AH19" s="93">
        <v>0.0</v>
      </c>
      <c r="AI19" s="93">
        <v>0.0</v>
      </c>
      <c r="AJ19" s="93">
        <v>12.0</v>
      </c>
      <c r="AK19" s="93">
        <v>15.0</v>
      </c>
      <c r="AL19" s="93">
        <v>12.0</v>
      </c>
      <c r="AM19" s="93">
        <v>24.0</v>
      </c>
      <c r="AN19" s="230">
        <v>57.0</v>
      </c>
      <c r="AO19" s="230">
        <v>33.0</v>
      </c>
      <c r="AP19" s="230">
        <v>24.0</v>
      </c>
      <c r="AQ19" s="231">
        <v>15.0</v>
      </c>
      <c r="AR19" s="231">
        <v>15.0</v>
      </c>
      <c r="AS19" s="231">
        <v>18.0</v>
      </c>
      <c r="AT19" s="69">
        <f t="shared" si="4"/>
        <v>225.0</v>
      </c>
      <c r="AU19" s="69">
        <f t="shared" si="57"/>
        <v>162.0</v>
      </c>
      <c r="AV19" s="69">
        <f t="shared" si="6"/>
        <v>178.2</v>
      </c>
      <c r="AW19" s="47">
        <f t="shared" si="58"/>
        <v>18.8372093023256</v>
      </c>
      <c r="AX19" s="47">
        <f t="shared" si="59"/>
        <v>20.2862254025044</v>
      </c>
      <c r="AY19" s="47">
        <f t="shared" si="60"/>
        <v>28.1109123434704</v>
      </c>
      <c r="AZ19" s="47">
        <f t="shared" si="61"/>
        <v>13.3309481216458</v>
      </c>
      <c r="BA19" s="47">
        <f t="shared" si="62"/>
        <v>26.08228980322</v>
      </c>
      <c r="BB19" s="47">
        <f t="shared" si="63"/>
        <v>21.1556350626118</v>
      </c>
      <c r="BC19" s="64">
        <f t="shared" si="13"/>
        <v>127.803220035778</v>
      </c>
      <c r="BD19" s="69">
        <f>VLOOKUP(D19,FEB23SOH,3,false)</f>
        <v>276.0</v>
      </c>
      <c r="BE19" s="201">
        <f>VLOOKUP(D19,VALUEFEB23,4,false)</f>
        <v>5.1786</v>
      </c>
      <c r="BF19" s="215">
        <f t="shared" si="16"/>
        <v>1429.2936</v>
      </c>
      <c r="BI19" s="193">
        <f t="shared" si="64"/>
        <v>148.196779964222</v>
      </c>
      <c r="BK19" s="99"/>
      <c r="BL19" s="103"/>
      <c r="BM19" s="95">
        <f t="shared" si="65"/>
        <v>276.0</v>
      </c>
      <c r="BN19" s="65">
        <f t="shared" si="66"/>
        <v>18.8372093023256</v>
      </c>
      <c r="BO19" s="65">
        <f t="shared" si="21"/>
      </c>
      <c r="BP19" s="65">
        <f t="shared" si="67"/>
        <v>257.162790697674</v>
      </c>
      <c r="BQ19" s="194">
        <f t="shared" si="68"/>
        <v>1331.74322790697</v>
      </c>
      <c r="BR19" s="65">
        <f t="shared" si="69"/>
        <v>20.2862254025044</v>
      </c>
      <c r="BS19" s="65">
        <f t="shared" si="25"/>
      </c>
      <c r="BT19" s="65">
        <f t="shared" si="70"/>
        <v>236.87656529517</v>
      </c>
      <c r="BU19" s="194">
        <f t="shared" si="71"/>
        <v>1226.68898103757</v>
      </c>
      <c r="BV19" s="65">
        <f t="shared" si="72"/>
        <v>28.1109123434704</v>
      </c>
      <c r="BW19" s="65">
        <f t="shared" si="73"/>
      </c>
      <c r="BX19" s="65">
        <f t="shared" si="74"/>
        <v>208.7656529517</v>
      </c>
      <c r="BY19" s="194">
        <f t="shared" si="75"/>
        <v>1081.11381037567</v>
      </c>
      <c r="BZ19" s="65">
        <f t="shared" si="76"/>
        <v>13.3309481216458</v>
      </c>
      <c r="CA19" s="65"/>
      <c r="CB19" s="65">
        <f t="shared" si="77"/>
        <v>195.434704830054</v>
      </c>
      <c r="CC19" s="194">
        <f t="shared" si="78"/>
        <v>1012.07816243291</v>
      </c>
      <c r="CD19" s="65">
        <f t="shared" si="79"/>
        <v>26.08228980322</v>
      </c>
      <c r="CE19" s="65"/>
      <c r="CF19" s="65">
        <f t="shared" si="80"/>
        <v>169.352415026834</v>
      </c>
      <c r="CG19" s="194">
        <f t="shared" si="81"/>
        <v>877.008416457962</v>
      </c>
      <c r="CH19" s="65">
        <f t="shared" si="82"/>
        <v>21.1556350626118</v>
      </c>
      <c r="CI19" s="65"/>
      <c r="CJ19" s="65">
        <f t="shared" si="83"/>
        <v>148.196779964222</v>
      </c>
      <c r="CK19" s="194">
        <f t="shared" si="84"/>
        <v>877.008416457962</v>
      </c>
    </row>
    <row r="20" ht="14.0">
      <c r="A20" s="93" t="s">
        <v>179</v>
      </c>
      <c r="B20" s="93" t="s">
        <v>208</v>
      </c>
      <c r="C20" s="93" t="s">
        <v>209</v>
      </c>
      <c r="D20" s="229" t="s">
        <v>210</v>
      </c>
      <c r="E20" s="93">
        <v>0.0</v>
      </c>
      <c r="F20" s="93">
        <v>0.0</v>
      </c>
      <c r="G20" s="93">
        <v>0.0</v>
      </c>
      <c r="H20" s="93">
        <v>0.0</v>
      </c>
      <c r="I20" s="93">
        <v>0.0</v>
      </c>
      <c r="J20" s="93">
        <v>0.0</v>
      </c>
      <c r="K20" s="93">
        <v>0.0</v>
      </c>
      <c r="L20" s="93">
        <v>0.0</v>
      </c>
      <c r="M20" s="93">
        <v>0.0</v>
      </c>
      <c r="N20" s="93">
        <v>0.0</v>
      </c>
      <c r="O20" s="93">
        <v>0.0</v>
      </c>
      <c r="P20" s="93">
        <v>0.0</v>
      </c>
      <c r="Q20" s="93">
        <v>0.0</v>
      </c>
      <c r="R20" s="93">
        <v>0.0</v>
      </c>
      <c r="S20" s="93">
        <v>0.0</v>
      </c>
      <c r="T20" s="93">
        <v>0.0</v>
      </c>
      <c r="U20" s="93">
        <v>0.0</v>
      </c>
      <c r="V20" s="93">
        <v>0.0</v>
      </c>
      <c r="W20" s="93">
        <v>0.0</v>
      </c>
      <c r="X20" s="93">
        <v>0.0</v>
      </c>
      <c r="Y20" s="93">
        <v>21.0</v>
      </c>
      <c r="Z20" s="93">
        <v>68.0</v>
      </c>
      <c r="AA20" s="93">
        <v>54.0</v>
      </c>
      <c r="AB20" s="93">
        <v>63.0</v>
      </c>
      <c r="AC20" s="93">
        <v>78.0</v>
      </c>
      <c r="AD20" s="93">
        <v>33.0</v>
      </c>
      <c r="AE20" s="93">
        <v>27.0</v>
      </c>
      <c r="AF20" s="93">
        <v>9.0</v>
      </c>
      <c r="AG20" s="93">
        <v>60.0</v>
      </c>
      <c r="AH20" s="114">
        <v>15.0</v>
      </c>
      <c r="AI20" s="114">
        <v>18.0</v>
      </c>
      <c r="AJ20" s="114">
        <v>24.0</v>
      </c>
      <c r="AK20" s="114">
        <v>9.0</v>
      </c>
      <c r="AL20" s="114">
        <v>15.0</v>
      </c>
      <c r="AM20" s="114">
        <v>15.0</v>
      </c>
      <c r="AN20" s="93">
        <v>21.0</v>
      </c>
      <c r="AO20" s="93">
        <v>36.0</v>
      </c>
      <c r="AP20" s="93">
        <v>30.0</v>
      </c>
      <c r="AQ20" s="233">
        <v>30.0</v>
      </c>
      <c r="AR20" s="233">
        <v>0.0</v>
      </c>
      <c r="AS20" s="233">
        <v>29.0</v>
      </c>
      <c r="AT20" s="69">
        <f t="shared" si="4"/>
        <v>242.0</v>
      </c>
      <c r="AU20" s="69">
        <f t="shared" ref="AU20:AU25" si="85">SUM(AH20:AM20)</f>
        <v>96.0</v>
      </c>
      <c r="AV20" s="69">
        <f t="shared" si="6"/>
        <v>105.6</v>
      </c>
      <c r="AW20" s="47">
        <f t="shared" ref="AW20:AW25" si="86">AV20*$AW$4/$AV$3</f>
        <v>14.1496598639456</v>
      </c>
      <c r="AX20" s="47">
        <f t="shared" ref="AX20:AX25" si="87">AV20*$AX$4/$AV$3</f>
        <v>15.2380952380952</v>
      </c>
      <c r="AY20" s="47">
        <f t="shared" ref="AY20:AY25" si="88">AV20*$AY$4/$AV$3</f>
        <v>21.1156462585034</v>
      </c>
      <c r="AZ20" s="47">
        <f t="shared" ref="AZ20:AZ25" si="89">AV20*$AZ$4/$AV$3</f>
        <v>10.0136054421769</v>
      </c>
      <c r="BA20" s="47">
        <f t="shared" ref="BA20:BA25" si="90">AV20*$BA$4/$AV$3</f>
        <v>19.5918367346939</v>
      </c>
      <c r="BB20" s="47">
        <f t="shared" ref="BB20:BB25" si="91">AV20*$BB$4/$AV$3</f>
        <v>15.891156462585</v>
      </c>
      <c r="BC20" s="64">
        <f t="shared" si="13"/>
        <v>96.0</v>
      </c>
      <c r="BD20" s="69">
        <f>VLOOKUP(D20,FEB23SOH,3,false)</f>
        <v>346.0</v>
      </c>
      <c r="BE20" s="201">
        <f>VLOOKUP(D20,VALUEFEB23,4,false)</f>
        <v>5.2174</v>
      </c>
      <c r="BF20" s="215">
        <f t="shared" si="16"/>
        <v>1805.2204</v>
      </c>
      <c r="BI20" s="193">
        <f t="shared" si="64"/>
        <v>250.0</v>
      </c>
      <c r="BL20" s="103"/>
      <c r="BM20" s="95">
        <f t="shared" si="65"/>
        <v>346.0</v>
      </c>
      <c r="BN20" s="65">
        <f t="shared" si="66"/>
        <v>14.1496598639456</v>
      </c>
      <c r="BO20" s="65">
        <f t="shared" si="21"/>
      </c>
      <c r="BP20" s="65">
        <f t="shared" si="67"/>
        <v>331.850340136054</v>
      </c>
      <c r="BQ20" s="194">
        <f t="shared" si="68"/>
        <v>1731.39596462584</v>
      </c>
      <c r="BR20" s="65">
        <f t="shared" si="69"/>
        <v>15.2380952380952</v>
      </c>
      <c r="BS20" s="65">
        <f t="shared" si="25"/>
      </c>
      <c r="BT20" s="65">
        <f t="shared" si="70"/>
        <v>316.61224489796</v>
      </c>
      <c r="BU20" s="194">
        <f t="shared" si="71"/>
        <v>1651.89272653061</v>
      </c>
      <c r="BV20" s="65">
        <f t="shared" si="72"/>
        <v>21.1156462585034</v>
      </c>
      <c r="BW20" s="65">
        <f t="shared" si="73"/>
      </c>
      <c r="BX20" s="65">
        <f t="shared" si="74"/>
        <v>295.49659863946</v>
      </c>
      <c r="BY20" s="194">
        <f t="shared" si="75"/>
        <v>1541.72395374151</v>
      </c>
      <c r="BZ20" s="65">
        <f t="shared" si="76"/>
        <v>10.0136054421769</v>
      </c>
      <c r="CA20" s="65"/>
      <c r="CB20" s="65">
        <f t="shared" si="77"/>
        <v>285.482993197283</v>
      </c>
      <c r="CC20" s="194">
        <f t="shared" si="78"/>
        <v>1489.4789687075</v>
      </c>
      <c r="CD20" s="65">
        <f t="shared" si="79"/>
        <v>19.5918367346939</v>
      </c>
      <c r="CE20" s="65"/>
      <c r="CF20" s="65">
        <f t="shared" si="80"/>
        <v>265.891156462589</v>
      </c>
      <c r="CG20" s="194">
        <f t="shared" si="81"/>
        <v>1387.26051972791</v>
      </c>
      <c r="CH20" s="65">
        <f t="shared" si="82"/>
        <v>15.891156462585</v>
      </c>
      <c r="CI20" s="65"/>
      <c r="CJ20" s="65">
        <f t="shared" si="83"/>
        <v>250.000000000003</v>
      </c>
      <c r="CK20" s="194">
        <f t="shared" si="84"/>
        <v>1387.26051972791</v>
      </c>
    </row>
    <row r="21" ht="14.0">
      <c r="A21" s="93" t="s">
        <v>179</v>
      </c>
      <c r="B21" s="93" t="s">
        <v>208</v>
      </c>
      <c r="C21" s="93" t="s">
        <v>211</v>
      </c>
      <c r="D21" s="234" t="s">
        <v>212</v>
      </c>
      <c r="E21" s="93">
        <v>0.0</v>
      </c>
      <c r="F21" s="93">
        <v>0.0</v>
      </c>
      <c r="G21" s="93">
        <v>0.0</v>
      </c>
      <c r="H21" s="93">
        <v>0.0</v>
      </c>
      <c r="I21" s="93">
        <v>0.0</v>
      </c>
      <c r="J21" s="93">
        <v>0.0</v>
      </c>
      <c r="K21" s="93">
        <v>0.0</v>
      </c>
      <c r="L21" s="93">
        <v>0.0</v>
      </c>
      <c r="M21" s="93">
        <v>0.0</v>
      </c>
      <c r="N21" s="93">
        <v>0.0</v>
      </c>
      <c r="O21" s="93">
        <v>0.0</v>
      </c>
      <c r="P21" s="93">
        <v>0.0</v>
      </c>
      <c r="Q21" s="93">
        <v>0.0</v>
      </c>
      <c r="R21" s="93">
        <v>0.0</v>
      </c>
      <c r="S21" s="93">
        <v>0.0</v>
      </c>
      <c r="T21" s="93">
        <v>0.0</v>
      </c>
      <c r="U21" s="93">
        <v>0.0</v>
      </c>
      <c r="V21" s="93">
        <v>0.0</v>
      </c>
      <c r="W21" s="93">
        <v>0.0</v>
      </c>
      <c r="X21" s="93">
        <v>0.0</v>
      </c>
      <c r="Y21" s="93">
        <v>7.0</v>
      </c>
      <c r="Z21" s="93">
        <v>23.0</v>
      </c>
      <c r="AA21" s="93">
        <v>24.0</v>
      </c>
      <c r="AB21" s="93">
        <v>30.0</v>
      </c>
      <c r="AC21" s="93">
        <v>39.0</v>
      </c>
      <c r="AD21" s="93">
        <v>9.0</v>
      </c>
      <c r="AE21" s="93">
        <v>15.0</v>
      </c>
      <c r="AF21" s="93">
        <v>3.0</v>
      </c>
      <c r="AG21" s="93">
        <v>18.0</v>
      </c>
      <c r="AH21" s="114">
        <v>9.0</v>
      </c>
      <c r="AI21" s="114">
        <v>3.0</v>
      </c>
      <c r="AJ21" s="114">
        <v>6.0</v>
      </c>
      <c r="AK21" s="114">
        <v>3.0</v>
      </c>
      <c r="AL21" s="114">
        <v>9.0</v>
      </c>
      <c r="AM21" s="114">
        <v>0.0</v>
      </c>
      <c r="AN21" s="93">
        <v>12.0</v>
      </c>
      <c r="AO21" s="93">
        <v>9.0</v>
      </c>
      <c r="AP21" s="93">
        <v>6.0</v>
      </c>
      <c r="AQ21" s="233">
        <v>12.0</v>
      </c>
      <c r="AR21" s="233">
        <v>0.0</v>
      </c>
      <c r="AS21" s="233">
        <v>7.0</v>
      </c>
      <c r="AT21" s="69">
        <f t="shared" si="4"/>
        <v>76.0</v>
      </c>
      <c r="AU21" s="69">
        <f t="shared" si="85"/>
        <v>30.0</v>
      </c>
      <c r="AV21" s="69">
        <f t="shared" si="6"/>
        <v>33.0</v>
      </c>
      <c r="AW21" s="47">
        <f t="shared" si="86"/>
        <v>4.42176870748299</v>
      </c>
      <c r="AX21" s="47">
        <f t="shared" si="87"/>
        <v>4.76190476190476</v>
      </c>
      <c r="AY21" s="47">
        <f t="shared" si="88"/>
        <v>6.59863945578231</v>
      </c>
      <c r="AZ21" s="47">
        <f t="shared" si="89"/>
        <v>3.12925170068027</v>
      </c>
      <c r="BA21" s="47">
        <f t="shared" si="90"/>
        <v>6.12244897959183</v>
      </c>
      <c r="BB21" s="47">
        <f t="shared" si="91"/>
        <v>4.96598639455782</v>
      </c>
      <c r="BC21" s="64">
        <f t="shared" si="13"/>
        <v>30.0</v>
      </c>
      <c r="BD21" s="69">
        <f>VLOOKUP(D21,FEB23SOH,3,false)</f>
        <v>252.0</v>
      </c>
      <c r="BE21" s="201">
        <f>VLOOKUP(D21,VALUEFEB23,4,false)</f>
        <v>4.975</v>
      </c>
      <c r="BF21" s="215">
        <f t="shared" si="16"/>
        <v>1253.7</v>
      </c>
      <c r="BI21" s="193">
        <f t="shared" si="64"/>
        <v>222.0</v>
      </c>
      <c r="BK21" s="99"/>
      <c r="BL21" s="103"/>
      <c r="BM21" s="95">
        <f t="shared" si="65"/>
        <v>252.0</v>
      </c>
      <c r="BN21" s="65">
        <f t="shared" si="66"/>
        <v>4.42176870748299</v>
      </c>
      <c r="BO21" s="65">
        <f t="shared" si="21"/>
      </c>
      <c r="BP21" s="65">
        <f t="shared" si="67"/>
        <v>247.578231292517</v>
      </c>
      <c r="BQ21" s="194">
        <f t="shared" si="68"/>
        <v>1231.70170068027</v>
      </c>
      <c r="BR21" s="65">
        <f t="shared" si="69"/>
        <v>4.76190476190476</v>
      </c>
      <c r="BS21" s="65">
        <f t="shared" si="25"/>
      </c>
      <c r="BT21" s="65">
        <f t="shared" si="70"/>
        <v>242.816326530612</v>
      </c>
      <c r="BU21" s="194">
        <f t="shared" si="71"/>
        <v>1208.01122448979</v>
      </c>
      <c r="BV21" s="65">
        <f t="shared" si="72"/>
        <v>6.59863945578231</v>
      </c>
      <c r="BW21" s="65">
        <f t="shared" si="73"/>
      </c>
      <c r="BX21" s="65">
        <f t="shared" si="74"/>
        <v>236.21768707483</v>
      </c>
      <c r="BY21" s="194">
        <f t="shared" si="75"/>
        <v>1175.18299319728</v>
      </c>
      <c r="BZ21" s="65">
        <f t="shared" si="76"/>
        <v>3.12925170068027</v>
      </c>
      <c r="CA21" s="65"/>
      <c r="CB21" s="65">
        <f t="shared" si="77"/>
        <v>233.08843537414</v>
      </c>
      <c r="CC21" s="194">
        <f t="shared" si="78"/>
        <v>1159.61496598634</v>
      </c>
      <c r="CD21" s="65">
        <f t="shared" si="79"/>
        <v>6.12244897959183</v>
      </c>
      <c r="CE21" s="65"/>
      <c r="CF21" s="65">
        <f t="shared" si="80"/>
        <v>226.965986394548</v>
      </c>
      <c r="CG21" s="194">
        <f t="shared" si="81"/>
        <v>1129.15578231288</v>
      </c>
      <c r="CH21" s="65">
        <f t="shared" si="82"/>
        <v>4.96598639455782</v>
      </c>
      <c r="CI21" s="65"/>
      <c r="CJ21" s="65">
        <f t="shared" si="83"/>
        <v>221.99999999999</v>
      </c>
      <c r="CK21" s="194">
        <f t="shared" si="84"/>
        <v>1129.15578231288</v>
      </c>
    </row>
    <row r="22" ht="14.0">
      <c r="A22" s="93" t="s">
        <v>179</v>
      </c>
      <c r="B22" s="93" t="s">
        <v>208</v>
      </c>
      <c r="C22" s="93" t="s">
        <v>213</v>
      </c>
      <c r="D22" s="234" t="s">
        <v>214</v>
      </c>
      <c r="E22" s="93">
        <v>0.0</v>
      </c>
      <c r="F22" s="93">
        <v>0.0</v>
      </c>
      <c r="G22" s="93">
        <v>0.0</v>
      </c>
      <c r="H22" s="93">
        <v>0.0</v>
      </c>
      <c r="I22" s="93">
        <v>0.0</v>
      </c>
      <c r="J22" s="93">
        <v>0.0</v>
      </c>
      <c r="K22" s="93">
        <v>0.0</v>
      </c>
      <c r="L22" s="93">
        <v>0.0</v>
      </c>
      <c r="M22" s="93">
        <v>0.0</v>
      </c>
      <c r="N22" s="93">
        <v>0.0</v>
      </c>
      <c r="O22" s="93">
        <v>0.0</v>
      </c>
      <c r="P22" s="93">
        <v>0.0</v>
      </c>
      <c r="Q22" s="93">
        <v>0.0</v>
      </c>
      <c r="R22" s="93">
        <v>0.0</v>
      </c>
      <c r="S22" s="93">
        <v>0.0</v>
      </c>
      <c r="T22" s="93">
        <v>0.0</v>
      </c>
      <c r="U22" s="93">
        <v>0.0</v>
      </c>
      <c r="V22" s="93">
        <v>0.0</v>
      </c>
      <c r="W22" s="93">
        <v>0.0</v>
      </c>
      <c r="X22" s="93">
        <v>0.0</v>
      </c>
      <c r="Y22" s="93">
        <v>10.0</v>
      </c>
      <c r="Z22" s="93">
        <v>29.0</v>
      </c>
      <c r="AA22" s="93">
        <v>45.0</v>
      </c>
      <c r="AB22" s="93">
        <v>30.0</v>
      </c>
      <c r="AC22" s="93">
        <v>30.0</v>
      </c>
      <c r="AD22" s="93">
        <v>27.0</v>
      </c>
      <c r="AE22" s="93">
        <v>15.0</v>
      </c>
      <c r="AF22" s="93">
        <v>6.0</v>
      </c>
      <c r="AG22" s="93">
        <v>24.0</v>
      </c>
      <c r="AH22" s="114">
        <v>12.0</v>
      </c>
      <c r="AI22" s="114">
        <v>12.0</v>
      </c>
      <c r="AJ22" s="114">
        <v>9.0</v>
      </c>
      <c r="AK22" s="114">
        <v>3.0</v>
      </c>
      <c r="AL22" s="114">
        <v>9.0</v>
      </c>
      <c r="AM22" s="114">
        <v>15.0</v>
      </c>
      <c r="AN22" s="93">
        <v>3.0</v>
      </c>
      <c r="AO22" s="93">
        <v>9.0</v>
      </c>
      <c r="AP22" s="93">
        <v>9.0</v>
      </c>
      <c r="AQ22" s="233">
        <v>9.0</v>
      </c>
      <c r="AR22" s="233">
        <v>6.0</v>
      </c>
      <c r="AS22" s="233">
        <v>7.0</v>
      </c>
      <c r="AT22" s="69">
        <f t="shared" si="4"/>
        <v>103.0</v>
      </c>
      <c r="AU22" s="69">
        <f t="shared" si="85"/>
        <v>60.0</v>
      </c>
      <c r="AV22" s="69">
        <f t="shared" si="6"/>
        <v>66.0</v>
      </c>
      <c r="AW22" s="47">
        <f t="shared" si="86"/>
        <v>8.84353741496599</v>
      </c>
      <c r="AX22" s="47">
        <f t="shared" si="87"/>
        <v>9.52380952380952</v>
      </c>
      <c r="AY22" s="47">
        <f t="shared" si="88"/>
        <v>13.1972789115646</v>
      </c>
      <c r="AZ22" s="47">
        <f t="shared" si="89"/>
        <v>6.25850340136054</v>
      </c>
      <c r="BA22" s="47">
        <f t="shared" si="90"/>
        <v>12.2448979591837</v>
      </c>
      <c r="BB22" s="47">
        <f t="shared" si="91"/>
        <v>9.93197278911564</v>
      </c>
      <c r="BC22" s="64">
        <f t="shared" si="13"/>
        <v>60.0</v>
      </c>
      <c r="BD22" s="69">
        <f>VLOOKUP(D22,FEB23SOH,3,false)</f>
        <v>183.0</v>
      </c>
      <c r="BE22" s="201">
        <f>VLOOKUP(D22,VALUEFEB23,4,false)</f>
        <v>4.9758</v>
      </c>
      <c r="BF22" s="215">
        <f t="shared" si="16"/>
        <v>910.5714</v>
      </c>
      <c r="BI22" s="193">
        <f t="shared" si="64"/>
        <v>123.0</v>
      </c>
      <c r="BK22" s="99"/>
      <c r="BL22" s="103"/>
      <c r="BM22" s="95">
        <f t="shared" si="65"/>
        <v>183.0</v>
      </c>
      <c r="BN22" s="65">
        <f t="shared" si="66"/>
        <v>8.84353741496599</v>
      </c>
      <c r="BO22" s="65">
        <f t="shared" si="21"/>
      </c>
      <c r="BP22" s="65">
        <f t="shared" si="67"/>
        <v>174.156462585034</v>
      </c>
      <c r="BQ22" s="194">
        <f t="shared" si="68"/>
        <v>866.567726530612</v>
      </c>
      <c r="BR22" s="65">
        <f t="shared" si="69"/>
        <v>9.52380952380952</v>
      </c>
      <c r="BS22" s="65">
        <f t="shared" si="25"/>
      </c>
      <c r="BT22" s="65">
        <f t="shared" si="70"/>
        <v>164.632653061224</v>
      </c>
      <c r="BU22" s="194">
        <f t="shared" si="71"/>
        <v>819.179155102038</v>
      </c>
      <c r="BV22" s="65">
        <f t="shared" si="72"/>
        <v>13.1972789115646</v>
      </c>
      <c r="BW22" s="65">
        <f t="shared" si="73"/>
      </c>
      <c r="BX22" s="65">
        <f t="shared" si="74"/>
        <v>151.435374149659</v>
      </c>
      <c r="BY22" s="194">
        <f t="shared" si="75"/>
        <v>753.512134693873</v>
      </c>
      <c r="BZ22" s="65">
        <f t="shared" si="76"/>
        <v>6.25850340136054</v>
      </c>
      <c r="CA22" s="65"/>
      <c r="CB22" s="65">
        <f t="shared" si="77"/>
        <v>145.176870748298</v>
      </c>
      <c r="CC22" s="194">
        <f t="shared" si="78"/>
        <v>722.371073469381</v>
      </c>
      <c r="CD22" s="65">
        <f t="shared" si="79"/>
        <v>12.2448979591837</v>
      </c>
      <c r="CE22" s="65"/>
      <c r="CF22" s="65">
        <f t="shared" si="80"/>
        <v>132.931972789114</v>
      </c>
      <c r="CG22" s="194">
        <f t="shared" si="81"/>
        <v>661.442910204073</v>
      </c>
      <c r="CH22" s="65">
        <f t="shared" si="82"/>
        <v>9.93197278911564</v>
      </c>
      <c r="CI22" s="65"/>
      <c r="CJ22" s="65">
        <f t="shared" si="83"/>
        <v>122.999999999998</v>
      </c>
      <c r="CK22" s="194">
        <f t="shared" si="84"/>
        <v>661.442910204073</v>
      </c>
    </row>
    <row r="23" ht="14.0">
      <c r="A23" s="93" t="s">
        <v>179</v>
      </c>
      <c r="B23" s="93" t="s">
        <v>208</v>
      </c>
      <c r="C23" s="93" t="s">
        <v>215</v>
      </c>
      <c r="D23" s="234" t="s">
        <v>216</v>
      </c>
      <c r="E23" s="93">
        <v>0.0</v>
      </c>
      <c r="F23" s="93">
        <v>0.0</v>
      </c>
      <c r="G23" s="93">
        <v>0.0</v>
      </c>
      <c r="H23" s="93">
        <v>0.0</v>
      </c>
      <c r="I23" s="93">
        <v>0.0</v>
      </c>
      <c r="J23" s="93">
        <v>0.0</v>
      </c>
      <c r="K23" s="93">
        <v>0.0</v>
      </c>
      <c r="L23" s="93">
        <v>0.0</v>
      </c>
      <c r="M23" s="93">
        <v>0.0</v>
      </c>
      <c r="N23" s="93">
        <v>0.0</v>
      </c>
      <c r="O23" s="93">
        <v>0.0</v>
      </c>
      <c r="P23" s="93">
        <v>0.0</v>
      </c>
      <c r="Q23" s="93">
        <v>0.0</v>
      </c>
      <c r="R23" s="93">
        <v>0.0</v>
      </c>
      <c r="S23" s="93">
        <v>0.0</v>
      </c>
      <c r="T23" s="93">
        <v>0.0</v>
      </c>
      <c r="U23" s="93">
        <v>0.0</v>
      </c>
      <c r="V23" s="93">
        <v>0.0</v>
      </c>
      <c r="W23" s="93">
        <v>0.0</v>
      </c>
      <c r="X23" s="93">
        <v>0.0</v>
      </c>
      <c r="Y23" s="93">
        <v>16.0</v>
      </c>
      <c r="Z23" s="93">
        <v>14.0</v>
      </c>
      <c r="AA23" s="93">
        <v>21.0</v>
      </c>
      <c r="AB23" s="93">
        <v>18.0</v>
      </c>
      <c r="AC23" s="93">
        <v>21.0</v>
      </c>
      <c r="AD23" s="93">
        <v>21.0</v>
      </c>
      <c r="AE23" s="93">
        <v>3.0</v>
      </c>
      <c r="AF23" s="93">
        <v>3.0</v>
      </c>
      <c r="AG23" s="93">
        <v>6.0</v>
      </c>
      <c r="AH23" s="114">
        <v>0.0</v>
      </c>
      <c r="AI23" s="114">
        <v>3.0</v>
      </c>
      <c r="AJ23" s="114">
        <v>3.0</v>
      </c>
      <c r="AK23" s="114">
        <v>3.0</v>
      </c>
      <c r="AL23" s="114">
        <v>3.0</v>
      </c>
      <c r="AM23" s="114">
        <v>3.0</v>
      </c>
      <c r="AN23" s="93">
        <v>0.0</v>
      </c>
      <c r="AO23" s="93">
        <v>9.0</v>
      </c>
      <c r="AP23" s="93">
        <v>9.0</v>
      </c>
      <c r="AQ23" s="233">
        <v>12.0</v>
      </c>
      <c r="AR23" s="233">
        <v>0.0</v>
      </c>
      <c r="AS23" s="233">
        <v>4.0</v>
      </c>
      <c r="AT23" s="69">
        <f t="shared" si="4"/>
        <v>49.0</v>
      </c>
      <c r="AU23" s="69">
        <f t="shared" si="85"/>
        <v>15.0</v>
      </c>
      <c r="AV23" s="69">
        <f t="shared" si="6"/>
        <v>16.5</v>
      </c>
      <c r="AW23" s="47">
        <f t="shared" si="86"/>
        <v>2.2108843537415</v>
      </c>
      <c r="AX23" s="47">
        <f t="shared" si="87"/>
        <v>2.38095238095238</v>
      </c>
      <c r="AY23" s="47">
        <f t="shared" si="88"/>
        <v>3.2993197278911</v>
      </c>
      <c r="AZ23" s="47">
        <f t="shared" si="89"/>
        <v>1.56462585034013</v>
      </c>
      <c r="BA23" s="47">
        <f t="shared" si="90"/>
        <v>3.06122448979591</v>
      </c>
      <c r="BB23" s="47">
        <f t="shared" si="91"/>
        <v>2.48299319727891</v>
      </c>
      <c r="BC23" s="64">
        <f t="shared" si="13"/>
        <v>14.9999999999999</v>
      </c>
      <c r="BD23" s="69">
        <f>VLOOKUP(D23,FEB23SOH,3,false)</f>
        <v>327.0</v>
      </c>
      <c r="BE23" s="201">
        <f>VLOOKUP(D23,VALUEFEB23,4,false)</f>
        <v>4.9747</v>
      </c>
      <c r="BF23" s="215">
        <f t="shared" si="16"/>
        <v>1626.7269</v>
      </c>
      <c r="BI23" s="193">
        <f t="shared" si="64"/>
        <v>312.0</v>
      </c>
      <c r="BK23" s="99"/>
      <c r="BL23" s="103"/>
      <c r="BM23" s="95">
        <f t="shared" si="65"/>
        <v>327.0</v>
      </c>
      <c r="BN23" s="65">
        <f t="shared" si="66"/>
        <v>2.2108843537415</v>
      </c>
      <c r="BO23" s="65">
        <f t="shared" si="21"/>
      </c>
      <c r="BP23" s="65">
        <f t="shared" si="67"/>
        <v>324.789115646259</v>
      </c>
      <c r="BQ23" s="194">
        <f t="shared" si="68"/>
        <v>1615.72841360544</v>
      </c>
      <c r="BR23" s="65">
        <f t="shared" si="69"/>
        <v>2.38095238095238</v>
      </c>
      <c r="BS23" s="65">
        <f t="shared" si="25"/>
      </c>
      <c r="BT23" s="65">
        <f t="shared" si="70"/>
        <v>322.408163265307</v>
      </c>
      <c r="BU23" s="194">
        <f t="shared" si="71"/>
        <v>1603.88388979592</v>
      </c>
      <c r="BV23" s="65">
        <f t="shared" si="72"/>
        <v>3.2993197278911</v>
      </c>
      <c r="BW23" s="65">
        <f t="shared" si="73"/>
      </c>
      <c r="BX23" s="65">
        <f t="shared" si="74"/>
        <v>319.108843537416</v>
      </c>
      <c r="BY23" s="194">
        <f t="shared" si="75"/>
        <v>1587.47076394558</v>
      </c>
      <c r="BZ23" s="65">
        <f t="shared" si="76"/>
        <v>1.56462585034013</v>
      </c>
      <c r="CA23" s="65"/>
      <c r="CB23" s="65">
        <f t="shared" si="77"/>
        <v>317.544217687076</v>
      </c>
      <c r="CC23" s="194">
        <f t="shared" si="78"/>
        <v>1579.6872197279</v>
      </c>
      <c r="CD23" s="65">
        <f t="shared" si="79"/>
        <v>3.06122448979591</v>
      </c>
      <c r="CE23" s="65"/>
      <c r="CF23" s="65">
        <f t="shared" si="80"/>
        <v>314.48299319728</v>
      </c>
      <c r="CG23" s="194">
        <f t="shared" si="81"/>
        <v>1564.4585462585</v>
      </c>
      <c r="CH23" s="65">
        <f t="shared" si="82"/>
        <v>2.48299319727891</v>
      </c>
      <c r="CI23" s="65"/>
      <c r="CJ23" s="65">
        <f t="shared" si="83"/>
        <v>312.000000000001</v>
      </c>
      <c r="CK23" s="194">
        <f t="shared" si="84"/>
        <v>1564.4585462585</v>
      </c>
    </row>
    <row r="24" ht="14.0">
      <c r="A24" s="93" t="s">
        <v>179</v>
      </c>
      <c r="B24" s="93" t="s">
        <v>208</v>
      </c>
      <c r="C24" s="93" t="s">
        <v>217</v>
      </c>
      <c r="D24" s="234" t="s">
        <v>218</v>
      </c>
      <c r="E24" s="93">
        <v>0.0</v>
      </c>
      <c r="F24" s="93">
        <v>0.0</v>
      </c>
      <c r="G24" s="93">
        <v>0.0</v>
      </c>
      <c r="H24" s="93">
        <v>0.0</v>
      </c>
      <c r="I24" s="93">
        <v>0.0</v>
      </c>
      <c r="J24" s="93">
        <v>0.0</v>
      </c>
      <c r="K24" s="93">
        <v>0.0</v>
      </c>
      <c r="L24" s="93">
        <v>0.0</v>
      </c>
      <c r="M24" s="93">
        <v>0.0</v>
      </c>
      <c r="N24" s="93">
        <v>0.0</v>
      </c>
      <c r="O24" s="93">
        <v>0.0</v>
      </c>
      <c r="P24" s="93">
        <v>0.0</v>
      </c>
      <c r="Q24" s="93">
        <v>0.0</v>
      </c>
      <c r="R24" s="93">
        <v>0.0</v>
      </c>
      <c r="S24" s="93">
        <v>0.0</v>
      </c>
      <c r="T24" s="93">
        <v>0.0</v>
      </c>
      <c r="U24" s="93">
        <v>0.0</v>
      </c>
      <c r="V24" s="93">
        <v>0.0</v>
      </c>
      <c r="W24" s="93">
        <v>0.0</v>
      </c>
      <c r="X24" s="93">
        <v>0.0</v>
      </c>
      <c r="Y24" s="93">
        <v>24.0</v>
      </c>
      <c r="Z24" s="93">
        <v>53.0</v>
      </c>
      <c r="AA24" s="93">
        <v>57.0</v>
      </c>
      <c r="AB24" s="93">
        <v>84.0</v>
      </c>
      <c r="AC24" s="93">
        <v>70.0</v>
      </c>
      <c r="AD24" s="93">
        <v>39.0</v>
      </c>
      <c r="AE24" s="93">
        <v>9.0</v>
      </c>
      <c r="AF24" s="93">
        <v>9.0</v>
      </c>
      <c r="AG24" s="93">
        <v>21.0</v>
      </c>
      <c r="AH24" s="114">
        <v>24.0</v>
      </c>
      <c r="AI24" s="114">
        <v>12.0</v>
      </c>
      <c r="AJ24" s="114">
        <v>3.0</v>
      </c>
      <c r="AK24" s="114">
        <v>3.0</v>
      </c>
      <c r="AL24" s="114">
        <v>3.0</v>
      </c>
      <c r="AM24" s="114">
        <v>9.0</v>
      </c>
      <c r="AN24" s="93">
        <v>18.0</v>
      </c>
      <c r="AO24" s="93">
        <v>15.0</v>
      </c>
      <c r="AP24" s="93">
        <v>6.0</v>
      </c>
      <c r="AQ24" s="233">
        <v>15.0</v>
      </c>
      <c r="AR24" s="233">
        <v>6.0</v>
      </c>
      <c r="AS24" s="233">
        <v>18.0</v>
      </c>
      <c r="AT24" s="69">
        <f t="shared" si="4"/>
        <v>132.0</v>
      </c>
      <c r="AU24" s="69">
        <f t="shared" si="85"/>
        <v>54.0</v>
      </c>
      <c r="AV24" s="69">
        <f t="shared" si="6"/>
        <v>59.4</v>
      </c>
      <c r="AW24" s="47">
        <f t="shared" si="86"/>
        <v>7.95918367346939</v>
      </c>
      <c r="AX24" s="47">
        <f t="shared" si="87"/>
        <v>8.57142857142857</v>
      </c>
      <c r="AY24" s="47">
        <f t="shared" si="88"/>
        <v>11.8775510204081</v>
      </c>
      <c r="AZ24" s="47">
        <f t="shared" si="89"/>
        <v>5.63265306122449</v>
      </c>
      <c r="BA24" s="47">
        <f t="shared" si="90"/>
        <v>11.0204081632653</v>
      </c>
      <c r="BB24" s="47">
        <f t="shared" si="91"/>
        <v>8.93877551020408</v>
      </c>
      <c r="BC24" s="64">
        <f t="shared" si="13"/>
        <v>53.9999999999999</v>
      </c>
      <c r="BD24" s="69">
        <f>VLOOKUP(D24,FEB23SOH,3,false)</f>
        <v>495.0</v>
      </c>
      <c r="BE24" s="201">
        <f>VLOOKUP(D24,VALUEFEB23,4,false)</f>
        <v>5.2172</v>
      </c>
      <c r="BF24" s="215">
        <f t="shared" si="16"/>
        <v>2582.514</v>
      </c>
      <c r="BI24" s="193">
        <f t="shared" si="64"/>
        <v>441.0</v>
      </c>
      <c r="BK24" s="99"/>
      <c r="BL24" s="103"/>
      <c r="BM24" s="95">
        <f t="shared" si="65"/>
        <v>495.0</v>
      </c>
      <c r="BN24" s="65">
        <f t="shared" si="66"/>
        <v>7.95918367346939</v>
      </c>
      <c r="BO24" s="65">
        <f t="shared" si="21"/>
      </c>
      <c r="BP24" s="65">
        <f t="shared" si="67"/>
        <v>487.04081632653</v>
      </c>
      <c r="BQ24" s="194">
        <f t="shared" si="68"/>
        <v>2540.98934693877</v>
      </c>
      <c r="BR24" s="65">
        <f t="shared" si="69"/>
        <v>8.57142857142857</v>
      </c>
      <c r="BS24" s="65">
        <f t="shared" si="25"/>
      </c>
      <c r="BT24" s="65">
        <f t="shared" si="70"/>
        <v>478.469387755101</v>
      </c>
      <c r="BU24" s="194">
        <f t="shared" si="71"/>
        <v>2496.27048979591</v>
      </c>
      <c r="BV24" s="65">
        <f t="shared" si="72"/>
        <v>11.8775510204081</v>
      </c>
      <c r="BW24" s="65">
        <f t="shared" si="73"/>
      </c>
      <c r="BX24" s="65">
        <f t="shared" si="74"/>
        <v>466.591836734692</v>
      </c>
      <c r="BY24" s="194">
        <f t="shared" si="75"/>
        <v>2434.30293061223</v>
      </c>
      <c r="BZ24" s="65">
        <f t="shared" si="76"/>
        <v>5.63265306122449</v>
      </c>
      <c r="CA24" s="65"/>
      <c r="CB24" s="65">
        <f t="shared" si="77"/>
        <v>460.959183673467</v>
      </c>
      <c r="CC24" s="194">
        <f t="shared" si="78"/>
        <v>2404.91625306121</v>
      </c>
      <c r="CD24" s="65">
        <f t="shared" si="79"/>
        <v>11.0204081632653</v>
      </c>
      <c r="CE24" s="65"/>
      <c r="CF24" s="65">
        <f t="shared" si="80"/>
        <v>449.938775510201</v>
      </c>
      <c r="CG24" s="194">
        <f t="shared" si="81"/>
        <v>2347.42057959182</v>
      </c>
      <c r="CH24" s="65">
        <f t="shared" si="82"/>
        <v>8.93877551020408</v>
      </c>
      <c r="CI24" s="65"/>
      <c r="CJ24" s="65">
        <f t="shared" si="83"/>
        <v>441.0</v>
      </c>
      <c r="CK24" s="194">
        <f t="shared" si="84"/>
        <v>2347.42057959182</v>
      </c>
    </row>
    <row r="25" ht="14.0">
      <c r="A25" s="93" t="s">
        <v>179</v>
      </c>
      <c r="B25" s="93" t="s">
        <v>208</v>
      </c>
      <c r="C25" s="93" t="s">
        <v>219</v>
      </c>
      <c r="D25" s="234" t="s">
        <v>220</v>
      </c>
      <c r="E25" s="93">
        <v>0.0</v>
      </c>
      <c r="F25" s="93">
        <v>0.0</v>
      </c>
      <c r="G25" s="93">
        <v>0.0</v>
      </c>
      <c r="H25" s="93">
        <v>0.0</v>
      </c>
      <c r="I25" s="93">
        <v>0.0</v>
      </c>
      <c r="J25" s="93">
        <v>0.0</v>
      </c>
      <c r="K25" s="93">
        <v>0.0</v>
      </c>
      <c r="L25" s="93">
        <v>0.0</v>
      </c>
      <c r="M25" s="93">
        <v>0.0</v>
      </c>
      <c r="N25" s="93">
        <v>0.0</v>
      </c>
      <c r="O25" s="93">
        <v>0.0</v>
      </c>
      <c r="P25" s="93">
        <v>0.0</v>
      </c>
      <c r="Q25" s="93">
        <v>0.0</v>
      </c>
      <c r="R25" s="93">
        <v>0.0</v>
      </c>
      <c r="S25" s="93">
        <v>0.0</v>
      </c>
      <c r="T25" s="93">
        <v>0.0</v>
      </c>
      <c r="U25" s="93">
        <v>0.0</v>
      </c>
      <c r="V25" s="93">
        <v>0.0</v>
      </c>
      <c r="W25" s="93">
        <v>0.0</v>
      </c>
      <c r="X25" s="93">
        <v>0.0</v>
      </c>
      <c r="Y25" s="93">
        <v>21.0</v>
      </c>
      <c r="Z25" s="93">
        <v>26.0</v>
      </c>
      <c r="AA25" s="93">
        <v>51.0</v>
      </c>
      <c r="AB25" s="93">
        <v>84.0</v>
      </c>
      <c r="AC25" s="93">
        <v>51.0</v>
      </c>
      <c r="AD25" s="93">
        <v>54.0</v>
      </c>
      <c r="AE25" s="93">
        <v>27.0</v>
      </c>
      <c r="AF25" s="93">
        <v>6.0</v>
      </c>
      <c r="AG25" s="93">
        <v>30.0</v>
      </c>
      <c r="AH25" s="114">
        <v>21.0</v>
      </c>
      <c r="AI25" s="114">
        <v>12.0</v>
      </c>
      <c r="AJ25" s="114">
        <v>12.0</v>
      </c>
      <c r="AK25" s="114">
        <v>0.0</v>
      </c>
      <c r="AL25" s="114">
        <v>12.0</v>
      </c>
      <c r="AM25" s="114">
        <v>6.0</v>
      </c>
      <c r="AN25" s="93">
        <v>18.0</v>
      </c>
      <c r="AO25" s="93">
        <v>3.0</v>
      </c>
      <c r="AP25" s="93">
        <v>12.0</v>
      </c>
      <c r="AQ25" s="233">
        <v>3.0</v>
      </c>
      <c r="AR25" s="233">
        <v>9.0</v>
      </c>
      <c r="AS25" s="233">
        <v>15.0</v>
      </c>
      <c r="AT25" s="69">
        <f t="shared" si="4"/>
        <v>123.0</v>
      </c>
      <c r="AU25" s="69">
        <f t="shared" si="85"/>
        <v>63.0</v>
      </c>
      <c r="AV25" s="69">
        <f t="shared" si="6"/>
        <v>69.3</v>
      </c>
      <c r="AW25" s="47">
        <f t="shared" si="86"/>
        <v>9.28571428571429</v>
      </c>
      <c r="AX25" s="47">
        <f t="shared" si="87"/>
        <v>10.0</v>
      </c>
      <c r="AY25" s="47">
        <f t="shared" si="88"/>
        <v>13.8571428571429</v>
      </c>
      <c r="AZ25" s="47">
        <f t="shared" si="89"/>
        <v>6.57142857142857</v>
      </c>
      <c r="BA25" s="47">
        <f t="shared" si="90"/>
        <v>12.8571428571429</v>
      </c>
      <c r="BB25" s="47">
        <f t="shared" si="91"/>
        <v>10.4285714285714</v>
      </c>
      <c r="BC25" s="64">
        <f t="shared" si="13"/>
        <v>63.0</v>
      </c>
      <c r="BD25" s="69">
        <f>VLOOKUP(D25,FEB23SOH,3,false)</f>
        <v>520.0</v>
      </c>
      <c r="BE25" s="201">
        <f>VLOOKUP(D25,VALUEFEB23,4,false)</f>
        <v>5.2093</v>
      </c>
      <c r="BF25" s="215">
        <f t="shared" si="16"/>
        <v>2708.836</v>
      </c>
      <c r="BI25" s="193">
        <f t="shared" si="64"/>
        <v>457.0</v>
      </c>
      <c r="BK25" s="99"/>
      <c r="BL25" s="103"/>
      <c r="BM25" s="95">
        <f t="shared" si="65"/>
        <v>520.0</v>
      </c>
      <c r="BN25" s="65">
        <f t="shared" si="66"/>
        <v>9.28571428571429</v>
      </c>
      <c r="BO25" s="65">
        <f t="shared" si="21"/>
      </c>
      <c r="BP25" s="65">
        <f t="shared" si="67"/>
        <v>510.714285714286</v>
      </c>
      <c r="BQ25" s="194">
        <f t="shared" si="68"/>
        <v>2660.46392857143</v>
      </c>
      <c r="BR25" s="65">
        <f t="shared" si="69"/>
        <v>10.0</v>
      </c>
      <c r="BS25" s="65">
        <f t="shared" si="25"/>
      </c>
      <c r="BT25" s="65">
        <f t="shared" si="70"/>
        <v>500.714285714286</v>
      </c>
      <c r="BU25" s="194">
        <f t="shared" si="71"/>
        <v>2608.37092857143</v>
      </c>
      <c r="BV25" s="65">
        <f t="shared" si="72"/>
        <v>13.8571428571429</v>
      </c>
      <c r="BW25" s="65">
        <f t="shared" si="73"/>
      </c>
      <c r="BX25" s="65">
        <f t="shared" si="74"/>
        <v>486.857142857143</v>
      </c>
      <c r="BY25" s="194">
        <f t="shared" si="75"/>
        <v>2536.18491428571</v>
      </c>
      <c r="BZ25" s="65">
        <f t="shared" si="76"/>
        <v>6.57142857142857</v>
      </c>
      <c r="CA25" s="65"/>
      <c r="CB25" s="65">
        <f t="shared" si="77"/>
        <v>480.285714285714</v>
      </c>
      <c r="CC25" s="194">
        <f t="shared" si="78"/>
        <v>2501.95237142857</v>
      </c>
      <c r="CD25" s="65">
        <f t="shared" si="79"/>
        <v>12.8571428571429</v>
      </c>
      <c r="CE25" s="65"/>
      <c r="CF25" s="65">
        <f t="shared" si="80"/>
        <v>467.428571428571</v>
      </c>
      <c r="CG25" s="194">
        <f t="shared" si="81"/>
        <v>2434.97565714285</v>
      </c>
      <c r="CH25" s="65">
        <f t="shared" si="82"/>
        <v>10.4285714285714</v>
      </c>
      <c r="CI25" s="65"/>
      <c r="CJ25" s="65">
        <f t="shared" si="83"/>
        <v>457.0</v>
      </c>
      <c r="CK25" s="194">
        <f t="shared" si="84"/>
        <v>2434.97565714285</v>
      </c>
    </row>
    <row r="26" ht="14.0" customFormat="1" s="47">
      <c r="A26" s="47" t="s">
        <v>569</v>
      </c>
      <c r="B26" s="47" t="s">
        <v>208</v>
      </c>
      <c r="C26" s="47" t="s">
        <v>570</v>
      </c>
      <c r="D26" s="185" t="s">
        <v>571</v>
      </c>
      <c r="E26" s="47">
        <v>0.0</v>
      </c>
      <c r="F26" s="47">
        <v>0.0</v>
      </c>
      <c r="G26" s="47">
        <v>0.0</v>
      </c>
      <c r="H26" s="47">
        <v>0.0</v>
      </c>
      <c r="I26" s="47">
        <v>0.0</v>
      </c>
      <c r="J26" s="47">
        <v>0.0</v>
      </c>
      <c r="K26" s="47">
        <v>0.0</v>
      </c>
      <c r="L26" s="47">
        <v>0.0</v>
      </c>
      <c r="M26" s="47">
        <v>0.0</v>
      </c>
      <c r="N26" s="47">
        <v>0.0</v>
      </c>
      <c r="O26" s="47">
        <v>0.0</v>
      </c>
      <c r="P26" s="47">
        <v>0.0</v>
      </c>
      <c r="Q26" s="47">
        <v>0.0</v>
      </c>
      <c r="R26" s="47">
        <v>0.0</v>
      </c>
      <c r="S26" s="47">
        <v>0.0</v>
      </c>
      <c r="T26" s="47">
        <v>0.0</v>
      </c>
      <c r="U26" s="47">
        <v>0.0</v>
      </c>
      <c r="V26" s="47">
        <v>0.0</v>
      </c>
      <c r="W26" s="47">
        <v>0.0</v>
      </c>
      <c r="X26" s="47">
        <v>0.0</v>
      </c>
      <c r="Y26" s="47">
        <v>0.0</v>
      </c>
      <c r="Z26" s="47">
        <v>0.0</v>
      </c>
      <c r="AA26" s="47">
        <v>0.0</v>
      </c>
      <c r="AB26" s="47">
        <v>0.0</v>
      </c>
      <c r="AC26" s="47">
        <v>0.0</v>
      </c>
      <c r="AD26" s="47">
        <v>0.0</v>
      </c>
      <c r="AE26" s="47">
        <v>0.0</v>
      </c>
      <c r="AF26" s="47">
        <v>0.0</v>
      </c>
      <c r="AG26" s="47">
        <v>0.0</v>
      </c>
      <c r="AH26" s="47">
        <v>0.0</v>
      </c>
      <c r="AI26" s="47">
        <v>0.0</v>
      </c>
      <c r="AJ26" s="47">
        <v>0.0</v>
      </c>
      <c r="AK26" s="47">
        <v>0.0</v>
      </c>
      <c r="AL26" s="47">
        <v>0.0</v>
      </c>
      <c r="AM26" s="47">
        <v>0.0</v>
      </c>
      <c r="AN26" s="237">
        <v>30.0</v>
      </c>
      <c r="AO26" s="237">
        <v>21.0</v>
      </c>
      <c r="AP26" s="237">
        <v>33.0</v>
      </c>
      <c r="AQ26" s="231">
        <v>18.0</v>
      </c>
      <c r="AR26" s="231">
        <v>3.0</v>
      </c>
      <c r="AS26" s="231">
        <v>11.0</v>
      </c>
      <c r="AT26" s="69">
        <f t="shared" si="4"/>
        <v>116.0</v>
      </c>
      <c r="AU26" s="69">
        <f t="shared" ref="AU26:AU38" si="92">SUM(AN26:AS26)</f>
        <v>116.0</v>
      </c>
      <c r="AV26" s="69">
        <f t="shared" si="6"/>
        <v>127.6</v>
      </c>
      <c r="AW26" s="47">
        <f t="shared" ref="AW26:AW32" si="93">AV26*$AW$4/$AV$4</f>
        <v>13.4883720930232</v>
      </c>
      <c r="AX26" s="47">
        <f t="shared" ref="AX26:AX32" si="94">AV26*$AX$4/$AV$4</f>
        <v>14.525939177102</v>
      </c>
      <c r="AY26" s="47">
        <f t="shared" ref="AY26:AY32" si="95">AV26*$AY$4/$AV$4</f>
        <v>20.128801431127</v>
      </c>
      <c r="AZ26" s="47">
        <f t="shared" ref="AZ26:AZ32" si="96">AV26*$AZ$4/$AV$4</f>
        <v>9.54561717352415</v>
      </c>
      <c r="BA26" s="47">
        <f t="shared" ref="BA26:BA32" si="97">AV26*$BA$4/$AV$4</f>
        <v>18.6762075134168</v>
      </c>
      <c r="BB26" s="47">
        <f t="shared" ref="BB26:BB32" si="98">AV26*$BB$4/$AV$4</f>
        <v>15.1484794275491</v>
      </c>
      <c r="BC26" s="64">
        <f t="shared" si="13"/>
        <v>91.5134168157422</v>
      </c>
      <c r="BD26" s="69">
        <f>VLOOKUP(D26,FEB23SOH,3,false)</f>
        <v>423.0</v>
      </c>
      <c r="BE26" s="201">
        <f>VLOOKUP(D26,VALUEFEB23,4,false)</f>
        <v>4.8512</v>
      </c>
      <c r="BF26" s="215">
        <f t="shared" si="16"/>
        <v>2052.0576</v>
      </c>
      <c r="BG26" s="64"/>
      <c r="BH26" s="64"/>
      <c r="BI26" s="193">
        <f t="shared" si="64"/>
        <v>331.486583184258</v>
      </c>
      <c r="BJ26" s="217"/>
      <c r="BL26" s="103"/>
      <c r="BM26" s="95">
        <f t="shared" si="65"/>
        <v>423.0</v>
      </c>
      <c r="BN26" s="65">
        <f t="shared" si="66"/>
        <v>13.4883720930232</v>
      </c>
      <c r="BO26" s="65">
        <f t="shared" si="21"/>
      </c>
      <c r="BP26" s="65">
        <f t="shared" si="67"/>
        <v>409.511627906977</v>
      </c>
      <c r="BQ26" s="194">
        <f t="shared" si="68"/>
        <v>1986.62280930232</v>
      </c>
      <c r="BR26" s="65">
        <f t="shared" si="69"/>
        <v>14.525939177102</v>
      </c>
      <c r="BS26" s="65">
        <f t="shared" si="25"/>
      </c>
      <c r="BT26" s="65">
        <f t="shared" si="70"/>
        <v>394.985688729875</v>
      </c>
      <c r="BU26" s="194">
        <f t="shared" si="71"/>
        <v>1916.15457316637</v>
      </c>
      <c r="BV26" s="65">
        <f t="shared" si="72"/>
        <v>20.128801431127</v>
      </c>
      <c r="BW26" s="65">
        <f t="shared" si="73"/>
      </c>
      <c r="BX26" s="65">
        <f t="shared" si="74"/>
        <v>374.856887298748</v>
      </c>
      <c r="BY26" s="194">
        <f t="shared" si="75"/>
        <v>1818.50573166369</v>
      </c>
      <c r="BZ26" s="65">
        <f t="shared" si="76"/>
        <v>9.54561717352415</v>
      </c>
      <c r="CA26" s="65"/>
      <c r="CB26" s="65">
        <f t="shared" si="77"/>
        <v>365.311270125223</v>
      </c>
      <c r="CC26" s="194">
        <f t="shared" si="78"/>
        <v>1772.19803363148</v>
      </c>
      <c r="CD26" s="65">
        <f t="shared" si="79"/>
        <v>18.6762075134168</v>
      </c>
      <c r="CE26" s="65"/>
      <c r="CF26" s="65">
        <f t="shared" si="80"/>
        <v>346.635062611806</v>
      </c>
      <c r="CG26" s="194">
        <f t="shared" si="81"/>
        <v>1681.59601574239</v>
      </c>
      <c r="CH26" s="65">
        <f t="shared" si="82"/>
        <v>15.1484794275491</v>
      </c>
      <c r="CI26" s="65"/>
      <c r="CJ26" s="65">
        <f t="shared" si="83"/>
        <v>331.48658318426</v>
      </c>
      <c r="CK26" s="194">
        <f t="shared" si="84"/>
        <v>1681.59601574239</v>
      </c>
    </row>
    <row r="27" ht="14.0">
      <c r="A27" s="93" t="s">
        <v>179</v>
      </c>
      <c r="B27" s="93" t="s">
        <v>208</v>
      </c>
      <c r="C27" s="93" t="s">
        <v>221</v>
      </c>
      <c r="D27" s="229" t="s">
        <v>222</v>
      </c>
      <c r="E27" s="93">
        <v>0.0</v>
      </c>
      <c r="F27" s="93">
        <v>0.0</v>
      </c>
      <c r="G27" s="93">
        <v>0.0</v>
      </c>
      <c r="H27" s="93">
        <v>0.0</v>
      </c>
      <c r="I27" s="93">
        <v>0.0</v>
      </c>
      <c r="J27" s="93">
        <v>0.0</v>
      </c>
      <c r="K27" s="93">
        <v>0.0</v>
      </c>
      <c r="L27" s="93">
        <v>0.0</v>
      </c>
      <c r="M27" s="93">
        <v>0.0</v>
      </c>
      <c r="N27" s="93">
        <v>0.0</v>
      </c>
      <c r="O27" s="93">
        <v>0.0</v>
      </c>
      <c r="P27" s="93">
        <v>0.0</v>
      </c>
      <c r="Q27" s="93">
        <v>0.0</v>
      </c>
      <c r="R27" s="93">
        <v>0.0</v>
      </c>
      <c r="S27" s="93">
        <v>0.0</v>
      </c>
      <c r="T27" s="93">
        <v>0.0</v>
      </c>
      <c r="U27" s="93">
        <v>0.0</v>
      </c>
      <c r="V27" s="93">
        <v>0.0</v>
      </c>
      <c r="W27" s="93">
        <v>0.0</v>
      </c>
      <c r="X27" s="93">
        <v>0.0</v>
      </c>
      <c r="Y27" s="93">
        <v>0.0</v>
      </c>
      <c r="Z27" s="93">
        <v>0.0</v>
      </c>
      <c r="AA27" s="93">
        <v>0.0</v>
      </c>
      <c r="AB27" s="93">
        <v>0.0</v>
      </c>
      <c r="AC27" s="93">
        <v>0.0</v>
      </c>
      <c r="AD27" s="93">
        <v>0.0</v>
      </c>
      <c r="AE27" s="93">
        <v>0.0</v>
      </c>
      <c r="AF27" s="93">
        <v>0.0</v>
      </c>
      <c r="AG27" s="93">
        <v>0.0</v>
      </c>
      <c r="AH27" s="93">
        <v>0.0</v>
      </c>
      <c r="AI27" s="93">
        <v>121.0</v>
      </c>
      <c r="AJ27" s="93">
        <v>120.0</v>
      </c>
      <c r="AK27" s="93">
        <v>39.0</v>
      </c>
      <c r="AL27" s="93">
        <v>48.0</v>
      </c>
      <c r="AM27" s="93">
        <v>48.0</v>
      </c>
      <c r="AN27" s="230">
        <v>88.0</v>
      </c>
      <c r="AO27" s="230">
        <v>73.0</v>
      </c>
      <c r="AP27" s="230">
        <v>75.0</v>
      </c>
      <c r="AQ27" s="231">
        <v>42.0</v>
      </c>
      <c r="AR27" s="231">
        <v>24.0</v>
      </c>
      <c r="AS27" s="231">
        <v>29.0</v>
      </c>
      <c r="AT27" s="69">
        <f t="shared" si="4"/>
        <v>707.0</v>
      </c>
      <c r="AU27" s="69">
        <f t="shared" si="92"/>
        <v>331.0</v>
      </c>
      <c r="AV27" s="69">
        <f t="shared" si="6"/>
        <v>364.1</v>
      </c>
      <c r="AW27" s="47">
        <f t="shared" si="93"/>
        <v>38.4883720930232</v>
      </c>
      <c r="AX27" s="47">
        <f t="shared" si="94"/>
        <v>41.4490161001789</v>
      </c>
      <c r="AY27" s="47">
        <f t="shared" si="95"/>
        <v>57.4364937388193</v>
      </c>
      <c r="AZ27" s="47">
        <f t="shared" si="96"/>
        <v>27.2379248658318</v>
      </c>
      <c r="BA27" s="47">
        <f t="shared" si="97"/>
        <v>53.2915921288014</v>
      </c>
      <c r="BB27" s="47">
        <f t="shared" si="98"/>
        <v>43.2254025044722</v>
      </c>
      <c r="BC27" s="64">
        <f t="shared" si="13"/>
        <v>261.12880143112</v>
      </c>
      <c r="BD27" s="69">
        <f>VLOOKUP(D27,FEB23SOH,3,false)</f>
        <v>303.0</v>
      </c>
      <c r="BE27" s="201">
        <f>VLOOKUP(D27,VALUEFEB23,4,false)</f>
        <v>4.8516</v>
      </c>
      <c r="BF27" s="215">
        <f t="shared" si="16"/>
        <v>1470.0348</v>
      </c>
      <c r="BI27" s="193">
        <f t="shared" si="64"/>
        <v>41.87119856888</v>
      </c>
      <c r="BJ27" s="217">
        <v>501.0</v>
      </c>
      <c r="BL27" s="103"/>
      <c r="BM27" s="95">
        <f t="shared" si="65"/>
        <v>303.0</v>
      </c>
      <c r="BN27" s="65">
        <f t="shared" si="66"/>
        <v>38.4883720930232</v>
      </c>
      <c r="BO27" s="65">
        <f t="shared" si="21"/>
      </c>
      <c r="BP27" s="65">
        <f t="shared" si="67"/>
        <v>264.511627906977</v>
      </c>
      <c r="BQ27" s="194">
        <f t="shared" si="68"/>
        <v>1283.30461395349</v>
      </c>
      <c r="BR27" s="65">
        <f t="shared" si="69"/>
        <v>41.4490161001789</v>
      </c>
      <c r="BS27" s="65">
        <f t="shared" si="25"/>
      </c>
      <c r="BT27" s="65">
        <f t="shared" si="70"/>
        <v>223.062611806798</v>
      </c>
      <c r="BU27" s="194">
        <f t="shared" si="71"/>
        <v>1082.21056744186</v>
      </c>
      <c r="BV27" s="65">
        <f t="shared" si="72"/>
        <v>57.4364937388193</v>
      </c>
      <c r="BW27" s="65">
        <f t="shared" si="73"/>
      </c>
      <c r="BX27" s="65">
        <f t="shared" si="74"/>
        <v>165.626118067979</v>
      </c>
      <c r="BY27" s="194">
        <f t="shared" si="75"/>
        <v>803.551674418607</v>
      </c>
      <c r="BZ27" s="65">
        <f t="shared" si="76"/>
        <v>27.2379248658318</v>
      </c>
      <c r="CA27" s="65"/>
      <c r="CB27" s="65">
        <f t="shared" si="77"/>
        <v>138.388193202147</v>
      </c>
      <c r="CC27" s="194">
        <f t="shared" si="78"/>
        <v>671.404158139536</v>
      </c>
      <c r="CD27" s="65">
        <f t="shared" si="79"/>
        <v>53.2915921288014</v>
      </c>
      <c r="CE27" s="65"/>
      <c r="CF27" s="65">
        <f t="shared" si="80"/>
        <v>85.0966010733456</v>
      </c>
      <c r="CG27" s="194">
        <f t="shared" si="81"/>
        <v>412.854669767443</v>
      </c>
      <c r="CH27" s="65">
        <f t="shared" si="82"/>
        <v>43.2254025044722</v>
      </c>
      <c r="CI27" s="65"/>
      <c r="CJ27" s="65">
        <f t="shared" si="83"/>
        <v>41.8711985688733</v>
      </c>
      <c r="CK27" s="194">
        <f t="shared" si="84"/>
        <v>412.854669767443</v>
      </c>
    </row>
    <row r="28" ht="14.0">
      <c r="A28" s="93" t="s">
        <v>179</v>
      </c>
      <c r="B28" s="93" t="s">
        <v>208</v>
      </c>
      <c r="C28" s="93" t="s">
        <v>223</v>
      </c>
      <c r="D28" s="229" t="s">
        <v>224</v>
      </c>
      <c r="E28" s="93">
        <v>0.0</v>
      </c>
      <c r="F28" s="93">
        <v>0.0</v>
      </c>
      <c r="G28" s="93">
        <v>0.0</v>
      </c>
      <c r="H28" s="93">
        <v>0.0</v>
      </c>
      <c r="I28" s="93">
        <v>0.0</v>
      </c>
      <c r="J28" s="93">
        <v>0.0</v>
      </c>
      <c r="K28" s="93">
        <v>0.0</v>
      </c>
      <c r="L28" s="93">
        <v>0.0</v>
      </c>
      <c r="M28" s="93">
        <v>0.0</v>
      </c>
      <c r="N28" s="93">
        <v>0.0</v>
      </c>
      <c r="O28" s="93">
        <v>0.0</v>
      </c>
      <c r="P28" s="93">
        <v>0.0</v>
      </c>
      <c r="Q28" s="93">
        <v>0.0</v>
      </c>
      <c r="R28" s="93">
        <v>0.0</v>
      </c>
      <c r="S28" s="93">
        <v>0.0</v>
      </c>
      <c r="T28" s="93">
        <v>0.0</v>
      </c>
      <c r="U28" s="93">
        <v>0.0</v>
      </c>
      <c r="V28" s="93">
        <v>0.0</v>
      </c>
      <c r="W28" s="93">
        <v>0.0</v>
      </c>
      <c r="X28" s="93">
        <v>0.0</v>
      </c>
      <c r="Y28" s="93">
        <v>0.0</v>
      </c>
      <c r="Z28" s="93">
        <v>0.0</v>
      </c>
      <c r="AA28" s="93">
        <v>0.0</v>
      </c>
      <c r="AB28" s="93">
        <v>0.0</v>
      </c>
      <c r="AC28" s="93">
        <v>0.0</v>
      </c>
      <c r="AD28" s="93">
        <v>0.0</v>
      </c>
      <c r="AE28" s="93">
        <v>0.0</v>
      </c>
      <c r="AF28" s="93">
        <v>0.0</v>
      </c>
      <c r="AG28" s="93">
        <v>0.0</v>
      </c>
      <c r="AH28" s="93">
        <v>0.0</v>
      </c>
      <c r="AI28" s="93">
        <v>74.0</v>
      </c>
      <c r="AJ28" s="93">
        <v>90.0</v>
      </c>
      <c r="AK28" s="93">
        <v>33.0</v>
      </c>
      <c r="AL28" s="93">
        <v>21.0</v>
      </c>
      <c r="AM28" s="93">
        <v>27.0</v>
      </c>
      <c r="AN28" s="230">
        <v>54.0</v>
      </c>
      <c r="AO28" s="230">
        <v>33.0</v>
      </c>
      <c r="AP28" s="230">
        <v>39.0</v>
      </c>
      <c r="AQ28" s="231">
        <v>15.0</v>
      </c>
      <c r="AR28" s="231">
        <v>3.0</v>
      </c>
      <c r="AS28" s="231">
        <v>7.0</v>
      </c>
      <c r="AT28" s="69">
        <f t="shared" si="4"/>
        <v>396.0</v>
      </c>
      <c r="AU28" s="69">
        <f t="shared" si="92"/>
        <v>151.0</v>
      </c>
      <c r="AV28" s="69">
        <f t="shared" si="6"/>
        <v>166.1</v>
      </c>
      <c r="AW28" s="47">
        <f t="shared" si="93"/>
        <v>17.5581395348837</v>
      </c>
      <c r="AX28" s="47">
        <f t="shared" si="94"/>
        <v>18.9087656529517</v>
      </c>
      <c r="AY28" s="47">
        <f t="shared" si="95"/>
        <v>26.2021466905188</v>
      </c>
      <c r="AZ28" s="47">
        <f t="shared" si="96"/>
        <v>12.4257602862254</v>
      </c>
      <c r="BA28" s="47">
        <f t="shared" si="97"/>
        <v>24.3112701252236</v>
      </c>
      <c r="BB28" s="47">
        <f t="shared" si="98"/>
        <v>19.7191413237924</v>
      </c>
      <c r="BC28" s="64">
        <f t="shared" si="13"/>
        <v>119.1252236136</v>
      </c>
      <c r="BD28" s="69">
        <f>VLOOKUP(D28,FEB23SOH,3,false)</f>
        <v>634.0</v>
      </c>
      <c r="BE28" s="201">
        <f>VLOOKUP(D28,VALUEFEB23,4,false)</f>
        <v>4.91</v>
      </c>
      <c r="BF28" s="215">
        <f t="shared" si="16"/>
        <v>3112.94</v>
      </c>
      <c r="BI28" s="193">
        <f t="shared" si="64"/>
        <v>514.8747763864</v>
      </c>
      <c r="BL28" s="103"/>
      <c r="BM28" s="95">
        <f t="shared" si="65"/>
        <v>634.0</v>
      </c>
      <c r="BN28" s="65">
        <f t="shared" si="66"/>
        <v>17.5581395348837</v>
      </c>
      <c r="BO28" s="65">
        <f t="shared" si="21"/>
      </c>
      <c r="BP28" s="65">
        <f t="shared" si="67"/>
        <v>616.441860465116</v>
      </c>
      <c r="BQ28" s="194">
        <f t="shared" si="68"/>
        <v>3026.72953488371</v>
      </c>
      <c r="BR28" s="65">
        <f t="shared" si="69"/>
        <v>18.9087656529517</v>
      </c>
      <c r="BS28" s="65">
        <f t="shared" si="25"/>
      </c>
      <c r="BT28" s="65">
        <f t="shared" si="70"/>
        <v>597.533094812164</v>
      </c>
      <c r="BU28" s="194">
        <f t="shared" si="71"/>
        <v>2933.88749552772</v>
      </c>
      <c r="BV28" s="65">
        <f t="shared" si="72"/>
        <v>26.2021466905188</v>
      </c>
      <c r="BW28" s="65">
        <f t="shared" si="73"/>
      </c>
      <c r="BX28" s="65">
        <f t="shared" si="74"/>
        <v>571.330948121645</v>
      </c>
      <c r="BY28" s="194">
        <f t="shared" si="75"/>
        <v>2805.23495527728</v>
      </c>
      <c r="BZ28" s="65">
        <f t="shared" si="76"/>
        <v>12.4257602862254</v>
      </c>
      <c r="CA28" s="65"/>
      <c r="CB28" s="65">
        <f t="shared" si="77"/>
        <v>558.90518783542</v>
      </c>
      <c r="CC28" s="194">
        <f t="shared" si="78"/>
        <v>2744.22447227191</v>
      </c>
      <c r="CD28" s="65">
        <f t="shared" si="79"/>
        <v>24.3112701252236</v>
      </c>
      <c r="CE28" s="65"/>
      <c r="CF28" s="65">
        <f t="shared" si="80"/>
        <v>534.593917710196</v>
      </c>
      <c r="CG28" s="194">
        <f t="shared" si="81"/>
        <v>2624.85613595706</v>
      </c>
      <c r="CH28" s="65">
        <f t="shared" si="82"/>
        <v>19.7191413237924</v>
      </c>
      <c r="CI28" s="65"/>
      <c r="CJ28" s="65">
        <f t="shared" si="83"/>
        <v>514.874776386403</v>
      </c>
      <c r="CK28" s="194">
        <f t="shared" si="84"/>
        <v>2624.85613595706</v>
      </c>
    </row>
    <row r="29" ht="14.0">
      <c r="A29" s="93" t="s">
        <v>179</v>
      </c>
      <c r="B29" s="93" t="s">
        <v>63</v>
      </c>
      <c r="C29" s="93" t="s">
        <v>225</v>
      </c>
      <c r="D29" s="229" t="s">
        <v>226</v>
      </c>
      <c r="E29" s="93">
        <v>0.0</v>
      </c>
      <c r="F29" s="93">
        <v>0.0</v>
      </c>
      <c r="G29" s="93">
        <v>0.0</v>
      </c>
      <c r="H29" s="93">
        <v>0.0</v>
      </c>
      <c r="I29" s="93">
        <v>0.0</v>
      </c>
      <c r="J29" s="93">
        <v>0.0</v>
      </c>
      <c r="K29" s="93">
        <v>0.0</v>
      </c>
      <c r="L29" s="93">
        <v>0.0</v>
      </c>
      <c r="M29" s="93">
        <v>0.0</v>
      </c>
      <c r="N29" s="93">
        <v>0.0</v>
      </c>
      <c r="O29" s="93">
        <v>0.0</v>
      </c>
      <c r="P29" s="93">
        <v>0.0</v>
      </c>
      <c r="Q29" s="93">
        <v>0.0</v>
      </c>
      <c r="R29" s="93">
        <v>0.0</v>
      </c>
      <c r="S29" s="93">
        <v>0.0</v>
      </c>
      <c r="T29" s="93">
        <v>0.0</v>
      </c>
      <c r="U29" s="93">
        <v>0.0</v>
      </c>
      <c r="V29" s="93">
        <v>0.0</v>
      </c>
      <c r="W29" s="93">
        <v>0.0</v>
      </c>
      <c r="X29" s="93">
        <v>0.0</v>
      </c>
      <c r="Y29" s="93">
        <v>0.0</v>
      </c>
      <c r="Z29" s="93">
        <v>0.0</v>
      </c>
      <c r="AA29" s="93">
        <v>0.0</v>
      </c>
      <c r="AB29" s="93">
        <v>0.0</v>
      </c>
      <c r="AC29" s="93">
        <v>0.0</v>
      </c>
      <c r="AD29" s="93">
        <v>0.0</v>
      </c>
      <c r="AE29" s="93">
        <v>0.0</v>
      </c>
      <c r="AF29" s="93">
        <v>0.0</v>
      </c>
      <c r="AG29" s="93">
        <v>0.0</v>
      </c>
      <c r="AH29" s="93">
        <v>27.0</v>
      </c>
      <c r="AI29" s="93">
        <v>189.0</v>
      </c>
      <c r="AJ29" s="93">
        <v>195.0</v>
      </c>
      <c r="AK29" s="93">
        <v>88.0</v>
      </c>
      <c r="AL29" s="93">
        <v>90.0</v>
      </c>
      <c r="AM29" s="93">
        <v>92.0</v>
      </c>
      <c r="AN29" s="230">
        <v>160.0</v>
      </c>
      <c r="AO29" s="230">
        <v>306.0</v>
      </c>
      <c r="AP29" s="230">
        <v>213.0</v>
      </c>
      <c r="AQ29" s="231">
        <v>112.0</v>
      </c>
      <c r="AR29" s="231">
        <v>3.0</v>
      </c>
      <c r="AS29" s="231">
        <v>10.0</v>
      </c>
      <c r="AT29" s="69">
        <f t="shared" si="4"/>
        <v>1485.0</v>
      </c>
      <c r="AU29" s="69">
        <f t="shared" si="92"/>
        <v>804.0</v>
      </c>
      <c r="AV29" s="69">
        <f t="shared" si="6"/>
        <v>884.4</v>
      </c>
      <c r="AW29" s="47">
        <f t="shared" si="93"/>
        <v>93.4883720930232</v>
      </c>
      <c r="AX29" s="47">
        <f t="shared" si="94"/>
        <v>100.679785330948</v>
      </c>
      <c r="AY29" s="47">
        <f t="shared" si="95"/>
        <v>139.513416815742</v>
      </c>
      <c r="AZ29" s="47">
        <f t="shared" si="96"/>
        <v>66.1610017889088</v>
      </c>
      <c r="BA29" s="47">
        <f t="shared" si="97"/>
        <v>129.44543828264</v>
      </c>
      <c r="BB29" s="47">
        <f t="shared" si="98"/>
        <v>104.994633273703</v>
      </c>
      <c r="BC29" s="64">
        <f t="shared" si="13"/>
        <v>634.282647584965</v>
      </c>
      <c r="BD29" s="69">
        <f>VLOOKUP(D29,FEB23SOH,3,false)</f>
        <v>-3.0</v>
      </c>
      <c r="BE29" s="201">
        <f>VLOOKUP(D29,VALUEFEB23,4,false)</f>
      </c>
      <c r="BF29" s="215">
        <f t="shared" si="16"/>
        <v>0.0</v>
      </c>
      <c r="BH29" s="64">
        <f>VLOOKUP(C29,AFTERCNY,3,false)</f>
        <v>714.0</v>
      </c>
      <c r="BI29" s="193">
        <f t="shared" si="64"/>
        <v>76.717352415035</v>
      </c>
      <c r="BJ29" s="217">
        <v>501.0</v>
      </c>
      <c r="BL29" s="103"/>
      <c r="BM29" s="95">
        <f t="shared" si="65"/>
        <v>-3.0</v>
      </c>
      <c r="BN29" s="65">
        <f t="shared" si="66"/>
        <v>93.4883720930232</v>
      </c>
      <c r="BO29" s="65">
        <f t="shared" si="21"/>
      </c>
      <c r="BP29" s="65">
        <f t="shared" si="67"/>
        <v>-96.4883720930232</v>
      </c>
      <c r="BQ29" s="194">
        <f t="shared" si="68"/>
        <v>0.0</v>
      </c>
      <c r="BR29" s="65">
        <f t="shared" si="69"/>
        <v>100.679785330948</v>
      </c>
      <c r="BS29" s="65">
        <f t="shared" si="25"/>
        <v>714.0</v>
      </c>
      <c r="BT29" s="65">
        <f t="shared" si="70"/>
        <v>516.831842576029</v>
      </c>
      <c r="BU29" s="194">
        <f t="shared" si="71"/>
        <v>0.0</v>
      </c>
      <c r="BV29" s="65">
        <f t="shared" si="72"/>
        <v>139.513416815742</v>
      </c>
      <c r="BW29" s="65">
        <f t="shared" si="73"/>
        <v>714.0</v>
      </c>
      <c r="BX29" s="65">
        <f t="shared" si="74"/>
        <v>1091.31842576028</v>
      </c>
      <c r="BY29" s="194">
        <f t="shared" si="75"/>
        <v>0.0</v>
      </c>
      <c r="BZ29" s="65">
        <f t="shared" si="76"/>
        <v>66.1610017889088</v>
      </c>
      <c r="CA29" s="65"/>
      <c r="CB29" s="65">
        <f t="shared" si="77"/>
        <v>1025.15742397137</v>
      </c>
      <c r="CC29" s="194">
        <f t="shared" si="78"/>
        <v>0.0</v>
      </c>
      <c r="CD29" s="65">
        <f t="shared" si="79"/>
        <v>129.44543828264</v>
      </c>
      <c r="CE29" s="65"/>
      <c r="CF29" s="65">
        <f t="shared" si="80"/>
        <v>895.71198568873</v>
      </c>
      <c r="CG29" s="194">
        <f t="shared" si="81"/>
        <v>0.0</v>
      </c>
      <c r="CH29" s="65">
        <f t="shared" si="82"/>
        <v>104.994633273703</v>
      </c>
      <c r="CI29" s="65"/>
      <c r="CJ29" s="65">
        <f t="shared" si="83"/>
        <v>790.717352415027</v>
      </c>
      <c r="CK29" s="194">
        <f t="shared" si="84"/>
        <v>0.0</v>
      </c>
    </row>
    <row r="30" ht="14.0" customFormat="1" s="47">
      <c r="A30" s="93" t="s">
        <v>179</v>
      </c>
      <c r="B30" s="93" t="s">
        <v>63</v>
      </c>
      <c r="C30" s="93" t="s">
        <v>227</v>
      </c>
      <c r="D30" s="229" t="s">
        <v>228</v>
      </c>
      <c r="E30" s="93">
        <v>0.0</v>
      </c>
      <c r="F30" s="93">
        <v>0.0</v>
      </c>
      <c r="G30" s="93">
        <v>0.0</v>
      </c>
      <c r="H30" s="93">
        <v>0.0</v>
      </c>
      <c r="I30" s="93">
        <v>0.0</v>
      </c>
      <c r="J30" s="93">
        <v>0.0</v>
      </c>
      <c r="K30" s="93">
        <v>0.0</v>
      </c>
      <c r="L30" s="93">
        <v>0.0</v>
      </c>
      <c r="M30" s="93">
        <v>0.0</v>
      </c>
      <c r="N30" s="93">
        <v>0.0</v>
      </c>
      <c r="O30" s="93">
        <v>0.0</v>
      </c>
      <c r="P30" s="93">
        <v>0.0</v>
      </c>
      <c r="Q30" s="93">
        <v>0.0</v>
      </c>
      <c r="R30" s="93">
        <v>0.0</v>
      </c>
      <c r="S30" s="93">
        <v>0.0</v>
      </c>
      <c r="T30" s="93">
        <v>0.0</v>
      </c>
      <c r="U30" s="93">
        <v>0.0</v>
      </c>
      <c r="V30" s="93">
        <v>0.0</v>
      </c>
      <c r="W30" s="93">
        <v>0.0</v>
      </c>
      <c r="X30" s="93">
        <v>0.0</v>
      </c>
      <c r="Y30" s="93">
        <v>0.0</v>
      </c>
      <c r="Z30" s="93">
        <v>0.0</v>
      </c>
      <c r="AA30" s="93">
        <v>0.0</v>
      </c>
      <c r="AB30" s="93">
        <v>0.0</v>
      </c>
      <c r="AC30" s="93">
        <v>0.0</v>
      </c>
      <c r="AD30" s="93">
        <v>0.0</v>
      </c>
      <c r="AE30" s="93">
        <v>0.0</v>
      </c>
      <c r="AF30" s="93">
        <v>0.0</v>
      </c>
      <c r="AG30" s="93">
        <v>0.0</v>
      </c>
      <c r="AH30" s="93">
        <v>21.0</v>
      </c>
      <c r="AI30" s="93">
        <v>169.0</v>
      </c>
      <c r="AJ30" s="93">
        <v>153.0</v>
      </c>
      <c r="AK30" s="93">
        <v>99.0</v>
      </c>
      <c r="AL30" s="93">
        <v>54.0</v>
      </c>
      <c r="AM30" s="93">
        <v>66.0</v>
      </c>
      <c r="AN30" s="230">
        <v>126.0</v>
      </c>
      <c r="AO30" s="230">
        <v>147.0</v>
      </c>
      <c r="AP30" s="230">
        <v>114.0</v>
      </c>
      <c r="AQ30" s="231">
        <v>78.0</v>
      </c>
      <c r="AR30" s="231">
        <v>51.0</v>
      </c>
      <c r="AS30" s="231">
        <v>113.0</v>
      </c>
      <c r="AT30" s="69">
        <f t="shared" si="4"/>
        <v>1191.0</v>
      </c>
      <c r="AU30" s="69">
        <f t="shared" si="92"/>
        <v>629.0</v>
      </c>
      <c r="AV30" s="69">
        <f t="shared" si="6"/>
        <v>691.9</v>
      </c>
      <c r="AW30" s="47">
        <f t="shared" si="93"/>
        <v>73.1395348837209</v>
      </c>
      <c r="AX30" s="47">
        <f t="shared" si="94"/>
        <v>78.7656529516994</v>
      </c>
      <c r="AY30" s="47">
        <f t="shared" si="95"/>
        <v>109.146690518783</v>
      </c>
      <c r="AZ30" s="47">
        <f t="shared" si="96"/>
        <v>51.7602862254025</v>
      </c>
      <c r="BA30" s="47">
        <f t="shared" si="97"/>
        <v>101.270125223613</v>
      </c>
      <c r="BB30" s="47">
        <f t="shared" si="98"/>
        <v>82.1413237924866</v>
      </c>
      <c r="BC30" s="64">
        <f t="shared" si="13"/>
        <v>496.223613595705</v>
      </c>
      <c r="BD30" s="69">
        <f>VLOOKUP(D30,FEB23SOH,3,false)</f>
        <v>258.0</v>
      </c>
      <c r="BE30" s="201">
        <f>VLOOKUP(D30,VALUEFEB23,4,false)</f>
        <v>1.5562</v>
      </c>
      <c r="BF30" s="215">
        <f t="shared" si="16"/>
        <v>401.4996</v>
      </c>
      <c r="BG30" s="64"/>
      <c r="BH30" s="64"/>
      <c r="BI30" s="193">
        <f t="shared" si="64"/>
        <v>-238.223613595705</v>
      </c>
      <c r="BJ30" s="217">
        <v>501.0</v>
      </c>
      <c r="BK30" s="185">
        <f t="shared" ref="BK30:BK31" si="100">BJ30</f>
        <v>501.0</v>
      </c>
      <c r="BL30" s="103" t="s">
        <v>520</v>
      </c>
      <c r="BM30" s="95">
        <f t="shared" si="65"/>
        <v>258.0</v>
      </c>
      <c r="BN30" s="65">
        <f t="shared" si="66"/>
        <v>73.1395348837209</v>
      </c>
      <c r="BO30" s="65">
        <f t="shared" si="21"/>
      </c>
      <c r="BP30" s="65">
        <f t="shared" si="67"/>
        <v>184.860465116279</v>
      </c>
      <c r="BQ30" s="194">
        <f t="shared" si="68"/>
        <v>287.679855813953</v>
      </c>
      <c r="BR30" s="65">
        <f t="shared" si="69"/>
        <v>78.7656529516994</v>
      </c>
      <c r="BS30" s="65">
        <f t="shared" si="25"/>
      </c>
      <c r="BT30" s="65">
        <f t="shared" si="70"/>
        <v>106.09481216458</v>
      </c>
      <c r="BU30" s="194">
        <f t="shared" si="71"/>
        <v>165.104746690519</v>
      </c>
      <c r="BV30" s="65">
        <f t="shared" si="72"/>
        <v>109.146690518783</v>
      </c>
      <c r="BW30" s="65">
        <f t="shared" si="73"/>
      </c>
      <c r="BX30" s="65">
        <f t="shared" si="74"/>
        <v>-3.051878354202</v>
      </c>
      <c r="BY30" s="194">
        <f t="shared" si="75"/>
        <v>-4.74933309480915</v>
      </c>
      <c r="BZ30" s="65">
        <f t="shared" si="76"/>
        <v>51.7602862254025</v>
      </c>
      <c r="CA30" s="65"/>
      <c r="CB30" s="65">
        <f t="shared" si="77"/>
        <v>-54.8121645796045</v>
      </c>
      <c r="CC30" s="194">
        <f t="shared" si="78"/>
        <v>-85.2986905187805</v>
      </c>
      <c r="CD30" s="65">
        <f t="shared" si="79"/>
        <v>101.270125223613</v>
      </c>
      <c r="CE30" s="65"/>
      <c r="CF30" s="65">
        <f t="shared" si="80"/>
        <v>-156.082289803216</v>
      </c>
      <c r="CG30" s="194">
        <f t="shared" si="81"/>
        <v>-242.895259391764</v>
      </c>
      <c r="CH30" s="65">
        <f t="shared" si="82"/>
        <v>82.1413237924866</v>
      </c>
      <c r="CI30" s="65"/>
      <c r="CJ30" s="65">
        <f t="shared" si="83"/>
        <v>-238.223613595702</v>
      </c>
      <c r="CK30" s="194">
        <f t="shared" si="84"/>
        <v>-242.895259391764</v>
      </c>
    </row>
    <row r="31" ht="14.0" customFormat="1" s="47">
      <c r="A31" s="47" t="s">
        <v>569</v>
      </c>
      <c r="B31" s="47" t="s">
        <v>63</v>
      </c>
      <c r="C31" s="47" t="s">
        <v>572</v>
      </c>
      <c r="D31" s="185" t="s">
        <v>573</v>
      </c>
      <c r="E31" s="47">
        <v>0.0</v>
      </c>
      <c r="F31" s="47">
        <v>0.0</v>
      </c>
      <c r="G31" s="47">
        <v>0.0</v>
      </c>
      <c r="H31" s="47">
        <v>0.0</v>
      </c>
      <c r="I31" s="47">
        <v>0.0</v>
      </c>
      <c r="J31" s="47">
        <v>0.0</v>
      </c>
      <c r="K31" s="47">
        <v>0.0</v>
      </c>
      <c r="L31" s="47">
        <v>0.0</v>
      </c>
      <c r="M31" s="47">
        <v>0.0</v>
      </c>
      <c r="N31" s="47">
        <v>0.0</v>
      </c>
      <c r="O31" s="47">
        <v>0.0</v>
      </c>
      <c r="P31" s="47">
        <v>0.0</v>
      </c>
      <c r="Q31" s="47">
        <v>0.0</v>
      </c>
      <c r="R31" s="47">
        <v>0.0</v>
      </c>
      <c r="S31" s="47">
        <v>0.0</v>
      </c>
      <c r="T31" s="47">
        <v>0.0</v>
      </c>
      <c r="U31" s="47">
        <v>0.0</v>
      </c>
      <c r="V31" s="47">
        <v>0.0</v>
      </c>
      <c r="W31" s="47">
        <v>0.0</v>
      </c>
      <c r="X31" s="47">
        <v>0.0</v>
      </c>
      <c r="Y31" s="47">
        <v>0.0</v>
      </c>
      <c r="Z31" s="47">
        <v>0.0</v>
      </c>
      <c r="AA31" s="47">
        <v>0.0</v>
      </c>
      <c r="AB31" s="47">
        <v>0.0</v>
      </c>
      <c r="AC31" s="47">
        <v>0.0</v>
      </c>
      <c r="AD31" s="47">
        <v>0.0</v>
      </c>
      <c r="AE31" s="47">
        <v>0.0</v>
      </c>
      <c r="AF31" s="47">
        <v>0.0</v>
      </c>
      <c r="AG31" s="47">
        <v>0.0</v>
      </c>
      <c r="AH31" s="47">
        <v>0.0</v>
      </c>
      <c r="AI31" s="47">
        <v>0.0</v>
      </c>
      <c r="AJ31" s="47">
        <v>0.0</v>
      </c>
      <c r="AK31" s="47">
        <v>0.0</v>
      </c>
      <c r="AL31" s="47">
        <v>0.0</v>
      </c>
      <c r="AM31" s="47">
        <v>0.0</v>
      </c>
      <c r="AN31" s="237">
        <v>33.0</v>
      </c>
      <c r="AO31" s="237">
        <v>51.0</v>
      </c>
      <c r="AP31" s="237">
        <v>96.0</v>
      </c>
      <c r="AQ31" s="231">
        <v>21.0</v>
      </c>
      <c r="AR31" s="231">
        <v>56.0</v>
      </c>
      <c r="AS31" s="231">
        <v>58.0</v>
      </c>
      <c r="AT31" s="69">
        <f t="shared" si="4"/>
        <v>315.0</v>
      </c>
      <c r="AU31" s="69">
        <f t="shared" si="92"/>
        <v>315.0</v>
      </c>
      <c r="AV31" s="69">
        <f t="shared" si="6"/>
        <v>346.5</v>
      </c>
      <c r="AW31" s="47">
        <f t="shared" si="93"/>
        <v>36.6279069767441</v>
      </c>
      <c r="AX31" s="47">
        <f t="shared" si="94"/>
        <v>39.4454382826476</v>
      </c>
      <c r="AY31" s="47">
        <f t="shared" si="95"/>
        <v>54.6601073345259</v>
      </c>
      <c r="AZ31" s="47">
        <f t="shared" si="96"/>
        <v>25.9212880143112</v>
      </c>
      <c r="BA31" s="47">
        <f t="shared" si="97"/>
        <v>50.7155635062611</v>
      </c>
      <c r="BB31" s="47">
        <f t="shared" si="98"/>
        <v>41.1359570661896</v>
      </c>
      <c r="BC31" s="64">
        <f t="shared" si="13"/>
        <v>248.50626118068</v>
      </c>
      <c r="BD31" s="69">
        <f>VLOOKUP(D31,FEB23SOH,3,false)</f>
        <v>179.0</v>
      </c>
      <c r="BE31" s="201">
        <f>VLOOKUP(D31,VALUEFEB23,4,false)</f>
        <v>1.556</v>
      </c>
      <c r="BF31" s="215">
        <f t="shared" si="16"/>
        <v>278.524</v>
      </c>
      <c r="BG31" s="64"/>
      <c r="BH31" s="64"/>
      <c r="BI31" s="193">
        <f t="shared" si="64"/>
        <v>-69.50626118068</v>
      </c>
      <c r="BJ31" s="217">
        <v>501.0</v>
      </c>
      <c r="BK31" s="185">
        <f t="shared" si="100"/>
        <v>501.0</v>
      </c>
      <c r="BL31" s="103" t="s">
        <v>5</v>
      </c>
      <c r="BM31" s="95">
        <f t="shared" si="65"/>
        <v>179.0</v>
      </c>
      <c r="BN31" s="65">
        <f t="shared" si="66"/>
        <v>36.6279069767441</v>
      </c>
      <c r="BO31" s="65">
        <f t="shared" si="21"/>
      </c>
      <c r="BP31" s="65">
        <f t="shared" si="67"/>
        <v>142.37209302326</v>
      </c>
      <c r="BQ31" s="194">
        <f t="shared" si="68"/>
        <v>221.530976744192</v>
      </c>
      <c r="BR31" s="65">
        <f t="shared" si="69"/>
        <v>39.4454382826476</v>
      </c>
      <c r="BS31" s="65">
        <f t="shared" si="25"/>
      </c>
      <c r="BT31" s="65">
        <f t="shared" si="70"/>
        <v>102.926654740612</v>
      </c>
      <c r="BU31" s="194">
        <f t="shared" si="71"/>
        <v>160.153874776392</v>
      </c>
      <c r="BV31" s="65">
        <f t="shared" si="72"/>
        <v>54.6601073345259</v>
      </c>
      <c r="BW31" s="65">
        <f t="shared" si="73"/>
      </c>
      <c r="BX31" s="65">
        <f t="shared" si="74"/>
        <v>48.2665474060861</v>
      </c>
      <c r="BY31" s="194">
        <f t="shared" si="75"/>
        <v>75.10274776387</v>
      </c>
      <c r="BZ31" s="65">
        <f t="shared" si="76"/>
        <v>25.9212880143112</v>
      </c>
      <c r="CA31" s="65"/>
      <c r="CB31" s="65">
        <f t="shared" si="77"/>
        <v>22.3452593917749</v>
      </c>
      <c r="CC31" s="194">
        <f t="shared" si="78"/>
        <v>34.7692236136017</v>
      </c>
      <c r="CD31" s="65">
        <f t="shared" si="79"/>
        <v>50.7155635062611</v>
      </c>
      <c r="CE31" s="65"/>
      <c r="CF31" s="65">
        <f t="shared" si="80"/>
        <v>-28.3703041144862</v>
      </c>
      <c r="CG31" s="194">
        <f t="shared" si="81"/>
        <v>-44.1441932021405</v>
      </c>
      <c r="CH31" s="65">
        <f t="shared" si="82"/>
        <v>41.1359570661896</v>
      </c>
      <c r="CI31" s="65"/>
      <c r="CJ31" s="65">
        <f t="shared" si="83"/>
        <v>-69.5062611806756</v>
      </c>
      <c r="CK31" s="194">
        <f t="shared" si="84"/>
        <v>-44.1441932021405</v>
      </c>
    </row>
    <row r="32" ht="14.0">
      <c r="A32" s="93" t="s">
        <v>179</v>
      </c>
      <c r="B32" s="93" t="s">
        <v>63</v>
      </c>
      <c r="C32" s="93" t="s">
        <v>229</v>
      </c>
      <c r="D32" s="229" t="s">
        <v>230</v>
      </c>
      <c r="E32" s="93">
        <v>0.0</v>
      </c>
      <c r="F32" s="93">
        <v>0.0</v>
      </c>
      <c r="G32" s="93">
        <v>0.0</v>
      </c>
      <c r="H32" s="93">
        <v>0.0</v>
      </c>
      <c r="I32" s="93">
        <v>0.0</v>
      </c>
      <c r="J32" s="93">
        <v>0.0</v>
      </c>
      <c r="K32" s="93">
        <v>0.0</v>
      </c>
      <c r="L32" s="93">
        <v>0.0</v>
      </c>
      <c r="M32" s="93">
        <v>0.0</v>
      </c>
      <c r="N32" s="93">
        <v>0.0</v>
      </c>
      <c r="O32" s="93">
        <v>0.0</v>
      </c>
      <c r="P32" s="93">
        <v>0.0</v>
      </c>
      <c r="Q32" s="93">
        <v>0.0</v>
      </c>
      <c r="R32" s="93">
        <v>0.0</v>
      </c>
      <c r="S32" s="93">
        <v>0.0</v>
      </c>
      <c r="T32" s="93">
        <v>0.0</v>
      </c>
      <c r="U32" s="93">
        <v>0.0</v>
      </c>
      <c r="V32" s="93">
        <v>0.0</v>
      </c>
      <c r="W32" s="93">
        <v>0.0</v>
      </c>
      <c r="X32" s="93">
        <v>0.0</v>
      </c>
      <c r="Y32" s="93">
        <v>0.0</v>
      </c>
      <c r="Z32" s="93">
        <v>8.0</v>
      </c>
      <c r="AA32" s="93">
        <v>14.0</v>
      </c>
      <c r="AB32" s="93">
        <v>26.0</v>
      </c>
      <c r="AC32" s="93">
        <v>19.0</v>
      </c>
      <c r="AD32" s="93">
        <v>6.0</v>
      </c>
      <c r="AE32" s="93">
        <v>0.0</v>
      </c>
      <c r="AF32" s="93">
        <v>0.0</v>
      </c>
      <c r="AG32" s="93">
        <v>0.0</v>
      </c>
      <c r="AH32" s="93">
        <v>0.0</v>
      </c>
      <c r="AI32" s="93">
        <v>2.0</v>
      </c>
      <c r="AJ32" s="93">
        <v>2.0</v>
      </c>
      <c r="AK32" s="93">
        <v>1.0</v>
      </c>
      <c r="AL32" s="93">
        <v>3.0</v>
      </c>
      <c r="AM32" s="93">
        <v>11.0</v>
      </c>
      <c r="AN32" s="230">
        <v>14.0</v>
      </c>
      <c r="AO32" s="230">
        <v>8.0</v>
      </c>
      <c r="AP32" s="230">
        <v>10.0</v>
      </c>
      <c r="AQ32" s="231">
        <v>10.0</v>
      </c>
      <c r="AR32" s="231">
        <v>0.0</v>
      </c>
      <c r="AS32" s="231">
        <v>0.0</v>
      </c>
      <c r="AT32" s="69">
        <f t="shared" si="4"/>
        <v>61.0</v>
      </c>
      <c r="AU32" s="69">
        <f t="shared" si="92"/>
        <v>42.0</v>
      </c>
      <c r="AV32" s="69">
        <f t="shared" si="6"/>
        <v>46.2</v>
      </c>
      <c r="AW32" s="235">
        <f t="shared" si="93"/>
        <v>4.88372093023256</v>
      </c>
      <c r="AX32" s="235">
        <f t="shared" si="94"/>
        <v>5.25939177101968</v>
      </c>
      <c r="AY32" s="235">
        <f t="shared" si="95"/>
        <v>7.28801431127012</v>
      </c>
      <c r="AZ32" s="235">
        <f t="shared" si="96"/>
        <v>3.4561717352415</v>
      </c>
      <c r="BA32" s="235">
        <f t="shared" si="97"/>
        <v>6.7620751341681</v>
      </c>
      <c r="BB32" s="235">
        <f t="shared" si="98"/>
        <v>5.48479427549194</v>
      </c>
      <c r="BC32" s="64">
        <f t="shared" si="13"/>
        <v>33.1341681574239</v>
      </c>
      <c r="BD32" s="69">
        <f>VLOOKUP(D32,FEB23SOH,3,false)</f>
        <v>1.0</v>
      </c>
      <c r="BE32" s="201">
        <f>VLOOKUP(D32,VALUEFEB23,4,false)</f>
        <v>14.49</v>
      </c>
      <c r="BF32" s="215">
        <f t="shared" si="16"/>
        <v>14.49</v>
      </c>
      <c r="BI32" s="238"/>
      <c r="BJ32" s="238"/>
      <c r="BL32" s="103"/>
      <c r="BM32" s="95"/>
      <c r="BN32" s="65"/>
      <c r="BO32" s="65">
        <f t="shared" si="21"/>
      </c>
      <c r="BP32" s="65"/>
      <c r="BQ32" s="194">
        <f t="shared" si="68"/>
        <v>0.0</v>
      </c>
      <c r="BR32" s="65"/>
      <c r="BS32" s="65">
        <f t="shared" si="25"/>
      </c>
      <c r="BT32" s="65"/>
      <c r="BU32" s="194">
        <f t="shared" si="71"/>
        <v>0.0</v>
      </c>
      <c r="BV32" s="65"/>
      <c r="BW32" s="65">
        <f t="shared" si="73"/>
      </c>
      <c r="BX32" s="65"/>
      <c r="BY32" s="194">
        <f t="shared" si="75"/>
        <v>0.0</v>
      </c>
      <c r="BZ32" s="65"/>
      <c r="CA32" s="65"/>
      <c r="CB32" s="65"/>
      <c r="CC32" s="194">
        <f t="shared" si="78"/>
        <v>0.0</v>
      </c>
      <c r="CD32" s="65"/>
      <c r="CE32" s="65"/>
      <c r="CF32" s="65"/>
      <c r="CG32" s="194">
        <f t="shared" si="81"/>
        <v>0.0</v>
      </c>
      <c r="CH32" s="65"/>
      <c r="CI32" s="65"/>
      <c r="CJ32" s="65"/>
      <c r="CK32" s="194">
        <f t="shared" si="84"/>
        <v>0.0</v>
      </c>
    </row>
    <row r="33" ht="14.0" customFormat="1" s="47">
      <c r="A33" s="93" t="s">
        <v>179</v>
      </c>
      <c r="B33" s="93" t="s">
        <v>63</v>
      </c>
      <c r="C33" s="93" t="s">
        <v>231</v>
      </c>
      <c r="D33" s="229" t="s">
        <v>232</v>
      </c>
      <c r="E33" s="93">
        <v>0.0</v>
      </c>
      <c r="F33" s="93">
        <v>0.0</v>
      </c>
      <c r="G33" s="93">
        <v>0.0</v>
      </c>
      <c r="H33" s="93">
        <v>0.0</v>
      </c>
      <c r="I33" s="93">
        <v>0.0</v>
      </c>
      <c r="J33" s="93">
        <v>0.0</v>
      </c>
      <c r="K33" s="93">
        <v>0.0</v>
      </c>
      <c r="L33" s="93">
        <v>0.0</v>
      </c>
      <c r="M33" s="93">
        <v>0.0</v>
      </c>
      <c r="N33" s="93">
        <v>0.0</v>
      </c>
      <c r="O33" s="93">
        <v>0.0</v>
      </c>
      <c r="P33" s="93">
        <v>0.0</v>
      </c>
      <c r="Q33" s="93">
        <v>0.0</v>
      </c>
      <c r="R33" s="93">
        <v>0.0</v>
      </c>
      <c r="S33" s="93">
        <v>0.0</v>
      </c>
      <c r="T33" s="93">
        <v>0.0</v>
      </c>
      <c r="U33" s="93">
        <v>0.0</v>
      </c>
      <c r="V33" s="93">
        <v>0.0</v>
      </c>
      <c r="W33" s="93">
        <v>0.0</v>
      </c>
      <c r="X33" s="93">
        <v>42.0</v>
      </c>
      <c r="Y33" s="93">
        <v>108.0</v>
      </c>
      <c r="Z33" s="93">
        <v>120.0</v>
      </c>
      <c r="AA33" s="93">
        <v>123.0</v>
      </c>
      <c r="AB33" s="93">
        <v>153.0</v>
      </c>
      <c r="AC33" s="93">
        <v>147.0</v>
      </c>
      <c r="AD33" s="93">
        <v>84.0</v>
      </c>
      <c r="AE33" s="93">
        <v>3.0</v>
      </c>
      <c r="AF33" s="93">
        <v>0.0</v>
      </c>
      <c r="AG33" s="93">
        <v>0.0</v>
      </c>
      <c r="AH33" s="93">
        <v>0.0</v>
      </c>
      <c r="AI33" s="93">
        <v>75.0</v>
      </c>
      <c r="AJ33" s="93">
        <v>144.0</v>
      </c>
      <c r="AK33" s="93">
        <v>45.0</v>
      </c>
      <c r="AL33" s="93">
        <v>63.0</v>
      </c>
      <c r="AM33" s="93">
        <v>105.0</v>
      </c>
      <c r="AN33" s="230">
        <v>91.0</v>
      </c>
      <c r="AO33" s="230">
        <v>138.0</v>
      </c>
      <c r="AP33" s="230">
        <v>162.0</v>
      </c>
      <c r="AQ33" s="231">
        <v>207.0</v>
      </c>
      <c r="AR33" s="231">
        <v>15.0</v>
      </c>
      <c r="AS33" s="231">
        <v>6.0</v>
      </c>
      <c r="AT33" s="69">
        <f t="shared" si="4"/>
        <v>1051.0</v>
      </c>
      <c r="AU33" s="69">
        <f t="shared" si="92"/>
        <v>619.0</v>
      </c>
      <c r="AV33" s="69">
        <f t="shared" si="6"/>
        <v>680.9</v>
      </c>
      <c r="AW33" s="47">
        <f t="shared" ref="AW33:AW36" si="101">AV33*$AW$4/$AV$4+3*$AW$32</f>
        <v>86.6279069767445</v>
      </c>
      <c r="AX33" s="47">
        <f t="shared" ref="AX33:AX36" si="102">AV33*$AX$4/$AV$4+3*$AX$32</f>
        <v>93.2915921288013</v>
      </c>
      <c r="AY33" s="47">
        <f t="shared" ref="AY33:AY36" si="103">AV33*$AZ$4/$AV$4+3*$AZ$32</f>
        <v>61.3059033989266</v>
      </c>
      <c r="AZ33" s="47">
        <f t="shared" ref="AZ33:AZ36" si="104">AV33*$AZ$4/$AV$4+3*$AZ$32</f>
        <v>61.3059033989266</v>
      </c>
      <c r="BA33" s="47">
        <f t="shared" ref="BA33:BA36" si="105">AV33*$BA$4/$AV$4+3*$BA$32</f>
        <v>119.94633273703</v>
      </c>
      <c r="BB33" s="47">
        <f t="shared" ref="BB33:BB36" si="106">AV33*$BB$4/$AV$4+3*$BB$32</f>
        <v>97.2898032200357</v>
      </c>
      <c r="BC33" s="64">
        <f t="shared" si="13"/>
        <v>519.767441860464</v>
      </c>
      <c r="BD33" s="69">
        <f>VLOOKUP(D33,FEB23SOH,3,false)</f>
        <v>0.0</v>
      </c>
      <c r="BE33" s="201">
        <f>VLOOKUP(D33,VALUEFEB23,4,false)</f>
      </c>
      <c r="BF33" s="215">
        <f t="shared" si="16"/>
        <v>0.0</v>
      </c>
      <c r="BG33" s="64"/>
      <c r="BH33" s="64">
        <f>VLOOKUP(C33,AFTERCNY,3,false)</f>
        <v>501.0</v>
      </c>
      <c r="BI33" s="193">
        <f t="shared" ref="BI33:BI86" si="108">BD33+BG33+BH33-BC33</f>
        <v>-18.767441860464</v>
      </c>
      <c r="BJ33" s="217">
        <v>501.0</v>
      </c>
      <c r="BK33" s="185">
        <f>BJ33</f>
        <v>501.0</v>
      </c>
      <c r="BL33" s="103" t="s">
        <v>73</v>
      </c>
      <c r="BM33" s="95">
        <f t="shared" ref="BM33:BM86" si="110">BD33</f>
        <v>0.0</v>
      </c>
      <c r="BN33" s="65">
        <f t="shared" ref="BN33:BN86" si="111">AW33</f>
        <v>86.6279069767445</v>
      </c>
      <c r="BO33" s="65">
        <f t="shared" si="21"/>
      </c>
      <c r="BP33" s="65">
        <f t="shared" ref="BP33:BP86" si="112">BM33+BO33-BN33</f>
        <v>-86.6279069767445</v>
      </c>
      <c r="BQ33" s="194">
        <f t="shared" si="68"/>
        <v>0.0</v>
      </c>
      <c r="BR33" s="65">
        <f t="shared" ref="BR33:BR86" si="113">AX33</f>
        <v>93.2915921288013</v>
      </c>
      <c r="BS33" s="65">
        <f t="shared" si="25"/>
        <v>501.0</v>
      </c>
      <c r="BT33" s="65">
        <f t="shared" ref="BT33:BT86" si="114">BP33+BS33-BR33</f>
        <v>321.080500894454</v>
      </c>
      <c r="BU33" s="194">
        <f t="shared" si="71"/>
        <v>0.0</v>
      </c>
      <c r="BV33" s="65">
        <f t="shared" ref="BV33:BV86" si="115">AY33</f>
        <v>61.3059033989266</v>
      </c>
      <c r="BW33" s="65">
        <f t="shared" si="73"/>
        <v>501.0</v>
      </c>
      <c r="BX33" s="65">
        <f t="shared" ref="BX33:BX86" si="116">BT33+BW33-BV33</f>
        <v>760.774597495527</v>
      </c>
      <c r="BY33" s="194">
        <f t="shared" si="75"/>
        <v>0.0</v>
      </c>
      <c r="BZ33" s="65">
        <f t="shared" ref="BZ33:BZ86" si="117">AZ33</f>
        <v>61.3059033989266</v>
      </c>
      <c r="CA33" s="65"/>
      <c r="CB33" s="65">
        <f t="shared" ref="CB33:CB86" si="118">BX33+CA33-BZ33</f>
        <v>699.4686940966</v>
      </c>
      <c r="CC33" s="194">
        <f t="shared" si="78"/>
        <v>0.0</v>
      </c>
      <c r="CD33" s="65">
        <f t="shared" ref="CD33:CD86" si="119">BA33</f>
        <v>119.94633273703</v>
      </c>
      <c r="CE33" s="65"/>
      <c r="CF33" s="65">
        <f t="shared" ref="CF33:CF86" si="120">CB33+CE33-CD33</f>
        <v>579.52236135957</v>
      </c>
      <c r="CG33" s="194">
        <f t="shared" si="81"/>
        <v>0.0</v>
      </c>
      <c r="CH33" s="65">
        <f t="shared" ref="CH33:CH86" si="121">BB33</f>
        <v>97.2898032200357</v>
      </c>
      <c r="CI33" s="65"/>
      <c r="CJ33" s="65">
        <f t="shared" ref="CJ33:CJ86" si="122">CF33+CI33-CH33</f>
        <v>482.232558139534</v>
      </c>
      <c r="CK33" s="194">
        <f t="shared" si="84"/>
        <v>0.0</v>
      </c>
    </row>
    <row r="34" ht="14.0" customFormat="1" s="47">
      <c r="A34" s="93" t="s">
        <v>179</v>
      </c>
      <c r="B34" s="93" t="s">
        <v>63</v>
      </c>
      <c r="C34" s="93" t="s">
        <v>233</v>
      </c>
      <c r="D34" s="234" t="s">
        <v>234</v>
      </c>
      <c r="E34" s="93">
        <v>0.0</v>
      </c>
      <c r="F34" s="93">
        <v>0.0</v>
      </c>
      <c r="G34" s="93">
        <v>0.0</v>
      </c>
      <c r="H34" s="93">
        <v>0.0</v>
      </c>
      <c r="I34" s="93">
        <v>0.0</v>
      </c>
      <c r="J34" s="93">
        <v>0.0</v>
      </c>
      <c r="K34" s="93">
        <v>0.0</v>
      </c>
      <c r="L34" s="93">
        <v>0.0</v>
      </c>
      <c r="M34" s="93">
        <v>0.0</v>
      </c>
      <c r="N34" s="93">
        <v>0.0</v>
      </c>
      <c r="O34" s="93">
        <v>0.0</v>
      </c>
      <c r="P34" s="93">
        <v>0.0</v>
      </c>
      <c r="Q34" s="93">
        <v>0.0</v>
      </c>
      <c r="R34" s="93">
        <v>0.0</v>
      </c>
      <c r="S34" s="93">
        <v>0.0</v>
      </c>
      <c r="T34" s="93">
        <v>0.0</v>
      </c>
      <c r="U34" s="93">
        <v>0.0</v>
      </c>
      <c r="V34" s="93">
        <v>0.0</v>
      </c>
      <c r="W34" s="93">
        <v>0.0</v>
      </c>
      <c r="X34" s="93">
        <v>57.0</v>
      </c>
      <c r="Y34" s="93">
        <v>71.0</v>
      </c>
      <c r="Z34" s="93">
        <v>90.0</v>
      </c>
      <c r="AA34" s="93">
        <v>69.0</v>
      </c>
      <c r="AB34" s="93">
        <v>84.0</v>
      </c>
      <c r="AC34" s="93">
        <v>93.0</v>
      </c>
      <c r="AD34" s="93">
        <v>218.0</v>
      </c>
      <c r="AE34" s="93">
        <v>90.0</v>
      </c>
      <c r="AF34" s="93">
        <v>2.0</v>
      </c>
      <c r="AG34" s="93">
        <v>0.0</v>
      </c>
      <c r="AH34" s="93">
        <v>1.0</v>
      </c>
      <c r="AI34" s="93">
        <v>66.0</v>
      </c>
      <c r="AJ34" s="93">
        <v>84.0</v>
      </c>
      <c r="AK34" s="93">
        <v>30.0</v>
      </c>
      <c r="AL34" s="93">
        <v>42.0</v>
      </c>
      <c r="AM34" s="93">
        <v>39.0</v>
      </c>
      <c r="AN34" s="230">
        <v>63.0</v>
      </c>
      <c r="AO34" s="230">
        <v>105.0</v>
      </c>
      <c r="AP34" s="230">
        <v>87.0</v>
      </c>
      <c r="AQ34" s="231">
        <v>138.0</v>
      </c>
      <c r="AR34" s="231">
        <v>48.0</v>
      </c>
      <c r="AS34" s="231">
        <v>69.0</v>
      </c>
      <c r="AT34" s="69">
        <f t="shared" si="4"/>
        <v>772.0</v>
      </c>
      <c r="AU34" s="69">
        <f t="shared" si="92"/>
        <v>510.0</v>
      </c>
      <c r="AV34" s="69">
        <f t="shared" si="6"/>
        <v>561.0</v>
      </c>
      <c r="AW34" s="47">
        <f t="shared" si="101"/>
        <v>73.9534883720933</v>
      </c>
      <c r="AX34" s="47">
        <f t="shared" si="102"/>
        <v>79.6422182468693</v>
      </c>
      <c r="AY34" s="47">
        <f t="shared" si="103"/>
        <v>52.3363148479427</v>
      </c>
      <c r="AZ34" s="47">
        <f t="shared" si="104"/>
        <v>52.3363148479427</v>
      </c>
      <c r="BA34" s="47">
        <f t="shared" si="105"/>
        <v>102.397137745974</v>
      </c>
      <c r="BB34" s="47">
        <f t="shared" si="106"/>
        <v>83.0554561717351</v>
      </c>
      <c r="BC34" s="64">
        <f t="shared" si="13"/>
        <v>443.720930232557</v>
      </c>
      <c r="BD34" s="69">
        <f>VLOOKUP(D34,FEB23SOH,3,false)</f>
        <v>49.0</v>
      </c>
      <c r="BE34" s="201">
        <f>VLOOKUP(D34,VALUEFEB23,4,false)</f>
        <v>0.9705</v>
      </c>
      <c r="BF34" s="215">
        <f t="shared" si="16"/>
        <v>47.5545</v>
      </c>
      <c r="BG34" s="64"/>
      <c r="BH34" s="64"/>
      <c r="BI34" s="193">
        <f t="shared" si="108"/>
        <v>-394.720930232557</v>
      </c>
      <c r="BJ34" s="217"/>
      <c r="BK34" s="236"/>
      <c r="BL34" s="103" t="s">
        <v>518</v>
      </c>
      <c r="BM34" s="95">
        <f t="shared" si="110"/>
        <v>49.0</v>
      </c>
      <c r="BN34" s="65">
        <f t="shared" si="111"/>
        <v>73.9534883720933</v>
      </c>
      <c r="BO34" s="65">
        <f t="shared" si="21"/>
      </c>
      <c r="BP34" s="65">
        <f t="shared" si="112"/>
        <v>-24.9534883720933</v>
      </c>
      <c r="BQ34" s="194">
        <f t="shared" si="68"/>
        <v>-24.2173604651164</v>
      </c>
      <c r="BR34" s="65">
        <f t="shared" si="113"/>
        <v>79.6422182468693</v>
      </c>
      <c r="BS34" s="65">
        <f t="shared" si="25"/>
      </c>
      <c r="BT34" s="65">
        <f t="shared" si="114"/>
        <v>-104.595706618962</v>
      </c>
      <c r="BU34" s="194">
        <f t="shared" si="71"/>
        <v>-101.510133273702</v>
      </c>
      <c r="BV34" s="65">
        <f t="shared" si="115"/>
        <v>52.3363148479427</v>
      </c>
      <c r="BW34" s="65">
        <f t="shared" si="73"/>
      </c>
      <c r="BX34" s="65">
        <f t="shared" si="116"/>
        <v>-156.932021466904</v>
      </c>
      <c r="BY34" s="194">
        <f t="shared" si="75"/>
        <v>-152.30252683363</v>
      </c>
      <c r="BZ34" s="65">
        <f t="shared" si="117"/>
        <v>52.3363148479427</v>
      </c>
      <c r="CA34" s="65"/>
      <c r="CB34" s="65">
        <f t="shared" si="118"/>
        <v>-209.26833631484</v>
      </c>
      <c r="CC34" s="194">
        <f t="shared" si="78"/>
        <v>-203.094920393552</v>
      </c>
      <c r="CD34" s="65">
        <f t="shared" si="119"/>
        <v>102.397137745974</v>
      </c>
      <c r="CE34" s="65"/>
      <c r="CF34" s="65">
        <f t="shared" si="120"/>
        <v>-311.665474060814</v>
      </c>
      <c r="CG34" s="194">
        <f t="shared" si="81"/>
        <v>-302.47134257602</v>
      </c>
      <c r="CH34" s="65">
        <f t="shared" si="121"/>
        <v>83.0554561717351</v>
      </c>
      <c r="CI34" s="65"/>
      <c r="CJ34" s="65">
        <f t="shared" si="122"/>
        <v>-394.720930232549</v>
      </c>
      <c r="CK34" s="194">
        <f t="shared" si="84"/>
        <v>-302.47134257602</v>
      </c>
    </row>
    <row r="35" ht="14.0" customFormat="1" s="47">
      <c r="A35" s="93" t="s">
        <v>179</v>
      </c>
      <c r="B35" s="93" t="s">
        <v>63</v>
      </c>
      <c r="C35" s="93" t="s">
        <v>235</v>
      </c>
      <c r="D35" s="234" t="s">
        <v>236</v>
      </c>
      <c r="E35" s="93">
        <v>0.0</v>
      </c>
      <c r="F35" s="93">
        <v>0.0</v>
      </c>
      <c r="G35" s="93">
        <v>0.0</v>
      </c>
      <c r="H35" s="93">
        <v>0.0</v>
      </c>
      <c r="I35" s="93">
        <v>0.0</v>
      </c>
      <c r="J35" s="93">
        <v>0.0</v>
      </c>
      <c r="K35" s="93">
        <v>0.0</v>
      </c>
      <c r="L35" s="93">
        <v>0.0</v>
      </c>
      <c r="M35" s="93">
        <v>0.0</v>
      </c>
      <c r="N35" s="93">
        <v>0.0</v>
      </c>
      <c r="O35" s="93">
        <v>0.0</v>
      </c>
      <c r="P35" s="93">
        <v>0.0</v>
      </c>
      <c r="Q35" s="93">
        <v>0.0</v>
      </c>
      <c r="R35" s="93">
        <v>0.0</v>
      </c>
      <c r="S35" s="93">
        <v>0.0</v>
      </c>
      <c r="T35" s="93">
        <v>0.0</v>
      </c>
      <c r="U35" s="93">
        <v>0.0</v>
      </c>
      <c r="V35" s="93">
        <v>0.0</v>
      </c>
      <c r="W35" s="93">
        <v>0.0</v>
      </c>
      <c r="X35" s="93">
        <v>36.0</v>
      </c>
      <c r="Y35" s="93">
        <v>70.0</v>
      </c>
      <c r="Z35" s="93">
        <v>76.0</v>
      </c>
      <c r="AA35" s="93">
        <v>78.0</v>
      </c>
      <c r="AB35" s="93">
        <v>99.0</v>
      </c>
      <c r="AC35" s="93">
        <v>102.0</v>
      </c>
      <c r="AD35" s="93">
        <v>273.0</v>
      </c>
      <c r="AE35" s="93">
        <v>46.0</v>
      </c>
      <c r="AF35" s="93">
        <v>-1.0</v>
      </c>
      <c r="AG35" s="93">
        <v>0.0</v>
      </c>
      <c r="AH35" s="93">
        <v>1.0</v>
      </c>
      <c r="AI35" s="93">
        <v>51.0</v>
      </c>
      <c r="AJ35" s="93">
        <v>99.0</v>
      </c>
      <c r="AK35" s="93">
        <v>24.0</v>
      </c>
      <c r="AL35" s="93">
        <v>57.0</v>
      </c>
      <c r="AM35" s="93">
        <v>90.0</v>
      </c>
      <c r="AN35" s="230">
        <v>72.0</v>
      </c>
      <c r="AO35" s="230">
        <v>90.0</v>
      </c>
      <c r="AP35" s="230">
        <v>81.0</v>
      </c>
      <c r="AQ35" s="231">
        <v>156.0</v>
      </c>
      <c r="AR35" s="231">
        <v>66.0</v>
      </c>
      <c r="AS35" s="231">
        <v>49.0</v>
      </c>
      <c r="AT35" s="69">
        <f t="shared" si="4"/>
        <v>836.0</v>
      </c>
      <c r="AU35" s="69">
        <f t="shared" si="92"/>
        <v>514.0</v>
      </c>
      <c r="AV35" s="69">
        <f t="shared" si="6"/>
        <v>565.4</v>
      </c>
      <c r="AW35" s="47">
        <f t="shared" si="101"/>
        <v>74.4186046511631</v>
      </c>
      <c r="AX35" s="47">
        <f t="shared" si="102"/>
        <v>80.1431127012521</v>
      </c>
      <c r="AY35" s="47">
        <f t="shared" si="103"/>
        <v>52.6654740608228</v>
      </c>
      <c r="AZ35" s="47">
        <f t="shared" si="104"/>
        <v>52.6654740608228</v>
      </c>
      <c r="BA35" s="47">
        <f t="shared" si="105"/>
        <v>103.04114490161</v>
      </c>
      <c r="BB35" s="47">
        <f t="shared" si="106"/>
        <v>83.5778175313058</v>
      </c>
      <c r="BC35" s="64">
        <f t="shared" si="13"/>
        <v>446.511627906977</v>
      </c>
      <c r="BD35" s="69">
        <f>VLOOKUP(D35,FEB23SOH,3,false)</f>
        <v>0.0</v>
      </c>
      <c r="BE35" s="201">
        <f>VLOOKUP(D35,VALUEFEB23,4,false)</f>
      </c>
      <c r="BF35" s="215">
        <f t="shared" si="16"/>
        <v>0.0</v>
      </c>
      <c r="BG35" s="64"/>
      <c r="BH35" s="64"/>
      <c r="BI35" s="193">
        <f t="shared" si="108"/>
        <v>-446.511627906977</v>
      </c>
      <c r="BJ35" s="217"/>
      <c r="BK35" s="236"/>
      <c r="BL35" s="103" t="s">
        <v>73</v>
      </c>
      <c r="BM35" s="95">
        <f t="shared" si="110"/>
        <v>0.0</v>
      </c>
      <c r="BN35" s="65">
        <f t="shared" si="111"/>
        <v>74.4186046511631</v>
      </c>
      <c r="BO35" s="65">
        <f t="shared" si="21"/>
      </c>
      <c r="BP35" s="65">
        <f t="shared" si="112"/>
        <v>-74.4186046511631</v>
      </c>
      <c r="BQ35" s="194">
        <f t="shared" si="68"/>
        <v>0.0</v>
      </c>
      <c r="BR35" s="65">
        <f t="shared" si="113"/>
        <v>80.1431127012521</v>
      </c>
      <c r="BS35" s="65">
        <f t="shared" si="25"/>
      </c>
      <c r="BT35" s="65">
        <f t="shared" si="114"/>
        <v>-154.561717352415</v>
      </c>
      <c r="BU35" s="194">
        <f t="shared" si="71"/>
        <v>0.0</v>
      </c>
      <c r="BV35" s="65">
        <f t="shared" si="115"/>
        <v>52.6654740608228</v>
      </c>
      <c r="BW35" s="65">
        <f t="shared" si="73"/>
      </c>
      <c r="BX35" s="65">
        <f t="shared" si="116"/>
        <v>-207.227191413236</v>
      </c>
      <c r="BY35" s="194">
        <f t="shared" si="75"/>
        <v>0.0</v>
      </c>
      <c r="BZ35" s="65">
        <f t="shared" si="117"/>
        <v>52.6654740608228</v>
      </c>
      <c r="CA35" s="65"/>
      <c r="CB35" s="65">
        <f t="shared" si="118"/>
        <v>-259.89266547404</v>
      </c>
      <c r="CC35" s="194">
        <f t="shared" si="78"/>
        <v>0.0</v>
      </c>
      <c r="CD35" s="65">
        <f t="shared" si="119"/>
        <v>103.04114490161</v>
      </c>
      <c r="CE35" s="65"/>
      <c r="CF35" s="65">
        <f t="shared" si="120"/>
        <v>-362.93381037564</v>
      </c>
      <c r="CG35" s="194">
        <f t="shared" si="81"/>
        <v>0.0</v>
      </c>
      <c r="CH35" s="65">
        <f t="shared" si="121"/>
        <v>83.5778175313058</v>
      </c>
      <c r="CI35" s="65"/>
      <c r="CJ35" s="65">
        <f t="shared" si="122"/>
        <v>-446.511627906944</v>
      </c>
      <c r="CK35" s="194">
        <f t="shared" si="84"/>
        <v>0.0</v>
      </c>
    </row>
    <row r="36" ht="14.0" customFormat="1" s="47">
      <c r="A36" s="47" t="s">
        <v>569</v>
      </c>
      <c r="B36" s="47" t="s">
        <v>63</v>
      </c>
      <c r="C36" s="47" t="s">
        <v>574</v>
      </c>
      <c r="D36" s="185" t="s">
        <v>575</v>
      </c>
      <c r="E36" s="47">
        <v>0.0</v>
      </c>
      <c r="F36" s="47">
        <v>0.0</v>
      </c>
      <c r="G36" s="47">
        <v>0.0</v>
      </c>
      <c r="H36" s="47">
        <v>0.0</v>
      </c>
      <c r="I36" s="47">
        <v>0.0</v>
      </c>
      <c r="J36" s="47">
        <v>0.0</v>
      </c>
      <c r="K36" s="47">
        <v>0.0</v>
      </c>
      <c r="L36" s="47">
        <v>0.0</v>
      </c>
      <c r="M36" s="47">
        <v>0.0</v>
      </c>
      <c r="N36" s="47">
        <v>0.0</v>
      </c>
      <c r="O36" s="47">
        <v>0.0</v>
      </c>
      <c r="P36" s="47">
        <v>0.0</v>
      </c>
      <c r="Q36" s="47">
        <v>0.0</v>
      </c>
      <c r="R36" s="47">
        <v>0.0</v>
      </c>
      <c r="S36" s="47">
        <v>0.0</v>
      </c>
      <c r="T36" s="47">
        <v>0.0</v>
      </c>
      <c r="U36" s="47">
        <v>0.0</v>
      </c>
      <c r="V36" s="47">
        <v>0.0</v>
      </c>
      <c r="W36" s="47">
        <v>0.0</v>
      </c>
      <c r="X36" s="47">
        <v>0.0</v>
      </c>
      <c r="Y36" s="47">
        <v>0.0</v>
      </c>
      <c r="Z36" s="47">
        <v>0.0</v>
      </c>
      <c r="AA36" s="47">
        <v>0.0</v>
      </c>
      <c r="AB36" s="47">
        <v>0.0</v>
      </c>
      <c r="AC36" s="47">
        <v>0.0</v>
      </c>
      <c r="AD36" s="47">
        <v>0.0</v>
      </c>
      <c r="AE36" s="47">
        <v>0.0</v>
      </c>
      <c r="AF36" s="47">
        <v>0.0</v>
      </c>
      <c r="AG36" s="47">
        <v>0.0</v>
      </c>
      <c r="AH36" s="47">
        <v>0.0</v>
      </c>
      <c r="AI36" s="47">
        <v>0.0</v>
      </c>
      <c r="AJ36" s="47">
        <v>0.0</v>
      </c>
      <c r="AK36" s="47">
        <v>0.0</v>
      </c>
      <c r="AL36" s="47">
        <v>0.0</v>
      </c>
      <c r="AM36" s="47">
        <v>0.0</v>
      </c>
      <c r="AN36" s="237">
        <v>49.0</v>
      </c>
      <c r="AO36" s="237">
        <v>60.0</v>
      </c>
      <c r="AP36" s="237">
        <v>78.0</v>
      </c>
      <c r="AQ36" s="231">
        <v>54.0</v>
      </c>
      <c r="AR36" s="231">
        <v>94.0</v>
      </c>
      <c r="AS36" s="231">
        <v>60.0</v>
      </c>
      <c r="AT36" s="69">
        <f t="shared" si="4"/>
        <v>395.0</v>
      </c>
      <c r="AU36" s="69">
        <f t="shared" si="92"/>
        <v>395.0</v>
      </c>
      <c r="AV36" s="69">
        <f t="shared" si="6"/>
        <v>434.5</v>
      </c>
      <c r="AW36" s="47">
        <f t="shared" si="101"/>
        <v>60.5813953488375</v>
      </c>
      <c r="AX36" s="47">
        <f t="shared" si="102"/>
        <v>65.2415026833631</v>
      </c>
      <c r="AY36" s="47">
        <f t="shared" si="103"/>
        <v>42.8729874776386</v>
      </c>
      <c r="AZ36" s="47">
        <f t="shared" si="104"/>
        <v>42.8729874776386</v>
      </c>
      <c r="BA36" s="47">
        <f t="shared" si="105"/>
        <v>83.8819320214667</v>
      </c>
      <c r="BB36" s="47">
        <f t="shared" si="106"/>
        <v>68.0375670840787</v>
      </c>
      <c r="BC36" s="64">
        <f t="shared" si="13"/>
        <v>363.488372093023</v>
      </c>
      <c r="BD36" s="69">
        <f>VLOOKUP(D36,FEB23SOH,3,false)</f>
        <v>39.0</v>
      </c>
      <c r="BE36" s="201">
        <f>VLOOKUP(D36,VALUEFEB23,4,false)</f>
        <v>0.9586</v>
      </c>
      <c r="BF36" s="215">
        <f t="shared" si="16"/>
        <v>37.3854</v>
      </c>
      <c r="BG36" s="64"/>
      <c r="BH36" s="64"/>
      <c r="BI36" s="193">
        <f t="shared" si="108"/>
        <v>-324.488372093023</v>
      </c>
      <c r="BJ36" s="217">
        <v>501.0</v>
      </c>
      <c r="BK36" s="185">
        <f>BJ36</f>
        <v>501.0</v>
      </c>
      <c r="BL36" s="103" t="s">
        <v>518</v>
      </c>
      <c r="BM36" s="95">
        <f t="shared" si="110"/>
        <v>39.0</v>
      </c>
      <c r="BN36" s="65">
        <f t="shared" si="111"/>
        <v>60.5813953488375</v>
      </c>
      <c r="BO36" s="65">
        <f t="shared" si="21"/>
      </c>
      <c r="BP36" s="65">
        <f t="shared" si="112"/>
        <v>-21.5813953488375</v>
      </c>
      <c r="BQ36" s="194">
        <f t="shared" si="68"/>
        <v>-20.6879255813956</v>
      </c>
      <c r="BR36" s="65">
        <f t="shared" si="113"/>
        <v>65.2415026833631</v>
      </c>
      <c r="BS36" s="65">
        <f t="shared" si="25"/>
      </c>
      <c r="BT36" s="65">
        <f t="shared" si="114"/>
        <v>-86.8228980322006</v>
      </c>
      <c r="BU36" s="194">
        <f t="shared" si="71"/>
        <v>-83.2284300536675</v>
      </c>
      <c r="BV36" s="65">
        <f t="shared" si="115"/>
        <v>42.8729874776386</v>
      </c>
      <c r="BW36" s="65">
        <f t="shared" si="73"/>
      </c>
      <c r="BX36" s="65">
        <f t="shared" si="116"/>
        <v>-129.695885509839</v>
      </c>
      <c r="BY36" s="194">
        <f t="shared" si="75"/>
        <v>-124.326475849731</v>
      </c>
      <c r="BZ36" s="65">
        <f t="shared" si="117"/>
        <v>42.8729874776386</v>
      </c>
      <c r="CA36" s="65"/>
      <c r="CB36" s="65">
        <f t="shared" si="118"/>
        <v>-172.568872987476</v>
      </c>
      <c r="CC36" s="194">
        <f t="shared" si="78"/>
        <v>-165.424521645794</v>
      </c>
      <c r="CD36" s="65">
        <f t="shared" si="119"/>
        <v>83.8819320214667</v>
      </c>
      <c r="CE36" s="65"/>
      <c r="CF36" s="65">
        <f t="shared" si="120"/>
        <v>-256.450805008942</v>
      </c>
      <c r="CG36" s="194">
        <f t="shared" si="81"/>
        <v>-245.833741681571</v>
      </c>
      <c r="CH36" s="65">
        <f t="shared" si="121"/>
        <v>68.0375670840787</v>
      </c>
      <c r="CI36" s="65"/>
      <c r="CJ36" s="65">
        <f t="shared" si="122"/>
        <v>-324.48837209302</v>
      </c>
      <c r="CK36" s="194">
        <f t="shared" si="84"/>
        <v>-245.833741681571</v>
      </c>
    </row>
    <row r="37" ht="14.0">
      <c r="A37" s="93" t="s">
        <v>179</v>
      </c>
      <c r="B37" s="93" t="s">
        <v>63</v>
      </c>
      <c r="C37" s="93" t="s">
        <v>237</v>
      </c>
      <c r="D37" s="229" t="s">
        <v>238</v>
      </c>
      <c r="E37" s="93">
        <v>0.0</v>
      </c>
      <c r="F37" s="93">
        <v>0.0</v>
      </c>
      <c r="G37" s="93">
        <v>0.0</v>
      </c>
      <c r="H37" s="93">
        <v>0.0</v>
      </c>
      <c r="I37" s="93">
        <v>0.0</v>
      </c>
      <c r="J37" s="93">
        <v>0.0</v>
      </c>
      <c r="K37" s="93">
        <v>0.0</v>
      </c>
      <c r="L37" s="93">
        <v>0.0</v>
      </c>
      <c r="M37" s="93">
        <v>0.0</v>
      </c>
      <c r="N37" s="93">
        <v>0.0</v>
      </c>
      <c r="O37" s="93">
        <v>0.0</v>
      </c>
      <c r="P37" s="93">
        <v>0.0</v>
      </c>
      <c r="Q37" s="93">
        <v>0.0</v>
      </c>
      <c r="R37" s="93">
        <v>0.0</v>
      </c>
      <c r="S37" s="93">
        <v>0.0</v>
      </c>
      <c r="T37" s="93">
        <v>0.0</v>
      </c>
      <c r="U37" s="93">
        <v>0.0</v>
      </c>
      <c r="V37" s="93">
        <v>0.0</v>
      </c>
      <c r="W37" s="93">
        <v>0.0</v>
      </c>
      <c r="X37" s="93">
        <v>0.0</v>
      </c>
      <c r="Y37" s="93">
        <v>0.0</v>
      </c>
      <c r="Z37" s="93">
        <v>0.0</v>
      </c>
      <c r="AA37" s="93">
        <v>0.0</v>
      </c>
      <c r="AB37" s="93">
        <v>0.0</v>
      </c>
      <c r="AC37" s="93">
        <v>0.0</v>
      </c>
      <c r="AD37" s="93">
        <v>0.0</v>
      </c>
      <c r="AE37" s="93">
        <v>0.0</v>
      </c>
      <c r="AF37" s="93">
        <v>0.0</v>
      </c>
      <c r="AG37" s="93">
        <v>0.0</v>
      </c>
      <c r="AH37" s="93">
        <v>0.0</v>
      </c>
      <c r="AI37" s="93">
        <v>131.0</v>
      </c>
      <c r="AJ37" s="93">
        <v>186.0</v>
      </c>
      <c r="AK37" s="93">
        <v>97.0</v>
      </c>
      <c r="AL37" s="93">
        <v>123.0</v>
      </c>
      <c r="AM37" s="93">
        <v>129.0</v>
      </c>
      <c r="AN37" s="230">
        <v>150.0</v>
      </c>
      <c r="AO37" s="230">
        <v>171.0</v>
      </c>
      <c r="AP37" s="230">
        <v>207.0</v>
      </c>
      <c r="AQ37" s="231">
        <v>117.0</v>
      </c>
      <c r="AR37" s="231">
        <v>3.0</v>
      </c>
      <c r="AS37" s="231">
        <v>4.0</v>
      </c>
      <c r="AT37" s="69">
        <f t="shared" si="4"/>
        <v>1318.0</v>
      </c>
      <c r="AU37" s="69">
        <f t="shared" si="92"/>
        <v>652.0</v>
      </c>
      <c r="AV37" s="69">
        <f t="shared" si="6"/>
        <v>717.2</v>
      </c>
      <c r="AW37" s="47">
        <f t="shared" ref="AW37:AW38" si="124">AV37*$AW$4/$AV$4</f>
        <v>75.813953488372</v>
      </c>
      <c r="AX37" s="47">
        <f t="shared" ref="AX37:AX38" si="125">AV37*$AX$4/$AV$4</f>
        <v>81.6457960644007</v>
      </c>
      <c r="AY37" s="47">
        <f t="shared" ref="AY37:AY38" si="126">AV37*$AY$4/$AV$4</f>
        <v>113.137745974955</v>
      </c>
      <c r="AZ37" s="47">
        <f t="shared" ref="AZ37:AZ38" si="127">AV37*$AZ$4/$AV$4</f>
        <v>53.6529516994633</v>
      </c>
      <c r="BA37" s="47">
        <f t="shared" ref="BA37:BA38" si="128">AV37*$BA$4/$AV$4</f>
        <v>104.973166368515</v>
      </c>
      <c r="BB37" s="47">
        <f t="shared" ref="BB37:BB38" si="129">AV37*$BB$4/$AV$4</f>
        <v>85.1449016100179</v>
      </c>
      <c r="BC37" s="64">
        <f t="shared" si="13"/>
        <v>514.368515205723</v>
      </c>
      <c r="BD37" s="69">
        <f>VLOOKUP(D37,FEB23SOH,3,false)</f>
        <v>0.0</v>
      </c>
      <c r="BE37" s="201">
        <f>VLOOKUP(D37,VALUEFEB23,4,false)</f>
      </c>
      <c r="BF37" s="215">
        <f t="shared" si="16"/>
        <v>0.0</v>
      </c>
      <c r="BH37" s="64">
        <f>VLOOKUP(C37,AFTERCNY,3,false)</f>
        <v>585.0</v>
      </c>
      <c r="BI37" s="193">
        <f t="shared" si="108"/>
        <v>70.631484794277</v>
      </c>
      <c r="BJ37" s="217">
        <v>501.0</v>
      </c>
      <c r="BL37" s="103"/>
      <c r="BM37" s="95">
        <f t="shared" si="110"/>
        <v>0.0</v>
      </c>
      <c r="BN37" s="65">
        <f t="shared" si="111"/>
        <v>75.813953488372</v>
      </c>
      <c r="BO37" s="65">
        <f t="shared" si="21"/>
      </c>
      <c r="BP37" s="65">
        <f t="shared" si="112"/>
        <v>-75.813953488372</v>
      </c>
      <c r="BQ37" s="194">
        <f t="shared" si="68"/>
        <v>0.0</v>
      </c>
      <c r="BR37" s="65">
        <f t="shared" si="113"/>
        <v>81.6457960644007</v>
      </c>
      <c r="BS37" s="65">
        <f t="shared" si="25"/>
        <v>585.0</v>
      </c>
      <c r="BT37" s="65">
        <f t="shared" si="114"/>
        <v>427.540250447227</v>
      </c>
      <c r="BU37" s="194">
        <f t="shared" si="71"/>
        <v>0.0</v>
      </c>
      <c r="BV37" s="65">
        <f t="shared" si="115"/>
        <v>113.137745974955</v>
      </c>
      <c r="BW37" s="65">
        <f t="shared" si="73"/>
        <v>585.0</v>
      </c>
      <c r="BX37" s="65">
        <f t="shared" si="116"/>
        <v>899.402504472265</v>
      </c>
      <c r="BY37" s="194">
        <f t="shared" si="75"/>
        <v>0.0</v>
      </c>
      <c r="BZ37" s="65">
        <f t="shared" si="117"/>
        <v>53.6529516994633</v>
      </c>
      <c r="CA37" s="65"/>
      <c r="CB37" s="65">
        <f t="shared" si="118"/>
        <v>845.749552772801</v>
      </c>
      <c r="CC37" s="194">
        <f t="shared" si="78"/>
        <v>0.0</v>
      </c>
      <c r="CD37" s="65">
        <f t="shared" si="119"/>
        <v>104.973166368515</v>
      </c>
      <c r="CE37" s="65"/>
      <c r="CF37" s="65">
        <f t="shared" si="120"/>
        <v>740.776386404286</v>
      </c>
      <c r="CG37" s="194">
        <f t="shared" si="81"/>
        <v>0.0</v>
      </c>
      <c r="CH37" s="65">
        <f t="shared" si="121"/>
        <v>85.1449016100179</v>
      </c>
      <c r="CI37" s="65"/>
      <c r="CJ37" s="65">
        <f t="shared" si="122"/>
        <v>655.631484794268</v>
      </c>
      <c r="CK37" s="194">
        <f t="shared" si="84"/>
        <v>0.0</v>
      </c>
    </row>
    <row r="38" ht="14.0" customFormat="1" s="47">
      <c r="A38" s="93" t="s">
        <v>179</v>
      </c>
      <c r="B38" s="93" t="s">
        <v>63</v>
      </c>
      <c r="C38" s="93" t="s">
        <v>239</v>
      </c>
      <c r="D38" s="229" t="s">
        <v>240</v>
      </c>
      <c r="E38" s="93">
        <v>0.0</v>
      </c>
      <c r="F38" s="93">
        <v>0.0</v>
      </c>
      <c r="G38" s="93">
        <v>0.0</v>
      </c>
      <c r="H38" s="93">
        <v>0.0</v>
      </c>
      <c r="I38" s="93">
        <v>0.0</v>
      </c>
      <c r="J38" s="93">
        <v>0.0</v>
      </c>
      <c r="K38" s="93">
        <v>0.0</v>
      </c>
      <c r="L38" s="93">
        <v>0.0</v>
      </c>
      <c r="M38" s="93">
        <v>0.0</v>
      </c>
      <c r="N38" s="93">
        <v>0.0</v>
      </c>
      <c r="O38" s="93">
        <v>0.0</v>
      </c>
      <c r="P38" s="93">
        <v>0.0</v>
      </c>
      <c r="Q38" s="93">
        <v>0.0</v>
      </c>
      <c r="R38" s="93">
        <v>0.0</v>
      </c>
      <c r="S38" s="93">
        <v>0.0</v>
      </c>
      <c r="T38" s="93">
        <v>0.0</v>
      </c>
      <c r="U38" s="93">
        <v>0.0</v>
      </c>
      <c r="V38" s="93">
        <v>0.0</v>
      </c>
      <c r="W38" s="93">
        <v>0.0</v>
      </c>
      <c r="X38" s="93">
        <v>0.0</v>
      </c>
      <c r="Y38" s="93">
        <v>0.0</v>
      </c>
      <c r="Z38" s="93">
        <v>0.0</v>
      </c>
      <c r="AA38" s="93">
        <v>0.0</v>
      </c>
      <c r="AB38" s="93">
        <v>0.0</v>
      </c>
      <c r="AC38" s="93">
        <v>0.0</v>
      </c>
      <c r="AD38" s="93">
        <v>0.0</v>
      </c>
      <c r="AE38" s="93">
        <v>0.0</v>
      </c>
      <c r="AF38" s="93">
        <v>0.0</v>
      </c>
      <c r="AG38" s="93">
        <v>0.0</v>
      </c>
      <c r="AH38" s="93">
        <v>0.0</v>
      </c>
      <c r="AI38" s="93">
        <v>128.0</v>
      </c>
      <c r="AJ38" s="93">
        <v>129.0</v>
      </c>
      <c r="AK38" s="93">
        <v>69.0</v>
      </c>
      <c r="AL38" s="93">
        <v>48.0</v>
      </c>
      <c r="AM38" s="93">
        <v>102.0</v>
      </c>
      <c r="AN38" s="230">
        <v>131.0</v>
      </c>
      <c r="AO38" s="230">
        <v>123.0</v>
      </c>
      <c r="AP38" s="230">
        <v>120.0</v>
      </c>
      <c r="AQ38" s="231">
        <v>138.0</v>
      </c>
      <c r="AR38" s="231">
        <v>75.0</v>
      </c>
      <c r="AS38" s="231">
        <v>102.0</v>
      </c>
      <c r="AT38" s="69">
        <f t="shared" si="4"/>
        <v>1165.0</v>
      </c>
      <c r="AU38" s="69">
        <f t="shared" si="92"/>
        <v>689.0</v>
      </c>
      <c r="AV38" s="69">
        <f t="shared" si="6"/>
        <v>757.9</v>
      </c>
      <c r="AW38" s="47">
        <f t="shared" si="124"/>
        <v>80.1162790697674</v>
      </c>
      <c r="AX38" s="47">
        <f t="shared" si="125"/>
        <v>86.2790697674419</v>
      </c>
      <c r="AY38" s="47">
        <f t="shared" si="126"/>
        <v>119.558139534883</v>
      </c>
      <c r="AZ38" s="47">
        <f t="shared" si="127"/>
        <v>56.6976744186047</v>
      </c>
      <c r="BA38" s="47">
        <f t="shared" si="128"/>
        <v>110.93023255813</v>
      </c>
      <c r="BB38" s="47">
        <f t="shared" si="129"/>
        <v>89.9767441860465</v>
      </c>
      <c r="BC38" s="64">
        <f t="shared" si="13"/>
        <v>543.558139534873</v>
      </c>
      <c r="BD38" s="69">
        <f>VLOOKUP(D38,FEB23SOH,3,false)</f>
        <v>162.0</v>
      </c>
      <c r="BE38" s="201">
        <f>VLOOKUP(D38,VALUEFEB23,4,false)</f>
        <v>0.9619</v>
      </c>
      <c r="BF38" s="215">
        <f t="shared" si="16"/>
        <v>155.8278</v>
      </c>
      <c r="BG38" s="64"/>
      <c r="BH38" s="64"/>
      <c r="BI38" s="193">
        <f t="shared" si="108"/>
        <v>-381.558139534873</v>
      </c>
      <c r="BJ38" s="217">
        <v>501.0</v>
      </c>
      <c r="BK38" s="185">
        <f>BJ38</f>
        <v>501.0</v>
      </c>
      <c r="BL38" s="103" t="s">
        <v>519</v>
      </c>
      <c r="BM38" s="95">
        <f t="shared" si="110"/>
        <v>162.0</v>
      </c>
      <c r="BN38" s="65">
        <f t="shared" si="111"/>
        <v>80.1162790697674</v>
      </c>
      <c r="BO38" s="65">
        <f t="shared" si="21"/>
      </c>
      <c r="BP38" s="65">
        <f t="shared" si="112"/>
        <v>81.8837209302326</v>
      </c>
      <c r="BQ38" s="194">
        <f t="shared" si="68"/>
        <v>78.7639511627907</v>
      </c>
      <c r="BR38" s="65">
        <f t="shared" si="113"/>
        <v>86.2790697674419</v>
      </c>
      <c r="BS38" s="65">
        <f t="shared" si="25"/>
      </c>
      <c r="BT38" s="65">
        <f t="shared" si="114"/>
        <v>-4.39534883720928</v>
      </c>
      <c r="BU38" s="194">
        <f t="shared" si="71"/>
        <v>-4.2278860465116</v>
      </c>
      <c r="BV38" s="65">
        <f t="shared" si="115"/>
        <v>119.558139534883</v>
      </c>
      <c r="BW38" s="65">
        <f t="shared" si="73"/>
      </c>
      <c r="BX38" s="65">
        <f t="shared" si="116"/>
        <v>-123.953488372092</v>
      </c>
      <c r="BY38" s="194">
        <f t="shared" si="75"/>
        <v>-119.230860465115</v>
      </c>
      <c r="BZ38" s="65">
        <f t="shared" si="117"/>
        <v>56.6976744186047</v>
      </c>
      <c r="CA38" s="65"/>
      <c r="CB38" s="65">
        <f t="shared" si="118"/>
        <v>-180.651162790695</v>
      </c>
      <c r="CC38" s="194">
        <f t="shared" si="78"/>
        <v>-173.768353488368</v>
      </c>
      <c r="CD38" s="65">
        <f t="shared" si="119"/>
        <v>110.93023255813</v>
      </c>
      <c r="CE38" s="65"/>
      <c r="CF38" s="65">
        <f t="shared" si="120"/>
        <v>-291.581395348825</v>
      </c>
      <c r="CG38" s="194">
        <f t="shared" si="81"/>
        <v>-280.472144186034</v>
      </c>
      <c r="CH38" s="65">
        <f t="shared" si="121"/>
        <v>89.9767441860465</v>
      </c>
      <c r="CI38" s="65"/>
      <c r="CJ38" s="65">
        <f t="shared" si="122"/>
        <v>-381.558139534871</v>
      </c>
      <c r="CK38" s="194">
        <f t="shared" si="84"/>
        <v>-280.472144186034</v>
      </c>
    </row>
    <row r="39" ht="14.0" customFormat="1" s="47">
      <c r="A39" s="93" t="s">
        <v>179</v>
      </c>
      <c r="B39" s="93" t="s">
        <v>241</v>
      </c>
      <c r="C39" s="93" t="s">
        <v>242</v>
      </c>
      <c r="D39" s="229" t="s">
        <v>243</v>
      </c>
      <c r="E39" s="93">
        <v>0.0</v>
      </c>
      <c r="F39" s="93">
        <v>0.0</v>
      </c>
      <c r="G39" s="93">
        <v>0.0</v>
      </c>
      <c r="H39" s="93">
        <v>0.0</v>
      </c>
      <c r="I39" s="93">
        <v>0.0</v>
      </c>
      <c r="J39" s="93">
        <v>0.0</v>
      </c>
      <c r="K39" s="93">
        <v>0.0</v>
      </c>
      <c r="L39" s="93">
        <v>0.0</v>
      </c>
      <c r="M39" s="93">
        <v>0.0</v>
      </c>
      <c r="N39" s="93">
        <v>0.0</v>
      </c>
      <c r="O39" s="93">
        <v>0.0</v>
      </c>
      <c r="P39" s="93">
        <v>0.0</v>
      </c>
      <c r="Q39" s="93">
        <v>0.0</v>
      </c>
      <c r="R39" s="93">
        <v>0.0</v>
      </c>
      <c r="S39" s="93">
        <v>0.0</v>
      </c>
      <c r="T39" s="93">
        <v>0.0</v>
      </c>
      <c r="U39" s="93">
        <v>0.0</v>
      </c>
      <c r="V39" s="93">
        <v>0.0</v>
      </c>
      <c r="W39" s="93">
        <v>0.0</v>
      </c>
      <c r="X39" s="93">
        <v>0.0</v>
      </c>
      <c r="Y39" s="93">
        <v>0.0</v>
      </c>
      <c r="Z39" s="93">
        <v>0.0</v>
      </c>
      <c r="AA39" s="93">
        <v>0.0</v>
      </c>
      <c r="AB39" s="93">
        <v>63.0</v>
      </c>
      <c r="AC39" s="93">
        <v>60.0</v>
      </c>
      <c r="AD39" s="93">
        <v>42.0</v>
      </c>
      <c r="AE39" s="93">
        <v>33.0</v>
      </c>
      <c r="AF39" s="93">
        <v>18.0</v>
      </c>
      <c r="AG39" s="93">
        <v>72.0</v>
      </c>
      <c r="AH39" s="114">
        <v>72.0</v>
      </c>
      <c r="AI39" s="114">
        <v>66.0</v>
      </c>
      <c r="AJ39" s="114">
        <v>66.0</v>
      </c>
      <c r="AK39" s="114">
        <v>6.0</v>
      </c>
      <c r="AL39" s="114">
        <v>0.0</v>
      </c>
      <c r="AM39" s="114">
        <v>0.0</v>
      </c>
      <c r="AN39" s="230">
        <v>0.0</v>
      </c>
      <c r="AO39" s="230">
        <v>0.0</v>
      </c>
      <c r="AP39" s="230">
        <v>0.0</v>
      </c>
      <c r="AQ39" s="231">
        <v>0.0</v>
      </c>
      <c r="AR39" s="231">
        <v>0.0</v>
      </c>
      <c r="AS39" s="231">
        <v>0.0</v>
      </c>
      <c r="AT39" s="69">
        <f t="shared" si="4"/>
        <v>210.0</v>
      </c>
      <c r="AU39" s="69">
        <f t="shared" ref="AU39:AU46" si="132">SUM(AH39:AM39)</f>
        <v>210.0</v>
      </c>
      <c r="AV39" s="69">
        <f t="shared" si="6"/>
        <v>231.0</v>
      </c>
      <c r="AW39" s="47">
        <f t="shared" ref="AW39:AW46" si="133">AV39*$AW$4/$AV$3</f>
        <v>30.952380952381</v>
      </c>
      <c r="AX39" s="47">
        <f t="shared" ref="AX39:AX46" si="134">AV39*$AX$4/$AV$3</f>
        <v>33.3333333333333</v>
      </c>
      <c r="AY39" s="47">
        <f t="shared" ref="AY39:AY46" si="135">AV39*$AY$4/$AV$3</f>
        <v>46.1904761904761</v>
      </c>
      <c r="AZ39" s="47">
        <f t="shared" ref="AZ39:AZ46" si="136">AV39*$AZ$4/$AV$3</f>
        <v>21.9047619047619</v>
      </c>
      <c r="BA39" s="47">
        <f t="shared" ref="BA39:BA46" si="137">AV39*$BA$4/$AV$3</f>
        <v>42.8571428571429</v>
      </c>
      <c r="BB39" s="47">
        <f t="shared" ref="BB39:BB46" si="138">AV39*$BB$4/$AV$3</f>
        <v>34.7619047619048</v>
      </c>
      <c r="BC39" s="64">
        <f t="shared" si="13"/>
        <v>210.0</v>
      </c>
      <c r="BD39" s="69">
        <f>VLOOKUP(D39,FEB23SOH,3,false)</f>
        <v>0.0</v>
      </c>
      <c r="BE39" s="201">
        <f>VLOOKUP(D39,VALUEFEB23,4,false)</f>
      </c>
      <c r="BF39" s="215">
        <f t="shared" si="16"/>
        <v>0.0</v>
      </c>
      <c r="BG39" s="64"/>
      <c r="BH39" s="64"/>
      <c r="BI39" s="193">
        <f t="shared" si="108"/>
        <v>-210.0</v>
      </c>
      <c r="BJ39" s="217">
        <v>501.0</v>
      </c>
      <c r="BK39" s="232" t="s">
        <v>576</v>
      </c>
      <c r="BL39" s="103" t="s">
        <v>73</v>
      </c>
      <c r="BM39" s="95">
        <f t="shared" si="110"/>
        <v>0.0</v>
      </c>
      <c r="BN39" s="65">
        <f t="shared" si="111"/>
        <v>30.952380952381</v>
      </c>
      <c r="BO39" s="65">
        <f t="shared" si="21"/>
      </c>
      <c r="BP39" s="65">
        <f t="shared" si="112"/>
        <v>-30.952380952381</v>
      </c>
      <c r="BQ39" s="194">
        <f t="shared" si="68"/>
        <v>0.0</v>
      </c>
      <c r="BR39" s="65">
        <f t="shared" si="113"/>
        <v>33.3333333333333</v>
      </c>
      <c r="BS39" s="65">
        <f t="shared" si="25"/>
      </c>
      <c r="BT39" s="65">
        <f t="shared" si="114"/>
        <v>-64.2857142857143</v>
      </c>
      <c r="BU39" s="194">
        <f t="shared" si="71"/>
        <v>0.0</v>
      </c>
      <c r="BV39" s="65">
        <f t="shared" si="115"/>
        <v>46.1904761904761</v>
      </c>
      <c r="BW39" s="65">
        <f t="shared" si="73"/>
      </c>
      <c r="BX39" s="65">
        <f t="shared" si="116"/>
        <v>-110.47619047619</v>
      </c>
      <c r="BY39" s="194">
        <f t="shared" si="75"/>
        <v>0.0</v>
      </c>
      <c r="BZ39" s="65">
        <f t="shared" si="117"/>
        <v>21.9047619047619</v>
      </c>
      <c r="CA39" s="65"/>
      <c r="CB39" s="65">
        <f t="shared" si="118"/>
        <v>-132.380952380951</v>
      </c>
      <c r="CC39" s="194">
        <f t="shared" si="78"/>
        <v>0.0</v>
      </c>
      <c r="CD39" s="65">
        <f t="shared" si="119"/>
        <v>42.8571428571429</v>
      </c>
      <c r="CE39" s="65"/>
      <c r="CF39" s="65">
        <f t="shared" si="120"/>
        <v>-175.238095238093</v>
      </c>
      <c r="CG39" s="194">
        <f t="shared" si="81"/>
        <v>0.0</v>
      </c>
      <c r="CH39" s="65">
        <f t="shared" si="121"/>
        <v>34.7619047619048</v>
      </c>
      <c r="CI39" s="65"/>
      <c r="CJ39" s="65">
        <f t="shared" si="122"/>
        <v>-209.999999999996</v>
      </c>
      <c r="CK39" s="194">
        <f t="shared" si="84"/>
        <v>0.0</v>
      </c>
    </row>
    <row r="40" ht="14.0" customFormat="1" s="47">
      <c r="A40" s="93" t="s">
        <v>179</v>
      </c>
      <c r="B40" s="93" t="s">
        <v>241</v>
      </c>
      <c r="C40" s="93" t="s">
        <v>245</v>
      </c>
      <c r="D40" s="234" t="s">
        <v>246</v>
      </c>
      <c r="E40" s="93">
        <v>0.0</v>
      </c>
      <c r="F40" s="93">
        <v>0.0</v>
      </c>
      <c r="G40" s="93">
        <v>0.0</v>
      </c>
      <c r="H40" s="93">
        <v>0.0</v>
      </c>
      <c r="I40" s="93">
        <v>0.0</v>
      </c>
      <c r="J40" s="93">
        <v>0.0</v>
      </c>
      <c r="K40" s="93">
        <v>0.0</v>
      </c>
      <c r="L40" s="93">
        <v>0.0</v>
      </c>
      <c r="M40" s="93">
        <v>0.0</v>
      </c>
      <c r="N40" s="93">
        <v>0.0</v>
      </c>
      <c r="O40" s="93">
        <v>0.0</v>
      </c>
      <c r="P40" s="93">
        <v>0.0</v>
      </c>
      <c r="Q40" s="93">
        <v>0.0</v>
      </c>
      <c r="R40" s="93">
        <v>0.0</v>
      </c>
      <c r="S40" s="93">
        <v>0.0</v>
      </c>
      <c r="T40" s="93">
        <v>0.0</v>
      </c>
      <c r="U40" s="93">
        <v>0.0</v>
      </c>
      <c r="V40" s="93">
        <v>0.0</v>
      </c>
      <c r="W40" s="93">
        <v>0.0</v>
      </c>
      <c r="X40" s="93">
        <v>0.0</v>
      </c>
      <c r="Y40" s="93">
        <v>0.0</v>
      </c>
      <c r="Z40" s="93">
        <v>0.0</v>
      </c>
      <c r="AA40" s="93">
        <v>0.0</v>
      </c>
      <c r="AB40" s="93">
        <v>30.0</v>
      </c>
      <c r="AC40" s="93">
        <v>18.0</v>
      </c>
      <c r="AD40" s="93">
        <v>9.0</v>
      </c>
      <c r="AE40" s="93">
        <v>15.0</v>
      </c>
      <c r="AF40" s="93">
        <v>12.0</v>
      </c>
      <c r="AG40" s="93">
        <v>21.0</v>
      </c>
      <c r="AH40" s="114">
        <v>24.0</v>
      </c>
      <c r="AI40" s="114">
        <v>18.0</v>
      </c>
      <c r="AJ40" s="114">
        <v>30.0</v>
      </c>
      <c r="AK40" s="114">
        <v>18.0</v>
      </c>
      <c r="AL40" s="114">
        <v>45.0</v>
      </c>
      <c r="AM40" s="114">
        <v>21.0</v>
      </c>
      <c r="AN40" s="93">
        <v>18.0</v>
      </c>
      <c r="AO40" s="93">
        <v>21.0</v>
      </c>
      <c r="AP40" s="93">
        <v>17.0</v>
      </c>
      <c r="AQ40" s="233">
        <v>21.0</v>
      </c>
      <c r="AR40" s="233">
        <v>6.0</v>
      </c>
      <c r="AS40" s="233">
        <v>22.0</v>
      </c>
      <c r="AT40" s="69">
        <f t="shared" si="4"/>
        <v>261.0</v>
      </c>
      <c r="AU40" s="69">
        <f t="shared" si="132"/>
        <v>156.0</v>
      </c>
      <c r="AV40" s="69">
        <f t="shared" si="6"/>
        <v>171.6</v>
      </c>
      <c r="AW40" s="47">
        <f t="shared" si="133"/>
        <v>22.993197278911</v>
      </c>
      <c r="AX40" s="47">
        <f t="shared" si="134"/>
        <v>24.7619047619048</v>
      </c>
      <c r="AY40" s="47">
        <f t="shared" si="135"/>
        <v>34.312925170068</v>
      </c>
      <c r="AZ40" s="47">
        <f t="shared" si="136"/>
        <v>16.2721088435374</v>
      </c>
      <c r="BA40" s="47">
        <f t="shared" si="137"/>
        <v>31.8367346938776</v>
      </c>
      <c r="BB40" s="47">
        <f t="shared" si="138"/>
        <v>25.8231292517007</v>
      </c>
      <c r="BC40" s="64">
        <f t="shared" si="13"/>
        <v>156.0</v>
      </c>
      <c r="BD40" s="69">
        <f>VLOOKUP(D40,FEB23SOH,3,false)</f>
        <v>135.0</v>
      </c>
      <c r="BE40" s="201">
        <f>VLOOKUP(D40,VALUEFEB23,4,false)</f>
        <v>5.4029</v>
      </c>
      <c r="BF40" s="215">
        <f t="shared" si="16"/>
        <v>729.3915</v>
      </c>
      <c r="BG40" s="64"/>
      <c r="BH40" s="64"/>
      <c r="BI40" s="193">
        <f t="shared" si="108"/>
        <v>-21.0</v>
      </c>
      <c r="BJ40" s="217">
        <v>501.0</v>
      </c>
      <c r="BK40" s="236" t="s">
        <v>577</v>
      </c>
      <c r="BL40" s="103" t="s">
        <v>6</v>
      </c>
      <c r="BM40" s="95">
        <f t="shared" si="110"/>
        <v>135.0</v>
      </c>
      <c r="BN40" s="65">
        <f t="shared" si="111"/>
        <v>22.993197278911</v>
      </c>
      <c r="BO40" s="65">
        <f t="shared" si="21"/>
      </c>
      <c r="BP40" s="65">
        <f t="shared" si="112"/>
        <v>112.006802721089</v>
      </c>
      <c r="BQ40" s="194">
        <f t="shared" si="68"/>
        <v>605.161554421771</v>
      </c>
      <c r="BR40" s="65">
        <f t="shared" si="113"/>
        <v>24.7619047619048</v>
      </c>
      <c r="BS40" s="65">
        <f t="shared" si="25"/>
      </c>
      <c r="BT40" s="65">
        <f t="shared" si="114"/>
        <v>87.2448979591842</v>
      </c>
      <c r="BU40" s="194">
        <f t="shared" si="71"/>
        <v>471.375459183676</v>
      </c>
      <c r="BV40" s="65">
        <f t="shared" si="115"/>
        <v>34.312925170068</v>
      </c>
      <c r="BW40" s="65">
        <f t="shared" si="73"/>
      </c>
      <c r="BX40" s="65">
        <f t="shared" si="116"/>
        <v>52.9319727891162</v>
      </c>
      <c r="BY40" s="194">
        <f t="shared" si="75"/>
        <v>285.986155782316</v>
      </c>
      <c r="BZ40" s="65">
        <f t="shared" si="117"/>
        <v>16.2721088435374</v>
      </c>
      <c r="CA40" s="65"/>
      <c r="CB40" s="65">
        <f t="shared" si="118"/>
        <v>36.6598639455788</v>
      </c>
      <c r="CC40" s="194">
        <f t="shared" si="78"/>
        <v>198.069578911568</v>
      </c>
      <c r="CD40" s="65">
        <f t="shared" si="119"/>
        <v>31.8367346938776</v>
      </c>
      <c r="CE40" s="65"/>
      <c r="CF40" s="65">
        <f t="shared" si="120"/>
        <v>4.8231292517012</v>
      </c>
      <c r="CG40" s="194">
        <f t="shared" si="81"/>
        <v>26.0588850340164</v>
      </c>
      <c r="CH40" s="65">
        <f t="shared" si="121"/>
        <v>25.8231292517007</v>
      </c>
      <c r="CI40" s="65"/>
      <c r="CJ40" s="65">
        <f t="shared" si="122"/>
        <v>-20.9999999999995</v>
      </c>
      <c r="CK40" s="194">
        <f t="shared" si="84"/>
        <v>26.0588850340164</v>
      </c>
    </row>
    <row r="41" ht="14.0" customFormat="1" s="47">
      <c r="A41" s="93" t="s">
        <v>179</v>
      </c>
      <c r="B41" s="93" t="s">
        <v>241</v>
      </c>
      <c r="C41" s="93" t="s">
        <v>247</v>
      </c>
      <c r="D41" s="234" t="s">
        <v>248</v>
      </c>
      <c r="E41" s="93">
        <v>0.0</v>
      </c>
      <c r="F41" s="93">
        <v>0.0</v>
      </c>
      <c r="G41" s="93">
        <v>0.0</v>
      </c>
      <c r="H41" s="93">
        <v>0.0</v>
      </c>
      <c r="I41" s="93">
        <v>0.0</v>
      </c>
      <c r="J41" s="93">
        <v>0.0</v>
      </c>
      <c r="K41" s="93">
        <v>0.0</v>
      </c>
      <c r="L41" s="93">
        <v>0.0</v>
      </c>
      <c r="M41" s="93">
        <v>0.0</v>
      </c>
      <c r="N41" s="93">
        <v>0.0</v>
      </c>
      <c r="O41" s="93">
        <v>0.0</v>
      </c>
      <c r="P41" s="93">
        <v>0.0</v>
      </c>
      <c r="Q41" s="93">
        <v>0.0</v>
      </c>
      <c r="R41" s="93">
        <v>0.0</v>
      </c>
      <c r="S41" s="93">
        <v>0.0</v>
      </c>
      <c r="T41" s="93">
        <v>0.0</v>
      </c>
      <c r="U41" s="93">
        <v>0.0</v>
      </c>
      <c r="V41" s="93">
        <v>0.0</v>
      </c>
      <c r="W41" s="93">
        <v>0.0</v>
      </c>
      <c r="X41" s="93">
        <v>0.0</v>
      </c>
      <c r="Y41" s="93">
        <v>0.0</v>
      </c>
      <c r="Z41" s="93">
        <v>0.0</v>
      </c>
      <c r="AA41" s="93">
        <v>0.0</v>
      </c>
      <c r="AB41" s="93">
        <v>33.0</v>
      </c>
      <c r="AC41" s="93">
        <v>36.0</v>
      </c>
      <c r="AD41" s="93">
        <v>27.0</v>
      </c>
      <c r="AE41" s="93">
        <v>24.0</v>
      </c>
      <c r="AF41" s="93">
        <v>18.0</v>
      </c>
      <c r="AG41" s="93">
        <v>27.0</v>
      </c>
      <c r="AH41" s="114">
        <v>55.0</v>
      </c>
      <c r="AI41" s="114">
        <v>36.0</v>
      </c>
      <c r="AJ41" s="114">
        <v>21.0</v>
      </c>
      <c r="AK41" s="114">
        <v>21.0</v>
      </c>
      <c r="AL41" s="114">
        <v>33.0</v>
      </c>
      <c r="AM41" s="114">
        <v>9.0</v>
      </c>
      <c r="AN41" s="93">
        <v>18.0</v>
      </c>
      <c r="AO41" s="93">
        <v>21.0</v>
      </c>
      <c r="AP41" s="93">
        <v>18.0</v>
      </c>
      <c r="AQ41" s="233">
        <v>12.0</v>
      </c>
      <c r="AR41" s="233">
        <v>18.0</v>
      </c>
      <c r="AS41" s="233">
        <v>15.0</v>
      </c>
      <c r="AT41" s="69">
        <f t="shared" si="4"/>
        <v>277.0</v>
      </c>
      <c r="AU41" s="69">
        <f t="shared" si="132"/>
        <v>175.0</v>
      </c>
      <c r="AV41" s="69">
        <f t="shared" si="6"/>
        <v>192.5</v>
      </c>
      <c r="AW41" s="47">
        <f t="shared" si="133"/>
        <v>25.79365079365</v>
      </c>
      <c r="AX41" s="47">
        <f t="shared" si="134"/>
        <v>27.7777777777778</v>
      </c>
      <c r="AY41" s="47">
        <f t="shared" si="135"/>
        <v>38.4920634920634</v>
      </c>
      <c r="AZ41" s="47">
        <f t="shared" si="136"/>
        <v>18.2539682539682</v>
      </c>
      <c r="BA41" s="47">
        <f t="shared" si="137"/>
        <v>35.7142857142857</v>
      </c>
      <c r="BB41" s="47">
        <f t="shared" si="138"/>
        <v>28.968253968254</v>
      </c>
      <c r="BC41" s="64">
        <f t="shared" si="13"/>
        <v>174.999999999999</v>
      </c>
      <c r="BD41" s="69">
        <f>VLOOKUP(D41,FEB23SOH,3,false)</f>
        <v>52.0</v>
      </c>
      <c r="BE41" s="201">
        <f>VLOOKUP(D41,VALUEFEB23,4,false)</f>
        <v>5.4064</v>
      </c>
      <c r="BF41" s="215">
        <f t="shared" si="16"/>
        <v>281.1328</v>
      </c>
      <c r="BG41" s="64"/>
      <c r="BH41" s="64"/>
      <c r="BI41" s="193">
        <f t="shared" si="108"/>
        <v>-122.999999999999</v>
      </c>
      <c r="BJ41" s="217">
        <v>501.0</v>
      </c>
      <c r="BK41" s="236" t="s">
        <v>577</v>
      </c>
      <c r="BL41" s="103" t="s">
        <v>519</v>
      </c>
      <c r="BM41" s="95">
        <f t="shared" si="110"/>
        <v>52.0</v>
      </c>
      <c r="BN41" s="65">
        <f t="shared" si="111"/>
        <v>25.79365079365</v>
      </c>
      <c r="BO41" s="65">
        <f t="shared" si="21"/>
      </c>
      <c r="BP41" s="65">
        <f t="shared" si="112"/>
        <v>26.20634920635</v>
      </c>
      <c r="BQ41" s="194">
        <f t="shared" si="68"/>
        <v>141.68200634921</v>
      </c>
      <c r="BR41" s="65">
        <f t="shared" si="113"/>
        <v>27.7777777777778</v>
      </c>
      <c r="BS41" s="65">
        <f t="shared" si="25"/>
      </c>
      <c r="BT41" s="65">
        <f t="shared" si="114"/>
        <v>-1.57142857142778</v>
      </c>
      <c r="BU41" s="194">
        <f t="shared" si="71"/>
        <v>-8.49577142856715</v>
      </c>
      <c r="BV41" s="65">
        <f t="shared" si="115"/>
        <v>38.4920634920634</v>
      </c>
      <c r="BW41" s="65">
        <f t="shared" si="73"/>
      </c>
      <c r="BX41" s="65">
        <f t="shared" si="116"/>
        <v>-40.0634920634911</v>
      </c>
      <c r="BY41" s="194">
        <f t="shared" si="75"/>
        <v>-216.599263492058</v>
      </c>
      <c r="BZ41" s="65">
        <f t="shared" si="117"/>
        <v>18.2539682539682</v>
      </c>
      <c r="CA41" s="65"/>
      <c r="CB41" s="65">
        <f t="shared" si="118"/>
        <v>-58.3174603174592</v>
      </c>
      <c r="CC41" s="194">
        <f t="shared" si="78"/>
        <v>-315.287517460311</v>
      </c>
      <c r="CD41" s="65">
        <f t="shared" si="119"/>
        <v>35.7142857142857</v>
      </c>
      <c r="CE41" s="65"/>
      <c r="CF41" s="65">
        <f t="shared" si="120"/>
        <v>-94.0317460317449</v>
      </c>
      <c r="CG41" s="194">
        <f t="shared" si="81"/>
        <v>-508.373231746024</v>
      </c>
      <c r="CH41" s="65">
        <f t="shared" si="121"/>
        <v>28.968253968254</v>
      </c>
      <c r="CI41" s="65"/>
      <c r="CJ41" s="65">
        <f t="shared" si="122"/>
        <v>-122.999999999997</v>
      </c>
      <c r="CK41" s="194">
        <f t="shared" si="84"/>
        <v>-508.373231746024</v>
      </c>
    </row>
    <row r="42" ht="14.0" customFormat="1" s="47">
      <c r="A42" s="93" t="s">
        <v>179</v>
      </c>
      <c r="B42" s="93" t="s">
        <v>241</v>
      </c>
      <c r="C42" s="93" t="s">
        <v>250</v>
      </c>
      <c r="D42" s="234" t="s">
        <v>251</v>
      </c>
      <c r="E42" s="93">
        <v>0.0</v>
      </c>
      <c r="F42" s="93">
        <v>0.0</v>
      </c>
      <c r="G42" s="93">
        <v>0.0</v>
      </c>
      <c r="H42" s="93">
        <v>0.0</v>
      </c>
      <c r="I42" s="93">
        <v>0.0</v>
      </c>
      <c r="J42" s="93">
        <v>0.0</v>
      </c>
      <c r="K42" s="93">
        <v>0.0</v>
      </c>
      <c r="L42" s="93">
        <v>0.0</v>
      </c>
      <c r="M42" s="93">
        <v>0.0</v>
      </c>
      <c r="N42" s="93">
        <v>0.0</v>
      </c>
      <c r="O42" s="93">
        <v>0.0</v>
      </c>
      <c r="P42" s="93">
        <v>0.0</v>
      </c>
      <c r="Q42" s="93">
        <v>0.0</v>
      </c>
      <c r="R42" s="93">
        <v>0.0</v>
      </c>
      <c r="S42" s="93">
        <v>0.0</v>
      </c>
      <c r="T42" s="93">
        <v>0.0</v>
      </c>
      <c r="U42" s="93">
        <v>0.0</v>
      </c>
      <c r="V42" s="93">
        <v>0.0</v>
      </c>
      <c r="W42" s="93">
        <v>0.0</v>
      </c>
      <c r="X42" s="93">
        <v>0.0</v>
      </c>
      <c r="Y42" s="93">
        <v>0.0</v>
      </c>
      <c r="Z42" s="93">
        <v>0.0</v>
      </c>
      <c r="AA42" s="93">
        <v>0.0</v>
      </c>
      <c r="AB42" s="93">
        <v>18.0</v>
      </c>
      <c r="AC42" s="93">
        <v>28.0</v>
      </c>
      <c r="AD42" s="93">
        <v>20.0</v>
      </c>
      <c r="AE42" s="93">
        <v>15.0</v>
      </c>
      <c r="AF42" s="93">
        <v>9.0</v>
      </c>
      <c r="AG42" s="93">
        <v>36.0</v>
      </c>
      <c r="AH42" s="114">
        <v>40.0</v>
      </c>
      <c r="AI42" s="114">
        <v>39.0</v>
      </c>
      <c r="AJ42" s="114">
        <v>51.0</v>
      </c>
      <c r="AK42" s="114">
        <v>27.0</v>
      </c>
      <c r="AL42" s="114">
        <v>51.0</v>
      </c>
      <c r="AM42" s="114">
        <v>21.0</v>
      </c>
      <c r="AN42" s="93">
        <v>21.0</v>
      </c>
      <c r="AO42" s="93">
        <v>24.0</v>
      </c>
      <c r="AP42" s="93">
        <v>15.0</v>
      </c>
      <c r="AQ42" s="233">
        <v>33.0</v>
      </c>
      <c r="AR42" s="233">
        <v>12.0</v>
      </c>
      <c r="AS42" s="233">
        <v>33.0</v>
      </c>
      <c r="AT42" s="69">
        <f t="shared" si="4"/>
        <v>367.0</v>
      </c>
      <c r="AU42" s="69">
        <f t="shared" si="132"/>
        <v>229.0</v>
      </c>
      <c r="AV42" s="69">
        <f t="shared" si="6"/>
        <v>251.9</v>
      </c>
      <c r="AW42" s="47">
        <f t="shared" si="133"/>
        <v>33.7528344671201</v>
      </c>
      <c r="AX42" s="47">
        <f t="shared" si="134"/>
        <v>36.3492063492063</v>
      </c>
      <c r="AY42" s="47">
        <f t="shared" si="135"/>
        <v>50.3696145124717</v>
      </c>
      <c r="AZ42" s="47">
        <f t="shared" si="136"/>
        <v>23.8866213151927</v>
      </c>
      <c r="BA42" s="47">
        <f t="shared" si="137"/>
        <v>46.734693877551</v>
      </c>
      <c r="BB42" s="47">
        <f t="shared" si="138"/>
        <v>37.907029478458</v>
      </c>
      <c r="BC42" s="64">
        <f t="shared" si="13"/>
        <v>229.0</v>
      </c>
      <c r="BD42" s="69">
        <f>VLOOKUP(D42,FEB23SOH,3,false)</f>
        <v>4.0</v>
      </c>
      <c r="BE42" s="201">
        <f>VLOOKUP(D42,VALUEFEB23,4,false)</f>
        <v>5.4323</v>
      </c>
      <c r="BF42" s="215">
        <f t="shared" si="16"/>
        <v>21.7292</v>
      </c>
      <c r="BG42" s="64"/>
      <c r="BH42" s="64"/>
      <c r="BI42" s="193">
        <f t="shared" si="108"/>
        <v>-225.0</v>
      </c>
      <c r="BJ42" s="217">
        <v>501.0</v>
      </c>
      <c r="BK42" s="236" t="s">
        <v>577</v>
      </c>
      <c r="BL42" s="103" t="s">
        <v>518</v>
      </c>
      <c r="BM42" s="95">
        <f t="shared" si="110"/>
        <v>4.0</v>
      </c>
      <c r="BN42" s="65">
        <f t="shared" si="111"/>
        <v>33.7528344671201</v>
      </c>
      <c r="BO42" s="65">
        <f t="shared" si="21"/>
      </c>
      <c r="BP42" s="65">
        <f t="shared" si="112"/>
        <v>-29.7528344671201</v>
      </c>
      <c r="BQ42" s="194">
        <f t="shared" si="68"/>
        <v>-161.626322675735</v>
      </c>
      <c r="BR42" s="65">
        <f t="shared" si="113"/>
        <v>36.3492063492063</v>
      </c>
      <c r="BS42" s="65">
        <f t="shared" si="25"/>
      </c>
      <c r="BT42" s="65">
        <f t="shared" si="114"/>
        <v>-66.1020408163264</v>
      </c>
      <c r="BU42" s="194">
        <f t="shared" si="71"/>
        <v>-359.086116326528</v>
      </c>
      <c r="BV42" s="65">
        <f t="shared" si="115"/>
        <v>50.3696145124717</v>
      </c>
      <c r="BW42" s="65">
        <f t="shared" si="73"/>
      </c>
      <c r="BX42" s="65">
        <f t="shared" si="116"/>
        <v>-116.471655328798</v>
      </c>
      <c r="BY42" s="194">
        <f t="shared" si="75"/>
        <v>-632.708973242629</v>
      </c>
      <c r="BZ42" s="65">
        <f t="shared" si="117"/>
        <v>23.8866213151927</v>
      </c>
      <c r="CA42" s="65"/>
      <c r="CB42" s="65">
        <f t="shared" si="118"/>
        <v>-140.35827664399</v>
      </c>
      <c r="CC42" s="194">
        <f t="shared" si="78"/>
        <v>-762.468266213145</v>
      </c>
      <c r="CD42" s="65">
        <f t="shared" si="119"/>
        <v>46.734693877551</v>
      </c>
      <c r="CE42" s="65"/>
      <c r="CF42" s="65">
        <f t="shared" si="120"/>
        <v>-187.092970521541</v>
      </c>
      <c r="CG42" s="194">
        <f t="shared" si="81"/>
        <v>-1016.34514376415</v>
      </c>
      <c r="CH42" s="65">
        <f t="shared" si="121"/>
        <v>37.907029478458</v>
      </c>
      <c r="CI42" s="65"/>
      <c r="CJ42" s="65">
        <f t="shared" si="122"/>
        <v>-224.99999999998</v>
      </c>
      <c r="CK42" s="194">
        <f t="shared" si="84"/>
        <v>-1016.34514376415</v>
      </c>
    </row>
    <row r="43" ht="14.0" customFormat="1" s="47">
      <c r="A43" s="93" t="s">
        <v>179</v>
      </c>
      <c r="B43" s="93" t="s">
        <v>252</v>
      </c>
      <c r="C43" s="93" t="s">
        <v>253</v>
      </c>
      <c r="D43" s="229" t="s">
        <v>254</v>
      </c>
      <c r="E43" s="93">
        <v>0.0</v>
      </c>
      <c r="F43" s="93">
        <v>0.0</v>
      </c>
      <c r="G43" s="93">
        <v>0.0</v>
      </c>
      <c r="H43" s="93">
        <v>0.0</v>
      </c>
      <c r="I43" s="93">
        <v>0.0</v>
      </c>
      <c r="J43" s="93">
        <v>0.0</v>
      </c>
      <c r="K43" s="93">
        <v>0.0</v>
      </c>
      <c r="L43" s="93">
        <v>0.0</v>
      </c>
      <c r="M43" s="93">
        <v>0.0</v>
      </c>
      <c r="N43" s="93">
        <v>0.0</v>
      </c>
      <c r="O43" s="93">
        <v>0.0</v>
      </c>
      <c r="P43" s="93">
        <v>0.0</v>
      </c>
      <c r="Q43" s="93">
        <v>0.0</v>
      </c>
      <c r="R43" s="93">
        <v>0.0</v>
      </c>
      <c r="S43" s="93">
        <v>0.0</v>
      </c>
      <c r="T43" s="93">
        <v>0.0</v>
      </c>
      <c r="U43" s="93">
        <v>0.0</v>
      </c>
      <c r="V43" s="93">
        <v>0.0</v>
      </c>
      <c r="W43" s="93">
        <v>0.0</v>
      </c>
      <c r="X43" s="93">
        <v>0.0</v>
      </c>
      <c r="Y43" s="93">
        <v>0.0</v>
      </c>
      <c r="Z43" s="93">
        <v>0.0</v>
      </c>
      <c r="AA43" s="93">
        <v>0.0</v>
      </c>
      <c r="AB43" s="93">
        <v>48.0</v>
      </c>
      <c r="AC43" s="93">
        <v>45.0</v>
      </c>
      <c r="AD43" s="93">
        <v>24.0</v>
      </c>
      <c r="AE43" s="93">
        <v>6.0</v>
      </c>
      <c r="AF43" s="93">
        <v>15.0</v>
      </c>
      <c r="AG43" s="93">
        <v>36.0</v>
      </c>
      <c r="AH43" s="114">
        <v>39.0</v>
      </c>
      <c r="AI43" s="114">
        <v>40.0</v>
      </c>
      <c r="AJ43" s="114">
        <v>45.0</v>
      </c>
      <c r="AK43" s="114">
        <v>45.0</v>
      </c>
      <c r="AL43" s="114">
        <v>27.0</v>
      </c>
      <c r="AM43" s="114">
        <v>21.0</v>
      </c>
      <c r="AN43" s="93">
        <v>15.0</v>
      </c>
      <c r="AO43" s="93">
        <v>6.0</v>
      </c>
      <c r="AP43" s="93">
        <v>3.0</v>
      </c>
      <c r="AQ43" s="233">
        <v>0.0</v>
      </c>
      <c r="AR43" s="233">
        <v>0.0</v>
      </c>
      <c r="AS43" s="233">
        <v>15.0</v>
      </c>
      <c r="AT43" s="69">
        <f t="shared" si="4"/>
        <v>256.0</v>
      </c>
      <c r="AU43" s="69">
        <f t="shared" si="132"/>
        <v>217.0</v>
      </c>
      <c r="AV43" s="69">
        <f t="shared" si="6"/>
        <v>238.7</v>
      </c>
      <c r="AW43" s="47">
        <f t="shared" si="133"/>
        <v>31.984126984127</v>
      </c>
      <c r="AX43" s="47">
        <f t="shared" si="134"/>
        <v>34.4444444444444</v>
      </c>
      <c r="AY43" s="47">
        <f t="shared" si="135"/>
        <v>47.7301587301587</v>
      </c>
      <c r="AZ43" s="47">
        <f t="shared" si="136"/>
        <v>22.6349206349206</v>
      </c>
      <c r="BA43" s="47">
        <f t="shared" si="137"/>
        <v>44.2857142857142</v>
      </c>
      <c r="BB43" s="47">
        <f t="shared" si="138"/>
        <v>35.9206349206349</v>
      </c>
      <c r="BC43" s="64">
        <f t="shared" si="13"/>
        <v>217.0</v>
      </c>
      <c r="BD43" s="69">
        <f>VLOOKUP(D43,FEB23SOH,3,false)</f>
        <v>70.0</v>
      </c>
      <c r="BE43" s="201">
        <f>VLOOKUP(D43,VALUEFEB23,4,false)</f>
        <v>4.9789</v>
      </c>
      <c r="BF43" s="215">
        <f t="shared" si="16"/>
        <v>348.523</v>
      </c>
      <c r="BG43" s="64"/>
      <c r="BH43" s="64"/>
      <c r="BI43" s="193">
        <f t="shared" si="108"/>
        <v>-147.0</v>
      </c>
      <c r="BJ43" s="217">
        <v>501.0</v>
      </c>
      <c r="BK43" s="232" t="s">
        <v>576</v>
      </c>
      <c r="BL43" s="103" t="s">
        <v>520</v>
      </c>
      <c r="BM43" s="95">
        <f t="shared" si="110"/>
        <v>70.0</v>
      </c>
      <c r="BN43" s="65">
        <f t="shared" si="111"/>
        <v>31.984126984127</v>
      </c>
      <c r="BO43" s="65">
        <f t="shared" si="21"/>
      </c>
      <c r="BP43" s="65">
        <f t="shared" si="112"/>
        <v>38.015873015873</v>
      </c>
      <c r="BQ43" s="194">
        <f t="shared" si="68"/>
        <v>189.27723015873</v>
      </c>
      <c r="BR43" s="65">
        <f t="shared" si="113"/>
        <v>34.4444444444444</v>
      </c>
      <c r="BS43" s="65">
        <f t="shared" si="25"/>
      </c>
      <c r="BT43" s="65">
        <f t="shared" si="114"/>
        <v>3.5714285714286</v>
      </c>
      <c r="BU43" s="194">
        <f t="shared" si="71"/>
        <v>17.7817857142859</v>
      </c>
      <c r="BV43" s="65">
        <f t="shared" si="115"/>
        <v>47.7301587301587</v>
      </c>
      <c r="BW43" s="65">
        <f t="shared" si="73"/>
      </c>
      <c r="BX43" s="65">
        <f t="shared" si="116"/>
        <v>-44.1587301587301</v>
      </c>
      <c r="BY43" s="194">
        <f t="shared" si="75"/>
        <v>-219.861901587301</v>
      </c>
      <c r="BZ43" s="65">
        <f t="shared" si="117"/>
        <v>22.6349206349206</v>
      </c>
      <c r="CA43" s="65"/>
      <c r="CB43" s="65">
        <f t="shared" si="118"/>
        <v>-66.7936507936507</v>
      </c>
      <c r="CC43" s="194">
        <f t="shared" si="78"/>
        <v>-332.558907936507</v>
      </c>
      <c r="CD43" s="65">
        <f t="shared" si="119"/>
        <v>44.2857142857142</v>
      </c>
      <c r="CE43" s="65"/>
      <c r="CF43" s="65">
        <f t="shared" si="120"/>
        <v>-111.079365079364</v>
      </c>
      <c r="CG43" s="194">
        <f t="shared" si="81"/>
        <v>-553.053050793645</v>
      </c>
      <c r="CH43" s="65">
        <f t="shared" si="121"/>
        <v>35.9206349206349</v>
      </c>
      <c r="CI43" s="65"/>
      <c r="CJ43" s="65">
        <f t="shared" si="122"/>
        <v>-146.99999999998</v>
      </c>
      <c r="CK43" s="194">
        <f t="shared" si="84"/>
        <v>-553.053050793645</v>
      </c>
    </row>
    <row r="44" ht="14.0">
      <c r="A44" s="93" t="s">
        <v>179</v>
      </c>
      <c r="B44" s="93" t="s">
        <v>252</v>
      </c>
      <c r="C44" s="93" t="s">
        <v>256</v>
      </c>
      <c r="D44" s="234" t="s">
        <v>257</v>
      </c>
      <c r="E44" s="93">
        <v>0.0</v>
      </c>
      <c r="F44" s="93">
        <v>0.0</v>
      </c>
      <c r="G44" s="93">
        <v>0.0</v>
      </c>
      <c r="H44" s="93">
        <v>0.0</v>
      </c>
      <c r="I44" s="93">
        <v>0.0</v>
      </c>
      <c r="J44" s="93">
        <v>0.0</v>
      </c>
      <c r="K44" s="93">
        <v>0.0</v>
      </c>
      <c r="L44" s="93">
        <v>0.0</v>
      </c>
      <c r="M44" s="93">
        <v>0.0</v>
      </c>
      <c r="N44" s="93">
        <v>0.0</v>
      </c>
      <c r="O44" s="93">
        <v>0.0</v>
      </c>
      <c r="P44" s="93">
        <v>0.0</v>
      </c>
      <c r="Q44" s="93">
        <v>0.0</v>
      </c>
      <c r="R44" s="93">
        <v>0.0</v>
      </c>
      <c r="S44" s="93">
        <v>0.0</v>
      </c>
      <c r="T44" s="93">
        <v>0.0</v>
      </c>
      <c r="U44" s="93">
        <v>0.0</v>
      </c>
      <c r="V44" s="93">
        <v>0.0</v>
      </c>
      <c r="W44" s="93">
        <v>0.0</v>
      </c>
      <c r="X44" s="93">
        <v>0.0</v>
      </c>
      <c r="Y44" s="93">
        <v>0.0</v>
      </c>
      <c r="Z44" s="93">
        <v>0.0</v>
      </c>
      <c r="AA44" s="93">
        <v>0.0</v>
      </c>
      <c r="AB44" s="93">
        <v>18.0</v>
      </c>
      <c r="AC44" s="93">
        <v>31.0</v>
      </c>
      <c r="AD44" s="93">
        <v>6.0</v>
      </c>
      <c r="AE44" s="93">
        <v>3.0</v>
      </c>
      <c r="AF44" s="93">
        <v>3.0</v>
      </c>
      <c r="AG44" s="93">
        <v>24.0</v>
      </c>
      <c r="AH44" s="114">
        <v>12.0</v>
      </c>
      <c r="AI44" s="114">
        <v>15.0</v>
      </c>
      <c r="AJ44" s="114">
        <v>21.0</v>
      </c>
      <c r="AK44" s="114">
        <v>9.0</v>
      </c>
      <c r="AL44" s="114">
        <v>18.0</v>
      </c>
      <c r="AM44" s="114">
        <v>12.0</v>
      </c>
      <c r="AN44" s="93">
        <v>6.0</v>
      </c>
      <c r="AO44" s="93">
        <v>3.0</v>
      </c>
      <c r="AP44" s="93">
        <v>3.0</v>
      </c>
      <c r="AQ44" s="233">
        <v>0.0</v>
      </c>
      <c r="AR44" s="233">
        <v>0.0</v>
      </c>
      <c r="AS44" s="233">
        <v>4.0</v>
      </c>
      <c r="AT44" s="69">
        <f t="shared" si="4"/>
        <v>103.0</v>
      </c>
      <c r="AU44" s="69">
        <f t="shared" si="132"/>
        <v>87.0</v>
      </c>
      <c r="AV44" s="69">
        <f t="shared" si="6"/>
        <v>95.7</v>
      </c>
      <c r="AW44" s="47">
        <f t="shared" si="133"/>
        <v>12.8231292517007</v>
      </c>
      <c r="AX44" s="47">
        <f t="shared" si="134"/>
        <v>13.8095238095238</v>
      </c>
      <c r="AY44" s="47">
        <f t="shared" si="135"/>
        <v>19.1360544217687</v>
      </c>
      <c r="AZ44" s="47">
        <f t="shared" si="136"/>
        <v>9.07482993197279</v>
      </c>
      <c r="BA44" s="47">
        <f t="shared" si="137"/>
        <v>17.7551020408163</v>
      </c>
      <c r="BB44" s="47">
        <f t="shared" si="138"/>
        <v>14.401360544218</v>
      </c>
      <c r="BC44" s="64">
        <f t="shared" si="13"/>
        <v>87.0000000000002</v>
      </c>
      <c r="BD44" s="69">
        <f>VLOOKUP(D44,FEB23SOH,3,false)</f>
        <v>310.0</v>
      </c>
      <c r="BE44" s="201">
        <f>VLOOKUP(D44,VALUEFEB23,4,false)</f>
        <v>4.9746</v>
      </c>
      <c r="BF44" s="215">
        <f t="shared" si="16"/>
        <v>1542.126</v>
      </c>
      <c r="BI44" s="193">
        <f t="shared" si="108"/>
        <v>223.0</v>
      </c>
      <c r="BK44" s="99" t="s">
        <v>576</v>
      </c>
      <c r="BL44" s="103"/>
      <c r="BM44" s="95">
        <f t="shared" si="110"/>
        <v>310.0</v>
      </c>
      <c r="BN44" s="65">
        <f t="shared" si="111"/>
        <v>12.8231292517007</v>
      </c>
      <c r="BO44" s="65">
        <f t="shared" si="21"/>
      </c>
      <c r="BP44" s="65">
        <f t="shared" si="112"/>
        <v>297.176870748299</v>
      </c>
      <c r="BQ44" s="194">
        <f t="shared" si="68"/>
        <v>1478.33606122449</v>
      </c>
      <c r="BR44" s="65">
        <f t="shared" si="113"/>
        <v>13.8095238095238</v>
      </c>
      <c r="BS44" s="65">
        <f t="shared" si="25"/>
      </c>
      <c r="BT44" s="65">
        <f t="shared" si="114"/>
        <v>283.367346938775</v>
      </c>
      <c r="BU44" s="194">
        <f t="shared" si="71"/>
        <v>1409.63920408163</v>
      </c>
      <c r="BV44" s="65">
        <f t="shared" si="115"/>
        <v>19.1360544217687</v>
      </c>
      <c r="BW44" s="65">
        <f t="shared" si="73"/>
      </c>
      <c r="BX44" s="65">
        <f t="shared" si="116"/>
        <v>264.231292517006</v>
      </c>
      <c r="BY44" s="194">
        <f t="shared" si="75"/>
        <v>1314.4449877551</v>
      </c>
      <c r="BZ44" s="65">
        <f t="shared" si="117"/>
        <v>9.07482993197279</v>
      </c>
      <c r="CA44" s="65"/>
      <c r="CB44" s="65">
        <f t="shared" si="118"/>
        <v>255.156462585033</v>
      </c>
      <c r="CC44" s="194">
        <f t="shared" si="78"/>
        <v>1269.3013387755</v>
      </c>
      <c r="CD44" s="65">
        <f t="shared" si="119"/>
        <v>17.7551020408163</v>
      </c>
      <c r="CE44" s="65"/>
      <c r="CF44" s="65">
        <f t="shared" si="120"/>
        <v>237.401360544217</v>
      </c>
      <c r="CG44" s="194">
        <f t="shared" si="81"/>
        <v>1180.97680816326</v>
      </c>
      <c r="CH44" s="65">
        <f t="shared" si="121"/>
        <v>14.401360544218</v>
      </c>
      <c r="CI44" s="65"/>
      <c r="CJ44" s="65">
        <f t="shared" si="122"/>
        <v>222.999999999999</v>
      </c>
      <c r="CK44" s="194">
        <f t="shared" si="84"/>
        <v>1180.97680816326</v>
      </c>
    </row>
    <row r="45" ht="14.0">
      <c r="A45" s="93" t="s">
        <v>179</v>
      </c>
      <c r="B45" s="93" t="s">
        <v>252</v>
      </c>
      <c r="C45" s="93" t="s">
        <v>258</v>
      </c>
      <c r="D45" s="234" t="s">
        <v>259</v>
      </c>
      <c r="E45" s="93">
        <v>0.0</v>
      </c>
      <c r="F45" s="93">
        <v>0.0</v>
      </c>
      <c r="G45" s="93">
        <v>0.0</v>
      </c>
      <c r="H45" s="93">
        <v>0.0</v>
      </c>
      <c r="I45" s="93">
        <v>0.0</v>
      </c>
      <c r="J45" s="93">
        <v>0.0</v>
      </c>
      <c r="K45" s="93">
        <v>0.0</v>
      </c>
      <c r="L45" s="93">
        <v>0.0</v>
      </c>
      <c r="M45" s="93">
        <v>0.0</v>
      </c>
      <c r="N45" s="93">
        <v>0.0</v>
      </c>
      <c r="O45" s="93">
        <v>0.0</v>
      </c>
      <c r="P45" s="93">
        <v>0.0</v>
      </c>
      <c r="Q45" s="93">
        <v>0.0</v>
      </c>
      <c r="R45" s="93">
        <v>0.0</v>
      </c>
      <c r="S45" s="93">
        <v>0.0</v>
      </c>
      <c r="T45" s="93">
        <v>0.0</v>
      </c>
      <c r="U45" s="93">
        <v>0.0</v>
      </c>
      <c r="V45" s="93">
        <v>0.0</v>
      </c>
      <c r="W45" s="93">
        <v>0.0</v>
      </c>
      <c r="X45" s="93">
        <v>0.0</v>
      </c>
      <c r="Y45" s="93">
        <v>0.0</v>
      </c>
      <c r="Z45" s="93">
        <v>0.0</v>
      </c>
      <c r="AA45" s="93">
        <v>0.0</v>
      </c>
      <c r="AB45" s="93">
        <v>30.0</v>
      </c>
      <c r="AC45" s="93">
        <v>30.0</v>
      </c>
      <c r="AD45" s="93">
        <v>15.0</v>
      </c>
      <c r="AE45" s="93">
        <v>3.0</v>
      </c>
      <c r="AF45" s="93">
        <v>0.0</v>
      </c>
      <c r="AG45" s="93">
        <v>27.0</v>
      </c>
      <c r="AH45" s="114">
        <v>15.0</v>
      </c>
      <c r="AI45" s="114">
        <v>27.0</v>
      </c>
      <c r="AJ45" s="114">
        <v>39.0</v>
      </c>
      <c r="AK45" s="114">
        <v>21.0</v>
      </c>
      <c r="AL45" s="114">
        <v>18.0</v>
      </c>
      <c r="AM45" s="114">
        <v>21.0</v>
      </c>
      <c r="AN45" s="93">
        <v>3.0</v>
      </c>
      <c r="AO45" s="93">
        <v>0.0</v>
      </c>
      <c r="AP45" s="93">
        <v>6.0</v>
      </c>
      <c r="AQ45" s="233">
        <v>0.0</v>
      </c>
      <c r="AR45" s="233">
        <v>6.0</v>
      </c>
      <c r="AS45" s="233">
        <v>7.0</v>
      </c>
      <c r="AT45" s="69">
        <f t="shared" si="4"/>
        <v>163.0</v>
      </c>
      <c r="AU45" s="69">
        <f t="shared" si="132"/>
        <v>141.0</v>
      </c>
      <c r="AV45" s="69">
        <f t="shared" si="6"/>
        <v>155.1</v>
      </c>
      <c r="AW45" s="47">
        <f t="shared" si="133"/>
        <v>20.78231292517</v>
      </c>
      <c r="AX45" s="47">
        <f t="shared" si="134"/>
        <v>22.3809523809523</v>
      </c>
      <c r="AY45" s="47">
        <f t="shared" si="135"/>
        <v>31.0136054421769</v>
      </c>
      <c r="AZ45" s="47">
        <f t="shared" si="136"/>
        <v>14.7074829931972</v>
      </c>
      <c r="BA45" s="47">
        <f t="shared" si="137"/>
        <v>28.7755102040816</v>
      </c>
      <c r="BB45" s="47">
        <f t="shared" si="138"/>
        <v>23.340136054421</v>
      </c>
      <c r="BC45" s="64">
        <f t="shared" si="13"/>
        <v>140.999999999999</v>
      </c>
      <c r="BD45" s="69">
        <f>VLOOKUP(D45,FEB23SOH,3,false)</f>
        <v>227.0</v>
      </c>
      <c r="BE45" s="201">
        <f>VLOOKUP(D45,VALUEFEB23,4,false)</f>
        <v>4.9751</v>
      </c>
      <c r="BF45" s="215">
        <f t="shared" si="16"/>
        <v>1129.3477</v>
      </c>
      <c r="BI45" s="193">
        <f t="shared" si="108"/>
        <v>86.000000000001</v>
      </c>
      <c r="BK45" s="99" t="s">
        <v>576</v>
      </c>
      <c r="BL45" s="103"/>
      <c r="BM45" s="95">
        <f t="shared" si="110"/>
        <v>227.0</v>
      </c>
      <c r="BN45" s="65">
        <f t="shared" si="111"/>
        <v>20.78231292517</v>
      </c>
      <c r="BO45" s="65">
        <f t="shared" si="21"/>
      </c>
      <c r="BP45" s="65">
        <f t="shared" si="112"/>
        <v>206.21768707483</v>
      </c>
      <c r="BQ45" s="194">
        <f t="shared" si="68"/>
        <v>1025.95361496599</v>
      </c>
      <c r="BR45" s="65">
        <f t="shared" si="113"/>
        <v>22.3809523809523</v>
      </c>
      <c r="BS45" s="65">
        <f t="shared" si="25"/>
      </c>
      <c r="BT45" s="65">
        <f t="shared" si="114"/>
        <v>183.836734693878</v>
      </c>
      <c r="BU45" s="194">
        <f t="shared" si="71"/>
        <v>914.606138775512</v>
      </c>
      <c r="BV45" s="65">
        <f t="shared" si="115"/>
        <v>31.0136054421769</v>
      </c>
      <c r="BW45" s="65">
        <f t="shared" si="73"/>
      </c>
      <c r="BX45" s="65">
        <f t="shared" si="116"/>
        <v>152.823129251701</v>
      </c>
      <c r="BY45" s="194">
        <f t="shared" si="75"/>
        <v>760.310350340138</v>
      </c>
      <c r="BZ45" s="65">
        <f t="shared" si="117"/>
        <v>14.7074829931972</v>
      </c>
      <c r="CA45" s="65"/>
      <c r="CB45" s="65">
        <f t="shared" si="118"/>
        <v>138.115646258503</v>
      </c>
      <c r="CC45" s="194">
        <f t="shared" si="78"/>
        <v>687.139151700678</v>
      </c>
      <c r="CD45" s="65">
        <f t="shared" si="119"/>
        <v>28.7755102040816</v>
      </c>
      <c r="CE45" s="65"/>
      <c r="CF45" s="65">
        <f t="shared" si="120"/>
        <v>109.340136054421</v>
      </c>
      <c r="CG45" s="194">
        <f t="shared" si="81"/>
        <v>543.97811088435</v>
      </c>
      <c r="CH45" s="65">
        <f t="shared" si="121"/>
        <v>23.340136054421</v>
      </c>
      <c r="CI45" s="65"/>
      <c r="CJ45" s="65">
        <f t="shared" si="122"/>
        <v>86.0</v>
      </c>
      <c r="CK45" s="194">
        <f t="shared" si="84"/>
        <v>543.97811088435</v>
      </c>
    </row>
    <row r="46" ht="14.0">
      <c r="A46" s="93" t="s">
        <v>179</v>
      </c>
      <c r="B46" s="93" t="s">
        <v>252</v>
      </c>
      <c r="C46" s="93" t="s">
        <v>260</v>
      </c>
      <c r="D46" s="234" t="s">
        <v>261</v>
      </c>
      <c r="E46" s="93">
        <v>0.0</v>
      </c>
      <c r="F46" s="93">
        <v>0.0</v>
      </c>
      <c r="G46" s="93">
        <v>0.0</v>
      </c>
      <c r="H46" s="93">
        <v>0.0</v>
      </c>
      <c r="I46" s="93">
        <v>0.0</v>
      </c>
      <c r="J46" s="93">
        <v>0.0</v>
      </c>
      <c r="K46" s="93">
        <v>0.0</v>
      </c>
      <c r="L46" s="93">
        <v>0.0</v>
      </c>
      <c r="M46" s="93">
        <v>0.0</v>
      </c>
      <c r="N46" s="93">
        <v>0.0</v>
      </c>
      <c r="O46" s="93">
        <v>0.0</v>
      </c>
      <c r="P46" s="93">
        <v>0.0</v>
      </c>
      <c r="Q46" s="93">
        <v>0.0</v>
      </c>
      <c r="R46" s="93">
        <v>0.0</v>
      </c>
      <c r="S46" s="93">
        <v>0.0</v>
      </c>
      <c r="T46" s="93">
        <v>0.0</v>
      </c>
      <c r="U46" s="93">
        <v>0.0</v>
      </c>
      <c r="V46" s="93">
        <v>0.0</v>
      </c>
      <c r="W46" s="93">
        <v>0.0</v>
      </c>
      <c r="X46" s="93">
        <v>0.0</v>
      </c>
      <c r="Y46" s="93">
        <v>0.0</v>
      </c>
      <c r="Z46" s="93">
        <v>0.0</v>
      </c>
      <c r="AA46" s="93">
        <v>0.0</v>
      </c>
      <c r="AB46" s="93">
        <v>24.0</v>
      </c>
      <c r="AC46" s="93">
        <v>18.0</v>
      </c>
      <c r="AD46" s="93">
        <v>12.0</v>
      </c>
      <c r="AE46" s="93">
        <v>9.0</v>
      </c>
      <c r="AF46" s="93">
        <v>0.0</v>
      </c>
      <c r="AG46" s="93">
        <v>12.0</v>
      </c>
      <c r="AH46" s="114">
        <v>36.0</v>
      </c>
      <c r="AI46" s="114">
        <v>27.0</v>
      </c>
      <c r="AJ46" s="114">
        <v>39.0</v>
      </c>
      <c r="AK46" s="114">
        <v>15.0</v>
      </c>
      <c r="AL46" s="114">
        <v>21.0</v>
      </c>
      <c r="AM46" s="114">
        <v>15.0</v>
      </c>
      <c r="AN46" s="93">
        <v>6.0</v>
      </c>
      <c r="AO46" s="93">
        <v>3.0</v>
      </c>
      <c r="AP46" s="93">
        <v>12.0</v>
      </c>
      <c r="AQ46" s="233">
        <v>0.0</v>
      </c>
      <c r="AR46" s="233">
        <v>0.0</v>
      </c>
      <c r="AS46" s="233">
        <v>4.0</v>
      </c>
      <c r="AT46" s="69">
        <f t="shared" si="4"/>
        <v>178.0</v>
      </c>
      <c r="AU46" s="69">
        <f t="shared" si="132"/>
        <v>153.0</v>
      </c>
      <c r="AV46" s="69">
        <f t="shared" si="6"/>
        <v>168.3</v>
      </c>
      <c r="AW46" s="47">
        <f t="shared" si="133"/>
        <v>22.5510204081632</v>
      </c>
      <c r="AX46" s="47">
        <f t="shared" si="134"/>
        <v>24.2857142857142</v>
      </c>
      <c r="AY46" s="47">
        <f t="shared" si="135"/>
        <v>33.6530612244898</v>
      </c>
      <c r="AZ46" s="47">
        <f t="shared" si="136"/>
        <v>15.9591836734693</v>
      </c>
      <c r="BA46" s="47">
        <f t="shared" si="137"/>
        <v>31.2244897959183</v>
      </c>
      <c r="BB46" s="47">
        <f t="shared" si="138"/>
        <v>25.3265306122449</v>
      </c>
      <c r="BC46" s="64">
        <f t="shared" si="13"/>
        <v>153.0</v>
      </c>
      <c r="BD46" s="69">
        <f>VLOOKUP(D46,FEB23SOH,3,false)</f>
        <v>242.0</v>
      </c>
      <c r="BE46" s="201">
        <f>VLOOKUP(D46,VALUEFEB23,4,false)</f>
        <v>4.975</v>
      </c>
      <c r="BF46" s="215">
        <f t="shared" si="16"/>
        <v>1203.95</v>
      </c>
      <c r="BI46" s="193">
        <f t="shared" si="108"/>
        <v>89.0</v>
      </c>
      <c r="BK46" s="99" t="s">
        <v>576</v>
      </c>
      <c r="BL46" s="103"/>
      <c r="BM46" s="95">
        <f t="shared" si="110"/>
        <v>242.0</v>
      </c>
      <c r="BN46" s="65">
        <f t="shared" si="111"/>
        <v>22.5510204081632</v>
      </c>
      <c r="BO46" s="65">
        <f t="shared" si="21"/>
      </c>
      <c r="BP46" s="65">
        <f t="shared" si="112"/>
        <v>219.448979591837</v>
      </c>
      <c r="BQ46" s="194">
        <f t="shared" si="68"/>
        <v>1091.75867346939</v>
      </c>
      <c r="BR46" s="65">
        <f t="shared" si="113"/>
        <v>24.2857142857142</v>
      </c>
      <c r="BS46" s="65">
        <f t="shared" si="25"/>
      </c>
      <c r="BT46" s="65">
        <f t="shared" si="114"/>
        <v>195.163265306122</v>
      </c>
      <c r="BU46" s="194">
        <f t="shared" si="71"/>
        <v>970.937244897957</v>
      </c>
      <c r="BV46" s="65">
        <f t="shared" si="115"/>
        <v>33.6530612244898</v>
      </c>
      <c r="BW46" s="65">
        <f t="shared" si="73"/>
      </c>
      <c r="BX46" s="65">
        <f t="shared" si="116"/>
        <v>161.510204081632</v>
      </c>
      <c r="BY46" s="194">
        <f t="shared" si="75"/>
        <v>803.513265306119</v>
      </c>
      <c r="BZ46" s="65">
        <f t="shared" si="117"/>
        <v>15.9591836734693</v>
      </c>
      <c r="CA46" s="65"/>
      <c r="CB46" s="65">
        <f t="shared" si="118"/>
        <v>145.551020408162</v>
      </c>
      <c r="CC46" s="194">
        <f t="shared" si="78"/>
        <v>724.116326530606</v>
      </c>
      <c r="CD46" s="65">
        <f t="shared" si="119"/>
        <v>31.2244897959183</v>
      </c>
      <c r="CE46" s="65"/>
      <c r="CF46" s="65">
        <f t="shared" si="120"/>
        <v>114.326530612243</v>
      </c>
      <c r="CG46" s="194">
        <f t="shared" si="81"/>
        <v>568.774489795909</v>
      </c>
      <c r="CH46" s="65">
        <f t="shared" si="121"/>
        <v>25.3265306122449</v>
      </c>
      <c r="CI46" s="65"/>
      <c r="CJ46" s="65">
        <f t="shared" si="122"/>
        <v>88.9999999999981</v>
      </c>
      <c r="CK46" s="194">
        <f t="shared" si="84"/>
        <v>568.774489795909</v>
      </c>
    </row>
    <row r="47" ht="14.0">
      <c r="A47" s="93" t="s">
        <v>179</v>
      </c>
      <c r="B47" s="93" t="s">
        <v>262</v>
      </c>
      <c r="C47" s="93" t="s">
        <v>263</v>
      </c>
      <c r="D47" s="229" t="s">
        <v>264</v>
      </c>
      <c r="E47" s="93">
        <v>0.0</v>
      </c>
      <c r="F47" s="93">
        <v>0.0</v>
      </c>
      <c r="G47" s="93">
        <v>0.0</v>
      </c>
      <c r="H47" s="93">
        <v>0.0</v>
      </c>
      <c r="I47" s="93">
        <v>0.0</v>
      </c>
      <c r="J47" s="93">
        <v>0.0</v>
      </c>
      <c r="K47" s="93">
        <v>0.0</v>
      </c>
      <c r="L47" s="93">
        <v>0.0</v>
      </c>
      <c r="M47" s="93">
        <v>0.0</v>
      </c>
      <c r="N47" s="93">
        <v>0.0</v>
      </c>
      <c r="O47" s="93">
        <v>0.0</v>
      </c>
      <c r="P47" s="93">
        <v>0.0</v>
      </c>
      <c r="Q47" s="93">
        <v>0.0</v>
      </c>
      <c r="R47" s="93">
        <v>0.0</v>
      </c>
      <c r="S47" s="93">
        <v>0.0</v>
      </c>
      <c r="T47" s="93">
        <v>0.0</v>
      </c>
      <c r="U47" s="93">
        <v>0.0</v>
      </c>
      <c r="V47" s="93">
        <v>0.0</v>
      </c>
      <c r="W47" s="93">
        <v>0.0</v>
      </c>
      <c r="X47" s="93">
        <v>0.0</v>
      </c>
      <c r="Y47" s="93">
        <v>0.0</v>
      </c>
      <c r="Z47" s="93">
        <v>0.0</v>
      </c>
      <c r="AA47" s="93">
        <v>0.0</v>
      </c>
      <c r="AB47" s="93">
        <v>0.0</v>
      </c>
      <c r="AC47" s="93">
        <v>0.0</v>
      </c>
      <c r="AD47" s="93">
        <v>0.0</v>
      </c>
      <c r="AE47" s="93">
        <v>0.0</v>
      </c>
      <c r="AF47" s="93">
        <v>0.0</v>
      </c>
      <c r="AG47" s="93">
        <v>0.0</v>
      </c>
      <c r="AH47" s="93">
        <v>16.0</v>
      </c>
      <c r="AI47" s="93">
        <v>161.0</v>
      </c>
      <c r="AJ47" s="93">
        <v>128.0</v>
      </c>
      <c r="AK47" s="93">
        <v>76.0</v>
      </c>
      <c r="AL47" s="93">
        <v>64.0</v>
      </c>
      <c r="AM47" s="93">
        <v>44.0</v>
      </c>
      <c r="AN47" s="230">
        <v>64.0</v>
      </c>
      <c r="AO47" s="230">
        <v>116.0</v>
      </c>
      <c r="AP47" s="230">
        <v>88.0</v>
      </c>
      <c r="AQ47" s="231">
        <v>44.0</v>
      </c>
      <c r="AR47" s="231">
        <v>36.0</v>
      </c>
      <c r="AS47" s="231">
        <v>49.0</v>
      </c>
      <c r="AT47" s="69">
        <f t="shared" si="4"/>
        <v>886.0</v>
      </c>
      <c r="AU47" s="69">
        <f t="shared" ref="AU47:AU54" si="139">SUM(AN47:AS47)</f>
        <v>397.0</v>
      </c>
      <c r="AV47" s="69">
        <f t="shared" si="6"/>
        <v>436.7</v>
      </c>
      <c r="AW47" s="47">
        <f t="shared" ref="AW47:AW54" si="140">AV47*$AW$4/$AV$4</f>
        <v>46.1627906976744</v>
      </c>
      <c r="AX47" s="47">
        <f t="shared" ref="AX47:AX54" si="141">AV47*$AX$4/$AV$4</f>
        <v>49.7137745974955</v>
      </c>
      <c r="AY47" s="47">
        <f t="shared" ref="AY47:AY54" si="142">AV47*$AY$4/$AV$4</f>
        <v>68.8890876565295</v>
      </c>
      <c r="AZ47" s="47">
        <f t="shared" ref="AZ47:AZ54" si="143">AV47*$AZ$4/$AV$4</f>
        <v>32.6690518783542</v>
      </c>
      <c r="BA47" s="47">
        <f t="shared" ref="BA47:BA54" si="144">AV47*$BA$4/$AV$4</f>
        <v>63.91771019678</v>
      </c>
      <c r="BB47" s="47">
        <f t="shared" ref="BB47:BB54" si="145">AV47*$BB$4/$AV$4</f>
        <v>51.8443649373881</v>
      </c>
      <c r="BC47" s="64">
        <f t="shared" si="13"/>
        <v>313.196779964221</v>
      </c>
      <c r="BD47" s="69">
        <f>VLOOKUP(D47,FEB23SOH,3,false)</f>
        <v>396.0</v>
      </c>
      <c r="BE47" s="201">
        <f>VLOOKUP(D47,VALUEFEB23,4,false)</f>
        <v>4.7569</v>
      </c>
      <c r="BF47" s="215">
        <f t="shared" si="16"/>
        <v>1883.7324</v>
      </c>
      <c r="BI47" s="193">
        <f t="shared" si="108"/>
        <v>82.803220035779</v>
      </c>
      <c r="BL47" s="103"/>
      <c r="BM47" s="95">
        <f t="shared" si="110"/>
        <v>396.0</v>
      </c>
      <c r="BN47" s="65">
        <f t="shared" si="111"/>
        <v>46.1627906976744</v>
      </c>
      <c r="BO47" s="65">
        <f t="shared" si="21"/>
      </c>
      <c r="BP47" s="65">
        <f t="shared" si="112"/>
        <v>349.837209302326</v>
      </c>
      <c r="BQ47" s="194">
        <f t="shared" si="68"/>
        <v>1664.14062093023</v>
      </c>
      <c r="BR47" s="65">
        <f t="shared" si="113"/>
        <v>49.7137745974955</v>
      </c>
      <c r="BS47" s="65">
        <f t="shared" si="25"/>
      </c>
      <c r="BT47" s="65">
        <f t="shared" si="114"/>
        <v>300.12343470483</v>
      </c>
      <c r="BU47" s="194">
        <f t="shared" si="71"/>
        <v>1427.6571665474</v>
      </c>
      <c r="BV47" s="65">
        <f t="shared" si="115"/>
        <v>68.8890876565295</v>
      </c>
      <c r="BW47" s="65">
        <f t="shared" si="73"/>
      </c>
      <c r="BX47" s="65">
        <f t="shared" si="116"/>
        <v>231.2343470483</v>
      </c>
      <c r="BY47" s="194">
        <f t="shared" si="75"/>
        <v>1099.95866547406</v>
      </c>
      <c r="BZ47" s="65">
        <f t="shared" si="117"/>
        <v>32.6690518783542</v>
      </c>
      <c r="CA47" s="65"/>
      <c r="CB47" s="65">
        <f t="shared" si="118"/>
        <v>198.56529516994</v>
      </c>
      <c r="CC47" s="194">
        <f t="shared" si="78"/>
        <v>944.555252593888</v>
      </c>
      <c r="CD47" s="65">
        <f t="shared" si="119"/>
        <v>63.91771019678</v>
      </c>
      <c r="CE47" s="65"/>
      <c r="CF47" s="65">
        <f t="shared" si="120"/>
        <v>134.64758497316</v>
      </c>
      <c r="CG47" s="194">
        <f t="shared" si="81"/>
        <v>640.505096958824</v>
      </c>
      <c r="CH47" s="65">
        <f t="shared" si="121"/>
        <v>51.8443649373881</v>
      </c>
      <c r="CI47" s="65"/>
      <c r="CJ47" s="65">
        <f t="shared" si="122"/>
        <v>82.8032200357719</v>
      </c>
      <c r="CK47" s="194">
        <f t="shared" si="84"/>
        <v>640.505096958824</v>
      </c>
    </row>
    <row r="48" ht="14.0">
      <c r="A48" s="93" t="s">
        <v>179</v>
      </c>
      <c r="B48" s="93" t="s">
        <v>262</v>
      </c>
      <c r="C48" s="93" t="s">
        <v>265</v>
      </c>
      <c r="D48" s="229" t="s">
        <v>266</v>
      </c>
      <c r="E48" s="93">
        <v>0.0</v>
      </c>
      <c r="F48" s="93">
        <v>0.0</v>
      </c>
      <c r="G48" s="93">
        <v>0.0</v>
      </c>
      <c r="H48" s="93">
        <v>0.0</v>
      </c>
      <c r="I48" s="93">
        <v>0.0</v>
      </c>
      <c r="J48" s="93">
        <v>0.0</v>
      </c>
      <c r="K48" s="93">
        <v>0.0</v>
      </c>
      <c r="L48" s="93">
        <v>0.0</v>
      </c>
      <c r="M48" s="93">
        <v>0.0</v>
      </c>
      <c r="N48" s="93">
        <v>0.0</v>
      </c>
      <c r="O48" s="93">
        <v>0.0</v>
      </c>
      <c r="P48" s="93">
        <v>0.0</v>
      </c>
      <c r="Q48" s="93">
        <v>0.0</v>
      </c>
      <c r="R48" s="93">
        <v>0.0</v>
      </c>
      <c r="S48" s="93">
        <v>0.0</v>
      </c>
      <c r="T48" s="93">
        <v>0.0</v>
      </c>
      <c r="U48" s="93">
        <v>0.0</v>
      </c>
      <c r="V48" s="93">
        <v>0.0</v>
      </c>
      <c r="W48" s="93">
        <v>0.0</v>
      </c>
      <c r="X48" s="93">
        <v>0.0</v>
      </c>
      <c r="Y48" s="93">
        <v>0.0</v>
      </c>
      <c r="Z48" s="93">
        <v>0.0</v>
      </c>
      <c r="AA48" s="93">
        <v>0.0</v>
      </c>
      <c r="AB48" s="93">
        <v>0.0</v>
      </c>
      <c r="AC48" s="93">
        <v>0.0</v>
      </c>
      <c r="AD48" s="93">
        <v>0.0</v>
      </c>
      <c r="AE48" s="93">
        <v>0.0</v>
      </c>
      <c r="AF48" s="93">
        <v>0.0</v>
      </c>
      <c r="AG48" s="93">
        <v>0.0</v>
      </c>
      <c r="AH48" s="93">
        <v>4.0</v>
      </c>
      <c r="AI48" s="93">
        <v>134.0</v>
      </c>
      <c r="AJ48" s="93">
        <v>116.0</v>
      </c>
      <c r="AK48" s="93">
        <v>52.0</v>
      </c>
      <c r="AL48" s="93">
        <v>16.0</v>
      </c>
      <c r="AM48" s="93">
        <v>28.0</v>
      </c>
      <c r="AN48" s="230">
        <v>68.0</v>
      </c>
      <c r="AO48" s="230">
        <v>36.0</v>
      </c>
      <c r="AP48" s="230">
        <v>32.0</v>
      </c>
      <c r="AQ48" s="231">
        <v>12.0</v>
      </c>
      <c r="AR48" s="231">
        <v>12.0</v>
      </c>
      <c r="AS48" s="231">
        <v>19.0</v>
      </c>
      <c r="AT48" s="69">
        <f t="shared" si="4"/>
        <v>529.0</v>
      </c>
      <c r="AU48" s="69">
        <f t="shared" si="139"/>
        <v>179.0</v>
      </c>
      <c r="AV48" s="69">
        <f t="shared" si="6"/>
        <v>196.9</v>
      </c>
      <c r="AW48" s="47">
        <f t="shared" si="140"/>
        <v>20.813953488372</v>
      </c>
      <c r="AX48" s="47">
        <f t="shared" si="141"/>
        <v>22.4150268336314</v>
      </c>
      <c r="AY48" s="47">
        <f t="shared" si="142"/>
        <v>31.0608228980322</v>
      </c>
      <c r="AZ48" s="47">
        <f t="shared" si="143"/>
        <v>14.7298747763864</v>
      </c>
      <c r="BA48" s="47">
        <f t="shared" si="144"/>
        <v>28.819320214669</v>
      </c>
      <c r="BB48" s="47">
        <f t="shared" si="145"/>
        <v>23.3756708407871</v>
      </c>
      <c r="BC48" s="64">
        <f t="shared" si="13"/>
        <v>141.214669051878</v>
      </c>
      <c r="BD48" s="69">
        <f>VLOOKUP(D48,FEB23SOH,3,false)</f>
        <v>587.0</v>
      </c>
      <c r="BE48" s="201">
        <f>VLOOKUP(D48,VALUEFEB23,4,false)</f>
        <v>4.756</v>
      </c>
      <c r="BF48" s="215">
        <f t="shared" si="16"/>
        <v>2791.772</v>
      </c>
      <c r="BI48" s="193">
        <f t="shared" si="108"/>
        <v>445.785330948122</v>
      </c>
      <c r="BL48" s="103"/>
      <c r="BM48" s="95">
        <f t="shared" si="110"/>
        <v>587.0</v>
      </c>
      <c r="BN48" s="65">
        <f t="shared" si="111"/>
        <v>20.813953488372</v>
      </c>
      <c r="BO48" s="65">
        <f t="shared" si="21"/>
      </c>
      <c r="BP48" s="65">
        <f t="shared" si="112"/>
        <v>566.186046511628</v>
      </c>
      <c r="BQ48" s="194">
        <f t="shared" si="68"/>
        <v>2692.7808372093</v>
      </c>
      <c r="BR48" s="65">
        <f t="shared" si="113"/>
        <v>22.4150268336314</v>
      </c>
      <c r="BS48" s="65">
        <f t="shared" si="25"/>
      </c>
      <c r="BT48" s="65">
        <f t="shared" si="114"/>
        <v>543.771019678</v>
      </c>
      <c r="BU48" s="194">
        <f t="shared" si="71"/>
        <v>2586.17496958857</v>
      </c>
      <c r="BV48" s="65">
        <f t="shared" si="115"/>
        <v>31.0608228980322</v>
      </c>
      <c r="BW48" s="65">
        <f t="shared" si="73"/>
      </c>
      <c r="BX48" s="65">
        <f t="shared" si="116"/>
        <v>512.710196779968</v>
      </c>
      <c r="BY48" s="194">
        <f t="shared" si="75"/>
        <v>2438.44969588552</v>
      </c>
      <c r="BZ48" s="65">
        <f t="shared" si="117"/>
        <v>14.7298747763864</v>
      </c>
      <c r="CA48" s="65"/>
      <c r="CB48" s="65">
        <f t="shared" si="118"/>
        <v>497.980322003581</v>
      </c>
      <c r="CC48" s="194">
        <f t="shared" si="78"/>
        <v>2368.39441144903</v>
      </c>
      <c r="CD48" s="65">
        <f t="shared" si="119"/>
        <v>28.819320214669</v>
      </c>
      <c r="CE48" s="65"/>
      <c r="CF48" s="65">
        <f t="shared" si="120"/>
        <v>469.161001788912</v>
      </c>
      <c r="CG48" s="194">
        <f t="shared" si="81"/>
        <v>2231.32972450807</v>
      </c>
      <c r="CH48" s="65">
        <f t="shared" si="121"/>
        <v>23.3756708407871</v>
      </c>
      <c r="CI48" s="65"/>
      <c r="CJ48" s="65">
        <f t="shared" si="122"/>
        <v>445.785330948124</v>
      </c>
      <c r="CK48" s="194">
        <f t="shared" si="84"/>
        <v>2231.32972450807</v>
      </c>
    </row>
    <row r="49" ht="14.0">
      <c r="A49" s="93" t="s">
        <v>179</v>
      </c>
      <c r="B49" s="93" t="s">
        <v>262</v>
      </c>
      <c r="C49" s="93" t="s">
        <v>267</v>
      </c>
      <c r="D49" s="229" t="s">
        <v>268</v>
      </c>
      <c r="E49" s="93">
        <v>0.0</v>
      </c>
      <c r="F49" s="93">
        <v>0.0</v>
      </c>
      <c r="G49" s="93">
        <v>0.0</v>
      </c>
      <c r="H49" s="93">
        <v>0.0</v>
      </c>
      <c r="I49" s="93">
        <v>0.0</v>
      </c>
      <c r="J49" s="93">
        <v>0.0</v>
      </c>
      <c r="K49" s="93">
        <v>0.0</v>
      </c>
      <c r="L49" s="93">
        <v>0.0</v>
      </c>
      <c r="M49" s="93">
        <v>0.0</v>
      </c>
      <c r="N49" s="93">
        <v>0.0</v>
      </c>
      <c r="O49" s="93">
        <v>0.0</v>
      </c>
      <c r="P49" s="93">
        <v>0.0</v>
      </c>
      <c r="Q49" s="93">
        <v>0.0</v>
      </c>
      <c r="R49" s="93">
        <v>0.0</v>
      </c>
      <c r="S49" s="93">
        <v>0.0</v>
      </c>
      <c r="T49" s="93">
        <v>0.0</v>
      </c>
      <c r="U49" s="93">
        <v>0.0</v>
      </c>
      <c r="V49" s="93">
        <v>0.0</v>
      </c>
      <c r="W49" s="93">
        <v>0.0</v>
      </c>
      <c r="X49" s="93">
        <v>0.0</v>
      </c>
      <c r="Y49" s="93">
        <v>0.0</v>
      </c>
      <c r="Z49" s="93">
        <v>0.0</v>
      </c>
      <c r="AA49" s="93">
        <v>0.0</v>
      </c>
      <c r="AB49" s="93">
        <v>0.0</v>
      </c>
      <c r="AC49" s="93">
        <v>0.0</v>
      </c>
      <c r="AD49" s="93">
        <v>0.0</v>
      </c>
      <c r="AE49" s="93">
        <v>0.0</v>
      </c>
      <c r="AF49" s="93">
        <v>0.0</v>
      </c>
      <c r="AG49" s="93">
        <v>0.0</v>
      </c>
      <c r="AH49" s="93">
        <v>0.0</v>
      </c>
      <c r="AI49" s="93">
        <v>24.0</v>
      </c>
      <c r="AJ49" s="93">
        <v>12.0</v>
      </c>
      <c r="AK49" s="93">
        <v>4.0</v>
      </c>
      <c r="AL49" s="93">
        <v>8.0</v>
      </c>
      <c r="AM49" s="93">
        <v>24.0</v>
      </c>
      <c r="AN49" s="230">
        <v>28.0</v>
      </c>
      <c r="AO49" s="230">
        <v>48.0</v>
      </c>
      <c r="AP49" s="230">
        <v>24.0</v>
      </c>
      <c r="AQ49" s="231">
        <v>20.0</v>
      </c>
      <c r="AR49" s="231">
        <v>24.0</v>
      </c>
      <c r="AS49" s="231">
        <v>34.0</v>
      </c>
      <c r="AT49" s="69">
        <f t="shared" si="4"/>
        <v>250.0</v>
      </c>
      <c r="AU49" s="69">
        <f t="shared" si="139"/>
        <v>178.0</v>
      </c>
      <c r="AV49" s="69">
        <f t="shared" si="6"/>
        <v>195.8</v>
      </c>
      <c r="AW49" s="47">
        <f t="shared" si="140"/>
        <v>20.6976744186047</v>
      </c>
      <c r="AX49" s="47">
        <f t="shared" si="141"/>
        <v>22.2898032200358</v>
      </c>
      <c r="AY49" s="47">
        <f t="shared" si="142"/>
        <v>30.8872987477639</v>
      </c>
      <c r="AZ49" s="47">
        <f t="shared" si="143"/>
        <v>14.6475849731663</v>
      </c>
      <c r="BA49" s="47">
        <f t="shared" si="144"/>
        <v>28.6583184257602</v>
      </c>
      <c r="BB49" s="47">
        <f t="shared" si="145"/>
        <v>23.2450805008944</v>
      </c>
      <c r="BC49" s="69">
        <f t="shared" si="13"/>
        <v>140.425760286225</v>
      </c>
      <c r="BD49" s="69">
        <f>VLOOKUP(D49,FEB23SOH,3,false)</f>
        <v>249.0</v>
      </c>
      <c r="BE49" s="201">
        <f>VLOOKUP(D49,VALUEFEB23,4,false)</f>
        <v>5.3409</v>
      </c>
      <c r="BF49" s="215">
        <f t="shared" si="16"/>
        <v>1329.8841</v>
      </c>
      <c r="BI49" s="193">
        <f t="shared" si="108"/>
        <v>108.574239713775</v>
      </c>
      <c r="BL49" s="103"/>
      <c r="BM49" s="95">
        <f t="shared" si="110"/>
        <v>249.0</v>
      </c>
      <c r="BN49" s="65">
        <f t="shared" si="111"/>
        <v>20.6976744186047</v>
      </c>
      <c r="BO49" s="65">
        <f t="shared" si="21"/>
      </c>
      <c r="BP49" s="65">
        <f t="shared" si="112"/>
        <v>228.302325581395</v>
      </c>
      <c r="BQ49" s="194">
        <f t="shared" si="68"/>
        <v>1219.33989069767</v>
      </c>
      <c r="BR49" s="65">
        <f t="shared" si="113"/>
        <v>22.2898032200358</v>
      </c>
      <c r="BS49" s="65">
        <f t="shared" si="25"/>
      </c>
      <c r="BT49" s="65">
        <f t="shared" si="114"/>
        <v>206.012522361359</v>
      </c>
      <c r="BU49" s="194">
        <f t="shared" si="71"/>
        <v>1100.29228067978</v>
      </c>
      <c r="BV49" s="65">
        <f t="shared" si="115"/>
        <v>30.8872987477639</v>
      </c>
      <c r="BW49" s="65">
        <f t="shared" si="73"/>
      </c>
      <c r="BX49" s="65">
        <f t="shared" si="116"/>
        <v>175.125223613595</v>
      </c>
      <c r="BY49" s="194">
        <f t="shared" si="75"/>
        <v>935.32630679785</v>
      </c>
      <c r="BZ49" s="65">
        <f t="shared" si="117"/>
        <v>14.6475849731663</v>
      </c>
      <c r="CA49" s="65"/>
      <c r="CB49" s="65">
        <f t="shared" si="118"/>
        <v>160.477638640429</v>
      </c>
      <c r="CC49" s="194">
        <f t="shared" si="78"/>
        <v>857.095020214667</v>
      </c>
      <c r="CD49" s="65">
        <f t="shared" si="119"/>
        <v>28.6583184257602</v>
      </c>
      <c r="CE49" s="65"/>
      <c r="CF49" s="65">
        <f t="shared" si="120"/>
        <v>131.819320214669</v>
      </c>
      <c r="CG49" s="194">
        <f t="shared" si="81"/>
        <v>704.033807334526</v>
      </c>
      <c r="CH49" s="65">
        <f t="shared" si="121"/>
        <v>23.2450805008944</v>
      </c>
      <c r="CI49" s="65"/>
      <c r="CJ49" s="65">
        <f t="shared" si="122"/>
        <v>108.574239713774</v>
      </c>
      <c r="CK49" s="194">
        <f t="shared" si="84"/>
        <v>704.033807334526</v>
      </c>
    </row>
    <row r="50" ht="14.0">
      <c r="A50" s="93" t="s">
        <v>179</v>
      </c>
      <c r="B50" s="93" t="s">
        <v>262</v>
      </c>
      <c r="C50" s="93" t="s">
        <v>269</v>
      </c>
      <c r="D50" s="234" t="s">
        <v>270</v>
      </c>
      <c r="E50" s="93">
        <v>0.0</v>
      </c>
      <c r="F50" s="93">
        <v>0.0</v>
      </c>
      <c r="G50" s="93">
        <v>0.0</v>
      </c>
      <c r="H50" s="93">
        <v>0.0</v>
      </c>
      <c r="I50" s="93">
        <v>0.0</v>
      </c>
      <c r="J50" s="93">
        <v>0.0</v>
      </c>
      <c r="K50" s="93">
        <v>0.0</v>
      </c>
      <c r="L50" s="93">
        <v>0.0</v>
      </c>
      <c r="M50" s="93">
        <v>0.0</v>
      </c>
      <c r="N50" s="93">
        <v>0.0</v>
      </c>
      <c r="O50" s="93">
        <v>0.0</v>
      </c>
      <c r="P50" s="93">
        <v>0.0</v>
      </c>
      <c r="Q50" s="93">
        <v>0.0</v>
      </c>
      <c r="R50" s="93">
        <v>0.0</v>
      </c>
      <c r="S50" s="93">
        <v>0.0</v>
      </c>
      <c r="T50" s="93">
        <v>0.0</v>
      </c>
      <c r="U50" s="93">
        <v>0.0</v>
      </c>
      <c r="V50" s="93">
        <v>0.0</v>
      </c>
      <c r="W50" s="93">
        <v>0.0</v>
      </c>
      <c r="X50" s="93">
        <v>0.0</v>
      </c>
      <c r="Y50" s="93">
        <v>0.0</v>
      </c>
      <c r="Z50" s="93">
        <v>0.0</v>
      </c>
      <c r="AA50" s="93">
        <v>0.0</v>
      </c>
      <c r="AB50" s="93">
        <v>0.0</v>
      </c>
      <c r="AC50" s="93">
        <v>0.0</v>
      </c>
      <c r="AD50" s="93">
        <v>0.0</v>
      </c>
      <c r="AE50" s="93">
        <v>0.0</v>
      </c>
      <c r="AF50" s="93">
        <v>0.0</v>
      </c>
      <c r="AG50" s="93">
        <v>0.0</v>
      </c>
      <c r="AH50" s="93">
        <v>4.0</v>
      </c>
      <c r="AI50" s="93">
        <v>4.0</v>
      </c>
      <c r="AJ50" s="93">
        <v>0.0</v>
      </c>
      <c r="AK50" s="93">
        <v>4.0</v>
      </c>
      <c r="AL50" s="93">
        <v>4.0</v>
      </c>
      <c r="AM50" s="93">
        <v>12.0</v>
      </c>
      <c r="AN50" s="230">
        <v>24.0</v>
      </c>
      <c r="AO50" s="230">
        <v>24.0</v>
      </c>
      <c r="AP50" s="230">
        <v>20.0</v>
      </c>
      <c r="AQ50" s="231">
        <v>16.0</v>
      </c>
      <c r="AR50" s="231">
        <v>19.0</v>
      </c>
      <c r="AS50" s="231">
        <v>19.0</v>
      </c>
      <c r="AT50" s="69">
        <f t="shared" si="4"/>
        <v>150.0</v>
      </c>
      <c r="AU50" s="69">
        <f t="shared" si="139"/>
        <v>122.0</v>
      </c>
      <c r="AV50" s="69">
        <f t="shared" si="6"/>
        <v>134.2</v>
      </c>
      <c r="AW50" s="47">
        <f t="shared" si="140"/>
        <v>14.1860465116279</v>
      </c>
      <c r="AX50" s="47">
        <f t="shared" si="141"/>
        <v>15.2772808586762</v>
      </c>
      <c r="AY50" s="47">
        <f t="shared" si="142"/>
        <v>21.169946332737</v>
      </c>
      <c r="AZ50" s="47">
        <f t="shared" si="143"/>
        <v>10.0393559928443</v>
      </c>
      <c r="BA50" s="47">
        <f t="shared" si="144"/>
        <v>19.6422182468694</v>
      </c>
      <c r="BB50" s="47">
        <f t="shared" si="145"/>
        <v>15.9320214669051</v>
      </c>
      <c r="BC50" s="69">
        <f t="shared" si="13"/>
        <v>96.2468694096599</v>
      </c>
      <c r="BD50" s="69">
        <f>VLOOKUP(D50,FEB23SOH,3,false)</f>
        <v>342.0</v>
      </c>
      <c r="BE50" s="201">
        <f>VLOOKUP(D50,VALUEFEB23,4,false)</f>
        <v>5.3413</v>
      </c>
      <c r="BF50" s="215">
        <f t="shared" si="16"/>
        <v>1826.7246</v>
      </c>
      <c r="BI50" s="193">
        <f t="shared" si="108"/>
        <v>245.75313059034</v>
      </c>
      <c r="BK50" s="99"/>
      <c r="BL50" s="103"/>
      <c r="BM50" s="95">
        <f t="shared" si="110"/>
        <v>342.0</v>
      </c>
      <c r="BN50" s="65">
        <f t="shared" si="111"/>
        <v>14.1860465116279</v>
      </c>
      <c r="BO50" s="65">
        <f t="shared" si="21"/>
      </c>
      <c r="BP50" s="65">
        <f t="shared" si="112"/>
        <v>327.813953488372</v>
      </c>
      <c r="BQ50" s="194">
        <f t="shared" si="68"/>
        <v>1750.95266976744</v>
      </c>
      <c r="BR50" s="65">
        <f t="shared" si="113"/>
        <v>15.2772808586762</v>
      </c>
      <c r="BS50" s="65">
        <f t="shared" si="25"/>
      </c>
      <c r="BT50" s="65">
        <f t="shared" si="114"/>
        <v>312.536672629696</v>
      </c>
      <c r="BU50" s="194">
        <f t="shared" si="71"/>
        <v>1669.352129517</v>
      </c>
      <c r="BV50" s="65">
        <f t="shared" si="115"/>
        <v>21.169946332737</v>
      </c>
      <c r="BW50" s="65">
        <f t="shared" si="73"/>
      </c>
      <c r="BX50" s="65">
        <f t="shared" si="116"/>
        <v>291.366726296959</v>
      </c>
      <c r="BY50" s="194">
        <f t="shared" si="75"/>
        <v>1556.27709516994</v>
      </c>
      <c r="BZ50" s="65">
        <f t="shared" si="117"/>
        <v>10.0393559928443</v>
      </c>
      <c r="CA50" s="65"/>
      <c r="CB50" s="65">
        <f t="shared" si="118"/>
        <v>281.327370304114</v>
      </c>
      <c r="CC50" s="194">
        <f t="shared" si="78"/>
        <v>1502.65388300536</v>
      </c>
      <c r="CD50" s="65">
        <f t="shared" si="119"/>
        <v>19.6422182468694</v>
      </c>
      <c r="CE50" s="65"/>
      <c r="CF50" s="65">
        <f t="shared" si="120"/>
        <v>261.685152057244</v>
      </c>
      <c r="CG50" s="194">
        <f t="shared" si="81"/>
        <v>1397.73890268336</v>
      </c>
      <c r="CH50" s="65">
        <f t="shared" si="121"/>
        <v>15.9320214669051</v>
      </c>
      <c r="CI50" s="65"/>
      <c r="CJ50" s="65">
        <f t="shared" si="122"/>
        <v>245.753130590339</v>
      </c>
      <c r="CK50" s="194">
        <f t="shared" si="84"/>
        <v>1397.73890268336</v>
      </c>
    </row>
    <row r="51" ht="14.0">
      <c r="A51" s="93" t="s">
        <v>179</v>
      </c>
      <c r="B51" s="93" t="s">
        <v>262</v>
      </c>
      <c r="C51" s="93" t="s">
        <v>271</v>
      </c>
      <c r="D51" s="234" t="s">
        <v>272</v>
      </c>
      <c r="E51" s="93">
        <v>0.0</v>
      </c>
      <c r="F51" s="93">
        <v>0.0</v>
      </c>
      <c r="G51" s="93">
        <v>0.0</v>
      </c>
      <c r="H51" s="93">
        <v>0.0</v>
      </c>
      <c r="I51" s="93">
        <v>0.0</v>
      </c>
      <c r="J51" s="93">
        <v>0.0</v>
      </c>
      <c r="K51" s="93">
        <v>0.0</v>
      </c>
      <c r="L51" s="93">
        <v>0.0</v>
      </c>
      <c r="M51" s="93">
        <v>0.0</v>
      </c>
      <c r="N51" s="93">
        <v>0.0</v>
      </c>
      <c r="O51" s="93">
        <v>0.0</v>
      </c>
      <c r="P51" s="93">
        <v>0.0</v>
      </c>
      <c r="Q51" s="93">
        <v>0.0</v>
      </c>
      <c r="R51" s="93">
        <v>0.0</v>
      </c>
      <c r="S51" s="93">
        <v>0.0</v>
      </c>
      <c r="T51" s="93">
        <v>0.0</v>
      </c>
      <c r="U51" s="93">
        <v>0.0</v>
      </c>
      <c r="V51" s="93">
        <v>0.0</v>
      </c>
      <c r="W51" s="93">
        <v>0.0</v>
      </c>
      <c r="X51" s="93">
        <v>0.0</v>
      </c>
      <c r="Y51" s="93">
        <v>0.0</v>
      </c>
      <c r="Z51" s="93">
        <v>0.0</v>
      </c>
      <c r="AA51" s="93">
        <v>0.0</v>
      </c>
      <c r="AB51" s="93">
        <v>0.0</v>
      </c>
      <c r="AC51" s="93">
        <v>0.0</v>
      </c>
      <c r="AD51" s="93">
        <v>0.0</v>
      </c>
      <c r="AE51" s="93">
        <v>0.0</v>
      </c>
      <c r="AF51" s="93">
        <v>0.0</v>
      </c>
      <c r="AG51" s="93">
        <v>0.0</v>
      </c>
      <c r="AH51" s="93">
        <v>0.0</v>
      </c>
      <c r="AI51" s="93">
        <v>12.0</v>
      </c>
      <c r="AJ51" s="93">
        <v>0.0</v>
      </c>
      <c r="AK51" s="93">
        <v>4.0</v>
      </c>
      <c r="AL51" s="93">
        <v>12.0</v>
      </c>
      <c r="AM51" s="93">
        <v>20.0</v>
      </c>
      <c r="AN51" s="230">
        <v>12.0</v>
      </c>
      <c r="AO51" s="230">
        <v>8.0</v>
      </c>
      <c r="AP51" s="230">
        <v>12.0</v>
      </c>
      <c r="AQ51" s="231">
        <v>12.0</v>
      </c>
      <c r="AR51" s="231">
        <v>8.0</v>
      </c>
      <c r="AS51" s="231">
        <v>1.0</v>
      </c>
      <c r="AT51" s="69">
        <f t="shared" si="4"/>
        <v>101.0</v>
      </c>
      <c r="AU51" s="69">
        <f t="shared" si="139"/>
        <v>53.0</v>
      </c>
      <c r="AV51" s="69">
        <f t="shared" si="6"/>
        <v>58.3</v>
      </c>
      <c r="AW51" s="47">
        <f t="shared" si="140"/>
        <v>6.16279069767441</v>
      </c>
      <c r="AX51" s="47">
        <f t="shared" si="141"/>
        <v>6.63685152057245</v>
      </c>
      <c r="AY51" s="47">
        <f t="shared" si="142"/>
        <v>9.19677996422182</v>
      </c>
      <c r="AZ51" s="47">
        <f t="shared" si="143"/>
        <v>4.3613595706619</v>
      </c>
      <c r="BA51" s="47">
        <f t="shared" si="144"/>
        <v>8.53309481216458</v>
      </c>
      <c r="BB51" s="47">
        <f t="shared" si="145"/>
        <v>6.92128801431127</v>
      </c>
      <c r="BC51" s="64">
        <f t="shared" si="13"/>
        <v>41.8121645796064</v>
      </c>
      <c r="BD51" s="69">
        <f>VLOOKUP(D51,FEB23SOH,3,false)</f>
        <v>392.0</v>
      </c>
      <c r="BE51" s="201">
        <f>VLOOKUP(D51,VALUEFEB23,4,false)</f>
        <v>5.3414</v>
      </c>
      <c r="BF51" s="215">
        <f t="shared" si="16"/>
        <v>2093.8288</v>
      </c>
      <c r="BI51" s="193">
        <f t="shared" si="108"/>
        <v>350.187835420393</v>
      </c>
      <c r="BK51" s="99"/>
      <c r="BL51" s="103"/>
      <c r="BM51" s="95">
        <f t="shared" si="110"/>
        <v>392.0</v>
      </c>
      <c r="BN51" s="65">
        <f t="shared" si="111"/>
        <v>6.16279069767441</v>
      </c>
      <c r="BO51" s="65">
        <f t="shared" si="21"/>
      </c>
      <c r="BP51" s="65">
        <f t="shared" si="112"/>
        <v>385.837209302326</v>
      </c>
      <c r="BQ51" s="194">
        <f t="shared" si="68"/>
        <v>2060.91086976744</v>
      </c>
      <c r="BR51" s="65">
        <f t="shared" si="113"/>
        <v>6.63685152057245</v>
      </c>
      <c r="BS51" s="65">
        <f t="shared" si="25"/>
      </c>
      <c r="BT51" s="65">
        <f t="shared" si="114"/>
        <v>379.200357781753</v>
      </c>
      <c r="BU51" s="194">
        <f t="shared" si="71"/>
        <v>2025.46079105546</v>
      </c>
      <c r="BV51" s="65">
        <f t="shared" si="115"/>
        <v>9.19677996422182</v>
      </c>
      <c r="BW51" s="65">
        <f t="shared" si="73"/>
      </c>
      <c r="BX51" s="65">
        <f t="shared" si="116"/>
        <v>370.003577817531</v>
      </c>
      <c r="BY51" s="194">
        <f t="shared" si="75"/>
        <v>1976.33711055456</v>
      </c>
      <c r="BZ51" s="65">
        <f t="shared" si="117"/>
        <v>4.3613595706619</v>
      </c>
      <c r="CA51" s="65"/>
      <c r="CB51" s="65">
        <f t="shared" si="118"/>
        <v>365.642218246869</v>
      </c>
      <c r="CC51" s="194">
        <f t="shared" si="78"/>
        <v>1953.04134454382</v>
      </c>
      <c r="CD51" s="65">
        <f t="shared" si="119"/>
        <v>8.53309481216458</v>
      </c>
      <c r="CE51" s="65"/>
      <c r="CF51" s="65">
        <f t="shared" si="120"/>
        <v>357.109123434704</v>
      </c>
      <c r="CG51" s="194">
        <f t="shared" si="81"/>
        <v>1907.46267191412</v>
      </c>
      <c r="CH51" s="65">
        <f t="shared" si="121"/>
        <v>6.92128801431127</v>
      </c>
      <c r="CI51" s="65"/>
      <c r="CJ51" s="65">
        <f t="shared" si="122"/>
        <v>350.187835420392</v>
      </c>
      <c r="CK51" s="194">
        <f t="shared" si="84"/>
        <v>1907.46267191412</v>
      </c>
    </row>
    <row r="52" ht="14.0" customFormat="1" s="47">
      <c r="A52" s="47" t="s">
        <v>569</v>
      </c>
      <c r="B52" s="47" t="s">
        <v>262</v>
      </c>
      <c r="C52" s="47" t="s">
        <v>578</v>
      </c>
      <c r="D52" s="185" t="s">
        <v>579</v>
      </c>
      <c r="E52" s="47">
        <v>0.0</v>
      </c>
      <c r="F52" s="47">
        <v>0.0</v>
      </c>
      <c r="G52" s="47">
        <v>0.0</v>
      </c>
      <c r="H52" s="47">
        <v>0.0</v>
      </c>
      <c r="I52" s="47">
        <v>0.0</v>
      </c>
      <c r="J52" s="47">
        <v>0.0</v>
      </c>
      <c r="K52" s="47">
        <v>0.0</v>
      </c>
      <c r="L52" s="47">
        <v>0.0</v>
      </c>
      <c r="M52" s="47">
        <v>0.0</v>
      </c>
      <c r="N52" s="47">
        <v>0.0</v>
      </c>
      <c r="O52" s="47">
        <v>0.0</v>
      </c>
      <c r="P52" s="47">
        <v>0.0</v>
      </c>
      <c r="Q52" s="47">
        <v>0.0</v>
      </c>
      <c r="R52" s="47">
        <v>0.0</v>
      </c>
      <c r="S52" s="47">
        <v>0.0</v>
      </c>
      <c r="T52" s="47">
        <v>0.0</v>
      </c>
      <c r="U52" s="47">
        <v>0.0</v>
      </c>
      <c r="V52" s="47">
        <v>0.0</v>
      </c>
      <c r="W52" s="47">
        <v>0.0</v>
      </c>
      <c r="X52" s="47">
        <v>0.0</v>
      </c>
      <c r="Y52" s="47">
        <v>0.0</v>
      </c>
      <c r="Z52" s="47">
        <v>0.0</v>
      </c>
      <c r="AA52" s="47">
        <v>0.0</v>
      </c>
      <c r="AB52" s="47">
        <v>0.0</v>
      </c>
      <c r="AC52" s="47">
        <v>0.0</v>
      </c>
      <c r="AD52" s="47">
        <v>0.0</v>
      </c>
      <c r="AE52" s="47">
        <v>0.0</v>
      </c>
      <c r="AF52" s="47">
        <v>0.0</v>
      </c>
      <c r="AG52" s="47">
        <v>0.0</v>
      </c>
      <c r="AH52" s="47">
        <v>0.0</v>
      </c>
      <c r="AI52" s="47">
        <v>0.0</v>
      </c>
      <c r="AJ52" s="47">
        <v>0.0</v>
      </c>
      <c r="AK52" s="47">
        <v>0.0</v>
      </c>
      <c r="AL52" s="47">
        <v>0.0</v>
      </c>
      <c r="AM52" s="47">
        <v>0.0</v>
      </c>
      <c r="AN52" s="237">
        <v>39.0</v>
      </c>
      <c r="AO52" s="237">
        <v>68.0</v>
      </c>
      <c r="AP52" s="237">
        <v>40.0</v>
      </c>
      <c r="AQ52" s="231">
        <v>24.0</v>
      </c>
      <c r="AR52" s="231">
        <v>24.0</v>
      </c>
      <c r="AS52" s="231">
        <v>10.0</v>
      </c>
      <c r="AT52" s="69">
        <f t="shared" si="4"/>
        <v>205.0</v>
      </c>
      <c r="AU52" s="69">
        <f t="shared" si="139"/>
        <v>205.0</v>
      </c>
      <c r="AV52" s="69">
        <f t="shared" si="6"/>
        <v>225.5</v>
      </c>
      <c r="AW52" s="47">
        <f t="shared" si="140"/>
        <v>23.8372093023256</v>
      </c>
      <c r="AX52" s="47">
        <f t="shared" si="141"/>
        <v>25.6708407871199</v>
      </c>
      <c r="AY52" s="47">
        <f t="shared" si="142"/>
        <v>35.5724508050089</v>
      </c>
      <c r="AZ52" s="47">
        <f t="shared" si="143"/>
        <v>16.8694096601073</v>
      </c>
      <c r="BA52" s="47">
        <f t="shared" si="144"/>
        <v>33.005366726297</v>
      </c>
      <c r="BB52" s="47">
        <f t="shared" si="145"/>
        <v>26.7710196779964</v>
      </c>
      <c r="BC52" s="64">
        <f t="shared" si="13"/>
        <v>161.726296958855</v>
      </c>
      <c r="BD52" s="69">
        <f>VLOOKUP(D52,FEB23SOH,3,false)</f>
        <v>317.0</v>
      </c>
      <c r="BE52" s="201">
        <f>VLOOKUP(D52,VALUEFEB23,4,false)</f>
        <v>4.7565</v>
      </c>
      <c r="BF52" s="215">
        <f t="shared" si="16"/>
        <v>1507.8105</v>
      </c>
      <c r="BG52" s="64"/>
      <c r="BH52" s="64"/>
      <c r="BI52" s="193">
        <f t="shared" si="108"/>
        <v>155.273703041145</v>
      </c>
      <c r="BJ52" s="217"/>
      <c r="BL52" s="103"/>
      <c r="BM52" s="95">
        <f t="shared" si="110"/>
        <v>317.0</v>
      </c>
      <c r="BN52" s="65">
        <f t="shared" si="111"/>
        <v>23.8372093023256</v>
      </c>
      <c r="BO52" s="65">
        <f t="shared" si="21"/>
      </c>
      <c r="BP52" s="65">
        <f t="shared" si="112"/>
        <v>293.162790697674</v>
      </c>
      <c r="BQ52" s="194">
        <f t="shared" si="68"/>
        <v>1394.42881395349</v>
      </c>
      <c r="BR52" s="65">
        <f t="shared" si="113"/>
        <v>25.6708407871199</v>
      </c>
      <c r="BS52" s="65">
        <f t="shared" si="25"/>
      </c>
      <c r="BT52" s="65">
        <f t="shared" si="114"/>
        <v>267.491949910554</v>
      </c>
      <c r="BU52" s="194">
        <f t="shared" si="71"/>
        <v>1272.32545974955</v>
      </c>
      <c r="BV52" s="65">
        <f t="shared" si="115"/>
        <v>35.5724508050089</v>
      </c>
      <c r="BW52" s="65">
        <f t="shared" si="73"/>
      </c>
      <c r="BX52" s="65">
        <f t="shared" si="116"/>
        <v>231.919499105545</v>
      </c>
      <c r="BY52" s="194">
        <f t="shared" si="75"/>
        <v>1103.12509749552</v>
      </c>
      <c r="BZ52" s="65">
        <f t="shared" si="117"/>
        <v>16.8694096601073</v>
      </c>
      <c r="CA52" s="65"/>
      <c r="CB52" s="65">
        <f t="shared" si="118"/>
        <v>215.050089445438</v>
      </c>
      <c r="CC52" s="194">
        <f t="shared" si="78"/>
        <v>1022.88575044722</v>
      </c>
      <c r="CD52" s="65">
        <f t="shared" si="119"/>
        <v>33.005366726297</v>
      </c>
      <c r="CE52" s="65"/>
      <c r="CF52" s="65">
        <f t="shared" si="120"/>
        <v>182.044722719141</v>
      </c>
      <c r="CG52" s="194">
        <f t="shared" si="81"/>
        <v>865.895723613594</v>
      </c>
      <c r="CH52" s="65">
        <f t="shared" si="121"/>
        <v>26.7710196779964</v>
      </c>
      <c r="CI52" s="65"/>
      <c r="CJ52" s="65">
        <f t="shared" si="122"/>
        <v>155.273703041144</v>
      </c>
      <c r="CK52" s="194">
        <f t="shared" si="84"/>
        <v>865.895723613594</v>
      </c>
    </row>
    <row r="53" ht="14.0" customFormat="1" s="47">
      <c r="A53" s="93" t="s">
        <v>179</v>
      </c>
      <c r="B53" s="93" t="s">
        <v>273</v>
      </c>
      <c r="C53" s="93" t="s">
        <v>274</v>
      </c>
      <c r="D53" s="229" t="s">
        <v>275</v>
      </c>
      <c r="E53" s="93">
        <v>0.0</v>
      </c>
      <c r="F53" s="93">
        <v>0.0</v>
      </c>
      <c r="G53" s="93">
        <v>0.0</v>
      </c>
      <c r="H53" s="93">
        <v>0.0</v>
      </c>
      <c r="I53" s="93">
        <v>0.0</v>
      </c>
      <c r="J53" s="93">
        <v>0.0</v>
      </c>
      <c r="K53" s="93">
        <v>0.0</v>
      </c>
      <c r="L53" s="93">
        <v>0.0</v>
      </c>
      <c r="M53" s="93">
        <v>0.0</v>
      </c>
      <c r="N53" s="93">
        <v>0.0</v>
      </c>
      <c r="O53" s="93">
        <v>0.0</v>
      </c>
      <c r="P53" s="93">
        <v>0.0</v>
      </c>
      <c r="Q53" s="93">
        <v>0.0</v>
      </c>
      <c r="R53" s="93">
        <v>0.0</v>
      </c>
      <c r="S53" s="93">
        <v>0.0</v>
      </c>
      <c r="T53" s="93">
        <v>0.0</v>
      </c>
      <c r="U53" s="93">
        <v>0.0</v>
      </c>
      <c r="V53" s="93">
        <v>0.0</v>
      </c>
      <c r="W53" s="93">
        <v>0.0</v>
      </c>
      <c r="X53" s="93">
        <v>0.0</v>
      </c>
      <c r="Y53" s="93">
        <v>0.0</v>
      </c>
      <c r="Z53" s="93">
        <v>0.0</v>
      </c>
      <c r="AA53" s="93">
        <v>0.0</v>
      </c>
      <c r="AB53" s="93">
        <v>0.0</v>
      </c>
      <c r="AC53" s="93">
        <v>0.0</v>
      </c>
      <c r="AD53" s="93">
        <v>0.0</v>
      </c>
      <c r="AE53" s="93">
        <v>0.0</v>
      </c>
      <c r="AF53" s="93">
        <v>0.0</v>
      </c>
      <c r="AG53" s="93">
        <v>0.0</v>
      </c>
      <c r="AH53" s="93">
        <v>0.0</v>
      </c>
      <c r="AI53" s="93">
        <v>0.0</v>
      </c>
      <c r="AJ53" s="93">
        <v>49.0</v>
      </c>
      <c r="AK53" s="93">
        <v>72.0</v>
      </c>
      <c r="AL53" s="93">
        <v>68.0</v>
      </c>
      <c r="AM53" s="93">
        <v>120.0</v>
      </c>
      <c r="AN53" s="230">
        <v>169.0</v>
      </c>
      <c r="AO53" s="230">
        <v>87.0</v>
      </c>
      <c r="AP53" s="230">
        <v>32.0</v>
      </c>
      <c r="AQ53" s="231">
        <v>52.0</v>
      </c>
      <c r="AR53" s="231">
        <v>64.0</v>
      </c>
      <c r="AS53" s="231">
        <v>112.0</v>
      </c>
      <c r="AT53" s="69">
        <f t="shared" si="4"/>
        <v>825.0</v>
      </c>
      <c r="AU53" s="69">
        <f t="shared" si="139"/>
        <v>516.0</v>
      </c>
      <c r="AV53" s="69">
        <f t="shared" si="6"/>
        <v>567.6</v>
      </c>
      <c r="AW53" s="47">
        <f t="shared" si="140"/>
        <v>60.0</v>
      </c>
      <c r="AX53" s="47">
        <f t="shared" si="141"/>
        <v>64.6153846153846</v>
      </c>
      <c r="AY53" s="47">
        <f t="shared" si="142"/>
        <v>89.5384615384616</v>
      </c>
      <c r="AZ53" s="47">
        <f t="shared" si="143"/>
        <v>42.4615384615384</v>
      </c>
      <c r="BA53" s="47">
        <f t="shared" si="144"/>
        <v>83.076923076923</v>
      </c>
      <c r="BB53" s="47">
        <f t="shared" si="145"/>
        <v>67.3846153846153</v>
      </c>
      <c r="BC53" s="64">
        <f t="shared" si="13"/>
        <v>407.076923076922</v>
      </c>
      <c r="BD53" s="69">
        <f>VLOOKUP(D53,FEB23SOH,3,false)</f>
        <v>304.0</v>
      </c>
      <c r="BE53" s="201">
        <f>VLOOKUP(D53,VALUEFEB23,4,false)</f>
        <v>2.5051</v>
      </c>
      <c r="BF53" s="215">
        <f t="shared" si="16"/>
        <v>761.5504</v>
      </c>
      <c r="BG53" s="64"/>
      <c r="BH53" s="64"/>
      <c r="BI53" s="193">
        <f t="shared" si="108"/>
        <v>-103.076923076922</v>
      </c>
      <c r="BJ53" s="217">
        <v>576.0</v>
      </c>
      <c r="BK53" s="185">
        <f>BJ53</f>
        <v>576.0</v>
      </c>
      <c r="BL53" s="103" t="s">
        <v>5</v>
      </c>
      <c r="BM53" s="95">
        <f t="shared" si="110"/>
        <v>304.0</v>
      </c>
      <c r="BN53" s="65">
        <f t="shared" si="111"/>
        <v>60.0</v>
      </c>
      <c r="BO53" s="65">
        <f t="shared" si="21"/>
      </c>
      <c r="BP53" s="65">
        <f t="shared" si="112"/>
        <v>244.0</v>
      </c>
      <c r="BQ53" s="194">
        <f t="shared" si="68"/>
        <v>611.2444</v>
      </c>
      <c r="BR53" s="65">
        <f t="shared" si="113"/>
        <v>64.6153846153846</v>
      </c>
      <c r="BS53" s="65">
        <f t="shared" si="25"/>
      </c>
      <c r="BT53" s="65">
        <f t="shared" si="114"/>
        <v>179.384615384615</v>
      </c>
      <c r="BU53" s="194">
        <f t="shared" si="71"/>
        <v>449.376399999999</v>
      </c>
      <c r="BV53" s="65">
        <f t="shared" si="115"/>
        <v>89.5384615384616</v>
      </c>
      <c r="BW53" s="65">
        <f t="shared" si="73"/>
      </c>
      <c r="BX53" s="65">
        <f t="shared" si="116"/>
        <v>89.8461538461533</v>
      </c>
      <c r="BY53" s="194">
        <f t="shared" si="75"/>
        <v>225.073599999999</v>
      </c>
      <c r="BZ53" s="65">
        <f t="shared" si="117"/>
        <v>42.4615384615384</v>
      </c>
      <c r="CA53" s="65"/>
      <c r="CB53" s="65">
        <f t="shared" si="118"/>
        <v>47.3846153846149</v>
      </c>
      <c r="CC53" s="194">
        <f t="shared" si="78"/>
        <v>118.703199999999</v>
      </c>
      <c r="CD53" s="65">
        <f t="shared" si="119"/>
        <v>83.076923076923</v>
      </c>
      <c r="CE53" s="65"/>
      <c r="CF53" s="65">
        <f t="shared" si="120"/>
        <v>-35.6923076923081</v>
      </c>
      <c r="CG53" s="194">
        <f t="shared" si="81"/>
        <v>-89.412800000001</v>
      </c>
      <c r="CH53" s="65">
        <f t="shared" si="121"/>
        <v>67.3846153846153</v>
      </c>
      <c r="CI53" s="65"/>
      <c r="CJ53" s="65">
        <f t="shared" si="122"/>
        <v>-103.076923076923</v>
      </c>
      <c r="CK53" s="194">
        <f t="shared" si="84"/>
        <v>-89.412800000001</v>
      </c>
    </row>
    <row r="54" ht="14.0">
      <c r="A54" s="93" t="s">
        <v>179</v>
      </c>
      <c r="B54" s="93" t="s">
        <v>273</v>
      </c>
      <c r="C54" s="93" t="s">
        <v>276</v>
      </c>
      <c r="D54" s="229" t="s">
        <v>277</v>
      </c>
      <c r="E54" s="93">
        <v>0.0</v>
      </c>
      <c r="F54" s="93">
        <v>0.0</v>
      </c>
      <c r="G54" s="93">
        <v>0.0</v>
      </c>
      <c r="H54" s="93">
        <v>0.0</v>
      </c>
      <c r="I54" s="93">
        <v>0.0</v>
      </c>
      <c r="J54" s="93">
        <v>0.0</v>
      </c>
      <c r="K54" s="93">
        <v>0.0</v>
      </c>
      <c r="L54" s="93">
        <v>0.0</v>
      </c>
      <c r="M54" s="93">
        <v>0.0</v>
      </c>
      <c r="N54" s="93">
        <v>0.0</v>
      </c>
      <c r="O54" s="93">
        <v>0.0</v>
      </c>
      <c r="P54" s="93">
        <v>0.0</v>
      </c>
      <c r="Q54" s="93">
        <v>0.0</v>
      </c>
      <c r="R54" s="93">
        <v>0.0</v>
      </c>
      <c r="S54" s="93">
        <v>0.0</v>
      </c>
      <c r="T54" s="93">
        <v>0.0</v>
      </c>
      <c r="U54" s="93">
        <v>0.0</v>
      </c>
      <c r="V54" s="93">
        <v>0.0</v>
      </c>
      <c r="W54" s="93">
        <v>0.0</v>
      </c>
      <c r="X54" s="93">
        <v>0.0</v>
      </c>
      <c r="Y54" s="93">
        <v>0.0</v>
      </c>
      <c r="Z54" s="93">
        <v>0.0</v>
      </c>
      <c r="AA54" s="93">
        <v>0.0</v>
      </c>
      <c r="AB54" s="93">
        <v>0.0</v>
      </c>
      <c r="AC54" s="93">
        <v>0.0</v>
      </c>
      <c r="AD54" s="93">
        <v>0.0</v>
      </c>
      <c r="AE54" s="93">
        <v>0.0</v>
      </c>
      <c r="AF54" s="93">
        <v>0.0</v>
      </c>
      <c r="AG54" s="93">
        <v>0.0</v>
      </c>
      <c r="AH54" s="93">
        <v>0.0</v>
      </c>
      <c r="AI54" s="93">
        <v>0.0</v>
      </c>
      <c r="AJ54" s="93">
        <v>39.0</v>
      </c>
      <c r="AK54" s="93">
        <v>48.0</v>
      </c>
      <c r="AL54" s="93">
        <v>28.0</v>
      </c>
      <c r="AM54" s="93">
        <v>92.0</v>
      </c>
      <c r="AN54" s="230">
        <v>124.0</v>
      </c>
      <c r="AO54" s="230">
        <v>64.0</v>
      </c>
      <c r="AP54" s="230">
        <v>52.0</v>
      </c>
      <c r="AQ54" s="231">
        <v>40.0</v>
      </c>
      <c r="AR54" s="231">
        <v>32.0</v>
      </c>
      <c r="AS54" s="231">
        <v>54.0</v>
      </c>
      <c r="AT54" s="69">
        <f t="shared" si="4"/>
        <v>573.0</v>
      </c>
      <c r="AU54" s="69">
        <f t="shared" si="139"/>
        <v>366.0</v>
      </c>
      <c r="AV54" s="69">
        <f t="shared" si="6"/>
        <v>402.6</v>
      </c>
      <c r="AW54" s="47">
        <f t="shared" si="140"/>
        <v>42.5581395348837</v>
      </c>
      <c r="AX54" s="47">
        <f t="shared" si="141"/>
        <v>45.8318425760286</v>
      </c>
      <c r="AY54" s="47">
        <f t="shared" si="142"/>
        <v>63.509838998211</v>
      </c>
      <c r="AZ54" s="47">
        <f t="shared" si="143"/>
        <v>30.118067978533</v>
      </c>
      <c r="BA54" s="47">
        <f t="shared" si="144"/>
        <v>58.9266547406082</v>
      </c>
      <c r="BB54" s="47">
        <f t="shared" si="145"/>
        <v>47.7960644007156</v>
      </c>
      <c r="BC54" s="64">
        <f t="shared" si="13"/>
        <v>288.74060822898</v>
      </c>
      <c r="BD54" s="69">
        <f>VLOOKUP(D54,FEB23SOH,3,false)</f>
        <v>549.0</v>
      </c>
      <c r="BE54" s="201">
        <f>VLOOKUP(D54,VALUEFEB23,4,false)</f>
        <v>2.5017</v>
      </c>
      <c r="BF54" s="215">
        <f t="shared" si="16"/>
        <v>1373.4333</v>
      </c>
      <c r="BI54" s="193">
        <f t="shared" si="108"/>
        <v>260.25939177102</v>
      </c>
      <c r="BJ54" s="217">
        <v>576.0</v>
      </c>
      <c r="BL54" s="103"/>
      <c r="BM54" s="95">
        <f t="shared" si="110"/>
        <v>549.0</v>
      </c>
      <c r="BN54" s="65">
        <f t="shared" si="111"/>
        <v>42.5581395348837</v>
      </c>
      <c r="BO54" s="65">
        <f t="shared" si="21"/>
      </c>
      <c r="BP54" s="65">
        <f t="shared" si="112"/>
        <v>506.441860465116</v>
      </c>
      <c r="BQ54" s="194">
        <f t="shared" si="68"/>
        <v>1266.96560232558</v>
      </c>
      <c r="BR54" s="65">
        <f t="shared" si="113"/>
        <v>45.8318425760286</v>
      </c>
      <c r="BS54" s="65">
        <f t="shared" si="25"/>
      </c>
      <c r="BT54" s="65">
        <f t="shared" si="114"/>
        <v>460.610017889087</v>
      </c>
      <c r="BU54" s="194">
        <f t="shared" si="71"/>
        <v>1152.30808175312</v>
      </c>
      <c r="BV54" s="65">
        <f t="shared" si="115"/>
        <v>63.509838998211</v>
      </c>
      <c r="BW54" s="65">
        <f t="shared" si="73"/>
      </c>
      <c r="BX54" s="65">
        <f t="shared" si="116"/>
        <v>397.100178890876</v>
      </c>
      <c r="BY54" s="194">
        <f t="shared" si="75"/>
        <v>993.425517531304</v>
      </c>
      <c r="BZ54" s="65">
        <f t="shared" si="117"/>
        <v>30.118067978533</v>
      </c>
      <c r="CA54" s="65"/>
      <c r="CB54" s="65">
        <f t="shared" si="118"/>
        <v>366.982110912343</v>
      </c>
      <c r="CC54" s="194">
        <f t="shared" si="78"/>
        <v>918.079146869408</v>
      </c>
      <c r="CD54" s="65">
        <f t="shared" si="119"/>
        <v>58.9266547406082</v>
      </c>
      <c r="CE54" s="65"/>
      <c r="CF54" s="65">
        <f t="shared" si="120"/>
        <v>308.055456171734</v>
      </c>
      <c r="CG54" s="194">
        <f t="shared" si="81"/>
        <v>770.662334704827</v>
      </c>
      <c r="CH54" s="65">
        <f t="shared" si="121"/>
        <v>47.7960644007156</v>
      </c>
      <c r="CI54" s="65"/>
      <c r="CJ54" s="65">
        <f t="shared" si="122"/>
        <v>260.259391771018</v>
      </c>
      <c r="CK54" s="194">
        <f t="shared" si="84"/>
        <v>770.662334704827</v>
      </c>
    </row>
    <row r="55" ht="14.0">
      <c r="A55" s="93" t="s">
        <v>179</v>
      </c>
      <c r="B55" s="93" t="s">
        <v>278</v>
      </c>
      <c r="C55" s="93" t="s">
        <v>279</v>
      </c>
      <c r="D55" s="234" t="s">
        <v>280</v>
      </c>
      <c r="E55" s="93">
        <v>0.0</v>
      </c>
      <c r="F55" s="93">
        <v>0.0</v>
      </c>
      <c r="G55" s="93">
        <v>0.0</v>
      </c>
      <c r="H55" s="93">
        <v>0.0</v>
      </c>
      <c r="I55" s="93">
        <v>0.0</v>
      </c>
      <c r="J55" s="93">
        <v>0.0</v>
      </c>
      <c r="K55" s="93">
        <v>0.0</v>
      </c>
      <c r="L55" s="93">
        <v>0.0</v>
      </c>
      <c r="M55" s="93">
        <v>0.0</v>
      </c>
      <c r="N55" s="93">
        <v>0.0</v>
      </c>
      <c r="O55" s="93">
        <v>100.0</v>
      </c>
      <c r="P55" s="93">
        <v>116.0</v>
      </c>
      <c r="Q55" s="93">
        <v>228.0</v>
      </c>
      <c r="R55" s="93">
        <v>48.0</v>
      </c>
      <c r="S55" s="93">
        <v>12.0</v>
      </c>
      <c r="T55" s="93">
        <v>44.0</v>
      </c>
      <c r="U55" s="93">
        <v>88.0</v>
      </c>
      <c r="V55" s="93">
        <v>180.0</v>
      </c>
      <c r="W55" s="93">
        <v>76.0</v>
      </c>
      <c r="X55" s="93">
        <v>72.0</v>
      </c>
      <c r="Y55" s="93">
        <v>23.0</v>
      </c>
      <c r="Z55" s="93">
        <v>6.0</v>
      </c>
      <c r="AA55" s="93">
        <v>0.0</v>
      </c>
      <c r="AB55" s="93">
        <v>120.0</v>
      </c>
      <c r="AC55" s="93">
        <v>95.0</v>
      </c>
      <c r="AD55" s="93">
        <v>80.0</v>
      </c>
      <c r="AE55" s="93">
        <v>28.0</v>
      </c>
      <c r="AF55" s="93">
        <v>16.0</v>
      </c>
      <c r="AG55" s="93">
        <v>40.0</v>
      </c>
      <c r="AH55" s="114">
        <v>56.0</v>
      </c>
      <c r="AI55" s="114">
        <v>28.0</v>
      </c>
      <c r="AJ55" s="114">
        <v>28.0</v>
      </c>
      <c r="AK55" s="114">
        <v>8.0</v>
      </c>
      <c r="AL55" s="114">
        <v>16.0</v>
      </c>
      <c r="AM55" s="114">
        <v>32.0</v>
      </c>
      <c r="AN55" s="93">
        <v>36.0</v>
      </c>
      <c r="AO55" s="93">
        <v>32.0</v>
      </c>
      <c r="AP55" s="93">
        <v>48.0</v>
      </c>
      <c r="AQ55" s="233">
        <v>28.0</v>
      </c>
      <c r="AR55" s="233">
        <v>29.0</v>
      </c>
      <c r="AS55" s="233">
        <v>24.0</v>
      </c>
      <c r="AT55" s="69">
        <f t="shared" si="4"/>
        <v>365.0</v>
      </c>
      <c r="AU55" s="69">
        <f t="shared" ref="AU55:AU62" si="147">SUM(AH55:AM55)</f>
        <v>168.0</v>
      </c>
      <c r="AV55" s="69">
        <f t="shared" si="6"/>
        <v>184.8</v>
      </c>
      <c r="AW55" s="47">
        <f t="shared" ref="AW55:AW62" si="148">AV55*$AW$4/$AV$3</f>
        <v>24.7619047619048</v>
      </c>
      <c r="AX55" s="47">
        <f t="shared" ref="AX55:AX62" si="149">AV55*$AX$4/$AV$3</f>
        <v>26.6666666666667</v>
      </c>
      <c r="AY55" s="47">
        <f t="shared" ref="AY55:AY62" si="150">AV55*$AY$4/$AV$3</f>
        <v>36.952380952381</v>
      </c>
      <c r="AZ55" s="47">
        <f t="shared" ref="AZ55:AZ62" si="151">AV55*$AZ$4/$AV$3</f>
        <v>17.5238095238095</v>
      </c>
      <c r="BA55" s="47">
        <f t="shared" ref="BA55:BA62" si="152">AV55*$BA$4/$AV$3</f>
        <v>34.2857142857142</v>
      </c>
      <c r="BB55" s="47">
        <f t="shared" ref="BB55:BB62" si="153">AV55*$BB$4/$AV$3</f>
        <v>27.8095238095238</v>
      </c>
      <c r="BC55" s="64">
        <f t="shared" si="13"/>
        <v>168.0</v>
      </c>
      <c r="BD55" s="69">
        <f>VLOOKUP(D55,FEB23SOH,3,false)</f>
        <v>363.0</v>
      </c>
      <c r="BE55" s="201">
        <f>VLOOKUP(D55,VALUEFEB23,4,false)</f>
        <v>4.6661</v>
      </c>
      <c r="BF55" s="215">
        <f t="shared" si="16"/>
        <v>1693.7943</v>
      </c>
      <c r="BI55" s="193">
        <f t="shared" si="108"/>
        <v>195.0</v>
      </c>
      <c r="BK55" s="99"/>
      <c r="BL55" s="103"/>
      <c r="BM55" s="95">
        <f t="shared" si="110"/>
        <v>363.0</v>
      </c>
      <c r="BN55" s="65">
        <f t="shared" si="111"/>
        <v>24.7619047619048</v>
      </c>
      <c r="BO55" s="65">
        <f t="shared" si="21"/>
      </c>
      <c r="BP55" s="65">
        <f t="shared" si="112"/>
        <v>338.238095238095</v>
      </c>
      <c r="BQ55" s="194">
        <f t="shared" si="68"/>
        <v>1578.25277619048</v>
      </c>
      <c r="BR55" s="65">
        <f t="shared" si="113"/>
        <v>26.6666666666667</v>
      </c>
      <c r="BS55" s="65">
        <f t="shared" si="25"/>
      </c>
      <c r="BT55" s="65">
        <f t="shared" si="114"/>
        <v>311.571428571428</v>
      </c>
      <c r="BU55" s="194">
        <f t="shared" si="71"/>
        <v>1453.82344285714</v>
      </c>
      <c r="BV55" s="65">
        <f t="shared" si="115"/>
        <v>36.952380952381</v>
      </c>
      <c r="BW55" s="65">
        <f t="shared" si="73"/>
      </c>
      <c r="BX55" s="65">
        <f t="shared" si="116"/>
        <v>274.619047619047</v>
      </c>
      <c r="BY55" s="194">
        <f t="shared" si="75"/>
        <v>1281.39993809523</v>
      </c>
      <c r="BZ55" s="65">
        <f t="shared" si="117"/>
        <v>17.5238095238095</v>
      </c>
      <c r="CA55" s="65"/>
      <c r="CB55" s="65">
        <f t="shared" si="118"/>
        <v>257.095238095238</v>
      </c>
      <c r="CC55" s="194">
        <f t="shared" si="78"/>
        <v>1199.63209047619</v>
      </c>
      <c r="CD55" s="65">
        <f t="shared" si="119"/>
        <v>34.2857142857142</v>
      </c>
      <c r="CE55" s="65"/>
      <c r="CF55" s="65">
        <f t="shared" si="120"/>
        <v>222.809523809523</v>
      </c>
      <c r="CG55" s="194">
        <f t="shared" si="81"/>
        <v>1039.65151904761</v>
      </c>
      <c r="CH55" s="65">
        <f t="shared" si="121"/>
        <v>27.8095238095238</v>
      </c>
      <c r="CI55" s="65"/>
      <c r="CJ55" s="65">
        <f t="shared" si="122"/>
        <v>194.999999999999</v>
      </c>
      <c r="CK55" s="194">
        <f t="shared" si="84"/>
        <v>1039.65151904761</v>
      </c>
    </row>
    <row r="56" ht="14.0">
      <c r="A56" s="93" t="s">
        <v>179</v>
      </c>
      <c r="B56" s="93" t="s">
        <v>278</v>
      </c>
      <c r="C56" s="93" t="s">
        <v>281</v>
      </c>
      <c r="D56" s="229" t="s">
        <v>282</v>
      </c>
      <c r="E56" s="93">
        <v>0.0</v>
      </c>
      <c r="F56" s="93">
        <v>0.0</v>
      </c>
      <c r="G56" s="93">
        <v>0.0</v>
      </c>
      <c r="H56" s="93">
        <v>0.0</v>
      </c>
      <c r="I56" s="93">
        <v>0.0</v>
      </c>
      <c r="J56" s="93">
        <v>0.0</v>
      </c>
      <c r="K56" s="93">
        <v>0.0</v>
      </c>
      <c r="L56" s="93">
        <v>0.0</v>
      </c>
      <c r="M56" s="93">
        <v>0.0</v>
      </c>
      <c r="N56" s="93">
        <v>0.0</v>
      </c>
      <c r="O56" s="93">
        <v>146.0</v>
      </c>
      <c r="P56" s="93">
        <v>228.0</v>
      </c>
      <c r="Q56" s="93">
        <v>120.0</v>
      </c>
      <c r="R56" s="93">
        <v>0.0</v>
      </c>
      <c r="S56" s="93">
        <v>4.0</v>
      </c>
      <c r="T56" s="93">
        <v>84.0</v>
      </c>
      <c r="U56" s="93">
        <v>152.0</v>
      </c>
      <c r="V56" s="93">
        <v>284.0</v>
      </c>
      <c r="W56" s="93">
        <v>156.0</v>
      </c>
      <c r="X56" s="93">
        <v>84.0</v>
      </c>
      <c r="Y56" s="93">
        <v>0.0</v>
      </c>
      <c r="Z56" s="93">
        <v>4.0</v>
      </c>
      <c r="AA56" s="93">
        <v>0.0</v>
      </c>
      <c r="AB56" s="93">
        <v>219.0</v>
      </c>
      <c r="AC56" s="93">
        <v>156.0</v>
      </c>
      <c r="AD56" s="93">
        <v>120.0</v>
      </c>
      <c r="AE56" s="93">
        <v>72.0</v>
      </c>
      <c r="AF56" s="93">
        <v>59.0</v>
      </c>
      <c r="AG56" s="93">
        <v>84.0</v>
      </c>
      <c r="AH56" s="114">
        <v>84.0</v>
      </c>
      <c r="AI56" s="114">
        <v>61.0</v>
      </c>
      <c r="AJ56" s="114">
        <v>64.0</v>
      </c>
      <c r="AK56" s="114">
        <v>32.0</v>
      </c>
      <c r="AL56" s="114">
        <v>44.0</v>
      </c>
      <c r="AM56" s="114">
        <v>74.0</v>
      </c>
      <c r="AN56" s="93">
        <v>85.0</v>
      </c>
      <c r="AO56" s="93">
        <v>104.0</v>
      </c>
      <c r="AP56" s="93">
        <v>60.0</v>
      </c>
      <c r="AQ56" s="233">
        <v>36.0</v>
      </c>
      <c r="AR56" s="233">
        <v>34.0</v>
      </c>
      <c r="AS56" s="233">
        <v>63.0</v>
      </c>
      <c r="AT56" s="69">
        <f t="shared" si="4"/>
        <v>741.0</v>
      </c>
      <c r="AU56" s="69">
        <f t="shared" si="147"/>
        <v>359.0</v>
      </c>
      <c r="AV56" s="69">
        <f t="shared" si="6"/>
        <v>394.9</v>
      </c>
      <c r="AW56" s="47">
        <f t="shared" si="148"/>
        <v>52.9138321995464</v>
      </c>
      <c r="AX56" s="47">
        <f t="shared" si="149"/>
        <v>56.984126984127</v>
      </c>
      <c r="AY56" s="47">
        <f t="shared" si="150"/>
        <v>78.9637188208617</v>
      </c>
      <c r="AZ56" s="47">
        <f t="shared" si="151"/>
        <v>37.4467120181406</v>
      </c>
      <c r="BA56" s="47">
        <f t="shared" si="152"/>
        <v>73.265306122449</v>
      </c>
      <c r="BB56" s="47">
        <f t="shared" si="153"/>
        <v>59.4263038548752</v>
      </c>
      <c r="BC56" s="64">
        <f t="shared" si="13"/>
        <v>359.0</v>
      </c>
      <c r="BD56" s="69">
        <f>VLOOKUP(D56,FEB23SOH,3,false)</f>
        <v>470.0</v>
      </c>
      <c r="BE56" s="201">
        <f>VLOOKUP(D56,VALUEFEB23,4,false)</f>
        <v>4.6654</v>
      </c>
      <c r="BF56" s="215">
        <f t="shared" si="16"/>
        <v>2192.738</v>
      </c>
      <c r="BI56" s="193">
        <f t="shared" si="108"/>
        <v>111.0</v>
      </c>
      <c r="BL56" s="103"/>
      <c r="BM56" s="95">
        <f t="shared" si="110"/>
        <v>470.0</v>
      </c>
      <c r="BN56" s="65">
        <f t="shared" si="111"/>
        <v>52.9138321995464</v>
      </c>
      <c r="BO56" s="65">
        <f t="shared" si="21"/>
      </c>
      <c r="BP56" s="65">
        <f t="shared" si="112"/>
        <v>417.086167800453</v>
      </c>
      <c r="BQ56" s="194">
        <f t="shared" si="68"/>
        <v>1945.87380725623</v>
      </c>
      <c r="BR56" s="65">
        <f t="shared" si="113"/>
        <v>56.984126984127</v>
      </c>
      <c r="BS56" s="65">
        <f t="shared" si="25"/>
      </c>
      <c r="BT56" s="65">
        <f t="shared" si="114"/>
        <v>360.102040816326</v>
      </c>
      <c r="BU56" s="194">
        <f t="shared" si="71"/>
        <v>1680.02006122449</v>
      </c>
      <c r="BV56" s="65">
        <f t="shared" si="115"/>
        <v>78.9637188208617</v>
      </c>
      <c r="BW56" s="65">
        <f t="shared" si="73"/>
      </c>
      <c r="BX56" s="65">
        <f t="shared" si="116"/>
        <v>281.138321995464</v>
      </c>
      <c r="BY56" s="194">
        <f t="shared" si="75"/>
        <v>1311.62272743763</v>
      </c>
      <c r="BZ56" s="65">
        <f t="shared" si="117"/>
        <v>37.4467120181406</v>
      </c>
      <c r="CA56" s="65"/>
      <c r="CB56" s="65">
        <f t="shared" si="118"/>
        <v>243.691609977323</v>
      </c>
      <c r="CC56" s="194">
        <f t="shared" si="78"/>
        <v>1136.9188371882</v>
      </c>
      <c r="CD56" s="65">
        <f t="shared" si="119"/>
        <v>73.265306122449</v>
      </c>
      <c r="CE56" s="65"/>
      <c r="CF56" s="65">
        <f t="shared" si="120"/>
        <v>170.426303854874</v>
      </c>
      <c r="CG56" s="194">
        <f t="shared" si="81"/>
        <v>795.106878004529</v>
      </c>
      <c r="CH56" s="65">
        <f t="shared" si="121"/>
        <v>59.4263038548752</v>
      </c>
      <c r="CI56" s="65"/>
      <c r="CJ56" s="65">
        <f t="shared" si="122"/>
        <v>111.0</v>
      </c>
      <c r="CK56" s="194">
        <f t="shared" si="84"/>
        <v>795.106878004529</v>
      </c>
    </row>
    <row r="57" ht="14.0">
      <c r="A57" s="93" t="s">
        <v>179</v>
      </c>
      <c r="B57" s="93" t="s">
        <v>278</v>
      </c>
      <c r="C57" s="93" t="s">
        <v>283</v>
      </c>
      <c r="D57" s="234" t="s">
        <v>284</v>
      </c>
      <c r="E57" s="93">
        <v>0.0</v>
      </c>
      <c r="F57" s="93">
        <v>0.0</v>
      </c>
      <c r="G57" s="93">
        <v>0.0</v>
      </c>
      <c r="H57" s="93">
        <v>0.0</v>
      </c>
      <c r="I57" s="93">
        <v>0.0</v>
      </c>
      <c r="J57" s="93">
        <v>0.0</v>
      </c>
      <c r="K57" s="93">
        <v>0.0</v>
      </c>
      <c r="L57" s="93">
        <v>0.0</v>
      </c>
      <c r="M57" s="93">
        <v>0.0</v>
      </c>
      <c r="N57" s="93">
        <v>0.0</v>
      </c>
      <c r="O57" s="93">
        <v>133.0</v>
      </c>
      <c r="P57" s="93">
        <v>176.0</v>
      </c>
      <c r="Q57" s="93">
        <v>192.0</v>
      </c>
      <c r="R57" s="93">
        <v>0.0</v>
      </c>
      <c r="S57" s="93">
        <v>16.0</v>
      </c>
      <c r="T57" s="93">
        <v>76.0</v>
      </c>
      <c r="U57" s="93">
        <v>96.0</v>
      </c>
      <c r="V57" s="93">
        <v>124.0</v>
      </c>
      <c r="W57" s="93">
        <v>120.0</v>
      </c>
      <c r="X57" s="93">
        <v>76.0</v>
      </c>
      <c r="Y57" s="93">
        <v>44.0</v>
      </c>
      <c r="Z57" s="93">
        <v>25.0</v>
      </c>
      <c r="AA57" s="93">
        <v>36.0</v>
      </c>
      <c r="AB57" s="93">
        <v>71.0</v>
      </c>
      <c r="AC57" s="93">
        <v>80.0</v>
      </c>
      <c r="AD57" s="93">
        <v>44.0</v>
      </c>
      <c r="AE57" s="93">
        <v>56.0</v>
      </c>
      <c r="AF57" s="93">
        <v>35.0</v>
      </c>
      <c r="AG57" s="93">
        <v>28.0</v>
      </c>
      <c r="AH57" s="114">
        <v>28.0</v>
      </c>
      <c r="AI57" s="114">
        <v>20.0</v>
      </c>
      <c r="AJ57" s="114">
        <v>20.0</v>
      </c>
      <c r="AK57" s="114">
        <v>8.0</v>
      </c>
      <c r="AL57" s="114">
        <v>12.0</v>
      </c>
      <c r="AM57" s="114">
        <v>48.0</v>
      </c>
      <c r="AN57" s="93">
        <v>48.0</v>
      </c>
      <c r="AO57" s="93">
        <v>60.0</v>
      </c>
      <c r="AP57" s="93">
        <v>20.0</v>
      </c>
      <c r="AQ57" s="233">
        <v>36.0</v>
      </c>
      <c r="AR57" s="233">
        <v>29.0</v>
      </c>
      <c r="AS57" s="233">
        <v>19.0</v>
      </c>
      <c r="AT57" s="69">
        <f t="shared" si="4"/>
        <v>348.0</v>
      </c>
      <c r="AU57" s="69">
        <f t="shared" si="147"/>
        <v>136.0</v>
      </c>
      <c r="AV57" s="69">
        <f t="shared" si="6"/>
        <v>149.6</v>
      </c>
      <c r="AW57" s="47">
        <f t="shared" si="148"/>
        <v>20.0453514739229</v>
      </c>
      <c r="AX57" s="47">
        <f t="shared" si="149"/>
        <v>21.5873015873016</v>
      </c>
      <c r="AY57" s="47">
        <f t="shared" si="150"/>
        <v>29.9138321995464</v>
      </c>
      <c r="AZ57" s="47">
        <f t="shared" si="151"/>
        <v>14.1859410430839</v>
      </c>
      <c r="BA57" s="47">
        <f t="shared" si="152"/>
        <v>27.7551020408163</v>
      </c>
      <c r="BB57" s="47">
        <f t="shared" si="153"/>
        <v>22.5124716553288</v>
      </c>
      <c r="BC57" s="64">
        <f t="shared" si="13"/>
        <v>136.0</v>
      </c>
      <c r="BD57" s="69">
        <f>VLOOKUP(D57,FEB23SOH,3,false)</f>
        <v>500.0</v>
      </c>
      <c r="BE57" s="201">
        <f>VLOOKUP(D57,VALUEFEB23,4,false)</f>
        <v>4.6666</v>
      </c>
      <c r="BF57" s="215">
        <f t="shared" si="16"/>
        <v>2333.3</v>
      </c>
      <c r="BI57" s="193">
        <f t="shared" si="108"/>
        <v>364.0</v>
      </c>
      <c r="BK57" s="99"/>
      <c r="BL57" s="103"/>
      <c r="BM57" s="95">
        <f t="shared" si="110"/>
        <v>500.0</v>
      </c>
      <c r="BN57" s="65">
        <f t="shared" si="111"/>
        <v>20.0453514739229</v>
      </c>
      <c r="BO57" s="65">
        <f t="shared" si="21"/>
      </c>
      <c r="BP57" s="65">
        <f t="shared" si="112"/>
        <v>479.954648526077</v>
      </c>
      <c r="BQ57" s="194">
        <f t="shared" si="68"/>
        <v>2239.75636281179</v>
      </c>
      <c r="BR57" s="65">
        <f t="shared" si="113"/>
        <v>21.5873015873016</v>
      </c>
      <c r="BS57" s="65">
        <f t="shared" si="25"/>
      </c>
      <c r="BT57" s="65">
        <f t="shared" si="114"/>
        <v>458.367346938775</v>
      </c>
      <c r="BU57" s="194">
        <f t="shared" si="71"/>
        <v>2139.01706122449</v>
      </c>
      <c r="BV57" s="65">
        <f t="shared" si="115"/>
        <v>29.9138321995464</v>
      </c>
      <c r="BW57" s="65">
        <f t="shared" si="73"/>
      </c>
      <c r="BX57" s="65">
        <f t="shared" si="116"/>
        <v>428.45351473922</v>
      </c>
      <c r="BY57" s="194">
        <f t="shared" si="75"/>
        <v>1999.42117188204</v>
      </c>
      <c r="BZ57" s="65">
        <f t="shared" si="117"/>
        <v>14.1859410430839</v>
      </c>
      <c r="CA57" s="65"/>
      <c r="CB57" s="65">
        <f t="shared" si="118"/>
        <v>414.267573696136</v>
      </c>
      <c r="CC57" s="194">
        <f t="shared" si="78"/>
        <v>1933.22105941039</v>
      </c>
      <c r="CD57" s="65">
        <f t="shared" si="119"/>
        <v>27.7551020408163</v>
      </c>
      <c r="CE57" s="65"/>
      <c r="CF57" s="65">
        <f t="shared" si="120"/>
        <v>386.51247165532</v>
      </c>
      <c r="CG57" s="194">
        <f t="shared" si="81"/>
        <v>1803.69910022671</v>
      </c>
      <c r="CH57" s="65">
        <f t="shared" si="121"/>
        <v>22.5124716553288</v>
      </c>
      <c r="CI57" s="65"/>
      <c r="CJ57" s="65">
        <f t="shared" si="122"/>
        <v>363.999999999991</v>
      </c>
      <c r="CK57" s="194">
        <f t="shared" si="84"/>
        <v>1803.69910022671</v>
      </c>
    </row>
    <row r="58" ht="14.0">
      <c r="A58" s="93" t="s">
        <v>179</v>
      </c>
      <c r="B58" s="93" t="s">
        <v>278</v>
      </c>
      <c r="C58" s="93" t="s">
        <v>285</v>
      </c>
      <c r="D58" s="234" t="s">
        <v>286</v>
      </c>
      <c r="E58" s="93">
        <v>0.0</v>
      </c>
      <c r="F58" s="93">
        <v>0.0</v>
      </c>
      <c r="G58" s="93">
        <v>0.0</v>
      </c>
      <c r="H58" s="93">
        <v>0.0</v>
      </c>
      <c r="I58" s="93">
        <v>0.0</v>
      </c>
      <c r="J58" s="93">
        <v>0.0</v>
      </c>
      <c r="K58" s="93">
        <v>0.0</v>
      </c>
      <c r="L58" s="93">
        <v>0.0</v>
      </c>
      <c r="M58" s="93">
        <v>0.0</v>
      </c>
      <c r="N58" s="93">
        <v>0.0</v>
      </c>
      <c r="O58" s="93">
        <v>0.0</v>
      </c>
      <c r="P58" s="93">
        <v>0.0</v>
      </c>
      <c r="Q58" s="93">
        <v>0.0</v>
      </c>
      <c r="R58" s="93">
        <v>0.0</v>
      </c>
      <c r="S58" s="93">
        <v>0.0</v>
      </c>
      <c r="T58" s="93">
        <v>0.0</v>
      </c>
      <c r="U58" s="93">
        <v>0.0</v>
      </c>
      <c r="V58" s="93">
        <v>18.0</v>
      </c>
      <c r="W58" s="93">
        <v>12.0</v>
      </c>
      <c r="X58" s="93">
        <v>20.0</v>
      </c>
      <c r="Y58" s="93">
        <v>8.0</v>
      </c>
      <c r="Z58" s="93">
        <v>16.0</v>
      </c>
      <c r="AA58" s="93">
        <v>8.0</v>
      </c>
      <c r="AB58" s="93">
        <v>36.0</v>
      </c>
      <c r="AC58" s="93">
        <v>12.0</v>
      </c>
      <c r="AD58" s="93">
        <v>24.0</v>
      </c>
      <c r="AE58" s="93">
        <v>0.0</v>
      </c>
      <c r="AF58" s="93">
        <v>0.0</v>
      </c>
      <c r="AG58" s="93">
        <v>12.0</v>
      </c>
      <c r="AH58" s="114">
        <v>4.0</v>
      </c>
      <c r="AI58" s="114">
        <v>4.0</v>
      </c>
      <c r="AJ58" s="114">
        <v>4.0</v>
      </c>
      <c r="AK58" s="114">
        <v>4.0</v>
      </c>
      <c r="AL58" s="114">
        <v>4.0</v>
      </c>
      <c r="AM58" s="114">
        <v>12.0</v>
      </c>
      <c r="AN58" s="93">
        <v>20.0</v>
      </c>
      <c r="AO58" s="93">
        <v>0.0</v>
      </c>
      <c r="AP58" s="93">
        <v>32.0</v>
      </c>
      <c r="AQ58" s="233">
        <v>12.0</v>
      </c>
      <c r="AR58" s="233">
        <v>-3.0</v>
      </c>
      <c r="AS58" s="233">
        <v>5.0</v>
      </c>
      <c r="AT58" s="69">
        <f t="shared" si="4"/>
        <v>98.0</v>
      </c>
      <c r="AU58" s="69">
        <f t="shared" si="147"/>
        <v>32.0</v>
      </c>
      <c r="AV58" s="69">
        <f t="shared" si="6"/>
        <v>35.2</v>
      </c>
      <c r="AW58" s="47">
        <f t="shared" si="148"/>
        <v>4.71655328798186</v>
      </c>
      <c r="AX58" s="47">
        <f t="shared" si="149"/>
        <v>5.07936507936508</v>
      </c>
      <c r="AY58" s="47">
        <f t="shared" si="150"/>
        <v>7.03854875283447</v>
      </c>
      <c r="AZ58" s="47">
        <f t="shared" si="151"/>
        <v>3.33786848072562</v>
      </c>
      <c r="BA58" s="47">
        <f t="shared" si="152"/>
        <v>6.53061224489796</v>
      </c>
      <c r="BB58" s="47">
        <f t="shared" si="153"/>
        <v>5.29705215419501</v>
      </c>
      <c r="BC58" s="64">
        <f t="shared" si="13"/>
        <v>32.0</v>
      </c>
      <c r="BD58" s="69">
        <f>VLOOKUP(D58,FEB23SOH,3,false)</f>
        <v>245.0</v>
      </c>
      <c r="BE58" s="201">
        <f>VLOOKUP(D58,VALUEFEB23,4,false)</f>
        <v>4.4737</v>
      </c>
      <c r="BF58" s="215">
        <f t="shared" si="16"/>
        <v>1096.0565</v>
      </c>
      <c r="BI58" s="193">
        <f t="shared" si="108"/>
        <v>213.0</v>
      </c>
      <c r="BK58" s="99"/>
      <c r="BL58" s="103"/>
      <c r="BM58" s="95">
        <f t="shared" si="110"/>
        <v>245.0</v>
      </c>
      <c r="BN58" s="65">
        <f t="shared" si="111"/>
        <v>4.71655328798186</v>
      </c>
      <c r="BO58" s="65">
        <f t="shared" si="21"/>
      </c>
      <c r="BP58" s="65">
        <f t="shared" si="112"/>
        <v>240.283446712018</v>
      </c>
      <c r="BQ58" s="194">
        <f t="shared" si="68"/>
        <v>1074.95605555556</v>
      </c>
      <c r="BR58" s="65">
        <f t="shared" si="113"/>
        <v>5.07936507936508</v>
      </c>
      <c r="BS58" s="65">
        <f t="shared" si="25"/>
      </c>
      <c r="BT58" s="65">
        <f t="shared" si="114"/>
        <v>235.204081632652</v>
      </c>
      <c r="BU58" s="194">
        <f t="shared" si="71"/>
        <v>1052.2325</v>
      </c>
      <c r="BV58" s="65">
        <f t="shared" si="115"/>
        <v>7.03854875283447</v>
      </c>
      <c r="BW58" s="65">
        <f t="shared" si="73"/>
      </c>
      <c r="BX58" s="65">
        <f t="shared" si="116"/>
        <v>228.165532879818</v>
      </c>
      <c r="BY58" s="194">
        <f t="shared" si="75"/>
        <v>1020.74414444444</v>
      </c>
      <c r="BZ58" s="65">
        <f t="shared" si="117"/>
        <v>3.33786848072562</v>
      </c>
      <c r="CA58" s="65"/>
      <c r="CB58" s="65">
        <f t="shared" si="118"/>
        <v>224.827664399092</v>
      </c>
      <c r="CC58" s="194">
        <f t="shared" si="78"/>
        <v>1005.81152222221</v>
      </c>
      <c r="CD58" s="65">
        <f t="shared" si="119"/>
        <v>6.53061224489796</v>
      </c>
      <c r="CE58" s="65"/>
      <c r="CF58" s="65">
        <f t="shared" si="120"/>
        <v>218.297052154194</v>
      </c>
      <c r="CG58" s="194">
        <f t="shared" si="81"/>
        <v>976.595522222218</v>
      </c>
      <c r="CH58" s="65">
        <f t="shared" si="121"/>
        <v>5.29705215419501</v>
      </c>
      <c r="CI58" s="65"/>
      <c r="CJ58" s="65">
        <f t="shared" si="122"/>
        <v>212.999999999999</v>
      </c>
      <c r="CK58" s="194">
        <f t="shared" si="84"/>
        <v>976.595522222218</v>
      </c>
    </row>
    <row r="59" ht="14.0">
      <c r="A59" s="93" t="s">
        <v>179</v>
      </c>
      <c r="B59" s="93" t="s">
        <v>278</v>
      </c>
      <c r="C59" s="93" t="s">
        <v>287</v>
      </c>
      <c r="D59" s="234" t="s">
        <v>288</v>
      </c>
      <c r="E59" s="93">
        <v>0.0</v>
      </c>
      <c r="F59" s="93">
        <v>0.0</v>
      </c>
      <c r="G59" s="93">
        <v>0.0</v>
      </c>
      <c r="H59" s="93">
        <v>0.0</v>
      </c>
      <c r="I59" s="93">
        <v>0.0</v>
      </c>
      <c r="J59" s="93">
        <v>0.0</v>
      </c>
      <c r="K59" s="93">
        <v>0.0</v>
      </c>
      <c r="L59" s="93">
        <v>0.0</v>
      </c>
      <c r="M59" s="93">
        <v>0.0</v>
      </c>
      <c r="N59" s="93">
        <v>0.0</v>
      </c>
      <c r="O59" s="93">
        <v>0.0</v>
      </c>
      <c r="P59" s="93">
        <v>0.0</v>
      </c>
      <c r="Q59" s="93">
        <v>0.0</v>
      </c>
      <c r="R59" s="93">
        <v>0.0</v>
      </c>
      <c r="S59" s="93">
        <v>0.0</v>
      </c>
      <c r="T59" s="93">
        <v>0.0</v>
      </c>
      <c r="U59" s="93">
        <v>0.0</v>
      </c>
      <c r="V59" s="93">
        <v>144.0</v>
      </c>
      <c r="W59" s="93">
        <v>116.0</v>
      </c>
      <c r="X59" s="93">
        <v>76.0</v>
      </c>
      <c r="Y59" s="93">
        <v>68.0</v>
      </c>
      <c r="Z59" s="93">
        <v>50.0</v>
      </c>
      <c r="AA59" s="93">
        <v>44.0</v>
      </c>
      <c r="AB59" s="93">
        <v>87.0</v>
      </c>
      <c r="AC59" s="93">
        <v>92.0</v>
      </c>
      <c r="AD59" s="93">
        <v>40.0</v>
      </c>
      <c r="AE59" s="93">
        <v>24.0</v>
      </c>
      <c r="AF59" s="93">
        <v>20.0</v>
      </c>
      <c r="AG59" s="93">
        <v>20.0</v>
      </c>
      <c r="AH59" s="114">
        <v>29.0</v>
      </c>
      <c r="AI59" s="114">
        <v>10.0</v>
      </c>
      <c r="AJ59" s="114">
        <v>16.0</v>
      </c>
      <c r="AK59" s="114">
        <v>8.0</v>
      </c>
      <c r="AL59" s="114">
        <v>4.0</v>
      </c>
      <c r="AM59" s="114">
        <v>113.0</v>
      </c>
      <c r="AN59" s="93">
        <v>20.0</v>
      </c>
      <c r="AO59" s="93">
        <v>12.0</v>
      </c>
      <c r="AP59" s="93">
        <v>20.0</v>
      </c>
      <c r="AQ59" s="233">
        <v>8.0</v>
      </c>
      <c r="AR59" s="233">
        <v>24.0</v>
      </c>
      <c r="AS59" s="233">
        <v>24.0</v>
      </c>
      <c r="AT59" s="69">
        <f t="shared" si="4"/>
        <v>288.0</v>
      </c>
      <c r="AU59" s="69">
        <f t="shared" si="147"/>
        <v>180.0</v>
      </c>
      <c r="AV59" s="69">
        <f t="shared" si="6"/>
        <v>198.0</v>
      </c>
      <c r="AW59" s="47">
        <f t="shared" si="148"/>
        <v>26.530612244898</v>
      </c>
      <c r="AX59" s="47">
        <f t="shared" si="149"/>
        <v>28.571428571429</v>
      </c>
      <c r="AY59" s="47">
        <f t="shared" si="150"/>
        <v>39.5918367346939</v>
      </c>
      <c r="AZ59" s="47">
        <f t="shared" si="151"/>
        <v>18.7755102040816</v>
      </c>
      <c r="BA59" s="47">
        <f t="shared" si="152"/>
        <v>36.734693877551</v>
      </c>
      <c r="BB59" s="47">
        <f t="shared" si="153"/>
        <v>29.7959183673469</v>
      </c>
      <c r="BC59" s="64">
        <f t="shared" si="13"/>
        <v>180.0</v>
      </c>
      <c r="BD59" s="69">
        <f>VLOOKUP(D59,FEB23SOH,3,false)</f>
        <v>440.0</v>
      </c>
      <c r="BE59" s="201">
        <f>VLOOKUP(D59,VALUEFEB23,4,false)</f>
        <v>4.6665</v>
      </c>
      <c r="BF59" s="215">
        <f t="shared" si="16"/>
        <v>2053.26</v>
      </c>
      <c r="BI59" s="193">
        <f t="shared" si="108"/>
        <v>260.0</v>
      </c>
      <c r="BK59" s="99"/>
      <c r="BL59" s="103"/>
      <c r="BM59" s="95">
        <f t="shared" si="110"/>
        <v>440.0</v>
      </c>
      <c r="BN59" s="65">
        <f t="shared" si="111"/>
        <v>26.530612244898</v>
      </c>
      <c r="BO59" s="65">
        <f t="shared" si="21"/>
      </c>
      <c r="BP59" s="65">
        <f t="shared" si="112"/>
        <v>413.469387755102</v>
      </c>
      <c r="BQ59" s="194">
        <f t="shared" si="68"/>
        <v>1929.45489795918</v>
      </c>
      <c r="BR59" s="65">
        <f t="shared" si="113"/>
        <v>28.571428571429</v>
      </c>
      <c r="BS59" s="65">
        <f t="shared" si="25"/>
      </c>
      <c r="BT59" s="65">
        <f t="shared" si="114"/>
        <v>384.897959183673</v>
      </c>
      <c r="BU59" s="194">
        <f t="shared" si="71"/>
        <v>1796.12632653061</v>
      </c>
      <c r="BV59" s="65">
        <f t="shared" si="115"/>
        <v>39.5918367346939</v>
      </c>
      <c r="BW59" s="65">
        <f t="shared" si="73"/>
      </c>
      <c r="BX59" s="65">
        <f t="shared" si="116"/>
        <v>345.306122448979</v>
      </c>
      <c r="BY59" s="194">
        <f t="shared" si="75"/>
        <v>1611.37102040816</v>
      </c>
      <c r="BZ59" s="65">
        <f t="shared" si="117"/>
        <v>18.7755102040816</v>
      </c>
      <c r="CA59" s="65"/>
      <c r="CB59" s="65">
        <f t="shared" si="118"/>
        <v>326.530612244897</v>
      </c>
      <c r="CC59" s="194">
        <f t="shared" si="78"/>
        <v>1523.75510204081</v>
      </c>
      <c r="CD59" s="65">
        <f t="shared" si="119"/>
        <v>36.734693877551</v>
      </c>
      <c r="CE59" s="65"/>
      <c r="CF59" s="65">
        <f t="shared" si="120"/>
        <v>289.795918367346</v>
      </c>
      <c r="CG59" s="194">
        <f t="shared" si="81"/>
        <v>1352.33265306122</v>
      </c>
      <c r="CH59" s="65">
        <f t="shared" si="121"/>
        <v>29.7959183673469</v>
      </c>
      <c r="CI59" s="65"/>
      <c r="CJ59" s="65">
        <f t="shared" si="122"/>
        <v>259.999999999999</v>
      </c>
      <c r="CK59" s="194">
        <f t="shared" si="84"/>
        <v>1352.33265306122</v>
      </c>
    </row>
    <row r="60" ht="14.0">
      <c r="A60" s="93" t="s">
        <v>179</v>
      </c>
      <c r="B60" s="93" t="s">
        <v>278</v>
      </c>
      <c r="C60" s="93" t="s">
        <v>289</v>
      </c>
      <c r="D60" s="229" t="s">
        <v>290</v>
      </c>
      <c r="E60" s="93">
        <v>0.0</v>
      </c>
      <c r="F60" s="93">
        <v>0.0</v>
      </c>
      <c r="G60" s="93">
        <v>0.0</v>
      </c>
      <c r="H60" s="93">
        <v>0.0</v>
      </c>
      <c r="I60" s="93">
        <v>0.0</v>
      </c>
      <c r="J60" s="93">
        <v>0.0</v>
      </c>
      <c r="K60" s="93">
        <v>0.0</v>
      </c>
      <c r="L60" s="93">
        <v>0.0</v>
      </c>
      <c r="M60" s="93">
        <v>0.0</v>
      </c>
      <c r="N60" s="93">
        <v>0.0</v>
      </c>
      <c r="O60" s="93">
        <v>0.0</v>
      </c>
      <c r="P60" s="93">
        <v>0.0</v>
      </c>
      <c r="Q60" s="93">
        <v>0.0</v>
      </c>
      <c r="R60" s="93">
        <v>0.0</v>
      </c>
      <c r="S60" s="93">
        <v>0.0</v>
      </c>
      <c r="T60" s="93">
        <v>0.0</v>
      </c>
      <c r="U60" s="93">
        <v>0.0</v>
      </c>
      <c r="V60" s="93">
        <v>98.0</v>
      </c>
      <c r="W60" s="93">
        <v>115.0</v>
      </c>
      <c r="X60" s="93">
        <v>96.0</v>
      </c>
      <c r="Y60" s="93">
        <v>72.0</v>
      </c>
      <c r="Z60" s="93">
        <v>38.0</v>
      </c>
      <c r="AA60" s="93">
        <v>36.0</v>
      </c>
      <c r="AB60" s="93">
        <v>56.0</v>
      </c>
      <c r="AC60" s="93">
        <v>112.0</v>
      </c>
      <c r="AD60" s="93">
        <v>76.0</v>
      </c>
      <c r="AE60" s="93">
        <v>40.0</v>
      </c>
      <c r="AF60" s="93">
        <v>35.0</v>
      </c>
      <c r="AG60" s="93">
        <v>16.0</v>
      </c>
      <c r="AH60" s="114">
        <v>20.0</v>
      </c>
      <c r="AI60" s="114">
        <v>40.0</v>
      </c>
      <c r="AJ60" s="114">
        <v>24.0</v>
      </c>
      <c r="AK60" s="114">
        <v>16.0</v>
      </c>
      <c r="AL60" s="114">
        <v>8.0</v>
      </c>
      <c r="AM60" s="114">
        <v>32.0</v>
      </c>
      <c r="AN60" s="93">
        <v>36.0</v>
      </c>
      <c r="AO60" s="93">
        <v>68.0</v>
      </c>
      <c r="AP60" s="93">
        <v>48.0</v>
      </c>
      <c r="AQ60" s="233">
        <v>31.0</v>
      </c>
      <c r="AR60" s="233">
        <v>16.0</v>
      </c>
      <c r="AS60" s="233">
        <v>29.0</v>
      </c>
      <c r="AT60" s="69">
        <f t="shared" si="4"/>
        <v>368.0</v>
      </c>
      <c r="AU60" s="69">
        <f t="shared" si="147"/>
        <v>140.0</v>
      </c>
      <c r="AV60" s="69">
        <f t="shared" si="6"/>
        <v>154.0</v>
      </c>
      <c r="AW60" s="47">
        <f t="shared" si="148"/>
        <v>20.6349206349206</v>
      </c>
      <c r="AX60" s="47">
        <f t="shared" si="149"/>
        <v>22.2222222222222</v>
      </c>
      <c r="AY60" s="47">
        <f t="shared" si="150"/>
        <v>30.79365079365</v>
      </c>
      <c r="AZ60" s="47">
        <f t="shared" si="151"/>
        <v>14.6031746031746</v>
      </c>
      <c r="BA60" s="47">
        <f t="shared" si="152"/>
        <v>28.571428571429</v>
      </c>
      <c r="BB60" s="47">
        <f t="shared" si="153"/>
        <v>23.1746031746031</v>
      </c>
      <c r="BC60" s="64">
        <f t="shared" si="13"/>
        <v>140.0</v>
      </c>
      <c r="BD60" s="69">
        <f>VLOOKUP(D60,FEB23SOH,3,false)</f>
        <v>497.0</v>
      </c>
      <c r="BE60" s="201">
        <f>VLOOKUP(D60,VALUEFEB23,4,false)</f>
        <v>4.6663</v>
      </c>
      <c r="BF60" s="215">
        <f t="shared" si="16"/>
        <v>2319.1511</v>
      </c>
      <c r="BI60" s="193">
        <f t="shared" si="108"/>
        <v>357.0</v>
      </c>
      <c r="BL60" s="103"/>
      <c r="BM60" s="95">
        <f t="shared" si="110"/>
        <v>497.0</v>
      </c>
      <c r="BN60" s="65">
        <f t="shared" si="111"/>
        <v>20.6349206349206</v>
      </c>
      <c r="BO60" s="65">
        <f t="shared" si="21"/>
      </c>
      <c r="BP60" s="65">
        <f t="shared" si="112"/>
        <v>476.365079365079</v>
      </c>
      <c r="BQ60" s="194">
        <f t="shared" si="68"/>
        <v>2222.86236984127</v>
      </c>
      <c r="BR60" s="65">
        <f t="shared" si="113"/>
        <v>22.2222222222222</v>
      </c>
      <c r="BS60" s="65">
        <f t="shared" si="25"/>
      </c>
      <c r="BT60" s="65">
        <f t="shared" si="114"/>
        <v>454.142857142857</v>
      </c>
      <c r="BU60" s="194">
        <f t="shared" si="71"/>
        <v>2119.16681428571</v>
      </c>
      <c r="BV60" s="65">
        <f t="shared" si="115"/>
        <v>30.79365079365</v>
      </c>
      <c r="BW60" s="65">
        <f t="shared" si="73"/>
      </c>
      <c r="BX60" s="65">
        <f t="shared" si="116"/>
        <v>423.349206349207</v>
      </c>
      <c r="BY60" s="194">
        <f t="shared" si="75"/>
        <v>1975.4744015873</v>
      </c>
      <c r="BZ60" s="65">
        <f t="shared" si="117"/>
        <v>14.6031746031746</v>
      </c>
      <c r="CA60" s="65"/>
      <c r="CB60" s="65">
        <f t="shared" si="118"/>
        <v>408.746031746032</v>
      </c>
      <c r="CC60" s="194">
        <f t="shared" si="78"/>
        <v>1907.3316079365</v>
      </c>
      <c r="CD60" s="65">
        <f t="shared" si="119"/>
        <v>28.571428571429</v>
      </c>
      <c r="CE60" s="65"/>
      <c r="CF60" s="65">
        <f t="shared" si="120"/>
        <v>380.174603174602</v>
      </c>
      <c r="CG60" s="194">
        <f t="shared" si="81"/>
        <v>1774.00875079364</v>
      </c>
      <c r="CH60" s="65">
        <f t="shared" si="121"/>
        <v>23.1746031746031</v>
      </c>
      <c r="CI60" s="65"/>
      <c r="CJ60" s="65">
        <f t="shared" si="122"/>
        <v>357.0</v>
      </c>
      <c r="CK60" s="194">
        <f t="shared" si="84"/>
        <v>1774.00875079364</v>
      </c>
    </row>
    <row r="61" ht="14.0">
      <c r="A61" s="93" t="s">
        <v>179</v>
      </c>
      <c r="B61" s="93" t="s">
        <v>278</v>
      </c>
      <c r="C61" s="93" t="s">
        <v>291</v>
      </c>
      <c r="D61" s="234" t="s">
        <v>292</v>
      </c>
      <c r="E61" s="93">
        <v>0.0</v>
      </c>
      <c r="F61" s="93">
        <v>0.0</v>
      </c>
      <c r="G61" s="93">
        <v>0.0</v>
      </c>
      <c r="H61" s="93">
        <v>0.0</v>
      </c>
      <c r="I61" s="93">
        <v>0.0</v>
      </c>
      <c r="J61" s="93">
        <v>0.0</v>
      </c>
      <c r="K61" s="93">
        <v>0.0</v>
      </c>
      <c r="L61" s="93">
        <v>0.0</v>
      </c>
      <c r="M61" s="93">
        <v>0.0</v>
      </c>
      <c r="N61" s="93">
        <v>0.0</v>
      </c>
      <c r="O61" s="93">
        <v>0.0</v>
      </c>
      <c r="P61" s="93">
        <v>0.0</v>
      </c>
      <c r="Q61" s="93">
        <v>0.0</v>
      </c>
      <c r="R61" s="93">
        <v>0.0</v>
      </c>
      <c r="S61" s="93">
        <v>0.0</v>
      </c>
      <c r="T61" s="93">
        <v>0.0</v>
      </c>
      <c r="U61" s="93">
        <v>0.0</v>
      </c>
      <c r="V61" s="93">
        <v>0.0</v>
      </c>
      <c r="W61" s="93">
        <v>0.0</v>
      </c>
      <c r="X61" s="93">
        <v>0.0</v>
      </c>
      <c r="Y61" s="93">
        <v>0.0</v>
      </c>
      <c r="Z61" s="93">
        <v>0.0</v>
      </c>
      <c r="AA61" s="93">
        <v>0.0</v>
      </c>
      <c r="AB61" s="93">
        <v>108.0</v>
      </c>
      <c r="AC61" s="93">
        <v>64.0</v>
      </c>
      <c r="AD61" s="93">
        <v>56.0</v>
      </c>
      <c r="AE61" s="93">
        <v>20.0</v>
      </c>
      <c r="AF61" s="93">
        <v>12.0</v>
      </c>
      <c r="AG61" s="93">
        <v>20.0</v>
      </c>
      <c r="AH61" s="114">
        <v>20.0</v>
      </c>
      <c r="AI61" s="114">
        <v>16.0</v>
      </c>
      <c r="AJ61" s="114">
        <v>16.0</v>
      </c>
      <c r="AK61" s="114">
        <v>0.0</v>
      </c>
      <c r="AL61" s="114">
        <v>4.0</v>
      </c>
      <c r="AM61" s="114">
        <v>24.0</v>
      </c>
      <c r="AN61" s="93">
        <v>24.0</v>
      </c>
      <c r="AO61" s="93">
        <v>20.0</v>
      </c>
      <c r="AP61" s="93">
        <v>16.0</v>
      </c>
      <c r="AQ61" s="233">
        <v>4.0</v>
      </c>
      <c r="AR61" s="233">
        <v>24.0</v>
      </c>
      <c r="AS61" s="233">
        <v>19.0</v>
      </c>
      <c r="AT61" s="69">
        <f t="shared" si="4"/>
        <v>187.0</v>
      </c>
      <c r="AU61" s="69">
        <f t="shared" si="147"/>
        <v>80.0</v>
      </c>
      <c r="AV61" s="69">
        <f t="shared" si="6"/>
        <v>88.0</v>
      </c>
      <c r="AW61" s="47">
        <f t="shared" si="148"/>
        <v>11.7913832199546</v>
      </c>
      <c r="AX61" s="47">
        <f t="shared" si="149"/>
        <v>12.6984126984127</v>
      </c>
      <c r="AY61" s="47">
        <f t="shared" si="150"/>
        <v>17.5963718820861</v>
      </c>
      <c r="AZ61" s="47">
        <f t="shared" si="151"/>
        <v>8.34467120181406</v>
      </c>
      <c r="BA61" s="47">
        <f t="shared" si="152"/>
        <v>16.3265306122449</v>
      </c>
      <c r="BB61" s="47">
        <f t="shared" si="153"/>
        <v>13.2426303854875</v>
      </c>
      <c r="BC61" s="64">
        <f t="shared" si="13"/>
        <v>79.9999999999999</v>
      </c>
      <c r="BD61" s="69">
        <f>VLOOKUP(D61,FEB23SOH,3,false)</f>
        <v>540.0</v>
      </c>
      <c r="BE61" s="201">
        <f>VLOOKUP(D61,VALUEFEB23,4,false)</f>
        <v>4.6726</v>
      </c>
      <c r="BF61" s="215">
        <f t="shared" si="16"/>
        <v>2523.204</v>
      </c>
      <c r="BI61" s="193">
        <f t="shared" si="108"/>
        <v>460.0</v>
      </c>
      <c r="BK61" s="99"/>
      <c r="BL61" s="103"/>
      <c r="BM61" s="95">
        <f t="shared" si="110"/>
        <v>540.0</v>
      </c>
      <c r="BN61" s="65">
        <f t="shared" si="111"/>
        <v>11.7913832199546</v>
      </c>
      <c r="BO61" s="65">
        <f t="shared" si="21"/>
      </c>
      <c r="BP61" s="65">
        <f t="shared" si="112"/>
        <v>528.208616780045</v>
      </c>
      <c r="BQ61" s="194">
        <f t="shared" si="68"/>
        <v>2468.10758276643</v>
      </c>
      <c r="BR61" s="65">
        <f t="shared" si="113"/>
        <v>12.6984126984127</v>
      </c>
      <c r="BS61" s="65">
        <f t="shared" si="25"/>
      </c>
      <c r="BT61" s="65">
        <f t="shared" si="114"/>
        <v>515.510204081632</v>
      </c>
      <c r="BU61" s="194">
        <f t="shared" si="71"/>
        <v>2408.77297959183</v>
      </c>
      <c r="BV61" s="65">
        <f t="shared" si="115"/>
        <v>17.5963718820861</v>
      </c>
      <c r="BW61" s="65">
        <f t="shared" si="73"/>
      </c>
      <c r="BX61" s="65">
        <f t="shared" si="116"/>
        <v>497.91383219954</v>
      </c>
      <c r="BY61" s="194">
        <f t="shared" si="75"/>
        <v>2326.55217233557</v>
      </c>
      <c r="BZ61" s="65">
        <f t="shared" si="117"/>
        <v>8.34467120181406</v>
      </c>
      <c r="CA61" s="65"/>
      <c r="CB61" s="65">
        <f t="shared" si="118"/>
        <v>489.569160997726</v>
      </c>
      <c r="CC61" s="194">
        <f t="shared" si="78"/>
        <v>2287.56086167797</v>
      </c>
      <c r="CD61" s="65">
        <f t="shared" si="119"/>
        <v>16.3265306122449</v>
      </c>
      <c r="CE61" s="65"/>
      <c r="CF61" s="65">
        <f t="shared" si="120"/>
        <v>473.242630385481</v>
      </c>
      <c r="CG61" s="194">
        <f t="shared" si="81"/>
        <v>2211.2735147392</v>
      </c>
      <c r="CH61" s="65">
        <f t="shared" si="121"/>
        <v>13.2426303854875</v>
      </c>
      <c r="CI61" s="65"/>
      <c r="CJ61" s="65">
        <f t="shared" si="122"/>
        <v>459.999999999993</v>
      </c>
      <c r="CK61" s="194">
        <f t="shared" si="84"/>
        <v>2211.2735147392</v>
      </c>
    </row>
    <row r="62" ht="14.0" customFormat="1" s="47">
      <c r="A62" s="93" t="s">
        <v>179</v>
      </c>
      <c r="B62" s="93" t="s">
        <v>278</v>
      </c>
      <c r="C62" s="93" t="s">
        <v>293</v>
      </c>
      <c r="D62" s="234" t="s">
        <v>294</v>
      </c>
      <c r="E62" s="93">
        <v>0.0</v>
      </c>
      <c r="F62" s="93">
        <v>0.0</v>
      </c>
      <c r="G62" s="93">
        <v>0.0</v>
      </c>
      <c r="H62" s="93">
        <v>0.0</v>
      </c>
      <c r="I62" s="93">
        <v>0.0</v>
      </c>
      <c r="J62" s="93">
        <v>0.0</v>
      </c>
      <c r="K62" s="93">
        <v>0.0</v>
      </c>
      <c r="L62" s="93">
        <v>0.0</v>
      </c>
      <c r="M62" s="93">
        <v>0.0</v>
      </c>
      <c r="N62" s="93">
        <v>0.0</v>
      </c>
      <c r="O62" s="93">
        <v>0.0</v>
      </c>
      <c r="P62" s="93">
        <v>0.0</v>
      </c>
      <c r="Q62" s="93">
        <v>0.0</v>
      </c>
      <c r="R62" s="93">
        <v>0.0</v>
      </c>
      <c r="S62" s="93">
        <v>0.0</v>
      </c>
      <c r="T62" s="93">
        <v>0.0</v>
      </c>
      <c r="U62" s="93">
        <v>0.0</v>
      </c>
      <c r="V62" s="93">
        <v>0.0</v>
      </c>
      <c r="W62" s="93">
        <v>0.0</v>
      </c>
      <c r="X62" s="93">
        <v>0.0</v>
      </c>
      <c r="Y62" s="93">
        <v>0.0</v>
      </c>
      <c r="Z62" s="93">
        <v>0.0</v>
      </c>
      <c r="AA62" s="93">
        <v>0.0</v>
      </c>
      <c r="AB62" s="93">
        <v>140.0</v>
      </c>
      <c r="AC62" s="93">
        <v>116.0</v>
      </c>
      <c r="AD62" s="93">
        <v>91.0</v>
      </c>
      <c r="AE62" s="93">
        <v>36.0</v>
      </c>
      <c r="AF62" s="93">
        <v>20.0</v>
      </c>
      <c r="AG62" s="93">
        <v>28.0</v>
      </c>
      <c r="AH62" s="114">
        <v>40.0</v>
      </c>
      <c r="AI62" s="114">
        <v>32.0</v>
      </c>
      <c r="AJ62" s="114">
        <v>20.0</v>
      </c>
      <c r="AK62" s="114">
        <v>8.0</v>
      </c>
      <c r="AL62" s="114">
        <v>24.0</v>
      </c>
      <c r="AM62" s="114">
        <v>136.0</v>
      </c>
      <c r="AN62" s="93">
        <v>48.0</v>
      </c>
      <c r="AO62" s="93">
        <v>59.0</v>
      </c>
      <c r="AP62" s="93">
        <v>60.0</v>
      </c>
      <c r="AQ62" s="233">
        <v>44.0</v>
      </c>
      <c r="AR62" s="233">
        <v>61.0</v>
      </c>
      <c r="AS62" s="233">
        <v>49.0</v>
      </c>
      <c r="AT62" s="69">
        <f t="shared" si="4"/>
        <v>581.0</v>
      </c>
      <c r="AU62" s="69">
        <f t="shared" si="147"/>
        <v>260.0</v>
      </c>
      <c r="AV62" s="69">
        <f t="shared" si="6"/>
        <v>286.0</v>
      </c>
      <c r="AW62" s="47">
        <f t="shared" si="148"/>
        <v>38.3219954648526</v>
      </c>
      <c r="AX62" s="47">
        <f t="shared" si="149"/>
        <v>41.2698412698412</v>
      </c>
      <c r="AY62" s="47">
        <f t="shared" si="150"/>
        <v>57.18820861678</v>
      </c>
      <c r="AZ62" s="47">
        <f t="shared" si="151"/>
        <v>27.1201814058957</v>
      </c>
      <c r="BA62" s="47">
        <f t="shared" si="152"/>
        <v>53.0612244897959</v>
      </c>
      <c r="BB62" s="47">
        <f t="shared" si="153"/>
        <v>43.0385487528344</v>
      </c>
      <c r="BC62" s="64">
        <f t="shared" si="13"/>
        <v>260.0</v>
      </c>
      <c r="BD62" s="69">
        <f>VLOOKUP(D62,FEB23SOH,3,false)</f>
        <v>0.0</v>
      </c>
      <c r="BE62" s="201">
        <f>VLOOKUP(D62,VALUEFEB23,4,false)</f>
        <v>4.7</v>
      </c>
      <c r="BF62" s="215">
        <f t="shared" si="16"/>
        <v>0.0</v>
      </c>
      <c r="BG62" s="64"/>
      <c r="BH62" s="64"/>
      <c r="BI62" s="193">
        <f t="shared" si="108"/>
        <v>-260.0</v>
      </c>
      <c r="BJ62" s="217"/>
      <c r="BK62" s="236"/>
      <c r="BL62" s="103" t="s">
        <v>73</v>
      </c>
      <c r="BM62" s="95">
        <f t="shared" si="110"/>
        <v>0.0</v>
      </c>
      <c r="BN62" s="65">
        <f t="shared" si="111"/>
        <v>38.3219954648526</v>
      </c>
      <c r="BO62" s="65">
        <f t="shared" si="21"/>
      </c>
      <c r="BP62" s="65">
        <f t="shared" si="112"/>
        <v>-38.3219954648526</v>
      </c>
      <c r="BQ62" s="194">
        <f t="shared" si="68"/>
        <v>-180.113378684807</v>
      </c>
      <c r="BR62" s="65">
        <f t="shared" si="113"/>
        <v>41.2698412698412</v>
      </c>
      <c r="BS62" s="65">
        <f t="shared" si="25"/>
      </c>
      <c r="BT62" s="65">
        <f t="shared" si="114"/>
        <v>-79.5918367346938</v>
      </c>
      <c r="BU62" s="194">
        <f t="shared" si="71"/>
        <v>-374.08163265306</v>
      </c>
      <c r="BV62" s="65">
        <f t="shared" si="115"/>
        <v>57.18820861678</v>
      </c>
      <c r="BW62" s="65">
        <f t="shared" si="73"/>
      </c>
      <c r="BX62" s="65">
        <f t="shared" si="116"/>
        <v>-136.780045351473</v>
      </c>
      <c r="BY62" s="194">
        <f t="shared" si="75"/>
        <v>-642.866213151923</v>
      </c>
      <c r="BZ62" s="65">
        <f t="shared" si="117"/>
        <v>27.1201814058957</v>
      </c>
      <c r="CA62" s="65"/>
      <c r="CB62" s="65">
        <f t="shared" si="118"/>
        <v>-163.900226757367</v>
      </c>
      <c r="CC62" s="194">
        <f t="shared" si="78"/>
        <v>-770.331065759625</v>
      </c>
      <c r="CD62" s="65">
        <f t="shared" si="119"/>
        <v>53.0612244897959</v>
      </c>
      <c r="CE62" s="65"/>
      <c r="CF62" s="65">
        <f t="shared" si="120"/>
        <v>-216.961451247162</v>
      </c>
      <c r="CG62" s="194">
        <f t="shared" si="81"/>
        <v>-1019.71882086166</v>
      </c>
      <c r="CH62" s="65">
        <f t="shared" si="121"/>
        <v>43.0385487528344</v>
      </c>
      <c r="CI62" s="65"/>
      <c r="CJ62" s="65">
        <f t="shared" si="122"/>
        <v>-259.999999999996</v>
      </c>
      <c r="CK62" s="194">
        <f t="shared" si="84"/>
        <v>-1019.71882086166</v>
      </c>
    </row>
    <row r="63" ht="14.0">
      <c r="A63" s="93" t="s">
        <v>179</v>
      </c>
      <c r="B63" s="93" t="s">
        <v>278</v>
      </c>
      <c r="C63" s="93" t="s">
        <v>295</v>
      </c>
      <c r="D63" s="229" t="s">
        <v>296</v>
      </c>
      <c r="E63" s="93">
        <v>0.0</v>
      </c>
      <c r="F63" s="93">
        <v>0.0</v>
      </c>
      <c r="G63" s="93">
        <v>0.0</v>
      </c>
      <c r="H63" s="93">
        <v>0.0</v>
      </c>
      <c r="I63" s="93">
        <v>0.0</v>
      </c>
      <c r="J63" s="93">
        <v>0.0</v>
      </c>
      <c r="K63" s="93">
        <v>0.0</v>
      </c>
      <c r="L63" s="93">
        <v>0.0</v>
      </c>
      <c r="M63" s="93">
        <v>0.0</v>
      </c>
      <c r="N63" s="93">
        <v>0.0</v>
      </c>
      <c r="O63" s="93">
        <v>0.0</v>
      </c>
      <c r="P63" s="93">
        <v>0.0</v>
      </c>
      <c r="Q63" s="93">
        <v>0.0</v>
      </c>
      <c r="R63" s="93">
        <v>0.0</v>
      </c>
      <c r="S63" s="93">
        <v>0.0</v>
      </c>
      <c r="T63" s="93">
        <v>0.0</v>
      </c>
      <c r="U63" s="93">
        <v>0.0</v>
      </c>
      <c r="V63" s="93">
        <v>0.0</v>
      </c>
      <c r="W63" s="93">
        <v>0.0</v>
      </c>
      <c r="X63" s="93">
        <v>0.0</v>
      </c>
      <c r="Y63" s="93">
        <v>0.0</v>
      </c>
      <c r="Z63" s="93">
        <v>0.0</v>
      </c>
      <c r="AA63" s="93">
        <v>0.0</v>
      </c>
      <c r="AB63" s="93">
        <v>0.0</v>
      </c>
      <c r="AC63" s="93">
        <v>0.0</v>
      </c>
      <c r="AD63" s="93">
        <v>0.0</v>
      </c>
      <c r="AE63" s="93">
        <v>0.0</v>
      </c>
      <c r="AF63" s="93">
        <v>0.0</v>
      </c>
      <c r="AG63" s="93">
        <v>0.0</v>
      </c>
      <c r="AH63" s="93">
        <v>0.0</v>
      </c>
      <c r="AI63" s="93">
        <v>195.0</v>
      </c>
      <c r="AJ63" s="93">
        <v>188.0</v>
      </c>
      <c r="AK63" s="93">
        <v>96.0</v>
      </c>
      <c r="AL63" s="93">
        <v>24.0</v>
      </c>
      <c r="AM63" s="93">
        <v>0.0</v>
      </c>
      <c r="AN63" s="230">
        <v>132.0</v>
      </c>
      <c r="AO63" s="230">
        <v>112.0</v>
      </c>
      <c r="AP63" s="230">
        <v>112.0</v>
      </c>
      <c r="AQ63" s="231">
        <v>56.0</v>
      </c>
      <c r="AR63" s="231">
        <v>64.0</v>
      </c>
      <c r="AS63" s="231">
        <v>93.0</v>
      </c>
      <c r="AT63" s="69">
        <f t="shared" si="4"/>
        <v>1072.0</v>
      </c>
      <c r="AU63" s="69">
        <f t="shared" ref="AU63:AU68" si="154">SUM(AN63:AS63)</f>
        <v>569.0</v>
      </c>
      <c r="AV63" s="69">
        <f t="shared" si="6"/>
        <v>625.9</v>
      </c>
      <c r="AW63" s="47">
        <f t="shared" ref="AW63:AW67" si="155">AV63*$AW$4/$AV$4</f>
        <v>66.1627906976744</v>
      </c>
      <c r="AX63" s="47">
        <f t="shared" ref="AX63:AX67" si="156">AV63*$AX$4/$AV$4</f>
        <v>71.252236135957</v>
      </c>
      <c r="AY63" s="47">
        <f t="shared" ref="AY63:AY67" si="157">AV63*$AY$4/$AV$4</f>
        <v>98.7352415026833</v>
      </c>
      <c r="AZ63" s="47">
        <f t="shared" ref="AZ63:AZ67" si="158">AV63*$AZ$4/$AV$4</f>
        <v>46.8228980322003</v>
      </c>
      <c r="BA63" s="47">
        <f t="shared" ref="BA63:BA67" si="159">AV63*$BA$4/$AV$4</f>
        <v>91.6100178890877</v>
      </c>
      <c r="BB63" s="47">
        <f t="shared" ref="BB63:BB67" si="160">AV63*$BB$4/$AV$4</f>
        <v>74.3059033989267</v>
      </c>
      <c r="BC63" s="64">
        <f t="shared" si="13"/>
        <v>448.889087656529</v>
      </c>
      <c r="BD63" s="69">
        <f>VLOOKUP(D63,FEB23SOH,3,false)</f>
        <v>476.0</v>
      </c>
      <c r="BE63" s="201">
        <f>VLOOKUP(D63,VALUEFEB23,4,false)</f>
        <v>4.1815</v>
      </c>
      <c r="BF63" s="215">
        <f t="shared" si="16"/>
        <v>1990.394</v>
      </c>
      <c r="BI63" s="193">
        <f t="shared" si="108"/>
        <v>27.110912343471</v>
      </c>
      <c r="BJ63" s="217">
        <v>504.0</v>
      </c>
      <c r="BL63" s="103"/>
      <c r="BM63" s="95">
        <f t="shared" si="110"/>
        <v>476.0</v>
      </c>
      <c r="BN63" s="65">
        <f t="shared" si="111"/>
        <v>66.1627906976744</v>
      </c>
      <c r="BO63" s="65">
        <f t="shared" si="21"/>
      </c>
      <c r="BP63" s="65">
        <f t="shared" si="112"/>
        <v>409.837209302326</v>
      </c>
      <c r="BQ63" s="194">
        <f t="shared" si="68"/>
        <v>1713.73429069768</v>
      </c>
      <c r="BR63" s="65">
        <f t="shared" si="113"/>
        <v>71.252236135957</v>
      </c>
      <c r="BS63" s="65">
        <f t="shared" si="25"/>
      </c>
      <c r="BT63" s="65">
        <f t="shared" si="114"/>
        <v>338.584973166369</v>
      </c>
      <c r="BU63" s="194">
        <f t="shared" si="71"/>
        <v>1415.79306529517</v>
      </c>
      <c r="BV63" s="65">
        <f t="shared" si="115"/>
        <v>98.7352415026833</v>
      </c>
      <c r="BW63" s="65">
        <f t="shared" si="73"/>
      </c>
      <c r="BX63" s="65">
        <f t="shared" si="116"/>
        <v>239.849731663686</v>
      </c>
      <c r="BY63" s="194">
        <f t="shared" si="75"/>
        <v>1002.9316529517</v>
      </c>
      <c r="BZ63" s="65">
        <f t="shared" si="117"/>
        <v>46.8228980322003</v>
      </c>
      <c r="CA63" s="65"/>
      <c r="CB63" s="65">
        <f t="shared" si="118"/>
        <v>193.026833631486</v>
      </c>
      <c r="CC63" s="194">
        <f t="shared" si="78"/>
        <v>807.141704830059</v>
      </c>
      <c r="CD63" s="65">
        <f t="shared" si="119"/>
        <v>91.6100178890877</v>
      </c>
      <c r="CE63" s="65"/>
      <c r="CF63" s="65">
        <f t="shared" si="120"/>
        <v>101.416815742398</v>
      </c>
      <c r="CG63" s="194">
        <f t="shared" si="81"/>
        <v>424.074415026837</v>
      </c>
      <c r="CH63" s="65">
        <f t="shared" si="121"/>
        <v>74.3059033989267</v>
      </c>
      <c r="CI63" s="65"/>
      <c r="CJ63" s="65">
        <f t="shared" si="122"/>
        <v>27.1109123434713</v>
      </c>
      <c r="CK63" s="194">
        <f t="shared" si="84"/>
        <v>424.074415026837</v>
      </c>
    </row>
    <row r="64" ht="14.0" customFormat="1" s="47">
      <c r="A64" s="93" t="s">
        <v>179</v>
      </c>
      <c r="B64" s="93" t="s">
        <v>278</v>
      </c>
      <c r="C64" s="93" t="s">
        <v>297</v>
      </c>
      <c r="D64" s="229" t="s">
        <v>298</v>
      </c>
      <c r="E64" s="93">
        <v>0.0</v>
      </c>
      <c r="F64" s="93">
        <v>0.0</v>
      </c>
      <c r="G64" s="93">
        <v>0.0</v>
      </c>
      <c r="H64" s="93">
        <v>0.0</v>
      </c>
      <c r="I64" s="93">
        <v>0.0</v>
      </c>
      <c r="J64" s="93">
        <v>0.0</v>
      </c>
      <c r="K64" s="93">
        <v>0.0</v>
      </c>
      <c r="L64" s="93">
        <v>0.0</v>
      </c>
      <c r="M64" s="93">
        <v>0.0</v>
      </c>
      <c r="N64" s="93">
        <v>0.0</v>
      </c>
      <c r="O64" s="93">
        <v>0.0</v>
      </c>
      <c r="P64" s="93">
        <v>0.0</v>
      </c>
      <c r="Q64" s="93">
        <v>0.0</v>
      </c>
      <c r="R64" s="93">
        <v>0.0</v>
      </c>
      <c r="S64" s="93">
        <v>0.0</v>
      </c>
      <c r="T64" s="93">
        <v>0.0</v>
      </c>
      <c r="U64" s="93">
        <v>0.0</v>
      </c>
      <c r="V64" s="93">
        <v>0.0</v>
      </c>
      <c r="W64" s="93">
        <v>0.0</v>
      </c>
      <c r="X64" s="93">
        <v>0.0</v>
      </c>
      <c r="Y64" s="93">
        <v>0.0</v>
      </c>
      <c r="Z64" s="93">
        <v>0.0</v>
      </c>
      <c r="AA64" s="93">
        <v>0.0</v>
      </c>
      <c r="AB64" s="93">
        <v>0.0</v>
      </c>
      <c r="AC64" s="93">
        <v>0.0</v>
      </c>
      <c r="AD64" s="93">
        <v>0.0</v>
      </c>
      <c r="AE64" s="93">
        <v>0.0</v>
      </c>
      <c r="AF64" s="93">
        <v>0.0</v>
      </c>
      <c r="AG64" s="93">
        <v>0.0</v>
      </c>
      <c r="AH64" s="93">
        <v>0.0</v>
      </c>
      <c r="AI64" s="93">
        <v>114.0</v>
      </c>
      <c r="AJ64" s="93">
        <v>111.0</v>
      </c>
      <c r="AK64" s="93">
        <v>50.0</v>
      </c>
      <c r="AL64" s="93">
        <v>40.0</v>
      </c>
      <c r="AM64" s="93">
        <v>44.0</v>
      </c>
      <c r="AN64" s="230">
        <v>60.0</v>
      </c>
      <c r="AO64" s="230">
        <v>68.0</v>
      </c>
      <c r="AP64" s="230">
        <v>40.0</v>
      </c>
      <c r="AQ64" s="231">
        <v>16.0</v>
      </c>
      <c r="AR64" s="231">
        <v>37.0</v>
      </c>
      <c r="AS64" s="231">
        <v>15.0</v>
      </c>
      <c r="AT64" s="69">
        <f t="shared" si="4"/>
        <v>595.0</v>
      </c>
      <c r="AU64" s="69">
        <f t="shared" si="154"/>
        <v>236.0</v>
      </c>
      <c r="AV64" s="69">
        <f t="shared" si="6"/>
        <v>259.6</v>
      </c>
      <c r="AW64" s="47">
        <f t="shared" si="155"/>
        <v>27.4418604651162</v>
      </c>
      <c r="AX64" s="47">
        <f t="shared" si="156"/>
        <v>29.5527728085868</v>
      </c>
      <c r="AY64" s="47">
        <f t="shared" si="157"/>
        <v>40.9516994633273</v>
      </c>
      <c r="AZ64" s="47">
        <f t="shared" si="158"/>
        <v>19.4203935599284</v>
      </c>
      <c r="BA64" s="47">
        <f t="shared" si="159"/>
        <v>37.9964221824687</v>
      </c>
      <c r="BB64" s="47">
        <f t="shared" si="160"/>
        <v>30.819320214669</v>
      </c>
      <c r="BC64" s="64">
        <f t="shared" si="13"/>
        <v>186.182468694096</v>
      </c>
      <c r="BD64" s="69">
        <f>VLOOKUP(D64,FEB23SOH,3,false)</f>
        <v>395.0</v>
      </c>
      <c r="BE64" s="201">
        <f>VLOOKUP(D64,VALUEFEB23,4,false)</f>
        <v>4.1819</v>
      </c>
      <c r="BF64" s="215">
        <f t="shared" si="16"/>
        <v>1651.8505</v>
      </c>
      <c r="BG64" s="64"/>
      <c r="BH64" s="64"/>
      <c r="BI64" s="193">
        <f t="shared" si="108"/>
        <v>208.817531305904</v>
      </c>
      <c r="BJ64" s="217">
        <v>504.0</v>
      </c>
      <c r="BL64" s="103"/>
      <c r="BM64" s="95">
        <f t="shared" si="110"/>
        <v>395.0</v>
      </c>
      <c r="BN64" s="65">
        <f t="shared" si="111"/>
        <v>27.4418604651162</v>
      </c>
      <c r="BO64" s="65">
        <f t="shared" si="21"/>
      </c>
      <c r="BP64" s="65">
        <f t="shared" si="112"/>
        <v>367.558139534883</v>
      </c>
      <c r="BQ64" s="194">
        <f t="shared" si="68"/>
        <v>1537.09138372092</v>
      </c>
      <c r="BR64" s="65">
        <f t="shared" si="113"/>
        <v>29.5527728085868</v>
      </c>
      <c r="BS64" s="65">
        <f t="shared" si="25"/>
      </c>
      <c r="BT64" s="65">
        <f t="shared" si="114"/>
        <v>338.005366726296</v>
      </c>
      <c r="BU64" s="194">
        <f t="shared" si="71"/>
        <v>1413.5046431127</v>
      </c>
      <c r="BV64" s="65">
        <f t="shared" si="115"/>
        <v>40.9516994633273</v>
      </c>
      <c r="BW64" s="65">
        <f t="shared" si="73"/>
      </c>
      <c r="BX64" s="65">
        <f t="shared" si="116"/>
        <v>297.05366726297</v>
      </c>
      <c r="BY64" s="194">
        <f t="shared" si="75"/>
        <v>1242.24873112701</v>
      </c>
      <c r="BZ64" s="65">
        <f t="shared" si="117"/>
        <v>19.4203935599284</v>
      </c>
      <c r="CA64" s="65"/>
      <c r="CB64" s="65">
        <f t="shared" si="118"/>
        <v>277.633273703041</v>
      </c>
      <c r="CC64" s="194">
        <f t="shared" si="78"/>
        <v>1161.03458729874</v>
      </c>
      <c r="CD64" s="65">
        <f t="shared" si="119"/>
        <v>37.9964221824687</v>
      </c>
      <c r="CE64" s="65"/>
      <c r="CF64" s="65">
        <f t="shared" si="120"/>
        <v>239.636851520572</v>
      </c>
      <c r="CG64" s="194">
        <f t="shared" si="81"/>
        <v>1002.13734937388</v>
      </c>
      <c r="CH64" s="65">
        <f t="shared" si="121"/>
        <v>30.819320214669</v>
      </c>
      <c r="CI64" s="65"/>
      <c r="CJ64" s="65">
        <f t="shared" si="122"/>
        <v>208.817531305903</v>
      </c>
      <c r="CK64" s="194">
        <f t="shared" si="84"/>
        <v>1002.13734937388</v>
      </c>
    </row>
    <row r="65" ht="14.0" customFormat="1" s="47">
      <c r="A65" s="93" t="s">
        <v>179</v>
      </c>
      <c r="B65" s="93" t="s">
        <v>278</v>
      </c>
      <c r="C65" s="93" t="s">
        <v>299</v>
      </c>
      <c r="D65" s="229" t="s">
        <v>300</v>
      </c>
      <c r="E65" s="93">
        <v>0.0</v>
      </c>
      <c r="F65" s="93">
        <v>0.0</v>
      </c>
      <c r="G65" s="93">
        <v>0.0</v>
      </c>
      <c r="H65" s="93">
        <v>0.0</v>
      </c>
      <c r="I65" s="93">
        <v>0.0</v>
      </c>
      <c r="J65" s="93">
        <v>0.0</v>
      </c>
      <c r="K65" s="93">
        <v>0.0</v>
      </c>
      <c r="L65" s="93">
        <v>0.0</v>
      </c>
      <c r="M65" s="93">
        <v>0.0</v>
      </c>
      <c r="N65" s="93">
        <v>0.0</v>
      </c>
      <c r="O65" s="93">
        <v>0.0</v>
      </c>
      <c r="P65" s="93">
        <v>0.0</v>
      </c>
      <c r="Q65" s="93">
        <v>0.0</v>
      </c>
      <c r="R65" s="93">
        <v>0.0</v>
      </c>
      <c r="S65" s="93">
        <v>0.0</v>
      </c>
      <c r="T65" s="93">
        <v>0.0</v>
      </c>
      <c r="U65" s="93">
        <v>0.0</v>
      </c>
      <c r="V65" s="93">
        <v>0.0</v>
      </c>
      <c r="W65" s="93">
        <v>0.0</v>
      </c>
      <c r="X65" s="93">
        <v>0.0</v>
      </c>
      <c r="Y65" s="93">
        <v>0.0</v>
      </c>
      <c r="Z65" s="93">
        <v>0.0</v>
      </c>
      <c r="AA65" s="93">
        <v>0.0</v>
      </c>
      <c r="AB65" s="93">
        <v>0.0</v>
      </c>
      <c r="AC65" s="93">
        <v>0.0</v>
      </c>
      <c r="AD65" s="93">
        <v>0.0</v>
      </c>
      <c r="AE65" s="93">
        <v>0.0</v>
      </c>
      <c r="AF65" s="93">
        <v>0.0</v>
      </c>
      <c r="AG65" s="93">
        <v>0.0</v>
      </c>
      <c r="AH65" s="93">
        <v>0.0</v>
      </c>
      <c r="AI65" s="93">
        <v>94.0</v>
      </c>
      <c r="AJ65" s="93">
        <v>64.0</v>
      </c>
      <c r="AK65" s="93">
        <v>38.0</v>
      </c>
      <c r="AL65" s="93">
        <v>36.0</v>
      </c>
      <c r="AM65" s="93">
        <v>156.0</v>
      </c>
      <c r="AN65" s="230">
        <v>42.0</v>
      </c>
      <c r="AO65" s="230">
        <v>96.0</v>
      </c>
      <c r="AP65" s="230">
        <v>116.0</v>
      </c>
      <c r="AQ65" s="231">
        <v>98.0</v>
      </c>
      <c r="AR65" s="231">
        <v>100.0</v>
      </c>
      <c r="AS65" s="231">
        <v>127.0</v>
      </c>
      <c r="AT65" s="69">
        <f t="shared" si="4"/>
        <v>967.0</v>
      </c>
      <c r="AU65" s="69">
        <f t="shared" si="154"/>
        <v>579.0</v>
      </c>
      <c r="AV65" s="69">
        <f t="shared" si="6"/>
        <v>636.9</v>
      </c>
      <c r="AW65" s="47">
        <f t="shared" si="155"/>
        <v>67.3255813953488</v>
      </c>
      <c r="AX65" s="47">
        <f t="shared" si="156"/>
        <v>72.5044722719141</v>
      </c>
      <c r="AY65" s="47">
        <f t="shared" si="157"/>
        <v>100.470483005367</v>
      </c>
      <c r="AZ65" s="47">
        <f t="shared" si="158"/>
        <v>47.6457960644007</v>
      </c>
      <c r="BA65" s="47">
        <f t="shared" si="159"/>
        <v>93.2200357781753</v>
      </c>
      <c r="BB65" s="47">
        <f t="shared" si="160"/>
        <v>75.6118067978533</v>
      </c>
      <c r="BC65" s="64">
        <f t="shared" si="13"/>
        <v>456.778175313059</v>
      </c>
      <c r="BD65" s="69">
        <f>VLOOKUP(D65,FEB23SOH,3,false)</f>
        <v>48.0</v>
      </c>
      <c r="BE65" s="201">
        <f>VLOOKUP(D65,VALUEFEB23,4,false)</f>
        <v>4.1791</v>
      </c>
      <c r="BF65" s="215">
        <f t="shared" si="16"/>
        <v>200.5968</v>
      </c>
      <c r="BG65" s="64"/>
      <c r="BH65" s="64"/>
      <c r="BI65" s="193">
        <f t="shared" si="108"/>
        <v>-408.778175313059</v>
      </c>
      <c r="BJ65" s="217">
        <v>504.0</v>
      </c>
      <c r="BK65" s="185">
        <f>BJ65</f>
        <v>504.0</v>
      </c>
      <c r="BL65" s="103" t="s">
        <v>518</v>
      </c>
      <c r="BM65" s="95">
        <f t="shared" si="110"/>
        <v>48.0</v>
      </c>
      <c r="BN65" s="65">
        <f t="shared" si="111"/>
        <v>67.3255813953488</v>
      </c>
      <c r="BO65" s="65">
        <f t="shared" si="21"/>
      </c>
      <c r="BP65" s="65">
        <f t="shared" si="112"/>
        <v>-19.3255813953488</v>
      </c>
      <c r="BQ65" s="194">
        <f t="shared" si="68"/>
        <v>-80.7635372093021</v>
      </c>
      <c r="BR65" s="65">
        <f t="shared" si="113"/>
        <v>72.5044722719141</v>
      </c>
      <c r="BS65" s="65">
        <f t="shared" si="25"/>
      </c>
      <c r="BT65" s="65">
        <f t="shared" si="114"/>
        <v>-91.8300536672627</v>
      </c>
      <c r="BU65" s="194">
        <f t="shared" si="71"/>
        <v>-383.766977280856</v>
      </c>
      <c r="BV65" s="65">
        <f t="shared" si="115"/>
        <v>100.470483005367</v>
      </c>
      <c r="BW65" s="65">
        <f t="shared" si="73"/>
      </c>
      <c r="BX65" s="65">
        <f t="shared" si="116"/>
        <v>-192.300536672628</v>
      </c>
      <c r="BY65" s="194">
        <f t="shared" si="75"/>
        <v>-803.643172808578</v>
      </c>
      <c r="BZ65" s="65">
        <f t="shared" si="117"/>
        <v>47.6457960644007</v>
      </c>
      <c r="CA65" s="65"/>
      <c r="CB65" s="65">
        <f t="shared" si="118"/>
        <v>-239.946332737027</v>
      </c>
      <c r="CC65" s="194">
        <f t="shared" si="78"/>
        <v>-1002.7597191413</v>
      </c>
      <c r="CD65" s="65">
        <f t="shared" si="119"/>
        <v>93.2200357781753</v>
      </c>
      <c r="CE65" s="65"/>
      <c r="CF65" s="65">
        <f t="shared" si="120"/>
        <v>-333.166368515202</v>
      </c>
      <c r="CG65" s="194">
        <f t="shared" si="81"/>
        <v>-1392.33557066188</v>
      </c>
      <c r="CH65" s="65">
        <f t="shared" si="121"/>
        <v>75.6118067978533</v>
      </c>
      <c r="CI65" s="65"/>
      <c r="CJ65" s="65">
        <f t="shared" si="122"/>
        <v>-408.778175313055</v>
      </c>
      <c r="CK65" s="194">
        <f t="shared" si="84"/>
        <v>-1392.33557066188</v>
      </c>
    </row>
    <row r="66" ht="14.0">
      <c r="A66" s="93" t="s">
        <v>179</v>
      </c>
      <c r="B66" s="93" t="s">
        <v>278</v>
      </c>
      <c r="C66" s="93" t="s">
        <v>301</v>
      </c>
      <c r="D66" s="229" t="s">
        <v>302</v>
      </c>
      <c r="E66" s="93">
        <v>0.0</v>
      </c>
      <c r="F66" s="93">
        <v>0.0</v>
      </c>
      <c r="G66" s="93">
        <v>0.0</v>
      </c>
      <c r="H66" s="93">
        <v>0.0</v>
      </c>
      <c r="I66" s="93">
        <v>0.0</v>
      </c>
      <c r="J66" s="93">
        <v>0.0</v>
      </c>
      <c r="K66" s="93">
        <v>0.0</v>
      </c>
      <c r="L66" s="93">
        <v>0.0</v>
      </c>
      <c r="M66" s="93">
        <v>0.0</v>
      </c>
      <c r="N66" s="93">
        <v>0.0</v>
      </c>
      <c r="O66" s="93">
        <v>0.0</v>
      </c>
      <c r="P66" s="93">
        <v>0.0</v>
      </c>
      <c r="Q66" s="93">
        <v>0.0</v>
      </c>
      <c r="R66" s="93">
        <v>0.0</v>
      </c>
      <c r="S66" s="93">
        <v>0.0</v>
      </c>
      <c r="T66" s="93">
        <v>0.0</v>
      </c>
      <c r="U66" s="93">
        <v>0.0</v>
      </c>
      <c r="V66" s="93">
        <v>0.0</v>
      </c>
      <c r="W66" s="93">
        <v>0.0</v>
      </c>
      <c r="X66" s="93">
        <v>0.0</v>
      </c>
      <c r="Y66" s="93">
        <v>0.0</v>
      </c>
      <c r="Z66" s="93">
        <v>0.0</v>
      </c>
      <c r="AA66" s="93">
        <v>0.0</v>
      </c>
      <c r="AB66" s="93">
        <v>0.0</v>
      </c>
      <c r="AC66" s="93">
        <v>0.0</v>
      </c>
      <c r="AD66" s="93">
        <v>0.0</v>
      </c>
      <c r="AE66" s="93">
        <v>0.0</v>
      </c>
      <c r="AF66" s="93">
        <v>0.0</v>
      </c>
      <c r="AG66" s="93">
        <v>0.0</v>
      </c>
      <c r="AH66" s="93">
        <v>0.0</v>
      </c>
      <c r="AI66" s="93">
        <v>80.0</v>
      </c>
      <c r="AJ66" s="93">
        <v>36.0</v>
      </c>
      <c r="AK66" s="93">
        <v>28.0</v>
      </c>
      <c r="AL66" s="93">
        <v>28.0</v>
      </c>
      <c r="AM66" s="93">
        <v>40.0</v>
      </c>
      <c r="AN66" s="230">
        <v>32.0</v>
      </c>
      <c r="AO66" s="230">
        <v>60.0</v>
      </c>
      <c r="AP66" s="230">
        <v>76.0</v>
      </c>
      <c r="AQ66" s="231">
        <v>60.0</v>
      </c>
      <c r="AR66" s="231">
        <v>28.0</v>
      </c>
      <c r="AS66" s="231">
        <v>44.0</v>
      </c>
      <c r="AT66" s="69">
        <f t="shared" si="4"/>
        <v>512.0</v>
      </c>
      <c r="AU66" s="69">
        <f t="shared" si="154"/>
        <v>300.0</v>
      </c>
      <c r="AV66" s="69">
        <f t="shared" si="6"/>
        <v>330.0</v>
      </c>
      <c r="AW66" s="47">
        <f t="shared" si="155"/>
        <v>34.8837209302326</v>
      </c>
      <c r="AX66" s="47">
        <f t="shared" si="156"/>
        <v>37.567084078712</v>
      </c>
      <c r="AY66" s="47">
        <f t="shared" si="157"/>
        <v>52.0572450805009</v>
      </c>
      <c r="AZ66" s="47">
        <f t="shared" si="158"/>
        <v>24.6869409660107</v>
      </c>
      <c r="BA66" s="47">
        <f t="shared" si="159"/>
        <v>48.3005366726297</v>
      </c>
      <c r="BB66" s="47">
        <f t="shared" si="160"/>
        <v>39.1771019677996</v>
      </c>
      <c r="BC66" s="64">
        <f t="shared" si="13"/>
        <v>236.672629695886</v>
      </c>
      <c r="BD66" s="69">
        <f>VLOOKUP(D66,FEB23SOH,3,false)</f>
        <v>484.0</v>
      </c>
      <c r="BE66" s="201">
        <f>VLOOKUP(D66,VALUEFEB23,4,false)</f>
        <v>4.182</v>
      </c>
      <c r="BF66" s="215">
        <f t="shared" si="16"/>
        <v>2024.088</v>
      </c>
      <c r="BI66" s="193">
        <f t="shared" si="108"/>
        <v>247.327370304114</v>
      </c>
      <c r="BJ66" s="217">
        <v>504.0</v>
      </c>
      <c r="BL66" s="103"/>
      <c r="BM66" s="95">
        <f t="shared" si="110"/>
        <v>484.0</v>
      </c>
      <c r="BN66" s="65">
        <f t="shared" si="111"/>
        <v>34.8837209302326</v>
      </c>
      <c r="BO66" s="65">
        <f t="shared" si="21"/>
      </c>
      <c r="BP66" s="65">
        <f t="shared" si="112"/>
        <v>449.116279069767</v>
      </c>
      <c r="BQ66" s="194">
        <f t="shared" si="68"/>
        <v>1878.20427906977</v>
      </c>
      <c r="BR66" s="65">
        <f t="shared" si="113"/>
        <v>37.567084078712</v>
      </c>
      <c r="BS66" s="65">
        <f t="shared" si="25"/>
      </c>
      <c r="BT66" s="65">
        <f t="shared" si="114"/>
        <v>411.549194991055</v>
      </c>
      <c r="BU66" s="194">
        <f t="shared" si="71"/>
        <v>1721.09873345259</v>
      </c>
      <c r="BV66" s="65">
        <f t="shared" si="115"/>
        <v>52.0572450805009</v>
      </c>
      <c r="BW66" s="65">
        <f t="shared" si="73"/>
      </c>
      <c r="BX66" s="65">
        <f t="shared" si="116"/>
        <v>359.491949910554</v>
      </c>
      <c r="BY66" s="194">
        <f t="shared" si="75"/>
        <v>1503.39533452593</v>
      </c>
      <c r="BZ66" s="65">
        <f t="shared" si="117"/>
        <v>24.6869409660107</v>
      </c>
      <c r="CA66" s="65"/>
      <c r="CB66" s="65">
        <f t="shared" si="118"/>
        <v>334.805008944543</v>
      </c>
      <c r="CC66" s="194">
        <f t="shared" si="78"/>
        <v>1400.15454740608</v>
      </c>
      <c r="CD66" s="65">
        <f t="shared" si="119"/>
        <v>48.3005366726297</v>
      </c>
      <c r="CE66" s="65"/>
      <c r="CF66" s="65">
        <f t="shared" si="120"/>
        <v>286.504472271913</v>
      </c>
      <c r="CG66" s="194">
        <f t="shared" si="81"/>
        <v>1198.16170304114</v>
      </c>
      <c r="CH66" s="65">
        <f t="shared" si="121"/>
        <v>39.1771019677996</v>
      </c>
      <c r="CI66" s="65"/>
      <c r="CJ66" s="65">
        <f t="shared" si="122"/>
        <v>247.327370304113</v>
      </c>
      <c r="CK66" s="194">
        <f t="shared" si="84"/>
        <v>1198.16170304114</v>
      </c>
    </row>
    <row r="67" ht="14.0" customFormat="1" s="47">
      <c r="A67" s="93" t="s">
        <v>179</v>
      </c>
      <c r="B67" s="93" t="s">
        <v>278</v>
      </c>
      <c r="C67" s="93" t="s">
        <v>303</v>
      </c>
      <c r="D67" s="229" t="s">
        <v>304</v>
      </c>
      <c r="E67" s="93">
        <v>0.0</v>
      </c>
      <c r="F67" s="93">
        <v>0.0</v>
      </c>
      <c r="G67" s="93">
        <v>0.0</v>
      </c>
      <c r="H67" s="93">
        <v>0.0</v>
      </c>
      <c r="I67" s="93">
        <v>0.0</v>
      </c>
      <c r="J67" s="93">
        <v>0.0</v>
      </c>
      <c r="K67" s="93">
        <v>0.0</v>
      </c>
      <c r="L67" s="93">
        <v>0.0</v>
      </c>
      <c r="M67" s="93">
        <v>0.0</v>
      </c>
      <c r="N67" s="93">
        <v>0.0</v>
      </c>
      <c r="O67" s="93">
        <v>0.0</v>
      </c>
      <c r="P67" s="93">
        <v>0.0</v>
      </c>
      <c r="Q67" s="93">
        <v>0.0</v>
      </c>
      <c r="R67" s="93">
        <v>0.0</v>
      </c>
      <c r="S67" s="93">
        <v>0.0</v>
      </c>
      <c r="T67" s="93">
        <v>0.0</v>
      </c>
      <c r="U67" s="93">
        <v>0.0</v>
      </c>
      <c r="V67" s="93">
        <v>0.0</v>
      </c>
      <c r="W67" s="93">
        <v>0.0</v>
      </c>
      <c r="X67" s="93">
        <v>0.0</v>
      </c>
      <c r="Y67" s="93">
        <v>0.0</v>
      </c>
      <c r="Z67" s="93">
        <v>0.0</v>
      </c>
      <c r="AA67" s="93">
        <v>0.0</v>
      </c>
      <c r="AB67" s="93">
        <v>0.0</v>
      </c>
      <c r="AC67" s="93">
        <v>0.0</v>
      </c>
      <c r="AD67" s="93">
        <v>0.0</v>
      </c>
      <c r="AE67" s="93">
        <v>0.0</v>
      </c>
      <c r="AF67" s="93">
        <v>0.0</v>
      </c>
      <c r="AG67" s="93">
        <v>0.0</v>
      </c>
      <c r="AH67" s="93">
        <v>0.0</v>
      </c>
      <c r="AI67" s="93">
        <v>76.0</v>
      </c>
      <c r="AJ67" s="93">
        <v>44.0</v>
      </c>
      <c r="AK67" s="93">
        <v>32.0</v>
      </c>
      <c r="AL67" s="93">
        <v>44.0</v>
      </c>
      <c r="AM67" s="93">
        <v>64.0</v>
      </c>
      <c r="AN67" s="230">
        <v>32.0</v>
      </c>
      <c r="AO67" s="230">
        <v>88.0</v>
      </c>
      <c r="AP67" s="230">
        <v>88.0</v>
      </c>
      <c r="AQ67" s="231">
        <v>38.0</v>
      </c>
      <c r="AR67" s="231">
        <v>112.0</v>
      </c>
      <c r="AS67" s="231">
        <v>131.0</v>
      </c>
      <c r="AT67" s="69">
        <f t="shared" si="4"/>
        <v>749.0</v>
      </c>
      <c r="AU67" s="69">
        <f t="shared" si="154"/>
        <v>489.0</v>
      </c>
      <c r="AV67" s="69">
        <f t="shared" si="6"/>
        <v>537.9</v>
      </c>
      <c r="AW67" s="47">
        <f t="shared" si="155"/>
        <v>56.860465116279</v>
      </c>
      <c r="AX67" s="47">
        <f t="shared" si="156"/>
        <v>61.2343470483005</v>
      </c>
      <c r="AY67" s="47">
        <f t="shared" si="157"/>
        <v>84.8533094812164</v>
      </c>
      <c r="AZ67" s="47">
        <f t="shared" si="158"/>
        <v>40.2397137745975</v>
      </c>
      <c r="BA67" s="47">
        <f t="shared" si="159"/>
        <v>78.7298747763864</v>
      </c>
      <c r="BB67" s="47">
        <f t="shared" si="160"/>
        <v>63.8586762075134</v>
      </c>
      <c r="BC67" s="64">
        <f t="shared" si="13"/>
        <v>385.776386404293</v>
      </c>
      <c r="BD67" s="69">
        <f>VLOOKUP(D67,FEB23SOH,3,false)</f>
        <v>278.0</v>
      </c>
      <c r="BE67" s="201">
        <f>VLOOKUP(D67,VALUEFEB23,4,false)</f>
        <v>4.1816</v>
      </c>
      <c r="BF67" s="215">
        <f t="shared" si="16"/>
        <v>1162.4848</v>
      </c>
      <c r="BG67" s="64"/>
      <c r="BH67" s="64"/>
      <c r="BI67" s="193">
        <f t="shared" si="108"/>
        <v>-107.776386404293</v>
      </c>
      <c r="BJ67" s="217">
        <v>504.0</v>
      </c>
      <c r="BK67" s="185">
        <f>BJ67</f>
        <v>504.0</v>
      </c>
      <c r="BL67" s="103" t="s">
        <v>5</v>
      </c>
      <c r="BM67" s="95">
        <f t="shared" si="110"/>
        <v>278.0</v>
      </c>
      <c r="BN67" s="65">
        <f t="shared" si="111"/>
        <v>56.860465116279</v>
      </c>
      <c r="BO67" s="65">
        <f t="shared" si="21"/>
      </c>
      <c r="BP67" s="65">
        <f t="shared" si="112"/>
        <v>221.139534883721</v>
      </c>
      <c r="BQ67" s="194">
        <f t="shared" si="68"/>
        <v>924.717079069768</v>
      </c>
      <c r="BR67" s="65">
        <f t="shared" si="113"/>
        <v>61.2343470483005</v>
      </c>
      <c r="BS67" s="65">
        <f t="shared" si="25"/>
      </c>
      <c r="BT67" s="65">
        <f t="shared" si="114"/>
        <v>159.90518783542</v>
      </c>
      <c r="BU67" s="194">
        <f t="shared" si="71"/>
        <v>668.659533452592</v>
      </c>
      <c r="BV67" s="65">
        <f t="shared" si="115"/>
        <v>84.8533094812164</v>
      </c>
      <c r="BW67" s="65">
        <f t="shared" si="73"/>
      </c>
      <c r="BX67" s="65">
        <f t="shared" si="116"/>
        <v>75.0518783542036</v>
      </c>
      <c r="BY67" s="194">
        <f t="shared" si="75"/>
        <v>313.83693452593</v>
      </c>
      <c r="BZ67" s="65">
        <f t="shared" si="117"/>
        <v>40.2397137745975</v>
      </c>
      <c r="CA67" s="65"/>
      <c r="CB67" s="65">
        <f t="shared" si="118"/>
        <v>34.8121645796061</v>
      </c>
      <c r="CC67" s="194">
        <f t="shared" si="78"/>
        <v>145.57054740608</v>
      </c>
      <c r="CD67" s="65">
        <f t="shared" si="119"/>
        <v>78.7298747763864</v>
      </c>
      <c r="CE67" s="65"/>
      <c r="CF67" s="65">
        <f t="shared" si="120"/>
        <v>-43.9177101967803</v>
      </c>
      <c r="CG67" s="194">
        <f t="shared" si="81"/>
        <v>-183.646296958855</v>
      </c>
      <c r="CH67" s="65">
        <f t="shared" si="121"/>
        <v>63.8586762075134</v>
      </c>
      <c r="CI67" s="65"/>
      <c r="CJ67" s="65">
        <f t="shared" si="122"/>
        <v>-107.776386404293</v>
      </c>
      <c r="CK67" s="194">
        <f t="shared" si="84"/>
        <v>-183.646296958855</v>
      </c>
    </row>
    <row r="68" ht="14.0" customFormat="1" s="47">
      <c r="A68" s="47" t="s">
        <v>569</v>
      </c>
      <c r="B68" s="47" t="s">
        <v>278</v>
      </c>
      <c r="C68" s="47" t="s">
        <v>580</v>
      </c>
      <c r="D68" s="185" t="s">
        <v>581</v>
      </c>
      <c r="E68" s="47">
        <v>0.0</v>
      </c>
      <c r="F68" s="47">
        <v>0.0</v>
      </c>
      <c r="G68" s="47">
        <v>0.0</v>
      </c>
      <c r="H68" s="47">
        <v>0.0</v>
      </c>
      <c r="I68" s="47">
        <v>0.0</v>
      </c>
      <c r="J68" s="47">
        <v>0.0</v>
      </c>
      <c r="K68" s="47">
        <v>0.0</v>
      </c>
      <c r="L68" s="47">
        <v>0.0</v>
      </c>
      <c r="M68" s="47">
        <v>0.0</v>
      </c>
      <c r="N68" s="47">
        <v>0.0</v>
      </c>
      <c r="O68" s="47">
        <v>0.0</v>
      </c>
      <c r="P68" s="47">
        <v>0.0</v>
      </c>
      <c r="Q68" s="47">
        <v>0.0</v>
      </c>
      <c r="R68" s="47">
        <v>0.0</v>
      </c>
      <c r="S68" s="47">
        <v>0.0</v>
      </c>
      <c r="T68" s="47">
        <v>0.0</v>
      </c>
      <c r="U68" s="47">
        <v>0.0</v>
      </c>
      <c r="V68" s="47">
        <v>0.0</v>
      </c>
      <c r="W68" s="47">
        <v>0.0</v>
      </c>
      <c r="X68" s="47">
        <v>0.0</v>
      </c>
      <c r="Y68" s="47">
        <v>0.0</v>
      </c>
      <c r="Z68" s="47">
        <v>0.0</v>
      </c>
      <c r="AA68" s="47">
        <v>0.0</v>
      </c>
      <c r="AB68" s="47">
        <v>0.0</v>
      </c>
      <c r="AC68" s="47">
        <v>0.0</v>
      </c>
      <c r="AD68" s="47">
        <v>0.0</v>
      </c>
      <c r="AE68" s="47">
        <v>0.0</v>
      </c>
      <c r="AF68" s="47">
        <v>0.0</v>
      </c>
      <c r="AG68" s="47">
        <v>0.0</v>
      </c>
      <c r="AH68" s="47">
        <v>0.0</v>
      </c>
      <c r="AI68" s="47">
        <v>0.0</v>
      </c>
      <c r="AJ68" s="47">
        <v>0.0</v>
      </c>
      <c r="AK68" s="47">
        <v>0.0</v>
      </c>
      <c r="AL68" s="47">
        <v>0.0</v>
      </c>
      <c r="AM68" s="47">
        <v>0.0</v>
      </c>
      <c r="AN68" s="237">
        <v>44.0</v>
      </c>
      <c r="AO68" s="237">
        <v>48.0</v>
      </c>
      <c r="AP68" s="237">
        <v>36.0</v>
      </c>
      <c r="AQ68" s="231">
        <v>12.0</v>
      </c>
      <c r="AR68" s="231">
        <v>24.0</v>
      </c>
      <c r="AS68" s="231">
        <v>24.0</v>
      </c>
      <c r="AT68" s="69">
        <f t="shared" si="4"/>
        <v>188.0</v>
      </c>
      <c r="AU68" s="69">
        <f t="shared" si="154"/>
        <v>188.0</v>
      </c>
      <c r="AV68" s="69">
        <f t="shared" si="6"/>
        <v>206.8</v>
      </c>
      <c r="AW68" s="65">
        <f>AVERAGE(AN68:AP68)*1.1</f>
        <v>46.9333333333333</v>
      </c>
      <c r="AX68" s="65">
        <f>AW68</f>
        <v>46.9333333333333</v>
      </c>
      <c r="AY68" s="65">
        <f>AX68</f>
        <v>46.9333333333333</v>
      </c>
      <c r="AZ68" s="65">
        <f>AY68</f>
        <v>46.9333333333333</v>
      </c>
      <c r="BA68" s="65">
        <f>AZ68</f>
        <v>46.9333333333333</v>
      </c>
      <c r="BB68" s="65">
        <f>BA68</f>
        <v>46.9333333333333</v>
      </c>
      <c r="BC68" s="64">
        <f t="shared" si="13"/>
        <v>281.6</v>
      </c>
      <c r="BD68" s="69">
        <f>VLOOKUP(D68,FEB23SOH,3,false)</f>
        <v>312.0</v>
      </c>
      <c r="BE68" s="201">
        <f>VLOOKUP(D68,VALUEFEB23,4,false)</f>
        <v>4.1818</v>
      </c>
      <c r="BF68" s="215">
        <f t="shared" si="16"/>
        <v>1304.7216</v>
      </c>
      <c r="BG68" s="64"/>
      <c r="BH68" s="64"/>
      <c r="BI68" s="193">
        <f t="shared" si="108"/>
        <v>30.4</v>
      </c>
      <c r="BJ68" s="217">
        <v>504.0</v>
      </c>
      <c r="BL68" s="103"/>
      <c r="BM68" s="95">
        <f t="shared" si="110"/>
        <v>312.0</v>
      </c>
      <c r="BN68" s="65">
        <f t="shared" si="111"/>
        <v>46.9333333333333</v>
      </c>
      <c r="BO68" s="65">
        <f t="shared" si="21"/>
      </c>
      <c r="BP68" s="65">
        <f t="shared" si="112"/>
        <v>265.066666666667</v>
      </c>
      <c r="BQ68" s="194">
        <f t="shared" si="68"/>
        <v>1108.45578666667</v>
      </c>
      <c r="BR68" s="65">
        <f t="shared" si="113"/>
        <v>46.9333333333333</v>
      </c>
      <c r="BS68" s="65">
        <f t="shared" si="25"/>
      </c>
      <c r="BT68" s="65">
        <f t="shared" si="114"/>
        <v>218.133333333333</v>
      </c>
      <c r="BU68" s="194">
        <f t="shared" si="71"/>
        <v>912.189973333332</v>
      </c>
      <c r="BV68" s="65">
        <f t="shared" si="115"/>
        <v>46.9333333333333</v>
      </c>
      <c r="BW68" s="65">
        <f t="shared" si="73"/>
      </c>
      <c r="BX68" s="65">
        <f t="shared" si="116"/>
        <v>171.2</v>
      </c>
      <c r="BY68" s="194">
        <f t="shared" si="75"/>
        <v>715.92416</v>
      </c>
      <c r="BZ68" s="65">
        <f t="shared" si="117"/>
        <v>46.9333333333333</v>
      </c>
      <c r="CA68" s="65"/>
      <c r="CB68" s="65">
        <f t="shared" si="118"/>
        <v>124.26666666667</v>
      </c>
      <c r="CC68" s="194">
        <f t="shared" si="78"/>
        <v>519.65834666668</v>
      </c>
      <c r="CD68" s="65">
        <f t="shared" si="119"/>
        <v>46.9333333333333</v>
      </c>
      <c r="CE68" s="65"/>
      <c r="CF68" s="65">
        <f t="shared" si="120"/>
        <v>77.3333333333367</v>
      </c>
      <c r="CG68" s="194">
        <f t="shared" si="81"/>
        <v>323.392533333347</v>
      </c>
      <c r="CH68" s="65">
        <f t="shared" si="121"/>
        <v>46.9333333333333</v>
      </c>
      <c r="CI68" s="65"/>
      <c r="CJ68" s="65">
        <f t="shared" si="122"/>
        <v>30.4000000000033</v>
      </c>
      <c r="CK68" s="194">
        <f t="shared" si="84"/>
        <v>323.392533333347</v>
      </c>
    </row>
    <row r="69" ht="14.0" customFormat="1" s="47">
      <c r="A69" s="93" t="s">
        <v>179</v>
      </c>
      <c r="B69" s="93" t="s">
        <v>278</v>
      </c>
      <c r="C69" s="93" t="s">
        <v>305</v>
      </c>
      <c r="D69" s="229" t="s">
        <v>306</v>
      </c>
      <c r="E69" s="93">
        <v>0.0</v>
      </c>
      <c r="F69" s="93">
        <v>0.0</v>
      </c>
      <c r="G69" s="93">
        <v>0.0</v>
      </c>
      <c r="H69" s="93">
        <v>0.0</v>
      </c>
      <c r="I69" s="93">
        <v>0.0</v>
      </c>
      <c r="J69" s="93">
        <v>0.0</v>
      </c>
      <c r="K69" s="93">
        <v>0.0</v>
      </c>
      <c r="L69" s="93">
        <v>0.0</v>
      </c>
      <c r="M69" s="93">
        <v>0.0</v>
      </c>
      <c r="N69" s="93">
        <v>0.0</v>
      </c>
      <c r="O69" s="93">
        <v>0.0</v>
      </c>
      <c r="P69" s="93">
        <v>0.0</v>
      </c>
      <c r="Q69" s="93">
        <v>0.0</v>
      </c>
      <c r="R69" s="93">
        <v>0.0</v>
      </c>
      <c r="S69" s="93">
        <v>0.0</v>
      </c>
      <c r="T69" s="93">
        <v>0.0</v>
      </c>
      <c r="U69" s="93">
        <v>0.0</v>
      </c>
      <c r="V69" s="93">
        <v>0.0</v>
      </c>
      <c r="W69" s="93">
        <v>0.0</v>
      </c>
      <c r="X69" s="93">
        <v>0.0</v>
      </c>
      <c r="Y69" s="93">
        <v>0.0</v>
      </c>
      <c r="Z69" s="93">
        <v>0.0</v>
      </c>
      <c r="AA69" s="93">
        <v>0.0</v>
      </c>
      <c r="AB69" s="93">
        <v>0.0</v>
      </c>
      <c r="AC69" s="93">
        <v>21.0</v>
      </c>
      <c r="AD69" s="93">
        <v>156.0</v>
      </c>
      <c r="AE69" s="93">
        <v>60.0</v>
      </c>
      <c r="AF69" s="93">
        <v>27.0</v>
      </c>
      <c r="AG69" s="93">
        <v>29.0</v>
      </c>
      <c r="AH69" s="114">
        <v>27.0</v>
      </c>
      <c r="AI69" s="114">
        <v>24.0</v>
      </c>
      <c r="AJ69" s="114">
        <v>12.0</v>
      </c>
      <c r="AK69" s="114">
        <v>10.0</v>
      </c>
      <c r="AL69" s="114">
        <v>9.0</v>
      </c>
      <c r="AM69" s="114">
        <v>27.0</v>
      </c>
      <c r="AN69" s="93">
        <v>36.0</v>
      </c>
      <c r="AO69" s="93">
        <v>27.0</v>
      </c>
      <c r="AP69" s="93">
        <v>12.0</v>
      </c>
      <c r="AQ69" s="233">
        <v>12.0</v>
      </c>
      <c r="AR69" s="233">
        <v>6.0</v>
      </c>
      <c r="AS69" s="233">
        <v>26.0</v>
      </c>
      <c r="AT69" s="69">
        <f t="shared" si="4"/>
        <v>228.0</v>
      </c>
      <c r="AU69" s="69">
        <f t="shared" ref="AU69:AU72" si="169">SUM(AH69:AM69)</f>
        <v>109.0</v>
      </c>
      <c r="AV69" s="69">
        <f t="shared" si="6"/>
        <v>119.9</v>
      </c>
      <c r="AW69" s="47">
        <f>AV69*$AW$4/$AV$3</f>
        <v>16.0657596371882</v>
      </c>
      <c r="AX69" s="47">
        <f>AV69*$AX$4/$AV$3</f>
        <v>17.3015873015873</v>
      </c>
      <c r="AY69" s="47">
        <f>AV69*$AY$4/$AV$3</f>
        <v>23.9750566893424</v>
      </c>
      <c r="AZ69" s="47">
        <f>AV69*$AZ$4/$AV$3</f>
        <v>11.3696145124717</v>
      </c>
      <c r="BA69" s="47">
        <f>AV69*$BA$4/$AV$3</f>
        <v>22.2448979591837</v>
      </c>
      <c r="BB69" s="47">
        <f>AV69*$BB$4/$AV$3</f>
        <v>18.0430839002268</v>
      </c>
      <c r="BC69" s="64">
        <f t="shared" si="13"/>
        <v>109.0</v>
      </c>
      <c r="BD69" s="69">
        <f>VLOOKUP(D69,FEB23SOH,3,false)</f>
        <v>992.0</v>
      </c>
      <c r="BE69" s="201">
        <f>VLOOKUP(D69,VALUEFEB23,4,false)</f>
        <v>6.9152</v>
      </c>
      <c r="BF69" s="215">
        <f t="shared" si="16"/>
        <v>6859.8784</v>
      </c>
      <c r="BG69" s="64"/>
      <c r="BH69" s="64"/>
      <c r="BI69" s="193">
        <f t="shared" si="108"/>
        <v>883.0</v>
      </c>
      <c r="BJ69" s="217">
        <v>504.0</v>
      </c>
      <c r="BL69" s="103"/>
      <c r="BM69" s="95">
        <f t="shared" si="110"/>
        <v>992.0</v>
      </c>
      <c r="BN69" s="65">
        <f t="shared" si="111"/>
        <v>16.0657596371882</v>
      </c>
      <c r="BO69" s="65">
        <f t="shared" si="21"/>
      </c>
      <c r="BP69" s="65">
        <f t="shared" si="112"/>
        <v>975.934240362811</v>
      </c>
      <c r="BQ69" s="194">
        <f t="shared" si="68"/>
        <v>6748.78045895691</v>
      </c>
      <c r="BR69" s="65">
        <f t="shared" si="113"/>
        <v>17.3015873015873</v>
      </c>
      <c r="BS69" s="65">
        <f t="shared" si="25"/>
      </c>
      <c r="BT69" s="65">
        <f t="shared" si="114"/>
        <v>958.632653061223</v>
      </c>
      <c r="BU69" s="194">
        <f t="shared" si="71"/>
        <v>6629.13652244897</v>
      </c>
      <c r="BV69" s="65">
        <f t="shared" si="115"/>
        <v>23.9750566893424</v>
      </c>
      <c r="BW69" s="65">
        <f t="shared" si="73"/>
      </c>
      <c r="BX69" s="65">
        <f t="shared" si="116"/>
        <v>934.65759637188</v>
      </c>
      <c r="BY69" s="194">
        <f t="shared" si="75"/>
        <v>6463.34421043082</v>
      </c>
      <c r="BZ69" s="65">
        <f t="shared" si="117"/>
        <v>11.3696145124717</v>
      </c>
      <c r="CA69" s="65"/>
      <c r="CB69" s="65">
        <f t="shared" si="118"/>
        <v>923.287981859408</v>
      </c>
      <c r="CC69" s="194">
        <f t="shared" si="78"/>
        <v>6384.72105215418</v>
      </c>
      <c r="CD69" s="65">
        <f t="shared" si="119"/>
        <v>22.2448979591837</v>
      </c>
      <c r="CE69" s="65"/>
      <c r="CF69" s="65">
        <f t="shared" si="120"/>
        <v>901.043083900224</v>
      </c>
      <c r="CG69" s="194">
        <f t="shared" si="81"/>
        <v>6230.89313378682</v>
      </c>
      <c r="CH69" s="65">
        <f t="shared" si="121"/>
        <v>18.0430839002268</v>
      </c>
      <c r="CI69" s="65"/>
      <c r="CJ69" s="65">
        <f t="shared" si="122"/>
        <v>882.999999999997</v>
      </c>
      <c r="CK69" s="194">
        <f t="shared" si="84"/>
        <v>6230.89313378682</v>
      </c>
    </row>
    <row r="70" ht="14.0">
      <c r="A70" s="93" t="s">
        <v>179</v>
      </c>
      <c r="B70" s="93" t="s">
        <v>278</v>
      </c>
      <c r="C70" s="93" t="s">
        <v>307</v>
      </c>
      <c r="D70" s="234" t="s">
        <v>308</v>
      </c>
      <c r="E70" s="93">
        <v>0.0</v>
      </c>
      <c r="F70" s="93">
        <v>0.0</v>
      </c>
      <c r="G70" s="93">
        <v>0.0</v>
      </c>
      <c r="H70" s="93">
        <v>0.0</v>
      </c>
      <c r="I70" s="93">
        <v>0.0</v>
      </c>
      <c r="J70" s="93">
        <v>0.0</v>
      </c>
      <c r="K70" s="93">
        <v>0.0</v>
      </c>
      <c r="L70" s="93">
        <v>0.0</v>
      </c>
      <c r="M70" s="93">
        <v>0.0</v>
      </c>
      <c r="N70" s="93">
        <v>0.0</v>
      </c>
      <c r="O70" s="93">
        <v>0.0</v>
      </c>
      <c r="P70" s="93">
        <v>0.0</v>
      </c>
      <c r="Q70" s="93">
        <v>0.0</v>
      </c>
      <c r="R70" s="93">
        <v>0.0</v>
      </c>
      <c r="S70" s="93">
        <v>0.0</v>
      </c>
      <c r="T70" s="93">
        <v>0.0</v>
      </c>
      <c r="U70" s="93">
        <v>0.0</v>
      </c>
      <c r="V70" s="93">
        <v>0.0</v>
      </c>
      <c r="W70" s="93">
        <v>0.0</v>
      </c>
      <c r="X70" s="93">
        <v>0.0</v>
      </c>
      <c r="Y70" s="93">
        <v>0.0</v>
      </c>
      <c r="Z70" s="93">
        <v>0.0</v>
      </c>
      <c r="AA70" s="93">
        <v>0.0</v>
      </c>
      <c r="AB70" s="93">
        <v>0.0</v>
      </c>
      <c r="AC70" s="93">
        <v>15.0</v>
      </c>
      <c r="AD70" s="93">
        <v>51.0</v>
      </c>
      <c r="AE70" s="93">
        <v>21.0</v>
      </c>
      <c r="AF70" s="93">
        <v>9.0</v>
      </c>
      <c r="AG70" s="93">
        <v>9.0</v>
      </c>
      <c r="AH70" s="114">
        <v>15.0</v>
      </c>
      <c r="AI70" s="114">
        <v>15.0</v>
      </c>
      <c r="AJ70" s="114">
        <v>0.0</v>
      </c>
      <c r="AK70" s="114">
        <v>3.0</v>
      </c>
      <c r="AL70" s="114">
        <v>9.0</v>
      </c>
      <c r="AM70" s="114">
        <v>15.0</v>
      </c>
      <c r="AN70" s="93">
        <v>18.0</v>
      </c>
      <c r="AO70" s="93">
        <v>12.0</v>
      </c>
      <c r="AP70" s="93">
        <v>9.0</v>
      </c>
      <c r="AQ70" s="233">
        <v>9.0</v>
      </c>
      <c r="AR70" s="233">
        <v>3.0</v>
      </c>
      <c r="AS70" s="233">
        <v>15.0</v>
      </c>
      <c r="AT70" s="69">
        <f t="shared" si="4"/>
        <v>123.0</v>
      </c>
      <c r="AU70" s="69">
        <f t="shared" si="169"/>
        <v>57.0</v>
      </c>
      <c r="AV70" s="69">
        <f t="shared" si="6"/>
        <v>62.7</v>
      </c>
      <c r="AW70" s="47">
        <f t="shared" ref="AW70:AW76" si="176">AV70*$AW$4/$AV$4</f>
        <v>6.62790697674419</v>
      </c>
      <c r="AX70" s="47">
        <f t="shared" ref="AX70:AX76" si="177">AV70*$AX$4/$AV$4</f>
        <v>7.13774597495528</v>
      </c>
      <c r="AY70" s="47">
        <f t="shared" ref="AY70:AY76" si="178">AV70*$AY$4/$AV$4</f>
        <v>9.89087656529517</v>
      </c>
      <c r="AZ70" s="47">
        <f t="shared" ref="AZ70:AZ76" si="179">AV70*$AZ$4/$AV$4</f>
        <v>4.69051878354203</v>
      </c>
      <c r="BA70" s="47">
        <f t="shared" ref="BA70:BA76" si="180">AV70*$BA$4/$AV$4</f>
        <v>9.17710196779964</v>
      </c>
      <c r="BB70" s="47">
        <f t="shared" ref="BB70:BB76" si="181">AV70*$BB$4/$AV$4</f>
        <v>7.44364937388193</v>
      </c>
      <c r="BC70" s="64">
        <f t="shared" si="13"/>
        <v>44.9677996422182</v>
      </c>
      <c r="BD70" s="69">
        <f>VLOOKUP(D70,FEB23SOH,3,false)</f>
        <v>276.0</v>
      </c>
      <c r="BE70" s="201">
        <f>VLOOKUP(D70,VALUEFEB23,4,false)</f>
        <v>7.716</v>
      </c>
      <c r="BF70" s="215">
        <f t="shared" si="16"/>
        <v>2129.616</v>
      </c>
      <c r="BI70" s="193">
        <f t="shared" si="108"/>
        <v>231.032200357781</v>
      </c>
      <c r="BJ70" s="217">
        <v>504.0</v>
      </c>
      <c r="BK70" s="99"/>
      <c r="BL70" s="103"/>
      <c r="BM70" s="95">
        <f t="shared" si="110"/>
        <v>276.0</v>
      </c>
      <c r="BN70" s="65">
        <f t="shared" si="111"/>
        <v>6.62790697674419</v>
      </c>
      <c r="BO70" s="65">
        <f t="shared" si="21"/>
      </c>
      <c r="BP70" s="65">
        <f t="shared" si="112"/>
        <v>269.372093023256</v>
      </c>
      <c r="BQ70" s="194">
        <f t="shared" si="68"/>
        <v>2078.47506976744</v>
      </c>
      <c r="BR70" s="65">
        <f t="shared" si="113"/>
        <v>7.13774597495528</v>
      </c>
      <c r="BS70" s="65">
        <f t="shared" si="25"/>
      </c>
      <c r="BT70" s="65">
        <f t="shared" si="114"/>
        <v>262.2343470483</v>
      </c>
      <c r="BU70" s="194">
        <f t="shared" si="71"/>
        <v>2023.40022182468</v>
      </c>
      <c r="BV70" s="65">
        <f t="shared" si="115"/>
        <v>9.89087656529517</v>
      </c>
      <c r="BW70" s="65">
        <f t="shared" si="73"/>
      </c>
      <c r="BX70" s="65">
        <f t="shared" si="116"/>
        <v>252.343470483004</v>
      </c>
      <c r="BY70" s="194">
        <f t="shared" si="75"/>
        <v>1947.08221824686</v>
      </c>
      <c r="BZ70" s="65">
        <f t="shared" si="117"/>
        <v>4.69051878354203</v>
      </c>
      <c r="CA70" s="65"/>
      <c r="CB70" s="65">
        <f t="shared" si="118"/>
        <v>247.652951699462</v>
      </c>
      <c r="CC70" s="194">
        <f t="shared" si="78"/>
        <v>1910.89017531304</v>
      </c>
      <c r="CD70" s="65">
        <f t="shared" si="119"/>
        <v>9.17710196779964</v>
      </c>
      <c r="CE70" s="65"/>
      <c r="CF70" s="65">
        <f t="shared" si="120"/>
        <v>238.475849731662</v>
      </c>
      <c r="CG70" s="194">
        <f t="shared" si="81"/>
        <v>1840.0796565295</v>
      </c>
      <c r="CH70" s="65">
        <f t="shared" si="121"/>
        <v>7.44364937388193</v>
      </c>
      <c r="CI70" s="65"/>
      <c r="CJ70" s="65">
        <f t="shared" si="122"/>
        <v>231.03220035778</v>
      </c>
      <c r="CK70" s="194">
        <f t="shared" si="84"/>
        <v>1840.0796565295</v>
      </c>
    </row>
    <row r="71" ht="14.0">
      <c r="A71" s="93" t="s">
        <v>179</v>
      </c>
      <c r="B71" s="93" t="s">
        <v>278</v>
      </c>
      <c r="C71" s="93" t="s">
        <v>309</v>
      </c>
      <c r="D71" s="234" t="s">
        <v>310</v>
      </c>
      <c r="E71" s="93">
        <v>0.0</v>
      </c>
      <c r="F71" s="93">
        <v>0.0</v>
      </c>
      <c r="G71" s="93">
        <v>0.0</v>
      </c>
      <c r="H71" s="93">
        <v>0.0</v>
      </c>
      <c r="I71" s="93">
        <v>0.0</v>
      </c>
      <c r="J71" s="93">
        <v>0.0</v>
      </c>
      <c r="K71" s="93">
        <v>0.0</v>
      </c>
      <c r="L71" s="93">
        <v>0.0</v>
      </c>
      <c r="M71" s="93">
        <v>0.0</v>
      </c>
      <c r="N71" s="93">
        <v>0.0</v>
      </c>
      <c r="O71" s="93">
        <v>0.0</v>
      </c>
      <c r="P71" s="93">
        <v>0.0</v>
      </c>
      <c r="Q71" s="93">
        <v>0.0</v>
      </c>
      <c r="R71" s="93">
        <v>0.0</v>
      </c>
      <c r="S71" s="93">
        <v>0.0</v>
      </c>
      <c r="T71" s="93">
        <v>0.0</v>
      </c>
      <c r="U71" s="93">
        <v>0.0</v>
      </c>
      <c r="V71" s="93">
        <v>0.0</v>
      </c>
      <c r="W71" s="93">
        <v>0.0</v>
      </c>
      <c r="X71" s="93">
        <v>0.0</v>
      </c>
      <c r="Y71" s="93">
        <v>0.0</v>
      </c>
      <c r="Z71" s="93">
        <v>0.0</v>
      </c>
      <c r="AA71" s="93">
        <v>0.0</v>
      </c>
      <c r="AB71" s="93">
        <v>0.0</v>
      </c>
      <c r="AC71" s="93">
        <v>15.0</v>
      </c>
      <c r="AD71" s="93">
        <v>54.0</v>
      </c>
      <c r="AE71" s="93">
        <v>28.0</v>
      </c>
      <c r="AF71" s="93">
        <v>12.0</v>
      </c>
      <c r="AG71" s="93">
        <v>3.0</v>
      </c>
      <c r="AH71" s="114">
        <v>6.0</v>
      </c>
      <c r="AI71" s="114">
        <v>9.0</v>
      </c>
      <c r="AJ71" s="114">
        <v>3.0</v>
      </c>
      <c r="AK71" s="114">
        <v>3.0</v>
      </c>
      <c r="AL71" s="114">
        <v>3.0</v>
      </c>
      <c r="AM71" s="114">
        <v>12.0</v>
      </c>
      <c r="AN71" s="93">
        <v>21.0</v>
      </c>
      <c r="AO71" s="93">
        <v>3.0</v>
      </c>
      <c r="AP71" s="93">
        <v>9.0</v>
      </c>
      <c r="AQ71" s="233">
        <v>3.0</v>
      </c>
      <c r="AR71" s="233">
        <v>0.0</v>
      </c>
      <c r="AS71" s="233">
        <v>0.0</v>
      </c>
      <c r="AT71" s="69">
        <f t="shared" si="4"/>
        <v>72.0</v>
      </c>
      <c r="AU71" s="69">
        <f t="shared" si="169"/>
        <v>36.0</v>
      </c>
      <c r="AV71" s="69">
        <f t="shared" si="6"/>
        <v>39.6</v>
      </c>
      <c r="AW71" s="47">
        <f t="shared" si="176"/>
        <v>4.1860465116279</v>
      </c>
      <c r="AX71" s="47">
        <f t="shared" si="177"/>
        <v>4.50805008944543</v>
      </c>
      <c r="AY71" s="47">
        <f t="shared" si="178"/>
        <v>6.2468694096601</v>
      </c>
      <c r="AZ71" s="47">
        <f t="shared" si="179"/>
        <v>2.96243291592129</v>
      </c>
      <c r="BA71" s="47">
        <f t="shared" si="180"/>
        <v>5.79606440071556</v>
      </c>
      <c r="BB71" s="47">
        <f t="shared" si="181"/>
        <v>4.70125223613596</v>
      </c>
      <c r="BC71" s="69">
        <f t="shared" si="13"/>
        <v>28.4007155635062</v>
      </c>
      <c r="BD71" s="69">
        <f>VLOOKUP(D71,FEB23SOH,3,false)</f>
        <v>317.0</v>
      </c>
      <c r="BE71" s="201">
        <f>VLOOKUP(D71,VALUEFEB23,4,false)</f>
        <v>7.7162</v>
      </c>
      <c r="BF71" s="215">
        <f t="shared" si="16"/>
        <v>2446.0354</v>
      </c>
      <c r="BI71" s="193">
        <f t="shared" si="108"/>
        <v>288.599284436493</v>
      </c>
      <c r="BJ71" s="217">
        <v>504.0</v>
      </c>
      <c r="BK71" s="99"/>
      <c r="BL71" s="103"/>
      <c r="BM71" s="95">
        <f t="shared" si="110"/>
        <v>317.0</v>
      </c>
      <c r="BN71" s="65">
        <f t="shared" si="111"/>
        <v>4.1860465116279</v>
      </c>
      <c r="BO71" s="65">
        <f t="shared" si="21"/>
      </c>
      <c r="BP71" s="65">
        <f t="shared" si="112"/>
        <v>312.813953488372</v>
      </c>
      <c r="BQ71" s="194">
        <f t="shared" si="68"/>
        <v>2413.73502790698</v>
      </c>
      <c r="BR71" s="65">
        <f t="shared" si="113"/>
        <v>4.50805008944543</v>
      </c>
      <c r="BS71" s="65">
        <f t="shared" si="25"/>
      </c>
      <c r="BT71" s="65">
        <f t="shared" si="114"/>
        <v>308.305903398927</v>
      </c>
      <c r="BU71" s="194">
        <f t="shared" si="71"/>
        <v>2378.9500118068</v>
      </c>
      <c r="BV71" s="65">
        <f t="shared" si="115"/>
        <v>6.2468694096601</v>
      </c>
      <c r="BW71" s="65">
        <f t="shared" si="73"/>
      </c>
      <c r="BX71" s="65">
        <f t="shared" si="116"/>
        <v>302.05903398927</v>
      </c>
      <c r="BY71" s="194">
        <f t="shared" si="75"/>
        <v>2330.747918068</v>
      </c>
      <c r="BZ71" s="65">
        <f t="shared" si="117"/>
        <v>2.96243291592129</v>
      </c>
      <c r="CA71" s="65"/>
      <c r="CB71" s="65">
        <f t="shared" si="118"/>
        <v>299.096601073349</v>
      </c>
      <c r="CC71" s="194">
        <f t="shared" si="78"/>
        <v>2307.88919320218</v>
      </c>
      <c r="CD71" s="65">
        <f t="shared" si="119"/>
        <v>5.79606440071556</v>
      </c>
      <c r="CE71" s="65"/>
      <c r="CF71" s="65">
        <f t="shared" si="120"/>
        <v>293.300536672633</v>
      </c>
      <c r="CG71" s="194">
        <f t="shared" si="81"/>
        <v>2263.16560107337</v>
      </c>
      <c r="CH71" s="65">
        <f t="shared" si="121"/>
        <v>4.70125223613596</v>
      </c>
      <c r="CI71" s="65"/>
      <c r="CJ71" s="65">
        <f t="shared" si="122"/>
        <v>288.599284436497</v>
      </c>
      <c r="CK71" s="194">
        <f t="shared" si="84"/>
        <v>2263.16560107337</v>
      </c>
    </row>
    <row r="72" ht="14.0">
      <c r="A72" s="93" t="s">
        <v>179</v>
      </c>
      <c r="B72" s="93" t="s">
        <v>278</v>
      </c>
      <c r="C72" s="93" t="s">
        <v>311</v>
      </c>
      <c r="D72" s="234" t="s">
        <v>312</v>
      </c>
      <c r="E72" s="93">
        <v>0.0</v>
      </c>
      <c r="F72" s="93">
        <v>0.0</v>
      </c>
      <c r="G72" s="93">
        <v>0.0</v>
      </c>
      <c r="H72" s="93">
        <v>0.0</v>
      </c>
      <c r="I72" s="93">
        <v>0.0</v>
      </c>
      <c r="J72" s="93">
        <v>0.0</v>
      </c>
      <c r="K72" s="93">
        <v>0.0</v>
      </c>
      <c r="L72" s="93">
        <v>0.0</v>
      </c>
      <c r="M72" s="93">
        <v>0.0</v>
      </c>
      <c r="N72" s="93">
        <v>0.0</v>
      </c>
      <c r="O72" s="93">
        <v>0.0</v>
      </c>
      <c r="P72" s="93">
        <v>0.0</v>
      </c>
      <c r="Q72" s="93">
        <v>0.0</v>
      </c>
      <c r="R72" s="93">
        <v>0.0</v>
      </c>
      <c r="S72" s="93">
        <v>0.0</v>
      </c>
      <c r="T72" s="93">
        <v>0.0</v>
      </c>
      <c r="U72" s="93">
        <v>0.0</v>
      </c>
      <c r="V72" s="93">
        <v>0.0</v>
      </c>
      <c r="W72" s="93">
        <v>0.0</v>
      </c>
      <c r="X72" s="93">
        <v>0.0</v>
      </c>
      <c r="Y72" s="93">
        <v>0.0</v>
      </c>
      <c r="Z72" s="93">
        <v>0.0</v>
      </c>
      <c r="AA72" s="93">
        <v>0.0</v>
      </c>
      <c r="AB72" s="93">
        <v>0.0</v>
      </c>
      <c r="AC72" s="93">
        <v>12.0</v>
      </c>
      <c r="AD72" s="93">
        <v>57.0</v>
      </c>
      <c r="AE72" s="93">
        <v>27.0</v>
      </c>
      <c r="AF72" s="93">
        <v>9.0</v>
      </c>
      <c r="AG72" s="93">
        <v>12.0</v>
      </c>
      <c r="AH72" s="114">
        <v>6.0</v>
      </c>
      <c r="AI72" s="114">
        <v>9.0</v>
      </c>
      <c r="AJ72" s="114">
        <v>0.0</v>
      </c>
      <c r="AK72" s="114">
        <v>0.0</v>
      </c>
      <c r="AL72" s="114">
        <v>0.0</v>
      </c>
      <c r="AM72" s="114">
        <v>9.0</v>
      </c>
      <c r="AN72" s="93">
        <v>9.0</v>
      </c>
      <c r="AO72" s="93">
        <v>9.0</v>
      </c>
      <c r="AP72" s="93">
        <v>3.0</v>
      </c>
      <c r="AQ72" s="233">
        <v>3.0</v>
      </c>
      <c r="AR72" s="233">
        <v>3.0</v>
      </c>
      <c r="AS72" s="233">
        <v>4.0</v>
      </c>
      <c r="AT72" s="69">
        <f t="shared" si="4"/>
        <v>55.0</v>
      </c>
      <c r="AU72" s="69">
        <f t="shared" si="169"/>
        <v>24.0</v>
      </c>
      <c r="AV72" s="69">
        <f t="shared" si="6"/>
        <v>26.4</v>
      </c>
      <c r="AW72" s="47">
        <f t="shared" si="176"/>
        <v>2.7906976744186</v>
      </c>
      <c r="AX72" s="47">
        <f t="shared" si="177"/>
        <v>3.005366726297</v>
      </c>
      <c r="AY72" s="47">
        <f t="shared" si="178"/>
        <v>4.16457960644007</v>
      </c>
      <c r="AZ72" s="47">
        <f t="shared" si="179"/>
        <v>1.97495527728086</v>
      </c>
      <c r="BA72" s="47">
        <f t="shared" si="180"/>
        <v>3.86404293381038</v>
      </c>
      <c r="BB72" s="47">
        <f t="shared" si="181"/>
        <v>3.13416815742397</v>
      </c>
      <c r="BC72" s="69">
        <f t="shared" si="13"/>
        <v>18.93381037567</v>
      </c>
      <c r="BD72" s="69">
        <f>VLOOKUP(D72,FEB23SOH,3,false)</f>
        <v>333.0</v>
      </c>
      <c r="BE72" s="201">
        <f>VLOOKUP(D72,VALUEFEB23,4,false)</f>
        <v>7.7162</v>
      </c>
      <c r="BF72" s="215">
        <f t="shared" si="16"/>
        <v>2569.4946</v>
      </c>
      <c r="BI72" s="193">
        <f t="shared" si="108"/>
        <v>314.06618962433</v>
      </c>
      <c r="BJ72" s="217">
        <v>504.0</v>
      </c>
      <c r="BK72" s="99"/>
      <c r="BL72" s="103"/>
      <c r="BM72" s="95">
        <f t="shared" si="110"/>
        <v>333.0</v>
      </c>
      <c r="BN72" s="65">
        <f t="shared" si="111"/>
        <v>2.7906976744186</v>
      </c>
      <c r="BO72" s="65">
        <f t="shared" si="21"/>
      </c>
      <c r="BP72" s="65">
        <f t="shared" si="112"/>
        <v>330.209302325581</v>
      </c>
      <c r="BQ72" s="194">
        <f t="shared" si="68"/>
        <v>2547.96101860464</v>
      </c>
      <c r="BR72" s="65">
        <f t="shared" si="113"/>
        <v>3.005366726297</v>
      </c>
      <c r="BS72" s="65">
        <f t="shared" si="25"/>
      </c>
      <c r="BT72" s="65">
        <f t="shared" si="114"/>
        <v>327.203935599284</v>
      </c>
      <c r="BU72" s="194">
        <f t="shared" si="71"/>
        <v>2524.7710078712</v>
      </c>
      <c r="BV72" s="65">
        <f t="shared" si="115"/>
        <v>4.16457960644007</v>
      </c>
      <c r="BW72" s="65">
        <f t="shared" si="73"/>
      </c>
      <c r="BX72" s="65">
        <f t="shared" si="116"/>
        <v>323.039355992844</v>
      </c>
      <c r="BY72" s="194">
        <f t="shared" si="75"/>
        <v>2492.63627871198</v>
      </c>
      <c r="BZ72" s="65">
        <f t="shared" si="117"/>
        <v>1.97495527728086</v>
      </c>
      <c r="CA72" s="65"/>
      <c r="CB72" s="65">
        <f t="shared" si="118"/>
        <v>321.064400715563</v>
      </c>
      <c r="CC72" s="194">
        <f t="shared" si="78"/>
        <v>2477.39712880142</v>
      </c>
      <c r="CD72" s="65">
        <f t="shared" si="119"/>
        <v>3.86404293381038</v>
      </c>
      <c r="CE72" s="65"/>
      <c r="CF72" s="65">
        <f t="shared" si="120"/>
        <v>317.200357781752</v>
      </c>
      <c r="CG72" s="194">
        <f t="shared" si="81"/>
        <v>2447.58140071556</v>
      </c>
      <c r="CH72" s="65">
        <f t="shared" si="121"/>
        <v>3.13416815742397</v>
      </c>
      <c r="CI72" s="65"/>
      <c r="CJ72" s="65">
        <f t="shared" si="122"/>
        <v>314.066189624328</v>
      </c>
      <c r="CK72" s="194">
        <f t="shared" si="84"/>
        <v>2447.58140071556</v>
      </c>
    </row>
    <row r="73" ht="14.0" customFormat="1" s="47">
      <c r="A73" s="93" t="s">
        <v>179</v>
      </c>
      <c r="B73" s="93" t="s">
        <v>81</v>
      </c>
      <c r="C73" s="93" t="s">
        <v>313</v>
      </c>
      <c r="D73" s="229" t="s">
        <v>314</v>
      </c>
      <c r="E73" s="93">
        <v>0.0</v>
      </c>
      <c r="F73" s="93">
        <v>0.0</v>
      </c>
      <c r="G73" s="93">
        <v>0.0</v>
      </c>
      <c r="H73" s="93">
        <v>0.0</v>
      </c>
      <c r="I73" s="93">
        <v>0.0</v>
      </c>
      <c r="J73" s="93">
        <v>0.0</v>
      </c>
      <c r="K73" s="93">
        <v>0.0</v>
      </c>
      <c r="L73" s="93">
        <v>0.0</v>
      </c>
      <c r="M73" s="93">
        <v>0.0</v>
      </c>
      <c r="N73" s="93">
        <v>0.0</v>
      </c>
      <c r="O73" s="93">
        <v>0.0</v>
      </c>
      <c r="P73" s="93">
        <v>0.0</v>
      </c>
      <c r="Q73" s="93">
        <v>0.0</v>
      </c>
      <c r="R73" s="93">
        <v>0.0</v>
      </c>
      <c r="S73" s="93">
        <v>0.0</v>
      </c>
      <c r="T73" s="93">
        <v>0.0</v>
      </c>
      <c r="U73" s="93">
        <v>0.0</v>
      </c>
      <c r="V73" s="93">
        <v>0.0</v>
      </c>
      <c r="W73" s="93">
        <v>0.0</v>
      </c>
      <c r="X73" s="93">
        <v>0.0</v>
      </c>
      <c r="Y73" s="93">
        <v>0.0</v>
      </c>
      <c r="Z73" s="93">
        <v>0.0</v>
      </c>
      <c r="AA73" s="93">
        <v>0.0</v>
      </c>
      <c r="AB73" s="93">
        <v>0.0</v>
      </c>
      <c r="AC73" s="93">
        <v>0.0</v>
      </c>
      <c r="AD73" s="93">
        <v>0.0</v>
      </c>
      <c r="AE73" s="93">
        <v>0.0</v>
      </c>
      <c r="AF73" s="93">
        <v>0.0</v>
      </c>
      <c r="AG73" s="93">
        <v>0.0</v>
      </c>
      <c r="AH73" s="93">
        <v>18.0</v>
      </c>
      <c r="AI73" s="93">
        <v>122.0</v>
      </c>
      <c r="AJ73" s="93">
        <v>147.0</v>
      </c>
      <c r="AK73" s="93">
        <v>67.0</v>
      </c>
      <c r="AL73" s="93">
        <v>39.0</v>
      </c>
      <c r="AM73" s="93">
        <v>96.0</v>
      </c>
      <c r="AN73" s="230">
        <v>81.0</v>
      </c>
      <c r="AO73" s="230">
        <v>72.0</v>
      </c>
      <c r="AP73" s="230">
        <v>120.0</v>
      </c>
      <c r="AQ73" s="231">
        <v>75.0</v>
      </c>
      <c r="AR73" s="231">
        <v>36.0</v>
      </c>
      <c r="AS73" s="231">
        <v>146.0</v>
      </c>
      <c r="AT73" s="69">
        <f t="shared" si="4"/>
        <v>1019.0</v>
      </c>
      <c r="AU73" s="69">
        <f t="shared" ref="AU73:AU76" si="182">SUM(AN73:AS73)</f>
        <v>530.0</v>
      </c>
      <c r="AV73" s="69">
        <f t="shared" si="6"/>
        <v>583.0</v>
      </c>
      <c r="AW73" s="47">
        <f t="shared" si="176"/>
        <v>61.6279069767441</v>
      </c>
      <c r="AX73" s="47">
        <f t="shared" si="177"/>
        <v>66.3685152057245</v>
      </c>
      <c r="AY73" s="47">
        <f t="shared" si="178"/>
        <v>91.9677996422182</v>
      </c>
      <c r="AZ73" s="47">
        <f t="shared" si="179"/>
        <v>43.613595706619</v>
      </c>
      <c r="BA73" s="47">
        <f t="shared" si="180"/>
        <v>85.3309481216458</v>
      </c>
      <c r="BB73" s="47">
        <f t="shared" si="181"/>
        <v>69.2128801431127</v>
      </c>
      <c r="BC73" s="64">
        <f t="shared" si="13"/>
        <v>418.121645796064</v>
      </c>
      <c r="BD73" s="69">
        <f>VLOOKUP(D73,FEB23SOH,3,false)</f>
        <v>0.0</v>
      </c>
      <c r="BE73" s="201">
        <f>VLOOKUP(D73,VALUEFEB23,4,false)</f>
        <v>4.3122</v>
      </c>
      <c r="BF73" s="215">
        <f t="shared" si="16"/>
        <v>0.0</v>
      </c>
      <c r="BG73" s="64">
        <f>VLOOKUP(C73,CHINAMAR3,3,false)</f>
        <v>504.0</v>
      </c>
      <c r="BH73" s="64"/>
      <c r="BI73" s="193">
        <f t="shared" si="108"/>
        <v>85.878354203936</v>
      </c>
      <c r="BJ73" s="217">
        <v>501.0</v>
      </c>
      <c r="BK73" s="47">
        <f t="shared" ref="BK73:BK74" si="184">BJ73</f>
        <v>501.0</v>
      </c>
      <c r="BL73" s="103"/>
      <c r="BM73" s="95">
        <f t="shared" si="110"/>
        <v>0.0</v>
      </c>
      <c r="BN73" s="65">
        <f t="shared" si="111"/>
        <v>61.6279069767441</v>
      </c>
      <c r="BO73" s="65">
        <f t="shared" si="21"/>
        <v>504.0</v>
      </c>
      <c r="BP73" s="65">
        <f t="shared" si="112"/>
        <v>442.372093023256</v>
      </c>
      <c r="BQ73" s="194">
        <f t="shared" si="68"/>
        <v>1907.59693953488</v>
      </c>
      <c r="BR73" s="65">
        <f t="shared" si="113"/>
        <v>66.3685152057245</v>
      </c>
      <c r="BS73" s="65">
        <f t="shared" si="25"/>
      </c>
      <c r="BT73" s="65">
        <f t="shared" si="114"/>
        <v>376.003577817531</v>
      </c>
      <c r="BU73" s="194">
        <f t="shared" si="71"/>
        <v>1621.40262826476</v>
      </c>
      <c r="BV73" s="65">
        <f t="shared" si="115"/>
        <v>91.9677996422182</v>
      </c>
      <c r="BW73" s="65">
        <f t="shared" si="73"/>
      </c>
      <c r="BX73" s="65">
        <f t="shared" si="116"/>
        <v>284.035778175312</v>
      </c>
      <c r="BY73" s="194">
        <f t="shared" si="75"/>
        <v>1224.81908264758</v>
      </c>
      <c r="BZ73" s="65">
        <f t="shared" si="117"/>
        <v>43.613595706619</v>
      </c>
      <c r="CA73" s="65"/>
      <c r="CB73" s="65">
        <f t="shared" si="118"/>
        <v>240.422182468692</v>
      </c>
      <c r="CC73" s="194">
        <f t="shared" si="78"/>
        <v>1036.74853524149</v>
      </c>
      <c r="CD73" s="65">
        <f t="shared" si="119"/>
        <v>85.3309481216458</v>
      </c>
      <c r="CE73" s="65"/>
      <c r="CF73" s="65">
        <f t="shared" si="120"/>
        <v>155.091234347046</v>
      </c>
      <c r="CG73" s="194">
        <f t="shared" si="81"/>
        <v>668.784420751331</v>
      </c>
      <c r="CH73" s="65">
        <f t="shared" si="121"/>
        <v>69.2128801431127</v>
      </c>
      <c r="CI73" s="65"/>
      <c r="CJ73" s="65">
        <f t="shared" si="122"/>
        <v>85.8783542039333</v>
      </c>
      <c r="CK73" s="194">
        <f t="shared" si="84"/>
        <v>668.784420751331</v>
      </c>
    </row>
    <row r="74" ht="14.0" customFormat="1" s="47">
      <c r="A74" s="93" t="s">
        <v>179</v>
      </c>
      <c r="B74" s="93" t="s">
        <v>81</v>
      </c>
      <c r="C74" s="93" t="s">
        <v>315</v>
      </c>
      <c r="D74" s="229" t="s">
        <v>316</v>
      </c>
      <c r="E74" s="93">
        <v>0.0</v>
      </c>
      <c r="F74" s="93">
        <v>0.0</v>
      </c>
      <c r="G74" s="93">
        <v>0.0</v>
      </c>
      <c r="H74" s="93">
        <v>0.0</v>
      </c>
      <c r="I74" s="93">
        <v>0.0</v>
      </c>
      <c r="J74" s="93">
        <v>0.0</v>
      </c>
      <c r="K74" s="93">
        <v>0.0</v>
      </c>
      <c r="L74" s="93">
        <v>0.0</v>
      </c>
      <c r="M74" s="93">
        <v>0.0</v>
      </c>
      <c r="N74" s="93">
        <v>0.0</v>
      </c>
      <c r="O74" s="93">
        <v>0.0</v>
      </c>
      <c r="P74" s="93">
        <v>0.0</v>
      </c>
      <c r="Q74" s="93">
        <v>0.0</v>
      </c>
      <c r="R74" s="93">
        <v>0.0</v>
      </c>
      <c r="S74" s="93">
        <v>0.0</v>
      </c>
      <c r="T74" s="93">
        <v>0.0</v>
      </c>
      <c r="U74" s="93">
        <v>0.0</v>
      </c>
      <c r="V74" s="93">
        <v>0.0</v>
      </c>
      <c r="W74" s="93">
        <v>0.0</v>
      </c>
      <c r="X74" s="93">
        <v>0.0</v>
      </c>
      <c r="Y74" s="93">
        <v>0.0</v>
      </c>
      <c r="Z74" s="93">
        <v>0.0</v>
      </c>
      <c r="AA74" s="93">
        <v>0.0</v>
      </c>
      <c r="AB74" s="93">
        <v>0.0</v>
      </c>
      <c r="AC74" s="93">
        <v>0.0</v>
      </c>
      <c r="AD74" s="93">
        <v>0.0</v>
      </c>
      <c r="AE74" s="93">
        <v>0.0</v>
      </c>
      <c r="AF74" s="93">
        <v>0.0</v>
      </c>
      <c r="AG74" s="93">
        <v>0.0</v>
      </c>
      <c r="AH74" s="93">
        <v>9.0</v>
      </c>
      <c r="AI74" s="93">
        <v>131.0</v>
      </c>
      <c r="AJ74" s="93">
        <v>150.0</v>
      </c>
      <c r="AK74" s="93">
        <v>51.0</v>
      </c>
      <c r="AL74" s="93">
        <v>39.0</v>
      </c>
      <c r="AM74" s="93">
        <v>78.0</v>
      </c>
      <c r="AN74" s="230">
        <v>97.0</v>
      </c>
      <c r="AO74" s="230">
        <v>69.0</v>
      </c>
      <c r="AP74" s="230">
        <v>57.0</v>
      </c>
      <c r="AQ74" s="231">
        <v>57.0</v>
      </c>
      <c r="AR74" s="231">
        <v>33.0</v>
      </c>
      <c r="AS74" s="231">
        <v>113.0</v>
      </c>
      <c r="AT74" s="69">
        <f t="shared" si="4"/>
        <v>884.0</v>
      </c>
      <c r="AU74" s="69">
        <f t="shared" si="182"/>
        <v>426.0</v>
      </c>
      <c r="AV74" s="69">
        <f t="shared" si="6"/>
        <v>468.6</v>
      </c>
      <c r="AW74" s="47">
        <f t="shared" si="176"/>
        <v>49.5348837209302</v>
      </c>
      <c r="AX74" s="47">
        <f t="shared" si="177"/>
        <v>53.345259391771</v>
      </c>
      <c r="AY74" s="47">
        <f t="shared" si="178"/>
        <v>73.9212880143112</v>
      </c>
      <c r="AZ74" s="47">
        <f t="shared" si="179"/>
        <v>35.0554561717352</v>
      </c>
      <c r="BA74" s="47">
        <f t="shared" si="180"/>
        <v>68.5867620751341</v>
      </c>
      <c r="BB74" s="47">
        <f t="shared" si="181"/>
        <v>55.6314847942754</v>
      </c>
      <c r="BC74" s="64">
        <f t="shared" si="13"/>
        <v>336.075134168157</v>
      </c>
      <c r="BD74" s="69">
        <f>VLOOKUP(D74,FEB23SOH,3,false)</f>
        <v>183.0</v>
      </c>
      <c r="BE74" s="201">
        <f>VLOOKUP(D74,VALUEFEB23,4,false)</f>
        <v>4.3605</v>
      </c>
      <c r="BF74" s="215">
        <f t="shared" si="16"/>
        <v>797.9715</v>
      </c>
      <c r="BG74" s="64">
        <f>VLOOKUP(C74,CHINAMAR3,3,false)</f>
        <v>504.0</v>
      </c>
      <c r="BH74" s="64"/>
      <c r="BI74" s="193">
        <f t="shared" si="108"/>
        <v>350.924865831843</v>
      </c>
      <c r="BJ74" s="217">
        <v>501.0</v>
      </c>
      <c r="BK74" s="47">
        <f t="shared" si="184"/>
        <v>501.0</v>
      </c>
      <c r="BL74" s="103"/>
      <c r="BM74" s="95">
        <f t="shared" si="110"/>
        <v>183.0</v>
      </c>
      <c r="BN74" s="65">
        <f t="shared" si="111"/>
        <v>49.5348837209302</v>
      </c>
      <c r="BO74" s="65">
        <f t="shared" si="21"/>
        <v>504.0</v>
      </c>
      <c r="BP74" s="65">
        <f t="shared" si="112"/>
        <v>637.46511627907</v>
      </c>
      <c r="BQ74" s="194">
        <f t="shared" si="68"/>
        <v>2779.66663953489</v>
      </c>
      <c r="BR74" s="65">
        <f t="shared" si="113"/>
        <v>53.345259391771</v>
      </c>
      <c r="BS74" s="65">
        <f t="shared" si="25"/>
      </c>
      <c r="BT74" s="65">
        <f t="shared" si="114"/>
        <v>584.119856887299</v>
      </c>
      <c r="BU74" s="194">
        <f t="shared" si="71"/>
        <v>2547.05463595707</v>
      </c>
      <c r="BV74" s="65">
        <f t="shared" si="115"/>
        <v>73.9212880143112</v>
      </c>
      <c r="BW74" s="65">
        <f t="shared" si="73"/>
      </c>
      <c r="BX74" s="65">
        <f t="shared" si="116"/>
        <v>510.198568872988</v>
      </c>
      <c r="BY74" s="194">
        <f t="shared" si="75"/>
        <v>2224.72085957066</v>
      </c>
      <c r="BZ74" s="65">
        <f t="shared" si="117"/>
        <v>35.0554561717352</v>
      </c>
      <c r="CA74" s="65"/>
      <c r="CB74" s="65">
        <f t="shared" si="118"/>
        <v>475.143112701252</v>
      </c>
      <c r="CC74" s="194">
        <f t="shared" si="78"/>
        <v>2071.8615429338</v>
      </c>
      <c r="CD74" s="65">
        <f t="shared" si="119"/>
        <v>68.5867620751341</v>
      </c>
      <c r="CE74" s="65"/>
      <c r="CF74" s="65">
        <f t="shared" si="120"/>
        <v>406.55635062611</v>
      </c>
      <c r="CG74" s="194">
        <f t="shared" si="81"/>
        <v>1772.78896690515</v>
      </c>
      <c r="CH74" s="65">
        <f t="shared" si="121"/>
        <v>55.6314847942754</v>
      </c>
      <c r="CI74" s="65"/>
      <c r="CJ74" s="65">
        <f t="shared" si="122"/>
        <v>350.924865831834</v>
      </c>
      <c r="CK74" s="194">
        <f t="shared" si="84"/>
        <v>1772.78896690515</v>
      </c>
    </row>
    <row r="75" ht="14.0" customFormat="1" s="47">
      <c r="A75" s="93" t="s">
        <v>179</v>
      </c>
      <c r="B75" s="93" t="s">
        <v>81</v>
      </c>
      <c r="C75" s="93" t="s">
        <v>317</v>
      </c>
      <c r="D75" s="229" t="s">
        <v>318</v>
      </c>
      <c r="E75" s="93">
        <v>0.0</v>
      </c>
      <c r="F75" s="93">
        <v>0.0</v>
      </c>
      <c r="G75" s="93">
        <v>0.0</v>
      </c>
      <c r="H75" s="93">
        <v>0.0</v>
      </c>
      <c r="I75" s="93">
        <v>0.0</v>
      </c>
      <c r="J75" s="93">
        <v>0.0</v>
      </c>
      <c r="K75" s="93">
        <v>0.0</v>
      </c>
      <c r="L75" s="93">
        <v>0.0</v>
      </c>
      <c r="M75" s="93">
        <v>0.0</v>
      </c>
      <c r="N75" s="93">
        <v>0.0</v>
      </c>
      <c r="O75" s="93">
        <v>0.0</v>
      </c>
      <c r="P75" s="93">
        <v>0.0</v>
      </c>
      <c r="Q75" s="93">
        <v>0.0</v>
      </c>
      <c r="R75" s="93">
        <v>0.0</v>
      </c>
      <c r="S75" s="93">
        <v>0.0</v>
      </c>
      <c r="T75" s="93">
        <v>0.0</v>
      </c>
      <c r="U75" s="93">
        <v>0.0</v>
      </c>
      <c r="V75" s="93">
        <v>0.0</v>
      </c>
      <c r="W75" s="93">
        <v>0.0</v>
      </c>
      <c r="X75" s="93">
        <v>0.0</v>
      </c>
      <c r="Y75" s="93">
        <v>0.0</v>
      </c>
      <c r="Z75" s="93">
        <v>0.0</v>
      </c>
      <c r="AA75" s="93">
        <v>0.0</v>
      </c>
      <c r="AB75" s="93">
        <v>0.0</v>
      </c>
      <c r="AC75" s="93">
        <v>0.0</v>
      </c>
      <c r="AD75" s="93">
        <v>0.0</v>
      </c>
      <c r="AE75" s="93">
        <v>0.0</v>
      </c>
      <c r="AF75" s="93">
        <v>0.0</v>
      </c>
      <c r="AG75" s="93">
        <v>0.0</v>
      </c>
      <c r="AH75" s="93">
        <v>12.0</v>
      </c>
      <c r="AI75" s="93">
        <v>176.0</v>
      </c>
      <c r="AJ75" s="93">
        <v>195.0</v>
      </c>
      <c r="AK75" s="93">
        <v>90.0</v>
      </c>
      <c r="AL75" s="93">
        <v>27.0</v>
      </c>
      <c r="AM75" s="93">
        <v>3.0</v>
      </c>
      <c r="AN75" s="230">
        <v>81.0</v>
      </c>
      <c r="AO75" s="230">
        <v>75.0</v>
      </c>
      <c r="AP75" s="230">
        <v>84.0</v>
      </c>
      <c r="AQ75" s="231">
        <v>45.0</v>
      </c>
      <c r="AR75" s="231">
        <v>55.0</v>
      </c>
      <c r="AS75" s="231">
        <v>153.0</v>
      </c>
      <c r="AT75" s="69">
        <f t="shared" si="4"/>
        <v>996.0</v>
      </c>
      <c r="AU75" s="69">
        <f t="shared" si="182"/>
        <v>493.0</v>
      </c>
      <c r="AV75" s="69">
        <f t="shared" si="6"/>
        <v>542.3</v>
      </c>
      <c r="AW75" s="47">
        <f t="shared" si="176"/>
        <v>57.3255813953488</v>
      </c>
      <c r="AX75" s="47">
        <f t="shared" si="177"/>
        <v>61.7352415026833</v>
      </c>
      <c r="AY75" s="47">
        <f t="shared" si="178"/>
        <v>85.5474060822898</v>
      </c>
      <c r="AZ75" s="47">
        <f t="shared" si="179"/>
        <v>40.5688729874776</v>
      </c>
      <c r="BA75" s="47">
        <f t="shared" si="180"/>
        <v>79.3738819320214</v>
      </c>
      <c r="BB75" s="47">
        <f t="shared" si="181"/>
        <v>64.381037567084</v>
      </c>
      <c r="BC75" s="64">
        <f t="shared" si="13"/>
        <v>388.932021466904</v>
      </c>
      <c r="BD75" s="69">
        <f>VLOOKUP(D75,FEB23SOH,3,false)</f>
        <v>427.0</v>
      </c>
      <c r="BE75" s="201">
        <f>VLOOKUP(D75,VALUEFEB23,4,false)</f>
        <v>2.727</v>
      </c>
      <c r="BF75" s="215">
        <f t="shared" si="16"/>
        <v>1164.429</v>
      </c>
      <c r="BG75" s="64"/>
      <c r="BH75" s="64"/>
      <c r="BI75" s="193">
        <f t="shared" si="108"/>
        <v>38.067978533096</v>
      </c>
      <c r="BJ75" s="217">
        <v>501.0</v>
      </c>
      <c r="BL75" s="103"/>
      <c r="BM75" s="95">
        <f t="shared" si="110"/>
        <v>427.0</v>
      </c>
      <c r="BN75" s="65">
        <f t="shared" si="111"/>
        <v>57.3255813953488</v>
      </c>
      <c r="BO75" s="65">
        <f t="shared" si="21"/>
      </c>
      <c r="BP75" s="65">
        <f t="shared" si="112"/>
        <v>369.674418604651</v>
      </c>
      <c r="BQ75" s="194">
        <f t="shared" si="68"/>
        <v>1008.10213953488</v>
      </c>
      <c r="BR75" s="65">
        <f t="shared" si="113"/>
        <v>61.7352415026833</v>
      </c>
      <c r="BS75" s="65">
        <f t="shared" si="25"/>
      </c>
      <c r="BT75" s="65">
        <f t="shared" si="114"/>
        <v>307.939177101968</v>
      </c>
      <c r="BU75" s="194">
        <f t="shared" si="71"/>
        <v>839.75013595707</v>
      </c>
      <c r="BV75" s="65">
        <f t="shared" si="115"/>
        <v>85.5474060822898</v>
      </c>
      <c r="BW75" s="65">
        <f t="shared" si="73"/>
      </c>
      <c r="BX75" s="65">
        <f t="shared" si="116"/>
        <v>222.391771019678</v>
      </c>
      <c r="BY75" s="194">
        <f t="shared" si="75"/>
        <v>606.462359570661</v>
      </c>
      <c r="BZ75" s="65">
        <f t="shared" si="117"/>
        <v>40.5688729874776</v>
      </c>
      <c r="CA75" s="65"/>
      <c r="CB75" s="65">
        <f t="shared" si="118"/>
        <v>181.8228980322</v>
      </c>
      <c r="CC75" s="194">
        <f t="shared" si="78"/>
        <v>495.831042933809</v>
      </c>
      <c r="CD75" s="65">
        <f t="shared" si="119"/>
        <v>79.3738819320214</v>
      </c>
      <c r="CE75" s="65"/>
      <c r="CF75" s="65">
        <f t="shared" si="120"/>
        <v>102.449016100179</v>
      </c>
      <c r="CG75" s="194">
        <f t="shared" si="81"/>
        <v>279.378466905188</v>
      </c>
      <c r="CH75" s="65">
        <f t="shared" si="121"/>
        <v>64.381037567084</v>
      </c>
      <c r="CI75" s="65"/>
      <c r="CJ75" s="65">
        <f t="shared" si="122"/>
        <v>38.067978533095</v>
      </c>
      <c r="CK75" s="194">
        <f t="shared" si="84"/>
        <v>279.378466905188</v>
      </c>
    </row>
    <row r="76" ht="14.0" customFormat="1" s="47">
      <c r="A76" s="93" t="s">
        <v>179</v>
      </c>
      <c r="B76" s="93" t="s">
        <v>81</v>
      </c>
      <c r="C76" s="93" t="s">
        <v>320</v>
      </c>
      <c r="D76" s="229" t="s">
        <v>321</v>
      </c>
      <c r="E76" s="93">
        <v>0.0</v>
      </c>
      <c r="F76" s="93">
        <v>0.0</v>
      </c>
      <c r="G76" s="93">
        <v>0.0</v>
      </c>
      <c r="H76" s="93">
        <v>0.0</v>
      </c>
      <c r="I76" s="93">
        <v>0.0</v>
      </c>
      <c r="J76" s="93">
        <v>0.0</v>
      </c>
      <c r="K76" s="93">
        <v>0.0</v>
      </c>
      <c r="L76" s="93">
        <v>0.0</v>
      </c>
      <c r="M76" s="93">
        <v>0.0</v>
      </c>
      <c r="N76" s="93">
        <v>0.0</v>
      </c>
      <c r="O76" s="93">
        <v>0.0</v>
      </c>
      <c r="P76" s="93">
        <v>0.0</v>
      </c>
      <c r="Q76" s="93">
        <v>0.0</v>
      </c>
      <c r="R76" s="93">
        <v>0.0</v>
      </c>
      <c r="S76" s="93">
        <v>0.0</v>
      </c>
      <c r="T76" s="93">
        <v>0.0</v>
      </c>
      <c r="U76" s="93">
        <v>0.0</v>
      </c>
      <c r="V76" s="93">
        <v>0.0</v>
      </c>
      <c r="W76" s="93">
        <v>0.0</v>
      </c>
      <c r="X76" s="93">
        <v>0.0</v>
      </c>
      <c r="Y76" s="93">
        <v>0.0</v>
      </c>
      <c r="Z76" s="93">
        <v>0.0</v>
      </c>
      <c r="AA76" s="93">
        <v>0.0</v>
      </c>
      <c r="AB76" s="93">
        <v>0.0</v>
      </c>
      <c r="AC76" s="93">
        <v>0.0</v>
      </c>
      <c r="AD76" s="93">
        <v>0.0</v>
      </c>
      <c r="AE76" s="93">
        <v>0.0</v>
      </c>
      <c r="AF76" s="93">
        <v>0.0</v>
      </c>
      <c r="AG76" s="93">
        <v>0.0</v>
      </c>
      <c r="AH76" s="93">
        <v>6.0</v>
      </c>
      <c r="AI76" s="93">
        <v>173.0</v>
      </c>
      <c r="AJ76" s="93">
        <v>212.0</v>
      </c>
      <c r="AK76" s="93">
        <v>72.0</v>
      </c>
      <c r="AL76" s="93">
        <v>34.0</v>
      </c>
      <c r="AM76" s="93">
        <v>3.0</v>
      </c>
      <c r="AN76" s="230">
        <v>73.0</v>
      </c>
      <c r="AO76" s="230">
        <v>81.0</v>
      </c>
      <c r="AP76" s="230">
        <v>39.0</v>
      </c>
      <c r="AQ76" s="231">
        <v>45.0</v>
      </c>
      <c r="AR76" s="231">
        <v>25.0</v>
      </c>
      <c r="AS76" s="231">
        <v>106.0</v>
      </c>
      <c r="AT76" s="69">
        <f t="shared" si="4"/>
        <v>869.0</v>
      </c>
      <c r="AU76" s="69">
        <f t="shared" si="182"/>
        <v>369.0</v>
      </c>
      <c r="AV76" s="69">
        <f t="shared" si="6"/>
        <v>405.9</v>
      </c>
      <c r="AW76" s="47">
        <f t="shared" si="176"/>
        <v>42.906976744186</v>
      </c>
      <c r="AX76" s="47">
        <f t="shared" si="177"/>
        <v>46.2075134168157</v>
      </c>
      <c r="AY76" s="47">
        <f t="shared" si="178"/>
        <v>64.0304114490161</v>
      </c>
      <c r="AZ76" s="47">
        <f t="shared" si="179"/>
        <v>30.3649373881931</v>
      </c>
      <c r="BA76" s="47">
        <f t="shared" si="180"/>
        <v>59.4096601073345</v>
      </c>
      <c r="BB76" s="47">
        <f t="shared" si="181"/>
        <v>48.1878354203936</v>
      </c>
      <c r="BC76" s="64">
        <f t="shared" si="13"/>
        <v>291.107334525939</v>
      </c>
      <c r="BD76" s="69">
        <f>VLOOKUP(D76,FEB23SOH,3,false)</f>
        <v>515.0</v>
      </c>
      <c r="BE76" s="201">
        <f>VLOOKUP(D76,VALUEFEB23,4,false)</f>
        <v>2.7276</v>
      </c>
      <c r="BF76" s="215">
        <f t="shared" si="16"/>
        <v>1404.714</v>
      </c>
      <c r="BG76" s="64"/>
      <c r="BH76" s="64"/>
      <c r="BI76" s="193">
        <f t="shared" si="108"/>
        <v>223.892665474061</v>
      </c>
      <c r="BJ76" s="217">
        <v>501.0</v>
      </c>
      <c r="BL76" s="103"/>
      <c r="BM76" s="95">
        <f t="shared" si="110"/>
        <v>515.0</v>
      </c>
      <c r="BN76" s="65">
        <f t="shared" si="111"/>
        <v>42.906976744186</v>
      </c>
      <c r="BO76" s="65">
        <f t="shared" si="21"/>
      </c>
      <c r="BP76" s="65">
        <f t="shared" si="112"/>
        <v>472.093023255814</v>
      </c>
      <c r="BQ76" s="194">
        <f t="shared" si="68"/>
        <v>1287.68093023256</v>
      </c>
      <c r="BR76" s="65">
        <f t="shared" si="113"/>
        <v>46.2075134168157</v>
      </c>
      <c r="BS76" s="65">
        <f t="shared" si="25"/>
      </c>
      <c r="BT76" s="65">
        <f t="shared" si="114"/>
        <v>425.885509838998</v>
      </c>
      <c r="BU76" s="194">
        <f t="shared" si="71"/>
        <v>1161.64531663685</v>
      </c>
      <c r="BV76" s="65">
        <f t="shared" si="115"/>
        <v>64.0304114490161</v>
      </c>
      <c r="BW76" s="65">
        <f t="shared" si="73"/>
      </c>
      <c r="BX76" s="65">
        <f t="shared" si="116"/>
        <v>361.855098389981</v>
      </c>
      <c r="BY76" s="194">
        <f t="shared" si="75"/>
        <v>986.995966368512</v>
      </c>
      <c r="BZ76" s="65">
        <f t="shared" si="117"/>
        <v>30.3649373881931</v>
      </c>
      <c r="CA76" s="65"/>
      <c r="CB76" s="65">
        <f t="shared" si="118"/>
        <v>331.490161001788</v>
      </c>
      <c r="CC76" s="194">
        <f t="shared" si="78"/>
        <v>904.172563148477</v>
      </c>
      <c r="CD76" s="65">
        <f t="shared" si="119"/>
        <v>59.4096601073345</v>
      </c>
      <c r="CE76" s="65"/>
      <c r="CF76" s="65">
        <f t="shared" si="120"/>
        <v>272.080500894453</v>
      </c>
      <c r="CG76" s="194">
        <f t="shared" si="81"/>
        <v>742.12677423971</v>
      </c>
      <c r="CH76" s="65">
        <f t="shared" si="121"/>
        <v>48.1878354203936</v>
      </c>
      <c r="CI76" s="65"/>
      <c r="CJ76" s="65">
        <f t="shared" si="122"/>
        <v>223.892665474059</v>
      </c>
      <c r="CK76" s="194">
        <f t="shared" si="84"/>
        <v>742.12677423971</v>
      </c>
    </row>
    <row r="77" ht="14.0" customFormat="1" s="47">
      <c r="A77" s="93" t="s">
        <v>179</v>
      </c>
      <c r="B77" s="93" t="s">
        <v>110</v>
      </c>
      <c r="C77" s="93" t="s">
        <v>322</v>
      </c>
      <c r="D77" s="229" t="s">
        <v>323</v>
      </c>
      <c r="E77" s="93">
        <v>0.0</v>
      </c>
      <c r="F77" s="93">
        <v>0.0</v>
      </c>
      <c r="G77" s="93">
        <v>0.0</v>
      </c>
      <c r="H77" s="93">
        <v>0.0</v>
      </c>
      <c r="I77" s="93">
        <v>0.0</v>
      </c>
      <c r="J77" s="93">
        <v>0.0</v>
      </c>
      <c r="K77" s="93">
        <v>0.0</v>
      </c>
      <c r="L77" s="93">
        <v>0.0</v>
      </c>
      <c r="M77" s="93">
        <v>0.0</v>
      </c>
      <c r="N77" s="93">
        <v>0.0</v>
      </c>
      <c r="O77" s="93">
        <v>0.0</v>
      </c>
      <c r="P77" s="93">
        <v>0.0</v>
      </c>
      <c r="Q77" s="93">
        <v>0.0</v>
      </c>
      <c r="R77" s="93">
        <v>0.0</v>
      </c>
      <c r="S77" s="93">
        <v>0.0</v>
      </c>
      <c r="T77" s="93">
        <v>0.0</v>
      </c>
      <c r="U77" s="93">
        <v>0.0</v>
      </c>
      <c r="V77" s="93">
        <v>0.0</v>
      </c>
      <c r="W77" s="93">
        <v>0.0</v>
      </c>
      <c r="X77" s="93">
        <v>0.0</v>
      </c>
      <c r="Y77" s="93">
        <v>0.0</v>
      </c>
      <c r="Z77" s="93">
        <v>73.0</v>
      </c>
      <c r="AA77" s="93">
        <v>143.0</v>
      </c>
      <c r="AB77" s="93">
        <v>194.0</v>
      </c>
      <c r="AC77" s="93">
        <v>153.0</v>
      </c>
      <c r="AD77" s="93">
        <v>123.0</v>
      </c>
      <c r="AE77" s="93">
        <v>114.0</v>
      </c>
      <c r="AF77" s="93">
        <v>54.0</v>
      </c>
      <c r="AG77" s="93">
        <v>113.0</v>
      </c>
      <c r="AH77" s="114">
        <v>90.0</v>
      </c>
      <c r="AI77" s="114">
        <v>63.0</v>
      </c>
      <c r="AJ77" s="114">
        <v>39.0</v>
      </c>
      <c r="AK77" s="114">
        <v>46.0</v>
      </c>
      <c r="AL77" s="114">
        <v>39.0</v>
      </c>
      <c r="AM77" s="114">
        <v>33.0</v>
      </c>
      <c r="AN77" s="93">
        <v>60.0</v>
      </c>
      <c r="AO77" s="93">
        <v>165.0</v>
      </c>
      <c r="AP77" s="93">
        <v>151.0</v>
      </c>
      <c r="AQ77" s="233">
        <v>96.0</v>
      </c>
      <c r="AR77" s="233">
        <v>30.0</v>
      </c>
      <c r="AS77" s="233">
        <v>62.0</v>
      </c>
      <c r="AT77" s="69">
        <f t="shared" si="4"/>
        <v>874.0</v>
      </c>
      <c r="AU77" s="69">
        <f t="shared" ref="AU77:AU83" si="185">SUM(AH77:AM77)</f>
        <v>310.0</v>
      </c>
      <c r="AV77" s="69">
        <f t="shared" si="6"/>
        <v>341.0</v>
      </c>
      <c r="AW77" s="47">
        <f>AV77*$AW$4/$AV$3+3*$AW$87</f>
        <v>53.7148657912777</v>
      </c>
      <c r="AX77" s="47">
        <f>AV77*$AY$4/$AV$3+3*$AY$87</f>
        <v>80.159107411599</v>
      </c>
      <c r="AY77" s="47">
        <f>AV77*$AY$4/$AV$3+3*$AY$87</f>
        <v>80.159107411599</v>
      </c>
      <c r="AZ77" s="47">
        <f>AV77*$AZ$4/$AV$3+3*$AZ$87</f>
        <v>38.0135973292119</v>
      </c>
      <c r="BA77" s="47">
        <f>AV77*$BA$4/$AV$3+3*$BA$87</f>
        <v>74.3744295571538</v>
      </c>
      <c r="BB77" s="47">
        <f>AV77*$BB$4/$AV$3+3*$BB$87</f>
        <v>60.325926196358</v>
      </c>
      <c r="BC77" s="64">
        <f t="shared" si="13"/>
        <v>386.747033697199</v>
      </c>
      <c r="BD77" s="69">
        <f>VLOOKUP(D77,FEB23SOH,3,false)</f>
        <v>89.0</v>
      </c>
      <c r="BE77" s="201">
        <f>VLOOKUP(D77,VALUEFEB23,4,false)</f>
        <v>2.1049</v>
      </c>
      <c r="BF77" s="215">
        <f t="shared" si="16"/>
        <v>187.3361</v>
      </c>
      <c r="BG77" s="64"/>
      <c r="BH77" s="64"/>
      <c r="BI77" s="193">
        <f t="shared" si="108"/>
        <v>-297.747033697199</v>
      </c>
      <c r="BJ77" s="238">
        <v>1002.0</v>
      </c>
      <c r="BK77" s="185">
        <f>BJ77</f>
        <v>1002.0</v>
      </c>
      <c r="BL77" s="103" t="s">
        <v>519</v>
      </c>
      <c r="BM77" s="95">
        <f t="shared" si="110"/>
        <v>89.0</v>
      </c>
      <c r="BN77" s="65">
        <f t="shared" si="111"/>
        <v>53.7148657912777</v>
      </c>
      <c r="BO77" s="65">
        <f t="shared" si="21"/>
      </c>
      <c r="BP77" s="65">
        <f t="shared" si="112"/>
        <v>35.2851342087223</v>
      </c>
      <c r="BQ77" s="194">
        <f t="shared" si="68"/>
        <v>74.2716789959396</v>
      </c>
      <c r="BR77" s="65">
        <f t="shared" si="113"/>
        <v>80.159107411599</v>
      </c>
      <c r="BS77" s="65">
        <f t="shared" si="25"/>
      </c>
      <c r="BT77" s="65">
        <f t="shared" si="114"/>
        <v>-44.8739732028767</v>
      </c>
      <c r="BU77" s="194">
        <f t="shared" si="71"/>
        <v>-94.4552261947351</v>
      </c>
      <c r="BV77" s="65">
        <f t="shared" si="115"/>
        <v>80.159107411599</v>
      </c>
      <c r="BW77" s="65">
        <f t="shared" si="73"/>
      </c>
      <c r="BX77" s="65">
        <f t="shared" si="116"/>
        <v>-125.033080614474</v>
      </c>
      <c r="BY77" s="194">
        <f t="shared" si="75"/>
        <v>-263.182131385406</v>
      </c>
      <c r="BZ77" s="65">
        <f t="shared" si="117"/>
        <v>38.0135973292119</v>
      </c>
      <c r="CA77" s="65"/>
      <c r="CB77" s="65">
        <f t="shared" si="118"/>
        <v>-163.04667794368</v>
      </c>
      <c r="CC77" s="194">
        <f t="shared" si="78"/>
        <v>-343.196952403652</v>
      </c>
      <c r="CD77" s="65">
        <f t="shared" si="119"/>
        <v>74.3744295571538</v>
      </c>
      <c r="CE77" s="65"/>
      <c r="CF77" s="65">
        <f t="shared" si="120"/>
        <v>-237.421107500833</v>
      </c>
      <c r="CG77" s="194">
        <f t="shared" si="81"/>
        <v>-499.747689178503</v>
      </c>
      <c r="CH77" s="65">
        <f t="shared" si="121"/>
        <v>60.325926196358</v>
      </c>
      <c r="CI77" s="65"/>
      <c r="CJ77" s="65">
        <f t="shared" si="122"/>
        <v>-297.747033697191</v>
      </c>
      <c r="CK77" s="194">
        <f t="shared" si="84"/>
        <v>-499.747689178503</v>
      </c>
    </row>
    <row r="78" ht="14.0">
      <c r="A78" s="93" t="s">
        <v>179</v>
      </c>
      <c r="B78" s="93" t="s">
        <v>110</v>
      </c>
      <c r="C78" s="93" t="s">
        <v>324</v>
      </c>
      <c r="D78" s="234" t="s">
        <v>325</v>
      </c>
      <c r="E78" s="93">
        <v>0.0</v>
      </c>
      <c r="F78" s="93">
        <v>0.0</v>
      </c>
      <c r="G78" s="93">
        <v>0.0</v>
      </c>
      <c r="H78" s="93">
        <v>0.0</v>
      </c>
      <c r="I78" s="93">
        <v>0.0</v>
      </c>
      <c r="J78" s="93">
        <v>0.0</v>
      </c>
      <c r="K78" s="93">
        <v>0.0</v>
      </c>
      <c r="L78" s="93">
        <v>0.0</v>
      </c>
      <c r="M78" s="93">
        <v>0.0</v>
      </c>
      <c r="N78" s="93">
        <v>0.0</v>
      </c>
      <c r="O78" s="93">
        <v>0.0</v>
      </c>
      <c r="P78" s="93">
        <v>0.0</v>
      </c>
      <c r="Q78" s="93">
        <v>0.0</v>
      </c>
      <c r="R78" s="93">
        <v>0.0</v>
      </c>
      <c r="S78" s="93">
        <v>0.0</v>
      </c>
      <c r="T78" s="93">
        <v>0.0</v>
      </c>
      <c r="U78" s="93">
        <v>0.0</v>
      </c>
      <c r="V78" s="93">
        <v>0.0</v>
      </c>
      <c r="W78" s="93">
        <v>0.0</v>
      </c>
      <c r="X78" s="93">
        <v>0.0</v>
      </c>
      <c r="Y78" s="93">
        <v>0.0</v>
      </c>
      <c r="Z78" s="93">
        <v>33.0</v>
      </c>
      <c r="AA78" s="93">
        <v>96.0</v>
      </c>
      <c r="AB78" s="93">
        <v>87.0</v>
      </c>
      <c r="AC78" s="93">
        <v>66.0</v>
      </c>
      <c r="AD78" s="93">
        <v>66.0</v>
      </c>
      <c r="AE78" s="93">
        <v>93.0</v>
      </c>
      <c r="AF78" s="93">
        <v>39.0</v>
      </c>
      <c r="AG78" s="93">
        <v>21.0</v>
      </c>
      <c r="AH78" s="114">
        <v>36.0</v>
      </c>
      <c r="AI78" s="114">
        <v>27.0</v>
      </c>
      <c r="AJ78" s="114">
        <v>28.0</v>
      </c>
      <c r="AK78" s="114">
        <v>18.0</v>
      </c>
      <c r="AL78" s="114">
        <v>9.0</v>
      </c>
      <c r="AM78" s="114">
        <v>15.0</v>
      </c>
      <c r="AN78" s="93">
        <v>30.0</v>
      </c>
      <c r="AO78" s="93">
        <v>54.0</v>
      </c>
      <c r="AP78" s="93">
        <v>48.0</v>
      </c>
      <c r="AQ78" s="233">
        <v>63.0</v>
      </c>
      <c r="AR78" s="233">
        <v>12.0</v>
      </c>
      <c r="AS78" s="233">
        <v>26.0</v>
      </c>
      <c r="AT78" s="69">
        <f t="shared" si="4"/>
        <v>366.0</v>
      </c>
      <c r="AU78" s="69">
        <f t="shared" si="185"/>
        <v>133.0</v>
      </c>
      <c r="AV78" s="69">
        <f t="shared" si="6"/>
        <v>146.3</v>
      </c>
      <c r="AW78" s="47">
        <f t="shared" ref="AW78:AW82" si="193">AV78*$AW$4/$AV$4+3*$AW$87</f>
        <v>23.4883720930232</v>
      </c>
      <c r="AX78" s="47">
        <f t="shared" ref="AX78:AX82" si="194">AV78*$AY$4/$AV$4+3*$AY$87</f>
        <v>35.0518783542038</v>
      </c>
      <c r="AY78" s="47">
        <f t="shared" ref="AY78:AY82" si="195">AV78*$AY$4/$AV$4+3*$AY$87</f>
        <v>35.0518783542038</v>
      </c>
      <c r="AZ78" s="47">
        <f t="shared" ref="AZ78:AZ82" si="196">AV78*$AZ$4/$AV$4+3*$AZ$87</f>
        <v>16.6225402504472</v>
      </c>
      <c r="BA78" s="47">
        <f t="shared" ref="BA78:BA82" si="197">AV78*$BA$4/$AV$4+3*$BA$87</f>
        <v>32.5223613595706</v>
      </c>
      <c r="BB78" s="47">
        <f t="shared" ref="BB78:BB82" si="198">AV78*$BB$4/$AV$4+3*$BB$87</f>
        <v>26.3792486583184</v>
      </c>
      <c r="BC78" s="64">
        <f t="shared" si="13"/>
        <v>169.116279069767</v>
      </c>
      <c r="BD78" s="69">
        <f>VLOOKUP(D78,FEB23SOH,3,false)</f>
        <v>878.0</v>
      </c>
      <c r="BE78" s="201">
        <f>VLOOKUP(D78,VALUEFEB23,4,false)</f>
        <v>2.1065</v>
      </c>
      <c r="BF78" s="215">
        <f t="shared" si="16"/>
        <v>1849.507</v>
      </c>
      <c r="BI78" s="193">
        <f t="shared" si="108"/>
        <v>708.883720930233</v>
      </c>
      <c r="BK78" s="99"/>
      <c r="BL78" s="103"/>
      <c r="BM78" s="95">
        <f t="shared" si="110"/>
        <v>878.0</v>
      </c>
      <c r="BN78" s="65">
        <f t="shared" si="111"/>
        <v>23.4883720930232</v>
      </c>
      <c r="BO78" s="65">
        <f t="shared" si="21"/>
      </c>
      <c r="BP78" s="65">
        <f t="shared" si="112"/>
        <v>854.511627906977</v>
      </c>
      <c r="BQ78" s="194">
        <f t="shared" si="68"/>
        <v>1800.02874418604</v>
      </c>
      <c r="BR78" s="65">
        <f t="shared" si="113"/>
        <v>35.0518783542038</v>
      </c>
      <c r="BS78" s="65">
        <f t="shared" si="25"/>
      </c>
      <c r="BT78" s="65">
        <f t="shared" si="114"/>
        <v>819.459749552773</v>
      </c>
      <c r="BU78" s="194">
        <f t="shared" si="71"/>
        <v>1726.19196243291</v>
      </c>
      <c r="BV78" s="65">
        <f t="shared" si="115"/>
        <v>35.0518783542038</v>
      </c>
      <c r="BW78" s="65">
        <f t="shared" si="73"/>
      </c>
      <c r="BX78" s="65">
        <f t="shared" si="116"/>
        <v>784.407871198569</v>
      </c>
      <c r="BY78" s="194">
        <f t="shared" si="75"/>
        <v>1652.35518067979</v>
      </c>
      <c r="BZ78" s="65">
        <f t="shared" si="117"/>
        <v>16.6225402504472</v>
      </c>
      <c r="CA78" s="65"/>
      <c r="CB78" s="65">
        <f t="shared" si="118"/>
        <v>767.785330948121</v>
      </c>
      <c r="CC78" s="194">
        <f t="shared" si="78"/>
        <v>1617.33979964221</v>
      </c>
      <c r="CD78" s="65">
        <f t="shared" si="119"/>
        <v>32.5223613595706</v>
      </c>
      <c r="CE78" s="65"/>
      <c r="CF78" s="65">
        <f t="shared" si="120"/>
        <v>735.26296958855</v>
      </c>
      <c r="CG78" s="194">
        <f t="shared" si="81"/>
        <v>1548.83144543828</v>
      </c>
      <c r="CH78" s="65">
        <f t="shared" si="121"/>
        <v>26.3792486583184</v>
      </c>
      <c r="CI78" s="65"/>
      <c r="CJ78" s="65">
        <f t="shared" si="122"/>
        <v>708.883720930231</v>
      </c>
      <c r="CK78" s="194">
        <f t="shared" si="84"/>
        <v>1548.83144543828</v>
      </c>
    </row>
    <row r="79" ht="14.0">
      <c r="A79" s="93" t="s">
        <v>179</v>
      </c>
      <c r="B79" s="93" t="s">
        <v>110</v>
      </c>
      <c r="C79" s="93" t="s">
        <v>326</v>
      </c>
      <c r="D79" s="234" t="s">
        <v>327</v>
      </c>
      <c r="E79" s="93">
        <v>0.0</v>
      </c>
      <c r="F79" s="93">
        <v>0.0</v>
      </c>
      <c r="G79" s="93">
        <v>0.0</v>
      </c>
      <c r="H79" s="93">
        <v>0.0</v>
      </c>
      <c r="I79" s="93">
        <v>0.0</v>
      </c>
      <c r="J79" s="93">
        <v>0.0</v>
      </c>
      <c r="K79" s="93">
        <v>0.0</v>
      </c>
      <c r="L79" s="93">
        <v>0.0</v>
      </c>
      <c r="M79" s="93">
        <v>0.0</v>
      </c>
      <c r="N79" s="93">
        <v>0.0</v>
      </c>
      <c r="O79" s="93">
        <v>0.0</v>
      </c>
      <c r="P79" s="93">
        <v>0.0</v>
      </c>
      <c r="Q79" s="93">
        <v>0.0</v>
      </c>
      <c r="R79" s="93">
        <v>0.0</v>
      </c>
      <c r="S79" s="93">
        <v>0.0</v>
      </c>
      <c r="T79" s="93">
        <v>0.0</v>
      </c>
      <c r="U79" s="93">
        <v>0.0</v>
      </c>
      <c r="V79" s="93">
        <v>0.0</v>
      </c>
      <c r="W79" s="93">
        <v>0.0</v>
      </c>
      <c r="X79" s="93">
        <v>0.0</v>
      </c>
      <c r="Y79" s="93">
        <v>0.0</v>
      </c>
      <c r="Z79" s="93">
        <v>30.0</v>
      </c>
      <c r="AA79" s="93">
        <v>78.0</v>
      </c>
      <c r="AB79" s="93">
        <v>132.0</v>
      </c>
      <c r="AC79" s="93">
        <v>84.0</v>
      </c>
      <c r="AD79" s="93">
        <v>114.0</v>
      </c>
      <c r="AE79" s="93">
        <v>84.0</v>
      </c>
      <c r="AF79" s="93">
        <v>73.0</v>
      </c>
      <c r="AG79" s="93">
        <v>66.0</v>
      </c>
      <c r="AH79" s="114">
        <v>54.0</v>
      </c>
      <c r="AI79" s="114">
        <v>42.0</v>
      </c>
      <c r="AJ79" s="114">
        <v>48.0</v>
      </c>
      <c r="AK79" s="114">
        <v>18.0</v>
      </c>
      <c r="AL79" s="114">
        <v>18.0</v>
      </c>
      <c r="AM79" s="114">
        <v>24.0</v>
      </c>
      <c r="AN79" s="93">
        <v>48.0</v>
      </c>
      <c r="AO79" s="93">
        <v>42.0</v>
      </c>
      <c r="AP79" s="93">
        <v>60.0</v>
      </c>
      <c r="AQ79" s="233">
        <v>51.0</v>
      </c>
      <c r="AR79" s="233">
        <v>24.0</v>
      </c>
      <c r="AS79" s="233">
        <v>18.0</v>
      </c>
      <c r="AT79" s="69">
        <f t="shared" si="4"/>
        <v>447.0</v>
      </c>
      <c r="AU79" s="69">
        <f t="shared" si="185"/>
        <v>204.0</v>
      </c>
      <c r="AV79" s="69">
        <f t="shared" si="6"/>
        <v>224.4</v>
      </c>
      <c r="AW79" s="47">
        <f t="shared" si="193"/>
        <v>31.7441860465116</v>
      </c>
      <c r="AX79" s="47">
        <f t="shared" si="194"/>
        <v>47.3720930232557</v>
      </c>
      <c r="AY79" s="47">
        <f t="shared" si="195"/>
        <v>47.3720930232557</v>
      </c>
      <c r="AZ79" s="47">
        <f t="shared" si="196"/>
        <v>22.4651162790697</v>
      </c>
      <c r="BA79" s="47">
        <f t="shared" si="197"/>
        <v>43.9534883720929</v>
      </c>
      <c r="BB79" s="47">
        <f t="shared" si="198"/>
        <v>35.6511627906977</v>
      </c>
      <c r="BC79" s="64">
        <f t="shared" si="13"/>
        <v>228.558139534883</v>
      </c>
      <c r="BD79" s="69">
        <f>VLOOKUP(D79,FEB23SOH,3,false)</f>
        <v>629.0</v>
      </c>
      <c r="BE79" s="201">
        <f>VLOOKUP(D79,VALUEFEB23,4,false)</f>
        <v>2.1064</v>
      </c>
      <c r="BF79" s="215">
        <f t="shared" si="16"/>
        <v>1324.9256</v>
      </c>
      <c r="BI79" s="193">
        <f t="shared" si="108"/>
        <v>400.441860465117</v>
      </c>
      <c r="BK79" s="99"/>
      <c r="BL79" s="103"/>
      <c r="BM79" s="95">
        <f t="shared" si="110"/>
        <v>629.0</v>
      </c>
      <c r="BN79" s="65">
        <f t="shared" si="111"/>
        <v>31.7441860465116</v>
      </c>
      <c r="BO79" s="65">
        <f t="shared" si="21"/>
      </c>
      <c r="BP79" s="65">
        <f t="shared" si="112"/>
        <v>597.255813953488</v>
      </c>
      <c r="BQ79" s="194">
        <f t="shared" si="68"/>
        <v>1258.05964651162</v>
      </c>
      <c r="BR79" s="65">
        <f t="shared" si="113"/>
        <v>47.3720930232557</v>
      </c>
      <c r="BS79" s="65">
        <f t="shared" si="25"/>
      </c>
      <c r="BT79" s="65">
        <f t="shared" si="114"/>
        <v>549.883720930232</v>
      </c>
      <c r="BU79" s="194">
        <f t="shared" si="71"/>
        <v>1158.27506976744</v>
      </c>
      <c r="BV79" s="65">
        <f t="shared" si="115"/>
        <v>47.3720930232557</v>
      </c>
      <c r="BW79" s="65">
        <f t="shared" si="73"/>
      </c>
      <c r="BX79" s="65">
        <f t="shared" si="116"/>
        <v>502.511627906976</v>
      </c>
      <c r="BY79" s="194">
        <f t="shared" si="75"/>
        <v>1058.49049302325</v>
      </c>
      <c r="BZ79" s="65">
        <f t="shared" si="117"/>
        <v>22.4651162790697</v>
      </c>
      <c r="CA79" s="65"/>
      <c r="CB79" s="65">
        <f t="shared" si="118"/>
        <v>480.046511627906</v>
      </c>
      <c r="CC79" s="194">
        <f t="shared" si="78"/>
        <v>1011.16997209302</v>
      </c>
      <c r="CD79" s="65">
        <f t="shared" si="119"/>
        <v>43.9534883720929</v>
      </c>
      <c r="CE79" s="65"/>
      <c r="CF79" s="65">
        <f t="shared" si="120"/>
        <v>436.093023255813</v>
      </c>
      <c r="CG79" s="194">
        <f t="shared" si="81"/>
        <v>918.586344186044</v>
      </c>
      <c r="CH79" s="65">
        <f t="shared" si="121"/>
        <v>35.6511627906977</v>
      </c>
      <c r="CI79" s="65"/>
      <c r="CJ79" s="65">
        <f t="shared" si="122"/>
        <v>400.441860465115</v>
      </c>
      <c r="CK79" s="194">
        <f t="shared" si="84"/>
        <v>918.586344186044</v>
      </c>
    </row>
    <row r="80" ht="14.0" customFormat="1" s="47">
      <c r="A80" s="93" t="s">
        <v>179</v>
      </c>
      <c r="B80" s="93" t="s">
        <v>110</v>
      </c>
      <c r="C80" s="93" t="s">
        <v>328</v>
      </c>
      <c r="D80" s="234" t="s">
        <v>329</v>
      </c>
      <c r="E80" s="93">
        <v>0.0</v>
      </c>
      <c r="F80" s="93">
        <v>0.0</v>
      </c>
      <c r="G80" s="93">
        <v>0.0</v>
      </c>
      <c r="H80" s="93">
        <v>0.0</v>
      </c>
      <c r="I80" s="93">
        <v>0.0</v>
      </c>
      <c r="J80" s="93">
        <v>0.0</v>
      </c>
      <c r="K80" s="93">
        <v>0.0</v>
      </c>
      <c r="L80" s="93">
        <v>0.0</v>
      </c>
      <c r="M80" s="93">
        <v>0.0</v>
      </c>
      <c r="N80" s="93">
        <v>0.0</v>
      </c>
      <c r="O80" s="93">
        <v>0.0</v>
      </c>
      <c r="P80" s="93">
        <v>0.0</v>
      </c>
      <c r="Q80" s="93">
        <v>0.0</v>
      </c>
      <c r="R80" s="93">
        <v>0.0</v>
      </c>
      <c r="S80" s="93">
        <v>0.0</v>
      </c>
      <c r="T80" s="93">
        <v>0.0</v>
      </c>
      <c r="U80" s="93">
        <v>0.0</v>
      </c>
      <c r="V80" s="93">
        <v>0.0</v>
      </c>
      <c r="W80" s="93">
        <v>0.0</v>
      </c>
      <c r="X80" s="93">
        <v>0.0</v>
      </c>
      <c r="Y80" s="93">
        <v>0.0</v>
      </c>
      <c r="Z80" s="93">
        <v>39.0</v>
      </c>
      <c r="AA80" s="93">
        <v>54.0</v>
      </c>
      <c r="AB80" s="93">
        <v>45.0</v>
      </c>
      <c r="AC80" s="93">
        <v>60.0</v>
      </c>
      <c r="AD80" s="93">
        <v>63.0</v>
      </c>
      <c r="AE80" s="93">
        <v>48.0</v>
      </c>
      <c r="AF80" s="93">
        <v>39.0</v>
      </c>
      <c r="AG80" s="93">
        <v>28.0</v>
      </c>
      <c r="AH80" s="114">
        <v>27.0</v>
      </c>
      <c r="AI80" s="114">
        <v>69.0</v>
      </c>
      <c r="AJ80" s="114">
        <v>27.0</v>
      </c>
      <c r="AK80" s="114">
        <v>27.0</v>
      </c>
      <c r="AL80" s="114">
        <v>9.0</v>
      </c>
      <c r="AM80" s="114">
        <v>12.0</v>
      </c>
      <c r="AN80" s="93">
        <v>24.0</v>
      </c>
      <c r="AO80" s="93">
        <v>21.0</v>
      </c>
      <c r="AP80" s="93">
        <v>18.0</v>
      </c>
      <c r="AQ80" s="233">
        <v>51.0</v>
      </c>
      <c r="AR80" s="233">
        <v>27.0</v>
      </c>
      <c r="AS80" s="233">
        <v>18.0</v>
      </c>
      <c r="AT80" s="69">
        <f t="shared" si="4"/>
        <v>330.0</v>
      </c>
      <c r="AU80" s="69">
        <f t="shared" si="185"/>
        <v>171.0</v>
      </c>
      <c r="AV80" s="69">
        <f t="shared" si="6"/>
        <v>188.1</v>
      </c>
      <c r="AW80" s="47">
        <f t="shared" si="193"/>
        <v>27.906976744186</v>
      </c>
      <c r="AX80" s="47">
        <f t="shared" si="194"/>
        <v>41.6457960644006</v>
      </c>
      <c r="AY80" s="47">
        <f t="shared" si="195"/>
        <v>41.6457960644006</v>
      </c>
      <c r="AZ80" s="47">
        <f t="shared" si="196"/>
        <v>19.7495527728086</v>
      </c>
      <c r="BA80" s="47">
        <f t="shared" si="197"/>
        <v>38.6404293381037</v>
      </c>
      <c r="BB80" s="47">
        <f t="shared" si="198"/>
        <v>31.3416815742397</v>
      </c>
      <c r="BC80" s="64">
        <f t="shared" si="13"/>
        <v>200.930232558139</v>
      </c>
      <c r="BD80" s="69">
        <f>VLOOKUP(D80,FEB23SOH,3,false)</f>
        <v>26.0</v>
      </c>
      <c r="BE80" s="201">
        <f>VLOOKUP(D80,VALUEFEB23,4,false)</f>
        <v>2.0019</v>
      </c>
      <c r="BF80" s="215">
        <f t="shared" si="16"/>
        <v>52.0494</v>
      </c>
      <c r="BG80" s="64"/>
      <c r="BH80" s="64"/>
      <c r="BI80" s="193">
        <f t="shared" si="108"/>
        <v>-174.930232558139</v>
      </c>
      <c r="BJ80" s="238"/>
      <c r="BK80" s="236"/>
      <c r="BL80" s="103" t="s">
        <v>518</v>
      </c>
      <c r="BM80" s="95">
        <f t="shared" si="110"/>
        <v>26.0</v>
      </c>
      <c r="BN80" s="65">
        <f t="shared" si="111"/>
        <v>27.906976744186</v>
      </c>
      <c r="BO80" s="65">
        <f t="shared" si="21"/>
      </c>
      <c r="BP80" s="65">
        <f t="shared" si="112"/>
        <v>-1.906976744186</v>
      </c>
      <c r="BQ80" s="194">
        <f t="shared" si="68"/>
        <v>-3.81757674418595</v>
      </c>
      <c r="BR80" s="65">
        <f t="shared" si="113"/>
        <v>41.6457960644006</v>
      </c>
      <c r="BS80" s="65">
        <f t="shared" si="25"/>
      </c>
      <c r="BT80" s="65">
        <f t="shared" si="114"/>
        <v>-43.5527728085864</v>
      </c>
      <c r="BU80" s="194">
        <f t="shared" si="71"/>
        <v>-87.1882958855091</v>
      </c>
      <c r="BV80" s="65">
        <f t="shared" si="115"/>
        <v>41.6457960644006</v>
      </c>
      <c r="BW80" s="65">
        <f t="shared" si="73"/>
      </c>
      <c r="BX80" s="65">
        <f t="shared" si="116"/>
        <v>-85.198568872987</v>
      </c>
      <c r="BY80" s="194">
        <f t="shared" si="75"/>
        <v>-170.559015026832</v>
      </c>
      <c r="BZ80" s="65">
        <f t="shared" si="117"/>
        <v>19.7495527728086</v>
      </c>
      <c r="CA80" s="65"/>
      <c r="CB80" s="65">
        <f t="shared" si="118"/>
        <v>-104.948121645794</v>
      </c>
      <c r="CC80" s="194">
        <f t="shared" si="78"/>
        <v>-210.095644722715</v>
      </c>
      <c r="CD80" s="65">
        <f t="shared" si="119"/>
        <v>38.6404293381037</v>
      </c>
      <c r="CE80" s="65"/>
      <c r="CF80" s="65">
        <f t="shared" si="120"/>
        <v>-143.588550983896</v>
      </c>
      <c r="CG80" s="194">
        <f t="shared" si="81"/>
        <v>-287.449920214661</v>
      </c>
      <c r="CH80" s="65">
        <f t="shared" si="121"/>
        <v>31.3416815742397</v>
      </c>
      <c r="CI80" s="65"/>
      <c r="CJ80" s="65">
        <f t="shared" si="122"/>
        <v>-174.930232558134</v>
      </c>
      <c r="CK80" s="194">
        <f t="shared" si="84"/>
        <v>-287.449920214661</v>
      </c>
    </row>
    <row r="81" ht="14.0">
      <c r="A81" s="93" t="s">
        <v>179</v>
      </c>
      <c r="B81" s="93" t="s">
        <v>110</v>
      </c>
      <c r="C81" s="93" t="s">
        <v>331</v>
      </c>
      <c r="D81" s="234" t="s">
        <v>332</v>
      </c>
      <c r="E81" s="93">
        <v>0.0</v>
      </c>
      <c r="F81" s="93">
        <v>0.0</v>
      </c>
      <c r="G81" s="93">
        <v>0.0</v>
      </c>
      <c r="H81" s="93">
        <v>0.0</v>
      </c>
      <c r="I81" s="93">
        <v>0.0</v>
      </c>
      <c r="J81" s="93">
        <v>0.0</v>
      </c>
      <c r="K81" s="93">
        <v>0.0</v>
      </c>
      <c r="L81" s="93">
        <v>0.0</v>
      </c>
      <c r="M81" s="93">
        <v>0.0</v>
      </c>
      <c r="N81" s="93">
        <v>0.0</v>
      </c>
      <c r="O81" s="93">
        <v>0.0</v>
      </c>
      <c r="P81" s="93">
        <v>0.0</v>
      </c>
      <c r="Q81" s="93">
        <v>0.0</v>
      </c>
      <c r="R81" s="93">
        <v>0.0</v>
      </c>
      <c r="S81" s="93">
        <v>0.0</v>
      </c>
      <c r="T81" s="93">
        <v>0.0</v>
      </c>
      <c r="U81" s="93">
        <v>0.0</v>
      </c>
      <c r="V81" s="93">
        <v>0.0</v>
      </c>
      <c r="W81" s="93">
        <v>0.0</v>
      </c>
      <c r="X81" s="93">
        <v>0.0</v>
      </c>
      <c r="Y81" s="93">
        <v>0.0</v>
      </c>
      <c r="Z81" s="93">
        <v>66.0</v>
      </c>
      <c r="AA81" s="93">
        <v>111.0</v>
      </c>
      <c r="AB81" s="93">
        <v>180.0</v>
      </c>
      <c r="AC81" s="93">
        <v>143.0</v>
      </c>
      <c r="AD81" s="93">
        <v>117.0</v>
      </c>
      <c r="AE81" s="93">
        <v>86.0</v>
      </c>
      <c r="AF81" s="93">
        <v>45.0</v>
      </c>
      <c r="AG81" s="93">
        <v>36.0</v>
      </c>
      <c r="AH81" s="114">
        <v>66.0</v>
      </c>
      <c r="AI81" s="114">
        <v>99.0</v>
      </c>
      <c r="AJ81" s="114">
        <v>27.0</v>
      </c>
      <c r="AK81" s="114">
        <v>21.0</v>
      </c>
      <c r="AL81" s="114">
        <v>18.0</v>
      </c>
      <c r="AM81" s="114">
        <v>24.0</v>
      </c>
      <c r="AN81" s="93">
        <v>54.0</v>
      </c>
      <c r="AO81" s="93">
        <v>79.0</v>
      </c>
      <c r="AP81" s="93">
        <v>66.0</v>
      </c>
      <c r="AQ81" s="233">
        <v>114.0</v>
      </c>
      <c r="AR81" s="233">
        <v>18.0</v>
      </c>
      <c r="AS81" s="233">
        <v>22.0</v>
      </c>
      <c r="AT81" s="69">
        <f t="shared" si="4"/>
        <v>608.0</v>
      </c>
      <c r="AU81" s="69">
        <f t="shared" si="185"/>
        <v>255.0</v>
      </c>
      <c r="AV81" s="69">
        <f t="shared" si="6"/>
        <v>280.5</v>
      </c>
      <c r="AW81" s="47">
        <f t="shared" si="193"/>
        <v>37.6744186046511</v>
      </c>
      <c r="AX81" s="47">
        <f t="shared" si="194"/>
        <v>56.2218246869409</v>
      </c>
      <c r="AY81" s="47">
        <f t="shared" si="195"/>
        <v>56.2218246869409</v>
      </c>
      <c r="AZ81" s="47">
        <f t="shared" si="196"/>
        <v>26.6618962432916</v>
      </c>
      <c r="BA81" s="47">
        <f t="shared" si="197"/>
        <v>52.16457960644</v>
      </c>
      <c r="BB81" s="47">
        <f t="shared" si="198"/>
        <v>42.3112701252236</v>
      </c>
      <c r="BC81" s="64">
        <f t="shared" si="13"/>
        <v>271.255813953488</v>
      </c>
      <c r="BD81" s="69">
        <f>VLOOKUP(D81,FEB23SOH,3,false)</f>
        <v>344.0</v>
      </c>
      <c r="BE81" s="201">
        <f>VLOOKUP(D81,VALUEFEB23,4,false)</f>
        <v>2.1062</v>
      </c>
      <c r="BF81" s="215">
        <f t="shared" si="16"/>
        <v>724.5328</v>
      </c>
      <c r="BI81" s="193">
        <f t="shared" si="108"/>
        <v>72.744186046512</v>
      </c>
      <c r="BJ81" s="238">
        <v>1002.0</v>
      </c>
      <c r="BK81" s="99"/>
      <c r="BL81" s="103"/>
      <c r="BM81" s="95">
        <f t="shared" si="110"/>
        <v>344.0</v>
      </c>
      <c r="BN81" s="65">
        <f t="shared" si="111"/>
        <v>37.6744186046511</v>
      </c>
      <c r="BO81" s="65">
        <f t="shared" si="21"/>
      </c>
      <c r="BP81" s="65">
        <f t="shared" si="112"/>
        <v>306.32558139534</v>
      </c>
      <c r="BQ81" s="194">
        <f t="shared" si="68"/>
        <v>645.182939534865</v>
      </c>
      <c r="BR81" s="65">
        <f t="shared" si="113"/>
        <v>56.2218246869409</v>
      </c>
      <c r="BS81" s="65">
        <f t="shared" si="25"/>
      </c>
      <c r="BT81" s="65">
        <f t="shared" si="114"/>
        <v>250.103756708399</v>
      </c>
      <c r="BU81" s="194">
        <f t="shared" si="71"/>
        <v>526.76853237923</v>
      </c>
      <c r="BV81" s="65">
        <f t="shared" si="115"/>
        <v>56.2218246869409</v>
      </c>
      <c r="BW81" s="65">
        <f t="shared" si="73"/>
      </c>
      <c r="BX81" s="65">
        <f t="shared" si="116"/>
        <v>193.881932021458</v>
      </c>
      <c r="BY81" s="194">
        <f t="shared" si="75"/>
        <v>408.354125223594</v>
      </c>
      <c r="BZ81" s="65">
        <f t="shared" si="117"/>
        <v>26.6618962432916</v>
      </c>
      <c r="CA81" s="65"/>
      <c r="CB81" s="65">
        <f t="shared" si="118"/>
        <v>167.220035778166</v>
      </c>
      <c r="CC81" s="194">
        <f t="shared" si="78"/>
        <v>352.198839355973</v>
      </c>
      <c r="CD81" s="65">
        <f t="shared" si="119"/>
        <v>52.16457960644</v>
      </c>
      <c r="CE81" s="65"/>
      <c r="CF81" s="65">
        <f t="shared" si="120"/>
        <v>115.055456171726</v>
      </c>
      <c r="CG81" s="194">
        <f t="shared" si="81"/>
        <v>242.329801788889</v>
      </c>
      <c r="CH81" s="65">
        <f t="shared" si="121"/>
        <v>42.3112701252236</v>
      </c>
      <c r="CI81" s="65"/>
      <c r="CJ81" s="65">
        <f t="shared" si="122"/>
        <v>72.7441860465023</v>
      </c>
      <c r="CK81" s="194">
        <f t="shared" si="84"/>
        <v>242.329801788889</v>
      </c>
    </row>
    <row r="82" ht="14.0">
      <c r="A82" s="93" t="s">
        <v>179</v>
      </c>
      <c r="B82" s="93" t="s">
        <v>110</v>
      </c>
      <c r="C82" s="93" t="s">
        <v>333</v>
      </c>
      <c r="D82" s="234" t="s">
        <v>334</v>
      </c>
      <c r="E82" s="93">
        <v>0.0</v>
      </c>
      <c r="F82" s="93">
        <v>0.0</v>
      </c>
      <c r="G82" s="93">
        <v>0.0</v>
      </c>
      <c r="H82" s="93">
        <v>0.0</v>
      </c>
      <c r="I82" s="93">
        <v>0.0</v>
      </c>
      <c r="J82" s="93">
        <v>0.0</v>
      </c>
      <c r="K82" s="93">
        <v>0.0</v>
      </c>
      <c r="L82" s="93">
        <v>0.0</v>
      </c>
      <c r="M82" s="93">
        <v>0.0</v>
      </c>
      <c r="N82" s="93">
        <v>0.0</v>
      </c>
      <c r="O82" s="93">
        <v>0.0</v>
      </c>
      <c r="P82" s="93">
        <v>0.0</v>
      </c>
      <c r="Q82" s="93">
        <v>0.0</v>
      </c>
      <c r="R82" s="93">
        <v>0.0</v>
      </c>
      <c r="S82" s="93">
        <v>0.0</v>
      </c>
      <c r="T82" s="93">
        <v>0.0</v>
      </c>
      <c r="U82" s="93">
        <v>0.0</v>
      </c>
      <c r="V82" s="93">
        <v>0.0</v>
      </c>
      <c r="W82" s="93">
        <v>0.0</v>
      </c>
      <c r="X82" s="93">
        <v>0.0</v>
      </c>
      <c r="Y82" s="93">
        <v>0.0</v>
      </c>
      <c r="Z82" s="93">
        <v>48.0</v>
      </c>
      <c r="AA82" s="93">
        <v>88.0</v>
      </c>
      <c r="AB82" s="93">
        <v>122.0</v>
      </c>
      <c r="AC82" s="93">
        <v>109.0</v>
      </c>
      <c r="AD82" s="93">
        <v>146.0</v>
      </c>
      <c r="AE82" s="93">
        <v>96.0</v>
      </c>
      <c r="AF82" s="93">
        <v>47.0</v>
      </c>
      <c r="AG82" s="93">
        <v>48.0</v>
      </c>
      <c r="AH82" s="114">
        <v>61.0</v>
      </c>
      <c r="AI82" s="114">
        <v>81.0</v>
      </c>
      <c r="AJ82" s="114">
        <v>36.0</v>
      </c>
      <c r="AK82" s="114">
        <v>51.0</v>
      </c>
      <c r="AL82" s="114">
        <v>30.0</v>
      </c>
      <c r="AM82" s="114">
        <v>31.0</v>
      </c>
      <c r="AN82" s="93">
        <v>54.0</v>
      </c>
      <c r="AO82" s="93">
        <v>66.0</v>
      </c>
      <c r="AP82" s="93">
        <v>63.0</v>
      </c>
      <c r="AQ82" s="233">
        <v>117.0</v>
      </c>
      <c r="AR82" s="233">
        <v>29.0</v>
      </c>
      <c r="AS82" s="233">
        <v>66.0</v>
      </c>
      <c r="AT82" s="69">
        <f t="shared" si="4"/>
        <v>685.0</v>
      </c>
      <c r="AU82" s="69">
        <f t="shared" si="185"/>
        <v>290.0</v>
      </c>
      <c r="AV82" s="69">
        <f t="shared" si="6"/>
        <v>319.0</v>
      </c>
      <c r="AW82" s="47">
        <f t="shared" si="193"/>
        <v>41.7441860465116</v>
      </c>
      <c r="AX82" s="47">
        <f t="shared" si="194"/>
        <v>62.2951699463326</v>
      </c>
      <c r="AY82" s="47">
        <f t="shared" si="195"/>
        <v>62.2951699463326</v>
      </c>
      <c r="AZ82" s="47">
        <f t="shared" si="196"/>
        <v>29.5420393559928</v>
      </c>
      <c r="BA82" s="47">
        <f t="shared" si="197"/>
        <v>57.7996422182468</v>
      </c>
      <c r="BB82" s="47">
        <f t="shared" si="198"/>
        <v>46.8819320214669</v>
      </c>
      <c r="BC82" s="64">
        <f t="shared" si="13"/>
        <v>300.558139534883</v>
      </c>
      <c r="BD82" s="69">
        <f>VLOOKUP(D82,FEB23SOH,3,false)</f>
        <v>356.0</v>
      </c>
      <c r="BE82" s="201">
        <f>VLOOKUP(D82,VALUEFEB23,4,false)</f>
        <v>2.1062</v>
      </c>
      <c r="BF82" s="215">
        <f t="shared" si="16"/>
        <v>749.8072</v>
      </c>
      <c r="BI82" s="193">
        <f t="shared" si="108"/>
        <v>55.441860465117</v>
      </c>
      <c r="BJ82" s="238">
        <v>1002.0</v>
      </c>
      <c r="BK82" s="99"/>
      <c r="BL82" s="103"/>
      <c r="BM82" s="95">
        <f t="shared" si="110"/>
        <v>356.0</v>
      </c>
      <c r="BN82" s="65">
        <f t="shared" si="111"/>
        <v>41.7441860465116</v>
      </c>
      <c r="BO82" s="65">
        <f t="shared" si="21"/>
      </c>
      <c r="BP82" s="65">
        <f t="shared" si="112"/>
        <v>314.255813953488</v>
      </c>
      <c r="BQ82" s="194">
        <f t="shared" si="68"/>
        <v>661.885595348836</v>
      </c>
      <c r="BR82" s="65">
        <f t="shared" si="113"/>
        <v>62.2951699463326</v>
      </c>
      <c r="BS82" s="65">
        <f t="shared" si="25"/>
      </c>
      <c r="BT82" s="65">
        <f t="shared" si="114"/>
        <v>251.960644007155</v>
      </c>
      <c r="BU82" s="194">
        <f t="shared" si="71"/>
        <v>530.67950840787</v>
      </c>
      <c r="BV82" s="65">
        <f t="shared" si="115"/>
        <v>62.2951699463326</v>
      </c>
      <c r="BW82" s="65">
        <f t="shared" si="73"/>
      </c>
      <c r="BX82" s="65">
        <f t="shared" si="116"/>
        <v>189.665474060822</v>
      </c>
      <c r="BY82" s="194">
        <f t="shared" si="75"/>
        <v>399.473421466903</v>
      </c>
      <c r="BZ82" s="65">
        <f t="shared" si="117"/>
        <v>29.5420393559928</v>
      </c>
      <c r="CA82" s="65"/>
      <c r="CB82" s="65">
        <f t="shared" si="118"/>
        <v>160.123434704829</v>
      </c>
      <c r="CC82" s="194">
        <f t="shared" si="78"/>
        <v>337.25197817531</v>
      </c>
      <c r="CD82" s="65">
        <f t="shared" si="119"/>
        <v>57.7996422182468</v>
      </c>
      <c r="CE82" s="65"/>
      <c r="CF82" s="65">
        <f t="shared" si="120"/>
        <v>102.323792486582</v>
      </c>
      <c r="CG82" s="194">
        <f t="shared" si="81"/>
        <v>215.514371735239</v>
      </c>
      <c r="CH82" s="65">
        <f t="shared" si="121"/>
        <v>46.8819320214669</v>
      </c>
      <c r="CI82" s="65"/>
      <c r="CJ82" s="65">
        <f t="shared" si="122"/>
        <v>55.441860465115</v>
      </c>
      <c r="CK82" s="194">
        <f t="shared" si="84"/>
        <v>215.514371735239</v>
      </c>
    </row>
    <row r="83" ht="14.0" customFormat="1" s="47">
      <c r="A83" s="93" t="s">
        <v>179</v>
      </c>
      <c r="B83" s="93" t="s">
        <v>110</v>
      </c>
      <c r="C83" s="93" t="s">
        <v>335</v>
      </c>
      <c r="D83" s="229" t="s">
        <v>336</v>
      </c>
      <c r="E83" s="93">
        <v>0.0</v>
      </c>
      <c r="F83" s="93">
        <v>0.0</v>
      </c>
      <c r="G83" s="93">
        <v>0.0</v>
      </c>
      <c r="H83" s="93">
        <v>0.0</v>
      </c>
      <c r="I83" s="93">
        <v>0.0</v>
      </c>
      <c r="J83" s="93">
        <v>0.0</v>
      </c>
      <c r="K83" s="93">
        <v>0.0</v>
      </c>
      <c r="L83" s="93">
        <v>0.0</v>
      </c>
      <c r="M83" s="93">
        <v>0.0</v>
      </c>
      <c r="N83" s="93">
        <v>0.0</v>
      </c>
      <c r="O83" s="93">
        <v>0.0</v>
      </c>
      <c r="P83" s="93">
        <v>0.0</v>
      </c>
      <c r="Q83" s="93">
        <v>0.0</v>
      </c>
      <c r="R83" s="93">
        <v>0.0</v>
      </c>
      <c r="S83" s="93">
        <v>0.0</v>
      </c>
      <c r="T83" s="93">
        <v>0.0</v>
      </c>
      <c r="U83" s="93">
        <v>0.0</v>
      </c>
      <c r="V83" s="93">
        <v>0.0</v>
      </c>
      <c r="W83" s="93">
        <v>0.0</v>
      </c>
      <c r="X83" s="93">
        <v>0.0</v>
      </c>
      <c r="Y83" s="93">
        <v>0.0</v>
      </c>
      <c r="Z83" s="93">
        <v>36.0</v>
      </c>
      <c r="AA83" s="93">
        <v>54.0</v>
      </c>
      <c r="AB83" s="93">
        <v>45.0</v>
      </c>
      <c r="AC83" s="93">
        <v>54.0</v>
      </c>
      <c r="AD83" s="93">
        <v>45.0</v>
      </c>
      <c r="AE83" s="93">
        <v>54.0</v>
      </c>
      <c r="AF83" s="93">
        <v>45.0</v>
      </c>
      <c r="AG83" s="93">
        <v>35.0</v>
      </c>
      <c r="AH83" s="114">
        <v>37.0</v>
      </c>
      <c r="AI83" s="114">
        <v>27.0</v>
      </c>
      <c r="AJ83" s="93">
        <v>0.0</v>
      </c>
      <c r="AK83" s="114">
        <v>24.0</v>
      </c>
      <c r="AL83" s="114">
        <v>3.0</v>
      </c>
      <c r="AM83" s="114">
        <v>21.0</v>
      </c>
      <c r="AN83" s="93">
        <v>16.0</v>
      </c>
      <c r="AO83" s="93">
        <v>45.0</v>
      </c>
      <c r="AP83" s="93">
        <v>42.0</v>
      </c>
      <c r="AQ83" s="233">
        <v>33.0</v>
      </c>
      <c r="AR83" s="233">
        <v>15.0</v>
      </c>
      <c r="AS83" s="233">
        <v>26.0</v>
      </c>
      <c r="AT83" s="69">
        <f t="shared" si="4"/>
        <v>289.0</v>
      </c>
      <c r="AU83" s="69">
        <f t="shared" si="185"/>
        <v>112.0</v>
      </c>
      <c r="AV83" s="69">
        <f t="shared" si="6"/>
        <v>123.2</v>
      </c>
      <c r="AW83" s="47">
        <f>AV83*$AW$4/$AV$3+3*$AW$87</f>
        <v>24.53119232189</v>
      </c>
      <c r="AX83" s="47">
        <f>AV83*$AY$4/$AV$3+3*$AY$87</f>
        <v>36.6080870034357</v>
      </c>
      <c r="AY83" s="47">
        <f>AV83*$AY$4/$AV$3+3*$AY$87</f>
        <v>36.6080870034357</v>
      </c>
      <c r="AZ83" s="47">
        <f>AV83*$AZ$4/$AV$3+3*$AZ$87</f>
        <v>17.3605361047221</v>
      </c>
      <c r="BA83" s="47">
        <f>AV83*$BA$4/$AV$3+3*$BA$87</f>
        <v>33.9662662918477</v>
      </c>
      <c r="BB83" s="47">
        <f>AV83*$BB$4/$AV$3+3*$BB$87</f>
        <v>27.5504159922764</v>
      </c>
      <c r="BC83" s="64">
        <f t="shared" si="13"/>
        <v>176.624584717608</v>
      </c>
      <c r="BD83" s="69">
        <f>VLOOKUP(D83,FEB23SOH,3,false)</f>
        <v>74.0</v>
      </c>
      <c r="BE83" s="201">
        <f>VLOOKUP(D83,VALUEFEB23,4,false)</f>
        <v>2.0145</v>
      </c>
      <c r="BF83" s="215">
        <f t="shared" si="16"/>
        <v>149.073</v>
      </c>
      <c r="BG83" s="64"/>
      <c r="BH83" s="64"/>
      <c r="BI83" s="193">
        <f t="shared" si="108"/>
        <v>-102.624584717608</v>
      </c>
      <c r="BJ83" s="238"/>
      <c r="BK83" s="236"/>
      <c r="BL83" s="103" t="s">
        <v>520</v>
      </c>
      <c r="BM83" s="95">
        <f t="shared" si="110"/>
        <v>74.0</v>
      </c>
      <c r="BN83" s="65">
        <f t="shared" si="111"/>
        <v>24.53119232189</v>
      </c>
      <c r="BO83" s="65">
        <f t="shared" si="21"/>
      </c>
      <c r="BP83" s="65">
        <f t="shared" si="112"/>
        <v>49.46880767811</v>
      </c>
      <c r="BQ83" s="194">
        <f t="shared" si="68"/>
        <v>99.6549130675526</v>
      </c>
      <c r="BR83" s="65">
        <f t="shared" si="113"/>
        <v>36.6080870034357</v>
      </c>
      <c r="BS83" s="65">
        <f t="shared" si="25"/>
      </c>
      <c r="BT83" s="65">
        <f t="shared" si="114"/>
        <v>12.8607206746742</v>
      </c>
      <c r="BU83" s="194">
        <f t="shared" si="71"/>
        <v>25.9079217991311</v>
      </c>
      <c r="BV83" s="65">
        <f t="shared" si="115"/>
        <v>36.6080870034357</v>
      </c>
      <c r="BW83" s="65">
        <f t="shared" si="73"/>
      </c>
      <c r="BX83" s="65">
        <f t="shared" si="116"/>
        <v>-23.7473663287615</v>
      </c>
      <c r="BY83" s="194">
        <f t="shared" si="75"/>
        <v>-47.83906946929</v>
      </c>
      <c r="BZ83" s="65">
        <f t="shared" si="117"/>
        <v>17.3605361047221</v>
      </c>
      <c r="CA83" s="65"/>
      <c r="CB83" s="65">
        <f t="shared" si="118"/>
        <v>-41.1079024334836</v>
      </c>
      <c r="CC83" s="194">
        <f t="shared" si="78"/>
        <v>-82.8118694522527</v>
      </c>
      <c r="CD83" s="65">
        <f t="shared" si="119"/>
        <v>33.9662662918477</v>
      </c>
      <c r="CE83" s="65"/>
      <c r="CF83" s="65">
        <f t="shared" si="120"/>
        <v>-75.0741687253313</v>
      </c>
      <c r="CG83" s="194">
        <f t="shared" si="81"/>
        <v>-151.236912897178</v>
      </c>
      <c r="CH83" s="65">
        <f t="shared" si="121"/>
        <v>27.5504159922764</v>
      </c>
      <c r="CI83" s="65"/>
      <c r="CJ83" s="65">
        <f t="shared" si="122"/>
        <v>-102.624584717606</v>
      </c>
      <c r="CK83" s="194">
        <f t="shared" si="84"/>
        <v>-151.236912897178</v>
      </c>
    </row>
    <row r="84" ht="14.0" customFormat="1" s="47">
      <c r="A84" s="93" t="s">
        <v>179</v>
      </c>
      <c r="B84" s="93" t="s">
        <v>110</v>
      </c>
      <c r="C84" s="93" t="s">
        <v>337</v>
      </c>
      <c r="D84" s="229" t="s">
        <v>338</v>
      </c>
      <c r="E84" s="93">
        <v>0.0</v>
      </c>
      <c r="F84" s="93">
        <v>0.0</v>
      </c>
      <c r="G84" s="93">
        <v>0.0</v>
      </c>
      <c r="H84" s="93">
        <v>0.0</v>
      </c>
      <c r="I84" s="93">
        <v>0.0</v>
      </c>
      <c r="J84" s="93">
        <v>0.0</v>
      </c>
      <c r="K84" s="93">
        <v>0.0</v>
      </c>
      <c r="L84" s="93">
        <v>0.0</v>
      </c>
      <c r="M84" s="93">
        <v>0.0</v>
      </c>
      <c r="N84" s="93">
        <v>0.0</v>
      </c>
      <c r="O84" s="93">
        <v>0.0</v>
      </c>
      <c r="P84" s="93">
        <v>0.0</v>
      </c>
      <c r="Q84" s="93">
        <v>0.0</v>
      </c>
      <c r="R84" s="93">
        <v>0.0</v>
      </c>
      <c r="S84" s="93">
        <v>0.0</v>
      </c>
      <c r="T84" s="93">
        <v>0.0</v>
      </c>
      <c r="U84" s="93">
        <v>0.0</v>
      </c>
      <c r="V84" s="93">
        <v>0.0</v>
      </c>
      <c r="W84" s="93">
        <v>0.0</v>
      </c>
      <c r="X84" s="93">
        <v>0.0</v>
      </c>
      <c r="Y84" s="93">
        <v>0.0</v>
      </c>
      <c r="Z84" s="93">
        <v>0.0</v>
      </c>
      <c r="AA84" s="93">
        <v>0.0</v>
      </c>
      <c r="AB84" s="93">
        <v>0.0</v>
      </c>
      <c r="AC84" s="93">
        <v>0.0</v>
      </c>
      <c r="AD84" s="93">
        <v>0.0</v>
      </c>
      <c r="AE84" s="93">
        <v>0.0</v>
      </c>
      <c r="AF84" s="93">
        <v>0.0</v>
      </c>
      <c r="AG84" s="93">
        <v>0.0</v>
      </c>
      <c r="AH84" s="93">
        <v>21.0</v>
      </c>
      <c r="AI84" s="93">
        <v>215.0</v>
      </c>
      <c r="AJ84" s="93">
        <v>186.0</v>
      </c>
      <c r="AK84" s="93">
        <v>109.0</v>
      </c>
      <c r="AL84" s="93">
        <v>84.0</v>
      </c>
      <c r="AM84" s="93">
        <v>66.0</v>
      </c>
      <c r="AN84" s="230">
        <v>129.0</v>
      </c>
      <c r="AO84" s="230">
        <v>201.0</v>
      </c>
      <c r="AP84" s="230">
        <v>186.0</v>
      </c>
      <c r="AQ84" s="231">
        <v>142.0</v>
      </c>
      <c r="AR84" s="231">
        <v>94.0</v>
      </c>
      <c r="AS84" s="231">
        <v>150.0</v>
      </c>
      <c r="AT84" s="69">
        <f t="shared" si="4"/>
        <v>1583.0</v>
      </c>
      <c r="AU84" s="69">
        <f t="shared" ref="AU84:AU89" si="205">SUM(AN84:AS84)</f>
        <v>902.0</v>
      </c>
      <c r="AV84" s="69">
        <f t="shared" si="6"/>
        <v>992.2</v>
      </c>
      <c r="AW84" s="47">
        <f t="shared" ref="AW84:AW85" si="206">AV84*$AW$4/$AV$4</f>
        <v>104.883720930232</v>
      </c>
      <c r="AX84" s="47">
        <f t="shared" ref="AX84:AX85" si="207">AV84*$AX$4/$AV$4</f>
        <v>112.951699463327</v>
      </c>
      <c r="AY84" s="47">
        <f t="shared" ref="AY84:AY85" si="208">AV84*$AY$4/$AV$4</f>
        <v>156.518783542039</v>
      </c>
      <c r="AZ84" s="47">
        <f t="shared" ref="AZ84:AZ85" si="209">AV84*$AZ$4/$AV$4</f>
        <v>74.2254025044722</v>
      </c>
      <c r="BA84" s="47">
        <f t="shared" ref="BA84:BA85" si="210">AV84*$BA$4/$AV$4</f>
        <v>145.223613595707</v>
      </c>
      <c r="BB84" s="47">
        <f t="shared" ref="BB84:BB85" si="211">AV84*$BB$4/$AV$4</f>
        <v>117.792486583184</v>
      </c>
      <c r="BC84" s="64">
        <f t="shared" si="13"/>
        <v>711.595706618961</v>
      </c>
      <c r="BD84" s="69">
        <f>VLOOKUP(D84,FEB23SOH,3,false)</f>
        <v>402.0</v>
      </c>
      <c r="BE84" s="201">
        <f>VLOOKUP(D84,VALUEFEB23,4,false)</f>
        <v>2.0111</v>
      </c>
      <c r="BF84" s="215">
        <f t="shared" si="16"/>
        <v>808.4622</v>
      </c>
      <c r="BG84" s="64"/>
      <c r="BH84" s="64"/>
      <c r="BI84" s="193">
        <f t="shared" si="108"/>
        <v>-309.595706618961</v>
      </c>
      <c r="BJ84" s="217">
        <v>501.0</v>
      </c>
      <c r="BK84" s="185">
        <f>BJ84</f>
        <v>501.0</v>
      </c>
      <c r="BL84" s="103" t="s">
        <v>4</v>
      </c>
      <c r="BM84" s="95">
        <f t="shared" si="110"/>
        <v>402.0</v>
      </c>
      <c r="BN84" s="65">
        <f t="shared" si="111"/>
        <v>104.883720930232</v>
      </c>
      <c r="BO84" s="65">
        <f t="shared" si="21"/>
      </c>
      <c r="BP84" s="65">
        <f t="shared" si="112"/>
        <v>297.116279069768</v>
      </c>
      <c r="BQ84" s="194">
        <f t="shared" si="68"/>
        <v>597.53054883721</v>
      </c>
      <c r="BR84" s="65">
        <f t="shared" si="113"/>
        <v>112.951699463327</v>
      </c>
      <c r="BS84" s="65">
        <f t="shared" si="25"/>
      </c>
      <c r="BT84" s="65">
        <f t="shared" si="114"/>
        <v>184.16457960644</v>
      </c>
      <c r="BU84" s="194">
        <f t="shared" si="71"/>
        <v>370.373386046511</v>
      </c>
      <c r="BV84" s="65">
        <f t="shared" si="115"/>
        <v>156.518783542039</v>
      </c>
      <c r="BW84" s="65">
        <f t="shared" si="73"/>
      </c>
      <c r="BX84" s="65">
        <f t="shared" si="116"/>
        <v>27.645796064401</v>
      </c>
      <c r="BY84" s="194">
        <f t="shared" si="75"/>
        <v>55.5984604651169</v>
      </c>
      <c r="BZ84" s="65">
        <f t="shared" si="117"/>
        <v>74.2254025044722</v>
      </c>
      <c r="CA84" s="65"/>
      <c r="CB84" s="65">
        <f t="shared" si="118"/>
        <v>-46.5796064400712</v>
      </c>
      <c r="CC84" s="194">
        <f t="shared" si="78"/>
        <v>-93.6762465116271</v>
      </c>
      <c r="CD84" s="65">
        <f t="shared" si="119"/>
        <v>145.223613595707</v>
      </c>
      <c r="CE84" s="65"/>
      <c r="CF84" s="65">
        <f t="shared" si="120"/>
        <v>-191.803220035778</v>
      </c>
      <c r="CG84" s="194">
        <f t="shared" si="81"/>
        <v>-385.735455813953</v>
      </c>
      <c r="CH84" s="65">
        <f t="shared" si="121"/>
        <v>117.792486583184</v>
      </c>
      <c r="CI84" s="65"/>
      <c r="CJ84" s="65">
        <f t="shared" si="122"/>
        <v>-309.595706618962</v>
      </c>
      <c r="CK84" s="194">
        <f t="shared" si="84"/>
        <v>-385.735455813953</v>
      </c>
    </row>
    <row r="85" ht="14.0">
      <c r="A85" s="93" t="s">
        <v>179</v>
      </c>
      <c r="B85" s="93" t="s">
        <v>110</v>
      </c>
      <c r="C85" s="93" t="s">
        <v>339</v>
      </c>
      <c r="D85" s="229" t="s">
        <v>340</v>
      </c>
      <c r="E85" s="93">
        <v>0.0</v>
      </c>
      <c r="F85" s="93">
        <v>0.0</v>
      </c>
      <c r="G85" s="93">
        <v>0.0</v>
      </c>
      <c r="H85" s="93">
        <v>0.0</v>
      </c>
      <c r="I85" s="93">
        <v>0.0</v>
      </c>
      <c r="J85" s="93">
        <v>0.0</v>
      </c>
      <c r="K85" s="93">
        <v>0.0</v>
      </c>
      <c r="L85" s="93">
        <v>0.0</v>
      </c>
      <c r="M85" s="93">
        <v>0.0</v>
      </c>
      <c r="N85" s="93">
        <v>0.0</v>
      </c>
      <c r="O85" s="93">
        <v>0.0</v>
      </c>
      <c r="P85" s="93">
        <v>0.0</v>
      </c>
      <c r="Q85" s="93">
        <v>0.0</v>
      </c>
      <c r="R85" s="93">
        <v>0.0</v>
      </c>
      <c r="S85" s="93">
        <v>0.0</v>
      </c>
      <c r="T85" s="93">
        <v>0.0</v>
      </c>
      <c r="U85" s="93">
        <v>0.0</v>
      </c>
      <c r="V85" s="93">
        <v>0.0</v>
      </c>
      <c r="W85" s="93">
        <v>0.0</v>
      </c>
      <c r="X85" s="93">
        <v>0.0</v>
      </c>
      <c r="Y85" s="93">
        <v>0.0</v>
      </c>
      <c r="Z85" s="93">
        <v>0.0</v>
      </c>
      <c r="AA85" s="93">
        <v>0.0</v>
      </c>
      <c r="AB85" s="93">
        <v>0.0</v>
      </c>
      <c r="AC85" s="93">
        <v>0.0</v>
      </c>
      <c r="AD85" s="93">
        <v>0.0</v>
      </c>
      <c r="AE85" s="93">
        <v>0.0</v>
      </c>
      <c r="AF85" s="93">
        <v>0.0</v>
      </c>
      <c r="AG85" s="93">
        <v>0.0</v>
      </c>
      <c r="AH85" s="93">
        <v>12.0</v>
      </c>
      <c r="AI85" s="93">
        <v>165.0</v>
      </c>
      <c r="AJ85" s="93">
        <v>147.0</v>
      </c>
      <c r="AK85" s="93">
        <v>69.0</v>
      </c>
      <c r="AL85" s="93">
        <v>36.0</v>
      </c>
      <c r="AM85" s="93">
        <v>42.0</v>
      </c>
      <c r="AN85" s="230">
        <v>114.0</v>
      </c>
      <c r="AO85" s="230">
        <v>213.0</v>
      </c>
      <c r="AP85" s="230">
        <v>93.0</v>
      </c>
      <c r="AQ85" s="231">
        <v>51.0</v>
      </c>
      <c r="AR85" s="231">
        <v>22.0</v>
      </c>
      <c r="AS85" s="231">
        <v>51.0</v>
      </c>
      <c r="AT85" s="69">
        <f t="shared" si="4"/>
        <v>1015.0</v>
      </c>
      <c r="AU85" s="69">
        <f t="shared" si="205"/>
        <v>544.0</v>
      </c>
      <c r="AV85" s="69">
        <f t="shared" si="6"/>
        <v>598.4</v>
      </c>
      <c r="AW85" s="47">
        <f t="shared" si="206"/>
        <v>63.2558139534883</v>
      </c>
      <c r="AX85" s="47">
        <f t="shared" si="207"/>
        <v>68.1216457960644</v>
      </c>
      <c r="AY85" s="47">
        <f t="shared" si="208"/>
        <v>94.397137745975</v>
      </c>
      <c r="AZ85" s="47">
        <f t="shared" si="209"/>
        <v>44.7656529516994</v>
      </c>
      <c r="BA85" s="47">
        <f t="shared" si="210"/>
        <v>87.5849731663685</v>
      </c>
      <c r="BB85" s="47">
        <f t="shared" si="211"/>
        <v>71.04114490161</v>
      </c>
      <c r="BC85" s="64">
        <f t="shared" si="13"/>
        <v>429.1663685152</v>
      </c>
      <c r="BD85" s="69">
        <f>VLOOKUP(D85,FEB23SOH,3,false)</f>
        <v>980.0</v>
      </c>
      <c r="BE85" s="201">
        <f>VLOOKUP(D85,VALUEFEB23,4,false)</f>
        <v>2.0122</v>
      </c>
      <c r="BF85" s="215">
        <f t="shared" si="16"/>
        <v>1971.956</v>
      </c>
      <c r="BI85" s="193">
        <f t="shared" si="108"/>
        <v>550.8336314848</v>
      </c>
      <c r="BL85" s="103"/>
      <c r="BM85" s="95">
        <f t="shared" si="110"/>
        <v>980.0</v>
      </c>
      <c r="BN85" s="65">
        <f t="shared" si="111"/>
        <v>63.2558139534883</v>
      </c>
      <c r="BO85" s="65">
        <f t="shared" si="21"/>
      </c>
      <c r="BP85" s="65">
        <f t="shared" si="112"/>
        <v>916.744186046511</v>
      </c>
      <c r="BQ85" s="194">
        <f t="shared" si="68"/>
        <v>1844.67265116279</v>
      </c>
      <c r="BR85" s="65">
        <f t="shared" si="113"/>
        <v>68.1216457960644</v>
      </c>
      <c r="BS85" s="65">
        <f t="shared" si="25"/>
      </c>
      <c r="BT85" s="65">
        <f t="shared" si="114"/>
        <v>848.62254025044</v>
      </c>
      <c r="BU85" s="194">
        <f t="shared" si="71"/>
        <v>1707.59827549193</v>
      </c>
      <c r="BV85" s="65">
        <f t="shared" si="115"/>
        <v>94.397137745975</v>
      </c>
      <c r="BW85" s="65">
        <f t="shared" si="73"/>
      </c>
      <c r="BX85" s="65">
        <f t="shared" si="116"/>
        <v>754.225402504465</v>
      </c>
      <c r="BY85" s="194">
        <f t="shared" si="75"/>
        <v>1517.65235491948</v>
      </c>
      <c r="BZ85" s="65">
        <f t="shared" si="117"/>
        <v>44.7656529516994</v>
      </c>
      <c r="CA85" s="65"/>
      <c r="CB85" s="65">
        <f t="shared" si="118"/>
        <v>709.459749552766</v>
      </c>
      <c r="CC85" s="194">
        <f t="shared" si="78"/>
        <v>1427.57490805008</v>
      </c>
      <c r="CD85" s="65">
        <f t="shared" si="119"/>
        <v>87.5849731663685</v>
      </c>
      <c r="CE85" s="65"/>
      <c r="CF85" s="65">
        <f t="shared" si="120"/>
        <v>621.874776386398</v>
      </c>
      <c r="CG85" s="194">
        <f t="shared" si="81"/>
        <v>1251.33642504471</v>
      </c>
      <c r="CH85" s="65">
        <f t="shared" si="121"/>
        <v>71.04114490161</v>
      </c>
      <c r="CI85" s="65"/>
      <c r="CJ85" s="65">
        <f t="shared" si="122"/>
        <v>550.833631484788</v>
      </c>
      <c r="CK85" s="194">
        <f t="shared" si="84"/>
        <v>1251.33642504471</v>
      </c>
    </row>
    <row r="86" ht="14.0">
      <c r="A86" s="93" t="s">
        <v>179</v>
      </c>
      <c r="B86" s="93" t="s">
        <v>110</v>
      </c>
      <c r="C86" s="93" t="s">
        <v>582</v>
      </c>
      <c r="D86" s="229" t="s">
        <v>583</v>
      </c>
      <c r="E86" s="93">
        <v>0.0</v>
      </c>
      <c r="F86" s="93">
        <v>0.0</v>
      </c>
      <c r="G86" s="93">
        <v>0.0</v>
      </c>
      <c r="H86" s="93">
        <v>0.0</v>
      </c>
      <c r="I86" s="93">
        <v>0.0</v>
      </c>
      <c r="J86" s="93">
        <v>0.0</v>
      </c>
      <c r="K86" s="93">
        <v>0.0</v>
      </c>
      <c r="L86" s="93">
        <v>0.0</v>
      </c>
      <c r="M86" s="93">
        <v>0.0</v>
      </c>
      <c r="N86" s="93">
        <v>0.0</v>
      </c>
      <c r="O86" s="93">
        <v>0.0</v>
      </c>
      <c r="P86" s="93">
        <v>0.0</v>
      </c>
      <c r="Q86" s="93">
        <v>0.0</v>
      </c>
      <c r="R86" s="93">
        <v>0.0</v>
      </c>
      <c r="S86" s="93">
        <v>0.0</v>
      </c>
      <c r="T86" s="93">
        <v>0.0</v>
      </c>
      <c r="U86" s="93">
        <v>0.0</v>
      </c>
      <c r="V86" s="93">
        <v>0.0</v>
      </c>
      <c r="W86" s="93">
        <v>0.0</v>
      </c>
      <c r="X86" s="93">
        <v>0.0</v>
      </c>
      <c r="Y86" s="93">
        <v>0.0</v>
      </c>
      <c r="Z86" s="93">
        <v>0.0</v>
      </c>
      <c r="AA86" s="93">
        <v>0.0</v>
      </c>
      <c r="AB86" s="93">
        <v>0.0</v>
      </c>
      <c r="AC86" s="93">
        <v>0.0</v>
      </c>
      <c r="AD86" s="93">
        <v>0.0</v>
      </c>
      <c r="AE86" s="93">
        <v>0.0</v>
      </c>
      <c r="AF86" s="93">
        <v>0.0</v>
      </c>
      <c r="AG86" s="93">
        <v>0.0</v>
      </c>
      <c r="AH86" s="93">
        <v>0.0</v>
      </c>
      <c r="AI86" s="93">
        <v>0.0</v>
      </c>
      <c r="AJ86" s="93">
        <v>0.0</v>
      </c>
      <c r="AK86" s="93">
        <v>0.0</v>
      </c>
      <c r="AL86" s="93">
        <v>0.0</v>
      </c>
      <c r="AM86" s="93">
        <v>15.0</v>
      </c>
      <c r="AN86" s="230">
        <v>46.0</v>
      </c>
      <c r="AO86" s="230">
        <v>48.0</v>
      </c>
      <c r="AP86" s="230">
        <v>102.0</v>
      </c>
      <c r="AQ86" s="231">
        <v>51.0</v>
      </c>
      <c r="AR86" s="231">
        <v>19.0</v>
      </c>
      <c r="AS86" s="231">
        <v>40.0</v>
      </c>
      <c r="AT86" s="69">
        <f t="shared" si="4"/>
        <v>321.0</v>
      </c>
      <c r="AU86" s="69">
        <f t="shared" si="205"/>
        <v>306.0</v>
      </c>
      <c r="AV86" s="69">
        <f t="shared" si="6"/>
        <v>336.6</v>
      </c>
      <c r="AW86" s="65">
        <f>AVERAGE(AM86:AN86)*1.1</f>
        <v>33.55</v>
      </c>
      <c r="AX86" s="65">
        <f>AW86</f>
        <v>33.55</v>
      </c>
      <c r="AY86" s="65">
        <f>AX86</f>
        <v>33.55</v>
      </c>
      <c r="AZ86" s="65">
        <f>AY86</f>
        <v>33.55</v>
      </c>
      <c r="BA86" s="65">
        <f>AZ86</f>
        <v>33.55</v>
      </c>
      <c r="BB86" s="65">
        <f>BA86</f>
        <v>33.55</v>
      </c>
      <c r="BC86" s="64">
        <f t="shared" si="13"/>
        <v>201.3</v>
      </c>
      <c r="BD86" s="69">
        <f>VLOOKUP(D86,FEB23SOH,3,false)</f>
        <v>685.0</v>
      </c>
      <c r="BE86" s="201">
        <f>VLOOKUP(D86,VALUEFEB23,4,false)</f>
        <v>3.04</v>
      </c>
      <c r="BF86" s="215">
        <f t="shared" si="16"/>
        <v>2082.4</v>
      </c>
      <c r="BI86" s="193">
        <f t="shared" si="108"/>
        <v>483.7</v>
      </c>
      <c r="BL86" s="103"/>
      <c r="BM86" s="95">
        <f t="shared" si="110"/>
        <v>685.0</v>
      </c>
      <c r="BN86" s="65">
        <f t="shared" si="111"/>
        <v>33.55</v>
      </c>
      <c r="BO86" s="65">
        <f t="shared" si="21"/>
      </c>
      <c r="BP86" s="65">
        <f t="shared" si="112"/>
        <v>651.45</v>
      </c>
      <c r="BQ86" s="194">
        <f t="shared" si="68"/>
        <v>1980.408</v>
      </c>
      <c r="BR86" s="65">
        <f t="shared" si="113"/>
        <v>33.55</v>
      </c>
      <c r="BS86" s="65">
        <f t="shared" si="25"/>
      </c>
      <c r="BT86" s="65">
        <f t="shared" si="114"/>
        <v>617.9</v>
      </c>
      <c r="BU86" s="194">
        <f t="shared" si="71"/>
        <v>1878.416</v>
      </c>
      <c r="BV86" s="65">
        <f t="shared" si="115"/>
        <v>33.55</v>
      </c>
      <c r="BW86" s="65">
        <f t="shared" si="73"/>
      </c>
      <c r="BX86" s="65">
        <f t="shared" si="116"/>
        <v>584.35</v>
      </c>
      <c r="BY86" s="194">
        <f t="shared" si="75"/>
        <v>1776.424</v>
      </c>
      <c r="BZ86" s="65">
        <f t="shared" si="117"/>
        <v>33.55</v>
      </c>
      <c r="CA86" s="65"/>
      <c r="CB86" s="65">
        <f t="shared" si="118"/>
        <v>550.8</v>
      </c>
      <c r="CC86" s="194">
        <f t="shared" si="78"/>
        <v>1674.432</v>
      </c>
      <c r="CD86" s="65">
        <f t="shared" si="119"/>
        <v>33.55</v>
      </c>
      <c r="CE86" s="65"/>
      <c r="CF86" s="65">
        <f t="shared" si="120"/>
        <v>517.25</v>
      </c>
      <c r="CG86" s="194">
        <f t="shared" si="81"/>
        <v>1572.44</v>
      </c>
      <c r="CH86" s="65">
        <f t="shared" si="121"/>
        <v>33.55</v>
      </c>
      <c r="CI86" s="65"/>
      <c r="CJ86" s="65">
        <f t="shared" si="122"/>
        <v>483.7</v>
      </c>
      <c r="CK86" s="194">
        <f t="shared" si="84"/>
        <v>1572.44</v>
      </c>
    </row>
    <row r="87" ht="14.0" customFormat="1" s="47">
      <c r="A87" s="93" t="s">
        <v>179</v>
      </c>
      <c r="B87" s="93" t="s">
        <v>110</v>
      </c>
      <c r="C87" s="93" t="s">
        <v>345</v>
      </c>
      <c r="D87" s="229" t="s">
        <v>346</v>
      </c>
      <c r="E87" s="93">
        <v>0.0</v>
      </c>
      <c r="F87" s="93">
        <v>0.0</v>
      </c>
      <c r="G87" s="93">
        <v>0.0</v>
      </c>
      <c r="H87" s="93">
        <v>0.0</v>
      </c>
      <c r="I87" s="93">
        <v>0.0</v>
      </c>
      <c r="J87" s="93">
        <v>0.0</v>
      </c>
      <c r="K87" s="93">
        <v>0.0</v>
      </c>
      <c r="L87" s="93">
        <v>0.0</v>
      </c>
      <c r="M87" s="93">
        <v>0.0</v>
      </c>
      <c r="N87" s="93">
        <v>0.0</v>
      </c>
      <c r="O87" s="93">
        <v>0.0</v>
      </c>
      <c r="P87" s="93">
        <v>0.0</v>
      </c>
      <c r="Q87" s="93">
        <v>0.0</v>
      </c>
      <c r="R87" s="93">
        <v>0.0</v>
      </c>
      <c r="S87" s="93">
        <v>0.0</v>
      </c>
      <c r="T87" s="93">
        <v>0.0</v>
      </c>
      <c r="U87" s="93">
        <v>0.0</v>
      </c>
      <c r="V87" s="93">
        <v>0.0</v>
      </c>
      <c r="W87" s="93">
        <v>0.0</v>
      </c>
      <c r="X87" s="93">
        <v>0.0</v>
      </c>
      <c r="Y87" s="93">
        <v>0.0</v>
      </c>
      <c r="Z87" s="93">
        <v>1.0</v>
      </c>
      <c r="AA87" s="93">
        <v>12.0</v>
      </c>
      <c r="AB87" s="93">
        <v>10.0</v>
      </c>
      <c r="AC87" s="93">
        <v>10.0</v>
      </c>
      <c r="AD87" s="93">
        <v>5.0</v>
      </c>
      <c r="AE87" s="93">
        <v>2.0</v>
      </c>
      <c r="AF87" s="93">
        <v>5.0</v>
      </c>
      <c r="AG87" s="93">
        <v>7.0</v>
      </c>
      <c r="AH87" s="93">
        <v>2.0</v>
      </c>
      <c r="AI87" s="93">
        <v>3.0</v>
      </c>
      <c r="AJ87" s="93">
        <v>1.0</v>
      </c>
      <c r="AK87" s="93">
        <v>1.0</v>
      </c>
      <c r="AL87" s="93">
        <v>3.0</v>
      </c>
      <c r="AM87" s="93">
        <v>4.0</v>
      </c>
      <c r="AN87" s="230">
        <v>4.0</v>
      </c>
      <c r="AO87" s="230">
        <v>3.0</v>
      </c>
      <c r="AP87" s="230">
        <v>5.0</v>
      </c>
      <c r="AQ87" s="231">
        <v>3.0</v>
      </c>
      <c r="AR87" s="231">
        <v>6.0</v>
      </c>
      <c r="AS87" s="231">
        <v>2.0</v>
      </c>
      <c r="AT87" s="69">
        <f t="shared" si="4"/>
        <v>37.0</v>
      </c>
      <c r="AU87" s="69">
        <f t="shared" si="205"/>
        <v>23.0</v>
      </c>
      <c r="AV87" s="69">
        <f t="shared" si="6"/>
        <v>25.3</v>
      </c>
      <c r="AW87" s="235">
        <f t="shared" ref="AW87:AW89" si="219">AV87*$AW$4/$AV$4</f>
        <v>2.67441860465116</v>
      </c>
      <c r="AX87" s="235">
        <f t="shared" ref="AX87:AX89" si="220">AV87*$AX$4/$AV$4</f>
        <v>2.88014311270125</v>
      </c>
      <c r="AY87" s="235">
        <f t="shared" ref="AY87:AY89" si="221">AV87*$AY$4/$AV$4</f>
        <v>3.99105545617173</v>
      </c>
      <c r="AZ87" s="235">
        <f t="shared" ref="AZ87:AZ89" si="222">AV87*$AZ$4/$AV$4</f>
        <v>1.89266547406082</v>
      </c>
      <c r="BA87" s="235">
        <f t="shared" ref="BA87:BA89" si="223">AV87*$BA$4/$AV$4</f>
        <v>3.70304114490161</v>
      </c>
      <c r="BB87" s="235">
        <f t="shared" ref="BB87:BB89" si="224">AV87*$BB$4/$AV$4</f>
        <v>3.0035778175313</v>
      </c>
      <c r="BC87" s="64">
        <f t="shared" si="13"/>
        <v>18.1449016100179</v>
      </c>
      <c r="BD87" s="69">
        <f>VLOOKUP(D87,FEB23SOH,3,false)</f>
        <v>2.0</v>
      </c>
      <c r="BE87" s="201">
        <f>VLOOKUP(D87,VALUEFEB23,4,false)</f>
        <v>53.085</v>
      </c>
      <c r="BF87" s="215">
        <f t="shared" si="16"/>
        <v>106.17</v>
      </c>
      <c r="BG87" s="64"/>
      <c r="BH87" s="64"/>
      <c r="BI87" s="238"/>
      <c r="BJ87" s="238"/>
      <c r="BL87" s="103"/>
      <c r="BM87" s="95"/>
      <c r="BN87" s="65"/>
      <c r="BO87" s="65">
        <f t="shared" si="21"/>
      </c>
      <c r="BP87" s="65"/>
      <c r="BQ87" s="194">
        <f t="shared" si="68"/>
        <v>0.0</v>
      </c>
      <c r="BR87" s="65"/>
      <c r="BS87" s="65">
        <f t="shared" si="25"/>
      </c>
      <c r="BT87" s="65"/>
      <c r="BU87" s="194">
        <f t="shared" si="71"/>
        <v>0.0</v>
      </c>
      <c r="BV87" s="65"/>
      <c r="BW87" s="65">
        <f t="shared" si="73"/>
      </c>
      <c r="BX87" s="65"/>
      <c r="BY87" s="194">
        <f t="shared" si="75"/>
        <v>0.0</v>
      </c>
      <c r="BZ87" s="65"/>
      <c r="CA87" s="65"/>
      <c r="CB87" s="65"/>
      <c r="CC87" s="194">
        <f t="shared" si="78"/>
        <v>0.0</v>
      </c>
      <c r="CD87" s="65"/>
      <c r="CE87" s="65"/>
      <c r="CF87" s="65"/>
      <c r="CG87" s="194">
        <f t="shared" si="81"/>
        <v>0.0</v>
      </c>
      <c r="CH87" s="65"/>
      <c r="CI87" s="65"/>
      <c r="CJ87" s="65"/>
      <c r="CK87" s="194">
        <f t="shared" si="84"/>
        <v>0.0</v>
      </c>
    </row>
    <row r="88" ht="14.0">
      <c r="A88" s="93" t="s">
        <v>179</v>
      </c>
      <c r="B88" s="93" t="s">
        <v>110</v>
      </c>
      <c r="C88" s="93" t="s">
        <v>341</v>
      </c>
      <c r="D88" s="229" t="s">
        <v>342</v>
      </c>
      <c r="E88" s="93">
        <v>0.0</v>
      </c>
      <c r="F88" s="93">
        <v>0.0</v>
      </c>
      <c r="G88" s="93">
        <v>0.0</v>
      </c>
      <c r="H88" s="93">
        <v>0.0</v>
      </c>
      <c r="I88" s="93">
        <v>0.0</v>
      </c>
      <c r="J88" s="93">
        <v>0.0</v>
      </c>
      <c r="K88" s="93">
        <v>0.0</v>
      </c>
      <c r="L88" s="93">
        <v>0.0</v>
      </c>
      <c r="M88" s="93">
        <v>0.0</v>
      </c>
      <c r="N88" s="93">
        <v>0.0</v>
      </c>
      <c r="O88" s="93">
        <v>0.0</v>
      </c>
      <c r="P88" s="93">
        <v>0.0</v>
      </c>
      <c r="Q88" s="93">
        <v>0.0</v>
      </c>
      <c r="R88" s="93">
        <v>0.0</v>
      </c>
      <c r="S88" s="93">
        <v>0.0</v>
      </c>
      <c r="T88" s="93">
        <v>0.0</v>
      </c>
      <c r="U88" s="93">
        <v>0.0</v>
      </c>
      <c r="V88" s="93">
        <v>0.0</v>
      </c>
      <c r="W88" s="93">
        <v>0.0</v>
      </c>
      <c r="X88" s="93">
        <v>0.0</v>
      </c>
      <c r="Y88" s="93">
        <v>0.0</v>
      </c>
      <c r="Z88" s="93">
        <v>0.0</v>
      </c>
      <c r="AA88" s="93">
        <v>0.0</v>
      </c>
      <c r="AB88" s="93">
        <v>0.0</v>
      </c>
      <c r="AC88" s="93">
        <v>0.0</v>
      </c>
      <c r="AD88" s="93">
        <v>0.0</v>
      </c>
      <c r="AE88" s="93">
        <v>0.0</v>
      </c>
      <c r="AF88" s="93">
        <v>0.0</v>
      </c>
      <c r="AG88" s="93">
        <v>0.0</v>
      </c>
      <c r="AH88" s="93">
        <v>0.0</v>
      </c>
      <c r="AI88" s="93">
        <v>24.0</v>
      </c>
      <c r="AJ88" s="93">
        <v>36.0</v>
      </c>
      <c r="AK88" s="93">
        <v>6.0</v>
      </c>
      <c r="AL88" s="93">
        <v>24.0</v>
      </c>
      <c r="AM88" s="93">
        <v>18.0</v>
      </c>
      <c r="AN88" s="230">
        <v>6.0</v>
      </c>
      <c r="AO88" s="230">
        <v>0.0</v>
      </c>
      <c r="AP88" s="230">
        <v>6.0</v>
      </c>
      <c r="AQ88" s="231">
        <v>24.0</v>
      </c>
      <c r="AR88" s="231">
        <v>36.0</v>
      </c>
      <c r="AS88" s="231">
        <v>15.0</v>
      </c>
      <c r="AT88" s="69">
        <f t="shared" si="4"/>
        <v>195.0</v>
      </c>
      <c r="AU88" s="69">
        <f t="shared" si="205"/>
        <v>87.0</v>
      </c>
      <c r="AV88" s="69">
        <f t="shared" si="6"/>
        <v>95.7</v>
      </c>
      <c r="AW88" s="47">
        <f t="shared" si="219"/>
        <v>10.1162790697674</v>
      </c>
      <c r="AX88" s="47">
        <f t="shared" si="220"/>
        <v>10.8944543828264</v>
      </c>
      <c r="AY88" s="47">
        <f t="shared" si="221"/>
        <v>15.0966010733452</v>
      </c>
      <c r="AZ88" s="47">
        <f t="shared" si="222"/>
        <v>7.15921288014311</v>
      </c>
      <c r="BA88" s="47">
        <f t="shared" si="223"/>
        <v>14.0071556350626</v>
      </c>
      <c r="BB88" s="47">
        <f t="shared" si="224"/>
        <v>11.3613595706619</v>
      </c>
      <c r="BC88" s="64">
        <f t="shared" si="13"/>
        <v>68.6350626118066</v>
      </c>
      <c r="BD88" s="69">
        <f>VLOOKUP(D88,FEB23SOH,3,false)</f>
        <v>808.0</v>
      </c>
      <c r="BE88" s="201">
        <f>VLOOKUP(D88,VALUEFEB23,4,false)</f>
        <v>0.531</v>
      </c>
      <c r="BF88" s="215">
        <f t="shared" si="16"/>
        <v>429.048</v>
      </c>
      <c r="BI88" s="193">
        <f t="shared" ref="BI88:BI103" si="225">BD88+BG88+BH88-BC88</f>
        <v>739.364937388193</v>
      </c>
      <c r="BK88" s="99"/>
      <c r="BL88" s="103"/>
      <c r="BM88" s="95">
        <f t="shared" ref="BM88:BM103" si="226">BD88</f>
        <v>808.0</v>
      </c>
      <c r="BN88" s="65">
        <f t="shared" ref="BN88:BN103" si="227">AW88</f>
        <v>10.1162790697674</v>
      </c>
      <c r="BO88" s="65">
        <f t="shared" si="21"/>
      </c>
      <c r="BP88" s="65">
        <f t="shared" ref="BP88:BP103" si="228">BM88+BO88-BN88</f>
        <v>797.883720930232</v>
      </c>
      <c r="BQ88" s="194">
        <f t="shared" si="68"/>
        <v>423.676255813953</v>
      </c>
      <c r="BR88" s="65">
        <f t="shared" ref="BR88:BR103" si="229">AX88</f>
        <v>10.8944543828264</v>
      </c>
      <c r="BS88" s="65">
        <f t="shared" si="25"/>
      </c>
      <c r="BT88" s="65">
        <f t="shared" ref="BT88:BT103" si="230">BP88+BS88-BR88</f>
        <v>786.989266547406</v>
      </c>
      <c r="BU88" s="194">
        <f t="shared" si="71"/>
        <v>417.891300536672</v>
      </c>
      <c r="BV88" s="65">
        <f t="shared" ref="BV88:BV103" si="231">AY88</f>
        <v>15.0966010733452</v>
      </c>
      <c r="BW88" s="65">
        <f t="shared" si="73"/>
      </c>
      <c r="BX88" s="65">
        <f t="shared" ref="BX88:BX103" si="232">BT88+BW88-BV88</f>
        <v>771.89266547406</v>
      </c>
      <c r="BY88" s="194">
        <f t="shared" si="75"/>
        <v>409.87500536672</v>
      </c>
      <c r="BZ88" s="65">
        <f t="shared" ref="BZ88:BZ103" si="233">AZ88</f>
        <v>7.15921288014311</v>
      </c>
      <c r="CA88" s="65"/>
      <c r="CB88" s="65">
        <f t="shared" ref="CB88:CB103" si="234">BX88+CA88-BZ88</f>
        <v>764.733452593917</v>
      </c>
      <c r="CC88" s="194">
        <f t="shared" si="78"/>
        <v>406.07346332737</v>
      </c>
      <c r="CD88" s="65">
        <f t="shared" ref="CD88:CD103" si="235">BA88</f>
        <v>14.0071556350626</v>
      </c>
      <c r="CE88" s="65"/>
      <c r="CF88" s="65">
        <f t="shared" ref="CF88:CF103" si="236">CB88+CE88-CD88</f>
        <v>750.726296958854</v>
      </c>
      <c r="CG88" s="194">
        <f t="shared" si="81"/>
        <v>398.635663685151</v>
      </c>
      <c r="CH88" s="65">
        <f t="shared" ref="CH88:CH103" si="237">BB88</f>
        <v>11.3613595706619</v>
      </c>
      <c r="CI88" s="65"/>
      <c r="CJ88" s="65">
        <f t="shared" ref="CJ88:CJ103" si="238">CF88+CI88-CH88</f>
        <v>739.364937388192</v>
      </c>
      <c r="CK88" s="194">
        <f t="shared" si="84"/>
        <v>398.635663685151</v>
      </c>
    </row>
    <row r="89" ht="14.0" customFormat="1" s="47">
      <c r="A89" s="93" t="s">
        <v>179</v>
      </c>
      <c r="B89" s="93" t="s">
        <v>110</v>
      </c>
      <c r="C89" s="93" t="s">
        <v>343</v>
      </c>
      <c r="D89" s="229" t="s">
        <v>344</v>
      </c>
      <c r="E89" s="93">
        <v>0.0</v>
      </c>
      <c r="F89" s="93">
        <v>0.0</v>
      </c>
      <c r="G89" s="93">
        <v>0.0</v>
      </c>
      <c r="H89" s="93">
        <v>0.0</v>
      </c>
      <c r="I89" s="93">
        <v>0.0</v>
      </c>
      <c r="J89" s="93">
        <v>0.0</v>
      </c>
      <c r="K89" s="93">
        <v>0.0</v>
      </c>
      <c r="L89" s="93">
        <v>0.0</v>
      </c>
      <c r="M89" s="93">
        <v>0.0</v>
      </c>
      <c r="N89" s="93">
        <v>0.0</v>
      </c>
      <c r="O89" s="93">
        <v>0.0</v>
      </c>
      <c r="P89" s="93">
        <v>0.0</v>
      </c>
      <c r="Q89" s="93">
        <v>0.0</v>
      </c>
      <c r="R89" s="93">
        <v>0.0</v>
      </c>
      <c r="S89" s="93">
        <v>0.0</v>
      </c>
      <c r="T89" s="93">
        <v>0.0</v>
      </c>
      <c r="U89" s="93">
        <v>0.0</v>
      </c>
      <c r="V89" s="93">
        <v>0.0</v>
      </c>
      <c r="W89" s="93">
        <v>0.0</v>
      </c>
      <c r="X89" s="93">
        <v>0.0</v>
      </c>
      <c r="Y89" s="93">
        <v>0.0</v>
      </c>
      <c r="Z89" s="93">
        <v>0.0</v>
      </c>
      <c r="AA89" s="93">
        <v>0.0</v>
      </c>
      <c r="AB89" s="93">
        <v>0.0</v>
      </c>
      <c r="AC89" s="93">
        <v>0.0</v>
      </c>
      <c r="AD89" s="93">
        <v>0.0</v>
      </c>
      <c r="AE89" s="93">
        <v>0.0</v>
      </c>
      <c r="AF89" s="93">
        <v>0.0</v>
      </c>
      <c r="AG89" s="93">
        <v>0.0</v>
      </c>
      <c r="AH89" s="93">
        <v>0.0</v>
      </c>
      <c r="AI89" s="93">
        <v>18.0</v>
      </c>
      <c r="AJ89" s="93">
        <v>30.0</v>
      </c>
      <c r="AK89" s="93">
        <v>6.0</v>
      </c>
      <c r="AL89" s="93">
        <v>12.0</v>
      </c>
      <c r="AM89" s="93">
        <v>12.0</v>
      </c>
      <c r="AN89" s="230">
        <v>6.0</v>
      </c>
      <c r="AO89" s="230">
        <v>0.0</v>
      </c>
      <c r="AP89" s="230">
        <v>6.0</v>
      </c>
      <c r="AQ89" s="231">
        <v>12.0</v>
      </c>
      <c r="AR89" s="231">
        <v>12.0</v>
      </c>
      <c r="AS89" s="231">
        <v>0.0</v>
      </c>
      <c r="AT89" s="69">
        <f t="shared" si="4"/>
        <v>114.0</v>
      </c>
      <c r="AU89" s="69">
        <f t="shared" si="205"/>
        <v>36.0</v>
      </c>
      <c r="AV89" s="69">
        <f t="shared" si="6"/>
        <v>39.6</v>
      </c>
      <c r="AW89" s="47">
        <f t="shared" si="219"/>
        <v>4.1860465116279</v>
      </c>
      <c r="AX89" s="47">
        <f t="shared" si="220"/>
        <v>4.50805008944543</v>
      </c>
      <c r="AY89" s="47">
        <f t="shared" si="221"/>
        <v>6.2468694096601</v>
      </c>
      <c r="AZ89" s="47">
        <f t="shared" si="222"/>
        <v>2.96243291592129</v>
      </c>
      <c r="BA89" s="47">
        <f t="shared" si="223"/>
        <v>5.79606440071556</v>
      </c>
      <c r="BB89" s="47">
        <f t="shared" si="224"/>
        <v>4.70125223613596</v>
      </c>
      <c r="BC89" s="64">
        <f t="shared" si="13"/>
        <v>28.4007155635062</v>
      </c>
      <c r="BD89" s="69">
        <f>VLOOKUP(D89,FEB23SOH,3,false)</f>
        <v>886.0</v>
      </c>
      <c r="BE89" s="201">
        <f>VLOOKUP(D89,VALUEFEB23,4,false)</f>
        <v>0.5309</v>
      </c>
      <c r="BF89" s="215">
        <f t="shared" si="16"/>
        <v>470.3774</v>
      </c>
      <c r="BG89" s="64"/>
      <c r="BH89" s="64"/>
      <c r="BI89" s="193">
        <f t="shared" si="225"/>
        <v>857.599284436493</v>
      </c>
      <c r="BJ89" s="217"/>
      <c r="BL89" s="103"/>
      <c r="BM89" s="95">
        <f t="shared" si="226"/>
        <v>886.0</v>
      </c>
      <c r="BN89" s="65">
        <f t="shared" si="227"/>
        <v>4.1860465116279</v>
      </c>
      <c r="BO89" s="65">
        <f t="shared" si="21"/>
      </c>
      <c r="BP89" s="65">
        <f t="shared" si="228"/>
        <v>881.813953488372</v>
      </c>
      <c r="BQ89" s="194">
        <f t="shared" si="68"/>
        <v>468.155027906977</v>
      </c>
      <c r="BR89" s="65">
        <f t="shared" si="229"/>
        <v>4.50805008944543</v>
      </c>
      <c r="BS89" s="65">
        <f t="shared" si="25"/>
      </c>
      <c r="BT89" s="65">
        <f t="shared" si="230"/>
        <v>877.30590339892</v>
      </c>
      <c r="BU89" s="194">
        <f t="shared" si="71"/>
        <v>465.76170411449</v>
      </c>
      <c r="BV89" s="65">
        <f t="shared" si="231"/>
        <v>6.2468694096601</v>
      </c>
      <c r="BW89" s="65">
        <f t="shared" si="73"/>
      </c>
      <c r="BX89" s="65">
        <f t="shared" si="232"/>
        <v>871.05903398926</v>
      </c>
      <c r="BY89" s="194">
        <f t="shared" si="75"/>
        <v>462.445241144898</v>
      </c>
      <c r="BZ89" s="65">
        <f t="shared" si="233"/>
        <v>2.96243291592129</v>
      </c>
      <c r="CA89" s="65"/>
      <c r="CB89" s="65">
        <f t="shared" si="234"/>
        <v>868.096601073339</v>
      </c>
      <c r="CC89" s="194">
        <f t="shared" si="78"/>
        <v>460.872485509836</v>
      </c>
      <c r="CD89" s="65">
        <f t="shared" si="235"/>
        <v>5.79606440071556</v>
      </c>
      <c r="CE89" s="65"/>
      <c r="CF89" s="65">
        <f t="shared" si="236"/>
        <v>862.300536672623</v>
      </c>
      <c r="CG89" s="194">
        <f t="shared" si="81"/>
        <v>457.7953549195</v>
      </c>
      <c r="CH89" s="65">
        <f t="shared" si="237"/>
        <v>4.70125223613596</v>
      </c>
      <c r="CI89" s="65"/>
      <c r="CJ89" s="65">
        <f t="shared" si="238"/>
        <v>857.599284436487</v>
      </c>
      <c r="CK89" s="194">
        <f t="shared" si="84"/>
        <v>457.7953549195</v>
      </c>
    </row>
    <row r="90" ht="14.0" customFormat="1" s="47">
      <c r="A90" s="93" t="s">
        <v>179</v>
      </c>
      <c r="B90" s="93" t="s">
        <v>347</v>
      </c>
      <c r="C90" s="93" t="s">
        <v>348</v>
      </c>
      <c r="D90" s="234" t="s">
        <v>349</v>
      </c>
      <c r="E90" s="93">
        <v>0.0</v>
      </c>
      <c r="F90" s="93">
        <v>0.0</v>
      </c>
      <c r="G90" s="93">
        <v>0.0</v>
      </c>
      <c r="H90" s="93">
        <v>0.0</v>
      </c>
      <c r="I90" s="93">
        <v>0.0</v>
      </c>
      <c r="J90" s="93">
        <v>0.0</v>
      </c>
      <c r="K90" s="93">
        <v>0.0</v>
      </c>
      <c r="L90" s="93">
        <v>0.0</v>
      </c>
      <c r="M90" s="93">
        <v>0.0</v>
      </c>
      <c r="N90" s="93">
        <v>0.0</v>
      </c>
      <c r="O90" s="93">
        <v>0.0</v>
      </c>
      <c r="P90" s="93">
        <v>0.0</v>
      </c>
      <c r="Q90" s="93">
        <v>0.0</v>
      </c>
      <c r="R90" s="93">
        <v>0.0</v>
      </c>
      <c r="S90" s="93">
        <v>0.0</v>
      </c>
      <c r="T90" s="93">
        <v>0.0</v>
      </c>
      <c r="U90" s="93">
        <v>0.0</v>
      </c>
      <c r="V90" s="93">
        <v>0.0</v>
      </c>
      <c r="W90" s="93">
        <v>2.0</v>
      </c>
      <c r="X90" s="93">
        <v>17.0</v>
      </c>
      <c r="Y90" s="93">
        <v>16.0</v>
      </c>
      <c r="Z90" s="93">
        <v>12.0</v>
      </c>
      <c r="AA90" s="93">
        <v>13.0</v>
      </c>
      <c r="AB90" s="93">
        <v>17.0</v>
      </c>
      <c r="AC90" s="93">
        <v>22.0</v>
      </c>
      <c r="AD90" s="93">
        <v>14.0</v>
      </c>
      <c r="AE90" s="93">
        <v>12.0</v>
      </c>
      <c r="AF90" s="93">
        <v>8.0</v>
      </c>
      <c r="AG90" s="93">
        <v>12.0</v>
      </c>
      <c r="AH90" s="114">
        <v>11.0</v>
      </c>
      <c r="AI90" s="114">
        <v>13.0</v>
      </c>
      <c r="AJ90" s="114">
        <v>6.0</v>
      </c>
      <c r="AK90" s="114">
        <v>5.0</v>
      </c>
      <c r="AL90" s="114">
        <v>4.0</v>
      </c>
      <c r="AM90" s="114">
        <v>4.0</v>
      </c>
      <c r="AN90" s="93">
        <v>7.0</v>
      </c>
      <c r="AO90" s="93">
        <v>1.0</v>
      </c>
      <c r="AP90" s="93">
        <v>0.0</v>
      </c>
      <c r="AQ90" s="233">
        <v>0.0</v>
      </c>
      <c r="AR90" s="233">
        <v>0.0</v>
      </c>
      <c r="AS90" s="233">
        <v>0.0</v>
      </c>
      <c r="AT90" s="69">
        <f t="shared" si="4"/>
        <v>51.0</v>
      </c>
      <c r="AU90" s="69">
        <f t="shared" ref="AU90:AU92" si="239">SUM(AH90:AM90)</f>
        <v>43.0</v>
      </c>
      <c r="AV90" s="69">
        <f t="shared" si="6"/>
        <v>47.3</v>
      </c>
      <c r="AW90" s="47">
        <f t="shared" ref="AW90:AW92" si="240">AV90*$AW$4/$AV$3</f>
        <v>6.33786848072562</v>
      </c>
      <c r="AX90" s="47">
        <f t="shared" ref="AX90:AX92" si="241">AV90*$AX$4/$AV$3</f>
        <v>6.82539682539682</v>
      </c>
      <c r="AY90" s="47">
        <f t="shared" ref="AY90:AY92" si="242">AV90*$AY$4/$AV$3</f>
        <v>9.45804988662131</v>
      </c>
      <c r="AZ90" s="47">
        <f t="shared" ref="AZ90:AZ92" si="243">AV90*$AZ$4/$AV$3</f>
        <v>4.48526077097506</v>
      </c>
      <c r="BA90" s="47">
        <f t="shared" ref="BA90:BA92" si="244">AV90*$BA$4/$AV$3</f>
        <v>8.77551020408163</v>
      </c>
      <c r="BB90" s="47">
        <f t="shared" ref="BB90:BB92" si="245">AV90*$BB$4/$AV$3</f>
        <v>7.11791383219954</v>
      </c>
      <c r="BC90" s="64">
        <f t="shared" si="13"/>
        <v>43.0</v>
      </c>
      <c r="BD90" s="69">
        <f>VLOOKUP(D90,FEB23SOH,3,false)</f>
        <v>0.0</v>
      </c>
      <c r="BE90" s="201">
        <f>VLOOKUP(D90,VALUEFEB23,4,false)</f>
      </c>
      <c r="BF90" s="215">
        <f t="shared" si="16"/>
        <v>0.0</v>
      </c>
      <c r="BG90" s="64"/>
      <c r="BH90" s="64"/>
      <c r="BI90" s="193">
        <f t="shared" si="225"/>
        <v>-43.0</v>
      </c>
      <c r="BJ90" s="217"/>
      <c r="BK90" s="236"/>
      <c r="BL90" s="103" t="s">
        <v>73</v>
      </c>
      <c r="BM90" s="95">
        <f t="shared" si="226"/>
        <v>0.0</v>
      </c>
      <c r="BN90" s="65">
        <f t="shared" si="227"/>
        <v>6.33786848072562</v>
      </c>
      <c r="BO90" s="65">
        <f t="shared" si="21"/>
      </c>
      <c r="BP90" s="65">
        <f t="shared" si="228"/>
        <v>-6.33786848072562</v>
      </c>
      <c r="BQ90" s="194">
        <f t="shared" si="68"/>
        <v>0.0</v>
      </c>
      <c r="BR90" s="65">
        <f t="shared" si="229"/>
        <v>6.82539682539682</v>
      </c>
      <c r="BS90" s="65">
        <f t="shared" si="25"/>
      </c>
      <c r="BT90" s="65">
        <f t="shared" si="230"/>
        <v>-13.1632653061224</v>
      </c>
      <c r="BU90" s="194">
        <f t="shared" si="71"/>
        <v>0.0</v>
      </c>
      <c r="BV90" s="65">
        <f t="shared" si="231"/>
        <v>9.45804988662131</v>
      </c>
      <c r="BW90" s="65">
        <f t="shared" si="73"/>
      </c>
      <c r="BX90" s="65">
        <f t="shared" si="232"/>
        <v>-22.6213151927437</v>
      </c>
      <c r="BY90" s="194">
        <f t="shared" si="75"/>
        <v>0.0</v>
      </c>
      <c r="BZ90" s="65">
        <f t="shared" si="233"/>
        <v>4.48526077097506</v>
      </c>
      <c r="CA90" s="65"/>
      <c r="CB90" s="65">
        <f t="shared" si="234"/>
        <v>-27.1065759637186</v>
      </c>
      <c r="CC90" s="194">
        <f t="shared" si="78"/>
        <v>0.0</v>
      </c>
      <c r="CD90" s="65">
        <f t="shared" si="235"/>
        <v>8.77551020408163</v>
      </c>
      <c r="CE90" s="65"/>
      <c r="CF90" s="65">
        <f t="shared" si="236"/>
        <v>-35.8820861678002</v>
      </c>
      <c r="CG90" s="194">
        <f t="shared" si="81"/>
        <v>0.0</v>
      </c>
      <c r="CH90" s="65">
        <f t="shared" si="237"/>
        <v>7.11791383219954</v>
      </c>
      <c r="CI90" s="65"/>
      <c r="CJ90" s="65">
        <f t="shared" si="238"/>
        <v>-42.9999999999997</v>
      </c>
      <c r="CK90" s="194">
        <f t="shared" si="84"/>
        <v>0.0</v>
      </c>
    </row>
    <row r="91" ht="14.0">
      <c r="A91" s="93" t="s">
        <v>179</v>
      </c>
      <c r="B91" s="93" t="s">
        <v>347</v>
      </c>
      <c r="C91" s="93" t="s">
        <v>351</v>
      </c>
      <c r="D91" s="234" t="s">
        <v>352</v>
      </c>
      <c r="E91" s="93">
        <v>0.0</v>
      </c>
      <c r="F91" s="93">
        <v>0.0</v>
      </c>
      <c r="G91" s="93">
        <v>0.0</v>
      </c>
      <c r="H91" s="93">
        <v>0.0</v>
      </c>
      <c r="I91" s="93">
        <v>0.0</v>
      </c>
      <c r="J91" s="93">
        <v>0.0</v>
      </c>
      <c r="K91" s="93">
        <v>0.0</v>
      </c>
      <c r="L91" s="93">
        <v>0.0</v>
      </c>
      <c r="M91" s="93">
        <v>0.0</v>
      </c>
      <c r="N91" s="93">
        <v>0.0</v>
      </c>
      <c r="O91" s="93">
        <v>0.0</v>
      </c>
      <c r="P91" s="93">
        <v>0.0</v>
      </c>
      <c r="Q91" s="93">
        <v>0.0</v>
      </c>
      <c r="R91" s="93">
        <v>0.0</v>
      </c>
      <c r="S91" s="93">
        <v>0.0</v>
      </c>
      <c r="T91" s="93">
        <v>0.0</v>
      </c>
      <c r="U91" s="93">
        <v>0.0</v>
      </c>
      <c r="V91" s="93">
        <v>0.0</v>
      </c>
      <c r="W91" s="93">
        <v>1.0</v>
      </c>
      <c r="X91" s="93">
        <v>5.0</v>
      </c>
      <c r="Y91" s="93">
        <v>17.0</v>
      </c>
      <c r="Z91" s="93">
        <v>9.0</v>
      </c>
      <c r="AA91" s="93">
        <v>8.0</v>
      </c>
      <c r="AB91" s="93">
        <v>8.0</v>
      </c>
      <c r="AC91" s="93">
        <v>9.0</v>
      </c>
      <c r="AD91" s="93">
        <v>8.0</v>
      </c>
      <c r="AE91" s="93">
        <v>5.0</v>
      </c>
      <c r="AF91" s="93">
        <v>3.0</v>
      </c>
      <c r="AG91" s="93">
        <v>4.0</v>
      </c>
      <c r="AH91" s="114">
        <v>6.0</v>
      </c>
      <c r="AI91" s="114">
        <v>5.0</v>
      </c>
      <c r="AJ91" s="114">
        <v>4.0</v>
      </c>
      <c r="AK91" s="114">
        <v>2.0</v>
      </c>
      <c r="AL91" s="114">
        <v>1.0</v>
      </c>
      <c r="AM91" s="114">
        <v>8.0</v>
      </c>
      <c r="AN91" s="93">
        <v>11.0</v>
      </c>
      <c r="AO91" s="93">
        <v>9.0</v>
      </c>
      <c r="AP91" s="93">
        <v>8.0</v>
      </c>
      <c r="AQ91" s="233">
        <v>5.0</v>
      </c>
      <c r="AR91" s="233">
        <v>0.0</v>
      </c>
      <c r="AS91" s="233">
        <v>4.0</v>
      </c>
      <c r="AT91" s="69">
        <f t="shared" si="4"/>
        <v>63.0</v>
      </c>
      <c r="AU91" s="69">
        <f t="shared" si="239"/>
        <v>26.0</v>
      </c>
      <c r="AV91" s="69">
        <f t="shared" si="6"/>
        <v>28.6</v>
      </c>
      <c r="AW91" s="47">
        <f t="shared" si="240"/>
        <v>3.83219954648526</v>
      </c>
      <c r="AX91" s="47">
        <f t="shared" si="241"/>
        <v>4.12698412698412</v>
      </c>
      <c r="AY91" s="47">
        <f t="shared" si="242"/>
        <v>5.718820861678</v>
      </c>
      <c r="AZ91" s="47">
        <f t="shared" si="243"/>
        <v>2.7120181405896</v>
      </c>
      <c r="BA91" s="47">
        <f t="shared" si="244"/>
        <v>5.30612244897959</v>
      </c>
      <c r="BB91" s="47">
        <f t="shared" si="245"/>
        <v>4.30385487528344</v>
      </c>
      <c r="BC91" s="64">
        <f t="shared" si="13"/>
        <v>26.0</v>
      </c>
      <c r="BD91" s="69">
        <f>VLOOKUP(D91,FEB23SOH,3,false)</f>
        <v>60.0</v>
      </c>
      <c r="BE91" s="201">
        <f>VLOOKUP(D91,VALUEFEB23,4,false)</f>
        <v>26.4628</v>
      </c>
      <c r="BF91" s="215">
        <f t="shared" si="16"/>
        <v>1587.768</v>
      </c>
      <c r="BI91" s="193">
        <f t="shared" si="225"/>
        <v>34.0</v>
      </c>
      <c r="BK91" s="99"/>
      <c r="BL91" s="103"/>
      <c r="BM91" s="95">
        <f t="shared" si="226"/>
        <v>60.0</v>
      </c>
      <c r="BN91" s="65">
        <f t="shared" si="227"/>
        <v>3.83219954648526</v>
      </c>
      <c r="BO91" s="65">
        <f t="shared" si="21"/>
      </c>
      <c r="BP91" s="65">
        <f t="shared" si="228"/>
        <v>56.1678004535147</v>
      </c>
      <c r="BQ91" s="194">
        <f t="shared" si="68"/>
        <v>1486.35726984127</v>
      </c>
      <c r="BR91" s="65">
        <f t="shared" si="229"/>
        <v>4.12698412698412</v>
      </c>
      <c r="BS91" s="65">
        <f t="shared" si="25"/>
      </c>
      <c r="BT91" s="65">
        <f t="shared" si="230"/>
        <v>52.0408163265306</v>
      </c>
      <c r="BU91" s="194">
        <f t="shared" si="71"/>
        <v>1377.14571428571</v>
      </c>
      <c r="BV91" s="65">
        <f t="shared" si="231"/>
        <v>5.718820861678</v>
      </c>
      <c r="BW91" s="65">
        <f t="shared" si="73"/>
      </c>
      <c r="BX91" s="65">
        <f t="shared" si="232"/>
        <v>46.3219954648526</v>
      </c>
      <c r="BY91" s="194">
        <f t="shared" si="75"/>
        <v>1225.8097015873</v>
      </c>
      <c r="BZ91" s="65">
        <f t="shared" si="233"/>
        <v>2.7120181405896</v>
      </c>
      <c r="CA91" s="65"/>
      <c r="CB91" s="65">
        <f t="shared" si="234"/>
        <v>43.609977324263</v>
      </c>
      <c r="CC91" s="194">
        <f t="shared" si="78"/>
        <v>1154.0421079365</v>
      </c>
      <c r="CD91" s="65">
        <f t="shared" si="235"/>
        <v>5.30612244897959</v>
      </c>
      <c r="CE91" s="65"/>
      <c r="CF91" s="65">
        <f t="shared" si="236"/>
        <v>38.3038548752834</v>
      </c>
      <c r="CG91" s="194">
        <f t="shared" si="81"/>
        <v>1013.62725079364</v>
      </c>
      <c r="CH91" s="65">
        <f t="shared" si="237"/>
        <v>4.30385487528344</v>
      </c>
      <c r="CI91" s="65"/>
      <c r="CJ91" s="65">
        <f t="shared" si="238"/>
        <v>34.0</v>
      </c>
      <c r="CK91" s="194">
        <f t="shared" si="84"/>
        <v>1013.62725079364</v>
      </c>
    </row>
    <row r="92" ht="14.0" customFormat="1" s="47">
      <c r="A92" s="93" t="s">
        <v>179</v>
      </c>
      <c r="B92" s="93" t="s">
        <v>347</v>
      </c>
      <c r="C92" s="93" t="s">
        <v>353</v>
      </c>
      <c r="D92" s="234" t="s">
        <v>354</v>
      </c>
      <c r="E92" s="93">
        <v>0.0</v>
      </c>
      <c r="F92" s="93">
        <v>0.0</v>
      </c>
      <c r="G92" s="93">
        <v>0.0</v>
      </c>
      <c r="H92" s="93">
        <v>0.0</v>
      </c>
      <c r="I92" s="93">
        <v>0.0</v>
      </c>
      <c r="J92" s="93">
        <v>0.0</v>
      </c>
      <c r="K92" s="93">
        <v>0.0</v>
      </c>
      <c r="L92" s="93">
        <v>0.0</v>
      </c>
      <c r="M92" s="93">
        <v>0.0</v>
      </c>
      <c r="N92" s="93">
        <v>0.0</v>
      </c>
      <c r="O92" s="93">
        <v>0.0</v>
      </c>
      <c r="P92" s="93">
        <v>0.0</v>
      </c>
      <c r="Q92" s="93">
        <v>0.0</v>
      </c>
      <c r="R92" s="93">
        <v>0.0</v>
      </c>
      <c r="S92" s="93">
        <v>0.0</v>
      </c>
      <c r="T92" s="93">
        <v>0.0</v>
      </c>
      <c r="U92" s="93">
        <v>0.0</v>
      </c>
      <c r="V92" s="93">
        <v>0.0</v>
      </c>
      <c r="W92" s="93">
        <v>4.0</v>
      </c>
      <c r="X92" s="93">
        <v>19.0</v>
      </c>
      <c r="Y92" s="93">
        <v>17.0</v>
      </c>
      <c r="Z92" s="93">
        <v>20.0</v>
      </c>
      <c r="AA92" s="93">
        <v>9.0</v>
      </c>
      <c r="AB92" s="93">
        <v>23.0</v>
      </c>
      <c r="AC92" s="93">
        <v>28.0</v>
      </c>
      <c r="AD92" s="93">
        <v>18.0</v>
      </c>
      <c r="AE92" s="93">
        <v>8.0</v>
      </c>
      <c r="AF92" s="93">
        <v>9.0</v>
      </c>
      <c r="AG92" s="93">
        <v>8.0</v>
      </c>
      <c r="AH92" s="114">
        <v>15.0</v>
      </c>
      <c r="AI92" s="114">
        <v>8.0</v>
      </c>
      <c r="AJ92" s="114">
        <v>7.0</v>
      </c>
      <c r="AK92" s="114">
        <v>2.0</v>
      </c>
      <c r="AL92" s="114">
        <v>1.0</v>
      </c>
      <c r="AM92" s="114">
        <v>0.0</v>
      </c>
      <c r="AN92" s="93">
        <v>0.0</v>
      </c>
      <c r="AO92" s="93">
        <v>0.0</v>
      </c>
      <c r="AP92" s="93">
        <v>0.0</v>
      </c>
      <c r="AQ92" s="233">
        <v>0.0</v>
      </c>
      <c r="AR92" s="233">
        <v>0.0</v>
      </c>
      <c r="AS92" s="233">
        <v>0.0</v>
      </c>
      <c r="AT92" s="69">
        <f t="shared" si="4"/>
        <v>33.0</v>
      </c>
      <c r="AU92" s="69">
        <f t="shared" si="239"/>
        <v>33.0</v>
      </c>
      <c r="AV92" s="69">
        <f t="shared" si="6"/>
        <v>36.3</v>
      </c>
      <c r="AW92" s="47">
        <f t="shared" si="240"/>
        <v>4.86394557823129</v>
      </c>
      <c r="AX92" s="47">
        <f t="shared" si="241"/>
        <v>5.23809523809523</v>
      </c>
      <c r="AY92" s="47">
        <f t="shared" si="242"/>
        <v>7.25850340136054</v>
      </c>
      <c r="AZ92" s="47">
        <f t="shared" si="243"/>
        <v>3.4421768707483</v>
      </c>
      <c r="BA92" s="47">
        <f t="shared" si="244"/>
        <v>6.73469387755102</v>
      </c>
      <c r="BB92" s="47">
        <f t="shared" si="245"/>
        <v>5.4625850340136</v>
      </c>
      <c r="BC92" s="64">
        <f t="shared" si="13"/>
        <v>33.0</v>
      </c>
      <c r="BD92" s="69">
        <f>VLOOKUP(D92,FEB23SOH,3,false)</f>
        <v>0.0</v>
      </c>
      <c r="BE92" s="201">
        <f>VLOOKUP(D92,VALUEFEB23,4,false)</f>
      </c>
      <c r="BF92" s="215">
        <f t="shared" si="16"/>
        <v>0.0</v>
      </c>
      <c r="BG92" s="64"/>
      <c r="BH92" s="64"/>
      <c r="BI92" s="193">
        <f t="shared" si="225"/>
        <v>-33.0</v>
      </c>
      <c r="BJ92" s="217"/>
      <c r="BK92" s="236"/>
      <c r="BL92" s="103" t="s">
        <v>73</v>
      </c>
      <c r="BM92" s="95">
        <f t="shared" si="226"/>
        <v>0.0</v>
      </c>
      <c r="BN92" s="65">
        <f t="shared" si="227"/>
        <v>4.86394557823129</v>
      </c>
      <c r="BO92" s="65">
        <f t="shared" si="21"/>
      </c>
      <c r="BP92" s="65">
        <f t="shared" si="228"/>
        <v>-4.86394557823129</v>
      </c>
      <c r="BQ92" s="194">
        <f t="shared" si="68"/>
        <v>0.0</v>
      </c>
      <c r="BR92" s="65">
        <f t="shared" si="229"/>
        <v>5.23809523809523</v>
      </c>
      <c r="BS92" s="65">
        <f t="shared" si="25"/>
      </c>
      <c r="BT92" s="65">
        <f t="shared" si="230"/>
        <v>-10.1020408163265</v>
      </c>
      <c r="BU92" s="194">
        <f t="shared" si="71"/>
        <v>0.0</v>
      </c>
      <c r="BV92" s="65">
        <f t="shared" si="231"/>
        <v>7.25850340136054</v>
      </c>
      <c r="BW92" s="65">
        <f t="shared" si="73"/>
      </c>
      <c r="BX92" s="65">
        <f t="shared" si="232"/>
        <v>-17.360544217687</v>
      </c>
      <c r="BY92" s="194">
        <f t="shared" si="75"/>
        <v>0.0</v>
      </c>
      <c r="BZ92" s="65">
        <f t="shared" si="233"/>
        <v>3.4421768707483</v>
      </c>
      <c r="CA92" s="65"/>
      <c r="CB92" s="65">
        <f t="shared" si="234"/>
        <v>-20.8027210884352</v>
      </c>
      <c r="CC92" s="194">
        <f t="shared" si="78"/>
        <v>0.0</v>
      </c>
      <c r="CD92" s="65">
        <f t="shared" si="235"/>
        <v>6.73469387755102</v>
      </c>
      <c r="CE92" s="65"/>
      <c r="CF92" s="65">
        <f t="shared" si="236"/>
        <v>-27.5374149659862</v>
      </c>
      <c r="CG92" s="194">
        <f t="shared" si="81"/>
        <v>0.0</v>
      </c>
      <c r="CH92" s="65">
        <f t="shared" si="237"/>
        <v>5.4625850340136</v>
      </c>
      <c r="CI92" s="65"/>
      <c r="CJ92" s="65">
        <f t="shared" si="238"/>
        <v>-32.9999999999998</v>
      </c>
      <c r="CK92" s="194">
        <f t="shared" si="84"/>
        <v>0.0</v>
      </c>
    </row>
    <row r="93" ht="14.0">
      <c r="A93" s="93" t="s">
        <v>179</v>
      </c>
      <c r="B93" s="93" t="s">
        <v>356</v>
      </c>
      <c r="C93" s="93" t="s">
        <v>357</v>
      </c>
      <c r="D93" s="229" t="s">
        <v>358</v>
      </c>
      <c r="E93" s="93">
        <v>0.0</v>
      </c>
      <c r="F93" s="93">
        <v>0.0</v>
      </c>
      <c r="G93" s="93">
        <v>0.0</v>
      </c>
      <c r="H93" s="93">
        <v>0.0</v>
      </c>
      <c r="I93" s="93">
        <v>0.0</v>
      </c>
      <c r="J93" s="93">
        <v>0.0</v>
      </c>
      <c r="K93" s="93">
        <v>0.0</v>
      </c>
      <c r="L93" s="93">
        <v>0.0</v>
      </c>
      <c r="M93" s="93">
        <v>0.0</v>
      </c>
      <c r="N93" s="93">
        <v>0.0</v>
      </c>
      <c r="O93" s="93">
        <v>0.0</v>
      </c>
      <c r="P93" s="93">
        <v>0.0</v>
      </c>
      <c r="Q93" s="93">
        <v>0.0</v>
      </c>
      <c r="R93" s="93">
        <v>0.0</v>
      </c>
      <c r="S93" s="93">
        <v>0.0</v>
      </c>
      <c r="T93" s="93">
        <v>0.0</v>
      </c>
      <c r="U93" s="93">
        <v>0.0</v>
      </c>
      <c r="V93" s="93">
        <v>0.0</v>
      </c>
      <c r="W93" s="93">
        <v>0.0</v>
      </c>
      <c r="X93" s="93">
        <v>0.0</v>
      </c>
      <c r="Y93" s="93">
        <v>0.0</v>
      </c>
      <c r="Z93" s="93">
        <v>0.0</v>
      </c>
      <c r="AA93" s="93">
        <v>0.0</v>
      </c>
      <c r="AB93" s="93">
        <v>0.0</v>
      </c>
      <c r="AC93" s="93">
        <v>0.0</v>
      </c>
      <c r="AD93" s="93">
        <v>0.0</v>
      </c>
      <c r="AE93" s="93">
        <v>0.0</v>
      </c>
      <c r="AF93" s="93">
        <v>0.0</v>
      </c>
      <c r="AG93" s="93">
        <v>0.0</v>
      </c>
      <c r="AH93" s="93">
        <v>12.0</v>
      </c>
      <c r="AI93" s="93">
        <v>158.0</v>
      </c>
      <c r="AJ93" s="93">
        <v>136.0</v>
      </c>
      <c r="AK93" s="93">
        <v>72.0</v>
      </c>
      <c r="AL93" s="93">
        <v>44.0</v>
      </c>
      <c r="AM93" s="93">
        <v>36.0</v>
      </c>
      <c r="AN93" s="230">
        <v>76.0</v>
      </c>
      <c r="AO93" s="230">
        <v>52.0</v>
      </c>
      <c r="AP93" s="230">
        <v>40.0</v>
      </c>
      <c r="AQ93" s="231">
        <v>16.0</v>
      </c>
      <c r="AR93" s="231">
        <v>16.0</v>
      </c>
      <c r="AS93" s="231">
        <v>29.0</v>
      </c>
      <c r="AT93" s="69">
        <f t="shared" si="4"/>
        <v>687.0</v>
      </c>
      <c r="AU93" s="69">
        <f t="shared" ref="AU93:AU96" si="246">SUM(AN93:AS93)</f>
        <v>229.0</v>
      </c>
      <c r="AV93" s="69">
        <f t="shared" si="6"/>
        <v>251.9</v>
      </c>
      <c r="AW93" s="47">
        <f t="shared" ref="AW93:AW94" si="247">AV93*$AW$4/$AV$4</f>
        <v>26.6279069767441</v>
      </c>
      <c r="AX93" s="47">
        <f t="shared" ref="AX93:AX94" si="248">AV93*$AX$4/$AV$4</f>
        <v>28.6762075134168</v>
      </c>
      <c r="AY93" s="47">
        <f t="shared" ref="AY93:AY94" si="249">AV93*$AY$4/$AV$4</f>
        <v>39.737030411449</v>
      </c>
      <c r="AZ93" s="47">
        <f t="shared" ref="AZ93:AZ94" si="250">AV93*$AZ$4/$AV$4</f>
        <v>18.8443649373881</v>
      </c>
      <c r="BA93" s="47">
        <f t="shared" ref="BA93:BA94" si="251">AV93*$BA$4/$AV$4</f>
        <v>36.8694096601073</v>
      </c>
      <c r="BB93" s="47">
        <f t="shared" ref="BB93:BB94" si="252">AV93*$BB$4/$AV$4</f>
        <v>29.9051878354203</v>
      </c>
      <c r="BC93" s="64">
        <f t="shared" si="13"/>
        <v>180.660107334526</v>
      </c>
      <c r="BD93" s="69">
        <f>VLOOKUP(D93,FEB23SOH,3,false)</f>
        <v>771.0</v>
      </c>
      <c r="BE93" s="201">
        <f>VLOOKUP(D93,VALUEFEB23,4,false)</f>
        <v>3.3744</v>
      </c>
      <c r="BF93" s="215">
        <f t="shared" si="16"/>
        <v>2601.6624</v>
      </c>
      <c r="BI93" s="193">
        <f t="shared" si="225"/>
        <v>590.339892665474</v>
      </c>
      <c r="BL93" s="103"/>
      <c r="BM93" s="95">
        <f t="shared" si="226"/>
        <v>771.0</v>
      </c>
      <c r="BN93" s="65">
        <f t="shared" si="227"/>
        <v>26.6279069767441</v>
      </c>
      <c r="BO93" s="65">
        <f t="shared" si="21"/>
      </c>
      <c r="BP93" s="65">
        <f t="shared" si="228"/>
        <v>744.372093023256</v>
      </c>
      <c r="BQ93" s="194">
        <f t="shared" si="68"/>
        <v>2511.80919069768</v>
      </c>
      <c r="BR93" s="65">
        <f t="shared" si="229"/>
        <v>28.6762075134168</v>
      </c>
      <c r="BS93" s="65">
        <f t="shared" si="25"/>
      </c>
      <c r="BT93" s="65">
        <f t="shared" si="230"/>
        <v>715.695885509839</v>
      </c>
      <c r="BU93" s="194">
        <f t="shared" si="71"/>
        <v>2415.0441960644</v>
      </c>
      <c r="BV93" s="65">
        <f t="shared" si="231"/>
        <v>39.737030411449</v>
      </c>
      <c r="BW93" s="65">
        <f t="shared" si="73"/>
      </c>
      <c r="BX93" s="65">
        <f t="shared" si="232"/>
        <v>675.95885509839</v>
      </c>
      <c r="BY93" s="194">
        <f t="shared" si="75"/>
        <v>2280.955560644</v>
      </c>
      <c r="BZ93" s="65">
        <f t="shared" si="233"/>
        <v>18.8443649373881</v>
      </c>
      <c r="CA93" s="65"/>
      <c r="CB93" s="65">
        <f t="shared" si="234"/>
        <v>657.114490161001</v>
      </c>
      <c r="CC93" s="194">
        <f t="shared" si="78"/>
        <v>2217.36713559928</v>
      </c>
      <c r="CD93" s="65">
        <f t="shared" si="235"/>
        <v>36.8694096601073</v>
      </c>
      <c r="CE93" s="65"/>
      <c r="CF93" s="65">
        <f t="shared" si="236"/>
        <v>620.245080500893</v>
      </c>
      <c r="CG93" s="194">
        <f t="shared" si="81"/>
        <v>2092.95499964221</v>
      </c>
      <c r="CH93" s="65">
        <f t="shared" si="237"/>
        <v>29.9051878354203</v>
      </c>
      <c r="CI93" s="65"/>
      <c r="CJ93" s="65">
        <f t="shared" si="238"/>
        <v>590.339892665472</v>
      </c>
      <c r="CK93" s="194">
        <f t="shared" si="84"/>
        <v>2092.95499964221</v>
      </c>
    </row>
    <row r="94" ht="14.0">
      <c r="A94" s="93" t="s">
        <v>179</v>
      </c>
      <c r="B94" s="93" t="s">
        <v>356</v>
      </c>
      <c r="C94" s="93" t="s">
        <v>359</v>
      </c>
      <c r="D94" s="229" t="s">
        <v>360</v>
      </c>
      <c r="E94" s="93">
        <v>0.0</v>
      </c>
      <c r="F94" s="93">
        <v>0.0</v>
      </c>
      <c r="G94" s="93">
        <v>0.0</v>
      </c>
      <c r="H94" s="93">
        <v>0.0</v>
      </c>
      <c r="I94" s="93">
        <v>0.0</v>
      </c>
      <c r="J94" s="93">
        <v>0.0</v>
      </c>
      <c r="K94" s="93">
        <v>0.0</v>
      </c>
      <c r="L94" s="93">
        <v>0.0</v>
      </c>
      <c r="M94" s="93">
        <v>0.0</v>
      </c>
      <c r="N94" s="93">
        <v>0.0</v>
      </c>
      <c r="O94" s="93">
        <v>0.0</v>
      </c>
      <c r="P94" s="93">
        <v>0.0</v>
      </c>
      <c r="Q94" s="93">
        <v>0.0</v>
      </c>
      <c r="R94" s="93">
        <v>0.0</v>
      </c>
      <c r="S94" s="93">
        <v>0.0</v>
      </c>
      <c r="T94" s="93">
        <v>0.0</v>
      </c>
      <c r="U94" s="93">
        <v>0.0</v>
      </c>
      <c r="V94" s="93">
        <v>0.0</v>
      </c>
      <c r="W94" s="93">
        <v>0.0</v>
      </c>
      <c r="X94" s="93">
        <v>0.0</v>
      </c>
      <c r="Y94" s="93">
        <v>0.0</v>
      </c>
      <c r="Z94" s="93">
        <v>0.0</v>
      </c>
      <c r="AA94" s="93">
        <v>0.0</v>
      </c>
      <c r="AB94" s="93">
        <v>0.0</v>
      </c>
      <c r="AC94" s="93">
        <v>0.0</v>
      </c>
      <c r="AD94" s="93">
        <v>0.0</v>
      </c>
      <c r="AE94" s="93">
        <v>0.0</v>
      </c>
      <c r="AF94" s="93">
        <v>0.0</v>
      </c>
      <c r="AG94" s="93">
        <v>0.0</v>
      </c>
      <c r="AH94" s="93">
        <v>16.0</v>
      </c>
      <c r="AI94" s="93">
        <v>182.0</v>
      </c>
      <c r="AJ94" s="93">
        <v>156.0</v>
      </c>
      <c r="AK94" s="93">
        <v>108.0</v>
      </c>
      <c r="AL94" s="93">
        <v>36.0</v>
      </c>
      <c r="AM94" s="93">
        <v>44.0</v>
      </c>
      <c r="AN94" s="230">
        <v>117.0</v>
      </c>
      <c r="AO94" s="230">
        <v>120.0</v>
      </c>
      <c r="AP94" s="230">
        <v>72.0</v>
      </c>
      <c r="AQ94" s="231">
        <v>52.0</v>
      </c>
      <c r="AR94" s="231">
        <v>41.0</v>
      </c>
      <c r="AS94" s="231">
        <v>63.0</v>
      </c>
      <c r="AT94" s="69">
        <f t="shared" si="4"/>
        <v>1007.0</v>
      </c>
      <c r="AU94" s="69">
        <f t="shared" si="246"/>
        <v>465.0</v>
      </c>
      <c r="AV94" s="69">
        <f t="shared" si="6"/>
        <v>511.5</v>
      </c>
      <c r="AW94" s="47">
        <f t="shared" si="247"/>
        <v>54.0697674418604</v>
      </c>
      <c r="AX94" s="47">
        <f t="shared" si="248"/>
        <v>58.2289803220036</v>
      </c>
      <c r="AY94" s="47">
        <f t="shared" si="249"/>
        <v>80.6887298747763</v>
      </c>
      <c r="AZ94" s="47">
        <f t="shared" si="250"/>
        <v>38.2647584973166</v>
      </c>
      <c r="BA94" s="47">
        <f t="shared" si="251"/>
        <v>74.865831842576</v>
      </c>
      <c r="BB94" s="47">
        <f t="shared" si="252"/>
        <v>60.7245080500894</v>
      </c>
      <c r="BC94" s="64">
        <f t="shared" si="13"/>
        <v>366.842576028622</v>
      </c>
      <c r="BD94" s="69">
        <f>VLOOKUP(D94,FEB23SOH,3,false)</f>
        <v>259.0</v>
      </c>
      <c r="BE94" s="201">
        <f>VLOOKUP(D94,VALUEFEB23,4,false)</f>
        <v>3.3737</v>
      </c>
      <c r="BF94" s="215">
        <f t="shared" si="16"/>
        <v>873.7883</v>
      </c>
      <c r="BG94" s="64">
        <f>VLOOKUP(C94,CHINAMAR3,3,false)</f>
        <v>500.0</v>
      </c>
      <c r="BI94" s="193">
        <f t="shared" si="225"/>
        <v>392.157423971378</v>
      </c>
      <c r="BJ94" s="238">
        <v>500.0</v>
      </c>
      <c r="BK94" s="47">
        <f>BJ94</f>
        <v>500.0</v>
      </c>
      <c r="BL94" s="103"/>
      <c r="BM94" s="95">
        <f t="shared" si="226"/>
        <v>259.0</v>
      </c>
      <c r="BN94" s="65">
        <f t="shared" si="227"/>
        <v>54.0697674418604</v>
      </c>
      <c r="BO94" s="65">
        <f t="shared" si="21"/>
        <v>500.0</v>
      </c>
      <c r="BP94" s="65">
        <f t="shared" si="228"/>
        <v>704.93023255814</v>
      </c>
      <c r="BQ94" s="194">
        <f t="shared" si="68"/>
        <v>2378.2231255814</v>
      </c>
      <c r="BR94" s="65">
        <f t="shared" si="229"/>
        <v>58.2289803220036</v>
      </c>
      <c r="BS94" s="65">
        <f t="shared" si="25"/>
      </c>
      <c r="BT94" s="65">
        <f t="shared" si="230"/>
        <v>646.701252236136</v>
      </c>
      <c r="BU94" s="194">
        <f t="shared" si="71"/>
        <v>2181.77601466905</v>
      </c>
      <c r="BV94" s="65">
        <f t="shared" si="231"/>
        <v>80.6887298747763</v>
      </c>
      <c r="BW94" s="65">
        <f t="shared" si="73"/>
      </c>
      <c r="BX94" s="65">
        <f t="shared" si="232"/>
        <v>566.01252236136</v>
      </c>
      <c r="BY94" s="194">
        <f t="shared" si="75"/>
        <v>1909.55644669052</v>
      </c>
      <c r="BZ94" s="65">
        <f t="shared" si="233"/>
        <v>38.2647584973166</v>
      </c>
      <c r="CA94" s="65"/>
      <c r="CB94" s="65">
        <f t="shared" si="234"/>
        <v>527.747763864043</v>
      </c>
      <c r="CC94" s="194">
        <f t="shared" si="78"/>
        <v>1780.46263094812</v>
      </c>
      <c r="CD94" s="65">
        <f t="shared" si="235"/>
        <v>74.865831842576</v>
      </c>
      <c r="CE94" s="65"/>
      <c r="CF94" s="65">
        <f t="shared" si="236"/>
        <v>452.881932021467</v>
      </c>
      <c r="CG94" s="194">
        <f t="shared" si="81"/>
        <v>1527.88777406082</v>
      </c>
      <c r="CH94" s="65">
        <f t="shared" si="237"/>
        <v>60.7245080500894</v>
      </c>
      <c r="CI94" s="65"/>
      <c r="CJ94" s="65">
        <f t="shared" si="238"/>
        <v>392.157423971378</v>
      </c>
      <c r="CK94" s="194">
        <f t="shared" si="84"/>
        <v>1527.88777406082</v>
      </c>
    </row>
    <row r="95" ht="14.0">
      <c r="A95" s="93" t="s">
        <v>179</v>
      </c>
      <c r="B95" s="93" t="s">
        <v>356</v>
      </c>
      <c r="C95" s="93" t="s">
        <v>584</v>
      </c>
      <c r="D95" s="229" t="s">
        <v>585</v>
      </c>
      <c r="E95" s="93">
        <v>0.0</v>
      </c>
      <c r="F95" s="93">
        <v>0.0</v>
      </c>
      <c r="G95" s="93">
        <v>0.0</v>
      </c>
      <c r="H95" s="93">
        <v>0.0</v>
      </c>
      <c r="I95" s="93">
        <v>0.0</v>
      </c>
      <c r="J95" s="93">
        <v>0.0</v>
      </c>
      <c r="K95" s="93">
        <v>0.0</v>
      </c>
      <c r="L95" s="93">
        <v>0.0</v>
      </c>
      <c r="M95" s="93">
        <v>0.0</v>
      </c>
      <c r="N95" s="93">
        <v>0.0</v>
      </c>
      <c r="O95" s="93">
        <v>0.0</v>
      </c>
      <c r="P95" s="93">
        <v>0.0</v>
      </c>
      <c r="Q95" s="93">
        <v>0.0</v>
      </c>
      <c r="R95" s="93">
        <v>0.0</v>
      </c>
      <c r="S95" s="93">
        <v>0.0</v>
      </c>
      <c r="T95" s="93">
        <v>0.0</v>
      </c>
      <c r="U95" s="93">
        <v>0.0</v>
      </c>
      <c r="V95" s="93">
        <v>0.0</v>
      </c>
      <c r="W95" s="93">
        <v>0.0</v>
      </c>
      <c r="X95" s="93">
        <v>0.0</v>
      </c>
      <c r="Y95" s="93">
        <v>0.0</v>
      </c>
      <c r="Z95" s="93">
        <v>0.0</v>
      </c>
      <c r="AA95" s="93">
        <v>0.0</v>
      </c>
      <c r="AB95" s="93">
        <v>0.0</v>
      </c>
      <c r="AC95" s="93">
        <v>0.0</v>
      </c>
      <c r="AD95" s="93">
        <v>0.0</v>
      </c>
      <c r="AE95" s="93">
        <v>0.0</v>
      </c>
      <c r="AF95" s="93">
        <v>0.0</v>
      </c>
      <c r="AG95" s="93">
        <v>0.0</v>
      </c>
      <c r="AH95" s="93">
        <v>0.0</v>
      </c>
      <c r="AI95" s="93">
        <v>0.0</v>
      </c>
      <c r="AJ95" s="93">
        <v>0.0</v>
      </c>
      <c r="AK95" s="93">
        <v>0.0</v>
      </c>
      <c r="AL95" s="93">
        <v>0.0</v>
      </c>
      <c r="AM95" s="93">
        <v>10.0</v>
      </c>
      <c r="AN95" s="230">
        <v>16.0</v>
      </c>
      <c r="AO95" s="230">
        <v>72.0</v>
      </c>
      <c r="AP95" s="230">
        <v>20.0</v>
      </c>
      <c r="AQ95" s="231">
        <v>8.0</v>
      </c>
      <c r="AR95" s="231">
        <v>16.0</v>
      </c>
      <c r="AS95" s="231">
        <v>34.0</v>
      </c>
      <c r="AT95" s="69">
        <f t="shared" si="4"/>
        <v>176.0</v>
      </c>
      <c r="AU95" s="69">
        <f t="shared" si="246"/>
        <v>166.0</v>
      </c>
      <c r="AV95" s="69">
        <f t="shared" si="6"/>
        <v>182.6</v>
      </c>
      <c r="AW95" s="65">
        <f>AVERAGE(AM95:AN95)*1.1</f>
        <v>14.3</v>
      </c>
      <c r="AX95" s="65">
        <f>AW95</f>
        <v>14.3</v>
      </c>
      <c r="AY95" s="65">
        <f>AX95</f>
        <v>14.3</v>
      </c>
      <c r="AZ95" s="65">
        <f>AY95</f>
        <v>14.3</v>
      </c>
      <c r="BA95" s="65">
        <f>AZ95</f>
        <v>14.3</v>
      </c>
      <c r="BB95" s="65">
        <f>BA95</f>
        <v>14.3</v>
      </c>
      <c r="BC95" s="64">
        <f t="shared" si="13"/>
        <v>85.8</v>
      </c>
      <c r="BD95" s="69">
        <f>VLOOKUP(D95,FEB23SOH,3,false)</f>
        <v>330.0</v>
      </c>
      <c r="BE95" s="201">
        <f>VLOOKUP(D95,VALUEFEB23,4,false)</f>
        <v>3.3743</v>
      </c>
      <c r="BF95" s="215">
        <f t="shared" si="16"/>
        <v>1113.519</v>
      </c>
      <c r="BI95" s="193">
        <f t="shared" si="225"/>
        <v>244.2</v>
      </c>
      <c r="BL95" s="103"/>
      <c r="BM95" s="95">
        <f t="shared" si="226"/>
        <v>330.0</v>
      </c>
      <c r="BN95" s="65">
        <f t="shared" si="227"/>
        <v>14.3</v>
      </c>
      <c r="BO95" s="65">
        <f t="shared" si="21"/>
      </c>
      <c r="BP95" s="65">
        <f t="shared" si="228"/>
        <v>315.7</v>
      </c>
      <c r="BQ95" s="194">
        <f t="shared" si="68"/>
        <v>1065.26651</v>
      </c>
      <c r="BR95" s="65">
        <f t="shared" si="229"/>
        <v>14.3</v>
      </c>
      <c r="BS95" s="65">
        <f t="shared" si="25"/>
      </c>
      <c r="BT95" s="65">
        <f t="shared" si="230"/>
        <v>301.4</v>
      </c>
      <c r="BU95" s="194">
        <f t="shared" si="71"/>
        <v>1017.01402</v>
      </c>
      <c r="BV95" s="65">
        <f t="shared" si="231"/>
        <v>14.3</v>
      </c>
      <c r="BW95" s="65">
        <f t="shared" si="73"/>
      </c>
      <c r="BX95" s="65">
        <f t="shared" si="232"/>
        <v>287.1</v>
      </c>
      <c r="BY95" s="194">
        <f t="shared" si="75"/>
        <v>968.76153</v>
      </c>
      <c r="BZ95" s="65">
        <f t="shared" si="233"/>
        <v>14.3</v>
      </c>
      <c r="CA95" s="65"/>
      <c r="CB95" s="65">
        <f t="shared" si="234"/>
        <v>272.8</v>
      </c>
      <c r="CC95" s="194">
        <f t="shared" si="78"/>
        <v>920.50904</v>
      </c>
      <c r="CD95" s="65">
        <f t="shared" si="235"/>
        <v>14.3</v>
      </c>
      <c r="CE95" s="65"/>
      <c r="CF95" s="65">
        <f t="shared" si="236"/>
        <v>258.5</v>
      </c>
      <c r="CG95" s="194">
        <f t="shared" si="81"/>
        <v>872.25655</v>
      </c>
      <c r="CH95" s="65">
        <f t="shared" si="237"/>
        <v>14.3</v>
      </c>
      <c r="CI95" s="65"/>
      <c r="CJ95" s="65">
        <f t="shared" si="238"/>
        <v>244.2</v>
      </c>
      <c r="CK95" s="194">
        <f t="shared" si="84"/>
        <v>872.25655</v>
      </c>
    </row>
    <row r="96" ht="14.0" customFormat="1" s="47">
      <c r="A96" s="93" t="s">
        <v>179</v>
      </c>
      <c r="B96" s="93" t="s">
        <v>361</v>
      </c>
      <c r="C96" s="93" t="s">
        <v>362</v>
      </c>
      <c r="D96" s="229" t="s">
        <v>363</v>
      </c>
      <c r="E96" s="93">
        <v>0.0</v>
      </c>
      <c r="F96" s="93">
        <v>0.0</v>
      </c>
      <c r="G96" s="93">
        <v>0.0</v>
      </c>
      <c r="H96" s="93">
        <v>0.0</v>
      </c>
      <c r="I96" s="93">
        <v>0.0</v>
      </c>
      <c r="J96" s="93">
        <v>0.0</v>
      </c>
      <c r="K96" s="93">
        <v>0.0</v>
      </c>
      <c r="L96" s="93">
        <v>0.0</v>
      </c>
      <c r="M96" s="93">
        <v>0.0</v>
      </c>
      <c r="N96" s="93">
        <v>0.0</v>
      </c>
      <c r="O96" s="93">
        <v>0.0</v>
      </c>
      <c r="P96" s="93">
        <v>0.0</v>
      </c>
      <c r="Q96" s="93">
        <v>0.0</v>
      </c>
      <c r="R96" s="93">
        <v>0.0</v>
      </c>
      <c r="S96" s="93">
        <v>0.0</v>
      </c>
      <c r="T96" s="93">
        <v>0.0</v>
      </c>
      <c r="U96" s="93">
        <v>0.0</v>
      </c>
      <c r="V96" s="93">
        <v>0.0</v>
      </c>
      <c r="W96" s="93">
        <v>0.0</v>
      </c>
      <c r="X96" s="93">
        <v>0.0</v>
      </c>
      <c r="Y96" s="93">
        <v>27.0</v>
      </c>
      <c r="Z96" s="93">
        <v>92.0</v>
      </c>
      <c r="AA96" s="93">
        <v>60.0</v>
      </c>
      <c r="AB96" s="93">
        <v>138.0</v>
      </c>
      <c r="AC96" s="93">
        <v>102.0</v>
      </c>
      <c r="AD96" s="93">
        <v>78.0</v>
      </c>
      <c r="AE96" s="93">
        <v>3.0</v>
      </c>
      <c r="AF96" s="93">
        <v>0.0</v>
      </c>
      <c r="AG96" s="93">
        <v>0.0</v>
      </c>
      <c r="AH96" s="114">
        <v>0.0</v>
      </c>
      <c r="AI96" s="93">
        <v>21.0</v>
      </c>
      <c r="AJ96" s="93">
        <v>18.0</v>
      </c>
      <c r="AK96" s="93">
        <v>6.0</v>
      </c>
      <c r="AL96" s="93">
        <v>30.0</v>
      </c>
      <c r="AM96" s="93">
        <v>33.0</v>
      </c>
      <c r="AN96" s="230">
        <v>51.0</v>
      </c>
      <c r="AO96" s="230">
        <v>48.0</v>
      </c>
      <c r="AP96" s="230">
        <v>54.0</v>
      </c>
      <c r="AQ96" s="231">
        <v>33.0</v>
      </c>
      <c r="AR96" s="231">
        <v>6.0</v>
      </c>
      <c r="AS96" s="231">
        <v>88.0</v>
      </c>
      <c r="AT96" s="69">
        <f t="shared" si="4"/>
        <v>388.0</v>
      </c>
      <c r="AU96" s="69">
        <f t="shared" si="246"/>
        <v>280.0</v>
      </c>
      <c r="AV96" s="69">
        <f t="shared" si="6"/>
        <v>308.0</v>
      </c>
      <c r="AW96" s="47">
        <f>AV96*$AW$4/$AV$4</f>
        <v>32.5581395348837</v>
      </c>
      <c r="AX96" s="47">
        <f>AV96*$AX$4/$AV$4</f>
        <v>35.0626118067979</v>
      </c>
      <c r="AY96" s="47">
        <f>AV96*$AY$4/$AV$4</f>
        <v>48.5867620751341</v>
      </c>
      <c r="AZ96" s="47">
        <f>AV96*$AZ$4/$AV$4</f>
        <v>23.04114490161</v>
      </c>
      <c r="BA96" s="47">
        <f>AV96*$BA$4/$AV$4</f>
        <v>45.0805008944543</v>
      </c>
      <c r="BB96" s="47">
        <f>AV96*$BB$4/$AV$4</f>
        <v>36.5652951699463</v>
      </c>
      <c r="BC96" s="64">
        <f t="shared" si="13"/>
        <v>220.894454382826</v>
      </c>
      <c r="BD96" s="69">
        <f>VLOOKUP(D96,FEB23SOH,3,false)</f>
        <v>120.0</v>
      </c>
      <c r="BE96" s="201">
        <f>VLOOKUP(D96,VALUEFEB23,4,false)</f>
        <v>3.5118</v>
      </c>
      <c r="BF96" s="215">
        <f t="shared" si="16"/>
        <v>421.416</v>
      </c>
      <c r="BG96" s="64"/>
      <c r="BH96" s="64"/>
      <c r="BI96" s="193">
        <f t="shared" si="225"/>
        <v>-100.894454382826</v>
      </c>
      <c r="BJ96" s="238">
        <v>501.0</v>
      </c>
      <c r="BK96" s="232" t="s">
        <v>576</v>
      </c>
      <c r="BL96" s="103" t="s">
        <v>4</v>
      </c>
      <c r="BM96" s="95">
        <f t="shared" si="226"/>
        <v>120.0</v>
      </c>
      <c r="BN96" s="65">
        <f t="shared" si="227"/>
        <v>32.5581395348837</v>
      </c>
      <c r="BO96" s="65">
        <f t="shared" si="21"/>
      </c>
      <c r="BP96" s="65">
        <f t="shared" si="228"/>
        <v>87.4418604651162</v>
      </c>
      <c r="BQ96" s="194">
        <f t="shared" si="68"/>
        <v>307.078325581395</v>
      </c>
      <c r="BR96" s="65">
        <f t="shared" si="229"/>
        <v>35.0626118067979</v>
      </c>
      <c r="BS96" s="65">
        <f t="shared" si="25"/>
      </c>
      <c r="BT96" s="65">
        <f t="shared" si="230"/>
        <v>52.3792486583183</v>
      </c>
      <c r="BU96" s="194">
        <f t="shared" si="71"/>
        <v>183.945445438282</v>
      </c>
      <c r="BV96" s="65">
        <f t="shared" si="231"/>
        <v>48.5867620751341</v>
      </c>
      <c r="BW96" s="65">
        <f t="shared" si="73"/>
      </c>
      <c r="BX96" s="65">
        <f t="shared" si="232"/>
        <v>3.7924865831842</v>
      </c>
      <c r="BY96" s="194">
        <f t="shared" si="75"/>
        <v>13.3184543828262</v>
      </c>
      <c r="BZ96" s="65">
        <f t="shared" si="233"/>
        <v>23.04114490161</v>
      </c>
      <c r="CA96" s="65"/>
      <c r="CB96" s="65">
        <f t="shared" si="234"/>
        <v>-19.2486583184258</v>
      </c>
      <c r="CC96" s="194">
        <f t="shared" si="78"/>
        <v>-67.5974382826477</v>
      </c>
      <c r="CD96" s="65">
        <f t="shared" si="235"/>
        <v>45.0805008944543</v>
      </c>
      <c r="CE96" s="65"/>
      <c r="CF96" s="65">
        <f t="shared" si="236"/>
        <v>-64.3291592128801</v>
      </c>
      <c r="CG96" s="194">
        <f t="shared" si="81"/>
        <v>-225.911141323792</v>
      </c>
      <c r="CH96" s="65">
        <f t="shared" si="237"/>
        <v>36.5652951699463</v>
      </c>
      <c r="CI96" s="65"/>
      <c r="CJ96" s="65">
        <f t="shared" si="238"/>
        <v>-100.894454382826</v>
      </c>
      <c r="CK96" s="194">
        <f t="shared" si="84"/>
        <v>-225.911141323792</v>
      </c>
    </row>
    <row r="97" ht="14.0">
      <c r="A97" s="93" t="s">
        <v>179</v>
      </c>
      <c r="B97" s="93" t="s">
        <v>361</v>
      </c>
      <c r="C97" s="93" t="s">
        <v>364</v>
      </c>
      <c r="D97" s="234" t="s">
        <v>365</v>
      </c>
      <c r="E97" s="93">
        <v>0.0</v>
      </c>
      <c r="F97" s="93">
        <v>0.0</v>
      </c>
      <c r="G97" s="93">
        <v>0.0</v>
      </c>
      <c r="H97" s="93">
        <v>0.0</v>
      </c>
      <c r="I97" s="93">
        <v>0.0</v>
      </c>
      <c r="J97" s="93">
        <v>0.0</v>
      </c>
      <c r="K97" s="93">
        <v>0.0</v>
      </c>
      <c r="L97" s="93">
        <v>0.0</v>
      </c>
      <c r="M97" s="93">
        <v>0.0</v>
      </c>
      <c r="N97" s="93">
        <v>0.0</v>
      </c>
      <c r="O97" s="93">
        <v>0.0</v>
      </c>
      <c r="P97" s="93">
        <v>0.0</v>
      </c>
      <c r="Q97" s="93">
        <v>0.0</v>
      </c>
      <c r="R97" s="93">
        <v>0.0</v>
      </c>
      <c r="S97" s="93">
        <v>0.0</v>
      </c>
      <c r="T97" s="93">
        <v>0.0</v>
      </c>
      <c r="U97" s="93">
        <v>0.0</v>
      </c>
      <c r="V97" s="93">
        <v>0.0</v>
      </c>
      <c r="W97" s="93">
        <v>0.0</v>
      </c>
      <c r="X97" s="93">
        <v>0.0</v>
      </c>
      <c r="Y97" s="93">
        <v>14.0</v>
      </c>
      <c r="Z97" s="93">
        <v>38.0</v>
      </c>
      <c r="AA97" s="93">
        <v>39.0</v>
      </c>
      <c r="AB97" s="93">
        <v>30.0</v>
      </c>
      <c r="AC97" s="93">
        <v>36.0</v>
      </c>
      <c r="AD97" s="93">
        <v>33.0</v>
      </c>
      <c r="AE97" s="93">
        <v>9.0</v>
      </c>
      <c r="AF97" s="93">
        <v>12.0</v>
      </c>
      <c r="AG97" s="93">
        <v>9.0</v>
      </c>
      <c r="AH97" s="114">
        <v>9.0</v>
      </c>
      <c r="AI97" s="114">
        <v>9.0</v>
      </c>
      <c r="AJ97" s="114">
        <v>9.0</v>
      </c>
      <c r="AK97" s="114">
        <v>0.0</v>
      </c>
      <c r="AL97" s="114">
        <v>12.0</v>
      </c>
      <c r="AM97" s="114">
        <v>12.0</v>
      </c>
      <c r="AN97" s="93">
        <v>6.0</v>
      </c>
      <c r="AO97" s="93">
        <v>21.0</v>
      </c>
      <c r="AP97" s="93">
        <v>18.0</v>
      </c>
      <c r="AQ97" s="233">
        <v>24.0</v>
      </c>
      <c r="AR97" s="233">
        <v>0.0</v>
      </c>
      <c r="AS97" s="233">
        <v>0.0</v>
      </c>
      <c r="AT97" s="69">
        <f t="shared" si="4"/>
        <v>120.0</v>
      </c>
      <c r="AU97" s="69">
        <f t="shared" ref="AU97:AU101" si="267">SUM(AH97:AM97)</f>
        <v>51.0</v>
      </c>
      <c r="AV97" s="69">
        <f t="shared" si="6"/>
        <v>56.1</v>
      </c>
      <c r="AW97" s="47">
        <f t="shared" ref="AW97:AW101" si="268">AV97*$AW$4/$AV$3</f>
        <v>7.51700680272109</v>
      </c>
      <c r="AX97" s="47">
        <f t="shared" ref="AX97:AX101" si="269">AV97*$AX$4/$AV$3</f>
        <v>8.0952380952381</v>
      </c>
      <c r="AY97" s="47">
        <f t="shared" ref="AY97:AY101" si="270">AV97*$AY$4/$AV$3</f>
        <v>11.2176870748299</v>
      </c>
      <c r="AZ97" s="47">
        <f t="shared" ref="AZ97:AZ101" si="271">AV97*$AZ$4/$AV$3</f>
        <v>5.31972789115646</v>
      </c>
      <c r="BA97" s="47">
        <f t="shared" ref="BA97:BA101" si="272">AV97*$BA$4/$AV$3</f>
        <v>10.4081632653061</v>
      </c>
      <c r="BB97" s="47">
        <f t="shared" ref="BB97:BB101" si="273">AV97*$BB$4/$AV$3</f>
        <v>8.4421768707483</v>
      </c>
      <c r="BC97" s="64">
        <f t="shared" si="13"/>
        <v>51.0</v>
      </c>
      <c r="BD97" s="69">
        <f>VLOOKUP(D97,FEB23SOH,3,false)</f>
        <v>164.0</v>
      </c>
      <c r="BE97" s="201">
        <f>VLOOKUP(D97,VALUEFEB23,4,false)</f>
        <v>3.3152</v>
      </c>
      <c r="BF97" s="215">
        <f t="shared" si="16"/>
        <v>543.6928</v>
      </c>
      <c r="BI97" s="193">
        <f t="shared" si="225"/>
        <v>113.0</v>
      </c>
      <c r="BK97" s="99"/>
      <c r="BL97" s="103"/>
      <c r="BM97" s="95">
        <f t="shared" si="226"/>
        <v>164.0</v>
      </c>
      <c r="BN97" s="65">
        <f t="shared" si="227"/>
        <v>7.51700680272109</v>
      </c>
      <c r="BO97" s="65">
        <f t="shared" si="21"/>
      </c>
      <c r="BP97" s="65">
        <f t="shared" si="228"/>
        <v>156.482993197279</v>
      </c>
      <c r="BQ97" s="194">
        <f t="shared" si="68"/>
        <v>518.772419047619</v>
      </c>
      <c r="BR97" s="65">
        <f t="shared" si="229"/>
        <v>8.0952380952381</v>
      </c>
      <c r="BS97" s="65">
        <f t="shared" si="25"/>
      </c>
      <c r="BT97" s="65">
        <f t="shared" si="230"/>
        <v>148.38775510204</v>
      </c>
      <c r="BU97" s="194">
        <f t="shared" si="71"/>
        <v>491.935085714282</v>
      </c>
      <c r="BV97" s="65">
        <f t="shared" si="231"/>
        <v>11.2176870748299</v>
      </c>
      <c r="BW97" s="65">
        <f t="shared" si="73"/>
      </c>
      <c r="BX97" s="65">
        <f t="shared" si="232"/>
        <v>137.17006802721</v>
      </c>
      <c r="BY97" s="194">
        <f t="shared" si="75"/>
        <v>454.746209523807</v>
      </c>
      <c r="BZ97" s="65">
        <f t="shared" si="233"/>
        <v>5.31972789115646</v>
      </c>
      <c r="CA97" s="65"/>
      <c r="CB97" s="65">
        <f t="shared" si="234"/>
        <v>131.850340136053</v>
      </c>
      <c r="CC97" s="194">
        <f t="shared" si="78"/>
        <v>437.110247619042</v>
      </c>
      <c r="CD97" s="65">
        <f t="shared" si="235"/>
        <v>10.4081632653061</v>
      </c>
      <c r="CE97" s="65"/>
      <c r="CF97" s="65">
        <f t="shared" si="236"/>
        <v>121.44217687074</v>
      </c>
      <c r="CG97" s="194">
        <f t="shared" si="81"/>
        <v>402.605104761877</v>
      </c>
      <c r="CH97" s="65">
        <f t="shared" si="237"/>
        <v>8.4421768707483</v>
      </c>
      <c r="CI97" s="65"/>
      <c r="CJ97" s="65">
        <f t="shared" si="238"/>
        <v>112.999999999991</v>
      </c>
      <c r="CK97" s="194">
        <f t="shared" si="84"/>
        <v>402.605104761877</v>
      </c>
    </row>
    <row r="98" ht="14.0" customFormat="1" s="47">
      <c r="A98" s="93" t="s">
        <v>179</v>
      </c>
      <c r="B98" s="93" t="s">
        <v>361</v>
      </c>
      <c r="C98" s="93" t="s">
        <v>366</v>
      </c>
      <c r="D98" s="234" t="s">
        <v>367</v>
      </c>
      <c r="E98" s="93">
        <v>0.0</v>
      </c>
      <c r="F98" s="93">
        <v>0.0</v>
      </c>
      <c r="G98" s="93">
        <v>0.0</v>
      </c>
      <c r="H98" s="93">
        <v>0.0</v>
      </c>
      <c r="I98" s="93">
        <v>0.0</v>
      </c>
      <c r="J98" s="93">
        <v>0.0</v>
      </c>
      <c r="K98" s="93">
        <v>0.0</v>
      </c>
      <c r="L98" s="93">
        <v>0.0</v>
      </c>
      <c r="M98" s="93">
        <v>0.0</v>
      </c>
      <c r="N98" s="93">
        <v>0.0</v>
      </c>
      <c r="O98" s="93">
        <v>0.0</v>
      </c>
      <c r="P98" s="93">
        <v>0.0</v>
      </c>
      <c r="Q98" s="93">
        <v>0.0</v>
      </c>
      <c r="R98" s="93">
        <v>0.0</v>
      </c>
      <c r="S98" s="93">
        <v>0.0</v>
      </c>
      <c r="T98" s="93">
        <v>0.0</v>
      </c>
      <c r="U98" s="93">
        <v>0.0</v>
      </c>
      <c r="V98" s="93">
        <v>0.0</v>
      </c>
      <c r="W98" s="93">
        <v>0.0</v>
      </c>
      <c r="X98" s="93">
        <v>0.0</v>
      </c>
      <c r="Y98" s="93">
        <v>9.0</v>
      </c>
      <c r="Z98" s="93">
        <v>35.0</v>
      </c>
      <c r="AA98" s="93">
        <v>18.0</v>
      </c>
      <c r="AB98" s="93">
        <v>57.0</v>
      </c>
      <c r="AC98" s="93">
        <v>48.0</v>
      </c>
      <c r="AD98" s="93">
        <v>30.0</v>
      </c>
      <c r="AE98" s="93">
        <v>12.0</v>
      </c>
      <c r="AF98" s="93">
        <v>12.0</v>
      </c>
      <c r="AG98" s="93">
        <v>30.0</v>
      </c>
      <c r="AH98" s="114">
        <v>27.0</v>
      </c>
      <c r="AI98" s="114">
        <v>21.0</v>
      </c>
      <c r="AJ98" s="114">
        <v>15.0</v>
      </c>
      <c r="AK98" s="114">
        <v>3.0</v>
      </c>
      <c r="AL98" s="114">
        <v>12.0</v>
      </c>
      <c r="AM98" s="114">
        <v>21.0</v>
      </c>
      <c r="AN98" s="93">
        <v>12.0</v>
      </c>
      <c r="AO98" s="93">
        <v>9.0</v>
      </c>
      <c r="AP98" s="93">
        <v>15.0</v>
      </c>
      <c r="AQ98" s="233">
        <v>9.0</v>
      </c>
      <c r="AR98" s="233">
        <v>6.0</v>
      </c>
      <c r="AS98" s="233">
        <v>7.0</v>
      </c>
      <c r="AT98" s="69">
        <f t="shared" si="4"/>
        <v>157.0</v>
      </c>
      <c r="AU98" s="69">
        <f t="shared" si="267"/>
        <v>99.0</v>
      </c>
      <c r="AV98" s="69">
        <f t="shared" si="6"/>
        <v>108.9</v>
      </c>
      <c r="AW98" s="47">
        <f t="shared" si="268"/>
        <v>14.5918367346939</v>
      </c>
      <c r="AX98" s="47">
        <f t="shared" si="269"/>
        <v>15.7142857142857</v>
      </c>
      <c r="AY98" s="47">
        <f t="shared" si="270"/>
        <v>21.7755102040816</v>
      </c>
      <c r="AZ98" s="47">
        <f t="shared" si="271"/>
        <v>10.3265306122449</v>
      </c>
      <c r="BA98" s="47">
        <f t="shared" si="272"/>
        <v>20.204081632653</v>
      </c>
      <c r="BB98" s="47">
        <f t="shared" si="273"/>
        <v>16.3877551020408</v>
      </c>
      <c r="BC98" s="64">
        <f t="shared" si="13"/>
        <v>98.9999999999999</v>
      </c>
      <c r="BD98" s="69">
        <f>VLOOKUP(D98,FEB23SOH,3,false)</f>
        <v>94.0</v>
      </c>
      <c r="BE98" s="201">
        <f>VLOOKUP(D98,VALUEFEB23,4,false)</f>
        <v>3.3141</v>
      </c>
      <c r="BF98" s="215">
        <f t="shared" si="16"/>
        <v>311.5254</v>
      </c>
      <c r="BG98" s="64"/>
      <c r="BH98" s="64"/>
      <c r="BI98" s="193">
        <f t="shared" si="225"/>
        <v>-4.9999999999999</v>
      </c>
      <c r="BJ98" s="238"/>
      <c r="BK98" s="236"/>
      <c r="BL98" s="103" t="s">
        <v>6</v>
      </c>
      <c r="BM98" s="95">
        <f t="shared" si="226"/>
        <v>94.0</v>
      </c>
      <c r="BN98" s="65">
        <f t="shared" si="227"/>
        <v>14.5918367346939</v>
      </c>
      <c r="BO98" s="65">
        <f t="shared" si="21"/>
      </c>
      <c r="BP98" s="65">
        <f t="shared" si="228"/>
        <v>79.4081632653061</v>
      </c>
      <c r="BQ98" s="194">
        <f t="shared" si="68"/>
        <v>263.16659387755</v>
      </c>
      <c r="BR98" s="65">
        <f t="shared" si="229"/>
        <v>15.7142857142857</v>
      </c>
      <c r="BS98" s="65">
        <f t="shared" si="25"/>
      </c>
      <c r="BT98" s="65">
        <f t="shared" si="230"/>
        <v>63.6938775510204</v>
      </c>
      <c r="BU98" s="194">
        <f t="shared" si="71"/>
        <v>211.087879591837</v>
      </c>
      <c r="BV98" s="65">
        <f t="shared" si="231"/>
        <v>21.7755102040816</v>
      </c>
      <c r="BW98" s="65">
        <f t="shared" si="73"/>
      </c>
      <c r="BX98" s="65">
        <f t="shared" si="232"/>
        <v>41.9183673469388</v>
      </c>
      <c r="BY98" s="194">
        <f t="shared" si="75"/>
        <v>138.92166122449</v>
      </c>
      <c r="BZ98" s="65">
        <f t="shared" si="233"/>
        <v>10.3265306122449</v>
      </c>
      <c r="CA98" s="65"/>
      <c r="CB98" s="65">
        <f t="shared" si="234"/>
        <v>31.5918367346939</v>
      </c>
      <c r="CC98" s="194">
        <f t="shared" si="78"/>
        <v>104.698506122449</v>
      </c>
      <c r="CD98" s="65">
        <f t="shared" si="235"/>
        <v>20.204081632653</v>
      </c>
      <c r="CE98" s="65"/>
      <c r="CF98" s="65">
        <f t="shared" si="236"/>
        <v>11.38775510204</v>
      </c>
      <c r="CG98" s="194">
        <f t="shared" si="81"/>
        <v>37.7401591836708</v>
      </c>
      <c r="CH98" s="65">
        <f t="shared" si="237"/>
        <v>16.3877551020408</v>
      </c>
      <c r="CI98" s="65"/>
      <c r="CJ98" s="65">
        <f t="shared" si="238"/>
        <v>-5.00000000000078</v>
      </c>
      <c r="CK98" s="194">
        <f t="shared" si="84"/>
        <v>37.7401591836708</v>
      </c>
    </row>
    <row r="99" ht="14.0">
      <c r="A99" s="93" t="s">
        <v>179</v>
      </c>
      <c r="B99" s="93" t="s">
        <v>361</v>
      </c>
      <c r="C99" s="93" t="s">
        <v>368</v>
      </c>
      <c r="D99" s="234" t="s">
        <v>369</v>
      </c>
      <c r="E99" s="93">
        <v>0.0</v>
      </c>
      <c r="F99" s="93">
        <v>0.0</v>
      </c>
      <c r="G99" s="93">
        <v>0.0</v>
      </c>
      <c r="H99" s="93">
        <v>0.0</v>
      </c>
      <c r="I99" s="93">
        <v>0.0</v>
      </c>
      <c r="J99" s="93">
        <v>0.0</v>
      </c>
      <c r="K99" s="93">
        <v>0.0</v>
      </c>
      <c r="L99" s="93">
        <v>0.0</v>
      </c>
      <c r="M99" s="93">
        <v>0.0</v>
      </c>
      <c r="N99" s="93">
        <v>0.0</v>
      </c>
      <c r="O99" s="93">
        <v>0.0</v>
      </c>
      <c r="P99" s="93">
        <v>0.0</v>
      </c>
      <c r="Q99" s="93">
        <v>0.0</v>
      </c>
      <c r="R99" s="93">
        <v>0.0</v>
      </c>
      <c r="S99" s="93">
        <v>0.0</v>
      </c>
      <c r="T99" s="93">
        <v>0.0</v>
      </c>
      <c r="U99" s="93">
        <v>0.0</v>
      </c>
      <c r="V99" s="93">
        <v>0.0</v>
      </c>
      <c r="W99" s="93">
        <v>0.0</v>
      </c>
      <c r="X99" s="93">
        <v>0.0</v>
      </c>
      <c r="Y99" s="93">
        <v>12.0</v>
      </c>
      <c r="Z99" s="93">
        <v>23.0</v>
      </c>
      <c r="AA99" s="93">
        <v>27.0</v>
      </c>
      <c r="AB99" s="93">
        <v>33.0</v>
      </c>
      <c r="AC99" s="93">
        <v>42.0</v>
      </c>
      <c r="AD99" s="93">
        <v>27.0</v>
      </c>
      <c r="AE99" s="93">
        <v>3.0</v>
      </c>
      <c r="AF99" s="93">
        <v>12.0</v>
      </c>
      <c r="AG99" s="93">
        <v>21.0</v>
      </c>
      <c r="AH99" s="114">
        <v>6.0</v>
      </c>
      <c r="AI99" s="114">
        <v>12.0</v>
      </c>
      <c r="AJ99" s="114">
        <v>6.0</v>
      </c>
      <c r="AK99" s="114">
        <v>3.0</v>
      </c>
      <c r="AL99" s="114">
        <v>3.0</v>
      </c>
      <c r="AM99" s="114">
        <v>9.0</v>
      </c>
      <c r="AN99" s="93">
        <v>3.0</v>
      </c>
      <c r="AO99" s="93">
        <v>6.0</v>
      </c>
      <c r="AP99" s="93">
        <v>9.0</v>
      </c>
      <c r="AQ99" s="233">
        <v>6.0</v>
      </c>
      <c r="AR99" s="233">
        <v>0.0</v>
      </c>
      <c r="AS99" s="233">
        <v>0.0</v>
      </c>
      <c r="AT99" s="69">
        <f t="shared" si="4"/>
        <v>63.0</v>
      </c>
      <c r="AU99" s="69">
        <f t="shared" si="267"/>
        <v>39.0</v>
      </c>
      <c r="AV99" s="69">
        <f t="shared" si="6"/>
        <v>42.9</v>
      </c>
      <c r="AW99" s="47">
        <f t="shared" si="268"/>
        <v>5.74829931972789</v>
      </c>
      <c r="AX99" s="47">
        <f t="shared" si="269"/>
        <v>6.19047619047619</v>
      </c>
      <c r="AY99" s="47">
        <f t="shared" si="270"/>
        <v>8.578231292517</v>
      </c>
      <c r="AZ99" s="47">
        <f t="shared" si="271"/>
        <v>4.06802721088435</v>
      </c>
      <c r="BA99" s="47">
        <f t="shared" si="272"/>
        <v>7.95918367346939</v>
      </c>
      <c r="BB99" s="47">
        <f t="shared" si="273"/>
        <v>6.45578231292517</v>
      </c>
      <c r="BC99" s="64">
        <f t="shared" si="13"/>
        <v>39.0</v>
      </c>
      <c r="BD99" s="69">
        <f>VLOOKUP(D99,FEB23SOH,3,false)</f>
        <v>238.0</v>
      </c>
      <c r="BE99" s="201">
        <f>VLOOKUP(D99,VALUEFEB23,4,false)</f>
        <v>3.3157</v>
      </c>
      <c r="BF99" s="215">
        <f t="shared" si="16"/>
        <v>789.1366</v>
      </c>
      <c r="BI99" s="193">
        <f t="shared" si="225"/>
        <v>199.0</v>
      </c>
      <c r="BK99" s="99"/>
      <c r="BL99" s="103"/>
      <c r="BM99" s="95">
        <f t="shared" si="226"/>
        <v>238.0</v>
      </c>
      <c r="BN99" s="65">
        <f t="shared" si="227"/>
        <v>5.74829931972789</v>
      </c>
      <c r="BO99" s="65">
        <f t="shared" si="21"/>
      </c>
      <c r="BP99" s="65">
        <f t="shared" si="228"/>
        <v>232.251700680272</v>
      </c>
      <c r="BQ99" s="194">
        <f t="shared" si="68"/>
        <v>770.076963945578</v>
      </c>
      <c r="BR99" s="65">
        <f t="shared" si="229"/>
        <v>6.19047619047619</v>
      </c>
      <c r="BS99" s="65">
        <f t="shared" si="25"/>
      </c>
      <c r="BT99" s="65">
        <f t="shared" si="230"/>
        <v>226.061224489796</v>
      </c>
      <c r="BU99" s="194">
        <f t="shared" si="71"/>
        <v>749.551202040817</v>
      </c>
      <c r="BV99" s="65">
        <f t="shared" si="231"/>
        <v>8.578231292517</v>
      </c>
      <c r="BW99" s="65">
        <f t="shared" si="73"/>
      </c>
      <c r="BX99" s="65">
        <f t="shared" si="232"/>
        <v>217.482993197279</v>
      </c>
      <c r="BY99" s="194">
        <f t="shared" si="75"/>
        <v>721.108360544218</v>
      </c>
      <c r="BZ99" s="65">
        <f t="shared" si="233"/>
        <v>4.06802721088435</v>
      </c>
      <c r="CA99" s="65"/>
      <c r="CB99" s="65">
        <f t="shared" si="234"/>
        <v>213.414965986394</v>
      </c>
      <c r="CC99" s="194">
        <f t="shared" si="78"/>
        <v>707.62000272109</v>
      </c>
      <c r="CD99" s="65">
        <f t="shared" si="235"/>
        <v>7.95918367346939</v>
      </c>
      <c r="CE99" s="65"/>
      <c r="CF99" s="65">
        <f t="shared" si="236"/>
        <v>205.455782312924</v>
      </c>
      <c r="CG99" s="194">
        <f t="shared" si="81"/>
        <v>681.229737414962</v>
      </c>
      <c r="CH99" s="65">
        <f t="shared" si="237"/>
        <v>6.45578231292517</v>
      </c>
      <c r="CI99" s="65"/>
      <c r="CJ99" s="65">
        <f t="shared" si="238"/>
        <v>198.999999999999</v>
      </c>
      <c r="CK99" s="194">
        <f t="shared" si="84"/>
        <v>681.229737414962</v>
      </c>
    </row>
    <row r="100" ht="14.0">
      <c r="A100" s="93" t="s">
        <v>179</v>
      </c>
      <c r="B100" s="93" t="s">
        <v>361</v>
      </c>
      <c r="C100" s="93" t="s">
        <v>370</v>
      </c>
      <c r="D100" s="234" t="s">
        <v>371</v>
      </c>
      <c r="E100" s="93">
        <v>0.0</v>
      </c>
      <c r="F100" s="93">
        <v>0.0</v>
      </c>
      <c r="G100" s="93">
        <v>0.0</v>
      </c>
      <c r="H100" s="93">
        <v>0.0</v>
      </c>
      <c r="I100" s="93">
        <v>0.0</v>
      </c>
      <c r="J100" s="93">
        <v>0.0</v>
      </c>
      <c r="K100" s="93">
        <v>0.0</v>
      </c>
      <c r="L100" s="93">
        <v>0.0</v>
      </c>
      <c r="M100" s="93">
        <v>0.0</v>
      </c>
      <c r="N100" s="93">
        <v>0.0</v>
      </c>
      <c r="O100" s="93">
        <v>0.0</v>
      </c>
      <c r="P100" s="93">
        <v>0.0</v>
      </c>
      <c r="Q100" s="93">
        <v>0.0</v>
      </c>
      <c r="R100" s="93">
        <v>0.0</v>
      </c>
      <c r="S100" s="93">
        <v>0.0</v>
      </c>
      <c r="T100" s="93">
        <v>0.0</v>
      </c>
      <c r="U100" s="93">
        <v>0.0</v>
      </c>
      <c r="V100" s="93">
        <v>0.0</v>
      </c>
      <c r="W100" s="93">
        <v>0.0</v>
      </c>
      <c r="X100" s="93">
        <v>0.0</v>
      </c>
      <c r="Y100" s="93">
        <v>21.0</v>
      </c>
      <c r="Z100" s="93">
        <v>80.0</v>
      </c>
      <c r="AA100" s="93">
        <v>63.0</v>
      </c>
      <c r="AB100" s="93">
        <v>129.0</v>
      </c>
      <c r="AC100" s="93">
        <v>67.0</v>
      </c>
      <c r="AD100" s="93">
        <v>63.0</v>
      </c>
      <c r="AE100" s="93">
        <v>15.0</v>
      </c>
      <c r="AF100" s="93">
        <v>18.0</v>
      </c>
      <c r="AG100" s="93">
        <v>30.0</v>
      </c>
      <c r="AH100" s="114">
        <v>12.0</v>
      </c>
      <c r="AI100" s="114">
        <v>18.0</v>
      </c>
      <c r="AJ100" s="114">
        <v>9.0</v>
      </c>
      <c r="AK100" s="114">
        <v>3.0</v>
      </c>
      <c r="AL100" s="114">
        <v>6.0</v>
      </c>
      <c r="AM100" s="114">
        <v>109.0</v>
      </c>
      <c r="AN100" s="93">
        <v>18.0</v>
      </c>
      <c r="AO100" s="93">
        <v>33.0</v>
      </c>
      <c r="AP100" s="93">
        <v>54.0</v>
      </c>
      <c r="AQ100" s="233">
        <v>30.0</v>
      </c>
      <c r="AR100" s="233">
        <v>27.0</v>
      </c>
      <c r="AS100" s="233">
        <v>7.0</v>
      </c>
      <c r="AT100" s="69">
        <f t="shared" si="4"/>
        <v>326.0</v>
      </c>
      <c r="AU100" s="69">
        <f t="shared" si="267"/>
        <v>157.0</v>
      </c>
      <c r="AV100" s="69">
        <f t="shared" si="6"/>
        <v>172.7</v>
      </c>
      <c r="AW100" s="47">
        <f t="shared" si="268"/>
        <v>23.14058956916</v>
      </c>
      <c r="AX100" s="47">
        <f t="shared" si="269"/>
        <v>24.9206349206349</v>
      </c>
      <c r="AY100" s="47">
        <f t="shared" si="270"/>
        <v>34.5328798185941</v>
      </c>
      <c r="AZ100" s="47">
        <f t="shared" si="271"/>
        <v>16.37641723356</v>
      </c>
      <c r="BA100" s="47">
        <f t="shared" si="272"/>
        <v>32.0408163265306</v>
      </c>
      <c r="BB100" s="47">
        <f t="shared" si="273"/>
        <v>25.9886621315192</v>
      </c>
      <c r="BC100" s="64">
        <f t="shared" si="13"/>
        <v>156.999999999999</v>
      </c>
      <c r="BD100" s="69">
        <f>VLOOKUP(D100,FEB23SOH,3,false)</f>
        <v>182.0</v>
      </c>
      <c r="BE100" s="201">
        <f>VLOOKUP(D100,VALUEFEB23,4,false)</f>
        <v>3.5123</v>
      </c>
      <c r="BF100" s="215">
        <f t="shared" si="16"/>
        <v>639.2386</v>
      </c>
      <c r="BI100" s="193">
        <f t="shared" si="225"/>
        <v>25.000000000001</v>
      </c>
      <c r="BJ100" s="238">
        <v>501.0</v>
      </c>
      <c r="BK100" s="99"/>
      <c r="BL100" s="103"/>
      <c r="BM100" s="95">
        <f t="shared" si="226"/>
        <v>182.0</v>
      </c>
      <c r="BN100" s="65">
        <f t="shared" si="227"/>
        <v>23.14058956916</v>
      </c>
      <c r="BO100" s="65">
        <f t="shared" si="21"/>
      </c>
      <c r="BP100" s="65">
        <f t="shared" si="228"/>
        <v>158.85941043084</v>
      </c>
      <c r="BQ100" s="194">
        <f t="shared" si="68"/>
        <v>557.961907256239</v>
      </c>
      <c r="BR100" s="65">
        <f t="shared" si="229"/>
        <v>24.9206349206349</v>
      </c>
      <c r="BS100" s="65">
        <f t="shared" si="25"/>
      </c>
      <c r="BT100" s="65">
        <f t="shared" si="230"/>
        <v>133.938775510205</v>
      </c>
      <c r="BU100" s="194">
        <f t="shared" si="71"/>
        <v>470.433161224493</v>
      </c>
      <c r="BV100" s="65">
        <f t="shared" si="231"/>
        <v>34.5328798185941</v>
      </c>
      <c r="BW100" s="65">
        <f t="shared" si="73"/>
      </c>
      <c r="BX100" s="65">
        <f t="shared" si="232"/>
        <v>99.4058956916109</v>
      </c>
      <c r="BY100" s="194">
        <f t="shared" si="75"/>
        <v>349.143327437645</v>
      </c>
      <c r="BZ100" s="65">
        <f t="shared" si="233"/>
        <v>16.37641723356</v>
      </c>
      <c r="CA100" s="65"/>
      <c r="CB100" s="65">
        <f t="shared" si="234"/>
        <v>83.0294784580509</v>
      </c>
      <c r="CC100" s="194">
        <f t="shared" si="78"/>
        <v>291.624437188212</v>
      </c>
      <c r="CD100" s="65">
        <f t="shared" si="235"/>
        <v>32.0408163265306</v>
      </c>
      <c r="CE100" s="65"/>
      <c r="CF100" s="65">
        <f t="shared" si="236"/>
        <v>50.9886621315203</v>
      </c>
      <c r="CG100" s="194">
        <f t="shared" si="81"/>
        <v>179.087478004539</v>
      </c>
      <c r="CH100" s="65">
        <f t="shared" si="237"/>
        <v>25.9886621315192</v>
      </c>
      <c r="CI100" s="65"/>
      <c r="CJ100" s="65">
        <f t="shared" si="238"/>
        <v>25.0000000000011</v>
      </c>
      <c r="CK100" s="194">
        <f t="shared" si="84"/>
        <v>179.087478004539</v>
      </c>
    </row>
    <row r="101" ht="14.0">
      <c r="A101" s="93" t="s">
        <v>179</v>
      </c>
      <c r="B101" s="93" t="s">
        <v>361</v>
      </c>
      <c r="C101" s="93" t="s">
        <v>372</v>
      </c>
      <c r="D101" s="234" t="s">
        <v>373</v>
      </c>
      <c r="E101" s="93">
        <v>0.0</v>
      </c>
      <c r="F101" s="93">
        <v>0.0</v>
      </c>
      <c r="G101" s="93">
        <v>0.0</v>
      </c>
      <c r="H101" s="93">
        <v>0.0</v>
      </c>
      <c r="I101" s="93">
        <v>0.0</v>
      </c>
      <c r="J101" s="93">
        <v>0.0</v>
      </c>
      <c r="K101" s="93">
        <v>0.0</v>
      </c>
      <c r="L101" s="93">
        <v>0.0</v>
      </c>
      <c r="M101" s="93">
        <v>0.0</v>
      </c>
      <c r="N101" s="93">
        <v>0.0</v>
      </c>
      <c r="O101" s="93">
        <v>0.0</v>
      </c>
      <c r="P101" s="93">
        <v>0.0</v>
      </c>
      <c r="Q101" s="93">
        <v>0.0</v>
      </c>
      <c r="R101" s="93">
        <v>0.0</v>
      </c>
      <c r="S101" s="93">
        <v>0.0</v>
      </c>
      <c r="T101" s="93">
        <v>0.0</v>
      </c>
      <c r="U101" s="93">
        <v>0.0</v>
      </c>
      <c r="V101" s="93">
        <v>0.0</v>
      </c>
      <c r="W101" s="93">
        <v>0.0</v>
      </c>
      <c r="X101" s="93">
        <v>0.0</v>
      </c>
      <c r="Y101" s="93">
        <v>15.0</v>
      </c>
      <c r="Z101" s="93">
        <v>59.0</v>
      </c>
      <c r="AA101" s="93">
        <v>45.0</v>
      </c>
      <c r="AB101" s="93">
        <v>102.0</v>
      </c>
      <c r="AC101" s="93">
        <v>75.0</v>
      </c>
      <c r="AD101" s="93">
        <v>63.0</v>
      </c>
      <c r="AE101" s="93">
        <v>24.0</v>
      </c>
      <c r="AF101" s="93">
        <v>21.0</v>
      </c>
      <c r="AG101" s="93">
        <v>24.0</v>
      </c>
      <c r="AH101" s="114">
        <v>15.0</v>
      </c>
      <c r="AI101" s="114">
        <v>9.0</v>
      </c>
      <c r="AJ101" s="114">
        <v>15.0</v>
      </c>
      <c r="AK101" s="114">
        <v>0.0</v>
      </c>
      <c r="AL101" s="114">
        <v>6.0</v>
      </c>
      <c r="AM101" s="114">
        <v>12.0</v>
      </c>
      <c r="AN101" s="93">
        <v>15.0</v>
      </c>
      <c r="AO101" s="93">
        <v>12.0</v>
      </c>
      <c r="AP101" s="93">
        <v>21.0</v>
      </c>
      <c r="AQ101" s="233">
        <v>27.0</v>
      </c>
      <c r="AR101" s="233">
        <v>6.0</v>
      </c>
      <c r="AS101" s="233">
        <v>15.0</v>
      </c>
      <c r="AT101" s="69">
        <f t="shared" si="4"/>
        <v>153.0</v>
      </c>
      <c r="AU101" s="69">
        <f t="shared" si="267"/>
        <v>57.0</v>
      </c>
      <c r="AV101" s="69">
        <f t="shared" si="6"/>
        <v>62.7</v>
      </c>
      <c r="AW101" s="47">
        <f t="shared" si="268"/>
        <v>8.40136054421769</v>
      </c>
      <c r="AX101" s="47">
        <f t="shared" si="269"/>
        <v>9.04761904761905</v>
      </c>
      <c r="AY101" s="47">
        <f t="shared" si="270"/>
        <v>12.5374149659863</v>
      </c>
      <c r="AZ101" s="47">
        <f t="shared" si="271"/>
        <v>5.94557823129251</v>
      </c>
      <c r="BA101" s="47">
        <f t="shared" si="272"/>
        <v>11.6326530612244</v>
      </c>
      <c r="BB101" s="47">
        <f t="shared" si="273"/>
        <v>9.43537414965986</v>
      </c>
      <c r="BC101" s="64">
        <f t="shared" si="13"/>
        <v>56.9999999999998</v>
      </c>
      <c r="BD101" s="69">
        <f>VLOOKUP(D101,FEB23SOH,3,false)</f>
        <v>418.0</v>
      </c>
      <c r="BE101" s="201">
        <f>VLOOKUP(D101,VALUEFEB23,4,false)</f>
        <v>3.5147</v>
      </c>
      <c r="BF101" s="215">
        <f t="shared" si="16"/>
        <v>1469.1446</v>
      </c>
      <c r="BI101" s="193">
        <f t="shared" si="225"/>
        <v>361.0</v>
      </c>
      <c r="BK101" s="99"/>
      <c r="BL101" s="103"/>
      <c r="BM101" s="95">
        <f t="shared" si="226"/>
        <v>418.0</v>
      </c>
      <c r="BN101" s="65">
        <f t="shared" si="227"/>
        <v>8.40136054421769</v>
      </c>
      <c r="BO101" s="65">
        <f t="shared" si="21"/>
      </c>
      <c r="BP101" s="65">
        <f t="shared" si="228"/>
        <v>409.598639455782</v>
      </c>
      <c r="BQ101" s="194">
        <f t="shared" si="68"/>
        <v>1439.61633809523</v>
      </c>
      <c r="BR101" s="65">
        <f t="shared" si="229"/>
        <v>9.04761904761905</v>
      </c>
      <c r="BS101" s="65">
        <f t="shared" si="25"/>
      </c>
      <c r="BT101" s="65">
        <f t="shared" si="230"/>
        <v>400.551020408162</v>
      </c>
      <c r="BU101" s="194">
        <f t="shared" si="71"/>
        <v>1407.81667142857</v>
      </c>
      <c r="BV101" s="65">
        <f t="shared" si="231"/>
        <v>12.5374149659863</v>
      </c>
      <c r="BW101" s="65">
        <f t="shared" si="73"/>
      </c>
      <c r="BX101" s="65">
        <f t="shared" si="232"/>
        <v>388.013605442176</v>
      </c>
      <c r="BY101" s="194">
        <f t="shared" si="75"/>
        <v>1363.75141904761</v>
      </c>
      <c r="BZ101" s="65">
        <f t="shared" si="233"/>
        <v>5.94557823129251</v>
      </c>
      <c r="CA101" s="65"/>
      <c r="CB101" s="65">
        <f t="shared" si="234"/>
        <v>382.068027210883</v>
      </c>
      <c r="CC101" s="194">
        <f t="shared" si="78"/>
        <v>1342.85449523809</v>
      </c>
      <c r="CD101" s="65">
        <f t="shared" si="235"/>
        <v>11.6326530612244</v>
      </c>
      <c r="CE101" s="65"/>
      <c r="CF101" s="65">
        <f t="shared" si="236"/>
        <v>370.435374149659</v>
      </c>
      <c r="CG101" s="194">
        <f t="shared" si="81"/>
        <v>1301.9692095238</v>
      </c>
      <c r="CH101" s="65">
        <f t="shared" si="237"/>
        <v>9.43537414965986</v>
      </c>
      <c r="CI101" s="65"/>
      <c r="CJ101" s="65">
        <f t="shared" si="238"/>
        <v>360.999999999999</v>
      </c>
      <c r="CK101" s="194">
        <f t="shared" si="84"/>
        <v>1301.9692095238</v>
      </c>
    </row>
    <row r="102" ht="14.0" customFormat="1" s="47">
      <c r="A102" s="93" t="s">
        <v>179</v>
      </c>
      <c r="B102" s="93" t="s">
        <v>361</v>
      </c>
      <c r="C102" s="93" t="s">
        <v>374</v>
      </c>
      <c r="D102" s="229" t="s">
        <v>375</v>
      </c>
      <c r="E102" s="93">
        <v>0.0</v>
      </c>
      <c r="F102" s="93">
        <v>0.0</v>
      </c>
      <c r="G102" s="93">
        <v>0.0</v>
      </c>
      <c r="H102" s="93">
        <v>0.0</v>
      </c>
      <c r="I102" s="93">
        <v>0.0</v>
      </c>
      <c r="J102" s="93">
        <v>0.0</v>
      </c>
      <c r="K102" s="93">
        <v>0.0</v>
      </c>
      <c r="L102" s="93">
        <v>0.0</v>
      </c>
      <c r="M102" s="93">
        <v>0.0</v>
      </c>
      <c r="N102" s="93">
        <v>0.0</v>
      </c>
      <c r="O102" s="93">
        <v>0.0</v>
      </c>
      <c r="P102" s="93">
        <v>0.0</v>
      </c>
      <c r="Q102" s="93">
        <v>0.0</v>
      </c>
      <c r="R102" s="93">
        <v>0.0</v>
      </c>
      <c r="S102" s="93">
        <v>0.0</v>
      </c>
      <c r="T102" s="93">
        <v>0.0</v>
      </c>
      <c r="U102" s="93">
        <v>0.0</v>
      </c>
      <c r="V102" s="93">
        <v>0.0</v>
      </c>
      <c r="W102" s="93">
        <v>0.0</v>
      </c>
      <c r="X102" s="93">
        <v>0.0</v>
      </c>
      <c r="Y102" s="93">
        <v>0.0</v>
      </c>
      <c r="Z102" s="93">
        <v>0.0</v>
      </c>
      <c r="AA102" s="93">
        <v>0.0</v>
      </c>
      <c r="AB102" s="93">
        <v>0.0</v>
      </c>
      <c r="AC102" s="93">
        <v>0.0</v>
      </c>
      <c r="AD102" s="93">
        <v>0.0</v>
      </c>
      <c r="AE102" s="93">
        <v>0.0</v>
      </c>
      <c r="AF102" s="93">
        <v>0.0</v>
      </c>
      <c r="AG102" s="93">
        <v>0.0</v>
      </c>
      <c r="AH102" s="93">
        <v>0.0</v>
      </c>
      <c r="AI102" s="93">
        <v>95.0</v>
      </c>
      <c r="AJ102" s="93">
        <v>105.0</v>
      </c>
      <c r="AK102" s="93">
        <v>48.0</v>
      </c>
      <c r="AL102" s="93">
        <v>54.0</v>
      </c>
      <c r="AM102" s="93">
        <v>123.0</v>
      </c>
      <c r="AN102" s="230">
        <v>87.0</v>
      </c>
      <c r="AO102" s="230">
        <v>72.0</v>
      </c>
      <c r="AP102" s="230">
        <v>117.0</v>
      </c>
      <c r="AQ102" s="231">
        <v>81.0</v>
      </c>
      <c r="AR102" s="231">
        <v>64.0</v>
      </c>
      <c r="AS102" s="231">
        <v>128.0</v>
      </c>
      <c r="AT102" s="69">
        <f t="shared" si="4"/>
        <v>974.0</v>
      </c>
      <c r="AU102" s="69">
        <f t="shared" ref="AU102:AU103" si="274">SUM(AN102:AS102)</f>
        <v>549.0</v>
      </c>
      <c r="AV102" s="69">
        <f t="shared" si="6"/>
        <v>603.9</v>
      </c>
      <c r="AW102" s="47">
        <f t="shared" ref="AW102:AW104" si="275">AV102*$AW$4/$AV$4</f>
        <v>63.8372093023256</v>
      </c>
      <c r="AX102" s="47">
        <f t="shared" ref="AX102:AX104" si="276">AV102*$AX$4/$AV$4</f>
        <v>68.7477638640429</v>
      </c>
      <c r="AY102" s="47">
        <f t="shared" ref="AY102:AY104" si="277">AV102*$AY$4/$AV$4</f>
        <v>95.2647584973166</v>
      </c>
      <c r="AZ102" s="47">
        <f t="shared" ref="AZ102:AZ104" si="278">AV102*$AZ$4/$AV$4</f>
        <v>45.1771019677996</v>
      </c>
      <c r="BA102" s="47">
        <f t="shared" ref="BA102:BA104" si="279">AV102*$BA$4/$AV$4</f>
        <v>88.3899821109123</v>
      </c>
      <c r="BB102" s="47">
        <f t="shared" ref="BB102:BB104" si="280">AV102*$BB$4/$AV$4</f>
        <v>71.6940966010733</v>
      </c>
      <c r="BC102" s="64">
        <f t="shared" si="13"/>
        <v>433.11091234347</v>
      </c>
      <c r="BD102" s="69">
        <f>VLOOKUP(D102,FEB23SOH,3,false)</f>
        <v>111.0</v>
      </c>
      <c r="BE102" s="201">
        <f>VLOOKUP(D102,VALUEFEB23,4,false)</f>
        <v>3.2725</v>
      </c>
      <c r="BF102" s="215">
        <f t="shared" si="16"/>
        <v>363.2475</v>
      </c>
      <c r="BG102" s="64"/>
      <c r="BH102" s="64"/>
      <c r="BI102" s="193">
        <f t="shared" si="225"/>
        <v>-322.11091234347</v>
      </c>
      <c r="BJ102" s="238">
        <v>501.0</v>
      </c>
      <c r="BK102" s="232" t="s">
        <v>576</v>
      </c>
      <c r="BL102" s="103" t="s">
        <v>519</v>
      </c>
      <c r="BM102" s="95">
        <f t="shared" si="226"/>
        <v>111.0</v>
      </c>
      <c r="BN102" s="65">
        <f t="shared" si="227"/>
        <v>63.8372093023256</v>
      </c>
      <c r="BO102" s="65">
        <f t="shared" si="21"/>
      </c>
      <c r="BP102" s="65">
        <f t="shared" si="228"/>
        <v>47.1627906976744</v>
      </c>
      <c r="BQ102" s="194">
        <f t="shared" si="68"/>
        <v>154.34023255814</v>
      </c>
      <c r="BR102" s="65">
        <f t="shared" si="229"/>
        <v>68.7477638640429</v>
      </c>
      <c r="BS102" s="65">
        <f t="shared" si="25"/>
      </c>
      <c r="BT102" s="65">
        <f t="shared" si="230"/>
        <v>-21.5849731663684</v>
      </c>
      <c r="BU102" s="194">
        <f t="shared" si="71"/>
        <v>-70.6368246869404</v>
      </c>
      <c r="BV102" s="65">
        <f t="shared" si="231"/>
        <v>95.2647584973166</v>
      </c>
      <c r="BW102" s="65">
        <f t="shared" si="73"/>
      </c>
      <c r="BX102" s="65">
        <f t="shared" si="232"/>
        <v>-116.849731663685</v>
      </c>
      <c r="BY102" s="194">
        <f t="shared" si="75"/>
        <v>-382.390746869409</v>
      </c>
      <c r="BZ102" s="65">
        <f t="shared" si="233"/>
        <v>45.1771019677996</v>
      </c>
      <c r="CA102" s="65"/>
      <c r="CB102" s="65">
        <f t="shared" si="234"/>
        <v>-162.026833631484</v>
      </c>
      <c r="CC102" s="194">
        <f t="shared" si="78"/>
        <v>-530.232813059031</v>
      </c>
      <c r="CD102" s="65">
        <f t="shared" si="235"/>
        <v>88.3899821109123</v>
      </c>
      <c r="CE102" s="65"/>
      <c r="CF102" s="65">
        <f t="shared" si="236"/>
        <v>-250.416815742396</v>
      </c>
      <c r="CG102" s="194">
        <f t="shared" si="81"/>
        <v>-819.489029516991</v>
      </c>
      <c r="CH102" s="65">
        <f t="shared" si="237"/>
        <v>71.6940966010733</v>
      </c>
      <c r="CI102" s="65"/>
      <c r="CJ102" s="65">
        <f t="shared" si="238"/>
        <v>-322.110912343469</v>
      </c>
      <c r="CK102" s="194">
        <f t="shared" si="84"/>
        <v>-819.489029516991</v>
      </c>
    </row>
    <row r="103" ht="14.0">
      <c r="A103" s="93" t="s">
        <v>179</v>
      </c>
      <c r="B103" s="93" t="s">
        <v>361</v>
      </c>
      <c r="C103" s="93" t="s">
        <v>376</v>
      </c>
      <c r="D103" s="229" t="s">
        <v>377</v>
      </c>
      <c r="E103" s="93">
        <v>0.0</v>
      </c>
      <c r="F103" s="93">
        <v>0.0</v>
      </c>
      <c r="G103" s="93">
        <v>0.0</v>
      </c>
      <c r="H103" s="93">
        <v>0.0</v>
      </c>
      <c r="I103" s="93">
        <v>0.0</v>
      </c>
      <c r="J103" s="93">
        <v>0.0</v>
      </c>
      <c r="K103" s="93">
        <v>0.0</v>
      </c>
      <c r="L103" s="93">
        <v>0.0</v>
      </c>
      <c r="M103" s="93">
        <v>0.0</v>
      </c>
      <c r="N103" s="93">
        <v>0.0</v>
      </c>
      <c r="O103" s="93">
        <v>0.0</v>
      </c>
      <c r="P103" s="93">
        <v>0.0</v>
      </c>
      <c r="Q103" s="93">
        <v>0.0</v>
      </c>
      <c r="R103" s="93">
        <v>0.0</v>
      </c>
      <c r="S103" s="93">
        <v>0.0</v>
      </c>
      <c r="T103" s="93">
        <v>0.0</v>
      </c>
      <c r="U103" s="93">
        <v>0.0</v>
      </c>
      <c r="V103" s="93">
        <v>0.0</v>
      </c>
      <c r="W103" s="93">
        <v>0.0</v>
      </c>
      <c r="X103" s="93">
        <v>0.0</v>
      </c>
      <c r="Y103" s="93">
        <v>0.0</v>
      </c>
      <c r="Z103" s="93">
        <v>0.0</v>
      </c>
      <c r="AA103" s="93">
        <v>0.0</v>
      </c>
      <c r="AB103" s="93">
        <v>0.0</v>
      </c>
      <c r="AC103" s="93">
        <v>0.0</v>
      </c>
      <c r="AD103" s="93">
        <v>0.0</v>
      </c>
      <c r="AE103" s="93">
        <v>0.0</v>
      </c>
      <c r="AF103" s="93">
        <v>0.0</v>
      </c>
      <c r="AG103" s="93">
        <v>0.0</v>
      </c>
      <c r="AH103" s="93">
        <v>0.0</v>
      </c>
      <c r="AI103" s="93">
        <v>104.0</v>
      </c>
      <c r="AJ103" s="93">
        <v>93.0</v>
      </c>
      <c r="AK103" s="93">
        <v>39.0</v>
      </c>
      <c r="AL103" s="93">
        <v>27.0</v>
      </c>
      <c r="AM103" s="93">
        <v>12.0</v>
      </c>
      <c r="AN103" s="230">
        <v>70.0</v>
      </c>
      <c r="AO103" s="230">
        <v>45.0</v>
      </c>
      <c r="AP103" s="230">
        <v>39.0</v>
      </c>
      <c r="AQ103" s="231">
        <v>24.0</v>
      </c>
      <c r="AR103" s="231">
        <v>9.0</v>
      </c>
      <c r="AS103" s="231">
        <v>88.0</v>
      </c>
      <c r="AT103" s="69">
        <f t="shared" si="4"/>
        <v>550.0</v>
      </c>
      <c r="AU103" s="69">
        <f t="shared" si="274"/>
        <v>275.0</v>
      </c>
      <c r="AV103" s="69">
        <f t="shared" si="6"/>
        <v>302.5</v>
      </c>
      <c r="AW103" s="47">
        <f t="shared" si="275"/>
        <v>31.9767441860465</v>
      </c>
      <c r="AX103" s="47">
        <f t="shared" si="276"/>
        <v>34.4364937388193</v>
      </c>
      <c r="AY103" s="47">
        <f t="shared" si="277"/>
        <v>47.7191413237924</v>
      </c>
      <c r="AZ103" s="47">
        <f t="shared" si="278"/>
        <v>22.6296958855098</v>
      </c>
      <c r="BA103" s="47">
        <f t="shared" si="279"/>
        <v>44.2754919499106</v>
      </c>
      <c r="BB103" s="47">
        <f t="shared" si="280"/>
        <v>35.912343470483</v>
      </c>
      <c r="BC103" s="64">
        <f t="shared" si="13"/>
        <v>216.949910554561</v>
      </c>
      <c r="BD103" s="69">
        <f>VLOOKUP(D103,FEB23SOH,3,false)</f>
        <v>564.0</v>
      </c>
      <c r="BE103" s="201">
        <f>VLOOKUP(D103,VALUEFEB23,4,false)</f>
        <v>3.2683</v>
      </c>
      <c r="BF103" s="215">
        <f t="shared" si="16"/>
        <v>1843.3212</v>
      </c>
      <c r="BI103" s="193">
        <f t="shared" si="225"/>
        <v>347.050089445439</v>
      </c>
      <c r="BL103" s="103"/>
      <c r="BM103" s="95">
        <f t="shared" si="226"/>
        <v>564.0</v>
      </c>
      <c r="BN103" s="65">
        <f t="shared" si="227"/>
        <v>31.9767441860465</v>
      </c>
      <c r="BO103" s="65">
        <f t="shared" si="21"/>
      </c>
      <c r="BP103" s="65">
        <f t="shared" si="228"/>
        <v>532.023255813953</v>
      </c>
      <c r="BQ103" s="194">
        <f t="shared" si="68"/>
        <v>1738.81160697674</v>
      </c>
      <c r="BR103" s="65">
        <f t="shared" si="229"/>
        <v>34.4364937388193</v>
      </c>
      <c r="BS103" s="65">
        <f t="shared" si="25"/>
      </c>
      <c r="BT103" s="65">
        <f t="shared" si="230"/>
        <v>497.586762075133</v>
      </c>
      <c r="BU103" s="194">
        <f t="shared" si="71"/>
        <v>1626.26281449016</v>
      </c>
      <c r="BV103" s="65">
        <f t="shared" si="231"/>
        <v>47.7191413237924</v>
      </c>
      <c r="BW103" s="65">
        <f t="shared" si="73"/>
      </c>
      <c r="BX103" s="65">
        <f t="shared" si="232"/>
        <v>449.86762075134</v>
      </c>
      <c r="BY103" s="194">
        <f t="shared" si="75"/>
        <v>1470.3023449016</v>
      </c>
      <c r="BZ103" s="65">
        <f t="shared" si="233"/>
        <v>22.6296958855098</v>
      </c>
      <c r="CA103" s="65"/>
      <c r="CB103" s="65">
        <f t="shared" si="234"/>
        <v>427.23792486583</v>
      </c>
      <c r="CC103" s="194">
        <f t="shared" si="78"/>
        <v>1396.34170983899</v>
      </c>
      <c r="CD103" s="65">
        <f t="shared" si="235"/>
        <v>44.2754919499106</v>
      </c>
      <c r="CE103" s="65"/>
      <c r="CF103" s="65">
        <f t="shared" si="236"/>
        <v>382.962432915919</v>
      </c>
      <c r="CG103" s="194">
        <f t="shared" si="81"/>
        <v>1251.6361194991</v>
      </c>
      <c r="CH103" s="65">
        <f t="shared" si="237"/>
        <v>35.912343470483</v>
      </c>
      <c r="CI103" s="65"/>
      <c r="CJ103" s="65">
        <f t="shared" si="238"/>
        <v>347.050089445436</v>
      </c>
      <c r="CK103" s="194">
        <f t="shared" si="84"/>
        <v>1251.6361194991</v>
      </c>
    </row>
    <row r="104" ht="14.0">
      <c r="A104" s="93" t="s">
        <v>179</v>
      </c>
      <c r="B104" s="93" t="s">
        <v>378</v>
      </c>
      <c r="C104" s="93" t="s">
        <v>379</v>
      </c>
      <c r="D104" s="229" t="s">
        <v>380</v>
      </c>
      <c r="E104" s="93">
        <v>0.0</v>
      </c>
      <c r="F104" s="93">
        <v>0.0</v>
      </c>
      <c r="G104" s="93">
        <v>0.0</v>
      </c>
      <c r="H104" s="93">
        <v>0.0</v>
      </c>
      <c r="I104" s="93">
        <v>0.0</v>
      </c>
      <c r="J104" s="93">
        <v>0.0</v>
      </c>
      <c r="K104" s="93">
        <v>0.0</v>
      </c>
      <c r="L104" s="93">
        <v>0.0</v>
      </c>
      <c r="M104" s="93">
        <v>0.0</v>
      </c>
      <c r="N104" s="93">
        <v>0.0</v>
      </c>
      <c r="O104" s="93">
        <v>0.0</v>
      </c>
      <c r="P104" s="93">
        <v>0.0</v>
      </c>
      <c r="Q104" s="93">
        <v>0.0</v>
      </c>
      <c r="R104" s="93">
        <v>0.0</v>
      </c>
      <c r="S104" s="93">
        <v>0.0</v>
      </c>
      <c r="T104" s="93">
        <v>0.0</v>
      </c>
      <c r="U104" s="93">
        <v>0.0</v>
      </c>
      <c r="V104" s="93">
        <v>0.0</v>
      </c>
      <c r="W104" s="93">
        <v>0.0</v>
      </c>
      <c r="X104" s="93">
        <v>0.0</v>
      </c>
      <c r="Y104" s="93">
        <v>0.0</v>
      </c>
      <c r="Z104" s="93">
        <v>0.0</v>
      </c>
      <c r="AA104" s="93">
        <v>0.0</v>
      </c>
      <c r="AB104" s="93">
        <v>0.0</v>
      </c>
      <c r="AC104" s="93">
        <v>0.0</v>
      </c>
      <c r="AD104" s="93">
        <v>0.0</v>
      </c>
      <c r="AE104" s="93">
        <v>0.0</v>
      </c>
      <c r="AF104" s="93">
        <v>0.0</v>
      </c>
      <c r="AG104" s="93">
        <v>0.0</v>
      </c>
      <c r="AH104" s="93">
        <v>0.0</v>
      </c>
      <c r="AI104" s="93">
        <v>0.0</v>
      </c>
      <c r="AJ104" s="93">
        <v>0.0</v>
      </c>
      <c r="AK104" s="93">
        <v>1.0</v>
      </c>
      <c r="AL104" s="93">
        <v>0.0</v>
      </c>
      <c r="AM104" s="93">
        <v>1.0</v>
      </c>
      <c r="AN104" s="230">
        <v>3.0</v>
      </c>
      <c r="AO104" s="230">
        <v>0.0</v>
      </c>
      <c r="AP104" s="230">
        <v>1.0</v>
      </c>
      <c r="AQ104" s="231">
        <v>0.0</v>
      </c>
      <c r="AR104" s="231">
        <v>0.0</v>
      </c>
      <c r="AS104" s="231">
        <v>2.0</v>
      </c>
      <c r="AT104" s="69">
        <f t="shared" si="4"/>
        <v>8.0</v>
      </c>
      <c r="AU104" s="69">
        <f>SUM(AM104:AR104)</f>
        <v>5.0</v>
      </c>
      <c r="AV104" s="69">
        <f t="shared" si="6"/>
        <v>5.5</v>
      </c>
      <c r="AW104" s="235">
        <f t="shared" si="275"/>
        <v>0.581395348837209</v>
      </c>
      <c r="AX104" s="235">
        <f t="shared" si="276"/>
        <v>0.626118067978533</v>
      </c>
      <c r="AY104" s="235">
        <f t="shared" si="277"/>
        <v>0.867620751341681</v>
      </c>
      <c r="AZ104" s="235">
        <f t="shared" si="278"/>
        <v>0.411449016100179</v>
      </c>
      <c r="BA104" s="235">
        <f t="shared" si="279"/>
        <v>0.805008944543828</v>
      </c>
      <c r="BB104" s="235">
        <f t="shared" si="280"/>
        <v>0.652951699463327</v>
      </c>
      <c r="BC104" s="64">
        <f t="shared" si="13"/>
        <v>3.944543828264</v>
      </c>
      <c r="BD104" s="69">
        <f>VLOOKUP(D104,FEB23SOH,3,false)</f>
        <v>1.0</v>
      </c>
      <c r="BE104" s="201">
        <f>VLOOKUP(D104,VALUEFEB23,4,false)</f>
        <v>77.6</v>
      </c>
      <c r="BF104" s="215">
        <f t="shared" si="16"/>
        <v>77.6</v>
      </c>
      <c r="BI104" s="238"/>
      <c r="BJ104" s="238"/>
      <c r="BL104" s="103"/>
      <c r="BM104" s="95"/>
      <c r="BN104" s="65"/>
      <c r="BO104" s="65">
        <f t="shared" si="21"/>
      </c>
      <c r="BP104" s="65"/>
      <c r="BQ104" s="194">
        <f t="shared" si="68"/>
        <v>0.0</v>
      </c>
      <c r="BR104" s="65"/>
      <c r="BS104" s="65">
        <f t="shared" si="25"/>
      </c>
      <c r="BT104" s="65"/>
      <c r="BU104" s="194">
        <f t="shared" si="71"/>
        <v>0.0</v>
      </c>
      <c r="BV104" s="65"/>
      <c r="BW104" s="65">
        <f t="shared" si="73"/>
      </c>
      <c r="BX104" s="65"/>
      <c r="BY104" s="194">
        <f t="shared" si="75"/>
        <v>0.0</v>
      </c>
      <c r="BZ104" s="65"/>
      <c r="CA104" s="65"/>
      <c r="CB104" s="65"/>
      <c r="CC104" s="194">
        <f t="shared" si="78"/>
        <v>0.0</v>
      </c>
      <c r="CD104" s="65"/>
      <c r="CE104" s="65"/>
      <c r="CF104" s="65"/>
      <c r="CG104" s="194">
        <f t="shared" si="81"/>
        <v>0.0</v>
      </c>
      <c r="CH104" s="65"/>
      <c r="CI104" s="65"/>
      <c r="CJ104" s="65"/>
      <c r="CK104" s="194">
        <f t="shared" si="84"/>
        <v>0.0</v>
      </c>
    </row>
    <row r="105" ht="14.0">
      <c r="A105" s="93" t="s">
        <v>179</v>
      </c>
      <c r="B105" s="93" t="s">
        <v>378</v>
      </c>
      <c r="C105" s="93" t="s">
        <v>381</v>
      </c>
      <c r="D105" s="229" t="s">
        <v>382</v>
      </c>
      <c r="E105" s="93">
        <v>0.0</v>
      </c>
      <c r="F105" s="93">
        <v>0.0</v>
      </c>
      <c r="G105" s="93">
        <v>0.0</v>
      </c>
      <c r="H105" s="93">
        <v>0.0</v>
      </c>
      <c r="I105" s="93">
        <v>0.0</v>
      </c>
      <c r="J105" s="93">
        <v>0.0</v>
      </c>
      <c r="K105" s="93">
        <v>0.0</v>
      </c>
      <c r="L105" s="93">
        <v>0.0</v>
      </c>
      <c r="M105" s="93">
        <v>0.0</v>
      </c>
      <c r="N105" s="93">
        <v>0.0</v>
      </c>
      <c r="O105" s="93">
        <v>0.0</v>
      </c>
      <c r="P105" s="93">
        <v>0.0</v>
      </c>
      <c r="Q105" s="93">
        <v>0.0</v>
      </c>
      <c r="R105" s="93">
        <v>0.0</v>
      </c>
      <c r="S105" s="93">
        <v>0.0</v>
      </c>
      <c r="T105" s="93">
        <v>0.0</v>
      </c>
      <c r="U105" s="93">
        <v>0.0</v>
      </c>
      <c r="V105" s="93">
        <v>0.0</v>
      </c>
      <c r="W105" s="93">
        <v>0.0</v>
      </c>
      <c r="X105" s="93">
        <v>16.0</v>
      </c>
      <c r="Y105" s="93">
        <v>56.0</v>
      </c>
      <c r="Z105" s="93">
        <v>68.0</v>
      </c>
      <c r="AA105" s="93">
        <v>60.0</v>
      </c>
      <c r="AB105" s="93">
        <v>88.0</v>
      </c>
      <c r="AC105" s="93">
        <v>52.0</v>
      </c>
      <c r="AD105" s="93">
        <v>32.0</v>
      </c>
      <c r="AE105" s="93">
        <v>56.0</v>
      </c>
      <c r="AF105" s="93">
        <v>4.0</v>
      </c>
      <c r="AG105" s="93">
        <v>28.0</v>
      </c>
      <c r="AH105" s="114">
        <v>12.0</v>
      </c>
      <c r="AI105" s="114">
        <v>36.0</v>
      </c>
      <c r="AJ105" s="114">
        <v>12.0</v>
      </c>
      <c r="AK105" s="114">
        <v>24.0</v>
      </c>
      <c r="AL105" s="114">
        <v>4.0</v>
      </c>
      <c r="AM105" s="114">
        <v>0.0</v>
      </c>
      <c r="AN105" s="93">
        <v>17.0</v>
      </c>
      <c r="AO105" s="93">
        <v>56.0</v>
      </c>
      <c r="AP105" s="93">
        <v>28.0</v>
      </c>
      <c r="AQ105" s="233">
        <v>16.0</v>
      </c>
      <c r="AR105" s="233">
        <v>4.0</v>
      </c>
      <c r="AS105" s="233">
        <v>10.0</v>
      </c>
      <c r="AT105" s="69">
        <f t="shared" si="4"/>
        <v>219.0</v>
      </c>
      <c r="AU105" s="69">
        <f t="shared" ref="AU105:AU110" si="282">SUM(AH105:AM105)</f>
        <v>88.0</v>
      </c>
      <c r="AV105" s="69">
        <f t="shared" si="6"/>
        <v>96.8</v>
      </c>
      <c r="AW105" s="47">
        <f>AV105*$AW$4/$AV$3+4*$AW$104</f>
        <v>15.2961029372989</v>
      </c>
      <c r="AX105" s="47">
        <f>AV105*$AX$4/$AV$3+4*$AX$104</f>
        <v>16.4727262401681</v>
      </c>
      <c r="AY105" s="47">
        <f>AV105*$AY$4/$AV$3+4*$AY$104</f>
        <v>22.8264920756615</v>
      </c>
      <c r="AZ105" s="47">
        <f>AV105*$AZ$4/$AV$3+4*$AZ$104</f>
        <v>10.8249343863961</v>
      </c>
      <c r="BA105" s="47">
        <f>AV105*$BA$4/$AV$3+4*$BA$104</f>
        <v>21.1792194516446</v>
      </c>
      <c r="BB105" s="47">
        <f>AV105*$BB$4/$AV$3+4*$BB$104</f>
        <v>17.1787002218895</v>
      </c>
      <c r="BC105" s="64">
        <f t="shared" si="13"/>
        <v>103.778175313059</v>
      </c>
      <c r="BD105" s="69">
        <f>VLOOKUP(D105,FEB23SOH,3,false)</f>
        <v>215.0</v>
      </c>
      <c r="BE105" s="201">
        <f>VLOOKUP(D105,VALUEFEB23,4,false)</f>
        <v>3.2529</v>
      </c>
      <c r="BF105" s="215">
        <f t="shared" si="16"/>
        <v>699.3735</v>
      </c>
      <c r="BI105" s="193">
        <f t="shared" ref="BI105:BI123" si="289">BD105+BG105+BH105-BC105</f>
        <v>111.221824686941</v>
      </c>
      <c r="BL105" s="103"/>
      <c r="BM105" s="95">
        <f t="shared" ref="BM105:BM123" si="290">BD105</f>
        <v>215.0</v>
      </c>
      <c r="BN105" s="65">
        <f t="shared" ref="BN105:BN123" si="291">AW105</f>
        <v>15.2961029372989</v>
      </c>
      <c r="BO105" s="65">
        <f t="shared" si="21"/>
      </c>
      <c r="BP105" s="65">
        <f t="shared" ref="BP105:BP123" si="292">BM105+BO105-BN105</f>
        <v>199.703897062701</v>
      </c>
      <c r="BQ105" s="194">
        <f t="shared" si="68"/>
        <v>649.61680675526</v>
      </c>
      <c r="BR105" s="65">
        <f t="shared" ref="BR105:BR123" si="293">AX105</f>
        <v>16.4727262401681</v>
      </c>
      <c r="BS105" s="65">
        <f t="shared" si="25"/>
      </c>
      <c r="BT105" s="65">
        <f t="shared" ref="BT105:BT123" si="294">BP105+BS105-BR105</f>
        <v>183.231170822532</v>
      </c>
      <c r="BU105" s="194">
        <f t="shared" si="71"/>
        <v>596.032675568614</v>
      </c>
      <c r="BV105" s="65">
        <f t="shared" ref="BV105:BV123" si="295">AY105</f>
        <v>22.8264920756615</v>
      </c>
      <c r="BW105" s="65">
        <f t="shared" si="73"/>
      </c>
      <c r="BX105" s="65">
        <f t="shared" ref="BX105:BX123" si="296">BT105+BW105-BV105</f>
        <v>160.40467874687</v>
      </c>
      <c r="BY105" s="194">
        <f t="shared" si="75"/>
        <v>521.780379495693</v>
      </c>
      <c r="BZ105" s="65">
        <f t="shared" ref="BZ105:BZ123" si="297">AZ105</f>
        <v>10.8249343863961</v>
      </c>
      <c r="CA105" s="65"/>
      <c r="CB105" s="65">
        <f t="shared" ref="CB105:CB123" si="298">BX105+CA105-BZ105</f>
        <v>149.579744360473</v>
      </c>
      <c r="CC105" s="194">
        <f t="shared" si="78"/>
        <v>486.567950430182</v>
      </c>
      <c r="CD105" s="65">
        <f t="shared" ref="CD105:CD123" si="299">BA105</f>
        <v>21.1792194516446</v>
      </c>
      <c r="CE105" s="65"/>
      <c r="CF105" s="65">
        <f t="shared" ref="CF105:CF123" si="300">CB105+CE105-CD105</f>
        <v>128.400524908828</v>
      </c>
      <c r="CG105" s="194">
        <f t="shared" si="81"/>
        <v>417.674067475927</v>
      </c>
      <c r="CH105" s="65">
        <f t="shared" ref="CH105:CH123" si="301">BB105</f>
        <v>17.1787002218895</v>
      </c>
      <c r="CI105" s="65"/>
      <c r="CJ105" s="65">
        <f t="shared" ref="CJ105:CJ123" si="302">CF105+CI105-CH105</f>
        <v>111.221824686939</v>
      </c>
      <c r="CK105" s="194">
        <f t="shared" si="84"/>
        <v>417.674067475927</v>
      </c>
    </row>
    <row r="106" ht="14.0" customFormat="1" s="47">
      <c r="A106" s="93" t="s">
        <v>179</v>
      </c>
      <c r="B106" s="93" t="s">
        <v>378</v>
      </c>
      <c r="C106" s="93" t="s">
        <v>383</v>
      </c>
      <c r="D106" s="234" t="s">
        <v>384</v>
      </c>
      <c r="E106" s="93">
        <v>0.0</v>
      </c>
      <c r="F106" s="93">
        <v>0.0</v>
      </c>
      <c r="G106" s="93">
        <v>0.0</v>
      </c>
      <c r="H106" s="93">
        <v>0.0</v>
      </c>
      <c r="I106" s="93">
        <v>0.0</v>
      </c>
      <c r="J106" s="93">
        <v>0.0</v>
      </c>
      <c r="K106" s="93">
        <v>0.0</v>
      </c>
      <c r="L106" s="93">
        <v>0.0</v>
      </c>
      <c r="M106" s="93">
        <v>0.0</v>
      </c>
      <c r="N106" s="93">
        <v>0.0</v>
      </c>
      <c r="O106" s="93">
        <v>0.0</v>
      </c>
      <c r="P106" s="93">
        <v>0.0</v>
      </c>
      <c r="Q106" s="93">
        <v>0.0</v>
      </c>
      <c r="R106" s="93">
        <v>0.0</v>
      </c>
      <c r="S106" s="93">
        <v>0.0</v>
      </c>
      <c r="T106" s="93">
        <v>0.0</v>
      </c>
      <c r="U106" s="93">
        <v>0.0</v>
      </c>
      <c r="V106" s="93">
        <v>0.0</v>
      </c>
      <c r="W106" s="93">
        <v>0.0</v>
      </c>
      <c r="X106" s="93">
        <v>8.0</v>
      </c>
      <c r="Y106" s="93">
        <v>36.0</v>
      </c>
      <c r="Z106" s="93">
        <v>28.0</v>
      </c>
      <c r="AA106" s="93">
        <v>36.0</v>
      </c>
      <c r="AB106" s="93">
        <v>48.0</v>
      </c>
      <c r="AC106" s="93">
        <v>24.0</v>
      </c>
      <c r="AD106" s="93">
        <v>20.0</v>
      </c>
      <c r="AE106" s="93">
        <v>40.0</v>
      </c>
      <c r="AF106" s="93">
        <v>4.0</v>
      </c>
      <c r="AG106" s="93">
        <v>20.0</v>
      </c>
      <c r="AH106" s="114">
        <v>24.0</v>
      </c>
      <c r="AI106" s="114">
        <v>12.0</v>
      </c>
      <c r="AJ106" s="114">
        <v>12.0</v>
      </c>
      <c r="AK106" s="114">
        <v>8.0</v>
      </c>
      <c r="AL106" s="114">
        <v>12.0</v>
      </c>
      <c r="AM106" s="114">
        <v>4.0</v>
      </c>
      <c r="AN106" s="93">
        <v>16.0</v>
      </c>
      <c r="AO106" s="93">
        <v>16.0</v>
      </c>
      <c r="AP106" s="93">
        <v>20.0</v>
      </c>
      <c r="AQ106" s="233">
        <v>8.0</v>
      </c>
      <c r="AR106" s="233">
        <v>4.0</v>
      </c>
      <c r="AS106" s="233">
        <v>0.0</v>
      </c>
      <c r="AT106" s="69">
        <f t="shared" si="4"/>
        <v>136.0</v>
      </c>
      <c r="AU106" s="69">
        <f t="shared" si="282"/>
        <v>72.0</v>
      </c>
      <c r="AV106" s="69">
        <f t="shared" si="6"/>
        <v>79.2</v>
      </c>
      <c r="AW106" s="47">
        <f t="shared" ref="AW106:AW110" si="303">AV106*$AW$4/$AV$4+4*$AW$104</f>
        <v>10.6976744186046</v>
      </c>
      <c r="AX106" s="47">
        <f t="shared" ref="AX106:AX110" si="304">AV106*$AX$4/$AV$4+4*$AX$104</f>
        <v>11.520572450805</v>
      </c>
      <c r="AY106" s="47">
        <f t="shared" ref="AY106:AY110" si="305">AV106*$AY$4/$AV$4+4*$AY$104</f>
        <v>15.9642218246869</v>
      </c>
      <c r="AZ106" s="47">
        <f t="shared" ref="AZ106:AZ110" si="306">AV106*$AZ$4/$AV$4+4*$AZ$104</f>
        <v>7.57066189624329</v>
      </c>
      <c r="BA106" s="47">
        <f t="shared" ref="BA106:BA110" si="307">AV106*$BA$4/$AV$4+4*$BA$104</f>
        <v>14.8121645796064</v>
      </c>
      <c r="BB106" s="47">
        <f t="shared" ref="BB106:BB110" si="308">AV106*$BB$4/$AV$4+4*$BB$104</f>
        <v>12.0143112701252</v>
      </c>
      <c r="BC106" s="64">
        <f t="shared" si="13"/>
        <v>72.5796064400713</v>
      </c>
      <c r="BD106" s="69">
        <f>VLOOKUP(D106,FEB23SOH,3,false)</f>
        <v>44.0</v>
      </c>
      <c r="BE106" s="201">
        <f>VLOOKUP(D106,VALUEFEB23,4,false)</f>
        <v>3.2206</v>
      </c>
      <c r="BF106" s="215">
        <f t="shared" si="16"/>
        <v>141.7064</v>
      </c>
      <c r="BG106" s="64"/>
      <c r="BH106" s="64"/>
      <c r="BI106" s="193">
        <f t="shared" si="289"/>
        <v>-28.5796064400713</v>
      </c>
      <c r="BJ106" s="217"/>
      <c r="BK106" s="236"/>
      <c r="BL106" s="103" t="s">
        <v>4</v>
      </c>
      <c r="BM106" s="95">
        <f t="shared" si="290"/>
        <v>44.0</v>
      </c>
      <c r="BN106" s="65">
        <f t="shared" si="291"/>
        <v>10.6976744186046</v>
      </c>
      <c r="BO106" s="65">
        <f t="shared" si="21"/>
      </c>
      <c r="BP106" s="65">
        <f t="shared" si="292"/>
        <v>33.3023255813954</v>
      </c>
      <c r="BQ106" s="194">
        <f t="shared" si="68"/>
        <v>107.253469767442</v>
      </c>
      <c r="BR106" s="65">
        <f t="shared" si="293"/>
        <v>11.520572450805</v>
      </c>
      <c r="BS106" s="65">
        <f t="shared" si="25"/>
      </c>
      <c r="BT106" s="65">
        <f t="shared" si="294"/>
        <v>21.7817531305904</v>
      </c>
      <c r="BU106" s="194">
        <f t="shared" si="71"/>
        <v>70.1503141323794</v>
      </c>
      <c r="BV106" s="65">
        <f t="shared" si="295"/>
        <v>15.9642218246869</v>
      </c>
      <c r="BW106" s="65">
        <f t="shared" si="73"/>
      </c>
      <c r="BX106" s="65">
        <f t="shared" si="296"/>
        <v>5.8175313059035</v>
      </c>
      <c r="BY106" s="194">
        <f t="shared" si="75"/>
        <v>18.7359413237928</v>
      </c>
      <c r="BZ106" s="65">
        <f t="shared" si="297"/>
        <v>7.57066189624329</v>
      </c>
      <c r="CA106" s="65"/>
      <c r="CB106" s="65">
        <f t="shared" si="298"/>
        <v>-1.75313059033979</v>
      </c>
      <c r="CC106" s="194">
        <f t="shared" si="78"/>
        <v>-5.64613237924832</v>
      </c>
      <c r="CD106" s="65">
        <f t="shared" si="299"/>
        <v>14.8121645796064</v>
      </c>
      <c r="CE106" s="65"/>
      <c r="CF106" s="65">
        <f t="shared" si="300"/>
        <v>-16.5652951699461</v>
      </c>
      <c r="CG106" s="194">
        <f t="shared" si="81"/>
        <v>-53.3501896243284</v>
      </c>
      <c r="CH106" s="65">
        <f t="shared" si="301"/>
        <v>12.0143112701252</v>
      </c>
      <c r="CI106" s="65"/>
      <c r="CJ106" s="65">
        <f t="shared" si="302"/>
        <v>-28.5796064400713</v>
      </c>
      <c r="CK106" s="194">
        <f t="shared" si="84"/>
        <v>-53.3501896243284</v>
      </c>
    </row>
    <row r="107" ht="14.0">
      <c r="A107" s="93" t="s">
        <v>179</v>
      </c>
      <c r="B107" s="93" t="s">
        <v>378</v>
      </c>
      <c r="C107" s="93" t="s">
        <v>385</v>
      </c>
      <c r="D107" s="234" t="s">
        <v>386</v>
      </c>
      <c r="E107" s="93">
        <v>0.0</v>
      </c>
      <c r="F107" s="93">
        <v>0.0</v>
      </c>
      <c r="G107" s="93">
        <v>0.0</v>
      </c>
      <c r="H107" s="93">
        <v>0.0</v>
      </c>
      <c r="I107" s="93">
        <v>0.0</v>
      </c>
      <c r="J107" s="93">
        <v>0.0</v>
      </c>
      <c r="K107" s="93">
        <v>0.0</v>
      </c>
      <c r="L107" s="93">
        <v>0.0</v>
      </c>
      <c r="M107" s="93">
        <v>0.0</v>
      </c>
      <c r="N107" s="93">
        <v>0.0</v>
      </c>
      <c r="O107" s="93">
        <v>0.0</v>
      </c>
      <c r="P107" s="93">
        <v>0.0</v>
      </c>
      <c r="Q107" s="93">
        <v>0.0</v>
      </c>
      <c r="R107" s="93">
        <v>0.0</v>
      </c>
      <c r="S107" s="93">
        <v>0.0</v>
      </c>
      <c r="T107" s="93">
        <v>0.0</v>
      </c>
      <c r="U107" s="93">
        <v>0.0</v>
      </c>
      <c r="V107" s="93">
        <v>0.0</v>
      </c>
      <c r="W107" s="93">
        <v>0.0</v>
      </c>
      <c r="X107" s="93">
        <v>13.0</v>
      </c>
      <c r="Y107" s="93">
        <v>25.0</v>
      </c>
      <c r="Z107" s="93">
        <v>20.0</v>
      </c>
      <c r="AA107" s="93">
        <v>24.0</v>
      </c>
      <c r="AB107" s="93">
        <v>36.0</v>
      </c>
      <c r="AC107" s="93">
        <v>24.0</v>
      </c>
      <c r="AD107" s="93">
        <v>13.0</v>
      </c>
      <c r="AE107" s="93">
        <v>8.0</v>
      </c>
      <c r="AF107" s="93">
        <v>0.0</v>
      </c>
      <c r="AG107" s="93">
        <v>4.0</v>
      </c>
      <c r="AH107" s="114">
        <v>0.0</v>
      </c>
      <c r="AI107" s="114">
        <v>12.0</v>
      </c>
      <c r="AJ107" s="114">
        <v>4.0</v>
      </c>
      <c r="AK107" s="114">
        <v>0.0</v>
      </c>
      <c r="AL107" s="114">
        <v>0.0</v>
      </c>
      <c r="AM107" s="114">
        <v>0.0</v>
      </c>
      <c r="AN107" s="93">
        <v>4.0</v>
      </c>
      <c r="AO107" s="93">
        <v>0.0</v>
      </c>
      <c r="AP107" s="93">
        <v>4.0</v>
      </c>
      <c r="AQ107" s="233">
        <v>4.0</v>
      </c>
      <c r="AR107" s="233">
        <v>4.0</v>
      </c>
      <c r="AS107" s="233">
        <v>0.0</v>
      </c>
      <c r="AT107" s="69">
        <f t="shared" si="4"/>
        <v>32.0</v>
      </c>
      <c r="AU107" s="69">
        <f t="shared" si="282"/>
        <v>16.0</v>
      </c>
      <c r="AV107" s="69">
        <f t="shared" si="6"/>
        <v>17.6</v>
      </c>
      <c r="AW107" s="47">
        <f t="shared" si="303"/>
        <v>4.1860465116279</v>
      </c>
      <c r="AX107" s="47">
        <f t="shared" si="304"/>
        <v>4.50805008944543</v>
      </c>
      <c r="AY107" s="47">
        <f t="shared" si="305"/>
        <v>6.2468694096601</v>
      </c>
      <c r="AZ107" s="47">
        <f t="shared" si="306"/>
        <v>2.96243291592128</v>
      </c>
      <c r="BA107" s="47">
        <f t="shared" si="307"/>
        <v>5.79606440071556</v>
      </c>
      <c r="BB107" s="47">
        <f t="shared" si="308"/>
        <v>4.70125223613593</v>
      </c>
      <c r="BC107" s="64">
        <f t="shared" si="13"/>
        <v>28.4007155635061</v>
      </c>
      <c r="BD107" s="69">
        <f>VLOOKUP(D107,FEB23SOH,3,false)</f>
        <v>214.0</v>
      </c>
      <c r="BE107" s="201">
        <f>VLOOKUP(D107,VALUEFEB23,4,false)</f>
        <v>3.2144</v>
      </c>
      <c r="BF107" s="215">
        <f t="shared" si="16"/>
        <v>687.8816</v>
      </c>
      <c r="BI107" s="193">
        <f t="shared" si="289"/>
        <v>185.599284436493</v>
      </c>
      <c r="BK107" s="99"/>
      <c r="BL107" s="103"/>
      <c r="BM107" s="95">
        <f t="shared" si="290"/>
        <v>214.0</v>
      </c>
      <c r="BN107" s="65">
        <f t="shared" si="291"/>
        <v>4.1860465116279</v>
      </c>
      <c r="BO107" s="65">
        <f t="shared" si="21"/>
      </c>
      <c r="BP107" s="65">
        <f t="shared" si="292"/>
        <v>209.813953488372</v>
      </c>
      <c r="BQ107" s="194">
        <f t="shared" si="68"/>
        <v>674.425972093022</v>
      </c>
      <c r="BR107" s="65">
        <f t="shared" si="293"/>
        <v>4.50805008944543</v>
      </c>
      <c r="BS107" s="65">
        <f t="shared" si="25"/>
      </c>
      <c r="BT107" s="65">
        <f t="shared" si="294"/>
        <v>205.305903398927</v>
      </c>
      <c r="BU107" s="194">
        <f t="shared" si="71"/>
        <v>659.935295885511</v>
      </c>
      <c r="BV107" s="65">
        <f t="shared" si="295"/>
        <v>6.2468694096601</v>
      </c>
      <c r="BW107" s="65">
        <f t="shared" si="73"/>
      </c>
      <c r="BX107" s="65">
        <f t="shared" si="296"/>
        <v>199.059033989267</v>
      </c>
      <c r="BY107" s="194">
        <f t="shared" si="75"/>
        <v>639.8553588551</v>
      </c>
      <c r="BZ107" s="65">
        <f t="shared" si="297"/>
        <v>2.96243291592128</v>
      </c>
      <c r="CA107" s="65"/>
      <c r="CB107" s="65">
        <f t="shared" si="298"/>
        <v>196.096601073346</v>
      </c>
      <c r="CC107" s="194">
        <f t="shared" si="78"/>
        <v>630.332914490163</v>
      </c>
      <c r="CD107" s="65">
        <f t="shared" si="299"/>
        <v>5.79606440071556</v>
      </c>
      <c r="CE107" s="65"/>
      <c r="CF107" s="65">
        <f t="shared" si="300"/>
        <v>190.30053667263</v>
      </c>
      <c r="CG107" s="194">
        <f t="shared" si="81"/>
        <v>611.702045080501</v>
      </c>
      <c r="CH107" s="65">
        <f t="shared" si="301"/>
        <v>4.70125223613593</v>
      </c>
      <c r="CI107" s="65"/>
      <c r="CJ107" s="65">
        <f t="shared" si="302"/>
        <v>185.599284436494</v>
      </c>
      <c r="CK107" s="194">
        <f t="shared" si="84"/>
        <v>611.702045080501</v>
      </c>
    </row>
    <row r="108" ht="14.0">
      <c r="A108" s="93" t="s">
        <v>179</v>
      </c>
      <c r="B108" s="93" t="s">
        <v>378</v>
      </c>
      <c r="C108" s="93" t="s">
        <v>387</v>
      </c>
      <c r="D108" s="234" t="s">
        <v>388</v>
      </c>
      <c r="E108" s="93">
        <v>0.0</v>
      </c>
      <c r="F108" s="93">
        <v>0.0</v>
      </c>
      <c r="G108" s="93">
        <v>0.0</v>
      </c>
      <c r="H108" s="93">
        <v>0.0</v>
      </c>
      <c r="I108" s="93">
        <v>0.0</v>
      </c>
      <c r="J108" s="93">
        <v>0.0</v>
      </c>
      <c r="K108" s="93">
        <v>0.0</v>
      </c>
      <c r="L108" s="93">
        <v>0.0</v>
      </c>
      <c r="M108" s="93">
        <v>0.0</v>
      </c>
      <c r="N108" s="93">
        <v>0.0</v>
      </c>
      <c r="O108" s="93">
        <v>0.0</v>
      </c>
      <c r="P108" s="93">
        <v>0.0</v>
      </c>
      <c r="Q108" s="93">
        <v>0.0</v>
      </c>
      <c r="R108" s="93">
        <v>0.0</v>
      </c>
      <c r="S108" s="93">
        <v>0.0</v>
      </c>
      <c r="T108" s="93">
        <v>0.0</v>
      </c>
      <c r="U108" s="93">
        <v>0.0</v>
      </c>
      <c r="V108" s="93">
        <v>0.0</v>
      </c>
      <c r="W108" s="93">
        <v>0.0</v>
      </c>
      <c r="X108" s="93">
        <v>4.0</v>
      </c>
      <c r="Y108" s="93">
        <v>12.0</v>
      </c>
      <c r="Z108" s="93">
        <v>26.0</v>
      </c>
      <c r="AA108" s="93">
        <v>48.0</v>
      </c>
      <c r="AB108" s="93">
        <v>68.0</v>
      </c>
      <c r="AC108" s="93">
        <v>19.0</v>
      </c>
      <c r="AD108" s="93">
        <v>24.0</v>
      </c>
      <c r="AE108" s="93">
        <v>28.0</v>
      </c>
      <c r="AF108" s="93">
        <v>4.0</v>
      </c>
      <c r="AG108" s="93">
        <v>32.0</v>
      </c>
      <c r="AH108" s="114">
        <v>4.0</v>
      </c>
      <c r="AI108" s="114">
        <v>12.0</v>
      </c>
      <c r="AJ108" s="114">
        <v>13.0</v>
      </c>
      <c r="AK108" s="114">
        <v>16.0</v>
      </c>
      <c r="AL108" s="114">
        <v>0.0</v>
      </c>
      <c r="AM108" s="114">
        <v>8.0</v>
      </c>
      <c r="AN108" s="93">
        <v>12.0</v>
      </c>
      <c r="AO108" s="93">
        <v>12.0</v>
      </c>
      <c r="AP108" s="93">
        <v>16.0</v>
      </c>
      <c r="AQ108" s="233">
        <v>8.0</v>
      </c>
      <c r="AR108" s="233">
        <v>0.0</v>
      </c>
      <c r="AS108" s="233">
        <v>10.0</v>
      </c>
      <c r="AT108" s="69">
        <f t="shared" si="4"/>
        <v>111.0</v>
      </c>
      <c r="AU108" s="69">
        <f t="shared" si="282"/>
        <v>53.0</v>
      </c>
      <c r="AV108" s="69">
        <f t="shared" si="6"/>
        <v>58.3</v>
      </c>
      <c r="AW108" s="47">
        <f t="shared" si="303"/>
        <v>8.48837209302324</v>
      </c>
      <c r="AX108" s="47">
        <f t="shared" si="304"/>
        <v>9.14132379248658</v>
      </c>
      <c r="AY108" s="47">
        <f t="shared" si="305"/>
        <v>12.6672629695885</v>
      </c>
      <c r="AZ108" s="47">
        <f t="shared" si="306"/>
        <v>6.00715563506261</v>
      </c>
      <c r="BA108" s="47">
        <f t="shared" si="307"/>
        <v>11.7531305903399</v>
      </c>
      <c r="BB108" s="47">
        <f t="shared" si="308"/>
        <v>9.53309481216457</v>
      </c>
      <c r="BC108" s="64">
        <f t="shared" si="13"/>
        <v>57.5903398926654</v>
      </c>
      <c r="BD108" s="69">
        <f>VLOOKUP(D108,FEB23SOH,3,false)</f>
        <v>60.0</v>
      </c>
      <c r="BE108" s="201">
        <f>VLOOKUP(D108,VALUEFEB23,4,false)</f>
        <v>3.2193</v>
      </c>
      <c r="BF108" s="215">
        <f t="shared" si="16"/>
        <v>193.158</v>
      </c>
      <c r="BI108" s="193">
        <f t="shared" si="289"/>
        <v>2.4096601073346</v>
      </c>
      <c r="BJ108" s="217">
        <v>444.0</v>
      </c>
      <c r="BK108" s="236"/>
      <c r="BL108" s="103"/>
      <c r="BM108" s="95">
        <f t="shared" si="290"/>
        <v>60.0</v>
      </c>
      <c r="BN108" s="65">
        <f t="shared" si="291"/>
        <v>8.48837209302324</v>
      </c>
      <c r="BO108" s="65">
        <f t="shared" si="21"/>
      </c>
      <c r="BP108" s="65">
        <f t="shared" si="292"/>
        <v>51.5116279069768</v>
      </c>
      <c r="BQ108" s="194">
        <f t="shared" si="68"/>
        <v>165.83138372093</v>
      </c>
      <c r="BR108" s="65">
        <f t="shared" si="293"/>
        <v>9.14132379248658</v>
      </c>
      <c r="BS108" s="65">
        <f t="shared" si="25"/>
      </c>
      <c r="BT108" s="65">
        <f t="shared" si="294"/>
        <v>42.3703041144902</v>
      </c>
      <c r="BU108" s="194">
        <f t="shared" si="71"/>
        <v>136.402720035778</v>
      </c>
      <c r="BV108" s="65">
        <f t="shared" si="295"/>
        <v>12.6672629695885</v>
      </c>
      <c r="BW108" s="65">
        <f t="shared" si="73"/>
      </c>
      <c r="BX108" s="65">
        <f t="shared" si="296"/>
        <v>29.7030411449017</v>
      </c>
      <c r="BY108" s="194">
        <f t="shared" si="75"/>
        <v>95.623000357782</v>
      </c>
      <c r="BZ108" s="65">
        <f t="shared" si="297"/>
        <v>6.00715563506261</v>
      </c>
      <c r="CA108" s="65"/>
      <c r="CB108" s="65">
        <f t="shared" si="298"/>
        <v>23.695885509839</v>
      </c>
      <c r="CC108" s="194">
        <f t="shared" si="78"/>
        <v>76.2841642218247</v>
      </c>
      <c r="CD108" s="65">
        <f t="shared" si="299"/>
        <v>11.7531305903399</v>
      </c>
      <c r="CE108" s="65"/>
      <c r="CF108" s="65">
        <f t="shared" si="300"/>
        <v>11.9427549194991</v>
      </c>
      <c r="CG108" s="194">
        <f t="shared" si="81"/>
        <v>38.4473109123434</v>
      </c>
      <c r="CH108" s="65">
        <f t="shared" si="301"/>
        <v>9.53309481216457</v>
      </c>
      <c r="CI108" s="65"/>
      <c r="CJ108" s="65">
        <f t="shared" si="302"/>
        <v>2.40966010733452</v>
      </c>
      <c r="CK108" s="194">
        <f t="shared" si="84"/>
        <v>38.4473109123434</v>
      </c>
    </row>
    <row r="109" ht="14.0">
      <c r="A109" s="93" t="s">
        <v>179</v>
      </c>
      <c r="B109" s="93" t="s">
        <v>378</v>
      </c>
      <c r="C109" s="93" t="s">
        <v>389</v>
      </c>
      <c r="D109" s="234" t="s">
        <v>390</v>
      </c>
      <c r="E109" s="93">
        <v>0.0</v>
      </c>
      <c r="F109" s="93">
        <v>0.0</v>
      </c>
      <c r="G109" s="93">
        <v>0.0</v>
      </c>
      <c r="H109" s="93">
        <v>0.0</v>
      </c>
      <c r="I109" s="93">
        <v>0.0</v>
      </c>
      <c r="J109" s="93">
        <v>0.0</v>
      </c>
      <c r="K109" s="93">
        <v>0.0</v>
      </c>
      <c r="L109" s="93">
        <v>0.0</v>
      </c>
      <c r="M109" s="93">
        <v>0.0</v>
      </c>
      <c r="N109" s="93">
        <v>0.0</v>
      </c>
      <c r="O109" s="93">
        <v>0.0</v>
      </c>
      <c r="P109" s="93">
        <v>0.0</v>
      </c>
      <c r="Q109" s="93">
        <v>0.0</v>
      </c>
      <c r="R109" s="93">
        <v>0.0</v>
      </c>
      <c r="S109" s="93">
        <v>0.0</v>
      </c>
      <c r="T109" s="93">
        <v>0.0</v>
      </c>
      <c r="U109" s="93">
        <v>0.0</v>
      </c>
      <c r="V109" s="93">
        <v>0.0</v>
      </c>
      <c r="W109" s="93">
        <v>0.0</v>
      </c>
      <c r="X109" s="93">
        <v>17.0</v>
      </c>
      <c r="Y109" s="93">
        <v>52.0</v>
      </c>
      <c r="Z109" s="93">
        <v>80.0</v>
      </c>
      <c r="AA109" s="93">
        <v>56.0</v>
      </c>
      <c r="AB109" s="93">
        <v>116.0</v>
      </c>
      <c r="AC109" s="93">
        <v>56.0</v>
      </c>
      <c r="AD109" s="93">
        <v>52.0</v>
      </c>
      <c r="AE109" s="93">
        <v>40.0</v>
      </c>
      <c r="AF109" s="93">
        <v>0.0</v>
      </c>
      <c r="AG109" s="93">
        <v>0.0</v>
      </c>
      <c r="AH109" s="114">
        <v>20.0</v>
      </c>
      <c r="AI109" s="114">
        <v>24.0</v>
      </c>
      <c r="AJ109" s="114">
        <v>12.0</v>
      </c>
      <c r="AK109" s="114">
        <v>16.0</v>
      </c>
      <c r="AL109" s="114">
        <v>0.0</v>
      </c>
      <c r="AM109" s="114">
        <v>4.0</v>
      </c>
      <c r="AN109" s="93">
        <v>4.0</v>
      </c>
      <c r="AO109" s="93">
        <v>12.0</v>
      </c>
      <c r="AP109" s="93">
        <v>28.0</v>
      </c>
      <c r="AQ109" s="233">
        <v>8.0</v>
      </c>
      <c r="AR109" s="233">
        <v>4.0</v>
      </c>
      <c r="AS109" s="233">
        <v>0.0</v>
      </c>
      <c r="AT109" s="69">
        <f t="shared" si="4"/>
        <v>132.0</v>
      </c>
      <c r="AU109" s="69">
        <f t="shared" si="282"/>
        <v>76.0</v>
      </c>
      <c r="AV109" s="69">
        <f t="shared" si="6"/>
        <v>83.6</v>
      </c>
      <c r="AW109" s="47">
        <f t="shared" si="303"/>
        <v>11.1627906976744</v>
      </c>
      <c r="AX109" s="47">
        <f t="shared" si="304"/>
        <v>12.0214669051878</v>
      </c>
      <c r="AY109" s="47">
        <f t="shared" si="305"/>
        <v>16.6583184257597</v>
      </c>
      <c r="AZ109" s="47">
        <f t="shared" si="306"/>
        <v>7.89982110912342</v>
      </c>
      <c r="BA109" s="47">
        <f t="shared" si="307"/>
        <v>15.4561717352414</v>
      </c>
      <c r="BB109" s="47">
        <f t="shared" si="308"/>
        <v>12.5366726296953</v>
      </c>
      <c r="BC109" s="64">
        <f t="shared" si="13"/>
        <v>75.735241502682</v>
      </c>
      <c r="BD109" s="69">
        <f>VLOOKUP(D109,FEB23SOH,3,false)</f>
        <v>328.0</v>
      </c>
      <c r="BE109" s="201">
        <f>VLOOKUP(D109,VALUEFEB23,4,false)</f>
        <v>3.2528</v>
      </c>
      <c r="BF109" s="215">
        <f t="shared" si="16"/>
        <v>1066.9184</v>
      </c>
      <c r="BI109" s="193">
        <f t="shared" si="289"/>
        <v>252.26475849731</v>
      </c>
      <c r="BK109" s="99"/>
      <c r="BL109" s="103"/>
      <c r="BM109" s="95">
        <f t="shared" si="290"/>
        <v>328.0</v>
      </c>
      <c r="BN109" s="65">
        <f t="shared" si="291"/>
        <v>11.1627906976744</v>
      </c>
      <c r="BO109" s="65">
        <f t="shared" si="21"/>
      </c>
      <c r="BP109" s="65">
        <f t="shared" si="292"/>
        <v>316.837209302326</v>
      </c>
      <c r="BQ109" s="194">
        <f t="shared" si="68"/>
        <v>1030.6080744186</v>
      </c>
      <c r="BR109" s="65">
        <f t="shared" si="293"/>
        <v>12.0214669051878</v>
      </c>
      <c r="BS109" s="65">
        <f t="shared" si="25"/>
      </c>
      <c r="BT109" s="65">
        <f t="shared" si="294"/>
        <v>304.815742397138</v>
      </c>
      <c r="BU109" s="194">
        <f t="shared" si="71"/>
        <v>991.50464686941</v>
      </c>
      <c r="BV109" s="65">
        <f t="shared" si="295"/>
        <v>16.6583184257597</v>
      </c>
      <c r="BW109" s="65">
        <f t="shared" si="73"/>
      </c>
      <c r="BX109" s="65">
        <f t="shared" si="296"/>
        <v>288.157423971378</v>
      </c>
      <c r="BY109" s="194">
        <f t="shared" si="75"/>
        <v>937.318468694098</v>
      </c>
      <c r="BZ109" s="65">
        <f t="shared" si="297"/>
        <v>7.89982110912342</v>
      </c>
      <c r="CA109" s="65"/>
      <c r="CB109" s="65">
        <f t="shared" si="298"/>
        <v>280.257602862254</v>
      </c>
      <c r="CC109" s="194">
        <f t="shared" si="78"/>
        <v>911.62193059034</v>
      </c>
      <c r="CD109" s="65">
        <f t="shared" si="299"/>
        <v>15.4561717352414</v>
      </c>
      <c r="CE109" s="65"/>
      <c r="CF109" s="65">
        <f t="shared" si="300"/>
        <v>264.801431127012</v>
      </c>
      <c r="CG109" s="194">
        <f t="shared" si="81"/>
        <v>861.346095169944</v>
      </c>
      <c r="CH109" s="65">
        <f t="shared" si="301"/>
        <v>12.5366726296953</v>
      </c>
      <c r="CI109" s="65"/>
      <c r="CJ109" s="65">
        <f t="shared" si="302"/>
        <v>252.264758497317</v>
      </c>
      <c r="CK109" s="194">
        <f t="shared" si="84"/>
        <v>861.346095169944</v>
      </c>
    </row>
    <row r="110" ht="14.0" customFormat="1" s="47">
      <c r="A110" s="93" t="s">
        <v>179</v>
      </c>
      <c r="B110" s="93" t="s">
        <v>378</v>
      </c>
      <c r="C110" s="93" t="s">
        <v>391</v>
      </c>
      <c r="D110" s="234" t="s">
        <v>392</v>
      </c>
      <c r="E110" s="93">
        <v>0.0</v>
      </c>
      <c r="F110" s="93">
        <v>0.0</v>
      </c>
      <c r="G110" s="93">
        <v>0.0</v>
      </c>
      <c r="H110" s="93">
        <v>0.0</v>
      </c>
      <c r="I110" s="93">
        <v>0.0</v>
      </c>
      <c r="J110" s="93">
        <v>0.0</v>
      </c>
      <c r="K110" s="93">
        <v>0.0</v>
      </c>
      <c r="L110" s="93">
        <v>0.0</v>
      </c>
      <c r="M110" s="93">
        <v>0.0</v>
      </c>
      <c r="N110" s="93">
        <v>0.0</v>
      </c>
      <c r="O110" s="93">
        <v>0.0</v>
      </c>
      <c r="P110" s="93">
        <v>0.0</v>
      </c>
      <c r="Q110" s="93">
        <v>0.0</v>
      </c>
      <c r="R110" s="93">
        <v>0.0</v>
      </c>
      <c r="S110" s="93">
        <v>0.0</v>
      </c>
      <c r="T110" s="93">
        <v>0.0</v>
      </c>
      <c r="U110" s="93">
        <v>0.0</v>
      </c>
      <c r="V110" s="93">
        <v>0.0</v>
      </c>
      <c r="W110" s="93">
        <v>0.0</v>
      </c>
      <c r="X110" s="93">
        <v>12.0</v>
      </c>
      <c r="Y110" s="93">
        <v>30.0</v>
      </c>
      <c r="Z110" s="93">
        <v>56.0</v>
      </c>
      <c r="AA110" s="93">
        <v>48.0</v>
      </c>
      <c r="AB110" s="93">
        <v>88.0</v>
      </c>
      <c r="AC110" s="93">
        <v>36.0</v>
      </c>
      <c r="AD110" s="93">
        <v>48.0</v>
      </c>
      <c r="AE110" s="93">
        <v>36.0</v>
      </c>
      <c r="AF110" s="93">
        <v>12.0</v>
      </c>
      <c r="AG110" s="93">
        <v>12.0</v>
      </c>
      <c r="AH110" s="114">
        <v>4.0</v>
      </c>
      <c r="AI110" s="114">
        <v>24.0</v>
      </c>
      <c r="AJ110" s="114">
        <v>8.0</v>
      </c>
      <c r="AK110" s="114">
        <v>12.0</v>
      </c>
      <c r="AL110" s="114">
        <v>0.0</v>
      </c>
      <c r="AM110" s="114">
        <v>4.0</v>
      </c>
      <c r="AN110" s="93">
        <v>12.0</v>
      </c>
      <c r="AO110" s="93">
        <v>4.0</v>
      </c>
      <c r="AP110" s="93">
        <v>20.0</v>
      </c>
      <c r="AQ110" s="233">
        <v>12.0</v>
      </c>
      <c r="AR110" s="233">
        <v>0.0</v>
      </c>
      <c r="AS110" s="233">
        <v>5.0</v>
      </c>
      <c r="AT110" s="69">
        <f t="shared" si="4"/>
        <v>105.0</v>
      </c>
      <c r="AU110" s="69">
        <f t="shared" si="282"/>
        <v>52.0</v>
      </c>
      <c r="AV110" s="69">
        <f t="shared" si="6"/>
        <v>57.2</v>
      </c>
      <c r="AW110" s="47">
        <f t="shared" si="303"/>
        <v>8.37209302325582</v>
      </c>
      <c r="AX110" s="47">
        <f t="shared" si="304"/>
        <v>9.01610017889087</v>
      </c>
      <c r="AY110" s="47">
        <f t="shared" si="305"/>
        <v>12.4937388193202</v>
      </c>
      <c r="AZ110" s="47">
        <f t="shared" si="306"/>
        <v>5.92486583184257</v>
      </c>
      <c r="BA110" s="47">
        <f t="shared" si="307"/>
        <v>11.5921288014311</v>
      </c>
      <c r="BB110" s="47">
        <f t="shared" si="308"/>
        <v>9.4025044722719</v>
      </c>
      <c r="BC110" s="64">
        <f t="shared" si="13"/>
        <v>56.8014311270124</v>
      </c>
      <c r="BD110" s="69">
        <f>VLOOKUP(D110,FEB23SOH,3,false)</f>
        <v>442.0</v>
      </c>
      <c r="BE110" s="201">
        <f>VLOOKUP(D110,VALUEFEB23,4,false)</f>
        <v>3.2527</v>
      </c>
      <c r="BF110" s="215">
        <f t="shared" si="16"/>
        <v>1437.6934</v>
      </c>
      <c r="BG110" s="64"/>
      <c r="BH110" s="64"/>
      <c r="BI110" s="193">
        <f t="shared" si="289"/>
        <v>385.198568872988</v>
      </c>
      <c r="BJ110" s="217"/>
      <c r="BK110" s="99"/>
      <c r="BL110" s="103"/>
      <c r="BM110" s="95">
        <f t="shared" si="290"/>
        <v>442.0</v>
      </c>
      <c r="BN110" s="65">
        <f t="shared" si="291"/>
        <v>8.37209302325582</v>
      </c>
      <c r="BO110" s="65">
        <f t="shared" si="21"/>
      </c>
      <c r="BP110" s="65">
        <f t="shared" si="292"/>
        <v>433.627906976744</v>
      </c>
      <c r="BQ110" s="194">
        <f t="shared" si="68"/>
        <v>1410.46149302326</v>
      </c>
      <c r="BR110" s="65">
        <f t="shared" si="293"/>
        <v>9.01610017889087</v>
      </c>
      <c r="BS110" s="65">
        <f t="shared" si="25"/>
      </c>
      <c r="BT110" s="65">
        <f t="shared" si="294"/>
        <v>424.611806797853</v>
      </c>
      <c r="BU110" s="194">
        <f t="shared" si="71"/>
        <v>1381.13482397138</v>
      </c>
      <c r="BV110" s="65">
        <f t="shared" si="295"/>
        <v>12.4937388193202</v>
      </c>
      <c r="BW110" s="65">
        <f t="shared" si="73"/>
      </c>
      <c r="BX110" s="65">
        <f t="shared" si="296"/>
        <v>412.118067978532</v>
      </c>
      <c r="BY110" s="194">
        <f t="shared" si="75"/>
        <v>1340.49643971377</v>
      </c>
      <c r="BZ110" s="65">
        <f t="shared" si="297"/>
        <v>5.92486583184257</v>
      </c>
      <c r="CA110" s="65"/>
      <c r="CB110" s="65">
        <f t="shared" si="298"/>
        <v>406.193202146689</v>
      </c>
      <c r="CC110" s="194">
        <f t="shared" si="78"/>
        <v>1321.22462862253</v>
      </c>
      <c r="CD110" s="65">
        <f t="shared" si="299"/>
        <v>11.5921288014311</v>
      </c>
      <c r="CE110" s="65"/>
      <c r="CF110" s="65">
        <f t="shared" si="300"/>
        <v>394.60107334526</v>
      </c>
      <c r="CG110" s="194">
        <f t="shared" si="81"/>
        <v>1283.51891127012</v>
      </c>
      <c r="CH110" s="65">
        <f t="shared" si="301"/>
        <v>9.4025044722719</v>
      </c>
      <c r="CI110" s="65"/>
      <c r="CJ110" s="65">
        <f t="shared" si="302"/>
        <v>385.198568872988</v>
      </c>
      <c r="CK110" s="194">
        <f t="shared" si="84"/>
        <v>1283.51891127012</v>
      </c>
    </row>
    <row r="111" ht="14.0" customFormat="1" s="47">
      <c r="A111" s="93" t="s">
        <v>179</v>
      </c>
      <c r="B111" s="93" t="s">
        <v>378</v>
      </c>
      <c r="C111" s="93" t="s">
        <v>393</v>
      </c>
      <c r="D111" s="229" t="s">
        <v>394</v>
      </c>
      <c r="E111" s="93">
        <v>0.0</v>
      </c>
      <c r="F111" s="93">
        <v>0.0</v>
      </c>
      <c r="G111" s="93">
        <v>0.0</v>
      </c>
      <c r="H111" s="93">
        <v>0.0</v>
      </c>
      <c r="I111" s="93">
        <v>0.0</v>
      </c>
      <c r="J111" s="93">
        <v>0.0</v>
      </c>
      <c r="K111" s="93">
        <v>0.0</v>
      </c>
      <c r="L111" s="93">
        <v>0.0</v>
      </c>
      <c r="M111" s="93">
        <v>0.0</v>
      </c>
      <c r="N111" s="93">
        <v>0.0</v>
      </c>
      <c r="O111" s="93">
        <v>0.0</v>
      </c>
      <c r="P111" s="93">
        <v>0.0</v>
      </c>
      <c r="Q111" s="93">
        <v>0.0</v>
      </c>
      <c r="R111" s="93">
        <v>0.0</v>
      </c>
      <c r="S111" s="93">
        <v>0.0</v>
      </c>
      <c r="T111" s="93">
        <v>0.0</v>
      </c>
      <c r="U111" s="93">
        <v>0.0</v>
      </c>
      <c r="V111" s="93">
        <v>0.0</v>
      </c>
      <c r="W111" s="93">
        <v>0.0</v>
      </c>
      <c r="X111" s="93">
        <v>0.0</v>
      </c>
      <c r="Y111" s="93">
        <v>0.0</v>
      </c>
      <c r="Z111" s="93">
        <v>0.0</v>
      </c>
      <c r="AA111" s="93">
        <v>0.0</v>
      </c>
      <c r="AB111" s="93">
        <v>0.0</v>
      </c>
      <c r="AC111" s="93">
        <v>0.0</v>
      </c>
      <c r="AD111" s="93">
        <v>0.0</v>
      </c>
      <c r="AE111" s="93">
        <v>0.0</v>
      </c>
      <c r="AF111" s="93">
        <v>0.0</v>
      </c>
      <c r="AG111" s="93">
        <v>0.0</v>
      </c>
      <c r="AH111" s="93">
        <v>8.0</v>
      </c>
      <c r="AI111" s="93">
        <v>122.0</v>
      </c>
      <c r="AJ111" s="93">
        <v>84.0</v>
      </c>
      <c r="AK111" s="93">
        <v>36.0</v>
      </c>
      <c r="AL111" s="93">
        <v>24.0</v>
      </c>
      <c r="AM111" s="93">
        <v>20.0</v>
      </c>
      <c r="AN111" s="230">
        <v>40.0</v>
      </c>
      <c r="AO111" s="230">
        <v>52.0</v>
      </c>
      <c r="AP111" s="230">
        <v>36.0</v>
      </c>
      <c r="AQ111" s="231">
        <v>28.0</v>
      </c>
      <c r="AR111" s="231">
        <v>12.0</v>
      </c>
      <c r="AS111" s="231">
        <v>44.0</v>
      </c>
      <c r="AT111" s="69">
        <f t="shared" si="4"/>
        <v>506.0</v>
      </c>
      <c r="AU111" s="69">
        <f t="shared" ref="AU111:AU130" si="309">SUM(AN111:AS111)</f>
        <v>212.0</v>
      </c>
      <c r="AV111" s="69">
        <f t="shared" si="6"/>
        <v>233.2</v>
      </c>
      <c r="AW111" s="47">
        <f t="shared" ref="AW111:AW112" si="310">AV111*$AW$4/$AV$4</f>
        <v>24.6511627906977</v>
      </c>
      <c r="AX111" s="47">
        <f t="shared" ref="AX111:AX112" si="311">AV111*$AX$4/$AV$4</f>
        <v>26.5474060822898</v>
      </c>
      <c r="AY111" s="47">
        <f t="shared" ref="AY111:AY112" si="312">AV111*$AY$4/$AV$4</f>
        <v>36.7871198568873</v>
      </c>
      <c r="AZ111" s="47">
        <f t="shared" ref="AZ111:AZ112" si="313">AV111*$AZ$4/$AV$4</f>
        <v>17.4454382826476</v>
      </c>
      <c r="BA111" s="47">
        <f t="shared" ref="BA111:BA112" si="314">AV111*$BA$4/$AV$4</f>
        <v>34.1323792486583</v>
      </c>
      <c r="BB111" s="47">
        <f t="shared" ref="BB111:BB112" si="315">AV111*$BB$4/$AV$4</f>
        <v>27.685152057245</v>
      </c>
      <c r="BC111" s="64">
        <f t="shared" si="13"/>
        <v>167.24865831842</v>
      </c>
      <c r="BD111" s="69">
        <f>VLOOKUP(D111,FEB23SOH,3,false)</f>
        <v>459.0</v>
      </c>
      <c r="BE111" s="201">
        <f>VLOOKUP(D111,VALUEFEB23,4,false)</f>
        <v>2.7832</v>
      </c>
      <c r="BF111" s="215">
        <f t="shared" si="16"/>
        <v>1277.4888</v>
      </c>
      <c r="BG111" s="64"/>
      <c r="BH111" s="64"/>
      <c r="BI111" s="193">
        <f t="shared" si="289"/>
        <v>291.75134168158</v>
      </c>
      <c r="BJ111" s="217">
        <v>444.0</v>
      </c>
      <c r="BL111" s="103"/>
      <c r="BM111" s="95">
        <f t="shared" si="290"/>
        <v>459.0</v>
      </c>
      <c r="BN111" s="65">
        <f t="shared" si="291"/>
        <v>24.6511627906977</v>
      </c>
      <c r="BO111" s="65">
        <f t="shared" si="21"/>
      </c>
      <c r="BP111" s="65">
        <f t="shared" si="292"/>
        <v>434.348837209302</v>
      </c>
      <c r="BQ111" s="194">
        <f t="shared" si="68"/>
        <v>1208.87968372092</v>
      </c>
      <c r="BR111" s="65">
        <f t="shared" si="293"/>
        <v>26.5474060822898</v>
      </c>
      <c r="BS111" s="65">
        <f t="shared" si="25"/>
      </c>
      <c r="BT111" s="65">
        <f t="shared" si="294"/>
        <v>407.801431127012</v>
      </c>
      <c r="BU111" s="194">
        <f t="shared" si="71"/>
        <v>1134.9929431127</v>
      </c>
      <c r="BV111" s="65">
        <f t="shared" si="295"/>
        <v>36.7871198568873</v>
      </c>
      <c r="BW111" s="65">
        <f t="shared" si="73"/>
      </c>
      <c r="BX111" s="65">
        <f t="shared" si="296"/>
        <v>371.014311270124</v>
      </c>
      <c r="BY111" s="194">
        <f t="shared" si="75"/>
        <v>1032.607031127</v>
      </c>
      <c r="BZ111" s="65">
        <f t="shared" si="297"/>
        <v>17.4454382826476</v>
      </c>
      <c r="CA111" s="65"/>
      <c r="CB111" s="65">
        <f t="shared" si="298"/>
        <v>353.568872987476</v>
      </c>
      <c r="CC111" s="194">
        <f t="shared" si="78"/>
        <v>984.052887298743</v>
      </c>
      <c r="CD111" s="65">
        <f t="shared" si="299"/>
        <v>34.1323792486583</v>
      </c>
      <c r="CE111" s="65"/>
      <c r="CF111" s="65">
        <f t="shared" si="300"/>
        <v>319.436493738818</v>
      </c>
      <c r="CG111" s="194">
        <f t="shared" si="81"/>
        <v>889.055649373878</v>
      </c>
      <c r="CH111" s="65">
        <f t="shared" si="301"/>
        <v>27.685152057245</v>
      </c>
      <c r="CI111" s="65"/>
      <c r="CJ111" s="65">
        <f t="shared" si="302"/>
        <v>291.751341681573</v>
      </c>
      <c r="CK111" s="194">
        <f t="shared" si="84"/>
        <v>889.055649373878</v>
      </c>
    </row>
    <row r="112" ht="14.0">
      <c r="A112" s="93" t="s">
        <v>179</v>
      </c>
      <c r="B112" s="93" t="s">
        <v>378</v>
      </c>
      <c r="C112" s="93" t="s">
        <v>395</v>
      </c>
      <c r="D112" s="229" t="s">
        <v>396</v>
      </c>
      <c r="E112" s="93">
        <v>0.0</v>
      </c>
      <c r="F112" s="93">
        <v>0.0</v>
      </c>
      <c r="G112" s="93">
        <v>0.0</v>
      </c>
      <c r="H112" s="93">
        <v>0.0</v>
      </c>
      <c r="I112" s="93">
        <v>0.0</v>
      </c>
      <c r="J112" s="93">
        <v>0.0</v>
      </c>
      <c r="K112" s="93">
        <v>0.0</v>
      </c>
      <c r="L112" s="93">
        <v>0.0</v>
      </c>
      <c r="M112" s="93">
        <v>0.0</v>
      </c>
      <c r="N112" s="93">
        <v>0.0</v>
      </c>
      <c r="O112" s="93">
        <v>0.0</v>
      </c>
      <c r="P112" s="93">
        <v>0.0</v>
      </c>
      <c r="Q112" s="93">
        <v>0.0</v>
      </c>
      <c r="R112" s="93">
        <v>0.0</v>
      </c>
      <c r="S112" s="93">
        <v>0.0</v>
      </c>
      <c r="T112" s="93">
        <v>0.0</v>
      </c>
      <c r="U112" s="93">
        <v>0.0</v>
      </c>
      <c r="V112" s="93">
        <v>0.0</v>
      </c>
      <c r="W112" s="93">
        <v>0.0</v>
      </c>
      <c r="X112" s="93">
        <v>0.0</v>
      </c>
      <c r="Y112" s="93">
        <v>0.0</v>
      </c>
      <c r="Z112" s="93">
        <v>0.0</v>
      </c>
      <c r="AA112" s="93">
        <v>0.0</v>
      </c>
      <c r="AB112" s="93">
        <v>0.0</v>
      </c>
      <c r="AC112" s="93">
        <v>0.0</v>
      </c>
      <c r="AD112" s="93">
        <v>0.0</v>
      </c>
      <c r="AE112" s="93">
        <v>0.0</v>
      </c>
      <c r="AF112" s="93">
        <v>0.0</v>
      </c>
      <c r="AG112" s="93">
        <v>0.0</v>
      </c>
      <c r="AH112" s="93">
        <v>4.0</v>
      </c>
      <c r="AI112" s="93">
        <v>102.0</v>
      </c>
      <c r="AJ112" s="93">
        <v>48.0</v>
      </c>
      <c r="AK112" s="93">
        <v>24.0</v>
      </c>
      <c r="AL112" s="93">
        <v>16.0</v>
      </c>
      <c r="AM112" s="93">
        <v>20.0</v>
      </c>
      <c r="AN112" s="230">
        <v>20.0</v>
      </c>
      <c r="AO112" s="230">
        <v>12.0</v>
      </c>
      <c r="AP112" s="230">
        <v>12.0</v>
      </c>
      <c r="AQ112" s="231">
        <v>8.0</v>
      </c>
      <c r="AR112" s="231">
        <v>0.0</v>
      </c>
      <c r="AS112" s="231">
        <v>19.0</v>
      </c>
      <c r="AT112" s="69">
        <f t="shared" si="4"/>
        <v>285.0</v>
      </c>
      <c r="AU112" s="69">
        <f t="shared" si="309"/>
        <v>71.0</v>
      </c>
      <c r="AV112" s="69">
        <f t="shared" si="6"/>
        <v>78.1</v>
      </c>
      <c r="AW112" s="47">
        <f t="shared" si="310"/>
        <v>8.25581395348837</v>
      </c>
      <c r="AX112" s="47">
        <f t="shared" si="311"/>
        <v>8.89087656529517</v>
      </c>
      <c r="AY112" s="47">
        <f t="shared" si="312"/>
        <v>12.3202146690519</v>
      </c>
      <c r="AZ112" s="47">
        <f t="shared" si="313"/>
        <v>5.84257602862254</v>
      </c>
      <c r="BA112" s="47">
        <f t="shared" si="314"/>
        <v>11.4311270125223</v>
      </c>
      <c r="BB112" s="47">
        <f t="shared" si="315"/>
        <v>9.27191413237924</v>
      </c>
      <c r="BC112" s="64">
        <f t="shared" si="13"/>
        <v>56.0125223613595</v>
      </c>
      <c r="BD112" s="69">
        <f>VLOOKUP(D112,FEB23SOH,3,false)</f>
        <v>663.0</v>
      </c>
      <c r="BE112" s="201">
        <f>VLOOKUP(D112,VALUEFEB23,4,false)</f>
        <v>2.8973</v>
      </c>
      <c r="BF112" s="215">
        <f t="shared" si="16"/>
        <v>1920.9099</v>
      </c>
      <c r="BI112" s="193">
        <f t="shared" si="289"/>
        <v>606.98747763864</v>
      </c>
      <c r="BJ112" s="217">
        <v>444.0</v>
      </c>
      <c r="BL112" s="103"/>
      <c r="BM112" s="95">
        <f t="shared" si="290"/>
        <v>663.0</v>
      </c>
      <c r="BN112" s="65">
        <f t="shared" si="291"/>
        <v>8.25581395348837</v>
      </c>
      <c r="BO112" s="65">
        <f t="shared" si="21"/>
      </c>
      <c r="BP112" s="65">
        <f t="shared" si="292"/>
        <v>654.744186046511</v>
      </c>
      <c r="BQ112" s="194">
        <f t="shared" si="68"/>
        <v>1896.99033023256</v>
      </c>
      <c r="BR112" s="65">
        <f t="shared" si="293"/>
        <v>8.89087656529517</v>
      </c>
      <c r="BS112" s="65">
        <f t="shared" si="25"/>
      </c>
      <c r="BT112" s="65">
        <f t="shared" si="294"/>
        <v>645.853309481216</v>
      </c>
      <c r="BU112" s="194">
        <f t="shared" si="71"/>
        <v>1871.23079355992</v>
      </c>
      <c r="BV112" s="65">
        <f t="shared" si="295"/>
        <v>12.3202146690519</v>
      </c>
      <c r="BW112" s="65">
        <f t="shared" si="73"/>
      </c>
      <c r="BX112" s="65">
        <f t="shared" si="296"/>
        <v>633.533094812164</v>
      </c>
      <c r="BY112" s="194">
        <f t="shared" si="75"/>
        <v>1835.53543559928</v>
      </c>
      <c r="BZ112" s="65">
        <f t="shared" si="297"/>
        <v>5.84257602862254</v>
      </c>
      <c r="CA112" s="65"/>
      <c r="CB112" s="65">
        <f t="shared" si="298"/>
        <v>627.690518783541</v>
      </c>
      <c r="CC112" s="194">
        <f t="shared" si="78"/>
        <v>1818.60774007155</v>
      </c>
      <c r="CD112" s="65">
        <f t="shared" si="299"/>
        <v>11.4311270125223</v>
      </c>
      <c r="CE112" s="65"/>
      <c r="CF112" s="65">
        <f t="shared" si="300"/>
        <v>616.25939177101</v>
      </c>
      <c r="CG112" s="194">
        <f t="shared" si="81"/>
        <v>1785.48833577814</v>
      </c>
      <c r="CH112" s="65">
        <f t="shared" si="301"/>
        <v>9.27191413237924</v>
      </c>
      <c r="CI112" s="65"/>
      <c r="CJ112" s="65">
        <f t="shared" si="302"/>
        <v>606.98747763863</v>
      </c>
      <c r="CK112" s="194">
        <f t="shared" si="84"/>
        <v>1785.48833577814</v>
      </c>
    </row>
    <row r="113" ht="14.0" customFormat="1" s="47">
      <c r="A113" s="47" t="s">
        <v>569</v>
      </c>
      <c r="B113" s="47" t="s">
        <v>378</v>
      </c>
      <c r="C113" s="47" t="s">
        <v>586</v>
      </c>
      <c r="D113" s="185" t="s">
        <v>587</v>
      </c>
      <c r="E113" s="47">
        <v>0.0</v>
      </c>
      <c r="F113" s="47">
        <v>0.0</v>
      </c>
      <c r="G113" s="47">
        <v>0.0</v>
      </c>
      <c r="H113" s="47">
        <v>0.0</v>
      </c>
      <c r="I113" s="47">
        <v>0.0</v>
      </c>
      <c r="J113" s="47">
        <v>0.0</v>
      </c>
      <c r="K113" s="47">
        <v>0.0</v>
      </c>
      <c r="L113" s="47">
        <v>0.0</v>
      </c>
      <c r="M113" s="47">
        <v>0.0</v>
      </c>
      <c r="N113" s="47">
        <v>0.0</v>
      </c>
      <c r="O113" s="47">
        <v>0.0</v>
      </c>
      <c r="P113" s="47">
        <v>0.0</v>
      </c>
      <c r="Q113" s="47">
        <v>0.0</v>
      </c>
      <c r="R113" s="47">
        <v>0.0</v>
      </c>
      <c r="S113" s="47">
        <v>0.0</v>
      </c>
      <c r="T113" s="47">
        <v>0.0</v>
      </c>
      <c r="U113" s="47">
        <v>0.0</v>
      </c>
      <c r="V113" s="47">
        <v>0.0</v>
      </c>
      <c r="W113" s="47">
        <v>0.0</v>
      </c>
      <c r="X113" s="47">
        <v>0.0</v>
      </c>
      <c r="Y113" s="47">
        <v>0.0</v>
      </c>
      <c r="Z113" s="47">
        <v>0.0</v>
      </c>
      <c r="AA113" s="47">
        <v>0.0</v>
      </c>
      <c r="AB113" s="47">
        <v>0.0</v>
      </c>
      <c r="AC113" s="47">
        <v>0.0</v>
      </c>
      <c r="AD113" s="47">
        <v>0.0</v>
      </c>
      <c r="AE113" s="47">
        <v>0.0</v>
      </c>
      <c r="AF113" s="47">
        <v>0.0</v>
      </c>
      <c r="AG113" s="47">
        <v>0.0</v>
      </c>
      <c r="AH113" s="47">
        <v>0.0</v>
      </c>
      <c r="AI113" s="47">
        <v>0.0</v>
      </c>
      <c r="AJ113" s="47">
        <v>0.0</v>
      </c>
      <c r="AK113" s="47">
        <v>0.0</v>
      </c>
      <c r="AL113" s="47">
        <v>0.0</v>
      </c>
      <c r="AM113" s="47">
        <v>0.0</v>
      </c>
      <c r="AN113" s="237">
        <v>23.0</v>
      </c>
      <c r="AO113" s="237">
        <v>16.0</v>
      </c>
      <c r="AP113" s="237">
        <v>40.0</v>
      </c>
      <c r="AQ113" s="231">
        <v>4.0</v>
      </c>
      <c r="AR113" s="231">
        <v>8.0</v>
      </c>
      <c r="AS113" s="231">
        <v>24.0</v>
      </c>
      <c r="AT113" s="69">
        <f t="shared" si="4"/>
        <v>115.0</v>
      </c>
      <c r="AU113" s="69">
        <f t="shared" si="309"/>
        <v>115.0</v>
      </c>
      <c r="AV113" s="69">
        <f t="shared" si="6"/>
        <v>126.5</v>
      </c>
      <c r="AW113" s="65">
        <f>AVERAGE(AN113:AP113)*1.1</f>
        <v>28.9666666666667</v>
      </c>
      <c r="AX113" s="65">
        <f>AW113</f>
        <v>28.9666666666667</v>
      </c>
      <c r="AY113" s="65">
        <f>AX113</f>
        <v>28.9666666666667</v>
      </c>
      <c r="AZ113" s="65">
        <f>AY113</f>
        <v>28.9666666666667</v>
      </c>
      <c r="BA113" s="65">
        <f>AZ113</f>
        <v>28.9666666666667</v>
      </c>
      <c r="BB113" s="65">
        <f>BA113</f>
        <v>28.9666666666667</v>
      </c>
      <c r="BC113" s="64">
        <f t="shared" si="13"/>
        <v>173.8</v>
      </c>
      <c r="BD113" s="69">
        <f>VLOOKUP(D113,FEB23SOH,3,false)</f>
        <v>390.0</v>
      </c>
      <c r="BE113" s="201">
        <f>VLOOKUP(D113,VALUEFEB23,4,false)</f>
        <v>2.7834</v>
      </c>
      <c r="BF113" s="215">
        <f t="shared" si="16"/>
        <v>1085.526</v>
      </c>
      <c r="BG113" s="64"/>
      <c r="BH113" s="64"/>
      <c r="BI113" s="193">
        <f t="shared" si="289"/>
        <v>216.2</v>
      </c>
      <c r="BJ113" s="217"/>
      <c r="BL113" s="103"/>
      <c r="BM113" s="95">
        <f t="shared" si="290"/>
        <v>390.0</v>
      </c>
      <c r="BN113" s="65">
        <f t="shared" si="291"/>
        <v>28.9666666666667</v>
      </c>
      <c r="BO113" s="65">
        <f t="shared" si="21"/>
      </c>
      <c r="BP113" s="65">
        <f t="shared" si="292"/>
        <v>361.033333333333</v>
      </c>
      <c r="BQ113" s="194">
        <f t="shared" si="68"/>
        <v>1004.90018</v>
      </c>
      <c r="BR113" s="65">
        <f t="shared" si="293"/>
        <v>28.9666666666667</v>
      </c>
      <c r="BS113" s="65">
        <f t="shared" si="25"/>
      </c>
      <c r="BT113" s="65">
        <f t="shared" si="294"/>
        <v>332.066666666666</v>
      </c>
      <c r="BU113" s="194">
        <f t="shared" si="71"/>
        <v>924.274359999998</v>
      </c>
      <c r="BV113" s="65">
        <f t="shared" si="295"/>
        <v>28.9666666666667</v>
      </c>
      <c r="BW113" s="65">
        <f t="shared" si="73"/>
      </c>
      <c r="BX113" s="65">
        <f t="shared" si="296"/>
        <v>303.099999999999</v>
      </c>
      <c r="BY113" s="194">
        <f t="shared" si="75"/>
        <v>843.648539999997</v>
      </c>
      <c r="BZ113" s="65">
        <f t="shared" si="297"/>
        <v>28.9666666666667</v>
      </c>
      <c r="CA113" s="65"/>
      <c r="CB113" s="65">
        <f t="shared" si="298"/>
        <v>274.133333333332</v>
      </c>
      <c r="CC113" s="194">
        <f t="shared" si="78"/>
        <v>763.022719999996</v>
      </c>
      <c r="CD113" s="65">
        <f t="shared" si="299"/>
        <v>28.9666666666667</v>
      </c>
      <c r="CE113" s="65"/>
      <c r="CF113" s="65">
        <f t="shared" si="300"/>
        <v>245.166666666665</v>
      </c>
      <c r="CG113" s="194">
        <f t="shared" si="81"/>
        <v>682.396899999995</v>
      </c>
      <c r="CH113" s="65">
        <f t="shared" si="301"/>
        <v>28.9666666666667</v>
      </c>
      <c r="CI113" s="65"/>
      <c r="CJ113" s="65">
        <f t="shared" si="302"/>
        <v>216.199999999998</v>
      </c>
      <c r="CK113" s="194">
        <f t="shared" si="84"/>
        <v>682.396899999995</v>
      </c>
    </row>
    <row r="114" ht="14.0" customFormat="1" s="47">
      <c r="A114" s="93" t="s">
        <v>179</v>
      </c>
      <c r="B114" s="93" t="s">
        <v>397</v>
      </c>
      <c r="C114" s="93" t="s">
        <v>398</v>
      </c>
      <c r="D114" s="234" t="s">
        <v>399</v>
      </c>
      <c r="E114" s="93">
        <v>0.0</v>
      </c>
      <c r="F114" s="93">
        <v>0.0</v>
      </c>
      <c r="G114" s="93">
        <v>0.0</v>
      </c>
      <c r="H114" s="93">
        <v>0.0</v>
      </c>
      <c r="I114" s="93">
        <v>0.0</v>
      </c>
      <c r="J114" s="93">
        <v>0.0</v>
      </c>
      <c r="K114" s="93">
        <v>0.0</v>
      </c>
      <c r="L114" s="93">
        <v>0.0</v>
      </c>
      <c r="M114" s="93">
        <v>0.0</v>
      </c>
      <c r="N114" s="93">
        <v>0.0</v>
      </c>
      <c r="O114" s="93">
        <v>0.0</v>
      </c>
      <c r="P114" s="93">
        <v>0.0</v>
      </c>
      <c r="Q114" s="93">
        <v>0.0</v>
      </c>
      <c r="R114" s="93">
        <v>0.0</v>
      </c>
      <c r="S114" s="93">
        <v>0.0</v>
      </c>
      <c r="T114" s="93">
        <v>0.0</v>
      </c>
      <c r="U114" s="93">
        <v>0.0</v>
      </c>
      <c r="V114" s="93">
        <v>0.0</v>
      </c>
      <c r="W114" s="93">
        <v>0.0</v>
      </c>
      <c r="X114" s="93">
        <v>0.0</v>
      </c>
      <c r="Y114" s="93">
        <v>0.0</v>
      </c>
      <c r="Z114" s="93">
        <v>0.0</v>
      </c>
      <c r="AA114" s="93">
        <v>0.0</v>
      </c>
      <c r="AB114" s="93">
        <v>141.0</v>
      </c>
      <c r="AC114" s="93">
        <v>147.0</v>
      </c>
      <c r="AD114" s="93">
        <v>151.0</v>
      </c>
      <c r="AE114" s="93">
        <v>54.0</v>
      </c>
      <c r="AF114" s="93">
        <v>3.0</v>
      </c>
      <c r="AG114" s="93">
        <v>0.0</v>
      </c>
      <c r="AH114" s="93">
        <v>42.0</v>
      </c>
      <c r="AI114" s="93">
        <v>63.0</v>
      </c>
      <c r="AJ114" s="93">
        <v>45.0</v>
      </c>
      <c r="AK114" s="93">
        <v>35.0</v>
      </c>
      <c r="AL114" s="93">
        <v>42.0</v>
      </c>
      <c r="AM114" s="93">
        <v>33.0</v>
      </c>
      <c r="AN114" s="230">
        <v>59.0</v>
      </c>
      <c r="AO114" s="230">
        <v>78.0</v>
      </c>
      <c r="AP114" s="230">
        <v>36.0</v>
      </c>
      <c r="AQ114" s="231">
        <v>63.0</v>
      </c>
      <c r="AR114" s="231">
        <v>-1.0</v>
      </c>
      <c r="AS114" s="231">
        <v>0.0</v>
      </c>
      <c r="AT114" s="69">
        <f t="shared" si="4"/>
        <v>495.0</v>
      </c>
      <c r="AU114" s="69">
        <f t="shared" si="309"/>
        <v>235.0</v>
      </c>
      <c r="AV114" s="69">
        <f t="shared" si="6"/>
        <v>258.5</v>
      </c>
      <c r="AW114" s="47">
        <f t="shared" ref="AW114:AW122" si="322">AV114*$AW$4/$AV$4</f>
        <v>27.3255813953488</v>
      </c>
      <c r="AX114" s="47">
        <f t="shared" ref="AX114:AX122" si="323">AV114*$AX$4/$AV$4</f>
        <v>29.427549194991</v>
      </c>
      <c r="AY114" s="47">
        <f t="shared" ref="AY114:AY122" si="324">AV114*$AY$4/$AV$4</f>
        <v>40.778175313059</v>
      </c>
      <c r="AZ114" s="47">
        <f t="shared" ref="AZ114:AZ122" si="325">AV114*$AZ$4/$AV$4</f>
        <v>19.3381037567084</v>
      </c>
      <c r="BA114" s="47">
        <f t="shared" ref="BA114:BA122" si="326">AV114*$BA$4/$AV$4</f>
        <v>37.8354203935599</v>
      </c>
      <c r="BB114" s="47">
        <f t="shared" ref="BB114:BB122" si="327">AV114*$BB$4/$AV$4</f>
        <v>30.6887298747763</v>
      </c>
      <c r="BC114" s="64">
        <f t="shared" si="13"/>
        <v>185.393559928443</v>
      </c>
      <c r="BD114" s="69">
        <f>VLOOKUP(D114,FEB23SOH,3,false)</f>
        <v>5.0</v>
      </c>
      <c r="BE114" s="201">
        <f>VLOOKUP(D114,VALUEFEB23,4,false)</f>
        <v>4.402</v>
      </c>
      <c r="BF114" s="215">
        <f t="shared" si="16"/>
        <v>22.01</v>
      </c>
      <c r="BG114" s="64"/>
      <c r="BH114" s="64"/>
      <c r="BI114" s="193">
        <f t="shared" si="289"/>
        <v>-180.393559928443</v>
      </c>
      <c r="BJ114" s="217"/>
      <c r="BK114" s="236"/>
      <c r="BL114" s="103" t="s">
        <v>518</v>
      </c>
      <c r="BM114" s="95">
        <f t="shared" si="290"/>
        <v>5.0</v>
      </c>
      <c r="BN114" s="65">
        <f t="shared" si="291"/>
        <v>27.3255813953488</v>
      </c>
      <c r="BO114" s="65">
        <f t="shared" si="21"/>
      </c>
      <c r="BP114" s="65">
        <f t="shared" si="292"/>
        <v>-22.3255813953488</v>
      </c>
      <c r="BQ114" s="194">
        <f t="shared" si="68"/>
        <v>-98.2772093023254</v>
      </c>
      <c r="BR114" s="65">
        <f t="shared" si="293"/>
        <v>29.427549194991</v>
      </c>
      <c r="BS114" s="65">
        <f t="shared" si="25"/>
      </c>
      <c r="BT114" s="65">
        <f t="shared" si="294"/>
        <v>-51.7531305903396</v>
      </c>
      <c r="BU114" s="194">
        <f t="shared" si="71"/>
        <v>-227.817280858674</v>
      </c>
      <c r="BV114" s="65">
        <f t="shared" si="295"/>
        <v>40.778175313059</v>
      </c>
      <c r="BW114" s="65">
        <f t="shared" si="73"/>
      </c>
      <c r="BX114" s="65">
        <f t="shared" si="296"/>
        <v>-92.5313059033986</v>
      </c>
      <c r="BY114" s="194">
        <f t="shared" si="75"/>
        <v>-407.32280858676</v>
      </c>
      <c r="BZ114" s="65">
        <f t="shared" si="297"/>
        <v>19.3381037567084</v>
      </c>
      <c r="CA114" s="65"/>
      <c r="CB114" s="65">
        <f t="shared" si="298"/>
        <v>-111.869409660107</v>
      </c>
      <c r="CC114" s="194">
        <f t="shared" si="78"/>
        <v>-492.449141323791</v>
      </c>
      <c r="CD114" s="65">
        <f t="shared" si="299"/>
        <v>37.8354203935599</v>
      </c>
      <c r="CE114" s="65"/>
      <c r="CF114" s="65">
        <f t="shared" si="300"/>
        <v>-149.704830053665</v>
      </c>
      <c r="CG114" s="194">
        <f t="shared" si="81"/>
        <v>-659.000661896233</v>
      </c>
      <c r="CH114" s="65">
        <f t="shared" si="301"/>
        <v>30.6887298747763</v>
      </c>
      <c r="CI114" s="65"/>
      <c r="CJ114" s="65">
        <f t="shared" si="302"/>
        <v>-180.393559928441</v>
      </c>
      <c r="CK114" s="194">
        <f t="shared" si="84"/>
        <v>-659.000661896233</v>
      </c>
    </row>
    <row r="115" ht="14.0" customFormat="1" s="47">
      <c r="A115" s="93" t="s">
        <v>179</v>
      </c>
      <c r="B115" s="93" t="s">
        <v>397</v>
      </c>
      <c r="C115" s="93" t="s">
        <v>400</v>
      </c>
      <c r="D115" s="234" t="s">
        <v>401</v>
      </c>
      <c r="E115" s="93">
        <v>0.0</v>
      </c>
      <c r="F115" s="93">
        <v>0.0</v>
      </c>
      <c r="G115" s="93">
        <v>0.0</v>
      </c>
      <c r="H115" s="93">
        <v>0.0</v>
      </c>
      <c r="I115" s="93">
        <v>0.0</v>
      </c>
      <c r="J115" s="93">
        <v>0.0</v>
      </c>
      <c r="K115" s="93">
        <v>0.0</v>
      </c>
      <c r="L115" s="93">
        <v>0.0</v>
      </c>
      <c r="M115" s="93">
        <v>0.0</v>
      </c>
      <c r="N115" s="93">
        <v>0.0</v>
      </c>
      <c r="O115" s="93">
        <v>0.0</v>
      </c>
      <c r="P115" s="93">
        <v>0.0</v>
      </c>
      <c r="Q115" s="93">
        <v>0.0</v>
      </c>
      <c r="R115" s="93">
        <v>0.0</v>
      </c>
      <c r="S115" s="93">
        <v>0.0</v>
      </c>
      <c r="T115" s="93">
        <v>0.0</v>
      </c>
      <c r="U115" s="93">
        <v>0.0</v>
      </c>
      <c r="V115" s="93">
        <v>0.0</v>
      </c>
      <c r="W115" s="93">
        <v>0.0</v>
      </c>
      <c r="X115" s="93">
        <v>0.0</v>
      </c>
      <c r="Y115" s="93">
        <v>0.0</v>
      </c>
      <c r="Z115" s="93">
        <v>0.0</v>
      </c>
      <c r="AA115" s="93">
        <v>0.0</v>
      </c>
      <c r="AB115" s="93">
        <v>146.0</v>
      </c>
      <c r="AC115" s="93">
        <v>126.0</v>
      </c>
      <c r="AD115" s="93">
        <v>168.0</v>
      </c>
      <c r="AE115" s="93">
        <v>60.0</v>
      </c>
      <c r="AF115" s="93">
        <v>0.0</v>
      </c>
      <c r="AG115" s="93">
        <v>3.0</v>
      </c>
      <c r="AH115" s="93">
        <v>59.0</v>
      </c>
      <c r="AI115" s="93">
        <v>62.0</v>
      </c>
      <c r="AJ115" s="93">
        <v>69.0</v>
      </c>
      <c r="AK115" s="93">
        <v>54.0</v>
      </c>
      <c r="AL115" s="93">
        <v>48.0</v>
      </c>
      <c r="AM115" s="93">
        <v>51.0</v>
      </c>
      <c r="AN115" s="230">
        <v>64.0</v>
      </c>
      <c r="AO115" s="230">
        <v>63.0</v>
      </c>
      <c r="AP115" s="230">
        <v>31.0</v>
      </c>
      <c r="AQ115" s="231">
        <v>0.0</v>
      </c>
      <c r="AR115" s="231">
        <v>0.0</v>
      </c>
      <c r="AS115" s="231">
        <v>0.0</v>
      </c>
      <c r="AT115" s="69">
        <f t="shared" si="4"/>
        <v>501.0</v>
      </c>
      <c r="AU115" s="69">
        <f t="shared" si="309"/>
        <v>158.0</v>
      </c>
      <c r="AV115" s="69">
        <f t="shared" si="6"/>
        <v>173.8</v>
      </c>
      <c r="AW115" s="47">
        <f t="shared" si="322"/>
        <v>18.3720930232558</v>
      </c>
      <c r="AX115" s="47">
        <f t="shared" si="323"/>
        <v>19.7853309481216</v>
      </c>
      <c r="AY115" s="47">
        <f t="shared" si="324"/>
        <v>27.4168157423971</v>
      </c>
      <c r="AZ115" s="47">
        <f t="shared" si="325"/>
        <v>13.001788908766</v>
      </c>
      <c r="BA115" s="47">
        <f t="shared" si="326"/>
        <v>25.438282647584</v>
      </c>
      <c r="BB115" s="47">
        <f t="shared" si="327"/>
        <v>20.6332737030411</v>
      </c>
      <c r="BC115" s="64">
        <f t="shared" si="13"/>
        <v>124.64758497317</v>
      </c>
      <c r="BD115" s="69">
        <f>VLOOKUP(D115,FEB23SOH,3,false)</f>
        <v>0.0</v>
      </c>
      <c r="BE115" s="201">
        <f>VLOOKUP(D115,VALUEFEB23,4,false)</f>
      </c>
      <c r="BF115" s="215">
        <f t="shared" si="16"/>
        <v>0.0</v>
      </c>
      <c r="BG115" s="64"/>
      <c r="BH115" s="64"/>
      <c r="BI115" s="193">
        <f t="shared" si="289"/>
        <v>-124.64758497317</v>
      </c>
      <c r="BJ115" s="217"/>
      <c r="BK115" s="236"/>
      <c r="BL115" s="103" t="s">
        <v>73</v>
      </c>
      <c r="BM115" s="95">
        <f t="shared" si="290"/>
        <v>0.0</v>
      </c>
      <c r="BN115" s="65">
        <f t="shared" si="291"/>
        <v>18.3720930232558</v>
      </c>
      <c r="BO115" s="65">
        <f t="shared" si="21"/>
      </c>
      <c r="BP115" s="65">
        <f t="shared" si="292"/>
        <v>-18.3720930232558</v>
      </c>
      <c r="BQ115" s="194">
        <f t="shared" si="68"/>
        <v>0.0</v>
      </c>
      <c r="BR115" s="65">
        <f t="shared" si="293"/>
        <v>19.7853309481216</v>
      </c>
      <c r="BS115" s="65">
        <f t="shared" si="25"/>
      </c>
      <c r="BT115" s="65">
        <f t="shared" si="294"/>
        <v>-38.1574239713774</v>
      </c>
      <c r="BU115" s="194">
        <f t="shared" si="71"/>
        <v>0.0</v>
      </c>
      <c r="BV115" s="65">
        <f t="shared" si="295"/>
        <v>27.4168157423971</v>
      </c>
      <c r="BW115" s="65">
        <f t="shared" si="73"/>
      </c>
      <c r="BX115" s="65">
        <f t="shared" si="296"/>
        <v>-65.5742397137745</v>
      </c>
      <c r="BY115" s="194">
        <f t="shared" si="75"/>
        <v>0.0</v>
      </c>
      <c r="BZ115" s="65">
        <f t="shared" si="297"/>
        <v>13.001788908766</v>
      </c>
      <c r="CA115" s="65"/>
      <c r="CB115" s="65">
        <f t="shared" si="298"/>
        <v>-78.5760286225405</v>
      </c>
      <c r="CC115" s="194">
        <f t="shared" si="78"/>
        <v>0.0</v>
      </c>
      <c r="CD115" s="65">
        <f t="shared" si="299"/>
        <v>25.438282647584</v>
      </c>
      <c r="CE115" s="65"/>
      <c r="CF115" s="65">
        <f t="shared" si="300"/>
        <v>-104.014311270124</v>
      </c>
      <c r="CG115" s="194">
        <f t="shared" si="81"/>
        <v>0.0</v>
      </c>
      <c r="CH115" s="65">
        <f t="shared" si="301"/>
        <v>20.6332737030411</v>
      </c>
      <c r="CI115" s="65"/>
      <c r="CJ115" s="65">
        <f t="shared" si="302"/>
        <v>-124.647584973165</v>
      </c>
      <c r="CK115" s="194">
        <f t="shared" si="84"/>
        <v>0.0</v>
      </c>
    </row>
    <row r="116" ht="14.0">
      <c r="A116" s="93" t="s">
        <v>179</v>
      </c>
      <c r="B116" s="93" t="s">
        <v>397</v>
      </c>
      <c r="C116" s="93" t="s">
        <v>402</v>
      </c>
      <c r="D116" s="229" t="s">
        <v>403</v>
      </c>
      <c r="E116" s="93">
        <v>0.0</v>
      </c>
      <c r="F116" s="93">
        <v>0.0</v>
      </c>
      <c r="G116" s="93">
        <v>0.0</v>
      </c>
      <c r="H116" s="93">
        <v>0.0</v>
      </c>
      <c r="I116" s="93">
        <v>0.0</v>
      </c>
      <c r="J116" s="93">
        <v>0.0</v>
      </c>
      <c r="K116" s="93">
        <v>0.0</v>
      </c>
      <c r="L116" s="93">
        <v>0.0</v>
      </c>
      <c r="M116" s="93">
        <v>0.0</v>
      </c>
      <c r="N116" s="93">
        <v>0.0</v>
      </c>
      <c r="O116" s="93">
        <v>0.0</v>
      </c>
      <c r="P116" s="93">
        <v>0.0</v>
      </c>
      <c r="Q116" s="93">
        <v>0.0</v>
      </c>
      <c r="R116" s="93">
        <v>0.0</v>
      </c>
      <c r="S116" s="93">
        <v>0.0</v>
      </c>
      <c r="T116" s="93">
        <v>0.0</v>
      </c>
      <c r="U116" s="93">
        <v>0.0</v>
      </c>
      <c r="V116" s="93">
        <v>0.0</v>
      </c>
      <c r="W116" s="93">
        <v>0.0</v>
      </c>
      <c r="X116" s="93">
        <v>0.0</v>
      </c>
      <c r="Y116" s="93">
        <v>0.0</v>
      </c>
      <c r="Z116" s="93">
        <v>0.0</v>
      </c>
      <c r="AA116" s="93">
        <v>0.0</v>
      </c>
      <c r="AB116" s="93">
        <v>90.0</v>
      </c>
      <c r="AC116" s="93">
        <v>200.0</v>
      </c>
      <c r="AD116" s="93">
        <v>208.0</v>
      </c>
      <c r="AE116" s="93">
        <v>0.0</v>
      </c>
      <c r="AF116" s="93">
        <v>0.0</v>
      </c>
      <c r="AG116" s="93">
        <v>0.0</v>
      </c>
      <c r="AH116" s="93">
        <v>114.0</v>
      </c>
      <c r="AI116" s="93">
        <v>72.0</v>
      </c>
      <c r="AJ116" s="93">
        <v>103.0</v>
      </c>
      <c r="AK116" s="93">
        <v>67.0</v>
      </c>
      <c r="AL116" s="93">
        <v>75.0</v>
      </c>
      <c r="AM116" s="93">
        <v>74.0</v>
      </c>
      <c r="AN116" s="230">
        <v>60.0</v>
      </c>
      <c r="AO116" s="230">
        <v>99.0</v>
      </c>
      <c r="AP116" s="230">
        <v>81.0</v>
      </c>
      <c r="AQ116" s="231">
        <v>124.0</v>
      </c>
      <c r="AR116" s="231">
        <v>67.0</v>
      </c>
      <c r="AS116" s="231">
        <v>39.0</v>
      </c>
      <c r="AT116" s="69">
        <f t="shared" si="4"/>
        <v>975.0</v>
      </c>
      <c r="AU116" s="69">
        <f t="shared" si="309"/>
        <v>470.0</v>
      </c>
      <c r="AV116" s="69">
        <f t="shared" si="6"/>
        <v>517.0</v>
      </c>
      <c r="AW116" s="47">
        <f t="shared" si="322"/>
        <v>54.6511627906977</v>
      </c>
      <c r="AX116" s="47">
        <f t="shared" si="323"/>
        <v>58.8550983899821</v>
      </c>
      <c r="AY116" s="47">
        <f t="shared" si="324"/>
        <v>81.556350626118</v>
      </c>
      <c r="AZ116" s="47">
        <f t="shared" si="325"/>
        <v>38.6762075134168</v>
      </c>
      <c r="BA116" s="47">
        <f t="shared" si="326"/>
        <v>75.6708407871199</v>
      </c>
      <c r="BB116" s="47">
        <f t="shared" si="327"/>
        <v>61.3774597495528</v>
      </c>
      <c r="BC116" s="64">
        <f t="shared" si="13"/>
        <v>370.787119856887</v>
      </c>
      <c r="BD116" s="69">
        <f>VLOOKUP(D116,FEB23SOH,3,false)</f>
        <v>26.0</v>
      </c>
      <c r="BE116" s="201">
        <f>VLOOKUP(D116,VALUEFEB23,4,false)</f>
        <v>4.2403</v>
      </c>
      <c r="BF116" s="215">
        <f t="shared" si="16"/>
        <v>110.2478</v>
      </c>
      <c r="BG116" s="64">
        <f>VLOOKUP(C116,CHINAMAR3,3,false)</f>
        <v>501.0</v>
      </c>
      <c r="BI116" s="193">
        <f t="shared" si="289"/>
        <v>156.212880143113</v>
      </c>
      <c r="BJ116" s="217">
        <v>501.0</v>
      </c>
      <c r="BK116" s="47">
        <f t="shared" ref="BK116:BK119" si="329">BJ116</f>
        <v>501.0</v>
      </c>
      <c r="BL116" s="103"/>
      <c r="BM116" s="95">
        <f t="shared" si="290"/>
        <v>26.0</v>
      </c>
      <c r="BN116" s="65">
        <f t="shared" si="291"/>
        <v>54.6511627906977</v>
      </c>
      <c r="BO116" s="65">
        <f t="shared" si="21"/>
        <v>501.0</v>
      </c>
      <c r="BP116" s="65">
        <f t="shared" si="292"/>
        <v>472.348837209302</v>
      </c>
      <c r="BQ116" s="194">
        <f t="shared" si="68"/>
        <v>2002.9007744186</v>
      </c>
      <c r="BR116" s="65">
        <f t="shared" si="293"/>
        <v>58.8550983899821</v>
      </c>
      <c r="BS116" s="65">
        <f t="shared" si="25"/>
      </c>
      <c r="BT116" s="65">
        <f t="shared" si="294"/>
        <v>413.49373881932</v>
      </c>
      <c r="BU116" s="194">
        <f t="shared" si="71"/>
        <v>1753.33750071556</v>
      </c>
      <c r="BV116" s="65">
        <f t="shared" si="295"/>
        <v>81.556350626118</v>
      </c>
      <c r="BW116" s="65">
        <f t="shared" si="73"/>
      </c>
      <c r="BX116" s="65">
        <f t="shared" si="296"/>
        <v>331.937388193202</v>
      </c>
      <c r="BY116" s="194">
        <f t="shared" si="75"/>
        <v>1407.51410715563</v>
      </c>
      <c r="BZ116" s="65">
        <f t="shared" si="297"/>
        <v>38.6762075134168</v>
      </c>
      <c r="CA116" s="65"/>
      <c r="CB116" s="65">
        <f t="shared" si="298"/>
        <v>293.261180679785</v>
      </c>
      <c r="CC116" s="194">
        <f t="shared" si="78"/>
        <v>1243.51538443649</v>
      </c>
      <c r="CD116" s="65">
        <f t="shared" si="299"/>
        <v>75.6708407871199</v>
      </c>
      <c r="CE116" s="65"/>
      <c r="CF116" s="65">
        <f t="shared" si="300"/>
        <v>217.590339892665</v>
      </c>
      <c r="CG116" s="194">
        <f t="shared" si="81"/>
        <v>922.648318246868</v>
      </c>
      <c r="CH116" s="65">
        <f t="shared" si="301"/>
        <v>61.3774597495528</v>
      </c>
      <c r="CI116" s="65"/>
      <c r="CJ116" s="65">
        <f t="shared" si="302"/>
        <v>156.212880143112</v>
      </c>
      <c r="CK116" s="194">
        <f t="shared" si="84"/>
        <v>922.648318246868</v>
      </c>
    </row>
    <row r="117" ht="14.0">
      <c r="A117" s="93" t="s">
        <v>179</v>
      </c>
      <c r="B117" s="93" t="s">
        <v>397</v>
      </c>
      <c r="C117" s="93" t="s">
        <v>404</v>
      </c>
      <c r="D117" s="229" t="s">
        <v>405</v>
      </c>
      <c r="E117" s="93">
        <v>0.0</v>
      </c>
      <c r="F117" s="93">
        <v>0.0</v>
      </c>
      <c r="G117" s="93">
        <v>0.0</v>
      </c>
      <c r="H117" s="93">
        <v>0.0</v>
      </c>
      <c r="I117" s="93">
        <v>0.0</v>
      </c>
      <c r="J117" s="93">
        <v>0.0</v>
      </c>
      <c r="K117" s="93">
        <v>0.0</v>
      </c>
      <c r="L117" s="93">
        <v>0.0</v>
      </c>
      <c r="M117" s="93">
        <v>0.0</v>
      </c>
      <c r="N117" s="93">
        <v>0.0</v>
      </c>
      <c r="O117" s="93">
        <v>0.0</v>
      </c>
      <c r="P117" s="93">
        <v>0.0</v>
      </c>
      <c r="Q117" s="93">
        <v>0.0</v>
      </c>
      <c r="R117" s="93">
        <v>0.0</v>
      </c>
      <c r="S117" s="93">
        <v>0.0</v>
      </c>
      <c r="T117" s="93">
        <v>0.0</v>
      </c>
      <c r="U117" s="93">
        <v>0.0</v>
      </c>
      <c r="V117" s="93">
        <v>0.0</v>
      </c>
      <c r="W117" s="93">
        <v>0.0</v>
      </c>
      <c r="X117" s="93">
        <v>0.0</v>
      </c>
      <c r="Y117" s="93">
        <v>0.0</v>
      </c>
      <c r="Z117" s="93">
        <v>0.0</v>
      </c>
      <c r="AA117" s="93">
        <v>0.0</v>
      </c>
      <c r="AB117" s="93">
        <v>96.0</v>
      </c>
      <c r="AC117" s="93">
        <v>177.0</v>
      </c>
      <c r="AD117" s="93">
        <v>221.0</v>
      </c>
      <c r="AE117" s="93">
        <v>0.0</v>
      </c>
      <c r="AF117" s="93">
        <v>0.0</v>
      </c>
      <c r="AG117" s="93">
        <v>0.0</v>
      </c>
      <c r="AH117" s="93">
        <v>105.0</v>
      </c>
      <c r="AI117" s="93">
        <v>72.0</v>
      </c>
      <c r="AJ117" s="93">
        <v>81.0</v>
      </c>
      <c r="AK117" s="93">
        <v>84.0</v>
      </c>
      <c r="AL117" s="93">
        <v>59.0</v>
      </c>
      <c r="AM117" s="93">
        <v>65.0</v>
      </c>
      <c r="AN117" s="230">
        <v>62.0</v>
      </c>
      <c r="AO117" s="230">
        <v>84.0</v>
      </c>
      <c r="AP117" s="230">
        <v>123.0</v>
      </c>
      <c r="AQ117" s="231">
        <v>126.0</v>
      </c>
      <c r="AR117" s="231">
        <v>65.0</v>
      </c>
      <c r="AS117" s="231">
        <v>47.0</v>
      </c>
      <c r="AT117" s="69">
        <f t="shared" si="4"/>
        <v>973.0</v>
      </c>
      <c r="AU117" s="69">
        <f t="shared" si="309"/>
        <v>507.0</v>
      </c>
      <c r="AV117" s="69">
        <f t="shared" si="6"/>
        <v>557.7</v>
      </c>
      <c r="AW117" s="47">
        <f t="shared" si="322"/>
        <v>58.953488372093</v>
      </c>
      <c r="AX117" s="47">
        <f t="shared" si="323"/>
        <v>63.4883720930232</v>
      </c>
      <c r="AY117" s="47">
        <f t="shared" si="324"/>
        <v>87.9767441860465</v>
      </c>
      <c r="AZ117" s="47">
        <f t="shared" si="325"/>
        <v>41.7209302325581</v>
      </c>
      <c r="BA117" s="47">
        <f t="shared" si="326"/>
        <v>81.6279069767441</v>
      </c>
      <c r="BB117" s="47">
        <f t="shared" si="327"/>
        <v>66.2093023255813</v>
      </c>
      <c r="BC117" s="64">
        <f t="shared" si="13"/>
        <v>399.976744186046</v>
      </c>
      <c r="BD117" s="69">
        <f>VLOOKUP(D117,FEB23SOH,3,false)</f>
        <v>26.0</v>
      </c>
      <c r="BE117" s="201">
        <f>VLOOKUP(D117,VALUEFEB23,4,false)</f>
        <v>4.2386</v>
      </c>
      <c r="BF117" s="215">
        <f t="shared" si="16"/>
        <v>110.2036</v>
      </c>
      <c r="BG117" s="64">
        <f>VLOOKUP(C117,CHINAMAR3,3,false)</f>
        <v>501.0</v>
      </c>
      <c r="BI117" s="193">
        <f t="shared" si="289"/>
        <v>127.023255813954</v>
      </c>
      <c r="BJ117" s="217">
        <v>501.0</v>
      </c>
      <c r="BK117" s="47">
        <f t="shared" si="329"/>
        <v>501.0</v>
      </c>
      <c r="BL117" s="103"/>
      <c r="BM117" s="95">
        <f t="shared" si="290"/>
        <v>26.0</v>
      </c>
      <c r="BN117" s="65">
        <f t="shared" si="291"/>
        <v>58.953488372093</v>
      </c>
      <c r="BO117" s="65">
        <f t="shared" si="21"/>
        <v>501.0</v>
      </c>
      <c r="BP117" s="65">
        <f t="shared" si="292"/>
        <v>468.046511627907</v>
      </c>
      <c r="BQ117" s="194">
        <f t="shared" si="68"/>
        <v>1983.86194418604</v>
      </c>
      <c r="BR117" s="65">
        <f t="shared" si="293"/>
        <v>63.4883720930232</v>
      </c>
      <c r="BS117" s="65">
        <f t="shared" si="25"/>
      </c>
      <c r="BT117" s="65">
        <f t="shared" si="294"/>
        <v>404.558139534883</v>
      </c>
      <c r="BU117" s="194">
        <f t="shared" si="71"/>
        <v>1714.76013023256</v>
      </c>
      <c r="BV117" s="65">
        <f t="shared" si="295"/>
        <v>87.9767441860465</v>
      </c>
      <c r="BW117" s="65">
        <f t="shared" si="73"/>
      </c>
      <c r="BX117" s="65">
        <f t="shared" si="296"/>
        <v>316.581395348837</v>
      </c>
      <c r="BY117" s="194">
        <f t="shared" si="75"/>
        <v>1341.86190232558</v>
      </c>
      <c r="BZ117" s="65">
        <f t="shared" si="297"/>
        <v>41.7209302325581</v>
      </c>
      <c r="CA117" s="65"/>
      <c r="CB117" s="65">
        <f t="shared" si="298"/>
        <v>274.86046511628</v>
      </c>
      <c r="CC117" s="194">
        <f t="shared" si="78"/>
        <v>1165.02356744186</v>
      </c>
      <c r="CD117" s="65">
        <f t="shared" si="299"/>
        <v>81.6279069767441</v>
      </c>
      <c r="CE117" s="65"/>
      <c r="CF117" s="65">
        <f t="shared" si="300"/>
        <v>193.232558139536</v>
      </c>
      <c r="CG117" s="194">
        <f t="shared" si="81"/>
        <v>819.035520930237</v>
      </c>
      <c r="CH117" s="65">
        <f t="shared" si="301"/>
        <v>66.2093023255813</v>
      </c>
      <c r="CI117" s="65"/>
      <c r="CJ117" s="65">
        <f t="shared" si="302"/>
        <v>127.023255813954</v>
      </c>
      <c r="CK117" s="194">
        <f t="shared" si="84"/>
        <v>819.035520930237</v>
      </c>
    </row>
    <row r="118" ht="14.0">
      <c r="A118" s="93" t="s">
        <v>179</v>
      </c>
      <c r="B118" s="93" t="s">
        <v>397</v>
      </c>
      <c r="C118" s="93" t="s">
        <v>406</v>
      </c>
      <c r="D118" s="229" t="s">
        <v>407</v>
      </c>
      <c r="E118" s="93">
        <v>0.0</v>
      </c>
      <c r="F118" s="93">
        <v>0.0</v>
      </c>
      <c r="G118" s="93">
        <v>0.0</v>
      </c>
      <c r="H118" s="93">
        <v>0.0</v>
      </c>
      <c r="I118" s="93">
        <v>0.0</v>
      </c>
      <c r="J118" s="93">
        <v>0.0</v>
      </c>
      <c r="K118" s="93">
        <v>0.0</v>
      </c>
      <c r="L118" s="93">
        <v>0.0</v>
      </c>
      <c r="M118" s="93">
        <v>0.0</v>
      </c>
      <c r="N118" s="93">
        <v>0.0</v>
      </c>
      <c r="O118" s="93">
        <v>0.0</v>
      </c>
      <c r="P118" s="93">
        <v>0.0</v>
      </c>
      <c r="Q118" s="93">
        <v>0.0</v>
      </c>
      <c r="R118" s="93">
        <v>0.0</v>
      </c>
      <c r="S118" s="93">
        <v>0.0</v>
      </c>
      <c r="T118" s="93">
        <v>0.0</v>
      </c>
      <c r="U118" s="93">
        <v>0.0</v>
      </c>
      <c r="V118" s="93">
        <v>0.0</v>
      </c>
      <c r="W118" s="93">
        <v>0.0</v>
      </c>
      <c r="X118" s="93">
        <v>0.0</v>
      </c>
      <c r="Y118" s="93">
        <v>0.0</v>
      </c>
      <c r="Z118" s="93">
        <v>0.0</v>
      </c>
      <c r="AA118" s="93">
        <v>0.0</v>
      </c>
      <c r="AB118" s="93">
        <v>81.0</v>
      </c>
      <c r="AC118" s="93">
        <v>192.0</v>
      </c>
      <c r="AD118" s="93">
        <v>199.0</v>
      </c>
      <c r="AE118" s="93">
        <v>29.0</v>
      </c>
      <c r="AF118" s="93">
        <v>0.0</v>
      </c>
      <c r="AG118" s="93">
        <v>-6.0</v>
      </c>
      <c r="AH118" s="93">
        <v>99.0</v>
      </c>
      <c r="AI118" s="93">
        <v>56.0</v>
      </c>
      <c r="AJ118" s="93">
        <v>92.0</v>
      </c>
      <c r="AK118" s="93">
        <v>88.0</v>
      </c>
      <c r="AL118" s="93">
        <v>75.0</v>
      </c>
      <c r="AM118" s="93">
        <v>72.0</v>
      </c>
      <c r="AN118" s="230">
        <v>70.0</v>
      </c>
      <c r="AO118" s="230">
        <v>96.0</v>
      </c>
      <c r="AP118" s="230">
        <v>97.0</v>
      </c>
      <c r="AQ118" s="231">
        <v>114.0</v>
      </c>
      <c r="AR118" s="231">
        <v>64.0</v>
      </c>
      <c r="AS118" s="231">
        <v>84.0</v>
      </c>
      <c r="AT118" s="69">
        <f t="shared" si="4"/>
        <v>1007.0</v>
      </c>
      <c r="AU118" s="69">
        <f t="shared" si="309"/>
        <v>525.0</v>
      </c>
      <c r="AV118" s="69">
        <f t="shared" si="6"/>
        <v>577.5</v>
      </c>
      <c r="AW118" s="47">
        <f t="shared" si="322"/>
        <v>61.046511627907</v>
      </c>
      <c r="AX118" s="47">
        <f t="shared" si="323"/>
        <v>65.742397137746</v>
      </c>
      <c r="AY118" s="47">
        <f t="shared" si="324"/>
        <v>91.1001788908766</v>
      </c>
      <c r="AZ118" s="47">
        <f t="shared" si="325"/>
        <v>43.2021466905188</v>
      </c>
      <c r="BA118" s="47">
        <f t="shared" si="326"/>
        <v>84.525939177102</v>
      </c>
      <c r="BB118" s="47">
        <f t="shared" si="327"/>
        <v>68.5599284436493</v>
      </c>
      <c r="BC118" s="64">
        <f t="shared" si="13"/>
        <v>414.1771019678</v>
      </c>
      <c r="BD118" s="69">
        <f>VLOOKUP(D118,FEB23SOH,3,false)</f>
        <v>6.0</v>
      </c>
      <c r="BE118" s="201">
        <f>VLOOKUP(D118,VALUEFEB23,4,false)</f>
        <v>4.2675</v>
      </c>
      <c r="BF118" s="215">
        <f t="shared" si="16"/>
        <v>25.605</v>
      </c>
      <c r="BG118" s="64">
        <f>VLOOKUP(C118,CHINAMAR3,3,false)</f>
        <v>501.0</v>
      </c>
      <c r="BI118" s="193">
        <f t="shared" si="289"/>
        <v>92.8228980322</v>
      </c>
      <c r="BJ118" s="217">
        <v>501.0</v>
      </c>
      <c r="BK118" s="47">
        <f t="shared" si="329"/>
        <v>501.0</v>
      </c>
      <c r="BL118" s="103"/>
      <c r="BM118" s="95">
        <f t="shared" si="290"/>
        <v>6.0</v>
      </c>
      <c r="BN118" s="65">
        <f t="shared" si="291"/>
        <v>61.046511627907</v>
      </c>
      <c r="BO118" s="65">
        <f t="shared" si="21"/>
        <v>501.0</v>
      </c>
      <c r="BP118" s="65">
        <f t="shared" si="292"/>
        <v>445.953488372093</v>
      </c>
      <c r="BQ118" s="194">
        <f t="shared" si="68"/>
        <v>1903.1065116279</v>
      </c>
      <c r="BR118" s="65">
        <f t="shared" si="293"/>
        <v>65.742397137746</v>
      </c>
      <c r="BS118" s="65">
        <f t="shared" si="25"/>
      </c>
      <c r="BT118" s="65">
        <f t="shared" si="294"/>
        <v>380.211091234347</v>
      </c>
      <c r="BU118" s="194">
        <f t="shared" si="71"/>
        <v>1622.55083184258</v>
      </c>
      <c r="BV118" s="65">
        <f t="shared" si="295"/>
        <v>91.1001788908766</v>
      </c>
      <c r="BW118" s="65">
        <f t="shared" si="73"/>
      </c>
      <c r="BX118" s="65">
        <f t="shared" si="296"/>
        <v>289.11091234347</v>
      </c>
      <c r="BY118" s="194">
        <f t="shared" si="75"/>
        <v>1233.780818426</v>
      </c>
      <c r="BZ118" s="65">
        <f t="shared" si="297"/>
        <v>43.2021466905188</v>
      </c>
      <c r="CA118" s="65"/>
      <c r="CB118" s="65">
        <f t="shared" si="298"/>
        <v>245.908765652951</v>
      </c>
      <c r="CC118" s="194">
        <f t="shared" si="78"/>
        <v>1049.41565742397</v>
      </c>
      <c r="CD118" s="65">
        <f t="shared" si="299"/>
        <v>84.525939177102</v>
      </c>
      <c r="CE118" s="65"/>
      <c r="CF118" s="65">
        <f t="shared" si="300"/>
        <v>161.382826475849</v>
      </c>
      <c r="CG118" s="194">
        <f t="shared" si="81"/>
        <v>688.701211985686</v>
      </c>
      <c r="CH118" s="65">
        <f t="shared" si="301"/>
        <v>68.5599284436493</v>
      </c>
      <c r="CI118" s="65"/>
      <c r="CJ118" s="65">
        <f t="shared" si="302"/>
        <v>92.8228980321997</v>
      </c>
      <c r="CK118" s="194">
        <f t="shared" si="84"/>
        <v>688.701211985686</v>
      </c>
    </row>
    <row r="119" ht="14.0" customFormat="1" s="47">
      <c r="A119" s="93" t="s">
        <v>179</v>
      </c>
      <c r="B119" s="93" t="s">
        <v>397</v>
      </c>
      <c r="C119" s="93" t="s">
        <v>408</v>
      </c>
      <c r="D119" s="229" t="s">
        <v>409</v>
      </c>
      <c r="E119" s="93">
        <v>0.0</v>
      </c>
      <c r="F119" s="93">
        <v>0.0</v>
      </c>
      <c r="G119" s="93">
        <v>0.0</v>
      </c>
      <c r="H119" s="93">
        <v>0.0</v>
      </c>
      <c r="I119" s="93">
        <v>0.0</v>
      </c>
      <c r="J119" s="93">
        <v>0.0</v>
      </c>
      <c r="K119" s="93">
        <v>0.0</v>
      </c>
      <c r="L119" s="93">
        <v>0.0</v>
      </c>
      <c r="M119" s="93">
        <v>0.0</v>
      </c>
      <c r="N119" s="93">
        <v>0.0</v>
      </c>
      <c r="O119" s="93">
        <v>0.0</v>
      </c>
      <c r="P119" s="93">
        <v>0.0</v>
      </c>
      <c r="Q119" s="93">
        <v>0.0</v>
      </c>
      <c r="R119" s="93">
        <v>0.0</v>
      </c>
      <c r="S119" s="93">
        <v>0.0</v>
      </c>
      <c r="T119" s="93">
        <v>0.0</v>
      </c>
      <c r="U119" s="93">
        <v>0.0</v>
      </c>
      <c r="V119" s="93">
        <v>0.0</v>
      </c>
      <c r="W119" s="93">
        <v>0.0</v>
      </c>
      <c r="X119" s="93">
        <v>0.0</v>
      </c>
      <c r="Y119" s="93">
        <v>0.0</v>
      </c>
      <c r="Z119" s="93">
        <v>0.0</v>
      </c>
      <c r="AA119" s="93">
        <v>0.0</v>
      </c>
      <c r="AB119" s="93">
        <v>0.0</v>
      </c>
      <c r="AC119" s="93">
        <v>0.0</v>
      </c>
      <c r="AD119" s="93">
        <v>0.0</v>
      </c>
      <c r="AE119" s="93">
        <v>0.0</v>
      </c>
      <c r="AF119" s="93">
        <v>0.0</v>
      </c>
      <c r="AG119" s="93">
        <v>0.0</v>
      </c>
      <c r="AH119" s="93">
        <v>27.0</v>
      </c>
      <c r="AI119" s="93">
        <v>218.0</v>
      </c>
      <c r="AJ119" s="93">
        <v>186.0</v>
      </c>
      <c r="AK119" s="93">
        <v>70.0</v>
      </c>
      <c r="AL119" s="93">
        <v>0.0</v>
      </c>
      <c r="AM119" s="93">
        <v>78.0</v>
      </c>
      <c r="AN119" s="230">
        <v>185.0</v>
      </c>
      <c r="AO119" s="230">
        <v>180.0</v>
      </c>
      <c r="AP119" s="230">
        <v>144.0</v>
      </c>
      <c r="AQ119" s="231">
        <v>99.0</v>
      </c>
      <c r="AR119" s="231">
        <v>95.0</v>
      </c>
      <c r="AS119" s="231">
        <v>179.0</v>
      </c>
      <c r="AT119" s="69">
        <f t="shared" si="4"/>
        <v>1461.0</v>
      </c>
      <c r="AU119" s="69">
        <f t="shared" si="309"/>
        <v>882.0</v>
      </c>
      <c r="AV119" s="69">
        <f t="shared" si="6"/>
        <v>970.2</v>
      </c>
      <c r="AW119" s="47">
        <f t="shared" si="322"/>
        <v>102.558139534883</v>
      </c>
      <c r="AX119" s="47">
        <f t="shared" si="323"/>
        <v>110.447227191413</v>
      </c>
      <c r="AY119" s="47">
        <f t="shared" si="324"/>
        <v>153.048300536672</v>
      </c>
      <c r="AZ119" s="47">
        <f t="shared" si="325"/>
        <v>72.5796064400716</v>
      </c>
      <c r="BA119" s="47">
        <f t="shared" si="326"/>
        <v>142.003577817531</v>
      </c>
      <c r="BB119" s="47">
        <f t="shared" si="327"/>
        <v>115.18067978533</v>
      </c>
      <c r="BC119" s="64">
        <f t="shared" si="13"/>
        <v>695.8175313059</v>
      </c>
      <c r="BD119" s="69">
        <f>VLOOKUP(D119,FEB23SOH,3,false)</f>
        <v>295.0</v>
      </c>
      <c r="BE119" s="201">
        <f>VLOOKUP(D119,VALUEFEB23,4,false)</f>
        <v>4.2314</v>
      </c>
      <c r="BF119" s="215">
        <f t="shared" si="16"/>
        <v>1248.263</v>
      </c>
      <c r="BG119" s="64"/>
      <c r="BH119" s="64"/>
      <c r="BI119" s="193">
        <f t="shared" si="289"/>
        <v>-400.8175313059</v>
      </c>
      <c r="BJ119" s="217">
        <v>501.0</v>
      </c>
      <c r="BK119" s="185">
        <f t="shared" si="329"/>
        <v>501.0</v>
      </c>
      <c r="BL119" s="103" t="s">
        <v>520</v>
      </c>
      <c r="BM119" s="95">
        <f t="shared" si="290"/>
        <v>295.0</v>
      </c>
      <c r="BN119" s="65">
        <f t="shared" si="291"/>
        <v>102.558139534883</v>
      </c>
      <c r="BO119" s="65">
        <f t="shared" si="21"/>
      </c>
      <c r="BP119" s="65">
        <f t="shared" si="292"/>
        <v>192.441860465117</v>
      </c>
      <c r="BQ119" s="194">
        <f t="shared" si="68"/>
        <v>814.298488372096</v>
      </c>
      <c r="BR119" s="65">
        <f t="shared" si="293"/>
        <v>110.447227191413</v>
      </c>
      <c r="BS119" s="65">
        <f t="shared" si="25"/>
      </c>
      <c r="BT119" s="65">
        <f t="shared" si="294"/>
        <v>81.994633273704</v>
      </c>
      <c r="BU119" s="194">
        <f t="shared" si="71"/>
        <v>346.952091234351</v>
      </c>
      <c r="BV119" s="65">
        <f t="shared" si="295"/>
        <v>153.048300536672</v>
      </c>
      <c r="BW119" s="65">
        <f t="shared" si="73"/>
      </c>
      <c r="BX119" s="65">
        <f t="shared" si="296"/>
        <v>-71.053667262968</v>
      </c>
      <c r="BY119" s="194">
        <f t="shared" si="75"/>
        <v>-300.656487656522</v>
      </c>
      <c r="BZ119" s="65">
        <f t="shared" si="297"/>
        <v>72.5796064400716</v>
      </c>
      <c r="CA119" s="65"/>
      <c r="CB119" s="65">
        <f t="shared" si="298"/>
        <v>-143.63327370303</v>
      </c>
      <c r="CC119" s="194">
        <f t="shared" si="78"/>
        <v>-607.769834347001</v>
      </c>
      <c r="CD119" s="65">
        <f t="shared" si="299"/>
        <v>142.003577817531</v>
      </c>
      <c r="CE119" s="65"/>
      <c r="CF119" s="65">
        <f t="shared" si="300"/>
        <v>-285.636851520561</v>
      </c>
      <c r="CG119" s="194">
        <f t="shared" si="81"/>
        <v>-1208.6437735241</v>
      </c>
      <c r="CH119" s="65">
        <f t="shared" si="301"/>
        <v>115.18067978533</v>
      </c>
      <c r="CI119" s="65"/>
      <c r="CJ119" s="65">
        <f t="shared" si="302"/>
        <v>-400.81753130589</v>
      </c>
      <c r="CK119" s="194">
        <f t="shared" si="84"/>
        <v>-1208.6437735241</v>
      </c>
    </row>
    <row r="120" ht="14.0">
      <c r="A120" s="93" t="s">
        <v>179</v>
      </c>
      <c r="B120" s="93" t="s">
        <v>397</v>
      </c>
      <c r="C120" s="93" t="s">
        <v>410</v>
      </c>
      <c r="D120" s="229" t="s">
        <v>411</v>
      </c>
      <c r="E120" s="93">
        <v>0.0</v>
      </c>
      <c r="F120" s="93">
        <v>0.0</v>
      </c>
      <c r="G120" s="93">
        <v>0.0</v>
      </c>
      <c r="H120" s="93">
        <v>0.0</v>
      </c>
      <c r="I120" s="93">
        <v>0.0</v>
      </c>
      <c r="J120" s="93">
        <v>0.0</v>
      </c>
      <c r="K120" s="93">
        <v>0.0</v>
      </c>
      <c r="L120" s="93">
        <v>0.0</v>
      </c>
      <c r="M120" s="93">
        <v>0.0</v>
      </c>
      <c r="N120" s="93">
        <v>0.0</v>
      </c>
      <c r="O120" s="93">
        <v>0.0</v>
      </c>
      <c r="P120" s="93">
        <v>0.0</v>
      </c>
      <c r="Q120" s="93">
        <v>0.0</v>
      </c>
      <c r="R120" s="93">
        <v>0.0</v>
      </c>
      <c r="S120" s="93">
        <v>0.0</v>
      </c>
      <c r="T120" s="93">
        <v>0.0</v>
      </c>
      <c r="U120" s="93">
        <v>0.0</v>
      </c>
      <c r="V120" s="93">
        <v>0.0</v>
      </c>
      <c r="W120" s="93">
        <v>0.0</v>
      </c>
      <c r="X120" s="93">
        <v>0.0</v>
      </c>
      <c r="Y120" s="93">
        <v>0.0</v>
      </c>
      <c r="Z120" s="93">
        <v>0.0</v>
      </c>
      <c r="AA120" s="93">
        <v>0.0</v>
      </c>
      <c r="AB120" s="93">
        <v>0.0</v>
      </c>
      <c r="AC120" s="93">
        <v>0.0</v>
      </c>
      <c r="AD120" s="93">
        <v>0.0</v>
      </c>
      <c r="AE120" s="93">
        <v>0.0</v>
      </c>
      <c r="AF120" s="93">
        <v>0.0</v>
      </c>
      <c r="AG120" s="93">
        <v>0.0</v>
      </c>
      <c r="AH120" s="93">
        <v>12.0</v>
      </c>
      <c r="AI120" s="93">
        <v>185.0</v>
      </c>
      <c r="AJ120" s="93">
        <v>166.0</v>
      </c>
      <c r="AK120" s="93">
        <v>66.0</v>
      </c>
      <c r="AL120" s="93">
        <v>48.0</v>
      </c>
      <c r="AM120" s="93">
        <v>66.0</v>
      </c>
      <c r="AN120" s="230">
        <v>142.0</v>
      </c>
      <c r="AO120" s="230">
        <v>93.0</v>
      </c>
      <c r="AP120" s="230">
        <v>63.0</v>
      </c>
      <c r="AQ120" s="231">
        <v>57.0</v>
      </c>
      <c r="AR120" s="231">
        <v>52.0</v>
      </c>
      <c r="AS120" s="231">
        <v>124.0</v>
      </c>
      <c r="AT120" s="69">
        <f t="shared" si="4"/>
        <v>1074.0</v>
      </c>
      <c r="AU120" s="69">
        <f t="shared" si="309"/>
        <v>531.0</v>
      </c>
      <c r="AV120" s="69">
        <f t="shared" si="6"/>
        <v>584.1</v>
      </c>
      <c r="AW120" s="47">
        <f t="shared" si="322"/>
        <v>61.7441860465116</v>
      </c>
      <c r="AX120" s="47">
        <f t="shared" si="323"/>
        <v>66.4937388193202</v>
      </c>
      <c r="AY120" s="47">
        <f t="shared" si="324"/>
        <v>92.1413237924866</v>
      </c>
      <c r="AZ120" s="47">
        <f t="shared" si="325"/>
        <v>43.695885509839</v>
      </c>
      <c r="BA120" s="47">
        <f t="shared" si="326"/>
        <v>85.4919499105546</v>
      </c>
      <c r="BB120" s="47">
        <f t="shared" si="327"/>
        <v>69.3434704830053</v>
      </c>
      <c r="BC120" s="64">
        <f t="shared" si="13"/>
        <v>418.910554561717</v>
      </c>
      <c r="BD120" s="69">
        <f>VLOOKUP(D120,FEB23SOH,3,false)</f>
        <v>426.0</v>
      </c>
      <c r="BE120" s="201">
        <f>VLOOKUP(D120,VALUEFEB23,4,false)</f>
        <v>4.2295</v>
      </c>
      <c r="BF120" s="215">
        <f t="shared" si="16"/>
        <v>1801.767</v>
      </c>
      <c r="BI120" s="193">
        <f t="shared" si="289"/>
        <v>7.089445438283</v>
      </c>
      <c r="BJ120" s="217">
        <v>501.0</v>
      </c>
      <c r="BL120" s="103"/>
      <c r="BM120" s="95">
        <f t="shared" si="290"/>
        <v>426.0</v>
      </c>
      <c r="BN120" s="65">
        <f t="shared" si="291"/>
        <v>61.7441860465116</v>
      </c>
      <c r="BO120" s="65">
        <f t="shared" si="21"/>
      </c>
      <c r="BP120" s="65">
        <f t="shared" si="292"/>
        <v>364.255813953488</v>
      </c>
      <c r="BQ120" s="194">
        <f t="shared" si="68"/>
        <v>1540.61996511628</v>
      </c>
      <c r="BR120" s="65">
        <f t="shared" si="293"/>
        <v>66.4937388193202</v>
      </c>
      <c r="BS120" s="65">
        <f t="shared" si="25"/>
      </c>
      <c r="BT120" s="65">
        <f t="shared" si="294"/>
        <v>297.762075134168</v>
      </c>
      <c r="BU120" s="194">
        <f t="shared" si="71"/>
        <v>1259.38469677996</v>
      </c>
      <c r="BV120" s="65">
        <f t="shared" si="295"/>
        <v>92.1413237924866</v>
      </c>
      <c r="BW120" s="65">
        <f t="shared" si="73"/>
      </c>
      <c r="BX120" s="65">
        <f t="shared" si="296"/>
        <v>205.620751341681</v>
      </c>
      <c r="BY120" s="194">
        <f t="shared" si="75"/>
        <v>869.67296779964</v>
      </c>
      <c r="BZ120" s="65">
        <f t="shared" si="297"/>
        <v>43.695885509839</v>
      </c>
      <c r="CA120" s="65"/>
      <c r="CB120" s="65">
        <f t="shared" si="298"/>
        <v>161.924865831842</v>
      </c>
      <c r="CC120" s="194">
        <f t="shared" si="78"/>
        <v>684.861220035776</v>
      </c>
      <c r="CD120" s="65">
        <f t="shared" si="299"/>
        <v>85.4919499105546</v>
      </c>
      <c r="CE120" s="65"/>
      <c r="CF120" s="65">
        <f t="shared" si="300"/>
        <v>76.4329159212874</v>
      </c>
      <c r="CG120" s="194">
        <f t="shared" si="81"/>
        <v>323.273017889085</v>
      </c>
      <c r="CH120" s="65">
        <f t="shared" si="301"/>
        <v>69.3434704830053</v>
      </c>
      <c r="CI120" s="65"/>
      <c r="CJ120" s="65">
        <f t="shared" si="302"/>
        <v>7.0894454382821</v>
      </c>
      <c r="CK120" s="194">
        <f t="shared" si="84"/>
        <v>323.273017889085</v>
      </c>
    </row>
    <row r="121" ht="14.0">
      <c r="A121" s="93" t="s">
        <v>179</v>
      </c>
      <c r="B121" s="93" t="s">
        <v>397</v>
      </c>
      <c r="C121" s="93" t="s">
        <v>412</v>
      </c>
      <c r="D121" s="229" t="s">
        <v>413</v>
      </c>
      <c r="E121" s="93">
        <v>0.0</v>
      </c>
      <c r="F121" s="93">
        <v>0.0</v>
      </c>
      <c r="G121" s="93">
        <v>0.0</v>
      </c>
      <c r="H121" s="93">
        <v>0.0</v>
      </c>
      <c r="I121" s="93">
        <v>0.0</v>
      </c>
      <c r="J121" s="93">
        <v>0.0</v>
      </c>
      <c r="K121" s="93">
        <v>0.0</v>
      </c>
      <c r="L121" s="93">
        <v>0.0</v>
      </c>
      <c r="M121" s="93">
        <v>0.0</v>
      </c>
      <c r="N121" s="93">
        <v>0.0</v>
      </c>
      <c r="O121" s="93">
        <v>0.0</v>
      </c>
      <c r="P121" s="93">
        <v>0.0</v>
      </c>
      <c r="Q121" s="93">
        <v>0.0</v>
      </c>
      <c r="R121" s="93">
        <v>0.0</v>
      </c>
      <c r="S121" s="93">
        <v>0.0</v>
      </c>
      <c r="T121" s="93">
        <v>0.0</v>
      </c>
      <c r="U121" s="93">
        <v>0.0</v>
      </c>
      <c r="V121" s="93">
        <v>0.0</v>
      </c>
      <c r="W121" s="93">
        <v>0.0</v>
      </c>
      <c r="X121" s="93">
        <v>0.0</v>
      </c>
      <c r="Y121" s="93">
        <v>0.0</v>
      </c>
      <c r="Z121" s="93">
        <v>0.0</v>
      </c>
      <c r="AA121" s="93">
        <v>0.0</v>
      </c>
      <c r="AB121" s="93">
        <v>0.0</v>
      </c>
      <c r="AC121" s="93">
        <v>0.0</v>
      </c>
      <c r="AD121" s="93">
        <v>0.0</v>
      </c>
      <c r="AE121" s="93">
        <v>0.0</v>
      </c>
      <c r="AF121" s="93">
        <v>0.0</v>
      </c>
      <c r="AG121" s="93">
        <v>0.0</v>
      </c>
      <c r="AH121" s="93">
        <v>54.0</v>
      </c>
      <c r="AI121" s="93">
        <v>24.0</v>
      </c>
      <c r="AJ121" s="93">
        <v>27.0</v>
      </c>
      <c r="AK121" s="93">
        <v>18.0</v>
      </c>
      <c r="AL121" s="93">
        <v>15.0</v>
      </c>
      <c r="AM121" s="93">
        <v>9.0</v>
      </c>
      <c r="AN121" s="230">
        <v>6.0</v>
      </c>
      <c r="AO121" s="230">
        <v>15.0</v>
      </c>
      <c r="AP121" s="230">
        <v>6.0</v>
      </c>
      <c r="AQ121" s="231">
        <v>24.0</v>
      </c>
      <c r="AR121" s="231">
        <v>3.0</v>
      </c>
      <c r="AS121" s="231">
        <v>4.0</v>
      </c>
      <c r="AT121" s="69">
        <f t="shared" si="4"/>
        <v>205.0</v>
      </c>
      <c r="AU121" s="69">
        <f t="shared" si="309"/>
        <v>58.0</v>
      </c>
      <c r="AV121" s="69">
        <f t="shared" si="6"/>
        <v>63.8</v>
      </c>
      <c r="AW121" s="47">
        <f t="shared" si="322"/>
        <v>6.74418604651162</v>
      </c>
      <c r="AX121" s="47">
        <f t="shared" si="323"/>
        <v>7.26296958855098</v>
      </c>
      <c r="AY121" s="47">
        <f t="shared" si="324"/>
        <v>10.0644007155635</v>
      </c>
      <c r="AZ121" s="47">
        <f t="shared" si="325"/>
        <v>4.77280858676208</v>
      </c>
      <c r="BA121" s="47">
        <f t="shared" si="326"/>
        <v>9.3381037567084</v>
      </c>
      <c r="BB121" s="47">
        <f t="shared" si="327"/>
        <v>7.5742397137746</v>
      </c>
      <c r="BC121" s="64">
        <f t="shared" si="13"/>
        <v>45.7567084078711</v>
      </c>
      <c r="BD121" s="69">
        <f>VLOOKUP(D121,FEB23SOH,3,false)</f>
        <v>296.0</v>
      </c>
      <c r="BE121" s="201">
        <f>VLOOKUP(D121,VALUEFEB23,4,false)</f>
        <v>4.4041</v>
      </c>
      <c r="BF121" s="215">
        <f t="shared" si="16"/>
        <v>1303.6136</v>
      </c>
      <c r="BI121" s="193">
        <f t="shared" si="289"/>
        <v>250.243291592129</v>
      </c>
      <c r="BJ121" s="217">
        <v>501.0</v>
      </c>
      <c r="BL121" s="103"/>
      <c r="BM121" s="95">
        <f t="shared" si="290"/>
        <v>296.0</v>
      </c>
      <c r="BN121" s="65">
        <f t="shared" si="291"/>
        <v>6.74418604651162</v>
      </c>
      <c r="BO121" s="65">
        <f t="shared" si="21"/>
      </c>
      <c r="BP121" s="65">
        <f t="shared" si="292"/>
        <v>289.255813953488</v>
      </c>
      <c r="BQ121" s="194">
        <f t="shared" si="68"/>
        <v>1273.91153023256</v>
      </c>
      <c r="BR121" s="65">
        <f t="shared" si="293"/>
        <v>7.26296958855098</v>
      </c>
      <c r="BS121" s="65">
        <f t="shared" si="25"/>
      </c>
      <c r="BT121" s="65">
        <f t="shared" si="294"/>
        <v>281.992844364937</v>
      </c>
      <c r="BU121" s="194">
        <f t="shared" si="71"/>
        <v>1241.92468586761</v>
      </c>
      <c r="BV121" s="65">
        <f t="shared" si="295"/>
        <v>10.0644007155635</v>
      </c>
      <c r="BW121" s="65">
        <f t="shared" si="73"/>
      </c>
      <c r="BX121" s="65">
        <f t="shared" si="296"/>
        <v>271.928443649373</v>
      </c>
      <c r="BY121" s="194">
        <f t="shared" si="75"/>
        <v>1197.6000586762</v>
      </c>
      <c r="BZ121" s="65">
        <f t="shared" si="297"/>
        <v>4.77280858676208</v>
      </c>
      <c r="CA121" s="65"/>
      <c r="CB121" s="65">
        <f t="shared" si="298"/>
        <v>267.15563506261</v>
      </c>
      <c r="CC121" s="194">
        <f t="shared" si="78"/>
        <v>1176.58013237924</v>
      </c>
      <c r="CD121" s="65">
        <f t="shared" si="299"/>
        <v>9.3381037567084</v>
      </c>
      <c r="CE121" s="65"/>
      <c r="CF121" s="65">
        <f t="shared" si="300"/>
        <v>257.817531305901</v>
      </c>
      <c r="CG121" s="194">
        <f t="shared" si="81"/>
        <v>1135.45418962431</v>
      </c>
      <c r="CH121" s="65">
        <f t="shared" si="301"/>
        <v>7.5742397137746</v>
      </c>
      <c r="CI121" s="65"/>
      <c r="CJ121" s="65">
        <f t="shared" si="302"/>
        <v>250.243291592126</v>
      </c>
      <c r="CK121" s="194">
        <f t="shared" si="84"/>
        <v>1135.45418962431</v>
      </c>
    </row>
    <row r="122" ht="14.0" customFormat="1" s="47">
      <c r="A122" s="93" t="s">
        <v>179</v>
      </c>
      <c r="B122" s="93" t="s">
        <v>397</v>
      </c>
      <c r="C122" s="93" t="s">
        <v>588</v>
      </c>
      <c r="D122" s="229" t="s">
        <v>589</v>
      </c>
      <c r="E122" s="93">
        <v>0.0</v>
      </c>
      <c r="F122" s="93">
        <v>0.0</v>
      </c>
      <c r="G122" s="93">
        <v>0.0</v>
      </c>
      <c r="H122" s="93">
        <v>0.0</v>
      </c>
      <c r="I122" s="93">
        <v>0.0</v>
      </c>
      <c r="J122" s="93">
        <v>0.0</v>
      </c>
      <c r="K122" s="93">
        <v>0.0</v>
      </c>
      <c r="L122" s="93">
        <v>0.0</v>
      </c>
      <c r="M122" s="93">
        <v>0.0</v>
      </c>
      <c r="N122" s="93">
        <v>0.0</v>
      </c>
      <c r="O122" s="93">
        <v>0.0</v>
      </c>
      <c r="P122" s="93">
        <v>0.0</v>
      </c>
      <c r="Q122" s="93">
        <v>0.0</v>
      </c>
      <c r="R122" s="93">
        <v>0.0</v>
      </c>
      <c r="S122" s="93">
        <v>0.0</v>
      </c>
      <c r="T122" s="93">
        <v>0.0</v>
      </c>
      <c r="U122" s="93">
        <v>0.0</v>
      </c>
      <c r="V122" s="93">
        <v>0.0</v>
      </c>
      <c r="W122" s="93">
        <v>0.0</v>
      </c>
      <c r="X122" s="93">
        <v>0.0</v>
      </c>
      <c r="Y122" s="93">
        <v>0.0</v>
      </c>
      <c r="Z122" s="93">
        <v>0.0</v>
      </c>
      <c r="AA122" s="93">
        <v>0.0</v>
      </c>
      <c r="AB122" s="93">
        <v>0.0</v>
      </c>
      <c r="AC122" s="93">
        <v>0.0</v>
      </c>
      <c r="AD122" s="93">
        <v>0.0</v>
      </c>
      <c r="AE122" s="93">
        <v>0.0</v>
      </c>
      <c r="AF122" s="93">
        <v>0.0</v>
      </c>
      <c r="AG122" s="93">
        <v>0.0</v>
      </c>
      <c r="AH122" s="93">
        <v>0.0</v>
      </c>
      <c r="AI122" s="93">
        <v>0.0</v>
      </c>
      <c r="AJ122" s="93">
        <v>0.0</v>
      </c>
      <c r="AK122" s="93">
        <v>0.0</v>
      </c>
      <c r="AL122" s="93">
        <v>0.0</v>
      </c>
      <c r="AM122" s="93">
        <v>51.0</v>
      </c>
      <c r="AN122" s="230">
        <v>49.0</v>
      </c>
      <c r="AO122" s="230">
        <v>90.0</v>
      </c>
      <c r="AP122" s="230">
        <v>66.0</v>
      </c>
      <c r="AQ122" s="231">
        <v>48.0</v>
      </c>
      <c r="AR122" s="231">
        <v>38.0</v>
      </c>
      <c r="AS122" s="231">
        <v>29.0</v>
      </c>
      <c r="AT122" s="69">
        <f t="shared" si="4"/>
        <v>371.0</v>
      </c>
      <c r="AU122" s="69">
        <f t="shared" si="309"/>
        <v>320.0</v>
      </c>
      <c r="AV122" s="69">
        <f t="shared" si="6"/>
        <v>352.0</v>
      </c>
      <c r="AW122" s="47">
        <f t="shared" si="322"/>
        <v>37.2093023255813</v>
      </c>
      <c r="AX122" s="47">
        <f t="shared" si="323"/>
        <v>40.0715563506261</v>
      </c>
      <c r="AY122" s="47">
        <f t="shared" si="324"/>
        <v>55.5277280858676</v>
      </c>
      <c r="AZ122" s="47">
        <f t="shared" si="325"/>
        <v>26.3327370304114</v>
      </c>
      <c r="BA122" s="47">
        <f t="shared" si="326"/>
        <v>51.520572450805</v>
      </c>
      <c r="BB122" s="47">
        <f t="shared" si="327"/>
        <v>41.788908765653</v>
      </c>
      <c r="BC122" s="64">
        <f t="shared" si="13"/>
        <v>252.450805008944</v>
      </c>
      <c r="BD122" s="69">
        <f>VLOOKUP(D122,FEB23SOH,3,false)</f>
        <v>134.0</v>
      </c>
      <c r="BE122" s="201">
        <f>VLOOKUP(D122,VALUEFEB23,4,false)</f>
        <v>4.2311</v>
      </c>
      <c r="BF122" s="215">
        <f t="shared" si="16"/>
        <v>566.9674</v>
      </c>
      <c r="BG122" s="64"/>
      <c r="BH122" s="64"/>
      <c r="BI122" s="193">
        <f t="shared" si="289"/>
        <v>-118.450805008944</v>
      </c>
      <c r="BJ122" s="217">
        <v>501.0</v>
      </c>
      <c r="BK122" s="185">
        <f>BJ122</f>
        <v>501.0</v>
      </c>
      <c r="BL122" s="103" t="s">
        <v>4</v>
      </c>
      <c r="BM122" s="95">
        <f t="shared" si="290"/>
        <v>134.0</v>
      </c>
      <c r="BN122" s="65">
        <f t="shared" si="291"/>
        <v>37.2093023255813</v>
      </c>
      <c r="BO122" s="65">
        <f t="shared" si="21"/>
      </c>
      <c r="BP122" s="65">
        <f t="shared" si="292"/>
        <v>96.7906976744187</v>
      </c>
      <c r="BQ122" s="194">
        <f t="shared" si="68"/>
        <v>409.531120930232</v>
      </c>
      <c r="BR122" s="65">
        <f t="shared" si="293"/>
        <v>40.0715563506261</v>
      </c>
      <c r="BS122" s="65">
        <f t="shared" si="25"/>
      </c>
      <c r="BT122" s="65">
        <f t="shared" si="294"/>
        <v>56.7191413237926</v>
      </c>
      <c r="BU122" s="194">
        <f t="shared" si="71"/>
        <v>239.984358855099</v>
      </c>
      <c r="BV122" s="65">
        <f t="shared" si="295"/>
        <v>55.5277280858676</v>
      </c>
      <c r="BW122" s="65">
        <f t="shared" si="73"/>
      </c>
      <c r="BX122" s="65">
        <f t="shared" si="296"/>
        <v>1.191413237925</v>
      </c>
      <c r="BY122" s="194">
        <f t="shared" si="75"/>
        <v>5.04098855098447</v>
      </c>
      <c r="BZ122" s="65">
        <f t="shared" si="297"/>
        <v>26.3327370304114</v>
      </c>
      <c r="CA122" s="65"/>
      <c r="CB122" s="65">
        <f t="shared" si="298"/>
        <v>-25.1413237924864</v>
      </c>
      <c r="CC122" s="194">
        <f t="shared" si="78"/>
        <v>-106.375455098389</v>
      </c>
      <c r="CD122" s="65">
        <f t="shared" si="299"/>
        <v>51.520572450805</v>
      </c>
      <c r="CE122" s="65"/>
      <c r="CF122" s="65">
        <f t="shared" si="300"/>
        <v>-76.6618962432914</v>
      </c>
      <c r="CG122" s="194">
        <f t="shared" si="81"/>
        <v>-324.36414919499</v>
      </c>
      <c r="CH122" s="65">
        <f t="shared" si="301"/>
        <v>41.788908765653</v>
      </c>
      <c r="CI122" s="65"/>
      <c r="CJ122" s="65">
        <f t="shared" si="302"/>
        <v>-118.450805008944</v>
      </c>
      <c r="CK122" s="194">
        <f t="shared" si="84"/>
        <v>-324.36414919499</v>
      </c>
    </row>
    <row r="123" ht="14.0">
      <c r="A123" s="93" t="s">
        <v>179</v>
      </c>
      <c r="B123" s="93" t="s">
        <v>397</v>
      </c>
      <c r="C123" s="93" t="s">
        <v>590</v>
      </c>
      <c r="D123" s="229" t="s">
        <v>591</v>
      </c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230">
        <v>0.0</v>
      </c>
      <c r="AE123" s="93">
        <v>0.0</v>
      </c>
      <c r="AF123" s="93">
        <v>0.0</v>
      </c>
      <c r="AG123" s="93">
        <v>0.0</v>
      </c>
      <c r="AH123" s="230">
        <v>0.0</v>
      </c>
      <c r="AI123" s="230">
        <v>0.0</v>
      </c>
      <c r="AJ123" s="230">
        <v>0.0</v>
      </c>
      <c r="AK123" s="93">
        <v>0.0</v>
      </c>
      <c r="AL123" s="93">
        <v>0.0</v>
      </c>
      <c r="AM123" s="93">
        <v>0.0</v>
      </c>
      <c r="AN123" s="230">
        <v>0.0</v>
      </c>
      <c r="AO123" s="230">
        <v>0.0</v>
      </c>
      <c r="AP123" s="230">
        <v>67.0</v>
      </c>
      <c r="AQ123" s="231">
        <v>42.0</v>
      </c>
      <c r="AR123" s="231">
        <v>27.0</v>
      </c>
      <c r="AS123" s="231">
        <v>51.0</v>
      </c>
      <c r="AT123" s="69">
        <f t="shared" si="4"/>
        <v>187.0</v>
      </c>
      <c r="AU123" s="69">
        <f t="shared" si="309"/>
        <v>187.0</v>
      </c>
      <c r="AV123" s="69">
        <f t="shared" si="6"/>
        <v>205.7</v>
      </c>
      <c r="AW123" s="65">
        <f t="shared" ref="AW123:AW130" si="331">AVERAGE(AP123:AR123)*1.1</f>
        <v>49.8666666666667</v>
      </c>
      <c r="AX123" s="65">
        <f t="shared" ref="AX123:AX130" si="332">AW123</f>
        <v>49.8666666666667</v>
      </c>
      <c r="AY123" s="65">
        <f t="shared" ref="AY123:AY130" si="333">AX123</f>
        <v>49.8666666666667</v>
      </c>
      <c r="AZ123" s="65">
        <f t="shared" ref="AZ123:AZ130" si="334">AY123</f>
        <v>49.8666666666667</v>
      </c>
      <c r="BA123" s="65">
        <f t="shared" ref="BA123:BA130" si="335">AZ123</f>
        <v>49.8666666666667</v>
      </c>
      <c r="BB123" s="65">
        <f t="shared" ref="BB123:BB130" si="336">BA123</f>
        <v>49.8666666666667</v>
      </c>
      <c r="BC123" s="64">
        <f t="shared" si="13"/>
        <v>299.2</v>
      </c>
      <c r="BD123" s="69">
        <f>VLOOKUP(D123,FEB23SOH,3,false)</f>
        <v>317.0</v>
      </c>
      <c r="BE123" s="201">
        <f>VLOOKUP(D123,VALUEFEB23,4,false)</f>
        <v>4.7713</v>
      </c>
      <c r="BF123" s="215">
        <f t="shared" si="16"/>
        <v>1512.5021</v>
      </c>
      <c r="BG123" s="64">
        <f>VLOOKUP(C123,CHINAMAR3,3,false)</f>
        <v>501.0</v>
      </c>
      <c r="BI123" s="193">
        <f t="shared" si="289"/>
        <v>518.8</v>
      </c>
      <c r="BJ123" s="217">
        <v>501.0</v>
      </c>
      <c r="BK123" s="239"/>
      <c r="BL123" s="103"/>
      <c r="BM123" s="95">
        <f t="shared" si="290"/>
        <v>317.0</v>
      </c>
      <c r="BN123" s="65">
        <f t="shared" si="291"/>
        <v>49.8666666666667</v>
      </c>
      <c r="BO123" s="65">
        <f t="shared" si="21"/>
        <v>501.0</v>
      </c>
      <c r="BP123" s="65">
        <f t="shared" si="292"/>
        <v>768.133333333333</v>
      </c>
      <c r="BQ123" s="194">
        <f t="shared" si="68"/>
        <v>3664.99457333333</v>
      </c>
      <c r="BR123" s="65">
        <f t="shared" si="293"/>
        <v>49.8666666666667</v>
      </c>
      <c r="BS123" s="65">
        <f t="shared" si="25"/>
      </c>
      <c r="BT123" s="65">
        <f t="shared" si="294"/>
        <v>718.266666666666</v>
      </c>
      <c r="BU123" s="194">
        <f t="shared" si="71"/>
        <v>3427.06574666666</v>
      </c>
      <c r="BV123" s="65">
        <f t="shared" si="295"/>
        <v>49.8666666666667</v>
      </c>
      <c r="BW123" s="65">
        <f t="shared" si="73"/>
      </c>
      <c r="BX123" s="65">
        <f t="shared" si="296"/>
        <v>668.399999999999</v>
      </c>
      <c r="BY123" s="194">
        <f t="shared" si="75"/>
        <v>3189.13692</v>
      </c>
      <c r="BZ123" s="65">
        <f t="shared" si="297"/>
        <v>49.8666666666667</v>
      </c>
      <c r="CA123" s="65"/>
      <c r="CB123" s="65">
        <f t="shared" si="298"/>
        <v>618.533333333332</v>
      </c>
      <c r="CC123" s="194">
        <f t="shared" si="78"/>
        <v>2951.20809333332</v>
      </c>
      <c r="CD123" s="65">
        <f t="shared" si="299"/>
        <v>49.8666666666667</v>
      </c>
      <c r="CE123" s="65"/>
      <c r="CF123" s="65">
        <f t="shared" si="300"/>
        <v>568.666666666665</v>
      </c>
      <c r="CG123" s="194">
        <f t="shared" si="81"/>
        <v>2713.27926666666</v>
      </c>
      <c r="CH123" s="65">
        <f t="shared" si="301"/>
        <v>49.8666666666667</v>
      </c>
      <c r="CI123" s="65"/>
      <c r="CJ123" s="65">
        <f t="shared" si="302"/>
        <v>518.799999999998</v>
      </c>
      <c r="CK123" s="194">
        <f t="shared" si="84"/>
        <v>2713.27926666666</v>
      </c>
    </row>
    <row r="124" ht="14.0">
      <c r="A124" s="93" t="s">
        <v>179</v>
      </c>
      <c r="B124" s="93" t="s">
        <v>397</v>
      </c>
      <c r="C124" s="93" t="s">
        <v>592</v>
      </c>
      <c r="D124" s="229" t="s">
        <v>593</v>
      </c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230"/>
      <c r="AE124" s="93"/>
      <c r="AF124" s="93"/>
      <c r="AG124" s="93"/>
      <c r="AH124" s="230"/>
      <c r="AI124" s="230"/>
      <c r="AJ124" s="230"/>
      <c r="AK124" s="93"/>
      <c r="AL124" s="93"/>
      <c r="AM124" s="93"/>
      <c r="AN124" s="230"/>
      <c r="AO124" s="230">
        <v>0.0</v>
      </c>
      <c r="AP124" s="230">
        <v>11.0</v>
      </c>
      <c r="AQ124" s="231">
        <v>0.0</v>
      </c>
      <c r="AR124" s="231">
        <v>0.0</v>
      </c>
      <c r="AS124" s="231">
        <v>0.0</v>
      </c>
      <c r="AT124" s="69">
        <f t="shared" si="4"/>
        <v>11.0</v>
      </c>
      <c r="AU124" s="69">
        <f t="shared" si="309"/>
        <v>11.0</v>
      </c>
      <c r="AV124" s="69">
        <f t="shared" si="6"/>
        <v>12.1</v>
      </c>
      <c r="AW124" s="97">
        <f t="shared" si="331"/>
        <v>4.03333333333333</v>
      </c>
      <c r="AX124" s="97">
        <f t="shared" si="332"/>
        <v>4.03333333333333</v>
      </c>
      <c r="AY124" s="97">
        <f t="shared" si="333"/>
        <v>4.03333333333333</v>
      </c>
      <c r="AZ124" s="97">
        <f t="shared" si="334"/>
        <v>4.03333333333333</v>
      </c>
      <c r="BA124" s="97">
        <f t="shared" si="335"/>
        <v>4.03333333333333</v>
      </c>
      <c r="BB124" s="97">
        <f t="shared" si="336"/>
        <v>4.03333333333333</v>
      </c>
      <c r="BC124" s="64">
        <f t="shared" si="13"/>
        <v>24.2</v>
      </c>
      <c r="BD124" s="69">
        <f>VLOOKUP(D124,FEB23SOH,3,false)</f>
        <v>0.0</v>
      </c>
      <c r="BE124" s="201">
        <f>VLOOKUP(D124,VALUEFEB23,4,false)</f>
      </c>
      <c r="BF124" s="215">
        <f t="shared" si="16"/>
        <v>0.0</v>
      </c>
      <c r="BL124" s="103"/>
      <c r="BM124" s="95"/>
      <c r="BN124" s="65"/>
      <c r="BO124" s="65">
        <f t="shared" si="21"/>
      </c>
      <c r="BP124" s="65"/>
      <c r="BR124" s="65"/>
      <c r="BS124" s="65">
        <f t="shared" si="25"/>
      </c>
      <c r="BT124" s="65"/>
      <c r="BU124" s="194"/>
      <c r="BV124" s="65"/>
      <c r="BW124" s="65"/>
      <c r="BX124" s="65"/>
      <c r="BY124" s="194"/>
      <c r="BZ124" s="65"/>
      <c r="CA124" s="65"/>
      <c r="CB124" s="65"/>
      <c r="CC124" s="194"/>
      <c r="CD124" s="65"/>
      <c r="CE124" s="65"/>
      <c r="CF124" s="65"/>
      <c r="CG124" s="194"/>
      <c r="CH124" s="65"/>
      <c r="CI124" s="65"/>
      <c r="CJ124" s="65"/>
      <c r="CK124" s="194"/>
    </row>
    <row r="125" ht="14.0">
      <c r="A125" s="93" t="s">
        <v>179</v>
      </c>
      <c r="B125" s="93" t="s">
        <v>397</v>
      </c>
      <c r="C125" s="93" t="s">
        <v>594</v>
      </c>
      <c r="D125" s="229" t="s">
        <v>595</v>
      </c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230">
        <v>0.0</v>
      </c>
      <c r="AE125" s="93">
        <v>0.0</v>
      </c>
      <c r="AF125" s="93">
        <v>0.0</v>
      </c>
      <c r="AG125" s="93">
        <v>0.0</v>
      </c>
      <c r="AH125" s="230">
        <v>0.0</v>
      </c>
      <c r="AI125" s="230">
        <v>0.0</v>
      </c>
      <c r="AJ125" s="230">
        <v>0.0</v>
      </c>
      <c r="AK125" s="93">
        <v>0.0</v>
      </c>
      <c r="AL125" s="93">
        <v>0.0</v>
      </c>
      <c r="AM125" s="93">
        <v>0.0</v>
      </c>
      <c r="AN125" s="230">
        <v>0.0</v>
      </c>
      <c r="AO125" s="230">
        <v>0.0</v>
      </c>
      <c r="AP125" s="230">
        <v>72.0</v>
      </c>
      <c r="AQ125" s="231">
        <v>12.0</v>
      </c>
      <c r="AR125" s="231">
        <v>9.0</v>
      </c>
      <c r="AS125" s="231">
        <v>18.0</v>
      </c>
      <c r="AT125" s="69">
        <f t="shared" si="4"/>
        <v>111.0</v>
      </c>
      <c r="AU125" s="69">
        <f t="shared" si="309"/>
        <v>111.0</v>
      </c>
      <c r="AV125" s="69">
        <f t="shared" si="6"/>
        <v>122.1</v>
      </c>
      <c r="AW125" s="65">
        <f t="shared" si="331"/>
        <v>34.1</v>
      </c>
      <c r="AX125" s="65">
        <f t="shared" si="332"/>
        <v>34.1</v>
      </c>
      <c r="AY125" s="65">
        <f t="shared" si="333"/>
        <v>34.1</v>
      </c>
      <c r="AZ125" s="65">
        <f t="shared" si="334"/>
        <v>34.1</v>
      </c>
      <c r="BA125" s="65">
        <f t="shared" si="335"/>
        <v>34.1</v>
      </c>
      <c r="BB125" s="65">
        <f t="shared" si="336"/>
        <v>34.1</v>
      </c>
      <c r="BC125" s="64">
        <f t="shared" si="13"/>
        <v>204.6</v>
      </c>
      <c r="BD125" s="69">
        <f>VLOOKUP(D125,FEB23SOH,3,false)</f>
        <v>315.0</v>
      </c>
      <c r="BE125" s="201">
        <f>VLOOKUP(D125,VALUEFEB23,4,false)</f>
        <v>4.7712</v>
      </c>
      <c r="BF125" s="215">
        <f t="shared" si="16"/>
        <v>1502.928</v>
      </c>
      <c r="BI125" s="193">
        <f t="shared" ref="BI125:BI156" si="338">BD125+BG125+BH125-BC125</f>
        <v>110.4</v>
      </c>
      <c r="BJ125" s="217">
        <v>501.0</v>
      </c>
      <c r="BK125" s="239"/>
      <c r="BL125" s="103"/>
      <c r="BM125" s="95">
        <f t="shared" ref="BM125:BM156" si="339">BD125</f>
        <v>315.0</v>
      </c>
      <c r="BN125" s="65">
        <f t="shared" ref="BN125:BN156" si="340">AW125</f>
        <v>34.1</v>
      </c>
      <c r="BO125" s="65">
        <f t="shared" si="21"/>
      </c>
      <c r="BP125" s="65">
        <f t="shared" ref="BP125:BP156" si="341">BM125+BO125-BN125</f>
        <v>280.9</v>
      </c>
      <c r="BQ125" s="194">
        <f t="shared" ref="BQ125:BQ176" si="342">BP125*BE125</f>
        <v>1340.23008</v>
      </c>
      <c r="BR125" s="65">
        <f t="shared" ref="BR125:BR156" si="343">AX125</f>
        <v>34.1</v>
      </c>
      <c r="BS125" s="65">
        <f t="shared" si="25"/>
      </c>
      <c r="BT125" s="65">
        <f t="shared" ref="BT125:BT156" si="344">BP125+BS125-BR125</f>
        <v>246.8</v>
      </c>
      <c r="BU125" s="194">
        <f t="shared" ref="BU125:BU176" si="345">BT125*BE125</f>
        <v>1177.53216</v>
      </c>
      <c r="BV125" s="65">
        <f t="shared" ref="BV125:BV156" si="346">AY125</f>
        <v>34.1</v>
      </c>
      <c r="BW125" s="65">
        <f t="shared" ref="BW125:BW176" si="347">BH125</f>
      </c>
      <c r="BX125" s="65">
        <f t="shared" ref="BX125:BX156" si="348">BT125+BW125-BV125</f>
        <v>212.7</v>
      </c>
      <c r="BY125" s="194">
        <f t="shared" ref="BY125:BY176" si="349">BX125*BE125</f>
        <v>1014.83424</v>
      </c>
      <c r="BZ125" s="65">
        <f t="shared" ref="BZ125:BZ156" si="350">AZ125</f>
        <v>34.1</v>
      </c>
      <c r="CA125" s="65"/>
      <c r="CB125" s="65">
        <f t="shared" ref="CB125:CB156" si="351">BX125+CA125-BZ125</f>
        <v>178.6</v>
      </c>
      <c r="CC125" s="194">
        <f t="shared" ref="CC125:CC176" si="352">CB125*BE125</f>
        <v>852.13632</v>
      </c>
      <c r="CD125" s="65">
        <f t="shared" ref="CD125:CD156" si="353">BA125</f>
        <v>34.1</v>
      </c>
      <c r="CE125" s="65"/>
      <c r="CF125" s="65">
        <f t="shared" ref="CF125:CF156" si="354">CB125+CE125-CD125</f>
        <v>144.5</v>
      </c>
      <c r="CG125" s="194">
        <f t="shared" ref="CG125:CG176" si="355">CF125*BE125</f>
        <v>689.4384</v>
      </c>
      <c r="CH125" s="65">
        <f t="shared" ref="CH125:CH156" si="356">BB125</f>
        <v>34.1</v>
      </c>
      <c r="CI125" s="65"/>
      <c r="CJ125" s="65">
        <f t="shared" ref="CJ125:CJ156" si="357">CF125+CI125-CH125</f>
        <v>110.4</v>
      </c>
      <c r="CK125" s="194">
        <f t="shared" ref="CK125:CK176" si="358">CF125*BE125</f>
        <v>689.4384</v>
      </c>
    </row>
    <row r="126" ht="14.0" customFormat="1" s="47">
      <c r="A126" s="93" t="s">
        <v>179</v>
      </c>
      <c r="B126" s="93" t="s">
        <v>397</v>
      </c>
      <c r="C126" s="93" t="s">
        <v>596</v>
      </c>
      <c r="D126" s="229" t="s">
        <v>597</v>
      </c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230">
        <v>0.0</v>
      </c>
      <c r="AE126" s="93">
        <v>0.0</v>
      </c>
      <c r="AF126" s="93">
        <v>0.0</v>
      </c>
      <c r="AG126" s="93">
        <v>0.0</v>
      </c>
      <c r="AH126" s="230">
        <v>0.0</v>
      </c>
      <c r="AI126" s="230">
        <v>0.0</v>
      </c>
      <c r="AJ126" s="230">
        <v>0.0</v>
      </c>
      <c r="AK126" s="93">
        <v>0.0</v>
      </c>
      <c r="AL126" s="93">
        <v>0.0</v>
      </c>
      <c r="AM126" s="93">
        <v>0.0</v>
      </c>
      <c r="AN126" s="230">
        <v>0.0</v>
      </c>
      <c r="AO126" s="230">
        <v>0.0</v>
      </c>
      <c r="AP126" s="230">
        <v>204.0</v>
      </c>
      <c r="AQ126" s="231">
        <v>70.0</v>
      </c>
      <c r="AR126" s="231">
        <v>15.0</v>
      </c>
      <c r="AS126" s="231">
        <v>22.0</v>
      </c>
      <c r="AT126" s="69">
        <f t="shared" si="4"/>
        <v>311.0</v>
      </c>
      <c r="AU126" s="69">
        <f t="shared" si="309"/>
        <v>311.0</v>
      </c>
      <c r="AV126" s="69">
        <f t="shared" si="6"/>
        <v>342.1</v>
      </c>
      <c r="AW126" s="65">
        <f t="shared" si="331"/>
        <v>105.966666666667</v>
      </c>
      <c r="AX126" s="65">
        <f t="shared" si="332"/>
        <v>105.966666666667</v>
      </c>
      <c r="AY126" s="65">
        <f t="shared" si="333"/>
        <v>105.966666666667</v>
      </c>
      <c r="AZ126" s="65">
        <f t="shared" si="334"/>
        <v>105.966666666667</v>
      </c>
      <c r="BA126" s="65">
        <f t="shared" si="335"/>
        <v>105.966666666667</v>
      </c>
      <c r="BB126" s="65">
        <f t="shared" si="336"/>
        <v>105.966666666667</v>
      </c>
      <c r="BC126" s="64">
        <f t="shared" si="13"/>
        <v>635.800000000002</v>
      </c>
      <c r="BD126" s="69">
        <f>VLOOKUP(D126,FEB23SOH,3,false)</f>
        <v>110.0</v>
      </c>
      <c r="BE126" s="201">
        <f>VLOOKUP(D126,VALUEFEB23,4,false)</f>
        <v>4.7712</v>
      </c>
      <c r="BF126" s="215">
        <f t="shared" si="16"/>
        <v>524.832</v>
      </c>
      <c r="BG126" s="64">
        <f>VLOOKUP(C126,CHINAMAR3,3,false)</f>
        <v>501.0</v>
      </c>
      <c r="BH126" s="64"/>
      <c r="BI126" s="193">
        <f t="shared" si="338"/>
        <v>-24.800000000002</v>
      </c>
      <c r="BJ126" s="217">
        <v>501.0</v>
      </c>
      <c r="BK126" s="185">
        <f>BJ126</f>
        <v>501.0</v>
      </c>
      <c r="BL126" s="103" t="s">
        <v>6</v>
      </c>
      <c r="BM126" s="95">
        <f t="shared" si="339"/>
        <v>110.0</v>
      </c>
      <c r="BN126" s="65">
        <f t="shared" si="340"/>
        <v>105.966666666667</v>
      </c>
      <c r="BO126" s="65">
        <f t="shared" si="21"/>
        <v>501.0</v>
      </c>
      <c r="BP126" s="65">
        <f t="shared" si="341"/>
        <v>505.033333333333</v>
      </c>
      <c r="BQ126" s="194">
        <f t="shared" si="342"/>
        <v>2409.61504</v>
      </c>
      <c r="BR126" s="65">
        <f t="shared" si="343"/>
        <v>105.966666666667</v>
      </c>
      <c r="BS126" s="65">
        <f t="shared" si="25"/>
      </c>
      <c r="BT126" s="65">
        <f t="shared" si="344"/>
        <v>399.066666666666</v>
      </c>
      <c r="BU126" s="194">
        <f t="shared" si="345"/>
        <v>1904.02688</v>
      </c>
      <c r="BV126" s="65">
        <f t="shared" si="346"/>
        <v>105.966666666667</v>
      </c>
      <c r="BW126" s="65">
        <f t="shared" si="347"/>
      </c>
      <c r="BX126" s="65">
        <f t="shared" si="348"/>
        <v>293.099999999999</v>
      </c>
      <c r="BY126" s="194">
        <f t="shared" si="349"/>
        <v>1398.43872</v>
      </c>
      <c r="BZ126" s="65">
        <f t="shared" si="350"/>
        <v>105.966666666667</v>
      </c>
      <c r="CA126" s="65"/>
      <c r="CB126" s="65">
        <f t="shared" si="351"/>
        <v>187.133333333332</v>
      </c>
      <c r="CC126" s="194">
        <f t="shared" si="352"/>
        <v>892.850559999993</v>
      </c>
      <c r="CD126" s="65">
        <f t="shared" si="353"/>
        <v>105.966666666667</v>
      </c>
      <c r="CE126" s="65"/>
      <c r="CF126" s="65">
        <f t="shared" si="354"/>
        <v>81.166666666665</v>
      </c>
      <c r="CG126" s="194">
        <f t="shared" si="355"/>
        <v>387.262399999992</v>
      </c>
      <c r="CH126" s="65">
        <f t="shared" si="356"/>
        <v>105.966666666667</v>
      </c>
      <c r="CI126" s="65"/>
      <c r="CJ126" s="65">
        <f t="shared" si="357"/>
        <v>-24.800000000002</v>
      </c>
      <c r="CK126" s="194">
        <f t="shared" si="358"/>
        <v>387.262399999992</v>
      </c>
    </row>
    <row r="127" ht="14.0">
      <c r="A127" s="93" t="s">
        <v>179</v>
      </c>
      <c r="B127" s="93" t="s">
        <v>397</v>
      </c>
      <c r="C127" s="93" t="s">
        <v>598</v>
      </c>
      <c r="D127" s="229" t="s">
        <v>599</v>
      </c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230">
        <v>0.0</v>
      </c>
      <c r="AE127" s="93">
        <v>0.0</v>
      </c>
      <c r="AF127" s="93">
        <v>0.0</v>
      </c>
      <c r="AG127" s="93">
        <v>0.0</v>
      </c>
      <c r="AH127" s="230">
        <v>0.0</v>
      </c>
      <c r="AI127" s="230">
        <v>0.0</v>
      </c>
      <c r="AJ127" s="230">
        <v>0.0</v>
      </c>
      <c r="AK127" s="93">
        <v>0.0</v>
      </c>
      <c r="AL127" s="93">
        <v>0.0</v>
      </c>
      <c r="AM127" s="93">
        <v>0.0</v>
      </c>
      <c r="AN127" s="230">
        <v>0.0</v>
      </c>
      <c r="AO127" s="230">
        <v>0.0</v>
      </c>
      <c r="AP127" s="230">
        <v>78.0</v>
      </c>
      <c r="AQ127" s="231">
        <v>6.0</v>
      </c>
      <c r="AR127" s="231">
        <v>3.0</v>
      </c>
      <c r="AS127" s="231">
        <v>7.0</v>
      </c>
      <c r="AT127" s="69">
        <f t="shared" si="4"/>
        <v>94.0</v>
      </c>
      <c r="AU127" s="69">
        <f t="shared" si="309"/>
        <v>94.0</v>
      </c>
      <c r="AV127" s="69">
        <f t="shared" si="6"/>
        <v>103.4</v>
      </c>
      <c r="AW127" s="65">
        <f t="shared" si="331"/>
        <v>31.9</v>
      </c>
      <c r="AX127" s="65">
        <f t="shared" si="332"/>
        <v>31.9</v>
      </c>
      <c r="AY127" s="65">
        <f t="shared" si="333"/>
        <v>31.9</v>
      </c>
      <c r="AZ127" s="65">
        <f t="shared" si="334"/>
        <v>31.9</v>
      </c>
      <c r="BA127" s="65">
        <f t="shared" si="335"/>
        <v>31.9</v>
      </c>
      <c r="BB127" s="65">
        <f t="shared" si="336"/>
        <v>31.9</v>
      </c>
      <c r="BC127" s="64">
        <f t="shared" si="13"/>
        <v>191.4</v>
      </c>
      <c r="BD127" s="69">
        <f>VLOOKUP(D127,FEB23SOH,3,false)</f>
        <v>339.0</v>
      </c>
      <c r="BE127" s="201">
        <f>VLOOKUP(D127,VALUEFEB23,4,false)</f>
        <v>4.771</v>
      </c>
      <c r="BF127" s="215">
        <f t="shared" si="16"/>
        <v>1617.369</v>
      </c>
      <c r="BG127" s="64">
        <f>VLOOKUP(C127,CHINAMAR3,3,false)</f>
        <v>501.0</v>
      </c>
      <c r="BI127" s="193">
        <f t="shared" si="338"/>
        <v>648.6</v>
      </c>
      <c r="BJ127" s="217">
        <v>501.0</v>
      </c>
      <c r="BK127" s="239"/>
      <c r="BL127" s="103"/>
      <c r="BM127" s="95">
        <f t="shared" si="339"/>
        <v>339.0</v>
      </c>
      <c r="BN127" s="65">
        <f t="shared" si="340"/>
        <v>31.9</v>
      </c>
      <c r="BO127" s="65">
        <f t="shared" si="21"/>
        <v>501.0</v>
      </c>
      <c r="BP127" s="65">
        <f t="shared" si="341"/>
        <v>808.1</v>
      </c>
      <c r="BQ127" s="194">
        <f t="shared" si="342"/>
        <v>3855.4451</v>
      </c>
      <c r="BR127" s="65">
        <f t="shared" si="343"/>
        <v>31.9</v>
      </c>
      <c r="BS127" s="65">
        <f t="shared" si="25"/>
      </c>
      <c r="BT127" s="65">
        <f t="shared" si="344"/>
        <v>776.2</v>
      </c>
      <c r="BU127" s="194">
        <f t="shared" si="345"/>
        <v>3703.2502</v>
      </c>
      <c r="BV127" s="65">
        <f t="shared" si="346"/>
        <v>31.9</v>
      </c>
      <c r="BW127" s="65">
        <f t="shared" si="347"/>
      </c>
      <c r="BX127" s="65">
        <f t="shared" si="348"/>
        <v>744.3</v>
      </c>
      <c r="BY127" s="194">
        <f t="shared" si="349"/>
        <v>3551.0553</v>
      </c>
      <c r="BZ127" s="65">
        <f t="shared" si="350"/>
        <v>31.9</v>
      </c>
      <c r="CA127" s="65"/>
      <c r="CB127" s="65">
        <f t="shared" si="351"/>
        <v>712.4</v>
      </c>
      <c r="CC127" s="194">
        <f t="shared" si="352"/>
        <v>3398.8604</v>
      </c>
      <c r="CD127" s="65">
        <f t="shared" si="353"/>
        <v>31.9</v>
      </c>
      <c r="CE127" s="65"/>
      <c r="CF127" s="65">
        <f t="shared" si="354"/>
        <v>680.5</v>
      </c>
      <c r="CG127" s="194">
        <f t="shared" si="355"/>
        <v>3246.6655</v>
      </c>
      <c r="CH127" s="65">
        <f t="shared" si="356"/>
        <v>31.9</v>
      </c>
      <c r="CI127" s="65"/>
      <c r="CJ127" s="65">
        <f t="shared" si="357"/>
        <v>648.6</v>
      </c>
      <c r="CK127" s="194">
        <f t="shared" si="358"/>
        <v>3246.6655</v>
      </c>
    </row>
    <row r="128" ht="14.0">
      <c r="A128" s="93" t="s">
        <v>179</v>
      </c>
      <c r="B128" s="93" t="s">
        <v>397</v>
      </c>
      <c r="C128" s="93" t="s">
        <v>600</v>
      </c>
      <c r="D128" s="229" t="s">
        <v>601</v>
      </c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230">
        <v>0.0</v>
      </c>
      <c r="AE128" s="93">
        <v>0.0</v>
      </c>
      <c r="AF128" s="93">
        <v>0.0</v>
      </c>
      <c r="AG128" s="93">
        <v>0.0</v>
      </c>
      <c r="AH128" s="230">
        <v>0.0</v>
      </c>
      <c r="AI128" s="230">
        <v>0.0</v>
      </c>
      <c r="AJ128" s="230">
        <v>0.0</v>
      </c>
      <c r="AK128" s="93">
        <v>0.0</v>
      </c>
      <c r="AL128" s="93">
        <v>0.0</v>
      </c>
      <c r="AM128" s="93">
        <v>0.0</v>
      </c>
      <c r="AN128" s="230">
        <v>0.0</v>
      </c>
      <c r="AO128" s="230">
        <v>0.0</v>
      </c>
      <c r="AP128" s="230">
        <v>51.0</v>
      </c>
      <c r="AQ128" s="231">
        <v>6.0</v>
      </c>
      <c r="AR128" s="231">
        <v>0.0</v>
      </c>
      <c r="AS128" s="231">
        <v>4.0</v>
      </c>
      <c r="AT128" s="69">
        <f t="shared" si="4"/>
        <v>61.0</v>
      </c>
      <c r="AU128" s="69">
        <f t="shared" si="309"/>
        <v>61.0</v>
      </c>
      <c r="AV128" s="69">
        <f t="shared" si="6"/>
        <v>67.1</v>
      </c>
      <c r="AW128" s="65">
        <f t="shared" si="331"/>
        <v>20.9</v>
      </c>
      <c r="AX128" s="65">
        <f t="shared" si="332"/>
        <v>20.9</v>
      </c>
      <c r="AY128" s="65">
        <f t="shared" si="333"/>
        <v>20.9</v>
      </c>
      <c r="AZ128" s="65">
        <f t="shared" si="334"/>
        <v>20.9</v>
      </c>
      <c r="BA128" s="65">
        <f t="shared" si="335"/>
        <v>20.9</v>
      </c>
      <c r="BB128" s="65">
        <f t="shared" si="336"/>
        <v>20.9</v>
      </c>
      <c r="BC128" s="64">
        <f t="shared" si="13"/>
        <v>125.4</v>
      </c>
      <c r="BD128" s="69">
        <f>VLOOKUP(D128,FEB23SOH,3,false)</f>
        <v>372.0</v>
      </c>
      <c r="BE128" s="201">
        <f>VLOOKUP(D128,VALUEFEB23,4,false)</f>
        <v>4.771</v>
      </c>
      <c r="BF128" s="215">
        <f t="shared" si="16"/>
        <v>1774.812</v>
      </c>
      <c r="BG128" s="64">
        <f>VLOOKUP(C128,CHINAMAR3,3,false)</f>
        <v>501.0</v>
      </c>
      <c r="BI128" s="193">
        <f t="shared" si="338"/>
        <v>747.6</v>
      </c>
      <c r="BJ128" s="217">
        <v>501.0</v>
      </c>
      <c r="BK128" s="239"/>
      <c r="BL128" s="103"/>
      <c r="BM128" s="95">
        <f t="shared" si="339"/>
        <v>372.0</v>
      </c>
      <c r="BN128" s="65">
        <f t="shared" si="340"/>
        <v>20.9</v>
      </c>
      <c r="BO128" s="65">
        <f t="shared" si="21"/>
        <v>501.0</v>
      </c>
      <c r="BP128" s="65">
        <f t="shared" si="341"/>
        <v>852.1</v>
      </c>
      <c r="BQ128" s="194">
        <f t="shared" si="342"/>
        <v>4065.3691</v>
      </c>
      <c r="BR128" s="65">
        <f t="shared" si="343"/>
        <v>20.9</v>
      </c>
      <c r="BS128" s="65">
        <f t="shared" si="25"/>
      </c>
      <c r="BT128" s="65">
        <f t="shared" si="344"/>
        <v>831.2</v>
      </c>
      <c r="BU128" s="194">
        <f t="shared" si="345"/>
        <v>3965.6552</v>
      </c>
      <c r="BV128" s="65">
        <f t="shared" si="346"/>
        <v>20.9</v>
      </c>
      <c r="BW128" s="65">
        <f t="shared" si="347"/>
      </c>
      <c r="BX128" s="65">
        <f t="shared" si="348"/>
        <v>810.3</v>
      </c>
      <c r="BY128" s="194">
        <f t="shared" si="349"/>
        <v>3865.9413</v>
      </c>
      <c r="BZ128" s="65">
        <f t="shared" si="350"/>
        <v>20.9</v>
      </c>
      <c r="CA128" s="65"/>
      <c r="CB128" s="65">
        <f t="shared" si="351"/>
        <v>789.4</v>
      </c>
      <c r="CC128" s="194">
        <f t="shared" si="352"/>
        <v>3766.2274</v>
      </c>
      <c r="CD128" s="65">
        <f t="shared" si="353"/>
        <v>20.9</v>
      </c>
      <c r="CE128" s="65"/>
      <c r="CF128" s="65">
        <f t="shared" si="354"/>
        <v>768.5</v>
      </c>
      <c r="CG128" s="194">
        <f t="shared" si="355"/>
        <v>3666.5135</v>
      </c>
      <c r="CH128" s="65">
        <f t="shared" si="356"/>
        <v>20.9</v>
      </c>
      <c r="CI128" s="65"/>
      <c r="CJ128" s="65">
        <f t="shared" si="357"/>
        <v>747.6</v>
      </c>
      <c r="CK128" s="194">
        <f t="shared" si="358"/>
        <v>3666.5135</v>
      </c>
    </row>
    <row r="129" ht="14.0">
      <c r="A129" s="93" t="s">
        <v>179</v>
      </c>
      <c r="B129" s="93" t="s">
        <v>397</v>
      </c>
      <c r="C129" s="93" t="s">
        <v>602</v>
      </c>
      <c r="D129" s="229" t="s">
        <v>603</v>
      </c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230">
        <v>0.0</v>
      </c>
      <c r="AE129" s="93">
        <v>0.0</v>
      </c>
      <c r="AF129" s="93">
        <v>0.0</v>
      </c>
      <c r="AG129" s="93">
        <v>0.0</v>
      </c>
      <c r="AH129" s="230">
        <v>0.0</v>
      </c>
      <c r="AI129" s="230">
        <v>0.0</v>
      </c>
      <c r="AJ129" s="230">
        <v>0.0</v>
      </c>
      <c r="AK129" s="93">
        <v>0.0</v>
      </c>
      <c r="AL129" s="93">
        <v>0.0</v>
      </c>
      <c r="AM129" s="93">
        <v>0.0</v>
      </c>
      <c r="AN129" s="230">
        <v>0.0</v>
      </c>
      <c r="AO129" s="230">
        <v>0.0</v>
      </c>
      <c r="AP129" s="230">
        <v>75.0</v>
      </c>
      <c r="AQ129" s="231">
        <v>18.0</v>
      </c>
      <c r="AR129" s="231">
        <v>3.0</v>
      </c>
      <c r="AS129" s="231">
        <v>11.0</v>
      </c>
      <c r="AT129" s="69">
        <f t="shared" si="4"/>
        <v>107.0</v>
      </c>
      <c r="AU129" s="69">
        <f t="shared" si="309"/>
        <v>107.0</v>
      </c>
      <c r="AV129" s="69">
        <f t="shared" si="6"/>
        <v>117.7</v>
      </c>
      <c r="AW129" s="65">
        <f t="shared" si="331"/>
        <v>35.2</v>
      </c>
      <c r="AX129" s="65">
        <f t="shared" si="332"/>
        <v>35.2</v>
      </c>
      <c r="AY129" s="65">
        <f t="shared" si="333"/>
        <v>35.2</v>
      </c>
      <c r="AZ129" s="65">
        <f t="shared" si="334"/>
        <v>35.2</v>
      </c>
      <c r="BA129" s="65">
        <f t="shared" si="335"/>
        <v>35.2</v>
      </c>
      <c r="BB129" s="65">
        <f t="shared" si="336"/>
        <v>35.2</v>
      </c>
      <c r="BC129" s="64">
        <f t="shared" si="13"/>
        <v>211.2</v>
      </c>
      <c r="BD129" s="69">
        <f>VLOOKUP(D129,FEB23SOH,3,false)</f>
        <v>324.0</v>
      </c>
      <c r="BE129" s="201">
        <f>VLOOKUP(D129,VALUEFEB23,4,false)</f>
        <v>4.7711</v>
      </c>
      <c r="BF129" s="215">
        <f t="shared" si="16"/>
        <v>1545.8364</v>
      </c>
      <c r="BG129" s="64">
        <f>VLOOKUP(C129,CHINAMAR3,3,false)</f>
        <v>501.0</v>
      </c>
      <c r="BI129" s="193">
        <f t="shared" si="338"/>
        <v>613.8</v>
      </c>
      <c r="BJ129" s="217">
        <v>501.0</v>
      </c>
      <c r="BK129" s="239"/>
      <c r="BL129" s="103"/>
      <c r="BM129" s="95">
        <f t="shared" si="339"/>
        <v>324.0</v>
      </c>
      <c r="BN129" s="65">
        <f t="shared" si="340"/>
        <v>35.2</v>
      </c>
      <c r="BO129" s="65">
        <f t="shared" si="21"/>
        <v>501.0</v>
      </c>
      <c r="BP129" s="65">
        <f t="shared" si="341"/>
        <v>789.8</v>
      </c>
      <c r="BQ129" s="194">
        <f t="shared" si="342"/>
        <v>3768.21478</v>
      </c>
      <c r="BR129" s="65">
        <f t="shared" si="343"/>
        <v>35.2</v>
      </c>
      <c r="BS129" s="65">
        <f t="shared" si="25"/>
      </c>
      <c r="BT129" s="65">
        <f t="shared" si="344"/>
        <v>754.6</v>
      </c>
      <c r="BU129" s="194">
        <f t="shared" si="345"/>
        <v>3600.27206</v>
      </c>
      <c r="BV129" s="65">
        <f t="shared" si="346"/>
        <v>35.2</v>
      </c>
      <c r="BW129" s="65">
        <f t="shared" si="347"/>
      </c>
      <c r="BX129" s="65">
        <f t="shared" si="348"/>
        <v>719.4</v>
      </c>
      <c r="BY129" s="194">
        <f t="shared" si="349"/>
        <v>3432.32934</v>
      </c>
      <c r="BZ129" s="65">
        <f t="shared" si="350"/>
        <v>35.2</v>
      </c>
      <c r="CA129" s="65"/>
      <c r="CB129" s="65">
        <f t="shared" si="351"/>
        <v>684.2</v>
      </c>
      <c r="CC129" s="194">
        <f t="shared" si="352"/>
        <v>3264.38662</v>
      </c>
      <c r="CD129" s="65">
        <f t="shared" si="353"/>
        <v>35.2</v>
      </c>
      <c r="CE129" s="65"/>
      <c r="CF129" s="65">
        <f t="shared" si="354"/>
        <v>649.0</v>
      </c>
      <c r="CG129" s="194">
        <f t="shared" si="355"/>
        <v>3096.4439</v>
      </c>
      <c r="CH129" s="65">
        <f t="shared" si="356"/>
        <v>35.2</v>
      </c>
      <c r="CI129" s="65"/>
      <c r="CJ129" s="65">
        <f t="shared" si="357"/>
        <v>613.8</v>
      </c>
      <c r="CK129" s="194">
        <f t="shared" si="358"/>
        <v>3096.4439</v>
      </c>
    </row>
    <row r="130" ht="14.0">
      <c r="A130" s="93" t="s">
        <v>179</v>
      </c>
      <c r="B130" s="93" t="s">
        <v>397</v>
      </c>
      <c r="C130" s="93" t="s">
        <v>604</v>
      </c>
      <c r="D130" s="229" t="s">
        <v>605</v>
      </c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230">
        <v>0.0</v>
      </c>
      <c r="AE130" s="93">
        <v>0.0</v>
      </c>
      <c r="AF130" s="93">
        <v>0.0</v>
      </c>
      <c r="AG130" s="93">
        <v>0.0</v>
      </c>
      <c r="AH130" s="230">
        <v>0.0</v>
      </c>
      <c r="AI130" s="230">
        <v>0.0</v>
      </c>
      <c r="AJ130" s="230">
        <v>0.0</v>
      </c>
      <c r="AK130" s="93">
        <v>0.0</v>
      </c>
      <c r="AL130" s="93">
        <v>0.0</v>
      </c>
      <c r="AM130" s="93">
        <v>0.0</v>
      </c>
      <c r="AN130" s="230">
        <v>0.0</v>
      </c>
      <c r="AO130" s="230">
        <v>0.0</v>
      </c>
      <c r="AP130" s="230">
        <v>112.0</v>
      </c>
      <c r="AQ130" s="231">
        <v>4.0</v>
      </c>
      <c r="AR130" s="231">
        <v>9.0</v>
      </c>
      <c r="AS130" s="231">
        <v>11.0</v>
      </c>
      <c r="AT130" s="69">
        <f t="shared" si="4"/>
        <v>136.0</v>
      </c>
      <c r="AU130" s="69">
        <f t="shared" si="309"/>
        <v>136.0</v>
      </c>
      <c r="AV130" s="69">
        <f t="shared" si="6"/>
        <v>149.6</v>
      </c>
      <c r="AW130" s="65">
        <f t="shared" si="331"/>
        <v>45.8333333333333</v>
      </c>
      <c r="AX130" s="65">
        <f t="shared" si="332"/>
        <v>45.8333333333333</v>
      </c>
      <c r="AY130" s="65">
        <f t="shared" si="333"/>
        <v>45.8333333333333</v>
      </c>
      <c r="AZ130" s="65">
        <f t="shared" si="334"/>
        <v>45.8333333333333</v>
      </c>
      <c r="BA130" s="65">
        <f t="shared" si="335"/>
        <v>45.8333333333333</v>
      </c>
      <c r="BB130" s="65">
        <f t="shared" si="336"/>
        <v>45.8333333333333</v>
      </c>
      <c r="BC130" s="64">
        <f t="shared" si="13"/>
        <v>275.0</v>
      </c>
      <c r="BD130" s="69">
        <f>VLOOKUP(D130,FEB23SOH,3,false)</f>
        <v>295.0</v>
      </c>
      <c r="BE130" s="201">
        <f>VLOOKUP(D130,VALUEFEB23,4,false)</f>
        <v>4.771</v>
      </c>
      <c r="BF130" s="215">
        <f t="shared" si="16"/>
        <v>1407.445</v>
      </c>
      <c r="BG130" s="64">
        <f>VLOOKUP(C130,CHINAMAR3,3,false)</f>
        <v>501.0</v>
      </c>
      <c r="BI130" s="193">
        <f t="shared" si="338"/>
        <v>521.0</v>
      </c>
      <c r="BJ130" s="217">
        <v>501.0</v>
      </c>
      <c r="BK130" s="239"/>
      <c r="BL130" s="103"/>
      <c r="BM130" s="95">
        <f t="shared" si="339"/>
        <v>295.0</v>
      </c>
      <c r="BN130" s="65">
        <f t="shared" si="340"/>
        <v>45.8333333333333</v>
      </c>
      <c r="BO130" s="65">
        <f t="shared" si="21"/>
        <v>501.0</v>
      </c>
      <c r="BP130" s="65">
        <f t="shared" si="341"/>
        <v>750.166666666667</v>
      </c>
      <c r="BQ130" s="194">
        <f t="shared" si="342"/>
        <v>3579.04516666667</v>
      </c>
      <c r="BR130" s="65">
        <f t="shared" si="343"/>
        <v>45.8333333333333</v>
      </c>
      <c r="BS130" s="65">
        <f t="shared" si="25"/>
      </c>
      <c r="BT130" s="65">
        <f t="shared" si="344"/>
        <v>704.333333333333</v>
      </c>
      <c r="BU130" s="194">
        <f t="shared" si="345"/>
        <v>3360.37433333333</v>
      </c>
      <c r="BV130" s="65">
        <f t="shared" si="346"/>
        <v>45.8333333333333</v>
      </c>
      <c r="BW130" s="65">
        <f t="shared" si="347"/>
      </c>
      <c r="BX130" s="65">
        <f t="shared" si="348"/>
        <v>658.5</v>
      </c>
      <c r="BY130" s="194">
        <f t="shared" si="349"/>
        <v>3141.7035</v>
      </c>
      <c r="BZ130" s="65">
        <f t="shared" si="350"/>
        <v>45.8333333333333</v>
      </c>
      <c r="CA130" s="65"/>
      <c r="CB130" s="65">
        <f t="shared" si="351"/>
        <v>612.666666666667</v>
      </c>
      <c r="CC130" s="194">
        <f t="shared" si="352"/>
        <v>2923.03266666667</v>
      </c>
      <c r="CD130" s="65">
        <f t="shared" si="353"/>
        <v>45.8333333333333</v>
      </c>
      <c r="CE130" s="65"/>
      <c r="CF130" s="65">
        <f t="shared" si="354"/>
        <v>566.833333333333</v>
      </c>
      <c r="CG130" s="194">
        <f t="shared" si="355"/>
        <v>2704.36183333333</v>
      </c>
      <c r="CH130" s="65">
        <f t="shared" si="356"/>
        <v>45.8333333333333</v>
      </c>
      <c r="CI130" s="65"/>
      <c r="CJ130" s="65">
        <f t="shared" si="357"/>
        <v>521.0</v>
      </c>
      <c r="CK130" s="194">
        <f t="shared" si="358"/>
        <v>2704.36183333333</v>
      </c>
    </row>
    <row r="131" ht="14.0">
      <c r="A131" s="93" t="s">
        <v>179</v>
      </c>
      <c r="B131" s="93" t="s">
        <v>414</v>
      </c>
      <c r="C131" s="93" t="s">
        <v>415</v>
      </c>
      <c r="D131" s="234" t="s">
        <v>416</v>
      </c>
      <c r="E131" s="93">
        <v>0.0</v>
      </c>
      <c r="F131" s="93">
        <v>0.0</v>
      </c>
      <c r="G131" s="93">
        <v>0.0</v>
      </c>
      <c r="H131" s="93">
        <v>0.0</v>
      </c>
      <c r="I131" s="93">
        <v>0.0</v>
      </c>
      <c r="J131" s="93">
        <v>0.0</v>
      </c>
      <c r="K131" s="93">
        <v>0.0</v>
      </c>
      <c r="L131" s="93">
        <v>0.0</v>
      </c>
      <c r="M131" s="93">
        <v>0.0</v>
      </c>
      <c r="N131" s="93">
        <v>0.0</v>
      </c>
      <c r="O131" s="93">
        <v>0.0</v>
      </c>
      <c r="P131" s="93">
        <v>0.0</v>
      </c>
      <c r="Q131" s="93">
        <v>0.0</v>
      </c>
      <c r="R131" s="93">
        <v>0.0</v>
      </c>
      <c r="S131" s="93">
        <v>0.0</v>
      </c>
      <c r="T131" s="93">
        <v>0.0</v>
      </c>
      <c r="U131" s="93">
        <v>0.0</v>
      </c>
      <c r="V131" s="93">
        <v>0.0</v>
      </c>
      <c r="W131" s="93">
        <v>8.0</v>
      </c>
      <c r="X131" s="93">
        <v>72.0</v>
      </c>
      <c r="Y131" s="93">
        <v>78.0</v>
      </c>
      <c r="Z131" s="93">
        <v>35.0</v>
      </c>
      <c r="AA131" s="93">
        <v>30.0</v>
      </c>
      <c r="AB131" s="93">
        <v>75.0</v>
      </c>
      <c r="AC131" s="93">
        <v>81.0</v>
      </c>
      <c r="AD131" s="93">
        <v>75.0</v>
      </c>
      <c r="AE131" s="93">
        <v>39.0</v>
      </c>
      <c r="AF131" s="93">
        <v>30.0</v>
      </c>
      <c r="AG131" s="93">
        <v>36.0</v>
      </c>
      <c r="AH131" s="114">
        <v>30.0</v>
      </c>
      <c r="AI131" s="114">
        <v>21.0</v>
      </c>
      <c r="AJ131" s="114">
        <v>24.0</v>
      </c>
      <c r="AK131" s="114">
        <v>12.0</v>
      </c>
      <c r="AL131" s="114">
        <v>15.0</v>
      </c>
      <c r="AM131" s="114">
        <v>9.0</v>
      </c>
      <c r="AN131" s="93">
        <v>15.0</v>
      </c>
      <c r="AO131" s="93">
        <v>33.0</v>
      </c>
      <c r="AP131" s="93">
        <v>39.0</v>
      </c>
      <c r="AQ131" s="233">
        <v>45.0</v>
      </c>
      <c r="AR131" s="233">
        <v>12.0</v>
      </c>
      <c r="AS131" s="233">
        <v>11.0</v>
      </c>
      <c r="AT131" s="69">
        <f t="shared" si="4"/>
        <v>266.0</v>
      </c>
      <c r="AU131" s="69">
        <f t="shared" ref="AU131:AU136" si="361">SUM(AH131:AM131)</f>
        <v>111.0</v>
      </c>
      <c r="AV131" s="69">
        <f t="shared" si="6"/>
        <v>122.1</v>
      </c>
      <c r="AW131" s="47">
        <f t="shared" ref="AW131:AW136" si="362">AV131*$AW$4/$AV$3</f>
        <v>16.360544217687</v>
      </c>
      <c r="AX131" s="47">
        <f t="shared" ref="AX131:AX136" si="363">AV131*$AX$4/$AV$3</f>
        <v>17.6190476190476</v>
      </c>
      <c r="AY131" s="47">
        <f t="shared" ref="AY131:AY136" si="364">AV131*$AY$4/$AV$3</f>
        <v>24.4149659863946</v>
      </c>
      <c r="AZ131" s="47">
        <f t="shared" ref="AZ131:AZ136" si="365">AV131*$AZ$4/$AV$3</f>
        <v>11.578231292517</v>
      </c>
      <c r="BA131" s="47">
        <f t="shared" ref="BA131:BA136" si="366">AV131*$BA$4/$AV$3</f>
        <v>22.6530612244898</v>
      </c>
      <c r="BB131" s="47">
        <f t="shared" ref="BB131:BB136" si="367">AV131*$BB$4/$AV$3</f>
        <v>18.3741496598639</v>
      </c>
      <c r="BC131" s="64">
        <f t="shared" si="13"/>
        <v>111.0</v>
      </c>
      <c r="BD131" s="69">
        <f>VLOOKUP(D131,FEB23SOH,3,false)</f>
        <v>183.0</v>
      </c>
      <c r="BE131" s="201">
        <f>VLOOKUP(D131,VALUEFEB23,4,false)</f>
        <v>7.976</v>
      </c>
      <c r="BF131" s="215">
        <f t="shared" si="16"/>
        <v>1459.608</v>
      </c>
      <c r="BI131" s="193">
        <f t="shared" si="338"/>
        <v>72.0</v>
      </c>
      <c r="BJ131" s="217">
        <f>VLOOKUP(C131,MOQ,3,false)</f>
        <v>500.0</v>
      </c>
      <c r="BK131" s="99"/>
      <c r="BL131" s="103"/>
      <c r="BM131" s="95">
        <f t="shared" si="339"/>
        <v>183.0</v>
      </c>
      <c r="BN131" s="65">
        <f t="shared" si="340"/>
        <v>16.360544217687</v>
      </c>
      <c r="BO131" s="65">
        <f t="shared" si="21"/>
      </c>
      <c r="BP131" s="65">
        <f t="shared" si="341"/>
        <v>166.639455782313</v>
      </c>
      <c r="BQ131" s="194">
        <f t="shared" si="342"/>
        <v>1329.11629931972</v>
      </c>
      <c r="BR131" s="65">
        <f t="shared" si="343"/>
        <v>17.6190476190476</v>
      </c>
      <c r="BS131" s="65">
        <f t="shared" si="25"/>
      </c>
      <c r="BT131" s="65">
        <f t="shared" si="344"/>
        <v>149.020408163265</v>
      </c>
      <c r="BU131" s="194">
        <f t="shared" si="345"/>
        <v>1188.5867755102</v>
      </c>
      <c r="BV131" s="65">
        <f t="shared" si="346"/>
        <v>24.4149659863946</v>
      </c>
      <c r="BW131" s="65">
        <f t="shared" si="347"/>
      </c>
      <c r="BX131" s="65">
        <f t="shared" si="348"/>
        <v>124.60544217687</v>
      </c>
      <c r="BY131" s="194">
        <f t="shared" si="349"/>
        <v>993.853006802715</v>
      </c>
      <c r="BZ131" s="65">
        <f t="shared" si="350"/>
        <v>11.578231292517</v>
      </c>
      <c r="CA131" s="65"/>
      <c r="CB131" s="65">
        <f t="shared" si="351"/>
        <v>113.027210884353</v>
      </c>
      <c r="CC131" s="194">
        <f t="shared" si="352"/>
        <v>901.5050340136</v>
      </c>
      <c r="CD131" s="65">
        <f t="shared" si="353"/>
        <v>22.6530612244898</v>
      </c>
      <c r="CE131" s="65"/>
      <c r="CF131" s="65">
        <f t="shared" si="354"/>
        <v>90.3741496598631</v>
      </c>
      <c r="CG131" s="194">
        <f t="shared" si="355"/>
        <v>720.824217687068</v>
      </c>
      <c r="CH131" s="65">
        <f t="shared" si="356"/>
        <v>18.3741496598639</v>
      </c>
      <c r="CI131" s="65"/>
      <c r="CJ131" s="65">
        <f t="shared" si="357"/>
        <v>71.9999999999991</v>
      </c>
      <c r="CK131" s="194">
        <f t="shared" si="358"/>
        <v>720.824217687068</v>
      </c>
    </row>
    <row r="132" ht="14.0">
      <c r="A132" s="93" t="s">
        <v>179</v>
      </c>
      <c r="B132" s="93" t="s">
        <v>414</v>
      </c>
      <c r="C132" s="93" t="s">
        <v>417</v>
      </c>
      <c r="D132" s="234" t="s">
        <v>418</v>
      </c>
      <c r="E132" s="93">
        <v>0.0</v>
      </c>
      <c r="F132" s="93">
        <v>0.0</v>
      </c>
      <c r="G132" s="93">
        <v>0.0</v>
      </c>
      <c r="H132" s="93">
        <v>0.0</v>
      </c>
      <c r="I132" s="93">
        <v>0.0</v>
      </c>
      <c r="J132" s="93">
        <v>0.0</v>
      </c>
      <c r="K132" s="93">
        <v>0.0</v>
      </c>
      <c r="L132" s="93">
        <v>0.0</v>
      </c>
      <c r="M132" s="93">
        <v>0.0</v>
      </c>
      <c r="N132" s="93">
        <v>0.0</v>
      </c>
      <c r="O132" s="93">
        <v>0.0</v>
      </c>
      <c r="P132" s="93">
        <v>0.0</v>
      </c>
      <c r="Q132" s="93">
        <v>0.0</v>
      </c>
      <c r="R132" s="93">
        <v>0.0</v>
      </c>
      <c r="S132" s="93">
        <v>0.0</v>
      </c>
      <c r="T132" s="93">
        <v>0.0</v>
      </c>
      <c r="U132" s="93">
        <v>0.0</v>
      </c>
      <c r="V132" s="93">
        <v>0.0</v>
      </c>
      <c r="W132" s="93">
        <v>8.0</v>
      </c>
      <c r="X132" s="93">
        <v>66.0</v>
      </c>
      <c r="Y132" s="93">
        <v>45.0</v>
      </c>
      <c r="Z132" s="93">
        <v>41.0</v>
      </c>
      <c r="AA132" s="93">
        <v>39.0</v>
      </c>
      <c r="AB132" s="93">
        <v>99.0</v>
      </c>
      <c r="AC132" s="93">
        <v>78.0</v>
      </c>
      <c r="AD132" s="93">
        <v>66.0</v>
      </c>
      <c r="AE132" s="93">
        <v>45.0</v>
      </c>
      <c r="AF132" s="93">
        <v>42.0</v>
      </c>
      <c r="AG132" s="93">
        <v>63.0</v>
      </c>
      <c r="AH132" s="114">
        <v>18.0</v>
      </c>
      <c r="AI132" s="114">
        <v>21.0</v>
      </c>
      <c r="AJ132" s="114">
        <v>24.0</v>
      </c>
      <c r="AK132" s="114">
        <v>12.0</v>
      </c>
      <c r="AL132" s="114">
        <v>15.0</v>
      </c>
      <c r="AM132" s="114">
        <v>17.0</v>
      </c>
      <c r="AN132" s="93">
        <v>21.0</v>
      </c>
      <c r="AO132" s="93">
        <v>30.0</v>
      </c>
      <c r="AP132" s="93">
        <v>45.0</v>
      </c>
      <c r="AQ132" s="233">
        <v>18.0</v>
      </c>
      <c r="AR132" s="233">
        <v>15.0</v>
      </c>
      <c r="AS132" s="233">
        <v>33.0</v>
      </c>
      <c r="AT132" s="69">
        <f t="shared" si="4"/>
        <v>269.0</v>
      </c>
      <c r="AU132" s="69">
        <f t="shared" si="361"/>
        <v>107.0</v>
      </c>
      <c r="AV132" s="69">
        <f t="shared" si="6"/>
        <v>117.7</v>
      </c>
      <c r="AW132" s="47">
        <f t="shared" si="362"/>
        <v>15.7709750566893</v>
      </c>
      <c r="AX132" s="47">
        <f t="shared" si="363"/>
        <v>16.984126984127</v>
      </c>
      <c r="AY132" s="47">
        <f t="shared" si="364"/>
        <v>23.5351473922902</v>
      </c>
      <c r="AZ132" s="47">
        <f t="shared" si="365"/>
        <v>11.1609977324263</v>
      </c>
      <c r="BA132" s="47">
        <f t="shared" si="366"/>
        <v>21.8367346938776</v>
      </c>
      <c r="BB132" s="47">
        <f t="shared" si="367"/>
        <v>17.7120181405896</v>
      </c>
      <c r="BC132" s="64">
        <f t="shared" si="13"/>
        <v>107.0</v>
      </c>
      <c r="BD132" s="69">
        <f>VLOOKUP(D132,FEB23SOH,3,false)</f>
        <v>151.0</v>
      </c>
      <c r="BE132" s="201">
        <f>VLOOKUP(D132,VALUEFEB23,4,false)</f>
        <v>8.3318</v>
      </c>
      <c r="BF132" s="215">
        <f t="shared" si="16"/>
        <v>1258.1018</v>
      </c>
      <c r="BI132" s="193">
        <f t="shared" si="338"/>
        <v>44.0</v>
      </c>
      <c r="BJ132" s="217">
        <f>VLOOKUP(C132,MOQ,3,false)</f>
        <v>500.0</v>
      </c>
      <c r="BK132" s="99"/>
      <c r="BL132" s="103"/>
      <c r="BM132" s="95">
        <f t="shared" si="339"/>
        <v>151.0</v>
      </c>
      <c r="BN132" s="65">
        <f t="shared" si="340"/>
        <v>15.7709750566893</v>
      </c>
      <c r="BO132" s="65">
        <f t="shared" si="21"/>
      </c>
      <c r="BP132" s="65">
        <f t="shared" si="341"/>
        <v>135.22902494331</v>
      </c>
      <c r="BQ132" s="194">
        <f t="shared" si="342"/>
        <v>1126.70119002267</v>
      </c>
      <c r="BR132" s="65">
        <f t="shared" si="343"/>
        <v>16.984126984127</v>
      </c>
      <c r="BS132" s="65">
        <f t="shared" si="25"/>
      </c>
      <c r="BT132" s="65">
        <f t="shared" si="344"/>
        <v>118.244897959183</v>
      </c>
      <c r="BU132" s="194">
        <f t="shared" si="345"/>
        <v>985.19284081632</v>
      </c>
      <c r="BV132" s="65">
        <f t="shared" si="346"/>
        <v>23.5351473922902</v>
      </c>
      <c r="BW132" s="65">
        <f t="shared" si="347"/>
      </c>
      <c r="BX132" s="65">
        <f t="shared" si="348"/>
        <v>94.7097505668928</v>
      </c>
      <c r="BY132" s="194">
        <f t="shared" si="349"/>
        <v>789.102699773237</v>
      </c>
      <c r="BZ132" s="65">
        <f t="shared" si="350"/>
        <v>11.1609977324263</v>
      </c>
      <c r="CA132" s="65"/>
      <c r="CB132" s="65">
        <f t="shared" si="351"/>
        <v>83.5487528344665</v>
      </c>
      <c r="CC132" s="194">
        <f t="shared" si="352"/>
        <v>696.111498866208</v>
      </c>
      <c r="CD132" s="65">
        <f t="shared" si="353"/>
        <v>21.8367346938776</v>
      </c>
      <c r="CE132" s="65"/>
      <c r="CF132" s="65">
        <f t="shared" si="354"/>
        <v>61.7120181405889</v>
      </c>
      <c r="CG132" s="194">
        <f t="shared" si="355"/>
        <v>514.17219274376</v>
      </c>
      <c r="CH132" s="65">
        <f t="shared" si="356"/>
        <v>17.7120181405896</v>
      </c>
      <c r="CI132" s="65"/>
      <c r="CJ132" s="65">
        <f t="shared" si="357"/>
        <v>43.9999999999993</v>
      </c>
      <c r="CK132" s="194">
        <f t="shared" si="358"/>
        <v>514.17219274376</v>
      </c>
    </row>
    <row r="133" ht="14.0">
      <c r="A133" s="93" t="s">
        <v>179</v>
      </c>
      <c r="B133" s="93" t="s">
        <v>414</v>
      </c>
      <c r="C133" s="93" t="s">
        <v>419</v>
      </c>
      <c r="D133" s="229" t="s">
        <v>420</v>
      </c>
      <c r="E133" s="93">
        <v>0.0</v>
      </c>
      <c r="F133" s="93">
        <v>0.0</v>
      </c>
      <c r="G133" s="93">
        <v>0.0</v>
      </c>
      <c r="H133" s="93">
        <v>0.0</v>
      </c>
      <c r="I133" s="93">
        <v>0.0</v>
      </c>
      <c r="J133" s="93">
        <v>0.0</v>
      </c>
      <c r="K133" s="93">
        <v>0.0</v>
      </c>
      <c r="L133" s="93">
        <v>0.0</v>
      </c>
      <c r="M133" s="93">
        <v>0.0</v>
      </c>
      <c r="N133" s="93">
        <v>0.0</v>
      </c>
      <c r="O133" s="93">
        <v>0.0</v>
      </c>
      <c r="P133" s="93">
        <v>0.0</v>
      </c>
      <c r="Q133" s="93">
        <v>0.0</v>
      </c>
      <c r="R133" s="93">
        <v>0.0</v>
      </c>
      <c r="S133" s="93">
        <v>0.0</v>
      </c>
      <c r="T133" s="93">
        <v>0.0</v>
      </c>
      <c r="U133" s="93">
        <v>0.0</v>
      </c>
      <c r="V133" s="93">
        <v>0.0</v>
      </c>
      <c r="W133" s="93">
        <v>14.0</v>
      </c>
      <c r="X133" s="93">
        <v>165.0</v>
      </c>
      <c r="Y133" s="93">
        <v>105.0</v>
      </c>
      <c r="Z133" s="93">
        <v>119.0</v>
      </c>
      <c r="AA133" s="93">
        <v>60.0</v>
      </c>
      <c r="AB133" s="93">
        <v>108.0</v>
      </c>
      <c r="AC133" s="93">
        <v>194.0</v>
      </c>
      <c r="AD133" s="93">
        <v>159.0</v>
      </c>
      <c r="AE133" s="93">
        <v>90.0</v>
      </c>
      <c r="AF133" s="93">
        <v>57.0</v>
      </c>
      <c r="AG133" s="93">
        <v>102.0</v>
      </c>
      <c r="AH133" s="114">
        <v>54.0</v>
      </c>
      <c r="AI133" s="114">
        <v>60.0</v>
      </c>
      <c r="AJ133" s="114">
        <v>45.0</v>
      </c>
      <c r="AK133" s="114">
        <v>51.0</v>
      </c>
      <c r="AL133" s="114">
        <v>27.0</v>
      </c>
      <c r="AM133" s="114">
        <v>24.0</v>
      </c>
      <c r="AN133" s="93">
        <v>70.0</v>
      </c>
      <c r="AO133" s="93">
        <v>66.0</v>
      </c>
      <c r="AP133" s="93">
        <v>78.0</v>
      </c>
      <c r="AQ133" s="233">
        <v>66.0</v>
      </c>
      <c r="AR133" s="233">
        <v>42.0</v>
      </c>
      <c r="AS133" s="233">
        <v>131.0</v>
      </c>
      <c r="AT133" s="69">
        <f t="shared" si="4"/>
        <v>714.0</v>
      </c>
      <c r="AU133" s="69">
        <f t="shared" si="361"/>
        <v>261.0</v>
      </c>
      <c r="AV133" s="69">
        <f t="shared" si="6"/>
        <v>287.1</v>
      </c>
      <c r="AW133" s="47">
        <f t="shared" si="362"/>
        <v>38.469387755102</v>
      </c>
      <c r="AX133" s="47">
        <f t="shared" si="363"/>
        <v>41.4285714285714</v>
      </c>
      <c r="AY133" s="47">
        <f t="shared" si="364"/>
        <v>57.4081632653061</v>
      </c>
      <c r="AZ133" s="47">
        <f t="shared" si="365"/>
        <v>27.2244897959183</v>
      </c>
      <c r="BA133" s="47">
        <f t="shared" si="366"/>
        <v>53.265306122449</v>
      </c>
      <c r="BB133" s="47">
        <f t="shared" si="367"/>
        <v>43.204081632653</v>
      </c>
      <c r="BC133" s="64">
        <f t="shared" si="13"/>
        <v>261.0</v>
      </c>
      <c r="BD133" s="69">
        <f>VLOOKUP(D133,FEB23SOH,3,false)</f>
        <v>83.0</v>
      </c>
      <c r="BE133" s="201">
        <f>VLOOKUP(D133,VALUEFEB23,4,false)</f>
        <v>8.3464</v>
      </c>
      <c r="BF133" s="215">
        <f t="shared" si="16"/>
        <v>692.7512</v>
      </c>
      <c r="BG133" s="64">
        <f>VLOOKUP(C133,CHINAMAR3,3,false)</f>
        <v>501.0</v>
      </c>
      <c r="BI133" s="193">
        <f t="shared" si="338"/>
        <v>323.0</v>
      </c>
      <c r="BJ133" s="217">
        <f>VLOOKUP(C133,MOQ,3,false)</f>
        <v>500.0</v>
      </c>
      <c r="BK133" s="47">
        <f>BJ133</f>
        <v>500.0</v>
      </c>
      <c r="BL133" s="103"/>
      <c r="BM133" s="95">
        <f t="shared" si="339"/>
        <v>83.0</v>
      </c>
      <c r="BN133" s="65">
        <f t="shared" si="340"/>
        <v>38.469387755102</v>
      </c>
      <c r="BO133" s="65">
        <f t="shared" si="21"/>
        <v>501.0</v>
      </c>
      <c r="BP133" s="65">
        <f t="shared" si="341"/>
        <v>545.530612244898</v>
      </c>
      <c r="BQ133" s="194">
        <f t="shared" si="342"/>
        <v>4553.21670204081</v>
      </c>
      <c r="BR133" s="65">
        <f t="shared" si="343"/>
        <v>41.4285714285714</v>
      </c>
      <c r="BS133" s="65">
        <f t="shared" si="25"/>
      </c>
      <c r="BT133" s="65">
        <f t="shared" si="344"/>
        <v>504.102040816327</v>
      </c>
      <c r="BU133" s="194">
        <f t="shared" si="345"/>
        <v>4207.43727346939</v>
      </c>
      <c r="BV133" s="65">
        <f t="shared" si="346"/>
        <v>57.4081632653061</v>
      </c>
      <c r="BW133" s="65">
        <f t="shared" si="347"/>
      </c>
      <c r="BX133" s="65">
        <f t="shared" si="348"/>
        <v>446.69387755102</v>
      </c>
      <c r="BY133" s="194">
        <f t="shared" si="349"/>
        <v>3728.28577959183</v>
      </c>
      <c r="BZ133" s="65">
        <f t="shared" si="350"/>
        <v>27.2244897959183</v>
      </c>
      <c r="CA133" s="65"/>
      <c r="CB133" s="65">
        <f t="shared" si="351"/>
        <v>419.469387755101</v>
      </c>
      <c r="CC133" s="194">
        <f t="shared" si="352"/>
        <v>3501.05929795917</v>
      </c>
      <c r="CD133" s="65">
        <f t="shared" si="353"/>
        <v>53.265306122449</v>
      </c>
      <c r="CE133" s="65"/>
      <c r="CF133" s="65">
        <f t="shared" si="354"/>
        <v>366.204081632652</v>
      </c>
      <c r="CG133" s="194">
        <f t="shared" si="355"/>
        <v>3056.48574693877</v>
      </c>
      <c r="CH133" s="65">
        <f t="shared" si="356"/>
        <v>43.204081632653</v>
      </c>
      <c r="CI133" s="65"/>
      <c r="CJ133" s="65">
        <f t="shared" si="357"/>
        <v>322.999999999999</v>
      </c>
      <c r="CK133" s="194">
        <f t="shared" si="358"/>
        <v>3056.48574693877</v>
      </c>
    </row>
    <row r="134" ht="14.0">
      <c r="A134" s="93" t="s">
        <v>179</v>
      </c>
      <c r="B134" s="93" t="s">
        <v>414</v>
      </c>
      <c r="C134" s="93" t="s">
        <v>421</v>
      </c>
      <c r="D134" s="234" t="s">
        <v>422</v>
      </c>
      <c r="E134" s="93">
        <v>0.0</v>
      </c>
      <c r="F134" s="93">
        <v>0.0</v>
      </c>
      <c r="G134" s="93">
        <v>0.0</v>
      </c>
      <c r="H134" s="93">
        <v>0.0</v>
      </c>
      <c r="I134" s="93">
        <v>0.0</v>
      </c>
      <c r="J134" s="93">
        <v>0.0</v>
      </c>
      <c r="K134" s="93">
        <v>0.0</v>
      </c>
      <c r="L134" s="93">
        <v>0.0</v>
      </c>
      <c r="M134" s="93">
        <v>0.0</v>
      </c>
      <c r="N134" s="93">
        <v>0.0</v>
      </c>
      <c r="O134" s="93">
        <v>0.0</v>
      </c>
      <c r="P134" s="93">
        <v>0.0</v>
      </c>
      <c r="Q134" s="93">
        <v>0.0</v>
      </c>
      <c r="R134" s="93">
        <v>0.0</v>
      </c>
      <c r="S134" s="93">
        <v>0.0</v>
      </c>
      <c r="T134" s="93">
        <v>0.0</v>
      </c>
      <c r="U134" s="93">
        <v>0.0</v>
      </c>
      <c r="V134" s="93">
        <v>0.0</v>
      </c>
      <c r="W134" s="93">
        <v>5.0</v>
      </c>
      <c r="X134" s="93">
        <v>67.0</v>
      </c>
      <c r="Y134" s="93">
        <v>54.0</v>
      </c>
      <c r="Z134" s="93">
        <v>35.0</v>
      </c>
      <c r="AA134" s="93">
        <v>36.0</v>
      </c>
      <c r="AB134" s="93">
        <v>72.0</v>
      </c>
      <c r="AC134" s="93">
        <v>84.0</v>
      </c>
      <c r="AD134" s="93">
        <v>60.0</v>
      </c>
      <c r="AE134" s="93">
        <v>36.0</v>
      </c>
      <c r="AF134" s="93">
        <v>33.0</v>
      </c>
      <c r="AG134" s="93">
        <v>39.0</v>
      </c>
      <c r="AH134" s="114">
        <v>15.0</v>
      </c>
      <c r="AI134" s="114">
        <v>27.0</v>
      </c>
      <c r="AJ134" s="114">
        <v>31.0</v>
      </c>
      <c r="AK134" s="114">
        <v>15.0</v>
      </c>
      <c r="AL134" s="114">
        <v>9.0</v>
      </c>
      <c r="AM134" s="114">
        <v>12.0</v>
      </c>
      <c r="AN134" s="93">
        <v>21.0</v>
      </c>
      <c r="AO134" s="93">
        <v>18.0</v>
      </c>
      <c r="AP134" s="93">
        <v>18.0</v>
      </c>
      <c r="AQ134" s="233">
        <v>9.0</v>
      </c>
      <c r="AR134" s="233">
        <v>9.0</v>
      </c>
      <c r="AS134" s="233">
        <v>29.0</v>
      </c>
      <c r="AT134" s="69">
        <f t="shared" si="4"/>
        <v>213.0</v>
      </c>
      <c r="AU134" s="69">
        <f t="shared" si="361"/>
        <v>109.0</v>
      </c>
      <c r="AV134" s="69">
        <f t="shared" si="6"/>
        <v>119.9</v>
      </c>
      <c r="AW134" s="47">
        <f t="shared" si="362"/>
        <v>16.0657596371882</v>
      </c>
      <c r="AX134" s="47">
        <f t="shared" si="363"/>
        <v>17.3015873015873</v>
      </c>
      <c r="AY134" s="47">
        <f t="shared" si="364"/>
        <v>23.9750566893424</v>
      </c>
      <c r="AZ134" s="47">
        <f t="shared" si="365"/>
        <v>11.3696145124717</v>
      </c>
      <c r="BA134" s="47">
        <f t="shared" si="366"/>
        <v>22.2448979591837</v>
      </c>
      <c r="BB134" s="47">
        <f t="shared" si="367"/>
        <v>18.0430839002268</v>
      </c>
      <c r="BC134" s="64">
        <f t="shared" si="13"/>
        <v>109.0</v>
      </c>
      <c r="BD134" s="69">
        <f>VLOOKUP(D134,FEB23SOH,3,false)</f>
        <v>271.0</v>
      </c>
      <c r="BE134" s="201">
        <f>VLOOKUP(D134,VALUEFEB23,4,false)</f>
        <v>7.9559</v>
      </c>
      <c r="BF134" s="215">
        <f t="shared" si="16"/>
        <v>2156.0489</v>
      </c>
      <c r="BI134" s="193">
        <f t="shared" si="338"/>
        <v>162.0</v>
      </c>
      <c r="BJ134" s="217">
        <f>VLOOKUP(C134,MOQ,3,false)</f>
        <v>500.0</v>
      </c>
      <c r="BK134" s="99"/>
      <c r="BL134" s="103"/>
      <c r="BM134" s="95">
        <f t="shared" si="339"/>
        <v>271.0</v>
      </c>
      <c r="BN134" s="65">
        <f t="shared" si="340"/>
        <v>16.0657596371882</v>
      </c>
      <c r="BO134" s="65">
        <f t="shared" si="21"/>
      </c>
      <c r="BP134" s="65">
        <f t="shared" si="341"/>
        <v>254.934240362811</v>
      </c>
      <c r="BQ134" s="194">
        <f t="shared" si="342"/>
        <v>2028.23132290249</v>
      </c>
      <c r="BR134" s="65">
        <f t="shared" si="343"/>
        <v>17.3015873015873</v>
      </c>
      <c r="BS134" s="65">
        <f t="shared" si="25"/>
      </c>
      <c r="BT134" s="65">
        <f t="shared" si="344"/>
        <v>237.632653061223</v>
      </c>
      <c r="BU134" s="194">
        <f t="shared" si="345"/>
        <v>1890.58162448978</v>
      </c>
      <c r="BV134" s="65">
        <f t="shared" si="346"/>
        <v>23.9750566893424</v>
      </c>
      <c r="BW134" s="65">
        <f t="shared" si="347"/>
      </c>
      <c r="BX134" s="65">
        <f t="shared" si="348"/>
        <v>213.65759637188</v>
      </c>
      <c r="BY134" s="194">
        <f t="shared" si="349"/>
        <v>1699.83847097504</v>
      </c>
      <c r="BZ134" s="65">
        <f t="shared" si="350"/>
        <v>11.3696145124717</v>
      </c>
      <c r="CA134" s="65"/>
      <c r="CB134" s="65">
        <f t="shared" si="351"/>
        <v>202.287981859408</v>
      </c>
      <c r="CC134" s="194">
        <f t="shared" si="352"/>
        <v>1609.38295487526</v>
      </c>
      <c r="CD134" s="65">
        <f t="shared" si="353"/>
        <v>22.2448979591837</v>
      </c>
      <c r="CE134" s="65"/>
      <c r="CF134" s="65">
        <f t="shared" si="354"/>
        <v>180.043083900224</v>
      </c>
      <c r="CG134" s="194">
        <f t="shared" si="355"/>
        <v>1432.40477120179</v>
      </c>
      <c r="CH134" s="65">
        <f t="shared" si="356"/>
        <v>18.0430839002268</v>
      </c>
      <c r="CI134" s="65"/>
      <c r="CJ134" s="65">
        <f t="shared" si="357"/>
        <v>161.999999999997</v>
      </c>
      <c r="CK134" s="194">
        <f t="shared" si="358"/>
        <v>1432.40477120179</v>
      </c>
    </row>
    <row r="135" ht="14.0">
      <c r="A135" s="93" t="s">
        <v>179</v>
      </c>
      <c r="B135" s="93" t="s">
        <v>414</v>
      </c>
      <c r="C135" s="93" t="s">
        <v>423</v>
      </c>
      <c r="D135" s="234" t="s">
        <v>424</v>
      </c>
      <c r="E135" s="93">
        <v>0.0</v>
      </c>
      <c r="F135" s="93">
        <v>0.0</v>
      </c>
      <c r="G135" s="93">
        <v>0.0</v>
      </c>
      <c r="H135" s="93">
        <v>0.0</v>
      </c>
      <c r="I135" s="93">
        <v>0.0</v>
      </c>
      <c r="J135" s="93">
        <v>0.0</v>
      </c>
      <c r="K135" s="93">
        <v>0.0</v>
      </c>
      <c r="L135" s="93">
        <v>0.0</v>
      </c>
      <c r="M135" s="93">
        <v>0.0</v>
      </c>
      <c r="N135" s="93">
        <v>0.0</v>
      </c>
      <c r="O135" s="93">
        <v>0.0</v>
      </c>
      <c r="P135" s="93">
        <v>0.0</v>
      </c>
      <c r="Q135" s="93">
        <v>0.0</v>
      </c>
      <c r="R135" s="93">
        <v>0.0</v>
      </c>
      <c r="S135" s="93">
        <v>0.0</v>
      </c>
      <c r="T135" s="93">
        <v>0.0</v>
      </c>
      <c r="U135" s="93">
        <v>0.0</v>
      </c>
      <c r="V135" s="93">
        <v>0.0</v>
      </c>
      <c r="W135" s="93">
        <v>20.0</v>
      </c>
      <c r="X135" s="93">
        <v>117.0</v>
      </c>
      <c r="Y135" s="93">
        <v>75.0</v>
      </c>
      <c r="Z135" s="93">
        <v>101.0</v>
      </c>
      <c r="AA135" s="93">
        <v>51.0</v>
      </c>
      <c r="AB135" s="93">
        <v>116.0</v>
      </c>
      <c r="AC135" s="93">
        <v>44.0</v>
      </c>
      <c r="AD135" s="93">
        <v>135.0</v>
      </c>
      <c r="AE135" s="93">
        <v>48.0</v>
      </c>
      <c r="AF135" s="93">
        <v>32.0</v>
      </c>
      <c r="AG135" s="93">
        <v>45.0</v>
      </c>
      <c r="AH135" s="114">
        <v>27.0</v>
      </c>
      <c r="AI135" s="114">
        <v>30.0</v>
      </c>
      <c r="AJ135" s="114">
        <v>30.0</v>
      </c>
      <c r="AK135" s="114">
        <v>9.0</v>
      </c>
      <c r="AL135" s="114">
        <v>21.0</v>
      </c>
      <c r="AM135" s="114">
        <v>12.0</v>
      </c>
      <c r="AN135" s="93">
        <v>39.0</v>
      </c>
      <c r="AO135" s="93">
        <v>57.0</v>
      </c>
      <c r="AP135" s="93">
        <v>33.0</v>
      </c>
      <c r="AQ135" s="233">
        <v>37.0</v>
      </c>
      <c r="AR135" s="233">
        <v>15.0</v>
      </c>
      <c r="AS135" s="233">
        <v>37.0</v>
      </c>
      <c r="AT135" s="69">
        <f t="shared" si="4"/>
        <v>347.0</v>
      </c>
      <c r="AU135" s="69">
        <f t="shared" si="361"/>
        <v>129.0</v>
      </c>
      <c r="AV135" s="69">
        <f t="shared" si="6"/>
        <v>141.9</v>
      </c>
      <c r="AW135" s="47">
        <f t="shared" si="362"/>
        <v>19.0136054421769</v>
      </c>
      <c r="AX135" s="47">
        <f t="shared" si="363"/>
        <v>20.4761904761904</v>
      </c>
      <c r="AY135" s="47">
        <f t="shared" si="364"/>
        <v>28.374149659864</v>
      </c>
      <c r="AZ135" s="47">
        <f t="shared" si="365"/>
        <v>13.4557823129251</v>
      </c>
      <c r="BA135" s="47">
        <f t="shared" si="366"/>
        <v>26.3265306122449</v>
      </c>
      <c r="BB135" s="47">
        <f t="shared" si="367"/>
        <v>21.3537414965986</v>
      </c>
      <c r="BC135" s="64">
        <f t="shared" si="13"/>
        <v>129.0</v>
      </c>
      <c r="BD135" s="69">
        <f>VLOOKUP(D135,FEB23SOH,3,false)</f>
        <v>264.0</v>
      </c>
      <c r="BE135" s="201">
        <f>VLOOKUP(D135,VALUEFEB23,4,false)</f>
        <v>7.9763</v>
      </c>
      <c r="BF135" s="215">
        <f t="shared" si="16"/>
        <v>2105.7432</v>
      </c>
      <c r="BI135" s="193">
        <f t="shared" si="338"/>
        <v>135.0</v>
      </c>
      <c r="BJ135" s="217">
        <f>VLOOKUP(C135,MOQ,3,false)</f>
        <v>500.0</v>
      </c>
      <c r="BK135" s="99"/>
      <c r="BL135" s="103"/>
      <c r="BM135" s="95">
        <f t="shared" si="339"/>
        <v>264.0</v>
      </c>
      <c r="BN135" s="65">
        <f t="shared" si="340"/>
        <v>19.0136054421769</v>
      </c>
      <c r="BO135" s="65">
        <f t="shared" si="21"/>
      </c>
      <c r="BP135" s="65">
        <f t="shared" si="341"/>
        <v>244.986394557823</v>
      </c>
      <c r="BQ135" s="194">
        <f t="shared" si="342"/>
        <v>1954.08497891156</v>
      </c>
      <c r="BR135" s="65">
        <f t="shared" si="343"/>
        <v>20.4761904761904</v>
      </c>
      <c r="BS135" s="65">
        <f t="shared" si="25"/>
      </c>
      <c r="BT135" s="65">
        <f t="shared" si="344"/>
        <v>224.510204081632</v>
      </c>
      <c r="BU135" s="194">
        <f t="shared" si="345"/>
        <v>1790.76074081632</v>
      </c>
      <c r="BV135" s="65">
        <f t="shared" si="346"/>
        <v>28.374149659864</v>
      </c>
      <c r="BW135" s="65">
        <f t="shared" si="347"/>
      </c>
      <c r="BX135" s="65">
        <f t="shared" si="348"/>
        <v>196.136054421768</v>
      </c>
      <c r="BY135" s="194">
        <f t="shared" si="349"/>
        <v>1564.44001088434</v>
      </c>
      <c r="BZ135" s="65">
        <f t="shared" si="350"/>
        <v>13.4557823129251</v>
      </c>
      <c r="CA135" s="65"/>
      <c r="CB135" s="65">
        <f t="shared" si="351"/>
        <v>182.680272108842</v>
      </c>
      <c r="CC135" s="194">
        <f t="shared" si="352"/>
        <v>1457.11265442176</v>
      </c>
      <c r="CD135" s="65">
        <f t="shared" si="353"/>
        <v>26.3265306122449</v>
      </c>
      <c r="CE135" s="65"/>
      <c r="CF135" s="65">
        <f t="shared" si="354"/>
        <v>156.353741496597</v>
      </c>
      <c r="CG135" s="194">
        <f t="shared" si="355"/>
        <v>1247.1243482993</v>
      </c>
      <c r="CH135" s="65">
        <f t="shared" si="356"/>
        <v>21.3537414965986</v>
      </c>
      <c r="CI135" s="65"/>
      <c r="CJ135" s="65">
        <f t="shared" si="357"/>
        <v>134.999999999998</v>
      </c>
      <c r="CK135" s="194">
        <f t="shared" si="358"/>
        <v>1247.1243482993</v>
      </c>
    </row>
    <row r="136" ht="14.0">
      <c r="A136" s="93" t="s">
        <v>179</v>
      </c>
      <c r="B136" s="93" t="s">
        <v>414</v>
      </c>
      <c r="C136" s="93" t="s">
        <v>425</v>
      </c>
      <c r="D136" s="234" t="s">
        <v>426</v>
      </c>
      <c r="E136" s="93">
        <v>0.0</v>
      </c>
      <c r="F136" s="93">
        <v>0.0</v>
      </c>
      <c r="G136" s="93">
        <v>0.0</v>
      </c>
      <c r="H136" s="93">
        <v>0.0</v>
      </c>
      <c r="I136" s="93">
        <v>0.0</v>
      </c>
      <c r="J136" s="93">
        <v>0.0</v>
      </c>
      <c r="K136" s="93">
        <v>0.0</v>
      </c>
      <c r="L136" s="93">
        <v>0.0</v>
      </c>
      <c r="M136" s="93">
        <v>0.0</v>
      </c>
      <c r="N136" s="93">
        <v>0.0</v>
      </c>
      <c r="O136" s="93">
        <v>0.0</v>
      </c>
      <c r="P136" s="93">
        <v>0.0</v>
      </c>
      <c r="Q136" s="93">
        <v>0.0</v>
      </c>
      <c r="R136" s="93">
        <v>0.0</v>
      </c>
      <c r="S136" s="93">
        <v>0.0</v>
      </c>
      <c r="T136" s="93">
        <v>0.0</v>
      </c>
      <c r="U136" s="93">
        <v>0.0</v>
      </c>
      <c r="V136" s="93">
        <v>0.0</v>
      </c>
      <c r="W136" s="93">
        <v>9.0</v>
      </c>
      <c r="X136" s="93">
        <v>123.0</v>
      </c>
      <c r="Y136" s="93">
        <v>57.0</v>
      </c>
      <c r="Z136" s="93">
        <v>83.0</v>
      </c>
      <c r="AA136" s="93">
        <v>57.0</v>
      </c>
      <c r="AB136" s="93">
        <v>139.0</v>
      </c>
      <c r="AC136" s="93">
        <v>75.0</v>
      </c>
      <c r="AD136" s="93">
        <v>155.0</v>
      </c>
      <c r="AE136" s="93">
        <v>57.0</v>
      </c>
      <c r="AF136" s="93">
        <v>30.0</v>
      </c>
      <c r="AG136" s="93">
        <v>57.0</v>
      </c>
      <c r="AH136" s="114">
        <v>14.0</v>
      </c>
      <c r="AI136" s="114">
        <v>21.0</v>
      </c>
      <c r="AJ136" s="114">
        <v>24.0</v>
      </c>
      <c r="AK136" s="114">
        <v>18.0</v>
      </c>
      <c r="AL136" s="114">
        <v>12.0</v>
      </c>
      <c r="AM136" s="114">
        <v>15.0</v>
      </c>
      <c r="AN136" s="93">
        <v>27.0</v>
      </c>
      <c r="AO136" s="93">
        <v>39.0</v>
      </c>
      <c r="AP136" s="93">
        <v>39.0</v>
      </c>
      <c r="AQ136" s="233">
        <v>51.0</v>
      </c>
      <c r="AR136" s="233">
        <v>33.0</v>
      </c>
      <c r="AS136" s="233">
        <v>37.0</v>
      </c>
      <c r="AT136" s="69">
        <f t="shared" si="4"/>
        <v>330.0</v>
      </c>
      <c r="AU136" s="69">
        <f t="shared" si="361"/>
        <v>104.0</v>
      </c>
      <c r="AV136" s="69">
        <f t="shared" si="6"/>
        <v>114.4</v>
      </c>
      <c r="AW136" s="47">
        <f t="shared" si="362"/>
        <v>15.328798185941</v>
      </c>
      <c r="AX136" s="47">
        <f t="shared" si="363"/>
        <v>16.5079365079365</v>
      </c>
      <c r="AY136" s="47">
        <f t="shared" si="364"/>
        <v>22.875283446712</v>
      </c>
      <c r="AZ136" s="47">
        <f t="shared" si="365"/>
        <v>10.8480725623582</v>
      </c>
      <c r="BA136" s="47">
        <f t="shared" si="366"/>
        <v>21.2244897959183</v>
      </c>
      <c r="BB136" s="47">
        <f t="shared" si="367"/>
        <v>17.2154195011338</v>
      </c>
      <c r="BC136" s="64">
        <f t="shared" si="13"/>
        <v>104.0</v>
      </c>
      <c r="BD136" s="69">
        <f>VLOOKUP(D136,FEB23SOH,3,false)</f>
        <v>260.0</v>
      </c>
      <c r="BE136" s="201">
        <f>VLOOKUP(D136,VALUEFEB23,4,false)</f>
        <v>7.9766</v>
      </c>
      <c r="BF136" s="215">
        <f t="shared" si="16"/>
        <v>2073.916</v>
      </c>
      <c r="BI136" s="193">
        <f t="shared" si="338"/>
        <v>156.0</v>
      </c>
      <c r="BJ136" s="217">
        <f>VLOOKUP(C136,MOQ,3,false)</f>
        <v>500.0</v>
      </c>
      <c r="BK136" s="99"/>
      <c r="BL136" s="103"/>
      <c r="BM136" s="95">
        <f t="shared" si="339"/>
        <v>260.0</v>
      </c>
      <c r="BN136" s="65">
        <f t="shared" si="340"/>
        <v>15.328798185941</v>
      </c>
      <c r="BO136" s="65">
        <f t="shared" si="21"/>
      </c>
      <c r="BP136" s="65">
        <f t="shared" si="341"/>
        <v>244.671201814059</v>
      </c>
      <c r="BQ136" s="194">
        <f t="shared" si="342"/>
        <v>1951.64430839002</v>
      </c>
      <c r="BR136" s="65">
        <f t="shared" si="343"/>
        <v>16.5079365079365</v>
      </c>
      <c r="BS136" s="65">
        <f t="shared" si="25"/>
      </c>
      <c r="BT136" s="65">
        <f t="shared" si="344"/>
        <v>228.163265306122</v>
      </c>
      <c r="BU136" s="194">
        <f t="shared" si="345"/>
        <v>1819.96710204081</v>
      </c>
      <c r="BV136" s="65">
        <f t="shared" si="346"/>
        <v>22.875283446712</v>
      </c>
      <c r="BW136" s="65">
        <f t="shared" si="347"/>
      </c>
      <c r="BX136" s="65">
        <f t="shared" si="348"/>
        <v>205.28798185941</v>
      </c>
      <c r="BY136" s="194">
        <f t="shared" si="349"/>
        <v>1637.50011609977</v>
      </c>
      <c r="BZ136" s="65">
        <f t="shared" si="350"/>
        <v>10.8480725623582</v>
      </c>
      <c r="CA136" s="65"/>
      <c r="CB136" s="65">
        <f t="shared" si="351"/>
        <v>194.439909297051</v>
      </c>
      <c r="CC136" s="194">
        <f t="shared" si="352"/>
        <v>1550.96938049886</v>
      </c>
      <c r="CD136" s="65">
        <f t="shared" si="353"/>
        <v>21.2244897959183</v>
      </c>
      <c r="CE136" s="65"/>
      <c r="CF136" s="65">
        <f t="shared" si="354"/>
        <v>173.215419501132</v>
      </c>
      <c r="CG136" s="194">
        <f t="shared" si="355"/>
        <v>1381.67011519272</v>
      </c>
      <c r="CH136" s="65">
        <f t="shared" si="356"/>
        <v>17.2154195011338</v>
      </c>
      <c r="CI136" s="65"/>
      <c r="CJ136" s="65">
        <f t="shared" si="357"/>
        <v>155.999999999998</v>
      </c>
      <c r="CK136" s="194">
        <f t="shared" si="358"/>
        <v>1381.67011519272</v>
      </c>
    </row>
    <row r="137" ht="14.0">
      <c r="A137" s="93" t="s">
        <v>179</v>
      </c>
      <c r="B137" s="93" t="s">
        <v>414</v>
      </c>
      <c r="C137" s="93" t="s">
        <v>606</v>
      </c>
      <c r="D137" s="229" t="s">
        <v>607</v>
      </c>
      <c r="E137" s="93">
        <v>0.0</v>
      </c>
      <c r="F137" s="93">
        <v>0.0</v>
      </c>
      <c r="G137" s="93">
        <v>0.0</v>
      </c>
      <c r="H137" s="93">
        <v>0.0</v>
      </c>
      <c r="I137" s="93">
        <v>0.0</v>
      </c>
      <c r="J137" s="93">
        <v>0.0</v>
      </c>
      <c r="K137" s="93">
        <v>0.0</v>
      </c>
      <c r="L137" s="93">
        <v>0.0</v>
      </c>
      <c r="M137" s="93">
        <v>0.0</v>
      </c>
      <c r="N137" s="93">
        <v>0.0</v>
      </c>
      <c r="O137" s="93">
        <v>0.0</v>
      </c>
      <c r="P137" s="93">
        <v>0.0</v>
      </c>
      <c r="Q137" s="93">
        <v>0.0</v>
      </c>
      <c r="R137" s="93">
        <v>0.0</v>
      </c>
      <c r="S137" s="93">
        <v>0.0</v>
      </c>
      <c r="T137" s="93">
        <v>0.0</v>
      </c>
      <c r="U137" s="93">
        <v>0.0</v>
      </c>
      <c r="V137" s="93">
        <v>0.0</v>
      </c>
      <c r="W137" s="93">
        <v>0.0</v>
      </c>
      <c r="X137" s="93">
        <v>0.0</v>
      </c>
      <c r="Y137" s="93">
        <v>0.0</v>
      </c>
      <c r="Z137" s="93">
        <v>0.0</v>
      </c>
      <c r="AA137" s="93">
        <v>0.0</v>
      </c>
      <c r="AB137" s="93">
        <v>0.0</v>
      </c>
      <c r="AC137" s="93">
        <v>0.0</v>
      </c>
      <c r="AD137" s="93">
        <v>0.0</v>
      </c>
      <c r="AE137" s="93">
        <v>0.0</v>
      </c>
      <c r="AF137" s="93">
        <v>0.0</v>
      </c>
      <c r="AG137" s="93">
        <v>0.0</v>
      </c>
      <c r="AH137" s="93">
        <v>0.0</v>
      </c>
      <c r="AI137" s="93">
        <v>0.0</v>
      </c>
      <c r="AJ137" s="93">
        <v>0.0</v>
      </c>
      <c r="AK137" s="93">
        <v>0.0</v>
      </c>
      <c r="AL137" s="93">
        <v>0.0</v>
      </c>
      <c r="AM137" s="93">
        <v>42.0</v>
      </c>
      <c r="AN137" s="230">
        <v>114.0</v>
      </c>
      <c r="AO137" s="230">
        <v>98.0</v>
      </c>
      <c r="AP137" s="230">
        <v>136.0</v>
      </c>
      <c r="AQ137" s="231">
        <v>48.0</v>
      </c>
      <c r="AR137" s="231">
        <v>47.0</v>
      </c>
      <c r="AS137" s="231">
        <v>0.0</v>
      </c>
      <c r="AT137" s="69">
        <f t="shared" si="4"/>
        <v>485.0</v>
      </c>
      <c r="AU137" s="69">
        <f t="shared" ref="AU137:AU237" si="371">SUM(AN137:AS137)</f>
        <v>443.0</v>
      </c>
      <c r="AV137" s="69">
        <f t="shared" si="6"/>
        <v>487.3</v>
      </c>
      <c r="AW137" s="47">
        <f t="shared" ref="AW137:AW143" si="372">AV137*$AW$4/$AV$4</f>
        <v>51.5116279069767</v>
      </c>
      <c r="AX137" s="47">
        <f t="shared" ref="AX137:AX143" si="373">AV137*$AX$4/$AV$4</f>
        <v>55.474060822898</v>
      </c>
      <c r="AY137" s="47">
        <f t="shared" ref="AY137:AY143" si="374">AV137*$AY$4/$AV$4</f>
        <v>76.871198568873</v>
      </c>
      <c r="AZ137" s="47">
        <f t="shared" ref="AZ137:AZ143" si="375">AV137*$AZ$4/$AV$4</f>
        <v>36.4543828264759</v>
      </c>
      <c r="BA137" s="47">
        <f t="shared" ref="BA137:BA143" si="376">AV137*$BA$4/$AV$4</f>
        <v>71.3237924865831</v>
      </c>
      <c r="BB137" s="47">
        <f t="shared" ref="BB137:BB143" si="377">AV137*$BB$4/$AV$4</f>
        <v>57.8515205724508</v>
      </c>
      <c r="BC137" s="64">
        <f t="shared" si="13"/>
        <v>349.486583184258</v>
      </c>
      <c r="BD137" s="69">
        <f>VLOOKUP(D137,FEB23SOH,3,false)</f>
        <v>-9.0</v>
      </c>
      <c r="BE137" s="201">
        <f>VLOOKUP(D137,VALUEFEB23,4,false)</f>
      </c>
      <c r="BF137" s="215">
        <f t="shared" si="16"/>
        <v>0.0</v>
      </c>
      <c r="BG137" s="64">
        <f>VLOOKUP(C137,CHINAMAR3,3,false)</f>
        <v>501.0</v>
      </c>
      <c r="BI137" s="193">
        <f t="shared" si="338"/>
        <v>142.513416815742</v>
      </c>
      <c r="BJ137" s="217">
        <v>500.0</v>
      </c>
      <c r="BL137" s="103"/>
      <c r="BM137" s="95">
        <f t="shared" si="339"/>
        <v>-9.0</v>
      </c>
      <c r="BN137" s="65">
        <f t="shared" si="340"/>
        <v>51.5116279069767</v>
      </c>
      <c r="BO137" s="65">
        <f t="shared" si="21"/>
        <v>501.0</v>
      </c>
      <c r="BP137" s="65">
        <f t="shared" si="341"/>
        <v>440.488372093023</v>
      </c>
      <c r="BQ137" s="194">
        <f t="shared" si="342"/>
        <v>0.0</v>
      </c>
      <c r="BR137" s="65">
        <f t="shared" si="343"/>
        <v>55.474060822898</v>
      </c>
      <c r="BS137" s="65">
        <f t="shared" si="25"/>
      </c>
      <c r="BT137" s="65">
        <f t="shared" si="344"/>
        <v>385.014311270124</v>
      </c>
      <c r="BU137" s="194">
        <f t="shared" si="345"/>
        <v>0.0</v>
      </c>
      <c r="BV137" s="65">
        <f t="shared" si="346"/>
        <v>76.871198568873</v>
      </c>
      <c r="BW137" s="65">
        <f t="shared" si="347"/>
      </c>
      <c r="BX137" s="65">
        <f t="shared" si="348"/>
        <v>308.14311270125</v>
      </c>
      <c r="BY137" s="194">
        <f t="shared" si="349"/>
        <v>0.0</v>
      </c>
      <c r="BZ137" s="65">
        <f t="shared" si="350"/>
        <v>36.4543828264759</v>
      </c>
      <c r="CA137" s="65"/>
      <c r="CB137" s="65">
        <f t="shared" si="351"/>
        <v>271.688729874774</v>
      </c>
      <c r="CC137" s="194">
        <f t="shared" si="352"/>
        <v>0.0</v>
      </c>
      <c r="CD137" s="65">
        <f t="shared" si="353"/>
        <v>71.3237924865831</v>
      </c>
      <c r="CE137" s="65"/>
      <c r="CF137" s="65">
        <f t="shared" si="354"/>
        <v>200.36493738819</v>
      </c>
      <c r="CG137" s="194">
        <f t="shared" si="355"/>
        <v>0.0</v>
      </c>
      <c r="CH137" s="65">
        <f t="shared" si="356"/>
        <v>57.8515205724508</v>
      </c>
      <c r="CI137" s="65"/>
      <c r="CJ137" s="65">
        <f t="shared" si="357"/>
        <v>142.513416815739</v>
      </c>
      <c r="CK137" s="194">
        <f t="shared" si="358"/>
        <v>0.0</v>
      </c>
    </row>
    <row r="138" ht="14.0">
      <c r="A138" s="93" t="s">
        <v>179</v>
      </c>
      <c r="B138" s="93" t="s">
        <v>414</v>
      </c>
      <c r="C138" s="93" t="s">
        <v>608</v>
      </c>
      <c r="D138" s="229" t="s">
        <v>609</v>
      </c>
      <c r="E138" s="93">
        <v>0.0</v>
      </c>
      <c r="F138" s="93">
        <v>0.0</v>
      </c>
      <c r="G138" s="93">
        <v>0.0</v>
      </c>
      <c r="H138" s="93">
        <v>0.0</v>
      </c>
      <c r="I138" s="93">
        <v>0.0</v>
      </c>
      <c r="J138" s="93">
        <v>0.0</v>
      </c>
      <c r="K138" s="93">
        <v>0.0</v>
      </c>
      <c r="L138" s="93">
        <v>0.0</v>
      </c>
      <c r="M138" s="93">
        <v>0.0</v>
      </c>
      <c r="N138" s="93">
        <v>0.0</v>
      </c>
      <c r="O138" s="93">
        <v>0.0</v>
      </c>
      <c r="P138" s="93">
        <v>0.0</v>
      </c>
      <c r="Q138" s="93">
        <v>0.0</v>
      </c>
      <c r="R138" s="93">
        <v>0.0</v>
      </c>
      <c r="S138" s="93">
        <v>0.0</v>
      </c>
      <c r="T138" s="93">
        <v>0.0</v>
      </c>
      <c r="U138" s="93">
        <v>0.0</v>
      </c>
      <c r="V138" s="93">
        <v>0.0</v>
      </c>
      <c r="W138" s="93">
        <v>0.0</v>
      </c>
      <c r="X138" s="93">
        <v>0.0</v>
      </c>
      <c r="Y138" s="93">
        <v>0.0</v>
      </c>
      <c r="Z138" s="93">
        <v>0.0</v>
      </c>
      <c r="AA138" s="93">
        <v>0.0</v>
      </c>
      <c r="AB138" s="93">
        <v>0.0</v>
      </c>
      <c r="AC138" s="93">
        <v>0.0</v>
      </c>
      <c r="AD138" s="93">
        <v>0.0</v>
      </c>
      <c r="AE138" s="93">
        <v>0.0</v>
      </c>
      <c r="AF138" s="93">
        <v>0.0</v>
      </c>
      <c r="AG138" s="93">
        <v>0.0</v>
      </c>
      <c r="AH138" s="93">
        <v>0.0</v>
      </c>
      <c r="AI138" s="93">
        <v>0.0</v>
      </c>
      <c r="AJ138" s="93">
        <v>0.0</v>
      </c>
      <c r="AK138" s="93">
        <v>0.0</v>
      </c>
      <c r="AL138" s="93">
        <v>0.0</v>
      </c>
      <c r="AM138" s="93">
        <v>42.0</v>
      </c>
      <c r="AN138" s="230">
        <v>117.0</v>
      </c>
      <c r="AO138" s="230">
        <v>93.0</v>
      </c>
      <c r="AP138" s="230">
        <v>66.0</v>
      </c>
      <c r="AQ138" s="231">
        <v>30.0</v>
      </c>
      <c r="AR138" s="231">
        <v>19.0</v>
      </c>
      <c r="AS138" s="231">
        <v>95.0</v>
      </c>
      <c r="AT138" s="69">
        <f t="shared" si="4"/>
        <v>462.0</v>
      </c>
      <c r="AU138" s="69">
        <f t="shared" si="371"/>
        <v>420.0</v>
      </c>
      <c r="AV138" s="69">
        <f t="shared" si="6"/>
        <v>462.0</v>
      </c>
      <c r="AW138" s="47">
        <f t="shared" si="372"/>
        <v>48.8372093023256</v>
      </c>
      <c r="AX138" s="47">
        <f t="shared" si="373"/>
        <v>52.5939177101968</v>
      </c>
      <c r="AY138" s="47">
        <f t="shared" si="374"/>
        <v>72.8801431127012</v>
      </c>
      <c r="AZ138" s="47">
        <f t="shared" si="375"/>
        <v>34.561717352415</v>
      </c>
      <c r="BA138" s="47">
        <f t="shared" si="376"/>
        <v>67.6207513416816</v>
      </c>
      <c r="BB138" s="47">
        <f t="shared" si="377"/>
        <v>54.8479427549195</v>
      </c>
      <c r="BC138" s="50">
        <f t="shared" si="13"/>
        <v>331.34168157424</v>
      </c>
      <c r="BD138" s="69">
        <f>VLOOKUP(D138,FEB23SOH,3,false)</f>
        <v>50.0</v>
      </c>
      <c r="BE138" s="201">
        <f>VLOOKUP(D138,VALUEFEB23,4,false)</f>
        <v>8.2043</v>
      </c>
      <c r="BF138" s="215">
        <f t="shared" si="16"/>
        <v>410.215</v>
      </c>
      <c r="BG138" s="64">
        <f>VLOOKUP(C138,CHINAMAR3,3,false)</f>
        <v>501.0</v>
      </c>
      <c r="BI138" s="193">
        <f t="shared" si="338"/>
        <v>219.65831842576</v>
      </c>
      <c r="BJ138" s="217">
        <v>500.0</v>
      </c>
      <c r="BK138" s="47">
        <f>BJ138</f>
        <v>500.0</v>
      </c>
      <c r="BL138" s="103"/>
      <c r="BM138" s="95">
        <f t="shared" si="339"/>
        <v>50.0</v>
      </c>
      <c r="BN138" s="65">
        <f t="shared" si="340"/>
        <v>48.8372093023256</v>
      </c>
      <c r="BO138" s="65">
        <f t="shared" si="21"/>
        <v>501.0</v>
      </c>
      <c r="BP138" s="65">
        <f t="shared" si="341"/>
        <v>502.162790697674</v>
      </c>
      <c r="BQ138" s="194">
        <f t="shared" si="342"/>
        <v>4119.89418372092</v>
      </c>
      <c r="BR138" s="65">
        <f t="shared" si="343"/>
        <v>52.5939177101968</v>
      </c>
      <c r="BS138" s="65">
        <f t="shared" si="25"/>
      </c>
      <c r="BT138" s="65">
        <f t="shared" si="344"/>
        <v>449.568872987477</v>
      </c>
      <c r="BU138" s="194">
        <f t="shared" si="345"/>
        <v>3688.39790465116</v>
      </c>
      <c r="BV138" s="65">
        <f t="shared" si="346"/>
        <v>72.8801431127012</v>
      </c>
      <c r="BW138" s="65">
        <f t="shared" si="347"/>
      </c>
      <c r="BX138" s="65">
        <f t="shared" si="348"/>
        <v>376.688729874776</v>
      </c>
      <c r="BY138" s="194">
        <f t="shared" si="349"/>
        <v>3090.46734651162</v>
      </c>
      <c r="BZ138" s="65">
        <f t="shared" si="350"/>
        <v>34.561717352415</v>
      </c>
      <c r="CA138" s="65"/>
      <c r="CB138" s="65">
        <f t="shared" si="351"/>
        <v>342.127012522361</v>
      </c>
      <c r="CC138" s="194">
        <f t="shared" si="352"/>
        <v>2806.9126488372</v>
      </c>
      <c r="CD138" s="65">
        <f t="shared" si="353"/>
        <v>67.6207513416816</v>
      </c>
      <c r="CE138" s="65"/>
      <c r="CF138" s="65">
        <f t="shared" si="354"/>
        <v>274.506261180679</v>
      </c>
      <c r="CG138" s="194">
        <f t="shared" si="355"/>
        <v>2252.13171860464</v>
      </c>
      <c r="CH138" s="65">
        <f t="shared" si="356"/>
        <v>54.8479427549195</v>
      </c>
      <c r="CI138" s="65"/>
      <c r="CJ138" s="65">
        <f t="shared" si="357"/>
        <v>219.65831842576</v>
      </c>
      <c r="CK138" s="194">
        <f t="shared" si="358"/>
        <v>2252.13171860464</v>
      </c>
    </row>
    <row r="139" ht="14.0">
      <c r="A139" s="93" t="s">
        <v>179</v>
      </c>
      <c r="B139" s="93" t="s">
        <v>414</v>
      </c>
      <c r="C139" s="93" t="s">
        <v>610</v>
      </c>
      <c r="D139" s="229" t="s">
        <v>611</v>
      </c>
      <c r="E139" s="93">
        <v>0.0</v>
      </c>
      <c r="F139" s="93">
        <v>0.0</v>
      </c>
      <c r="G139" s="93">
        <v>0.0</v>
      </c>
      <c r="H139" s="93">
        <v>0.0</v>
      </c>
      <c r="I139" s="93">
        <v>0.0</v>
      </c>
      <c r="J139" s="93">
        <v>0.0</v>
      </c>
      <c r="K139" s="93">
        <v>0.0</v>
      </c>
      <c r="L139" s="93">
        <v>0.0</v>
      </c>
      <c r="M139" s="93">
        <v>0.0</v>
      </c>
      <c r="N139" s="93">
        <v>0.0</v>
      </c>
      <c r="O139" s="93">
        <v>0.0</v>
      </c>
      <c r="P139" s="93">
        <v>0.0</v>
      </c>
      <c r="Q139" s="93">
        <v>0.0</v>
      </c>
      <c r="R139" s="93">
        <v>0.0</v>
      </c>
      <c r="S139" s="93">
        <v>0.0</v>
      </c>
      <c r="T139" s="93">
        <v>0.0</v>
      </c>
      <c r="U139" s="93">
        <v>0.0</v>
      </c>
      <c r="V139" s="93">
        <v>0.0</v>
      </c>
      <c r="W139" s="93">
        <v>0.0</v>
      </c>
      <c r="X139" s="93">
        <v>0.0</v>
      </c>
      <c r="Y139" s="93">
        <v>0.0</v>
      </c>
      <c r="Z139" s="93">
        <v>0.0</v>
      </c>
      <c r="AA139" s="93">
        <v>0.0</v>
      </c>
      <c r="AB139" s="93">
        <v>0.0</v>
      </c>
      <c r="AC139" s="93">
        <v>0.0</v>
      </c>
      <c r="AD139" s="93">
        <v>0.0</v>
      </c>
      <c r="AE139" s="93">
        <v>0.0</v>
      </c>
      <c r="AF139" s="93">
        <v>0.0</v>
      </c>
      <c r="AG139" s="93">
        <v>0.0</v>
      </c>
      <c r="AH139" s="93">
        <v>0.0</v>
      </c>
      <c r="AI139" s="93">
        <v>0.0</v>
      </c>
      <c r="AJ139" s="93">
        <v>0.0</v>
      </c>
      <c r="AK139" s="93">
        <v>0.0</v>
      </c>
      <c r="AL139" s="93">
        <v>0.0</v>
      </c>
      <c r="AM139" s="93">
        <v>9.0</v>
      </c>
      <c r="AN139" s="230">
        <v>27.0</v>
      </c>
      <c r="AO139" s="230">
        <v>36.0</v>
      </c>
      <c r="AP139" s="230">
        <v>24.0</v>
      </c>
      <c r="AQ139" s="231">
        <v>12.0</v>
      </c>
      <c r="AR139" s="231">
        <v>5.0</v>
      </c>
      <c r="AS139" s="231">
        <v>22.0</v>
      </c>
      <c r="AT139" s="69">
        <f t="shared" si="4"/>
        <v>135.0</v>
      </c>
      <c r="AU139" s="69">
        <f t="shared" si="371"/>
        <v>126.0</v>
      </c>
      <c r="AV139" s="69">
        <f t="shared" si="6"/>
        <v>138.6</v>
      </c>
      <c r="AW139" s="47">
        <f t="shared" si="372"/>
        <v>14.651162790698</v>
      </c>
      <c r="AX139" s="47">
        <f t="shared" si="373"/>
        <v>15.778175313059</v>
      </c>
      <c r="AY139" s="47">
        <f t="shared" si="374"/>
        <v>21.8640429338103</v>
      </c>
      <c r="AZ139" s="47">
        <f t="shared" si="375"/>
        <v>10.3685152057245</v>
      </c>
      <c r="BA139" s="47">
        <f t="shared" si="376"/>
        <v>20.2862254025044</v>
      </c>
      <c r="BB139" s="47">
        <f t="shared" si="377"/>
        <v>16.4543828264759</v>
      </c>
      <c r="BC139" s="64">
        <f t="shared" si="13"/>
        <v>99.402504472272</v>
      </c>
      <c r="BD139" s="69">
        <f>VLOOKUP(D139,FEB23SOH,3,false)</f>
        <v>367.0</v>
      </c>
      <c r="BE139" s="201">
        <f>VLOOKUP(D139,VALUEFEB23,4,false)</f>
        <v>8.9788</v>
      </c>
      <c r="BF139" s="215">
        <f t="shared" si="16"/>
        <v>3295.2196</v>
      </c>
      <c r="BI139" s="193">
        <f t="shared" si="338"/>
        <v>267.597495527728</v>
      </c>
      <c r="BL139" s="103"/>
      <c r="BM139" s="95">
        <f t="shared" si="339"/>
        <v>367.0</v>
      </c>
      <c r="BN139" s="65">
        <f t="shared" si="340"/>
        <v>14.651162790698</v>
      </c>
      <c r="BO139" s="65">
        <f t="shared" si="21"/>
      </c>
      <c r="BP139" s="65">
        <f t="shared" si="341"/>
        <v>352.348837209302</v>
      </c>
      <c r="BQ139" s="194">
        <f t="shared" si="342"/>
        <v>3163.66973953488</v>
      </c>
      <c r="BR139" s="65">
        <f t="shared" si="343"/>
        <v>15.778175313059</v>
      </c>
      <c r="BS139" s="65">
        <f t="shared" si="25"/>
      </c>
      <c r="BT139" s="65">
        <f t="shared" si="344"/>
        <v>336.570661896243</v>
      </c>
      <c r="BU139" s="194">
        <f t="shared" si="345"/>
        <v>3022.00065903399</v>
      </c>
      <c r="BV139" s="65">
        <f t="shared" si="346"/>
        <v>21.8640429338103</v>
      </c>
      <c r="BW139" s="65">
        <f t="shared" si="347"/>
      </c>
      <c r="BX139" s="65">
        <f t="shared" si="348"/>
        <v>314.706618962432</v>
      </c>
      <c r="BY139" s="194">
        <f t="shared" si="349"/>
        <v>2825.68779033988</v>
      </c>
      <c r="BZ139" s="65">
        <f t="shared" si="350"/>
        <v>10.3685152057245</v>
      </c>
      <c r="CA139" s="65"/>
      <c r="CB139" s="65">
        <f t="shared" si="351"/>
        <v>304.3381037567</v>
      </c>
      <c r="CC139" s="194">
        <f t="shared" si="352"/>
        <v>2732.59096601066</v>
      </c>
      <c r="CD139" s="65">
        <f t="shared" si="353"/>
        <v>20.2862254025044</v>
      </c>
      <c r="CE139" s="65"/>
      <c r="CF139" s="65">
        <f t="shared" si="354"/>
        <v>284.0518783542</v>
      </c>
      <c r="CG139" s="194">
        <f t="shared" si="355"/>
        <v>2550.44500536669</v>
      </c>
      <c r="CH139" s="65">
        <f t="shared" si="356"/>
        <v>16.4543828264759</v>
      </c>
      <c r="CI139" s="65"/>
      <c r="CJ139" s="65">
        <f t="shared" si="357"/>
        <v>267.597495527724</v>
      </c>
      <c r="CK139" s="194">
        <f t="shared" si="358"/>
        <v>2550.44500536669</v>
      </c>
    </row>
    <row r="140" ht="14.0">
      <c r="A140" s="93" t="s">
        <v>179</v>
      </c>
      <c r="B140" s="93" t="s">
        <v>414</v>
      </c>
      <c r="C140" s="93" t="s">
        <v>612</v>
      </c>
      <c r="D140" s="229" t="s">
        <v>613</v>
      </c>
      <c r="E140" s="93">
        <v>0.0</v>
      </c>
      <c r="F140" s="93">
        <v>0.0</v>
      </c>
      <c r="G140" s="93">
        <v>0.0</v>
      </c>
      <c r="H140" s="93">
        <v>0.0</v>
      </c>
      <c r="I140" s="93">
        <v>0.0</v>
      </c>
      <c r="J140" s="93">
        <v>0.0</v>
      </c>
      <c r="K140" s="93">
        <v>0.0</v>
      </c>
      <c r="L140" s="93">
        <v>0.0</v>
      </c>
      <c r="M140" s="93">
        <v>0.0</v>
      </c>
      <c r="N140" s="93">
        <v>0.0</v>
      </c>
      <c r="O140" s="93">
        <v>0.0</v>
      </c>
      <c r="P140" s="93">
        <v>0.0</v>
      </c>
      <c r="Q140" s="93">
        <v>0.0</v>
      </c>
      <c r="R140" s="93">
        <v>0.0</v>
      </c>
      <c r="S140" s="93">
        <v>0.0</v>
      </c>
      <c r="T140" s="93">
        <v>0.0</v>
      </c>
      <c r="U140" s="93">
        <v>0.0</v>
      </c>
      <c r="V140" s="93">
        <v>0.0</v>
      </c>
      <c r="W140" s="93">
        <v>0.0</v>
      </c>
      <c r="X140" s="93">
        <v>0.0</v>
      </c>
      <c r="Y140" s="93">
        <v>0.0</v>
      </c>
      <c r="Z140" s="93">
        <v>0.0</v>
      </c>
      <c r="AA140" s="93">
        <v>0.0</v>
      </c>
      <c r="AB140" s="93">
        <v>0.0</v>
      </c>
      <c r="AC140" s="93">
        <v>0.0</v>
      </c>
      <c r="AD140" s="93">
        <v>0.0</v>
      </c>
      <c r="AE140" s="93">
        <v>0.0</v>
      </c>
      <c r="AF140" s="93">
        <v>0.0</v>
      </c>
      <c r="AG140" s="93">
        <v>0.0</v>
      </c>
      <c r="AH140" s="93">
        <v>0.0</v>
      </c>
      <c r="AI140" s="93">
        <v>0.0</v>
      </c>
      <c r="AJ140" s="93">
        <v>0.0</v>
      </c>
      <c r="AK140" s="93">
        <v>0.0</v>
      </c>
      <c r="AL140" s="93">
        <v>0.0</v>
      </c>
      <c r="AM140" s="93">
        <v>9.0</v>
      </c>
      <c r="AN140" s="230">
        <v>6.0</v>
      </c>
      <c r="AO140" s="230">
        <v>12.0</v>
      </c>
      <c r="AP140" s="230">
        <v>18.0</v>
      </c>
      <c r="AQ140" s="231">
        <v>0.0</v>
      </c>
      <c r="AR140" s="231">
        <v>9.0</v>
      </c>
      <c r="AS140" s="231">
        <v>7.0</v>
      </c>
      <c r="AT140" s="69">
        <f t="shared" si="4"/>
        <v>61.0</v>
      </c>
      <c r="AU140" s="69">
        <f t="shared" si="371"/>
        <v>52.0</v>
      </c>
      <c r="AV140" s="69">
        <f t="shared" si="6"/>
        <v>57.2</v>
      </c>
      <c r="AW140" s="47">
        <f t="shared" si="372"/>
        <v>6.046511627907</v>
      </c>
      <c r="AX140" s="47">
        <f t="shared" si="373"/>
        <v>6.51162790697674</v>
      </c>
      <c r="AY140" s="47">
        <f t="shared" si="374"/>
        <v>9.02325581395349</v>
      </c>
      <c r="AZ140" s="47">
        <f t="shared" si="375"/>
        <v>4.27906976744186</v>
      </c>
      <c r="BA140" s="47">
        <f t="shared" si="376"/>
        <v>8.37209302325581</v>
      </c>
      <c r="BB140" s="47">
        <f t="shared" si="377"/>
        <v>6.7906976744186</v>
      </c>
      <c r="BC140" s="64">
        <f t="shared" si="13"/>
        <v>41.0232558139535</v>
      </c>
      <c r="BD140" s="69">
        <f>VLOOKUP(D140,FEB23SOH,3,false)</f>
        <v>441.0</v>
      </c>
      <c r="BE140" s="201">
        <f>VLOOKUP(D140,VALUEFEB23,4,false)</f>
        <v>8.9785</v>
      </c>
      <c r="BF140" s="215">
        <f t="shared" si="16"/>
        <v>3959.5185</v>
      </c>
      <c r="BI140" s="193">
        <f t="shared" si="338"/>
        <v>399.97674418604</v>
      </c>
      <c r="BL140" s="103"/>
      <c r="BM140" s="95">
        <f t="shared" si="339"/>
        <v>441.0</v>
      </c>
      <c r="BN140" s="65">
        <f t="shared" si="340"/>
        <v>6.046511627907</v>
      </c>
      <c r="BO140" s="65">
        <f t="shared" si="21"/>
      </c>
      <c r="BP140" s="65">
        <f t="shared" si="341"/>
        <v>434.953488372093</v>
      </c>
      <c r="BQ140" s="194">
        <f t="shared" si="342"/>
        <v>3905.22989534883</v>
      </c>
      <c r="BR140" s="65">
        <f t="shared" si="343"/>
        <v>6.51162790697674</v>
      </c>
      <c r="BS140" s="65">
        <f t="shared" si="25"/>
      </c>
      <c r="BT140" s="65">
        <f t="shared" si="344"/>
        <v>428.441860465116</v>
      </c>
      <c r="BU140" s="194">
        <f t="shared" si="345"/>
        <v>3846.76524418604</v>
      </c>
      <c r="BV140" s="65">
        <f t="shared" si="346"/>
        <v>9.02325581395349</v>
      </c>
      <c r="BW140" s="65">
        <f t="shared" si="347"/>
      </c>
      <c r="BX140" s="65">
        <f t="shared" si="348"/>
        <v>419.418604651162</v>
      </c>
      <c r="BY140" s="194">
        <f t="shared" si="349"/>
        <v>3765.74994186046</v>
      </c>
      <c r="BZ140" s="65">
        <f t="shared" si="350"/>
        <v>4.27906976744186</v>
      </c>
      <c r="CA140" s="65"/>
      <c r="CB140" s="65">
        <f t="shared" si="351"/>
        <v>415.13953488372</v>
      </c>
      <c r="CC140" s="194">
        <f t="shared" si="352"/>
        <v>3727.33031395348</v>
      </c>
      <c r="CD140" s="65">
        <f t="shared" si="353"/>
        <v>8.37209302325581</v>
      </c>
      <c r="CE140" s="65"/>
      <c r="CF140" s="65">
        <f t="shared" si="354"/>
        <v>406.767441860464</v>
      </c>
      <c r="CG140" s="194">
        <f t="shared" si="355"/>
        <v>3652.16147674418</v>
      </c>
      <c r="CH140" s="65">
        <f t="shared" si="356"/>
        <v>6.7906976744186</v>
      </c>
      <c r="CI140" s="65"/>
      <c r="CJ140" s="65">
        <f t="shared" si="357"/>
        <v>399.976744186045</v>
      </c>
      <c r="CK140" s="194">
        <f t="shared" si="358"/>
        <v>3652.16147674418</v>
      </c>
    </row>
    <row r="141" ht="14.0">
      <c r="A141" s="93" t="s">
        <v>179</v>
      </c>
      <c r="B141" s="93" t="s">
        <v>414</v>
      </c>
      <c r="C141" s="93" t="s">
        <v>614</v>
      </c>
      <c r="D141" s="229" t="s">
        <v>615</v>
      </c>
      <c r="E141" s="93">
        <v>0.0</v>
      </c>
      <c r="F141" s="93">
        <v>0.0</v>
      </c>
      <c r="G141" s="93">
        <v>0.0</v>
      </c>
      <c r="H141" s="93">
        <v>0.0</v>
      </c>
      <c r="I141" s="93">
        <v>0.0</v>
      </c>
      <c r="J141" s="93">
        <v>0.0</v>
      </c>
      <c r="K141" s="93">
        <v>0.0</v>
      </c>
      <c r="L141" s="93">
        <v>0.0</v>
      </c>
      <c r="M141" s="93">
        <v>0.0</v>
      </c>
      <c r="N141" s="93">
        <v>0.0</v>
      </c>
      <c r="O141" s="93">
        <v>0.0</v>
      </c>
      <c r="P141" s="93">
        <v>0.0</v>
      </c>
      <c r="Q141" s="93">
        <v>0.0</v>
      </c>
      <c r="R141" s="93">
        <v>0.0</v>
      </c>
      <c r="S141" s="93">
        <v>0.0</v>
      </c>
      <c r="T141" s="93">
        <v>0.0</v>
      </c>
      <c r="U141" s="93">
        <v>0.0</v>
      </c>
      <c r="V141" s="93">
        <v>0.0</v>
      </c>
      <c r="W141" s="93">
        <v>0.0</v>
      </c>
      <c r="X141" s="93">
        <v>0.0</v>
      </c>
      <c r="Y141" s="93">
        <v>0.0</v>
      </c>
      <c r="Z141" s="93">
        <v>0.0</v>
      </c>
      <c r="AA141" s="93">
        <v>0.0</v>
      </c>
      <c r="AB141" s="93">
        <v>0.0</v>
      </c>
      <c r="AC141" s="93">
        <v>0.0</v>
      </c>
      <c r="AD141" s="93">
        <v>0.0</v>
      </c>
      <c r="AE141" s="93">
        <v>0.0</v>
      </c>
      <c r="AF141" s="93">
        <v>0.0</v>
      </c>
      <c r="AG141" s="93">
        <v>0.0</v>
      </c>
      <c r="AH141" s="93">
        <v>0.0</v>
      </c>
      <c r="AI141" s="93">
        <v>0.0</v>
      </c>
      <c r="AJ141" s="93">
        <v>0.0</v>
      </c>
      <c r="AK141" s="93">
        <v>0.0</v>
      </c>
      <c r="AL141" s="93">
        <v>0.0</v>
      </c>
      <c r="AM141" s="93">
        <v>15.0</v>
      </c>
      <c r="AN141" s="230">
        <v>10.0</v>
      </c>
      <c r="AO141" s="230">
        <v>18.0</v>
      </c>
      <c r="AP141" s="230">
        <v>24.0</v>
      </c>
      <c r="AQ141" s="231">
        <v>3.0</v>
      </c>
      <c r="AR141" s="231">
        <v>3.0</v>
      </c>
      <c r="AS141" s="231">
        <v>9.0</v>
      </c>
      <c r="AT141" s="69">
        <f t="shared" si="4"/>
        <v>82.0</v>
      </c>
      <c r="AU141" s="69">
        <f t="shared" si="371"/>
        <v>67.0</v>
      </c>
      <c r="AV141" s="69">
        <f t="shared" si="6"/>
        <v>73.7</v>
      </c>
      <c r="AW141" s="47">
        <f t="shared" si="372"/>
        <v>7.7906976744186</v>
      </c>
      <c r="AX141" s="47">
        <f t="shared" si="373"/>
        <v>8.38998211091234</v>
      </c>
      <c r="AY141" s="47">
        <f t="shared" si="374"/>
        <v>11.6261180679785</v>
      </c>
      <c r="AZ141" s="47">
        <f t="shared" si="375"/>
        <v>5.5134168157424</v>
      </c>
      <c r="BA141" s="47">
        <f t="shared" si="376"/>
        <v>10.7871198568873</v>
      </c>
      <c r="BB141" s="47">
        <f t="shared" si="377"/>
        <v>8.74955277280859</v>
      </c>
      <c r="BC141" s="64">
        <f t="shared" si="13"/>
        <v>52.8568872987477</v>
      </c>
      <c r="BD141" s="69">
        <f>VLOOKUP(D141,FEB23SOH,3,false)</f>
        <v>421.0</v>
      </c>
      <c r="BE141" s="201">
        <f>VLOOKUP(D141,VALUEFEB23,4,false)</f>
        <v>8.9785</v>
      </c>
      <c r="BF141" s="215">
        <f t="shared" si="16"/>
        <v>3779.9485</v>
      </c>
      <c r="BI141" s="193">
        <f t="shared" si="338"/>
        <v>368.143112701252</v>
      </c>
      <c r="BL141" s="103"/>
      <c r="BM141" s="95">
        <f t="shared" si="339"/>
        <v>421.0</v>
      </c>
      <c r="BN141" s="65">
        <f t="shared" si="340"/>
        <v>7.7906976744186</v>
      </c>
      <c r="BO141" s="65">
        <f t="shared" si="21"/>
      </c>
      <c r="BP141" s="65">
        <f t="shared" si="341"/>
        <v>413.209302325581</v>
      </c>
      <c r="BQ141" s="194">
        <f t="shared" si="342"/>
        <v>3709.99972093022</v>
      </c>
      <c r="BR141" s="65">
        <f t="shared" si="343"/>
        <v>8.38998211091234</v>
      </c>
      <c r="BS141" s="65">
        <f t="shared" si="25"/>
      </c>
      <c r="BT141" s="65">
        <f t="shared" si="344"/>
        <v>404.819320214669</v>
      </c>
      <c r="BU141" s="194">
        <f t="shared" si="345"/>
        <v>3634.6702665474</v>
      </c>
      <c r="BV141" s="65">
        <f t="shared" si="346"/>
        <v>11.6261180679785</v>
      </c>
      <c r="BW141" s="65">
        <f t="shared" si="347"/>
      </c>
      <c r="BX141" s="65">
        <f t="shared" si="348"/>
        <v>393.19320214669</v>
      </c>
      <c r="BY141" s="194">
        <f t="shared" si="349"/>
        <v>3530.28516547406</v>
      </c>
      <c r="BZ141" s="65">
        <f t="shared" si="350"/>
        <v>5.5134168157424</v>
      </c>
      <c r="CA141" s="65"/>
      <c r="CB141" s="65">
        <f t="shared" si="351"/>
        <v>387.67978533094</v>
      </c>
      <c r="CC141" s="194">
        <f t="shared" si="352"/>
        <v>3480.78295259384</v>
      </c>
      <c r="CD141" s="65">
        <f t="shared" si="353"/>
        <v>10.7871198568873</v>
      </c>
      <c r="CE141" s="65"/>
      <c r="CF141" s="65">
        <f t="shared" si="354"/>
        <v>376.892665474052</v>
      </c>
      <c r="CG141" s="194">
        <f t="shared" si="355"/>
        <v>3383.93079695878</v>
      </c>
      <c r="CH141" s="65">
        <f t="shared" si="356"/>
        <v>8.74955277280859</v>
      </c>
      <c r="CI141" s="65"/>
      <c r="CJ141" s="65">
        <f t="shared" si="357"/>
        <v>368.143112701243</v>
      </c>
      <c r="CK141" s="194">
        <f t="shared" si="358"/>
        <v>3383.93079695878</v>
      </c>
    </row>
    <row r="142" ht="14.0" customFormat="1" s="47">
      <c r="A142" s="93" t="s">
        <v>179</v>
      </c>
      <c r="B142" s="93" t="s">
        <v>414</v>
      </c>
      <c r="C142" s="93" t="s">
        <v>616</v>
      </c>
      <c r="D142" s="229" t="s">
        <v>617</v>
      </c>
      <c r="E142" s="93">
        <v>0.0</v>
      </c>
      <c r="F142" s="93">
        <v>0.0</v>
      </c>
      <c r="G142" s="93">
        <v>0.0</v>
      </c>
      <c r="H142" s="93">
        <v>0.0</v>
      </c>
      <c r="I142" s="93">
        <v>0.0</v>
      </c>
      <c r="J142" s="93">
        <v>0.0</v>
      </c>
      <c r="K142" s="93">
        <v>0.0</v>
      </c>
      <c r="L142" s="93">
        <v>0.0</v>
      </c>
      <c r="M142" s="93">
        <v>0.0</v>
      </c>
      <c r="N142" s="93">
        <v>0.0</v>
      </c>
      <c r="O142" s="93">
        <v>0.0</v>
      </c>
      <c r="P142" s="93">
        <v>0.0</v>
      </c>
      <c r="Q142" s="93">
        <v>0.0</v>
      </c>
      <c r="R142" s="93">
        <v>0.0</v>
      </c>
      <c r="S142" s="93">
        <v>0.0</v>
      </c>
      <c r="T142" s="93">
        <v>0.0</v>
      </c>
      <c r="U142" s="93">
        <v>0.0</v>
      </c>
      <c r="V142" s="93">
        <v>0.0</v>
      </c>
      <c r="W142" s="93">
        <v>0.0</v>
      </c>
      <c r="X142" s="93">
        <v>0.0</v>
      </c>
      <c r="Y142" s="93">
        <v>0.0</v>
      </c>
      <c r="Z142" s="93">
        <v>0.0</v>
      </c>
      <c r="AA142" s="93">
        <v>0.0</v>
      </c>
      <c r="AB142" s="93">
        <v>0.0</v>
      </c>
      <c r="AC142" s="93">
        <v>0.0</v>
      </c>
      <c r="AD142" s="93">
        <v>0.0</v>
      </c>
      <c r="AE142" s="93">
        <v>0.0</v>
      </c>
      <c r="AF142" s="93">
        <v>0.0</v>
      </c>
      <c r="AG142" s="93">
        <v>0.0</v>
      </c>
      <c r="AH142" s="93">
        <v>0.0</v>
      </c>
      <c r="AI142" s="93">
        <v>0.0</v>
      </c>
      <c r="AJ142" s="93">
        <v>0.0</v>
      </c>
      <c r="AK142" s="93">
        <v>0.0</v>
      </c>
      <c r="AL142" s="93">
        <v>0.0</v>
      </c>
      <c r="AM142" s="93">
        <v>33.0</v>
      </c>
      <c r="AN142" s="230">
        <v>84.0</v>
      </c>
      <c r="AO142" s="230">
        <v>48.0</v>
      </c>
      <c r="AP142" s="230">
        <v>84.0</v>
      </c>
      <c r="AQ142" s="231">
        <v>12.0</v>
      </c>
      <c r="AR142" s="231">
        <v>12.0</v>
      </c>
      <c r="AS142" s="231">
        <v>32.0</v>
      </c>
      <c r="AT142" s="69">
        <f t="shared" si="4"/>
        <v>305.0</v>
      </c>
      <c r="AU142" s="69">
        <f t="shared" si="371"/>
        <v>272.0</v>
      </c>
      <c r="AV142" s="69">
        <f t="shared" si="6"/>
        <v>299.2</v>
      </c>
      <c r="AW142" s="47">
        <f t="shared" si="372"/>
        <v>31.6279069767441</v>
      </c>
      <c r="AX142" s="47">
        <f t="shared" si="373"/>
        <v>34.0608228980322</v>
      </c>
      <c r="AY142" s="47">
        <f t="shared" si="374"/>
        <v>47.1985688729874</v>
      </c>
      <c r="AZ142" s="47">
        <f t="shared" si="375"/>
        <v>22.3828264758497</v>
      </c>
      <c r="BA142" s="47">
        <f t="shared" si="376"/>
        <v>43.7924865831842</v>
      </c>
      <c r="BB142" s="47">
        <f t="shared" si="377"/>
        <v>35.520572450805</v>
      </c>
      <c r="BC142" s="64">
        <f t="shared" si="13"/>
        <v>214.583184257602</v>
      </c>
      <c r="BD142" s="69">
        <f>VLOOKUP(D142,FEB23SOH,3,false)</f>
        <v>181.0</v>
      </c>
      <c r="BE142" s="201">
        <f>VLOOKUP(D142,VALUEFEB23,4,false)</f>
        <v>8.9805</v>
      </c>
      <c r="BF142" s="215">
        <f t="shared" si="16"/>
        <v>1625.4705</v>
      </c>
      <c r="BG142" s="64"/>
      <c r="BH142" s="64"/>
      <c r="BI142" s="193">
        <f t="shared" si="338"/>
        <v>-33.583184257602</v>
      </c>
      <c r="BJ142" s="217">
        <v>500.0</v>
      </c>
      <c r="BK142" s="185">
        <f>BJ142</f>
        <v>500.0</v>
      </c>
      <c r="BL142" s="103" t="s">
        <v>6</v>
      </c>
      <c r="BM142" s="95">
        <f t="shared" si="339"/>
        <v>181.0</v>
      </c>
      <c r="BN142" s="65">
        <f t="shared" si="340"/>
        <v>31.6279069767441</v>
      </c>
      <c r="BO142" s="65">
        <f t="shared" si="21"/>
      </c>
      <c r="BP142" s="65">
        <f t="shared" si="341"/>
        <v>149.37209302326</v>
      </c>
      <c r="BQ142" s="194">
        <f t="shared" si="342"/>
        <v>1341.43608139539</v>
      </c>
      <c r="BR142" s="65">
        <f t="shared" si="343"/>
        <v>34.0608228980322</v>
      </c>
      <c r="BS142" s="65">
        <f t="shared" si="25"/>
      </c>
      <c r="BT142" s="65">
        <f t="shared" si="344"/>
        <v>115.31127012522</v>
      </c>
      <c r="BU142" s="194">
        <f t="shared" si="345"/>
        <v>1035.55286135953</v>
      </c>
      <c r="BV142" s="65">
        <f t="shared" si="346"/>
        <v>47.1985688729874</v>
      </c>
      <c r="BW142" s="65">
        <f t="shared" si="347"/>
      </c>
      <c r="BX142" s="65">
        <f t="shared" si="348"/>
        <v>68.1127012522326</v>
      </c>
      <c r="BY142" s="194">
        <f t="shared" si="349"/>
        <v>611.686113595674</v>
      </c>
      <c r="BZ142" s="65">
        <f t="shared" si="350"/>
        <v>22.3828264758497</v>
      </c>
      <c r="CA142" s="65"/>
      <c r="CB142" s="65">
        <f t="shared" si="351"/>
        <v>45.7298747763829</v>
      </c>
      <c r="CC142" s="194">
        <f t="shared" si="352"/>
        <v>410.6771404293</v>
      </c>
      <c r="CD142" s="65">
        <f t="shared" si="353"/>
        <v>43.7924865831842</v>
      </c>
      <c r="CE142" s="65"/>
      <c r="CF142" s="65">
        <f t="shared" si="354"/>
        <v>1.9373881931987</v>
      </c>
      <c r="CG142" s="194">
        <f t="shared" si="355"/>
        <v>17.3987146690209</v>
      </c>
      <c r="CH142" s="65">
        <f t="shared" si="356"/>
        <v>35.520572450805</v>
      </c>
      <c r="CI142" s="65"/>
      <c r="CJ142" s="65">
        <f t="shared" si="357"/>
        <v>-33.5831842576063</v>
      </c>
      <c r="CK142" s="194">
        <f t="shared" si="358"/>
        <v>17.3987146690209</v>
      </c>
    </row>
    <row r="143" ht="14.0">
      <c r="A143" s="93" t="s">
        <v>179</v>
      </c>
      <c r="B143" s="93" t="s">
        <v>414</v>
      </c>
      <c r="C143" s="93" t="s">
        <v>618</v>
      </c>
      <c r="D143" s="229" t="s">
        <v>619</v>
      </c>
      <c r="E143" s="93">
        <v>0.0</v>
      </c>
      <c r="F143" s="93">
        <v>0.0</v>
      </c>
      <c r="G143" s="93">
        <v>0.0</v>
      </c>
      <c r="H143" s="93">
        <v>0.0</v>
      </c>
      <c r="I143" s="93">
        <v>0.0</v>
      </c>
      <c r="J143" s="93">
        <v>0.0</v>
      </c>
      <c r="K143" s="93">
        <v>0.0</v>
      </c>
      <c r="L143" s="93">
        <v>0.0</v>
      </c>
      <c r="M143" s="93">
        <v>0.0</v>
      </c>
      <c r="N143" s="93">
        <v>0.0</v>
      </c>
      <c r="O143" s="93">
        <v>0.0</v>
      </c>
      <c r="P143" s="93">
        <v>0.0</v>
      </c>
      <c r="Q143" s="93">
        <v>0.0</v>
      </c>
      <c r="R143" s="93">
        <v>0.0</v>
      </c>
      <c r="S143" s="93">
        <v>0.0</v>
      </c>
      <c r="T143" s="93">
        <v>0.0</v>
      </c>
      <c r="U143" s="93">
        <v>0.0</v>
      </c>
      <c r="V143" s="93">
        <v>0.0</v>
      </c>
      <c r="W143" s="93">
        <v>0.0</v>
      </c>
      <c r="X143" s="93">
        <v>0.0</v>
      </c>
      <c r="Y143" s="93">
        <v>0.0</v>
      </c>
      <c r="Z143" s="93">
        <v>0.0</v>
      </c>
      <c r="AA143" s="93">
        <v>0.0</v>
      </c>
      <c r="AB143" s="93">
        <v>0.0</v>
      </c>
      <c r="AC143" s="93">
        <v>0.0</v>
      </c>
      <c r="AD143" s="93">
        <v>0.0</v>
      </c>
      <c r="AE143" s="93">
        <v>0.0</v>
      </c>
      <c r="AF143" s="93">
        <v>0.0</v>
      </c>
      <c r="AG143" s="93">
        <v>0.0</v>
      </c>
      <c r="AH143" s="93">
        <v>0.0</v>
      </c>
      <c r="AI143" s="93">
        <v>0.0</v>
      </c>
      <c r="AJ143" s="93">
        <v>0.0</v>
      </c>
      <c r="AK143" s="93">
        <v>0.0</v>
      </c>
      <c r="AL143" s="93">
        <v>0.0</v>
      </c>
      <c r="AM143" s="93">
        <v>18.0</v>
      </c>
      <c r="AN143" s="230">
        <v>43.0</v>
      </c>
      <c r="AO143" s="230">
        <v>18.0</v>
      </c>
      <c r="AP143" s="230">
        <v>51.0</v>
      </c>
      <c r="AQ143" s="231">
        <v>9.0</v>
      </c>
      <c r="AR143" s="231">
        <v>3.0</v>
      </c>
      <c r="AS143" s="231">
        <v>18.0</v>
      </c>
      <c r="AT143" s="69">
        <f t="shared" si="4"/>
        <v>160.0</v>
      </c>
      <c r="AU143" s="69">
        <f t="shared" si="371"/>
        <v>142.0</v>
      </c>
      <c r="AV143" s="69">
        <f t="shared" si="6"/>
        <v>156.2</v>
      </c>
      <c r="AW143" s="47">
        <f t="shared" si="372"/>
        <v>16.5116279069767</v>
      </c>
      <c r="AX143" s="47">
        <f t="shared" si="373"/>
        <v>17.7817531305903</v>
      </c>
      <c r="AY143" s="47">
        <f t="shared" si="374"/>
        <v>24.6404293381038</v>
      </c>
      <c r="AZ143" s="47">
        <f t="shared" si="375"/>
        <v>11.685152057245</v>
      </c>
      <c r="BA143" s="47">
        <f t="shared" si="376"/>
        <v>22.8622540250447</v>
      </c>
      <c r="BB143" s="47">
        <f t="shared" si="377"/>
        <v>18.5438282647584</v>
      </c>
      <c r="BC143" s="64">
        <f t="shared" si="13"/>
        <v>112.02504472271</v>
      </c>
      <c r="BD143" s="69">
        <f>VLOOKUP(D143,FEB23SOH,3,false)</f>
        <v>338.0</v>
      </c>
      <c r="BE143" s="201">
        <f>VLOOKUP(D143,VALUEFEB23,4,false)</f>
        <v>8.9771</v>
      </c>
      <c r="BF143" s="215">
        <f t="shared" si="16"/>
        <v>3034.2598</v>
      </c>
      <c r="BI143" s="193">
        <f t="shared" si="338"/>
        <v>225.97495527729</v>
      </c>
      <c r="BL143" s="103"/>
      <c r="BM143" s="95">
        <f t="shared" si="339"/>
        <v>338.0</v>
      </c>
      <c r="BN143" s="65">
        <f t="shared" si="340"/>
        <v>16.5116279069767</v>
      </c>
      <c r="BO143" s="65">
        <f t="shared" si="21"/>
      </c>
      <c r="BP143" s="65">
        <f t="shared" si="341"/>
        <v>321.488372093023</v>
      </c>
      <c r="BQ143" s="194">
        <f t="shared" si="342"/>
        <v>2886.03326511628</v>
      </c>
      <c r="BR143" s="65">
        <f t="shared" si="343"/>
        <v>17.7817531305903</v>
      </c>
      <c r="BS143" s="65">
        <f t="shared" si="25"/>
      </c>
      <c r="BT143" s="65">
        <f t="shared" si="344"/>
        <v>303.706618962432</v>
      </c>
      <c r="BU143" s="194">
        <f t="shared" si="345"/>
        <v>2726.40468908764</v>
      </c>
      <c r="BV143" s="65">
        <f t="shared" si="346"/>
        <v>24.6404293381038</v>
      </c>
      <c r="BW143" s="65">
        <f t="shared" si="347"/>
      </c>
      <c r="BX143" s="65">
        <f t="shared" si="348"/>
        <v>279.066189624328</v>
      </c>
      <c r="BY143" s="194">
        <f t="shared" si="349"/>
        <v>2505.20509087656</v>
      </c>
      <c r="BZ143" s="65">
        <f t="shared" si="350"/>
        <v>11.685152057245</v>
      </c>
      <c r="CA143" s="65"/>
      <c r="CB143" s="65">
        <f t="shared" si="351"/>
        <v>267.381037567083</v>
      </c>
      <c r="CC143" s="194">
        <f t="shared" si="352"/>
        <v>2400.30631234346</v>
      </c>
      <c r="CD143" s="65">
        <f t="shared" si="353"/>
        <v>22.8622540250447</v>
      </c>
      <c r="CE143" s="65"/>
      <c r="CF143" s="65">
        <f t="shared" si="354"/>
        <v>244.518783542038</v>
      </c>
      <c r="CG143" s="194">
        <f t="shared" si="355"/>
        <v>2195.06957173522</v>
      </c>
      <c r="CH143" s="65">
        <f t="shared" si="356"/>
        <v>18.5438282647584</v>
      </c>
      <c r="CI143" s="65"/>
      <c r="CJ143" s="65">
        <f t="shared" si="357"/>
        <v>225.97495527728</v>
      </c>
      <c r="CK143" s="194">
        <f t="shared" si="358"/>
        <v>2195.06957173522</v>
      </c>
    </row>
    <row r="144" ht="14.0" customFormat="1" s="47">
      <c r="A144" s="93" t="s">
        <v>179</v>
      </c>
      <c r="B144" s="93" t="s">
        <v>620</v>
      </c>
      <c r="C144" s="93" t="s">
        <v>621</v>
      </c>
      <c r="D144" s="234" t="s">
        <v>622</v>
      </c>
      <c r="E144" s="93">
        <v>0.0</v>
      </c>
      <c r="F144" s="93">
        <v>0.0</v>
      </c>
      <c r="G144" s="93">
        <v>0.0</v>
      </c>
      <c r="H144" s="93">
        <v>0.0</v>
      </c>
      <c r="I144" s="93">
        <v>0.0</v>
      </c>
      <c r="J144" s="93">
        <v>0.0</v>
      </c>
      <c r="K144" s="93">
        <v>0.0</v>
      </c>
      <c r="L144" s="93">
        <v>0.0</v>
      </c>
      <c r="M144" s="93">
        <v>0.0</v>
      </c>
      <c r="N144" s="93">
        <v>0.0</v>
      </c>
      <c r="O144" s="93">
        <v>0.0</v>
      </c>
      <c r="P144" s="93">
        <v>0.0</v>
      </c>
      <c r="Q144" s="93">
        <v>0.0</v>
      </c>
      <c r="R144" s="93">
        <v>0.0</v>
      </c>
      <c r="S144" s="93">
        <v>0.0</v>
      </c>
      <c r="T144" s="93">
        <v>0.0</v>
      </c>
      <c r="U144" s="93">
        <v>0.0</v>
      </c>
      <c r="V144" s="93">
        <v>0.0</v>
      </c>
      <c r="W144" s="93">
        <v>0.0</v>
      </c>
      <c r="X144" s="93">
        <v>0.0</v>
      </c>
      <c r="Y144" s="93">
        <v>0.0</v>
      </c>
      <c r="Z144" s="93">
        <v>0.0</v>
      </c>
      <c r="AA144" s="93">
        <v>0.0</v>
      </c>
      <c r="AB144" s="93">
        <v>0.0</v>
      </c>
      <c r="AC144" s="93">
        <v>0.0</v>
      </c>
      <c r="AD144" s="93">
        <v>0.0</v>
      </c>
      <c r="AE144" s="93">
        <v>0.0</v>
      </c>
      <c r="AF144" s="93">
        <v>0.0</v>
      </c>
      <c r="AG144" s="93">
        <v>0.0</v>
      </c>
      <c r="AH144" s="93">
        <v>0.0</v>
      </c>
      <c r="AI144" s="93">
        <v>0.0</v>
      </c>
      <c r="AJ144" s="93">
        <v>-1.0</v>
      </c>
      <c r="AK144" s="93">
        <v>0.0</v>
      </c>
      <c r="AL144" s="93">
        <v>0.0</v>
      </c>
      <c r="AM144" s="93">
        <v>0.0</v>
      </c>
      <c r="AN144" s="230">
        <v>0.0</v>
      </c>
      <c r="AO144" s="230">
        <v>0.0</v>
      </c>
      <c r="AP144" s="230">
        <v>12.0</v>
      </c>
      <c r="AQ144" s="231">
        <v>36.0</v>
      </c>
      <c r="AR144" s="231">
        <v>18.0</v>
      </c>
      <c r="AS144" s="231">
        <v>22.0</v>
      </c>
      <c r="AT144" s="69">
        <f t="shared" si="4"/>
        <v>87.0</v>
      </c>
      <c r="AU144" s="69">
        <f t="shared" si="371"/>
        <v>88.0</v>
      </c>
      <c r="AV144" s="69">
        <f t="shared" si="6"/>
        <v>96.8</v>
      </c>
      <c r="AW144" s="65">
        <f t="shared" ref="AW144:AW147" si="381">AVERAGE(AP144:AR144)*1.1</f>
        <v>24.2</v>
      </c>
      <c r="AX144" s="47">
        <f t="shared" ref="AX144:AX145" si="382">AW144</f>
        <v>24.2</v>
      </c>
      <c r="AY144" s="47">
        <f t="shared" ref="AY144:AY145" si="383">AX144</f>
        <v>24.2</v>
      </c>
      <c r="AZ144" s="47">
        <f t="shared" ref="AZ144:AZ145" si="384">AY144</f>
        <v>24.2</v>
      </c>
      <c r="BA144" s="47">
        <f t="shared" ref="BA144:BA145" si="385">AZ144</f>
        <v>24.2</v>
      </c>
      <c r="BB144" s="47">
        <f t="shared" ref="BB144:BB145" si="386">BA144</f>
        <v>24.2</v>
      </c>
      <c r="BC144" s="64">
        <f t="shared" si="13"/>
        <v>145.2</v>
      </c>
      <c r="BD144" s="69">
        <f>VLOOKUP(D144,FEB23SOH,3,false)</f>
        <v>48.0</v>
      </c>
      <c r="BE144" s="201">
        <f>VLOOKUP(D144,VALUEFEB23,4,false)</f>
        <v>1.0052</v>
      </c>
      <c r="BF144" s="215">
        <f t="shared" si="16"/>
        <v>48.2496</v>
      </c>
      <c r="BG144" s="64"/>
      <c r="BH144" s="64"/>
      <c r="BI144" s="193">
        <f t="shared" si="338"/>
        <v>-97.1999999999998</v>
      </c>
      <c r="BJ144" s="217">
        <v>501.0</v>
      </c>
      <c r="BK144" s="236">
        <f t="shared" ref="BK144:BK147" si="387">BJ144</f>
        <v>501.0</v>
      </c>
      <c r="BL144" s="103" t="s">
        <v>519</v>
      </c>
      <c r="BM144" s="95">
        <f t="shared" si="339"/>
        <v>48.0</v>
      </c>
      <c r="BN144" s="65">
        <f t="shared" si="340"/>
        <v>24.2</v>
      </c>
      <c r="BO144" s="65">
        <f t="shared" si="21"/>
      </c>
      <c r="BP144" s="65">
        <f t="shared" si="341"/>
        <v>23.8</v>
      </c>
      <c r="BQ144" s="194">
        <f t="shared" si="342"/>
        <v>23.92376</v>
      </c>
      <c r="BR144" s="65">
        <f t="shared" si="343"/>
        <v>24.2</v>
      </c>
      <c r="BS144" s="65">
        <f t="shared" si="25"/>
      </c>
      <c r="BT144" s="65">
        <f t="shared" si="344"/>
        <v>-0.399999999999997</v>
      </c>
      <c r="BU144" s="194">
        <f t="shared" si="345"/>
        <v>-0.402079999999997</v>
      </c>
      <c r="BV144" s="65">
        <f t="shared" si="346"/>
        <v>24.2</v>
      </c>
      <c r="BW144" s="65">
        <f t="shared" si="347"/>
      </c>
      <c r="BX144" s="65">
        <f t="shared" si="348"/>
        <v>-24.5999999999998</v>
      </c>
      <c r="BY144" s="194">
        <f t="shared" si="349"/>
        <v>-24.7279199999998</v>
      </c>
      <c r="BZ144" s="65">
        <f t="shared" si="350"/>
        <v>24.2</v>
      </c>
      <c r="CA144" s="65"/>
      <c r="CB144" s="65">
        <f t="shared" si="351"/>
        <v>-48.7999999999998</v>
      </c>
      <c r="CC144" s="194">
        <f t="shared" si="352"/>
        <v>-49.0537599999998</v>
      </c>
      <c r="CD144" s="65">
        <f t="shared" si="353"/>
        <v>24.2</v>
      </c>
      <c r="CE144" s="65"/>
      <c r="CF144" s="65">
        <f t="shared" si="354"/>
        <v>-72.9999999999998</v>
      </c>
      <c r="CG144" s="194">
        <f t="shared" si="355"/>
        <v>-73.3795999999998</v>
      </c>
      <c r="CH144" s="65">
        <f t="shared" si="356"/>
        <v>24.2</v>
      </c>
      <c r="CI144" s="65"/>
      <c r="CJ144" s="65">
        <f t="shared" si="357"/>
        <v>-97.1999999999998</v>
      </c>
      <c r="CK144" s="194">
        <f t="shared" si="358"/>
        <v>-73.3795999999998</v>
      </c>
    </row>
    <row r="145" ht="14.0" customFormat="1" s="47">
      <c r="A145" s="93" t="s">
        <v>179</v>
      </c>
      <c r="B145" s="93" t="s">
        <v>620</v>
      </c>
      <c r="C145" s="93" t="s">
        <v>623</v>
      </c>
      <c r="D145" s="234" t="s">
        <v>624</v>
      </c>
      <c r="E145" s="93">
        <v>0.0</v>
      </c>
      <c r="F145" s="93">
        <v>0.0</v>
      </c>
      <c r="G145" s="93">
        <v>0.0</v>
      </c>
      <c r="H145" s="93">
        <v>0.0</v>
      </c>
      <c r="I145" s="93">
        <v>0.0</v>
      </c>
      <c r="J145" s="93">
        <v>0.0</v>
      </c>
      <c r="K145" s="93">
        <v>0.0</v>
      </c>
      <c r="L145" s="93">
        <v>0.0</v>
      </c>
      <c r="M145" s="93">
        <v>0.0</v>
      </c>
      <c r="N145" s="93">
        <v>0.0</v>
      </c>
      <c r="O145" s="93">
        <v>0.0</v>
      </c>
      <c r="P145" s="93">
        <v>0.0</v>
      </c>
      <c r="Q145" s="93">
        <v>0.0</v>
      </c>
      <c r="R145" s="93">
        <v>0.0</v>
      </c>
      <c r="S145" s="93">
        <v>0.0</v>
      </c>
      <c r="T145" s="93">
        <v>0.0</v>
      </c>
      <c r="U145" s="93">
        <v>0.0</v>
      </c>
      <c r="V145" s="93">
        <v>0.0</v>
      </c>
      <c r="W145" s="93">
        <v>0.0</v>
      </c>
      <c r="X145" s="93">
        <v>0.0</v>
      </c>
      <c r="Y145" s="93">
        <v>0.0</v>
      </c>
      <c r="Z145" s="93">
        <v>0.0</v>
      </c>
      <c r="AA145" s="93">
        <v>0.0</v>
      </c>
      <c r="AB145" s="93">
        <v>0.0</v>
      </c>
      <c r="AC145" s="93">
        <v>0.0</v>
      </c>
      <c r="AD145" s="93">
        <v>-1.0</v>
      </c>
      <c r="AE145" s="93">
        <v>0.0</v>
      </c>
      <c r="AF145" s="93">
        <v>0.0</v>
      </c>
      <c r="AG145" s="93">
        <v>0.0</v>
      </c>
      <c r="AH145" s="93">
        <v>0.0</v>
      </c>
      <c r="AI145" s="93">
        <v>-1.0</v>
      </c>
      <c r="AJ145" s="93">
        <v>0.0</v>
      </c>
      <c r="AK145" s="93">
        <v>0.0</v>
      </c>
      <c r="AL145" s="93">
        <v>0.0</v>
      </c>
      <c r="AM145" s="93">
        <v>0.0</v>
      </c>
      <c r="AN145" s="230">
        <v>0.0</v>
      </c>
      <c r="AO145" s="230">
        <v>0.0</v>
      </c>
      <c r="AP145" s="230">
        <v>0.0</v>
      </c>
      <c r="AQ145" s="231">
        <v>6.0</v>
      </c>
      <c r="AR145" s="231">
        <v>36.0</v>
      </c>
      <c r="AS145" s="231">
        <v>22.0</v>
      </c>
      <c r="AT145" s="69">
        <f t="shared" si="4"/>
        <v>63.0</v>
      </c>
      <c r="AU145" s="69">
        <f t="shared" si="371"/>
        <v>64.0</v>
      </c>
      <c r="AV145" s="69">
        <f t="shared" si="6"/>
        <v>70.4</v>
      </c>
      <c r="AW145" s="65">
        <f t="shared" si="381"/>
        <v>15.4</v>
      </c>
      <c r="AX145" s="47">
        <f t="shared" si="382"/>
        <v>15.4</v>
      </c>
      <c r="AY145" s="47">
        <f t="shared" si="383"/>
        <v>15.4</v>
      </c>
      <c r="AZ145" s="47">
        <f t="shared" si="384"/>
        <v>15.4</v>
      </c>
      <c r="BA145" s="47">
        <f t="shared" si="385"/>
        <v>15.4</v>
      </c>
      <c r="BB145" s="47">
        <f t="shared" si="386"/>
        <v>15.4</v>
      </c>
      <c r="BC145" s="64">
        <f t="shared" si="13"/>
        <v>92.4</v>
      </c>
      <c r="BD145" s="69">
        <f>VLOOKUP(D145,FEB23SOH,3,false)</f>
        <v>72.0</v>
      </c>
      <c r="BE145" s="201">
        <f>VLOOKUP(D145,VALUEFEB23,4,false)</f>
        <v>1.0054</v>
      </c>
      <c r="BF145" s="215">
        <f t="shared" si="16"/>
        <v>72.3888</v>
      </c>
      <c r="BG145" s="64"/>
      <c r="BH145" s="64"/>
      <c r="BI145" s="193">
        <f t="shared" si="338"/>
        <v>-20.4</v>
      </c>
      <c r="BJ145" s="217">
        <v>501.0</v>
      </c>
      <c r="BK145" s="236">
        <f t="shared" si="387"/>
        <v>501.0</v>
      </c>
      <c r="BL145" s="103" t="s">
        <v>5</v>
      </c>
      <c r="BM145" s="95">
        <f t="shared" si="339"/>
        <v>72.0</v>
      </c>
      <c r="BN145" s="65">
        <f t="shared" si="340"/>
        <v>15.4</v>
      </c>
      <c r="BO145" s="65">
        <f t="shared" si="21"/>
      </c>
      <c r="BP145" s="65">
        <f t="shared" si="341"/>
        <v>56.6</v>
      </c>
      <c r="BQ145" s="194">
        <f t="shared" si="342"/>
        <v>56.90564</v>
      </c>
      <c r="BR145" s="65">
        <f t="shared" si="343"/>
        <v>15.4</v>
      </c>
      <c r="BS145" s="65">
        <f t="shared" si="25"/>
      </c>
      <c r="BT145" s="65">
        <f t="shared" si="344"/>
        <v>41.2</v>
      </c>
      <c r="BU145" s="194">
        <f t="shared" si="345"/>
        <v>41.42248</v>
      </c>
      <c r="BV145" s="65">
        <f t="shared" si="346"/>
        <v>15.4</v>
      </c>
      <c r="BW145" s="65">
        <f t="shared" si="347"/>
      </c>
      <c r="BX145" s="65">
        <f t="shared" si="348"/>
        <v>25.8</v>
      </c>
      <c r="BY145" s="194">
        <f t="shared" si="349"/>
        <v>25.93932</v>
      </c>
      <c r="BZ145" s="65">
        <f t="shared" si="350"/>
        <v>15.4</v>
      </c>
      <c r="CA145" s="65"/>
      <c r="CB145" s="65">
        <f t="shared" si="351"/>
        <v>10.4</v>
      </c>
      <c r="CC145" s="194">
        <f t="shared" si="352"/>
        <v>10.45616</v>
      </c>
      <c r="CD145" s="65">
        <f t="shared" si="353"/>
        <v>15.4</v>
      </c>
      <c r="CE145" s="65"/>
      <c r="CF145" s="65">
        <f t="shared" si="354"/>
        <v>-5.0</v>
      </c>
      <c r="CG145" s="194">
        <f t="shared" si="355"/>
        <v>-5.027</v>
      </c>
      <c r="CH145" s="65">
        <f t="shared" si="356"/>
        <v>15.4</v>
      </c>
      <c r="CI145" s="65"/>
      <c r="CJ145" s="65">
        <f t="shared" si="357"/>
        <v>-20.4</v>
      </c>
      <c r="CK145" s="194">
        <f t="shared" si="358"/>
        <v>-5.027</v>
      </c>
    </row>
    <row r="146" ht="14.0" customFormat="1" s="47">
      <c r="A146" s="93" t="s">
        <v>179</v>
      </c>
      <c r="B146" s="93" t="s">
        <v>625</v>
      </c>
      <c r="C146" s="93" t="s">
        <v>626</v>
      </c>
      <c r="D146" s="229" t="s">
        <v>627</v>
      </c>
      <c r="E146" s="93">
        <v>0.0</v>
      </c>
      <c r="F146" s="93">
        <v>0.0</v>
      </c>
      <c r="G146" s="93">
        <v>0.0</v>
      </c>
      <c r="H146" s="93">
        <v>0.0</v>
      </c>
      <c r="I146" s="93">
        <v>0.0</v>
      </c>
      <c r="J146" s="93">
        <v>0.0</v>
      </c>
      <c r="K146" s="93">
        <v>0.0</v>
      </c>
      <c r="L146" s="93">
        <v>0.0</v>
      </c>
      <c r="M146" s="93">
        <v>0.0</v>
      </c>
      <c r="N146" s="93">
        <v>0.0</v>
      </c>
      <c r="O146" s="93">
        <v>0.0</v>
      </c>
      <c r="P146" s="93">
        <v>0.0</v>
      </c>
      <c r="Q146" s="93">
        <v>0.0</v>
      </c>
      <c r="R146" s="93">
        <v>0.0</v>
      </c>
      <c r="S146" s="93">
        <v>0.0</v>
      </c>
      <c r="T146" s="93">
        <v>0.0</v>
      </c>
      <c r="U146" s="93">
        <v>0.0</v>
      </c>
      <c r="V146" s="93">
        <v>0.0</v>
      </c>
      <c r="W146" s="93">
        <v>0.0</v>
      </c>
      <c r="X146" s="93">
        <v>0.0</v>
      </c>
      <c r="Y146" s="93">
        <v>0.0</v>
      </c>
      <c r="Z146" s="93">
        <v>0.0</v>
      </c>
      <c r="AA146" s="93">
        <v>0.0</v>
      </c>
      <c r="AB146" s="93">
        <v>0.0</v>
      </c>
      <c r="AC146" s="93">
        <v>0.0</v>
      </c>
      <c r="AD146" s="93">
        <v>1.0</v>
      </c>
      <c r="AE146" s="93">
        <v>-1.0</v>
      </c>
      <c r="AF146" s="93">
        <v>1.0</v>
      </c>
      <c r="AG146" s="93">
        <v>0.0</v>
      </c>
      <c r="AH146" s="93">
        <v>0.0</v>
      </c>
      <c r="AI146" s="93">
        <v>0.0</v>
      </c>
      <c r="AJ146" s="93">
        <v>0.0</v>
      </c>
      <c r="AK146" s="93">
        <v>0.0</v>
      </c>
      <c r="AL146" s="93">
        <v>0.0</v>
      </c>
      <c r="AM146" s="93">
        <v>0.0</v>
      </c>
      <c r="AN146" s="230">
        <v>0.0</v>
      </c>
      <c r="AO146" s="230">
        <v>0.0</v>
      </c>
      <c r="AP146" s="230">
        <v>6.0</v>
      </c>
      <c r="AQ146" s="231">
        <v>18.0</v>
      </c>
      <c r="AR146" s="231">
        <v>29.0</v>
      </c>
      <c r="AS146" s="231">
        <v>51.0</v>
      </c>
      <c r="AT146" s="69">
        <f t="shared" si="4"/>
        <v>104.0</v>
      </c>
      <c r="AU146" s="69">
        <f t="shared" si="371"/>
        <v>104.0</v>
      </c>
      <c r="AV146" s="69">
        <f t="shared" si="6"/>
        <v>114.4</v>
      </c>
      <c r="AW146" s="65">
        <f t="shared" si="381"/>
        <v>19.4333333333333</v>
      </c>
      <c r="AX146" s="47">
        <f t="shared" ref="AX146:AX147" si="388">AV146*$AX$4/$AV$4+4*8</f>
        <v>45.0232558139534</v>
      </c>
      <c r="AY146" s="47">
        <f t="shared" ref="AY146:AY147" si="389">AV146*$AY$4/$AV$4+4*8</f>
        <v>50.0465116279</v>
      </c>
      <c r="AZ146" s="47">
        <f t="shared" ref="AZ146:AZ147" si="390">AV146*$AZ$4/$AV$4+4*8</f>
        <v>40.5581395348837</v>
      </c>
      <c r="BA146" s="47">
        <f t="shared" ref="BA146:BA147" si="391">AV146*$BA$4/$AV$4+4*8</f>
        <v>48.7441860465116</v>
      </c>
      <c r="BB146" s="47">
        <f t="shared" ref="BB146:BB147" si="392">AV146*$BB$4/$AV$4+4*8</f>
        <v>45.5813953488372</v>
      </c>
      <c r="BC146" s="64">
        <f t="shared" si="13"/>
        <v>249.386821705419</v>
      </c>
      <c r="BD146" s="69">
        <f>VLOOKUP(D146,FEB23SOH,3,false)</f>
        <v>31.0</v>
      </c>
      <c r="BE146" s="201">
        <f>VLOOKUP(D146,VALUEFEB23,4,false)</f>
        <v>1.0052</v>
      </c>
      <c r="BF146" s="215">
        <f t="shared" si="16"/>
        <v>31.1612</v>
      </c>
      <c r="BG146" s="64"/>
      <c r="BH146" s="64"/>
      <c r="BI146" s="193">
        <f t="shared" si="338"/>
        <v>-218.386821705419</v>
      </c>
      <c r="BJ146" s="217">
        <v>501.0</v>
      </c>
      <c r="BK146" s="185">
        <f t="shared" si="387"/>
        <v>501.0</v>
      </c>
      <c r="BL146" s="103" t="s">
        <v>519</v>
      </c>
      <c r="BM146" s="95">
        <f t="shared" si="339"/>
        <v>31.0</v>
      </c>
      <c r="BN146" s="65">
        <f t="shared" si="340"/>
        <v>19.4333333333333</v>
      </c>
      <c r="BO146" s="65">
        <f t="shared" si="21"/>
      </c>
      <c r="BP146" s="65">
        <f t="shared" si="341"/>
        <v>11.5666666666667</v>
      </c>
      <c r="BQ146" s="194">
        <f t="shared" si="342"/>
        <v>11.6268133333333</v>
      </c>
      <c r="BR146" s="65">
        <f t="shared" si="343"/>
        <v>45.0232558139534</v>
      </c>
      <c r="BS146" s="65">
        <f t="shared" si="25"/>
      </c>
      <c r="BT146" s="65">
        <f t="shared" si="344"/>
        <v>-33.4565891472867</v>
      </c>
      <c r="BU146" s="194">
        <f t="shared" si="345"/>
        <v>-33.6305634108524</v>
      </c>
      <c r="BV146" s="65">
        <f t="shared" si="346"/>
        <v>50.0465116279</v>
      </c>
      <c r="BW146" s="65">
        <f t="shared" si="347"/>
      </c>
      <c r="BX146" s="65">
        <f t="shared" si="348"/>
        <v>-83.5031007751867</v>
      </c>
      <c r="BY146" s="194">
        <f t="shared" si="349"/>
        <v>-83.9373168992175</v>
      </c>
      <c r="BZ146" s="65">
        <f t="shared" si="350"/>
        <v>40.5581395348837</v>
      </c>
      <c r="CA146" s="65"/>
      <c r="CB146" s="65">
        <f t="shared" si="351"/>
        <v>-124.06124031007</v>
      </c>
      <c r="CC146" s="194">
        <f t="shared" si="352"/>
        <v>-124.706358759682</v>
      </c>
      <c r="CD146" s="65">
        <f t="shared" si="353"/>
        <v>48.7441860465116</v>
      </c>
      <c r="CE146" s="65"/>
      <c r="CF146" s="65">
        <f t="shared" si="354"/>
        <v>-172.805426356581</v>
      </c>
      <c r="CG146" s="194">
        <f t="shared" si="355"/>
        <v>-173.704014573635</v>
      </c>
      <c r="CH146" s="65">
        <f t="shared" si="356"/>
        <v>45.5813953488372</v>
      </c>
      <c r="CI146" s="65"/>
      <c r="CJ146" s="65">
        <f t="shared" si="357"/>
        <v>-218.386821705418</v>
      </c>
      <c r="CK146" s="194">
        <f t="shared" si="358"/>
        <v>-173.704014573635</v>
      </c>
    </row>
    <row r="147" ht="14.0" customFormat="1" s="47">
      <c r="A147" s="93" t="s">
        <v>179</v>
      </c>
      <c r="B147" s="93" t="s">
        <v>625</v>
      </c>
      <c r="C147" s="93" t="s">
        <v>628</v>
      </c>
      <c r="D147" s="234" t="s">
        <v>629</v>
      </c>
      <c r="E147" s="93">
        <v>0.0</v>
      </c>
      <c r="F147" s="93">
        <v>0.0</v>
      </c>
      <c r="G147" s="93">
        <v>0.0</v>
      </c>
      <c r="H147" s="93">
        <v>0.0</v>
      </c>
      <c r="I147" s="93">
        <v>0.0</v>
      </c>
      <c r="J147" s="93">
        <v>0.0</v>
      </c>
      <c r="K147" s="93">
        <v>0.0</v>
      </c>
      <c r="L147" s="93">
        <v>0.0</v>
      </c>
      <c r="M147" s="93">
        <v>0.0</v>
      </c>
      <c r="N147" s="93">
        <v>0.0</v>
      </c>
      <c r="O147" s="93">
        <v>0.0</v>
      </c>
      <c r="P147" s="93">
        <v>0.0</v>
      </c>
      <c r="Q147" s="93">
        <v>0.0</v>
      </c>
      <c r="R147" s="93">
        <v>0.0</v>
      </c>
      <c r="S147" s="93">
        <v>0.0</v>
      </c>
      <c r="T147" s="93">
        <v>0.0</v>
      </c>
      <c r="U147" s="93">
        <v>0.0</v>
      </c>
      <c r="V147" s="93">
        <v>0.0</v>
      </c>
      <c r="W147" s="93">
        <v>0.0</v>
      </c>
      <c r="X147" s="93">
        <v>0.0</v>
      </c>
      <c r="Y147" s="93">
        <v>0.0</v>
      </c>
      <c r="Z147" s="93">
        <v>0.0</v>
      </c>
      <c r="AA147" s="93">
        <v>0.0</v>
      </c>
      <c r="AB147" s="93">
        <v>0.0</v>
      </c>
      <c r="AC147" s="93">
        <v>-1.0</v>
      </c>
      <c r="AD147" s="93">
        <v>0.0</v>
      </c>
      <c r="AE147" s="93">
        <v>0.0</v>
      </c>
      <c r="AF147" s="93">
        <v>-1.0</v>
      </c>
      <c r="AG147" s="93">
        <v>0.0</v>
      </c>
      <c r="AH147" s="93">
        <v>0.0</v>
      </c>
      <c r="AI147" s="93">
        <v>0.0</v>
      </c>
      <c r="AJ147" s="93">
        <v>0.0</v>
      </c>
      <c r="AK147" s="93">
        <v>0.0</v>
      </c>
      <c r="AL147" s="93">
        <v>-1.0</v>
      </c>
      <c r="AM147" s="93">
        <v>0.0</v>
      </c>
      <c r="AN147" s="230">
        <v>-1.0</v>
      </c>
      <c r="AO147" s="230">
        <v>0.0</v>
      </c>
      <c r="AP147" s="230">
        <v>5.0</v>
      </c>
      <c r="AQ147" s="231">
        <v>30.0</v>
      </c>
      <c r="AR147" s="231">
        <v>11.0</v>
      </c>
      <c r="AS147" s="231">
        <v>51.0</v>
      </c>
      <c r="AT147" s="69">
        <f t="shared" si="4"/>
        <v>95.0</v>
      </c>
      <c r="AU147" s="69">
        <f t="shared" si="371"/>
        <v>96.0</v>
      </c>
      <c r="AV147" s="69">
        <f t="shared" si="6"/>
        <v>105.6</v>
      </c>
      <c r="AW147" s="65">
        <f t="shared" si="381"/>
        <v>16.8666666666667</v>
      </c>
      <c r="AX147" s="47">
        <f t="shared" si="388"/>
        <v>44.0214669051878</v>
      </c>
      <c r="AY147" s="47">
        <f t="shared" si="389"/>
        <v>48.6583184257602</v>
      </c>
      <c r="AZ147" s="47">
        <f t="shared" si="390"/>
        <v>39.8998211091234</v>
      </c>
      <c r="BA147" s="47">
        <f t="shared" si="391"/>
        <v>47.4561717352415</v>
      </c>
      <c r="BB147" s="47">
        <f t="shared" si="392"/>
        <v>44.5366726296959</v>
      </c>
      <c r="BC147" s="64">
        <f t="shared" si="13"/>
        <v>241.43911747168</v>
      </c>
      <c r="BD147" s="69">
        <f>VLOOKUP(D147,FEB23SOH,3,false)</f>
        <v>76.0</v>
      </c>
      <c r="BE147" s="201">
        <f>VLOOKUP(D147,VALUEFEB23,4,false)</f>
        <v>1.0055</v>
      </c>
      <c r="BF147" s="215">
        <f t="shared" si="16"/>
        <v>76.418</v>
      </c>
      <c r="BG147" s="64"/>
      <c r="BH147" s="64"/>
      <c r="BI147" s="193">
        <f t="shared" si="338"/>
        <v>-165.43911747168</v>
      </c>
      <c r="BJ147" s="217">
        <v>501.0</v>
      </c>
      <c r="BK147" s="236">
        <f t="shared" si="387"/>
        <v>501.0</v>
      </c>
      <c r="BL147" s="103" t="s">
        <v>520</v>
      </c>
      <c r="BM147" s="95">
        <f t="shared" si="339"/>
        <v>76.0</v>
      </c>
      <c r="BN147" s="65">
        <f t="shared" si="340"/>
        <v>16.8666666666667</v>
      </c>
      <c r="BO147" s="65">
        <f t="shared" si="21"/>
      </c>
      <c r="BP147" s="65">
        <f t="shared" si="341"/>
        <v>59.1333333333333</v>
      </c>
      <c r="BQ147" s="194">
        <f t="shared" si="342"/>
        <v>59.4585666666666</v>
      </c>
      <c r="BR147" s="65">
        <f t="shared" si="343"/>
        <v>44.0214669051878</v>
      </c>
      <c r="BS147" s="65">
        <f t="shared" si="25"/>
      </c>
      <c r="BT147" s="65">
        <f t="shared" si="344"/>
        <v>15.1118664281454</v>
      </c>
      <c r="BU147" s="194">
        <f t="shared" si="345"/>
        <v>15.1949816935002</v>
      </c>
      <c r="BV147" s="65">
        <f t="shared" si="346"/>
        <v>48.6583184257602</v>
      </c>
      <c r="BW147" s="65">
        <f t="shared" si="347"/>
      </c>
      <c r="BX147" s="65">
        <f t="shared" si="348"/>
        <v>-33.5464519976148</v>
      </c>
      <c r="BY147" s="194">
        <f t="shared" si="349"/>
        <v>-33.7309574836015</v>
      </c>
      <c r="BZ147" s="65">
        <f t="shared" si="350"/>
        <v>39.8998211091234</v>
      </c>
      <c r="CA147" s="65"/>
      <c r="CB147" s="65">
        <f t="shared" si="351"/>
        <v>-73.4462731067382</v>
      </c>
      <c r="CC147" s="194">
        <f t="shared" si="352"/>
        <v>-73.8502276088252</v>
      </c>
      <c r="CD147" s="65">
        <f t="shared" si="353"/>
        <v>47.4561717352415</v>
      </c>
      <c r="CE147" s="65"/>
      <c r="CF147" s="65">
        <f t="shared" si="354"/>
        <v>-120.9024448418</v>
      </c>
      <c r="CG147" s="194">
        <f t="shared" si="355"/>
        <v>-121.567408288428</v>
      </c>
      <c r="CH147" s="65">
        <f t="shared" si="356"/>
        <v>44.5366726296959</v>
      </c>
      <c r="CI147" s="65"/>
      <c r="CJ147" s="65">
        <f t="shared" si="357"/>
        <v>-165.439117471494</v>
      </c>
      <c r="CK147" s="194">
        <f t="shared" si="358"/>
        <v>-121.567408288428</v>
      </c>
    </row>
    <row r="148" ht="14.0">
      <c r="A148" s="47" t="s">
        <v>569</v>
      </c>
      <c r="B148" s="47" t="s">
        <v>630</v>
      </c>
      <c r="C148" s="47" t="s">
        <v>631</v>
      </c>
      <c r="D148" s="185" t="s">
        <v>632</v>
      </c>
      <c r="E148" s="47">
        <v>0.0</v>
      </c>
      <c r="F148" s="47">
        <v>0.0</v>
      </c>
      <c r="G148" s="47">
        <v>0.0</v>
      </c>
      <c r="H148" s="47">
        <v>0.0</v>
      </c>
      <c r="I148" s="47">
        <v>0.0</v>
      </c>
      <c r="J148" s="47">
        <v>0.0</v>
      </c>
      <c r="K148" s="47">
        <v>0.0</v>
      </c>
      <c r="L148" s="47">
        <v>0.0</v>
      </c>
      <c r="M148" s="47">
        <v>0.0</v>
      </c>
      <c r="N148" s="47">
        <v>0.0</v>
      </c>
      <c r="O148" s="47">
        <v>0.0</v>
      </c>
      <c r="P148" s="47">
        <v>0.0</v>
      </c>
      <c r="Q148" s="47">
        <v>0.0</v>
      </c>
      <c r="R148" s="47">
        <v>0.0</v>
      </c>
      <c r="S148" s="47">
        <v>0.0</v>
      </c>
      <c r="T148" s="47">
        <v>0.0</v>
      </c>
      <c r="U148" s="47">
        <v>0.0</v>
      </c>
      <c r="V148" s="47">
        <v>0.0</v>
      </c>
      <c r="W148" s="47">
        <v>0.0</v>
      </c>
      <c r="X148" s="47">
        <v>0.0</v>
      </c>
      <c r="Y148" s="47">
        <v>0.0</v>
      </c>
      <c r="Z148" s="47">
        <v>0.0</v>
      </c>
      <c r="AA148" s="47">
        <v>0.0</v>
      </c>
      <c r="AB148" s="47">
        <v>0.0</v>
      </c>
      <c r="AC148" s="47">
        <v>0.0</v>
      </c>
      <c r="AD148" s="47">
        <v>0.0</v>
      </c>
      <c r="AE148" s="47">
        <v>0.0</v>
      </c>
      <c r="AF148" s="47">
        <v>0.0</v>
      </c>
      <c r="AG148" s="47">
        <v>0.0</v>
      </c>
      <c r="AH148" s="47">
        <v>0.0</v>
      </c>
      <c r="AI148" s="47">
        <v>0.0</v>
      </c>
      <c r="AJ148" s="47">
        <v>0.0</v>
      </c>
      <c r="AK148" s="47">
        <v>0.0</v>
      </c>
      <c r="AL148" s="47">
        <v>0.0</v>
      </c>
      <c r="AM148" s="47">
        <v>0.0</v>
      </c>
      <c r="AN148" s="237">
        <v>19.0</v>
      </c>
      <c r="AO148" s="237">
        <v>44.0</v>
      </c>
      <c r="AP148" s="237">
        <v>48.0</v>
      </c>
      <c r="AQ148" s="231">
        <v>32.0</v>
      </c>
      <c r="AR148" s="231">
        <v>12.0</v>
      </c>
      <c r="AS148" s="231">
        <v>44.0</v>
      </c>
      <c r="AT148" s="69">
        <f t="shared" si="4"/>
        <v>199.0</v>
      </c>
      <c r="AU148" s="69">
        <f t="shared" si="371"/>
        <v>199.0</v>
      </c>
      <c r="AV148" s="69">
        <f t="shared" si="6"/>
        <v>218.9</v>
      </c>
      <c r="AW148" s="65">
        <f>AVERAGE(AN148:AR148)*1.1</f>
        <v>34.1</v>
      </c>
      <c r="AX148" s="65">
        <f t="shared" ref="AX148:AX157" si="394">AW148</f>
        <v>34.1</v>
      </c>
      <c r="AY148" s="65">
        <f t="shared" ref="AY148:AY157" si="395">AX148</f>
        <v>34.1</v>
      </c>
      <c r="AZ148" s="65">
        <f t="shared" ref="AZ148:AZ157" si="396">AY148</f>
        <v>34.1</v>
      </c>
      <c r="BA148" s="65">
        <f t="shared" ref="BA148:BA157" si="397">AZ148</f>
        <v>34.1</v>
      </c>
      <c r="BB148" s="65">
        <f t="shared" ref="BB148:BB157" si="398">BA148</f>
        <v>34.1</v>
      </c>
      <c r="BC148" s="64">
        <f t="shared" si="13"/>
        <v>204.6</v>
      </c>
      <c r="BD148" s="69">
        <f>VLOOKUP(D148,FEB23SOH,3,false)</f>
        <v>301.0</v>
      </c>
      <c r="BE148" s="201">
        <f>VLOOKUP(D148,VALUEFEB23,4,false)</f>
        <v>5.401</v>
      </c>
      <c r="BF148" s="215">
        <f t="shared" si="16"/>
        <v>1625.701</v>
      </c>
      <c r="BI148" s="193">
        <f t="shared" si="338"/>
        <v>96.4</v>
      </c>
      <c r="BL148" s="103"/>
      <c r="BM148" s="95">
        <f t="shared" si="339"/>
        <v>301.0</v>
      </c>
      <c r="BN148" s="65">
        <f t="shared" si="340"/>
        <v>34.1</v>
      </c>
      <c r="BO148" s="65">
        <f t="shared" si="21"/>
      </c>
      <c r="BP148" s="65">
        <f t="shared" si="341"/>
        <v>266.9</v>
      </c>
      <c r="BQ148" s="194">
        <f t="shared" si="342"/>
        <v>1441.5269</v>
      </c>
      <c r="BR148" s="65">
        <f t="shared" si="343"/>
        <v>34.1</v>
      </c>
      <c r="BS148" s="65">
        <f t="shared" si="25"/>
      </c>
      <c r="BT148" s="65">
        <f t="shared" si="344"/>
        <v>232.8</v>
      </c>
      <c r="BU148" s="194">
        <f t="shared" si="345"/>
        <v>1257.3528</v>
      </c>
      <c r="BV148" s="65">
        <f t="shared" si="346"/>
        <v>34.1</v>
      </c>
      <c r="BW148" s="65">
        <f t="shared" si="347"/>
      </c>
      <c r="BX148" s="65">
        <f t="shared" si="348"/>
        <v>198.7</v>
      </c>
      <c r="BY148" s="194">
        <f t="shared" si="349"/>
        <v>1073.1787</v>
      </c>
      <c r="BZ148" s="65">
        <f t="shared" si="350"/>
        <v>34.1</v>
      </c>
      <c r="CA148" s="65"/>
      <c r="CB148" s="65">
        <f t="shared" si="351"/>
        <v>164.6</v>
      </c>
      <c r="CC148" s="194">
        <f t="shared" si="352"/>
        <v>889.0046</v>
      </c>
      <c r="CD148" s="65">
        <f t="shared" si="353"/>
        <v>34.1</v>
      </c>
      <c r="CE148" s="65"/>
      <c r="CF148" s="65">
        <f t="shared" si="354"/>
        <v>130.5</v>
      </c>
      <c r="CG148" s="194">
        <f t="shared" si="355"/>
        <v>704.8305</v>
      </c>
      <c r="CH148" s="65">
        <f t="shared" si="356"/>
        <v>34.1</v>
      </c>
      <c r="CI148" s="65"/>
      <c r="CJ148" s="65">
        <f t="shared" si="357"/>
        <v>96.4</v>
      </c>
      <c r="CK148" s="194">
        <f t="shared" si="358"/>
        <v>704.8305</v>
      </c>
    </row>
    <row r="149" ht="14.0" customFormat="1" s="47">
      <c r="A149" s="47" t="s">
        <v>569</v>
      </c>
      <c r="B149" s="47" t="s">
        <v>630</v>
      </c>
      <c r="C149" s="47" t="s">
        <v>633</v>
      </c>
      <c r="D149" s="185" t="s">
        <v>634</v>
      </c>
      <c r="E149" s="47">
        <v>0.0</v>
      </c>
      <c r="F149" s="47">
        <v>0.0</v>
      </c>
      <c r="G149" s="47">
        <v>0.0</v>
      </c>
      <c r="H149" s="47">
        <v>0.0</v>
      </c>
      <c r="I149" s="47">
        <v>0.0</v>
      </c>
      <c r="J149" s="47">
        <v>0.0</v>
      </c>
      <c r="K149" s="47">
        <v>0.0</v>
      </c>
      <c r="L149" s="47">
        <v>0.0</v>
      </c>
      <c r="M149" s="47">
        <v>0.0</v>
      </c>
      <c r="N149" s="47">
        <v>0.0</v>
      </c>
      <c r="O149" s="47">
        <v>0.0</v>
      </c>
      <c r="P149" s="47">
        <v>0.0</v>
      </c>
      <c r="Q149" s="47">
        <v>0.0</v>
      </c>
      <c r="R149" s="47">
        <v>0.0</v>
      </c>
      <c r="S149" s="47">
        <v>0.0</v>
      </c>
      <c r="T149" s="47">
        <v>0.0</v>
      </c>
      <c r="U149" s="47">
        <v>0.0</v>
      </c>
      <c r="V149" s="47">
        <v>0.0</v>
      </c>
      <c r="W149" s="47">
        <v>0.0</v>
      </c>
      <c r="X149" s="47">
        <v>0.0</v>
      </c>
      <c r="Y149" s="47">
        <v>0.0</v>
      </c>
      <c r="Z149" s="47">
        <v>0.0</v>
      </c>
      <c r="AA149" s="47">
        <v>0.0</v>
      </c>
      <c r="AB149" s="47">
        <v>0.0</v>
      </c>
      <c r="AC149" s="47">
        <v>0.0</v>
      </c>
      <c r="AD149" s="47">
        <v>0.0</v>
      </c>
      <c r="AE149" s="47">
        <v>0.0</v>
      </c>
      <c r="AF149" s="47">
        <v>0.0</v>
      </c>
      <c r="AG149" s="47">
        <v>0.0</v>
      </c>
      <c r="AH149" s="47">
        <v>0.0</v>
      </c>
      <c r="AI149" s="47">
        <v>0.0</v>
      </c>
      <c r="AJ149" s="47">
        <v>0.0</v>
      </c>
      <c r="AK149" s="47">
        <v>0.0</v>
      </c>
      <c r="AL149" s="47">
        <v>0.0</v>
      </c>
      <c r="AM149" s="47">
        <v>0.0</v>
      </c>
      <c r="AN149" s="237">
        <v>52.0</v>
      </c>
      <c r="AO149" s="237">
        <v>84.0</v>
      </c>
      <c r="AP149" s="237">
        <v>60.0</v>
      </c>
      <c r="AQ149" s="231">
        <v>66.0</v>
      </c>
      <c r="AR149" s="231">
        <v>28.0</v>
      </c>
      <c r="AS149" s="231">
        <v>117.0</v>
      </c>
      <c r="AT149" s="69">
        <f t="shared" si="4"/>
        <v>407.0</v>
      </c>
      <c r="AU149" s="69">
        <f t="shared" si="371"/>
        <v>407.0</v>
      </c>
      <c r="AV149" s="69">
        <f t="shared" si="6"/>
        <v>447.7</v>
      </c>
      <c r="AW149" s="65">
        <f t="shared" ref="AW149:AW156" si="399">AVERAGE(AN149:AP149)*1.1</f>
        <v>71.8666666666667</v>
      </c>
      <c r="AX149" s="65">
        <f t="shared" si="394"/>
        <v>71.8666666666667</v>
      </c>
      <c r="AY149" s="65">
        <f t="shared" si="395"/>
        <v>71.8666666666667</v>
      </c>
      <c r="AZ149" s="65">
        <f t="shared" si="396"/>
        <v>71.8666666666667</v>
      </c>
      <c r="BA149" s="65">
        <f t="shared" si="397"/>
        <v>71.8666666666667</v>
      </c>
      <c r="BB149" s="65">
        <f t="shared" si="398"/>
        <v>71.8666666666667</v>
      </c>
      <c r="BC149" s="64">
        <f t="shared" si="13"/>
        <v>431.2</v>
      </c>
      <c r="BD149" s="69">
        <f>VLOOKUP(D149,FEB23SOH,3,false)</f>
        <v>82.0</v>
      </c>
      <c r="BE149" s="201">
        <f>VLOOKUP(D149,VALUEFEB23,4,false)</f>
        <v>5.4025</v>
      </c>
      <c r="BF149" s="215">
        <f t="shared" si="16"/>
        <v>443.005</v>
      </c>
      <c r="BG149" s="64"/>
      <c r="BH149" s="64"/>
      <c r="BI149" s="193">
        <f t="shared" si="338"/>
        <v>-349.2</v>
      </c>
      <c r="BJ149" s="217">
        <v>500.0</v>
      </c>
      <c r="BK149" s="185">
        <f>BJ149</f>
        <v>500.0</v>
      </c>
      <c r="BL149" s="103" t="s">
        <v>519</v>
      </c>
      <c r="BM149" s="95">
        <f t="shared" si="339"/>
        <v>82.0</v>
      </c>
      <c r="BN149" s="65">
        <f t="shared" si="340"/>
        <v>71.8666666666667</v>
      </c>
      <c r="BO149" s="65">
        <f t="shared" si="21"/>
      </c>
      <c r="BP149" s="65">
        <f t="shared" si="341"/>
        <v>10.1333333333332</v>
      </c>
      <c r="BQ149" s="194">
        <f t="shared" si="342"/>
        <v>54.7453333333326</v>
      </c>
      <c r="BR149" s="65">
        <f t="shared" si="343"/>
        <v>71.8666666666667</v>
      </c>
      <c r="BS149" s="65">
        <f t="shared" si="25"/>
      </c>
      <c r="BT149" s="65">
        <f t="shared" si="344"/>
        <v>-61.7333333333335</v>
      </c>
      <c r="BU149" s="194">
        <f t="shared" si="345"/>
        <v>-333.514333333334</v>
      </c>
      <c r="BV149" s="65">
        <f t="shared" si="346"/>
        <v>71.8666666666667</v>
      </c>
      <c r="BW149" s="65">
        <f t="shared" si="347"/>
      </c>
      <c r="BX149" s="65">
        <f t="shared" si="348"/>
        <v>-133.6</v>
      </c>
      <c r="BY149" s="194">
        <f t="shared" si="349"/>
        <v>-721.774</v>
      </c>
      <c r="BZ149" s="65">
        <f t="shared" si="350"/>
        <v>71.8666666666667</v>
      </c>
      <c r="CA149" s="65"/>
      <c r="CB149" s="65">
        <f t="shared" si="351"/>
        <v>-205.466666666665</v>
      </c>
      <c r="CC149" s="194">
        <f t="shared" si="352"/>
        <v>-1110.03366666664</v>
      </c>
      <c r="CD149" s="65">
        <f t="shared" si="353"/>
        <v>71.8666666666667</v>
      </c>
      <c r="CE149" s="65"/>
      <c r="CF149" s="65">
        <f t="shared" si="354"/>
        <v>-277.333333333331</v>
      </c>
      <c r="CG149" s="194">
        <f t="shared" si="355"/>
        <v>-1498.29333333332</v>
      </c>
      <c r="CH149" s="65">
        <f t="shared" si="356"/>
        <v>71.8666666666667</v>
      </c>
      <c r="CI149" s="65"/>
      <c r="CJ149" s="65">
        <f t="shared" si="357"/>
        <v>-349.19999999998</v>
      </c>
      <c r="CK149" s="194">
        <f t="shared" si="358"/>
        <v>-1498.29333333332</v>
      </c>
    </row>
    <row r="150" ht="14.0" customFormat="1" s="47">
      <c r="A150" s="47" t="s">
        <v>569</v>
      </c>
      <c r="B150" s="47" t="s">
        <v>630</v>
      </c>
      <c r="C150" s="47" t="s">
        <v>635</v>
      </c>
      <c r="D150" s="185" t="s">
        <v>636</v>
      </c>
      <c r="E150" s="47">
        <v>0.0</v>
      </c>
      <c r="F150" s="47">
        <v>0.0</v>
      </c>
      <c r="G150" s="47">
        <v>0.0</v>
      </c>
      <c r="H150" s="47">
        <v>0.0</v>
      </c>
      <c r="I150" s="47">
        <v>0.0</v>
      </c>
      <c r="J150" s="47">
        <v>0.0</v>
      </c>
      <c r="K150" s="47">
        <v>0.0</v>
      </c>
      <c r="L150" s="47">
        <v>0.0</v>
      </c>
      <c r="M150" s="47">
        <v>0.0</v>
      </c>
      <c r="N150" s="47">
        <v>0.0</v>
      </c>
      <c r="O150" s="47">
        <v>0.0</v>
      </c>
      <c r="P150" s="47">
        <v>0.0</v>
      </c>
      <c r="Q150" s="47">
        <v>0.0</v>
      </c>
      <c r="R150" s="47">
        <v>0.0</v>
      </c>
      <c r="S150" s="47">
        <v>0.0</v>
      </c>
      <c r="T150" s="47">
        <v>0.0</v>
      </c>
      <c r="U150" s="47">
        <v>0.0</v>
      </c>
      <c r="V150" s="47">
        <v>0.0</v>
      </c>
      <c r="W150" s="47">
        <v>0.0</v>
      </c>
      <c r="X150" s="47">
        <v>0.0</v>
      </c>
      <c r="Y150" s="47">
        <v>0.0</v>
      </c>
      <c r="Z150" s="47">
        <v>0.0</v>
      </c>
      <c r="AA150" s="47">
        <v>0.0</v>
      </c>
      <c r="AB150" s="47">
        <v>0.0</v>
      </c>
      <c r="AC150" s="47">
        <v>0.0</v>
      </c>
      <c r="AD150" s="47">
        <v>0.0</v>
      </c>
      <c r="AE150" s="47">
        <v>0.0</v>
      </c>
      <c r="AF150" s="47">
        <v>0.0</v>
      </c>
      <c r="AG150" s="47">
        <v>0.0</v>
      </c>
      <c r="AH150" s="47">
        <v>0.0</v>
      </c>
      <c r="AI150" s="47">
        <v>0.0</v>
      </c>
      <c r="AJ150" s="47">
        <v>0.0</v>
      </c>
      <c r="AK150" s="47">
        <v>0.0</v>
      </c>
      <c r="AL150" s="47">
        <v>0.0</v>
      </c>
      <c r="AM150" s="47">
        <v>0.0</v>
      </c>
      <c r="AN150" s="237">
        <v>20.0</v>
      </c>
      <c r="AO150" s="237">
        <v>36.0</v>
      </c>
      <c r="AP150" s="237">
        <v>56.0</v>
      </c>
      <c r="AQ150" s="231">
        <v>55.0</v>
      </c>
      <c r="AR150" s="231">
        <v>15.0</v>
      </c>
      <c r="AS150" s="231">
        <v>93.0</v>
      </c>
      <c r="AT150" s="69">
        <f t="shared" si="4"/>
        <v>275.0</v>
      </c>
      <c r="AU150" s="69">
        <f t="shared" si="371"/>
        <v>275.0</v>
      </c>
      <c r="AV150" s="69">
        <f t="shared" si="6"/>
        <v>302.5</v>
      </c>
      <c r="AW150" s="65">
        <f t="shared" si="399"/>
        <v>41.0666666666667</v>
      </c>
      <c r="AX150" s="65">
        <f t="shared" si="394"/>
        <v>41.0666666666667</v>
      </c>
      <c r="AY150" s="65">
        <f t="shared" si="395"/>
        <v>41.0666666666667</v>
      </c>
      <c r="AZ150" s="65">
        <f t="shared" si="396"/>
        <v>41.0666666666667</v>
      </c>
      <c r="BA150" s="65">
        <f t="shared" si="397"/>
        <v>41.0666666666667</v>
      </c>
      <c r="BB150" s="65">
        <f t="shared" si="398"/>
        <v>41.0666666666667</v>
      </c>
      <c r="BC150" s="64">
        <f t="shared" si="13"/>
        <v>246.4</v>
      </c>
      <c r="BD150" s="69">
        <f>VLOOKUP(D150,FEB23SOH,3,false)</f>
        <v>230.0</v>
      </c>
      <c r="BE150" s="201">
        <f>VLOOKUP(D150,VALUEFEB23,4,false)</f>
        <v>5.4012</v>
      </c>
      <c r="BF150" s="215">
        <f t="shared" si="16"/>
        <v>1242.276</v>
      </c>
      <c r="BG150" s="64"/>
      <c r="BH150" s="64"/>
      <c r="BI150" s="193">
        <f t="shared" si="338"/>
        <v>-16.4</v>
      </c>
      <c r="BJ150" s="217"/>
      <c r="BK150" s="236"/>
      <c r="BL150" s="103" t="s">
        <v>6</v>
      </c>
      <c r="BM150" s="95">
        <f t="shared" si="339"/>
        <v>230.0</v>
      </c>
      <c r="BN150" s="65">
        <f t="shared" si="340"/>
        <v>41.0666666666667</v>
      </c>
      <c r="BO150" s="65">
        <f t="shared" si="21"/>
      </c>
      <c r="BP150" s="65">
        <f t="shared" si="341"/>
        <v>188.933333333333</v>
      </c>
      <c r="BQ150" s="194">
        <f t="shared" si="342"/>
        <v>1020.46672</v>
      </c>
      <c r="BR150" s="65">
        <f t="shared" si="343"/>
        <v>41.0666666666667</v>
      </c>
      <c r="BS150" s="65">
        <f t="shared" si="25"/>
      </c>
      <c r="BT150" s="65">
        <f t="shared" si="344"/>
        <v>147.866666666666</v>
      </c>
      <c r="BU150" s="194">
        <f t="shared" si="345"/>
        <v>798.657439999996</v>
      </c>
      <c r="BV150" s="65">
        <f t="shared" si="346"/>
        <v>41.0666666666667</v>
      </c>
      <c r="BW150" s="65">
        <f t="shared" si="347"/>
      </c>
      <c r="BX150" s="65">
        <f t="shared" si="348"/>
        <v>106.799999999999</v>
      </c>
      <c r="BY150" s="194">
        <f t="shared" si="349"/>
        <v>576.848159999994</v>
      </c>
      <c r="BZ150" s="65">
        <f t="shared" si="350"/>
        <v>41.0666666666667</v>
      </c>
      <c r="CA150" s="65"/>
      <c r="CB150" s="65">
        <f t="shared" si="351"/>
        <v>65.7333333333323</v>
      </c>
      <c r="CC150" s="194">
        <f t="shared" si="352"/>
        <v>355.038879999994</v>
      </c>
      <c r="CD150" s="65">
        <f t="shared" si="353"/>
        <v>41.0666666666667</v>
      </c>
      <c r="CE150" s="65"/>
      <c r="CF150" s="65">
        <f t="shared" si="354"/>
        <v>24.6666666666656</v>
      </c>
      <c r="CG150" s="194">
        <f t="shared" si="355"/>
        <v>133.229599999994</v>
      </c>
      <c r="CH150" s="65">
        <f t="shared" si="356"/>
        <v>41.0666666666667</v>
      </c>
      <c r="CI150" s="65"/>
      <c r="CJ150" s="65">
        <f t="shared" si="357"/>
        <v>-16.4000000000011</v>
      </c>
      <c r="CK150" s="194">
        <f t="shared" si="358"/>
        <v>133.229599999994</v>
      </c>
    </row>
    <row r="151" ht="14.0">
      <c r="A151" s="47" t="s">
        <v>569</v>
      </c>
      <c r="B151" s="47" t="s">
        <v>630</v>
      </c>
      <c r="C151" s="47" t="s">
        <v>637</v>
      </c>
      <c r="D151" s="185" t="s">
        <v>638</v>
      </c>
      <c r="E151" s="47">
        <v>0.0</v>
      </c>
      <c r="F151" s="47">
        <v>0.0</v>
      </c>
      <c r="G151" s="47">
        <v>0.0</v>
      </c>
      <c r="H151" s="47">
        <v>0.0</v>
      </c>
      <c r="I151" s="47">
        <v>0.0</v>
      </c>
      <c r="J151" s="47">
        <v>0.0</v>
      </c>
      <c r="K151" s="47">
        <v>0.0</v>
      </c>
      <c r="L151" s="47">
        <v>0.0</v>
      </c>
      <c r="M151" s="47">
        <v>0.0</v>
      </c>
      <c r="N151" s="47">
        <v>0.0</v>
      </c>
      <c r="O151" s="47">
        <v>0.0</v>
      </c>
      <c r="P151" s="47">
        <v>0.0</v>
      </c>
      <c r="Q151" s="47">
        <v>0.0</v>
      </c>
      <c r="R151" s="47">
        <v>0.0</v>
      </c>
      <c r="S151" s="47">
        <v>0.0</v>
      </c>
      <c r="T151" s="47">
        <v>0.0</v>
      </c>
      <c r="U151" s="47">
        <v>0.0</v>
      </c>
      <c r="V151" s="47">
        <v>0.0</v>
      </c>
      <c r="W151" s="47">
        <v>0.0</v>
      </c>
      <c r="X151" s="47">
        <v>0.0</v>
      </c>
      <c r="Y151" s="47">
        <v>0.0</v>
      </c>
      <c r="Z151" s="47">
        <v>0.0</v>
      </c>
      <c r="AA151" s="47">
        <v>0.0</v>
      </c>
      <c r="AB151" s="47">
        <v>0.0</v>
      </c>
      <c r="AC151" s="47">
        <v>0.0</v>
      </c>
      <c r="AD151" s="47">
        <v>0.0</v>
      </c>
      <c r="AE151" s="47">
        <v>0.0</v>
      </c>
      <c r="AF151" s="47">
        <v>0.0</v>
      </c>
      <c r="AG151" s="47">
        <v>0.0</v>
      </c>
      <c r="AH151" s="47">
        <v>0.0</v>
      </c>
      <c r="AI151" s="47">
        <v>0.0</v>
      </c>
      <c r="AJ151" s="47">
        <v>0.0</v>
      </c>
      <c r="AK151" s="47">
        <v>0.0</v>
      </c>
      <c r="AL151" s="47">
        <v>0.0</v>
      </c>
      <c r="AM151" s="47">
        <v>0.0</v>
      </c>
      <c r="AN151" s="237">
        <v>32.0</v>
      </c>
      <c r="AO151" s="237">
        <v>36.0</v>
      </c>
      <c r="AP151" s="237">
        <v>52.0</v>
      </c>
      <c r="AQ151" s="231">
        <v>32.0</v>
      </c>
      <c r="AR151" s="231">
        <v>20.0</v>
      </c>
      <c r="AS151" s="231">
        <v>29.0</v>
      </c>
      <c r="AT151" s="69">
        <f t="shared" si="4"/>
        <v>201.0</v>
      </c>
      <c r="AU151" s="69">
        <f t="shared" si="371"/>
        <v>201.0</v>
      </c>
      <c r="AV151" s="69">
        <f t="shared" si="6"/>
        <v>221.1</v>
      </c>
      <c r="AW151" s="65">
        <f t="shared" si="399"/>
        <v>44.0</v>
      </c>
      <c r="AX151" s="65">
        <f t="shared" si="394"/>
        <v>44.0</v>
      </c>
      <c r="AY151" s="65">
        <f t="shared" si="395"/>
        <v>44.0</v>
      </c>
      <c r="AZ151" s="65">
        <f t="shared" si="396"/>
        <v>44.0</v>
      </c>
      <c r="BA151" s="65">
        <f t="shared" si="397"/>
        <v>44.0</v>
      </c>
      <c r="BB151" s="65">
        <f t="shared" si="398"/>
        <v>44.0</v>
      </c>
      <c r="BC151" s="64">
        <f t="shared" si="13"/>
        <v>264.0</v>
      </c>
      <c r="BD151" s="69">
        <f>VLOOKUP(D151,FEB23SOH,3,false)</f>
        <v>300.0</v>
      </c>
      <c r="BE151" s="201">
        <f>VLOOKUP(D151,VALUEFEB23,4,false)</f>
        <v>5.401</v>
      </c>
      <c r="BF151" s="215">
        <f t="shared" si="16"/>
        <v>1620.3</v>
      </c>
      <c r="BI151" s="193">
        <f t="shared" si="338"/>
        <v>36.0</v>
      </c>
      <c r="BL151" s="103"/>
      <c r="BM151" s="95">
        <f t="shared" si="339"/>
        <v>300.0</v>
      </c>
      <c r="BN151" s="65">
        <f t="shared" si="340"/>
        <v>44.0</v>
      </c>
      <c r="BO151" s="65">
        <f t="shared" si="21"/>
      </c>
      <c r="BP151" s="65">
        <f t="shared" si="341"/>
        <v>256.0</v>
      </c>
      <c r="BQ151" s="194">
        <f t="shared" si="342"/>
        <v>1382.656</v>
      </c>
      <c r="BR151" s="65">
        <f t="shared" si="343"/>
        <v>44.0</v>
      </c>
      <c r="BS151" s="65">
        <f t="shared" si="25"/>
      </c>
      <c r="BT151" s="65">
        <f t="shared" si="344"/>
        <v>212.0</v>
      </c>
      <c r="BU151" s="194">
        <f t="shared" si="345"/>
        <v>1145.012</v>
      </c>
      <c r="BV151" s="65">
        <f t="shared" si="346"/>
        <v>44.0</v>
      </c>
      <c r="BW151" s="65">
        <f t="shared" si="347"/>
      </c>
      <c r="BX151" s="65">
        <f t="shared" si="348"/>
        <v>168.0</v>
      </c>
      <c r="BY151" s="194">
        <f t="shared" si="349"/>
        <v>907.368</v>
      </c>
      <c r="BZ151" s="65">
        <f t="shared" si="350"/>
        <v>44.0</v>
      </c>
      <c r="CA151" s="65"/>
      <c r="CB151" s="65">
        <f t="shared" si="351"/>
        <v>124.0</v>
      </c>
      <c r="CC151" s="194">
        <f t="shared" si="352"/>
        <v>669.724</v>
      </c>
      <c r="CD151" s="65">
        <f t="shared" si="353"/>
        <v>44.0</v>
      </c>
      <c r="CE151" s="65"/>
      <c r="CF151" s="65">
        <f t="shared" si="354"/>
        <v>80.0</v>
      </c>
      <c r="CG151" s="194">
        <f t="shared" si="355"/>
        <v>432.08</v>
      </c>
      <c r="CH151" s="65">
        <f t="shared" si="356"/>
        <v>44.0</v>
      </c>
      <c r="CI151" s="65"/>
      <c r="CJ151" s="65">
        <f t="shared" si="357"/>
        <v>36.0</v>
      </c>
      <c r="CK151" s="194">
        <f t="shared" si="358"/>
        <v>432.08</v>
      </c>
    </row>
    <row r="152" ht="14.0" customFormat="1" s="47">
      <c r="A152" s="47" t="s">
        <v>569</v>
      </c>
      <c r="B152" s="47" t="s">
        <v>630</v>
      </c>
      <c r="C152" s="47" t="s">
        <v>639</v>
      </c>
      <c r="D152" s="185" t="s">
        <v>640</v>
      </c>
      <c r="E152" s="47">
        <v>0.0</v>
      </c>
      <c r="F152" s="47">
        <v>0.0</v>
      </c>
      <c r="G152" s="47">
        <v>0.0</v>
      </c>
      <c r="H152" s="47">
        <v>0.0</v>
      </c>
      <c r="I152" s="47">
        <v>0.0</v>
      </c>
      <c r="J152" s="47">
        <v>0.0</v>
      </c>
      <c r="K152" s="47">
        <v>0.0</v>
      </c>
      <c r="L152" s="47">
        <v>0.0</v>
      </c>
      <c r="M152" s="47">
        <v>0.0</v>
      </c>
      <c r="N152" s="47">
        <v>0.0</v>
      </c>
      <c r="O152" s="47">
        <v>0.0</v>
      </c>
      <c r="P152" s="47">
        <v>0.0</v>
      </c>
      <c r="Q152" s="47">
        <v>0.0</v>
      </c>
      <c r="R152" s="47">
        <v>0.0</v>
      </c>
      <c r="S152" s="47">
        <v>0.0</v>
      </c>
      <c r="T152" s="47">
        <v>0.0</v>
      </c>
      <c r="U152" s="47">
        <v>0.0</v>
      </c>
      <c r="V152" s="47">
        <v>0.0</v>
      </c>
      <c r="W152" s="47">
        <v>0.0</v>
      </c>
      <c r="X152" s="47">
        <v>0.0</v>
      </c>
      <c r="Y152" s="47">
        <v>0.0</v>
      </c>
      <c r="Z152" s="47">
        <v>0.0</v>
      </c>
      <c r="AA152" s="47">
        <v>0.0</v>
      </c>
      <c r="AB152" s="47">
        <v>0.0</v>
      </c>
      <c r="AC152" s="47">
        <v>0.0</v>
      </c>
      <c r="AD152" s="47">
        <v>0.0</v>
      </c>
      <c r="AE152" s="47">
        <v>0.0</v>
      </c>
      <c r="AF152" s="47">
        <v>0.0</v>
      </c>
      <c r="AG152" s="47">
        <v>0.0</v>
      </c>
      <c r="AH152" s="47">
        <v>0.0</v>
      </c>
      <c r="AI152" s="47">
        <v>0.0</v>
      </c>
      <c r="AJ152" s="47">
        <v>0.0</v>
      </c>
      <c r="AK152" s="47">
        <v>0.0</v>
      </c>
      <c r="AL152" s="47">
        <v>0.0</v>
      </c>
      <c r="AM152" s="47">
        <v>0.0</v>
      </c>
      <c r="AN152" s="237">
        <v>44.0</v>
      </c>
      <c r="AO152" s="237">
        <v>64.0</v>
      </c>
      <c r="AP152" s="237">
        <v>48.0</v>
      </c>
      <c r="AQ152" s="231">
        <v>36.0</v>
      </c>
      <c r="AR152" s="231">
        <v>20.0</v>
      </c>
      <c r="AS152" s="231">
        <v>73.0</v>
      </c>
      <c r="AT152" s="69">
        <f t="shared" si="4"/>
        <v>285.0</v>
      </c>
      <c r="AU152" s="69">
        <f t="shared" si="371"/>
        <v>285.0</v>
      </c>
      <c r="AV152" s="69">
        <f t="shared" si="6"/>
        <v>313.5</v>
      </c>
      <c r="AW152" s="65">
        <f t="shared" si="399"/>
        <v>57.2</v>
      </c>
      <c r="AX152" s="65">
        <f t="shared" si="394"/>
        <v>57.2</v>
      </c>
      <c r="AY152" s="65">
        <f t="shared" si="395"/>
        <v>57.2</v>
      </c>
      <c r="AZ152" s="65">
        <f t="shared" si="396"/>
        <v>57.2</v>
      </c>
      <c r="BA152" s="65">
        <f t="shared" si="397"/>
        <v>57.2</v>
      </c>
      <c r="BB152" s="65">
        <f t="shared" si="398"/>
        <v>57.2</v>
      </c>
      <c r="BC152" s="64">
        <f t="shared" si="13"/>
        <v>343.2</v>
      </c>
      <c r="BD152" s="69">
        <f>VLOOKUP(D152,FEB23SOH,3,false)</f>
        <v>208.0</v>
      </c>
      <c r="BE152" s="201">
        <f>VLOOKUP(D152,VALUEFEB23,4,false)</f>
        <v>5.4013</v>
      </c>
      <c r="BF152" s="215">
        <f t="shared" si="16"/>
        <v>1123.4704</v>
      </c>
      <c r="BG152" s="64"/>
      <c r="BH152" s="64"/>
      <c r="BI152" s="193">
        <f t="shared" si="338"/>
        <v>-135.2</v>
      </c>
      <c r="BJ152" s="217">
        <v>500.0</v>
      </c>
      <c r="BK152" s="185">
        <f t="shared" ref="BK152:BK153" si="401">BJ152</f>
        <v>500.0</v>
      </c>
      <c r="BL152" s="103" t="s">
        <v>4</v>
      </c>
      <c r="BM152" s="95">
        <f t="shared" si="339"/>
        <v>208.0</v>
      </c>
      <c r="BN152" s="65">
        <f t="shared" si="340"/>
        <v>57.2</v>
      </c>
      <c r="BO152" s="65">
        <f t="shared" si="21"/>
      </c>
      <c r="BP152" s="65">
        <f t="shared" si="341"/>
        <v>150.8</v>
      </c>
      <c r="BQ152" s="194">
        <f t="shared" si="342"/>
        <v>814.51604</v>
      </c>
      <c r="BR152" s="65">
        <f t="shared" si="343"/>
        <v>57.2</v>
      </c>
      <c r="BS152" s="65">
        <f t="shared" si="25"/>
      </c>
      <c r="BT152" s="65">
        <f t="shared" si="344"/>
        <v>93.6</v>
      </c>
      <c r="BU152" s="194">
        <f t="shared" si="345"/>
        <v>505.56168</v>
      </c>
      <c r="BV152" s="65">
        <f t="shared" si="346"/>
        <v>57.2</v>
      </c>
      <c r="BW152" s="65">
        <f t="shared" si="347"/>
      </c>
      <c r="BX152" s="65">
        <f t="shared" si="348"/>
        <v>36.4</v>
      </c>
      <c r="BY152" s="194">
        <f t="shared" si="349"/>
        <v>196.60732</v>
      </c>
      <c r="BZ152" s="65">
        <f t="shared" si="350"/>
        <v>57.2</v>
      </c>
      <c r="CA152" s="65"/>
      <c r="CB152" s="65">
        <f t="shared" si="351"/>
        <v>-20.8</v>
      </c>
      <c r="CC152" s="194">
        <f t="shared" si="352"/>
        <v>-112.34704</v>
      </c>
      <c r="CD152" s="65">
        <f t="shared" si="353"/>
        <v>57.2</v>
      </c>
      <c r="CE152" s="65"/>
      <c r="CF152" s="65">
        <f t="shared" si="354"/>
        <v>-78.0</v>
      </c>
      <c r="CG152" s="194">
        <f t="shared" si="355"/>
        <v>-421.3014</v>
      </c>
      <c r="CH152" s="65">
        <f t="shared" si="356"/>
        <v>57.2</v>
      </c>
      <c r="CI152" s="65"/>
      <c r="CJ152" s="65">
        <f t="shared" si="357"/>
        <v>-135.2</v>
      </c>
      <c r="CK152" s="194">
        <f t="shared" si="358"/>
        <v>-421.3014</v>
      </c>
    </row>
    <row r="153" ht="14.0" customFormat="1" s="47">
      <c r="A153" s="47" t="s">
        <v>569</v>
      </c>
      <c r="B153" s="47" t="s">
        <v>630</v>
      </c>
      <c r="C153" s="47" t="s">
        <v>641</v>
      </c>
      <c r="D153" s="185" t="s">
        <v>642</v>
      </c>
      <c r="E153" s="47">
        <v>0.0</v>
      </c>
      <c r="F153" s="47">
        <v>0.0</v>
      </c>
      <c r="G153" s="47">
        <v>0.0</v>
      </c>
      <c r="H153" s="47">
        <v>0.0</v>
      </c>
      <c r="I153" s="47">
        <v>0.0</v>
      </c>
      <c r="J153" s="47">
        <v>0.0</v>
      </c>
      <c r="K153" s="47">
        <v>0.0</v>
      </c>
      <c r="L153" s="47">
        <v>0.0</v>
      </c>
      <c r="M153" s="47">
        <v>0.0</v>
      </c>
      <c r="N153" s="47">
        <v>0.0</v>
      </c>
      <c r="O153" s="47">
        <v>0.0</v>
      </c>
      <c r="P153" s="47">
        <v>0.0</v>
      </c>
      <c r="Q153" s="47">
        <v>0.0</v>
      </c>
      <c r="R153" s="47">
        <v>0.0</v>
      </c>
      <c r="S153" s="47">
        <v>0.0</v>
      </c>
      <c r="T153" s="47">
        <v>0.0</v>
      </c>
      <c r="U153" s="47">
        <v>0.0</v>
      </c>
      <c r="V153" s="47">
        <v>0.0</v>
      </c>
      <c r="W153" s="47">
        <v>0.0</v>
      </c>
      <c r="X153" s="47">
        <v>0.0</v>
      </c>
      <c r="Y153" s="47">
        <v>0.0</v>
      </c>
      <c r="Z153" s="47">
        <v>0.0</v>
      </c>
      <c r="AA153" s="47">
        <v>0.0</v>
      </c>
      <c r="AB153" s="47">
        <v>0.0</v>
      </c>
      <c r="AC153" s="47">
        <v>0.0</v>
      </c>
      <c r="AD153" s="47">
        <v>0.0</v>
      </c>
      <c r="AE153" s="47">
        <v>0.0</v>
      </c>
      <c r="AF153" s="47">
        <v>0.0</v>
      </c>
      <c r="AG153" s="47">
        <v>0.0</v>
      </c>
      <c r="AH153" s="47">
        <v>0.0</v>
      </c>
      <c r="AI153" s="47">
        <v>0.0</v>
      </c>
      <c r="AJ153" s="47">
        <v>0.0</v>
      </c>
      <c r="AK153" s="47">
        <v>0.0</v>
      </c>
      <c r="AL153" s="47">
        <v>0.0</v>
      </c>
      <c r="AM153" s="47">
        <v>0.0</v>
      </c>
      <c r="AN153" s="237">
        <v>88.0</v>
      </c>
      <c r="AO153" s="237">
        <v>112.0</v>
      </c>
      <c r="AP153" s="237">
        <v>148.0</v>
      </c>
      <c r="AQ153" s="231">
        <v>76.0</v>
      </c>
      <c r="AR153" s="231">
        <v>39.0</v>
      </c>
      <c r="AS153" s="231">
        <v>39.0</v>
      </c>
      <c r="AT153" s="69">
        <f t="shared" si="4"/>
        <v>502.0</v>
      </c>
      <c r="AU153" s="69">
        <f t="shared" si="371"/>
        <v>502.0</v>
      </c>
      <c r="AV153" s="69">
        <f t="shared" si="6"/>
        <v>552.2</v>
      </c>
      <c r="AW153" s="65">
        <f t="shared" si="399"/>
        <v>127.6</v>
      </c>
      <c r="AX153" s="65">
        <f t="shared" si="394"/>
        <v>127.6</v>
      </c>
      <c r="AY153" s="65">
        <f t="shared" si="395"/>
        <v>127.6</v>
      </c>
      <c r="AZ153" s="65">
        <f t="shared" si="396"/>
        <v>127.6</v>
      </c>
      <c r="BA153" s="65">
        <f t="shared" si="397"/>
        <v>127.6</v>
      </c>
      <c r="BB153" s="65">
        <f t="shared" si="398"/>
        <v>127.6</v>
      </c>
      <c r="BC153" s="64">
        <f t="shared" si="13"/>
        <v>765.6</v>
      </c>
      <c r="BD153" s="69">
        <f>VLOOKUP(D153,FEB23SOH,3,false)</f>
        <v>-12.0</v>
      </c>
      <c r="BE153" s="201">
        <f>VLOOKUP(D153,VALUEFEB23,4,false)</f>
      </c>
      <c r="BF153" s="215">
        <f t="shared" si="16"/>
        <v>0.0</v>
      </c>
      <c r="BG153" s="64">
        <f>VLOOKUP(C153,CHINAMAR3,3,false)</f>
        <v>300.0</v>
      </c>
      <c r="BH153" s="64"/>
      <c r="BI153" s="193">
        <f t="shared" si="338"/>
        <v>-477.6</v>
      </c>
      <c r="BJ153" s="217">
        <v>500.0</v>
      </c>
      <c r="BK153" s="185">
        <f t="shared" si="401"/>
        <v>500.0</v>
      </c>
      <c r="BL153" s="103" t="s">
        <v>643</v>
      </c>
      <c r="BM153" s="95">
        <f t="shared" si="339"/>
        <v>-12.0</v>
      </c>
      <c r="BN153" s="65">
        <f t="shared" si="340"/>
        <v>127.6</v>
      </c>
      <c r="BO153" s="65">
        <f t="shared" si="21"/>
        <v>300.0</v>
      </c>
      <c r="BP153" s="65">
        <f t="shared" si="341"/>
        <v>160.4</v>
      </c>
      <c r="BQ153" s="194">
        <f t="shared" si="342"/>
        <v>0.0</v>
      </c>
      <c r="BR153" s="65">
        <f t="shared" si="343"/>
        <v>127.6</v>
      </c>
      <c r="BS153" s="65">
        <f t="shared" si="25"/>
      </c>
      <c r="BT153" s="65">
        <f t="shared" si="344"/>
        <v>32.8</v>
      </c>
      <c r="BU153" s="194">
        <f t="shared" si="345"/>
        <v>0.0</v>
      </c>
      <c r="BV153" s="65">
        <f t="shared" si="346"/>
        <v>127.6</v>
      </c>
      <c r="BW153" s="65">
        <f t="shared" si="347"/>
      </c>
      <c r="BX153" s="65">
        <f t="shared" si="348"/>
        <v>-94.8</v>
      </c>
      <c r="BY153" s="194">
        <f t="shared" si="349"/>
        <v>0.0</v>
      </c>
      <c r="BZ153" s="65">
        <f t="shared" si="350"/>
        <v>127.6</v>
      </c>
      <c r="CA153" s="65"/>
      <c r="CB153" s="65">
        <f t="shared" si="351"/>
        <v>-222.39999999998</v>
      </c>
      <c r="CC153" s="194">
        <f t="shared" si="352"/>
        <v>0.0</v>
      </c>
      <c r="CD153" s="65">
        <f t="shared" si="353"/>
        <v>127.6</v>
      </c>
      <c r="CE153" s="65"/>
      <c r="CF153" s="65">
        <f t="shared" si="354"/>
        <v>-349.99999999998</v>
      </c>
      <c r="CG153" s="194">
        <f t="shared" si="355"/>
        <v>0.0</v>
      </c>
      <c r="CH153" s="65">
        <f t="shared" si="356"/>
        <v>127.6</v>
      </c>
      <c r="CI153" s="65"/>
      <c r="CJ153" s="65">
        <f t="shared" si="357"/>
        <v>-477.59999999998</v>
      </c>
      <c r="CK153" s="194">
        <f t="shared" si="358"/>
        <v>0.0</v>
      </c>
    </row>
    <row r="154" ht="14.0">
      <c r="A154" s="47" t="s">
        <v>569</v>
      </c>
      <c r="B154" s="47" t="s">
        <v>630</v>
      </c>
      <c r="C154" s="47" t="s">
        <v>644</v>
      </c>
      <c r="D154" s="185" t="s">
        <v>645</v>
      </c>
      <c r="E154" s="47">
        <v>0.0</v>
      </c>
      <c r="F154" s="47">
        <v>0.0</v>
      </c>
      <c r="G154" s="47">
        <v>0.0</v>
      </c>
      <c r="H154" s="47">
        <v>0.0</v>
      </c>
      <c r="I154" s="47">
        <v>0.0</v>
      </c>
      <c r="J154" s="47">
        <v>0.0</v>
      </c>
      <c r="K154" s="47">
        <v>0.0</v>
      </c>
      <c r="L154" s="47">
        <v>0.0</v>
      </c>
      <c r="M154" s="47">
        <v>0.0</v>
      </c>
      <c r="N154" s="47">
        <v>0.0</v>
      </c>
      <c r="O154" s="47">
        <v>0.0</v>
      </c>
      <c r="P154" s="47">
        <v>0.0</v>
      </c>
      <c r="Q154" s="47">
        <v>0.0</v>
      </c>
      <c r="R154" s="47">
        <v>0.0</v>
      </c>
      <c r="S154" s="47">
        <v>0.0</v>
      </c>
      <c r="T154" s="47">
        <v>0.0</v>
      </c>
      <c r="U154" s="47">
        <v>0.0</v>
      </c>
      <c r="V154" s="47">
        <v>0.0</v>
      </c>
      <c r="W154" s="47">
        <v>0.0</v>
      </c>
      <c r="X154" s="47">
        <v>0.0</v>
      </c>
      <c r="Y154" s="47">
        <v>0.0</v>
      </c>
      <c r="Z154" s="47">
        <v>0.0</v>
      </c>
      <c r="AA154" s="47">
        <v>0.0</v>
      </c>
      <c r="AB154" s="47">
        <v>0.0</v>
      </c>
      <c r="AC154" s="47">
        <v>0.0</v>
      </c>
      <c r="AD154" s="47">
        <v>0.0</v>
      </c>
      <c r="AE154" s="47">
        <v>0.0</v>
      </c>
      <c r="AF154" s="47">
        <v>0.0</v>
      </c>
      <c r="AG154" s="47">
        <v>0.0</v>
      </c>
      <c r="AH154" s="47">
        <v>0.0</v>
      </c>
      <c r="AI154" s="47">
        <v>0.0</v>
      </c>
      <c r="AJ154" s="47">
        <v>0.0</v>
      </c>
      <c r="AK154" s="47">
        <v>0.0</v>
      </c>
      <c r="AL154" s="47">
        <v>0.0</v>
      </c>
      <c r="AM154" s="47">
        <v>0.0</v>
      </c>
      <c r="AN154" s="237">
        <v>16.0</v>
      </c>
      <c r="AO154" s="237">
        <v>12.0</v>
      </c>
      <c r="AP154" s="237">
        <v>16.0</v>
      </c>
      <c r="AQ154" s="231">
        <v>8.0</v>
      </c>
      <c r="AR154" s="231">
        <v>0.0</v>
      </c>
      <c r="AS154" s="231">
        <v>10.0</v>
      </c>
      <c r="AT154" s="69">
        <f t="shared" si="4"/>
        <v>62.0</v>
      </c>
      <c r="AU154" s="69">
        <f t="shared" si="371"/>
        <v>62.0</v>
      </c>
      <c r="AV154" s="69">
        <f t="shared" si="6"/>
        <v>68.2</v>
      </c>
      <c r="AW154" s="65">
        <f t="shared" si="399"/>
        <v>16.1333333333333</v>
      </c>
      <c r="AX154" s="65">
        <f t="shared" si="394"/>
        <v>16.1333333333333</v>
      </c>
      <c r="AY154" s="65">
        <f t="shared" si="395"/>
        <v>16.1333333333333</v>
      </c>
      <c r="AZ154" s="65">
        <f t="shared" si="396"/>
        <v>16.1333333333333</v>
      </c>
      <c r="BA154" s="65">
        <f t="shared" si="397"/>
        <v>16.1333333333333</v>
      </c>
      <c r="BB154" s="65">
        <f t="shared" si="398"/>
        <v>16.1333333333333</v>
      </c>
      <c r="BC154" s="64">
        <f t="shared" si="13"/>
        <v>96.7999999999998</v>
      </c>
      <c r="BD154" s="69">
        <f>VLOOKUP(D154,FEB23SOH,3,false)</f>
        <v>440.0</v>
      </c>
      <c r="BE154" s="201">
        <f>VLOOKUP(D154,VALUEFEB23,4,false)</f>
        <v>5.7136</v>
      </c>
      <c r="BF154" s="215">
        <f t="shared" si="16"/>
        <v>2513.984</v>
      </c>
      <c r="BI154" s="193">
        <f t="shared" si="338"/>
        <v>343.2</v>
      </c>
      <c r="BL154" s="103"/>
      <c r="BM154" s="95">
        <f t="shared" si="339"/>
        <v>440.0</v>
      </c>
      <c r="BN154" s="65">
        <f t="shared" si="340"/>
        <v>16.1333333333333</v>
      </c>
      <c r="BO154" s="65">
        <f t="shared" si="21"/>
      </c>
      <c r="BP154" s="65">
        <f t="shared" si="341"/>
        <v>423.866666666667</v>
      </c>
      <c r="BQ154" s="194">
        <f t="shared" si="342"/>
        <v>2421.80458666667</v>
      </c>
      <c r="BR154" s="65">
        <f t="shared" si="343"/>
        <v>16.1333333333333</v>
      </c>
      <c r="BS154" s="65">
        <f t="shared" si="25"/>
      </c>
      <c r="BT154" s="65">
        <f t="shared" si="344"/>
        <v>407.733333333333</v>
      </c>
      <c r="BU154" s="194">
        <f t="shared" si="345"/>
        <v>2329.62517333333</v>
      </c>
      <c r="BV154" s="65">
        <f t="shared" si="346"/>
        <v>16.1333333333333</v>
      </c>
      <c r="BW154" s="65">
        <f t="shared" si="347"/>
      </c>
      <c r="BX154" s="65">
        <f t="shared" si="348"/>
        <v>391.6</v>
      </c>
      <c r="BY154" s="194">
        <f t="shared" si="349"/>
        <v>2237.44576</v>
      </c>
      <c r="BZ154" s="65">
        <f t="shared" si="350"/>
        <v>16.1333333333333</v>
      </c>
      <c r="CA154" s="65"/>
      <c r="CB154" s="65">
        <f t="shared" si="351"/>
        <v>375.46666666667</v>
      </c>
      <c r="CC154" s="194">
        <f t="shared" si="352"/>
        <v>2145.26634666669</v>
      </c>
      <c r="CD154" s="65">
        <f t="shared" si="353"/>
        <v>16.1333333333333</v>
      </c>
      <c r="CE154" s="65"/>
      <c r="CF154" s="65">
        <f t="shared" si="354"/>
        <v>359.333333333337</v>
      </c>
      <c r="CG154" s="194">
        <f t="shared" si="355"/>
        <v>2053.08693333335</v>
      </c>
      <c r="CH154" s="65">
        <f t="shared" si="356"/>
        <v>16.1333333333333</v>
      </c>
      <c r="CI154" s="65"/>
      <c r="CJ154" s="65">
        <f t="shared" si="357"/>
        <v>343.200000000003</v>
      </c>
      <c r="CK154" s="194">
        <f t="shared" si="358"/>
        <v>2053.08693333335</v>
      </c>
    </row>
    <row r="155" ht="14.0">
      <c r="A155" s="47" t="s">
        <v>569</v>
      </c>
      <c r="B155" s="47" t="s">
        <v>630</v>
      </c>
      <c r="C155" s="47" t="s">
        <v>646</v>
      </c>
      <c r="D155" s="185" t="s">
        <v>647</v>
      </c>
      <c r="E155" s="47">
        <v>0.0</v>
      </c>
      <c r="F155" s="47">
        <v>0.0</v>
      </c>
      <c r="G155" s="47">
        <v>0.0</v>
      </c>
      <c r="H155" s="47">
        <v>0.0</v>
      </c>
      <c r="I155" s="47">
        <v>0.0</v>
      </c>
      <c r="J155" s="47">
        <v>0.0</v>
      </c>
      <c r="K155" s="47">
        <v>0.0</v>
      </c>
      <c r="L155" s="47">
        <v>0.0</v>
      </c>
      <c r="M155" s="47">
        <v>0.0</v>
      </c>
      <c r="N155" s="47">
        <v>0.0</v>
      </c>
      <c r="O155" s="47">
        <v>0.0</v>
      </c>
      <c r="P155" s="47">
        <v>0.0</v>
      </c>
      <c r="Q155" s="47">
        <v>0.0</v>
      </c>
      <c r="R155" s="47">
        <v>0.0</v>
      </c>
      <c r="S155" s="47">
        <v>0.0</v>
      </c>
      <c r="T155" s="47">
        <v>0.0</v>
      </c>
      <c r="U155" s="47">
        <v>0.0</v>
      </c>
      <c r="V155" s="47">
        <v>0.0</v>
      </c>
      <c r="W155" s="47">
        <v>0.0</v>
      </c>
      <c r="X155" s="47">
        <v>0.0</v>
      </c>
      <c r="Y155" s="47">
        <v>0.0</v>
      </c>
      <c r="Z155" s="47">
        <v>0.0</v>
      </c>
      <c r="AA155" s="47">
        <v>0.0</v>
      </c>
      <c r="AB155" s="47">
        <v>0.0</v>
      </c>
      <c r="AC155" s="47">
        <v>0.0</v>
      </c>
      <c r="AD155" s="47">
        <v>0.0</v>
      </c>
      <c r="AE155" s="47">
        <v>0.0</v>
      </c>
      <c r="AF155" s="47">
        <v>0.0</v>
      </c>
      <c r="AG155" s="47">
        <v>0.0</v>
      </c>
      <c r="AH155" s="47">
        <v>0.0</v>
      </c>
      <c r="AI155" s="47">
        <v>0.0</v>
      </c>
      <c r="AJ155" s="47">
        <v>0.0</v>
      </c>
      <c r="AK155" s="47">
        <v>0.0</v>
      </c>
      <c r="AL155" s="47">
        <v>0.0</v>
      </c>
      <c r="AM155" s="47">
        <v>0.0</v>
      </c>
      <c r="AN155" s="237">
        <v>40.0</v>
      </c>
      <c r="AO155" s="237">
        <v>20.0</v>
      </c>
      <c r="AP155" s="237">
        <v>20.0</v>
      </c>
      <c r="AQ155" s="231">
        <v>16.0</v>
      </c>
      <c r="AR155" s="231">
        <v>8.0</v>
      </c>
      <c r="AS155" s="231">
        <v>15.0</v>
      </c>
      <c r="AT155" s="69">
        <f t="shared" si="4"/>
        <v>119.0</v>
      </c>
      <c r="AU155" s="69">
        <f t="shared" si="371"/>
        <v>119.0</v>
      </c>
      <c r="AV155" s="69">
        <f t="shared" si="6"/>
        <v>130.9</v>
      </c>
      <c r="AW155" s="65">
        <f t="shared" si="399"/>
        <v>29.3333333333333</v>
      </c>
      <c r="AX155" s="65">
        <f t="shared" si="394"/>
        <v>29.3333333333333</v>
      </c>
      <c r="AY155" s="65">
        <f t="shared" si="395"/>
        <v>29.3333333333333</v>
      </c>
      <c r="AZ155" s="65">
        <f t="shared" si="396"/>
        <v>29.3333333333333</v>
      </c>
      <c r="BA155" s="65">
        <f t="shared" si="397"/>
        <v>29.3333333333333</v>
      </c>
      <c r="BB155" s="65">
        <f t="shared" si="398"/>
        <v>29.3333333333333</v>
      </c>
      <c r="BC155" s="64">
        <f t="shared" si="13"/>
        <v>176.0</v>
      </c>
      <c r="BD155" s="69">
        <f>VLOOKUP(D155,FEB23SOH,3,false)</f>
        <v>384.0</v>
      </c>
      <c r="BE155" s="201">
        <f>VLOOKUP(D155,VALUEFEB23,4,false)</f>
        <v>5.7141</v>
      </c>
      <c r="BF155" s="215">
        <f t="shared" si="16"/>
        <v>2194.2144</v>
      </c>
      <c r="BI155" s="193">
        <f t="shared" si="338"/>
        <v>208.0</v>
      </c>
      <c r="BL155" s="103"/>
      <c r="BM155" s="95">
        <f t="shared" si="339"/>
        <v>384.0</v>
      </c>
      <c r="BN155" s="65">
        <f t="shared" si="340"/>
        <v>29.3333333333333</v>
      </c>
      <c r="BO155" s="65">
        <f t="shared" si="21"/>
      </c>
      <c r="BP155" s="65">
        <f t="shared" si="341"/>
        <v>354.666666666667</v>
      </c>
      <c r="BQ155" s="194">
        <f t="shared" si="342"/>
        <v>2026.6008</v>
      </c>
      <c r="BR155" s="65">
        <f t="shared" si="343"/>
        <v>29.3333333333333</v>
      </c>
      <c r="BS155" s="65">
        <f t="shared" si="25"/>
      </c>
      <c r="BT155" s="65">
        <f t="shared" si="344"/>
        <v>325.333333333333</v>
      </c>
      <c r="BU155" s="194">
        <f t="shared" si="345"/>
        <v>1858.9872</v>
      </c>
      <c r="BV155" s="65">
        <f t="shared" si="346"/>
        <v>29.3333333333333</v>
      </c>
      <c r="BW155" s="65">
        <f t="shared" si="347"/>
      </c>
      <c r="BX155" s="65">
        <f t="shared" si="348"/>
        <v>296.0</v>
      </c>
      <c r="BY155" s="194">
        <f t="shared" si="349"/>
        <v>1691.3736</v>
      </c>
      <c r="BZ155" s="65">
        <f t="shared" si="350"/>
        <v>29.3333333333333</v>
      </c>
      <c r="CA155" s="65"/>
      <c r="CB155" s="65">
        <f t="shared" si="351"/>
        <v>266.666666666667</v>
      </c>
      <c r="CC155" s="194">
        <f t="shared" si="352"/>
        <v>1523.76</v>
      </c>
      <c r="CD155" s="65">
        <f t="shared" si="353"/>
        <v>29.3333333333333</v>
      </c>
      <c r="CE155" s="65"/>
      <c r="CF155" s="65">
        <f t="shared" si="354"/>
        <v>237.333333333333</v>
      </c>
      <c r="CG155" s="194">
        <f t="shared" si="355"/>
        <v>1356.1464</v>
      </c>
      <c r="CH155" s="65">
        <f t="shared" si="356"/>
        <v>29.3333333333333</v>
      </c>
      <c r="CI155" s="65"/>
      <c r="CJ155" s="65">
        <f t="shared" si="357"/>
        <v>208.0</v>
      </c>
      <c r="CK155" s="194">
        <f t="shared" si="358"/>
        <v>1356.1464</v>
      </c>
    </row>
    <row r="156" ht="14.0">
      <c r="A156" s="47" t="s">
        <v>569</v>
      </c>
      <c r="B156" s="47" t="s">
        <v>630</v>
      </c>
      <c r="C156" s="47" t="s">
        <v>648</v>
      </c>
      <c r="D156" s="185" t="s">
        <v>649</v>
      </c>
      <c r="E156" s="47">
        <v>0.0</v>
      </c>
      <c r="F156" s="47">
        <v>0.0</v>
      </c>
      <c r="G156" s="47">
        <v>0.0</v>
      </c>
      <c r="H156" s="47">
        <v>0.0</v>
      </c>
      <c r="I156" s="47">
        <v>0.0</v>
      </c>
      <c r="J156" s="47">
        <v>0.0</v>
      </c>
      <c r="K156" s="47">
        <v>0.0</v>
      </c>
      <c r="L156" s="47">
        <v>0.0</v>
      </c>
      <c r="M156" s="47">
        <v>0.0</v>
      </c>
      <c r="N156" s="47">
        <v>0.0</v>
      </c>
      <c r="O156" s="47">
        <v>0.0</v>
      </c>
      <c r="P156" s="47">
        <v>0.0</v>
      </c>
      <c r="Q156" s="47">
        <v>0.0</v>
      </c>
      <c r="R156" s="47">
        <v>0.0</v>
      </c>
      <c r="S156" s="47">
        <v>0.0</v>
      </c>
      <c r="T156" s="47">
        <v>0.0</v>
      </c>
      <c r="U156" s="47">
        <v>0.0</v>
      </c>
      <c r="V156" s="47">
        <v>0.0</v>
      </c>
      <c r="W156" s="47">
        <v>0.0</v>
      </c>
      <c r="X156" s="47">
        <v>0.0</v>
      </c>
      <c r="Y156" s="47">
        <v>0.0</v>
      </c>
      <c r="Z156" s="47">
        <v>0.0</v>
      </c>
      <c r="AA156" s="47">
        <v>0.0</v>
      </c>
      <c r="AB156" s="47">
        <v>0.0</v>
      </c>
      <c r="AC156" s="47">
        <v>0.0</v>
      </c>
      <c r="AD156" s="47">
        <v>0.0</v>
      </c>
      <c r="AE156" s="47">
        <v>0.0</v>
      </c>
      <c r="AF156" s="47">
        <v>0.0</v>
      </c>
      <c r="AG156" s="47">
        <v>0.0</v>
      </c>
      <c r="AH156" s="47">
        <v>0.0</v>
      </c>
      <c r="AI156" s="47">
        <v>0.0</v>
      </c>
      <c r="AJ156" s="47">
        <v>0.0</v>
      </c>
      <c r="AK156" s="47">
        <v>0.0</v>
      </c>
      <c r="AL156" s="47">
        <v>0.0</v>
      </c>
      <c r="AM156" s="47">
        <v>0.0</v>
      </c>
      <c r="AN156" s="237">
        <v>51.0</v>
      </c>
      <c r="AO156" s="237">
        <v>44.0</v>
      </c>
      <c r="AP156" s="237">
        <v>41.0</v>
      </c>
      <c r="AQ156" s="231">
        <v>8.0</v>
      </c>
      <c r="AR156" s="231">
        <v>4.0</v>
      </c>
      <c r="AS156" s="231">
        <v>19.0</v>
      </c>
      <c r="AT156" s="69">
        <f t="shared" si="4"/>
        <v>167.0</v>
      </c>
      <c r="AU156" s="69">
        <f t="shared" si="371"/>
        <v>167.0</v>
      </c>
      <c r="AV156" s="69">
        <f t="shared" si="6"/>
        <v>183.7</v>
      </c>
      <c r="AW156" s="65">
        <f t="shared" si="399"/>
        <v>49.8666666666667</v>
      </c>
      <c r="AX156" s="65">
        <f t="shared" si="394"/>
        <v>49.8666666666667</v>
      </c>
      <c r="AY156" s="65">
        <f t="shared" si="395"/>
        <v>49.8666666666667</v>
      </c>
      <c r="AZ156" s="65">
        <f t="shared" si="396"/>
        <v>49.8666666666667</v>
      </c>
      <c r="BA156" s="65">
        <f t="shared" si="397"/>
        <v>49.8666666666667</v>
      </c>
      <c r="BB156" s="65">
        <f t="shared" si="398"/>
        <v>49.8666666666667</v>
      </c>
      <c r="BC156" s="64">
        <f t="shared" si="13"/>
        <v>299.2</v>
      </c>
      <c r="BD156" s="69">
        <f>VLOOKUP(D156,FEB23SOH,3,false)</f>
        <v>316.0</v>
      </c>
      <c r="BE156" s="201">
        <f>VLOOKUP(D156,VALUEFEB23,4,false)</f>
        <v>5.7143</v>
      </c>
      <c r="BF156" s="215">
        <f t="shared" si="16"/>
        <v>1805.7188</v>
      </c>
      <c r="BI156" s="193">
        <f t="shared" si="338"/>
        <v>16.8</v>
      </c>
      <c r="BL156" s="103"/>
      <c r="BM156" s="95">
        <f t="shared" si="339"/>
        <v>316.0</v>
      </c>
      <c r="BN156" s="65">
        <f t="shared" si="340"/>
        <v>49.8666666666667</v>
      </c>
      <c r="BO156" s="65">
        <f t="shared" si="21"/>
      </c>
      <c r="BP156" s="65">
        <f t="shared" si="341"/>
        <v>266.133333333333</v>
      </c>
      <c r="BQ156" s="194">
        <f t="shared" si="342"/>
        <v>1520.76570666666</v>
      </c>
      <c r="BR156" s="65">
        <f t="shared" si="343"/>
        <v>49.8666666666667</v>
      </c>
      <c r="BS156" s="65">
        <f t="shared" si="25"/>
      </c>
      <c r="BT156" s="65">
        <f t="shared" si="344"/>
        <v>216.266666666666</v>
      </c>
      <c r="BU156" s="194">
        <f t="shared" si="345"/>
        <v>1235.81261333332</v>
      </c>
      <c r="BV156" s="65">
        <f t="shared" si="346"/>
        <v>49.8666666666667</v>
      </c>
      <c r="BW156" s="65">
        <f t="shared" si="347"/>
      </c>
      <c r="BX156" s="65">
        <f t="shared" si="348"/>
        <v>166.399999999999</v>
      </c>
      <c r="BY156" s="194">
        <f t="shared" si="349"/>
        <v>950.859519999994</v>
      </c>
      <c r="BZ156" s="65">
        <f t="shared" si="350"/>
        <v>49.8666666666667</v>
      </c>
      <c r="CA156" s="65"/>
      <c r="CB156" s="65">
        <f t="shared" si="351"/>
        <v>116.533333333332</v>
      </c>
      <c r="CC156" s="194">
        <f t="shared" si="352"/>
        <v>665.906426666659</v>
      </c>
      <c r="CD156" s="65">
        <f t="shared" si="353"/>
        <v>49.8666666666667</v>
      </c>
      <c r="CE156" s="65"/>
      <c r="CF156" s="65">
        <f t="shared" si="354"/>
        <v>66.6666666666653</v>
      </c>
      <c r="CG156" s="194">
        <f t="shared" si="355"/>
        <v>380.95333333332</v>
      </c>
      <c r="CH156" s="65">
        <f t="shared" si="356"/>
        <v>49.8666666666667</v>
      </c>
      <c r="CI156" s="65"/>
      <c r="CJ156" s="65">
        <f t="shared" si="357"/>
        <v>16.7999999999986</v>
      </c>
      <c r="CK156" s="194">
        <f t="shared" si="358"/>
        <v>380.95333333332</v>
      </c>
    </row>
    <row r="157" ht="14.0" customFormat="1" s="47">
      <c r="A157" s="47" t="s">
        <v>569</v>
      </c>
      <c r="B157" s="240" t="s">
        <v>650</v>
      </c>
      <c r="C157" s="93" t="s">
        <v>651</v>
      </c>
      <c r="D157" s="229" t="s">
        <v>652</v>
      </c>
      <c r="E157" s="93">
        <v>0.0</v>
      </c>
      <c r="F157" s="93">
        <v>0.0</v>
      </c>
      <c r="G157" s="93">
        <v>0.0</v>
      </c>
      <c r="H157" s="93">
        <v>0.0</v>
      </c>
      <c r="I157" s="93">
        <v>0.0</v>
      </c>
      <c r="J157" s="93">
        <v>0.0</v>
      </c>
      <c r="K157" s="93">
        <v>0.0</v>
      </c>
      <c r="L157" s="93">
        <v>0.0</v>
      </c>
      <c r="M157" s="93">
        <v>0.0</v>
      </c>
      <c r="N157" s="93">
        <v>0.0</v>
      </c>
      <c r="O157" s="93">
        <v>0.0</v>
      </c>
      <c r="P157" s="93">
        <v>0.0</v>
      </c>
      <c r="Q157" s="93">
        <v>0.0</v>
      </c>
      <c r="R157" s="93">
        <v>0.0</v>
      </c>
      <c r="S157" s="93">
        <v>0.0</v>
      </c>
      <c r="T157" s="93">
        <v>0.0</v>
      </c>
      <c r="U157" s="93">
        <v>0.0</v>
      </c>
      <c r="V157" s="93">
        <v>0.0</v>
      </c>
      <c r="W157" s="93">
        <v>0.0</v>
      </c>
      <c r="X157" s="93">
        <v>0.0</v>
      </c>
      <c r="Y157" s="93">
        <v>0.0</v>
      </c>
      <c r="Z157" s="93">
        <v>0.0</v>
      </c>
      <c r="AA157" s="93">
        <v>0.0</v>
      </c>
      <c r="AB157" s="93">
        <v>0.0</v>
      </c>
      <c r="AC157" s="93">
        <v>0.0</v>
      </c>
      <c r="AD157" s="93">
        <v>0.0</v>
      </c>
      <c r="AE157" s="93">
        <v>0.0</v>
      </c>
      <c r="AF157" s="93">
        <v>0.0</v>
      </c>
      <c r="AG157" s="93">
        <v>0.0</v>
      </c>
      <c r="AH157" s="93">
        <v>0.0</v>
      </c>
      <c r="AI157" s="93">
        <v>0.0</v>
      </c>
      <c r="AJ157" s="93">
        <v>0.0</v>
      </c>
      <c r="AK157" s="93">
        <v>0.0</v>
      </c>
      <c r="AL157" s="93">
        <v>0.0</v>
      </c>
      <c r="AM157" s="93">
        <v>0.0</v>
      </c>
      <c r="AN157" s="237">
        <v>28.0</v>
      </c>
      <c r="AO157" s="237">
        <v>28.0</v>
      </c>
      <c r="AP157" s="237">
        <v>0.0</v>
      </c>
      <c r="AQ157" s="231">
        <v>0.0</v>
      </c>
      <c r="AR157" s="231">
        <v>14.0</v>
      </c>
      <c r="AS157" s="231">
        <v>26.0</v>
      </c>
      <c r="AT157" s="69">
        <f t="shared" si="4"/>
        <v>96.0</v>
      </c>
      <c r="AU157" s="69">
        <f t="shared" si="371"/>
        <v>96.0</v>
      </c>
      <c r="AV157" s="69">
        <f t="shared" si="6"/>
        <v>105.6</v>
      </c>
      <c r="AW157" s="97">
        <f>AVERAGE(AN157:AO157)*1.1</f>
        <v>30.8</v>
      </c>
      <c r="AX157" s="97">
        <f t="shared" si="394"/>
        <v>30.8</v>
      </c>
      <c r="AY157" s="97">
        <f t="shared" si="395"/>
        <v>30.8</v>
      </c>
      <c r="AZ157" s="97">
        <f t="shared" si="396"/>
        <v>30.8</v>
      </c>
      <c r="BA157" s="97">
        <f t="shared" si="397"/>
        <v>30.8</v>
      </c>
      <c r="BB157" s="97">
        <f t="shared" si="398"/>
        <v>30.8</v>
      </c>
      <c r="BC157" s="64">
        <f t="shared" si="13"/>
        <v>184.8</v>
      </c>
      <c r="BD157" s="69">
        <f>VLOOKUP(D157,FEB23SOH,3,false)</f>
        <v>5.0</v>
      </c>
      <c r="BE157" s="201">
        <f>VLOOKUP(D157,VALUEFEB23,4,false)</f>
        <v>53.035</v>
      </c>
      <c r="BF157" s="215">
        <f t="shared" si="16"/>
        <v>265.175</v>
      </c>
      <c r="BG157" s="64"/>
      <c r="BH157" s="64"/>
      <c r="BI157" s="64"/>
      <c r="BJ157" s="64"/>
      <c r="BL157" s="103"/>
      <c r="BM157" s="95"/>
      <c r="BN157" s="65"/>
      <c r="BO157" s="65">
        <f t="shared" si="21"/>
      </c>
      <c r="BP157" s="65"/>
      <c r="BQ157" s="194">
        <f t="shared" si="342"/>
        <v>0.0</v>
      </c>
      <c r="BR157" s="65"/>
      <c r="BS157" s="65">
        <f t="shared" si="25"/>
      </c>
      <c r="BT157" s="65"/>
      <c r="BU157" s="194">
        <f t="shared" si="345"/>
        <v>0.0</v>
      </c>
      <c r="BV157" s="65"/>
      <c r="BW157" s="65">
        <f t="shared" si="347"/>
      </c>
      <c r="BX157" s="65"/>
      <c r="BY157" s="194">
        <f t="shared" si="349"/>
        <v>0.0</v>
      </c>
      <c r="BZ157" s="65"/>
      <c r="CA157" s="65"/>
      <c r="CB157" s="65"/>
      <c r="CC157" s="194">
        <f t="shared" si="352"/>
        <v>0.0</v>
      </c>
      <c r="CD157" s="65"/>
      <c r="CE157" s="65"/>
      <c r="CF157" s="65"/>
      <c r="CG157" s="194">
        <f t="shared" si="355"/>
        <v>0.0</v>
      </c>
      <c r="CH157" s="65"/>
      <c r="CI157" s="65"/>
      <c r="CJ157" s="65"/>
      <c r="CK157" s="194">
        <f t="shared" si="358"/>
        <v>0.0</v>
      </c>
    </row>
    <row r="158" ht="14.0" customFormat="1" s="47">
      <c r="A158" s="240" t="s">
        <v>653</v>
      </c>
      <c r="B158" s="240" t="s">
        <v>650</v>
      </c>
      <c r="C158" s="240" t="s">
        <v>654</v>
      </c>
      <c r="D158" s="241" t="s">
        <v>655</v>
      </c>
      <c r="E158" s="240"/>
      <c r="F158" s="240"/>
      <c r="G158" s="240">
        <v>0.0</v>
      </c>
      <c r="H158" s="240">
        <v>0.0</v>
      </c>
      <c r="I158" s="240">
        <v>0.0</v>
      </c>
      <c r="J158" s="240">
        <v>0.0</v>
      </c>
      <c r="K158" s="240">
        <v>0.0</v>
      </c>
      <c r="L158" s="240">
        <v>0.0</v>
      </c>
      <c r="M158" s="240">
        <v>0.0</v>
      </c>
      <c r="N158" s="240">
        <v>0.0</v>
      </c>
      <c r="O158" s="240">
        <v>0.0</v>
      </c>
      <c r="P158" s="240">
        <v>0.0</v>
      </c>
      <c r="Q158" s="240">
        <v>0.0</v>
      </c>
      <c r="R158" s="240">
        <v>0.0</v>
      </c>
      <c r="S158" s="240">
        <v>0.0</v>
      </c>
      <c r="T158" s="240">
        <v>0.0</v>
      </c>
      <c r="U158" s="240">
        <v>0.0</v>
      </c>
      <c r="V158" s="240">
        <v>0.0</v>
      </c>
      <c r="W158" s="240">
        <v>0.0</v>
      </c>
      <c r="X158" s="240">
        <v>0.0</v>
      </c>
      <c r="Y158" s="240">
        <v>0.0</v>
      </c>
      <c r="Z158" s="240">
        <v>0.0</v>
      </c>
      <c r="AA158" s="240">
        <v>0.0</v>
      </c>
      <c r="AB158" s="240">
        <v>0.0</v>
      </c>
      <c r="AC158" s="240">
        <v>0.0</v>
      </c>
      <c r="AD158" s="240">
        <v>0.0</v>
      </c>
      <c r="AE158" s="240">
        <v>0.0</v>
      </c>
      <c r="AF158" s="240">
        <v>0.0</v>
      </c>
      <c r="AG158" s="242">
        <v>0.0</v>
      </c>
      <c r="AH158" s="242">
        <v>0.0</v>
      </c>
      <c r="AI158" s="242">
        <v>0.0</v>
      </c>
      <c r="AJ158" s="243">
        <v>0.0</v>
      </c>
      <c r="AK158" s="242">
        <v>0.0</v>
      </c>
      <c r="AL158" s="242">
        <v>0.0</v>
      </c>
      <c r="AM158" s="242">
        <v>0.0</v>
      </c>
      <c r="AN158" s="244">
        <v>0.0</v>
      </c>
      <c r="AO158" s="244">
        <v>5.0</v>
      </c>
      <c r="AP158" s="244">
        <v>0.0</v>
      </c>
      <c r="AQ158" s="244">
        <v>0.0</v>
      </c>
      <c r="AR158" s="231">
        <v>0.0</v>
      </c>
      <c r="AS158" s="231">
        <v>0.0</v>
      </c>
      <c r="AT158" s="69">
        <f t="shared" si="4"/>
        <v>5.0</v>
      </c>
      <c r="AU158" s="69">
        <f t="shared" si="371"/>
        <v>5.0</v>
      </c>
      <c r="AV158" s="245">
        <v>0.0</v>
      </c>
      <c r="AW158" s="242">
        <f>AW157</f>
        <v>30.8</v>
      </c>
      <c r="AX158" s="242">
        <f>AX157</f>
        <v>30.8</v>
      </c>
      <c r="AY158" s="242">
        <f>AY157</f>
        <v>30.8</v>
      </c>
      <c r="AZ158" s="242">
        <f>AZ157</f>
        <v>30.8</v>
      </c>
      <c r="BA158" s="242">
        <f>BA157</f>
        <v>30.8</v>
      </c>
      <c r="BB158" s="242">
        <f>BB157</f>
        <v>30.8</v>
      </c>
      <c r="BC158" s="64">
        <f t="shared" si="13"/>
        <v>184.8</v>
      </c>
      <c r="BD158" s="69">
        <f>VLOOKUP(D158,FEB23SOH,3,false)</f>
        <v>144.0</v>
      </c>
      <c r="BE158" s="201">
        <f>VLOOKUP(D158,VALUEFEB23,4,false)</f>
        <v>2.6705</v>
      </c>
      <c r="BF158" s="246">
        <v>166.16</v>
      </c>
      <c r="BG158" s="64"/>
      <c r="BH158" s="64"/>
      <c r="BI158" s="193">
        <f t="shared" ref="BI158:BI176" si="410">BD158+BG158+BH158-BC158</f>
        <v>-40.8</v>
      </c>
      <c r="BJ158" s="242">
        <v>125.0</v>
      </c>
      <c r="BK158" s="241">
        <v>125.0</v>
      </c>
      <c r="BL158" s="103" t="s">
        <v>5</v>
      </c>
      <c r="BM158" s="95">
        <f t="shared" ref="BM158:BM176" si="411">BD158</f>
        <v>144.0</v>
      </c>
      <c r="BN158" s="65">
        <f t="shared" ref="BN158:BN176" si="412">AW158</f>
        <v>30.8</v>
      </c>
      <c r="BO158" s="65">
        <f t="shared" si="21"/>
      </c>
      <c r="BP158" s="65">
        <f t="shared" ref="BP158:BP176" si="413">BM158+BO158-BN158</f>
        <v>113.2</v>
      </c>
      <c r="BQ158" s="194">
        <f t="shared" si="342"/>
        <v>302.3006</v>
      </c>
      <c r="BR158" s="65">
        <f t="shared" ref="BR158:BR176" si="414">AX158</f>
        <v>30.8</v>
      </c>
      <c r="BS158" s="65">
        <f t="shared" si="25"/>
      </c>
      <c r="BT158" s="65">
        <f t="shared" ref="BT158:BT176" si="415">BP158+BS158-BR158</f>
        <v>82.4</v>
      </c>
      <c r="BU158" s="194">
        <f t="shared" si="345"/>
        <v>220.0492</v>
      </c>
      <c r="BV158" s="65">
        <f t="shared" ref="BV158:BV176" si="416">AY158</f>
        <v>30.8</v>
      </c>
      <c r="BW158" s="65">
        <f t="shared" si="347"/>
      </c>
      <c r="BX158" s="65">
        <f t="shared" ref="BX158:BX176" si="417">BT158+BW158-BV158</f>
        <v>51.6</v>
      </c>
      <c r="BY158" s="194">
        <f t="shared" si="349"/>
        <v>137.7978</v>
      </c>
      <c r="BZ158" s="65">
        <f t="shared" ref="BZ158:BZ176" si="418">AZ158</f>
        <v>30.8</v>
      </c>
      <c r="CA158" s="65"/>
      <c r="CB158" s="65">
        <f t="shared" ref="CB158:CB176" si="419">BX158+CA158-BZ158</f>
        <v>20.8</v>
      </c>
      <c r="CC158" s="194">
        <f t="shared" si="352"/>
        <v>55.5464</v>
      </c>
      <c r="CD158" s="65">
        <f t="shared" ref="CD158:CD176" si="420">BA158</f>
        <v>30.8</v>
      </c>
      <c r="CE158" s="65"/>
      <c r="CF158" s="65">
        <f t="shared" ref="CF158:CF176" si="421">CB158+CE158-CD158</f>
        <v>-10.0</v>
      </c>
      <c r="CG158" s="194">
        <f t="shared" si="355"/>
        <v>-26.705</v>
      </c>
      <c r="CH158" s="65">
        <f t="shared" ref="CH158:CH176" si="422">BB158</f>
        <v>30.8</v>
      </c>
      <c r="CI158" s="65"/>
      <c r="CJ158" s="65">
        <f t="shared" ref="CJ158:CJ176" si="423">CF158+CI158-CH158</f>
        <v>-40.8</v>
      </c>
      <c r="CK158" s="194">
        <f t="shared" si="358"/>
        <v>-26.705</v>
      </c>
    </row>
    <row r="159" ht="14.0" customFormat="1" s="47">
      <c r="A159" s="47" t="s">
        <v>569</v>
      </c>
      <c r="B159" s="240" t="s">
        <v>650</v>
      </c>
      <c r="C159" s="47" t="s">
        <v>656</v>
      </c>
      <c r="D159" s="185" t="s">
        <v>657</v>
      </c>
      <c r="E159" s="47">
        <v>0.0</v>
      </c>
      <c r="F159" s="47">
        <v>0.0</v>
      </c>
      <c r="G159" s="47">
        <v>0.0</v>
      </c>
      <c r="H159" s="47">
        <v>0.0</v>
      </c>
      <c r="I159" s="47">
        <v>0.0</v>
      </c>
      <c r="J159" s="47">
        <v>0.0</v>
      </c>
      <c r="K159" s="47">
        <v>0.0</v>
      </c>
      <c r="L159" s="47">
        <v>0.0</v>
      </c>
      <c r="M159" s="47">
        <v>0.0</v>
      </c>
      <c r="N159" s="47">
        <v>0.0</v>
      </c>
      <c r="O159" s="47">
        <v>0.0</v>
      </c>
      <c r="P159" s="47">
        <v>0.0</v>
      </c>
      <c r="Q159" s="47">
        <v>0.0</v>
      </c>
      <c r="R159" s="47">
        <v>0.0</v>
      </c>
      <c r="S159" s="47">
        <v>0.0</v>
      </c>
      <c r="T159" s="47">
        <v>0.0</v>
      </c>
      <c r="U159" s="47">
        <v>0.0</v>
      </c>
      <c r="V159" s="47">
        <v>0.0</v>
      </c>
      <c r="W159" s="47">
        <v>0.0</v>
      </c>
      <c r="X159" s="47">
        <v>0.0</v>
      </c>
      <c r="Y159" s="47">
        <v>0.0</v>
      </c>
      <c r="Z159" s="47">
        <v>0.0</v>
      </c>
      <c r="AA159" s="47">
        <v>0.0</v>
      </c>
      <c r="AB159" s="47">
        <v>0.0</v>
      </c>
      <c r="AC159" s="47">
        <v>0.0</v>
      </c>
      <c r="AD159" s="47">
        <v>0.0</v>
      </c>
      <c r="AE159" s="47">
        <v>0.0</v>
      </c>
      <c r="AF159" s="47">
        <v>0.0</v>
      </c>
      <c r="AG159" s="47">
        <v>0.0</v>
      </c>
      <c r="AH159" s="47">
        <v>0.0</v>
      </c>
      <c r="AI159" s="47">
        <v>0.0</v>
      </c>
      <c r="AJ159" s="47">
        <v>0.0</v>
      </c>
      <c r="AK159" s="47">
        <v>0.0</v>
      </c>
      <c r="AL159" s="47">
        <v>0.0</v>
      </c>
      <c r="AM159" s="47">
        <v>0.0</v>
      </c>
      <c r="AN159" s="237">
        <v>12.0</v>
      </c>
      <c r="AO159" s="237">
        <v>120.0</v>
      </c>
      <c r="AP159" s="237">
        <v>25.0</v>
      </c>
      <c r="AQ159" s="231">
        <v>0.0</v>
      </c>
      <c r="AR159" s="231">
        <v>36.0</v>
      </c>
      <c r="AS159" s="231">
        <v>139.0</v>
      </c>
      <c r="AT159" s="69">
        <f t="shared" si="4"/>
        <v>332.0</v>
      </c>
      <c r="AU159" s="69">
        <f t="shared" si="371"/>
        <v>332.0</v>
      </c>
      <c r="AV159" s="69">
        <f t="shared" ref="AV159:AV237" si="424">AU159*1.1</f>
        <v>365.2</v>
      </c>
      <c r="AW159" s="65">
        <f t="shared" ref="AW159:AW170" si="425">AVERAGE(AN159:AP159)*1.1</f>
        <v>57.5666666666667</v>
      </c>
      <c r="AX159" s="65">
        <f t="shared" ref="AX159:AX170" si="426">AW159</f>
        <v>57.5666666666667</v>
      </c>
      <c r="AY159" s="65">
        <f t="shared" ref="AY159:AY170" si="427">AX159</f>
        <v>57.5666666666667</v>
      </c>
      <c r="AZ159" s="65">
        <f t="shared" ref="AZ159:AZ170" si="428">AY159</f>
        <v>57.5666666666667</v>
      </c>
      <c r="BA159" s="65">
        <f t="shared" ref="BA159:BA170" si="429">AZ159</f>
        <v>57.5666666666667</v>
      </c>
      <c r="BB159" s="65">
        <f t="shared" ref="BB159:BB170" si="430">BA159</f>
        <v>57.5666666666667</v>
      </c>
      <c r="BC159" s="64">
        <f t="shared" si="13"/>
        <v>345.4</v>
      </c>
      <c r="BD159" s="69">
        <f>VLOOKUP(D159,FEB23SOH,3,false)</f>
        <v>570.0</v>
      </c>
      <c r="BE159" s="201">
        <f>VLOOKUP(D159,VALUEFEB23,4,false)</f>
        <v>1.3991</v>
      </c>
      <c r="BF159" s="215">
        <f t="shared" ref="BF159:BF237" si="431">BE159*BD159</f>
        <v>797.487</v>
      </c>
      <c r="BG159" s="64"/>
      <c r="BH159" s="64"/>
      <c r="BI159" s="193">
        <f t="shared" si="410"/>
        <v>224.6</v>
      </c>
      <c r="BJ159" s="217"/>
      <c r="BL159" s="103"/>
      <c r="BM159" s="95">
        <f t="shared" si="411"/>
        <v>570.0</v>
      </c>
      <c r="BN159" s="65">
        <f t="shared" si="412"/>
        <v>57.5666666666667</v>
      </c>
      <c r="BO159" s="65">
        <f t="shared" si="21"/>
      </c>
      <c r="BP159" s="65">
        <f t="shared" si="413"/>
        <v>512.433333333333</v>
      </c>
      <c r="BQ159" s="194">
        <f t="shared" si="342"/>
        <v>716.945476666666</v>
      </c>
      <c r="BR159" s="65">
        <f t="shared" si="414"/>
        <v>57.5666666666667</v>
      </c>
      <c r="BS159" s="65">
        <f t="shared" si="25"/>
      </c>
      <c r="BT159" s="65">
        <f t="shared" si="415"/>
        <v>454.866666666666</v>
      </c>
      <c r="BU159" s="194">
        <f t="shared" si="345"/>
        <v>636.403953333332</v>
      </c>
      <c r="BV159" s="65">
        <f t="shared" si="416"/>
        <v>57.5666666666667</v>
      </c>
      <c r="BW159" s="65">
        <f t="shared" si="347"/>
      </c>
      <c r="BX159" s="65">
        <f t="shared" si="417"/>
        <v>397.299999999999</v>
      </c>
      <c r="BY159" s="194">
        <f t="shared" si="349"/>
        <v>555.862429999999</v>
      </c>
      <c r="BZ159" s="65">
        <f t="shared" si="418"/>
        <v>57.5666666666667</v>
      </c>
      <c r="CA159" s="65"/>
      <c r="CB159" s="65">
        <f t="shared" si="419"/>
        <v>339.733333333332</v>
      </c>
      <c r="CC159" s="194">
        <f t="shared" si="352"/>
        <v>475.320906666664</v>
      </c>
      <c r="CD159" s="65">
        <f t="shared" si="420"/>
        <v>57.5666666666667</v>
      </c>
      <c r="CE159" s="65"/>
      <c r="CF159" s="65">
        <f t="shared" si="421"/>
        <v>282.166666666665</v>
      </c>
      <c r="CG159" s="194">
        <f t="shared" si="355"/>
        <v>394.779383333331</v>
      </c>
      <c r="CH159" s="65">
        <f t="shared" si="422"/>
        <v>57.5666666666667</v>
      </c>
      <c r="CI159" s="65"/>
      <c r="CJ159" s="65">
        <f t="shared" si="423"/>
        <v>224.599999999998</v>
      </c>
      <c r="CK159" s="194">
        <f t="shared" si="358"/>
        <v>394.779383333331</v>
      </c>
    </row>
    <row r="160" ht="14.0" customFormat="1" s="47">
      <c r="A160" s="47" t="s">
        <v>569</v>
      </c>
      <c r="B160" s="240" t="s">
        <v>650</v>
      </c>
      <c r="C160" s="47" t="s">
        <v>658</v>
      </c>
      <c r="D160" s="236" t="s">
        <v>659</v>
      </c>
      <c r="E160" s="47">
        <v>0.0</v>
      </c>
      <c r="F160" s="47">
        <v>0.0</v>
      </c>
      <c r="G160" s="47">
        <v>0.0</v>
      </c>
      <c r="H160" s="47">
        <v>0.0</v>
      </c>
      <c r="I160" s="47">
        <v>0.0</v>
      </c>
      <c r="J160" s="47">
        <v>0.0</v>
      </c>
      <c r="K160" s="47">
        <v>0.0</v>
      </c>
      <c r="L160" s="47">
        <v>0.0</v>
      </c>
      <c r="M160" s="47">
        <v>0.0</v>
      </c>
      <c r="N160" s="47">
        <v>0.0</v>
      </c>
      <c r="O160" s="47">
        <v>0.0</v>
      </c>
      <c r="P160" s="47">
        <v>0.0</v>
      </c>
      <c r="Q160" s="47">
        <v>0.0</v>
      </c>
      <c r="R160" s="47">
        <v>0.0</v>
      </c>
      <c r="S160" s="47">
        <v>0.0</v>
      </c>
      <c r="T160" s="47">
        <v>0.0</v>
      </c>
      <c r="U160" s="47">
        <v>0.0</v>
      </c>
      <c r="V160" s="47">
        <v>0.0</v>
      </c>
      <c r="W160" s="47">
        <v>0.0</v>
      </c>
      <c r="X160" s="47">
        <v>0.0</v>
      </c>
      <c r="Y160" s="47">
        <v>0.0</v>
      </c>
      <c r="Z160" s="47">
        <v>0.0</v>
      </c>
      <c r="AA160" s="47">
        <v>0.0</v>
      </c>
      <c r="AB160" s="47">
        <v>0.0</v>
      </c>
      <c r="AC160" s="47">
        <v>0.0</v>
      </c>
      <c r="AD160" s="47">
        <v>0.0</v>
      </c>
      <c r="AE160" s="47">
        <v>0.0</v>
      </c>
      <c r="AF160" s="47">
        <v>0.0</v>
      </c>
      <c r="AG160" s="47">
        <v>0.0</v>
      </c>
      <c r="AH160" s="47">
        <v>0.0</v>
      </c>
      <c r="AI160" s="47">
        <v>0.0</v>
      </c>
      <c r="AJ160" s="47">
        <v>0.0</v>
      </c>
      <c r="AK160" s="47">
        <v>0.0</v>
      </c>
      <c r="AL160" s="47">
        <v>0.0</v>
      </c>
      <c r="AM160" s="47">
        <v>0.0</v>
      </c>
      <c r="AN160" s="237">
        <v>18.0</v>
      </c>
      <c r="AO160" s="237">
        <v>90.0</v>
      </c>
      <c r="AP160" s="237">
        <v>60.0</v>
      </c>
      <c r="AQ160" s="231">
        <v>0.0</v>
      </c>
      <c r="AR160" s="231">
        <v>24.0</v>
      </c>
      <c r="AS160" s="231">
        <v>37.0</v>
      </c>
      <c r="AT160" s="69">
        <f t="shared" si="4"/>
        <v>229.0</v>
      </c>
      <c r="AU160" s="69">
        <f t="shared" si="371"/>
        <v>229.0</v>
      </c>
      <c r="AV160" s="69">
        <f t="shared" si="424"/>
        <v>251.9</v>
      </c>
      <c r="AW160" s="65">
        <f t="shared" si="425"/>
        <v>61.6</v>
      </c>
      <c r="AX160" s="65">
        <f t="shared" si="426"/>
        <v>61.6</v>
      </c>
      <c r="AY160" s="65">
        <f t="shared" si="427"/>
        <v>61.6</v>
      </c>
      <c r="AZ160" s="65">
        <f t="shared" si="428"/>
        <v>61.6</v>
      </c>
      <c r="BA160" s="65">
        <f t="shared" si="429"/>
        <v>61.6</v>
      </c>
      <c r="BB160" s="65">
        <f t="shared" si="430"/>
        <v>61.6</v>
      </c>
      <c r="BC160" s="64">
        <f t="shared" si="13"/>
        <v>369.6</v>
      </c>
      <c r="BD160" s="69">
        <f>VLOOKUP(D160,FEB23SOH,3,false)</f>
        <v>189.0</v>
      </c>
      <c r="BE160" s="201">
        <f>VLOOKUP(D160,VALUEFEB23,4,false)</f>
        <v>1.3992</v>
      </c>
      <c r="BF160" s="215">
        <f t="shared" si="431"/>
        <v>264.4488</v>
      </c>
      <c r="BG160" s="64"/>
      <c r="BH160" s="64"/>
      <c r="BI160" s="193">
        <f t="shared" si="410"/>
        <v>-180.6</v>
      </c>
      <c r="BJ160" s="217">
        <v>501.0</v>
      </c>
      <c r="BK160" s="236">
        <f t="shared" ref="BK160:BK161" si="432">BJ160</f>
        <v>501.0</v>
      </c>
      <c r="BL160" s="103" t="s">
        <v>4</v>
      </c>
      <c r="BM160" s="95">
        <f t="shared" si="411"/>
        <v>189.0</v>
      </c>
      <c r="BN160" s="65">
        <f t="shared" si="412"/>
        <v>61.6</v>
      </c>
      <c r="BO160" s="65">
        <f t="shared" si="21"/>
      </c>
      <c r="BP160" s="65">
        <f t="shared" si="413"/>
        <v>127.4</v>
      </c>
      <c r="BQ160" s="194">
        <f t="shared" si="342"/>
        <v>178.25808</v>
      </c>
      <c r="BR160" s="65">
        <f t="shared" si="414"/>
        <v>61.6</v>
      </c>
      <c r="BS160" s="65">
        <f t="shared" si="25"/>
      </c>
      <c r="BT160" s="65">
        <f t="shared" si="415"/>
        <v>65.8</v>
      </c>
      <c r="BU160" s="194">
        <f t="shared" si="345"/>
        <v>92.06736</v>
      </c>
      <c r="BV160" s="65">
        <f t="shared" si="416"/>
        <v>61.6</v>
      </c>
      <c r="BW160" s="65">
        <f t="shared" si="347"/>
      </c>
      <c r="BX160" s="65">
        <f t="shared" si="417"/>
        <v>4.2</v>
      </c>
      <c r="BY160" s="194">
        <f t="shared" si="349"/>
        <v>5.87664</v>
      </c>
      <c r="BZ160" s="65">
        <f t="shared" si="418"/>
        <v>61.6</v>
      </c>
      <c r="CA160" s="65"/>
      <c r="CB160" s="65">
        <f t="shared" si="419"/>
        <v>-57.4</v>
      </c>
      <c r="CC160" s="194">
        <f t="shared" si="352"/>
        <v>-80.31408</v>
      </c>
      <c r="CD160" s="65">
        <f t="shared" si="420"/>
        <v>61.6</v>
      </c>
      <c r="CE160" s="65"/>
      <c r="CF160" s="65">
        <f t="shared" si="421"/>
        <v>-119.0</v>
      </c>
      <c r="CG160" s="194">
        <f t="shared" si="355"/>
        <v>-166.5048</v>
      </c>
      <c r="CH160" s="65">
        <f t="shared" si="422"/>
        <v>61.6</v>
      </c>
      <c r="CI160" s="65"/>
      <c r="CJ160" s="65">
        <f t="shared" si="423"/>
        <v>-180.6</v>
      </c>
      <c r="CK160" s="194">
        <f t="shared" si="358"/>
        <v>-166.5048</v>
      </c>
    </row>
    <row r="161" ht="14.0" customFormat="1" s="47">
      <c r="A161" s="47" t="s">
        <v>569</v>
      </c>
      <c r="B161" s="240" t="s">
        <v>650</v>
      </c>
      <c r="C161" s="47" t="s">
        <v>660</v>
      </c>
      <c r="D161" s="236" t="s">
        <v>661</v>
      </c>
      <c r="AG161" s="47">
        <v>0.0</v>
      </c>
      <c r="AH161" s="47">
        <v>0.0</v>
      </c>
      <c r="AI161" s="47">
        <v>0.0</v>
      </c>
      <c r="AJ161" s="47">
        <v>0.0</v>
      </c>
      <c r="AK161" s="47">
        <v>0.0</v>
      </c>
      <c r="AL161" s="47">
        <v>0.0</v>
      </c>
      <c r="AM161" s="47">
        <v>0.0</v>
      </c>
      <c r="AN161" s="237">
        <v>10.0</v>
      </c>
      <c r="AO161" s="237">
        <v>90.0</v>
      </c>
      <c r="AP161" s="237">
        <v>66.0</v>
      </c>
      <c r="AQ161" s="231">
        <v>0.0</v>
      </c>
      <c r="AR161" s="231">
        <v>36.0</v>
      </c>
      <c r="AS161" s="231">
        <v>37.0</v>
      </c>
      <c r="AT161" s="69">
        <f t="shared" si="4"/>
        <v>239.0</v>
      </c>
      <c r="AU161" s="69">
        <f t="shared" si="371"/>
        <v>239.0</v>
      </c>
      <c r="AV161" s="69">
        <f t="shared" si="424"/>
        <v>262.9</v>
      </c>
      <c r="AW161" s="65">
        <f t="shared" si="425"/>
        <v>60.8666666666667</v>
      </c>
      <c r="AX161" s="65">
        <f t="shared" si="426"/>
        <v>60.8666666666667</v>
      </c>
      <c r="AY161" s="65">
        <f t="shared" si="427"/>
        <v>60.8666666666667</v>
      </c>
      <c r="AZ161" s="65">
        <f t="shared" si="428"/>
        <v>60.8666666666667</v>
      </c>
      <c r="BA161" s="65">
        <f t="shared" si="429"/>
        <v>60.8666666666667</v>
      </c>
      <c r="BB161" s="65">
        <f t="shared" si="430"/>
        <v>60.8666666666667</v>
      </c>
      <c r="BC161" s="64">
        <f t="shared" si="13"/>
        <v>365.2</v>
      </c>
      <c r="BD161" s="69">
        <f>VLOOKUP(D161,FEB23SOH,3,false)</f>
        <v>165.0</v>
      </c>
      <c r="BE161" s="201">
        <f>VLOOKUP(D161,VALUEFEB23,4,false)</f>
        <v>1.3992</v>
      </c>
      <c r="BF161" s="215">
        <f t="shared" si="431"/>
        <v>230.868</v>
      </c>
      <c r="BG161" s="64"/>
      <c r="BH161" s="64"/>
      <c r="BI161" s="193">
        <f t="shared" si="410"/>
        <v>-200.2</v>
      </c>
      <c r="BJ161" s="217">
        <v>501.0</v>
      </c>
      <c r="BK161" s="236">
        <f t="shared" si="432"/>
        <v>501.0</v>
      </c>
      <c r="BL161" s="103" t="s">
        <v>520</v>
      </c>
      <c r="BM161" s="95">
        <f t="shared" si="411"/>
        <v>165.0</v>
      </c>
      <c r="BN161" s="65">
        <f t="shared" si="412"/>
        <v>60.8666666666667</v>
      </c>
      <c r="BO161" s="65">
        <f t="shared" si="21"/>
      </c>
      <c r="BP161" s="65">
        <f t="shared" si="413"/>
        <v>104.133333333333</v>
      </c>
      <c r="BQ161" s="194">
        <f t="shared" si="342"/>
        <v>145.70336</v>
      </c>
      <c r="BR161" s="65">
        <f t="shared" si="414"/>
        <v>60.8666666666667</v>
      </c>
      <c r="BS161" s="65">
        <f t="shared" si="25"/>
      </c>
      <c r="BT161" s="65">
        <f t="shared" si="415"/>
        <v>43.2666666666662</v>
      </c>
      <c r="BU161" s="194">
        <f t="shared" si="345"/>
        <v>60.5387199999993</v>
      </c>
      <c r="BV161" s="65">
        <f t="shared" si="416"/>
        <v>60.8666666666667</v>
      </c>
      <c r="BW161" s="65">
        <f t="shared" si="347"/>
      </c>
      <c r="BX161" s="65">
        <f t="shared" si="417"/>
        <v>-17.6000000000005</v>
      </c>
      <c r="BY161" s="194">
        <f t="shared" si="349"/>
        <v>-24.6259200000005</v>
      </c>
      <c r="BZ161" s="65">
        <f t="shared" si="418"/>
        <v>60.8666666666667</v>
      </c>
      <c r="CA161" s="65"/>
      <c r="CB161" s="65">
        <f t="shared" si="419"/>
        <v>-78.4666666666672</v>
      </c>
      <c r="CC161" s="194">
        <f t="shared" si="352"/>
        <v>-109.79056</v>
      </c>
      <c r="CD161" s="65">
        <f t="shared" si="420"/>
        <v>60.8666666666667</v>
      </c>
      <c r="CE161" s="65"/>
      <c r="CF161" s="65">
        <f t="shared" si="421"/>
        <v>-139.333333333333</v>
      </c>
      <c r="CG161" s="194">
        <f t="shared" si="355"/>
        <v>-194.955199999998</v>
      </c>
      <c r="CH161" s="65">
        <f t="shared" si="422"/>
        <v>60.8666666666667</v>
      </c>
      <c r="CI161" s="65"/>
      <c r="CJ161" s="65">
        <f t="shared" si="423"/>
        <v>-200.199999999998</v>
      </c>
      <c r="CK161" s="194">
        <f t="shared" si="358"/>
        <v>-194.955199999998</v>
      </c>
    </row>
    <row r="162" ht="14.0" customFormat="1" s="47">
      <c r="A162" s="47" t="s">
        <v>569</v>
      </c>
      <c r="B162" s="240" t="s">
        <v>650</v>
      </c>
      <c r="C162" s="47" t="s">
        <v>662</v>
      </c>
      <c r="D162" s="185" t="s">
        <v>663</v>
      </c>
      <c r="E162" s="47">
        <v>0.0</v>
      </c>
      <c r="F162" s="47">
        <v>0.0</v>
      </c>
      <c r="G162" s="47">
        <v>0.0</v>
      </c>
      <c r="H162" s="47">
        <v>0.0</v>
      </c>
      <c r="I162" s="47">
        <v>0.0</v>
      </c>
      <c r="J162" s="47">
        <v>0.0</v>
      </c>
      <c r="K162" s="47">
        <v>0.0</v>
      </c>
      <c r="L162" s="47">
        <v>0.0</v>
      </c>
      <c r="M162" s="47">
        <v>0.0</v>
      </c>
      <c r="N162" s="47">
        <v>0.0</v>
      </c>
      <c r="O162" s="47">
        <v>0.0</v>
      </c>
      <c r="P162" s="47">
        <v>0.0</v>
      </c>
      <c r="Q162" s="47">
        <v>0.0</v>
      </c>
      <c r="R162" s="47">
        <v>0.0</v>
      </c>
      <c r="S162" s="47">
        <v>0.0</v>
      </c>
      <c r="T162" s="47">
        <v>0.0</v>
      </c>
      <c r="U162" s="47">
        <v>0.0</v>
      </c>
      <c r="V162" s="47">
        <v>0.0</v>
      </c>
      <c r="W162" s="47">
        <v>0.0</v>
      </c>
      <c r="X162" s="47">
        <v>0.0</v>
      </c>
      <c r="Y162" s="47">
        <v>0.0</v>
      </c>
      <c r="Z162" s="47">
        <v>0.0</v>
      </c>
      <c r="AA162" s="47">
        <v>0.0</v>
      </c>
      <c r="AB162" s="47">
        <v>0.0</v>
      </c>
      <c r="AC162" s="47">
        <v>0.0</v>
      </c>
      <c r="AD162" s="47">
        <v>0.0</v>
      </c>
      <c r="AE162" s="47">
        <v>0.0</v>
      </c>
      <c r="AF162" s="47">
        <v>0.0</v>
      </c>
      <c r="AG162" s="47">
        <v>0.0</v>
      </c>
      <c r="AH162" s="47">
        <v>0.0</v>
      </c>
      <c r="AI162" s="47">
        <v>0.0</v>
      </c>
      <c r="AJ162" s="47">
        <v>0.0</v>
      </c>
      <c r="AK162" s="47">
        <v>0.0</v>
      </c>
      <c r="AL162" s="47">
        <v>0.0</v>
      </c>
      <c r="AM162" s="47">
        <v>0.0</v>
      </c>
      <c r="AN162" s="237">
        <v>37.0</v>
      </c>
      <c r="AO162" s="237">
        <v>126.0</v>
      </c>
      <c r="AP162" s="237">
        <v>6.0</v>
      </c>
      <c r="AQ162" s="231">
        <v>0.0</v>
      </c>
      <c r="AR162" s="231">
        <v>30.0</v>
      </c>
      <c r="AS162" s="231">
        <v>248.0</v>
      </c>
      <c r="AT162" s="69">
        <f t="shared" si="4"/>
        <v>447.0</v>
      </c>
      <c r="AU162" s="69">
        <f t="shared" si="371"/>
        <v>447.0</v>
      </c>
      <c r="AV162" s="69">
        <f t="shared" si="424"/>
        <v>491.7</v>
      </c>
      <c r="AW162" s="65">
        <f t="shared" si="425"/>
        <v>61.9666666666667</v>
      </c>
      <c r="AX162" s="65">
        <f t="shared" si="426"/>
        <v>61.9666666666667</v>
      </c>
      <c r="AY162" s="65">
        <f t="shared" si="427"/>
        <v>61.9666666666667</v>
      </c>
      <c r="AZ162" s="65">
        <f t="shared" si="428"/>
        <v>61.9666666666667</v>
      </c>
      <c r="BA162" s="65">
        <f t="shared" si="429"/>
        <v>61.9666666666667</v>
      </c>
      <c r="BB162" s="65">
        <f t="shared" si="430"/>
        <v>61.9666666666667</v>
      </c>
      <c r="BC162" s="64">
        <f t="shared" si="13"/>
        <v>371.8</v>
      </c>
      <c r="BD162" s="69">
        <f>VLOOKUP(D162,FEB23SOH,3,false)</f>
        <v>456.0</v>
      </c>
      <c r="BE162" s="201">
        <f>VLOOKUP(D162,VALUEFEB23,4,false)</f>
        <v>1.3992</v>
      </c>
      <c r="BF162" s="215">
        <f t="shared" si="431"/>
        <v>638.0352</v>
      </c>
      <c r="BG162" s="64"/>
      <c r="BH162" s="64"/>
      <c r="BI162" s="193">
        <f t="shared" si="410"/>
        <v>84.2</v>
      </c>
      <c r="BJ162" s="217"/>
      <c r="BL162" s="103"/>
      <c r="BM162" s="95">
        <f t="shared" si="411"/>
        <v>456.0</v>
      </c>
      <c r="BN162" s="65">
        <f t="shared" si="412"/>
        <v>61.9666666666667</v>
      </c>
      <c r="BO162" s="65">
        <f t="shared" si="21"/>
      </c>
      <c r="BP162" s="65">
        <f t="shared" si="413"/>
        <v>394.033333333333</v>
      </c>
      <c r="BQ162" s="194">
        <f t="shared" si="342"/>
        <v>551.33144</v>
      </c>
      <c r="BR162" s="65">
        <f t="shared" si="414"/>
        <v>61.9666666666667</v>
      </c>
      <c r="BS162" s="65">
        <f t="shared" si="25"/>
      </c>
      <c r="BT162" s="65">
        <f t="shared" si="415"/>
        <v>332.066666666666</v>
      </c>
      <c r="BU162" s="194">
        <f t="shared" si="345"/>
        <v>464.627679999999</v>
      </c>
      <c r="BV162" s="65">
        <f t="shared" si="416"/>
        <v>61.9666666666667</v>
      </c>
      <c r="BW162" s="65">
        <f t="shared" si="347"/>
      </c>
      <c r="BX162" s="65">
        <f t="shared" si="417"/>
        <v>270.099999999999</v>
      </c>
      <c r="BY162" s="194">
        <f t="shared" si="349"/>
        <v>377.92392</v>
      </c>
      <c r="BZ162" s="65">
        <f t="shared" si="418"/>
        <v>61.9666666666667</v>
      </c>
      <c r="CA162" s="65"/>
      <c r="CB162" s="65">
        <f t="shared" si="419"/>
        <v>208.133333333332</v>
      </c>
      <c r="CC162" s="194">
        <f t="shared" si="352"/>
        <v>291.220159999998</v>
      </c>
      <c r="CD162" s="65">
        <f t="shared" si="420"/>
        <v>61.9666666666667</v>
      </c>
      <c r="CE162" s="65"/>
      <c r="CF162" s="65">
        <f t="shared" si="421"/>
        <v>146.166666666665</v>
      </c>
      <c r="CG162" s="194">
        <f t="shared" si="355"/>
        <v>204.516399999998</v>
      </c>
      <c r="CH162" s="65">
        <f t="shared" si="422"/>
        <v>61.9666666666667</v>
      </c>
      <c r="CI162" s="65"/>
      <c r="CJ162" s="65">
        <f t="shared" si="423"/>
        <v>84.1999999999983</v>
      </c>
      <c r="CK162" s="194">
        <f t="shared" si="358"/>
        <v>204.516399999998</v>
      </c>
    </row>
    <row r="163" ht="14.0" customFormat="1" s="47">
      <c r="A163" s="47" t="s">
        <v>569</v>
      </c>
      <c r="B163" s="240" t="s">
        <v>650</v>
      </c>
      <c r="C163" s="47" t="s">
        <v>664</v>
      </c>
      <c r="D163" s="185" t="s">
        <v>665</v>
      </c>
      <c r="E163" s="47">
        <v>0.0</v>
      </c>
      <c r="F163" s="47">
        <v>0.0</v>
      </c>
      <c r="G163" s="47">
        <v>0.0</v>
      </c>
      <c r="H163" s="47">
        <v>0.0</v>
      </c>
      <c r="I163" s="47">
        <v>0.0</v>
      </c>
      <c r="J163" s="47">
        <v>0.0</v>
      </c>
      <c r="K163" s="47">
        <v>0.0</v>
      </c>
      <c r="L163" s="47">
        <v>0.0</v>
      </c>
      <c r="M163" s="47">
        <v>0.0</v>
      </c>
      <c r="N163" s="47">
        <v>0.0</v>
      </c>
      <c r="O163" s="47">
        <v>0.0</v>
      </c>
      <c r="P163" s="47">
        <v>0.0</v>
      </c>
      <c r="Q163" s="47">
        <v>0.0</v>
      </c>
      <c r="R163" s="47">
        <v>0.0</v>
      </c>
      <c r="S163" s="47">
        <v>0.0</v>
      </c>
      <c r="T163" s="47">
        <v>0.0</v>
      </c>
      <c r="U163" s="47">
        <v>0.0</v>
      </c>
      <c r="V163" s="47">
        <v>0.0</v>
      </c>
      <c r="W163" s="47">
        <v>0.0</v>
      </c>
      <c r="X163" s="47">
        <v>0.0</v>
      </c>
      <c r="Y163" s="47">
        <v>0.0</v>
      </c>
      <c r="Z163" s="47">
        <v>0.0</v>
      </c>
      <c r="AA163" s="47">
        <v>0.0</v>
      </c>
      <c r="AB163" s="47">
        <v>0.0</v>
      </c>
      <c r="AC163" s="47">
        <v>0.0</v>
      </c>
      <c r="AD163" s="47">
        <v>0.0</v>
      </c>
      <c r="AE163" s="47">
        <v>0.0</v>
      </c>
      <c r="AF163" s="47">
        <v>0.0</v>
      </c>
      <c r="AG163" s="47">
        <v>0.0</v>
      </c>
      <c r="AH163" s="47">
        <v>0.0</v>
      </c>
      <c r="AI163" s="47">
        <v>0.0</v>
      </c>
      <c r="AJ163" s="47">
        <v>0.0</v>
      </c>
      <c r="AK163" s="47">
        <v>0.0</v>
      </c>
      <c r="AL163" s="47">
        <v>0.0</v>
      </c>
      <c r="AM163" s="47">
        <v>0.0</v>
      </c>
      <c r="AN163" s="237">
        <v>18.0</v>
      </c>
      <c r="AO163" s="237">
        <v>144.0</v>
      </c>
      <c r="AP163" s="237">
        <v>12.0</v>
      </c>
      <c r="AQ163" s="231">
        <v>0.0</v>
      </c>
      <c r="AR163" s="231">
        <v>24.0</v>
      </c>
      <c r="AS163" s="231">
        <v>168.0</v>
      </c>
      <c r="AT163" s="69">
        <f t="shared" si="4"/>
        <v>366.0</v>
      </c>
      <c r="AU163" s="69">
        <f t="shared" si="371"/>
        <v>366.0</v>
      </c>
      <c r="AV163" s="69">
        <f t="shared" si="424"/>
        <v>402.6</v>
      </c>
      <c r="AW163" s="65">
        <f t="shared" si="425"/>
        <v>63.8</v>
      </c>
      <c r="AX163" s="65">
        <f t="shared" si="426"/>
        <v>63.8</v>
      </c>
      <c r="AY163" s="65">
        <f t="shared" si="427"/>
        <v>63.8</v>
      </c>
      <c r="AZ163" s="65">
        <f t="shared" si="428"/>
        <v>63.8</v>
      </c>
      <c r="BA163" s="65">
        <f t="shared" si="429"/>
        <v>63.8</v>
      </c>
      <c r="BB163" s="65">
        <f t="shared" si="430"/>
        <v>63.8</v>
      </c>
      <c r="BC163" s="64">
        <f t="shared" si="13"/>
        <v>382.8</v>
      </c>
      <c r="BD163" s="69">
        <f>VLOOKUP(D163,FEB23SOH,3,false)</f>
        <v>564.0</v>
      </c>
      <c r="BE163" s="201">
        <f>VLOOKUP(D163,VALUEFEB23,4,false)</f>
        <v>1.3991</v>
      </c>
      <c r="BF163" s="215">
        <f t="shared" si="431"/>
        <v>789.0924</v>
      </c>
      <c r="BG163" s="64"/>
      <c r="BH163" s="64"/>
      <c r="BI163" s="193">
        <f t="shared" si="410"/>
        <v>181.2</v>
      </c>
      <c r="BJ163" s="217"/>
      <c r="BL163" s="103"/>
      <c r="BM163" s="95">
        <f t="shared" si="411"/>
        <v>564.0</v>
      </c>
      <c r="BN163" s="65">
        <f t="shared" si="412"/>
        <v>63.8</v>
      </c>
      <c r="BO163" s="65">
        <f t="shared" si="21"/>
      </c>
      <c r="BP163" s="65">
        <f t="shared" si="413"/>
        <v>500.2</v>
      </c>
      <c r="BQ163" s="194">
        <f t="shared" si="342"/>
        <v>699.82982</v>
      </c>
      <c r="BR163" s="65">
        <f t="shared" si="414"/>
        <v>63.8</v>
      </c>
      <c r="BS163" s="65">
        <f t="shared" si="25"/>
      </c>
      <c r="BT163" s="65">
        <f t="shared" si="415"/>
        <v>436.4</v>
      </c>
      <c r="BU163" s="194">
        <f t="shared" si="345"/>
        <v>610.56724</v>
      </c>
      <c r="BV163" s="65">
        <f t="shared" si="416"/>
        <v>63.8</v>
      </c>
      <c r="BW163" s="65">
        <f t="shared" si="347"/>
      </c>
      <c r="BX163" s="65">
        <f t="shared" si="417"/>
        <v>372.6</v>
      </c>
      <c r="BY163" s="194">
        <f t="shared" si="349"/>
        <v>521.30466</v>
      </c>
      <c r="BZ163" s="65">
        <f t="shared" si="418"/>
        <v>63.8</v>
      </c>
      <c r="CA163" s="65"/>
      <c r="CB163" s="65">
        <f t="shared" si="419"/>
        <v>308.8</v>
      </c>
      <c r="CC163" s="194">
        <f t="shared" si="352"/>
        <v>432.04208</v>
      </c>
      <c r="CD163" s="65">
        <f t="shared" si="420"/>
        <v>63.8</v>
      </c>
      <c r="CE163" s="65"/>
      <c r="CF163" s="65">
        <f t="shared" si="421"/>
        <v>245.0</v>
      </c>
      <c r="CG163" s="194">
        <f t="shared" si="355"/>
        <v>342.7795</v>
      </c>
      <c r="CH163" s="65">
        <f t="shared" si="422"/>
        <v>63.8</v>
      </c>
      <c r="CI163" s="65"/>
      <c r="CJ163" s="65">
        <f t="shared" si="423"/>
        <v>181.2</v>
      </c>
      <c r="CK163" s="194">
        <f t="shared" si="358"/>
        <v>342.7795</v>
      </c>
    </row>
    <row r="164" ht="14.0" customFormat="1" s="47">
      <c r="A164" s="47" t="s">
        <v>569</v>
      </c>
      <c r="B164" s="240" t="s">
        <v>650</v>
      </c>
      <c r="C164" s="47" t="s">
        <v>666</v>
      </c>
      <c r="D164" s="185" t="s">
        <v>667</v>
      </c>
      <c r="E164" s="47">
        <v>0.0</v>
      </c>
      <c r="F164" s="47">
        <v>0.0</v>
      </c>
      <c r="G164" s="47">
        <v>0.0</v>
      </c>
      <c r="H164" s="47">
        <v>0.0</v>
      </c>
      <c r="I164" s="47">
        <v>0.0</v>
      </c>
      <c r="J164" s="47">
        <v>0.0</v>
      </c>
      <c r="K164" s="47">
        <v>0.0</v>
      </c>
      <c r="L164" s="47">
        <v>0.0</v>
      </c>
      <c r="M164" s="47">
        <v>0.0</v>
      </c>
      <c r="N164" s="47">
        <v>0.0</v>
      </c>
      <c r="O164" s="47">
        <v>0.0</v>
      </c>
      <c r="P164" s="47">
        <v>0.0</v>
      </c>
      <c r="Q164" s="47">
        <v>0.0</v>
      </c>
      <c r="R164" s="47">
        <v>0.0</v>
      </c>
      <c r="S164" s="47">
        <v>0.0</v>
      </c>
      <c r="T164" s="47">
        <v>0.0</v>
      </c>
      <c r="U164" s="47">
        <v>0.0</v>
      </c>
      <c r="V164" s="47">
        <v>0.0</v>
      </c>
      <c r="W164" s="47">
        <v>0.0</v>
      </c>
      <c r="X164" s="47">
        <v>0.0</v>
      </c>
      <c r="Y164" s="47">
        <v>0.0</v>
      </c>
      <c r="Z164" s="47">
        <v>0.0</v>
      </c>
      <c r="AA164" s="47">
        <v>0.0</v>
      </c>
      <c r="AB164" s="47">
        <v>0.0</v>
      </c>
      <c r="AC164" s="47">
        <v>0.0</v>
      </c>
      <c r="AD164" s="47">
        <v>0.0</v>
      </c>
      <c r="AE164" s="47">
        <v>0.0</v>
      </c>
      <c r="AF164" s="47">
        <v>0.0</v>
      </c>
      <c r="AG164" s="47">
        <v>0.0</v>
      </c>
      <c r="AH164" s="47">
        <v>0.0</v>
      </c>
      <c r="AI164" s="47">
        <v>0.0</v>
      </c>
      <c r="AJ164" s="47">
        <v>0.0</v>
      </c>
      <c r="AK164" s="47">
        <v>0.0</v>
      </c>
      <c r="AL164" s="47">
        <v>0.0</v>
      </c>
      <c r="AM164" s="47">
        <v>0.0</v>
      </c>
      <c r="AN164" s="237">
        <v>18.0</v>
      </c>
      <c r="AO164" s="237">
        <v>132.0</v>
      </c>
      <c r="AP164" s="237">
        <v>6.0</v>
      </c>
      <c r="AQ164" s="231">
        <v>0.0</v>
      </c>
      <c r="AR164" s="231">
        <v>18.0</v>
      </c>
      <c r="AS164" s="231">
        <v>37.0</v>
      </c>
      <c r="AT164" s="69">
        <f t="shared" si="4"/>
        <v>211.0</v>
      </c>
      <c r="AU164" s="69">
        <f t="shared" si="371"/>
        <v>211.0</v>
      </c>
      <c r="AV164" s="69">
        <f t="shared" si="424"/>
        <v>232.1</v>
      </c>
      <c r="AW164" s="65">
        <f t="shared" si="425"/>
        <v>57.2</v>
      </c>
      <c r="AX164" s="65">
        <f t="shared" si="426"/>
        <v>57.2</v>
      </c>
      <c r="AY164" s="65">
        <f t="shared" si="427"/>
        <v>57.2</v>
      </c>
      <c r="AZ164" s="65">
        <f t="shared" si="428"/>
        <v>57.2</v>
      </c>
      <c r="BA164" s="65">
        <f t="shared" si="429"/>
        <v>57.2</v>
      </c>
      <c r="BB164" s="65">
        <f t="shared" si="430"/>
        <v>57.2</v>
      </c>
      <c r="BC164" s="64">
        <f t="shared" si="13"/>
        <v>343.2</v>
      </c>
      <c r="BD164" s="69">
        <f>VLOOKUP(D164,FEB23SOH,3,false)</f>
        <v>702.0</v>
      </c>
      <c r="BE164" s="201">
        <f>VLOOKUP(D164,VALUEFEB23,4,false)</f>
        <v>1.3991</v>
      </c>
      <c r="BF164" s="215">
        <f t="shared" si="431"/>
        <v>982.1682</v>
      </c>
      <c r="BG164" s="64"/>
      <c r="BH164" s="64"/>
      <c r="BI164" s="193">
        <f t="shared" si="410"/>
        <v>358.8</v>
      </c>
      <c r="BJ164" s="217"/>
      <c r="BL164" s="103"/>
      <c r="BM164" s="95">
        <f t="shared" si="411"/>
        <v>702.0</v>
      </c>
      <c r="BN164" s="65">
        <f t="shared" si="412"/>
        <v>57.2</v>
      </c>
      <c r="BO164" s="65">
        <f t="shared" si="21"/>
      </c>
      <c r="BP164" s="65">
        <f t="shared" si="413"/>
        <v>644.8</v>
      </c>
      <c r="BQ164" s="194">
        <f t="shared" si="342"/>
        <v>902.13968</v>
      </c>
      <c r="BR164" s="65">
        <f t="shared" si="414"/>
        <v>57.2</v>
      </c>
      <c r="BS164" s="65">
        <f t="shared" si="25"/>
      </c>
      <c r="BT164" s="65">
        <f t="shared" si="415"/>
        <v>587.6</v>
      </c>
      <c r="BU164" s="194">
        <f t="shared" si="345"/>
        <v>822.11116</v>
      </c>
      <c r="BV164" s="65">
        <f t="shared" si="416"/>
        <v>57.2</v>
      </c>
      <c r="BW164" s="65">
        <f t="shared" si="347"/>
      </c>
      <c r="BX164" s="65">
        <f t="shared" si="417"/>
        <v>530.4</v>
      </c>
      <c r="BY164" s="194">
        <f t="shared" si="349"/>
        <v>742.08264</v>
      </c>
      <c r="BZ164" s="65">
        <f t="shared" si="418"/>
        <v>57.2</v>
      </c>
      <c r="CA164" s="65"/>
      <c r="CB164" s="65">
        <f t="shared" si="419"/>
        <v>473.2</v>
      </c>
      <c r="CC164" s="194">
        <f t="shared" si="352"/>
        <v>662.05412</v>
      </c>
      <c r="CD164" s="65">
        <f t="shared" si="420"/>
        <v>57.2</v>
      </c>
      <c r="CE164" s="65"/>
      <c r="CF164" s="65">
        <f t="shared" si="421"/>
        <v>416.0</v>
      </c>
      <c r="CG164" s="194">
        <f t="shared" si="355"/>
        <v>582.0256</v>
      </c>
      <c r="CH164" s="65">
        <f t="shared" si="422"/>
        <v>57.2</v>
      </c>
      <c r="CI164" s="65"/>
      <c r="CJ164" s="65">
        <f t="shared" si="423"/>
        <v>358.8</v>
      </c>
      <c r="CK164" s="194">
        <f t="shared" si="358"/>
        <v>582.0256</v>
      </c>
    </row>
    <row r="165" ht="14.0" customFormat="1" s="47">
      <c r="A165" s="47" t="s">
        <v>569</v>
      </c>
      <c r="B165" s="47" t="s">
        <v>361</v>
      </c>
      <c r="C165" s="47" t="s">
        <v>668</v>
      </c>
      <c r="D165" s="185" t="s">
        <v>669</v>
      </c>
      <c r="E165" s="47">
        <v>0.0</v>
      </c>
      <c r="F165" s="47">
        <v>0.0</v>
      </c>
      <c r="G165" s="47">
        <v>0.0</v>
      </c>
      <c r="H165" s="47">
        <v>0.0</v>
      </c>
      <c r="I165" s="47">
        <v>0.0</v>
      </c>
      <c r="J165" s="47">
        <v>0.0</v>
      </c>
      <c r="K165" s="47">
        <v>0.0</v>
      </c>
      <c r="L165" s="47">
        <v>0.0</v>
      </c>
      <c r="M165" s="47">
        <v>0.0</v>
      </c>
      <c r="N165" s="47">
        <v>0.0</v>
      </c>
      <c r="O165" s="47">
        <v>0.0</v>
      </c>
      <c r="P165" s="47">
        <v>0.0</v>
      </c>
      <c r="Q165" s="47">
        <v>0.0</v>
      </c>
      <c r="R165" s="47">
        <v>0.0</v>
      </c>
      <c r="S165" s="47">
        <v>0.0</v>
      </c>
      <c r="T165" s="47">
        <v>0.0</v>
      </c>
      <c r="U165" s="47">
        <v>0.0</v>
      </c>
      <c r="V165" s="47">
        <v>0.0</v>
      </c>
      <c r="W165" s="47">
        <v>0.0</v>
      </c>
      <c r="X165" s="47">
        <v>0.0</v>
      </c>
      <c r="Y165" s="47">
        <v>0.0</v>
      </c>
      <c r="Z165" s="47">
        <v>0.0</v>
      </c>
      <c r="AA165" s="47">
        <v>0.0</v>
      </c>
      <c r="AB165" s="47">
        <v>0.0</v>
      </c>
      <c r="AC165" s="47">
        <v>0.0</v>
      </c>
      <c r="AD165" s="47">
        <v>0.0</v>
      </c>
      <c r="AE165" s="47">
        <v>0.0</v>
      </c>
      <c r="AF165" s="47">
        <v>0.0</v>
      </c>
      <c r="AG165" s="47">
        <v>0.0</v>
      </c>
      <c r="AH165" s="47">
        <v>0.0</v>
      </c>
      <c r="AI165" s="47">
        <v>0.0</v>
      </c>
      <c r="AJ165" s="47">
        <v>0.0</v>
      </c>
      <c r="AK165" s="47">
        <v>0.0</v>
      </c>
      <c r="AL165" s="47">
        <v>0.0</v>
      </c>
      <c r="AM165" s="47">
        <v>0.0</v>
      </c>
      <c r="AN165" s="237">
        <v>28.0</v>
      </c>
      <c r="AO165" s="237">
        <v>138.0</v>
      </c>
      <c r="AP165" s="237">
        <v>63.0</v>
      </c>
      <c r="AQ165" s="231">
        <v>33.0</v>
      </c>
      <c r="AR165" s="231">
        <v>27.0</v>
      </c>
      <c r="AS165" s="231">
        <v>18.0</v>
      </c>
      <c r="AT165" s="69">
        <f t="shared" si="4"/>
        <v>307.0</v>
      </c>
      <c r="AU165" s="69">
        <f t="shared" si="371"/>
        <v>307.0</v>
      </c>
      <c r="AV165" s="69">
        <f t="shared" si="424"/>
        <v>337.7</v>
      </c>
      <c r="AW165" s="65">
        <f t="shared" si="425"/>
        <v>83.9666666666667</v>
      </c>
      <c r="AX165" s="65">
        <f t="shared" si="426"/>
        <v>83.9666666666667</v>
      </c>
      <c r="AY165" s="65">
        <f t="shared" si="427"/>
        <v>83.9666666666667</v>
      </c>
      <c r="AZ165" s="65">
        <f t="shared" si="428"/>
        <v>83.9666666666667</v>
      </c>
      <c r="BA165" s="65">
        <f t="shared" si="429"/>
        <v>83.9666666666667</v>
      </c>
      <c r="BB165" s="65">
        <f t="shared" si="430"/>
        <v>83.9666666666667</v>
      </c>
      <c r="BC165" s="64">
        <f t="shared" si="13"/>
        <v>503.8</v>
      </c>
      <c r="BD165" s="69">
        <f>VLOOKUP(D165,FEB23SOH,3,false)</f>
        <v>293.0</v>
      </c>
      <c r="BE165" s="201">
        <f>VLOOKUP(D165,VALUEFEB23,4,false)</f>
        <v>3.2695</v>
      </c>
      <c r="BF165" s="215">
        <f t="shared" si="431"/>
        <v>957.9635</v>
      </c>
      <c r="BG165" s="64"/>
      <c r="BH165" s="64"/>
      <c r="BI165" s="193">
        <f t="shared" si="410"/>
        <v>-210.8</v>
      </c>
      <c r="BJ165" s="217">
        <v>501.0</v>
      </c>
      <c r="BK165" s="185">
        <f>BJ165</f>
        <v>501.0</v>
      </c>
      <c r="BL165" s="103" t="s">
        <v>4</v>
      </c>
      <c r="BM165" s="95">
        <f t="shared" si="411"/>
        <v>293.0</v>
      </c>
      <c r="BN165" s="65">
        <f t="shared" si="412"/>
        <v>83.9666666666667</v>
      </c>
      <c r="BO165" s="65">
        <f t="shared" si="21"/>
      </c>
      <c r="BP165" s="65">
        <f t="shared" si="413"/>
        <v>209.033333333333</v>
      </c>
      <c r="BQ165" s="194">
        <f t="shared" si="342"/>
        <v>683.434483333332</v>
      </c>
      <c r="BR165" s="65">
        <f t="shared" si="414"/>
        <v>83.9666666666667</v>
      </c>
      <c r="BS165" s="65">
        <f t="shared" si="25"/>
      </c>
      <c r="BT165" s="65">
        <f t="shared" si="415"/>
        <v>125.066666666666</v>
      </c>
      <c r="BU165" s="194">
        <f t="shared" si="345"/>
        <v>408.905466666664</v>
      </c>
      <c r="BV165" s="65">
        <f t="shared" si="416"/>
        <v>83.9666666666667</v>
      </c>
      <c r="BW165" s="65">
        <f t="shared" si="347"/>
      </c>
      <c r="BX165" s="65">
        <f t="shared" si="417"/>
        <v>41.0999999999993</v>
      </c>
      <c r="BY165" s="194">
        <f t="shared" si="349"/>
        <v>134.376449999998</v>
      </c>
      <c r="BZ165" s="65">
        <f t="shared" si="418"/>
        <v>83.9666666666667</v>
      </c>
      <c r="CA165" s="65"/>
      <c r="CB165" s="65">
        <f t="shared" si="419"/>
        <v>-42.8666666666674</v>
      </c>
      <c r="CC165" s="194">
        <f t="shared" si="352"/>
        <v>-140.152566666669</v>
      </c>
      <c r="CD165" s="65">
        <f t="shared" si="420"/>
        <v>83.9666666666667</v>
      </c>
      <c r="CE165" s="65"/>
      <c r="CF165" s="65">
        <f t="shared" si="421"/>
        <v>-126.833333333334</v>
      </c>
      <c r="CG165" s="194">
        <f t="shared" si="355"/>
        <v>-414.681583333334</v>
      </c>
      <c r="CH165" s="65">
        <f t="shared" si="422"/>
        <v>83.9666666666667</v>
      </c>
      <c r="CI165" s="65"/>
      <c r="CJ165" s="65">
        <f t="shared" si="423"/>
        <v>-210.8</v>
      </c>
      <c r="CK165" s="194">
        <f t="shared" si="358"/>
        <v>-414.681583333334</v>
      </c>
    </row>
    <row r="166" ht="14.0">
      <c r="A166" s="47" t="s">
        <v>569</v>
      </c>
      <c r="B166" s="47" t="s">
        <v>670</v>
      </c>
      <c r="C166" s="47" t="s">
        <v>671</v>
      </c>
      <c r="D166" s="185" t="s">
        <v>672</v>
      </c>
      <c r="E166" s="47">
        <v>0.0</v>
      </c>
      <c r="F166" s="47">
        <v>0.0</v>
      </c>
      <c r="G166" s="47">
        <v>0.0</v>
      </c>
      <c r="H166" s="47">
        <v>0.0</v>
      </c>
      <c r="I166" s="47">
        <v>0.0</v>
      </c>
      <c r="J166" s="47">
        <v>0.0</v>
      </c>
      <c r="K166" s="47">
        <v>0.0</v>
      </c>
      <c r="L166" s="47">
        <v>0.0</v>
      </c>
      <c r="M166" s="47">
        <v>0.0</v>
      </c>
      <c r="N166" s="47">
        <v>0.0</v>
      </c>
      <c r="O166" s="47">
        <v>0.0</v>
      </c>
      <c r="P166" s="47">
        <v>0.0</v>
      </c>
      <c r="Q166" s="47">
        <v>0.0</v>
      </c>
      <c r="R166" s="47">
        <v>0.0</v>
      </c>
      <c r="S166" s="47">
        <v>0.0</v>
      </c>
      <c r="T166" s="47">
        <v>0.0</v>
      </c>
      <c r="U166" s="47">
        <v>0.0</v>
      </c>
      <c r="V166" s="47">
        <v>0.0</v>
      </c>
      <c r="W166" s="47">
        <v>0.0</v>
      </c>
      <c r="X166" s="47">
        <v>0.0</v>
      </c>
      <c r="Y166" s="47">
        <v>0.0</v>
      </c>
      <c r="Z166" s="47">
        <v>0.0</v>
      </c>
      <c r="AA166" s="47">
        <v>0.0</v>
      </c>
      <c r="AB166" s="47">
        <v>0.0</v>
      </c>
      <c r="AC166" s="47">
        <v>0.0</v>
      </c>
      <c r="AD166" s="47">
        <v>0.0</v>
      </c>
      <c r="AE166" s="47">
        <v>0.0</v>
      </c>
      <c r="AF166" s="47">
        <v>0.0</v>
      </c>
      <c r="AG166" s="47">
        <v>0.0</v>
      </c>
      <c r="AH166" s="47">
        <v>0.0</v>
      </c>
      <c r="AI166" s="47">
        <v>0.0</v>
      </c>
      <c r="AJ166" s="47">
        <v>0.0</v>
      </c>
      <c r="AK166" s="47">
        <v>0.0</v>
      </c>
      <c r="AL166" s="47">
        <v>0.0</v>
      </c>
      <c r="AM166" s="47">
        <v>0.0</v>
      </c>
      <c r="AN166" s="237">
        <v>12.0</v>
      </c>
      <c r="AO166" s="237">
        <v>20.0</v>
      </c>
      <c r="AP166" s="237">
        <v>52.0</v>
      </c>
      <c r="AQ166" s="231">
        <v>20.0</v>
      </c>
      <c r="AR166" s="231">
        <v>12.0</v>
      </c>
      <c r="AS166" s="231">
        <v>29.0</v>
      </c>
      <c r="AT166" s="69">
        <f t="shared" si="4"/>
        <v>145.0</v>
      </c>
      <c r="AU166" s="69">
        <f t="shared" si="371"/>
        <v>145.0</v>
      </c>
      <c r="AV166" s="69">
        <f t="shared" si="424"/>
        <v>159.5</v>
      </c>
      <c r="AW166" s="65">
        <f t="shared" si="425"/>
        <v>30.8</v>
      </c>
      <c r="AX166" s="65">
        <f t="shared" si="426"/>
        <v>30.8</v>
      </c>
      <c r="AY166" s="65">
        <f t="shared" si="427"/>
        <v>30.8</v>
      </c>
      <c r="AZ166" s="65">
        <f t="shared" si="428"/>
        <v>30.8</v>
      </c>
      <c r="BA166" s="65">
        <f t="shared" si="429"/>
        <v>30.8</v>
      </c>
      <c r="BB166" s="65">
        <f t="shared" si="430"/>
        <v>30.8</v>
      </c>
      <c r="BC166" s="64">
        <f t="shared" si="13"/>
        <v>184.8</v>
      </c>
      <c r="BD166" s="69">
        <f>VLOOKUP(D166,FEB23SOH,3,false)</f>
        <v>360.0</v>
      </c>
      <c r="BE166" s="201">
        <f>VLOOKUP(D166,VALUEFEB23,4,false)</f>
        <v>2.6562</v>
      </c>
      <c r="BF166" s="215">
        <f t="shared" si="431"/>
        <v>956.232</v>
      </c>
      <c r="BI166" s="193">
        <f t="shared" si="410"/>
        <v>175.2</v>
      </c>
      <c r="BL166" s="103"/>
      <c r="BM166" s="95">
        <f t="shared" si="411"/>
        <v>360.0</v>
      </c>
      <c r="BN166" s="65">
        <f t="shared" si="412"/>
        <v>30.8</v>
      </c>
      <c r="BO166" s="65">
        <f t="shared" si="21"/>
      </c>
      <c r="BP166" s="65">
        <f t="shared" si="413"/>
        <v>329.2</v>
      </c>
      <c r="BQ166" s="194">
        <f t="shared" si="342"/>
        <v>874.42104</v>
      </c>
      <c r="BR166" s="65">
        <f t="shared" si="414"/>
        <v>30.8</v>
      </c>
      <c r="BS166" s="65">
        <f t="shared" si="25"/>
      </c>
      <c r="BT166" s="65">
        <f t="shared" si="415"/>
        <v>298.4</v>
      </c>
      <c r="BU166" s="194">
        <f t="shared" si="345"/>
        <v>792.61008</v>
      </c>
      <c r="BV166" s="65">
        <f t="shared" si="416"/>
        <v>30.8</v>
      </c>
      <c r="BW166" s="65">
        <f t="shared" si="347"/>
      </c>
      <c r="BX166" s="65">
        <f t="shared" si="417"/>
        <v>267.6</v>
      </c>
      <c r="BY166" s="194">
        <f t="shared" si="349"/>
        <v>710.79912</v>
      </c>
      <c r="BZ166" s="65">
        <f t="shared" si="418"/>
        <v>30.8</v>
      </c>
      <c r="CA166" s="65"/>
      <c r="CB166" s="65">
        <f t="shared" si="419"/>
        <v>236.8</v>
      </c>
      <c r="CC166" s="194">
        <f t="shared" si="352"/>
        <v>628.98816</v>
      </c>
      <c r="CD166" s="65">
        <f t="shared" si="420"/>
        <v>30.8</v>
      </c>
      <c r="CE166" s="65"/>
      <c r="CF166" s="65">
        <f t="shared" si="421"/>
        <v>206.0</v>
      </c>
      <c r="CG166" s="194">
        <f t="shared" si="355"/>
        <v>547.1772</v>
      </c>
      <c r="CH166" s="65">
        <f t="shared" si="422"/>
        <v>30.8</v>
      </c>
      <c r="CI166" s="65"/>
      <c r="CJ166" s="65">
        <f t="shared" si="423"/>
        <v>175.2</v>
      </c>
      <c r="CK166" s="194">
        <f t="shared" si="358"/>
        <v>547.1772</v>
      </c>
    </row>
    <row r="167" ht="14.0">
      <c r="A167" s="47" t="s">
        <v>569</v>
      </c>
      <c r="B167" s="47" t="s">
        <v>670</v>
      </c>
      <c r="C167" s="47" t="s">
        <v>673</v>
      </c>
      <c r="D167" s="185" t="s">
        <v>674</v>
      </c>
      <c r="E167" s="47">
        <v>0.0</v>
      </c>
      <c r="F167" s="47">
        <v>0.0</v>
      </c>
      <c r="G167" s="47">
        <v>0.0</v>
      </c>
      <c r="H167" s="47">
        <v>0.0</v>
      </c>
      <c r="I167" s="47">
        <v>0.0</v>
      </c>
      <c r="J167" s="47">
        <v>0.0</v>
      </c>
      <c r="K167" s="47">
        <v>0.0</v>
      </c>
      <c r="L167" s="47">
        <v>0.0</v>
      </c>
      <c r="M167" s="47">
        <v>0.0</v>
      </c>
      <c r="N167" s="47">
        <v>0.0</v>
      </c>
      <c r="O167" s="47">
        <v>0.0</v>
      </c>
      <c r="P167" s="47">
        <v>0.0</v>
      </c>
      <c r="Q167" s="47">
        <v>0.0</v>
      </c>
      <c r="R167" s="47">
        <v>0.0</v>
      </c>
      <c r="S167" s="47">
        <v>0.0</v>
      </c>
      <c r="T167" s="47">
        <v>0.0</v>
      </c>
      <c r="U167" s="47">
        <v>0.0</v>
      </c>
      <c r="V167" s="47">
        <v>0.0</v>
      </c>
      <c r="W167" s="47">
        <v>0.0</v>
      </c>
      <c r="X167" s="47">
        <v>0.0</v>
      </c>
      <c r="Y167" s="47">
        <v>0.0</v>
      </c>
      <c r="Z167" s="47">
        <v>0.0</v>
      </c>
      <c r="AA167" s="47">
        <v>0.0</v>
      </c>
      <c r="AB167" s="47">
        <v>0.0</v>
      </c>
      <c r="AC167" s="47">
        <v>0.0</v>
      </c>
      <c r="AD167" s="47">
        <v>0.0</v>
      </c>
      <c r="AE167" s="47">
        <v>0.0</v>
      </c>
      <c r="AF167" s="47">
        <v>0.0</v>
      </c>
      <c r="AG167" s="47">
        <v>0.0</v>
      </c>
      <c r="AH167" s="47">
        <v>0.0</v>
      </c>
      <c r="AI167" s="47">
        <v>0.0</v>
      </c>
      <c r="AJ167" s="47">
        <v>0.0</v>
      </c>
      <c r="AK167" s="47">
        <v>0.0</v>
      </c>
      <c r="AL167" s="47">
        <v>0.0</v>
      </c>
      <c r="AM167" s="47">
        <v>0.0</v>
      </c>
      <c r="AN167" s="237">
        <v>15.0</v>
      </c>
      <c r="AO167" s="237">
        <v>40.0</v>
      </c>
      <c r="AP167" s="237">
        <v>40.0</v>
      </c>
      <c r="AQ167" s="231">
        <v>8.0</v>
      </c>
      <c r="AR167" s="231">
        <v>8.0</v>
      </c>
      <c r="AS167" s="231">
        <v>19.0</v>
      </c>
      <c r="AT167" s="69">
        <f t="shared" si="4"/>
        <v>130.0</v>
      </c>
      <c r="AU167" s="69">
        <f t="shared" si="371"/>
        <v>130.0</v>
      </c>
      <c r="AV167" s="69">
        <f t="shared" si="424"/>
        <v>143.0</v>
      </c>
      <c r="AW167" s="65">
        <f t="shared" si="425"/>
        <v>34.8333333333333</v>
      </c>
      <c r="AX167" s="65">
        <f t="shared" si="426"/>
        <v>34.8333333333333</v>
      </c>
      <c r="AY167" s="65">
        <f t="shared" si="427"/>
        <v>34.8333333333333</v>
      </c>
      <c r="AZ167" s="65">
        <f t="shared" si="428"/>
        <v>34.8333333333333</v>
      </c>
      <c r="BA167" s="65">
        <f t="shared" si="429"/>
        <v>34.8333333333333</v>
      </c>
      <c r="BB167" s="65">
        <f t="shared" si="430"/>
        <v>34.8333333333333</v>
      </c>
      <c r="BC167" s="64">
        <f t="shared" si="13"/>
        <v>209.0</v>
      </c>
      <c r="BD167" s="69">
        <f>VLOOKUP(D167,FEB23SOH,3,false)</f>
        <v>357.0</v>
      </c>
      <c r="BE167" s="201">
        <f>VLOOKUP(D167,VALUEFEB23,4,false)</f>
        <v>2.6561</v>
      </c>
      <c r="BF167" s="215">
        <f t="shared" si="431"/>
        <v>948.2277</v>
      </c>
      <c r="BI167" s="193">
        <f t="shared" si="410"/>
        <v>148.0</v>
      </c>
      <c r="BL167" s="103"/>
      <c r="BM167" s="95">
        <f t="shared" si="411"/>
        <v>357.0</v>
      </c>
      <c r="BN167" s="65">
        <f t="shared" si="412"/>
        <v>34.8333333333333</v>
      </c>
      <c r="BO167" s="65">
        <f t="shared" si="21"/>
      </c>
      <c r="BP167" s="65">
        <f t="shared" si="413"/>
        <v>322.166666666667</v>
      </c>
      <c r="BQ167" s="194">
        <f t="shared" si="342"/>
        <v>855.706883333334</v>
      </c>
      <c r="BR167" s="65">
        <f t="shared" si="414"/>
        <v>34.8333333333333</v>
      </c>
      <c r="BS167" s="65">
        <f t="shared" si="25"/>
      </c>
      <c r="BT167" s="65">
        <f t="shared" si="415"/>
        <v>287.333333333333</v>
      </c>
      <c r="BU167" s="194">
        <f t="shared" si="345"/>
        <v>763.186066667</v>
      </c>
      <c r="BV167" s="65">
        <f t="shared" si="416"/>
        <v>34.8333333333333</v>
      </c>
      <c r="BW167" s="65">
        <f t="shared" si="347"/>
      </c>
      <c r="BX167" s="65">
        <f t="shared" si="417"/>
        <v>252.5</v>
      </c>
      <c r="BY167" s="194">
        <f t="shared" si="349"/>
        <v>670.66525</v>
      </c>
      <c r="BZ167" s="65">
        <f t="shared" si="418"/>
        <v>34.8333333333333</v>
      </c>
      <c r="CA167" s="65"/>
      <c r="CB167" s="65">
        <f t="shared" si="419"/>
        <v>217.666666666667</v>
      </c>
      <c r="CC167" s="194">
        <f t="shared" si="352"/>
        <v>578.144433333334</v>
      </c>
      <c r="CD167" s="65">
        <f t="shared" si="420"/>
        <v>34.8333333333333</v>
      </c>
      <c r="CE167" s="65"/>
      <c r="CF167" s="65">
        <f t="shared" si="421"/>
        <v>182.833333333333</v>
      </c>
      <c r="CG167" s="194">
        <f t="shared" si="355"/>
        <v>485.623616666666</v>
      </c>
      <c r="CH167" s="65">
        <f t="shared" si="422"/>
        <v>34.8333333333333</v>
      </c>
      <c r="CI167" s="65"/>
      <c r="CJ167" s="65">
        <f t="shared" si="423"/>
        <v>148.0</v>
      </c>
      <c r="CK167" s="194">
        <f t="shared" si="358"/>
        <v>485.623616666666</v>
      </c>
    </row>
    <row r="168" ht="14.0">
      <c r="A168" s="47" t="s">
        <v>569</v>
      </c>
      <c r="B168" s="47" t="s">
        <v>670</v>
      </c>
      <c r="C168" s="47" t="s">
        <v>675</v>
      </c>
      <c r="D168" s="185" t="s">
        <v>676</v>
      </c>
      <c r="E168" s="47">
        <v>0.0</v>
      </c>
      <c r="F168" s="47">
        <v>0.0</v>
      </c>
      <c r="G168" s="47">
        <v>0.0</v>
      </c>
      <c r="H168" s="47">
        <v>0.0</v>
      </c>
      <c r="I168" s="47">
        <v>0.0</v>
      </c>
      <c r="J168" s="47">
        <v>0.0</v>
      </c>
      <c r="K168" s="47">
        <v>0.0</v>
      </c>
      <c r="L168" s="47">
        <v>0.0</v>
      </c>
      <c r="M168" s="47">
        <v>0.0</v>
      </c>
      <c r="N168" s="47">
        <v>0.0</v>
      </c>
      <c r="O168" s="47">
        <v>0.0</v>
      </c>
      <c r="P168" s="47">
        <v>0.0</v>
      </c>
      <c r="Q168" s="47">
        <v>0.0</v>
      </c>
      <c r="R168" s="47">
        <v>0.0</v>
      </c>
      <c r="S168" s="47">
        <v>0.0</v>
      </c>
      <c r="T168" s="47">
        <v>0.0</v>
      </c>
      <c r="U168" s="47">
        <v>0.0</v>
      </c>
      <c r="V168" s="47">
        <v>0.0</v>
      </c>
      <c r="W168" s="47">
        <v>0.0</v>
      </c>
      <c r="X168" s="47">
        <v>0.0</v>
      </c>
      <c r="Y168" s="47">
        <v>0.0</v>
      </c>
      <c r="Z168" s="47">
        <v>0.0</v>
      </c>
      <c r="AA168" s="47">
        <v>0.0</v>
      </c>
      <c r="AB168" s="47">
        <v>0.0</v>
      </c>
      <c r="AC168" s="47">
        <v>0.0</v>
      </c>
      <c r="AD168" s="47">
        <v>0.0</v>
      </c>
      <c r="AE168" s="47">
        <v>0.0</v>
      </c>
      <c r="AF168" s="47">
        <v>0.0</v>
      </c>
      <c r="AG168" s="47">
        <v>0.0</v>
      </c>
      <c r="AH168" s="47">
        <v>0.0</v>
      </c>
      <c r="AI168" s="47">
        <v>0.0</v>
      </c>
      <c r="AJ168" s="47">
        <v>0.0</v>
      </c>
      <c r="AK168" s="47">
        <v>0.0</v>
      </c>
      <c r="AL168" s="47">
        <v>0.0</v>
      </c>
      <c r="AM168" s="47">
        <v>0.0</v>
      </c>
      <c r="AN168" s="237">
        <v>8.0</v>
      </c>
      <c r="AO168" s="237">
        <v>12.0</v>
      </c>
      <c r="AP168" s="237">
        <v>16.0</v>
      </c>
      <c r="AQ168" s="231">
        <v>4.0</v>
      </c>
      <c r="AR168" s="231">
        <v>0.0</v>
      </c>
      <c r="AS168" s="231">
        <v>0.0</v>
      </c>
      <c r="AT168" s="69">
        <f t="shared" si="4"/>
        <v>40.0</v>
      </c>
      <c r="AU168" s="69">
        <f t="shared" si="371"/>
        <v>40.0</v>
      </c>
      <c r="AV168" s="69">
        <f t="shared" si="424"/>
        <v>44.0</v>
      </c>
      <c r="AW168" s="65">
        <f t="shared" si="425"/>
        <v>13.2</v>
      </c>
      <c r="AX168" s="65">
        <f t="shared" si="426"/>
        <v>13.2</v>
      </c>
      <c r="AY168" s="65">
        <f t="shared" si="427"/>
        <v>13.2</v>
      </c>
      <c r="AZ168" s="65">
        <f t="shared" si="428"/>
        <v>13.2</v>
      </c>
      <c r="BA168" s="65">
        <f t="shared" si="429"/>
        <v>13.2</v>
      </c>
      <c r="BB168" s="65">
        <f t="shared" si="430"/>
        <v>13.2</v>
      </c>
      <c r="BC168" s="64">
        <f t="shared" si="13"/>
        <v>79.2</v>
      </c>
      <c r="BD168" s="69">
        <f>VLOOKUP(D168,FEB23SOH,3,false)</f>
        <v>456.0</v>
      </c>
      <c r="BE168" s="201">
        <f>VLOOKUP(D168,VALUEFEB23,4,false)</f>
        <v>2.6563</v>
      </c>
      <c r="BF168" s="215">
        <f t="shared" si="431"/>
        <v>1211.2728</v>
      </c>
      <c r="BI168" s="193">
        <f t="shared" si="410"/>
        <v>376.8</v>
      </c>
      <c r="BL168" s="103"/>
      <c r="BM168" s="95">
        <f t="shared" si="411"/>
        <v>456.0</v>
      </c>
      <c r="BN168" s="65">
        <f t="shared" si="412"/>
        <v>13.2</v>
      </c>
      <c r="BO168" s="65">
        <f t="shared" si="21"/>
      </c>
      <c r="BP168" s="65">
        <f t="shared" si="413"/>
        <v>442.8</v>
      </c>
      <c r="BQ168" s="194">
        <f t="shared" si="342"/>
        <v>1176.20964</v>
      </c>
      <c r="BR168" s="65">
        <f t="shared" si="414"/>
        <v>13.2</v>
      </c>
      <c r="BS168" s="65">
        <f t="shared" si="25"/>
      </c>
      <c r="BT168" s="65">
        <f t="shared" si="415"/>
        <v>429.6</v>
      </c>
      <c r="BU168" s="194">
        <f t="shared" si="345"/>
        <v>1141.14648</v>
      </c>
      <c r="BV168" s="65">
        <f t="shared" si="416"/>
        <v>13.2</v>
      </c>
      <c r="BW168" s="65">
        <f t="shared" si="347"/>
      </c>
      <c r="BX168" s="65">
        <f t="shared" si="417"/>
        <v>416.4</v>
      </c>
      <c r="BY168" s="194">
        <f t="shared" si="349"/>
        <v>1106.08332</v>
      </c>
      <c r="BZ168" s="65">
        <f t="shared" si="418"/>
        <v>13.2</v>
      </c>
      <c r="CA168" s="65"/>
      <c r="CB168" s="65">
        <f t="shared" si="419"/>
        <v>403.2</v>
      </c>
      <c r="CC168" s="194">
        <f t="shared" si="352"/>
        <v>1071.02016</v>
      </c>
      <c r="CD168" s="65">
        <f t="shared" si="420"/>
        <v>13.2</v>
      </c>
      <c r="CE168" s="65"/>
      <c r="CF168" s="65">
        <f t="shared" si="421"/>
        <v>390.0</v>
      </c>
      <c r="CG168" s="194">
        <f t="shared" si="355"/>
        <v>1035.957</v>
      </c>
      <c r="CH168" s="65">
        <f t="shared" si="422"/>
        <v>13.2</v>
      </c>
      <c r="CI168" s="65"/>
      <c r="CJ168" s="65">
        <f t="shared" si="423"/>
        <v>376.8</v>
      </c>
      <c r="CK168" s="194">
        <f t="shared" si="358"/>
        <v>1035.957</v>
      </c>
    </row>
    <row r="169" ht="14.0">
      <c r="A169" s="47" t="s">
        <v>569</v>
      </c>
      <c r="B169" s="47" t="s">
        <v>670</v>
      </c>
      <c r="C169" s="47" t="s">
        <v>677</v>
      </c>
      <c r="D169" s="185" t="s">
        <v>678</v>
      </c>
      <c r="E169" s="47">
        <v>0.0</v>
      </c>
      <c r="F169" s="47">
        <v>0.0</v>
      </c>
      <c r="G169" s="47">
        <v>0.0</v>
      </c>
      <c r="H169" s="47">
        <v>0.0</v>
      </c>
      <c r="I169" s="47">
        <v>0.0</v>
      </c>
      <c r="J169" s="47">
        <v>0.0</v>
      </c>
      <c r="K169" s="47">
        <v>0.0</v>
      </c>
      <c r="L169" s="47">
        <v>0.0</v>
      </c>
      <c r="M169" s="47">
        <v>0.0</v>
      </c>
      <c r="N169" s="47">
        <v>0.0</v>
      </c>
      <c r="O169" s="47">
        <v>0.0</v>
      </c>
      <c r="P169" s="47">
        <v>0.0</v>
      </c>
      <c r="Q169" s="47">
        <v>0.0</v>
      </c>
      <c r="R169" s="47">
        <v>0.0</v>
      </c>
      <c r="S169" s="47">
        <v>0.0</v>
      </c>
      <c r="T169" s="47">
        <v>0.0</v>
      </c>
      <c r="U169" s="47">
        <v>0.0</v>
      </c>
      <c r="V169" s="47">
        <v>0.0</v>
      </c>
      <c r="W169" s="47">
        <v>0.0</v>
      </c>
      <c r="X169" s="47">
        <v>0.0</v>
      </c>
      <c r="Y169" s="47">
        <v>0.0</v>
      </c>
      <c r="Z169" s="47">
        <v>0.0</v>
      </c>
      <c r="AA169" s="47">
        <v>0.0</v>
      </c>
      <c r="AB169" s="47">
        <v>0.0</v>
      </c>
      <c r="AC169" s="47">
        <v>0.0</v>
      </c>
      <c r="AD169" s="47">
        <v>0.0</v>
      </c>
      <c r="AE169" s="47">
        <v>0.0</v>
      </c>
      <c r="AF169" s="47">
        <v>0.0</v>
      </c>
      <c r="AG169" s="47">
        <v>0.0</v>
      </c>
      <c r="AH169" s="47">
        <v>0.0</v>
      </c>
      <c r="AI169" s="47">
        <v>0.0</v>
      </c>
      <c r="AJ169" s="47">
        <v>0.0</v>
      </c>
      <c r="AK169" s="47">
        <v>0.0</v>
      </c>
      <c r="AL169" s="47">
        <v>0.0</v>
      </c>
      <c r="AM169" s="47">
        <v>0.0</v>
      </c>
      <c r="AN169" s="237">
        <v>28.0</v>
      </c>
      <c r="AO169" s="237">
        <v>16.0</v>
      </c>
      <c r="AP169" s="237">
        <v>20.0</v>
      </c>
      <c r="AQ169" s="231">
        <v>0.0</v>
      </c>
      <c r="AR169" s="231">
        <v>4.0</v>
      </c>
      <c r="AS169" s="231">
        <v>15.0</v>
      </c>
      <c r="AT169" s="69">
        <f t="shared" si="4"/>
        <v>83.0</v>
      </c>
      <c r="AU169" s="69">
        <f t="shared" si="371"/>
        <v>83.0</v>
      </c>
      <c r="AV169" s="69">
        <f t="shared" si="424"/>
        <v>91.3</v>
      </c>
      <c r="AW169" s="65">
        <f t="shared" si="425"/>
        <v>23.4666666666667</v>
      </c>
      <c r="AX169" s="65">
        <f t="shared" si="426"/>
        <v>23.4666666666667</v>
      </c>
      <c r="AY169" s="65">
        <f t="shared" si="427"/>
        <v>23.4666666666667</v>
      </c>
      <c r="AZ169" s="65">
        <f t="shared" si="428"/>
        <v>23.4666666666667</v>
      </c>
      <c r="BA169" s="65">
        <f t="shared" si="429"/>
        <v>23.4666666666667</v>
      </c>
      <c r="BB169" s="65">
        <f t="shared" si="430"/>
        <v>23.4666666666667</v>
      </c>
      <c r="BC169" s="64">
        <f t="shared" si="13"/>
        <v>140.8</v>
      </c>
      <c r="BD169" s="69">
        <f>VLOOKUP(D169,FEB23SOH,3,false)</f>
        <v>412.0</v>
      </c>
      <c r="BE169" s="201">
        <f>VLOOKUP(D169,VALUEFEB23,4,false)</f>
        <v>2.6563</v>
      </c>
      <c r="BF169" s="215">
        <f t="shared" si="431"/>
        <v>1094.3956</v>
      </c>
      <c r="BI169" s="193">
        <f t="shared" si="410"/>
        <v>271.2</v>
      </c>
      <c r="BL169" s="103"/>
      <c r="BM169" s="95">
        <f t="shared" si="411"/>
        <v>412.0</v>
      </c>
      <c r="BN169" s="65">
        <f t="shared" si="412"/>
        <v>23.4666666666667</v>
      </c>
      <c r="BO169" s="65">
        <f t="shared" si="21"/>
      </c>
      <c r="BP169" s="65">
        <f t="shared" si="413"/>
        <v>388.533333333333</v>
      </c>
      <c r="BQ169" s="194">
        <f t="shared" si="342"/>
        <v>1032.06109333333</v>
      </c>
      <c r="BR169" s="65">
        <f t="shared" si="414"/>
        <v>23.4666666666667</v>
      </c>
      <c r="BS169" s="65">
        <f t="shared" si="25"/>
      </c>
      <c r="BT169" s="65">
        <f t="shared" si="415"/>
        <v>365.066666666666</v>
      </c>
      <c r="BU169" s="194">
        <f t="shared" si="345"/>
        <v>969.726586666664</v>
      </c>
      <c r="BV169" s="65">
        <f t="shared" si="416"/>
        <v>23.4666666666667</v>
      </c>
      <c r="BW169" s="65">
        <f t="shared" si="347"/>
      </c>
      <c r="BX169" s="65">
        <f t="shared" si="417"/>
        <v>341.599999999999</v>
      </c>
      <c r="BY169" s="194">
        <f t="shared" si="349"/>
        <v>907.392079999997</v>
      </c>
      <c r="BZ169" s="65">
        <f t="shared" si="418"/>
        <v>23.4666666666667</v>
      </c>
      <c r="CA169" s="65"/>
      <c r="CB169" s="65">
        <f t="shared" si="419"/>
        <v>318.133333333332</v>
      </c>
      <c r="CC169" s="194">
        <f t="shared" si="352"/>
        <v>845.05757333333</v>
      </c>
      <c r="CD169" s="65">
        <f t="shared" si="420"/>
        <v>23.4666666666667</v>
      </c>
      <c r="CE169" s="65"/>
      <c r="CF169" s="65">
        <f t="shared" si="421"/>
        <v>294.666666666665</v>
      </c>
      <c r="CG169" s="194">
        <f t="shared" si="355"/>
        <v>782.723066666662</v>
      </c>
      <c r="CH169" s="65">
        <f t="shared" si="422"/>
        <v>23.4666666666667</v>
      </c>
      <c r="CI169" s="65"/>
      <c r="CJ169" s="65">
        <f t="shared" si="423"/>
        <v>271.199999999998</v>
      </c>
      <c r="CK169" s="194">
        <f t="shared" si="358"/>
        <v>782.723066666662</v>
      </c>
    </row>
    <row r="170" ht="14.0" customFormat="1" s="47">
      <c r="A170" s="47" t="s">
        <v>569</v>
      </c>
      <c r="B170" s="47" t="s">
        <v>670</v>
      </c>
      <c r="C170" s="47" t="s">
        <v>679</v>
      </c>
      <c r="D170" s="185" t="s">
        <v>680</v>
      </c>
      <c r="E170" s="47">
        <v>0.0</v>
      </c>
      <c r="F170" s="47">
        <v>0.0</v>
      </c>
      <c r="G170" s="47">
        <v>0.0</v>
      </c>
      <c r="H170" s="47">
        <v>0.0</v>
      </c>
      <c r="I170" s="47">
        <v>0.0</v>
      </c>
      <c r="J170" s="47">
        <v>0.0</v>
      </c>
      <c r="K170" s="47">
        <v>0.0</v>
      </c>
      <c r="L170" s="47">
        <v>0.0</v>
      </c>
      <c r="M170" s="47">
        <v>0.0</v>
      </c>
      <c r="N170" s="47">
        <v>0.0</v>
      </c>
      <c r="O170" s="47">
        <v>0.0</v>
      </c>
      <c r="P170" s="47">
        <v>0.0</v>
      </c>
      <c r="Q170" s="47">
        <v>0.0</v>
      </c>
      <c r="R170" s="47">
        <v>0.0</v>
      </c>
      <c r="S170" s="47">
        <v>0.0</v>
      </c>
      <c r="T170" s="47">
        <v>0.0</v>
      </c>
      <c r="U170" s="47">
        <v>0.0</v>
      </c>
      <c r="V170" s="47">
        <v>0.0</v>
      </c>
      <c r="W170" s="47">
        <v>0.0</v>
      </c>
      <c r="X170" s="47">
        <v>0.0</v>
      </c>
      <c r="Y170" s="47">
        <v>0.0</v>
      </c>
      <c r="Z170" s="47">
        <v>0.0</v>
      </c>
      <c r="AA170" s="47">
        <v>0.0</v>
      </c>
      <c r="AB170" s="47">
        <v>0.0</v>
      </c>
      <c r="AC170" s="47">
        <v>0.0</v>
      </c>
      <c r="AD170" s="47">
        <v>0.0</v>
      </c>
      <c r="AE170" s="47">
        <v>0.0</v>
      </c>
      <c r="AF170" s="47">
        <v>0.0</v>
      </c>
      <c r="AG170" s="47">
        <v>0.0</v>
      </c>
      <c r="AH170" s="47">
        <v>0.0</v>
      </c>
      <c r="AI170" s="47">
        <v>0.0</v>
      </c>
      <c r="AJ170" s="47">
        <v>0.0</v>
      </c>
      <c r="AK170" s="47">
        <v>0.0</v>
      </c>
      <c r="AL170" s="47">
        <v>0.0</v>
      </c>
      <c r="AM170" s="47">
        <v>0.0</v>
      </c>
      <c r="AN170" s="237">
        <v>44.0</v>
      </c>
      <c r="AO170" s="237">
        <v>36.0</v>
      </c>
      <c r="AP170" s="237">
        <v>36.0</v>
      </c>
      <c r="AQ170" s="231">
        <v>0.0</v>
      </c>
      <c r="AR170" s="231">
        <v>8.0</v>
      </c>
      <c r="AS170" s="231">
        <v>39.0</v>
      </c>
      <c r="AT170" s="69">
        <f t="shared" si="4"/>
        <v>163.0</v>
      </c>
      <c r="AU170" s="69">
        <f t="shared" si="371"/>
        <v>163.0</v>
      </c>
      <c r="AV170" s="69">
        <f t="shared" si="424"/>
        <v>179.3</v>
      </c>
      <c r="AW170" s="65">
        <f t="shared" si="425"/>
        <v>42.5333333333333</v>
      </c>
      <c r="AX170" s="65">
        <f t="shared" si="426"/>
        <v>42.5333333333333</v>
      </c>
      <c r="AY170" s="65">
        <f t="shared" si="427"/>
        <v>42.5333333333333</v>
      </c>
      <c r="AZ170" s="65">
        <f t="shared" si="428"/>
        <v>42.5333333333333</v>
      </c>
      <c r="BA170" s="65">
        <f t="shared" si="429"/>
        <v>42.5333333333333</v>
      </c>
      <c r="BB170" s="65">
        <f t="shared" si="430"/>
        <v>42.5333333333333</v>
      </c>
      <c r="BC170" s="64">
        <f t="shared" si="13"/>
        <v>255.2</v>
      </c>
      <c r="BD170" s="69">
        <f>VLOOKUP(D170,FEB23SOH,3,false)</f>
        <v>328.0</v>
      </c>
      <c r="BE170" s="201">
        <f>VLOOKUP(D170,VALUEFEB23,4,false)</f>
        <v>2.656</v>
      </c>
      <c r="BF170" s="215">
        <f t="shared" si="431"/>
        <v>871.168</v>
      </c>
      <c r="BG170" s="64"/>
      <c r="BH170" s="64"/>
      <c r="BI170" s="193">
        <f t="shared" si="410"/>
        <v>72.8</v>
      </c>
      <c r="BJ170" s="217"/>
      <c r="BL170" s="103"/>
      <c r="BM170" s="95">
        <f t="shared" si="411"/>
        <v>328.0</v>
      </c>
      <c r="BN170" s="65">
        <f t="shared" si="412"/>
        <v>42.5333333333333</v>
      </c>
      <c r="BO170" s="65">
        <f t="shared" si="21"/>
      </c>
      <c r="BP170" s="65">
        <f t="shared" si="413"/>
        <v>285.46666666667</v>
      </c>
      <c r="BQ170" s="194">
        <f t="shared" si="342"/>
        <v>758.199466666676</v>
      </c>
      <c r="BR170" s="65">
        <f t="shared" si="414"/>
        <v>42.5333333333333</v>
      </c>
      <c r="BS170" s="65">
        <f t="shared" si="25"/>
      </c>
      <c r="BT170" s="65">
        <f t="shared" si="415"/>
        <v>242.933333333337</v>
      </c>
      <c r="BU170" s="194">
        <f t="shared" si="345"/>
        <v>645.230933333343</v>
      </c>
      <c r="BV170" s="65">
        <f t="shared" si="416"/>
        <v>42.5333333333333</v>
      </c>
      <c r="BW170" s="65">
        <f t="shared" si="347"/>
      </c>
      <c r="BX170" s="65">
        <f t="shared" si="417"/>
        <v>200.400000000003</v>
      </c>
      <c r="BY170" s="194">
        <f t="shared" si="349"/>
        <v>532.262400000008</v>
      </c>
      <c r="BZ170" s="65">
        <f t="shared" si="418"/>
        <v>42.5333333333333</v>
      </c>
      <c r="CA170" s="65"/>
      <c r="CB170" s="65">
        <f t="shared" si="419"/>
        <v>157.86666666667</v>
      </c>
      <c r="CC170" s="194">
        <f t="shared" si="352"/>
        <v>419.293866666676</v>
      </c>
      <c r="CD170" s="65">
        <f t="shared" si="420"/>
        <v>42.5333333333333</v>
      </c>
      <c r="CE170" s="65"/>
      <c r="CF170" s="65">
        <f t="shared" si="421"/>
        <v>115.333333333337</v>
      </c>
      <c r="CG170" s="194">
        <f t="shared" si="355"/>
        <v>306.325333333343</v>
      </c>
      <c r="CH170" s="65">
        <f t="shared" si="422"/>
        <v>42.5333333333333</v>
      </c>
      <c r="CI170" s="65"/>
      <c r="CJ170" s="65">
        <f t="shared" si="423"/>
        <v>72.8000000000037</v>
      </c>
      <c r="CK170" s="194">
        <f t="shared" si="358"/>
        <v>306.325333333343</v>
      </c>
    </row>
    <row r="171" ht="14.0" customFormat="1" s="47">
      <c r="A171" s="47" t="s">
        <v>569</v>
      </c>
      <c r="B171" s="47" t="s">
        <v>81</v>
      </c>
      <c r="C171" s="47" t="s">
        <v>681</v>
      </c>
      <c r="D171" s="247" t="s">
        <v>682</v>
      </c>
      <c r="E171" s="47">
        <v>0.0</v>
      </c>
      <c r="F171" s="47">
        <v>0.0</v>
      </c>
      <c r="G171" s="47">
        <v>0.0</v>
      </c>
      <c r="H171" s="47">
        <v>0.0</v>
      </c>
      <c r="I171" s="47">
        <v>0.0</v>
      </c>
      <c r="J171" s="47">
        <v>0.0</v>
      </c>
      <c r="K171" s="47">
        <v>0.0</v>
      </c>
      <c r="L171" s="47">
        <v>0.0</v>
      </c>
      <c r="M171" s="47">
        <v>0.0</v>
      </c>
      <c r="N171" s="47">
        <v>0.0</v>
      </c>
      <c r="O171" s="47">
        <v>0.0</v>
      </c>
      <c r="P171" s="47">
        <v>0.0</v>
      </c>
      <c r="Q171" s="47">
        <v>0.0</v>
      </c>
      <c r="R171" s="47">
        <v>0.0</v>
      </c>
      <c r="S171" s="47">
        <v>0.0</v>
      </c>
      <c r="T171" s="47">
        <v>0.0</v>
      </c>
      <c r="U171" s="47">
        <v>0.0</v>
      </c>
      <c r="V171" s="47">
        <v>0.0</v>
      </c>
      <c r="W171" s="47">
        <v>0.0</v>
      </c>
      <c r="X171" s="47">
        <v>0.0</v>
      </c>
      <c r="Y171" s="47">
        <v>0.0</v>
      </c>
      <c r="Z171" s="47">
        <v>0.0</v>
      </c>
      <c r="AA171" s="47">
        <v>0.0</v>
      </c>
      <c r="AB171" s="47">
        <v>0.0</v>
      </c>
      <c r="AC171" s="47">
        <v>0.0</v>
      </c>
      <c r="AD171" s="47">
        <v>0.0</v>
      </c>
      <c r="AE171" s="47">
        <v>0.0</v>
      </c>
      <c r="AF171" s="47">
        <v>0.0</v>
      </c>
      <c r="AG171" s="47">
        <v>0.0</v>
      </c>
      <c r="AH171" s="47">
        <v>0.0</v>
      </c>
      <c r="AI171" s="47">
        <v>0.0</v>
      </c>
      <c r="AJ171" s="47">
        <v>0.0</v>
      </c>
      <c r="AK171" s="47">
        <v>0.0</v>
      </c>
      <c r="AL171" s="47">
        <v>0.0</v>
      </c>
      <c r="AM171" s="47">
        <v>0.0</v>
      </c>
      <c r="AN171" s="237">
        <v>15.0</v>
      </c>
      <c r="AO171" s="237">
        <v>60.0</v>
      </c>
      <c r="AP171" s="237">
        <v>96.0</v>
      </c>
      <c r="AQ171" s="231">
        <v>102.0</v>
      </c>
      <c r="AR171" s="231">
        <v>45.0</v>
      </c>
      <c r="AS171" s="231">
        <v>91.0</v>
      </c>
      <c r="AT171" s="69">
        <f t="shared" si="4"/>
        <v>409.0</v>
      </c>
      <c r="AU171" s="69">
        <f t="shared" si="371"/>
        <v>409.0</v>
      </c>
      <c r="AV171" s="69">
        <f t="shared" si="424"/>
        <v>449.9</v>
      </c>
      <c r="AW171" s="47">
        <f t="shared" ref="AW171:AW176" si="434">AV171*$AW$4/$AV$4+3*$AW$177</f>
        <v>61.860465116279</v>
      </c>
      <c r="AX171" s="47">
        <f t="shared" ref="AX171:AX176" si="435">AV171*$AX$4/$AV$4+3*$AX$177</f>
        <v>66.6189624329159</v>
      </c>
      <c r="AY171" s="47">
        <f t="shared" ref="AY171:AY176" si="436">AV171*$AY$4/$AV$4+3*$AY$177</f>
        <v>92.3148479427549</v>
      </c>
      <c r="AZ171" s="47">
        <f t="shared" ref="AZ171:AZ176" si="437">AV171*$AZ$4/$AV$4+3*$AZ$177</f>
        <v>43.778175313059</v>
      </c>
      <c r="BA171" s="47">
        <f t="shared" ref="BA171:BA176" si="438">AV171*$BA$4/$AV$4+3*$BA$177</f>
        <v>85.6529516994632</v>
      </c>
      <c r="BB171" s="47">
        <f t="shared" ref="BB171:BB176" si="439">AV171*$BB$4/$AV$4+3*$BB$177</f>
        <v>69.4740608228979</v>
      </c>
      <c r="BC171" s="64">
        <f t="shared" si="13"/>
        <v>419.69946332737</v>
      </c>
      <c r="BD171" s="69">
        <f>VLOOKUP(D171,FEB23SOH,3,false)</f>
        <v>-12.0</v>
      </c>
      <c r="BE171" s="201">
        <f>VLOOKUP(D171,VALUEFEB23,4,false)</f>
        <v>2.3967</v>
      </c>
      <c r="BF171" s="215">
        <f t="shared" si="431"/>
        <v>-28.7604</v>
      </c>
      <c r="BG171" s="64"/>
      <c r="BH171" s="64"/>
      <c r="BI171" s="193">
        <f t="shared" si="410"/>
        <v>-431.69946332737</v>
      </c>
      <c r="BJ171" s="217">
        <v>504.0</v>
      </c>
      <c r="BK171" s="185">
        <f t="shared" ref="BK171:BK173" si="440">BJ171</f>
        <v>504.0</v>
      </c>
      <c r="BL171" s="103" t="s">
        <v>73</v>
      </c>
      <c r="BM171" s="95">
        <f t="shared" si="411"/>
        <v>-12.0</v>
      </c>
      <c r="BN171" s="65">
        <f t="shared" si="412"/>
        <v>61.860465116279</v>
      </c>
      <c r="BO171" s="65">
        <f t="shared" si="21"/>
      </c>
      <c r="BP171" s="65">
        <f t="shared" si="413"/>
        <v>-73.860465116279</v>
      </c>
      <c r="BQ171" s="194">
        <f t="shared" si="342"/>
        <v>-177.021376744184</v>
      </c>
      <c r="BR171" s="65">
        <f t="shared" si="414"/>
        <v>66.6189624329159</v>
      </c>
      <c r="BS171" s="65">
        <f t="shared" si="25"/>
      </c>
      <c r="BT171" s="65">
        <f t="shared" si="415"/>
        <v>-140.479427549194</v>
      </c>
      <c r="BU171" s="194">
        <f t="shared" si="345"/>
        <v>-336.687044007153</v>
      </c>
      <c r="BV171" s="65">
        <f t="shared" si="416"/>
        <v>92.3148479427549</v>
      </c>
      <c r="BW171" s="65">
        <f t="shared" si="347"/>
      </c>
      <c r="BX171" s="65">
        <f t="shared" si="417"/>
        <v>-232.79427549194</v>
      </c>
      <c r="BY171" s="194">
        <f t="shared" si="349"/>
        <v>-557.938040071532</v>
      </c>
      <c r="BZ171" s="65">
        <f t="shared" si="418"/>
        <v>43.778175313059</v>
      </c>
      <c r="CA171" s="65"/>
      <c r="CB171" s="65">
        <f t="shared" si="419"/>
        <v>-276.572450804999</v>
      </c>
      <c r="CC171" s="194">
        <f t="shared" si="352"/>
        <v>-662.861192844341</v>
      </c>
      <c r="CD171" s="65">
        <f t="shared" si="420"/>
        <v>85.6529516994632</v>
      </c>
      <c r="CE171" s="65"/>
      <c r="CF171" s="65">
        <f t="shared" si="421"/>
        <v>-362.225402504462</v>
      </c>
      <c r="CG171" s="194">
        <f t="shared" si="355"/>
        <v>-868.145622182444</v>
      </c>
      <c r="CH171" s="65">
        <f t="shared" si="422"/>
        <v>69.4740608228979</v>
      </c>
      <c r="CI171" s="65"/>
      <c r="CJ171" s="65">
        <f t="shared" si="423"/>
        <v>-431.699463327358</v>
      </c>
      <c r="CK171" s="194">
        <f t="shared" si="358"/>
        <v>-868.145622182444</v>
      </c>
    </row>
    <row r="172" ht="14.0" customFormat="1" s="47">
      <c r="A172" s="47" t="s">
        <v>569</v>
      </c>
      <c r="B172" s="47" t="s">
        <v>81</v>
      </c>
      <c r="C172" s="47" t="s">
        <v>683</v>
      </c>
      <c r="D172" s="247" t="s">
        <v>684</v>
      </c>
      <c r="E172" s="47">
        <v>0.0</v>
      </c>
      <c r="F172" s="47">
        <v>0.0</v>
      </c>
      <c r="G172" s="47">
        <v>0.0</v>
      </c>
      <c r="H172" s="47">
        <v>0.0</v>
      </c>
      <c r="I172" s="47">
        <v>0.0</v>
      </c>
      <c r="J172" s="47">
        <v>0.0</v>
      </c>
      <c r="K172" s="47">
        <v>0.0</v>
      </c>
      <c r="L172" s="47">
        <v>0.0</v>
      </c>
      <c r="M172" s="47">
        <v>0.0</v>
      </c>
      <c r="N172" s="47">
        <v>0.0</v>
      </c>
      <c r="O172" s="47">
        <v>0.0</v>
      </c>
      <c r="P172" s="47">
        <v>0.0</v>
      </c>
      <c r="Q172" s="47">
        <v>0.0</v>
      </c>
      <c r="R172" s="47">
        <v>0.0</v>
      </c>
      <c r="S172" s="47">
        <v>0.0</v>
      </c>
      <c r="T172" s="47">
        <v>0.0</v>
      </c>
      <c r="U172" s="47">
        <v>0.0</v>
      </c>
      <c r="V172" s="47">
        <v>0.0</v>
      </c>
      <c r="W172" s="47">
        <v>0.0</v>
      </c>
      <c r="X172" s="47">
        <v>0.0</v>
      </c>
      <c r="Y172" s="47">
        <v>0.0</v>
      </c>
      <c r="Z172" s="47">
        <v>0.0</v>
      </c>
      <c r="AA172" s="47">
        <v>0.0</v>
      </c>
      <c r="AB172" s="47">
        <v>0.0</v>
      </c>
      <c r="AC172" s="47">
        <v>0.0</v>
      </c>
      <c r="AD172" s="47">
        <v>0.0</v>
      </c>
      <c r="AE172" s="47">
        <v>0.0</v>
      </c>
      <c r="AF172" s="47">
        <v>0.0</v>
      </c>
      <c r="AG172" s="47">
        <v>0.0</v>
      </c>
      <c r="AH172" s="47">
        <v>0.0</v>
      </c>
      <c r="AI172" s="47">
        <v>0.0</v>
      </c>
      <c r="AJ172" s="47">
        <v>0.0</v>
      </c>
      <c r="AK172" s="47">
        <v>0.0</v>
      </c>
      <c r="AL172" s="47">
        <v>0.0</v>
      </c>
      <c r="AM172" s="47">
        <v>0.0</v>
      </c>
      <c r="AN172" s="237">
        <v>28.0</v>
      </c>
      <c r="AO172" s="237">
        <v>78.0</v>
      </c>
      <c r="AP172" s="237">
        <v>79.0</v>
      </c>
      <c r="AQ172" s="231">
        <v>114.0</v>
      </c>
      <c r="AR172" s="231">
        <v>39.0</v>
      </c>
      <c r="AS172" s="231">
        <v>47.0</v>
      </c>
      <c r="AT172" s="69">
        <f t="shared" si="4"/>
        <v>385.0</v>
      </c>
      <c r="AU172" s="69">
        <f t="shared" si="371"/>
        <v>385.0</v>
      </c>
      <c r="AV172" s="69">
        <f t="shared" si="424"/>
        <v>423.5</v>
      </c>
      <c r="AW172" s="47">
        <f t="shared" si="434"/>
        <v>59.0697674418604</v>
      </c>
      <c r="AX172" s="47">
        <f t="shared" si="435"/>
        <v>63.6135957066189</v>
      </c>
      <c r="AY172" s="47">
        <f t="shared" si="436"/>
        <v>88.1502683363147</v>
      </c>
      <c r="AZ172" s="47">
        <f t="shared" si="437"/>
        <v>41.8032200357781</v>
      </c>
      <c r="BA172" s="47">
        <f t="shared" si="438"/>
        <v>81.7889087656529</v>
      </c>
      <c r="BB172" s="47">
        <f t="shared" si="439"/>
        <v>66.339892665474</v>
      </c>
      <c r="BC172" s="64">
        <f t="shared" si="13"/>
        <v>400.765652951699</v>
      </c>
      <c r="BD172" s="69">
        <f>VLOOKUP(D172,FEB23SOH,3,false)</f>
        <v>0.0</v>
      </c>
      <c r="BE172" s="201">
        <f>VLOOKUP(D172,VALUEFEB23,4,false)</f>
      </c>
      <c r="BF172" s="215">
        <f t="shared" si="431"/>
        <v>0.0</v>
      </c>
      <c r="BG172" s="64"/>
      <c r="BH172" s="64"/>
      <c r="BI172" s="193">
        <f t="shared" si="410"/>
        <v>-400.765652951699</v>
      </c>
      <c r="BJ172" s="217">
        <v>504.0</v>
      </c>
      <c r="BK172" s="185">
        <f t="shared" si="440"/>
        <v>504.0</v>
      </c>
      <c r="BL172" s="103" t="s">
        <v>73</v>
      </c>
      <c r="BM172" s="95">
        <f t="shared" si="411"/>
        <v>0.0</v>
      </c>
      <c r="BN172" s="65">
        <f t="shared" si="412"/>
        <v>59.0697674418604</v>
      </c>
      <c r="BO172" s="65">
        <f t="shared" si="21"/>
      </c>
      <c r="BP172" s="65">
        <f t="shared" si="413"/>
        <v>-59.0697674418604</v>
      </c>
      <c r="BQ172" s="194">
        <f t="shared" si="342"/>
        <v>0.0</v>
      </c>
      <c r="BR172" s="65">
        <f t="shared" si="414"/>
        <v>63.6135957066189</v>
      </c>
      <c r="BS172" s="65">
        <f t="shared" si="25"/>
      </c>
      <c r="BT172" s="65">
        <f t="shared" si="415"/>
        <v>-122.683363148479</v>
      </c>
      <c r="BU172" s="194">
        <f t="shared" si="345"/>
        <v>0.0</v>
      </c>
      <c r="BV172" s="65">
        <f t="shared" si="416"/>
        <v>88.1502683363147</v>
      </c>
      <c r="BW172" s="65">
        <f t="shared" si="347"/>
      </c>
      <c r="BX172" s="65">
        <f t="shared" si="417"/>
        <v>-210.833631484793</v>
      </c>
      <c r="BY172" s="194">
        <f t="shared" si="349"/>
        <v>0.0</v>
      </c>
      <c r="BZ172" s="65">
        <f t="shared" si="418"/>
        <v>41.8032200357781</v>
      </c>
      <c r="CA172" s="65"/>
      <c r="CB172" s="65">
        <f t="shared" si="419"/>
        <v>-252.636851520571</v>
      </c>
      <c r="CC172" s="194">
        <f t="shared" si="352"/>
        <v>0.0</v>
      </c>
      <c r="CD172" s="65">
        <f t="shared" si="420"/>
        <v>81.7889087656529</v>
      </c>
      <c r="CE172" s="65"/>
      <c r="CF172" s="65">
        <f t="shared" si="421"/>
        <v>-334.425760286223</v>
      </c>
      <c r="CG172" s="194">
        <f t="shared" si="355"/>
        <v>0.0</v>
      </c>
      <c r="CH172" s="65">
        <f t="shared" si="422"/>
        <v>66.339892665474</v>
      </c>
      <c r="CI172" s="65"/>
      <c r="CJ172" s="65">
        <f t="shared" si="423"/>
        <v>-400.765652951697</v>
      </c>
      <c r="CK172" s="194">
        <f t="shared" si="358"/>
        <v>0.0</v>
      </c>
    </row>
    <row r="173" ht="14.0" customFormat="1" s="47">
      <c r="A173" s="47" t="s">
        <v>569</v>
      </c>
      <c r="B173" s="47" t="s">
        <v>81</v>
      </c>
      <c r="C173" s="47" t="s">
        <v>685</v>
      </c>
      <c r="D173" s="247" t="s">
        <v>686</v>
      </c>
      <c r="E173" s="47">
        <v>0.0</v>
      </c>
      <c r="F173" s="47">
        <v>0.0</v>
      </c>
      <c r="G173" s="47">
        <v>0.0</v>
      </c>
      <c r="H173" s="47">
        <v>0.0</v>
      </c>
      <c r="I173" s="47">
        <v>0.0</v>
      </c>
      <c r="J173" s="47">
        <v>0.0</v>
      </c>
      <c r="K173" s="47">
        <v>0.0</v>
      </c>
      <c r="L173" s="47">
        <v>0.0</v>
      </c>
      <c r="M173" s="47">
        <v>0.0</v>
      </c>
      <c r="N173" s="47">
        <v>0.0</v>
      </c>
      <c r="O173" s="47">
        <v>0.0</v>
      </c>
      <c r="P173" s="47">
        <v>0.0</v>
      </c>
      <c r="Q173" s="47">
        <v>0.0</v>
      </c>
      <c r="R173" s="47">
        <v>0.0</v>
      </c>
      <c r="S173" s="47">
        <v>0.0</v>
      </c>
      <c r="T173" s="47">
        <v>0.0</v>
      </c>
      <c r="U173" s="47">
        <v>0.0</v>
      </c>
      <c r="V173" s="47">
        <v>0.0</v>
      </c>
      <c r="W173" s="47">
        <v>0.0</v>
      </c>
      <c r="X173" s="47">
        <v>0.0</v>
      </c>
      <c r="Y173" s="47">
        <v>0.0</v>
      </c>
      <c r="Z173" s="47">
        <v>0.0</v>
      </c>
      <c r="AA173" s="47">
        <v>0.0</v>
      </c>
      <c r="AB173" s="47">
        <v>0.0</v>
      </c>
      <c r="AC173" s="47">
        <v>0.0</v>
      </c>
      <c r="AD173" s="47">
        <v>0.0</v>
      </c>
      <c r="AE173" s="47">
        <v>0.0</v>
      </c>
      <c r="AF173" s="47">
        <v>0.0</v>
      </c>
      <c r="AG173" s="47">
        <v>0.0</v>
      </c>
      <c r="AH173" s="47">
        <v>0.0</v>
      </c>
      <c r="AI173" s="47">
        <v>0.0</v>
      </c>
      <c r="AJ173" s="47">
        <v>0.0</v>
      </c>
      <c r="AK173" s="47">
        <v>0.0</v>
      </c>
      <c r="AL173" s="47">
        <v>0.0</v>
      </c>
      <c r="AM173" s="47">
        <v>0.0</v>
      </c>
      <c r="AN173" s="237">
        <v>12.0</v>
      </c>
      <c r="AO173" s="237">
        <v>57.0</v>
      </c>
      <c r="AP173" s="237">
        <v>96.0</v>
      </c>
      <c r="AQ173" s="231">
        <v>96.0</v>
      </c>
      <c r="AR173" s="231">
        <v>37.0</v>
      </c>
      <c r="AS173" s="231">
        <v>75.0</v>
      </c>
      <c r="AT173" s="69">
        <f t="shared" si="4"/>
        <v>373.0</v>
      </c>
      <c r="AU173" s="69">
        <f t="shared" si="371"/>
        <v>373.0</v>
      </c>
      <c r="AV173" s="69">
        <f t="shared" si="424"/>
        <v>410.3</v>
      </c>
      <c r="AW173" s="47">
        <f t="shared" si="434"/>
        <v>57.6744186046511</v>
      </c>
      <c r="AX173" s="47">
        <f t="shared" si="435"/>
        <v>62.1109123434705</v>
      </c>
      <c r="AY173" s="47">
        <f t="shared" si="436"/>
        <v>86.0679785330947</v>
      </c>
      <c r="AZ173" s="47">
        <f t="shared" si="437"/>
        <v>40.8157423971377</v>
      </c>
      <c r="BA173" s="47">
        <f t="shared" si="438"/>
        <v>79.8568872987477</v>
      </c>
      <c r="BB173" s="47">
        <f t="shared" si="439"/>
        <v>64.772808586762</v>
      </c>
      <c r="BC173" s="64">
        <f t="shared" si="13"/>
        <v>391.298747763863</v>
      </c>
      <c r="BD173" s="69">
        <f>VLOOKUP(D173,FEB23SOH,3,false)</f>
        <v>21.0</v>
      </c>
      <c r="BE173" s="201">
        <f>VLOOKUP(D173,VALUEFEB23,4,false)</f>
        <v>2.3815</v>
      </c>
      <c r="BF173" s="215">
        <f t="shared" si="431"/>
        <v>50.0115</v>
      </c>
      <c r="BG173" s="64"/>
      <c r="BH173" s="64"/>
      <c r="BI173" s="193">
        <f t="shared" si="410"/>
        <v>-370.298747763863</v>
      </c>
      <c r="BJ173" s="217">
        <v>504.0</v>
      </c>
      <c r="BK173" s="185">
        <f t="shared" si="440"/>
        <v>504.0</v>
      </c>
      <c r="BL173" s="103" t="s">
        <v>518</v>
      </c>
      <c r="BM173" s="95">
        <f t="shared" si="411"/>
        <v>21.0</v>
      </c>
      <c r="BN173" s="65">
        <f t="shared" si="412"/>
        <v>57.6744186046511</v>
      </c>
      <c r="BO173" s="65">
        <f t="shared" si="21"/>
      </c>
      <c r="BP173" s="65">
        <f t="shared" si="413"/>
        <v>-36.6744186046511</v>
      </c>
      <c r="BQ173" s="194">
        <f t="shared" si="342"/>
        <v>-87.3401279069764</v>
      </c>
      <c r="BR173" s="65">
        <f t="shared" si="414"/>
        <v>62.1109123434705</v>
      </c>
      <c r="BS173" s="65">
        <f t="shared" si="25"/>
      </c>
      <c r="BT173" s="65">
        <f t="shared" si="415"/>
        <v>-98.7853309481216</v>
      </c>
      <c r="BU173" s="194">
        <f t="shared" si="345"/>
        <v>-235.257265652951</v>
      </c>
      <c r="BV173" s="65">
        <f t="shared" si="416"/>
        <v>86.0679785330947</v>
      </c>
      <c r="BW173" s="65">
        <f t="shared" si="347"/>
      </c>
      <c r="BX173" s="65">
        <f t="shared" si="417"/>
        <v>-184.853309481216</v>
      </c>
      <c r="BY173" s="194">
        <f t="shared" si="349"/>
        <v>-440.22815652951</v>
      </c>
      <c r="BZ173" s="65">
        <f t="shared" si="418"/>
        <v>40.8157423971377</v>
      </c>
      <c r="CA173" s="65"/>
      <c r="CB173" s="65">
        <f t="shared" si="419"/>
        <v>-225.669051878353</v>
      </c>
      <c r="CC173" s="194">
        <f t="shared" si="352"/>
        <v>-537.430847048296</v>
      </c>
      <c r="CD173" s="65">
        <f t="shared" si="420"/>
        <v>79.8568872987477</v>
      </c>
      <c r="CE173" s="65"/>
      <c r="CF173" s="65">
        <f t="shared" si="421"/>
        <v>-305.5259391771</v>
      </c>
      <c r="CG173" s="194">
        <f t="shared" si="355"/>
        <v>-727.610024150263</v>
      </c>
      <c r="CH173" s="65">
        <f t="shared" si="422"/>
        <v>64.772808586762</v>
      </c>
      <c r="CI173" s="65"/>
      <c r="CJ173" s="65">
        <f t="shared" si="423"/>
        <v>-370.298747763861</v>
      </c>
      <c r="CK173" s="194">
        <f t="shared" si="358"/>
        <v>-727.610024150263</v>
      </c>
    </row>
    <row r="174" ht="14.0" customFormat="1" s="47">
      <c r="A174" s="47" t="s">
        <v>569</v>
      </c>
      <c r="B174" s="47" t="s">
        <v>81</v>
      </c>
      <c r="C174" s="47" t="s">
        <v>687</v>
      </c>
      <c r="D174" s="247" t="s">
        <v>688</v>
      </c>
      <c r="E174" s="47">
        <v>0.0</v>
      </c>
      <c r="F174" s="47">
        <v>0.0</v>
      </c>
      <c r="G174" s="47">
        <v>0.0</v>
      </c>
      <c r="H174" s="47">
        <v>0.0</v>
      </c>
      <c r="I174" s="47">
        <v>0.0</v>
      </c>
      <c r="J174" s="47">
        <v>0.0</v>
      </c>
      <c r="K174" s="47">
        <v>0.0</v>
      </c>
      <c r="L174" s="47">
        <v>0.0</v>
      </c>
      <c r="M174" s="47">
        <v>0.0</v>
      </c>
      <c r="N174" s="47">
        <v>0.0</v>
      </c>
      <c r="O174" s="47">
        <v>0.0</v>
      </c>
      <c r="P174" s="47">
        <v>0.0</v>
      </c>
      <c r="Q174" s="47">
        <v>0.0</v>
      </c>
      <c r="R174" s="47">
        <v>0.0</v>
      </c>
      <c r="S174" s="47">
        <v>0.0</v>
      </c>
      <c r="T174" s="47">
        <v>0.0</v>
      </c>
      <c r="U174" s="47">
        <v>0.0</v>
      </c>
      <c r="V174" s="47">
        <v>0.0</v>
      </c>
      <c r="W174" s="47">
        <v>0.0</v>
      </c>
      <c r="X174" s="47">
        <v>0.0</v>
      </c>
      <c r="Y174" s="47">
        <v>0.0</v>
      </c>
      <c r="Z174" s="47">
        <v>0.0</v>
      </c>
      <c r="AA174" s="47">
        <v>0.0</v>
      </c>
      <c r="AB174" s="47">
        <v>0.0</v>
      </c>
      <c r="AC174" s="47">
        <v>0.0</v>
      </c>
      <c r="AD174" s="47">
        <v>0.0</v>
      </c>
      <c r="AE174" s="47">
        <v>0.0</v>
      </c>
      <c r="AF174" s="47">
        <v>0.0</v>
      </c>
      <c r="AG174" s="47">
        <v>0.0</v>
      </c>
      <c r="AH174" s="47">
        <v>0.0</v>
      </c>
      <c r="AI174" s="47">
        <v>0.0</v>
      </c>
      <c r="AJ174" s="47">
        <v>0.0</v>
      </c>
      <c r="AK174" s="47">
        <v>0.0</v>
      </c>
      <c r="AL174" s="47">
        <v>0.0</v>
      </c>
      <c r="AM174" s="47">
        <v>0.0</v>
      </c>
      <c r="AN174" s="237">
        <v>27.0</v>
      </c>
      <c r="AO174" s="237">
        <v>105.0</v>
      </c>
      <c r="AP174" s="237">
        <v>153.0</v>
      </c>
      <c r="AQ174" s="231">
        <v>114.0</v>
      </c>
      <c r="AR174" s="231">
        <v>0.0</v>
      </c>
      <c r="AS174" s="231">
        <v>0.0</v>
      </c>
      <c r="AT174" s="69">
        <f t="shared" si="4"/>
        <v>399.0</v>
      </c>
      <c r="AU174" s="69">
        <f t="shared" si="371"/>
        <v>399.0</v>
      </c>
      <c r="AV174" s="69">
        <f t="shared" si="424"/>
        <v>438.9</v>
      </c>
      <c r="AW174" s="47">
        <f t="shared" si="434"/>
        <v>60.6976744186046</v>
      </c>
      <c r="AX174" s="47">
        <f t="shared" si="435"/>
        <v>65.3667262969588</v>
      </c>
      <c r="AY174" s="47">
        <f t="shared" si="436"/>
        <v>90.5796064400715</v>
      </c>
      <c r="AZ174" s="47">
        <f t="shared" si="437"/>
        <v>42.9552772808586</v>
      </c>
      <c r="BA174" s="47">
        <f t="shared" si="438"/>
        <v>84.0429338103755</v>
      </c>
      <c r="BB174" s="47">
        <f t="shared" si="439"/>
        <v>68.1681574239713</v>
      </c>
      <c r="BC174" s="64">
        <f t="shared" si="13"/>
        <v>411.81037567084</v>
      </c>
      <c r="BD174" s="69">
        <f>VLOOKUP(D174,FEB23SOH,3,false)</f>
        <v>0.0</v>
      </c>
      <c r="BE174" s="201">
        <f>VLOOKUP(D174,VALUEFEB23,4,false)</f>
      </c>
      <c r="BF174" s="215">
        <f t="shared" si="431"/>
        <v>0.0</v>
      </c>
      <c r="BG174" s="64">
        <f>VLOOKUP(C174,CHINAMAR3,3,false)</f>
        <v>504.0</v>
      </c>
      <c r="BH174" s="64"/>
      <c r="BI174" s="193">
        <f t="shared" si="410"/>
        <v>92.18962432916</v>
      </c>
      <c r="BJ174" s="217">
        <v>504.0</v>
      </c>
      <c r="BK174" s="185"/>
      <c r="BL174" s="103"/>
      <c r="BM174" s="95">
        <f t="shared" si="411"/>
        <v>0.0</v>
      </c>
      <c r="BN174" s="65">
        <f t="shared" si="412"/>
        <v>60.6976744186046</v>
      </c>
      <c r="BO174" s="65">
        <f t="shared" si="21"/>
        <v>504.0</v>
      </c>
      <c r="BP174" s="65">
        <f t="shared" si="413"/>
        <v>443.302325581395</v>
      </c>
      <c r="BQ174" s="194">
        <f t="shared" si="342"/>
        <v>0.0</v>
      </c>
      <c r="BR174" s="65">
        <f t="shared" si="414"/>
        <v>65.3667262969588</v>
      </c>
      <c r="BS174" s="65">
        <f t="shared" si="25"/>
      </c>
      <c r="BT174" s="65">
        <f t="shared" si="415"/>
        <v>377.935599284436</v>
      </c>
      <c r="BU174" s="194">
        <f t="shared" si="345"/>
        <v>0.0</v>
      </c>
      <c r="BV174" s="65">
        <f t="shared" si="416"/>
        <v>90.5796064400715</v>
      </c>
      <c r="BW174" s="65">
        <f t="shared" si="347"/>
      </c>
      <c r="BX174" s="65">
        <f t="shared" si="417"/>
        <v>287.355992844364</v>
      </c>
      <c r="BY174" s="194">
        <f t="shared" si="349"/>
        <v>0.0</v>
      </c>
      <c r="BZ174" s="65">
        <f t="shared" si="418"/>
        <v>42.9552772808586</v>
      </c>
      <c r="CA174" s="65"/>
      <c r="CB174" s="65">
        <f t="shared" si="419"/>
        <v>244.400715563505</v>
      </c>
      <c r="CC174" s="194">
        <f t="shared" si="352"/>
        <v>0.0</v>
      </c>
      <c r="CD174" s="65">
        <f t="shared" si="420"/>
        <v>84.0429338103755</v>
      </c>
      <c r="CE174" s="65"/>
      <c r="CF174" s="65">
        <f t="shared" si="421"/>
        <v>160.35778175312</v>
      </c>
      <c r="CG174" s="194">
        <f t="shared" si="355"/>
        <v>0.0</v>
      </c>
      <c r="CH174" s="65">
        <f t="shared" si="422"/>
        <v>68.1681574239713</v>
      </c>
      <c r="CI174" s="65"/>
      <c r="CJ174" s="65">
        <f t="shared" si="423"/>
        <v>92.1896243291487</v>
      </c>
      <c r="CK174" s="194">
        <f t="shared" si="358"/>
        <v>0.0</v>
      </c>
    </row>
    <row r="175" ht="14.0" customFormat="1" s="47">
      <c r="A175" s="47" t="s">
        <v>569</v>
      </c>
      <c r="B175" s="47" t="s">
        <v>81</v>
      </c>
      <c r="C175" s="47" t="s">
        <v>689</v>
      </c>
      <c r="D175" s="247" t="s">
        <v>690</v>
      </c>
      <c r="E175" s="47">
        <v>0.0</v>
      </c>
      <c r="F175" s="47">
        <v>0.0</v>
      </c>
      <c r="G175" s="47">
        <v>0.0</v>
      </c>
      <c r="H175" s="47">
        <v>0.0</v>
      </c>
      <c r="I175" s="47">
        <v>0.0</v>
      </c>
      <c r="J175" s="47">
        <v>0.0</v>
      </c>
      <c r="K175" s="47">
        <v>0.0</v>
      </c>
      <c r="L175" s="47">
        <v>0.0</v>
      </c>
      <c r="M175" s="47">
        <v>0.0</v>
      </c>
      <c r="N175" s="47">
        <v>0.0</v>
      </c>
      <c r="O175" s="47">
        <v>0.0</v>
      </c>
      <c r="P175" s="47">
        <v>0.0</v>
      </c>
      <c r="Q175" s="47">
        <v>0.0</v>
      </c>
      <c r="R175" s="47">
        <v>0.0</v>
      </c>
      <c r="S175" s="47">
        <v>0.0</v>
      </c>
      <c r="T175" s="47">
        <v>0.0</v>
      </c>
      <c r="U175" s="47">
        <v>0.0</v>
      </c>
      <c r="V175" s="47">
        <v>0.0</v>
      </c>
      <c r="W175" s="47">
        <v>0.0</v>
      </c>
      <c r="X175" s="47">
        <v>0.0</v>
      </c>
      <c r="Y175" s="47">
        <v>0.0</v>
      </c>
      <c r="Z175" s="47">
        <v>0.0</v>
      </c>
      <c r="AA175" s="47">
        <v>0.0</v>
      </c>
      <c r="AB175" s="47">
        <v>0.0</v>
      </c>
      <c r="AC175" s="47">
        <v>0.0</v>
      </c>
      <c r="AD175" s="47">
        <v>0.0</v>
      </c>
      <c r="AE175" s="47">
        <v>0.0</v>
      </c>
      <c r="AF175" s="47">
        <v>0.0</v>
      </c>
      <c r="AG175" s="47">
        <v>0.0</v>
      </c>
      <c r="AH175" s="47">
        <v>0.0</v>
      </c>
      <c r="AI175" s="47">
        <v>0.0</v>
      </c>
      <c r="AJ175" s="47">
        <v>0.0</v>
      </c>
      <c r="AK175" s="47">
        <v>0.0</v>
      </c>
      <c r="AL175" s="47">
        <v>0.0</v>
      </c>
      <c r="AM175" s="47">
        <v>0.0</v>
      </c>
      <c r="AN175" s="237">
        <v>24.0</v>
      </c>
      <c r="AO175" s="237">
        <v>111.0</v>
      </c>
      <c r="AP175" s="237">
        <v>132.0</v>
      </c>
      <c r="AQ175" s="231">
        <v>75.0</v>
      </c>
      <c r="AR175" s="231">
        <v>42.0</v>
      </c>
      <c r="AS175" s="231">
        <v>0.0</v>
      </c>
      <c r="AT175" s="69">
        <f t="shared" si="4"/>
        <v>384.0</v>
      </c>
      <c r="AU175" s="69">
        <f t="shared" si="371"/>
        <v>384.0</v>
      </c>
      <c r="AV175" s="69">
        <f t="shared" si="424"/>
        <v>422.4</v>
      </c>
      <c r="AW175" s="47">
        <f t="shared" si="434"/>
        <v>58.953488372093</v>
      </c>
      <c r="AX175" s="47">
        <f t="shared" si="435"/>
        <v>63.4883720930232</v>
      </c>
      <c r="AY175" s="47">
        <f t="shared" si="436"/>
        <v>87.9767441860464</v>
      </c>
      <c r="AZ175" s="47">
        <f t="shared" si="437"/>
        <v>41.7209302325581</v>
      </c>
      <c r="BA175" s="47">
        <f t="shared" si="438"/>
        <v>81.6279069767441</v>
      </c>
      <c r="BB175" s="47">
        <f t="shared" si="439"/>
        <v>66.2093023255813</v>
      </c>
      <c r="BC175" s="64">
        <f t="shared" si="13"/>
        <v>399.976744186046</v>
      </c>
      <c r="BD175" s="69">
        <f>VLOOKUP(D175,FEB23SOH,3,false)</f>
        <v>0.0</v>
      </c>
      <c r="BE175" s="201">
        <f>VLOOKUP(D175,VALUEFEB23,4,false)</f>
      </c>
      <c r="BF175" s="215">
        <f t="shared" si="431"/>
        <v>0.0</v>
      </c>
      <c r="BG175" s="64">
        <f>VLOOKUP(C175,CHINAMAR3,3,false)</f>
        <v>504.0</v>
      </c>
      <c r="BH175" s="64"/>
      <c r="BI175" s="193">
        <f t="shared" si="410"/>
        <v>104.023255813954</v>
      </c>
      <c r="BJ175" s="217">
        <v>504.0</v>
      </c>
      <c r="BK175" s="185"/>
      <c r="BL175" s="103"/>
      <c r="BM175" s="95">
        <f t="shared" si="411"/>
        <v>0.0</v>
      </c>
      <c r="BN175" s="65">
        <f t="shared" si="412"/>
        <v>58.953488372093</v>
      </c>
      <c r="BO175" s="65">
        <f t="shared" si="21"/>
        <v>504.0</v>
      </c>
      <c r="BP175" s="65">
        <f t="shared" si="413"/>
        <v>445.046511627907</v>
      </c>
      <c r="BQ175" s="194">
        <f t="shared" si="342"/>
        <v>0.0</v>
      </c>
      <c r="BR175" s="65">
        <f t="shared" si="414"/>
        <v>63.4883720930232</v>
      </c>
      <c r="BS175" s="65">
        <f t="shared" si="25"/>
      </c>
      <c r="BT175" s="65">
        <f t="shared" si="415"/>
        <v>381.558139534883</v>
      </c>
      <c r="BU175" s="194">
        <f t="shared" si="345"/>
        <v>0.0</v>
      </c>
      <c r="BV175" s="65">
        <f t="shared" si="416"/>
        <v>87.9767441860464</v>
      </c>
      <c r="BW175" s="65">
        <f t="shared" si="347"/>
      </c>
      <c r="BX175" s="65">
        <f t="shared" si="417"/>
        <v>293.581395348837</v>
      </c>
      <c r="BY175" s="194">
        <f t="shared" si="349"/>
        <v>0.0</v>
      </c>
      <c r="BZ175" s="65">
        <f t="shared" si="418"/>
        <v>41.7209302325581</v>
      </c>
      <c r="CA175" s="65"/>
      <c r="CB175" s="65">
        <f t="shared" si="419"/>
        <v>251.860465116279</v>
      </c>
      <c r="CC175" s="194">
        <f t="shared" si="352"/>
        <v>0.0</v>
      </c>
      <c r="CD175" s="65">
        <f t="shared" si="420"/>
        <v>81.6279069767441</v>
      </c>
      <c r="CE175" s="65"/>
      <c r="CF175" s="65">
        <f t="shared" si="421"/>
        <v>170.232558139534</v>
      </c>
      <c r="CG175" s="194">
        <f t="shared" si="355"/>
        <v>0.0</v>
      </c>
      <c r="CH175" s="65">
        <f t="shared" si="422"/>
        <v>66.2093023255813</v>
      </c>
      <c r="CI175" s="65"/>
      <c r="CJ175" s="65">
        <f t="shared" si="423"/>
        <v>104.023255813952</v>
      </c>
      <c r="CK175" s="194">
        <f t="shared" si="358"/>
        <v>0.0</v>
      </c>
    </row>
    <row r="176" ht="14.0" customFormat="1" s="47">
      <c r="A176" s="47" t="s">
        <v>569</v>
      </c>
      <c r="B176" s="47" t="s">
        <v>81</v>
      </c>
      <c r="C176" s="47" t="s">
        <v>691</v>
      </c>
      <c r="D176" s="185" t="s">
        <v>692</v>
      </c>
      <c r="E176" s="47">
        <v>0.0</v>
      </c>
      <c r="F176" s="47">
        <v>0.0</v>
      </c>
      <c r="G176" s="47">
        <v>0.0</v>
      </c>
      <c r="H176" s="47">
        <v>0.0</v>
      </c>
      <c r="I176" s="47">
        <v>0.0</v>
      </c>
      <c r="J176" s="47">
        <v>0.0</v>
      </c>
      <c r="K176" s="47">
        <v>0.0</v>
      </c>
      <c r="L176" s="47">
        <v>0.0</v>
      </c>
      <c r="M176" s="47">
        <v>0.0</v>
      </c>
      <c r="N176" s="47">
        <v>0.0</v>
      </c>
      <c r="O176" s="47">
        <v>0.0</v>
      </c>
      <c r="P176" s="47">
        <v>0.0</v>
      </c>
      <c r="Q176" s="47">
        <v>0.0</v>
      </c>
      <c r="R176" s="47">
        <v>0.0</v>
      </c>
      <c r="S176" s="47">
        <v>0.0</v>
      </c>
      <c r="T176" s="47">
        <v>0.0</v>
      </c>
      <c r="U176" s="47">
        <v>0.0</v>
      </c>
      <c r="V176" s="47">
        <v>0.0</v>
      </c>
      <c r="W176" s="47">
        <v>0.0</v>
      </c>
      <c r="X176" s="47">
        <v>0.0</v>
      </c>
      <c r="Y176" s="47">
        <v>0.0</v>
      </c>
      <c r="Z176" s="47">
        <v>0.0</v>
      </c>
      <c r="AA176" s="47">
        <v>0.0</v>
      </c>
      <c r="AB176" s="47">
        <v>0.0</v>
      </c>
      <c r="AC176" s="47">
        <v>0.0</v>
      </c>
      <c r="AD176" s="47">
        <v>0.0</v>
      </c>
      <c r="AE176" s="47">
        <v>0.0</v>
      </c>
      <c r="AF176" s="47">
        <v>0.0</v>
      </c>
      <c r="AG176" s="47">
        <v>0.0</v>
      </c>
      <c r="AH176" s="47">
        <v>0.0</v>
      </c>
      <c r="AI176" s="47">
        <v>0.0</v>
      </c>
      <c r="AJ176" s="47">
        <v>0.0</v>
      </c>
      <c r="AK176" s="47">
        <v>0.0</v>
      </c>
      <c r="AL176" s="47">
        <v>0.0</v>
      </c>
      <c r="AM176" s="47">
        <v>0.0</v>
      </c>
      <c r="AN176" s="237">
        <v>34.0</v>
      </c>
      <c r="AO176" s="237">
        <v>189.0</v>
      </c>
      <c r="AP176" s="237">
        <v>177.0</v>
      </c>
      <c r="AQ176" s="231">
        <v>15.0</v>
      </c>
      <c r="AR176" s="231">
        <v>0.0</v>
      </c>
      <c r="AS176" s="231">
        <v>0.0</v>
      </c>
      <c r="AT176" s="69">
        <f t="shared" si="4"/>
        <v>415.0</v>
      </c>
      <c r="AU176" s="69">
        <f t="shared" si="371"/>
        <v>415.0</v>
      </c>
      <c r="AV176" s="69">
        <f t="shared" si="424"/>
        <v>456.5</v>
      </c>
      <c r="AW176" s="47">
        <f t="shared" si="434"/>
        <v>62.5581395348836</v>
      </c>
      <c r="AX176" s="47">
        <f t="shared" si="435"/>
        <v>67.3703041144901</v>
      </c>
      <c r="AY176" s="47">
        <f t="shared" si="436"/>
        <v>93.3559928443649</v>
      </c>
      <c r="AZ176" s="47">
        <f t="shared" si="437"/>
        <v>44.2719141323792</v>
      </c>
      <c r="BA176" s="47">
        <f t="shared" si="438"/>
        <v>86.6189624329159</v>
      </c>
      <c r="BB176" s="47">
        <f t="shared" si="439"/>
        <v>70.2576028622539</v>
      </c>
      <c r="BC176" s="64">
        <f t="shared" si="13"/>
        <v>424.4329159212</v>
      </c>
      <c r="BD176" s="69">
        <f>VLOOKUP(D176,FEB23SOH,3,false)</f>
        <v>-3.0</v>
      </c>
      <c r="BE176" s="201">
        <f>VLOOKUP(D176,VALUEFEB23,4,false)</f>
      </c>
      <c r="BF176" s="215">
        <f t="shared" si="431"/>
        <v>0.0</v>
      </c>
      <c r="BG176" s="64">
        <f>VLOOKUP(C176,CHINAMAR3,3,false)</f>
        <v>504.0</v>
      </c>
      <c r="BH176" s="64"/>
      <c r="BI176" s="193">
        <f t="shared" si="410"/>
        <v>76.5670840788</v>
      </c>
      <c r="BJ176" s="217">
        <v>504.0</v>
      </c>
      <c r="BK176" s="185"/>
      <c r="BL176" s="103"/>
      <c r="BM176" s="95">
        <f t="shared" si="411"/>
        <v>-3.0</v>
      </c>
      <c r="BN176" s="65">
        <f t="shared" si="412"/>
        <v>62.5581395348836</v>
      </c>
      <c r="BO176" s="65">
        <f t="shared" si="21"/>
        <v>504.0</v>
      </c>
      <c r="BP176" s="65">
        <f t="shared" si="413"/>
        <v>438.441860465116</v>
      </c>
      <c r="BQ176" s="194">
        <f t="shared" si="342"/>
        <v>0.0</v>
      </c>
      <c r="BR176" s="65">
        <f t="shared" si="414"/>
        <v>67.3703041144901</v>
      </c>
      <c r="BS176" s="65">
        <f t="shared" si="25"/>
      </c>
      <c r="BT176" s="65">
        <f t="shared" si="415"/>
        <v>371.071556350626</v>
      </c>
      <c r="BU176" s="194">
        <f t="shared" si="345"/>
        <v>0.0</v>
      </c>
      <c r="BV176" s="65">
        <f t="shared" si="416"/>
        <v>93.3559928443649</v>
      </c>
      <c r="BW176" s="65">
        <f t="shared" si="347"/>
      </c>
      <c r="BX176" s="65">
        <f t="shared" si="417"/>
        <v>277.715563506261</v>
      </c>
      <c r="BY176" s="194">
        <f t="shared" si="349"/>
        <v>0.0</v>
      </c>
      <c r="BZ176" s="65">
        <f t="shared" si="418"/>
        <v>44.2719141323792</v>
      </c>
      <c r="CA176" s="65"/>
      <c r="CB176" s="65">
        <f t="shared" si="419"/>
        <v>233.443649373881</v>
      </c>
      <c r="CC176" s="194">
        <f t="shared" si="352"/>
        <v>0.0</v>
      </c>
      <c r="CD176" s="65">
        <f t="shared" si="420"/>
        <v>86.6189624329159</v>
      </c>
      <c r="CE176" s="65"/>
      <c r="CF176" s="65">
        <f t="shared" si="421"/>
        <v>146.824686940965</v>
      </c>
      <c r="CG176" s="194">
        <f t="shared" si="355"/>
        <v>0.0</v>
      </c>
      <c r="CH176" s="65">
        <f t="shared" si="422"/>
        <v>70.2576028622539</v>
      </c>
      <c r="CI176" s="65"/>
      <c r="CJ176" s="65">
        <f t="shared" si="423"/>
        <v>76.567084078711</v>
      </c>
      <c r="CK176" s="194">
        <f t="shared" si="358"/>
        <v>0.0</v>
      </c>
    </row>
    <row r="177" ht="14.0" customFormat="1" s="47">
      <c r="A177" s="47" t="s">
        <v>569</v>
      </c>
      <c r="B177" s="47" t="s">
        <v>81</v>
      </c>
      <c r="C177" s="47" t="s">
        <v>693</v>
      </c>
      <c r="D177" s="185" t="s">
        <v>694</v>
      </c>
      <c r="AK177" s="237">
        <v>0.0</v>
      </c>
      <c r="AL177" s="237">
        <v>0.0</v>
      </c>
      <c r="AM177" s="47">
        <v>0.0</v>
      </c>
      <c r="AN177" s="237">
        <v>0.0</v>
      </c>
      <c r="AO177" s="237">
        <v>20.0</v>
      </c>
      <c r="AP177" s="237">
        <v>14.0</v>
      </c>
      <c r="AQ177" s="231">
        <v>7.0</v>
      </c>
      <c r="AR177" s="231">
        <v>0.0</v>
      </c>
      <c r="AS177" s="231">
        <v>0.0</v>
      </c>
      <c r="AT177" s="69">
        <f t="shared" si="4"/>
        <v>41.0</v>
      </c>
      <c r="AU177" s="69">
        <f t="shared" si="371"/>
        <v>41.0</v>
      </c>
      <c r="AV177" s="69">
        <f t="shared" si="424"/>
        <v>45.1</v>
      </c>
      <c r="AW177" s="235">
        <f t="shared" ref="AW177:AW197" si="442">AV177*$AW$4/$AV$4</f>
        <v>4.76744186046511</v>
      </c>
      <c r="AX177" s="235">
        <f t="shared" ref="AX177:AX197" si="443">AV177*$AX$4/$AV$4</f>
        <v>5.13416815742397</v>
      </c>
      <c r="AY177" s="235">
        <f t="shared" ref="AY177:AY197" si="444">AV177*$AY$4/$AV$4</f>
        <v>7.11449016100179</v>
      </c>
      <c r="AZ177" s="235">
        <f t="shared" ref="AZ177:AZ197" si="445">AV177*$AZ$4/$AV$4</f>
        <v>3.37388193202147</v>
      </c>
      <c r="BA177" s="235">
        <f t="shared" ref="BA177:BA197" si="446">AV177*$BA$4/$AV$4</f>
        <v>6.60107334525939</v>
      </c>
      <c r="BB177" s="235">
        <f t="shared" ref="BB177:BB197" si="447">AV177*$BB$4/$AV$4</f>
        <v>5.35420393559928</v>
      </c>
      <c r="BC177" s="64">
        <f t="shared" si="13"/>
        <v>32.345259391771</v>
      </c>
      <c r="BD177" s="69">
        <f>VLOOKUP(D177,FEB23SOH,3,false)</f>
        <v>2.0</v>
      </c>
      <c r="BE177" s="201">
        <f>VLOOKUP(D177,VALUEFEB23,4,false)</f>
        <v>35.94</v>
      </c>
      <c r="BF177" s="215">
        <f t="shared" si="431"/>
        <v>71.88</v>
      </c>
      <c r="BG177" s="64"/>
      <c r="BH177" s="64"/>
      <c r="BI177" s="64"/>
      <c r="BJ177" s="64"/>
      <c r="BK177" s="64"/>
      <c r="BL177" s="103"/>
      <c r="BM177" s="95"/>
      <c r="BN177" s="65"/>
      <c r="BO177" s="65">
        <f t="shared" si="21"/>
      </c>
      <c r="BP177" s="65"/>
      <c r="BQ177" s="194"/>
      <c r="BR177" s="65"/>
      <c r="BS177" s="65">
        <f t="shared" si="25"/>
      </c>
      <c r="BT177" s="65"/>
      <c r="BU177" s="194"/>
      <c r="BV177" s="65"/>
      <c r="BW177" s="65"/>
      <c r="BX177" s="65"/>
      <c r="BY177" s="194"/>
      <c r="BZ177" s="65"/>
      <c r="CA177" s="65"/>
      <c r="CB177" s="65"/>
      <c r="CC177" s="194"/>
      <c r="CD177" s="65"/>
      <c r="CE177" s="65"/>
      <c r="CF177" s="65"/>
      <c r="CG177" s="194"/>
      <c r="CH177" s="65"/>
      <c r="CI177" s="65"/>
      <c r="CJ177" s="65"/>
      <c r="CK177" s="194"/>
    </row>
    <row r="178" ht="14.0" customFormat="1" s="47">
      <c r="A178" s="47" t="s">
        <v>569</v>
      </c>
      <c r="B178" s="47" t="s">
        <v>81</v>
      </c>
      <c r="C178" s="47" t="s">
        <v>695</v>
      </c>
      <c r="D178" s="185" t="s">
        <v>696</v>
      </c>
      <c r="E178" s="47">
        <v>0.0</v>
      </c>
      <c r="F178" s="47">
        <v>0.0</v>
      </c>
      <c r="G178" s="47">
        <v>0.0</v>
      </c>
      <c r="H178" s="47">
        <v>0.0</v>
      </c>
      <c r="I178" s="47">
        <v>0.0</v>
      </c>
      <c r="J178" s="47">
        <v>0.0</v>
      </c>
      <c r="K178" s="47">
        <v>0.0</v>
      </c>
      <c r="L178" s="47">
        <v>0.0</v>
      </c>
      <c r="M178" s="47">
        <v>0.0</v>
      </c>
      <c r="N178" s="47">
        <v>0.0</v>
      </c>
      <c r="O178" s="47">
        <v>0.0</v>
      </c>
      <c r="P178" s="47">
        <v>0.0</v>
      </c>
      <c r="Q178" s="47">
        <v>0.0</v>
      </c>
      <c r="R178" s="47">
        <v>0.0</v>
      </c>
      <c r="S178" s="47">
        <v>0.0</v>
      </c>
      <c r="T178" s="47">
        <v>0.0</v>
      </c>
      <c r="U178" s="47">
        <v>0.0</v>
      </c>
      <c r="V178" s="47">
        <v>0.0</v>
      </c>
      <c r="W178" s="47">
        <v>0.0</v>
      </c>
      <c r="X178" s="47">
        <v>0.0</v>
      </c>
      <c r="Y178" s="47">
        <v>0.0</v>
      </c>
      <c r="Z178" s="47">
        <v>0.0</v>
      </c>
      <c r="AA178" s="47">
        <v>0.0</v>
      </c>
      <c r="AB178" s="47">
        <v>0.0</v>
      </c>
      <c r="AC178" s="47">
        <v>0.0</v>
      </c>
      <c r="AD178" s="47">
        <v>0.0</v>
      </c>
      <c r="AE178" s="47">
        <v>0.0</v>
      </c>
      <c r="AF178" s="47">
        <v>0.0</v>
      </c>
      <c r="AG178" s="47">
        <v>0.0</v>
      </c>
      <c r="AH178" s="47">
        <v>0.0</v>
      </c>
      <c r="AI178" s="47">
        <v>0.0</v>
      </c>
      <c r="AJ178" s="47">
        <v>0.0</v>
      </c>
      <c r="AK178" s="47">
        <v>0.0</v>
      </c>
      <c r="AL178" s="47">
        <v>0.0</v>
      </c>
      <c r="AM178" s="47">
        <v>0.0</v>
      </c>
      <c r="AN178" s="237">
        <v>64.0</v>
      </c>
      <c r="AO178" s="237">
        <v>51.0</v>
      </c>
      <c r="AP178" s="237">
        <v>36.0</v>
      </c>
      <c r="AQ178" s="231">
        <v>42.0</v>
      </c>
      <c r="AR178" s="231">
        <v>7.0</v>
      </c>
      <c r="AS178" s="231">
        <v>40.0</v>
      </c>
      <c r="AT178" s="69">
        <f t="shared" si="4"/>
        <v>240.0</v>
      </c>
      <c r="AU178" s="69">
        <f t="shared" si="371"/>
        <v>240.0</v>
      </c>
      <c r="AV178" s="69">
        <f t="shared" si="424"/>
        <v>264.0</v>
      </c>
      <c r="AW178" s="47">
        <f t="shared" si="442"/>
        <v>27.906976744186</v>
      </c>
      <c r="AX178" s="47">
        <f t="shared" si="443"/>
        <v>30.0536672629696</v>
      </c>
      <c r="AY178" s="47">
        <f t="shared" si="444"/>
        <v>41.6457960644007</v>
      </c>
      <c r="AZ178" s="47">
        <f t="shared" si="445"/>
        <v>19.7495527728086</v>
      </c>
      <c r="BA178" s="47">
        <f t="shared" si="446"/>
        <v>38.6404293381038</v>
      </c>
      <c r="BB178" s="47">
        <f t="shared" si="447"/>
        <v>31.3416815742397</v>
      </c>
      <c r="BC178" s="64">
        <f t="shared" si="13"/>
        <v>189.338103756708</v>
      </c>
      <c r="BD178" s="69">
        <f>VLOOKUP(D178,FEB23SOH,3,false)</f>
        <v>262.0</v>
      </c>
      <c r="BE178" s="201">
        <f>VLOOKUP(D178,VALUEFEB23,4,false)</f>
        <v>2.7271</v>
      </c>
      <c r="BF178" s="215">
        <f t="shared" si="431"/>
        <v>714.5002</v>
      </c>
      <c r="BG178" s="64"/>
      <c r="BH178" s="64"/>
      <c r="BI178" s="193">
        <f t="shared" ref="BI178:BI203" si="448">BD178+BG178+BH178-BC178</f>
        <v>72.661896243292</v>
      </c>
      <c r="BJ178" s="217">
        <v>504.0</v>
      </c>
      <c r="BK178" s="185"/>
      <c r="BL178" s="103"/>
      <c r="BM178" s="95">
        <f t="shared" ref="BM178:BM215" si="449">BD178</f>
        <v>262.0</v>
      </c>
      <c r="BN178" s="65">
        <f t="shared" ref="BN178:BN215" si="450">AW178</f>
        <v>27.906976744186</v>
      </c>
      <c r="BO178" s="65">
        <f t="shared" si="21"/>
      </c>
      <c r="BP178" s="65">
        <f t="shared" ref="BP178:BP215" si="451">BM178+BO178-BN178</f>
        <v>234.093023255814</v>
      </c>
      <c r="BQ178" s="194">
        <f t="shared" ref="BQ178:BQ215" si="452">BP178*BE178</f>
        <v>638.39508372093</v>
      </c>
      <c r="BR178" s="65">
        <f t="shared" ref="BR178:BR215" si="453">AX178</f>
        <v>30.0536672629696</v>
      </c>
      <c r="BS178" s="65">
        <f t="shared" si="25"/>
      </c>
      <c r="BT178" s="65">
        <f t="shared" ref="BT178:BT215" si="454">BP178+BS178-BR178</f>
        <v>204.039355992844</v>
      </c>
      <c r="BU178" s="194">
        <f t="shared" ref="BU178:BU215" si="455">BT178*BE178</f>
        <v>556.435727728084</v>
      </c>
      <c r="BV178" s="65">
        <f t="shared" ref="BV178:BV215" si="456">AY178</f>
        <v>41.6457960644007</v>
      </c>
      <c r="BW178" s="65">
        <f t="shared" ref="BW178:BW215" si="457">BH178</f>
      </c>
      <c r="BX178" s="65">
        <f t="shared" ref="BX178:BX215" si="458">BT178+BW178-BV178</f>
        <v>162.393559928443</v>
      </c>
      <c r="BY178" s="194">
        <f t="shared" ref="BY178:BY215" si="459">BX178*BE178</f>
        <v>442.863477280857</v>
      </c>
      <c r="BZ178" s="65">
        <f t="shared" ref="BZ178:BZ215" si="460">AZ178</f>
        <v>19.7495527728086</v>
      </c>
      <c r="CA178" s="65"/>
      <c r="CB178" s="65">
        <f t="shared" ref="CB178:CB215" si="461">BX178+CA178-BZ178</f>
        <v>142.644007155634</v>
      </c>
      <c r="CC178" s="194">
        <f t="shared" ref="CC178:CC215" si="462">CB178*BE178</f>
        <v>389.00447191413</v>
      </c>
      <c r="CD178" s="65">
        <f t="shared" ref="CD178:CD215" si="463">BA178</f>
        <v>38.6404293381038</v>
      </c>
      <c r="CE178" s="65"/>
      <c r="CF178" s="65">
        <f t="shared" ref="CF178:CF215" si="464">CB178+CE178-CD178</f>
        <v>104.00357781753</v>
      </c>
      <c r="CG178" s="194">
        <f t="shared" ref="CG178:CG215" si="465">CF178*BE178</f>
        <v>283.628157066186</v>
      </c>
      <c r="CH178" s="65">
        <f t="shared" ref="CH178:CH215" si="466">BB178</f>
        <v>31.3416815742397</v>
      </c>
      <c r="CI178" s="65"/>
      <c r="CJ178" s="65">
        <f t="shared" ref="CJ178:CJ215" si="467">CF178+CI178-CH178</f>
        <v>72.6618962432903</v>
      </c>
      <c r="CK178" s="194">
        <f t="shared" ref="CK178:CK215" si="468">CF178*BE178</f>
        <v>283.628157066186</v>
      </c>
    </row>
    <row r="179" ht="14.0" customFormat="1" s="47">
      <c r="A179" s="47" t="s">
        <v>569</v>
      </c>
      <c r="B179" s="47" t="s">
        <v>81</v>
      </c>
      <c r="C179" s="47" t="s">
        <v>697</v>
      </c>
      <c r="D179" s="185" t="s">
        <v>698</v>
      </c>
      <c r="E179" s="47">
        <v>0.0</v>
      </c>
      <c r="F179" s="47">
        <v>0.0</v>
      </c>
      <c r="G179" s="47">
        <v>0.0</v>
      </c>
      <c r="H179" s="47">
        <v>0.0</v>
      </c>
      <c r="I179" s="47">
        <v>0.0</v>
      </c>
      <c r="J179" s="47">
        <v>0.0</v>
      </c>
      <c r="K179" s="47">
        <v>0.0</v>
      </c>
      <c r="L179" s="47">
        <v>0.0</v>
      </c>
      <c r="M179" s="47">
        <v>0.0</v>
      </c>
      <c r="N179" s="47">
        <v>0.0</v>
      </c>
      <c r="O179" s="47">
        <v>0.0</v>
      </c>
      <c r="P179" s="47">
        <v>0.0</v>
      </c>
      <c r="Q179" s="47">
        <v>0.0</v>
      </c>
      <c r="R179" s="47">
        <v>0.0</v>
      </c>
      <c r="S179" s="47">
        <v>0.0</v>
      </c>
      <c r="T179" s="47">
        <v>0.0</v>
      </c>
      <c r="U179" s="47">
        <v>0.0</v>
      </c>
      <c r="V179" s="47">
        <v>0.0</v>
      </c>
      <c r="W179" s="47">
        <v>0.0</v>
      </c>
      <c r="X179" s="47">
        <v>0.0</v>
      </c>
      <c r="Y179" s="47">
        <v>0.0</v>
      </c>
      <c r="Z179" s="47">
        <v>0.0</v>
      </c>
      <c r="AA179" s="47">
        <v>0.0</v>
      </c>
      <c r="AB179" s="47">
        <v>0.0</v>
      </c>
      <c r="AC179" s="47">
        <v>0.0</v>
      </c>
      <c r="AD179" s="47">
        <v>0.0</v>
      </c>
      <c r="AE179" s="47">
        <v>0.0</v>
      </c>
      <c r="AF179" s="47">
        <v>0.0</v>
      </c>
      <c r="AG179" s="47">
        <v>0.0</v>
      </c>
      <c r="AH179" s="47">
        <v>0.0</v>
      </c>
      <c r="AI179" s="47">
        <v>0.0</v>
      </c>
      <c r="AJ179" s="47">
        <v>0.0</v>
      </c>
      <c r="AK179" s="47">
        <v>0.0</v>
      </c>
      <c r="AL179" s="47">
        <v>0.0</v>
      </c>
      <c r="AM179" s="47">
        <v>0.0</v>
      </c>
      <c r="AN179" s="237">
        <v>21.0</v>
      </c>
      <c r="AO179" s="237">
        <v>45.0</v>
      </c>
      <c r="AP179" s="237">
        <v>21.0</v>
      </c>
      <c r="AQ179" s="231">
        <v>33.0</v>
      </c>
      <c r="AR179" s="231">
        <v>21.0</v>
      </c>
      <c r="AS179" s="231">
        <v>26.0</v>
      </c>
      <c r="AT179" s="69">
        <f t="shared" si="4"/>
        <v>167.0</v>
      </c>
      <c r="AU179" s="69">
        <f t="shared" si="371"/>
        <v>167.0</v>
      </c>
      <c r="AV179" s="69">
        <f t="shared" si="424"/>
        <v>183.7</v>
      </c>
      <c r="AW179" s="47">
        <f t="shared" si="442"/>
        <v>19.4186046511628</v>
      </c>
      <c r="AX179" s="47">
        <f t="shared" si="443"/>
        <v>20.912343470483</v>
      </c>
      <c r="AY179" s="47">
        <f t="shared" si="444"/>
        <v>28.9785330948121</v>
      </c>
      <c r="AZ179" s="47">
        <f t="shared" si="445"/>
        <v>13.742397137746</v>
      </c>
      <c r="BA179" s="47">
        <f t="shared" si="446"/>
        <v>26.8872987477639</v>
      </c>
      <c r="BB179" s="47">
        <f t="shared" si="447"/>
        <v>21.8085867620751</v>
      </c>
      <c r="BC179" s="64">
        <f t="shared" si="13"/>
        <v>131.747763864042</v>
      </c>
      <c r="BD179" s="69">
        <f>VLOOKUP(D179,FEB23SOH,3,false)</f>
        <v>336.0</v>
      </c>
      <c r="BE179" s="201">
        <f>VLOOKUP(D179,VALUEFEB23,4,false)</f>
        <v>4.3617</v>
      </c>
      <c r="BF179" s="215">
        <f t="shared" si="431"/>
        <v>1465.5312</v>
      </c>
      <c r="BG179" s="64"/>
      <c r="BH179" s="64"/>
      <c r="BI179" s="193">
        <f t="shared" si="448"/>
        <v>204.252236135958</v>
      </c>
      <c r="BJ179" s="217"/>
      <c r="BL179" s="103"/>
      <c r="BM179" s="95">
        <f t="shared" si="449"/>
        <v>336.0</v>
      </c>
      <c r="BN179" s="65">
        <f t="shared" si="450"/>
        <v>19.4186046511628</v>
      </c>
      <c r="BO179" s="65">
        <f t="shared" si="21"/>
      </c>
      <c r="BP179" s="65">
        <f t="shared" si="451"/>
        <v>316.581395348837</v>
      </c>
      <c r="BQ179" s="194">
        <f t="shared" si="452"/>
        <v>1380.83307209302</v>
      </c>
      <c r="BR179" s="65">
        <f t="shared" si="453"/>
        <v>20.912343470483</v>
      </c>
      <c r="BS179" s="65">
        <f t="shared" si="25"/>
      </c>
      <c r="BT179" s="65">
        <f t="shared" si="454"/>
        <v>295.669051878354</v>
      </c>
      <c r="BU179" s="194">
        <f t="shared" si="455"/>
        <v>1289.61970357781</v>
      </c>
      <c r="BV179" s="65">
        <f t="shared" si="456"/>
        <v>28.9785330948121</v>
      </c>
      <c r="BW179" s="65">
        <f t="shared" si="457"/>
      </c>
      <c r="BX179" s="65">
        <f t="shared" si="458"/>
        <v>266.690518783541</v>
      </c>
      <c r="BY179" s="194">
        <f t="shared" si="459"/>
        <v>1163.22403577817</v>
      </c>
      <c r="BZ179" s="65">
        <f t="shared" si="460"/>
        <v>13.742397137746</v>
      </c>
      <c r="CA179" s="65"/>
      <c r="CB179" s="65">
        <f t="shared" si="461"/>
        <v>252.948121645795</v>
      </c>
      <c r="CC179" s="194">
        <f t="shared" si="462"/>
        <v>1103.28382218246</v>
      </c>
      <c r="CD179" s="65">
        <f t="shared" si="463"/>
        <v>26.8872987477639</v>
      </c>
      <c r="CE179" s="65"/>
      <c r="CF179" s="65">
        <f t="shared" si="464"/>
        <v>226.060822898031</v>
      </c>
      <c r="CG179" s="194">
        <f t="shared" si="465"/>
        <v>986.009491234341</v>
      </c>
      <c r="CH179" s="65">
        <f t="shared" si="466"/>
        <v>21.8085867620751</v>
      </c>
      <c r="CI179" s="65"/>
      <c r="CJ179" s="65">
        <f t="shared" si="467"/>
        <v>204.252236135956</v>
      </c>
      <c r="CK179" s="194">
        <f t="shared" si="468"/>
        <v>986.009491234341</v>
      </c>
    </row>
    <row r="180" ht="14.0" customFormat="1" s="47">
      <c r="A180" s="47" t="s">
        <v>569</v>
      </c>
      <c r="B180" s="47" t="s">
        <v>699</v>
      </c>
      <c r="C180" s="47" t="s">
        <v>700</v>
      </c>
      <c r="D180" s="185" t="s">
        <v>701</v>
      </c>
      <c r="E180" s="47">
        <v>0.0</v>
      </c>
      <c r="F180" s="47">
        <v>0.0</v>
      </c>
      <c r="G180" s="47">
        <v>0.0</v>
      </c>
      <c r="H180" s="47">
        <v>0.0</v>
      </c>
      <c r="I180" s="47">
        <v>0.0</v>
      </c>
      <c r="J180" s="47">
        <v>0.0</v>
      </c>
      <c r="K180" s="47">
        <v>0.0</v>
      </c>
      <c r="L180" s="47">
        <v>0.0</v>
      </c>
      <c r="M180" s="47">
        <v>0.0</v>
      </c>
      <c r="N180" s="47">
        <v>0.0</v>
      </c>
      <c r="O180" s="47">
        <v>0.0</v>
      </c>
      <c r="P180" s="47">
        <v>0.0</v>
      </c>
      <c r="Q180" s="47">
        <v>0.0</v>
      </c>
      <c r="R180" s="47">
        <v>0.0</v>
      </c>
      <c r="S180" s="47">
        <v>0.0</v>
      </c>
      <c r="T180" s="47">
        <v>0.0</v>
      </c>
      <c r="U180" s="47">
        <v>0.0</v>
      </c>
      <c r="V180" s="47">
        <v>0.0</v>
      </c>
      <c r="W180" s="47">
        <v>0.0</v>
      </c>
      <c r="X180" s="47">
        <v>0.0</v>
      </c>
      <c r="Y180" s="47">
        <v>0.0</v>
      </c>
      <c r="Z180" s="47">
        <v>0.0</v>
      </c>
      <c r="AA180" s="47">
        <v>0.0</v>
      </c>
      <c r="AB180" s="47">
        <v>0.0</v>
      </c>
      <c r="AC180" s="47">
        <v>0.0</v>
      </c>
      <c r="AD180" s="47">
        <v>0.0</v>
      </c>
      <c r="AE180" s="47">
        <v>0.0</v>
      </c>
      <c r="AF180" s="47">
        <v>0.0</v>
      </c>
      <c r="AG180" s="47">
        <v>0.0</v>
      </c>
      <c r="AH180" s="47">
        <v>0.0</v>
      </c>
      <c r="AI180" s="47">
        <v>0.0</v>
      </c>
      <c r="AJ180" s="47">
        <v>0.0</v>
      </c>
      <c r="AK180" s="47">
        <v>0.0</v>
      </c>
      <c r="AL180" s="47">
        <v>0.0</v>
      </c>
      <c r="AM180" s="47">
        <v>0.0</v>
      </c>
      <c r="AN180" s="237">
        <v>12.0</v>
      </c>
      <c r="AO180" s="237">
        <v>32.0</v>
      </c>
      <c r="AP180" s="237">
        <v>44.0</v>
      </c>
      <c r="AQ180" s="231">
        <v>4.0</v>
      </c>
      <c r="AR180" s="231">
        <v>4.0</v>
      </c>
      <c r="AS180" s="231">
        <v>15.0</v>
      </c>
      <c r="AT180" s="69">
        <f t="shared" si="4"/>
        <v>111.0</v>
      </c>
      <c r="AU180" s="69">
        <f t="shared" si="371"/>
        <v>111.0</v>
      </c>
      <c r="AV180" s="69">
        <f t="shared" si="424"/>
        <v>122.1</v>
      </c>
      <c r="AW180" s="47">
        <f t="shared" si="442"/>
        <v>12.906976744186</v>
      </c>
      <c r="AX180" s="47">
        <f t="shared" si="443"/>
        <v>13.8998211091234</v>
      </c>
      <c r="AY180" s="47">
        <f t="shared" si="444"/>
        <v>19.2611806797853</v>
      </c>
      <c r="AZ180" s="47">
        <f t="shared" si="445"/>
        <v>9.13416815742397</v>
      </c>
      <c r="BA180" s="47">
        <f t="shared" si="446"/>
        <v>17.871198568872</v>
      </c>
      <c r="BB180" s="47">
        <f t="shared" si="447"/>
        <v>14.4955277280859</v>
      </c>
      <c r="BC180" s="64">
        <f t="shared" si="13"/>
        <v>87.5688729874766</v>
      </c>
      <c r="BD180" s="69">
        <f>VLOOKUP(D180,FEB23SOH,3,false)</f>
        <v>392.0</v>
      </c>
      <c r="BE180" s="201">
        <f>VLOOKUP(D180,VALUEFEB23,4,false)</f>
        <v>5.4424</v>
      </c>
      <c r="BF180" s="215">
        <f t="shared" si="431"/>
        <v>2133.4208</v>
      </c>
      <c r="BG180" s="64"/>
      <c r="BH180" s="64"/>
      <c r="BI180" s="193">
        <f t="shared" si="448"/>
        <v>304.431127012523</v>
      </c>
      <c r="BJ180" s="217"/>
      <c r="BL180" s="103"/>
      <c r="BM180" s="95">
        <f t="shared" si="449"/>
        <v>392.0</v>
      </c>
      <c r="BN180" s="65">
        <f t="shared" si="450"/>
        <v>12.906976744186</v>
      </c>
      <c r="BO180" s="65">
        <f t="shared" si="21"/>
      </c>
      <c r="BP180" s="65">
        <f t="shared" si="451"/>
        <v>379.093023255814</v>
      </c>
      <c r="BQ180" s="194">
        <f t="shared" si="452"/>
        <v>2063.17586976744</v>
      </c>
      <c r="BR180" s="65">
        <f t="shared" si="453"/>
        <v>13.8998211091234</v>
      </c>
      <c r="BS180" s="65">
        <f t="shared" si="25"/>
      </c>
      <c r="BT180" s="65">
        <f t="shared" si="454"/>
        <v>365.19320214669</v>
      </c>
      <c r="BU180" s="194">
        <f t="shared" si="455"/>
        <v>1987.52748336314</v>
      </c>
      <c r="BV180" s="65">
        <f t="shared" si="456"/>
        <v>19.2611806797853</v>
      </c>
      <c r="BW180" s="65">
        <f t="shared" si="457"/>
      </c>
      <c r="BX180" s="65">
        <f t="shared" si="458"/>
        <v>345.932021466904</v>
      </c>
      <c r="BY180" s="194">
        <f t="shared" si="459"/>
        <v>1882.70043363148</v>
      </c>
      <c r="BZ180" s="65">
        <f t="shared" si="460"/>
        <v>9.13416815742397</v>
      </c>
      <c r="CA180" s="65"/>
      <c r="CB180" s="65">
        <f t="shared" si="461"/>
        <v>336.79785330948</v>
      </c>
      <c r="CC180" s="194">
        <f t="shared" si="462"/>
        <v>1832.98863685151</v>
      </c>
      <c r="CD180" s="65">
        <f t="shared" si="463"/>
        <v>17.871198568872</v>
      </c>
      <c r="CE180" s="65"/>
      <c r="CF180" s="65">
        <f t="shared" si="464"/>
        <v>318.926654740608</v>
      </c>
      <c r="CG180" s="194">
        <f t="shared" si="465"/>
        <v>1735.72642576029</v>
      </c>
      <c r="CH180" s="65">
        <f t="shared" si="466"/>
        <v>14.4955277280859</v>
      </c>
      <c r="CI180" s="65"/>
      <c r="CJ180" s="65">
        <f t="shared" si="467"/>
        <v>304.431127012522</v>
      </c>
      <c r="CK180" s="194">
        <f t="shared" si="468"/>
        <v>1735.72642576029</v>
      </c>
    </row>
    <row r="181" ht="14.0">
      <c r="A181" s="47" t="s">
        <v>569</v>
      </c>
      <c r="B181" s="47" t="s">
        <v>699</v>
      </c>
      <c r="C181" s="47" t="s">
        <v>702</v>
      </c>
      <c r="D181" s="185" t="s">
        <v>703</v>
      </c>
      <c r="E181" s="47">
        <v>0.0</v>
      </c>
      <c r="F181" s="47">
        <v>0.0</v>
      </c>
      <c r="G181" s="47">
        <v>0.0</v>
      </c>
      <c r="H181" s="47">
        <v>0.0</v>
      </c>
      <c r="I181" s="47">
        <v>0.0</v>
      </c>
      <c r="J181" s="47">
        <v>0.0</v>
      </c>
      <c r="K181" s="47">
        <v>0.0</v>
      </c>
      <c r="L181" s="47">
        <v>0.0</v>
      </c>
      <c r="M181" s="47">
        <v>0.0</v>
      </c>
      <c r="N181" s="47">
        <v>0.0</v>
      </c>
      <c r="O181" s="47">
        <v>0.0</v>
      </c>
      <c r="P181" s="47">
        <v>0.0</v>
      </c>
      <c r="Q181" s="47">
        <v>0.0</v>
      </c>
      <c r="R181" s="47">
        <v>0.0</v>
      </c>
      <c r="S181" s="47">
        <v>0.0</v>
      </c>
      <c r="T181" s="47">
        <v>0.0</v>
      </c>
      <c r="U181" s="47">
        <v>0.0</v>
      </c>
      <c r="V181" s="47">
        <v>0.0</v>
      </c>
      <c r="W181" s="47">
        <v>0.0</v>
      </c>
      <c r="X181" s="47">
        <v>0.0</v>
      </c>
      <c r="Y181" s="47">
        <v>0.0</v>
      </c>
      <c r="Z181" s="47">
        <v>0.0</v>
      </c>
      <c r="AA181" s="47">
        <v>0.0</v>
      </c>
      <c r="AB181" s="47">
        <v>0.0</v>
      </c>
      <c r="AC181" s="47">
        <v>0.0</v>
      </c>
      <c r="AD181" s="47">
        <v>0.0</v>
      </c>
      <c r="AE181" s="47">
        <v>0.0</v>
      </c>
      <c r="AF181" s="47">
        <v>0.0</v>
      </c>
      <c r="AG181" s="47">
        <v>0.0</v>
      </c>
      <c r="AH181" s="47">
        <v>0.0</v>
      </c>
      <c r="AI181" s="47">
        <v>0.0</v>
      </c>
      <c r="AJ181" s="47">
        <v>0.0</v>
      </c>
      <c r="AK181" s="47">
        <v>0.0</v>
      </c>
      <c r="AL181" s="47">
        <v>0.0</v>
      </c>
      <c r="AM181" s="47">
        <v>0.0</v>
      </c>
      <c r="AN181" s="237">
        <v>23.0</v>
      </c>
      <c r="AO181" s="237">
        <v>24.0</v>
      </c>
      <c r="AP181" s="237">
        <v>28.0</v>
      </c>
      <c r="AQ181" s="231">
        <v>4.0</v>
      </c>
      <c r="AR181" s="231">
        <v>0.0</v>
      </c>
      <c r="AS181" s="231">
        <v>15.0</v>
      </c>
      <c r="AT181" s="69">
        <f t="shared" si="4"/>
        <v>94.0</v>
      </c>
      <c r="AU181" s="69">
        <f t="shared" si="371"/>
        <v>94.0</v>
      </c>
      <c r="AV181" s="69">
        <f t="shared" si="424"/>
        <v>103.4</v>
      </c>
      <c r="AW181" s="47">
        <f t="shared" si="442"/>
        <v>10.9302325581395</v>
      </c>
      <c r="AX181" s="47">
        <f t="shared" si="443"/>
        <v>11.7710196779964</v>
      </c>
      <c r="AY181" s="47">
        <f t="shared" si="444"/>
        <v>16.3112701252236</v>
      </c>
      <c r="AZ181" s="47">
        <f t="shared" si="445"/>
        <v>7.73524150268336</v>
      </c>
      <c r="BA181" s="47">
        <f t="shared" si="446"/>
        <v>15.134168157424</v>
      </c>
      <c r="BB181" s="47">
        <f t="shared" si="447"/>
        <v>12.27549194991</v>
      </c>
      <c r="BC181" s="64">
        <f t="shared" si="13"/>
        <v>74.1574239713769</v>
      </c>
      <c r="BD181" s="69">
        <f>VLOOKUP(D181,FEB23SOH,3,false)</f>
        <v>405.0</v>
      </c>
      <c r="BE181" s="201">
        <f>VLOOKUP(D181,VALUEFEB23,4,false)</f>
        <v>5.4425</v>
      </c>
      <c r="BF181" s="215">
        <f t="shared" si="431"/>
        <v>2204.2125</v>
      </c>
      <c r="BI181" s="193">
        <f t="shared" si="448"/>
        <v>330.842576028623</v>
      </c>
      <c r="BL181" s="103"/>
      <c r="BM181" s="95">
        <f t="shared" si="449"/>
        <v>405.0</v>
      </c>
      <c r="BN181" s="65">
        <f t="shared" si="450"/>
        <v>10.9302325581395</v>
      </c>
      <c r="BO181" s="65">
        <f t="shared" si="21"/>
      </c>
      <c r="BP181" s="65">
        <f t="shared" si="451"/>
        <v>394.06976744186</v>
      </c>
      <c r="BQ181" s="194">
        <f t="shared" si="452"/>
        <v>2144.72470930232</v>
      </c>
      <c r="BR181" s="65">
        <f t="shared" si="453"/>
        <v>11.7710196779964</v>
      </c>
      <c r="BS181" s="65">
        <f t="shared" si="25"/>
      </c>
      <c r="BT181" s="65">
        <f t="shared" si="454"/>
        <v>382.298747763863</v>
      </c>
      <c r="BU181" s="194">
        <f t="shared" si="455"/>
        <v>2080.66093470482</v>
      </c>
      <c r="BV181" s="65">
        <f t="shared" si="456"/>
        <v>16.3112701252236</v>
      </c>
      <c r="BW181" s="65">
        <f t="shared" si="457"/>
      </c>
      <c r="BX181" s="65">
        <f t="shared" si="458"/>
        <v>365.987477638639</v>
      </c>
      <c r="BY181" s="194">
        <f t="shared" si="459"/>
        <v>1991.88684704829</v>
      </c>
      <c r="BZ181" s="65">
        <f t="shared" si="460"/>
        <v>7.73524150268336</v>
      </c>
      <c r="CA181" s="65"/>
      <c r="CB181" s="65">
        <f t="shared" si="461"/>
        <v>358.252236135956</v>
      </c>
      <c r="CC181" s="194">
        <f t="shared" si="462"/>
        <v>1949.78779516994</v>
      </c>
      <c r="CD181" s="65">
        <f t="shared" si="463"/>
        <v>15.134168157424</v>
      </c>
      <c r="CE181" s="65"/>
      <c r="CF181" s="65">
        <f t="shared" si="464"/>
        <v>343.118067978532</v>
      </c>
      <c r="CG181" s="194">
        <f t="shared" si="465"/>
        <v>1867.42008497316</v>
      </c>
      <c r="CH181" s="65">
        <f t="shared" si="466"/>
        <v>12.27549194991</v>
      </c>
      <c r="CI181" s="65"/>
      <c r="CJ181" s="65">
        <f t="shared" si="467"/>
        <v>330.842576028622</v>
      </c>
      <c r="CK181" s="194">
        <f t="shared" si="468"/>
        <v>1867.42008497316</v>
      </c>
    </row>
    <row r="182" ht="14.0">
      <c r="A182" s="47" t="s">
        <v>569</v>
      </c>
      <c r="B182" s="47" t="s">
        <v>699</v>
      </c>
      <c r="C182" s="47" t="s">
        <v>704</v>
      </c>
      <c r="D182" s="185" t="s">
        <v>705</v>
      </c>
      <c r="E182" s="47">
        <v>0.0</v>
      </c>
      <c r="F182" s="47">
        <v>0.0</v>
      </c>
      <c r="G182" s="47">
        <v>0.0</v>
      </c>
      <c r="H182" s="47">
        <v>0.0</v>
      </c>
      <c r="I182" s="47">
        <v>0.0</v>
      </c>
      <c r="J182" s="47">
        <v>0.0</v>
      </c>
      <c r="K182" s="47">
        <v>0.0</v>
      </c>
      <c r="L182" s="47">
        <v>0.0</v>
      </c>
      <c r="M182" s="47">
        <v>0.0</v>
      </c>
      <c r="N182" s="47">
        <v>0.0</v>
      </c>
      <c r="O182" s="47">
        <v>0.0</v>
      </c>
      <c r="P182" s="47">
        <v>0.0</v>
      </c>
      <c r="Q182" s="47">
        <v>0.0</v>
      </c>
      <c r="R182" s="47">
        <v>0.0</v>
      </c>
      <c r="S182" s="47">
        <v>0.0</v>
      </c>
      <c r="T182" s="47">
        <v>0.0</v>
      </c>
      <c r="U182" s="47">
        <v>0.0</v>
      </c>
      <c r="V182" s="47">
        <v>0.0</v>
      </c>
      <c r="W182" s="47">
        <v>0.0</v>
      </c>
      <c r="X182" s="47">
        <v>0.0</v>
      </c>
      <c r="Y182" s="47">
        <v>0.0</v>
      </c>
      <c r="Z182" s="47">
        <v>0.0</v>
      </c>
      <c r="AA182" s="47">
        <v>0.0</v>
      </c>
      <c r="AB182" s="47">
        <v>0.0</v>
      </c>
      <c r="AC182" s="47">
        <v>0.0</v>
      </c>
      <c r="AD182" s="47">
        <v>0.0</v>
      </c>
      <c r="AE182" s="47">
        <v>0.0</v>
      </c>
      <c r="AF182" s="47">
        <v>0.0</v>
      </c>
      <c r="AG182" s="47">
        <v>0.0</v>
      </c>
      <c r="AH182" s="47">
        <v>0.0</v>
      </c>
      <c r="AI182" s="47">
        <v>0.0</v>
      </c>
      <c r="AJ182" s="47">
        <v>0.0</v>
      </c>
      <c r="AK182" s="47">
        <v>0.0</v>
      </c>
      <c r="AL182" s="47">
        <v>0.0</v>
      </c>
      <c r="AM182" s="47">
        <v>0.0</v>
      </c>
      <c r="AN182" s="237">
        <v>27.0</v>
      </c>
      <c r="AO182" s="237">
        <v>24.0</v>
      </c>
      <c r="AP182" s="237">
        <v>24.0</v>
      </c>
      <c r="AQ182" s="231">
        <v>8.0</v>
      </c>
      <c r="AR182" s="231">
        <v>8.0</v>
      </c>
      <c r="AS182" s="231">
        <v>10.0</v>
      </c>
      <c r="AT182" s="69">
        <f t="shared" si="4"/>
        <v>101.0</v>
      </c>
      <c r="AU182" s="69">
        <f t="shared" si="371"/>
        <v>101.0</v>
      </c>
      <c r="AV182" s="69">
        <f t="shared" si="424"/>
        <v>111.1</v>
      </c>
      <c r="AW182" s="47">
        <f t="shared" si="442"/>
        <v>11.7441860465116</v>
      </c>
      <c r="AX182" s="47">
        <f t="shared" si="443"/>
        <v>12.6475849731663</v>
      </c>
      <c r="AY182" s="47">
        <f t="shared" si="444"/>
        <v>17.525939177102</v>
      </c>
      <c r="AZ182" s="47">
        <f t="shared" si="445"/>
        <v>8.31127012522361</v>
      </c>
      <c r="BA182" s="47">
        <f t="shared" si="446"/>
        <v>16.2611806797853</v>
      </c>
      <c r="BB182" s="47">
        <f t="shared" si="447"/>
        <v>13.1896243291592</v>
      </c>
      <c r="BC182" s="64">
        <f t="shared" si="13"/>
        <v>79.679785330948</v>
      </c>
      <c r="BD182" s="69">
        <f>VLOOKUP(D182,FEB23SOH,3,false)</f>
        <v>381.0</v>
      </c>
      <c r="BE182" s="201">
        <f>VLOOKUP(D182,VALUEFEB23,4,false)</f>
        <v>5.4425</v>
      </c>
      <c r="BF182" s="215">
        <f t="shared" si="431"/>
        <v>2073.5925</v>
      </c>
      <c r="BI182" s="193">
        <f t="shared" si="448"/>
        <v>301.320214669052</v>
      </c>
      <c r="BL182" s="103"/>
      <c r="BM182" s="95">
        <f t="shared" si="449"/>
        <v>381.0</v>
      </c>
      <c r="BN182" s="65">
        <f t="shared" si="450"/>
        <v>11.7441860465116</v>
      </c>
      <c r="BO182" s="65">
        <f t="shared" si="21"/>
      </c>
      <c r="BP182" s="65">
        <f t="shared" si="451"/>
        <v>369.255813953488</v>
      </c>
      <c r="BQ182" s="194">
        <f t="shared" si="452"/>
        <v>2009.67476744186</v>
      </c>
      <c r="BR182" s="65">
        <f t="shared" si="453"/>
        <v>12.6475849731663</v>
      </c>
      <c r="BS182" s="65">
        <f t="shared" si="25"/>
      </c>
      <c r="BT182" s="65">
        <f t="shared" si="454"/>
        <v>356.608228980321</v>
      </c>
      <c r="BU182" s="194">
        <f t="shared" si="455"/>
        <v>1940.8402862254</v>
      </c>
      <c r="BV182" s="65">
        <f t="shared" si="456"/>
        <v>17.525939177102</v>
      </c>
      <c r="BW182" s="65">
        <f t="shared" si="457"/>
      </c>
      <c r="BX182" s="65">
        <f t="shared" si="458"/>
        <v>339.082289803219</v>
      </c>
      <c r="BY182" s="194">
        <f t="shared" si="459"/>
        <v>1845.45536225401</v>
      </c>
      <c r="BZ182" s="65">
        <f t="shared" si="460"/>
        <v>8.31127012522361</v>
      </c>
      <c r="CA182" s="65"/>
      <c r="CB182" s="65">
        <f t="shared" si="461"/>
        <v>330.771019677995</v>
      </c>
      <c r="CC182" s="194">
        <f t="shared" si="462"/>
        <v>1800.22127459749</v>
      </c>
      <c r="CD182" s="65">
        <f t="shared" si="463"/>
        <v>16.2611806797853</v>
      </c>
      <c r="CE182" s="65"/>
      <c r="CF182" s="65">
        <f t="shared" si="464"/>
        <v>314.50983899821</v>
      </c>
      <c r="CG182" s="194">
        <f t="shared" si="465"/>
        <v>1711.71979874776</v>
      </c>
      <c r="CH182" s="65">
        <f t="shared" si="466"/>
        <v>13.1896243291592</v>
      </c>
      <c r="CI182" s="65"/>
      <c r="CJ182" s="65">
        <f t="shared" si="467"/>
        <v>301.32021466905</v>
      </c>
      <c r="CK182" s="194">
        <f t="shared" si="468"/>
        <v>1711.71979874776</v>
      </c>
    </row>
    <row r="183" ht="14.0">
      <c r="A183" s="47" t="s">
        <v>569</v>
      </c>
      <c r="B183" s="47" t="s">
        <v>699</v>
      </c>
      <c r="C183" s="47" t="s">
        <v>706</v>
      </c>
      <c r="D183" s="185" t="s">
        <v>707</v>
      </c>
      <c r="E183" s="47">
        <v>0.0</v>
      </c>
      <c r="F183" s="47">
        <v>0.0</v>
      </c>
      <c r="G183" s="47">
        <v>0.0</v>
      </c>
      <c r="H183" s="47">
        <v>0.0</v>
      </c>
      <c r="I183" s="47">
        <v>0.0</v>
      </c>
      <c r="J183" s="47">
        <v>0.0</v>
      </c>
      <c r="K183" s="47">
        <v>0.0</v>
      </c>
      <c r="L183" s="47">
        <v>0.0</v>
      </c>
      <c r="M183" s="47">
        <v>0.0</v>
      </c>
      <c r="N183" s="47">
        <v>0.0</v>
      </c>
      <c r="O183" s="47">
        <v>0.0</v>
      </c>
      <c r="P183" s="47">
        <v>0.0</v>
      </c>
      <c r="Q183" s="47">
        <v>0.0</v>
      </c>
      <c r="R183" s="47">
        <v>0.0</v>
      </c>
      <c r="S183" s="47">
        <v>0.0</v>
      </c>
      <c r="T183" s="47">
        <v>0.0</v>
      </c>
      <c r="U183" s="47">
        <v>0.0</v>
      </c>
      <c r="V183" s="47">
        <v>0.0</v>
      </c>
      <c r="W183" s="47">
        <v>0.0</v>
      </c>
      <c r="X183" s="47">
        <v>0.0</v>
      </c>
      <c r="Y183" s="47">
        <v>0.0</v>
      </c>
      <c r="Z183" s="47">
        <v>0.0</v>
      </c>
      <c r="AA183" s="47">
        <v>0.0</v>
      </c>
      <c r="AB183" s="47">
        <v>0.0</v>
      </c>
      <c r="AC183" s="47">
        <v>0.0</v>
      </c>
      <c r="AD183" s="47">
        <v>0.0</v>
      </c>
      <c r="AE183" s="47">
        <v>0.0</v>
      </c>
      <c r="AF183" s="47">
        <v>0.0</v>
      </c>
      <c r="AG183" s="47">
        <v>0.0</v>
      </c>
      <c r="AH183" s="47">
        <v>0.0</v>
      </c>
      <c r="AI183" s="47">
        <v>0.0</v>
      </c>
      <c r="AJ183" s="47">
        <v>0.0</v>
      </c>
      <c r="AK183" s="47">
        <v>0.0</v>
      </c>
      <c r="AL183" s="47">
        <v>0.0</v>
      </c>
      <c r="AM183" s="47">
        <v>0.0</v>
      </c>
      <c r="AN183" s="237">
        <v>8.0</v>
      </c>
      <c r="AO183" s="237">
        <v>12.0</v>
      </c>
      <c r="AP183" s="237">
        <v>24.0</v>
      </c>
      <c r="AQ183" s="231">
        <v>0.0</v>
      </c>
      <c r="AR183" s="231">
        <v>0.0</v>
      </c>
      <c r="AS183" s="231">
        <v>0.0</v>
      </c>
      <c r="AT183" s="69">
        <f t="shared" si="4"/>
        <v>44.0</v>
      </c>
      <c r="AU183" s="69">
        <f t="shared" si="371"/>
        <v>44.0</v>
      </c>
      <c r="AV183" s="69">
        <f t="shared" si="424"/>
        <v>48.4</v>
      </c>
      <c r="AW183" s="47">
        <f t="shared" si="442"/>
        <v>5.11627906976744</v>
      </c>
      <c r="AX183" s="47">
        <f t="shared" si="443"/>
        <v>5.50983899821109</v>
      </c>
      <c r="AY183" s="47">
        <f t="shared" si="444"/>
        <v>7.6350626118068</v>
      </c>
      <c r="AZ183" s="47">
        <f t="shared" si="445"/>
        <v>3.62075134168157</v>
      </c>
      <c r="BA183" s="47">
        <f t="shared" si="446"/>
        <v>7.08407871198569</v>
      </c>
      <c r="BB183" s="47">
        <f t="shared" si="447"/>
        <v>5.74597495527728</v>
      </c>
      <c r="BC183" s="64">
        <f t="shared" si="13"/>
        <v>34.7119856887299</v>
      </c>
      <c r="BD183" s="69">
        <f>VLOOKUP(D183,FEB23SOH,3,false)</f>
        <v>448.0</v>
      </c>
      <c r="BE183" s="201">
        <f>VLOOKUP(D183,VALUEFEB23,4,false)</f>
        <v>5.4425</v>
      </c>
      <c r="BF183" s="215">
        <f t="shared" si="431"/>
        <v>2438.24</v>
      </c>
      <c r="BI183" s="193">
        <f t="shared" si="448"/>
        <v>413.28801431127</v>
      </c>
      <c r="BL183" s="103"/>
      <c r="BM183" s="95">
        <f t="shared" si="449"/>
        <v>448.0</v>
      </c>
      <c r="BN183" s="65">
        <f t="shared" si="450"/>
        <v>5.11627906976744</v>
      </c>
      <c r="BO183" s="65">
        <f t="shared" si="21"/>
      </c>
      <c r="BP183" s="65">
        <f t="shared" si="451"/>
        <v>442.883720930232</v>
      </c>
      <c r="BQ183" s="194">
        <f t="shared" si="452"/>
        <v>2410.39465116279</v>
      </c>
      <c r="BR183" s="65">
        <f t="shared" si="453"/>
        <v>5.50983899821109</v>
      </c>
      <c r="BS183" s="65">
        <f t="shared" si="25"/>
      </c>
      <c r="BT183" s="65">
        <f t="shared" si="454"/>
        <v>437.37388193202</v>
      </c>
      <c r="BU183" s="194">
        <f t="shared" si="455"/>
        <v>2380.40735241501</v>
      </c>
      <c r="BV183" s="65">
        <f t="shared" si="456"/>
        <v>7.6350626118068</v>
      </c>
      <c r="BW183" s="65">
        <f t="shared" si="457"/>
      </c>
      <c r="BX183" s="65">
        <f t="shared" si="458"/>
        <v>429.738819320213</v>
      </c>
      <c r="BY183" s="194">
        <f t="shared" si="459"/>
        <v>2338.85352415026</v>
      </c>
      <c r="BZ183" s="65">
        <f t="shared" si="460"/>
        <v>3.62075134168157</v>
      </c>
      <c r="CA183" s="65"/>
      <c r="CB183" s="65">
        <f t="shared" si="461"/>
        <v>426.118067978531</v>
      </c>
      <c r="CC183" s="194">
        <f t="shared" si="462"/>
        <v>2319.14758497315</v>
      </c>
      <c r="CD183" s="65">
        <f t="shared" si="463"/>
        <v>7.08407871198569</v>
      </c>
      <c r="CE183" s="65"/>
      <c r="CF183" s="65">
        <f t="shared" si="464"/>
        <v>419.033989266545</v>
      </c>
      <c r="CG183" s="194">
        <f t="shared" si="465"/>
        <v>2280.59248658317</v>
      </c>
      <c r="CH183" s="65">
        <f t="shared" si="466"/>
        <v>5.74597495527728</v>
      </c>
      <c r="CI183" s="65"/>
      <c r="CJ183" s="65">
        <f t="shared" si="467"/>
        <v>413.288014311268</v>
      </c>
      <c r="CK183" s="194">
        <f t="shared" si="468"/>
        <v>2280.59248658317</v>
      </c>
    </row>
    <row r="184" ht="14.0">
      <c r="A184" s="47" t="s">
        <v>569</v>
      </c>
      <c r="B184" s="47" t="s">
        <v>699</v>
      </c>
      <c r="C184" s="47" t="s">
        <v>708</v>
      </c>
      <c r="D184" s="185" t="s">
        <v>709</v>
      </c>
      <c r="E184" s="47">
        <v>0.0</v>
      </c>
      <c r="F184" s="47">
        <v>0.0</v>
      </c>
      <c r="G184" s="47">
        <v>0.0</v>
      </c>
      <c r="H184" s="47">
        <v>0.0</v>
      </c>
      <c r="I184" s="47">
        <v>0.0</v>
      </c>
      <c r="J184" s="47">
        <v>0.0</v>
      </c>
      <c r="K184" s="47">
        <v>0.0</v>
      </c>
      <c r="L184" s="47">
        <v>0.0</v>
      </c>
      <c r="M184" s="47">
        <v>0.0</v>
      </c>
      <c r="N184" s="47">
        <v>0.0</v>
      </c>
      <c r="O184" s="47">
        <v>0.0</v>
      </c>
      <c r="P184" s="47">
        <v>0.0</v>
      </c>
      <c r="Q184" s="47">
        <v>0.0</v>
      </c>
      <c r="R184" s="47">
        <v>0.0</v>
      </c>
      <c r="S184" s="47">
        <v>0.0</v>
      </c>
      <c r="T184" s="47">
        <v>0.0</v>
      </c>
      <c r="U184" s="47">
        <v>0.0</v>
      </c>
      <c r="V184" s="47">
        <v>0.0</v>
      </c>
      <c r="W184" s="47">
        <v>0.0</v>
      </c>
      <c r="X184" s="47">
        <v>0.0</v>
      </c>
      <c r="Y184" s="47">
        <v>0.0</v>
      </c>
      <c r="Z184" s="47">
        <v>0.0</v>
      </c>
      <c r="AA184" s="47">
        <v>0.0</v>
      </c>
      <c r="AB184" s="47">
        <v>0.0</v>
      </c>
      <c r="AC184" s="47">
        <v>0.0</v>
      </c>
      <c r="AD184" s="47">
        <v>0.0</v>
      </c>
      <c r="AE184" s="47">
        <v>0.0</v>
      </c>
      <c r="AF184" s="47">
        <v>0.0</v>
      </c>
      <c r="AG184" s="47">
        <v>0.0</v>
      </c>
      <c r="AH184" s="47">
        <v>0.0</v>
      </c>
      <c r="AI184" s="47">
        <v>0.0</v>
      </c>
      <c r="AJ184" s="47">
        <v>0.0</v>
      </c>
      <c r="AK184" s="47">
        <v>0.0</v>
      </c>
      <c r="AL184" s="47">
        <v>0.0</v>
      </c>
      <c r="AM184" s="47">
        <v>0.0</v>
      </c>
      <c r="AN184" s="237">
        <v>36.0</v>
      </c>
      <c r="AO184" s="237">
        <v>32.0</v>
      </c>
      <c r="AP184" s="237">
        <v>12.0</v>
      </c>
      <c r="AQ184" s="231">
        <v>4.0</v>
      </c>
      <c r="AR184" s="231">
        <v>0.0</v>
      </c>
      <c r="AS184" s="231">
        <v>15.0</v>
      </c>
      <c r="AT184" s="69">
        <f t="shared" si="4"/>
        <v>99.0</v>
      </c>
      <c r="AU184" s="69">
        <f t="shared" si="371"/>
        <v>99.0</v>
      </c>
      <c r="AV184" s="69">
        <f t="shared" si="424"/>
        <v>108.9</v>
      </c>
      <c r="AW184" s="47">
        <f t="shared" si="442"/>
        <v>11.5116279069767</v>
      </c>
      <c r="AX184" s="47">
        <f t="shared" si="443"/>
        <v>12.397137745975</v>
      </c>
      <c r="AY184" s="47">
        <f t="shared" si="444"/>
        <v>17.1788908765652</v>
      </c>
      <c r="AZ184" s="47">
        <f t="shared" si="445"/>
        <v>8.14669051878354</v>
      </c>
      <c r="BA184" s="47">
        <f t="shared" si="446"/>
        <v>15.9391771019678</v>
      </c>
      <c r="BB184" s="47">
        <f t="shared" si="447"/>
        <v>12.9284436493739</v>
      </c>
      <c r="BC184" s="64">
        <f t="shared" si="13"/>
        <v>78.1019677996421</v>
      </c>
      <c r="BD184" s="69">
        <f>VLOOKUP(D184,FEB23SOH,3,false)</f>
        <v>396.0</v>
      </c>
      <c r="BE184" s="201">
        <f>VLOOKUP(D184,VALUEFEB23,4,false)</f>
        <v>5.4425</v>
      </c>
      <c r="BF184" s="215">
        <f t="shared" si="431"/>
        <v>2155.23</v>
      </c>
      <c r="BI184" s="193">
        <f t="shared" si="448"/>
        <v>317.89803220036</v>
      </c>
      <c r="BL184" s="103"/>
      <c r="BM184" s="95">
        <f t="shared" si="449"/>
        <v>396.0</v>
      </c>
      <c r="BN184" s="65">
        <f t="shared" si="450"/>
        <v>11.5116279069767</v>
      </c>
      <c r="BO184" s="65">
        <f t="shared" si="21"/>
      </c>
      <c r="BP184" s="65">
        <f t="shared" si="451"/>
        <v>384.488372093023</v>
      </c>
      <c r="BQ184" s="194">
        <f t="shared" si="452"/>
        <v>2092.57796511628</v>
      </c>
      <c r="BR184" s="65">
        <f t="shared" si="453"/>
        <v>12.397137745975</v>
      </c>
      <c r="BS184" s="65">
        <f t="shared" si="25"/>
      </c>
      <c r="BT184" s="65">
        <f t="shared" si="454"/>
        <v>372.091234347048</v>
      </c>
      <c r="BU184" s="194">
        <f t="shared" si="455"/>
        <v>2025.1065429338</v>
      </c>
      <c r="BV184" s="65">
        <f t="shared" si="456"/>
        <v>17.1788908765652</v>
      </c>
      <c r="BW184" s="65">
        <f t="shared" si="457"/>
      </c>
      <c r="BX184" s="65">
        <f t="shared" si="458"/>
        <v>354.912343470482</v>
      </c>
      <c r="BY184" s="194">
        <f t="shared" si="459"/>
        <v>1931.6104293381</v>
      </c>
      <c r="BZ184" s="65">
        <f t="shared" si="460"/>
        <v>8.14669051878354</v>
      </c>
      <c r="CA184" s="65"/>
      <c r="CB184" s="65">
        <f t="shared" si="461"/>
        <v>346.765652951699</v>
      </c>
      <c r="CC184" s="194">
        <f t="shared" si="462"/>
        <v>1887.27206618962</v>
      </c>
      <c r="CD184" s="65">
        <f t="shared" si="463"/>
        <v>15.9391771019678</v>
      </c>
      <c r="CE184" s="65"/>
      <c r="CF184" s="65">
        <f t="shared" si="464"/>
        <v>330.826475849731</v>
      </c>
      <c r="CG184" s="194">
        <f t="shared" si="465"/>
        <v>1800.52309481216</v>
      </c>
      <c r="CH184" s="65">
        <f t="shared" si="466"/>
        <v>12.9284436493739</v>
      </c>
      <c r="CI184" s="65"/>
      <c r="CJ184" s="65">
        <f t="shared" si="467"/>
        <v>317.898032200357</v>
      </c>
      <c r="CK184" s="194">
        <f t="shared" si="468"/>
        <v>1800.52309481216</v>
      </c>
    </row>
    <row r="185" ht="14.0" customFormat="1" s="47">
      <c r="A185" s="47" t="s">
        <v>569</v>
      </c>
      <c r="B185" s="47" t="s">
        <v>699</v>
      </c>
      <c r="C185" s="47" t="s">
        <v>710</v>
      </c>
      <c r="D185" s="185" t="s">
        <v>711</v>
      </c>
      <c r="E185" s="47">
        <v>0.0</v>
      </c>
      <c r="F185" s="47">
        <v>0.0</v>
      </c>
      <c r="G185" s="47">
        <v>0.0</v>
      </c>
      <c r="H185" s="47">
        <v>0.0</v>
      </c>
      <c r="I185" s="47">
        <v>0.0</v>
      </c>
      <c r="J185" s="47">
        <v>0.0</v>
      </c>
      <c r="K185" s="47">
        <v>0.0</v>
      </c>
      <c r="L185" s="47">
        <v>0.0</v>
      </c>
      <c r="M185" s="47">
        <v>0.0</v>
      </c>
      <c r="N185" s="47">
        <v>0.0</v>
      </c>
      <c r="O185" s="47">
        <v>0.0</v>
      </c>
      <c r="P185" s="47">
        <v>0.0</v>
      </c>
      <c r="Q185" s="47">
        <v>0.0</v>
      </c>
      <c r="R185" s="47">
        <v>0.0</v>
      </c>
      <c r="S185" s="47">
        <v>0.0</v>
      </c>
      <c r="T185" s="47">
        <v>0.0</v>
      </c>
      <c r="U185" s="47">
        <v>0.0</v>
      </c>
      <c r="V185" s="47">
        <v>0.0</v>
      </c>
      <c r="W185" s="47">
        <v>0.0</v>
      </c>
      <c r="X185" s="47">
        <v>0.0</v>
      </c>
      <c r="Y185" s="47">
        <v>0.0</v>
      </c>
      <c r="Z185" s="47">
        <v>0.0</v>
      </c>
      <c r="AA185" s="47">
        <v>0.0</v>
      </c>
      <c r="AB185" s="47">
        <v>0.0</v>
      </c>
      <c r="AC185" s="47">
        <v>0.0</v>
      </c>
      <c r="AD185" s="47">
        <v>0.0</v>
      </c>
      <c r="AE185" s="47">
        <v>0.0</v>
      </c>
      <c r="AF185" s="47">
        <v>0.0</v>
      </c>
      <c r="AG185" s="47">
        <v>0.0</v>
      </c>
      <c r="AH185" s="47">
        <v>0.0</v>
      </c>
      <c r="AI185" s="47">
        <v>0.0</v>
      </c>
      <c r="AJ185" s="47">
        <v>0.0</v>
      </c>
      <c r="AK185" s="47">
        <v>0.0</v>
      </c>
      <c r="AL185" s="47">
        <v>0.0</v>
      </c>
      <c r="AM185" s="47">
        <v>0.0</v>
      </c>
      <c r="AN185" s="237">
        <v>52.0</v>
      </c>
      <c r="AO185" s="237">
        <v>44.0</v>
      </c>
      <c r="AP185" s="237">
        <v>52.0</v>
      </c>
      <c r="AQ185" s="231">
        <v>12.0</v>
      </c>
      <c r="AR185" s="231">
        <v>0.0</v>
      </c>
      <c r="AS185" s="231">
        <v>44.0</v>
      </c>
      <c r="AT185" s="69">
        <f t="shared" si="4"/>
        <v>204.0</v>
      </c>
      <c r="AU185" s="69">
        <f t="shared" si="371"/>
        <v>204.0</v>
      </c>
      <c r="AV185" s="69">
        <f t="shared" si="424"/>
        <v>224.4</v>
      </c>
      <c r="AW185" s="47">
        <f t="shared" si="442"/>
        <v>23.7209302325581</v>
      </c>
      <c r="AX185" s="47">
        <f t="shared" si="443"/>
        <v>25.5456171735241</v>
      </c>
      <c r="AY185" s="47">
        <f t="shared" si="444"/>
        <v>35.3989266547406</v>
      </c>
      <c r="AZ185" s="47">
        <f t="shared" si="445"/>
        <v>16.7871198568872</v>
      </c>
      <c r="BA185" s="47">
        <f t="shared" si="446"/>
        <v>32.8443649373881</v>
      </c>
      <c r="BB185" s="47">
        <f t="shared" si="447"/>
        <v>26.6404293381038</v>
      </c>
      <c r="BC185" s="64">
        <f t="shared" si="13"/>
        <v>160.937388193201</v>
      </c>
      <c r="BD185" s="69">
        <f>VLOOKUP(D185,FEB23SOH,3,false)</f>
        <v>288.0</v>
      </c>
      <c r="BE185" s="201">
        <f>VLOOKUP(D185,VALUEFEB23,4,false)</f>
        <v>5.4424</v>
      </c>
      <c r="BF185" s="215">
        <f t="shared" si="431"/>
        <v>1567.4112</v>
      </c>
      <c r="BG185" s="64"/>
      <c r="BH185" s="64"/>
      <c r="BI185" s="193">
        <f t="shared" si="448"/>
        <v>127.062611806799</v>
      </c>
      <c r="BJ185" s="217">
        <v>501.0</v>
      </c>
      <c r="BK185" s="185">
        <f t="shared" ref="BK185:BK186" si="469">BJ185</f>
        <v>501.0</v>
      </c>
      <c r="BL185" s="103" t="s">
        <v>6</v>
      </c>
      <c r="BM185" s="95">
        <f t="shared" si="449"/>
        <v>288.0</v>
      </c>
      <c r="BN185" s="65">
        <f t="shared" si="450"/>
        <v>23.7209302325581</v>
      </c>
      <c r="BO185" s="65">
        <f t="shared" si="21"/>
      </c>
      <c r="BP185" s="65">
        <f t="shared" si="451"/>
        <v>264.279069767441</v>
      </c>
      <c r="BQ185" s="194">
        <f t="shared" si="452"/>
        <v>1438.31240930232</v>
      </c>
      <c r="BR185" s="65">
        <f t="shared" si="453"/>
        <v>25.5456171735241</v>
      </c>
      <c r="BS185" s="65">
        <f t="shared" si="25"/>
      </c>
      <c r="BT185" s="65">
        <f t="shared" si="454"/>
        <v>238.733452593917</v>
      </c>
      <c r="BU185" s="194">
        <f t="shared" si="455"/>
        <v>1299.28294239713</v>
      </c>
      <c r="BV185" s="65">
        <f t="shared" si="456"/>
        <v>35.3989266547406</v>
      </c>
      <c r="BW185" s="65">
        <f t="shared" si="457"/>
      </c>
      <c r="BX185" s="65">
        <f t="shared" si="458"/>
        <v>203.334525939176</v>
      </c>
      <c r="BY185" s="194">
        <f t="shared" si="459"/>
        <v>1106.62782397137</v>
      </c>
      <c r="BZ185" s="65">
        <f t="shared" si="460"/>
        <v>16.7871198568872</v>
      </c>
      <c r="CA185" s="65"/>
      <c r="CB185" s="65">
        <f t="shared" si="461"/>
        <v>186.547406082289</v>
      </c>
      <c r="CC185" s="194">
        <f t="shared" si="462"/>
        <v>1015.26560286224</v>
      </c>
      <c r="CD185" s="65">
        <f t="shared" si="463"/>
        <v>32.8443649373881</v>
      </c>
      <c r="CE185" s="65"/>
      <c r="CF185" s="65">
        <f t="shared" si="464"/>
        <v>153.7030411449</v>
      </c>
      <c r="CG185" s="194">
        <f t="shared" si="465"/>
        <v>836.513431127003</v>
      </c>
      <c r="CH185" s="65">
        <f t="shared" si="466"/>
        <v>26.6404293381038</v>
      </c>
      <c r="CI185" s="65"/>
      <c r="CJ185" s="65">
        <f t="shared" si="467"/>
        <v>127.062611806796</v>
      </c>
      <c r="CK185" s="194">
        <f t="shared" si="468"/>
        <v>836.513431127003</v>
      </c>
    </row>
    <row r="186" ht="14.0" customFormat="1" s="47">
      <c r="A186" s="47" t="s">
        <v>569</v>
      </c>
      <c r="B186" s="93" t="s">
        <v>712</v>
      </c>
      <c r="C186" s="93" t="s">
        <v>713</v>
      </c>
      <c r="D186" s="229" t="s">
        <v>714</v>
      </c>
      <c r="E186" s="93">
        <v>0.0</v>
      </c>
      <c r="F186" s="93">
        <v>0.0</v>
      </c>
      <c r="G186" s="93">
        <v>0.0</v>
      </c>
      <c r="H186" s="93">
        <v>0.0</v>
      </c>
      <c r="I186" s="93">
        <v>0.0</v>
      </c>
      <c r="J186" s="93">
        <v>0.0</v>
      </c>
      <c r="K186" s="93">
        <v>0.0</v>
      </c>
      <c r="L186" s="93">
        <v>0.0</v>
      </c>
      <c r="M186" s="93">
        <v>0.0</v>
      </c>
      <c r="N186" s="93">
        <v>0.0</v>
      </c>
      <c r="O186" s="93">
        <v>0.0</v>
      </c>
      <c r="P186" s="93">
        <v>0.0</v>
      </c>
      <c r="Q186" s="93">
        <v>0.0</v>
      </c>
      <c r="R186" s="93">
        <v>0.0</v>
      </c>
      <c r="S186" s="93">
        <v>0.0</v>
      </c>
      <c r="T186" s="93">
        <v>0.0</v>
      </c>
      <c r="U186" s="93">
        <v>0.0</v>
      </c>
      <c r="V186" s="93">
        <v>0.0</v>
      </c>
      <c r="W186" s="93">
        <v>0.0</v>
      </c>
      <c r="X186" s="93">
        <v>0.0</v>
      </c>
      <c r="Y186" s="93">
        <v>0.0</v>
      </c>
      <c r="Z186" s="93">
        <v>0.0</v>
      </c>
      <c r="AA186" s="93">
        <v>0.0</v>
      </c>
      <c r="AB186" s="93">
        <v>0.0</v>
      </c>
      <c r="AC186" s="93">
        <v>0.0</v>
      </c>
      <c r="AD186" s="93">
        <v>0.0</v>
      </c>
      <c r="AE186" s="93">
        <v>0.0</v>
      </c>
      <c r="AF186" s="93">
        <v>0.0</v>
      </c>
      <c r="AG186" s="93">
        <v>0.0</v>
      </c>
      <c r="AH186" s="93">
        <v>0.0</v>
      </c>
      <c r="AI186" s="93">
        <v>0.0</v>
      </c>
      <c r="AJ186" s="93">
        <v>0.0</v>
      </c>
      <c r="AK186" s="93">
        <v>0.0</v>
      </c>
      <c r="AL186" s="93">
        <v>0.0</v>
      </c>
      <c r="AM186" s="93">
        <v>0.0</v>
      </c>
      <c r="AN186" s="237">
        <v>40.0</v>
      </c>
      <c r="AO186" s="237">
        <v>88.0</v>
      </c>
      <c r="AP186" s="237">
        <v>84.0</v>
      </c>
      <c r="AQ186" s="231">
        <v>28.0</v>
      </c>
      <c r="AR186" s="231">
        <v>24.0</v>
      </c>
      <c r="AS186" s="231">
        <v>34.0</v>
      </c>
      <c r="AT186" s="69">
        <f t="shared" si="4"/>
        <v>298.0</v>
      </c>
      <c r="AU186" s="69">
        <f t="shared" si="371"/>
        <v>298.0</v>
      </c>
      <c r="AV186" s="69">
        <f t="shared" si="424"/>
        <v>327.8</v>
      </c>
      <c r="AW186" s="47">
        <f t="shared" si="442"/>
        <v>34.6511627906977</v>
      </c>
      <c r="AX186" s="47">
        <f t="shared" si="443"/>
        <v>37.3166368515206</v>
      </c>
      <c r="AY186" s="47">
        <f t="shared" si="444"/>
        <v>51.7101967799642</v>
      </c>
      <c r="AZ186" s="47">
        <f t="shared" si="445"/>
        <v>24.5223613595707</v>
      </c>
      <c r="BA186" s="47">
        <f t="shared" si="446"/>
        <v>47.9785330948121</v>
      </c>
      <c r="BB186" s="47">
        <f t="shared" si="447"/>
        <v>38.9159212880143</v>
      </c>
      <c r="BC186" s="64">
        <f t="shared" si="13"/>
        <v>235.09481216458</v>
      </c>
      <c r="BD186" s="69">
        <f>VLOOKUP(D186,FEB23SOH,3,false)</f>
        <v>205.0</v>
      </c>
      <c r="BE186" s="201">
        <f>VLOOKUP(D186,VALUEFEB23,4,false)</f>
        <v>1.9354</v>
      </c>
      <c r="BF186" s="215">
        <f t="shared" si="431"/>
        <v>396.757</v>
      </c>
      <c r="BG186" s="64"/>
      <c r="BH186" s="64"/>
      <c r="BI186" s="193">
        <f t="shared" si="448"/>
        <v>-30.0948121645798</v>
      </c>
      <c r="BJ186" s="217">
        <v>501.0</v>
      </c>
      <c r="BK186" s="185">
        <f t="shared" si="469"/>
        <v>501.0</v>
      </c>
      <c r="BL186" s="103" t="s">
        <v>6</v>
      </c>
      <c r="BM186" s="95">
        <f t="shared" si="449"/>
        <v>205.0</v>
      </c>
      <c r="BN186" s="65">
        <f t="shared" si="450"/>
        <v>34.6511627906977</v>
      </c>
      <c r="BO186" s="65">
        <f t="shared" si="21"/>
      </c>
      <c r="BP186" s="65">
        <f t="shared" si="451"/>
        <v>170.348837209302</v>
      </c>
      <c r="BQ186" s="194">
        <f t="shared" si="452"/>
        <v>329.693139534883</v>
      </c>
      <c r="BR186" s="65">
        <f t="shared" si="453"/>
        <v>37.3166368515206</v>
      </c>
      <c r="BS186" s="65">
        <f t="shared" si="25"/>
      </c>
      <c r="BT186" s="65">
        <f t="shared" si="454"/>
        <v>133.032200357781</v>
      </c>
      <c r="BU186" s="194">
        <f t="shared" si="455"/>
        <v>257.470520572449</v>
      </c>
      <c r="BV186" s="65">
        <f t="shared" si="456"/>
        <v>51.7101967799642</v>
      </c>
      <c r="BW186" s="65">
        <f t="shared" si="457"/>
      </c>
      <c r="BX186" s="65">
        <f t="shared" si="458"/>
        <v>81.3220035778168</v>
      </c>
      <c r="BY186" s="194">
        <f t="shared" si="459"/>
        <v>157.390605724507</v>
      </c>
      <c r="BZ186" s="65">
        <f t="shared" si="460"/>
        <v>24.5223613595707</v>
      </c>
      <c r="CA186" s="65"/>
      <c r="CB186" s="65">
        <f t="shared" si="461"/>
        <v>56.7996422182461</v>
      </c>
      <c r="CC186" s="194">
        <f t="shared" si="462"/>
        <v>109.930027549193</v>
      </c>
      <c r="CD186" s="65">
        <f t="shared" si="463"/>
        <v>47.9785330948121</v>
      </c>
      <c r="CE186" s="65"/>
      <c r="CF186" s="65">
        <f t="shared" si="464"/>
        <v>8.821109123434</v>
      </c>
      <c r="CG186" s="194">
        <f t="shared" si="465"/>
        <v>17.0723745974941</v>
      </c>
      <c r="CH186" s="65">
        <f t="shared" si="466"/>
        <v>38.9159212880143</v>
      </c>
      <c r="CI186" s="65"/>
      <c r="CJ186" s="65">
        <f t="shared" si="467"/>
        <v>-30.0948121645803</v>
      </c>
      <c r="CK186" s="194">
        <f t="shared" si="468"/>
        <v>17.0723745974941</v>
      </c>
    </row>
    <row r="187" ht="14.0" customFormat="1" s="47">
      <c r="A187" s="47" t="s">
        <v>569</v>
      </c>
      <c r="B187" s="93" t="s">
        <v>712</v>
      </c>
      <c r="C187" s="93" t="s">
        <v>715</v>
      </c>
      <c r="D187" s="229" t="s">
        <v>716</v>
      </c>
      <c r="E187" s="93">
        <v>0.0</v>
      </c>
      <c r="F187" s="93">
        <v>0.0</v>
      </c>
      <c r="G187" s="93">
        <v>0.0</v>
      </c>
      <c r="H187" s="93">
        <v>0.0</v>
      </c>
      <c r="I187" s="93">
        <v>0.0</v>
      </c>
      <c r="J187" s="93">
        <v>0.0</v>
      </c>
      <c r="K187" s="93">
        <v>0.0</v>
      </c>
      <c r="L187" s="93">
        <v>0.0</v>
      </c>
      <c r="M187" s="93">
        <v>0.0</v>
      </c>
      <c r="N187" s="93">
        <v>0.0</v>
      </c>
      <c r="O187" s="93">
        <v>0.0</v>
      </c>
      <c r="P187" s="93">
        <v>0.0</v>
      </c>
      <c r="Q187" s="93">
        <v>0.0</v>
      </c>
      <c r="R187" s="93">
        <v>0.0</v>
      </c>
      <c r="S187" s="93">
        <v>0.0</v>
      </c>
      <c r="T187" s="93">
        <v>0.0</v>
      </c>
      <c r="U187" s="93">
        <v>0.0</v>
      </c>
      <c r="V187" s="93">
        <v>0.0</v>
      </c>
      <c r="W187" s="93">
        <v>0.0</v>
      </c>
      <c r="X187" s="93">
        <v>0.0</v>
      </c>
      <c r="Y187" s="93">
        <v>0.0</v>
      </c>
      <c r="Z187" s="93">
        <v>0.0</v>
      </c>
      <c r="AA187" s="93">
        <v>0.0</v>
      </c>
      <c r="AB187" s="93">
        <v>0.0</v>
      </c>
      <c r="AC187" s="93">
        <v>0.0</v>
      </c>
      <c r="AD187" s="93">
        <v>0.0</v>
      </c>
      <c r="AE187" s="93">
        <v>0.0</v>
      </c>
      <c r="AF187" s="93">
        <v>0.0</v>
      </c>
      <c r="AG187" s="93">
        <v>0.0</v>
      </c>
      <c r="AH187" s="93">
        <v>0.0</v>
      </c>
      <c r="AI187" s="93">
        <v>0.0</v>
      </c>
      <c r="AJ187" s="93">
        <v>0.0</v>
      </c>
      <c r="AK187" s="93">
        <v>0.0</v>
      </c>
      <c r="AL187" s="93">
        <v>0.0</v>
      </c>
      <c r="AM187" s="93">
        <v>0.0</v>
      </c>
      <c r="AN187" s="237">
        <v>59.0</v>
      </c>
      <c r="AO187" s="237">
        <v>96.0</v>
      </c>
      <c r="AP187" s="237">
        <v>72.0</v>
      </c>
      <c r="AQ187" s="231">
        <v>60.0</v>
      </c>
      <c r="AR187" s="231">
        <v>28.0</v>
      </c>
      <c r="AS187" s="231">
        <v>73.0</v>
      </c>
      <c r="AT187" s="69">
        <f t="shared" si="4"/>
        <v>388.0</v>
      </c>
      <c r="AU187" s="69">
        <f t="shared" si="371"/>
        <v>388.0</v>
      </c>
      <c r="AV187" s="69">
        <f t="shared" si="424"/>
        <v>426.8</v>
      </c>
      <c r="AW187" s="47">
        <f t="shared" si="442"/>
        <v>45.1162790697674</v>
      </c>
      <c r="AX187" s="47">
        <f t="shared" si="443"/>
        <v>48.5867620751341</v>
      </c>
      <c r="AY187" s="47">
        <f t="shared" si="444"/>
        <v>67.3273703041145</v>
      </c>
      <c r="AZ187" s="47">
        <f t="shared" si="445"/>
        <v>31.9284436493739</v>
      </c>
      <c r="BA187" s="47">
        <f t="shared" si="446"/>
        <v>62.468694096601</v>
      </c>
      <c r="BB187" s="47">
        <f t="shared" si="447"/>
        <v>50.6690518783542</v>
      </c>
      <c r="BC187" s="64">
        <f t="shared" si="13"/>
        <v>306.096601073345</v>
      </c>
      <c r="BD187" s="69">
        <f>VLOOKUP(D187,FEB23SOH,3,false)</f>
        <v>106.0</v>
      </c>
      <c r="BE187" s="201">
        <f>VLOOKUP(D187,VALUEFEB23,4,false)</f>
        <v>1.9318</v>
      </c>
      <c r="BF187" s="215">
        <f t="shared" si="431"/>
        <v>204.7708</v>
      </c>
      <c r="BG187" s="64"/>
      <c r="BH187" s="64"/>
      <c r="BI187" s="193">
        <f t="shared" si="448"/>
        <v>-200.096601073345</v>
      </c>
      <c r="BJ187" s="217">
        <v>501.0</v>
      </c>
      <c r="BK187" s="236"/>
      <c r="BL187" s="103" t="s">
        <v>520</v>
      </c>
      <c r="BM187" s="95">
        <f t="shared" si="449"/>
        <v>106.0</v>
      </c>
      <c r="BN187" s="65">
        <f t="shared" si="450"/>
        <v>45.1162790697674</v>
      </c>
      <c r="BO187" s="65">
        <f t="shared" si="21"/>
      </c>
      <c r="BP187" s="65">
        <f t="shared" si="451"/>
        <v>60.8837209302326</v>
      </c>
      <c r="BQ187" s="194">
        <f t="shared" si="452"/>
        <v>117.615172093023</v>
      </c>
      <c r="BR187" s="65">
        <f t="shared" si="453"/>
        <v>48.5867620751341</v>
      </c>
      <c r="BS187" s="65">
        <f t="shared" si="25"/>
      </c>
      <c r="BT187" s="65">
        <f t="shared" si="454"/>
        <v>12.2969588550985</v>
      </c>
      <c r="BU187" s="194">
        <f t="shared" si="455"/>
        <v>23.7552651162792</v>
      </c>
      <c r="BV187" s="65">
        <f t="shared" si="456"/>
        <v>67.3273703041145</v>
      </c>
      <c r="BW187" s="65">
        <f t="shared" si="457"/>
      </c>
      <c r="BX187" s="65">
        <f t="shared" si="458"/>
        <v>-55.0304114490158</v>
      </c>
      <c r="BY187" s="194">
        <f t="shared" si="459"/>
        <v>-106.307748837207</v>
      </c>
      <c r="BZ187" s="65">
        <f t="shared" si="460"/>
        <v>31.9284436493739</v>
      </c>
      <c r="CA187" s="65"/>
      <c r="CB187" s="65">
        <f t="shared" si="461"/>
        <v>-86.9588550983897</v>
      </c>
      <c r="CC187" s="194">
        <f t="shared" si="462"/>
        <v>-167.987116279069</v>
      </c>
      <c r="CD187" s="65">
        <f t="shared" si="463"/>
        <v>62.468694096601</v>
      </c>
      <c r="CE187" s="65"/>
      <c r="CF187" s="65">
        <f t="shared" si="464"/>
        <v>-149.42754919499</v>
      </c>
      <c r="CG187" s="194">
        <f t="shared" si="465"/>
        <v>-288.664139534881</v>
      </c>
      <c r="CH187" s="65">
        <f t="shared" si="466"/>
        <v>50.6690518783542</v>
      </c>
      <c r="CI187" s="65"/>
      <c r="CJ187" s="65">
        <f t="shared" si="467"/>
        <v>-200.096601073344</v>
      </c>
      <c r="CK187" s="194">
        <f t="shared" si="468"/>
        <v>-288.664139534881</v>
      </c>
    </row>
    <row r="188" ht="14.0" customFormat="1" s="47">
      <c r="A188" s="47" t="s">
        <v>569</v>
      </c>
      <c r="B188" s="93" t="s">
        <v>712</v>
      </c>
      <c r="C188" s="93" t="s">
        <v>717</v>
      </c>
      <c r="D188" s="229" t="s">
        <v>718</v>
      </c>
      <c r="E188" s="93">
        <v>0.0</v>
      </c>
      <c r="F188" s="93">
        <v>0.0</v>
      </c>
      <c r="G188" s="93">
        <v>0.0</v>
      </c>
      <c r="H188" s="93">
        <v>0.0</v>
      </c>
      <c r="I188" s="93">
        <v>0.0</v>
      </c>
      <c r="J188" s="93">
        <v>0.0</v>
      </c>
      <c r="K188" s="93">
        <v>0.0</v>
      </c>
      <c r="L188" s="93">
        <v>0.0</v>
      </c>
      <c r="M188" s="93">
        <v>0.0</v>
      </c>
      <c r="N188" s="93">
        <v>0.0</v>
      </c>
      <c r="O188" s="93">
        <v>0.0</v>
      </c>
      <c r="P188" s="93">
        <v>0.0</v>
      </c>
      <c r="Q188" s="93">
        <v>0.0</v>
      </c>
      <c r="R188" s="93">
        <v>0.0</v>
      </c>
      <c r="S188" s="93">
        <v>0.0</v>
      </c>
      <c r="T188" s="93">
        <v>0.0</v>
      </c>
      <c r="U188" s="93">
        <v>0.0</v>
      </c>
      <c r="V188" s="93">
        <v>0.0</v>
      </c>
      <c r="W188" s="93">
        <v>0.0</v>
      </c>
      <c r="X188" s="93">
        <v>0.0</v>
      </c>
      <c r="Y188" s="93">
        <v>0.0</v>
      </c>
      <c r="Z188" s="93">
        <v>0.0</v>
      </c>
      <c r="AA188" s="93">
        <v>0.0</v>
      </c>
      <c r="AB188" s="93">
        <v>0.0</v>
      </c>
      <c r="AC188" s="93">
        <v>0.0</v>
      </c>
      <c r="AD188" s="93">
        <v>0.0</v>
      </c>
      <c r="AE188" s="93">
        <v>0.0</v>
      </c>
      <c r="AF188" s="93">
        <v>0.0</v>
      </c>
      <c r="AG188" s="93">
        <v>0.0</v>
      </c>
      <c r="AH188" s="93">
        <v>0.0</v>
      </c>
      <c r="AI188" s="93">
        <v>0.0</v>
      </c>
      <c r="AJ188" s="93">
        <v>0.0</v>
      </c>
      <c r="AK188" s="93">
        <v>0.0</v>
      </c>
      <c r="AL188" s="93">
        <v>0.0</v>
      </c>
      <c r="AM188" s="93">
        <v>0.0</v>
      </c>
      <c r="AN188" s="237">
        <v>40.0</v>
      </c>
      <c r="AO188" s="237">
        <v>136.0</v>
      </c>
      <c r="AP188" s="237">
        <v>84.0</v>
      </c>
      <c r="AQ188" s="231">
        <v>76.0</v>
      </c>
      <c r="AR188" s="231">
        <v>40.0</v>
      </c>
      <c r="AS188" s="231">
        <v>78.0</v>
      </c>
      <c r="AT188" s="69">
        <f t="shared" si="4"/>
        <v>454.0</v>
      </c>
      <c r="AU188" s="69">
        <f t="shared" si="371"/>
        <v>454.0</v>
      </c>
      <c r="AV188" s="69">
        <f t="shared" si="424"/>
        <v>499.4</v>
      </c>
      <c r="AW188" s="47">
        <f t="shared" si="442"/>
        <v>52.7906976744186</v>
      </c>
      <c r="AX188" s="47">
        <f t="shared" si="443"/>
        <v>56.8515205724508</v>
      </c>
      <c r="AY188" s="47">
        <f t="shared" si="444"/>
        <v>78.7799642218247</v>
      </c>
      <c r="AZ188" s="47">
        <f t="shared" si="445"/>
        <v>37.3595706618962</v>
      </c>
      <c r="BA188" s="47">
        <f t="shared" si="446"/>
        <v>73.0948121645796</v>
      </c>
      <c r="BB188" s="47">
        <f t="shared" si="447"/>
        <v>59.2880143112701</v>
      </c>
      <c r="BC188" s="64">
        <f t="shared" si="13"/>
        <v>358.16457960644</v>
      </c>
      <c r="BD188" s="69">
        <f>VLOOKUP(D188,FEB23SOH,3,false)</f>
        <v>29.0</v>
      </c>
      <c r="BE188" s="201">
        <f>VLOOKUP(D188,VALUEFEB23,4,false)</f>
        <v>1.923</v>
      </c>
      <c r="BF188" s="215">
        <f t="shared" si="431"/>
        <v>55.767</v>
      </c>
      <c r="BG188" s="64"/>
      <c r="BH188" s="64"/>
      <c r="BI188" s="193">
        <f t="shared" si="448"/>
        <v>-329.16457960644</v>
      </c>
      <c r="BJ188" s="217">
        <v>501.0</v>
      </c>
      <c r="BK188" s="185">
        <f>BJ188</f>
        <v>501.0</v>
      </c>
      <c r="BL188" s="103" t="s">
        <v>518</v>
      </c>
      <c r="BM188" s="95">
        <f t="shared" si="449"/>
        <v>29.0</v>
      </c>
      <c r="BN188" s="65">
        <f t="shared" si="450"/>
        <v>52.7906976744186</v>
      </c>
      <c r="BO188" s="65">
        <f t="shared" si="21"/>
      </c>
      <c r="BP188" s="65">
        <f t="shared" si="451"/>
        <v>-23.7906976744186</v>
      </c>
      <c r="BQ188" s="194">
        <f t="shared" si="452"/>
        <v>-45.7495116279068</v>
      </c>
      <c r="BR188" s="65">
        <f t="shared" si="453"/>
        <v>56.8515205724508</v>
      </c>
      <c r="BS188" s="65">
        <f t="shared" si="25"/>
      </c>
      <c r="BT188" s="65">
        <f t="shared" si="454"/>
        <v>-80.6422182468694</v>
      </c>
      <c r="BU188" s="194">
        <f t="shared" si="455"/>
        <v>-155.074985688728</v>
      </c>
      <c r="BV188" s="65">
        <f t="shared" si="456"/>
        <v>78.7799642218247</v>
      </c>
      <c r="BW188" s="65">
        <f t="shared" si="457"/>
      </c>
      <c r="BX188" s="65">
        <f t="shared" si="458"/>
        <v>-159.422182468694</v>
      </c>
      <c r="BY188" s="194">
        <f t="shared" si="459"/>
        <v>-306.568856887297</v>
      </c>
      <c r="BZ188" s="65">
        <f t="shared" si="460"/>
        <v>37.3595706618962</v>
      </c>
      <c r="CA188" s="65"/>
      <c r="CB188" s="65">
        <f t="shared" si="461"/>
        <v>-196.78175313059</v>
      </c>
      <c r="CC188" s="194">
        <f t="shared" si="462"/>
        <v>-378.411311270124</v>
      </c>
      <c r="CD188" s="65">
        <f t="shared" si="463"/>
        <v>73.0948121645796</v>
      </c>
      <c r="CE188" s="65"/>
      <c r="CF188" s="65">
        <f t="shared" si="464"/>
        <v>-269.87656529515</v>
      </c>
      <c r="CG188" s="194">
        <f t="shared" si="465"/>
        <v>-518.972635062573</v>
      </c>
      <c r="CH188" s="65">
        <f t="shared" si="466"/>
        <v>59.2880143112701</v>
      </c>
      <c r="CI188" s="65"/>
      <c r="CJ188" s="65">
        <f t="shared" si="467"/>
        <v>-329.16457960642</v>
      </c>
      <c r="CK188" s="194">
        <f t="shared" si="468"/>
        <v>-518.972635062573</v>
      </c>
    </row>
    <row r="189" ht="14.0" customFormat="1" s="47">
      <c r="A189" s="47" t="s">
        <v>569</v>
      </c>
      <c r="B189" s="93" t="s">
        <v>712</v>
      </c>
      <c r="C189" s="93" t="s">
        <v>719</v>
      </c>
      <c r="D189" s="229" t="s">
        <v>720</v>
      </c>
      <c r="E189" s="93">
        <v>0.0</v>
      </c>
      <c r="F189" s="93">
        <v>0.0</v>
      </c>
      <c r="G189" s="93">
        <v>0.0</v>
      </c>
      <c r="H189" s="93">
        <v>0.0</v>
      </c>
      <c r="I189" s="93">
        <v>0.0</v>
      </c>
      <c r="J189" s="93">
        <v>0.0</v>
      </c>
      <c r="K189" s="93">
        <v>0.0</v>
      </c>
      <c r="L189" s="93">
        <v>0.0</v>
      </c>
      <c r="M189" s="93">
        <v>0.0</v>
      </c>
      <c r="N189" s="93">
        <v>0.0</v>
      </c>
      <c r="O189" s="93">
        <v>0.0</v>
      </c>
      <c r="P189" s="93">
        <v>0.0</v>
      </c>
      <c r="Q189" s="93">
        <v>0.0</v>
      </c>
      <c r="R189" s="93">
        <v>0.0</v>
      </c>
      <c r="S189" s="93">
        <v>0.0</v>
      </c>
      <c r="T189" s="93">
        <v>0.0</v>
      </c>
      <c r="U189" s="93">
        <v>0.0</v>
      </c>
      <c r="V189" s="93">
        <v>0.0</v>
      </c>
      <c r="W189" s="93">
        <v>0.0</v>
      </c>
      <c r="X189" s="93">
        <v>0.0</v>
      </c>
      <c r="Y189" s="93">
        <v>0.0</v>
      </c>
      <c r="Z189" s="93">
        <v>0.0</v>
      </c>
      <c r="AA189" s="93">
        <v>0.0</v>
      </c>
      <c r="AB189" s="93">
        <v>0.0</v>
      </c>
      <c r="AC189" s="93">
        <v>0.0</v>
      </c>
      <c r="AD189" s="93">
        <v>0.0</v>
      </c>
      <c r="AE189" s="93">
        <v>0.0</v>
      </c>
      <c r="AF189" s="93">
        <v>0.0</v>
      </c>
      <c r="AG189" s="93">
        <v>0.0</v>
      </c>
      <c r="AH189" s="93">
        <v>0.0</v>
      </c>
      <c r="AI189" s="93">
        <v>0.0</v>
      </c>
      <c r="AJ189" s="93">
        <v>0.0</v>
      </c>
      <c r="AK189" s="93">
        <v>0.0</v>
      </c>
      <c r="AL189" s="93">
        <v>0.0</v>
      </c>
      <c r="AM189" s="93">
        <v>0.0</v>
      </c>
      <c r="AN189" s="237">
        <v>56.0</v>
      </c>
      <c r="AO189" s="237">
        <v>112.0</v>
      </c>
      <c r="AP189" s="237">
        <v>88.0</v>
      </c>
      <c r="AQ189" s="231">
        <v>52.0</v>
      </c>
      <c r="AR189" s="231">
        <v>32.0</v>
      </c>
      <c r="AS189" s="231">
        <v>102.0</v>
      </c>
      <c r="AT189" s="69">
        <f t="shared" si="4"/>
        <v>442.0</v>
      </c>
      <c r="AU189" s="69">
        <f t="shared" si="371"/>
        <v>442.0</v>
      </c>
      <c r="AV189" s="69">
        <f t="shared" si="424"/>
        <v>486.2</v>
      </c>
      <c r="AW189" s="47">
        <f t="shared" si="442"/>
        <v>51.3953488372093</v>
      </c>
      <c r="AX189" s="47">
        <f t="shared" si="443"/>
        <v>55.3488372093023</v>
      </c>
      <c r="AY189" s="47">
        <f t="shared" si="444"/>
        <v>76.6976744186047</v>
      </c>
      <c r="AZ189" s="47">
        <f t="shared" si="445"/>
        <v>36.3720930232558</v>
      </c>
      <c r="BA189" s="47">
        <f t="shared" si="446"/>
        <v>71.1627906976744</v>
      </c>
      <c r="BB189" s="47">
        <f t="shared" si="447"/>
        <v>57.7209302325581</v>
      </c>
      <c r="BC189" s="64">
        <f t="shared" si="13"/>
        <v>348.697674418604</v>
      </c>
      <c r="BD189" s="69">
        <f>VLOOKUP(D189,FEB23SOH,3,false)</f>
        <v>61.0</v>
      </c>
      <c r="BE189" s="201">
        <f>VLOOKUP(D189,VALUEFEB23,4,false)</f>
        <v>1.9259</v>
      </c>
      <c r="BF189" s="215">
        <f t="shared" si="431"/>
        <v>117.4799</v>
      </c>
      <c r="BG189" s="64"/>
      <c r="BH189" s="64"/>
      <c r="BI189" s="193">
        <f t="shared" si="448"/>
        <v>-287.697674418604</v>
      </c>
      <c r="BJ189" s="217">
        <v>501.0</v>
      </c>
      <c r="BK189" s="236"/>
      <c r="BL189" s="103" t="s">
        <v>519</v>
      </c>
      <c r="BM189" s="95">
        <f t="shared" si="449"/>
        <v>61.0</v>
      </c>
      <c r="BN189" s="65">
        <f t="shared" si="450"/>
        <v>51.3953488372093</v>
      </c>
      <c r="BO189" s="65">
        <f t="shared" si="21"/>
      </c>
      <c r="BP189" s="65">
        <f t="shared" si="451"/>
        <v>9.6046511627907</v>
      </c>
      <c r="BQ189" s="194">
        <f t="shared" si="452"/>
        <v>18.4975976744186</v>
      </c>
      <c r="BR189" s="65">
        <f t="shared" si="453"/>
        <v>55.3488372093023</v>
      </c>
      <c r="BS189" s="65">
        <f t="shared" si="25"/>
      </c>
      <c r="BT189" s="65">
        <f t="shared" si="454"/>
        <v>-45.7441860465116</v>
      </c>
      <c r="BU189" s="194">
        <f t="shared" si="455"/>
        <v>-88.0987279069765</v>
      </c>
      <c r="BV189" s="65">
        <f t="shared" si="456"/>
        <v>76.6976744186047</v>
      </c>
      <c r="BW189" s="65">
        <f t="shared" si="457"/>
      </c>
      <c r="BX189" s="65">
        <f t="shared" si="458"/>
        <v>-122.441860465116</v>
      </c>
      <c r="BY189" s="194">
        <f t="shared" si="459"/>
        <v>-235.810779069765</v>
      </c>
      <c r="BZ189" s="65">
        <f t="shared" si="460"/>
        <v>36.3720930232558</v>
      </c>
      <c r="CA189" s="65"/>
      <c r="CB189" s="65">
        <f t="shared" si="461"/>
        <v>-158.813953488371</v>
      </c>
      <c r="CC189" s="194">
        <f t="shared" si="462"/>
        <v>-305.859793023253</v>
      </c>
      <c r="CD189" s="65">
        <f t="shared" si="463"/>
        <v>71.1627906976744</v>
      </c>
      <c r="CE189" s="65"/>
      <c r="CF189" s="65">
        <f t="shared" si="464"/>
        <v>-229.976744186045</v>
      </c>
      <c r="CG189" s="194">
        <f t="shared" si="465"/>
        <v>-442.912211627904</v>
      </c>
      <c r="CH189" s="65">
        <f t="shared" si="466"/>
        <v>57.7209302325581</v>
      </c>
      <c r="CI189" s="65"/>
      <c r="CJ189" s="65">
        <f t="shared" si="467"/>
        <v>-287.697674418603</v>
      </c>
      <c r="CK189" s="194">
        <f t="shared" si="468"/>
        <v>-442.912211627904</v>
      </c>
    </row>
    <row r="190" ht="14.0" customFormat="1" s="47">
      <c r="A190" s="47" t="s">
        <v>569</v>
      </c>
      <c r="B190" s="93" t="s">
        <v>712</v>
      </c>
      <c r="C190" s="93" t="s">
        <v>721</v>
      </c>
      <c r="D190" s="229" t="s">
        <v>722</v>
      </c>
      <c r="E190" s="93">
        <v>0.0</v>
      </c>
      <c r="F190" s="93">
        <v>0.0</v>
      </c>
      <c r="G190" s="93">
        <v>0.0</v>
      </c>
      <c r="H190" s="93">
        <v>0.0</v>
      </c>
      <c r="I190" s="93">
        <v>0.0</v>
      </c>
      <c r="J190" s="93">
        <v>0.0</v>
      </c>
      <c r="K190" s="93">
        <v>0.0</v>
      </c>
      <c r="L190" s="93">
        <v>0.0</v>
      </c>
      <c r="M190" s="93">
        <v>0.0</v>
      </c>
      <c r="N190" s="93">
        <v>0.0</v>
      </c>
      <c r="O190" s="93">
        <v>0.0</v>
      </c>
      <c r="P190" s="93">
        <v>0.0</v>
      </c>
      <c r="Q190" s="93">
        <v>0.0</v>
      </c>
      <c r="R190" s="93">
        <v>0.0</v>
      </c>
      <c r="S190" s="93">
        <v>0.0</v>
      </c>
      <c r="T190" s="93">
        <v>0.0</v>
      </c>
      <c r="U190" s="93">
        <v>0.0</v>
      </c>
      <c r="V190" s="93">
        <v>0.0</v>
      </c>
      <c r="W190" s="93">
        <v>0.0</v>
      </c>
      <c r="X190" s="93">
        <v>0.0</v>
      </c>
      <c r="Y190" s="93">
        <v>0.0</v>
      </c>
      <c r="Z190" s="93">
        <v>0.0</v>
      </c>
      <c r="AA190" s="93">
        <v>0.0</v>
      </c>
      <c r="AB190" s="93">
        <v>0.0</v>
      </c>
      <c r="AC190" s="93">
        <v>0.0</v>
      </c>
      <c r="AD190" s="93">
        <v>0.0</v>
      </c>
      <c r="AE190" s="93">
        <v>0.0</v>
      </c>
      <c r="AF190" s="93">
        <v>0.0</v>
      </c>
      <c r="AG190" s="93">
        <v>0.0</v>
      </c>
      <c r="AH190" s="93">
        <v>0.0</v>
      </c>
      <c r="AI190" s="93">
        <v>0.0</v>
      </c>
      <c r="AJ190" s="93">
        <v>0.0</v>
      </c>
      <c r="AK190" s="93">
        <v>0.0</v>
      </c>
      <c r="AL190" s="93">
        <v>0.0</v>
      </c>
      <c r="AM190" s="93">
        <v>0.0</v>
      </c>
      <c r="AN190" s="237">
        <v>60.0</v>
      </c>
      <c r="AO190" s="237">
        <v>116.0</v>
      </c>
      <c r="AP190" s="237">
        <v>80.0</v>
      </c>
      <c r="AQ190" s="231">
        <v>52.0</v>
      </c>
      <c r="AR190" s="231">
        <v>28.0</v>
      </c>
      <c r="AS190" s="231">
        <v>54.0</v>
      </c>
      <c r="AT190" s="69">
        <f t="shared" si="4"/>
        <v>390.0</v>
      </c>
      <c r="AU190" s="69">
        <f t="shared" si="371"/>
        <v>390.0</v>
      </c>
      <c r="AV190" s="69">
        <f t="shared" si="424"/>
        <v>429.0</v>
      </c>
      <c r="AW190" s="47">
        <f t="shared" si="442"/>
        <v>45.3488372093023</v>
      </c>
      <c r="AX190" s="47">
        <f t="shared" si="443"/>
        <v>48.8372093023256</v>
      </c>
      <c r="AY190" s="47">
        <f t="shared" si="444"/>
        <v>67.6744186046511</v>
      </c>
      <c r="AZ190" s="47">
        <f t="shared" si="445"/>
        <v>32.093023255813</v>
      </c>
      <c r="BA190" s="47">
        <f t="shared" si="446"/>
        <v>62.7906976744186</v>
      </c>
      <c r="BB190" s="47">
        <f t="shared" si="447"/>
        <v>50.9302325581395</v>
      </c>
      <c r="BC190" s="64">
        <f t="shared" si="13"/>
        <v>307.67441860465</v>
      </c>
      <c r="BD190" s="69">
        <f>VLOOKUP(D190,FEB23SOH,3,false)</f>
        <v>93.0</v>
      </c>
      <c r="BE190" s="201">
        <f>VLOOKUP(D190,VALUEFEB23,4,false)</f>
        <v>1.9317</v>
      </c>
      <c r="BF190" s="215">
        <f t="shared" si="431"/>
        <v>179.6481</v>
      </c>
      <c r="BG190" s="64"/>
      <c r="BH190" s="64"/>
      <c r="BI190" s="193">
        <f t="shared" si="448"/>
        <v>-214.67441860465</v>
      </c>
      <c r="BJ190" s="217">
        <v>501.0</v>
      </c>
      <c r="BK190" s="185">
        <f>BJ190</f>
        <v>501.0</v>
      </c>
      <c r="BL190" s="103" t="s">
        <v>519</v>
      </c>
      <c r="BM190" s="95">
        <f t="shared" si="449"/>
        <v>93.0</v>
      </c>
      <c r="BN190" s="65">
        <f t="shared" si="450"/>
        <v>45.3488372093023</v>
      </c>
      <c r="BO190" s="65">
        <f t="shared" si="21"/>
      </c>
      <c r="BP190" s="65">
        <f t="shared" si="451"/>
        <v>47.6511627906977</v>
      </c>
      <c r="BQ190" s="194">
        <f t="shared" si="452"/>
        <v>92.0477511627908</v>
      </c>
      <c r="BR190" s="65">
        <f t="shared" si="453"/>
        <v>48.8372093023256</v>
      </c>
      <c r="BS190" s="65">
        <f t="shared" si="25"/>
      </c>
      <c r="BT190" s="65">
        <f t="shared" si="454"/>
        <v>-1.1860465116279</v>
      </c>
      <c r="BU190" s="194">
        <f t="shared" si="455"/>
        <v>-2.29108604651161</v>
      </c>
      <c r="BV190" s="65">
        <f t="shared" si="456"/>
        <v>67.6744186046511</v>
      </c>
      <c r="BW190" s="65">
        <f t="shared" si="457"/>
      </c>
      <c r="BX190" s="65">
        <f t="shared" si="458"/>
        <v>-68.8604651162788</v>
      </c>
      <c r="BY190" s="194">
        <f t="shared" si="459"/>
        <v>-133.017760465114</v>
      </c>
      <c r="BZ190" s="65">
        <f t="shared" si="460"/>
        <v>32.093023255813</v>
      </c>
      <c r="CA190" s="65"/>
      <c r="CB190" s="65">
        <f t="shared" si="461"/>
        <v>-100.953488372091</v>
      </c>
      <c r="CC190" s="194">
        <f t="shared" si="462"/>
        <v>-195.011853488368</v>
      </c>
      <c r="CD190" s="65">
        <f t="shared" si="463"/>
        <v>62.7906976744186</v>
      </c>
      <c r="CE190" s="65"/>
      <c r="CF190" s="65">
        <f t="shared" si="464"/>
        <v>-163.744186046508</v>
      </c>
      <c r="CG190" s="194">
        <f t="shared" si="465"/>
        <v>-316.304644186039</v>
      </c>
      <c r="CH190" s="65">
        <f t="shared" si="466"/>
        <v>50.9302325581395</v>
      </c>
      <c r="CI190" s="65"/>
      <c r="CJ190" s="65">
        <f t="shared" si="467"/>
        <v>-214.674418604647</v>
      </c>
      <c r="CK190" s="194">
        <f t="shared" si="468"/>
        <v>-316.304644186039</v>
      </c>
    </row>
    <row r="191" ht="14.0" customFormat="1" s="47">
      <c r="A191" s="47" t="s">
        <v>569</v>
      </c>
      <c r="B191" s="93" t="s">
        <v>712</v>
      </c>
      <c r="C191" s="93" t="s">
        <v>723</v>
      </c>
      <c r="D191" s="229" t="s">
        <v>724</v>
      </c>
      <c r="E191" s="93">
        <v>0.0</v>
      </c>
      <c r="F191" s="93">
        <v>0.0</v>
      </c>
      <c r="G191" s="93">
        <v>0.0</v>
      </c>
      <c r="H191" s="93">
        <v>0.0</v>
      </c>
      <c r="I191" s="93">
        <v>0.0</v>
      </c>
      <c r="J191" s="93">
        <v>0.0</v>
      </c>
      <c r="K191" s="93">
        <v>0.0</v>
      </c>
      <c r="L191" s="93">
        <v>0.0</v>
      </c>
      <c r="M191" s="93">
        <v>0.0</v>
      </c>
      <c r="N191" s="93">
        <v>0.0</v>
      </c>
      <c r="O191" s="93">
        <v>0.0</v>
      </c>
      <c r="P191" s="93">
        <v>0.0</v>
      </c>
      <c r="Q191" s="93">
        <v>0.0</v>
      </c>
      <c r="R191" s="93">
        <v>0.0</v>
      </c>
      <c r="S191" s="93">
        <v>0.0</v>
      </c>
      <c r="T191" s="93">
        <v>0.0</v>
      </c>
      <c r="U191" s="93">
        <v>0.0</v>
      </c>
      <c r="V191" s="93">
        <v>0.0</v>
      </c>
      <c r="W191" s="93">
        <v>0.0</v>
      </c>
      <c r="X191" s="93">
        <v>0.0</v>
      </c>
      <c r="Y191" s="93">
        <v>0.0</v>
      </c>
      <c r="Z191" s="93">
        <v>0.0</v>
      </c>
      <c r="AA191" s="93">
        <v>0.0</v>
      </c>
      <c r="AB191" s="93">
        <v>0.0</v>
      </c>
      <c r="AC191" s="93">
        <v>0.0</v>
      </c>
      <c r="AD191" s="93">
        <v>0.0</v>
      </c>
      <c r="AE191" s="93">
        <v>0.0</v>
      </c>
      <c r="AF191" s="93">
        <v>0.0</v>
      </c>
      <c r="AG191" s="93">
        <v>0.0</v>
      </c>
      <c r="AH191" s="93">
        <v>0.0</v>
      </c>
      <c r="AI191" s="93">
        <v>0.0</v>
      </c>
      <c r="AJ191" s="93">
        <v>0.0</v>
      </c>
      <c r="AK191" s="93">
        <v>0.0</v>
      </c>
      <c r="AL191" s="93">
        <v>0.0</v>
      </c>
      <c r="AM191" s="93">
        <v>0.0</v>
      </c>
      <c r="AN191" s="237">
        <v>99.0</v>
      </c>
      <c r="AO191" s="237">
        <v>220.0</v>
      </c>
      <c r="AP191" s="237">
        <v>156.0</v>
      </c>
      <c r="AQ191" s="231">
        <v>8.0</v>
      </c>
      <c r="AR191" s="231">
        <v>0.0</v>
      </c>
      <c r="AS191" s="231">
        <v>0.0</v>
      </c>
      <c r="AT191" s="69">
        <f t="shared" si="4"/>
        <v>483.0</v>
      </c>
      <c r="AU191" s="69">
        <f t="shared" si="371"/>
        <v>483.0</v>
      </c>
      <c r="AV191" s="69">
        <f t="shared" si="424"/>
        <v>531.3</v>
      </c>
      <c r="AW191" s="47">
        <f t="shared" si="442"/>
        <v>56.1627906976744</v>
      </c>
      <c r="AX191" s="47">
        <f t="shared" si="443"/>
        <v>60.4830053667263</v>
      </c>
      <c r="AY191" s="47">
        <f t="shared" si="444"/>
        <v>83.8121645796064</v>
      </c>
      <c r="AZ191" s="47">
        <f t="shared" si="445"/>
        <v>39.7459749552772</v>
      </c>
      <c r="BA191" s="47">
        <f t="shared" si="446"/>
        <v>77.7638640429338</v>
      </c>
      <c r="BB191" s="47">
        <f t="shared" si="447"/>
        <v>63.0751341681574</v>
      </c>
      <c r="BC191" s="64">
        <f t="shared" si="13"/>
        <v>381.04293381038</v>
      </c>
      <c r="BD191" s="69">
        <f>VLOOKUP(D191,FEB23SOH,3,false)</f>
        <v>-8.0</v>
      </c>
      <c r="BE191" s="201">
        <f>VLOOKUP(D191,VALUEFEB23,4,false)</f>
      </c>
      <c r="BF191" s="215">
        <f t="shared" si="431"/>
        <v>0.0</v>
      </c>
      <c r="BG191" s="64">
        <f>VLOOKUP(C191,CHINAMAR3,3,false)</f>
        <v>501.0</v>
      </c>
      <c r="BH191" s="64"/>
      <c r="BI191" s="193">
        <f t="shared" si="448"/>
        <v>111.95706618962</v>
      </c>
      <c r="BJ191" s="217">
        <v>501.0</v>
      </c>
      <c r="BK191" s="185">
        <f>BI191*-1</f>
        <v>-111.95706618962</v>
      </c>
      <c r="BL191" s="103" t="s">
        <v>73</v>
      </c>
      <c r="BM191" s="95">
        <f t="shared" si="449"/>
        <v>-8.0</v>
      </c>
      <c r="BN191" s="65">
        <f t="shared" si="450"/>
        <v>56.1627906976744</v>
      </c>
      <c r="BO191" s="65">
        <f t="shared" si="21"/>
        <v>501.0</v>
      </c>
      <c r="BP191" s="65">
        <f t="shared" si="451"/>
        <v>436.837209302326</v>
      </c>
      <c r="BQ191" s="194">
        <f t="shared" si="452"/>
        <v>0.0</v>
      </c>
      <c r="BR191" s="65">
        <f t="shared" si="453"/>
        <v>60.4830053667263</v>
      </c>
      <c r="BS191" s="65">
        <f t="shared" si="25"/>
      </c>
      <c r="BT191" s="65">
        <f t="shared" si="454"/>
        <v>376.3542039356</v>
      </c>
      <c r="BU191" s="194">
        <f t="shared" si="455"/>
        <v>0.0</v>
      </c>
      <c r="BV191" s="65">
        <f t="shared" si="456"/>
        <v>83.8121645796064</v>
      </c>
      <c r="BW191" s="65">
        <f t="shared" si="457"/>
      </c>
      <c r="BX191" s="65">
        <f t="shared" si="458"/>
        <v>292.542039355993</v>
      </c>
      <c r="BY191" s="194">
        <f t="shared" si="459"/>
        <v>0.0</v>
      </c>
      <c r="BZ191" s="65">
        <f t="shared" si="460"/>
        <v>39.7459749552772</v>
      </c>
      <c r="CA191" s="65"/>
      <c r="CB191" s="65">
        <f t="shared" si="461"/>
        <v>252.796064400716</v>
      </c>
      <c r="CC191" s="194">
        <f t="shared" si="462"/>
        <v>0.0</v>
      </c>
      <c r="CD191" s="65">
        <f t="shared" si="463"/>
        <v>77.7638640429338</v>
      </c>
      <c r="CE191" s="65"/>
      <c r="CF191" s="65">
        <f t="shared" si="464"/>
        <v>175.032200357782</v>
      </c>
      <c r="CG191" s="194">
        <f t="shared" si="465"/>
        <v>0.0</v>
      </c>
      <c r="CH191" s="65">
        <f t="shared" si="466"/>
        <v>63.0751341681574</v>
      </c>
      <c r="CI191" s="65"/>
      <c r="CJ191" s="65">
        <f t="shared" si="467"/>
        <v>111.957066189624</v>
      </c>
      <c r="CK191" s="194">
        <f t="shared" si="468"/>
        <v>0.0</v>
      </c>
    </row>
    <row r="192" ht="14.0" customFormat="1" s="47">
      <c r="A192" s="47" t="s">
        <v>569</v>
      </c>
      <c r="B192" s="93" t="s">
        <v>699</v>
      </c>
      <c r="C192" s="93" t="s">
        <v>700</v>
      </c>
      <c r="D192" s="229" t="s">
        <v>701</v>
      </c>
      <c r="E192" s="93"/>
      <c r="F192" s="93"/>
      <c r="G192" s="93">
        <v>0.0</v>
      </c>
      <c r="H192" s="93">
        <v>0.0</v>
      </c>
      <c r="I192" s="93">
        <v>0.0</v>
      </c>
      <c r="J192" s="93">
        <v>0.0</v>
      </c>
      <c r="K192" s="93">
        <v>0.0</v>
      </c>
      <c r="L192" s="93">
        <v>0.0</v>
      </c>
      <c r="M192" s="93">
        <v>0.0</v>
      </c>
      <c r="N192" s="93">
        <v>0.0</v>
      </c>
      <c r="O192" s="93">
        <v>0.0</v>
      </c>
      <c r="P192" s="93">
        <v>0.0</v>
      </c>
      <c r="Q192" s="93">
        <v>0.0</v>
      </c>
      <c r="R192" s="93">
        <v>0.0</v>
      </c>
      <c r="S192" s="93">
        <v>0.0</v>
      </c>
      <c r="T192" s="93">
        <v>0.0</v>
      </c>
      <c r="U192" s="93">
        <v>0.0</v>
      </c>
      <c r="V192" s="93">
        <v>0.0</v>
      </c>
      <c r="W192" s="93">
        <v>0.0</v>
      </c>
      <c r="X192" s="93">
        <v>0.0</v>
      </c>
      <c r="Y192" s="93">
        <v>0.0</v>
      </c>
      <c r="Z192" s="93">
        <v>0.0</v>
      </c>
      <c r="AA192" s="93">
        <v>0.0</v>
      </c>
      <c r="AB192" s="93">
        <v>0.0</v>
      </c>
      <c r="AC192" s="93">
        <v>0.0</v>
      </c>
      <c r="AD192" s="93">
        <v>0.0</v>
      </c>
      <c r="AE192" s="93">
        <v>0.0</v>
      </c>
      <c r="AF192" s="93">
        <v>0.0</v>
      </c>
      <c r="AG192" s="93">
        <v>0.0</v>
      </c>
      <c r="AH192" s="93">
        <v>0.0</v>
      </c>
      <c r="AI192" s="93">
        <v>0.0</v>
      </c>
      <c r="AJ192" s="93">
        <v>0.0</v>
      </c>
      <c r="AK192" s="93">
        <v>0.0</v>
      </c>
      <c r="AL192" s="93">
        <v>0.0</v>
      </c>
      <c r="AM192" s="93">
        <v>0.0</v>
      </c>
      <c r="AN192" s="237">
        <v>12.0</v>
      </c>
      <c r="AO192" s="237">
        <v>32.0</v>
      </c>
      <c r="AP192" s="237">
        <v>44.0</v>
      </c>
      <c r="AQ192" s="231">
        <v>4.0</v>
      </c>
      <c r="AR192" s="231">
        <v>4.0</v>
      </c>
      <c r="AS192" s="231">
        <v>15.0</v>
      </c>
      <c r="AT192" s="69">
        <f t="shared" si="4"/>
        <v>111.0</v>
      </c>
      <c r="AU192" s="69">
        <f t="shared" si="371"/>
        <v>111.0</v>
      </c>
      <c r="AV192" s="69">
        <f t="shared" si="424"/>
        <v>122.1</v>
      </c>
      <c r="AW192" s="47">
        <f t="shared" si="442"/>
        <v>12.906976744186</v>
      </c>
      <c r="AX192" s="47">
        <f t="shared" si="443"/>
        <v>13.8998211091234</v>
      </c>
      <c r="AY192" s="47">
        <f t="shared" si="444"/>
        <v>19.2611806797853</v>
      </c>
      <c r="AZ192" s="47">
        <f t="shared" si="445"/>
        <v>9.13416815742397</v>
      </c>
      <c r="BA192" s="47">
        <f t="shared" si="446"/>
        <v>17.871198568872</v>
      </c>
      <c r="BB192" s="47">
        <f t="shared" si="447"/>
        <v>14.4955277280859</v>
      </c>
      <c r="BC192" s="64">
        <f t="shared" si="13"/>
        <v>87.5688729874766</v>
      </c>
      <c r="BD192" s="69">
        <f>VLOOKUP(D192,FEB23SOH,3,false)</f>
        <v>392.0</v>
      </c>
      <c r="BE192" s="201">
        <f>VLOOKUP(D192,VALUEFEB23,4,false)</f>
        <v>5.4424</v>
      </c>
      <c r="BF192" s="215">
        <f t="shared" si="431"/>
        <v>2133.4208</v>
      </c>
      <c r="BG192" s="64"/>
      <c r="BH192" s="64"/>
      <c r="BI192" s="193">
        <f t="shared" si="448"/>
        <v>304.431127012523</v>
      </c>
      <c r="BJ192" s="217"/>
      <c r="BM192" s="95">
        <f t="shared" si="449"/>
        <v>392.0</v>
      </c>
      <c r="BN192" s="65">
        <f t="shared" si="450"/>
        <v>12.906976744186</v>
      </c>
      <c r="BO192" s="65">
        <f t="shared" si="21"/>
      </c>
      <c r="BP192" s="65">
        <f t="shared" si="451"/>
        <v>379.093023255814</v>
      </c>
      <c r="BQ192" s="194">
        <f t="shared" si="452"/>
        <v>2063.17586976744</v>
      </c>
      <c r="BR192" s="65">
        <f t="shared" si="453"/>
        <v>13.8998211091234</v>
      </c>
      <c r="BS192" s="65">
        <f t="shared" si="25"/>
      </c>
      <c r="BT192" s="65">
        <f t="shared" si="454"/>
        <v>365.19320214669</v>
      </c>
      <c r="BU192" s="194">
        <f t="shared" si="455"/>
        <v>1987.52748336314</v>
      </c>
      <c r="BV192" s="65">
        <f t="shared" si="456"/>
        <v>19.2611806797853</v>
      </c>
      <c r="BW192" s="65">
        <f t="shared" si="457"/>
      </c>
      <c r="BX192" s="65">
        <f t="shared" si="458"/>
        <v>345.932021466904</v>
      </c>
      <c r="BY192" s="194">
        <f t="shared" si="459"/>
        <v>1882.70043363148</v>
      </c>
      <c r="BZ192" s="65">
        <f t="shared" si="460"/>
        <v>9.13416815742397</v>
      </c>
      <c r="CA192" s="65"/>
      <c r="CB192" s="65">
        <f t="shared" si="461"/>
        <v>336.79785330948</v>
      </c>
      <c r="CC192" s="194">
        <f t="shared" si="462"/>
        <v>1832.98863685151</v>
      </c>
      <c r="CD192" s="65">
        <f t="shared" si="463"/>
        <v>17.871198568872</v>
      </c>
      <c r="CE192" s="65"/>
      <c r="CF192" s="65">
        <f t="shared" si="464"/>
        <v>318.926654740608</v>
      </c>
      <c r="CG192" s="194">
        <f t="shared" si="465"/>
        <v>1735.72642576029</v>
      </c>
      <c r="CH192" s="65">
        <f t="shared" si="466"/>
        <v>14.4955277280859</v>
      </c>
      <c r="CI192" s="65"/>
      <c r="CJ192" s="65">
        <f t="shared" si="467"/>
        <v>304.431127012522</v>
      </c>
      <c r="CK192" s="194">
        <f t="shared" si="468"/>
        <v>1735.72642576029</v>
      </c>
    </row>
    <row r="193" ht="14.0" customFormat="1" s="47">
      <c r="A193" s="47" t="s">
        <v>569</v>
      </c>
      <c r="B193" s="93" t="s">
        <v>699</v>
      </c>
      <c r="C193" s="93" t="s">
        <v>702</v>
      </c>
      <c r="D193" s="229" t="s">
        <v>703</v>
      </c>
      <c r="E193" s="93"/>
      <c r="F193" s="93"/>
      <c r="G193" s="93">
        <v>0.0</v>
      </c>
      <c r="H193" s="93">
        <v>0.0</v>
      </c>
      <c r="I193" s="93">
        <v>0.0</v>
      </c>
      <c r="J193" s="93">
        <v>0.0</v>
      </c>
      <c r="K193" s="93">
        <v>0.0</v>
      </c>
      <c r="L193" s="93">
        <v>0.0</v>
      </c>
      <c r="M193" s="93">
        <v>0.0</v>
      </c>
      <c r="N193" s="93">
        <v>0.0</v>
      </c>
      <c r="O193" s="93">
        <v>0.0</v>
      </c>
      <c r="P193" s="93">
        <v>0.0</v>
      </c>
      <c r="Q193" s="93">
        <v>0.0</v>
      </c>
      <c r="R193" s="93">
        <v>0.0</v>
      </c>
      <c r="S193" s="93">
        <v>0.0</v>
      </c>
      <c r="T193" s="93">
        <v>0.0</v>
      </c>
      <c r="U193" s="93">
        <v>0.0</v>
      </c>
      <c r="V193" s="93">
        <v>0.0</v>
      </c>
      <c r="W193" s="93">
        <v>0.0</v>
      </c>
      <c r="X193" s="93">
        <v>0.0</v>
      </c>
      <c r="Y193" s="93">
        <v>0.0</v>
      </c>
      <c r="Z193" s="93">
        <v>0.0</v>
      </c>
      <c r="AA193" s="93">
        <v>0.0</v>
      </c>
      <c r="AB193" s="93">
        <v>0.0</v>
      </c>
      <c r="AC193" s="93">
        <v>0.0</v>
      </c>
      <c r="AD193" s="93">
        <v>0.0</v>
      </c>
      <c r="AE193" s="93">
        <v>0.0</v>
      </c>
      <c r="AF193" s="93">
        <v>0.0</v>
      </c>
      <c r="AG193" s="93">
        <v>0.0</v>
      </c>
      <c r="AH193" s="93">
        <v>0.0</v>
      </c>
      <c r="AI193" s="93">
        <v>0.0</v>
      </c>
      <c r="AJ193" s="93">
        <v>0.0</v>
      </c>
      <c r="AK193" s="93">
        <v>0.0</v>
      </c>
      <c r="AL193" s="93">
        <v>0.0</v>
      </c>
      <c r="AM193" s="93">
        <v>0.0</v>
      </c>
      <c r="AN193" s="237">
        <v>23.0</v>
      </c>
      <c r="AO193" s="237">
        <v>24.0</v>
      </c>
      <c r="AP193" s="237">
        <v>28.0</v>
      </c>
      <c r="AQ193" s="231">
        <v>4.0</v>
      </c>
      <c r="AR193" s="231">
        <v>0.0</v>
      </c>
      <c r="AS193" s="231">
        <v>15.0</v>
      </c>
      <c r="AT193" s="69">
        <f t="shared" si="4"/>
        <v>94.0</v>
      </c>
      <c r="AU193" s="69">
        <f t="shared" si="371"/>
        <v>94.0</v>
      </c>
      <c r="AV193" s="69">
        <f t="shared" si="424"/>
        <v>103.4</v>
      </c>
      <c r="AW193" s="47">
        <f t="shared" si="442"/>
        <v>10.9302325581395</v>
      </c>
      <c r="AX193" s="47">
        <f t="shared" si="443"/>
        <v>11.7710196779964</v>
      </c>
      <c r="AY193" s="47">
        <f t="shared" si="444"/>
        <v>16.3112701252236</v>
      </c>
      <c r="AZ193" s="47">
        <f t="shared" si="445"/>
        <v>7.73524150268336</v>
      </c>
      <c r="BA193" s="47">
        <f t="shared" si="446"/>
        <v>15.134168157424</v>
      </c>
      <c r="BB193" s="47">
        <f t="shared" si="447"/>
        <v>12.27549194991</v>
      </c>
      <c r="BC193" s="64">
        <f t="shared" si="13"/>
        <v>74.1574239713769</v>
      </c>
      <c r="BD193" s="69">
        <f>VLOOKUP(D193,FEB23SOH,3,false)</f>
        <v>405.0</v>
      </c>
      <c r="BE193" s="201">
        <f>VLOOKUP(D193,VALUEFEB23,4,false)</f>
        <v>5.4425</v>
      </c>
      <c r="BF193" s="215">
        <f t="shared" si="431"/>
        <v>2204.2125</v>
      </c>
      <c r="BG193" s="64"/>
      <c r="BH193" s="64"/>
      <c r="BI193" s="193">
        <f t="shared" si="448"/>
        <v>330.842576028623</v>
      </c>
      <c r="BJ193" s="217"/>
      <c r="BK193" s="186"/>
      <c r="BL193" s="103"/>
      <c r="BM193" s="95">
        <f t="shared" si="449"/>
        <v>405.0</v>
      </c>
      <c r="BN193" s="65">
        <f t="shared" si="450"/>
        <v>10.9302325581395</v>
      </c>
      <c r="BO193" s="65">
        <f t="shared" si="21"/>
      </c>
      <c r="BP193" s="65">
        <f t="shared" si="451"/>
        <v>394.06976744186</v>
      </c>
      <c r="BQ193" s="194">
        <f t="shared" si="452"/>
        <v>2144.72470930232</v>
      </c>
      <c r="BR193" s="65">
        <f t="shared" si="453"/>
        <v>11.7710196779964</v>
      </c>
      <c r="BS193" s="65">
        <f t="shared" si="25"/>
      </c>
      <c r="BT193" s="65">
        <f t="shared" si="454"/>
        <v>382.298747763863</v>
      </c>
      <c r="BU193" s="194">
        <f t="shared" si="455"/>
        <v>2080.66093470482</v>
      </c>
      <c r="BV193" s="65">
        <f t="shared" si="456"/>
        <v>16.3112701252236</v>
      </c>
      <c r="BW193" s="65">
        <f t="shared" si="457"/>
      </c>
      <c r="BX193" s="65">
        <f t="shared" si="458"/>
        <v>365.987477638639</v>
      </c>
      <c r="BY193" s="194">
        <f t="shared" si="459"/>
        <v>1991.88684704829</v>
      </c>
      <c r="BZ193" s="65">
        <f t="shared" si="460"/>
        <v>7.73524150268336</v>
      </c>
      <c r="CA193" s="65"/>
      <c r="CB193" s="65">
        <f t="shared" si="461"/>
        <v>358.252236135956</v>
      </c>
      <c r="CC193" s="194">
        <f t="shared" si="462"/>
        <v>1949.78779516994</v>
      </c>
      <c r="CD193" s="65">
        <f t="shared" si="463"/>
        <v>15.134168157424</v>
      </c>
      <c r="CE193" s="65"/>
      <c r="CF193" s="65">
        <f t="shared" si="464"/>
        <v>343.118067978532</v>
      </c>
      <c r="CG193" s="194">
        <f t="shared" si="465"/>
        <v>1867.42008497316</v>
      </c>
      <c r="CH193" s="65">
        <f t="shared" si="466"/>
        <v>12.27549194991</v>
      </c>
      <c r="CI193" s="65"/>
      <c r="CJ193" s="65">
        <f t="shared" si="467"/>
        <v>330.842576028622</v>
      </c>
      <c r="CK193" s="194">
        <f t="shared" si="468"/>
        <v>1867.42008497316</v>
      </c>
    </row>
    <row r="194" ht="14.0" customFormat="1" s="47">
      <c r="A194" s="47" t="s">
        <v>569</v>
      </c>
      <c r="B194" s="47" t="s">
        <v>699</v>
      </c>
      <c r="C194" s="47" t="s">
        <v>704</v>
      </c>
      <c r="D194" s="185" t="s">
        <v>705</v>
      </c>
      <c r="G194" s="47">
        <v>0.0</v>
      </c>
      <c r="H194" s="47">
        <v>0.0</v>
      </c>
      <c r="I194" s="47">
        <v>0.0</v>
      </c>
      <c r="J194" s="47">
        <v>0.0</v>
      </c>
      <c r="K194" s="47">
        <v>0.0</v>
      </c>
      <c r="L194" s="47">
        <v>0.0</v>
      </c>
      <c r="M194" s="47">
        <v>0.0</v>
      </c>
      <c r="N194" s="47">
        <v>0.0</v>
      </c>
      <c r="O194" s="47">
        <v>0.0</v>
      </c>
      <c r="P194" s="47">
        <v>0.0</v>
      </c>
      <c r="Q194" s="47">
        <v>0.0</v>
      </c>
      <c r="R194" s="47">
        <v>0.0</v>
      </c>
      <c r="S194" s="47">
        <v>0.0</v>
      </c>
      <c r="T194" s="47">
        <v>0.0</v>
      </c>
      <c r="U194" s="47">
        <v>0.0</v>
      </c>
      <c r="V194" s="47">
        <v>0.0</v>
      </c>
      <c r="W194" s="47">
        <v>0.0</v>
      </c>
      <c r="X194" s="47">
        <v>0.0</v>
      </c>
      <c r="Y194" s="47">
        <v>0.0</v>
      </c>
      <c r="Z194" s="47">
        <v>0.0</v>
      </c>
      <c r="AA194" s="47">
        <v>0.0</v>
      </c>
      <c r="AB194" s="47">
        <v>0.0</v>
      </c>
      <c r="AC194" s="47">
        <v>0.0</v>
      </c>
      <c r="AD194" s="47">
        <v>0.0</v>
      </c>
      <c r="AE194" s="47">
        <v>0.0</v>
      </c>
      <c r="AF194" s="47">
        <v>0.0</v>
      </c>
      <c r="AG194" s="47">
        <v>0.0</v>
      </c>
      <c r="AH194" s="47">
        <v>0.0</v>
      </c>
      <c r="AI194" s="47">
        <v>0.0</v>
      </c>
      <c r="AJ194" s="47">
        <v>0.0</v>
      </c>
      <c r="AK194" s="47">
        <v>0.0</v>
      </c>
      <c r="AL194" s="47">
        <v>0.0</v>
      </c>
      <c r="AM194" s="47">
        <v>0.0</v>
      </c>
      <c r="AN194" s="237">
        <v>27.0</v>
      </c>
      <c r="AO194" s="237">
        <v>24.0</v>
      </c>
      <c r="AP194" s="237">
        <v>24.0</v>
      </c>
      <c r="AQ194" s="231">
        <v>8.0</v>
      </c>
      <c r="AR194" s="231">
        <v>8.0</v>
      </c>
      <c r="AS194" s="231">
        <v>10.0</v>
      </c>
      <c r="AT194" s="69">
        <f t="shared" si="4"/>
        <v>101.0</v>
      </c>
      <c r="AU194" s="69">
        <f t="shared" si="371"/>
        <v>101.0</v>
      </c>
      <c r="AV194" s="69">
        <f t="shared" si="424"/>
        <v>111.1</v>
      </c>
      <c r="AW194" s="47">
        <f t="shared" si="442"/>
        <v>11.7441860465116</v>
      </c>
      <c r="AX194" s="47">
        <f t="shared" si="443"/>
        <v>12.6475849731663</v>
      </c>
      <c r="AY194" s="47">
        <f t="shared" si="444"/>
        <v>17.525939177102</v>
      </c>
      <c r="AZ194" s="47">
        <f t="shared" si="445"/>
        <v>8.31127012522361</v>
      </c>
      <c r="BA194" s="47">
        <f t="shared" si="446"/>
        <v>16.2611806797853</v>
      </c>
      <c r="BB194" s="47">
        <f t="shared" si="447"/>
        <v>13.1896243291592</v>
      </c>
      <c r="BC194" s="64">
        <f t="shared" si="13"/>
        <v>79.679785330948</v>
      </c>
      <c r="BD194" s="69">
        <f>VLOOKUP(D194,FEB23SOH,3,false)</f>
        <v>381.0</v>
      </c>
      <c r="BE194" s="201">
        <f>VLOOKUP(D194,VALUEFEB23,4,false)</f>
        <v>5.4425</v>
      </c>
      <c r="BF194" s="215">
        <f t="shared" si="431"/>
        <v>2073.5925</v>
      </c>
      <c r="BG194" s="64"/>
      <c r="BH194" s="64"/>
      <c r="BI194" s="193">
        <f t="shared" si="448"/>
        <v>301.320214669052</v>
      </c>
      <c r="BJ194" s="217"/>
      <c r="BK194" s="186"/>
      <c r="BL194" s="103"/>
      <c r="BM194" s="95">
        <f t="shared" si="449"/>
        <v>381.0</v>
      </c>
      <c r="BN194" s="65">
        <f t="shared" si="450"/>
        <v>11.7441860465116</v>
      </c>
      <c r="BO194" s="65">
        <f t="shared" si="21"/>
      </c>
      <c r="BP194" s="65">
        <f t="shared" si="451"/>
        <v>369.255813953488</v>
      </c>
      <c r="BQ194" s="194">
        <f t="shared" si="452"/>
        <v>2009.67476744186</v>
      </c>
      <c r="BR194" s="65">
        <f t="shared" si="453"/>
        <v>12.6475849731663</v>
      </c>
      <c r="BS194" s="65">
        <f t="shared" si="25"/>
      </c>
      <c r="BT194" s="65">
        <f t="shared" si="454"/>
        <v>356.608228980321</v>
      </c>
      <c r="BU194" s="194">
        <f t="shared" si="455"/>
        <v>1940.8402862254</v>
      </c>
      <c r="BV194" s="65">
        <f t="shared" si="456"/>
        <v>17.525939177102</v>
      </c>
      <c r="BW194" s="65">
        <f t="shared" si="457"/>
      </c>
      <c r="BX194" s="65">
        <f t="shared" si="458"/>
        <v>339.082289803219</v>
      </c>
      <c r="BY194" s="194">
        <f t="shared" si="459"/>
        <v>1845.45536225401</v>
      </c>
      <c r="BZ194" s="65">
        <f t="shared" si="460"/>
        <v>8.31127012522361</v>
      </c>
      <c r="CA194" s="65"/>
      <c r="CB194" s="65">
        <f t="shared" si="461"/>
        <v>330.771019677995</v>
      </c>
      <c r="CC194" s="194">
        <f t="shared" si="462"/>
        <v>1800.22127459749</v>
      </c>
      <c r="CD194" s="65">
        <f t="shared" si="463"/>
        <v>16.2611806797853</v>
      </c>
      <c r="CE194" s="65"/>
      <c r="CF194" s="65">
        <f t="shared" si="464"/>
        <v>314.50983899821</v>
      </c>
      <c r="CG194" s="194">
        <f t="shared" si="465"/>
        <v>1711.71979874776</v>
      </c>
      <c r="CH194" s="65">
        <f t="shared" si="466"/>
        <v>13.1896243291592</v>
      </c>
      <c r="CI194" s="65"/>
      <c r="CJ194" s="65">
        <f t="shared" si="467"/>
        <v>301.32021466905</v>
      </c>
      <c r="CK194" s="194">
        <f t="shared" si="468"/>
        <v>1711.71979874776</v>
      </c>
    </row>
    <row r="195" ht="14.0" customFormat="1" s="47">
      <c r="A195" s="47" t="s">
        <v>569</v>
      </c>
      <c r="B195" s="47" t="s">
        <v>699</v>
      </c>
      <c r="C195" s="47" t="s">
        <v>706</v>
      </c>
      <c r="D195" s="185" t="s">
        <v>707</v>
      </c>
      <c r="G195" s="47">
        <v>0.0</v>
      </c>
      <c r="H195" s="47">
        <v>0.0</v>
      </c>
      <c r="I195" s="47">
        <v>0.0</v>
      </c>
      <c r="J195" s="47">
        <v>0.0</v>
      </c>
      <c r="K195" s="47">
        <v>0.0</v>
      </c>
      <c r="L195" s="47">
        <v>0.0</v>
      </c>
      <c r="M195" s="47">
        <v>0.0</v>
      </c>
      <c r="N195" s="47">
        <v>0.0</v>
      </c>
      <c r="O195" s="47">
        <v>0.0</v>
      </c>
      <c r="P195" s="47">
        <v>0.0</v>
      </c>
      <c r="Q195" s="47">
        <v>0.0</v>
      </c>
      <c r="R195" s="47">
        <v>0.0</v>
      </c>
      <c r="S195" s="47">
        <v>0.0</v>
      </c>
      <c r="T195" s="47">
        <v>0.0</v>
      </c>
      <c r="U195" s="47">
        <v>0.0</v>
      </c>
      <c r="V195" s="47">
        <v>0.0</v>
      </c>
      <c r="W195" s="47">
        <v>0.0</v>
      </c>
      <c r="X195" s="47">
        <v>0.0</v>
      </c>
      <c r="Y195" s="47">
        <v>0.0</v>
      </c>
      <c r="Z195" s="47">
        <v>0.0</v>
      </c>
      <c r="AA195" s="47">
        <v>0.0</v>
      </c>
      <c r="AB195" s="47">
        <v>0.0</v>
      </c>
      <c r="AC195" s="47">
        <v>0.0</v>
      </c>
      <c r="AD195" s="47">
        <v>0.0</v>
      </c>
      <c r="AE195" s="47">
        <v>0.0</v>
      </c>
      <c r="AF195" s="47">
        <v>0.0</v>
      </c>
      <c r="AG195" s="47">
        <v>0.0</v>
      </c>
      <c r="AH195" s="47">
        <v>0.0</v>
      </c>
      <c r="AI195" s="47">
        <v>0.0</v>
      </c>
      <c r="AJ195" s="47">
        <v>0.0</v>
      </c>
      <c r="AK195" s="47">
        <v>0.0</v>
      </c>
      <c r="AL195" s="47">
        <v>0.0</v>
      </c>
      <c r="AM195" s="47">
        <v>0.0</v>
      </c>
      <c r="AN195" s="237">
        <v>8.0</v>
      </c>
      <c r="AO195" s="237">
        <v>12.0</v>
      </c>
      <c r="AP195" s="237">
        <v>24.0</v>
      </c>
      <c r="AQ195" s="231">
        <v>0.0</v>
      </c>
      <c r="AR195" s="231">
        <v>0.0</v>
      </c>
      <c r="AS195" s="231">
        <v>0.0</v>
      </c>
      <c r="AT195" s="69">
        <f t="shared" si="4"/>
        <v>44.0</v>
      </c>
      <c r="AU195" s="69">
        <f t="shared" si="371"/>
        <v>44.0</v>
      </c>
      <c r="AV195" s="69">
        <f t="shared" si="424"/>
        <v>48.4</v>
      </c>
      <c r="AW195" s="47">
        <f t="shared" si="442"/>
        <v>5.11627906976744</v>
      </c>
      <c r="AX195" s="47">
        <f t="shared" si="443"/>
        <v>5.50983899821109</v>
      </c>
      <c r="AY195" s="47">
        <f t="shared" si="444"/>
        <v>7.6350626118068</v>
      </c>
      <c r="AZ195" s="47">
        <f t="shared" si="445"/>
        <v>3.62075134168157</v>
      </c>
      <c r="BA195" s="47">
        <f t="shared" si="446"/>
        <v>7.08407871198569</v>
      </c>
      <c r="BB195" s="47">
        <f t="shared" si="447"/>
        <v>5.74597495527728</v>
      </c>
      <c r="BC195" s="64">
        <f t="shared" si="13"/>
        <v>34.7119856887299</v>
      </c>
      <c r="BD195" s="69">
        <f>VLOOKUP(D195,FEB23SOH,3,false)</f>
        <v>448.0</v>
      </c>
      <c r="BE195" s="201">
        <f>VLOOKUP(D195,VALUEFEB23,4,false)</f>
        <v>5.4425</v>
      </c>
      <c r="BF195" s="215">
        <f t="shared" si="431"/>
        <v>2438.24</v>
      </c>
      <c r="BG195" s="64"/>
      <c r="BH195" s="64"/>
      <c r="BI195" s="193">
        <f t="shared" si="448"/>
        <v>413.28801431127</v>
      </c>
      <c r="BJ195" s="217"/>
      <c r="BK195" s="186"/>
      <c r="BL195" s="103"/>
      <c r="BM195" s="95">
        <f t="shared" si="449"/>
        <v>448.0</v>
      </c>
      <c r="BN195" s="65">
        <f t="shared" si="450"/>
        <v>5.11627906976744</v>
      </c>
      <c r="BO195" s="65">
        <f t="shared" si="21"/>
      </c>
      <c r="BP195" s="65">
        <f t="shared" si="451"/>
        <v>442.883720930232</v>
      </c>
      <c r="BQ195" s="194">
        <f t="shared" si="452"/>
        <v>2410.39465116279</v>
      </c>
      <c r="BR195" s="65">
        <f t="shared" si="453"/>
        <v>5.50983899821109</v>
      </c>
      <c r="BS195" s="65">
        <f t="shared" si="25"/>
      </c>
      <c r="BT195" s="65">
        <f t="shared" si="454"/>
        <v>437.37388193202</v>
      </c>
      <c r="BU195" s="194">
        <f t="shared" si="455"/>
        <v>2380.40735241501</v>
      </c>
      <c r="BV195" s="65">
        <f t="shared" si="456"/>
        <v>7.6350626118068</v>
      </c>
      <c r="BW195" s="65">
        <f t="shared" si="457"/>
      </c>
      <c r="BX195" s="65">
        <f t="shared" si="458"/>
        <v>429.738819320213</v>
      </c>
      <c r="BY195" s="194">
        <f t="shared" si="459"/>
        <v>2338.85352415026</v>
      </c>
      <c r="BZ195" s="65">
        <f t="shared" si="460"/>
        <v>3.62075134168157</v>
      </c>
      <c r="CA195" s="65"/>
      <c r="CB195" s="65">
        <f t="shared" si="461"/>
        <v>426.118067978531</v>
      </c>
      <c r="CC195" s="194">
        <f t="shared" si="462"/>
        <v>2319.14758497315</v>
      </c>
      <c r="CD195" s="65">
        <f t="shared" si="463"/>
        <v>7.08407871198569</v>
      </c>
      <c r="CE195" s="65"/>
      <c r="CF195" s="65">
        <f t="shared" si="464"/>
        <v>419.033989266545</v>
      </c>
      <c r="CG195" s="194">
        <f t="shared" si="465"/>
        <v>2280.59248658317</v>
      </c>
      <c r="CH195" s="65">
        <f t="shared" si="466"/>
        <v>5.74597495527728</v>
      </c>
      <c r="CI195" s="65"/>
      <c r="CJ195" s="65">
        <f t="shared" si="467"/>
        <v>413.288014311268</v>
      </c>
      <c r="CK195" s="194">
        <f t="shared" si="468"/>
        <v>2280.59248658317</v>
      </c>
    </row>
    <row r="196" ht="14.0" customFormat="1" s="47">
      <c r="A196" s="47" t="s">
        <v>569</v>
      </c>
      <c r="B196" s="47" t="s">
        <v>699</v>
      </c>
      <c r="C196" s="47" t="s">
        <v>708</v>
      </c>
      <c r="D196" s="185" t="s">
        <v>709</v>
      </c>
      <c r="G196" s="47">
        <v>0.0</v>
      </c>
      <c r="H196" s="47">
        <v>0.0</v>
      </c>
      <c r="I196" s="47">
        <v>0.0</v>
      </c>
      <c r="J196" s="47">
        <v>0.0</v>
      </c>
      <c r="K196" s="47">
        <v>0.0</v>
      </c>
      <c r="L196" s="47">
        <v>0.0</v>
      </c>
      <c r="M196" s="47">
        <v>0.0</v>
      </c>
      <c r="N196" s="47">
        <v>0.0</v>
      </c>
      <c r="O196" s="47">
        <v>0.0</v>
      </c>
      <c r="P196" s="47">
        <v>0.0</v>
      </c>
      <c r="Q196" s="47">
        <v>0.0</v>
      </c>
      <c r="R196" s="47">
        <v>0.0</v>
      </c>
      <c r="S196" s="47">
        <v>0.0</v>
      </c>
      <c r="T196" s="47">
        <v>0.0</v>
      </c>
      <c r="U196" s="47">
        <v>0.0</v>
      </c>
      <c r="V196" s="47">
        <v>0.0</v>
      </c>
      <c r="W196" s="47">
        <v>0.0</v>
      </c>
      <c r="X196" s="47">
        <v>0.0</v>
      </c>
      <c r="Y196" s="47">
        <v>0.0</v>
      </c>
      <c r="Z196" s="47">
        <v>0.0</v>
      </c>
      <c r="AA196" s="47">
        <v>0.0</v>
      </c>
      <c r="AB196" s="47">
        <v>0.0</v>
      </c>
      <c r="AC196" s="47">
        <v>0.0</v>
      </c>
      <c r="AD196" s="47">
        <v>0.0</v>
      </c>
      <c r="AE196" s="47">
        <v>0.0</v>
      </c>
      <c r="AF196" s="47">
        <v>0.0</v>
      </c>
      <c r="AG196" s="47">
        <v>0.0</v>
      </c>
      <c r="AH196" s="47">
        <v>0.0</v>
      </c>
      <c r="AI196" s="47">
        <v>0.0</v>
      </c>
      <c r="AJ196" s="47">
        <v>0.0</v>
      </c>
      <c r="AK196" s="47">
        <v>0.0</v>
      </c>
      <c r="AL196" s="47">
        <v>0.0</v>
      </c>
      <c r="AM196" s="47">
        <v>0.0</v>
      </c>
      <c r="AN196" s="237">
        <v>36.0</v>
      </c>
      <c r="AO196" s="237">
        <v>32.0</v>
      </c>
      <c r="AP196" s="237">
        <v>12.0</v>
      </c>
      <c r="AQ196" s="231">
        <v>4.0</v>
      </c>
      <c r="AR196" s="231">
        <v>0.0</v>
      </c>
      <c r="AS196" s="231">
        <v>15.0</v>
      </c>
      <c r="AT196" s="69">
        <f t="shared" si="4"/>
        <v>99.0</v>
      </c>
      <c r="AU196" s="69">
        <f t="shared" si="371"/>
        <v>99.0</v>
      </c>
      <c r="AV196" s="69">
        <f t="shared" si="424"/>
        <v>108.9</v>
      </c>
      <c r="AW196" s="47">
        <f t="shared" si="442"/>
        <v>11.5116279069767</v>
      </c>
      <c r="AX196" s="47">
        <f t="shared" si="443"/>
        <v>12.397137745975</v>
      </c>
      <c r="AY196" s="47">
        <f t="shared" si="444"/>
        <v>17.1788908765652</v>
      </c>
      <c r="AZ196" s="47">
        <f t="shared" si="445"/>
        <v>8.14669051878354</v>
      </c>
      <c r="BA196" s="47">
        <f t="shared" si="446"/>
        <v>15.9391771019678</v>
      </c>
      <c r="BB196" s="47">
        <f t="shared" si="447"/>
        <v>12.9284436493739</v>
      </c>
      <c r="BC196" s="64">
        <f t="shared" si="13"/>
        <v>78.1019677996421</v>
      </c>
      <c r="BD196" s="69">
        <f>VLOOKUP(D196,FEB23SOH,3,false)</f>
        <v>396.0</v>
      </c>
      <c r="BE196" s="201">
        <f>VLOOKUP(D196,VALUEFEB23,4,false)</f>
        <v>5.4425</v>
      </c>
      <c r="BF196" s="215">
        <f t="shared" si="431"/>
        <v>2155.23</v>
      </c>
      <c r="BG196" s="64"/>
      <c r="BH196" s="64"/>
      <c r="BI196" s="193">
        <f t="shared" si="448"/>
        <v>317.89803220036</v>
      </c>
      <c r="BJ196" s="217"/>
      <c r="BK196" s="186"/>
      <c r="BL196" s="103"/>
      <c r="BM196" s="95">
        <f t="shared" si="449"/>
        <v>396.0</v>
      </c>
      <c r="BN196" s="65">
        <f t="shared" si="450"/>
        <v>11.5116279069767</v>
      </c>
      <c r="BO196" s="65">
        <f t="shared" si="21"/>
      </c>
      <c r="BP196" s="65">
        <f t="shared" si="451"/>
        <v>384.488372093023</v>
      </c>
      <c r="BQ196" s="194">
        <f t="shared" si="452"/>
        <v>2092.57796511628</v>
      </c>
      <c r="BR196" s="65">
        <f t="shared" si="453"/>
        <v>12.397137745975</v>
      </c>
      <c r="BS196" s="65">
        <f t="shared" si="25"/>
      </c>
      <c r="BT196" s="65">
        <f t="shared" si="454"/>
        <v>372.091234347048</v>
      </c>
      <c r="BU196" s="194">
        <f t="shared" si="455"/>
        <v>2025.1065429338</v>
      </c>
      <c r="BV196" s="65">
        <f t="shared" si="456"/>
        <v>17.1788908765652</v>
      </c>
      <c r="BW196" s="65">
        <f t="shared" si="457"/>
      </c>
      <c r="BX196" s="65">
        <f t="shared" si="458"/>
        <v>354.912343470482</v>
      </c>
      <c r="BY196" s="194">
        <f t="shared" si="459"/>
        <v>1931.6104293381</v>
      </c>
      <c r="BZ196" s="65">
        <f t="shared" si="460"/>
        <v>8.14669051878354</v>
      </c>
      <c r="CA196" s="65"/>
      <c r="CB196" s="65">
        <f t="shared" si="461"/>
        <v>346.765652951699</v>
      </c>
      <c r="CC196" s="194">
        <f t="shared" si="462"/>
        <v>1887.27206618962</v>
      </c>
      <c r="CD196" s="65">
        <f t="shared" si="463"/>
        <v>15.9391771019678</v>
      </c>
      <c r="CE196" s="65"/>
      <c r="CF196" s="65">
        <f t="shared" si="464"/>
        <v>330.826475849731</v>
      </c>
      <c r="CG196" s="194">
        <f t="shared" si="465"/>
        <v>1800.52309481216</v>
      </c>
      <c r="CH196" s="65">
        <f t="shared" si="466"/>
        <v>12.9284436493739</v>
      </c>
      <c r="CI196" s="65"/>
      <c r="CJ196" s="65">
        <f t="shared" si="467"/>
        <v>317.898032200357</v>
      </c>
      <c r="CK196" s="194">
        <f t="shared" si="468"/>
        <v>1800.52309481216</v>
      </c>
    </row>
    <row r="197" ht="14.0" customFormat="1" s="47">
      <c r="A197" s="47" t="s">
        <v>569</v>
      </c>
      <c r="B197" s="47" t="s">
        <v>699</v>
      </c>
      <c r="C197" s="47" t="s">
        <v>710</v>
      </c>
      <c r="D197" s="185" t="s">
        <v>711</v>
      </c>
      <c r="G197" s="47">
        <v>0.0</v>
      </c>
      <c r="H197" s="47">
        <v>0.0</v>
      </c>
      <c r="I197" s="47">
        <v>0.0</v>
      </c>
      <c r="J197" s="47">
        <v>0.0</v>
      </c>
      <c r="K197" s="47">
        <v>0.0</v>
      </c>
      <c r="L197" s="47">
        <v>0.0</v>
      </c>
      <c r="M197" s="47">
        <v>0.0</v>
      </c>
      <c r="N197" s="47">
        <v>0.0</v>
      </c>
      <c r="O197" s="47">
        <v>0.0</v>
      </c>
      <c r="P197" s="47">
        <v>0.0</v>
      </c>
      <c r="Q197" s="47">
        <v>0.0</v>
      </c>
      <c r="R197" s="47">
        <v>0.0</v>
      </c>
      <c r="S197" s="47">
        <v>0.0</v>
      </c>
      <c r="T197" s="47">
        <v>0.0</v>
      </c>
      <c r="U197" s="47">
        <v>0.0</v>
      </c>
      <c r="V197" s="47">
        <v>0.0</v>
      </c>
      <c r="W197" s="47">
        <v>0.0</v>
      </c>
      <c r="X197" s="47">
        <v>0.0</v>
      </c>
      <c r="Y197" s="47">
        <v>0.0</v>
      </c>
      <c r="Z197" s="47">
        <v>0.0</v>
      </c>
      <c r="AA197" s="47">
        <v>0.0</v>
      </c>
      <c r="AB197" s="47">
        <v>0.0</v>
      </c>
      <c r="AC197" s="47">
        <v>0.0</v>
      </c>
      <c r="AD197" s="47">
        <v>0.0</v>
      </c>
      <c r="AE197" s="47">
        <v>0.0</v>
      </c>
      <c r="AF197" s="47">
        <v>0.0</v>
      </c>
      <c r="AG197" s="47">
        <v>0.0</v>
      </c>
      <c r="AH197" s="47">
        <v>0.0</v>
      </c>
      <c r="AI197" s="47">
        <v>0.0</v>
      </c>
      <c r="AJ197" s="47">
        <v>0.0</v>
      </c>
      <c r="AK197" s="47">
        <v>0.0</v>
      </c>
      <c r="AL197" s="47">
        <v>0.0</v>
      </c>
      <c r="AM197" s="47">
        <v>0.0</v>
      </c>
      <c r="AN197" s="237">
        <v>52.0</v>
      </c>
      <c r="AO197" s="237">
        <v>44.0</v>
      </c>
      <c r="AP197" s="237">
        <v>52.0</v>
      </c>
      <c r="AQ197" s="231">
        <v>12.0</v>
      </c>
      <c r="AR197" s="231">
        <v>0.0</v>
      </c>
      <c r="AS197" s="231">
        <v>44.0</v>
      </c>
      <c r="AT197" s="69">
        <f t="shared" si="4"/>
        <v>204.0</v>
      </c>
      <c r="AU197" s="69">
        <f t="shared" si="371"/>
        <v>204.0</v>
      </c>
      <c r="AV197" s="69">
        <f t="shared" si="424"/>
        <v>224.4</v>
      </c>
      <c r="AW197" s="47">
        <f t="shared" si="442"/>
        <v>23.7209302325581</v>
      </c>
      <c r="AX197" s="47">
        <f t="shared" si="443"/>
        <v>25.5456171735241</v>
      </c>
      <c r="AY197" s="47">
        <f t="shared" si="444"/>
        <v>35.3989266547406</v>
      </c>
      <c r="AZ197" s="47">
        <f t="shared" si="445"/>
        <v>16.7871198568872</v>
      </c>
      <c r="BA197" s="47">
        <f t="shared" si="446"/>
        <v>32.8443649373881</v>
      </c>
      <c r="BB197" s="47">
        <f t="shared" si="447"/>
        <v>26.6404293381038</v>
      </c>
      <c r="BC197" s="64">
        <f t="shared" si="13"/>
        <v>160.937388193201</v>
      </c>
      <c r="BD197" s="69">
        <f>VLOOKUP(D197,FEB23SOH,3,false)</f>
        <v>288.0</v>
      </c>
      <c r="BE197" s="201">
        <f>VLOOKUP(D197,VALUEFEB23,4,false)</f>
        <v>5.4424</v>
      </c>
      <c r="BF197" s="215">
        <f t="shared" si="431"/>
        <v>1567.4112</v>
      </c>
      <c r="BG197" s="64"/>
      <c r="BH197" s="64"/>
      <c r="BI197" s="193">
        <f t="shared" si="448"/>
        <v>127.062611806799</v>
      </c>
      <c r="BJ197" s="217">
        <v>501.0</v>
      </c>
      <c r="BK197" s="185">
        <f>BI197*-1</f>
        <v>-127.062611806799</v>
      </c>
      <c r="BL197" s="103" t="s">
        <v>6</v>
      </c>
      <c r="BM197" s="95">
        <f t="shared" si="449"/>
        <v>288.0</v>
      </c>
      <c r="BN197" s="65">
        <f t="shared" si="450"/>
        <v>23.7209302325581</v>
      </c>
      <c r="BO197" s="65">
        <f t="shared" si="21"/>
      </c>
      <c r="BP197" s="65">
        <f t="shared" si="451"/>
        <v>264.279069767441</v>
      </c>
      <c r="BQ197" s="194">
        <f t="shared" si="452"/>
        <v>1438.31240930232</v>
      </c>
      <c r="BR197" s="65">
        <f t="shared" si="453"/>
        <v>25.5456171735241</v>
      </c>
      <c r="BS197" s="65">
        <f t="shared" si="25"/>
      </c>
      <c r="BT197" s="65">
        <f t="shared" si="454"/>
        <v>238.733452593917</v>
      </c>
      <c r="BU197" s="194">
        <f t="shared" si="455"/>
        <v>1299.28294239713</v>
      </c>
      <c r="BV197" s="65">
        <f t="shared" si="456"/>
        <v>35.3989266547406</v>
      </c>
      <c r="BW197" s="65">
        <f t="shared" si="457"/>
      </c>
      <c r="BX197" s="65">
        <f t="shared" si="458"/>
        <v>203.334525939176</v>
      </c>
      <c r="BY197" s="194">
        <f t="shared" si="459"/>
        <v>1106.62782397137</v>
      </c>
      <c r="BZ197" s="65">
        <f t="shared" si="460"/>
        <v>16.7871198568872</v>
      </c>
      <c r="CA197" s="65"/>
      <c r="CB197" s="65">
        <f t="shared" si="461"/>
        <v>186.547406082289</v>
      </c>
      <c r="CC197" s="194">
        <f t="shared" si="462"/>
        <v>1015.26560286224</v>
      </c>
      <c r="CD197" s="65">
        <f t="shared" si="463"/>
        <v>32.8443649373881</v>
      </c>
      <c r="CE197" s="65"/>
      <c r="CF197" s="65">
        <f t="shared" si="464"/>
        <v>153.7030411449</v>
      </c>
      <c r="CG197" s="194">
        <f t="shared" si="465"/>
        <v>836.513431127003</v>
      </c>
      <c r="CH197" s="65">
        <f t="shared" si="466"/>
        <v>26.6404293381038</v>
      </c>
      <c r="CI197" s="65"/>
      <c r="CJ197" s="65">
        <f t="shared" si="467"/>
        <v>127.062611806796</v>
      </c>
      <c r="CK197" s="194">
        <f t="shared" si="468"/>
        <v>836.513431127003</v>
      </c>
    </row>
    <row r="198" ht="14.0">
      <c r="A198" s="47" t="s">
        <v>569</v>
      </c>
      <c r="B198" s="47" t="s">
        <v>725</v>
      </c>
      <c r="C198" s="47" t="s">
        <v>726</v>
      </c>
      <c r="D198" s="185" t="s">
        <v>727</v>
      </c>
      <c r="AD198" s="47">
        <v>0.0</v>
      </c>
      <c r="AE198" s="47">
        <v>0.0</v>
      </c>
      <c r="AF198" s="47">
        <v>0.0</v>
      </c>
      <c r="AG198" s="47">
        <v>0.0</v>
      </c>
      <c r="AH198" s="47">
        <v>0.0</v>
      </c>
      <c r="AI198" s="47">
        <v>0.0</v>
      </c>
      <c r="AJ198" s="47">
        <v>0.0</v>
      </c>
      <c r="AK198" s="47">
        <v>0.0</v>
      </c>
      <c r="AL198" s="47">
        <v>0.0</v>
      </c>
      <c r="AM198" s="47">
        <v>0.0</v>
      </c>
      <c r="AN198" s="237">
        <v>0.0</v>
      </c>
      <c r="AO198" s="237">
        <v>16.0</v>
      </c>
      <c r="AP198" s="237">
        <v>8.0</v>
      </c>
      <c r="AQ198" s="231">
        <v>8.0</v>
      </c>
      <c r="AR198" s="231">
        <v>8.0</v>
      </c>
      <c r="AS198" s="231">
        <v>15.0</v>
      </c>
      <c r="AT198" s="69">
        <f t="shared" si="4"/>
        <v>55.0</v>
      </c>
      <c r="AU198" s="69">
        <f t="shared" si="371"/>
        <v>55.0</v>
      </c>
      <c r="AV198" s="69">
        <f t="shared" si="424"/>
        <v>60.5</v>
      </c>
      <c r="AW198" s="65">
        <f t="shared" ref="AW198:AW204" si="475">AVERAGE(AO198:AS198)*1.1</f>
        <v>12.1</v>
      </c>
      <c r="AX198" s="65">
        <f t="shared" ref="AX198:AX237" si="476">AW198</f>
        <v>12.1</v>
      </c>
      <c r="AY198" s="65">
        <f t="shared" ref="AY198:AY237" si="477">AX198</f>
        <v>12.1</v>
      </c>
      <c r="AZ198" s="65">
        <f t="shared" ref="AZ198:AZ237" si="478">AY198</f>
        <v>12.1</v>
      </c>
      <c r="BA198" s="65">
        <f t="shared" ref="BA198:BA237" si="479">AZ198</f>
        <v>12.1</v>
      </c>
      <c r="BB198" s="65">
        <f t="shared" ref="BB198:BB237" si="480">BA198</f>
        <v>12.1</v>
      </c>
      <c r="BC198" s="64">
        <f t="shared" si="13"/>
        <v>72.6</v>
      </c>
      <c r="BD198" s="69">
        <f>VLOOKUP(D198,FEB23SOH,3,false)</f>
        <v>956.0</v>
      </c>
      <c r="BE198" s="201">
        <f>VLOOKUP(D198,VALUEFEB23,4,false)</f>
        <v>2.4975</v>
      </c>
      <c r="BF198" s="215">
        <f t="shared" si="431"/>
        <v>2387.61</v>
      </c>
      <c r="BI198" s="193">
        <f t="shared" si="448"/>
        <v>883.4</v>
      </c>
      <c r="BK198" s="186"/>
      <c r="BL198" s="103"/>
      <c r="BM198" s="95">
        <f t="shared" si="449"/>
        <v>956.0</v>
      </c>
      <c r="BN198" s="65">
        <f t="shared" si="450"/>
        <v>12.1</v>
      </c>
      <c r="BO198" s="65">
        <f t="shared" si="21"/>
      </c>
      <c r="BP198" s="65">
        <f t="shared" si="451"/>
        <v>943.9</v>
      </c>
      <c r="BQ198" s="194">
        <f t="shared" si="452"/>
        <v>2357.39025</v>
      </c>
      <c r="BR198" s="65">
        <f t="shared" si="453"/>
        <v>12.1</v>
      </c>
      <c r="BS198" s="65">
        <f t="shared" si="25"/>
      </c>
      <c r="BT198" s="65">
        <f t="shared" si="454"/>
        <v>931.8</v>
      </c>
      <c r="BU198" s="194">
        <f t="shared" si="455"/>
        <v>2327.1705</v>
      </c>
      <c r="BV198" s="65">
        <f t="shared" si="456"/>
        <v>12.1</v>
      </c>
      <c r="BW198" s="65">
        <f t="shared" si="457"/>
      </c>
      <c r="BX198" s="65">
        <f t="shared" si="458"/>
        <v>919.7</v>
      </c>
      <c r="BY198" s="194">
        <f t="shared" si="459"/>
        <v>2296.95075</v>
      </c>
      <c r="BZ198" s="65">
        <f t="shared" si="460"/>
        <v>12.1</v>
      </c>
      <c r="CA198" s="65"/>
      <c r="CB198" s="65">
        <f t="shared" si="461"/>
        <v>907.6</v>
      </c>
      <c r="CC198" s="194">
        <f t="shared" si="462"/>
        <v>2266.731</v>
      </c>
      <c r="CD198" s="65">
        <f t="shared" si="463"/>
        <v>12.1</v>
      </c>
      <c r="CE198" s="65"/>
      <c r="CF198" s="65">
        <f t="shared" si="464"/>
        <v>895.5</v>
      </c>
      <c r="CG198" s="194">
        <f t="shared" si="465"/>
        <v>2236.51125</v>
      </c>
      <c r="CH198" s="65">
        <f t="shared" si="466"/>
        <v>12.1</v>
      </c>
      <c r="CI198" s="65"/>
      <c r="CJ198" s="65">
        <f t="shared" si="467"/>
        <v>883.4</v>
      </c>
      <c r="CK198" s="194">
        <f t="shared" si="468"/>
        <v>2236.51125</v>
      </c>
    </row>
    <row r="199" ht="14.0">
      <c r="A199" s="47" t="s">
        <v>569</v>
      </c>
      <c r="B199" s="47" t="s">
        <v>725</v>
      </c>
      <c r="C199" s="47" t="s">
        <v>728</v>
      </c>
      <c r="D199" s="185" t="s">
        <v>729</v>
      </c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D199" s="47">
        <v>0.0</v>
      </c>
      <c r="AE199" s="47">
        <v>0.0</v>
      </c>
      <c r="AF199" s="47">
        <v>0.0</v>
      </c>
      <c r="AG199" s="47">
        <v>0.0</v>
      </c>
      <c r="AH199" s="47">
        <v>0.0</v>
      </c>
      <c r="AI199" s="47">
        <v>0.0</v>
      </c>
      <c r="AJ199" s="47">
        <v>0.0</v>
      </c>
      <c r="AK199" s="47">
        <v>0.0</v>
      </c>
      <c r="AL199" s="47">
        <v>0.0</v>
      </c>
      <c r="AM199" s="47">
        <v>0.0</v>
      </c>
      <c r="AN199" s="237">
        <v>0.0</v>
      </c>
      <c r="AO199" s="237">
        <v>28.0</v>
      </c>
      <c r="AP199" s="237">
        <v>16.0</v>
      </c>
      <c r="AQ199" s="231">
        <v>20.0</v>
      </c>
      <c r="AR199" s="231">
        <v>12.0</v>
      </c>
      <c r="AS199" s="231">
        <v>5.0</v>
      </c>
      <c r="AT199" s="69">
        <f t="shared" si="4"/>
        <v>81.0</v>
      </c>
      <c r="AU199" s="69">
        <f t="shared" si="371"/>
        <v>81.0</v>
      </c>
      <c r="AV199" s="69">
        <f t="shared" si="424"/>
        <v>89.1</v>
      </c>
      <c r="AW199" s="65">
        <f t="shared" si="475"/>
        <v>17.82</v>
      </c>
      <c r="AX199" s="65">
        <f t="shared" si="476"/>
        <v>17.82</v>
      </c>
      <c r="AY199" s="65">
        <f t="shared" si="477"/>
        <v>17.82</v>
      </c>
      <c r="AZ199" s="65">
        <f t="shared" si="478"/>
        <v>17.82</v>
      </c>
      <c r="BA199" s="65">
        <f t="shared" si="479"/>
        <v>17.82</v>
      </c>
      <c r="BB199" s="65">
        <f t="shared" si="480"/>
        <v>17.82</v>
      </c>
      <c r="BC199" s="64">
        <f t="shared" si="13"/>
        <v>106.92</v>
      </c>
      <c r="BD199" s="69">
        <f>VLOOKUP(D199,FEB23SOH,3,false)</f>
        <v>908.0</v>
      </c>
      <c r="BE199" s="201">
        <f>VLOOKUP(D199,VALUEFEB23,4,false)</f>
        <v>2.4975</v>
      </c>
      <c r="BF199" s="215">
        <f t="shared" si="431"/>
        <v>2267.73</v>
      </c>
      <c r="BI199" s="193">
        <f t="shared" si="448"/>
        <v>801.08</v>
      </c>
      <c r="BK199" s="186"/>
      <c r="BL199" s="103"/>
      <c r="BM199" s="95">
        <f t="shared" si="449"/>
        <v>908.0</v>
      </c>
      <c r="BN199" s="65">
        <f t="shared" si="450"/>
        <v>17.82</v>
      </c>
      <c r="BO199" s="65">
        <f t="shared" si="21"/>
      </c>
      <c r="BP199" s="65">
        <f t="shared" si="451"/>
        <v>890.18</v>
      </c>
      <c r="BQ199" s="194">
        <f t="shared" si="452"/>
        <v>2223.22455</v>
      </c>
      <c r="BR199" s="65">
        <f t="shared" si="453"/>
        <v>17.82</v>
      </c>
      <c r="BS199" s="65">
        <f t="shared" si="25"/>
      </c>
      <c r="BT199" s="65">
        <f t="shared" si="454"/>
        <v>872.36</v>
      </c>
      <c r="BU199" s="194">
        <f t="shared" si="455"/>
        <v>2178.7191</v>
      </c>
      <c r="BV199" s="65">
        <f t="shared" si="456"/>
        <v>17.82</v>
      </c>
      <c r="BW199" s="65">
        <f t="shared" si="457"/>
      </c>
      <c r="BX199" s="65">
        <f t="shared" si="458"/>
        <v>854.54</v>
      </c>
      <c r="BY199" s="194">
        <f t="shared" si="459"/>
        <v>2134.21365</v>
      </c>
      <c r="BZ199" s="65">
        <f t="shared" si="460"/>
        <v>17.82</v>
      </c>
      <c r="CA199" s="65"/>
      <c r="CB199" s="65">
        <f t="shared" si="461"/>
        <v>836.72</v>
      </c>
      <c r="CC199" s="194">
        <f t="shared" si="462"/>
        <v>2089.7082</v>
      </c>
      <c r="CD199" s="65">
        <f t="shared" si="463"/>
        <v>17.82</v>
      </c>
      <c r="CE199" s="65"/>
      <c r="CF199" s="65">
        <f t="shared" si="464"/>
        <v>818.9</v>
      </c>
      <c r="CG199" s="194">
        <f t="shared" si="465"/>
        <v>2045.20275</v>
      </c>
      <c r="CH199" s="65">
        <f t="shared" si="466"/>
        <v>17.82</v>
      </c>
      <c r="CI199" s="65"/>
      <c r="CJ199" s="65">
        <f t="shared" si="467"/>
        <v>801.08</v>
      </c>
      <c r="CK199" s="194">
        <f t="shared" si="468"/>
        <v>2045.20275</v>
      </c>
    </row>
    <row r="200" ht="14.0">
      <c r="A200" s="47" t="s">
        <v>569</v>
      </c>
      <c r="B200" s="47" t="s">
        <v>725</v>
      </c>
      <c r="C200" s="47" t="s">
        <v>730</v>
      </c>
      <c r="D200" s="185" t="s">
        <v>731</v>
      </c>
      <c r="AD200" s="47">
        <v>0.0</v>
      </c>
      <c r="AE200" s="47">
        <v>0.0</v>
      </c>
      <c r="AF200" s="47">
        <v>0.0</v>
      </c>
      <c r="AG200" s="47">
        <v>0.0</v>
      </c>
      <c r="AH200" s="47">
        <v>0.0</v>
      </c>
      <c r="AI200" s="47">
        <v>0.0</v>
      </c>
      <c r="AJ200" s="47">
        <v>0.0</v>
      </c>
      <c r="AK200" s="47">
        <v>0.0</v>
      </c>
      <c r="AL200" s="47">
        <v>0.0</v>
      </c>
      <c r="AM200" s="47">
        <v>0.0</v>
      </c>
      <c r="AN200" s="237">
        <v>0.0</v>
      </c>
      <c r="AO200" s="237">
        <v>33.0</v>
      </c>
      <c r="AP200" s="237">
        <v>48.0</v>
      </c>
      <c r="AQ200" s="231">
        <v>56.0</v>
      </c>
      <c r="AR200" s="231">
        <v>12.0</v>
      </c>
      <c r="AS200" s="231">
        <v>19.0</v>
      </c>
      <c r="AT200" s="69">
        <f t="shared" si="4"/>
        <v>168.0</v>
      </c>
      <c r="AU200" s="69">
        <f t="shared" si="371"/>
        <v>168.0</v>
      </c>
      <c r="AV200" s="69">
        <f t="shared" si="424"/>
        <v>184.8</v>
      </c>
      <c r="AW200" s="65">
        <f t="shared" si="475"/>
        <v>36.96</v>
      </c>
      <c r="AX200" s="65">
        <f t="shared" si="476"/>
        <v>36.96</v>
      </c>
      <c r="AY200" s="65">
        <f t="shared" si="477"/>
        <v>36.96</v>
      </c>
      <c r="AZ200" s="65">
        <f t="shared" si="478"/>
        <v>36.96</v>
      </c>
      <c r="BA200" s="65">
        <f t="shared" si="479"/>
        <v>36.96</v>
      </c>
      <c r="BB200" s="65">
        <f t="shared" si="480"/>
        <v>36.96</v>
      </c>
      <c r="BC200" s="64">
        <f t="shared" si="13"/>
        <v>221.76</v>
      </c>
      <c r="BD200" s="69">
        <f>VLOOKUP(D200,FEB23SOH,3,false)</f>
        <v>827.0</v>
      </c>
      <c r="BE200" s="201">
        <f>VLOOKUP(D200,VALUEFEB23,4,false)</f>
        <v>2.4975</v>
      </c>
      <c r="BF200" s="215">
        <f t="shared" si="431"/>
        <v>2065.4325</v>
      </c>
      <c r="BI200" s="193">
        <f t="shared" si="448"/>
        <v>605.24</v>
      </c>
      <c r="BK200" s="186"/>
      <c r="BL200" s="103"/>
      <c r="BM200" s="95">
        <f t="shared" si="449"/>
        <v>827.0</v>
      </c>
      <c r="BN200" s="65">
        <f t="shared" si="450"/>
        <v>36.96</v>
      </c>
      <c r="BO200" s="65">
        <f t="shared" si="21"/>
      </c>
      <c r="BP200" s="65">
        <f t="shared" si="451"/>
        <v>790.04</v>
      </c>
      <c r="BQ200" s="194">
        <f t="shared" si="452"/>
        <v>1973.1249</v>
      </c>
      <c r="BR200" s="65">
        <f t="shared" si="453"/>
        <v>36.96</v>
      </c>
      <c r="BS200" s="65">
        <f t="shared" si="25"/>
      </c>
      <c r="BT200" s="65">
        <f t="shared" si="454"/>
        <v>753.08</v>
      </c>
      <c r="BU200" s="194">
        <f t="shared" si="455"/>
        <v>1880.8173</v>
      </c>
      <c r="BV200" s="65">
        <f t="shared" si="456"/>
        <v>36.96</v>
      </c>
      <c r="BW200" s="65">
        <f t="shared" si="457"/>
      </c>
      <c r="BX200" s="65">
        <f t="shared" si="458"/>
        <v>716.12</v>
      </c>
      <c r="BY200" s="194">
        <f t="shared" si="459"/>
        <v>1788.5097</v>
      </c>
      <c r="BZ200" s="65">
        <f t="shared" si="460"/>
        <v>36.96</v>
      </c>
      <c r="CA200" s="65"/>
      <c r="CB200" s="65">
        <f t="shared" si="461"/>
        <v>679.16</v>
      </c>
      <c r="CC200" s="194">
        <f t="shared" si="462"/>
        <v>1696.2021</v>
      </c>
      <c r="CD200" s="65">
        <f t="shared" si="463"/>
        <v>36.96</v>
      </c>
      <c r="CE200" s="65"/>
      <c r="CF200" s="65">
        <f t="shared" si="464"/>
        <v>642.2</v>
      </c>
      <c r="CG200" s="194">
        <f t="shared" si="465"/>
        <v>1603.8945</v>
      </c>
      <c r="CH200" s="65">
        <f t="shared" si="466"/>
        <v>36.96</v>
      </c>
      <c r="CI200" s="65"/>
      <c r="CJ200" s="65">
        <f t="shared" si="467"/>
        <v>605.24</v>
      </c>
      <c r="CK200" s="194">
        <f t="shared" si="468"/>
        <v>1603.8945</v>
      </c>
    </row>
    <row r="201" ht="14.0">
      <c r="A201" s="47" t="s">
        <v>569</v>
      </c>
      <c r="B201" s="47" t="s">
        <v>725</v>
      </c>
      <c r="C201" s="47" t="s">
        <v>732</v>
      </c>
      <c r="D201" s="185" t="s">
        <v>733</v>
      </c>
      <c r="AD201" s="47">
        <v>0.0</v>
      </c>
      <c r="AE201" s="47">
        <v>0.0</v>
      </c>
      <c r="AF201" s="47">
        <v>0.0</v>
      </c>
      <c r="AG201" s="47">
        <v>0.0</v>
      </c>
      <c r="AH201" s="47">
        <v>0.0</v>
      </c>
      <c r="AI201" s="47">
        <v>0.0</v>
      </c>
      <c r="AJ201" s="47">
        <v>0.0</v>
      </c>
      <c r="AK201" s="47">
        <v>0.0</v>
      </c>
      <c r="AL201" s="47">
        <v>0.0</v>
      </c>
      <c r="AM201" s="47">
        <v>0.0</v>
      </c>
      <c r="AN201" s="237">
        <v>0.0</v>
      </c>
      <c r="AO201" s="237">
        <v>20.0</v>
      </c>
      <c r="AP201" s="237">
        <v>8.0</v>
      </c>
      <c r="AQ201" s="231">
        <v>12.0</v>
      </c>
      <c r="AR201" s="231">
        <v>12.0</v>
      </c>
      <c r="AS201" s="231">
        <v>5.0</v>
      </c>
      <c r="AT201" s="69">
        <f t="shared" si="4"/>
        <v>57.0</v>
      </c>
      <c r="AU201" s="69">
        <f t="shared" si="371"/>
        <v>57.0</v>
      </c>
      <c r="AV201" s="69">
        <f t="shared" si="424"/>
        <v>62.7</v>
      </c>
      <c r="AW201" s="65">
        <f t="shared" si="475"/>
        <v>12.54</v>
      </c>
      <c r="AX201" s="65">
        <f t="shared" si="476"/>
        <v>12.54</v>
      </c>
      <c r="AY201" s="65">
        <f t="shared" si="477"/>
        <v>12.54</v>
      </c>
      <c r="AZ201" s="65">
        <f t="shared" si="478"/>
        <v>12.54</v>
      </c>
      <c r="BA201" s="65">
        <f t="shared" si="479"/>
        <v>12.54</v>
      </c>
      <c r="BB201" s="65">
        <f t="shared" si="480"/>
        <v>12.54</v>
      </c>
      <c r="BC201" s="64">
        <f t="shared" si="13"/>
        <v>75.24</v>
      </c>
      <c r="BD201" s="69">
        <f>VLOOKUP(D201,FEB23SOH,3,false)</f>
        <v>948.0</v>
      </c>
      <c r="BE201" s="201">
        <f>VLOOKUP(D201,VALUEFEB23,4,false)</f>
        <v>1.3332</v>
      </c>
      <c r="BF201" s="215">
        <f t="shared" si="431"/>
        <v>1263.8736</v>
      </c>
      <c r="BI201" s="193">
        <f t="shared" si="448"/>
        <v>872.76</v>
      </c>
      <c r="BK201" s="186"/>
      <c r="BL201" s="103"/>
      <c r="BM201" s="95">
        <f t="shared" si="449"/>
        <v>948.0</v>
      </c>
      <c r="BN201" s="65">
        <f t="shared" si="450"/>
        <v>12.54</v>
      </c>
      <c r="BO201" s="65">
        <f t="shared" si="21"/>
      </c>
      <c r="BP201" s="65">
        <f t="shared" si="451"/>
        <v>935.46</v>
      </c>
      <c r="BQ201" s="194">
        <f t="shared" si="452"/>
        <v>1247.155272</v>
      </c>
      <c r="BR201" s="65">
        <f t="shared" si="453"/>
        <v>12.54</v>
      </c>
      <c r="BS201" s="65">
        <f t="shared" si="25"/>
      </c>
      <c r="BT201" s="65">
        <f t="shared" si="454"/>
        <v>922.92</v>
      </c>
      <c r="BU201" s="194">
        <f t="shared" si="455"/>
        <v>1230.436944</v>
      </c>
      <c r="BV201" s="65">
        <f t="shared" si="456"/>
        <v>12.54</v>
      </c>
      <c r="BW201" s="65">
        <f t="shared" si="457"/>
      </c>
      <c r="BX201" s="65">
        <f t="shared" si="458"/>
        <v>910.38</v>
      </c>
      <c r="BY201" s="194">
        <f t="shared" si="459"/>
        <v>1213.718616</v>
      </c>
      <c r="BZ201" s="65">
        <f t="shared" si="460"/>
        <v>12.54</v>
      </c>
      <c r="CA201" s="65"/>
      <c r="CB201" s="65">
        <f t="shared" si="461"/>
        <v>897.84</v>
      </c>
      <c r="CC201" s="194">
        <f t="shared" si="462"/>
        <v>1197.000288</v>
      </c>
      <c r="CD201" s="65">
        <f t="shared" si="463"/>
        <v>12.54</v>
      </c>
      <c r="CE201" s="65"/>
      <c r="CF201" s="65">
        <f t="shared" si="464"/>
        <v>885.3</v>
      </c>
      <c r="CG201" s="194">
        <f t="shared" si="465"/>
        <v>1180.28196</v>
      </c>
      <c r="CH201" s="65">
        <f t="shared" si="466"/>
        <v>12.54</v>
      </c>
      <c r="CI201" s="65"/>
      <c r="CJ201" s="65">
        <f t="shared" si="467"/>
        <v>872.76</v>
      </c>
      <c r="CK201" s="194">
        <f t="shared" si="468"/>
        <v>1180.28196</v>
      </c>
    </row>
    <row r="202" ht="14.0">
      <c r="A202" s="47" t="s">
        <v>569</v>
      </c>
      <c r="B202" s="47" t="s">
        <v>725</v>
      </c>
      <c r="C202" s="47" t="s">
        <v>734</v>
      </c>
      <c r="D202" s="185" t="s">
        <v>735</v>
      </c>
      <c r="AD202" s="47">
        <v>0.0</v>
      </c>
      <c r="AE202" s="47">
        <v>0.0</v>
      </c>
      <c r="AF202" s="47">
        <v>0.0</v>
      </c>
      <c r="AG202" s="47">
        <v>0.0</v>
      </c>
      <c r="AH202" s="47">
        <v>0.0</v>
      </c>
      <c r="AI202" s="47">
        <v>0.0</v>
      </c>
      <c r="AJ202" s="47">
        <v>0.0</v>
      </c>
      <c r="AK202" s="47">
        <v>0.0</v>
      </c>
      <c r="AL202" s="47">
        <v>0.0</v>
      </c>
      <c r="AM202" s="47">
        <v>0.0</v>
      </c>
      <c r="AN202" s="237">
        <v>0.0</v>
      </c>
      <c r="AO202" s="237">
        <v>44.0</v>
      </c>
      <c r="AP202" s="237">
        <v>28.0</v>
      </c>
      <c r="AQ202" s="231">
        <v>12.0</v>
      </c>
      <c r="AR202" s="231">
        <v>16.0</v>
      </c>
      <c r="AS202" s="231">
        <v>24.0</v>
      </c>
      <c r="AT202" s="69">
        <f t="shared" si="4"/>
        <v>124.0</v>
      </c>
      <c r="AU202" s="69">
        <f t="shared" si="371"/>
        <v>124.0</v>
      </c>
      <c r="AV202" s="69">
        <f t="shared" si="424"/>
        <v>136.4</v>
      </c>
      <c r="AW202" s="65">
        <f t="shared" si="475"/>
        <v>27.28</v>
      </c>
      <c r="AX202" s="65">
        <f t="shared" si="476"/>
        <v>27.28</v>
      </c>
      <c r="AY202" s="65">
        <f t="shared" si="477"/>
        <v>27.28</v>
      </c>
      <c r="AZ202" s="65">
        <f t="shared" si="478"/>
        <v>27.28</v>
      </c>
      <c r="BA202" s="65">
        <f t="shared" si="479"/>
        <v>27.28</v>
      </c>
      <c r="BB202" s="65">
        <f t="shared" si="480"/>
        <v>27.28</v>
      </c>
      <c r="BC202" s="64">
        <f t="shared" si="13"/>
        <v>163.68</v>
      </c>
      <c r="BD202" s="69">
        <f>VLOOKUP(D202,FEB23SOH,3,false)</f>
        <v>868.0</v>
      </c>
      <c r="BE202" s="201">
        <f>VLOOKUP(D202,VALUEFEB23,4,false)</f>
        <v>1.3332</v>
      </c>
      <c r="BF202" s="215">
        <f t="shared" si="431"/>
        <v>1157.2176</v>
      </c>
      <c r="BI202" s="193">
        <f t="shared" si="448"/>
        <v>704.32</v>
      </c>
      <c r="BK202" s="186"/>
      <c r="BL202" s="103"/>
      <c r="BM202" s="95">
        <f t="shared" si="449"/>
        <v>868.0</v>
      </c>
      <c r="BN202" s="65">
        <f t="shared" si="450"/>
        <v>27.28</v>
      </c>
      <c r="BO202" s="65">
        <f t="shared" si="21"/>
      </c>
      <c r="BP202" s="65">
        <f t="shared" si="451"/>
        <v>840.72</v>
      </c>
      <c r="BQ202" s="194">
        <f t="shared" si="452"/>
        <v>1120.847904</v>
      </c>
      <c r="BR202" s="65">
        <f t="shared" si="453"/>
        <v>27.28</v>
      </c>
      <c r="BS202" s="65">
        <f t="shared" si="25"/>
      </c>
      <c r="BT202" s="65">
        <f t="shared" si="454"/>
        <v>813.44</v>
      </c>
      <c r="BU202" s="194">
        <f t="shared" si="455"/>
        <v>1084.478208</v>
      </c>
      <c r="BV202" s="65">
        <f t="shared" si="456"/>
        <v>27.28</v>
      </c>
      <c r="BW202" s="65">
        <f t="shared" si="457"/>
      </c>
      <c r="BX202" s="65">
        <f t="shared" si="458"/>
        <v>786.16</v>
      </c>
      <c r="BY202" s="194">
        <f t="shared" si="459"/>
        <v>1048.108512</v>
      </c>
      <c r="BZ202" s="65">
        <f t="shared" si="460"/>
        <v>27.28</v>
      </c>
      <c r="CA202" s="65"/>
      <c r="CB202" s="65">
        <f t="shared" si="461"/>
        <v>758.88</v>
      </c>
      <c r="CC202" s="194">
        <f t="shared" si="462"/>
        <v>1011.738816</v>
      </c>
      <c r="CD202" s="65">
        <f t="shared" si="463"/>
        <v>27.28</v>
      </c>
      <c r="CE202" s="65"/>
      <c r="CF202" s="65">
        <f t="shared" si="464"/>
        <v>731.6</v>
      </c>
      <c r="CG202" s="194">
        <f t="shared" si="465"/>
        <v>975.36912</v>
      </c>
      <c r="CH202" s="65">
        <f t="shared" si="466"/>
        <v>27.28</v>
      </c>
      <c r="CI202" s="65"/>
      <c r="CJ202" s="65">
        <f t="shared" si="467"/>
        <v>704.32</v>
      </c>
      <c r="CK202" s="194">
        <f t="shared" si="468"/>
        <v>975.36912</v>
      </c>
    </row>
    <row r="203" ht="14.0">
      <c r="A203" s="47" t="s">
        <v>569</v>
      </c>
      <c r="B203" s="47" t="s">
        <v>725</v>
      </c>
      <c r="C203" s="47" t="s">
        <v>736</v>
      </c>
      <c r="D203" s="185" t="s">
        <v>737</v>
      </c>
      <c r="AD203" s="47">
        <v>0.0</v>
      </c>
      <c r="AE203" s="47">
        <v>0.0</v>
      </c>
      <c r="AF203" s="47">
        <v>0.0</v>
      </c>
      <c r="AG203" s="47">
        <v>0.0</v>
      </c>
      <c r="AH203" s="47">
        <v>0.0</v>
      </c>
      <c r="AI203" s="47">
        <v>0.0</v>
      </c>
      <c r="AJ203" s="47">
        <v>0.0</v>
      </c>
      <c r="AK203" s="47">
        <v>0.0</v>
      </c>
      <c r="AL203" s="47">
        <v>0.0</v>
      </c>
      <c r="AM203" s="47">
        <v>0.0</v>
      </c>
      <c r="AN203" s="237">
        <v>0.0</v>
      </c>
      <c r="AO203" s="237">
        <v>85.0</v>
      </c>
      <c r="AP203" s="237">
        <v>60.0</v>
      </c>
      <c r="AQ203" s="231">
        <v>36.0</v>
      </c>
      <c r="AR203" s="231">
        <v>32.0</v>
      </c>
      <c r="AS203" s="231">
        <v>54.0</v>
      </c>
      <c r="AT203" s="69">
        <f t="shared" si="4"/>
        <v>267.0</v>
      </c>
      <c r="AU203" s="69">
        <f t="shared" si="371"/>
        <v>267.0</v>
      </c>
      <c r="AV203" s="69">
        <f t="shared" si="424"/>
        <v>293.7</v>
      </c>
      <c r="AW203" s="65">
        <f t="shared" si="475"/>
        <v>58.74</v>
      </c>
      <c r="AX203" s="65">
        <f t="shared" si="476"/>
        <v>58.74</v>
      </c>
      <c r="AY203" s="65">
        <f t="shared" si="477"/>
        <v>58.74</v>
      </c>
      <c r="AZ203" s="65">
        <f t="shared" si="478"/>
        <v>58.74</v>
      </c>
      <c r="BA203" s="65">
        <f t="shared" si="479"/>
        <v>58.74</v>
      </c>
      <c r="BB203" s="65">
        <f t="shared" si="480"/>
        <v>58.74</v>
      </c>
      <c r="BC203" s="64">
        <f t="shared" si="13"/>
        <v>352.44</v>
      </c>
      <c r="BD203" s="69">
        <f>VLOOKUP(D203,FEB23SOH,3,false)</f>
        <v>723.0</v>
      </c>
      <c r="BE203" s="201">
        <f>VLOOKUP(D203,VALUEFEB23,4,false)</f>
        <v>1.3333</v>
      </c>
      <c r="BF203" s="215">
        <f t="shared" si="431"/>
        <v>963.9759</v>
      </c>
      <c r="BI203" s="193">
        <f t="shared" si="448"/>
        <v>370.56</v>
      </c>
      <c r="BK203" s="186"/>
      <c r="BL203" s="103"/>
      <c r="BM203" s="95">
        <f t="shared" si="449"/>
        <v>723.0</v>
      </c>
      <c r="BN203" s="65">
        <f t="shared" si="450"/>
        <v>58.74</v>
      </c>
      <c r="BO203" s="65">
        <f t="shared" si="21"/>
      </c>
      <c r="BP203" s="65">
        <f t="shared" si="451"/>
        <v>664.26</v>
      </c>
      <c r="BQ203" s="194">
        <f t="shared" si="452"/>
        <v>885.657858</v>
      </c>
      <c r="BR203" s="65">
        <f t="shared" si="453"/>
        <v>58.74</v>
      </c>
      <c r="BS203" s="65">
        <f t="shared" si="25"/>
      </c>
      <c r="BT203" s="65">
        <f t="shared" si="454"/>
        <v>605.52</v>
      </c>
      <c r="BU203" s="194">
        <f t="shared" si="455"/>
        <v>807.339816</v>
      </c>
      <c r="BV203" s="65">
        <f t="shared" si="456"/>
        <v>58.74</v>
      </c>
      <c r="BW203" s="65">
        <f t="shared" si="457"/>
      </c>
      <c r="BX203" s="65">
        <f t="shared" si="458"/>
        <v>546.78</v>
      </c>
      <c r="BY203" s="194">
        <f t="shared" si="459"/>
        <v>729.021774</v>
      </c>
      <c r="BZ203" s="65">
        <f t="shared" si="460"/>
        <v>58.74</v>
      </c>
      <c r="CA203" s="65"/>
      <c r="CB203" s="65">
        <f t="shared" si="461"/>
        <v>488.04</v>
      </c>
      <c r="CC203" s="194">
        <f t="shared" si="462"/>
        <v>650.703732</v>
      </c>
      <c r="CD203" s="65">
        <f t="shared" si="463"/>
        <v>58.74</v>
      </c>
      <c r="CE203" s="65"/>
      <c r="CF203" s="65">
        <f t="shared" si="464"/>
        <v>429.3</v>
      </c>
      <c r="CG203" s="194">
        <f t="shared" si="465"/>
        <v>572.38569</v>
      </c>
      <c r="CH203" s="65">
        <f t="shared" si="466"/>
        <v>58.74</v>
      </c>
      <c r="CI203" s="65"/>
      <c r="CJ203" s="65">
        <f t="shared" si="467"/>
        <v>370.56</v>
      </c>
      <c r="CK203" s="194">
        <f t="shared" si="468"/>
        <v>572.38569</v>
      </c>
    </row>
    <row r="204" ht="14.0">
      <c r="A204" s="47" t="s">
        <v>569</v>
      </c>
      <c r="B204" s="235" t="s">
        <v>347</v>
      </c>
      <c r="C204" s="235" t="s">
        <v>738</v>
      </c>
      <c r="D204" s="248" t="s">
        <v>739</v>
      </c>
      <c r="AD204" s="47">
        <v>0.0</v>
      </c>
      <c r="AE204" s="47">
        <v>0.0</v>
      </c>
      <c r="AF204" s="47">
        <v>0.0</v>
      </c>
      <c r="AG204" s="47">
        <v>0.0</v>
      </c>
      <c r="AH204" s="47">
        <v>0.0</v>
      </c>
      <c r="AI204" s="47">
        <v>0.0</v>
      </c>
      <c r="AJ204" s="47">
        <v>0.0</v>
      </c>
      <c r="AK204" s="47">
        <v>0.0</v>
      </c>
      <c r="AL204" s="47">
        <v>0.0</v>
      </c>
      <c r="AM204" s="47">
        <v>0.0</v>
      </c>
      <c r="AN204" s="237">
        <v>0.0</v>
      </c>
      <c r="AO204" s="237">
        <v>7.0</v>
      </c>
      <c r="AP204" s="237">
        <v>7.0</v>
      </c>
      <c r="AQ204" s="231">
        <v>9.0</v>
      </c>
      <c r="AR204" s="231">
        <v>2.0</v>
      </c>
      <c r="AS204" s="231">
        <v>2.0</v>
      </c>
      <c r="AT204" s="69">
        <f t="shared" si="4"/>
        <v>27.0</v>
      </c>
      <c r="AU204" s="69">
        <f t="shared" si="371"/>
        <v>27.0</v>
      </c>
      <c r="AV204" s="69">
        <f t="shared" si="424"/>
        <v>29.7</v>
      </c>
      <c r="AW204" s="97">
        <f t="shared" si="475"/>
        <v>5.94</v>
      </c>
      <c r="AX204" s="97">
        <f t="shared" si="476"/>
        <v>5.94</v>
      </c>
      <c r="AY204" s="97">
        <f t="shared" si="477"/>
        <v>5.94</v>
      </c>
      <c r="AZ204" s="97">
        <f t="shared" si="478"/>
        <v>5.94</v>
      </c>
      <c r="BA204" s="97">
        <f t="shared" si="479"/>
        <v>5.94</v>
      </c>
      <c r="BB204" s="97">
        <f t="shared" si="480"/>
        <v>5.94</v>
      </c>
      <c r="BC204" s="64">
        <f t="shared" si="13"/>
        <v>35.64</v>
      </c>
      <c r="BD204" s="69">
        <f>VLOOKUP(D204,FEB23SOH,3,false)</f>
        <v>24.0</v>
      </c>
      <c r="BE204" s="201">
        <f>VLOOKUP(D204,VALUEFEB23,4,false)</f>
        <v>28.0488</v>
      </c>
      <c r="BF204" s="215">
        <f t="shared" si="431"/>
        <v>673.1712</v>
      </c>
      <c r="BI204" s="217"/>
      <c r="BJ204" s="217"/>
      <c r="BK204" s="186"/>
      <c r="BL204" s="103"/>
      <c r="BM204" s="95">
        <f t="shared" si="449"/>
        <v>24.0</v>
      </c>
      <c r="BN204" s="65">
        <f t="shared" si="450"/>
        <v>5.94</v>
      </c>
      <c r="BO204" s="65">
        <f t="shared" si="21"/>
      </c>
      <c r="BP204" s="65">
        <f t="shared" si="451"/>
        <v>18.06</v>
      </c>
      <c r="BQ204" s="194">
        <f t="shared" si="452"/>
        <v>506.561328</v>
      </c>
      <c r="BR204" s="65">
        <f t="shared" si="453"/>
        <v>5.94</v>
      </c>
      <c r="BS204" s="65">
        <f t="shared" si="25"/>
      </c>
      <c r="BT204" s="65">
        <f t="shared" si="454"/>
        <v>12.12</v>
      </c>
      <c r="BU204" s="194">
        <f t="shared" si="455"/>
        <v>339.951456</v>
      </c>
      <c r="BV204" s="65">
        <f t="shared" si="456"/>
        <v>5.94</v>
      </c>
      <c r="BW204" s="65">
        <f t="shared" si="457"/>
      </c>
      <c r="BX204" s="65">
        <f t="shared" si="458"/>
        <v>6.18</v>
      </c>
      <c r="BY204" s="194">
        <f t="shared" si="459"/>
        <v>173.341584</v>
      </c>
      <c r="BZ204" s="65">
        <f t="shared" si="460"/>
        <v>5.94</v>
      </c>
      <c r="CA204" s="65"/>
      <c r="CB204" s="65">
        <f t="shared" si="461"/>
        <v>0.239999999999999</v>
      </c>
      <c r="CC204" s="194">
        <f t="shared" si="462"/>
        <v>6.73171199999997</v>
      </c>
      <c r="CD204" s="65">
        <f t="shared" si="463"/>
        <v>5.94</v>
      </c>
      <c r="CE204" s="65"/>
      <c r="CF204" s="65">
        <f t="shared" si="464"/>
        <v>-5.7</v>
      </c>
      <c r="CG204" s="194">
        <f t="shared" si="465"/>
        <v>-159.87816</v>
      </c>
      <c r="CH204" s="65">
        <f t="shared" si="466"/>
        <v>5.94</v>
      </c>
      <c r="CI204" s="65"/>
      <c r="CJ204" s="65">
        <f t="shared" si="467"/>
        <v>-11.64</v>
      </c>
      <c r="CK204" s="194">
        <f t="shared" si="468"/>
        <v>-159.87816</v>
      </c>
    </row>
    <row r="205" ht="14.0">
      <c r="A205" s="47" t="s">
        <v>569</v>
      </c>
      <c r="B205" s="47" t="s">
        <v>347</v>
      </c>
      <c r="C205" s="47" t="s">
        <v>740</v>
      </c>
      <c r="D205" s="236" t="s">
        <v>741</v>
      </c>
      <c r="AD205" s="47">
        <v>0.0</v>
      </c>
      <c r="AE205" s="47">
        <v>0.0</v>
      </c>
      <c r="AF205" s="47">
        <v>0.0</v>
      </c>
      <c r="AG205" s="47">
        <v>0.0</v>
      </c>
      <c r="AH205" s="47">
        <v>0.0</v>
      </c>
      <c r="AI205" s="47">
        <v>0.0</v>
      </c>
      <c r="AJ205" s="47">
        <v>0.0</v>
      </c>
      <c r="AK205" s="47">
        <v>0.0</v>
      </c>
      <c r="AL205" s="47">
        <v>0.0</v>
      </c>
      <c r="AM205" s="47">
        <v>0.0</v>
      </c>
      <c r="AN205" s="237">
        <v>0.0</v>
      </c>
      <c r="AO205" s="237">
        <v>-1.0</v>
      </c>
      <c r="AP205" s="237">
        <v>0.0</v>
      </c>
      <c r="AQ205" s="231">
        <v>12.0</v>
      </c>
      <c r="AR205" s="231">
        <v>18.0</v>
      </c>
      <c r="AS205" s="231">
        <v>37.0</v>
      </c>
      <c r="AT205" s="69">
        <f t="shared" si="4"/>
        <v>66.0</v>
      </c>
      <c r="AU205" s="69">
        <f t="shared" si="371"/>
        <v>66.0</v>
      </c>
      <c r="AV205" s="69">
        <f t="shared" si="424"/>
        <v>72.6</v>
      </c>
      <c r="AW205" s="65">
        <f t="shared" ref="AW205:AW208" si="481">AVERAGE(AP205:AS205)*1.1</f>
        <v>18.425</v>
      </c>
      <c r="AX205" s="65">
        <f t="shared" si="476"/>
        <v>18.425</v>
      </c>
      <c r="AY205" s="65">
        <f t="shared" si="477"/>
        <v>18.425</v>
      </c>
      <c r="AZ205" s="65">
        <f t="shared" si="478"/>
        <v>18.425</v>
      </c>
      <c r="BA205" s="65">
        <f t="shared" si="479"/>
        <v>18.425</v>
      </c>
      <c r="BB205" s="65">
        <f t="shared" si="480"/>
        <v>18.425</v>
      </c>
      <c r="BC205" s="64">
        <f t="shared" si="13"/>
        <v>110.55</v>
      </c>
      <c r="BD205" s="69">
        <f>VLOOKUP(D205,FEB23SOH,3,false)</f>
        <v>97.0</v>
      </c>
      <c r="BE205" s="201">
        <f>VLOOKUP(D205,VALUEFEB23,4,false)</f>
        <v>1.0053</v>
      </c>
      <c r="BF205" s="215">
        <f t="shared" si="431"/>
        <v>97.5141</v>
      </c>
      <c r="BI205" s="193">
        <f t="shared" ref="BI205:BI215" si="482">BD205+BG205+BH205-BC205</f>
        <v>-13.5499999999998</v>
      </c>
      <c r="BJ205" s="217">
        <v>501.0</v>
      </c>
      <c r="BK205" s="236">
        <f>BJ205</f>
        <v>501.0</v>
      </c>
      <c r="BL205" s="103" t="s">
        <v>6</v>
      </c>
      <c r="BM205" s="95">
        <f t="shared" si="449"/>
        <v>97.0</v>
      </c>
      <c r="BN205" s="65">
        <f t="shared" si="450"/>
        <v>18.425</v>
      </c>
      <c r="BO205" s="65">
        <f t="shared" si="21"/>
      </c>
      <c r="BP205" s="65">
        <f t="shared" si="451"/>
        <v>78.575</v>
      </c>
      <c r="BQ205" s="194">
        <f t="shared" si="452"/>
        <v>78.9914475</v>
      </c>
      <c r="BR205" s="65">
        <f t="shared" si="453"/>
        <v>18.425</v>
      </c>
      <c r="BS205" s="65">
        <f t="shared" si="25"/>
      </c>
      <c r="BT205" s="65">
        <f t="shared" si="454"/>
        <v>60.15</v>
      </c>
      <c r="BU205" s="194">
        <f t="shared" si="455"/>
        <v>60.468795</v>
      </c>
      <c r="BV205" s="65">
        <f t="shared" si="456"/>
        <v>18.425</v>
      </c>
      <c r="BW205" s="65">
        <f t="shared" si="457"/>
      </c>
      <c r="BX205" s="65">
        <f t="shared" si="458"/>
        <v>41.725</v>
      </c>
      <c r="BY205" s="194">
        <f t="shared" si="459"/>
        <v>41.9461425</v>
      </c>
      <c r="BZ205" s="65">
        <f t="shared" si="460"/>
        <v>18.425</v>
      </c>
      <c r="CA205" s="65"/>
      <c r="CB205" s="65">
        <f t="shared" si="461"/>
        <v>23.3</v>
      </c>
      <c r="CC205" s="194">
        <f t="shared" si="462"/>
        <v>23.42349</v>
      </c>
      <c r="CD205" s="65">
        <f t="shared" si="463"/>
        <v>18.425</v>
      </c>
      <c r="CE205" s="65"/>
      <c r="CF205" s="65">
        <f t="shared" si="464"/>
        <v>4.875</v>
      </c>
      <c r="CG205" s="194">
        <f t="shared" si="465"/>
        <v>4.9008375</v>
      </c>
      <c r="CH205" s="65">
        <f t="shared" si="466"/>
        <v>18.425</v>
      </c>
      <c r="CI205" s="65"/>
      <c r="CJ205" s="65">
        <f t="shared" si="467"/>
        <v>-13.55</v>
      </c>
      <c r="CK205" s="194">
        <f t="shared" si="468"/>
        <v>4.9008375</v>
      </c>
    </row>
    <row r="206" ht="14.0">
      <c r="A206" s="47" t="s">
        <v>569</v>
      </c>
      <c r="B206" s="47" t="s">
        <v>347</v>
      </c>
      <c r="C206" s="47" t="s">
        <v>742</v>
      </c>
      <c r="D206" s="185" t="s">
        <v>743</v>
      </c>
      <c r="AD206" s="47">
        <v>0.0</v>
      </c>
      <c r="AE206" s="47">
        <v>0.0</v>
      </c>
      <c r="AF206" s="47">
        <v>0.0</v>
      </c>
      <c r="AG206" s="47">
        <v>0.0</v>
      </c>
      <c r="AH206" s="47">
        <v>0.0</v>
      </c>
      <c r="AI206" s="47">
        <v>0.0</v>
      </c>
      <c r="AJ206" s="47">
        <v>0.0</v>
      </c>
      <c r="AK206" s="47">
        <v>0.0</v>
      </c>
      <c r="AL206" s="47">
        <v>0.0</v>
      </c>
      <c r="AM206" s="47">
        <v>0.0</v>
      </c>
      <c r="AN206" s="237">
        <v>0.0</v>
      </c>
      <c r="AO206" s="237">
        <v>0.0</v>
      </c>
      <c r="AP206" s="237">
        <v>6.0</v>
      </c>
      <c r="AQ206" s="231">
        <v>0.0</v>
      </c>
      <c r="AR206" s="231">
        <v>12.0</v>
      </c>
      <c r="AS206" s="231">
        <v>73.0</v>
      </c>
      <c r="AT206" s="69">
        <f t="shared" si="4"/>
        <v>91.0</v>
      </c>
      <c r="AU206" s="69">
        <f t="shared" si="371"/>
        <v>91.0</v>
      </c>
      <c r="AV206" s="69">
        <f t="shared" si="424"/>
        <v>100.1</v>
      </c>
      <c r="AW206" s="65">
        <f t="shared" si="481"/>
        <v>25.025</v>
      </c>
      <c r="AX206" s="65">
        <f t="shared" si="476"/>
        <v>25.025</v>
      </c>
      <c r="AY206" s="65">
        <f t="shared" si="477"/>
        <v>25.025</v>
      </c>
      <c r="AZ206" s="65">
        <f t="shared" si="478"/>
        <v>25.025</v>
      </c>
      <c r="BA206" s="65">
        <f t="shared" si="479"/>
        <v>25.025</v>
      </c>
      <c r="BB206" s="65">
        <f t="shared" si="480"/>
        <v>25.025</v>
      </c>
      <c r="BC206" s="64">
        <f t="shared" si="13"/>
        <v>150.15</v>
      </c>
      <c r="BD206" s="69">
        <f>VLOOKUP(D206,FEB23SOH,3,false)</f>
        <v>72.0</v>
      </c>
      <c r="BE206" s="201">
        <f>VLOOKUP(D206,VALUEFEB23,4,false)</f>
        <v>1.005</v>
      </c>
      <c r="BF206" s="215">
        <f t="shared" si="431"/>
        <v>72.36</v>
      </c>
      <c r="BI206" s="193">
        <f t="shared" si="482"/>
        <v>-78.15</v>
      </c>
      <c r="BK206" s="186"/>
      <c r="BL206" s="103" t="s">
        <v>520</v>
      </c>
      <c r="BM206" s="95">
        <f t="shared" si="449"/>
        <v>72.0</v>
      </c>
      <c r="BN206" s="65">
        <f t="shared" si="450"/>
        <v>25.025</v>
      </c>
      <c r="BO206" s="65">
        <f t="shared" si="21"/>
      </c>
      <c r="BP206" s="65">
        <f t="shared" si="451"/>
        <v>46.975</v>
      </c>
      <c r="BQ206" s="194">
        <f t="shared" si="452"/>
        <v>47.209875</v>
      </c>
      <c r="BR206" s="65">
        <f t="shared" si="453"/>
        <v>25.025</v>
      </c>
      <c r="BS206" s="65">
        <f t="shared" si="25"/>
      </c>
      <c r="BT206" s="65">
        <f t="shared" si="454"/>
        <v>21.95</v>
      </c>
      <c r="BU206" s="194">
        <f t="shared" si="455"/>
        <v>22.05975</v>
      </c>
      <c r="BV206" s="65">
        <f t="shared" si="456"/>
        <v>25.025</v>
      </c>
      <c r="BW206" s="65">
        <f t="shared" si="457"/>
      </c>
      <c r="BX206" s="65">
        <f t="shared" si="458"/>
        <v>-3.0749999999998</v>
      </c>
      <c r="BY206" s="194">
        <f t="shared" si="459"/>
        <v>-3.0903749999996</v>
      </c>
      <c r="BZ206" s="65">
        <f t="shared" si="460"/>
        <v>25.025</v>
      </c>
      <c r="CA206" s="65"/>
      <c r="CB206" s="65">
        <f t="shared" si="461"/>
        <v>-28.0999999999998</v>
      </c>
      <c r="CC206" s="194">
        <f t="shared" si="462"/>
        <v>-28.2404999999996</v>
      </c>
      <c r="CD206" s="65">
        <f t="shared" si="463"/>
        <v>25.025</v>
      </c>
      <c r="CE206" s="65"/>
      <c r="CF206" s="65">
        <f t="shared" si="464"/>
        <v>-53.1249999999998</v>
      </c>
      <c r="CG206" s="194">
        <f t="shared" si="465"/>
        <v>-53.3906249999996</v>
      </c>
      <c r="CH206" s="65">
        <f t="shared" si="466"/>
        <v>25.025</v>
      </c>
      <c r="CI206" s="65"/>
      <c r="CJ206" s="65">
        <f t="shared" si="467"/>
        <v>-78.1499999999998</v>
      </c>
      <c r="CK206" s="194">
        <f t="shared" si="468"/>
        <v>-53.3906249999996</v>
      </c>
    </row>
    <row r="207" ht="14.0" customFormat="1" s="47">
      <c r="A207" s="47" t="s">
        <v>569</v>
      </c>
      <c r="B207" s="47" t="s">
        <v>347</v>
      </c>
      <c r="C207" s="47" t="s">
        <v>744</v>
      </c>
      <c r="D207" s="185" t="s">
        <v>745</v>
      </c>
      <c r="AD207" s="47">
        <v>0.0</v>
      </c>
      <c r="AE207" s="47">
        <v>0.0</v>
      </c>
      <c r="AF207" s="47">
        <v>0.0</v>
      </c>
      <c r="AG207" s="47">
        <v>0.0</v>
      </c>
      <c r="AH207" s="47">
        <v>0.0</v>
      </c>
      <c r="AI207" s="47">
        <v>0.0</v>
      </c>
      <c r="AJ207" s="47">
        <v>0.0</v>
      </c>
      <c r="AK207" s="47">
        <v>0.0</v>
      </c>
      <c r="AL207" s="47">
        <v>0.0</v>
      </c>
      <c r="AM207" s="47">
        <v>0.0</v>
      </c>
      <c r="AN207" s="237">
        <v>0.0</v>
      </c>
      <c r="AO207" s="237">
        <v>0.0</v>
      </c>
      <c r="AP207" s="237">
        <v>18.0</v>
      </c>
      <c r="AQ207" s="231">
        <v>17.0</v>
      </c>
      <c r="AR207" s="231">
        <v>18.0</v>
      </c>
      <c r="AS207" s="231">
        <v>29.0</v>
      </c>
      <c r="AT207" s="69">
        <f t="shared" si="4"/>
        <v>82.0</v>
      </c>
      <c r="AU207" s="69">
        <f t="shared" si="371"/>
        <v>82.0</v>
      </c>
      <c r="AV207" s="69">
        <f t="shared" si="424"/>
        <v>90.2</v>
      </c>
      <c r="AW207" s="65">
        <f t="shared" si="481"/>
        <v>22.55</v>
      </c>
      <c r="AX207" s="65">
        <f t="shared" si="476"/>
        <v>22.55</v>
      </c>
      <c r="AY207" s="65">
        <f t="shared" si="477"/>
        <v>22.55</v>
      </c>
      <c r="AZ207" s="65">
        <f t="shared" si="478"/>
        <v>22.55</v>
      </c>
      <c r="BA207" s="65">
        <f t="shared" si="479"/>
        <v>22.55</v>
      </c>
      <c r="BB207" s="65">
        <f t="shared" si="480"/>
        <v>22.55</v>
      </c>
      <c r="BC207" s="64">
        <f t="shared" si="13"/>
        <v>135.3</v>
      </c>
      <c r="BD207" s="69">
        <f>VLOOKUP(D207,FEB23SOH,3,false)</f>
        <v>73.0</v>
      </c>
      <c r="BE207" s="201">
        <f>VLOOKUP(D207,VALUEFEB23,4,false)</f>
        <v>1.0054</v>
      </c>
      <c r="BF207" s="215">
        <f t="shared" si="431"/>
        <v>73.3942</v>
      </c>
      <c r="BG207" s="64"/>
      <c r="BH207" s="64"/>
      <c r="BI207" s="193">
        <f t="shared" si="482"/>
        <v>-62.3</v>
      </c>
      <c r="BJ207" s="217">
        <v>501.0</v>
      </c>
      <c r="BK207" s="185">
        <f>BJ207</f>
        <v>501.0</v>
      </c>
      <c r="BL207" s="103" t="s">
        <v>4</v>
      </c>
      <c r="BM207" s="95">
        <f t="shared" si="449"/>
        <v>73.0</v>
      </c>
      <c r="BN207" s="65">
        <f t="shared" si="450"/>
        <v>22.55</v>
      </c>
      <c r="BO207" s="65">
        <f t="shared" si="21"/>
      </c>
      <c r="BP207" s="65">
        <f t="shared" si="451"/>
        <v>50.45</v>
      </c>
      <c r="BQ207" s="194">
        <f t="shared" si="452"/>
        <v>50.72243</v>
      </c>
      <c r="BR207" s="65">
        <f t="shared" si="453"/>
        <v>22.55</v>
      </c>
      <c r="BS207" s="65">
        <f t="shared" si="25"/>
      </c>
      <c r="BT207" s="65">
        <f t="shared" si="454"/>
        <v>27.9</v>
      </c>
      <c r="BU207" s="194">
        <f t="shared" si="455"/>
        <v>28.05066</v>
      </c>
      <c r="BV207" s="65">
        <f t="shared" si="456"/>
        <v>22.55</v>
      </c>
      <c r="BW207" s="65">
        <f t="shared" si="457"/>
      </c>
      <c r="BX207" s="65">
        <f t="shared" si="458"/>
        <v>5.35</v>
      </c>
      <c r="BY207" s="194">
        <f t="shared" si="459"/>
        <v>5.37889</v>
      </c>
      <c r="BZ207" s="65">
        <f t="shared" si="460"/>
        <v>22.55</v>
      </c>
      <c r="CA207" s="65"/>
      <c r="CB207" s="65">
        <f t="shared" si="461"/>
        <v>-17.2</v>
      </c>
      <c r="CC207" s="194">
        <f t="shared" si="462"/>
        <v>-17.29288</v>
      </c>
      <c r="CD207" s="65">
        <f t="shared" si="463"/>
        <v>22.55</v>
      </c>
      <c r="CE207" s="65"/>
      <c r="CF207" s="65">
        <f t="shared" si="464"/>
        <v>-39.75</v>
      </c>
      <c r="CG207" s="194">
        <f t="shared" si="465"/>
        <v>-39.96465</v>
      </c>
      <c r="CH207" s="65">
        <f t="shared" si="466"/>
        <v>22.55</v>
      </c>
      <c r="CI207" s="65"/>
      <c r="CJ207" s="65">
        <f t="shared" si="467"/>
        <v>-62.3</v>
      </c>
      <c r="CK207" s="194">
        <f t="shared" si="468"/>
        <v>-39.96465</v>
      </c>
    </row>
    <row r="208" ht="14.0" customFormat="1" s="47">
      <c r="A208" s="47" t="s">
        <v>569</v>
      </c>
      <c r="B208" s="47" t="s">
        <v>347</v>
      </c>
      <c r="C208" s="47" t="s">
        <v>746</v>
      </c>
      <c r="D208" s="185" t="s">
        <v>747</v>
      </c>
      <c r="AD208" s="47">
        <v>0.0</v>
      </c>
      <c r="AE208" s="47">
        <v>0.0</v>
      </c>
      <c r="AF208" s="47">
        <v>0.0</v>
      </c>
      <c r="AG208" s="47">
        <v>0.0</v>
      </c>
      <c r="AH208" s="47">
        <v>0.0</v>
      </c>
      <c r="AI208" s="47">
        <v>0.0</v>
      </c>
      <c r="AJ208" s="47">
        <v>0.0</v>
      </c>
      <c r="AK208" s="47">
        <v>0.0</v>
      </c>
      <c r="AL208" s="47">
        <v>0.0</v>
      </c>
      <c r="AM208" s="47">
        <v>0.0</v>
      </c>
      <c r="AN208" s="237">
        <v>0.0</v>
      </c>
      <c r="AO208" s="237">
        <v>0.0</v>
      </c>
      <c r="AP208" s="237">
        <v>26.0</v>
      </c>
      <c r="AQ208" s="231">
        <v>28.0</v>
      </c>
      <c r="AR208" s="231">
        <v>60.0</v>
      </c>
      <c r="AS208" s="231">
        <v>15.0</v>
      </c>
      <c r="AT208" s="69">
        <f t="shared" si="4"/>
        <v>129.0</v>
      </c>
      <c r="AU208" s="69">
        <f t="shared" si="371"/>
        <v>129.0</v>
      </c>
      <c r="AV208" s="69">
        <f t="shared" si="424"/>
        <v>141.9</v>
      </c>
      <c r="AW208" s="65">
        <f t="shared" si="481"/>
        <v>35.475</v>
      </c>
      <c r="AX208" s="65">
        <f t="shared" si="476"/>
        <v>35.475</v>
      </c>
      <c r="AY208" s="65">
        <f t="shared" si="477"/>
        <v>35.475</v>
      </c>
      <c r="AZ208" s="65">
        <f t="shared" si="478"/>
        <v>35.475</v>
      </c>
      <c r="BA208" s="65">
        <f t="shared" si="479"/>
        <v>35.475</v>
      </c>
      <c r="BB208" s="65">
        <f t="shared" si="480"/>
        <v>35.475</v>
      </c>
      <c r="BC208" s="64">
        <f t="shared" si="13"/>
        <v>212.85</v>
      </c>
      <c r="BD208" s="69">
        <f>VLOOKUP(D208,FEB23SOH,3,false)</f>
        <v>14.0</v>
      </c>
      <c r="BE208" s="201">
        <f>VLOOKUP(D208,VALUEFEB23,4,false)</f>
        <v>1.0053</v>
      </c>
      <c r="BF208" s="215">
        <f t="shared" si="431"/>
        <v>14.0742</v>
      </c>
      <c r="BG208" s="64"/>
      <c r="BH208" s="64"/>
      <c r="BI208" s="193">
        <f t="shared" si="482"/>
        <v>-198.85</v>
      </c>
      <c r="BJ208" s="217">
        <v>501.0</v>
      </c>
      <c r="BK208" s="185">
        <f>BI208*-1</f>
        <v>198.85</v>
      </c>
      <c r="BL208" s="103" t="s">
        <v>518</v>
      </c>
      <c r="BM208" s="95">
        <f t="shared" si="449"/>
        <v>14.0</v>
      </c>
      <c r="BN208" s="65">
        <f t="shared" si="450"/>
        <v>35.475</v>
      </c>
      <c r="BO208" s="65">
        <f t="shared" si="21"/>
      </c>
      <c r="BP208" s="65">
        <f t="shared" si="451"/>
        <v>-21.475</v>
      </c>
      <c r="BQ208" s="194">
        <f t="shared" si="452"/>
        <v>-21.5888175</v>
      </c>
      <c r="BR208" s="65">
        <f t="shared" si="453"/>
        <v>35.475</v>
      </c>
      <c r="BS208" s="65">
        <f t="shared" si="25"/>
      </c>
      <c r="BT208" s="65">
        <f t="shared" si="454"/>
        <v>-56.95</v>
      </c>
      <c r="BU208" s="194">
        <f t="shared" si="455"/>
        <v>-57.251835</v>
      </c>
      <c r="BV208" s="65">
        <f t="shared" si="456"/>
        <v>35.475</v>
      </c>
      <c r="BW208" s="65">
        <f t="shared" si="457"/>
      </c>
      <c r="BX208" s="65">
        <f t="shared" si="458"/>
        <v>-92.425</v>
      </c>
      <c r="BY208" s="194">
        <f t="shared" si="459"/>
        <v>-92.9148525</v>
      </c>
      <c r="BZ208" s="65">
        <f t="shared" si="460"/>
        <v>35.475</v>
      </c>
      <c r="CA208" s="65"/>
      <c r="CB208" s="65">
        <f t="shared" si="461"/>
        <v>-127.9</v>
      </c>
      <c r="CC208" s="194">
        <f t="shared" si="462"/>
        <v>-128.57787</v>
      </c>
      <c r="CD208" s="65">
        <f t="shared" si="463"/>
        <v>35.475</v>
      </c>
      <c r="CE208" s="65"/>
      <c r="CF208" s="65">
        <f t="shared" si="464"/>
        <v>-163.375</v>
      </c>
      <c r="CG208" s="194">
        <f t="shared" si="465"/>
        <v>-164.2408875</v>
      </c>
      <c r="CH208" s="65">
        <f t="shared" si="466"/>
        <v>35.475</v>
      </c>
      <c r="CI208" s="65"/>
      <c r="CJ208" s="65">
        <f t="shared" si="467"/>
        <v>-198.85</v>
      </c>
      <c r="CK208" s="194">
        <f t="shared" si="468"/>
        <v>-164.2408875</v>
      </c>
    </row>
    <row r="209" ht="14.0">
      <c r="A209" s="47" t="s">
        <v>569</v>
      </c>
      <c r="B209" s="47" t="s">
        <v>670</v>
      </c>
      <c r="C209" s="47" t="s">
        <v>748</v>
      </c>
      <c r="D209" s="185" t="s">
        <v>749</v>
      </c>
      <c r="AD209" s="47">
        <v>0.0</v>
      </c>
      <c r="AE209" s="47">
        <v>0.0</v>
      </c>
      <c r="AF209" s="47">
        <v>0.0</v>
      </c>
      <c r="AG209" s="47">
        <v>0.0</v>
      </c>
      <c r="AH209" s="47">
        <v>0.0</v>
      </c>
      <c r="AI209" s="47">
        <v>0.0</v>
      </c>
      <c r="AJ209" s="47">
        <v>0.0</v>
      </c>
      <c r="AK209" s="47">
        <v>0.0</v>
      </c>
      <c r="AL209" s="47">
        <v>0.0</v>
      </c>
      <c r="AM209" s="47">
        <v>0.0</v>
      </c>
      <c r="AN209" s="237">
        <v>0.0</v>
      </c>
      <c r="AO209" s="237">
        <v>32.0</v>
      </c>
      <c r="AP209" s="237">
        <v>36.0</v>
      </c>
      <c r="AQ209" s="231">
        <v>4.0</v>
      </c>
      <c r="AR209" s="231">
        <v>0.0</v>
      </c>
      <c r="AS209" s="231">
        <v>0.0</v>
      </c>
      <c r="AT209" s="69">
        <f t="shared" si="4"/>
        <v>72.0</v>
      </c>
      <c r="AU209" s="69">
        <f t="shared" si="371"/>
        <v>72.0</v>
      </c>
      <c r="AV209" s="69">
        <f t="shared" si="424"/>
        <v>79.2</v>
      </c>
      <c r="AW209" s="65">
        <f t="shared" ref="AW209:AW224" si="486">AVERAGE(AO209:AS209)*1.1</f>
        <v>15.84</v>
      </c>
      <c r="AX209" s="65">
        <f t="shared" si="476"/>
        <v>15.84</v>
      </c>
      <c r="AY209" s="65">
        <f t="shared" si="477"/>
        <v>15.84</v>
      </c>
      <c r="AZ209" s="65">
        <f t="shared" si="478"/>
        <v>15.84</v>
      </c>
      <c r="BA209" s="65">
        <f t="shared" si="479"/>
        <v>15.84</v>
      </c>
      <c r="BB209" s="65">
        <f t="shared" si="480"/>
        <v>15.84</v>
      </c>
      <c r="BC209" s="64">
        <f t="shared" si="13"/>
        <v>95.04</v>
      </c>
      <c r="BD209" s="69">
        <f>VLOOKUP(D209,FEB23SOH,3,false)</f>
        <v>413.0</v>
      </c>
      <c r="BE209" s="201">
        <f>VLOOKUP(D209,VALUEFEB23,4,false)</f>
        <v>2.6562</v>
      </c>
      <c r="BF209" s="215">
        <f t="shared" si="431"/>
        <v>1097.0106</v>
      </c>
      <c r="BI209" s="193">
        <f t="shared" si="482"/>
        <v>317.96</v>
      </c>
      <c r="BK209" s="186"/>
      <c r="BL209" s="103"/>
      <c r="BM209" s="95">
        <f t="shared" si="449"/>
        <v>413.0</v>
      </c>
      <c r="BN209" s="65">
        <f t="shared" si="450"/>
        <v>15.84</v>
      </c>
      <c r="BO209" s="65">
        <f t="shared" si="21"/>
      </c>
      <c r="BP209" s="65">
        <f t="shared" si="451"/>
        <v>397.16</v>
      </c>
      <c r="BQ209" s="194">
        <f t="shared" si="452"/>
        <v>1054.936392</v>
      </c>
      <c r="BR209" s="65">
        <f t="shared" si="453"/>
        <v>15.84</v>
      </c>
      <c r="BS209" s="65">
        <f t="shared" si="25"/>
      </c>
      <c r="BT209" s="65">
        <f t="shared" si="454"/>
        <v>381.32</v>
      </c>
      <c r="BU209" s="194">
        <f t="shared" si="455"/>
        <v>1012.862184</v>
      </c>
      <c r="BV209" s="65">
        <f t="shared" si="456"/>
        <v>15.84</v>
      </c>
      <c r="BW209" s="65">
        <f t="shared" si="457"/>
      </c>
      <c r="BX209" s="65">
        <f t="shared" si="458"/>
        <v>365.48</v>
      </c>
      <c r="BY209" s="194">
        <f t="shared" si="459"/>
        <v>970.787976</v>
      </c>
      <c r="BZ209" s="65">
        <f t="shared" si="460"/>
        <v>15.84</v>
      </c>
      <c r="CA209" s="65"/>
      <c r="CB209" s="65">
        <f t="shared" si="461"/>
        <v>349.64</v>
      </c>
      <c r="CC209" s="194">
        <f t="shared" si="462"/>
        <v>928.713768</v>
      </c>
      <c r="CD209" s="65">
        <f t="shared" si="463"/>
        <v>15.84</v>
      </c>
      <c r="CE209" s="65"/>
      <c r="CF209" s="65">
        <f t="shared" si="464"/>
        <v>333.8</v>
      </c>
      <c r="CG209" s="194">
        <f t="shared" si="465"/>
        <v>886.63956</v>
      </c>
      <c r="CH209" s="65">
        <f t="shared" si="466"/>
        <v>15.84</v>
      </c>
      <c r="CI209" s="65"/>
      <c r="CJ209" s="65">
        <f t="shared" si="467"/>
        <v>317.96</v>
      </c>
      <c r="CK209" s="194">
        <f t="shared" si="468"/>
        <v>886.63956</v>
      </c>
    </row>
    <row r="210" ht="14.0">
      <c r="A210" s="47" t="s">
        <v>569</v>
      </c>
      <c r="B210" s="47" t="s">
        <v>725</v>
      </c>
      <c r="C210" s="47" t="s">
        <v>750</v>
      </c>
      <c r="D210" s="185" t="s">
        <v>751</v>
      </c>
      <c r="AD210" s="47">
        <v>0.0</v>
      </c>
      <c r="AE210" s="47">
        <v>0.0</v>
      </c>
      <c r="AF210" s="47">
        <v>0.0</v>
      </c>
      <c r="AG210" s="47">
        <v>0.0</v>
      </c>
      <c r="AH210" s="47">
        <v>0.0</v>
      </c>
      <c r="AI210" s="47">
        <v>0.0</v>
      </c>
      <c r="AJ210" s="47">
        <v>0.0</v>
      </c>
      <c r="AK210" s="47">
        <v>0.0</v>
      </c>
      <c r="AL210" s="47">
        <v>0.0</v>
      </c>
      <c r="AM210" s="47">
        <v>0.0</v>
      </c>
      <c r="AN210" s="237">
        <v>0.0</v>
      </c>
      <c r="AO210" s="237">
        <v>42.0</v>
      </c>
      <c r="AP210" s="237">
        <v>61.0</v>
      </c>
      <c r="AQ210" s="231">
        <v>80.0</v>
      </c>
      <c r="AR210" s="231">
        <v>31.0</v>
      </c>
      <c r="AS210" s="231">
        <v>60.0</v>
      </c>
      <c r="AT210" s="69">
        <f t="shared" si="4"/>
        <v>274.0</v>
      </c>
      <c r="AU210" s="69">
        <f t="shared" si="371"/>
        <v>274.0</v>
      </c>
      <c r="AV210" s="69">
        <f t="shared" si="424"/>
        <v>301.4</v>
      </c>
      <c r="AW210" s="65">
        <f t="shared" si="486"/>
        <v>60.28</v>
      </c>
      <c r="AX210" s="65">
        <f t="shared" si="476"/>
        <v>60.28</v>
      </c>
      <c r="AY210" s="65">
        <f t="shared" si="477"/>
        <v>60.28</v>
      </c>
      <c r="AZ210" s="65">
        <f t="shared" si="478"/>
        <v>60.28</v>
      </c>
      <c r="BA210" s="65">
        <f t="shared" si="479"/>
        <v>60.28</v>
      </c>
      <c r="BB210" s="65">
        <f t="shared" si="480"/>
        <v>60.28</v>
      </c>
      <c r="BC210" s="64">
        <f t="shared" si="13"/>
        <v>361.68</v>
      </c>
      <c r="BD210" s="69">
        <f>VLOOKUP(D210,FEB23SOH,3,false)</f>
        <v>1521.0</v>
      </c>
      <c r="BE210" s="201">
        <f>VLOOKUP(D210,VALUEFEB23,4,false)</f>
        <v>1.7043</v>
      </c>
      <c r="BF210" s="215">
        <f t="shared" si="431"/>
        <v>2592.2403</v>
      </c>
      <c r="BI210" s="193">
        <f t="shared" si="482"/>
        <v>1159.32</v>
      </c>
      <c r="BK210" s="186"/>
      <c r="BL210" s="103"/>
      <c r="BM210" s="95">
        <f t="shared" si="449"/>
        <v>1521.0</v>
      </c>
      <c r="BN210" s="65">
        <f t="shared" si="450"/>
        <v>60.28</v>
      </c>
      <c r="BO210" s="65">
        <f t="shared" si="21"/>
      </c>
      <c r="BP210" s="65">
        <f t="shared" si="451"/>
        <v>1460.72</v>
      </c>
      <c r="BQ210" s="194">
        <f t="shared" si="452"/>
        <v>2489.505096</v>
      </c>
      <c r="BR210" s="65">
        <f t="shared" si="453"/>
        <v>60.28</v>
      </c>
      <c r="BS210" s="65">
        <f t="shared" si="25"/>
      </c>
      <c r="BT210" s="65">
        <f t="shared" si="454"/>
        <v>1400.44</v>
      </c>
      <c r="BU210" s="194">
        <f t="shared" si="455"/>
        <v>2386.769892</v>
      </c>
      <c r="BV210" s="65">
        <f t="shared" si="456"/>
        <v>60.28</v>
      </c>
      <c r="BW210" s="65">
        <f t="shared" si="457"/>
      </c>
      <c r="BX210" s="65">
        <f t="shared" si="458"/>
        <v>1340.16</v>
      </c>
      <c r="BY210" s="194">
        <f t="shared" si="459"/>
        <v>2284.034688</v>
      </c>
      <c r="BZ210" s="65">
        <f t="shared" si="460"/>
        <v>60.28</v>
      </c>
      <c r="CA210" s="65"/>
      <c r="CB210" s="65">
        <f t="shared" si="461"/>
        <v>1279.88</v>
      </c>
      <c r="CC210" s="194">
        <f t="shared" si="462"/>
        <v>2181.299484</v>
      </c>
      <c r="CD210" s="65">
        <f t="shared" si="463"/>
        <v>60.28</v>
      </c>
      <c r="CE210" s="65"/>
      <c r="CF210" s="65">
        <f t="shared" si="464"/>
        <v>1219.6</v>
      </c>
      <c r="CG210" s="194">
        <f t="shared" si="465"/>
        <v>2078.56428</v>
      </c>
      <c r="CH210" s="65">
        <f t="shared" si="466"/>
        <v>60.28</v>
      </c>
      <c r="CI210" s="65"/>
      <c r="CJ210" s="65">
        <f t="shared" si="467"/>
        <v>1159.32</v>
      </c>
      <c r="CK210" s="194">
        <f t="shared" si="468"/>
        <v>2078.56428</v>
      </c>
    </row>
    <row r="211" ht="14.0">
      <c r="A211" s="47" t="s">
        <v>569</v>
      </c>
      <c r="B211" s="47" t="s">
        <v>725</v>
      </c>
      <c r="C211" s="47" t="s">
        <v>752</v>
      </c>
      <c r="D211" s="185" t="s">
        <v>753</v>
      </c>
      <c r="AD211" s="47">
        <v>0.0</v>
      </c>
      <c r="AE211" s="47">
        <v>0.0</v>
      </c>
      <c r="AF211" s="47">
        <v>0.0</v>
      </c>
      <c r="AG211" s="47">
        <v>0.0</v>
      </c>
      <c r="AH211" s="47">
        <v>0.0</v>
      </c>
      <c r="AI211" s="47">
        <v>0.0</v>
      </c>
      <c r="AJ211" s="47">
        <v>0.0</v>
      </c>
      <c r="AK211" s="47">
        <v>0.0</v>
      </c>
      <c r="AL211" s="47">
        <v>0.0</v>
      </c>
      <c r="AM211" s="47">
        <v>0.0</v>
      </c>
      <c r="AN211" s="237">
        <v>0.0</v>
      </c>
      <c r="AO211" s="237">
        <v>71.0</v>
      </c>
      <c r="AP211" s="237">
        <v>53.0</v>
      </c>
      <c r="AQ211" s="231">
        <v>77.0</v>
      </c>
      <c r="AR211" s="231">
        <v>58.0</v>
      </c>
      <c r="AS211" s="231">
        <v>83.0</v>
      </c>
      <c r="AT211" s="69">
        <f t="shared" si="4"/>
        <v>342.0</v>
      </c>
      <c r="AU211" s="69">
        <f t="shared" si="371"/>
        <v>342.0</v>
      </c>
      <c r="AV211" s="69">
        <f t="shared" si="424"/>
        <v>376.2</v>
      </c>
      <c r="AW211" s="65">
        <f t="shared" si="486"/>
        <v>75.24</v>
      </c>
      <c r="AX211" s="65">
        <f t="shared" si="476"/>
        <v>75.24</v>
      </c>
      <c r="AY211" s="65">
        <f t="shared" si="477"/>
        <v>75.24</v>
      </c>
      <c r="AZ211" s="65">
        <f t="shared" si="478"/>
        <v>75.24</v>
      </c>
      <c r="BA211" s="65">
        <f t="shared" si="479"/>
        <v>75.24</v>
      </c>
      <c r="BB211" s="65">
        <f t="shared" si="480"/>
        <v>75.24</v>
      </c>
      <c r="BC211" s="64">
        <f t="shared" si="13"/>
        <v>451.44</v>
      </c>
      <c r="BD211" s="69">
        <f>VLOOKUP(D211,FEB23SOH,3,false)</f>
        <v>1416.0</v>
      </c>
      <c r="BE211" s="201">
        <f>VLOOKUP(D211,VALUEFEB23,4,false)</f>
        <v>1.7043</v>
      </c>
      <c r="BF211" s="215">
        <f t="shared" si="431"/>
        <v>2413.2888</v>
      </c>
      <c r="BI211" s="193">
        <f t="shared" si="482"/>
        <v>964.56</v>
      </c>
      <c r="BK211" s="186"/>
      <c r="BL211" s="103"/>
      <c r="BM211" s="95">
        <f t="shared" si="449"/>
        <v>1416.0</v>
      </c>
      <c r="BN211" s="65">
        <f t="shared" si="450"/>
        <v>75.24</v>
      </c>
      <c r="BO211" s="65">
        <f t="shared" si="21"/>
      </c>
      <c r="BP211" s="65">
        <f t="shared" si="451"/>
        <v>1340.76</v>
      </c>
      <c r="BQ211" s="194">
        <f t="shared" si="452"/>
        <v>2285.057268</v>
      </c>
      <c r="BR211" s="65">
        <f t="shared" si="453"/>
        <v>75.24</v>
      </c>
      <c r="BS211" s="65">
        <f t="shared" si="25"/>
      </c>
      <c r="BT211" s="65">
        <f t="shared" si="454"/>
        <v>1265.52</v>
      </c>
      <c r="BU211" s="194">
        <f t="shared" si="455"/>
        <v>2156.825736</v>
      </c>
      <c r="BV211" s="65">
        <f t="shared" si="456"/>
        <v>75.24</v>
      </c>
      <c r="BW211" s="65">
        <f t="shared" si="457"/>
      </c>
      <c r="BX211" s="65">
        <f t="shared" si="458"/>
        <v>1190.28</v>
      </c>
      <c r="BY211" s="194">
        <f t="shared" si="459"/>
        <v>2028.594204</v>
      </c>
      <c r="BZ211" s="65">
        <f t="shared" si="460"/>
        <v>75.24</v>
      </c>
      <c r="CA211" s="65"/>
      <c r="CB211" s="65">
        <f t="shared" si="461"/>
        <v>1115.04</v>
      </c>
      <c r="CC211" s="194">
        <f t="shared" si="462"/>
        <v>1900.362672</v>
      </c>
      <c r="CD211" s="65">
        <f t="shared" si="463"/>
        <v>75.24</v>
      </c>
      <c r="CE211" s="65"/>
      <c r="CF211" s="65">
        <f t="shared" si="464"/>
        <v>1039.8</v>
      </c>
      <c r="CG211" s="194">
        <f t="shared" si="465"/>
        <v>1772.13114</v>
      </c>
      <c r="CH211" s="65">
        <f t="shared" si="466"/>
        <v>75.24</v>
      </c>
      <c r="CI211" s="65"/>
      <c r="CJ211" s="65">
        <f t="shared" si="467"/>
        <v>964.56</v>
      </c>
      <c r="CK211" s="194">
        <f t="shared" si="468"/>
        <v>1772.13114</v>
      </c>
    </row>
    <row r="212" ht="14.0">
      <c r="A212" s="47" t="s">
        <v>569</v>
      </c>
      <c r="B212" s="47" t="s">
        <v>725</v>
      </c>
      <c r="C212" s="47" t="s">
        <v>754</v>
      </c>
      <c r="D212" s="185" t="s">
        <v>755</v>
      </c>
      <c r="AD212" s="47">
        <v>0.0</v>
      </c>
      <c r="AE212" s="47">
        <v>0.0</v>
      </c>
      <c r="AF212" s="47">
        <v>0.0</v>
      </c>
      <c r="AG212" s="47">
        <v>0.0</v>
      </c>
      <c r="AH212" s="47">
        <v>0.0</v>
      </c>
      <c r="AI212" s="47">
        <v>0.0</v>
      </c>
      <c r="AJ212" s="47">
        <v>0.0</v>
      </c>
      <c r="AK212" s="47">
        <v>0.0</v>
      </c>
      <c r="AL212" s="47">
        <v>0.0</v>
      </c>
      <c r="AM212" s="47">
        <v>0.0</v>
      </c>
      <c r="AN212" s="237">
        <v>0.0</v>
      </c>
      <c r="AO212" s="237">
        <v>105.0</v>
      </c>
      <c r="AP212" s="237">
        <v>98.0</v>
      </c>
      <c r="AQ212" s="231">
        <v>123.0</v>
      </c>
      <c r="AR212" s="231">
        <v>95.0</v>
      </c>
      <c r="AS212" s="231">
        <v>153.0</v>
      </c>
      <c r="AT212" s="69">
        <f t="shared" si="4"/>
        <v>574.0</v>
      </c>
      <c r="AU212" s="69">
        <f t="shared" si="371"/>
        <v>574.0</v>
      </c>
      <c r="AV212" s="69">
        <f t="shared" si="424"/>
        <v>631.4</v>
      </c>
      <c r="AW212" s="65">
        <f t="shared" si="486"/>
        <v>126.28</v>
      </c>
      <c r="AX212" s="65">
        <f t="shared" si="476"/>
        <v>126.28</v>
      </c>
      <c r="AY212" s="65">
        <f t="shared" si="477"/>
        <v>126.28</v>
      </c>
      <c r="AZ212" s="65">
        <f t="shared" si="478"/>
        <v>126.28</v>
      </c>
      <c r="BA212" s="65">
        <f t="shared" si="479"/>
        <v>126.28</v>
      </c>
      <c r="BB212" s="65">
        <f t="shared" si="480"/>
        <v>126.28</v>
      </c>
      <c r="BC212" s="64">
        <f t="shared" si="13"/>
        <v>757.68</v>
      </c>
      <c r="BD212" s="69">
        <f>VLOOKUP(D212,FEB23SOH,3,false)</f>
        <v>1188.0</v>
      </c>
      <c r="BE212" s="201">
        <f>VLOOKUP(D212,VALUEFEB23,4,false)</f>
        <v>1.7042</v>
      </c>
      <c r="BF212" s="215">
        <f t="shared" si="431"/>
        <v>2024.5896</v>
      </c>
      <c r="BI212" s="193">
        <f t="shared" si="482"/>
        <v>430.32</v>
      </c>
      <c r="BK212" s="186"/>
      <c r="BL212" s="103"/>
      <c r="BM212" s="95">
        <f t="shared" si="449"/>
        <v>1188.0</v>
      </c>
      <c r="BN212" s="65">
        <f t="shared" si="450"/>
        <v>126.28</v>
      </c>
      <c r="BO212" s="65">
        <f t="shared" si="21"/>
      </c>
      <c r="BP212" s="65">
        <f t="shared" si="451"/>
        <v>1061.72</v>
      </c>
      <c r="BQ212" s="194">
        <f t="shared" si="452"/>
        <v>1809.383224</v>
      </c>
      <c r="BR212" s="65">
        <f t="shared" si="453"/>
        <v>126.28</v>
      </c>
      <c r="BS212" s="65">
        <f t="shared" si="25"/>
      </c>
      <c r="BT212" s="65">
        <f t="shared" si="454"/>
        <v>935.44</v>
      </c>
      <c r="BU212" s="194">
        <f t="shared" si="455"/>
        <v>1594.176848</v>
      </c>
      <c r="BV212" s="65">
        <f t="shared" si="456"/>
        <v>126.28</v>
      </c>
      <c r="BW212" s="65">
        <f t="shared" si="457"/>
      </c>
      <c r="BX212" s="65">
        <f t="shared" si="458"/>
        <v>809.16</v>
      </c>
      <c r="BY212" s="194">
        <f t="shared" si="459"/>
        <v>1378.970472</v>
      </c>
      <c r="BZ212" s="65">
        <f t="shared" si="460"/>
        <v>126.28</v>
      </c>
      <c r="CA212" s="65"/>
      <c r="CB212" s="65">
        <f t="shared" si="461"/>
        <v>682.88</v>
      </c>
      <c r="CC212" s="194">
        <f t="shared" si="462"/>
        <v>1163.764096</v>
      </c>
      <c r="CD212" s="65">
        <f t="shared" si="463"/>
        <v>126.28</v>
      </c>
      <c r="CE212" s="65"/>
      <c r="CF212" s="65">
        <f t="shared" si="464"/>
        <v>556.6</v>
      </c>
      <c r="CG212" s="194">
        <f t="shared" si="465"/>
        <v>948.55772</v>
      </c>
      <c r="CH212" s="65">
        <f t="shared" si="466"/>
        <v>126.28</v>
      </c>
      <c r="CI212" s="65"/>
      <c r="CJ212" s="65">
        <f t="shared" si="467"/>
        <v>430.32</v>
      </c>
      <c r="CK212" s="194">
        <f t="shared" si="468"/>
        <v>948.55772</v>
      </c>
    </row>
    <row r="213" ht="14.0">
      <c r="A213" s="47" t="s">
        <v>569</v>
      </c>
      <c r="B213" s="47" t="s">
        <v>725</v>
      </c>
      <c r="C213" s="47" t="s">
        <v>756</v>
      </c>
      <c r="D213" s="185" t="s">
        <v>757</v>
      </c>
      <c r="AD213" s="47">
        <v>0.0</v>
      </c>
      <c r="AE213" s="47">
        <v>0.0</v>
      </c>
      <c r="AF213" s="47">
        <v>0.0</v>
      </c>
      <c r="AG213" s="47">
        <v>0.0</v>
      </c>
      <c r="AH213" s="47">
        <v>0.0</v>
      </c>
      <c r="AI213" s="47">
        <v>0.0</v>
      </c>
      <c r="AJ213" s="47">
        <v>0.0</v>
      </c>
      <c r="AK213" s="47">
        <v>0.0</v>
      </c>
      <c r="AL213" s="47">
        <v>0.0</v>
      </c>
      <c r="AM213" s="47">
        <v>0.0</v>
      </c>
      <c r="AN213" s="237">
        <v>0.0</v>
      </c>
      <c r="AO213" s="237">
        <v>68.0</v>
      </c>
      <c r="AP213" s="237">
        <v>36.0</v>
      </c>
      <c r="AQ213" s="231">
        <v>44.0</v>
      </c>
      <c r="AR213" s="231">
        <v>25.0</v>
      </c>
      <c r="AS213" s="231">
        <v>39.0</v>
      </c>
      <c r="AT213" s="69">
        <f t="shared" si="4"/>
        <v>212.0</v>
      </c>
      <c r="AU213" s="69">
        <f t="shared" si="371"/>
        <v>212.0</v>
      </c>
      <c r="AV213" s="69">
        <f t="shared" si="424"/>
        <v>233.2</v>
      </c>
      <c r="AW213" s="65">
        <f t="shared" si="486"/>
        <v>46.64</v>
      </c>
      <c r="AX213" s="65">
        <f t="shared" si="476"/>
        <v>46.64</v>
      </c>
      <c r="AY213" s="65">
        <f t="shared" si="477"/>
        <v>46.64</v>
      </c>
      <c r="AZ213" s="65">
        <f t="shared" si="478"/>
        <v>46.64</v>
      </c>
      <c r="BA213" s="65">
        <f t="shared" si="479"/>
        <v>46.64</v>
      </c>
      <c r="BB213" s="65">
        <f t="shared" si="480"/>
        <v>46.64</v>
      </c>
      <c r="BC213" s="64">
        <f t="shared" si="13"/>
        <v>279.84</v>
      </c>
      <c r="BD213" s="69">
        <f>VLOOKUP(D213,FEB23SOH,3,false)</f>
        <v>1583.0</v>
      </c>
      <c r="BE213" s="201">
        <f>VLOOKUP(D213,VALUEFEB23,4,false)</f>
        <v>2.6325</v>
      </c>
      <c r="BF213" s="215">
        <f t="shared" si="431"/>
        <v>4167.2475</v>
      </c>
      <c r="BI213" s="193">
        <f t="shared" si="482"/>
        <v>1303.16</v>
      </c>
      <c r="BK213" s="186"/>
      <c r="BL213" s="103"/>
      <c r="BM213" s="95">
        <f t="shared" si="449"/>
        <v>1583.0</v>
      </c>
      <c r="BN213" s="65">
        <f t="shared" si="450"/>
        <v>46.64</v>
      </c>
      <c r="BO213" s="65">
        <f t="shared" si="21"/>
      </c>
      <c r="BP213" s="65">
        <f t="shared" si="451"/>
        <v>1536.36</v>
      </c>
      <c r="BQ213" s="194">
        <f t="shared" si="452"/>
        <v>4044.4677</v>
      </c>
      <c r="BR213" s="65">
        <f t="shared" si="453"/>
        <v>46.64</v>
      </c>
      <c r="BS213" s="65">
        <f t="shared" si="25"/>
      </c>
      <c r="BT213" s="65">
        <f t="shared" si="454"/>
        <v>1489.72</v>
      </c>
      <c r="BU213" s="194">
        <f t="shared" si="455"/>
        <v>3921.6879</v>
      </c>
      <c r="BV213" s="65">
        <f t="shared" si="456"/>
        <v>46.64</v>
      </c>
      <c r="BW213" s="65">
        <f t="shared" si="457"/>
      </c>
      <c r="BX213" s="65">
        <f t="shared" si="458"/>
        <v>1443.08</v>
      </c>
      <c r="BY213" s="194">
        <f t="shared" si="459"/>
        <v>3798.9081</v>
      </c>
      <c r="BZ213" s="65">
        <f t="shared" si="460"/>
        <v>46.64</v>
      </c>
      <c r="CA213" s="65"/>
      <c r="CB213" s="65">
        <f t="shared" si="461"/>
        <v>1396.44</v>
      </c>
      <c r="CC213" s="194">
        <f t="shared" si="462"/>
        <v>3676.1283</v>
      </c>
      <c r="CD213" s="65">
        <f t="shared" si="463"/>
        <v>46.64</v>
      </c>
      <c r="CE213" s="65"/>
      <c r="CF213" s="65">
        <f t="shared" si="464"/>
        <v>1349.8</v>
      </c>
      <c r="CG213" s="194">
        <f t="shared" si="465"/>
        <v>3553.3485</v>
      </c>
      <c r="CH213" s="65">
        <f t="shared" si="466"/>
        <v>46.64</v>
      </c>
      <c r="CI213" s="65"/>
      <c r="CJ213" s="65">
        <f t="shared" si="467"/>
        <v>1303.16</v>
      </c>
      <c r="CK213" s="194">
        <f t="shared" si="468"/>
        <v>3553.3485</v>
      </c>
    </row>
    <row r="214" ht="14.0">
      <c r="A214" s="47" t="s">
        <v>569</v>
      </c>
      <c r="B214" s="47" t="s">
        <v>725</v>
      </c>
      <c r="C214" s="47" t="s">
        <v>758</v>
      </c>
      <c r="D214" s="185" t="s">
        <v>759</v>
      </c>
      <c r="AD214" s="47">
        <v>0.0</v>
      </c>
      <c r="AE214" s="47">
        <v>0.0</v>
      </c>
      <c r="AF214" s="47">
        <v>0.0</v>
      </c>
      <c r="AG214" s="47">
        <v>0.0</v>
      </c>
      <c r="AH214" s="47">
        <v>0.0</v>
      </c>
      <c r="AI214" s="47">
        <v>0.0</v>
      </c>
      <c r="AJ214" s="47">
        <v>0.0</v>
      </c>
      <c r="AK214" s="47">
        <v>0.0</v>
      </c>
      <c r="AL214" s="47">
        <v>0.0</v>
      </c>
      <c r="AM214" s="47">
        <v>0.0</v>
      </c>
      <c r="AN214" s="237">
        <v>0.0</v>
      </c>
      <c r="AO214" s="237">
        <v>112.0</v>
      </c>
      <c r="AP214" s="237">
        <v>84.0</v>
      </c>
      <c r="AQ214" s="231">
        <v>56.0</v>
      </c>
      <c r="AR214" s="231">
        <v>52.0</v>
      </c>
      <c r="AS214" s="231">
        <v>78.0</v>
      </c>
      <c r="AT214" s="69">
        <f t="shared" si="4"/>
        <v>382.0</v>
      </c>
      <c r="AU214" s="69">
        <f t="shared" si="371"/>
        <v>382.0</v>
      </c>
      <c r="AV214" s="69">
        <f t="shared" si="424"/>
        <v>420.2</v>
      </c>
      <c r="AW214" s="65">
        <f t="shared" si="486"/>
        <v>84.04</v>
      </c>
      <c r="AX214" s="65">
        <f t="shared" si="476"/>
        <v>84.04</v>
      </c>
      <c r="AY214" s="65">
        <f t="shared" si="477"/>
        <v>84.04</v>
      </c>
      <c r="AZ214" s="65">
        <f t="shared" si="478"/>
        <v>84.04</v>
      </c>
      <c r="BA214" s="65">
        <f t="shared" si="479"/>
        <v>84.04</v>
      </c>
      <c r="BB214" s="65">
        <f t="shared" si="480"/>
        <v>84.04</v>
      </c>
      <c r="BC214" s="64">
        <f t="shared" si="13"/>
        <v>504.24</v>
      </c>
      <c r="BD214" s="69">
        <f>VLOOKUP(D214,FEB23SOH,3,false)</f>
        <v>1388.0</v>
      </c>
      <c r="BE214" s="201">
        <f>VLOOKUP(D214,VALUEFEB23,4,false)</f>
        <v>2.6325</v>
      </c>
      <c r="BF214" s="215">
        <f t="shared" si="431"/>
        <v>3653.91</v>
      </c>
      <c r="BI214" s="193">
        <f t="shared" si="482"/>
        <v>883.76</v>
      </c>
      <c r="BK214" s="186"/>
      <c r="BL214" s="103"/>
      <c r="BM214" s="95">
        <f t="shared" si="449"/>
        <v>1388.0</v>
      </c>
      <c r="BN214" s="65">
        <f t="shared" si="450"/>
        <v>84.04</v>
      </c>
      <c r="BO214" s="65">
        <f t="shared" si="21"/>
      </c>
      <c r="BP214" s="65">
        <f t="shared" si="451"/>
        <v>1303.96</v>
      </c>
      <c r="BQ214" s="194">
        <f t="shared" si="452"/>
        <v>3432.6747</v>
      </c>
      <c r="BR214" s="65">
        <f t="shared" si="453"/>
        <v>84.04</v>
      </c>
      <c r="BS214" s="65">
        <f t="shared" si="25"/>
      </c>
      <c r="BT214" s="65">
        <f t="shared" si="454"/>
        <v>1219.92</v>
      </c>
      <c r="BU214" s="194">
        <f t="shared" si="455"/>
        <v>3211.4394</v>
      </c>
      <c r="BV214" s="65">
        <f t="shared" si="456"/>
        <v>84.04</v>
      </c>
      <c r="BW214" s="65">
        <f t="shared" si="457"/>
      </c>
      <c r="BX214" s="65">
        <f t="shared" si="458"/>
        <v>1135.88</v>
      </c>
      <c r="BY214" s="194">
        <f t="shared" si="459"/>
        <v>2990.2041</v>
      </c>
      <c r="BZ214" s="65">
        <f t="shared" si="460"/>
        <v>84.04</v>
      </c>
      <c r="CA214" s="65"/>
      <c r="CB214" s="65">
        <f t="shared" si="461"/>
        <v>1051.84</v>
      </c>
      <c r="CC214" s="194">
        <f t="shared" si="462"/>
        <v>2768.9688</v>
      </c>
      <c r="CD214" s="65">
        <f t="shared" si="463"/>
        <v>84.04</v>
      </c>
      <c r="CE214" s="65"/>
      <c r="CF214" s="65">
        <f t="shared" si="464"/>
        <v>967.8</v>
      </c>
      <c r="CG214" s="194">
        <f t="shared" si="465"/>
        <v>2547.7335</v>
      </c>
      <c r="CH214" s="65">
        <f t="shared" si="466"/>
        <v>84.04</v>
      </c>
      <c r="CI214" s="65"/>
      <c r="CJ214" s="65">
        <f t="shared" si="467"/>
        <v>883.76</v>
      </c>
      <c r="CK214" s="194">
        <f t="shared" si="468"/>
        <v>2547.7335</v>
      </c>
    </row>
    <row r="215" ht="14.0">
      <c r="A215" s="47" t="s">
        <v>569</v>
      </c>
      <c r="B215" s="47" t="s">
        <v>725</v>
      </c>
      <c r="C215" s="47" t="s">
        <v>760</v>
      </c>
      <c r="D215" s="185" t="s">
        <v>761</v>
      </c>
      <c r="AD215" s="47">
        <v>0.0</v>
      </c>
      <c r="AE215" s="47">
        <v>0.0</v>
      </c>
      <c r="AF215" s="47">
        <v>0.0</v>
      </c>
      <c r="AG215" s="47">
        <v>0.0</v>
      </c>
      <c r="AH215" s="47">
        <v>0.0</v>
      </c>
      <c r="AI215" s="47">
        <v>0.0</v>
      </c>
      <c r="AJ215" s="47">
        <v>0.0</v>
      </c>
      <c r="AK215" s="47">
        <v>0.0</v>
      </c>
      <c r="AL215" s="47">
        <v>0.0</v>
      </c>
      <c r="AM215" s="47">
        <v>0.0</v>
      </c>
      <c r="AN215" s="237">
        <v>0.0</v>
      </c>
      <c r="AO215" s="237">
        <v>174.0</v>
      </c>
      <c r="AP215" s="237">
        <v>185.0</v>
      </c>
      <c r="AQ215" s="231">
        <v>136.0</v>
      </c>
      <c r="AR215" s="231">
        <v>89.0</v>
      </c>
      <c r="AS215" s="231">
        <v>185.0</v>
      </c>
      <c r="AT215" s="69">
        <f t="shared" si="4"/>
        <v>769.0</v>
      </c>
      <c r="AU215" s="69">
        <f t="shared" si="371"/>
        <v>769.0</v>
      </c>
      <c r="AV215" s="69">
        <f t="shared" si="424"/>
        <v>845.9</v>
      </c>
      <c r="AW215" s="65">
        <f t="shared" si="486"/>
        <v>169.18</v>
      </c>
      <c r="AX215" s="65">
        <f t="shared" si="476"/>
        <v>169.18</v>
      </c>
      <c r="AY215" s="65">
        <f t="shared" si="477"/>
        <v>169.18</v>
      </c>
      <c r="AZ215" s="65">
        <f t="shared" si="478"/>
        <v>169.18</v>
      </c>
      <c r="BA215" s="65">
        <f t="shared" si="479"/>
        <v>169.18</v>
      </c>
      <c r="BB215" s="65">
        <f t="shared" si="480"/>
        <v>169.18</v>
      </c>
      <c r="BC215" s="64">
        <f t="shared" si="13"/>
        <v>1015.08</v>
      </c>
      <c r="BD215" s="69">
        <f>VLOOKUP(D215,FEB23SOH,3,false)</f>
        <v>1004.0</v>
      </c>
      <c r="BE215" s="201">
        <f>VLOOKUP(D215,VALUEFEB23,4,false)</f>
        <v>2.6325</v>
      </c>
      <c r="BF215" s="215">
        <f t="shared" si="431"/>
        <v>2643.03</v>
      </c>
      <c r="BI215" s="193">
        <f t="shared" si="482"/>
        <v>-11.08</v>
      </c>
      <c r="BJ215" s="217">
        <v>1008.0</v>
      </c>
      <c r="BK215" s="185">
        <f>BJ215</f>
        <v>1008.0</v>
      </c>
      <c r="BL215" s="103" t="s">
        <v>6</v>
      </c>
      <c r="BM215" s="95">
        <f t="shared" si="449"/>
        <v>1004.0</v>
      </c>
      <c r="BN215" s="65">
        <f t="shared" si="450"/>
        <v>169.18</v>
      </c>
      <c r="BO215" s="65">
        <f t="shared" si="21"/>
      </c>
      <c r="BP215" s="65">
        <f t="shared" si="451"/>
        <v>834.82</v>
      </c>
      <c r="BQ215" s="194">
        <f t="shared" si="452"/>
        <v>2197.66365</v>
      </c>
      <c r="BR215" s="65">
        <f t="shared" si="453"/>
        <v>169.18</v>
      </c>
      <c r="BS215" s="65">
        <f t="shared" si="25"/>
      </c>
      <c r="BT215" s="65">
        <f t="shared" si="454"/>
        <v>665.64</v>
      </c>
      <c r="BU215" s="194">
        <f t="shared" si="455"/>
        <v>1752.2973</v>
      </c>
      <c r="BV215" s="65">
        <f t="shared" si="456"/>
        <v>169.18</v>
      </c>
      <c r="BW215" s="65">
        <f t="shared" si="457"/>
      </c>
      <c r="BX215" s="65">
        <f t="shared" si="458"/>
        <v>496.46</v>
      </c>
      <c r="BY215" s="194">
        <f t="shared" si="459"/>
        <v>1306.93095</v>
      </c>
      <c r="BZ215" s="65">
        <f t="shared" si="460"/>
        <v>169.18</v>
      </c>
      <c r="CA215" s="65"/>
      <c r="CB215" s="65">
        <f t="shared" si="461"/>
        <v>327.28</v>
      </c>
      <c r="CC215" s="194">
        <f t="shared" si="462"/>
        <v>861.5646</v>
      </c>
      <c r="CD215" s="65">
        <f t="shared" si="463"/>
        <v>169.18</v>
      </c>
      <c r="CE215" s="65"/>
      <c r="CF215" s="65">
        <f t="shared" si="464"/>
        <v>158.1</v>
      </c>
      <c r="CG215" s="194">
        <f t="shared" si="465"/>
        <v>416.19825</v>
      </c>
      <c r="CH215" s="65">
        <f t="shared" si="466"/>
        <v>169.18</v>
      </c>
      <c r="CI215" s="65"/>
      <c r="CJ215" s="65">
        <f t="shared" si="467"/>
        <v>-11.08</v>
      </c>
      <c r="CK215" s="194">
        <f t="shared" si="468"/>
        <v>416.19825</v>
      </c>
    </row>
    <row r="216" ht="14.0">
      <c r="A216" s="47" t="s">
        <v>569</v>
      </c>
      <c r="B216" s="235" t="s">
        <v>620</v>
      </c>
      <c r="C216" s="235" t="s">
        <v>762</v>
      </c>
      <c r="D216" s="248" t="s">
        <v>763</v>
      </c>
      <c r="AD216" s="47">
        <v>0.0</v>
      </c>
      <c r="AE216" s="47">
        <v>0.0</v>
      </c>
      <c r="AF216" s="47">
        <v>0.0</v>
      </c>
      <c r="AG216" s="47">
        <v>0.0</v>
      </c>
      <c r="AH216" s="47">
        <v>0.0</v>
      </c>
      <c r="AI216" s="47">
        <v>0.0</v>
      </c>
      <c r="AJ216" s="47">
        <v>0.0</v>
      </c>
      <c r="AK216" s="47">
        <v>0.0</v>
      </c>
      <c r="AL216" s="47">
        <v>0.0</v>
      </c>
      <c r="AM216" s="47">
        <v>0.0</v>
      </c>
      <c r="AN216" s="237">
        <v>0.0</v>
      </c>
      <c r="AO216" s="237">
        <v>6.0</v>
      </c>
      <c r="AP216" s="237">
        <v>11.0</v>
      </c>
      <c r="AQ216" s="231">
        <v>11.0</v>
      </c>
      <c r="AR216" s="231">
        <v>4.0</v>
      </c>
      <c r="AS216" s="231">
        <v>6.0</v>
      </c>
      <c r="AT216" s="69">
        <f t="shared" si="4"/>
        <v>38.0</v>
      </c>
      <c r="AU216" s="69">
        <f t="shared" si="371"/>
        <v>38.0</v>
      </c>
      <c r="AV216" s="69">
        <f t="shared" si="424"/>
        <v>41.8</v>
      </c>
      <c r="AW216" s="97">
        <f t="shared" si="486"/>
        <v>8.36</v>
      </c>
      <c r="AX216" s="97">
        <f t="shared" si="476"/>
        <v>8.36</v>
      </c>
      <c r="AY216" s="97">
        <f t="shared" si="477"/>
        <v>8.36</v>
      </c>
      <c r="AZ216" s="97">
        <f t="shared" si="478"/>
        <v>8.36</v>
      </c>
      <c r="BA216" s="97">
        <f t="shared" si="479"/>
        <v>8.36</v>
      </c>
      <c r="BB216" s="97">
        <f t="shared" si="480"/>
        <v>8.36</v>
      </c>
      <c r="BC216" s="64">
        <f t="shared" si="13"/>
        <v>50.16</v>
      </c>
      <c r="BD216" s="69">
        <f>VLOOKUP(D216,FEB23SOH,3,false)</f>
        <v>37.0</v>
      </c>
      <c r="BE216" s="201">
        <f>VLOOKUP(D216,VALUEFEB23,4,false)</f>
        <v>28.0489</v>
      </c>
      <c r="BF216" s="215">
        <f t="shared" si="431"/>
        <v>1037.8093</v>
      </c>
      <c r="BI216" s="217"/>
      <c r="BJ216" s="217"/>
      <c r="BK216" s="217"/>
      <c r="BL216" s="217"/>
      <c r="BM216" s="95"/>
      <c r="BN216" s="65"/>
      <c r="BO216" s="65">
        <f t="shared" si="21"/>
      </c>
      <c r="BP216" s="65"/>
      <c r="BR216" s="65"/>
      <c r="BS216" s="65">
        <f t="shared" si="25"/>
      </c>
      <c r="BT216" s="65"/>
      <c r="BU216" s="194"/>
      <c r="BV216" s="65"/>
      <c r="BW216" s="65"/>
      <c r="BX216" s="65"/>
      <c r="BY216" s="194"/>
      <c r="BZ216" s="65"/>
      <c r="CA216" s="65"/>
      <c r="CB216" s="65"/>
      <c r="CC216" s="194"/>
      <c r="CD216" s="65"/>
      <c r="CE216" s="65"/>
      <c r="CF216" s="65"/>
      <c r="CG216" s="194"/>
      <c r="CH216" s="65"/>
      <c r="CI216" s="65"/>
      <c r="CJ216" s="65"/>
      <c r="CK216" s="194"/>
    </row>
    <row r="217" ht="14.0" customFormat="1" s="47">
      <c r="A217" s="47" t="s">
        <v>569</v>
      </c>
      <c r="B217" s="47" t="s">
        <v>620</v>
      </c>
      <c r="C217" s="47" t="s">
        <v>764</v>
      </c>
      <c r="D217" s="185" t="s">
        <v>765</v>
      </c>
      <c r="AD217" s="47">
        <v>0.0</v>
      </c>
      <c r="AE217" s="47">
        <v>0.0</v>
      </c>
      <c r="AF217" s="47">
        <v>0.0</v>
      </c>
      <c r="AG217" s="47">
        <v>0.0</v>
      </c>
      <c r="AH217" s="47">
        <v>0.0</v>
      </c>
      <c r="AI217" s="47">
        <v>0.0</v>
      </c>
      <c r="AJ217" s="47">
        <v>0.0</v>
      </c>
      <c r="AK217" s="47">
        <v>0.0</v>
      </c>
      <c r="AL217" s="47">
        <v>0.0</v>
      </c>
      <c r="AM217" s="47">
        <v>0.0</v>
      </c>
      <c r="AN217" s="237">
        <v>0.0</v>
      </c>
      <c r="AO217" s="237">
        <v>0.0</v>
      </c>
      <c r="AP217" s="237">
        <v>24.0</v>
      </c>
      <c r="AQ217" s="231">
        <v>36.0</v>
      </c>
      <c r="AR217" s="231">
        <v>12.0</v>
      </c>
      <c r="AS217" s="231">
        <v>37.0</v>
      </c>
      <c r="AT217" s="69">
        <f t="shared" si="4"/>
        <v>109.0</v>
      </c>
      <c r="AU217" s="69">
        <f t="shared" si="371"/>
        <v>109.0</v>
      </c>
      <c r="AV217" s="69">
        <f t="shared" si="424"/>
        <v>119.9</v>
      </c>
      <c r="AW217" s="65">
        <f t="shared" si="486"/>
        <v>23.98</v>
      </c>
      <c r="AX217" s="65">
        <f t="shared" si="476"/>
        <v>23.98</v>
      </c>
      <c r="AY217" s="65">
        <f t="shared" si="477"/>
        <v>23.98</v>
      </c>
      <c r="AZ217" s="65">
        <f t="shared" si="478"/>
        <v>23.98</v>
      </c>
      <c r="BA217" s="65">
        <f t="shared" si="479"/>
        <v>23.98</v>
      </c>
      <c r="BB217" s="65">
        <f t="shared" si="480"/>
        <v>23.98</v>
      </c>
      <c r="BC217" s="64">
        <f t="shared" si="13"/>
        <v>143.88</v>
      </c>
      <c r="BD217" s="69">
        <f>VLOOKUP(D217,FEB23SOH,3,false)</f>
        <v>12.0</v>
      </c>
      <c r="BE217" s="201">
        <f>VLOOKUP(D217,VALUEFEB23,4,false)</f>
        <v>1.0054</v>
      </c>
      <c r="BF217" s="215">
        <f t="shared" si="431"/>
        <v>12.0648</v>
      </c>
      <c r="BG217" s="64"/>
      <c r="BH217" s="64"/>
      <c r="BI217" s="193">
        <f t="shared" ref="BI217:BI228" si="488">BD217+BG217+BH217-BC217</f>
        <v>-131.88</v>
      </c>
      <c r="BJ217" s="217">
        <v>501.0</v>
      </c>
      <c r="BK217" s="185">
        <f t="shared" ref="BK217:BK219" si="489">BI217*-1</f>
        <v>131.88</v>
      </c>
      <c r="BL217" s="103" t="s">
        <v>518</v>
      </c>
      <c r="BM217" s="95">
        <f t="shared" ref="BM217:BM228" si="490">BD217</f>
        <v>12.0</v>
      </c>
      <c r="BN217" s="65">
        <f t="shared" ref="BN217:BN228" si="491">AW217</f>
        <v>23.98</v>
      </c>
      <c r="BO217" s="65">
        <f t="shared" si="21"/>
      </c>
      <c r="BP217" s="65">
        <f t="shared" ref="BP217:BP228" si="492">BM217+BO217-BN217</f>
        <v>-11.98</v>
      </c>
      <c r="BQ217" s="194">
        <f t="shared" ref="BQ217:BQ228" si="493">BP217*BE217</f>
        <v>-12.044692</v>
      </c>
      <c r="BR217" s="65">
        <f t="shared" ref="BR217:BR228" si="494">AX217</f>
        <v>23.98</v>
      </c>
      <c r="BS217" s="65">
        <f t="shared" si="25"/>
      </c>
      <c r="BT217" s="65">
        <f t="shared" ref="BT217:BT228" si="495">BP217+BS217-BR217</f>
        <v>-35.96</v>
      </c>
      <c r="BU217" s="194">
        <f t="shared" ref="BU217:BU228" si="496">BT217*BE217</f>
        <v>-36.154184</v>
      </c>
      <c r="BV217" s="65">
        <f t="shared" ref="BV217:BV228" si="497">AY217</f>
        <v>23.98</v>
      </c>
      <c r="BW217" s="65">
        <f t="shared" ref="BW217:BW228" si="498">BH217</f>
      </c>
      <c r="BX217" s="65">
        <f t="shared" ref="BX217:BX228" si="499">BT217+BW217-BV217</f>
        <v>-59.94</v>
      </c>
      <c r="BY217" s="194">
        <f t="shared" ref="BY217:BY228" si="500">BX217*BE217</f>
        <v>-60.263676</v>
      </c>
      <c r="BZ217" s="65">
        <f t="shared" ref="BZ217:BZ228" si="501">AZ217</f>
        <v>23.98</v>
      </c>
      <c r="CA217" s="65"/>
      <c r="CB217" s="65">
        <f t="shared" ref="CB217:CB228" si="502">BX217+CA217-BZ217</f>
        <v>-83.92</v>
      </c>
      <c r="CC217" s="194">
        <f t="shared" ref="CC217:CC228" si="503">CB217*BE217</f>
        <v>-84.373168</v>
      </c>
      <c r="CD217" s="65">
        <f t="shared" ref="CD217:CD228" si="504">BA217</f>
        <v>23.98</v>
      </c>
      <c r="CE217" s="65"/>
      <c r="CF217" s="65">
        <f t="shared" ref="CF217:CF228" si="505">CB217+CE217-CD217</f>
        <v>-107.9</v>
      </c>
      <c r="CG217" s="194">
        <f t="shared" ref="CG217:CG228" si="506">CF217*BE217</f>
        <v>-108.48266</v>
      </c>
      <c r="CH217" s="65">
        <f t="shared" ref="CH217:CH228" si="507">BB217</f>
        <v>23.98</v>
      </c>
      <c r="CI217" s="65"/>
      <c r="CJ217" s="65">
        <f t="shared" ref="CJ217:CJ228" si="508">CF217+CI217-CH217</f>
        <v>-131.88</v>
      </c>
      <c r="CK217" s="194">
        <f t="shared" ref="CK217:CK228" si="509">CF217*BE217</f>
        <v>-108.48266</v>
      </c>
    </row>
    <row r="218" ht="14.0" customFormat="1" s="47">
      <c r="A218" s="47" t="s">
        <v>569</v>
      </c>
      <c r="B218" s="47" t="s">
        <v>620</v>
      </c>
      <c r="C218" s="47" t="s">
        <v>766</v>
      </c>
      <c r="D218" s="185" t="s">
        <v>767</v>
      </c>
      <c r="AD218" s="47">
        <v>0.0</v>
      </c>
      <c r="AE218" s="47">
        <v>0.0</v>
      </c>
      <c r="AF218" s="47">
        <v>0.0</v>
      </c>
      <c r="AG218" s="47">
        <v>0.0</v>
      </c>
      <c r="AH218" s="47">
        <v>0.0</v>
      </c>
      <c r="AI218" s="47">
        <v>0.0</v>
      </c>
      <c r="AJ218" s="47">
        <v>0.0</v>
      </c>
      <c r="AK218" s="47">
        <v>0.0</v>
      </c>
      <c r="AL218" s="47">
        <v>0.0</v>
      </c>
      <c r="AM218" s="47">
        <v>0.0</v>
      </c>
      <c r="AN218" s="237">
        <v>0.0</v>
      </c>
      <c r="AO218" s="237">
        <v>0.0</v>
      </c>
      <c r="AP218" s="237">
        <v>30.0</v>
      </c>
      <c r="AQ218" s="231">
        <v>18.0</v>
      </c>
      <c r="AR218" s="231">
        <v>18.0</v>
      </c>
      <c r="AS218" s="231">
        <v>29.0</v>
      </c>
      <c r="AT218" s="69">
        <f t="shared" si="4"/>
        <v>95.0</v>
      </c>
      <c r="AU218" s="69">
        <f t="shared" si="371"/>
        <v>95.0</v>
      </c>
      <c r="AV218" s="69">
        <f t="shared" si="424"/>
        <v>104.5</v>
      </c>
      <c r="AW218" s="65">
        <f t="shared" si="486"/>
        <v>20.9</v>
      </c>
      <c r="AX218" s="65">
        <f t="shared" si="476"/>
        <v>20.9</v>
      </c>
      <c r="AY218" s="65">
        <f t="shared" si="477"/>
        <v>20.9</v>
      </c>
      <c r="AZ218" s="65">
        <f t="shared" si="478"/>
        <v>20.9</v>
      </c>
      <c r="BA218" s="65">
        <f t="shared" si="479"/>
        <v>20.9</v>
      </c>
      <c r="BB218" s="65">
        <f t="shared" si="480"/>
        <v>20.9</v>
      </c>
      <c r="BC218" s="64">
        <f t="shared" si="13"/>
        <v>125.4</v>
      </c>
      <c r="BD218" s="69">
        <f>VLOOKUP(D218,FEB23SOH,3,false)</f>
        <v>30.0</v>
      </c>
      <c r="BE218" s="201">
        <f>VLOOKUP(D218,VALUEFEB23,4,false)</f>
        <v>1.0056</v>
      </c>
      <c r="BF218" s="215">
        <f t="shared" si="431"/>
        <v>30.168</v>
      </c>
      <c r="BG218" s="64"/>
      <c r="BH218" s="64"/>
      <c r="BI218" s="193">
        <f t="shared" si="488"/>
        <v>-95.4</v>
      </c>
      <c r="BJ218" s="217">
        <v>501.0</v>
      </c>
      <c r="BK218" s="185">
        <f t="shared" si="489"/>
        <v>95.4</v>
      </c>
      <c r="BL218" s="103" t="s">
        <v>519</v>
      </c>
      <c r="BM218" s="95">
        <f t="shared" si="490"/>
        <v>30.0</v>
      </c>
      <c r="BN218" s="65">
        <f t="shared" si="491"/>
        <v>20.9</v>
      </c>
      <c r="BO218" s="65">
        <f t="shared" si="21"/>
      </c>
      <c r="BP218" s="65">
        <f t="shared" si="492"/>
        <v>9.1</v>
      </c>
      <c r="BQ218" s="194">
        <f t="shared" si="493"/>
        <v>9.15096</v>
      </c>
      <c r="BR218" s="65">
        <f t="shared" si="494"/>
        <v>20.9</v>
      </c>
      <c r="BS218" s="65">
        <f t="shared" si="25"/>
      </c>
      <c r="BT218" s="65">
        <f t="shared" si="495"/>
        <v>-11.7999999999998</v>
      </c>
      <c r="BU218" s="194">
        <f t="shared" si="496"/>
        <v>-11.8660799999998</v>
      </c>
      <c r="BV218" s="65">
        <f t="shared" si="497"/>
        <v>20.9</v>
      </c>
      <c r="BW218" s="65">
        <f t="shared" si="498"/>
      </c>
      <c r="BX218" s="65">
        <f t="shared" si="499"/>
        <v>-32.6999999999998</v>
      </c>
      <c r="BY218" s="194">
        <f t="shared" si="500"/>
        <v>-32.8831199999998</v>
      </c>
      <c r="BZ218" s="65">
        <f t="shared" si="501"/>
        <v>20.9</v>
      </c>
      <c r="CA218" s="65"/>
      <c r="CB218" s="65">
        <f t="shared" si="502"/>
        <v>-53.5999999999996</v>
      </c>
      <c r="CC218" s="194">
        <f t="shared" si="503"/>
        <v>-53.9001599999996</v>
      </c>
      <c r="CD218" s="65">
        <f t="shared" si="504"/>
        <v>20.9</v>
      </c>
      <c r="CE218" s="65"/>
      <c r="CF218" s="65">
        <f t="shared" si="505"/>
        <v>-74.4999999999996</v>
      </c>
      <c r="CG218" s="194">
        <f t="shared" si="506"/>
        <v>-74.9171999999996</v>
      </c>
      <c r="CH218" s="65">
        <f t="shared" si="507"/>
        <v>20.9</v>
      </c>
      <c r="CI218" s="65"/>
      <c r="CJ218" s="65">
        <f t="shared" si="508"/>
        <v>-95.3999999999996</v>
      </c>
      <c r="CK218" s="194">
        <f t="shared" si="509"/>
        <v>-74.9171999999996</v>
      </c>
    </row>
    <row r="219" ht="14.0" customFormat="1" s="47">
      <c r="A219" s="47" t="s">
        <v>569</v>
      </c>
      <c r="B219" s="47" t="s">
        <v>620</v>
      </c>
      <c r="C219" s="47" t="s">
        <v>768</v>
      </c>
      <c r="D219" s="185" t="s">
        <v>769</v>
      </c>
      <c r="AD219" s="47">
        <v>0.0</v>
      </c>
      <c r="AE219" s="47">
        <v>0.0</v>
      </c>
      <c r="AF219" s="47">
        <v>0.0</v>
      </c>
      <c r="AG219" s="47">
        <v>0.0</v>
      </c>
      <c r="AH219" s="47">
        <v>0.0</v>
      </c>
      <c r="AI219" s="47">
        <v>0.0</v>
      </c>
      <c r="AJ219" s="47">
        <v>0.0</v>
      </c>
      <c r="AK219" s="47">
        <v>0.0</v>
      </c>
      <c r="AL219" s="47">
        <v>0.0</v>
      </c>
      <c r="AM219" s="47">
        <v>0.0</v>
      </c>
      <c r="AN219" s="237">
        <v>0.0</v>
      </c>
      <c r="AO219" s="237">
        <v>0.0</v>
      </c>
      <c r="AP219" s="237">
        <v>32.0</v>
      </c>
      <c r="AQ219" s="231">
        <v>48.0</v>
      </c>
      <c r="AR219" s="231">
        <v>42.0</v>
      </c>
      <c r="AS219" s="231">
        <v>22.0</v>
      </c>
      <c r="AT219" s="69">
        <f t="shared" si="4"/>
        <v>144.0</v>
      </c>
      <c r="AU219" s="69">
        <f t="shared" si="371"/>
        <v>144.0</v>
      </c>
      <c r="AV219" s="69">
        <f t="shared" si="424"/>
        <v>158.4</v>
      </c>
      <c r="AW219" s="65">
        <f t="shared" si="486"/>
        <v>31.68</v>
      </c>
      <c r="AX219" s="65">
        <f t="shared" si="476"/>
        <v>31.68</v>
      </c>
      <c r="AY219" s="65">
        <f t="shared" si="477"/>
        <v>31.68</v>
      </c>
      <c r="AZ219" s="65">
        <f t="shared" si="478"/>
        <v>31.68</v>
      </c>
      <c r="BA219" s="65">
        <f t="shared" si="479"/>
        <v>31.68</v>
      </c>
      <c r="BB219" s="65">
        <f t="shared" si="480"/>
        <v>31.68</v>
      </c>
      <c r="BC219" s="64">
        <f t="shared" si="13"/>
        <v>190.08</v>
      </c>
      <c r="BD219" s="69">
        <f>VLOOKUP(D219,FEB23SOH,3,false)</f>
        <v>-36.0</v>
      </c>
      <c r="BE219" s="201">
        <f>VLOOKUP(D219,VALUEFEB23,4,false)</f>
        <v>1.005</v>
      </c>
      <c r="BF219" s="215">
        <f t="shared" si="431"/>
        <v>-36.1799999999998</v>
      </c>
      <c r="BG219" s="64"/>
      <c r="BH219" s="64"/>
      <c r="BI219" s="193">
        <f t="shared" si="488"/>
        <v>-226.08</v>
      </c>
      <c r="BJ219" s="67">
        <v>501.0</v>
      </c>
      <c r="BK219" s="185">
        <f t="shared" si="489"/>
        <v>226.08</v>
      </c>
      <c r="BL219" s="103" t="s">
        <v>73</v>
      </c>
      <c r="BM219" s="95">
        <f t="shared" si="490"/>
        <v>-36.0</v>
      </c>
      <c r="BN219" s="65">
        <f t="shared" si="491"/>
        <v>31.68</v>
      </c>
      <c r="BO219" s="65">
        <f t="shared" si="21"/>
      </c>
      <c r="BP219" s="65">
        <f t="shared" si="492"/>
        <v>-67.68</v>
      </c>
      <c r="BQ219" s="194">
        <f t="shared" si="493"/>
        <v>-68.0184</v>
      </c>
      <c r="BR219" s="65">
        <f t="shared" si="494"/>
        <v>31.68</v>
      </c>
      <c r="BS219" s="65">
        <f t="shared" si="25"/>
      </c>
      <c r="BT219" s="65">
        <f t="shared" si="495"/>
        <v>-99.36</v>
      </c>
      <c r="BU219" s="194">
        <f t="shared" si="496"/>
        <v>-99.8567999999998</v>
      </c>
      <c r="BV219" s="65">
        <f t="shared" si="497"/>
        <v>31.68</v>
      </c>
      <c r="BW219" s="65">
        <f t="shared" si="498"/>
      </c>
      <c r="BX219" s="65">
        <f t="shared" si="499"/>
        <v>-131.04</v>
      </c>
      <c r="BY219" s="194">
        <f t="shared" si="500"/>
        <v>-131.695199999998</v>
      </c>
      <c r="BZ219" s="65">
        <f t="shared" si="501"/>
        <v>31.68</v>
      </c>
      <c r="CA219" s="65"/>
      <c r="CB219" s="65">
        <f t="shared" si="502"/>
        <v>-162.72</v>
      </c>
      <c r="CC219" s="194">
        <f t="shared" si="503"/>
        <v>-163.53359999998</v>
      </c>
      <c r="CD219" s="65">
        <f t="shared" si="504"/>
        <v>31.68</v>
      </c>
      <c r="CE219" s="65"/>
      <c r="CF219" s="65">
        <f t="shared" si="505"/>
        <v>-194.4</v>
      </c>
      <c r="CG219" s="194">
        <f t="shared" si="506"/>
        <v>-195.371999999998</v>
      </c>
      <c r="CH219" s="65">
        <f t="shared" si="507"/>
        <v>31.68</v>
      </c>
      <c r="CI219" s="65"/>
      <c r="CJ219" s="65">
        <f t="shared" si="508"/>
        <v>-226.08</v>
      </c>
      <c r="CK219" s="194">
        <f t="shared" si="509"/>
        <v>-195.371999999998</v>
      </c>
    </row>
    <row r="220" ht="14.0">
      <c r="A220" s="47" t="s">
        <v>569</v>
      </c>
      <c r="B220" s="47" t="s">
        <v>45</v>
      </c>
      <c r="C220" s="47" t="s">
        <v>770</v>
      </c>
      <c r="D220" s="185" t="s">
        <v>771</v>
      </c>
      <c r="AD220" s="47">
        <v>0.0</v>
      </c>
      <c r="AE220" s="47">
        <v>0.0</v>
      </c>
      <c r="AF220" s="47">
        <v>0.0</v>
      </c>
      <c r="AG220" s="47">
        <v>0.0</v>
      </c>
      <c r="AH220" s="47">
        <v>0.0</v>
      </c>
      <c r="AI220" s="47">
        <v>0.0</v>
      </c>
      <c r="AJ220" s="47">
        <v>0.0</v>
      </c>
      <c r="AK220" s="47">
        <v>0.0</v>
      </c>
      <c r="AL220" s="47">
        <v>0.0</v>
      </c>
      <c r="AM220" s="47">
        <v>0.0</v>
      </c>
      <c r="AN220" s="237">
        <v>0.0</v>
      </c>
      <c r="AO220" s="237">
        <v>3.0</v>
      </c>
      <c r="AP220" s="237">
        <v>4.0</v>
      </c>
      <c r="AQ220" s="231">
        <v>0.0</v>
      </c>
      <c r="AR220" s="231">
        <v>0.0</v>
      </c>
      <c r="AS220" s="231">
        <v>0.0</v>
      </c>
      <c r="AT220" s="69">
        <f t="shared" si="4"/>
        <v>7.0</v>
      </c>
      <c r="AU220" s="69">
        <f t="shared" si="371"/>
        <v>7.0</v>
      </c>
      <c r="AV220" s="69">
        <f t="shared" si="424"/>
        <v>7.7</v>
      </c>
      <c r="AW220" s="65">
        <f t="shared" si="486"/>
        <v>1.54</v>
      </c>
      <c r="AX220" s="65">
        <f t="shared" si="476"/>
        <v>1.54</v>
      </c>
      <c r="AY220" s="65">
        <f t="shared" si="477"/>
        <v>1.54</v>
      </c>
      <c r="AZ220" s="65">
        <f t="shared" si="478"/>
        <v>1.54</v>
      </c>
      <c r="BA220" s="65">
        <f t="shared" si="479"/>
        <v>1.54</v>
      </c>
      <c r="BB220" s="65">
        <f t="shared" si="480"/>
        <v>1.54</v>
      </c>
      <c r="BC220" s="64">
        <f t="shared" si="13"/>
        <v>9.24</v>
      </c>
      <c r="BD220" s="69">
        <f>VLOOKUP(D220,FEB23SOH,3,false)</f>
        <v>88.0</v>
      </c>
      <c r="BE220" s="201">
        <f>VLOOKUP(D220,VALUEFEB23,4,false)</f>
        <v>121.0869</v>
      </c>
      <c r="BF220" s="215">
        <f t="shared" si="431"/>
        <v>10655.6472</v>
      </c>
      <c r="BI220" s="193">
        <f t="shared" si="488"/>
        <v>78.76</v>
      </c>
      <c r="BK220" s="186"/>
      <c r="BL220" s="103"/>
      <c r="BM220" s="95">
        <f t="shared" si="490"/>
        <v>88.0</v>
      </c>
      <c r="BN220" s="65">
        <f t="shared" si="491"/>
        <v>1.54</v>
      </c>
      <c r="BO220" s="65">
        <f t="shared" si="21"/>
      </c>
      <c r="BP220" s="65">
        <f t="shared" si="492"/>
        <v>86.46</v>
      </c>
      <c r="BQ220" s="194">
        <f t="shared" si="493"/>
        <v>10469.173374</v>
      </c>
      <c r="BR220" s="65">
        <f t="shared" si="494"/>
        <v>1.54</v>
      </c>
      <c r="BS220" s="65">
        <f t="shared" si="25"/>
      </c>
      <c r="BT220" s="65">
        <f t="shared" si="495"/>
        <v>84.92</v>
      </c>
      <c r="BU220" s="194">
        <f t="shared" si="496"/>
        <v>10282.699548</v>
      </c>
      <c r="BV220" s="65">
        <f t="shared" si="497"/>
        <v>1.54</v>
      </c>
      <c r="BW220" s="65">
        <f t="shared" si="498"/>
      </c>
      <c r="BX220" s="65">
        <f t="shared" si="499"/>
        <v>83.38</v>
      </c>
      <c r="BY220" s="194">
        <f t="shared" si="500"/>
        <v>10096.225722</v>
      </c>
      <c r="BZ220" s="65">
        <f t="shared" si="501"/>
        <v>1.54</v>
      </c>
      <c r="CA220" s="65"/>
      <c r="CB220" s="65">
        <f t="shared" si="502"/>
        <v>81.84</v>
      </c>
      <c r="CC220" s="194">
        <f t="shared" si="503"/>
        <v>9909.751896</v>
      </c>
      <c r="CD220" s="65">
        <f t="shared" si="504"/>
        <v>1.54</v>
      </c>
      <c r="CE220" s="65"/>
      <c r="CF220" s="65">
        <f t="shared" si="505"/>
        <v>80.3</v>
      </c>
      <c r="CG220" s="194">
        <f t="shared" si="506"/>
        <v>9723.27807</v>
      </c>
      <c r="CH220" s="65">
        <f t="shared" si="507"/>
        <v>1.54</v>
      </c>
      <c r="CI220" s="65"/>
      <c r="CJ220" s="65">
        <f t="shared" si="508"/>
        <v>78.76</v>
      </c>
      <c r="CK220" s="194">
        <f t="shared" si="509"/>
        <v>9723.27807</v>
      </c>
    </row>
    <row r="221" ht="14.0">
      <c r="A221" s="47" t="s">
        <v>569</v>
      </c>
      <c r="B221" s="47" t="s">
        <v>725</v>
      </c>
      <c r="C221" s="47" t="s">
        <v>772</v>
      </c>
      <c r="D221" s="185" t="s">
        <v>773</v>
      </c>
      <c r="AD221" s="47">
        <v>0.0</v>
      </c>
      <c r="AE221" s="47">
        <v>0.0</v>
      </c>
      <c r="AF221" s="47">
        <v>0.0</v>
      </c>
      <c r="AG221" s="47">
        <v>0.0</v>
      </c>
      <c r="AH221" s="47">
        <v>0.0</v>
      </c>
      <c r="AI221" s="47">
        <v>0.0</v>
      </c>
      <c r="AJ221" s="47">
        <v>0.0</v>
      </c>
      <c r="AK221" s="47">
        <v>0.0</v>
      </c>
      <c r="AL221" s="47">
        <v>0.0</v>
      </c>
      <c r="AM221" s="47">
        <v>0.0</v>
      </c>
      <c r="AN221" s="237">
        <v>0.0</v>
      </c>
      <c r="AO221" s="237">
        <v>4.0</v>
      </c>
      <c r="AP221" s="237">
        <v>8.0</v>
      </c>
      <c r="AQ221" s="231">
        <v>12.0</v>
      </c>
      <c r="AR221" s="231">
        <v>8.0</v>
      </c>
      <c r="AS221" s="231">
        <v>15.0</v>
      </c>
      <c r="AT221" s="69">
        <f t="shared" si="4"/>
        <v>47.0</v>
      </c>
      <c r="AU221" s="69">
        <f t="shared" si="371"/>
        <v>47.0</v>
      </c>
      <c r="AV221" s="69">
        <f t="shared" si="424"/>
        <v>51.7</v>
      </c>
      <c r="AW221" s="65">
        <f t="shared" si="486"/>
        <v>10.34</v>
      </c>
      <c r="AX221" s="65">
        <f t="shared" si="476"/>
        <v>10.34</v>
      </c>
      <c r="AY221" s="65">
        <f t="shared" si="477"/>
        <v>10.34</v>
      </c>
      <c r="AZ221" s="65">
        <f t="shared" si="478"/>
        <v>10.34</v>
      </c>
      <c r="BA221" s="65">
        <f t="shared" si="479"/>
        <v>10.34</v>
      </c>
      <c r="BB221" s="65">
        <f t="shared" si="480"/>
        <v>10.34</v>
      </c>
      <c r="BC221" s="64">
        <f t="shared" si="13"/>
        <v>62.04</v>
      </c>
      <c r="BD221" s="69">
        <f>VLOOKUP(D221,FEB23SOH,3,false)</f>
        <v>964.0</v>
      </c>
      <c r="BE221" s="201">
        <f>VLOOKUP(D221,VALUEFEB23,4,false)</f>
        <v>1.9237</v>
      </c>
      <c r="BF221" s="215">
        <f t="shared" si="431"/>
        <v>1854.4468</v>
      </c>
      <c r="BI221" s="193">
        <f t="shared" si="488"/>
        <v>901.96</v>
      </c>
      <c r="BK221" s="186"/>
      <c r="BL221" s="103"/>
      <c r="BM221" s="95">
        <f t="shared" si="490"/>
        <v>964.0</v>
      </c>
      <c r="BN221" s="65">
        <f t="shared" si="491"/>
        <v>10.34</v>
      </c>
      <c r="BO221" s="65">
        <f t="shared" si="21"/>
      </c>
      <c r="BP221" s="65">
        <f t="shared" si="492"/>
        <v>953.66</v>
      </c>
      <c r="BQ221" s="194">
        <f t="shared" si="493"/>
        <v>1834.555742</v>
      </c>
      <c r="BR221" s="65">
        <f t="shared" si="494"/>
        <v>10.34</v>
      </c>
      <c r="BS221" s="65">
        <f t="shared" si="25"/>
      </c>
      <c r="BT221" s="65">
        <f t="shared" si="495"/>
        <v>943.32</v>
      </c>
      <c r="BU221" s="194">
        <f t="shared" si="496"/>
        <v>1814.664684</v>
      </c>
      <c r="BV221" s="65">
        <f t="shared" si="497"/>
        <v>10.34</v>
      </c>
      <c r="BW221" s="65">
        <f t="shared" si="498"/>
      </c>
      <c r="BX221" s="65">
        <f t="shared" si="499"/>
        <v>932.98</v>
      </c>
      <c r="BY221" s="194">
        <f t="shared" si="500"/>
        <v>1794.773626</v>
      </c>
      <c r="BZ221" s="65">
        <f t="shared" si="501"/>
        <v>10.34</v>
      </c>
      <c r="CA221" s="65"/>
      <c r="CB221" s="65">
        <f t="shared" si="502"/>
        <v>922.64</v>
      </c>
      <c r="CC221" s="194">
        <f t="shared" si="503"/>
        <v>1774.882568</v>
      </c>
      <c r="CD221" s="65">
        <f t="shared" si="504"/>
        <v>10.34</v>
      </c>
      <c r="CE221" s="65"/>
      <c r="CF221" s="65">
        <f t="shared" si="505"/>
        <v>912.3</v>
      </c>
      <c r="CG221" s="194">
        <f t="shared" si="506"/>
        <v>1754.99151</v>
      </c>
      <c r="CH221" s="65">
        <f t="shared" si="507"/>
        <v>10.34</v>
      </c>
      <c r="CI221" s="65"/>
      <c r="CJ221" s="65">
        <f t="shared" si="508"/>
        <v>901.96</v>
      </c>
      <c r="CK221" s="194">
        <f t="shared" si="509"/>
        <v>1754.99151</v>
      </c>
    </row>
    <row r="222" ht="14.0">
      <c r="A222" s="47" t="s">
        <v>569</v>
      </c>
      <c r="B222" s="47" t="s">
        <v>725</v>
      </c>
      <c r="C222" s="47" t="s">
        <v>774</v>
      </c>
      <c r="D222" s="185" t="s">
        <v>775</v>
      </c>
      <c r="AD222" s="47">
        <v>0.0</v>
      </c>
      <c r="AE222" s="47">
        <v>0.0</v>
      </c>
      <c r="AF222" s="47">
        <v>0.0</v>
      </c>
      <c r="AG222" s="47">
        <v>0.0</v>
      </c>
      <c r="AH222" s="47">
        <v>0.0</v>
      </c>
      <c r="AI222" s="47">
        <v>0.0</v>
      </c>
      <c r="AJ222" s="47">
        <v>0.0</v>
      </c>
      <c r="AK222" s="47">
        <v>0.0</v>
      </c>
      <c r="AL222" s="47">
        <v>0.0</v>
      </c>
      <c r="AM222" s="47">
        <v>0.0</v>
      </c>
      <c r="AN222" s="237">
        <v>0.0</v>
      </c>
      <c r="AO222" s="237">
        <v>20.0</v>
      </c>
      <c r="AP222" s="237">
        <v>32.0</v>
      </c>
      <c r="AQ222" s="231">
        <v>16.0</v>
      </c>
      <c r="AR222" s="231">
        <v>4.0</v>
      </c>
      <c r="AS222" s="231">
        <v>10.0</v>
      </c>
      <c r="AT222" s="69">
        <f t="shared" si="4"/>
        <v>82.0</v>
      </c>
      <c r="AU222" s="69">
        <f t="shared" si="371"/>
        <v>82.0</v>
      </c>
      <c r="AV222" s="69">
        <f t="shared" si="424"/>
        <v>90.2</v>
      </c>
      <c r="AW222" s="65">
        <f t="shared" si="486"/>
        <v>18.04</v>
      </c>
      <c r="AX222" s="65">
        <f t="shared" si="476"/>
        <v>18.04</v>
      </c>
      <c r="AY222" s="65">
        <f t="shared" si="477"/>
        <v>18.04</v>
      </c>
      <c r="AZ222" s="65">
        <f t="shared" si="478"/>
        <v>18.04</v>
      </c>
      <c r="BA222" s="65">
        <f t="shared" si="479"/>
        <v>18.04</v>
      </c>
      <c r="BB222" s="65">
        <f t="shared" si="480"/>
        <v>18.04</v>
      </c>
      <c r="BC222" s="64">
        <f t="shared" si="13"/>
        <v>108.24</v>
      </c>
      <c r="BD222" s="69">
        <f>VLOOKUP(D222,FEB23SOH,3,false)</f>
        <v>904.0</v>
      </c>
      <c r="BE222" s="201">
        <f>VLOOKUP(D222,VALUEFEB23,4,false)</f>
        <v>1.9237</v>
      </c>
      <c r="BF222" s="215">
        <f t="shared" si="431"/>
        <v>1739.0248</v>
      </c>
      <c r="BI222" s="193">
        <f t="shared" si="488"/>
        <v>795.76</v>
      </c>
      <c r="BK222" s="186"/>
      <c r="BL222" s="103"/>
      <c r="BM222" s="95">
        <f t="shared" si="490"/>
        <v>904.0</v>
      </c>
      <c r="BN222" s="65">
        <f t="shared" si="491"/>
        <v>18.04</v>
      </c>
      <c r="BO222" s="65">
        <f t="shared" si="21"/>
      </c>
      <c r="BP222" s="65">
        <f t="shared" si="492"/>
        <v>885.96</v>
      </c>
      <c r="BQ222" s="194">
        <f t="shared" si="493"/>
        <v>1704.321252</v>
      </c>
      <c r="BR222" s="65">
        <f t="shared" si="494"/>
        <v>18.04</v>
      </c>
      <c r="BS222" s="65">
        <f t="shared" si="25"/>
      </c>
      <c r="BT222" s="65">
        <f t="shared" si="495"/>
        <v>867.92</v>
      </c>
      <c r="BU222" s="194">
        <f t="shared" si="496"/>
        <v>1669.617704</v>
      </c>
      <c r="BV222" s="65">
        <f t="shared" si="497"/>
        <v>18.04</v>
      </c>
      <c r="BW222" s="65">
        <f t="shared" si="498"/>
      </c>
      <c r="BX222" s="65">
        <f t="shared" si="499"/>
        <v>849.88</v>
      </c>
      <c r="BY222" s="194">
        <f t="shared" si="500"/>
        <v>1634.914156</v>
      </c>
      <c r="BZ222" s="65">
        <f t="shared" si="501"/>
        <v>18.04</v>
      </c>
      <c r="CA222" s="65"/>
      <c r="CB222" s="65">
        <f t="shared" si="502"/>
        <v>831.84</v>
      </c>
      <c r="CC222" s="194">
        <f t="shared" si="503"/>
        <v>1600.210608</v>
      </c>
      <c r="CD222" s="65">
        <f t="shared" si="504"/>
        <v>18.04</v>
      </c>
      <c r="CE222" s="65"/>
      <c r="CF222" s="65">
        <f t="shared" si="505"/>
        <v>813.8</v>
      </c>
      <c r="CG222" s="194">
        <f t="shared" si="506"/>
        <v>1565.50706</v>
      </c>
      <c r="CH222" s="65">
        <f t="shared" si="507"/>
        <v>18.04</v>
      </c>
      <c r="CI222" s="65"/>
      <c r="CJ222" s="65">
        <f t="shared" si="508"/>
        <v>795.76</v>
      </c>
      <c r="CK222" s="194">
        <f t="shared" si="509"/>
        <v>1565.50706</v>
      </c>
    </row>
    <row r="223" ht="14.0">
      <c r="A223" s="47" t="s">
        <v>569</v>
      </c>
      <c r="B223" s="47" t="s">
        <v>725</v>
      </c>
      <c r="C223" s="47" t="s">
        <v>776</v>
      </c>
      <c r="D223" s="185" t="s">
        <v>777</v>
      </c>
      <c r="AD223" s="47">
        <v>0.0</v>
      </c>
      <c r="AE223" s="47">
        <v>0.0</v>
      </c>
      <c r="AF223" s="47">
        <v>0.0</v>
      </c>
      <c r="AG223" s="47">
        <v>0.0</v>
      </c>
      <c r="AH223" s="47">
        <v>0.0</v>
      </c>
      <c r="AI223" s="47">
        <v>0.0</v>
      </c>
      <c r="AJ223" s="47">
        <v>0.0</v>
      </c>
      <c r="AK223" s="47">
        <v>0.0</v>
      </c>
      <c r="AL223" s="47">
        <v>0.0</v>
      </c>
      <c r="AM223" s="47">
        <v>0.0</v>
      </c>
      <c r="AN223" s="237">
        <v>0.0</v>
      </c>
      <c r="AO223" s="237">
        <v>33.0</v>
      </c>
      <c r="AP223" s="237">
        <v>72.0</v>
      </c>
      <c r="AQ223" s="231">
        <v>48.0</v>
      </c>
      <c r="AR223" s="231">
        <v>16.0</v>
      </c>
      <c r="AS223" s="231">
        <v>44.0</v>
      </c>
      <c r="AT223" s="69">
        <f t="shared" si="4"/>
        <v>213.0</v>
      </c>
      <c r="AU223" s="69">
        <f t="shared" si="371"/>
        <v>213.0</v>
      </c>
      <c r="AV223" s="69">
        <f t="shared" si="424"/>
        <v>234.3</v>
      </c>
      <c r="AW223" s="65">
        <f t="shared" si="486"/>
        <v>46.86</v>
      </c>
      <c r="AX223" s="65">
        <f t="shared" si="476"/>
        <v>46.86</v>
      </c>
      <c r="AY223" s="65">
        <f t="shared" si="477"/>
        <v>46.86</v>
      </c>
      <c r="AZ223" s="65">
        <f t="shared" si="478"/>
        <v>46.86</v>
      </c>
      <c r="BA223" s="65">
        <f t="shared" si="479"/>
        <v>46.86</v>
      </c>
      <c r="BB223" s="65">
        <f t="shared" si="480"/>
        <v>46.86</v>
      </c>
      <c r="BC223" s="64">
        <f t="shared" si="13"/>
        <v>281.16</v>
      </c>
      <c r="BD223" s="69">
        <f>VLOOKUP(D223,FEB23SOH,3,false)</f>
        <v>787.0</v>
      </c>
      <c r="BE223" s="201">
        <f>VLOOKUP(D223,VALUEFEB23,4,false)</f>
        <v>1.9235</v>
      </c>
      <c r="BF223" s="215">
        <f t="shared" si="431"/>
        <v>1513.7945</v>
      </c>
      <c r="BI223" s="193">
        <f t="shared" si="488"/>
        <v>505.84</v>
      </c>
      <c r="BK223" s="186"/>
      <c r="BL223" s="103"/>
      <c r="BM223" s="95">
        <f t="shared" si="490"/>
        <v>787.0</v>
      </c>
      <c r="BN223" s="65">
        <f t="shared" si="491"/>
        <v>46.86</v>
      </c>
      <c r="BO223" s="65">
        <f t="shared" si="21"/>
      </c>
      <c r="BP223" s="65">
        <f t="shared" si="492"/>
        <v>740.14</v>
      </c>
      <c r="BQ223" s="194">
        <f t="shared" si="493"/>
        <v>1423.65929</v>
      </c>
      <c r="BR223" s="65">
        <f t="shared" si="494"/>
        <v>46.86</v>
      </c>
      <c r="BS223" s="65">
        <f t="shared" si="25"/>
      </c>
      <c r="BT223" s="65">
        <f t="shared" si="495"/>
        <v>693.28</v>
      </c>
      <c r="BU223" s="194">
        <f t="shared" si="496"/>
        <v>1333.52408</v>
      </c>
      <c r="BV223" s="65">
        <f t="shared" si="497"/>
        <v>46.86</v>
      </c>
      <c r="BW223" s="65">
        <f t="shared" si="498"/>
      </c>
      <c r="BX223" s="65">
        <f t="shared" si="499"/>
        <v>646.42</v>
      </c>
      <c r="BY223" s="194">
        <f t="shared" si="500"/>
        <v>1243.38887</v>
      </c>
      <c r="BZ223" s="65">
        <f t="shared" si="501"/>
        <v>46.86</v>
      </c>
      <c r="CA223" s="65"/>
      <c r="CB223" s="65">
        <f t="shared" si="502"/>
        <v>599.56</v>
      </c>
      <c r="CC223" s="194">
        <f t="shared" si="503"/>
        <v>1153.25366</v>
      </c>
      <c r="CD223" s="65">
        <f t="shared" si="504"/>
        <v>46.86</v>
      </c>
      <c r="CE223" s="65"/>
      <c r="CF223" s="65">
        <f t="shared" si="505"/>
        <v>552.7</v>
      </c>
      <c r="CG223" s="194">
        <f t="shared" si="506"/>
        <v>1063.11845</v>
      </c>
      <c r="CH223" s="65">
        <f t="shared" si="507"/>
        <v>46.86</v>
      </c>
      <c r="CI223" s="65"/>
      <c r="CJ223" s="65">
        <f t="shared" si="508"/>
        <v>505.84</v>
      </c>
      <c r="CK223" s="194">
        <f t="shared" si="509"/>
        <v>1063.11845</v>
      </c>
    </row>
    <row r="224" ht="14.0" customFormat="1" s="47">
      <c r="A224" s="47" t="s">
        <v>569</v>
      </c>
      <c r="B224" s="47" t="s">
        <v>180</v>
      </c>
      <c r="C224" s="47" t="s">
        <v>778</v>
      </c>
      <c r="D224" s="185" t="s">
        <v>779</v>
      </c>
      <c r="AD224" s="47">
        <v>0.0</v>
      </c>
      <c r="AE224" s="47">
        <v>0.0</v>
      </c>
      <c r="AF224" s="47">
        <v>0.0</v>
      </c>
      <c r="AG224" s="47">
        <v>0.0</v>
      </c>
      <c r="AH224" s="47">
        <v>0.0</v>
      </c>
      <c r="AI224" s="47">
        <v>0.0</v>
      </c>
      <c r="AJ224" s="47">
        <v>0.0</v>
      </c>
      <c r="AK224" s="47">
        <v>0.0</v>
      </c>
      <c r="AL224" s="47">
        <v>0.0</v>
      </c>
      <c r="AM224" s="47">
        <v>0.0</v>
      </c>
      <c r="AN224" s="237">
        <v>0.0</v>
      </c>
      <c r="AO224" s="237">
        <v>18.0</v>
      </c>
      <c r="AP224" s="237">
        <v>90.0</v>
      </c>
      <c r="AQ224" s="231">
        <v>60.0</v>
      </c>
      <c r="AR224" s="231">
        <v>60.0</v>
      </c>
      <c r="AS224" s="231">
        <v>65.0</v>
      </c>
      <c r="AT224" s="69">
        <f t="shared" si="4"/>
        <v>293.0</v>
      </c>
      <c r="AU224" s="69">
        <f t="shared" si="371"/>
        <v>293.0</v>
      </c>
      <c r="AV224" s="69">
        <f t="shared" si="424"/>
        <v>322.3</v>
      </c>
      <c r="AW224" s="65">
        <f t="shared" si="486"/>
        <v>64.46</v>
      </c>
      <c r="AX224" s="65">
        <f t="shared" si="476"/>
        <v>64.46</v>
      </c>
      <c r="AY224" s="65">
        <f t="shared" si="477"/>
        <v>64.46</v>
      </c>
      <c r="AZ224" s="65">
        <f t="shared" si="478"/>
        <v>64.46</v>
      </c>
      <c r="BA224" s="65">
        <f t="shared" si="479"/>
        <v>64.46</v>
      </c>
      <c r="BB224" s="65">
        <f t="shared" si="480"/>
        <v>64.46</v>
      </c>
      <c r="BC224" s="64">
        <f t="shared" si="13"/>
        <v>386.76</v>
      </c>
      <c r="BD224" s="69">
        <f>VLOOKUP(D224,FEB23SOH,3,false)</f>
        <v>220.0</v>
      </c>
      <c r="BE224" s="201">
        <f>VLOOKUP(D224,VALUEFEB23,4,false)</f>
        <v>1.139</v>
      </c>
      <c r="BF224" s="215">
        <f t="shared" si="431"/>
        <v>250.58</v>
      </c>
      <c r="BG224" s="64"/>
      <c r="BH224" s="64"/>
      <c r="BI224" s="193">
        <f t="shared" si="488"/>
        <v>-166.76</v>
      </c>
      <c r="BJ224" s="67">
        <v>501.0</v>
      </c>
      <c r="BK224" s="185">
        <f>BJ224</f>
        <v>501.0</v>
      </c>
      <c r="BL224" s="103" t="s">
        <v>4</v>
      </c>
      <c r="BM224" s="95">
        <f t="shared" si="490"/>
        <v>220.0</v>
      </c>
      <c r="BN224" s="65">
        <f t="shared" si="491"/>
        <v>64.46</v>
      </c>
      <c r="BO224" s="65">
        <f t="shared" si="21"/>
      </c>
      <c r="BP224" s="65">
        <f t="shared" si="492"/>
        <v>155.54</v>
      </c>
      <c r="BQ224" s="194">
        <f t="shared" si="493"/>
        <v>177.16006</v>
      </c>
      <c r="BR224" s="65">
        <f t="shared" si="494"/>
        <v>64.46</v>
      </c>
      <c r="BS224" s="65">
        <f t="shared" si="25"/>
      </c>
      <c r="BT224" s="65">
        <f t="shared" si="495"/>
        <v>91.08</v>
      </c>
      <c r="BU224" s="194">
        <f t="shared" si="496"/>
        <v>103.74012</v>
      </c>
      <c r="BV224" s="65">
        <f t="shared" si="497"/>
        <v>64.46</v>
      </c>
      <c r="BW224" s="65">
        <f t="shared" si="498"/>
      </c>
      <c r="BX224" s="65">
        <f t="shared" si="499"/>
        <v>26.62</v>
      </c>
      <c r="BY224" s="194">
        <f t="shared" si="500"/>
        <v>30.32018</v>
      </c>
      <c r="BZ224" s="65">
        <f t="shared" si="501"/>
        <v>64.46</v>
      </c>
      <c r="CA224" s="65"/>
      <c r="CB224" s="65">
        <f t="shared" si="502"/>
        <v>-37.8399999999998</v>
      </c>
      <c r="CC224" s="194">
        <f t="shared" si="503"/>
        <v>-43.0997599999996</v>
      </c>
      <c r="CD224" s="65">
        <f t="shared" si="504"/>
        <v>64.46</v>
      </c>
      <c r="CE224" s="65"/>
      <c r="CF224" s="65">
        <f t="shared" si="505"/>
        <v>-102.29999999998</v>
      </c>
      <c r="CG224" s="194">
        <f t="shared" si="506"/>
        <v>-116.519699999977</v>
      </c>
      <c r="CH224" s="65">
        <f t="shared" si="507"/>
        <v>64.46</v>
      </c>
      <c r="CI224" s="65"/>
      <c r="CJ224" s="65">
        <f t="shared" si="508"/>
        <v>-166.759999999978</v>
      </c>
      <c r="CK224" s="194">
        <f t="shared" si="509"/>
        <v>-116.519699999977</v>
      </c>
    </row>
    <row r="225" ht="14.0">
      <c r="A225" s="93" t="s">
        <v>179</v>
      </c>
      <c r="B225" s="93" t="s">
        <v>278</v>
      </c>
      <c r="C225" s="93" t="s">
        <v>780</v>
      </c>
      <c r="D225" s="229" t="s">
        <v>781</v>
      </c>
      <c r="AD225" s="47">
        <v>0.0</v>
      </c>
      <c r="AE225" s="47">
        <v>0.0</v>
      </c>
      <c r="AF225" s="47">
        <v>0.0</v>
      </c>
      <c r="AG225" s="47">
        <v>0.0</v>
      </c>
      <c r="AH225" s="47">
        <v>0.0</v>
      </c>
      <c r="AI225" s="47">
        <v>0.0</v>
      </c>
      <c r="AJ225" s="47">
        <v>0.0</v>
      </c>
      <c r="AK225" s="47">
        <v>0.0</v>
      </c>
      <c r="AL225" s="47">
        <v>0.0</v>
      </c>
      <c r="AM225" s="47">
        <v>0.0</v>
      </c>
      <c r="AN225" s="237">
        <v>0.0</v>
      </c>
      <c r="AO225" s="237">
        <v>0.0</v>
      </c>
      <c r="AP225" s="237">
        <v>0.0</v>
      </c>
      <c r="AQ225" s="230">
        <v>12.0</v>
      </c>
      <c r="AR225" s="230">
        <v>28.0</v>
      </c>
      <c r="AS225" s="230">
        <v>18.0</v>
      </c>
      <c r="AT225" s="69">
        <f t="shared" si="4"/>
        <v>58.0</v>
      </c>
      <c r="AU225" s="69">
        <f t="shared" si="371"/>
        <v>58.0</v>
      </c>
      <c r="AV225" s="69">
        <f t="shared" si="424"/>
        <v>63.8</v>
      </c>
      <c r="AW225" s="65">
        <f t="shared" ref="AW225:AW228" si="511">AVERAGE(AQ225:AS225)*1.1+4*$AW$229</f>
        <v>34.4666666666667</v>
      </c>
      <c r="AX225" s="65">
        <f t="shared" si="476"/>
        <v>34.4666666666667</v>
      </c>
      <c r="AY225" s="65">
        <f t="shared" si="477"/>
        <v>34.4666666666667</v>
      </c>
      <c r="AZ225" s="65">
        <f t="shared" si="478"/>
        <v>34.4666666666667</v>
      </c>
      <c r="BA225" s="65">
        <f t="shared" si="479"/>
        <v>34.4666666666667</v>
      </c>
      <c r="BB225" s="65">
        <f t="shared" si="480"/>
        <v>34.4666666666667</v>
      </c>
      <c r="BC225" s="64">
        <f t="shared" si="13"/>
        <v>206.8</v>
      </c>
      <c r="BD225" s="69">
        <f>VLOOKUP(D225,FEB23SOH,3,false)</f>
        <v>401.0</v>
      </c>
      <c r="BE225" s="201">
        <f>VLOOKUP(D225,VALUEFEB23,4,false)</f>
        <v>4.5596</v>
      </c>
      <c r="BF225" s="215">
        <f t="shared" si="431"/>
        <v>1828.3996</v>
      </c>
      <c r="BI225" s="193">
        <f t="shared" si="488"/>
        <v>194.2</v>
      </c>
      <c r="BJ225" s="217">
        <v>504.0</v>
      </c>
      <c r="BK225" s="186"/>
      <c r="BL225" s="103"/>
      <c r="BM225" s="95">
        <f t="shared" si="490"/>
        <v>401.0</v>
      </c>
      <c r="BN225" s="65">
        <f t="shared" si="491"/>
        <v>34.4666666666667</v>
      </c>
      <c r="BO225" s="65">
        <f t="shared" si="21"/>
      </c>
      <c r="BP225" s="65">
        <f t="shared" si="492"/>
        <v>366.533333333333</v>
      </c>
      <c r="BQ225" s="194">
        <f t="shared" si="493"/>
        <v>1671.24538666667</v>
      </c>
      <c r="BR225" s="65">
        <f t="shared" si="494"/>
        <v>34.4666666666667</v>
      </c>
      <c r="BS225" s="65">
        <f t="shared" si="25"/>
      </c>
      <c r="BT225" s="65">
        <f t="shared" si="495"/>
        <v>332.066666666666</v>
      </c>
      <c r="BU225" s="194">
        <f t="shared" si="496"/>
        <v>1514.09117333333</v>
      </c>
      <c r="BV225" s="65">
        <f t="shared" si="497"/>
        <v>34.4666666666667</v>
      </c>
      <c r="BW225" s="65">
        <f t="shared" si="498"/>
      </c>
      <c r="BX225" s="65">
        <f t="shared" si="499"/>
        <v>297.599999999999</v>
      </c>
      <c r="BY225" s="194">
        <f t="shared" si="500"/>
        <v>1356.93696</v>
      </c>
      <c r="BZ225" s="65">
        <f t="shared" si="501"/>
        <v>34.4666666666667</v>
      </c>
      <c r="CA225" s="65"/>
      <c r="CB225" s="65">
        <f t="shared" si="502"/>
        <v>263.133333333332</v>
      </c>
      <c r="CC225" s="194">
        <f t="shared" si="503"/>
        <v>1199.78274666666</v>
      </c>
      <c r="CD225" s="65">
        <f t="shared" si="504"/>
        <v>34.4666666666667</v>
      </c>
      <c r="CE225" s="65"/>
      <c r="CF225" s="65">
        <f t="shared" si="505"/>
        <v>228.666666666665</v>
      </c>
      <c r="CG225" s="194">
        <f t="shared" si="506"/>
        <v>1042.62853333332</v>
      </c>
      <c r="CH225" s="65">
        <f t="shared" si="507"/>
        <v>34.4666666666667</v>
      </c>
      <c r="CI225" s="65"/>
      <c r="CJ225" s="65">
        <f t="shared" si="508"/>
        <v>194.199999999998</v>
      </c>
      <c r="CK225" s="194">
        <f t="shared" si="509"/>
        <v>1042.62853333332</v>
      </c>
    </row>
    <row r="226" ht="14.0">
      <c r="A226" s="93" t="s">
        <v>179</v>
      </c>
      <c r="B226" s="93" t="s">
        <v>278</v>
      </c>
      <c r="C226" s="93" t="s">
        <v>782</v>
      </c>
      <c r="D226" s="229" t="s">
        <v>783</v>
      </c>
      <c r="AD226" s="47">
        <v>0.0</v>
      </c>
      <c r="AE226" s="47">
        <v>0.0</v>
      </c>
      <c r="AF226" s="47">
        <v>0.0</v>
      </c>
      <c r="AG226" s="47">
        <v>0.0</v>
      </c>
      <c r="AH226" s="47">
        <v>0.0</v>
      </c>
      <c r="AI226" s="47">
        <v>0.0</v>
      </c>
      <c r="AJ226" s="47">
        <v>0.0</v>
      </c>
      <c r="AK226" s="47">
        <v>0.0</v>
      </c>
      <c r="AL226" s="47">
        <v>0.0</v>
      </c>
      <c r="AM226" s="47">
        <v>0.0</v>
      </c>
      <c r="AN226" s="237">
        <v>0.0</v>
      </c>
      <c r="AO226" s="237">
        <v>0.0</v>
      </c>
      <c r="AP226" s="237">
        <v>0.0</v>
      </c>
      <c r="AQ226" s="230">
        <v>20.0</v>
      </c>
      <c r="AR226" s="230">
        <v>40.0</v>
      </c>
      <c r="AS226" s="230">
        <v>34.0</v>
      </c>
      <c r="AT226" s="69">
        <f t="shared" si="4"/>
        <v>94.0</v>
      </c>
      <c r="AU226" s="69">
        <f t="shared" si="371"/>
        <v>94.0</v>
      </c>
      <c r="AV226" s="69">
        <f t="shared" si="424"/>
        <v>103.4</v>
      </c>
      <c r="AW226" s="65">
        <f t="shared" si="511"/>
        <v>47.6666666666667</v>
      </c>
      <c r="AX226" s="65">
        <f t="shared" si="476"/>
        <v>47.6666666666667</v>
      </c>
      <c r="AY226" s="65">
        <f t="shared" si="477"/>
        <v>47.6666666666667</v>
      </c>
      <c r="AZ226" s="65">
        <f t="shared" si="478"/>
        <v>47.6666666666667</v>
      </c>
      <c r="BA226" s="65">
        <f t="shared" si="479"/>
        <v>47.6666666666667</v>
      </c>
      <c r="BB226" s="65">
        <f t="shared" si="480"/>
        <v>47.6666666666667</v>
      </c>
      <c r="BC226" s="64">
        <f t="shared" si="13"/>
        <v>286.0</v>
      </c>
      <c r="BD226" s="69">
        <f>VLOOKUP(D226,FEB23SOH,3,false)</f>
        <v>364.0</v>
      </c>
      <c r="BE226" s="201">
        <f>VLOOKUP(D226,VALUEFEB23,4,false)</f>
        <v>4.5596</v>
      </c>
      <c r="BF226" s="215">
        <f t="shared" si="431"/>
        <v>1659.6944</v>
      </c>
      <c r="BI226" s="193">
        <f t="shared" si="488"/>
        <v>78.0</v>
      </c>
      <c r="BJ226" s="217">
        <v>504.0</v>
      </c>
      <c r="BK226" s="186"/>
      <c r="BL226" s="103"/>
      <c r="BM226" s="95">
        <f t="shared" si="490"/>
        <v>364.0</v>
      </c>
      <c r="BN226" s="65">
        <f t="shared" si="491"/>
        <v>47.6666666666667</v>
      </c>
      <c r="BO226" s="65">
        <f t="shared" si="21"/>
      </c>
      <c r="BP226" s="65">
        <f t="shared" si="492"/>
        <v>316.333333333333</v>
      </c>
      <c r="BQ226" s="194">
        <f t="shared" si="493"/>
        <v>1442.35346666666</v>
      </c>
      <c r="BR226" s="65">
        <f t="shared" si="494"/>
        <v>47.6666666666667</v>
      </c>
      <c r="BS226" s="65">
        <f t="shared" si="25"/>
      </c>
      <c r="BT226" s="65">
        <f t="shared" si="495"/>
        <v>268.666666666666</v>
      </c>
      <c r="BU226" s="194">
        <f t="shared" si="496"/>
        <v>1225.01253333333</v>
      </c>
      <c r="BV226" s="65">
        <f t="shared" si="497"/>
        <v>47.6666666666667</v>
      </c>
      <c r="BW226" s="65">
        <f t="shared" si="498"/>
      </c>
      <c r="BX226" s="65">
        <f t="shared" si="499"/>
        <v>220.999999999999</v>
      </c>
      <c r="BY226" s="194">
        <f t="shared" si="500"/>
        <v>1007.6716</v>
      </c>
      <c r="BZ226" s="65">
        <f t="shared" si="501"/>
        <v>47.6666666666667</v>
      </c>
      <c r="CA226" s="65"/>
      <c r="CB226" s="65">
        <f t="shared" si="502"/>
        <v>173.333333333332</v>
      </c>
      <c r="CC226" s="194">
        <f t="shared" si="503"/>
        <v>790.33066666666</v>
      </c>
      <c r="CD226" s="65">
        <f t="shared" si="504"/>
        <v>47.6666666666667</v>
      </c>
      <c r="CE226" s="65"/>
      <c r="CF226" s="65">
        <f t="shared" si="505"/>
        <v>125.666666666665</v>
      </c>
      <c r="CG226" s="194">
        <f t="shared" si="506"/>
        <v>572.98973333332</v>
      </c>
      <c r="CH226" s="65">
        <f t="shared" si="507"/>
        <v>47.6666666666667</v>
      </c>
      <c r="CI226" s="65"/>
      <c r="CJ226" s="65">
        <f t="shared" si="508"/>
        <v>77.9999999999983</v>
      </c>
      <c r="CK226" s="194">
        <f t="shared" si="509"/>
        <v>572.98973333332</v>
      </c>
    </row>
    <row r="227" ht="14.0" customFormat="1" s="47">
      <c r="A227" s="93" t="s">
        <v>179</v>
      </c>
      <c r="B227" s="93" t="s">
        <v>278</v>
      </c>
      <c r="C227" s="93" t="s">
        <v>784</v>
      </c>
      <c r="D227" s="229" t="s">
        <v>785</v>
      </c>
      <c r="AD227" s="47">
        <v>0.0</v>
      </c>
      <c r="AE227" s="47">
        <v>0.0</v>
      </c>
      <c r="AF227" s="47">
        <v>0.0</v>
      </c>
      <c r="AG227" s="47">
        <v>0.0</v>
      </c>
      <c r="AH227" s="47">
        <v>0.0</v>
      </c>
      <c r="AI227" s="47">
        <v>0.0</v>
      </c>
      <c r="AJ227" s="47">
        <v>0.0</v>
      </c>
      <c r="AK227" s="47">
        <v>0.0</v>
      </c>
      <c r="AL227" s="47">
        <v>0.0</v>
      </c>
      <c r="AM227" s="47">
        <v>0.0</v>
      </c>
      <c r="AN227" s="237">
        <v>0.0</v>
      </c>
      <c r="AO227" s="237">
        <v>0.0</v>
      </c>
      <c r="AP227" s="237">
        <v>0.0</v>
      </c>
      <c r="AQ227" s="230">
        <v>24.0</v>
      </c>
      <c r="AR227" s="230">
        <v>64.0</v>
      </c>
      <c r="AS227" s="230">
        <v>29.0</v>
      </c>
      <c r="AT227" s="69">
        <f t="shared" si="4"/>
        <v>117.0</v>
      </c>
      <c r="AU227" s="69">
        <f t="shared" si="371"/>
        <v>117.0</v>
      </c>
      <c r="AV227" s="69">
        <f t="shared" si="424"/>
        <v>128.7</v>
      </c>
      <c r="AW227" s="65">
        <f t="shared" si="511"/>
        <v>56.1</v>
      </c>
      <c r="AX227" s="65">
        <f t="shared" si="476"/>
        <v>56.1</v>
      </c>
      <c r="AY227" s="65">
        <f t="shared" si="477"/>
        <v>56.1</v>
      </c>
      <c r="AZ227" s="65">
        <f t="shared" si="478"/>
        <v>56.1</v>
      </c>
      <c r="BA227" s="65">
        <f t="shared" si="479"/>
        <v>56.1</v>
      </c>
      <c r="BB227" s="65">
        <f t="shared" si="480"/>
        <v>56.1</v>
      </c>
      <c r="BC227" s="64">
        <f t="shared" si="13"/>
        <v>336.6</v>
      </c>
      <c r="BD227" s="69">
        <f>VLOOKUP(D227,FEB23SOH,3,false)</f>
        <v>332.0</v>
      </c>
      <c r="BE227" s="201">
        <f>VLOOKUP(D227,VALUEFEB23,4,false)</f>
        <v>4.5595</v>
      </c>
      <c r="BF227" s="215">
        <f t="shared" si="431"/>
        <v>1513.754</v>
      </c>
      <c r="BG227" s="64"/>
      <c r="BH227" s="64"/>
      <c r="BI227" s="193">
        <f t="shared" si="488"/>
        <v>-4.60000000000002</v>
      </c>
      <c r="BJ227" s="217">
        <v>504.0</v>
      </c>
      <c r="BK227" s="185">
        <f t="shared" ref="BK227:BK228" si="512">BJ227</f>
        <v>504.0</v>
      </c>
      <c r="BL227" s="103" t="s">
        <v>6</v>
      </c>
      <c r="BM227" s="95">
        <f t="shared" si="490"/>
        <v>332.0</v>
      </c>
      <c r="BN227" s="65">
        <f t="shared" si="491"/>
        <v>56.1</v>
      </c>
      <c r="BO227" s="65">
        <f t="shared" si="21"/>
      </c>
      <c r="BP227" s="65">
        <f t="shared" si="492"/>
        <v>275.9</v>
      </c>
      <c r="BQ227" s="194">
        <f t="shared" si="493"/>
        <v>1257.96605</v>
      </c>
      <c r="BR227" s="65">
        <f t="shared" si="494"/>
        <v>56.1</v>
      </c>
      <c r="BS227" s="65">
        <f t="shared" si="25"/>
      </c>
      <c r="BT227" s="65">
        <f t="shared" si="495"/>
        <v>219.8</v>
      </c>
      <c r="BU227" s="194">
        <f t="shared" si="496"/>
        <v>1002.1781</v>
      </c>
      <c r="BV227" s="65">
        <f t="shared" si="497"/>
        <v>56.1</v>
      </c>
      <c r="BW227" s="65">
        <f t="shared" si="498"/>
      </c>
      <c r="BX227" s="65">
        <f t="shared" si="499"/>
        <v>163.7</v>
      </c>
      <c r="BY227" s="194">
        <f t="shared" si="500"/>
        <v>746.39015</v>
      </c>
      <c r="BZ227" s="65">
        <f t="shared" si="501"/>
        <v>56.1</v>
      </c>
      <c r="CA227" s="65"/>
      <c r="CB227" s="65">
        <f t="shared" si="502"/>
        <v>107.6</v>
      </c>
      <c r="CC227" s="194">
        <f t="shared" si="503"/>
        <v>490.6022</v>
      </c>
      <c r="CD227" s="65">
        <f t="shared" si="504"/>
        <v>56.1</v>
      </c>
      <c r="CE227" s="65"/>
      <c r="CF227" s="65">
        <f t="shared" si="505"/>
        <v>51.5</v>
      </c>
      <c r="CG227" s="194">
        <f t="shared" si="506"/>
        <v>234.81425</v>
      </c>
      <c r="CH227" s="65">
        <f t="shared" si="507"/>
        <v>56.1</v>
      </c>
      <c r="CI227" s="65"/>
      <c r="CJ227" s="65">
        <f t="shared" si="508"/>
        <v>-4.6</v>
      </c>
      <c r="CK227" s="194">
        <f t="shared" si="509"/>
        <v>234.81425</v>
      </c>
    </row>
    <row r="228" ht="14.0" customFormat="1" s="47">
      <c r="A228" s="93" t="s">
        <v>179</v>
      </c>
      <c r="B228" s="93" t="s">
        <v>278</v>
      </c>
      <c r="C228" s="93" t="s">
        <v>786</v>
      </c>
      <c r="D228" s="229" t="s">
        <v>787</v>
      </c>
      <c r="AD228" s="47">
        <v>0.0</v>
      </c>
      <c r="AE228" s="47">
        <v>0.0</v>
      </c>
      <c r="AF228" s="47">
        <v>0.0</v>
      </c>
      <c r="AG228" s="47">
        <v>0.0</v>
      </c>
      <c r="AH228" s="47">
        <v>0.0</v>
      </c>
      <c r="AI228" s="47">
        <v>0.0</v>
      </c>
      <c r="AJ228" s="47">
        <v>0.0</v>
      </c>
      <c r="AK228" s="47">
        <v>0.0</v>
      </c>
      <c r="AL228" s="47">
        <v>0.0</v>
      </c>
      <c r="AM228" s="47">
        <v>0.0</v>
      </c>
      <c r="AN228" s="237">
        <v>0.0</v>
      </c>
      <c r="AO228" s="237">
        <v>0.0</v>
      </c>
      <c r="AP228" s="237">
        <v>0.0</v>
      </c>
      <c r="AQ228" s="230">
        <v>29.0</v>
      </c>
      <c r="AR228" s="230">
        <v>126.0</v>
      </c>
      <c r="AS228" s="230">
        <v>102.0</v>
      </c>
      <c r="AT228" s="69">
        <f t="shared" si="4"/>
        <v>257.0</v>
      </c>
      <c r="AU228" s="69">
        <f t="shared" si="371"/>
        <v>257.0</v>
      </c>
      <c r="AV228" s="69">
        <f t="shared" si="424"/>
        <v>282.7</v>
      </c>
      <c r="AW228" s="65">
        <f t="shared" si="511"/>
        <v>107.433333333333</v>
      </c>
      <c r="AX228" s="65">
        <f t="shared" si="476"/>
        <v>107.433333333333</v>
      </c>
      <c r="AY228" s="65">
        <f t="shared" si="477"/>
        <v>107.433333333333</v>
      </c>
      <c r="AZ228" s="65">
        <f t="shared" si="478"/>
        <v>107.433333333333</v>
      </c>
      <c r="BA228" s="65">
        <f t="shared" si="479"/>
        <v>107.433333333333</v>
      </c>
      <c r="BB228" s="65">
        <f t="shared" si="480"/>
        <v>107.433333333333</v>
      </c>
      <c r="BC228" s="64">
        <f t="shared" si="13"/>
        <v>644.599999999998</v>
      </c>
      <c r="BD228" s="69">
        <f>VLOOKUP(D228,FEB23SOH,3,false)</f>
        <v>205.0</v>
      </c>
      <c r="BE228" s="201">
        <f>VLOOKUP(D228,VALUEFEB23,4,false)</f>
        <v>4.5592</v>
      </c>
      <c r="BF228" s="215">
        <f t="shared" si="431"/>
        <v>934.636</v>
      </c>
      <c r="BG228" s="64"/>
      <c r="BH228" s="64"/>
      <c r="BI228" s="193">
        <f t="shared" si="488"/>
        <v>-439.599999999998</v>
      </c>
      <c r="BJ228" s="217">
        <v>504.0</v>
      </c>
      <c r="BK228" s="185">
        <f t="shared" si="512"/>
        <v>504.0</v>
      </c>
      <c r="BL228" s="103" t="s">
        <v>519</v>
      </c>
      <c r="BM228" s="95">
        <f t="shared" si="490"/>
        <v>205.0</v>
      </c>
      <c r="BN228" s="65">
        <f t="shared" si="491"/>
        <v>107.433333333333</v>
      </c>
      <c r="BO228" s="65">
        <f t="shared" si="21"/>
      </c>
      <c r="BP228" s="65">
        <f t="shared" si="492"/>
        <v>97.566666666667</v>
      </c>
      <c r="BQ228" s="194">
        <f t="shared" si="493"/>
        <v>444.825946666668</v>
      </c>
      <c r="BR228" s="65">
        <f t="shared" si="494"/>
        <v>107.433333333333</v>
      </c>
      <c r="BS228" s="65">
        <f t="shared" si="25"/>
      </c>
      <c r="BT228" s="65">
        <f t="shared" si="495"/>
        <v>-9.86666666666599</v>
      </c>
      <c r="BU228" s="194">
        <f t="shared" si="496"/>
        <v>-44.9841066666634</v>
      </c>
      <c r="BV228" s="65">
        <f t="shared" si="497"/>
        <v>107.433333333333</v>
      </c>
      <c r="BW228" s="65">
        <f t="shared" si="498"/>
      </c>
      <c r="BX228" s="65">
        <f t="shared" si="499"/>
        <v>-117.299999999997</v>
      </c>
      <c r="BY228" s="194">
        <f t="shared" si="500"/>
        <v>-534.794159999986</v>
      </c>
      <c r="BZ228" s="65">
        <f t="shared" si="501"/>
        <v>107.433333333333</v>
      </c>
      <c r="CA228" s="65"/>
      <c r="CB228" s="65">
        <f t="shared" si="502"/>
        <v>-224.73333333333</v>
      </c>
      <c r="CC228" s="194">
        <f t="shared" si="503"/>
        <v>-1024.60421333331</v>
      </c>
      <c r="CD228" s="65">
        <f t="shared" si="504"/>
        <v>107.433333333333</v>
      </c>
      <c r="CE228" s="65"/>
      <c r="CF228" s="65">
        <f t="shared" si="505"/>
        <v>-332.166666666663</v>
      </c>
      <c r="CG228" s="194">
        <f t="shared" si="506"/>
        <v>-1514.41426666664</v>
      </c>
      <c r="CH228" s="65">
        <f t="shared" si="507"/>
        <v>107.433333333333</v>
      </c>
      <c r="CI228" s="65"/>
      <c r="CJ228" s="65">
        <f t="shared" si="508"/>
        <v>-439.599999999996</v>
      </c>
      <c r="CK228" s="194">
        <f t="shared" si="509"/>
        <v>-1514.41426666664</v>
      </c>
    </row>
    <row r="229" ht="14.0" customFormat="1" s="47">
      <c r="A229" s="47" t="s">
        <v>569</v>
      </c>
      <c r="B229" s="47" t="s">
        <v>278</v>
      </c>
      <c r="C229" s="93" t="s">
        <v>788</v>
      </c>
      <c r="D229" s="229" t="s">
        <v>789</v>
      </c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233">
        <v>0.0</v>
      </c>
      <c r="AH229" s="233">
        <v>0.0</v>
      </c>
      <c r="AI229" s="233">
        <v>0.0</v>
      </c>
      <c r="AJ229" s="233">
        <v>0.0</v>
      </c>
      <c r="AK229" s="233">
        <v>0.0</v>
      </c>
      <c r="AL229" s="233">
        <v>0.0</v>
      </c>
      <c r="AM229" s="233">
        <v>0.0</v>
      </c>
      <c r="AN229" s="233">
        <v>0.0</v>
      </c>
      <c r="AO229" s="233">
        <v>0.0</v>
      </c>
      <c r="AP229" s="233">
        <v>0.0</v>
      </c>
      <c r="AQ229" s="233">
        <v>9.0</v>
      </c>
      <c r="AR229" s="233">
        <v>0.0</v>
      </c>
      <c r="AS229" s="233">
        <v>0.0</v>
      </c>
      <c r="AT229" s="69">
        <f t="shared" si="4"/>
        <v>9.0</v>
      </c>
      <c r="AU229" s="69">
        <f t="shared" si="371"/>
        <v>9.0</v>
      </c>
      <c r="AV229" s="69">
        <f t="shared" si="424"/>
        <v>9.9</v>
      </c>
      <c r="AW229" s="97">
        <f>AVERAGE(AQ229:AS229)*1.1</f>
        <v>3.3</v>
      </c>
      <c r="AX229" s="97">
        <f t="shared" si="476"/>
        <v>3.3</v>
      </c>
      <c r="AY229" s="97">
        <f t="shared" si="477"/>
        <v>3.3</v>
      </c>
      <c r="AZ229" s="97">
        <f t="shared" si="478"/>
        <v>3.3</v>
      </c>
      <c r="BA229" s="97">
        <f t="shared" si="479"/>
        <v>3.3</v>
      </c>
      <c r="BB229" s="97">
        <f t="shared" si="480"/>
        <v>3.3</v>
      </c>
      <c r="BC229" s="249">
        <f t="shared" si="13"/>
        <v>19.8</v>
      </c>
      <c r="BD229" s="69">
        <f>VLOOKUP(D229,FEB23SOH,3,false)</f>
        <v>0.0</v>
      </c>
      <c r="BE229" s="201">
        <f>VLOOKUP(D229,VALUEFEB23,4,false)</f>
      </c>
      <c r="BF229" s="215">
        <f t="shared" si="431"/>
        <v>0.0</v>
      </c>
      <c r="BG229" s="64"/>
      <c r="BH229" s="64"/>
      <c r="BI229" s="64"/>
      <c r="BJ229" s="217"/>
      <c r="BL229" s="103"/>
      <c r="BM229" s="95"/>
      <c r="BN229" s="65"/>
      <c r="BO229" s="65">
        <f t="shared" si="21"/>
      </c>
      <c r="BP229" s="65"/>
      <c r="BQ229" s="194"/>
      <c r="BR229" s="65"/>
      <c r="BS229" s="65">
        <f t="shared" si="25"/>
      </c>
      <c r="BT229" s="65"/>
      <c r="BU229" s="194"/>
      <c r="BV229" s="65"/>
      <c r="BW229" s="65"/>
      <c r="BX229" s="65"/>
      <c r="BY229" s="194"/>
      <c r="BZ229" s="65"/>
      <c r="CA229" s="65"/>
      <c r="CB229" s="65"/>
      <c r="CC229" s="194"/>
      <c r="CD229" s="65"/>
      <c r="CE229" s="65"/>
      <c r="CF229" s="65"/>
      <c r="CG229" s="194"/>
      <c r="CH229" s="65"/>
      <c r="CI229" s="65"/>
      <c r="CJ229" s="65"/>
      <c r="CK229" s="194"/>
    </row>
    <row r="230" ht="14.0" customFormat="1" s="47">
      <c r="A230" s="93" t="s">
        <v>179</v>
      </c>
      <c r="B230" s="93" t="s">
        <v>81</v>
      </c>
      <c r="C230" s="93" t="s">
        <v>790</v>
      </c>
      <c r="D230" s="250" t="s">
        <v>791</v>
      </c>
      <c r="AD230" s="47">
        <v>0.0</v>
      </c>
      <c r="AE230" s="47">
        <v>0.0</v>
      </c>
      <c r="AF230" s="47">
        <v>0.0</v>
      </c>
      <c r="AG230" s="47">
        <v>0.0</v>
      </c>
      <c r="AH230" s="47">
        <v>0.0</v>
      </c>
      <c r="AI230" s="47">
        <v>0.0</v>
      </c>
      <c r="AJ230" s="47">
        <v>0.0</v>
      </c>
      <c r="AK230" s="47">
        <v>0.0</v>
      </c>
      <c r="AL230" s="47">
        <v>0.0</v>
      </c>
      <c r="AM230" s="47">
        <v>0.0</v>
      </c>
      <c r="AN230" s="237">
        <v>0.0</v>
      </c>
      <c r="AO230" s="237">
        <v>0.0</v>
      </c>
      <c r="AP230" s="237">
        <v>0.0</v>
      </c>
      <c r="AQ230" s="230">
        <v>0.0</v>
      </c>
      <c r="AR230" s="230">
        <v>21.0</v>
      </c>
      <c r="AS230" s="230">
        <v>33.0</v>
      </c>
      <c r="AT230" s="69">
        <f t="shared" si="4"/>
        <v>54.0</v>
      </c>
      <c r="AU230" s="69">
        <f t="shared" si="371"/>
        <v>54.0</v>
      </c>
      <c r="AV230" s="69">
        <f t="shared" si="424"/>
        <v>59.4</v>
      </c>
      <c r="AW230" s="65">
        <f t="shared" ref="AW230:AW236" si="514">AVERAGE(AR230:AS230)*1.1+3*$AW$237</f>
        <v>31.35</v>
      </c>
      <c r="AX230" s="65">
        <f t="shared" si="476"/>
        <v>31.35</v>
      </c>
      <c r="AY230" s="65">
        <f t="shared" si="477"/>
        <v>31.35</v>
      </c>
      <c r="AZ230" s="65">
        <f t="shared" si="478"/>
        <v>31.35</v>
      </c>
      <c r="BA230" s="65">
        <f t="shared" si="479"/>
        <v>31.35</v>
      </c>
      <c r="BB230" s="65">
        <f t="shared" si="480"/>
        <v>31.35</v>
      </c>
      <c r="BC230" s="64">
        <f t="shared" si="13"/>
        <v>188.1</v>
      </c>
      <c r="BD230" s="69">
        <f>VLOOKUP(D230,FEB23SOH,3,false)</f>
        <v>249.0</v>
      </c>
      <c r="BE230" s="201">
        <f>VLOOKUP(D230,VALUEFEB23,4,false)</f>
        <v>5.1553</v>
      </c>
      <c r="BF230" s="215">
        <f t="shared" si="431"/>
        <v>1283.6697</v>
      </c>
      <c r="BG230" s="64"/>
      <c r="BH230" s="64"/>
      <c r="BI230" s="193">
        <f t="shared" ref="BI230:BI236" si="515">BD230+BG230+BH230-BC230</f>
        <v>60.9</v>
      </c>
      <c r="BJ230" s="217"/>
      <c r="BK230" s="186"/>
      <c r="BL230" s="103"/>
      <c r="BM230" s="95">
        <f t="shared" ref="BM230:BM236" si="516">BD230</f>
        <v>249.0</v>
      </c>
      <c r="BN230" s="65">
        <f t="shared" ref="BN230:BN236" si="517">AW230</f>
        <v>31.35</v>
      </c>
      <c r="BO230" s="65">
        <f t="shared" si="21"/>
      </c>
      <c r="BP230" s="65">
        <f t="shared" ref="BP230:BP236" si="518">BM230+BO230-BN230</f>
        <v>217.65</v>
      </c>
      <c r="BQ230" s="194">
        <f t="shared" ref="BQ230:BQ236" si="519">BP230*BE230</f>
        <v>1122.051045</v>
      </c>
      <c r="BR230" s="65">
        <f t="shared" ref="BR230:BR236" si="520">AX230</f>
        <v>31.35</v>
      </c>
      <c r="BS230" s="65">
        <f t="shared" si="25"/>
      </c>
      <c r="BT230" s="65">
        <f t="shared" ref="BT230:BT236" si="521">BP230+BS230-BR230</f>
        <v>186.3</v>
      </c>
      <c r="BU230" s="194">
        <f t="shared" ref="BU230:BU236" si="522">BT230*BE230</f>
        <v>960.43239</v>
      </c>
      <c r="BV230" s="65">
        <f t="shared" ref="BV230:BV236" si="523">AY230</f>
        <v>31.35</v>
      </c>
      <c r="BW230" s="65">
        <f t="shared" ref="BW230:BW236" si="524">BH230</f>
      </c>
      <c r="BX230" s="65">
        <f t="shared" ref="BX230:BX236" si="525">BT230+BW230-BV230</f>
        <v>154.95</v>
      </c>
      <c r="BY230" s="194">
        <f t="shared" ref="BY230:BY236" si="526">BX230*BE230</f>
        <v>798.813735</v>
      </c>
      <c r="BZ230" s="65">
        <f t="shared" ref="BZ230:BZ236" si="527">AZ230</f>
        <v>31.35</v>
      </c>
      <c r="CA230" s="65"/>
      <c r="CB230" s="65">
        <f t="shared" ref="CB230:CB236" si="528">BX230+CA230-BZ230</f>
        <v>123.6</v>
      </c>
      <c r="CC230" s="194">
        <f t="shared" ref="CC230:CC236" si="529">CB230*BE230</f>
        <v>637.19508</v>
      </c>
      <c r="CD230" s="65">
        <f t="shared" ref="CD230:CD236" si="530">BA230</f>
        <v>31.35</v>
      </c>
      <c r="CE230" s="65"/>
      <c r="CF230" s="65">
        <f t="shared" ref="CF230:CF236" si="531">CB230+CE230-CD230</f>
        <v>92.25</v>
      </c>
      <c r="CG230" s="194">
        <f t="shared" ref="CG230:CG236" si="532">CF230*BE230</f>
        <v>475.576425</v>
      </c>
      <c r="CH230" s="65">
        <f t="shared" ref="CH230:CH236" si="533">BB230</f>
        <v>31.35</v>
      </c>
      <c r="CI230" s="65"/>
      <c r="CJ230" s="65">
        <f t="shared" ref="CJ230:CJ236" si="534">CF230+CI230-CH230</f>
        <v>60.9</v>
      </c>
      <c r="CK230" s="194">
        <f t="shared" ref="CK230:CK236" si="535">CF230*BE230</f>
        <v>475.576425</v>
      </c>
    </row>
    <row r="231" ht="14.0" customFormat="1" s="47">
      <c r="A231" s="93" t="s">
        <v>179</v>
      </c>
      <c r="B231" s="93" t="s">
        <v>81</v>
      </c>
      <c r="C231" s="93" t="s">
        <v>792</v>
      </c>
      <c r="D231" s="250" t="s">
        <v>793</v>
      </c>
      <c r="AD231" s="47">
        <v>0.0</v>
      </c>
      <c r="AE231" s="47">
        <v>0.0</v>
      </c>
      <c r="AF231" s="47">
        <v>0.0</v>
      </c>
      <c r="AG231" s="47">
        <v>0.0</v>
      </c>
      <c r="AH231" s="47">
        <v>0.0</v>
      </c>
      <c r="AI231" s="47">
        <v>0.0</v>
      </c>
      <c r="AJ231" s="47">
        <v>0.0</v>
      </c>
      <c r="AK231" s="47">
        <v>0.0</v>
      </c>
      <c r="AL231" s="47">
        <v>0.0</v>
      </c>
      <c r="AM231" s="47">
        <v>0.0</v>
      </c>
      <c r="AN231" s="237">
        <v>0.0</v>
      </c>
      <c r="AO231" s="237">
        <v>0.0</v>
      </c>
      <c r="AP231" s="237">
        <v>0.0</v>
      </c>
      <c r="AQ231" s="230">
        <v>0.0</v>
      </c>
      <c r="AR231" s="230">
        <v>30.0</v>
      </c>
      <c r="AS231" s="230">
        <v>47.0</v>
      </c>
      <c r="AT231" s="69">
        <f t="shared" si="4"/>
        <v>77.0</v>
      </c>
      <c r="AU231" s="69">
        <f t="shared" si="371"/>
        <v>77.0</v>
      </c>
      <c r="AV231" s="69">
        <f t="shared" si="424"/>
        <v>84.7</v>
      </c>
      <c r="AW231" s="65">
        <f t="shared" si="514"/>
        <v>44.0</v>
      </c>
      <c r="AX231" s="65">
        <f t="shared" si="476"/>
        <v>44.0</v>
      </c>
      <c r="AY231" s="65">
        <f t="shared" si="477"/>
        <v>44.0</v>
      </c>
      <c r="AZ231" s="65">
        <f t="shared" si="478"/>
        <v>44.0</v>
      </c>
      <c r="BA231" s="65">
        <f t="shared" si="479"/>
        <v>44.0</v>
      </c>
      <c r="BB231" s="65">
        <f t="shared" si="480"/>
        <v>44.0</v>
      </c>
      <c r="BC231" s="64">
        <f t="shared" si="13"/>
        <v>264.0</v>
      </c>
      <c r="BD231" s="69">
        <f>VLOOKUP(D231,FEB23SOH,3,false)</f>
        <v>228.0</v>
      </c>
      <c r="BE231" s="201">
        <f>VLOOKUP(D231,VALUEFEB23,4,false)</f>
        <v>5.1552</v>
      </c>
      <c r="BF231" s="215">
        <f t="shared" si="431"/>
        <v>1175.3856</v>
      </c>
      <c r="BG231" s="64"/>
      <c r="BH231" s="64"/>
      <c r="BI231" s="193">
        <f t="shared" si="515"/>
        <v>-36.0</v>
      </c>
      <c r="BJ231" s="217">
        <v>504.0</v>
      </c>
      <c r="BK231" s="185">
        <f t="shared" ref="BK231:BK236" si="536">BJ231</f>
        <v>504.0</v>
      </c>
      <c r="BL231" s="103" t="s">
        <v>6</v>
      </c>
      <c r="BM231" s="95">
        <f t="shared" si="516"/>
        <v>228.0</v>
      </c>
      <c r="BN231" s="65">
        <f t="shared" si="517"/>
        <v>44.0</v>
      </c>
      <c r="BO231" s="65">
        <f t="shared" si="21"/>
      </c>
      <c r="BP231" s="65">
        <f t="shared" si="518"/>
        <v>184.0</v>
      </c>
      <c r="BQ231" s="194">
        <f t="shared" si="519"/>
        <v>948.5568</v>
      </c>
      <c r="BR231" s="65">
        <f t="shared" si="520"/>
        <v>44.0</v>
      </c>
      <c r="BS231" s="65">
        <f t="shared" si="25"/>
      </c>
      <c r="BT231" s="65">
        <f t="shared" si="521"/>
        <v>140.0</v>
      </c>
      <c r="BU231" s="194">
        <f t="shared" si="522"/>
        <v>721.728</v>
      </c>
      <c r="BV231" s="65">
        <f t="shared" si="523"/>
        <v>44.0</v>
      </c>
      <c r="BW231" s="65">
        <f t="shared" si="524"/>
      </c>
      <c r="BX231" s="65">
        <f t="shared" si="525"/>
        <v>96.0</v>
      </c>
      <c r="BY231" s="194">
        <f t="shared" si="526"/>
        <v>494.8992</v>
      </c>
      <c r="BZ231" s="65">
        <f t="shared" si="527"/>
        <v>44.0</v>
      </c>
      <c r="CA231" s="65"/>
      <c r="CB231" s="65">
        <f t="shared" si="528"/>
        <v>52.0</v>
      </c>
      <c r="CC231" s="194">
        <f t="shared" si="529"/>
        <v>268.0704</v>
      </c>
      <c r="CD231" s="65">
        <f t="shared" si="530"/>
        <v>44.0</v>
      </c>
      <c r="CE231" s="65"/>
      <c r="CF231" s="65">
        <f t="shared" si="531"/>
        <v>8.0</v>
      </c>
      <c r="CG231" s="194">
        <f t="shared" si="532"/>
        <v>41.2416</v>
      </c>
      <c r="CH231" s="65">
        <f t="shared" si="533"/>
        <v>44.0</v>
      </c>
      <c r="CI231" s="65"/>
      <c r="CJ231" s="65">
        <f t="shared" si="534"/>
        <v>-36.0</v>
      </c>
      <c r="CK231" s="194">
        <f t="shared" si="535"/>
        <v>41.2416</v>
      </c>
    </row>
    <row r="232" ht="14.0" customFormat="1" s="47">
      <c r="A232" s="93" t="s">
        <v>179</v>
      </c>
      <c r="B232" s="93" t="s">
        <v>81</v>
      </c>
      <c r="C232" s="93" t="s">
        <v>794</v>
      </c>
      <c r="D232" s="250" t="s">
        <v>795</v>
      </c>
      <c r="AD232" s="47">
        <v>0.0</v>
      </c>
      <c r="AE232" s="47">
        <v>0.0</v>
      </c>
      <c r="AF232" s="47">
        <v>0.0</v>
      </c>
      <c r="AG232" s="47">
        <v>0.0</v>
      </c>
      <c r="AH232" s="47">
        <v>0.0</v>
      </c>
      <c r="AI232" s="47">
        <v>0.0</v>
      </c>
      <c r="AJ232" s="47">
        <v>0.0</v>
      </c>
      <c r="AK232" s="47">
        <v>0.0</v>
      </c>
      <c r="AL232" s="47">
        <v>0.0</v>
      </c>
      <c r="AM232" s="47">
        <v>0.0</v>
      </c>
      <c r="AN232" s="237">
        <v>0.0</v>
      </c>
      <c r="AO232" s="237">
        <v>0.0</v>
      </c>
      <c r="AP232" s="237">
        <v>0.0</v>
      </c>
      <c r="AQ232" s="230">
        <v>0.0</v>
      </c>
      <c r="AR232" s="230">
        <v>27.0</v>
      </c>
      <c r="AS232" s="230">
        <v>106.0</v>
      </c>
      <c r="AT232" s="69">
        <f t="shared" si="4"/>
        <v>133.0</v>
      </c>
      <c r="AU232" s="69">
        <f t="shared" si="371"/>
        <v>133.0</v>
      </c>
      <c r="AV232" s="69">
        <f t="shared" si="424"/>
        <v>146.3</v>
      </c>
      <c r="AW232" s="65">
        <f t="shared" si="514"/>
        <v>74.8</v>
      </c>
      <c r="AX232" s="65">
        <f t="shared" si="476"/>
        <v>74.8</v>
      </c>
      <c r="AY232" s="65">
        <f t="shared" si="477"/>
        <v>74.8</v>
      </c>
      <c r="AZ232" s="65">
        <f t="shared" si="478"/>
        <v>74.8</v>
      </c>
      <c r="BA232" s="65">
        <f t="shared" si="479"/>
        <v>74.8</v>
      </c>
      <c r="BB232" s="65">
        <f t="shared" si="480"/>
        <v>74.8</v>
      </c>
      <c r="BC232" s="64">
        <f t="shared" si="13"/>
        <v>448.8</v>
      </c>
      <c r="BD232" s="69">
        <f>VLOOKUP(D232,FEB23SOH,3,false)</f>
        <v>169.0</v>
      </c>
      <c r="BE232" s="201">
        <f>VLOOKUP(D232,VALUEFEB23,4,false)</f>
        <v>5.1548</v>
      </c>
      <c r="BF232" s="215">
        <f t="shared" si="431"/>
        <v>871.1612</v>
      </c>
      <c r="BG232" s="64"/>
      <c r="BH232" s="64"/>
      <c r="BI232" s="193">
        <f t="shared" si="515"/>
        <v>-279.8</v>
      </c>
      <c r="BJ232" s="217">
        <v>504.0</v>
      </c>
      <c r="BK232" s="185">
        <f t="shared" si="536"/>
        <v>504.0</v>
      </c>
      <c r="BL232" s="103" t="s">
        <v>520</v>
      </c>
      <c r="BM232" s="95">
        <f t="shared" si="516"/>
        <v>169.0</v>
      </c>
      <c r="BN232" s="65">
        <f t="shared" si="517"/>
        <v>74.8</v>
      </c>
      <c r="BO232" s="65">
        <f t="shared" si="21"/>
      </c>
      <c r="BP232" s="65">
        <f t="shared" si="518"/>
        <v>94.2</v>
      </c>
      <c r="BQ232" s="194">
        <f t="shared" si="519"/>
        <v>485.58216</v>
      </c>
      <c r="BR232" s="65">
        <f t="shared" si="520"/>
        <v>74.8</v>
      </c>
      <c r="BS232" s="65">
        <f t="shared" si="25"/>
      </c>
      <c r="BT232" s="65">
        <f t="shared" si="521"/>
        <v>19.4</v>
      </c>
      <c r="BU232" s="194">
        <f t="shared" si="522"/>
        <v>100.00312</v>
      </c>
      <c r="BV232" s="65">
        <f t="shared" si="523"/>
        <v>74.8</v>
      </c>
      <c r="BW232" s="65">
        <f t="shared" si="524"/>
      </c>
      <c r="BX232" s="65">
        <f t="shared" si="525"/>
        <v>-55.4</v>
      </c>
      <c r="BY232" s="194">
        <f t="shared" si="526"/>
        <v>-285.57592</v>
      </c>
      <c r="BZ232" s="65">
        <f t="shared" si="527"/>
        <v>74.8</v>
      </c>
      <c r="CA232" s="65"/>
      <c r="CB232" s="65">
        <f t="shared" si="528"/>
        <v>-130.2</v>
      </c>
      <c r="CC232" s="194">
        <f t="shared" si="529"/>
        <v>-671.15496</v>
      </c>
      <c r="CD232" s="65">
        <f t="shared" si="530"/>
        <v>74.8</v>
      </c>
      <c r="CE232" s="65"/>
      <c r="CF232" s="65">
        <f t="shared" si="531"/>
        <v>-205.0</v>
      </c>
      <c r="CG232" s="194">
        <f t="shared" si="532"/>
        <v>-1056.734</v>
      </c>
      <c r="CH232" s="65">
        <f t="shared" si="533"/>
        <v>74.8</v>
      </c>
      <c r="CI232" s="65"/>
      <c r="CJ232" s="65">
        <f t="shared" si="534"/>
        <v>-279.8</v>
      </c>
      <c r="CK232" s="194">
        <f t="shared" si="535"/>
        <v>-1056.734</v>
      </c>
    </row>
    <row r="233" ht="14.0" customFormat="1" s="47">
      <c r="A233" s="93" t="s">
        <v>179</v>
      </c>
      <c r="B233" s="93" t="s">
        <v>81</v>
      </c>
      <c r="C233" s="93" t="s">
        <v>796</v>
      </c>
      <c r="D233" s="250" t="s">
        <v>797</v>
      </c>
      <c r="AD233" s="47">
        <v>0.0</v>
      </c>
      <c r="AE233" s="47">
        <v>0.0</v>
      </c>
      <c r="AF233" s="47">
        <v>0.0</v>
      </c>
      <c r="AG233" s="47">
        <v>0.0</v>
      </c>
      <c r="AH233" s="47">
        <v>0.0</v>
      </c>
      <c r="AI233" s="47">
        <v>0.0</v>
      </c>
      <c r="AJ233" s="47">
        <v>0.0</v>
      </c>
      <c r="AK233" s="47">
        <v>0.0</v>
      </c>
      <c r="AL233" s="47">
        <v>0.0</v>
      </c>
      <c r="AM233" s="47">
        <v>0.0</v>
      </c>
      <c r="AN233" s="237">
        <v>0.0</v>
      </c>
      <c r="AO233" s="237">
        <v>0.0</v>
      </c>
      <c r="AP233" s="237">
        <v>0.0</v>
      </c>
      <c r="AQ233" s="230">
        <v>0.0</v>
      </c>
      <c r="AR233" s="230">
        <v>25.0</v>
      </c>
      <c r="AS233" s="230">
        <v>83.0</v>
      </c>
      <c r="AT233" s="69">
        <f t="shared" si="4"/>
        <v>108.0</v>
      </c>
      <c r="AU233" s="69">
        <f t="shared" si="371"/>
        <v>108.0</v>
      </c>
      <c r="AV233" s="69">
        <f t="shared" si="424"/>
        <v>118.8</v>
      </c>
      <c r="AW233" s="65">
        <f t="shared" si="514"/>
        <v>61.05</v>
      </c>
      <c r="AX233" s="65">
        <f t="shared" si="476"/>
        <v>61.05</v>
      </c>
      <c r="AY233" s="65">
        <f t="shared" si="477"/>
        <v>61.05</v>
      </c>
      <c r="AZ233" s="65">
        <f t="shared" si="478"/>
        <v>61.05</v>
      </c>
      <c r="BA233" s="65">
        <f t="shared" si="479"/>
        <v>61.05</v>
      </c>
      <c r="BB233" s="65">
        <f t="shared" si="480"/>
        <v>61.05</v>
      </c>
      <c r="BC233" s="64">
        <f t="shared" si="13"/>
        <v>366.3</v>
      </c>
      <c r="BD233" s="69">
        <f>VLOOKUP(D233,FEB23SOH,3,false)</f>
        <v>214.0</v>
      </c>
      <c r="BE233" s="201">
        <f>VLOOKUP(D233,VALUEFEB23,4,false)</f>
        <v>5.1551</v>
      </c>
      <c r="BF233" s="215">
        <f t="shared" si="431"/>
        <v>1103.1914</v>
      </c>
      <c r="BG233" s="64"/>
      <c r="BH233" s="64"/>
      <c r="BI233" s="193">
        <f t="shared" si="515"/>
        <v>-152.3</v>
      </c>
      <c r="BJ233" s="217">
        <v>504.0</v>
      </c>
      <c r="BK233" s="185">
        <f t="shared" si="536"/>
        <v>504.0</v>
      </c>
      <c r="BL233" s="103" t="s">
        <v>4</v>
      </c>
      <c r="BM233" s="95">
        <f t="shared" si="516"/>
        <v>214.0</v>
      </c>
      <c r="BN233" s="65">
        <f t="shared" si="517"/>
        <v>61.05</v>
      </c>
      <c r="BO233" s="65">
        <f t="shared" si="21"/>
      </c>
      <c r="BP233" s="65">
        <f t="shared" si="518"/>
        <v>152.95</v>
      </c>
      <c r="BQ233" s="194">
        <f t="shared" si="519"/>
        <v>788.472545</v>
      </c>
      <c r="BR233" s="65">
        <f t="shared" si="520"/>
        <v>61.05</v>
      </c>
      <c r="BS233" s="65">
        <f t="shared" si="25"/>
      </c>
      <c r="BT233" s="65">
        <f t="shared" si="521"/>
        <v>91.9</v>
      </c>
      <c r="BU233" s="194">
        <f t="shared" si="522"/>
        <v>473.75369</v>
      </c>
      <c r="BV233" s="65">
        <f t="shared" si="523"/>
        <v>61.05</v>
      </c>
      <c r="BW233" s="65">
        <f t="shared" si="524"/>
      </c>
      <c r="BX233" s="65">
        <f t="shared" si="525"/>
        <v>30.85</v>
      </c>
      <c r="BY233" s="194">
        <f t="shared" si="526"/>
        <v>159.034835</v>
      </c>
      <c r="BZ233" s="65">
        <f t="shared" si="527"/>
        <v>61.05</v>
      </c>
      <c r="CA233" s="65"/>
      <c r="CB233" s="65">
        <f t="shared" si="528"/>
        <v>-30.1999999999998</v>
      </c>
      <c r="CC233" s="194">
        <f t="shared" si="529"/>
        <v>-155.684019999997</v>
      </c>
      <c r="CD233" s="65">
        <f t="shared" si="530"/>
        <v>61.05</v>
      </c>
      <c r="CE233" s="65"/>
      <c r="CF233" s="65">
        <f t="shared" si="531"/>
        <v>-91.2499999999998</v>
      </c>
      <c r="CG233" s="194">
        <f t="shared" si="532"/>
        <v>-470.402874999997</v>
      </c>
      <c r="CH233" s="65">
        <f t="shared" si="533"/>
        <v>61.05</v>
      </c>
      <c r="CI233" s="65"/>
      <c r="CJ233" s="65">
        <f t="shared" si="534"/>
        <v>-152.299999999998</v>
      </c>
      <c r="CK233" s="194">
        <f t="shared" si="535"/>
        <v>-470.402874999997</v>
      </c>
    </row>
    <row r="234" ht="14.0" customFormat="1" s="47">
      <c r="A234" s="93" t="s">
        <v>179</v>
      </c>
      <c r="B234" s="93" t="s">
        <v>81</v>
      </c>
      <c r="C234" s="93" t="s">
        <v>798</v>
      </c>
      <c r="D234" s="250" t="s">
        <v>799</v>
      </c>
      <c r="AD234" s="47">
        <v>0.0</v>
      </c>
      <c r="AE234" s="47">
        <v>0.0</v>
      </c>
      <c r="AF234" s="47">
        <v>0.0</v>
      </c>
      <c r="AG234" s="47">
        <v>0.0</v>
      </c>
      <c r="AH234" s="47">
        <v>0.0</v>
      </c>
      <c r="AI234" s="47">
        <v>0.0</v>
      </c>
      <c r="AJ234" s="47">
        <v>0.0</v>
      </c>
      <c r="AK234" s="47">
        <v>0.0</v>
      </c>
      <c r="AL234" s="47">
        <v>0.0</v>
      </c>
      <c r="AM234" s="47">
        <v>0.0</v>
      </c>
      <c r="AN234" s="237">
        <v>0.0</v>
      </c>
      <c r="AO234" s="237">
        <v>0.0</v>
      </c>
      <c r="AP234" s="237">
        <v>0.0</v>
      </c>
      <c r="AQ234" s="230">
        <v>0.0</v>
      </c>
      <c r="AR234" s="230">
        <v>21.0</v>
      </c>
      <c r="AS234" s="230">
        <v>106.0</v>
      </c>
      <c r="AT234" s="69">
        <f t="shared" si="4"/>
        <v>127.0</v>
      </c>
      <c r="AU234" s="69">
        <f t="shared" si="371"/>
        <v>127.0</v>
      </c>
      <c r="AV234" s="69">
        <f t="shared" si="424"/>
        <v>139.7</v>
      </c>
      <c r="AW234" s="65">
        <f t="shared" si="514"/>
        <v>71.5</v>
      </c>
      <c r="AX234" s="65">
        <f t="shared" si="476"/>
        <v>71.5</v>
      </c>
      <c r="AY234" s="65">
        <f t="shared" si="477"/>
        <v>71.5</v>
      </c>
      <c r="AZ234" s="65">
        <f t="shared" si="478"/>
        <v>71.5</v>
      </c>
      <c r="BA234" s="65">
        <f t="shared" si="479"/>
        <v>71.5</v>
      </c>
      <c r="BB234" s="65">
        <f t="shared" si="480"/>
        <v>71.5</v>
      </c>
      <c r="BC234" s="64">
        <f t="shared" si="13"/>
        <v>429.0</v>
      </c>
      <c r="BD234" s="69">
        <f>VLOOKUP(D234,FEB23SOH,3,false)</f>
        <v>178.0</v>
      </c>
      <c r="BE234" s="201">
        <f>VLOOKUP(D234,VALUEFEB23,4,false)</f>
        <v>5.1549</v>
      </c>
      <c r="BF234" s="215">
        <f t="shared" si="431"/>
        <v>917.5722</v>
      </c>
      <c r="BG234" s="64"/>
      <c r="BH234" s="64"/>
      <c r="BI234" s="193">
        <f t="shared" si="515"/>
        <v>-251.0</v>
      </c>
      <c r="BJ234" s="217">
        <v>504.0</v>
      </c>
      <c r="BK234" s="185">
        <f t="shared" si="536"/>
        <v>504.0</v>
      </c>
      <c r="BL234" s="103" t="s">
        <v>520</v>
      </c>
      <c r="BM234" s="95">
        <f t="shared" si="516"/>
        <v>178.0</v>
      </c>
      <c r="BN234" s="65">
        <f t="shared" si="517"/>
        <v>71.5</v>
      </c>
      <c r="BO234" s="65">
        <f t="shared" si="21"/>
      </c>
      <c r="BP234" s="65">
        <f t="shared" si="518"/>
        <v>106.5</v>
      </c>
      <c r="BQ234" s="194">
        <f t="shared" si="519"/>
        <v>548.99685</v>
      </c>
      <c r="BR234" s="65">
        <f t="shared" si="520"/>
        <v>71.5</v>
      </c>
      <c r="BS234" s="65">
        <f t="shared" si="25"/>
      </c>
      <c r="BT234" s="65">
        <f t="shared" si="521"/>
        <v>35.0</v>
      </c>
      <c r="BU234" s="194">
        <f t="shared" si="522"/>
        <v>180.4215</v>
      </c>
      <c r="BV234" s="65">
        <f t="shared" si="523"/>
        <v>71.5</v>
      </c>
      <c r="BW234" s="65">
        <f t="shared" si="524"/>
      </c>
      <c r="BX234" s="65">
        <f t="shared" si="525"/>
        <v>-36.5</v>
      </c>
      <c r="BY234" s="194">
        <f t="shared" si="526"/>
        <v>-188.15384999998</v>
      </c>
      <c r="BZ234" s="65">
        <f t="shared" si="527"/>
        <v>71.5</v>
      </c>
      <c r="CA234" s="65"/>
      <c r="CB234" s="65">
        <f t="shared" si="528"/>
        <v>-108.0</v>
      </c>
      <c r="CC234" s="194">
        <f t="shared" si="529"/>
        <v>-556.7292</v>
      </c>
      <c r="CD234" s="65">
        <f t="shared" si="530"/>
        <v>71.5</v>
      </c>
      <c r="CE234" s="65"/>
      <c r="CF234" s="65">
        <f t="shared" si="531"/>
        <v>-179.5</v>
      </c>
      <c r="CG234" s="194">
        <f t="shared" si="532"/>
        <v>-925.30455</v>
      </c>
      <c r="CH234" s="65">
        <f t="shared" si="533"/>
        <v>71.5</v>
      </c>
      <c r="CI234" s="65"/>
      <c r="CJ234" s="65">
        <f t="shared" si="534"/>
        <v>-251.0</v>
      </c>
      <c r="CK234" s="194">
        <f t="shared" si="535"/>
        <v>-925.30455</v>
      </c>
    </row>
    <row r="235" ht="14.0" customFormat="1" s="47">
      <c r="A235" s="93" t="s">
        <v>179</v>
      </c>
      <c r="B235" s="93" t="s">
        <v>81</v>
      </c>
      <c r="C235" s="93" t="s">
        <v>800</v>
      </c>
      <c r="D235" s="250" t="s">
        <v>801</v>
      </c>
      <c r="AD235" s="47">
        <v>0.0</v>
      </c>
      <c r="AE235" s="47">
        <v>0.0</v>
      </c>
      <c r="AF235" s="47">
        <v>0.0</v>
      </c>
      <c r="AG235" s="47">
        <v>0.0</v>
      </c>
      <c r="AH235" s="47">
        <v>0.0</v>
      </c>
      <c r="AI235" s="47">
        <v>0.0</v>
      </c>
      <c r="AJ235" s="47">
        <v>0.0</v>
      </c>
      <c r="AK235" s="47">
        <v>0.0</v>
      </c>
      <c r="AL235" s="47">
        <v>0.0</v>
      </c>
      <c r="AM235" s="47">
        <v>0.0</v>
      </c>
      <c r="AN235" s="237">
        <v>0.0</v>
      </c>
      <c r="AO235" s="237">
        <v>0.0</v>
      </c>
      <c r="AP235" s="237">
        <v>0.0</v>
      </c>
      <c r="AQ235" s="230">
        <v>0.0</v>
      </c>
      <c r="AR235" s="230">
        <v>42.0</v>
      </c>
      <c r="AS235" s="230">
        <v>51.0</v>
      </c>
      <c r="AT235" s="69">
        <f t="shared" si="4"/>
        <v>93.0</v>
      </c>
      <c r="AU235" s="69">
        <f t="shared" si="371"/>
        <v>93.0</v>
      </c>
      <c r="AV235" s="69">
        <f t="shared" si="424"/>
        <v>102.3</v>
      </c>
      <c r="AW235" s="65">
        <f t="shared" si="514"/>
        <v>52.8</v>
      </c>
      <c r="AX235" s="65">
        <f t="shared" si="476"/>
        <v>52.8</v>
      </c>
      <c r="AY235" s="65">
        <f t="shared" si="477"/>
        <v>52.8</v>
      </c>
      <c r="AZ235" s="65">
        <f t="shared" si="478"/>
        <v>52.8</v>
      </c>
      <c r="BA235" s="65">
        <f t="shared" si="479"/>
        <v>52.8</v>
      </c>
      <c r="BB235" s="65">
        <f t="shared" si="480"/>
        <v>52.8</v>
      </c>
      <c r="BC235" s="64">
        <f t="shared" si="13"/>
        <v>316.8</v>
      </c>
      <c r="BD235" s="69">
        <f>VLOOKUP(D235,FEB23SOH,3,false)</f>
        <v>134.0</v>
      </c>
      <c r="BE235" s="201">
        <f>VLOOKUP(D235,VALUEFEB23,4,false)</f>
        <v>5.1549</v>
      </c>
      <c r="BF235" s="215">
        <f t="shared" si="431"/>
        <v>690.7566</v>
      </c>
      <c r="BG235" s="64"/>
      <c r="BH235" s="64"/>
      <c r="BI235" s="193">
        <f t="shared" si="515"/>
        <v>-182.8</v>
      </c>
      <c r="BJ235" s="217">
        <v>504.0</v>
      </c>
      <c r="BK235" s="185">
        <f t="shared" si="536"/>
        <v>504.0</v>
      </c>
      <c r="BL235" s="103" t="s">
        <v>520</v>
      </c>
      <c r="BM235" s="95">
        <f t="shared" si="516"/>
        <v>134.0</v>
      </c>
      <c r="BN235" s="65">
        <f t="shared" si="517"/>
        <v>52.8</v>
      </c>
      <c r="BO235" s="65">
        <f t="shared" si="21"/>
      </c>
      <c r="BP235" s="65">
        <f t="shared" si="518"/>
        <v>81.2</v>
      </c>
      <c r="BQ235" s="194">
        <f t="shared" si="519"/>
        <v>418.57788</v>
      </c>
      <c r="BR235" s="65">
        <f t="shared" si="520"/>
        <v>52.8</v>
      </c>
      <c r="BS235" s="65">
        <f t="shared" si="25"/>
      </c>
      <c r="BT235" s="65">
        <f t="shared" si="521"/>
        <v>28.4</v>
      </c>
      <c r="BU235" s="194">
        <f t="shared" si="522"/>
        <v>146.39916</v>
      </c>
      <c r="BV235" s="65">
        <f t="shared" si="523"/>
        <v>52.8</v>
      </c>
      <c r="BW235" s="65">
        <f t="shared" si="524"/>
      </c>
      <c r="BX235" s="65">
        <f t="shared" si="525"/>
        <v>-24.4</v>
      </c>
      <c r="BY235" s="194">
        <f t="shared" si="526"/>
        <v>-125.779559999998</v>
      </c>
      <c r="BZ235" s="65">
        <f t="shared" si="527"/>
        <v>52.8</v>
      </c>
      <c r="CA235" s="65"/>
      <c r="CB235" s="65">
        <f t="shared" si="528"/>
        <v>-77.1999999999998</v>
      </c>
      <c r="CC235" s="194">
        <f t="shared" si="529"/>
        <v>-397.958279999999</v>
      </c>
      <c r="CD235" s="65">
        <f t="shared" si="530"/>
        <v>52.8</v>
      </c>
      <c r="CE235" s="65"/>
      <c r="CF235" s="65">
        <f t="shared" si="531"/>
        <v>-129.999999999998</v>
      </c>
      <c r="CG235" s="194">
        <f t="shared" si="532"/>
        <v>-670.136999999988</v>
      </c>
      <c r="CH235" s="65">
        <f t="shared" si="533"/>
        <v>52.8</v>
      </c>
      <c r="CI235" s="65"/>
      <c r="CJ235" s="65">
        <f t="shared" si="534"/>
        <v>-182.799999999998</v>
      </c>
      <c r="CK235" s="194">
        <f t="shared" si="535"/>
        <v>-670.136999999988</v>
      </c>
    </row>
    <row r="236" ht="14.0" customFormat="1" s="47">
      <c r="A236" s="93" t="s">
        <v>179</v>
      </c>
      <c r="B236" s="93" t="s">
        <v>81</v>
      </c>
      <c r="C236" s="93" t="s">
        <v>802</v>
      </c>
      <c r="D236" s="250" t="s">
        <v>803</v>
      </c>
      <c r="AD236" s="47">
        <v>0.0</v>
      </c>
      <c r="AE236" s="47">
        <v>0.0</v>
      </c>
      <c r="AF236" s="47">
        <v>0.0</v>
      </c>
      <c r="AG236" s="47">
        <v>0.0</v>
      </c>
      <c r="AH236" s="47">
        <v>0.0</v>
      </c>
      <c r="AI236" s="47">
        <v>0.0</v>
      </c>
      <c r="AJ236" s="47">
        <v>0.0</v>
      </c>
      <c r="AK236" s="47">
        <v>0.0</v>
      </c>
      <c r="AL236" s="47">
        <v>0.0</v>
      </c>
      <c r="AM236" s="47">
        <v>0.0</v>
      </c>
      <c r="AN236" s="237">
        <v>0.0</v>
      </c>
      <c r="AO236" s="237">
        <v>0.0</v>
      </c>
      <c r="AP236" s="237">
        <v>0.0</v>
      </c>
      <c r="AQ236" s="230">
        <v>0.0</v>
      </c>
      <c r="AR236" s="230">
        <v>42.0</v>
      </c>
      <c r="AS236" s="230">
        <v>73.0</v>
      </c>
      <c r="AT236" s="69">
        <f t="shared" si="4"/>
        <v>115.0</v>
      </c>
      <c r="AU236" s="69">
        <f t="shared" si="371"/>
        <v>115.0</v>
      </c>
      <c r="AV236" s="69">
        <f t="shared" si="424"/>
        <v>126.5</v>
      </c>
      <c r="AW236" s="65">
        <f t="shared" si="514"/>
        <v>64.9</v>
      </c>
      <c r="AX236" s="65">
        <f t="shared" si="476"/>
        <v>64.9</v>
      </c>
      <c r="AY236" s="65">
        <f t="shared" si="477"/>
        <v>64.9</v>
      </c>
      <c r="AZ236" s="65">
        <f t="shared" si="478"/>
        <v>64.9</v>
      </c>
      <c r="BA236" s="65">
        <f t="shared" si="479"/>
        <v>64.9</v>
      </c>
      <c r="BB236" s="65">
        <f t="shared" si="480"/>
        <v>64.9</v>
      </c>
      <c r="BC236" s="64">
        <f t="shared" si="13"/>
        <v>389.4</v>
      </c>
      <c r="BD236" s="69">
        <f>VLOOKUP(D236,FEB23SOH,3,false)</f>
        <v>264.0</v>
      </c>
      <c r="BE236" s="201">
        <f>VLOOKUP(D236,VALUEFEB23,4,false)</f>
        <v>5.1551</v>
      </c>
      <c r="BF236" s="215">
        <f t="shared" si="431"/>
        <v>1360.9464</v>
      </c>
      <c r="BG236" s="64"/>
      <c r="BH236" s="64"/>
      <c r="BI236" s="193">
        <f t="shared" si="515"/>
        <v>-125.399999999998</v>
      </c>
      <c r="BJ236" s="217">
        <v>504.0</v>
      </c>
      <c r="BK236" s="185">
        <f t="shared" si="536"/>
        <v>504.0</v>
      </c>
      <c r="BL236" s="103" t="s">
        <v>5</v>
      </c>
      <c r="BM236" s="95">
        <f t="shared" si="516"/>
        <v>264.0</v>
      </c>
      <c r="BN236" s="65">
        <f t="shared" si="517"/>
        <v>64.9</v>
      </c>
      <c r="BO236" s="65">
        <f t="shared" si="21"/>
      </c>
      <c r="BP236" s="65">
        <f t="shared" si="518"/>
        <v>199.1</v>
      </c>
      <c r="BQ236" s="194">
        <f t="shared" si="519"/>
        <v>1026.38041</v>
      </c>
      <c r="BR236" s="65">
        <f t="shared" si="520"/>
        <v>64.9</v>
      </c>
      <c r="BS236" s="65">
        <f t="shared" si="25"/>
      </c>
      <c r="BT236" s="65">
        <f t="shared" si="521"/>
        <v>134.2</v>
      </c>
      <c r="BU236" s="194">
        <f t="shared" si="522"/>
        <v>691.81442</v>
      </c>
      <c r="BV236" s="65">
        <f t="shared" si="523"/>
        <v>64.9</v>
      </c>
      <c r="BW236" s="65">
        <f t="shared" si="524"/>
      </c>
      <c r="BX236" s="65">
        <f t="shared" si="525"/>
        <v>69.3</v>
      </c>
      <c r="BY236" s="194">
        <f t="shared" si="526"/>
        <v>357.24843</v>
      </c>
      <c r="BZ236" s="65">
        <f t="shared" si="527"/>
        <v>64.9</v>
      </c>
      <c r="CA236" s="65"/>
      <c r="CB236" s="65">
        <f t="shared" si="528"/>
        <v>4.39999999999999</v>
      </c>
      <c r="CC236" s="194">
        <f t="shared" si="529"/>
        <v>22.6824399999999</v>
      </c>
      <c r="CD236" s="65">
        <f t="shared" si="530"/>
        <v>64.9</v>
      </c>
      <c r="CE236" s="65"/>
      <c r="CF236" s="65">
        <f t="shared" si="531"/>
        <v>-60.5</v>
      </c>
      <c r="CG236" s="194">
        <f t="shared" si="532"/>
        <v>-311.88355</v>
      </c>
      <c r="CH236" s="65">
        <f t="shared" si="533"/>
        <v>64.9</v>
      </c>
      <c r="CI236" s="65"/>
      <c r="CJ236" s="65">
        <f t="shared" si="534"/>
        <v>-125.4</v>
      </c>
      <c r="CK236" s="194">
        <f t="shared" si="535"/>
        <v>-311.88355</v>
      </c>
    </row>
    <row r="237" ht="14.0" customFormat="1" s="47">
      <c r="A237" s="93" t="s">
        <v>179</v>
      </c>
      <c r="B237" s="93" t="s">
        <v>81</v>
      </c>
      <c r="C237" s="47" t="s">
        <v>804</v>
      </c>
      <c r="D237" s="185" t="s">
        <v>805</v>
      </c>
      <c r="AH237" s="230">
        <v>0.0</v>
      </c>
      <c r="AI237" s="230">
        <v>0.0</v>
      </c>
      <c r="AJ237" s="230">
        <v>0.0</v>
      </c>
      <c r="AK237" s="230">
        <v>0.0</v>
      </c>
      <c r="AL237" s="230">
        <v>0.0</v>
      </c>
      <c r="AM237" s="230">
        <v>0.0</v>
      </c>
      <c r="AN237" s="230">
        <v>0.0</v>
      </c>
      <c r="AO237" s="230">
        <v>0.0</v>
      </c>
      <c r="AP237" s="230">
        <v>0.0</v>
      </c>
      <c r="AQ237" s="230">
        <v>0.0</v>
      </c>
      <c r="AR237" s="230">
        <v>0.0</v>
      </c>
      <c r="AS237" s="237">
        <v>1.0</v>
      </c>
      <c r="AT237" s="69">
        <f t="shared" si="4"/>
        <v>1.0</v>
      </c>
      <c r="AU237" s="69">
        <f t="shared" si="371"/>
        <v>1.0</v>
      </c>
      <c r="AV237" s="69">
        <f t="shared" si="424"/>
        <v>1.1</v>
      </c>
      <c r="AW237" s="97">
        <f>AVERAGE(AR237:AS237)*1.1</f>
        <v>0.55</v>
      </c>
      <c r="AX237" s="97">
        <f t="shared" si="476"/>
        <v>0.55</v>
      </c>
      <c r="AY237" s="97">
        <f t="shared" si="477"/>
        <v>0.55</v>
      </c>
      <c r="AZ237" s="97">
        <f t="shared" si="478"/>
        <v>0.55</v>
      </c>
      <c r="BA237" s="97">
        <f t="shared" si="479"/>
        <v>0.55</v>
      </c>
      <c r="BB237" s="97">
        <f t="shared" si="480"/>
        <v>0.55</v>
      </c>
      <c r="BC237" s="64">
        <f t="shared" si="13"/>
        <v>3.3</v>
      </c>
      <c r="BD237" s="69">
        <f>VLOOKUP(D237,FEB23SOH,3,false)</f>
        <v>3.0</v>
      </c>
      <c r="BE237" s="201">
        <f>VLOOKUP(D237,VALUEFEB23,4,false)</f>
        <v>121.7633</v>
      </c>
      <c r="BF237" s="215">
        <f t="shared" si="431"/>
        <v>365.2899</v>
      </c>
      <c r="BG237" s="64"/>
      <c r="BH237" s="103"/>
      <c r="BI237" s="103"/>
      <c r="BJ237" s="103"/>
      <c r="BK237" s="103"/>
      <c r="BL237" s="103"/>
      <c r="BM237" s="95"/>
      <c r="BN237" s="65"/>
      <c r="BO237" s="65"/>
      <c r="BP237" s="65"/>
      <c r="BQ237" s="194"/>
      <c r="BR237" s="65"/>
      <c r="BS237" s="65"/>
      <c r="BT237" s="65"/>
      <c r="BU237" s="194"/>
      <c r="BV237" s="65"/>
      <c r="BW237" s="65"/>
      <c r="BX237" s="65"/>
      <c r="BY237" s="194"/>
      <c r="BZ237" s="65"/>
      <c r="CA237" s="65"/>
      <c r="CB237" s="65"/>
      <c r="CC237" s="194"/>
      <c r="CD237" s="65"/>
      <c r="CE237" s="65"/>
      <c r="CF237" s="65"/>
      <c r="CG237" s="194"/>
      <c r="CH237" s="65"/>
      <c r="CI237" s="65"/>
      <c r="CJ237" s="65"/>
      <c r="CK237" s="194"/>
    </row>
    <row r="238" customFormat="1" s="47">
      <c r="D238" s="185"/>
      <c r="AT238" s="64"/>
      <c r="AU238" s="64"/>
      <c r="AV238" s="64"/>
      <c r="BC238" s="64"/>
      <c r="BD238" s="64"/>
      <c r="BE238" s="215"/>
      <c r="BF238" s="216"/>
      <c r="BG238" s="64"/>
      <c r="BH238" s="64"/>
      <c r="BI238" s="95"/>
      <c r="BJ238" s="217"/>
      <c r="BK238" s="185"/>
      <c r="BL238" s="103"/>
      <c r="BM238" s="67"/>
      <c r="BQ238" s="194"/>
    </row>
    <row r="239" ht="14.0" customFormat="1" s="47">
      <c r="D239" s="185"/>
      <c r="AT239" s="64">
        <v>567.0</v>
      </c>
      <c r="AU239" s="64"/>
      <c r="AV239" s="64"/>
      <c r="BC239" s="64"/>
      <c r="BD239" s="64"/>
      <c r="BE239" s="215"/>
      <c r="BF239" s="216"/>
      <c r="BG239" s="64"/>
      <c r="BH239" s="64"/>
      <c r="BI239" s="95"/>
      <c r="BJ239" s="217"/>
      <c r="BK239" s="185"/>
      <c r="BL239" s="103"/>
      <c r="BM239" s="67"/>
      <c r="BQ239" s="194"/>
    </row>
    <row r="240" ht="14.0" customFormat="1" s="47">
      <c r="D240" s="185"/>
      <c r="AT240" s="64">
        <f>27*6</f>
        <v>162.0</v>
      </c>
      <c r="AU240" s="64">
        <f>AT240+AT239</f>
        <v>729.0</v>
      </c>
      <c r="AV240" s="64">
        <f>AU240*4.52</f>
        <v>3295.08</v>
      </c>
      <c r="BC240" s="64"/>
      <c r="BD240" s="64"/>
      <c r="BE240" s="215"/>
      <c r="BF240" s="216"/>
      <c r="BG240" s="64"/>
      <c r="BH240" s="64"/>
      <c r="BI240" s="95"/>
      <c r="BJ240" s="217"/>
      <c r="BK240" s="185"/>
      <c r="BL240" s="103"/>
      <c r="BM240" s="67"/>
      <c r="BQ240" s="194"/>
    </row>
    <row r="241" customFormat="1" s="47">
      <c r="D241" s="185"/>
      <c r="AT241" s="64"/>
      <c r="AU241" s="64"/>
      <c r="AV241" s="64"/>
      <c r="BC241" s="64"/>
      <c r="BD241" s="64"/>
      <c r="BE241" s="215"/>
      <c r="BF241" s="216"/>
      <c r="BG241" s="64"/>
      <c r="BH241" s="64"/>
      <c r="BI241" s="95"/>
      <c r="BJ241" s="217"/>
      <c r="BK241" s="185"/>
      <c r="BL241" s="103"/>
      <c r="BM241" s="67"/>
      <c r="BQ241" s="194"/>
    </row>
    <row r="242" ht="14.0" customFormat="1" s="47">
      <c r="D242" s="185"/>
      <c r="AT242" s="64"/>
      <c r="AU242" s="64">
        <v>498.0</v>
      </c>
      <c r="AV242" s="64"/>
      <c r="BC242" s="64"/>
      <c r="BD242" s="64"/>
      <c r="BE242" s="215"/>
      <c r="BF242" s="216"/>
      <c r="BG242" s="64"/>
      <c r="BH242" s="64"/>
      <c r="BI242" s="95"/>
      <c r="BJ242" s="217"/>
      <c r="BK242" s="185"/>
      <c r="BL242" s="103"/>
      <c r="BM242" s="67"/>
      <c r="BQ242" s="194"/>
    </row>
    <row r="243" ht="14.0" customFormat="1" s="47">
      <c r="D243" s="185"/>
      <c r="AT243" s="64"/>
      <c r="AU243" s="64">
        <f>38*6</f>
        <v>228.0</v>
      </c>
      <c r="AV243" s="64"/>
      <c r="BC243" s="64"/>
      <c r="BD243" s="64"/>
      <c r="BE243" s="215"/>
      <c r="BF243" s="216"/>
      <c r="BG243" s="64"/>
      <c r="BH243" s="64"/>
      <c r="BI243" s="95"/>
      <c r="BJ243" s="217"/>
      <c r="BK243" s="185"/>
      <c r="BL243" s="103"/>
      <c r="BM243" s="67"/>
      <c r="BQ243" s="194"/>
    </row>
    <row r="244" customFormat="1" s="47">
      <c r="D244" s="185"/>
      <c r="AT244" s="64"/>
      <c r="AU244" s="64"/>
      <c r="AV244" s="64"/>
      <c r="BC244" s="64"/>
      <c r="BD244" s="64"/>
      <c r="BE244" s="215"/>
      <c r="BF244" s="216"/>
      <c r="BG244" s="64"/>
      <c r="BH244" s="64"/>
      <c r="BI244" s="95"/>
      <c r="BJ244" s="217"/>
      <c r="BK244" s="185"/>
      <c r="BL244" s="103"/>
      <c r="BM244" s="67"/>
      <c r="BQ244" s="194"/>
    </row>
    <row r="261991" customFormat="1" s="47">
      <c r="D261991" s="185"/>
      <c r="AT261991" s="64"/>
      <c r="AU261991" s="64"/>
      <c r="AV261991" s="64"/>
      <c r="BC261991" s="64"/>
      <c r="BD261991" s="64"/>
      <c r="BE261991" s="215"/>
      <c r="BF261991" s="216"/>
      <c r="BG261991" s="64"/>
      <c r="BH261991" s="64"/>
      <c r="BI261991" s="95"/>
      <c r="BJ261991" s="217"/>
      <c r="BK261991" s="185"/>
      <c r="BL261991" s="103"/>
      <c r="BM261991" s="67"/>
      <c r="BQ261991" s="194"/>
    </row>
    <row r="261992" customFormat="1" s="47">
      <c r="D261992" s="185"/>
      <c r="AT261992" s="64"/>
      <c r="AU261992" s="64"/>
      <c r="AV261992" s="64"/>
      <c r="BC261992" s="64"/>
      <c r="BD261992" s="64"/>
      <c r="BE261992" s="215"/>
      <c r="BF261992" s="216"/>
      <c r="BG261992" s="64"/>
      <c r="BH261992" s="64"/>
      <c r="BI261992" s="95"/>
      <c r="BJ261992" s="217"/>
      <c r="BK261992" s="185"/>
      <c r="BL261992" s="103"/>
      <c r="BM261992" s="67"/>
      <c r="BQ261992" s="194"/>
    </row>
    <row r="261993" customFormat="1" s="47">
      <c r="D261993" s="185"/>
      <c r="AT261993" s="64"/>
      <c r="AU261993" s="64"/>
      <c r="AV261993" s="64"/>
      <c r="BC261993" s="64"/>
      <c r="BD261993" s="64"/>
      <c r="BE261993" s="215"/>
      <c r="BF261993" s="216"/>
      <c r="BG261993" s="64"/>
      <c r="BH261993" s="64"/>
      <c r="BI261993" s="95"/>
      <c r="BJ261993" s="217"/>
      <c r="BK261993" s="185"/>
      <c r="BL261993" s="103"/>
      <c r="BM261993" s="67"/>
      <c r="BQ261993" s="194"/>
    </row>
    <row r="261994" customFormat="1" s="47">
      <c r="D261994" s="185"/>
      <c r="AT261994" s="64"/>
      <c r="AU261994" s="64"/>
      <c r="AV261994" s="64"/>
      <c r="BC261994" s="64"/>
      <c r="BD261994" s="64"/>
      <c r="BE261994" s="215"/>
      <c r="BF261994" s="216"/>
      <c r="BG261994" s="64"/>
      <c r="BH261994" s="64"/>
      <c r="BI261994" s="95"/>
      <c r="BJ261994" s="217"/>
      <c r="BK261994" s="185"/>
      <c r="BL261994" s="103"/>
      <c r="BM261994" s="67"/>
      <c r="BQ261994" s="194"/>
    </row>
    <row r="261995" customFormat="1" s="47">
      <c r="D261995" s="185"/>
      <c r="AT261995" s="64"/>
      <c r="AU261995" s="64"/>
      <c r="AV261995" s="64"/>
      <c r="BC261995" s="64"/>
      <c r="BD261995" s="64"/>
      <c r="BE261995" s="215"/>
      <c r="BF261995" s="216"/>
      <c r="BG261995" s="64"/>
      <c r="BH261995" s="64"/>
      <c r="BI261995" s="95"/>
      <c r="BJ261995" s="217"/>
      <c r="BK261995" s="185"/>
      <c r="BL261995" s="103"/>
      <c r="BM261995" s="67"/>
      <c r="BQ261995" s="194"/>
    </row>
    <row r="261996" customFormat="1" s="47">
      <c r="D261996" s="185"/>
      <c r="AT261996" s="64"/>
      <c r="AU261996" s="64"/>
      <c r="AV261996" s="64"/>
      <c r="BC261996" s="64"/>
      <c r="BD261996" s="64"/>
      <c r="BE261996" s="215"/>
      <c r="BF261996" s="216"/>
      <c r="BG261996" s="64"/>
      <c r="BH261996" s="64"/>
      <c r="BI261996" s="95"/>
      <c r="BJ261996" s="217"/>
      <c r="BK261996" s="185"/>
      <c r="BL261996" s="103"/>
      <c r="BM261996" s="67"/>
      <c r="BQ261996" s="194"/>
    </row>
    <row r="261997" customFormat="1" s="47">
      <c r="D261997" s="185"/>
      <c r="AT261997" s="64"/>
      <c r="AU261997" s="64"/>
      <c r="AV261997" s="64"/>
      <c r="BC261997" s="64"/>
      <c r="BD261997" s="64"/>
      <c r="BE261997" s="215"/>
      <c r="BF261997" s="216"/>
      <c r="BG261997" s="64"/>
      <c r="BH261997" s="64"/>
      <c r="BI261997" s="95"/>
      <c r="BJ261997" s="217"/>
      <c r="BK261997" s="185"/>
      <c r="BL261997" s="103"/>
      <c r="BM261997" s="67"/>
      <c r="BQ261997" s="194"/>
    </row>
    <row r="261998" customFormat="1" s="47">
      <c r="D261998" s="185"/>
      <c r="AT261998" s="64"/>
      <c r="AU261998" s="64"/>
      <c r="AV261998" s="64"/>
      <c r="BC261998" s="64"/>
      <c r="BD261998" s="64"/>
      <c r="BE261998" s="215"/>
      <c r="BF261998" s="216"/>
      <c r="BG261998" s="64"/>
      <c r="BH261998" s="64"/>
      <c r="BI261998" s="95"/>
      <c r="BJ261998" s="217"/>
      <c r="BK261998" s="185"/>
      <c r="BL261998" s="103"/>
      <c r="BM261998" s="67"/>
      <c r="BQ261998" s="194"/>
    </row>
    <row r="261999" customFormat="1" s="47">
      <c r="D261999" s="185"/>
      <c r="AT261999" s="64"/>
      <c r="AU261999" s="64"/>
      <c r="AV261999" s="64"/>
      <c r="BC261999" s="64"/>
      <c r="BD261999" s="64"/>
      <c r="BE261999" s="215"/>
      <c r="BF261999" s="216"/>
      <c r="BG261999" s="64"/>
      <c r="BH261999" s="64"/>
      <c r="BI261999" s="95"/>
      <c r="BJ261999" s="217"/>
      <c r="BK261999" s="185"/>
      <c r="BL261999" s="103"/>
      <c r="BM261999" s="67"/>
      <c r="BQ261999" s="194"/>
    </row>
    <row r="262000" customFormat="1" s="47">
      <c r="D262000" s="185"/>
      <c r="AT262000" s="64"/>
      <c r="AU262000" s="64"/>
      <c r="AV262000" s="64"/>
      <c r="BC262000" s="64"/>
      <c r="BD262000" s="64"/>
      <c r="BE262000" s="215"/>
      <c r="BF262000" s="216"/>
      <c r="BG262000" s="64"/>
      <c r="BH262000" s="64"/>
      <c r="BI262000" s="95"/>
      <c r="BJ262000" s="217"/>
      <c r="BK262000" s="185"/>
      <c r="BL262000" s="103"/>
      <c r="BM262000" s="67"/>
      <c r="BQ262000" s="194"/>
    </row>
    <row r="262001" customFormat="1" s="47">
      <c r="D262001" s="185"/>
      <c r="AT262001" s="64"/>
      <c r="AU262001" s="64"/>
      <c r="AV262001" s="64"/>
      <c r="BC262001" s="64"/>
      <c r="BD262001" s="64"/>
      <c r="BE262001" s="215"/>
      <c r="BF262001" s="216"/>
      <c r="BG262001" s="64"/>
      <c r="BH262001" s="64"/>
      <c r="BI262001" s="95"/>
      <c r="BJ262001" s="217"/>
      <c r="BK262001" s="185"/>
      <c r="BL262001" s="103"/>
      <c r="BM262001" s="67"/>
      <c r="BQ262001" s="194"/>
    </row>
    <row r="262002" customFormat="1" s="47">
      <c r="D262002" s="185"/>
      <c r="AT262002" s="64"/>
      <c r="AU262002" s="64"/>
      <c r="AV262002" s="64"/>
      <c r="BC262002" s="64"/>
      <c r="BD262002" s="64"/>
      <c r="BE262002" s="215"/>
      <c r="BF262002" s="216"/>
      <c r="BG262002" s="64"/>
      <c r="BH262002" s="64"/>
      <c r="BI262002" s="95"/>
      <c r="BJ262002" s="217"/>
      <c r="BK262002" s="185"/>
      <c r="BL262002" s="103"/>
      <c r="BM262002" s="67"/>
      <c r="BQ262002" s="194"/>
    </row>
    <row r="262003" customFormat="1" s="47">
      <c r="D262003" s="185"/>
      <c r="AT262003" s="64"/>
      <c r="AU262003" s="64"/>
      <c r="AV262003" s="64"/>
      <c r="BC262003" s="64"/>
      <c r="BD262003" s="64"/>
      <c r="BE262003" s="215"/>
      <c r="BF262003" s="216"/>
      <c r="BG262003" s="64"/>
      <c r="BH262003" s="64"/>
      <c r="BI262003" s="95"/>
      <c r="BJ262003" s="217"/>
      <c r="BK262003" s="185"/>
      <c r="BL262003" s="103"/>
      <c r="BM262003" s="67"/>
      <c r="BQ262003" s="194"/>
    </row>
    <row r="262004" customFormat="1" s="47">
      <c r="D262004" s="185"/>
      <c r="AT262004" s="64"/>
      <c r="AU262004" s="64"/>
      <c r="AV262004" s="64"/>
      <c r="BC262004" s="64"/>
      <c r="BD262004" s="64"/>
      <c r="BE262004" s="215"/>
      <c r="BF262004" s="216"/>
      <c r="BG262004" s="64"/>
      <c r="BH262004" s="64"/>
      <c r="BI262004" s="95"/>
      <c r="BJ262004" s="217"/>
      <c r="BK262004" s="185"/>
      <c r="BL262004" s="103"/>
      <c r="BM262004" s="67"/>
      <c r="BQ262004" s="194"/>
    </row>
    <row r="262005" customFormat="1" s="47">
      <c r="D262005" s="185"/>
      <c r="AT262005" s="64"/>
      <c r="AU262005" s="64"/>
      <c r="AV262005" s="64"/>
      <c r="BC262005" s="64"/>
      <c r="BD262005" s="64"/>
      <c r="BE262005" s="215"/>
      <c r="BF262005" s="216"/>
      <c r="BG262005" s="64"/>
      <c r="BH262005" s="64"/>
      <c r="BI262005" s="95"/>
      <c r="BJ262005" s="217"/>
      <c r="BK262005" s="185"/>
      <c r="BL262005" s="103"/>
      <c r="BM262005" s="67"/>
      <c r="BQ262005" s="194"/>
    </row>
    <row r="262006" customFormat="1" s="47">
      <c r="D262006" s="185"/>
      <c r="AT262006" s="64"/>
      <c r="AU262006" s="64"/>
      <c r="AV262006" s="64"/>
      <c r="BC262006" s="64"/>
      <c r="BD262006" s="64"/>
      <c r="BE262006" s="215"/>
      <c r="BF262006" s="216"/>
      <c r="BG262006" s="64"/>
      <c r="BH262006" s="64"/>
      <c r="BI262006" s="95"/>
      <c r="BJ262006" s="217"/>
      <c r="BK262006" s="185"/>
      <c r="BL262006" s="103"/>
      <c r="BM262006" s="67"/>
      <c r="BQ262006" s="194"/>
    </row>
    <row r="262007" customFormat="1" s="47">
      <c r="D262007" s="185"/>
      <c r="AT262007" s="64"/>
      <c r="AU262007" s="64"/>
      <c r="AV262007" s="64"/>
      <c r="BC262007" s="64"/>
      <c r="BD262007" s="64"/>
      <c r="BE262007" s="215"/>
      <c r="BF262007" s="216"/>
      <c r="BG262007" s="64"/>
      <c r="BH262007" s="64"/>
      <c r="BI262007" s="95"/>
      <c r="BJ262007" s="217"/>
      <c r="BK262007" s="185"/>
      <c r="BL262007" s="103"/>
      <c r="BM262007" s="67"/>
      <c r="BQ262007" s="194"/>
    </row>
    <row r="262008" customFormat="1" s="47">
      <c r="D262008" s="185"/>
      <c r="AT262008" s="64"/>
      <c r="AU262008" s="64"/>
      <c r="AV262008" s="64"/>
      <c r="BC262008" s="64"/>
      <c r="BD262008" s="64"/>
      <c r="BE262008" s="215"/>
      <c r="BF262008" s="216"/>
      <c r="BG262008" s="64"/>
      <c r="BH262008" s="64"/>
      <c r="BI262008" s="95"/>
      <c r="BJ262008" s="217"/>
      <c r="BK262008" s="185"/>
      <c r="BL262008" s="103"/>
      <c r="BM262008" s="67"/>
      <c r="BQ262008" s="194"/>
    </row>
    <row r="262009" customFormat="1" s="47">
      <c r="D262009" s="185"/>
      <c r="AT262009" s="64"/>
      <c r="AU262009" s="64"/>
      <c r="AV262009" s="64"/>
      <c r="BC262009" s="64"/>
      <c r="BD262009" s="64"/>
      <c r="BE262009" s="215"/>
      <c r="BF262009" s="216"/>
      <c r="BG262009" s="64"/>
      <c r="BH262009" s="64"/>
      <c r="BI262009" s="95"/>
      <c r="BJ262009" s="217"/>
      <c r="BK262009" s="185"/>
      <c r="BL262009" s="103"/>
      <c r="BM262009" s="67"/>
      <c r="BQ262009" s="194"/>
    </row>
    <row r="262010" customFormat="1" s="47">
      <c r="D262010" s="185"/>
      <c r="AT262010" s="64"/>
      <c r="AU262010" s="64"/>
      <c r="AV262010" s="64"/>
      <c r="BC262010" s="64"/>
      <c r="BD262010" s="64"/>
      <c r="BE262010" s="215"/>
      <c r="BF262010" s="216"/>
      <c r="BG262010" s="64"/>
      <c r="BH262010" s="64"/>
      <c r="BI262010" s="95"/>
      <c r="BJ262010" s="217"/>
      <c r="BK262010" s="185"/>
      <c r="BL262010" s="103"/>
      <c r="BM262010" s="67"/>
      <c r="BQ262010" s="194"/>
    </row>
    <row r="262011" customFormat="1" s="47">
      <c r="D262011" s="185"/>
      <c r="AT262011" s="64"/>
      <c r="AU262011" s="64"/>
      <c r="AV262011" s="64"/>
      <c r="BC262011" s="64"/>
      <c r="BD262011" s="64"/>
      <c r="BE262011" s="215"/>
      <c r="BF262011" s="216"/>
      <c r="BG262011" s="64"/>
      <c r="BH262011" s="64"/>
      <c r="BI262011" s="95"/>
      <c r="BJ262011" s="217"/>
      <c r="BK262011" s="185"/>
      <c r="BL262011" s="103"/>
      <c r="BM262011" s="67"/>
      <c r="BQ262011" s="194"/>
    </row>
    <row r="262012" customFormat="1" s="47">
      <c r="D262012" s="185"/>
      <c r="AT262012" s="64"/>
      <c r="AU262012" s="64"/>
      <c r="AV262012" s="64"/>
      <c r="BC262012" s="64"/>
      <c r="BD262012" s="64"/>
      <c r="BE262012" s="215"/>
      <c r="BF262012" s="216"/>
      <c r="BG262012" s="64"/>
      <c r="BH262012" s="64"/>
      <c r="BI262012" s="95"/>
      <c r="BJ262012" s="217"/>
      <c r="BK262012" s="185"/>
      <c r="BL262012" s="103"/>
      <c r="BM262012" s="67"/>
      <c r="BQ262012" s="194"/>
    </row>
    <row r="262013" customFormat="1" s="47">
      <c r="D262013" s="185"/>
      <c r="AT262013" s="64"/>
      <c r="AU262013" s="64"/>
      <c r="AV262013" s="64"/>
      <c r="BC262013" s="64"/>
      <c r="BD262013" s="64"/>
      <c r="BE262013" s="215"/>
      <c r="BF262013" s="216"/>
      <c r="BG262013" s="64"/>
      <c r="BH262013" s="64"/>
      <c r="BI262013" s="95"/>
      <c r="BJ262013" s="217"/>
      <c r="BK262013" s="185"/>
      <c r="BL262013" s="103"/>
      <c r="BM262013" s="67"/>
      <c r="BQ262013" s="194"/>
    </row>
    <row r="262014" customFormat="1" s="47">
      <c r="D262014" s="185"/>
      <c r="AT262014" s="64"/>
      <c r="AU262014" s="64"/>
      <c r="AV262014" s="64"/>
      <c r="BC262014" s="64"/>
      <c r="BD262014" s="64"/>
      <c r="BE262014" s="215"/>
      <c r="BF262014" s="216"/>
      <c r="BG262014" s="64"/>
      <c r="BH262014" s="64"/>
      <c r="BI262014" s="95"/>
      <c r="BJ262014" s="217"/>
      <c r="BK262014" s="185"/>
      <c r="BL262014" s="103"/>
      <c r="BM262014" s="67"/>
      <c r="BQ262014" s="194"/>
    </row>
    <row r="262015" customFormat="1" s="47">
      <c r="D262015" s="185"/>
      <c r="AT262015" s="64"/>
      <c r="AU262015" s="64"/>
      <c r="AV262015" s="64"/>
      <c r="BC262015" s="64"/>
      <c r="BD262015" s="64"/>
      <c r="BE262015" s="215"/>
      <c r="BF262015" s="216"/>
      <c r="BG262015" s="64"/>
      <c r="BH262015" s="64"/>
      <c r="BI262015" s="95"/>
      <c r="BJ262015" s="217"/>
      <c r="BK262015" s="185"/>
      <c r="BL262015" s="103"/>
      <c r="BM262015" s="67"/>
      <c r="BQ262015" s="194"/>
    </row>
    <row r="262016" customFormat="1" s="47">
      <c r="D262016" s="185"/>
      <c r="AT262016" s="64"/>
      <c r="AU262016" s="64"/>
      <c r="AV262016" s="64"/>
      <c r="BC262016" s="64"/>
      <c r="BD262016" s="64"/>
      <c r="BE262016" s="215"/>
      <c r="BF262016" s="216"/>
      <c r="BG262016" s="64"/>
      <c r="BH262016" s="64"/>
      <c r="BI262016" s="95"/>
      <c r="BJ262016" s="217"/>
      <c r="BK262016" s="185"/>
      <c r="BL262016" s="103"/>
      <c r="BM262016" s="67"/>
      <c r="BQ262016" s="194"/>
    </row>
    <row r="262017" customFormat="1" s="47">
      <c r="D262017" s="185"/>
      <c r="AT262017" s="64"/>
      <c r="AU262017" s="64"/>
      <c r="AV262017" s="64"/>
      <c r="BC262017" s="64"/>
      <c r="BD262017" s="64"/>
      <c r="BE262017" s="215"/>
      <c r="BF262017" s="216"/>
      <c r="BG262017" s="64"/>
      <c r="BH262017" s="64"/>
      <c r="BI262017" s="95"/>
      <c r="BJ262017" s="217"/>
      <c r="BK262017" s="185"/>
      <c r="BL262017" s="103"/>
      <c r="BM262017" s="67"/>
      <c r="BQ262017" s="194"/>
    </row>
    <row r="262018" customFormat="1" s="47">
      <c r="D262018" s="185"/>
      <c r="AT262018" s="64"/>
      <c r="AU262018" s="64"/>
      <c r="AV262018" s="64"/>
      <c r="BC262018" s="64"/>
      <c r="BD262018" s="64"/>
      <c r="BE262018" s="215"/>
      <c r="BF262018" s="216"/>
      <c r="BG262018" s="64"/>
      <c r="BH262018" s="64"/>
      <c r="BI262018" s="95"/>
      <c r="BJ262018" s="217"/>
      <c r="BK262018" s="185"/>
      <c r="BL262018" s="103"/>
      <c r="BM262018" s="67"/>
      <c r="BQ262018" s="194"/>
    </row>
    <row r="262019" customFormat="1" s="47">
      <c r="D262019" s="185"/>
      <c r="AT262019" s="64"/>
      <c r="AU262019" s="64"/>
      <c r="AV262019" s="64"/>
      <c r="BC262019" s="64"/>
      <c r="BD262019" s="64"/>
      <c r="BE262019" s="215"/>
      <c r="BF262019" s="216"/>
      <c r="BG262019" s="64"/>
      <c r="BH262019" s="64"/>
      <c r="BI262019" s="95"/>
      <c r="BJ262019" s="217"/>
      <c r="BK262019" s="185"/>
      <c r="BL262019" s="103"/>
      <c r="BM262019" s="67"/>
      <c r="BQ262019" s="194"/>
    </row>
    <row r="262020" customFormat="1" s="47">
      <c r="D262020" s="185"/>
      <c r="AT262020" s="64"/>
      <c r="AU262020" s="64"/>
      <c r="AV262020" s="64"/>
      <c r="BC262020" s="64"/>
      <c r="BD262020" s="64"/>
      <c r="BE262020" s="215"/>
      <c r="BF262020" s="216"/>
      <c r="BG262020" s="64"/>
      <c r="BH262020" s="64"/>
      <c r="BI262020" s="95"/>
      <c r="BJ262020" s="217"/>
      <c r="BK262020" s="185"/>
      <c r="BL262020" s="103"/>
      <c r="BM262020" s="67"/>
      <c r="BQ262020" s="194"/>
    </row>
    <row r="262021" customFormat="1" s="47">
      <c r="D262021" s="185"/>
      <c r="AT262021" s="64"/>
      <c r="AU262021" s="64"/>
      <c r="AV262021" s="64"/>
      <c r="BC262021" s="64"/>
      <c r="BD262021" s="64"/>
      <c r="BE262021" s="215"/>
      <c r="BF262021" s="216"/>
      <c r="BG262021" s="64"/>
      <c r="BH262021" s="64"/>
      <c r="BI262021" s="95"/>
      <c r="BJ262021" s="217"/>
      <c r="BK262021" s="185"/>
      <c r="BL262021" s="103"/>
      <c r="BM262021" s="67"/>
      <c r="BQ262021" s="194"/>
    </row>
    <row r="262022" customFormat="1" s="47">
      <c r="D262022" s="185"/>
      <c r="AT262022" s="64"/>
      <c r="AU262022" s="64"/>
      <c r="AV262022" s="64"/>
      <c r="BC262022" s="64"/>
      <c r="BD262022" s="64"/>
      <c r="BE262022" s="215"/>
      <c r="BF262022" s="216"/>
      <c r="BG262022" s="64"/>
      <c r="BH262022" s="64"/>
      <c r="BI262022" s="95"/>
      <c r="BJ262022" s="217"/>
      <c r="BK262022" s="185"/>
      <c r="BL262022" s="103"/>
      <c r="BM262022" s="67"/>
      <c r="BQ262022" s="194"/>
    </row>
    <row r="262023" customFormat="1" s="47">
      <c r="D262023" s="185"/>
      <c r="AT262023" s="64"/>
      <c r="AU262023" s="64"/>
      <c r="AV262023" s="64"/>
      <c r="BC262023" s="64"/>
      <c r="BD262023" s="64"/>
      <c r="BE262023" s="215"/>
      <c r="BF262023" s="216"/>
      <c r="BG262023" s="64"/>
      <c r="BH262023" s="64"/>
      <c r="BI262023" s="95"/>
      <c r="BJ262023" s="217"/>
      <c r="BK262023" s="185"/>
      <c r="BL262023" s="103"/>
      <c r="BM262023" s="67"/>
      <c r="BQ262023" s="194"/>
    </row>
    <row r="262024" customFormat="1" s="47">
      <c r="D262024" s="185"/>
      <c r="AT262024" s="64"/>
      <c r="AU262024" s="64"/>
      <c r="AV262024" s="64"/>
      <c r="BC262024" s="64"/>
      <c r="BD262024" s="64"/>
      <c r="BE262024" s="215"/>
      <c r="BF262024" s="216"/>
      <c r="BG262024" s="64"/>
      <c r="BH262024" s="64"/>
      <c r="BI262024" s="95"/>
      <c r="BJ262024" s="217"/>
      <c r="BK262024" s="185"/>
      <c r="BL262024" s="103"/>
      <c r="BM262024" s="67"/>
      <c r="BQ262024" s="194"/>
    </row>
    <row r="262025" customFormat="1" s="47">
      <c r="D262025" s="185"/>
      <c r="AT262025" s="64"/>
      <c r="AU262025" s="64"/>
      <c r="AV262025" s="64"/>
      <c r="BC262025" s="64"/>
      <c r="BD262025" s="64"/>
      <c r="BE262025" s="215"/>
      <c r="BF262025" s="216"/>
      <c r="BG262025" s="64"/>
      <c r="BH262025" s="64"/>
      <c r="BI262025" s="95"/>
      <c r="BJ262025" s="217"/>
      <c r="BK262025" s="185"/>
      <c r="BL262025" s="103"/>
      <c r="BM262025" s="67"/>
      <c r="BQ262025" s="194"/>
    </row>
    <row r="262026" customFormat="1" s="47">
      <c r="D262026" s="185"/>
      <c r="AT262026" s="64"/>
      <c r="AU262026" s="64"/>
      <c r="AV262026" s="64"/>
      <c r="BC262026" s="64"/>
      <c r="BD262026" s="64"/>
      <c r="BE262026" s="215"/>
      <c r="BF262026" s="216"/>
      <c r="BG262026" s="64"/>
      <c r="BH262026" s="64"/>
      <c r="BI262026" s="95"/>
      <c r="BJ262026" s="217"/>
      <c r="BK262026" s="185"/>
      <c r="BL262026" s="103"/>
      <c r="BM262026" s="67"/>
      <c r="BQ262026" s="194"/>
    </row>
    <row r="262027" customFormat="1" s="47">
      <c r="D262027" s="185"/>
      <c r="AT262027" s="64"/>
      <c r="AU262027" s="64"/>
      <c r="AV262027" s="64"/>
      <c r="BC262027" s="64"/>
      <c r="BD262027" s="64"/>
      <c r="BE262027" s="215"/>
      <c r="BF262027" s="216"/>
      <c r="BG262027" s="64"/>
      <c r="BH262027" s="64"/>
      <c r="BI262027" s="95"/>
      <c r="BJ262027" s="217"/>
      <c r="BK262027" s="185"/>
      <c r="BL262027" s="103"/>
      <c r="BM262027" s="67"/>
      <c r="BQ262027" s="194"/>
    </row>
    <row r="262028" customFormat="1" s="47">
      <c r="D262028" s="185"/>
      <c r="AT262028" s="64"/>
      <c r="AU262028" s="64"/>
      <c r="AV262028" s="64"/>
      <c r="BC262028" s="64"/>
      <c r="BD262028" s="64"/>
      <c r="BE262028" s="215"/>
      <c r="BF262028" s="216"/>
      <c r="BG262028" s="64"/>
      <c r="BH262028" s="64"/>
      <c r="BI262028" s="95"/>
      <c r="BJ262028" s="217"/>
      <c r="BK262028" s="185"/>
      <c r="BL262028" s="103"/>
      <c r="BM262028" s="67"/>
      <c r="BQ262028" s="194"/>
    </row>
    <row r="262029" customFormat="1" s="47">
      <c r="D262029" s="185"/>
      <c r="AT262029" s="64"/>
      <c r="AU262029" s="64"/>
      <c r="AV262029" s="64"/>
      <c r="BC262029" s="64"/>
      <c r="BD262029" s="64"/>
      <c r="BE262029" s="215"/>
      <c r="BF262029" s="216"/>
      <c r="BG262029" s="64"/>
      <c r="BH262029" s="64"/>
      <c r="BI262029" s="95"/>
      <c r="BJ262029" s="217"/>
      <c r="BK262029" s="185"/>
      <c r="BL262029" s="103"/>
      <c r="BM262029" s="67"/>
      <c r="BQ262029" s="194"/>
    </row>
    <row r="262030" customFormat="1" s="47">
      <c r="D262030" s="185"/>
      <c r="AT262030" s="64"/>
      <c r="AU262030" s="64"/>
      <c r="AV262030" s="64"/>
      <c r="BC262030" s="64"/>
      <c r="BD262030" s="64"/>
      <c r="BE262030" s="215"/>
      <c r="BF262030" s="216"/>
      <c r="BG262030" s="64"/>
      <c r="BH262030" s="64"/>
      <c r="BI262030" s="95"/>
      <c r="BJ262030" s="217"/>
      <c r="BK262030" s="185"/>
      <c r="BL262030" s="103"/>
      <c r="BM262030" s="67"/>
      <c r="BQ262030" s="194"/>
    </row>
    <row r="262031" customFormat="1" s="47">
      <c r="D262031" s="185"/>
      <c r="AT262031" s="64"/>
      <c r="AU262031" s="64"/>
      <c r="AV262031" s="64"/>
      <c r="BC262031" s="64"/>
      <c r="BD262031" s="64"/>
      <c r="BE262031" s="215"/>
      <c r="BF262031" s="216"/>
      <c r="BG262031" s="64"/>
      <c r="BH262031" s="64"/>
      <c r="BI262031" s="95"/>
      <c r="BJ262031" s="217"/>
      <c r="BK262031" s="185"/>
      <c r="BL262031" s="218"/>
      <c r="BM262031" s="67"/>
      <c r="BQ262031" s="194"/>
    </row>
    <row r="262032" customFormat="1" s="47">
      <c r="D262032" s="185"/>
      <c r="AT262032" s="64"/>
      <c r="AU262032" s="64"/>
      <c r="AV262032" s="64"/>
      <c r="BC262032" s="64"/>
      <c r="BD262032" s="64"/>
      <c r="BE262032" s="215"/>
      <c r="BF262032" s="216"/>
      <c r="BG262032" s="64"/>
      <c r="BH262032" s="64"/>
      <c r="BI262032" s="95"/>
      <c r="BJ262032" s="217"/>
      <c r="BK262032" s="185"/>
      <c r="BL262032" s="218"/>
      <c r="BM262032" s="67"/>
      <c r="BQ262032" s="194"/>
    </row>
    <row r="262033" customFormat="1" s="47">
      <c r="D262033" s="185"/>
      <c r="AT262033" s="64"/>
      <c r="AU262033" s="64"/>
      <c r="AV262033" s="64"/>
      <c r="BC262033" s="64"/>
      <c r="BD262033" s="64"/>
      <c r="BE262033" s="215"/>
      <c r="BF262033" s="216"/>
      <c r="BG262033" s="64"/>
      <c r="BH262033" s="64"/>
      <c r="BI262033" s="95"/>
      <c r="BJ262033" s="217"/>
      <c r="BK262033" s="185"/>
      <c r="BL262033" s="218"/>
      <c r="BM262033" s="67"/>
      <c r="BQ262033" s="194"/>
    </row>
    <row r="262034" customFormat="1" s="47">
      <c r="D262034" s="185"/>
      <c r="AT262034" s="64"/>
      <c r="AU262034" s="64"/>
      <c r="AV262034" s="64"/>
      <c r="BC262034" s="64"/>
      <c r="BD262034" s="64"/>
      <c r="BE262034" s="215"/>
      <c r="BF262034" s="216"/>
      <c r="BG262034" s="64"/>
      <c r="BH262034" s="64"/>
      <c r="BI262034" s="95"/>
      <c r="BJ262034" s="217"/>
      <c r="BK262034" s="185"/>
      <c r="BL262034" s="218"/>
      <c r="BM262034" s="67"/>
      <c r="BQ262034" s="194"/>
    </row>
    <row r="262035" customFormat="1" s="47">
      <c r="D262035" s="185"/>
      <c r="AT262035" s="64"/>
      <c r="AU262035" s="64"/>
      <c r="AV262035" s="64"/>
      <c r="BC262035" s="64"/>
      <c r="BD262035" s="64"/>
      <c r="BE262035" s="215"/>
      <c r="BF262035" s="216"/>
      <c r="BG262035" s="64"/>
      <c r="BH262035" s="64"/>
      <c r="BI262035" s="95"/>
      <c r="BJ262035" s="217"/>
      <c r="BK262035" s="185"/>
      <c r="BL262035" s="218"/>
      <c r="BM262035" s="67"/>
      <c r="BQ262035" s="194"/>
    </row>
    <row r="262036" customFormat="1" s="47">
      <c r="D262036" s="185"/>
      <c r="AT262036" s="64"/>
      <c r="AU262036" s="64"/>
      <c r="AV262036" s="64"/>
      <c r="BC262036" s="64"/>
      <c r="BD262036" s="64"/>
      <c r="BE262036" s="215"/>
      <c r="BF262036" s="216"/>
      <c r="BG262036" s="64"/>
      <c r="BH262036" s="64"/>
      <c r="BI262036" s="95"/>
      <c r="BJ262036" s="217"/>
      <c r="BK262036" s="185"/>
      <c r="BL262036" s="218"/>
      <c r="BM262036" s="67"/>
      <c r="BQ262036" s="194"/>
    </row>
    <row r="262037" customFormat="1" s="47">
      <c r="D262037" s="185"/>
      <c r="AT262037" s="64"/>
      <c r="AU262037" s="64"/>
      <c r="AV262037" s="64"/>
      <c r="BC262037" s="64"/>
      <c r="BD262037" s="64"/>
      <c r="BE262037" s="215"/>
      <c r="BF262037" s="216"/>
      <c r="BG262037" s="64"/>
      <c r="BH262037" s="64"/>
      <c r="BI262037" s="95"/>
      <c r="BJ262037" s="217"/>
      <c r="BK262037" s="185"/>
      <c r="BL262037" s="218"/>
      <c r="BM262037" s="67"/>
      <c r="BQ262037" s="194"/>
    </row>
    <row r="262038" customFormat="1" s="47">
      <c r="D262038" s="185"/>
      <c r="AT262038" s="64"/>
      <c r="AU262038" s="64"/>
      <c r="AV262038" s="64"/>
      <c r="BC262038" s="64"/>
      <c r="BD262038" s="64"/>
      <c r="BE262038" s="215"/>
      <c r="BF262038" s="216"/>
      <c r="BG262038" s="64"/>
      <c r="BH262038" s="64"/>
      <c r="BI262038" s="95"/>
      <c r="BJ262038" s="217"/>
      <c r="BK262038" s="185"/>
      <c r="BL262038" s="218"/>
      <c r="BM262038" s="67"/>
      <c r="BQ262038" s="194"/>
    </row>
    <row r="262039" customFormat="1" s="47">
      <c r="D262039" s="185"/>
      <c r="AT262039" s="64"/>
      <c r="AU262039" s="64"/>
      <c r="AV262039" s="64"/>
      <c r="BC262039" s="64"/>
      <c r="BD262039" s="64"/>
      <c r="BE262039" s="215"/>
      <c r="BF262039" s="216"/>
      <c r="BG262039" s="64"/>
      <c r="BH262039" s="64"/>
      <c r="BI262039" s="95"/>
      <c r="BJ262039" s="217"/>
      <c r="BK262039" s="185"/>
      <c r="BL262039" s="218"/>
      <c r="BM262039" s="67"/>
      <c r="BQ262039" s="194"/>
    </row>
    <row r="262040" customFormat="1" s="47">
      <c r="D262040" s="185"/>
      <c r="AT262040" s="64"/>
      <c r="AU262040" s="64"/>
      <c r="AV262040" s="64"/>
      <c r="BC262040" s="64"/>
      <c r="BD262040" s="64"/>
      <c r="BE262040" s="215"/>
      <c r="BF262040" s="216"/>
      <c r="BG262040" s="64"/>
      <c r="BH262040" s="64"/>
      <c r="BI262040" s="95"/>
      <c r="BJ262040" s="217"/>
      <c r="BK262040" s="185"/>
      <c r="BL262040" s="218"/>
      <c r="BM262040" s="67"/>
      <c r="BQ262040" s="194"/>
    </row>
    <row r="262041" customFormat="1" s="47">
      <c r="D262041" s="185"/>
      <c r="AT262041" s="64"/>
      <c r="AU262041" s="64"/>
      <c r="AV262041" s="64"/>
      <c r="BC262041" s="64"/>
      <c r="BD262041" s="64"/>
      <c r="BE262041" s="215"/>
      <c r="BF262041" s="216"/>
      <c r="BG262041" s="64"/>
      <c r="BH262041" s="64"/>
      <c r="BI262041" s="95"/>
      <c r="BJ262041" s="217"/>
      <c r="BK262041" s="185"/>
      <c r="BL262041" s="218"/>
      <c r="BM262041" s="67"/>
      <c r="BQ262041" s="194"/>
    </row>
    <row r="262042" customFormat="1" s="47">
      <c r="D262042" s="185"/>
      <c r="AT262042" s="64"/>
      <c r="AU262042" s="64"/>
      <c r="AV262042" s="64"/>
      <c r="BC262042" s="64"/>
      <c r="BD262042" s="64"/>
      <c r="BE262042" s="215"/>
      <c r="BF262042" s="216"/>
      <c r="BG262042" s="64"/>
      <c r="BH262042" s="64"/>
      <c r="BI262042" s="95"/>
      <c r="BJ262042" s="217"/>
      <c r="BK262042" s="185"/>
      <c r="BL262042" s="218"/>
      <c r="BM262042" s="67"/>
      <c r="BQ262042" s="194"/>
    </row>
    <row r="262043" customFormat="1" s="47">
      <c r="D262043" s="185"/>
      <c r="AT262043" s="64"/>
      <c r="AU262043" s="64"/>
      <c r="AV262043" s="64"/>
      <c r="BC262043" s="64"/>
      <c r="BD262043" s="64"/>
      <c r="BE262043" s="215"/>
      <c r="BF262043" s="216"/>
      <c r="BG262043" s="64"/>
      <c r="BH262043" s="64"/>
      <c r="BI262043" s="95"/>
      <c r="BJ262043" s="217"/>
      <c r="BK262043" s="185"/>
      <c r="BL262043" s="218"/>
      <c r="BM262043" s="67"/>
      <c r="BQ262043" s="194"/>
    </row>
    <row r="262044" customFormat="1" s="47">
      <c r="D262044" s="185"/>
      <c r="AT262044" s="64"/>
      <c r="AU262044" s="64"/>
      <c r="AV262044" s="64"/>
      <c r="BC262044" s="64"/>
      <c r="BD262044" s="64"/>
      <c r="BE262044" s="215"/>
      <c r="BF262044" s="216"/>
      <c r="BG262044" s="64"/>
      <c r="BH262044" s="64"/>
      <c r="BI262044" s="95"/>
      <c r="BJ262044" s="217"/>
      <c r="BK262044" s="185"/>
      <c r="BL262044" s="218"/>
      <c r="BM262044" s="67"/>
      <c r="BQ262044" s="194"/>
    </row>
    <row r="262045" customFormat="1" s="47">
      <c r="D262045" s="185"/>
      <c r="AT262045" s="64"/>
      <c r="AU262045" s="64"/>
      <c r="AV262045" s="64"/>
      <c r="BC262045" s="64"/>
      <c r="BD262045" s="64"/>
      <c r="BE262045" s="215"/>
      <c r="BF262045" s="216"/>
      <c r="BG262045" s="64"/>
      <c r="BH262045" s="64"/>
      <c r="BI262045" s="95"/>
      <c r="BJ262045" s="217"/>
      <c r="BK262045" s="185"/>
      <c r="BL262045" s="218"/>
      <c r="BM262045" s="67"/>
      <c r="BQ262045" s="194"/>
    </row>
    <row r="262046" customFormat="1" s="47">
      <c r="D262046" s="185"/>
      <c r="AT262046" s="64"/>
      <c r="AU262046" s="64"/>
      <c r="AV262046" s="64"/>
      <c r="BC262046" s="64"/>
      <c r="BD262046" s="64"/>
      <c r="BE262046" s="215"/>
      <c r="BF262046" s="216"/>
      <c r="BG262046" s="64"/>
      <c r="BH262046" s="64"/>
      <c r="BI262046" s="95"/>
      <c r="BJ262046" s="217"/>
      <c r="BK262046" s="185"/>
      <c r="BL262046" s="218"/>
      <c r="BM262046" s="67"/>
      <c r="BQ262046" s="194"/>
    </row>
    <row r="262047" customFormat="1" s="47">
      <c r="D262047" s="185"/>
      <c r="AT262047" s="64"/>
      <c r="AU262047" s="64"/>
      <c r="AV262047" s="64"/>
      <c r="BC262047" s="64"/>
      <c r="BD262047" s="64"/>
      <c r="BE262047" s="215"/>
      <c r="BF262047" s="216"/>
      <c r="BG262047" s="64"/>
      <c r="BH262047" s="64"/>
      <c r="BI262047" s="95"/>
      <c r="BJ262047" s="217"/>
      <c r="BK262047" s="185"/>
      <c r="BL262047" s="218"/>
      <c r="BM262047" s="67"/>
      <c r="BQ262047" s="194"/>
    </row>
    <row r="262048" customFormat="1" s="47">
      <c r="D262048" s="185"/>
      <c r="AT262048" s="64"/>
      <c r="AU262048" s="64"/>
      <c r="AV262048" s="64"/>
      <c r="BC262048" s="64"/>
      <c r="BD262048" s="64"/>
      <c r="BE262048" s="215"/>
      <c r="BF262048" s="216"/>
      <c r="BG262048" s="64"/>
      <c r="BH262048" s="64"/>
      <c r="BI262048" s="95"/>
      <c r="BJ262048" s="217"/>
      <c r="BK262048" s="185"/>
      <c r="BL262048" s="218"/>
      <c r="BM262048" s="67"/>
      <c r="BQ262048" s="194"/>
    </row>
    <row r="262049" customFormat="1" s="47">
      <c r="D262049" s="185"/>
      <c r="AT262049" s="64"/>
      <c r="AU262049" s="64"/>
      <c r="AV262049" s="64"/>
      <c r="BC262049" s="64"/>
      <c r="BD262049" s="64"/>
      <c r="BE262049" s="215"/>
      <c r="BF262049" s="216"/>
      <c r="BG262049" s="64"/>
      <c r="BH262049" s="64"/>
      <c r="BI262049" s="95"/>
      <c r="BJ262049" s="217"/>
      <c r="BK262049" s="185"/>
      <c r="BL262049" s="218"/>
      <c r="BM262049" s="67"/>
      <c r="BQ262049" s="194"/>
    </row>
    <row r="262050" customFormat="1" s="47">
      <c r="D262050" s="185"/>
      <c r="AT262050" s="64"/>
      <c r="AU262050" s="64"/>
      <c r="AV262050" s="64"/>
      <c r="BC262050" s="64"/>
      <c r="BD262050" s="64"/>
      <c r="BE262050" s="215"/>
      <c r="BF262050" s="216"/>
      <c r="BG262050" s="64"/>
      <c r="BH262050" s="64"/>
      <c r="BI262050" s="95"/>
      <c r="BJ262050" s="217"/>
      <c r="BK262050" s="185"/>
      <c r="BL262050" s="218"/>
      <c r="BM262050" s="67"/>
      <c r="BQ262050" s="194"/>
    </row>
    <row r="262051" customFormat="1" s="47">
      <c r="D262051" s="185"/>
      <c r="AT262051" s="64"/>
      <c r="AU262051" s="64"/>
      <c r="AV262051" s="64"/>
      <c r="BC262051" s="64"/>
      <c r="BD262051" s="64"/>
      <c r="BE262051" s="215"/>
      <c r="BF262051" s="216"/>
      <c r="BG262051" s="64"/>
      <c r="BH262051" s="64"/>
      <c r="BI262051" s="95"/>
      <c r="BJ262051" s="217"/>
      <c r="BK262051" s="185"/>
      <c r="BL262051" s="218"/>
      <c r="BM262051" s="67"/>
      <c r="BQ262051" s="194"/>
    </row>
    <row r="262052" customFormat="1" s="47">
      <c r="D262052" s="185"/>
      <c r="AT262052" s="64"/>
      <c r="AU262052" s="64"/>
      <c r="AV262052" s="64"/>
      <c r="BC262052" s="64"/>
      <c r="BD262052" s="64"/>
      <c r="BE262052" s="215"/>
      <c r="BF262052" s="216"/>
      <c r="BG262052" s="64"/>
      <c r="BH262052" s="64"/>
      <c r="BI262052" s="95"/>
      <c r="BJ262052" s="217"/>
      <c r="BK262052" s="185"/>
      <c r="BL262052" s="218"/>
      <c r="BM262052" s="67"/>
      <c r="BQ262052" s="194"/>
    </row>
    <row r="262053" customFormat="1" s="47">
      <c r="D262053" s="185"/>
      <c r="AT262053" s="64"/>
      <c r="AU262053" s="64"/>
      <c r="AV262053" s="64"/>
      <c r="BC262053" s="64"/>
      <c r="BD262053" s="64"/>
      <c r="BE262053" s="215"/>
      <c r="BF262053" s="216"/>
      <c r="BG262053" s="64"/>
      <c r="BH262053" s="64"/>
      <c r="BI262053" s="95"/>
      <c r="BJ262053" s="217"/>
      <c r="BK262053" s="185"/>
      <c r="BL262053" s="218"/>
      <c r="BM262053" s="67"/>
      <c r="BQ262053" s="194"/>
    </row>
    <row r="262054" customFormat="1" s="47">
      <c r="D262054" s="185"/>
      <c r="AT262054" s="64"/>
      <c r="AU262054" s="64"/>
      <c r="AV262054" s="64"/>
      <c r="BC262054" s="64"/>
      <c r="BD262054" s="64"/>
      <c r="BE262054" s="215"/>
      <c r="BF262054" s="216"/>
      <c r="BG262054" s="64"/>
      <c r="BH262054" s="64"/>
      <c r="BI262054" s="95"/>
      <c r="BJ262054" s="217"/>
      <c r="BK262054" s="185"/>
      <c r="BL262054" s="218"/>
      <c r="BM262054" s="67"/>
      <c r="BQ262054" s="194"/>
    </row>
    <row r="262055" customFormat="1" s="47">
      <c r="D262055" s="185"/>
      <c r="AT262055" s="64"/>
      <c r="AU262055" s="64"/>
      <c r="AV262055" s="64"/>
      <c r="BC262055" s="64"/>
      <c r="BD262055" s="64"/>
      <c r="BE262055" s="215"/>
      <c r="BF262055" s="216"/>
      <c r="BG262055" s="64"/>
      <c r="BH262055" s="64"/>
      <c r="BI262055" s="95"/>
      <c r="BJ262055" s="217"/>
      <c r="BK262055" s="185"/>
      <c r="BL262055" s="218"/>
      <c r="BM262055" s="67"/>
      <c r="BQ262055" s="194"/>
    </row>
    <row r="262056" customFormat="1" s="47">
      <c r="D262056" s="185"/>
      <c r="AT262056" s="64"/>
      <c r="AU262056" s="64"/>
      <c r="AV262056" s="64"/>
      <c r="BC262056" s="64"/>
      <c r="BD262056" s="64"/>
      <c r="BE262056" s="215"/>
      <c r="BF262056" s="216"/>
      <c r="BG262056" s="64"/>
      <c r="BH262056" s="64"/>
      <c r="BI262056" s="95"/>
      <c r="BJ262056" s="217"/>
      <c r="BK262056" s="185"/>
      <c r="BL262056" s="218"/>
      <c r="BM262056" s="67"/>
      <c r="BQ262056" s="194"/>
    </row>
    <row r="262057" customFormat="1" s="47">
      <c r="D262057" s="185"/>
      <c r="AT262057" s="64"/>
      <c r="AU262057" s="64"/>
      <c r="AV262057" s="64"/>
      <c r="BC262057" s="64"/>
      <c r="BD262057" s="64"/>
      <c r="BE262057" s="215"/>
      <c r="BF262057" s="216"/>
      <c r="BG262057" s="64"/>
      <c r="BH262057" s="64"/>
      <c r="BI262057" s="95"/>
      <c r="BJ262057" s="217"/>
      <c r="BK262057" s="185"/>
      <c r="BL262057" s="218"/>
      <c r="BM262057" s="67"/>
      <c r="BQ262057" s="194"/>
    </row>
    <row r="262058" customFormat="1" s="47">
      <c r="D262058" s="185"/>
      <c r="AT262058" s="64"/>
      <c r="AU262058" s="64"/>
      <c r="AV262058" s="64"/>
      <c r="BC262058" s="64"/>
      <c r="BD262058" s="64"/>
      <c r="BE262058" s="215"/>
      <c r="BF262058" s="216"/>
      <c r="BG262058" s="64"/>
      <c r="BH262058" s="64"/>
      <c r="BI262058" s="95"/>
      <c r="BJ262058" s="217"/>
      <c r="BK262058" s="185"/>
      <c r="BL262058" s="218"/>
      <c r="BM262058" s="67"/>
      <c r="BQ262058" s="194"/>
    </row>
    <row r="262059" customFormat="1" s="47">
      <c r="D262059" s="185"/>
      <c r="AT262059" s="64"/>
      <c r="AU262059" s="64"/>
      <c r="AV262059" s="64"/>
      <c r="BC262059" s="64"/>
      <c r="BD262059" s="64"/>
      <c r="BE262059" s="215"/>
      <c r="BF262059" s="216"/>
      <c r="BG262059" s="64"/>
      <c r="BH262059" s="64"/>
      <c r="BI262059" s="95"/>
      <c r="BJ262059" s="217"/>
      <c r="BK262059" s="185"/>
      <c r="BL262059" s="218"/>
      <c r="BM262059" s="67"/>
      <c r="BQ262059" s="194"/>
    </row>
    <row r="262060" customFormat="1" s="47">
      <c r="D262060" s="185"/>
      <c r="AT262060" s="64"/>
      <c r="AU262060" s="64"/>
      <c r="AV262060" s="64"/>
      <c r="BC262060" s="64"/>
      <c r="BD262060" s="64"/>
      <c r="BE262060" s="215"/>
      <c r="BF262060" s="216"/>
      <c r="BG262060" s="64"/>
      <c r="BH262060" s="64"/>
      <c r="BI262060" s="95"/>
      <c r="BJ262060" s="217"/>
      <c r="BK262060" s="185"/>
      <c r="BL262060" s="218"/>
      <c r="BM262060" s="67"/>
      <c r="BQ262060" s="194"/>
    </row>
    <row r="262061" customFormat="1" s="47">
      <c r="D262061" s="185"/>
      <c r="AT262061" s="64"/>
      <c r="AU262061" s="64"/>
      <c r="AV262061" s="64"/>
      <c r="BC262061" s="64"/>
      <c r="BD262061" s="64"/>
      <c r="BE262061" s="215"/>
      <c r="BF262061" s="216"/>
      <c r="BG262061" s="64"/>
      <c r="BH262061" s="64"/>
      <c r="BI262061" s="95"/>
      <c r="BJ262061" s="217"/>
      <c r="BK262061" s="185"/>
      <c r="BL262061" s="218"/>
      <c r="BM262061" s="67"/>
      <c r="BQ262061" s="194"/>
    </row>
    <row r="262062" customFormat="1" s="47">
      <c r="D262062" s="185"/>
      <c r="AT262062" s="64"/>
      <c r="AU262062" s="64"/>
      <c r="AV262062" s="64"/>
      <c r="BC262062" s="64"/>
      <c r="BD262062" s="64"/>
      <c r="BE262062" s="215"/>
      <c r="BF262062" s="216"/>
      <c r="BG262062" s="64"/>
      <c r="BH262062" s="64"/>
      <c r="BI262062" s="95"/>
      <c r="BJ262062" s="217"/>
      <c r="BK262062" s="185"/>
      <c r="BL262062" s="218"/>
      <c r="BM262062" s="67"/>
      <c r="BQ262062" s="194"/>
    </row>
    <row r="262063" customFormat="1" s="47">
      <c r="D262063" s="185"/>
      <c r="AT262063" s="64"/>
      <c r="AU262063" s="64"/>
      <c r="AV262063" s="64"/>
      <c r="BC262063" s="64"/>
      <c r="BD262063" s="64"/>
      <c r="BE262063" s="215"/>
      <c r="BF262063" s="216"/>
      <c r="BG262063" s="64"/>
      <c r="BH262063" s="64"/>
      <c r="BI262063" s="95"/>
      <c r="BJ262063" s="217"/>
      <c r="BK262063" s="185"/>
      <c r="BL262063" s="218"/>
      <c r="BM262063" s="67"/>
      <c r="BQ262063" s="194"/>
    </row>
    <row r="262064" customFormat="1" s="47">
      <c r="D262064" s="185"/>
      <c r="AT262064" s="64"/>
      <c r="AU262064" s="64"/>
      <c r="AV262064" s="64"/>
      <c r="BC262064" s="64"/>
      <c r="BD262064" s="64"/>
      <c r="BE262064" s="215"/>
      <c r="BF262064" s="216"/>
      <c r="BG262064" s="64"/>
      <c r="BH262064" s="64"/>
      <c r="BI262064" s="95"/>
      <c r="BJ262064" s="217"/>
      <c r="BK262064" s="185"/>
      <c r="BL262064" s="218"/>
      <c r="BM262064" s="67"/>
      <c r="BQ262064" s="194"/>
    </row>
    <row r="262065" customFormat="1" s="47">
      <c r="D262065" s="185"/>
      <c r="AT262065" s="64"/>
      <c r="AU262065" s="64"/>
      <c r="AV262065" s="64"/>
      <c r="BC262065" s="64"/>
      <c r="BD262065" s="64"/>
      <c r="BE262065" s="215"/>
      <c r="BF262065" s="216"/>
      <c r="BG262065" s="64"/>
      <c r="BH262065" s="64"/>
      <c r="BI262065" s="95"/>
      <c r="BJ262065" s="217"/>
      <c r="BK262065" s="185"/>
      <c r="BL262065" s="218"/>
      <c r="BM262065" s="67"/>
      <c r="BQ262065" s="194"/>
    </row>
    <row r="262066" customFormat="1" s="47">
      <c r="D262066" s="185"/>
      <c r="AT262066" s="64"/>
      <c r="AU262066" s="64"/>
      <c r="AV262066" s="64"/>
      <c r="BC262066" s="64"/>
      <c r="BD262066" s="64"/>
      <c r="BE262066" s="215"/>
      <c r="BF262066" s="216"/>
      <c r="BG262066" s="64"/>
      <c r="BH262066" s="64"/>
      <c r="BI262066" s="95"/>
      <c r="BJ262066" s="217"/>
      <c r="BK262066" s="185"/>
      <c r="BL262066" s="218"/>
      <c r="BM262066" s="67"/>
      <c r="BQ262066" s="194"/>
    </row>
    <row r="262067" customFormat="1" s="47">
      <c r="D262067" s="185"/>
      <c r="AT262067" s="64"/>
      <c r="AU262067" s="64"/>
      <c r="AV262067" s="64"/>
      <c r="BC262067" s="64"/>
      <c r="BD262067" s="64"/>
      <c r="BE262067" s="215"/>
      <c r="BF262067" s="216"/>
      <c r="BG262067" s="64"/>
      <c r="BH262067" s="64"/>
      <c r="BI262067" s="95"/>
      <c r="BJ262067" s="217"/>
      <c r="BK262067" s="185"/>
      <c r="BL262067" s="218"/>
      <c r="BM262067" s="67"/>
      <c r="BQ262067" s="194"/>
    </row>
    <row r="262068" customFormat="1" s="47">
      <c r="D262068" s="185"/>
      <c r="AT262068" s="64"/>
      <c r="AU262068" s="64"/>
      <c r="AV262068" s="64"/>
      <c r="BC262068" s="64"/>
      <c r="BD262068" s="64"/>
      <c r="BE262068" s="215"/>
      <c r="BF262068" s="216"/>
      <c r="BG262068" s="64"/>
      <c r="BH262068" s="64"/>
      <c r="BI262068" s="95"/>
      <c r="BJ262068" s="217"/>
      <c r="BK262068" s="185"/>
      <c r="BL262068" s="218"/>
      <c r="BM262068" s="67"/>
      <c r="BQ262068" s="194"/>
    </row>
    <row r="262069" customFormat="1" s="47">
      <c r="D262069" s="185"/>
      <c r="AT262069" s="64"/>
      <c r="AU262069" s="64"/>
      <c r="AV262069" s="64"/>
      <c r="BC262069" s="64"/>
      <c r="BD262069" s="64"/>
      <c r="BE262069" s="215"/>
      <c r="BF262069" s="216"/>
      <c r="BG262069" s="64"/>
      <c r="BH262069" s="64"/>
      <c r="BI262069" s="95"/>
      <c r="BJ262069" s="217"/>
      <c r="BK262069" s="185"/>
      <c r="BL262069" s="218"/>
      <c r="BM262069" s="67"/>
      <c r="BQ262069" s="194"/>
    </row>
    <row r="262070" customFormat="1" s="47">
      <c r="D262070" s="185"/>
      <c r="AT262070" s="64"/>
      <c r="AU262070" s="64"/>
      <c r="AV262070" s="64"/>
      <c r="BC262070" s="64"/>
      <c r="BD262070" s="64"/>
      <c r="BE262070" s="215"/>
      <c r="BF262070" s="216"/>
      <c r="BG262070" s="64"/>
      <c r="BH262070" s="64"/>
      <c r="BI262070" s="95"/>
      <c r="BJ262070" s="217"/>
      <c r="BK262070" s="185"/>
      <c r="BL262070" s="218"/>
      <c r="BM262070" s="67"/>
      <c r="BQ262070" s="194"/>
    </row>
    <row r="262071" customFormat="1" s="47">
      <c r="D262071" s="185"/>
      <c r="AT262071" s="64"/>
      <c r="AU262071" s="64"/>
      <c r="AV262071" s="64"/>
      <c r="BC262071" s="64"/>
      <c r="BD262071" s="64"/>
      <c r="BE262071" s="215"/>
      <c r="BF262071" s="216"/>
      <c r="BG262071" s="64"/>
      <c r="BH262071" s="64"/>
      <c r="BI262071" s="95"/>
      <c r="BJ262071" s="217"/>
      <c r="BK262071" s="185"/>
      <c r="BL262071" s="218"/>
      <c r="BM262071" s="67"/>
      <c r="BQ262071" s="194"/>
    </row>
    <row r="262072" customFormat="1" s="47">
      <c r="D262072" s="185"/>
      <c r="AT262072" s="64"/>
      <c r="AU262072" s="64"/>
      <c r="AV262072" s="64"/>
      <c r="BC262072" s="64"/>
      <c r="BD262072" s="64"/>
      <c r="BE262072" s="215"/>
      <c r="BF262072" s="216"/>
      <c r="BG262072" s="64"/>
      <c r="BH262072" s="64"/>
      <c r="BI262072" s="95"/>
      <c r="BJ262072" s="217"/>
      <c r="BK262072" s="185"/>
      <c r="BL262072" s="218"/>
      <c r="BM262072" s="67"/>
      <c r="BQ262072" s="194"/>
    </row>
    <row r="262073" customFormat="1" s="47">
      <c r="D262073" s="185"/>
      <c r="AT262073" s="64"/>
      <c r="AU262073" s="64"/>
      <c r="AV262073" s="64"/>
      <c r="BC262073" s="64"/>
      <c r="BD262073" s="64"/>
      <c r="BE262073" s="215"/>
      <c r="BF262073" s="216"/>
      <c r="BG262073" s="64"/>
      <c r="BH262073" s="64"/>
      <c r="BI262073" s="95"/>
      <c r="BJ262073" s="217"/>
      <c r="BK262073" s="185"/>
      <c r="BL262073" s="218"/>
      <c r="BM262073" s="67"/>
      <c r="BQ262073" s="194"/>
    </row>
    <row r="262074" customFormat="1" s="47">
      <c r="D262074" s="185"/>
      <c r="AT262074" s="64"/>
      <c r="AU262074" s="64"/>
      <c r="AV262074" s="64"/>
      <c r="BC262074" s="64"/>
      <c r="BD262074" s="64"/>
      <c r="BE262074" s="215"/>
      <c r="BF262074" s="216"/>
      <c r="BG262074" s="64"/>
      <c r="BH262074" s="64"/>
      <c r="BI262074" s="95"/>
      <c r="BJ262074" s="217"/>
      <c r="BK262074" s="185"/>
      <c r="BL262074" s="218"/>
      <c r="BM262074" s="67"/>
      <c r="BQ262074" s="194"/>
    </row>
    <row r="262075" customFormat="1" s="47">
      <c r="D262075" s="185"/>
      <c r="AT262075" s="64"/>
      <c r="AU262075" s="64"/>
      <c r="AV262075" s="64"/>
      <c r="BC262075" s="64"/>
      <c r="BD262075" s="64"/>
      <c r="BE262075" s="215"/>
      <c r="BF262075" s="216"/>
      <c r="BG262075" s="64"/>
      <c r="BH262075" s="64"/>
      <c r="BI262075" s="95"/>
      <c r="BJ262075" s="217"/>
      <c r="BK262075" s="185"/>
      <c r="BL262075" s="218"/>
      <c r="BM262075" s="67"/>
      <c r="BQ262075" s="194"/>
    </row>
    <row r="262076" customFormat="1" s="47">
      <c r="D262076" s="185"/>
      <c r="AT262076" s="64"/>
      <c r="AU262076" s="64"/>
      <c r="AV262076" s="64"/>
      <c r="BC262076" s="64"/>
      <c r="BD262076" s="64"/>
      <c r="BE262076" s="215"/>
      <c r="BF262076" s="216"/>
      <c r="BG262076" s="64"/>
      <c r="BH262076" s="64"/>
      <c r="BI262076" s="95"/>
      <c r="BJ262076" s="217"/>
      <c r="BK262076" s="185"/>
      <c r="BL262076" s="218"/>
      <c r="BM262076" s="67"/>
      <c r="BQ262076" s="194"/>
    </row>
    <row r="262077" customFormat="1" s="47">
      <c r="D262077" s="185"/>
      <c r="AT262077" s="64"/>
      <c r="AU262077" s="64"/>
      <c r="AV262077" s="64"/>
      <c r="BC262077" s="64"/>
      <c r="BD262077" s="64"/>
      <c r="BE262077" s="215"/>
      <c r="BF262077" s="216"/>
      <c r="BG262077" s="64"/>
      <c r="BH262077" s="64"/>
      <c r="BI262077" s="95"/>
      <c r="BJ262077" s="217"/>
      <c r="BK262077" s="185"/>
      <c r="BL262077" s="218"/>
      <c r="BM262077" s="67"/>
      <c r="BQ262077" s="194"/>
    </row>
    <row r="262078" customFormat="1" s="47">
      <c r="D262078" s="185"/>
      <c r="AT262078" s="64"/>
      <c r="AU262078" s="64"/>
      <c r="AV262078" s="64"/>
      <c r="BC262078" s="64"/>
      <c r="BD262078" s="64"/>
      <c r="BE262078" s="215"/>
      <c r="BF262078" s="216"/>
      <c r="BG262078" s="64"/>
      <c r="BH262078" s="64"/>
      <c r="BI262078" s="95"/>
      <c r="BJ262078" s="217"/>
      <c r="BK262078" s="185"/>
      <c r="BL262078" s="218"/>
      <c r="BM262078" s="67"/>
      <c r="BQ262078" s="194"/>
    </row>
    <row r="262079" customFormat="1" s="47">
      <c r="D262079" s="185"/>
      <c r="AT262079" s="64"/>
      <c r="AU262079" s="64"/>
      <c r="AV262079" s="64"/>
      <c r="BC262079" s="64"/>
      <c r="BD262079" s="64"/>
      <c r="BE262079" s="215"/>
      <c r="BF262079" s="216"/>
      <c r="BG262079" s="64"/>
      <c r="BH262079" s="64"/>
      <c r="BI262079" s="95"/>
      <c r="BJ262079" s="217"/>
      <c r="BK262079" s="185"/>
      <c r="BL262079" s="218"/>
      <c r="BM262079" s="67"/>
      <c r="BQ262079" s="194"/>
    </row>
    <row r="262080" customFormat="1" s="47">
      <c r="D262080" s="185"/>
      <c r="AT262080" s="64"/>
      <c r="AU262080" s="64"/>
      <c r="AV262080" s="64"/>
      <c r="BC262080" s="64"/>
      <c r="BD262080" s="64"/>
      <c r="BE262080" s="215"/>
      <c r="BF262080" s="216"/>
      <c r="BG262080" s="64"/>
      <c r="BH262080" s="64"/>
      <c r="BI262080" s="95"/>
      <c r="BJ262080" s="217"/>
      <c r="BK262080" s="185"/>
      <c r="BL262080" s="218"/>
      <c r="BM262080" s="67"/>
      <c r="BQ262080" s="194"/>
    </row>
    <row r="262081" customFormat="1" s="47">
      <c r="D262081" s="185"/>
      <c r="AT262081" s="64"/>
      <c r="AU262081" s="64"/>
      <c r="AV262081" s="64"/>
      <c r="BC262081" s="64"/>
      <c r="BD262081" s="64"/>
      <c r="BE262081" s="215"/>
      <c r="BF262081" s="216"/>
      <c r="BG262081" s="64"/>
      <c r="BH262081" s="64"/>
      <c r="BI262081" s="95"/>
      <c r="BJ262081" s="217"/>
      <c r="BK262081" s="185"/>
      <c r="BL262081" s="218"/>
      <c r="BM262081" s="67"/>
      <c r="BQ262081" s="194"/>
    </row>
    <row r="262082" customFormat="1" s="47">
      <c r="D262082" s="185"/>
      <c r="AT262082" s="64"/>
      <c r="AU262082" s="64"/>
      <c r="AV262082" s="64"/>
      <c r="BC262082" s="64"/>
      <c r="BD262082" s="64"/>
      <c r="BE262082" s="215"/>
      <c r="BF262082" s="216"/>
      <c r="BG262082" s="64"/>
      <c r="BH262082" s="64"/>
      <c r="BI262082" s="95"/>
      <c r="BJ262082" s="217"/>
      <c r="BK262082" s="185"/>
      <c r="BL262082" s="218"/>
      <c r="BM262082" s="67"/>
      <c r="BQ262082" s="194"/>
    </row>
    <row r="262083" customFormat="1" s="47">
      <c r="D262083" s="185"/>
      <c r="AT262083" s="64"/>
      <c r="AU262083" s="64"/>
      <c r="AV262083" s="64"/>
      <c r="BC262083" s="64"/>
      <c r="BD262083" s="64"/>
      <c r="BE262083" s="215"/>
      <c r="BF262083" s="216"/>
      <c r="BG262083" s="64"/>
      <c r="BH262083" s="64"/>
      <c r="BI262083" s="95"/>
      <c r="BJ262083" s="217"/>
      <c r="BK262083" s="185"/>
      <c r="BL262083" s="218"/>
      <c r="BM262083" s="67"/>
      <c r="BQ262083" s="194"/>
    </row>
    <row r="262084" customFormat="1" s="47">
      <c r="D262084" s="185"/>
      <c r="AT262084" s="64"/>
      <c r="AU262084" s="64"/>
      <c r="AV262084" s="64"/>
      <c r="BC262084" s="64"/>
      <c r="BD262084" s="64"/>
      <c r="BE262084" s="215"/>
      <c r="BF262084" s="216"/>
      <c r="BG262084" s="64"/>
      <c r="BH262084" s="64"/>
      <c r="BI262084" s="95"/>
      <c r="BJ262084" s="217"/>
      <c r="BK262084" s="185"/>
      <c r="BL262084" s="218"/>
      <c r="BM262084" s="67"/>
      <c r="BQ262084" s="194"/>
    </row>
    <row r="262085" customFormat="1" s="47">
      <c r="D262085" s="185"/>
      <c r="AT262085" s="64"/>
      <c r="AU262085" s="64"/>
      <c r="AV262085" s="64"/>
      <c r="BC262085" s="64"/>
      <c r="BD262085" s="64"/>
      <c r="BE262085" s="215"/>
      <c r="BF262085" s="216"/>
      <c r="BG262085" s="64"/>
      <c r="BH262085" s="64"/>
      <c r="BI262085" s="95"/>
      <c r="BJ262085" s="217"/>
      <c r="BK262085" s="185"/>
      <c r="BL262085" s="218"/>
      <c r="BM262085" s="67"/>
      <c r="BQ262085" s="194"/>
    </row>
    <row r="262086" customFormat="1" s="47">
      <c r="D262086" s="185"/>
      <c r="AT262086" s="64"/>
      <c r="AU262086" s="64"/>
      <c r="AV262086" s="64"/>
      <c r="BC262086" s="64"/>
      <c r="BD262086" s="64"/>
      <c r="BE262086" s="215"/>
      <c r="BF262086" s="216"/>
      <c r="BG262086" s="64"/>
      <c r="BH262086" s="64"/>
      <c r="BI262086" s="95"/>
      <c r="BJ262086" s="217"/>
      <c r="BK262086" s="185"/>
      <c r="BL262086" s="218"/>
      <c r="BM262086" s="67"/>
      <c r="BQ262086" s="194"/>
    </row>
    <row r="262087" customFormat="1" s="47">
      <c r="D262087" s="185"/>
      <c r="AT262087" s="64"/>
      <c r="AU262087" s="64"/>
      <c r="AV262087" s="64"/>
      <c r="BC262087" s="64"/>
      <c r="BD262087" s="64"/>
      <c r="BE262087" s="215"/>
      <c r="BF262087" s="216"/>
      <c r="BG262087" s="64"/>
      <c r="BH262087" s="64"/>
      <c r="BI262087" s="95"/>
      <c r="BJ262087" s="217"/>
      <c r="BK262087" s="185"/>
      <c r="BL262087" s="218"/>
      <c r="BM262087" s="67"/>
      <c r="BQ262087" s="194"/>
    </row>
    <row r="262088" customFormat="1" s="47">
      <c r="D262088" s="185"/>
      <c r="AT262088" s="64"/>
      <c r="AU262088" s="64"/>
      <c r="AV262088" s="64"/>
      <c r="BC262088" s="64"/>
      <c r="BD262088" s="64"/>
      <c r="BE262088" s="215"/>
      <c r="BF262088" s="216"/>
      <c r="BG262088" s="64"/>
      <c r="BH262088" s="64"/>
      <c r="BI262088" s="95"/>
      <c r="BJ262088" s="217"/>
      <c r="BK262088" s="185"/>
      <c r="BL262088" s="218"/>
      <c r="BM262088" s="67"/>
      <c r="BQ262088" s="194"/>
    </row>
    <row r="262089" customFormat="1" s="47">
      <c r="D262089" s="185"/>
      <c r="AT262089" s="64"/>
      <c r="AU262089" s="64"/>
      <c r="AV262089" s="64"/>
      <c r="BC262089" s="64"/>
      <c r="BD262089" s="64"/>
      <c r="BE262089" s="215"/>
      <c r="BF262089" s="216"/>
      <c r="BG262089" s="64"/>
      <c r="BH262089" s="64"/>
      <c r="BI262089" s="95"/>
      <c r="BJ262089" s="217"/>
      <c r="BK262089" s="185"/>
      <c r="BL262089" s="218"/>
      <c r="BM262089" s="67"/>
      <c r="BQ262089" s="194"/>
    </row>
    <row r="262090" customFormat="1" s="47">
      <c r="D262090" s="185"/>
      <c r="AT262090" s="64"/>
      <c r="AU262090" s="64"/>
      <c r="AV262090" s="64"/>
      <c r="BC262090" s="64"/>
      <c r="BD262090" s="64"/>
      <c r="BE262090" s="215"/>
      <c r="BF262090" s="216"/>
      <c r="BG262090" s="64"/>
      <c r="BH262090" s="64"/>
      <c r="BI262090" s="95"/>
      <c r="BJ262090" s="217"/>
      <c r="BK262090" s="185"/>
      <c r="BL262090" s="218"/>
      <c r="BM262090" s="67"/>
      <c r="BQ262090" s="194"/>
    </row>
    <row r="262091" customFormat="1" s="47">
      <c r="D262091" s="185"/>
      <c r="AT262091" s="64"/>
      <c r="AU262091" s="64"/>
      <c r="AV262091" s="64"/>
      <c r="BC262091" s="64"/>
      <c r="BD262091" s="64"/>
      <c r="BE262091" s="215"/>
      <c r="BF262091" s="216"/>
      <c r="BG262091" s="64"/>
      <c r="BH262091" s="64"/>
      <c r="BI262091" s="95"/>
      <c r="BJ262091" s="217"/>
      <c r="BK262091" s="185"/>
      <c r="BL262091" s="218"/>
      <c r="BM262091" s="67"/>
      <c r="BQ262091" s="194"/>
    </row>
    <row r="262092" customFormat="1" s="47">
      <c r="D262092" s="185"/>
      <c r="AT262092" s="64"/>
      <c r="AU262092" s="64"/>
      <c r="AV262092" s="64"/>
      <c r="BC262092" s="64"/>
      <c r="BD262092" s="64"/>
      <c r="BE262092" s="215"/>
      <c r="BF262092" s="216"/>
      <c r="BG262092" s="64"/>
      <c r="BH262092" s="64"/>
      <c r="BI262092" s="95"/>
      <c r="BJ262092" s="217"/>
      <c r="BK262092" s="185"/>
      <c r="BL262092" s="218"/>
      <c r="BM262092" s="67"/>
      <c r="BQ262092" s="194"/>
    </row>
    <row r="262093" customFormat="1" s="47">
      <c r="D262093" s="185"/>
      <c r="AT262093" s="64"/>
      <c r="AU262093" s="64"/>
      <c r="AV262093" s="64"/>
      <c r="BC262093" s="64"/>
      <c r="BD262093" s="64"/>
      <c r="BE262093" s="215"/>
      <c r="BF262093" s="216"/>
      <c r="BG262093" s="64"/>
      <c r="BH262093" s="64"/>
      <c r="BI262093" s="95"/>
      <c r="BJ262093" s="217"/>
      <c r="BK262093" s="185"/>
      <c r="BL262093" s="218"/>
      <c r="BM262093" s="67"/>
      <c r="BQ262093" s="194"/>
    </row>
    <row r="262094" customFormat="1" s="47">
      <c r="D262094" s="185"/>
      <c r="AT262094" s="64"/>
      <c r="AU262094" s="64"/>
      <c r="AV262094" s="64"/>
      <c r="BC262094" s="64"/>
      <c r="BD262094" s="64"/>
      <c r="BE262094" s="215"/>
      <c r="BF262094" s="216"/>
      <c r="BG262094" s="64"/>
      <c r="BH262094" s="64"/>
      <c r="BI262094" s="95"/>
      <c r="BJ262094" s="217"/>
      <c r="BK262094" s="185"/>
      <c r="BL262094" s="218"/>
      <c r="BM262094" s="67"/>
      <c r="BQ262094" s="194"/>
    </row>
    <row r="262095" customFormat="1" s="47">
      <c r="D262095" s="185"/>
      <c r="AT262095" s="64"/>
      <c r="AU262095" s="64"/>
      <c r="AV262095" s="64"/>
      <c r="BC262095" s="64"/>
      <c r="BD262095" s="64"/>
      <c r="BE262095" s="215"/>
      <c r="BF262095" s="216"/>
      <c r="BG262095" s="64"/>
      <c r="BH262095" s="64"/>
      <c r="BI262095" s="95"/>
      <c r="BJ262095" s="217"/>
      <c r="BK262095" s="185"/>
      <c r="BL262095" s="218"/>
      <c r="BM262095" s="67"/>
      <c r="BQ262095" s="194"/>
    </row>
    <row r="262096" customFormat="1" s="47">
      <c r="D262096" s="185"/>
      <c r="AT262096" s="64"/>
      <c r="AU262096" s="64"/>
      <c r="AV262096" s="64"/>
      <c r="BC262096" s="64"/>
      <c r="BD262096" s="64"/>
      <c r="BE262096" s="215"/>
      <c r="BF262096" s="216"/>
      <c r="BG262096" s="64"/>
      <c r="BH262096" s="64"/>
      <c r="BI262096" s="95"/>
      <c r="BJ262096" s="217"/>
      <c r="BK262096" s="185"/>
      <c r="BL262096" s="218"/>
      <c r="BM262096" s="67"/>
      <c r="BQ262096" s="194"/>
    </row>
    <row r="262097" customFormat="1" s="47">
      <c r="D262097" s="185"/>
      <c r="AT262097" s="64"/>
      <c r="AU262097" s="64"/>
      <c r="AV262097" s="64"/>
      <c r="BC262097" s="64"/>
      <c r="BD262097" s="64"/>
      <c r="BE262097" s="215"/>
      <c r="BF262097" s="216"/>
      <c r="BG262097" s="64"/>
      <c r="BH262097" s="64"/>
      <c r="BI262097" s="95"/>
      <c r="BJ262097" s="217"/>
      <c r="BK262097" s="185"/>
      <c r="BL262097" s="218"/>
      <c r="BM262097" s="67"/>
      <c r="BQ262097" s="194"/>
    </row>
    <row r="262098" customFormat="1" s="47">
      <c r="D262098" s="185"/>
      <c r="AT262098" s="64"/>
      <c r="AU262098" s="64"/>
      <c r="AV262098" s="64"/>
      <c r="BC262098" s="64"/>
      <c r="BD262098" s="64"/>
      <c r="BE262098" s="215"/>
      <c r="BF262098" s="216"/>
      <c r="BG262098" s="64"/>
      <c r="BH262098" s="64"/>
      <c r="BI262098" s="95"/>
      <c r="BJ262098" s="217"/>
      <c r="BK262098" s="185"/>
      <c r="BL262098" s="218"/>
      <c r="BM262098" s="67"/>
      <c r="BQ262098" s="194"/>
    </row>
    <row r="262099" customFormat="1" s="47">
      <c r="D262099" s="185"/>
      <c r="AT262099" s="64"/>
      <c r="AU262099" s="64"/>
      <c r="AV262099" s="64"/>
      <c r="BC262099" s="64"/>
      <c r="BD262099" s="64"/>
      <c r="BE262099" s="215"/>
      <c r="BF262099" s="216"/>
      <c r="BG262099" s="64"/>
      <c r="BH262099" s="64"/>
      <c r="BI262099" s="95"/>
      <c r="BJ262099" s="217"/>
      <c r="BK262099" s="185"/>
      <c r="BL262099" s="218"/>
      <c r="BM262099" s="67"/>
      <c r="BQ262099" s="194"/>
    </row>
    <row r="262100" customFormat="1" s="47">
      <c r="D262100" s="185"/>
      <c r="AT262100" s="64"/>
      <c r="AU262100" s="64"/>
      <c r="AV262100" s="64"/>
      <c r="BC262100" s="64"/>
      <c r="BD262100" s="64"/>
      <c r="BE262100" s="215"/>
      <c r="BF262100" s="216"/>
      <c r="BG262100" s="64"/>
      <c r="BH262100" s="64"/>
      <c r="BI262100" s="95"/>
      <c r="BJ262100" s="217"/>
      <c r="BK262100" s="185"/>
      <c r="BL262100" s="218"/>
      <c r="BM262100" s="67"/>
      <c r="BQ262100" s="194"/>
    </row>
    <row r="262101" customFormat="1" s="47">
      <c r="D262101" s="185"/>
      <c r="AT262101" s="64"/>
      <c r="AU262101" s="64"/>
      <c r="AV262101" s="64"/>
      <c r="BC262101" s="64"/>
      <c r="BD262101" s="64"/>
      <c r="BE262101" s="215"/>
      <c r="BF262101" s="216"/>
      <c r="BG262101" s="64"/>
      <c r="BH262101" s="64"/>
      <c r="BI262101" s="95"/>
      <c r="BJ262101" s="217"/>
      <c r="BK262101" s="185"/>
      <c r="BL262101" s="218"/>
      <c r="BM262101" s="67"/>
      <c r="BQ262101" s="194"/>
    </row>
    <row r="262102" customFormat="1" s="47">
      <c r="D262102" s="185"/>
      <c r="AT262102" s="64"/>
      <c r="AU262102" s="64"/>
      <c r="AV262102" s="64"/>
      <c r="BC262102" s="64"/>
      <c r="BD262102" s="64"/>
      <c r="BE262102" s="215"/>
      <c r="BF262102" s="216"/>
      <c r="BG262102" s="64"/>
      <c r="BH262102" s="64"/>
      <c r="BI262102" s="95"/>
      <c r="BJ262102" s="217"/>
      <c r="BK262102" s="185"/>
      <c r="BL262102" s="218"/>
      <c r="BM262102" s="67"/>
      <c r="BQ262102" s="194"/>
    </row>
    <row r="262103" customFormat="1" s="47">
      <c r="D262103" s="185"/>
      <c r="AT262103" s="64"/>
      <c r="AU262103" s="64"/>
      <c r="AV262103" s="64"/>
      <c r="BC262103" s="64"/>
      <c r="BD262103" s="64"/>
      <c r="BE262103" s="215"/>
      <c r="BF262103" s="216"/>
      <c r="BG262103" s="64"/>
      <c r="BH262103" s="64"/>
      <c r="BI262103" s="95"/>
      <c r="BJ262103" s="217"/>
      <c r="BK262103" s="185"/>
      <c r="BL262103" s="218"/>
      <c r="BM262103" s="67"/>
      <c r="BQ262103" s="194"/>
    </row>
    <row r="262104" customFormat="1" s="47">
      <c r="D262104" s="185"/>
      <c r="AT262104" s="64"/>
      <c r="AU262104" s="64"/>
      <c r="AV262104" s="64"/>
      <c r="BC262104" s="64"/>
      <c r="BD262104" s="64"/>
      <c r="BE262104" s="215"/>
      <c r="BF262104" s="216"/>
      <c r="BG262104" s="64"/>
      <c r="BH262104" s="64"/>
      <c r="BI262104" s="95"/>
      <c r="BJ262104" s="217"/>
      <c r="BK262104" s="185"/>
      <c r="BL262104" s="218"/>
      <c r="BM262104" s="67"/>
      <c r="BQ262104" s="194"/>
    </row>
    <row r="262105" customFormat="1" s="47">
      <c r="D262105" s="185"/>
      <c r="AT262105" s="64"/>
      <c r="AU262105" s="64"/>
      <c r="AV262105" s="64"/>
      <c r="BC262105" s="64"/>
      <c r="BD262105" s="64"/>
      <c r="BE262105" s="215"/>
      <c r="BF262105" s="216"/>
      <c r="BG262105" s="64"/>
      <c r="BH262105" s="64"/>
      <c r="BI262105" s="95"/>
      <c r="BJ262105" s="217"/>
      <c r="BK262105" s="185"/>
      <c r="BL262105" s="218"/>
      <c r="BM262105" s="67"/>
      <c r="BQ262105" s="194"/>
    </row>
    <row r="262106" customFormat="1" s="47">
      <c r="D262106" s="185"/>
      <c r="AT262106" s="64"/>
      <c r="AU262106" s="64"/>
      <c r="AV262106" s="64"/>
      <c r="BC262106" s="64"/>
      <c r="BD262106" s="64"/>
      <c r="BE262106" s="215"/>
      <c r="BF262106" s="216"/>
      <c r="BG262106" s="64"/>
      <c r="BH262106" s="64"/>
      <c r="BI262106" s="95"/>
      <c r="BJ262106" s="217"/>
      <c r="BK262106" s="185"/>
      <c r="BL262106" s="218"/>
      <c r="BM262106" s="67"/>
      <c r="BQ262106" s="194"/>
    </row>
    <row r="262107" customFormat="1" s="47">
      <c r="D262107" s="185"/>
      <c r="AT262107" s="64"/>
      <c r="AU262107" s="64"/>
      <c r="AV262107" s="64"/>
      <c r="BC262107" s="64"/>
      <c r="BD262107" s="64"/>
      <c r="BE262107" s="215"/>
      <c r="BF262107" s="216"/>
      <c r="BG262107" s="64"/>
      <c r="BH262107" s="64"/>
      <c r="BI262107" s="95"/>
      <c r="BJ262107" s="217"/>
      <c r="BK262107" s="185"/>
      <c r="BL262107" s="218"/>
      <c r="BM262107" s="67"/>
      <c r="BQ262107" s="194"/>
    </row>
    <row r="262108" customFormat="1" s="47">
      <c r="D262108" s="185"/>
      <c r="AT262108" s="64"/>
      <c r="AU262108" s="64"/>
      <c r="AV262108" s="64"/>
      <c r="BC262108" s="64"/>
      <c r="BD262108" s="64"/>
      <c r="BE262108" s="215"/>
      <c r="BF262108" s="216"/>
      <c r="BG262108" s="64"/>
      <c r="BH262108" s="64"/>
      <c r="BI262108" s="95"/>
      <c r="BJ262108" s="217"/>
      <c r="BK262108" s="185"/>
      <c r="BL262108" s="218"/>
      <c r="BM262108" s="67"/>
      <c r="BQ262108" s="194"/>
    </row>
    <row r="262109" customFormat="1" s="47">
      <c r="D262109" s="185"/>
      <c r="AT262109" s="64"/>
      <c r="AU262109" s="64"/>
      <c r="AV262109" s="64"/>
      <c r="BC262109" s="64"/>
      <c r="BD262109" s="64"/>
      <c r="BE262109" s="215"/>
      <c r="BF262109" s="216"/>
      <c r="BG262109" s="64"/>
      <c r="BH262109" s="64"/>
      <c r="BI262109" s="95"/>
      <c r="BJ262109" s="217"/>
      <c r="BK262109" s="185"/>
      <c r="BL262109" s="218"/>
      <c r="BM262109" s="67"/>
      <c r="BQ262109" s="194"/>
    </row>
    <row r="262110" customFormat="1" s="47">
      <c r="D262110" s="185"/>
      <c r="AT262110" s="64"/>
      <c r="AU262110" s="64"/>
      <c r="AV262110" s="64"/>
      <c r="BC262110" s="64"/>
      <c r="BD262110" s="64"/>
      <c r="BE262110" s="215"/>
      <c r="BF262110" s="216"/>
      <c r="BG262110" s="64"/>
      <c r="BH262110" s="64"/>
      <c r="BI262110" s="95"/>
      <c r="BJ262110" s="217"/>
      <c r="BK262110" s="185"/>
      <c r="BL262110" s="218"/>
      <c r="BM262110" s="67"/>
      <c r="BQ262110" s="194"/>
    </row>
    <row r="262111" customFormat="1" s="47">
      <c r="D262111" s="185"/>
      <c r="AT262111" s="64"/>
      <c r="AU262111" s="64"/>
      <c r="AV262111" s="64"/>
      <c r="BC262111" s="64"/>
      <c r="BD262111" s="64"/>
      <c r="BE262111" s="215"/>
      <c r="BF262111" s="216"/>
      <c r="BG262111" s="64"/>
      <c r="BH262111" s="64"/>
      <c r="BI262111" s="95"/>
      <c r="BJ262111" s="217"/>
      <c r="BK262111" s="185"/>
      <c r="BL262111" s="218"/>
      <c r="BM262111" s="67"/>
      <c r="BQ262111" s="194"/>
    </row>
    <row r="262112" customFormat="1" s="47">
      <c r="D262112" s="185"/>
      <c r="AT262112" s="64"/>
      <c r="AU262112" s="64"/>
      <c r="AV262112" s="64"/>
      <c r="BC262112" s="64"/>
      <c r="BD262112" s="64"/>
      <c r="BE262112" s="215"/>
      <c r="BF262112" s="216"/>
      <c r="BG262112" s="64"/>
      <c r="BH262112" s="64"/>
      <c r="BI262112" s="95"/>
      <c r="BJ262112" s="217"/>
      <c r="BK262112" s="185"/>
      <c r="BL262112" s="218"/>
      <c r="BM262112" s="67"/>
      <c r="BQ262112" s="194"/>
    </row>
    <row r="262113" customFormat="1" s="47">
      <c r="D262113" s="185"/>
      <c r="AT262113" s="64"/>
      <c r="AU262113" s="64"/>
      <c r="AV262113" s="64"/>
      <c r="BC262113" s="64"/>
      <c r="BD262113" s="64"/>
      <c r="BE262113" s="215"/>
      <c r="BF262113" s="216"/>
      <c r="BG262113" s="64"/>
      <c r="BH262113" s="64"/>
      <c r="BI262113" s="95"/>
      <c r="BJ262113" s="217"/>
      <c r="BK262113" s="185"/>
      <c r="BL262113" s="218"/>
      <c r="BM262113" s="67"/>
      <c r="BQ262113" s="194"/>
    </row>
    <row r="262114" customFormat="1" s="47">
      <c r="D262114" s="185"/>
      <c r="AT262114" s="64"/>
      <c r="AU262114" s="64"/>
      <c r="AV262114" s="64"/>
      <c r="BC262114" s="64"/>
      <c r="BD262114" s="64"/>
      <c r="BE262114" s="215"/>
      <c r="BF262114" s="216"/>
      <c r="BG262114" s="64"/>
      <c r="BH262114" s="64"/>
      <c r="BI262114" s="95"/>
      <c r="BJ262114" s="217"/>
      <c r="BK262114" s="185"/>
      <c r="BL262114" s="218"/>
      <c r="BM262114" s="67"/>
      <c r="BQ262114" s="194"/>
    </row>
    <row r="262115" customFormat="1" s="47">
      <c r="D262115" s="185"/>
      <c r="AT262115" s="64"/>
      <c r="AU262115" s="64"/>
      <c r="AV262115" s="64"/>
      <c r="BC262115" s="64"/>
      <c r="BD262115" s="64"/>
      <c r="BE262115" s="215"/>
      <c r="BF262115" s="216"/>
      <c r="BG262115" s="64"/>
      <c r="BH262115" s="64"/>
      <c r="BI262115" s="95"/>
      <c r="BJ262115" s="217"/>
      <c r="BK262115" s="185"/>
      <c r="BL262115" s="218"/>
      <c r="BM262115" s="67"/>
      <c r="BQ262115" s="194"/>
    </row>
    <row r="262116" customFormat="1" s="47">
      <c r="D262116" s="185"/>
      <c r="AT262116" s="64"/>
      <c r="AU262116" s="64"/>
      <c r="AV262116" s="64"/>
      <c r="BC262116" s="64"/>
      <c r="BD262116" s="64"/>
      <c r="BE262116" s="215"/>
      <c r="BF262116" s="216"/>
      <c r="BG262116" s="64"/>
      <c r="BH262116" s="64"/>
      <c r="BI262116" s="95"/>
      <c r="BJ262116" s="217"/>
      <c r="BK262116" s="185"/>
      <c r="BL262116" s="218"/>
      <c r="BM262116" s="67"/>
      <c r="BQ262116" s="194"/>
    </row>
    <row r="262117" customFormat="1" s="47">
      <c r="D262117" s="185"/>
      <c r="AT262117" s="64"/>
      <c r="AU262117" s="64"/>
      <c r="AV262117" s="64"/>
      <c r="BC262117" s="64"/>
      <c r="BD262117" s="64"/>
      <c r="BE262117" s="215"/>
      <c r="BF262117" s="216"/>
      <c r="BG262117" s="64"/>
      <c r="BH262117" s="64"/>
      <c r="BI262117" s="95"/>
      <c r="BJ262117" s="217"/>
      <c r="BK262117" s="185"/>
      <c r="BL262117" s="218"/>
      <c r="BM262117" s="67"/>
      <c r="BQ262117" s="194"/>
    </row>
    <row r="262118" customFormat="1" s="47">
      <c r="D262118" s="185"/>
      <c r="AT262118" s="64"/>
      <c r="AU262118" s="64"/>
      <c r="AV262118" s="64"/>
      <c r="BC262118" s="64"/>
      <c r="BD262118" s="64"/>
      <c r="BE262118" s="215"/>
      <c r="BF262118" s="216"/>
      <c r="BG262118" s="64"/>
      <c r="BH262118" s="64"/>
      <c r="BI262118" s="95"/>
      <c r="BJ262118" s="217"/>
      <c r="BK262118" s="185"/>
      <c r="BL262118" s="218"/>
      <c r="BM262118" s="67"/>
      <c r="BQ262118" s="194"/>
    </row>
    <row r="262119" customFormat="1" s="47">
      <c r="D262119" s="185"/>
      <c r="AT262119" s="64"/>
      <c r="AU262119" s="64"/>
      <c r="AV262119" s="64"/>
      <c r="BC262119" s="64"/>
      <c r="BD262119" s="64"/>
      <c r="BE262119" s="215"/>
      <c r="BF262119" s="216"/>
      <c r="BG262119" s="64"/>
      <c r="BH262119" s="64"/>
      <c r="BI262119" s="95"/>
      <c r="BJ262119" s="217"/>
      <c r="BK262119" s="185"/>
      <c r="BL262119" s="218"/>
      <c r="BM262119" s="67"/>
      <c r="BQ262119" s="194"/>
    </row>
    <row r="262120" customFormat="1" s="47">
      <c r="D262120" s="185"/>
      <c r="AT262120" s="64"/>
      <c r="AU262120" s="64"/>
      <c r="AV262120" s="64"/>
      <c r="BC262120" s="64"/>
      <c r="BD262120" s="64"/>
      <c r="BE262120" s="215"/>
      <c r="BF262120" s="216"/>
      <c r="BG262120" s="64"/>
      <c r="BH262120" s="64"/>
      <c r="BI262120" s="95"/>
      <c r="BJ262120" s="217"/>
      <c r="BK262120" s="185"/>
      <c r="BL262120" s="218"/>
      <c r="BM262120" s="67"/>
      <c r="BQ262120" s="194"/>
    </row>
    <row r="262121" customFormat="1" s="47">
      <c r="D262121" s="185"/>
      <c r="AT262121" s="64"/>
      <c r="AU262121" s="64"/>
      <c r="AV262121" s="64"/>
      <c r="BC262121" s="64"/>
      <c r="BD262121" s="64"/>
      <c r="BE262121" s="215"/>
      <c r="BF262121" s="216"/>
      <c r="BG262121" s="64"/>
      <c r="BH262121" s="64"/>
      <c r="BI262121" s="95"/>
      <c r="BJ262121" s="217"/>
      <c r="BK262121" s="185"/>
      <c r="BL262121" s="218"/>
      <c r="BM262121" s="67"/>
      <c r="BQ262121" s="194"/>
    </row>
    <row r="262122" customFormat="1" s="47">
      <c r="D262122" s="185"/>
      <c r="AT262122" s="64"/>
      <c r="AU262122" s="64"/>
      <c r="AV262122" s="64"/>
      <c r="BC262122" s="64"/>
      <c r="BD262122" s="64"/>
      <c r="BE262122" s="215"/>
      <c r="BF262122" s="216"/>
      <c r="BG262122" s="64"/>
      <c r="BH262122" s="64"/>
      <c r="BI262122" s="95"/>
      <c r="BJ262122" s="217"/>
      <c r="BK262122" s="185"/>
      <c r="BL262122" s="218"/>
      <c r="BM262122" s="67"/>
      <c r="BQ262122" s="194"/>
    </row>
    <row r="262123" customFormat="1" s="47">
      <c r="D262123" s="185"/>
      <c r="AT262123" s="64"/>
      <c r="AU262123" s="64"/>
      <c r="AV262123" s="64"/>
      <c r="BC262123" s="64"/>
      <c r="BD262123" s="64"/>
      <c r="BE262123" s="215"/>
      <c r="BF262123" s="216"/>
      <c r="BG262123" s="64"/>
      <c r="BH262123" s="64"/>
      <c r="BI262123" s="95"/>
      <c r="BJ262123" s="217"/>
      <c r="BK262123" s="185"/>
      <c r="BL262123" s="218"/>
      <c r="BM262123" s="67"/>
      <c r="BQ262123" s="194"/>
    </row>
    <row r="262124" customFormat="1" s="47">
      <c r="D262124" s="185"/>
      <c r="AT262124" s="64"/>
      <c r="AU262124" s="64"/>
      <c r="AV262124" s="64"/>
      <c r="BC262124" s="64"/>
      <c r="BD262124" s="64"/>
      <c r="BE262124" s="215"/>
      <c r="BF262124" s="216"/>
      <c r="BG262124" s="64"/>
      <c r="BH262124" s="64"/>
      <c r="BI262124" s="95"/>
      <c r="BJ262124" s="217"/>
      <c r="BK262124" s="185"/>
      <c r="BL262124" s="218"/>
      <c r="BM262124" s="67"/>
      <c r="BQ262124" s="194"/>
    </row>
    <row r="262125" customFormat="1" s="47">
      <c r="D262125" s="185"/>
      <c r="AT262125" s="64"/>
      <c r="AU262125" s="64"/>
      <c r="AV262125" s="64"/>
      <c r="BC262125" s="64"/>
      <c r="BD262125" s="64"/>
      <c r="BE262125" s="215"/>
      <c r="BF262125" s="216"/>
      <c r="BG262125" s="64"/>
      <c r="BH262125" s="64"/>
      <c r="BI262125" s="95"/>
      <c r="BJ262125" s="217"/>
      <c r="BK262125" s="185"/>
      <c r="BL262125" s="218"/>
      <c r="BM262125" s="67"/>
      <c r="BQ262125" s="194"/>
    </row>
    <row r="262126" customFormat="1" s="47">
      <c r="D262126" s="185"/>
      <c r="AT262126" s="64"/>
      <c r="AU262126" s="64"/>
      <c r="AV262126" s="64"/>
      <c r="BC262126" s="64"/>
      <c r="BD262126" s="64"/>
      <c r="BE262126" s="215"/>
      <c r="BF262126" s="216"/>
      <c r="BG262126" s="64"/>
      <c r="BH262126" s="64"/>
      <c r="BI262126" s="95"/>
      <c r="BJ262126" s="217"/>
      <c r="BK262126" s="185"/>
      <c r="BL262126" s="218"/>
      <c r="BM262126" s="67"/>
      <c r="BQ262126" s="194"/>
    </row>
    <row r="262127" customFormat="1" s="47">
      <c r="D262127" s="185"/>
      <c r="AT262127" s="64"/>
      <c r="AU262127" s="64"/>
      <c r="AV262127" s="64"/>
      <c r="BC262127" s="64"/>
      <c r="BD262127" s="64"/>
      <c r="BE262127" s="215"/>
      <c r="BF262127" s="216"/>
      <c r="BG262127" s="64"/>
      <c r="BH262127" s="64"/>
      <c r="BI262127" s="95"/>
      <c r="BJ262127" s="217"/>
      <c r="BK262127" s="185"/>
      <c r="BL262127" s="218"/>
      <c r="BM262127" s="67"/>
      <c r="BQ262127" s="194"/>
    </row>
    <row r="262128" customFormat="1" s="47">
      <c r="D262128" s="185"/>
      <c r="AT262128" s="64"/>
      <c r="AU262128" s="64"/>
      <c r="AV262128" s="64"/>
      <c r="BC262128" s="64"/>
      <c r="BD262128" s="64"/>
      <c r="BE262128" s="215"/>
      <c r="BF262128" s="216"/>
      <c r="BG262128" s="64"/>
      <c r="BH262128" s="64"/>
      <c r="BI262128" s="95"/>
      <c r="BJ262128" s="217"/>
      <c r="BK262128" s="185"/>
      <c r="BL262128" s="218"/>
      <c r="BM262128" s="67"/>
      <c r="BQ262128" s="194"/>
    </row>
    <row r="262129" customFormat="1" s="47">
      <c r="D262129" s="185"/>
      <c r="AT262129" s="64"/>
      <c r="AU262129" s="64"/>
      <c r="AV262129" s="64"/>
      <c r="BC262129" s="64"/>
      <c r="BD262129" s="64"/>
      <c r="BE262129" s="215"/>
      <c r="BF262129" s="216"/>
      <c r="BG262129" s="64"/>
      <c r="BH262129" s="64"/>
      <c r="BI262129" s="95"/>
      <c r="BJ262129" s="217"/>
      <c r="BK262129" s="185"/>
      <c r="BL262129" s="218"/>
      <c r="BM262129" s="67"/>
      <c r="BQ262129" s="194"/>
    </row>
    <row r="262130" customFormat="1" s="47">
      <c r="D262130" s="185"/>
      <c r="AT262130" s="64"/>
      <c r="AU262130" s="64"/>
      <c r="AV262130" s="64"/>
      <c r="BC262130" s="64"/>
      <c r="BD262130" s="64"/>
      <c r="BE262130" s="215"/>
      <c r="BF262130" s="216"/>
      <c r="BG262130" s="64"/>
      <c r="BH262130" s="64"/>
      <c r="BI262130" s="95"/>
      <c r="BJ262130" s="217"/>
      <c r="BK262130" s="185"/>
      <c r="BL262130" s="218"/>
      <c r="BM262130" s="67"/>
      <c r="BQ262130" s="194"/>
    </row>
    <row r="262131" customFormat="1" s="47">
      <c r="D262131" s="185"/>
      <c r="AT262131" s="64"/>
      <c r="AU262131" s="64"/>
      <c r="AV262131" s="64"/>
      <c r="BC262131" s="64"/>
      <c r="BD262131" s="64"/>
      <c r="BE262131" s="215"/>
      <c r="BF262131" s="216"/>
      <c r="BG262131" s="64"/>
      <c r="BH262131" s="64"/>
      <c r="BI262131" s="95"/>
      <c r="BJ262131" s="217"/>
      <c r="BK262131" s="185"/>
      <c r="BL262131" s="218"/>
      <c r="BM262131" s="67"/>
      <c r="BQ262131" s="194"/>
    </row>
    <row r="262132" customFormat="1" s="47">
      <c r="D262132" s="185"/>
      <c r="AT262132" s="64"/>
      <c r="AU262132" s="64"/>
      <c r="AV262132" s="64"/>
      <c r="BC262132" s="64"/>
      <c r="BD262132" s="64"/>
      <c r="BE262132" s="215"/>
      <c r="BF262132" s="216"/>
      <c r="BG262132" s="64"/>
      <c r="BH262132" s="64"/>
      <c r="BI262132" s="95"/>
      <c r="BJ262132" s="217"/>
      <c r="BK262132" s="185"/>
      <c r="BL262132" s="218"/>
      <c r="BM262132" s="67"/>
      <c r="BQ262132" s="194"/>
    </row>
    <row r="262133" customFormat="1" s="47">
      <c r="D262133" s="185"/>
      <c r="AT262133" s="64"/>
      <c r="AU262133" s="64"/>
      <c r="AV262133" s="64"/>
      <c r="BC262133" s="64"/>
      <c r="BD262133" s="64"/>
      <c r="BE262133" s="215"/>
      <c r="BF262133" s="216"/>
      <c r="BG262133" s="64"/>
      <c r="BH262133" s="64"/>
      <c r="BI262133" s="95"/>
      <c r="BJ262133" s="217"/>
      <c r="BK262133" s="185"/>
      <c r="BL262133" s="218"/>
      <c r="BM262133" s="67"/>
      <c r="BQ262133" s="194"/>
    </row>
    <row r="262134" customFormat="1" s="47">
      <c r="D262134" s="185"/>
      <c r="AT262134" s="64"/>
      <c r="AU262134" s="64"/>
      <c r="AV262134" s="64"/>
      <c r="BC262134" s="64"/>
      <c r="BD262134" s="64"/>
      <c r="BE262134" s="215"/>
      <c r="BF262134" s="216"/>
      <c r="BG262134" s="64"/>
      <c r="BH262134" s="64"/>
      <c r="BI262134" s="95"/>
      <c r="BJ262134" s="217"/>
      <c r="BK262134" s="185"/>
      <c r="BL262134" s="218"/>
      <c r="BM262134" s="67"/>
      <c r="BQ262134" s="194"/>
    </row>
    <row r="262135" customFormat="1" s="47">
      <c r="D262135" s="185"/>
      <c r="AT262135" s="64"/>
      <c r="AU262135" s="64"/>
      <c r="AV262135" s="64"/>
      <c r="BC262135" s="64"/>
      <c r="BD262135" s="64"/>
      <c r="BE262135" s="215"/>
      <c r="BF262135" s="216"/>
      <c r="BG262135" s="64"/>
      <c r="BH262135" s="64"/>
      <c r="BI262135" s="95"/>
      <c r="BJ262135" s="217"/>
      <c r="BK262135" s="185"/>
      <c r="BL262135" s="218"/>
      <c r="BM262135" s="67"/>
      <c r="BQ262135" s="194"/>
    </row>
    <row r="262136" customFormat="1" s="47">
      <c r="D262136" s="185"/>
      <c r="AT262136" s="64"/>
      <c r="AU262136" s="64"/>
      <c r="AV262136" s="64"/>
      <c r="BC262136" s="64"/>
      <c r="BD262136" s="64"/>
      <c r="BE262136" s="215"/>
      <c r="BF262136" s="216"/>
      <c r="BG262136" s="64"/>
      <c r="BH262136" s="64"/>
      <c r="BI262136" s="95"/>
      <c r="BJ262136" s="217"/>
      <c r="BK262136" s="185"/>
      <c r="BL262136" s="218"/>
      <c r="BM262136" s="67"/>
      <c r="BQ262136" s="194"/>
    </row>
    <row r="262137" customFormat="1" s="47">
      <c r="D262137" s="185"/>
      <c r="AT262137" s="64"/>
      <c r="AU262137" s="64"/>
      <c r="AV262137" s="64"/>
      <c r="BC262137" s="64"/>
      <c r="BD262137" s="64"/>
      <c r="BE262137" s="215"/>
      <c r="BF262137" s="216"/>
      <c r="BG262137" s="64"/>
      <c r="BH262137" s="64"/>
      <c r="BI262137" s="95"/>
      <c r="BJ262137" s="217"/>
      <c r="BK262137" s="185"/>
      <c r="BL262137" s="218"/>
      <c r="BM262137" s="67"/>
      <c r="BQ262137" s="194"/>
    </row>
    <row r="262138" customFormat="1" s="47">
      <c r="D262138" s="185"/>
      <c r="AT262138" s="64"/>
      <c r="AU262138" s="64"/>
      <c r="AV262138" s="64"/>
      <c r="BC262138" s="64"/>
      <c r="BD262138" s="64"/>
      <c r="BE262138" s="215"/>
      <c r="BF262138" s="216"/>
      <c r="BG262138" s="64"/>
      <c r="BH262138" s="64"/>
      <c r="BI262138" s="95"/>
      <c r="BJ262138" s="217"/>
      <c r="BK262138" s="185"/>
      <c r="BL262138" s="218"/>
      <c r="BM262138" s="67"/>
      <c r="BQ262138" s="194"/>
    </row>
    <row r="262139" customFormat="1" s="47">
      <c r="D262139" s="185"/>
      <c r="AT262139" s="64"/>
      <c r="AU262139" s="64"/>
      <c r="AV262139" s="64"/>
      <c r="BC262139" s="64"/>
      <c r="BD262139" s="64"/>
      <c r="BE262139" s="215"/>
      <c r="BF262139" s="216"/>
      <c r="BG262139" s="64"/>
      <c r="BH262139" s="64"/>
      <c r="BI262139" s="95"/>
      <c r="BJ262139" s="217"/>
      <c r="BK262139" s="185"/>
      <c r="BL262139" s="218"/>
      <c r="BM262139" s="67"/>
      <c r="BQ262139" s="194"/>
    </row>
    <row r="262140" customFormat="1" s="47">
      <c r="D262140" s="185"/>
      <c r="AT262140" s="64"/>
      <c r="AU262140" s="64"/>
      <c r="AV262140" s="64"/>
      <c r="BC262140" s="64"/>
      <c r="BD262140" s="64"/>
      <c r="BE262140" s="215"/>
      <c r="BF262140" s="216"/>
      <c r="BG262140" s="64"/>
      <c r="BH262140" s="64"/>
      <c r="BI262140" s="95"/>
      <c r="BJ262140" s="217"/>
      <c r="BK262140" s="185"/>
      <c r="BL262140" s="218"/>
      <c r="BM262140" s="67"/>
      <c r="BQ262140" s="194"/>
    </row>
    <row r="262141" customFormat="1" s="47">
      <c r="D262141" s="185"/>
      <c r="AT262141" s="64"/>
      <c r="AU262141" s="64"/>
      <c r="AV262141" s="64"/>
      <c r="BC262141" s="64"/>
      <c r="BD262141" s="64"/>
      <c r="BE262141" s="215"/>
      <c r="BF262141" s="216"/>
      <c r="BG262141" s="64"/>
      <c r="BH262141" s="64"/>
      <c r="BI262141" s="95"/>
      <c r="BJ262141" s="217"/>
      <c r="BK262141" s="185"/>
      <c r="BL262141" s="218"/>
      <c r="BM262141" s="67"/>
      <c r="BQ262141" s="194"/>
    </row>
    <row r="262142" customFormat="1" s="47">
      <c r="D262142" s="185"/>
      <c r="AT262142" s="64"/>
      <c r="AU262142" s="64"/>
      <c r="AV262142" s="64"/>
      <c r="BC262142" s="64"/>
      <c r="BD262142" s="64"/>
      <c r="BE262142" s="215"/>
      <c r="BF262142" s="216"/>
      <c r="BG262142" s="64"/>
      <c r="BH262142" s="64"/>
      <c r="BI262142" s="95"/>
      <c r="BJ262142" s="217"/>
      <c r="BK262142" s="185"/>
      <c r="BL262142" s="218"/>
      <c r="BM262142" s="67"/>
      <c r="BQ262142" s="194"/>
    </row>
    <row r="262143" customFormat="1" s="47">
      <c r="D262143" s="185"/>
      <c r="AT262143" s="64"/>
      <c r="AU262143" s="64"/>
      <c r="AV262143" s="64"/>
      <c r="BC262143" s="64"/>
      <c r="BD262143" s="64"/>
      <c r="BE262143" s="215"/>
      <c r="BF262143" s="216"/>
      <c r="BG262143" s="64"/>
      <c r="BH262143" s="64"/>
      <c r="BI262143" s="95"/>
      <c r="BJ262143" s="217"/>
      <c r="BK262143" s="185"/>
      <c r="BL262143" s="218"/>
      <c r="BM262143" s="67"/>
      <c r="BQ262143" s="194"/>
    </row>
    <row r="262144" customFormat="1" s="47">
      <c r="D262144" s="185"/>
      <c r="AT262144" s="64"/>
      <c r="AU262144" s="64"/>
      <c r="AV262144" s="64"/>
      <c r="BC262144" s="64"/>
      <c r="BD262144" s="64"/>
      <c r="BE262144" s="215"/>
      <c r="BF262144" s="216"/>
      <c r="BG262144" s="64"/>
      <c r="BH262144" s="64"/>
      <c r="BI262144" s="95"/>
      <c r="BJ262144" s="217"/>
      <c r="BK262144" s="185"/>
      <c r="BL262144" s="218"/>
      <c r="BM262144" s="67"/>
      <c r="BQ262144" s="194"/>
    </row>
  </sheetData>
  <mergeCells count="6">
    <mergeCell ref="BN5:BP5"/>
    <mergeCell ref="CE5:CF5"/>
    <mergeCell ref="BR5:BT5"/>
    <mergeCell ref="CH5:CJ5"/>
    <mergeCell ref="BV5:BX5"/>
    <mergeCell ref="BZ5:CB5"/>
  </mergeCells>
  <conditionalFormatting sqref="AG7:AS237">
    <cfRule dxfId="0" operator="lessThan" type="cellIs" priority="1">
      <formula>0</formula>
    </cfRule>
  </conditionalFormatting>
  <conditionalFormatting sqref="C1:C4 C7:C199 C201:C261991">
    <cfRule dxfId="1" operator="containsText" type="containsText" priority="2" text="set up">
      <formula>NOT(ISERROR(SEARCH("set up",C1)))</formula>
    </cfRule>
  </conditionalFormatting>
  <conditionalFormatting sqref="BJ52:BJ52 BJ26:BJ26 BJ1:BJ4 BJ31:BJ31 BJ36:BJ36 BI204:BI204 BI216:BI216 BJ238:BJ261991 BJ7:BJ13 BJ230:BJ236">
    <cfRule dxfId="2" operator="lessThan" type="cellIs" priority="3">
      <formula>0</formula>
    </cfRule>
  </conditionalFormatting>
  <conditionalFormatting sqref="C1:C4 C7:C199 C201:C262029">
    <cfRule dxfId="1" operator="containsText" type="containsText" priority="4" text="SET UP">
      <formula>NOT(ISERROR(SEARCH("SET UP",C1)))</formula>
    </cfRule>
  </conditionalFormatting>
  <conditionalFormatting sqref="C5:C6">
    <cfRule dxfId="1" operator="containsText" type="containsText" priority="5" text="set up">
      <formula>NOT(ISERROR(SEARCH("set up",C5)))</formula>
    </cfRule>
  </conditionalFormatting>
  <conditionalFormatting sqref="BI5:BI6">
    <cfRule dxfId="2" operator="lessThan" type="cellIs" priority="6">
      <formula>0</formula>
    </cfRule>
  </conditionalFormatting>
  <conditionalFormatting sqref="C5:C6">
    <cfRule dxfId="1" operator="containsText" type="containsText" priority="7" text="SET UP">
      <formula>NOT(ISERROR(SEARCH("SET UP",C5)))</formula>
    </cfRule>
  </conditionalFormatting>
  <conditionalFormatting sqref="C5:C6">
    <cfRule dxfId="1" operator="containsText" type="containsText" priority="8" text="starter pack">
      <formula>NOT(ISERROR(SEARCH("starter pack",C5)))</formula>
    </cfRule>
  </conditionalFormatting>
  <conditionalFormatting sqref="BK5:BK6">
    <cfRule dxfId="4" operator="greaterThan" type="cellIs" priority="9">
      <formula>0</formula>
    </cfRule>
  </conditionalFormatting>
  <conditionalFormatting sqref="C5:C6">
    <cfRule dxfId="5" operator="containsText" type="containsText" priority="10" text="CDU">
      <formula>NOT(ISERROR(SEARCH("CDU",C5)))</formula>
    </cfRule>
  </conditionalFormatting>
  <conditionalFormatting sqref="C5:C6">
    <cfRule dxfId="5" operator="containsText" type="containsText" priority="11" text="DISPLAY">
      <formula>NOT(ISERROR(SEARCH("DISPLAY",C5)))</formula>
    </cfRule>
  </conditionalFormatting>
  <conditionalFormatting sqref="C1:C199 C201:C262029">
    <cfRule dxfId="5" operator="containsText" type="containsText" priority="12" text="Australian Natives">
      <formula>NOT(ISERROR(SEARCH("Australian Natives",C1)))</formula>
    </cfRule>
  </conditionalFormatting>
  <conditionalFormatting sqref="C1:C199 C201:C262029">
    <cfRule dxfId="7" operator="containsText" type="containsText" priority="13" text="Golden Wattle">
      <formula>NOT(ISERROR(SEARCH("Golden Wattle",C1)))</formula>
    </cfRule>
  </conditionalFormatting>
  <conditionalFormatting sqref="C1:C199 C201:C262029">
    <cfRule dxfId="1" operator="containsText" type="containsText" priority="14" text="set up">
      <formula>NOT(ISERROR(SEARCH("set up",C1)))</formula>
    </cfRule>
  </conditionalFormatting>
  <conditionalFormatting sqref="C1:C199 C201:C262029">
    <cfRule dxfId="1" operator="containsText" type="containsText" priority="15" text="setup">
      <formula>NOT(ISERROR(SEARCH("setup",C1)))</formula>
    </cfRule>
  </conditionalFormatting>
  <conditionalFormatting sqref="C1:C199 C201:C262029">
    <cfRule dxfId="1" operator="containsText" type="containsText" priority="16" text="starter pack">
      <formula>NOT(ISERROR(SEARCH("starter pack",C1)))</formula>
    </cfRule>
  </conditionalFormatting>
  <conditionalFormatting sqref="BI7:BI13 BI15:BI31 BI88:BI103 BI105:BI123 BI125:BI156 BI205:BI215 BI217:BI228 BI158:BI176 BI178:BI203 BI33:BI86 BI230:BI236">
    <cfRule dxfId="3" operator="lessThanOrEqual" type="cellIs" priority="17">
      <formula>0</formula>
    </cfRule>
  </conditionalFormatting>
  <conditionalFormatting sqref="BQ134:BQ136 BU134:BU136 BY134:BY136 CC134:CC136 CG134:CG136 BW134:BW136 BM15:BN133 BP15:BR133 BT15:CJ133 BM137:BN237 BO237:CJ237 BP137:BR236 BT137:CJ236 BO14:BO236 BM7:CJ13 BS14:BS236">
    <cfRule dxfId="2" operator="lessThan" type="cellIs" priority="18">
      <formula>0</formula>
    </cfRule>
  </conditionalFormatting>
  <conditionalFormatting sqref="BD1:BE262143">
    <cfRule dxfId="3" operator="lessThan" type="cellIs" priority="19">
      <formula>0</formula>
    </cfRule>
  </conditionalFormatting>
  <conditionalFormatting sqref="BD7:BE237">
    <cfRule dxfId="3" operator="lessThanOrEqual" type="cellIs" priority="20">
      <formula>0</formula>
    </cfRule>
  </conditionalFormatting>
  <conditionalFormatting sqref="CK1:CK13 CK15:CK262143">
    <cfRule dxfId="3" operator="lessThan" type="cellIs" priority="21">
      <formula>0</formula>
    </cfRule>
  </conditionalFormatting>
  <conditionalFormatting sqref="AG7:AS237">
    <cfRule dxfId="0" operator="lessThanOrEqual" type="cellIs" priority="22">
      <formula>0</formula>
    </cfRule>
  </conditionalFormatting>
  <extLst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R68"/>
  <sheetViews>
    <sheetView workbookViewId="0">
      <pane xSplit="4" ySplit="7" topLeftCell="E8" state="frozen"/>
    </sheetView>
  </sheetViews>
  <sheetFormatPr defaultRowHeight="14.0" customHeight="1"/>
  <cols>
    <col min="1" max="1" style="47" width="24.77"/>
    <col min="2" max="2" style="47" width="17.09"/>
    <col min="3" max="3" style="47" width="37.49"/>
    <col min="4" max="4" style="185" width="9.0"/>
    <col min="5" max="5" hidden="1" style="47" width="0.0" outlineLevel="1"/>
    <col min="6" max="6" hidden="1" style="47" width="0.0" outlineLevel="1"/>
    <col min="7" max="7" hidden="1" style="47" width="0.0" outlineLevel="1"/>
    <col min="8" max="8" hidden="1" style="47" width="0.0" outlineLevel="1"/>
    <col min="9" max="9" hidden="1" style="47" width="0.0" outlineLevel="1"/>
    <col min="10" max="10" hidden="1" style="47" width="0.0" outlineLevel="1"/>
    <col min="11" max="11" hidden="1" style="47" width="0.0" outlineLevel="1"/>
    <col min="12" max="12" hidden="1" style="47" width="0.0" outlineLevel="1"/>
    <col min="13" max="13" hidden="1" style="47" width="0.0" outlineLevel="1"/>
    <col min="14" max="14" hidden="1" style="47" width="0.0" outlineLevel="1"/>
    <col min="15" max="15" hidden="1" style="47" width="0.0" outlineLevel="1"/>
    <col min="16" max="16" hidden="1" style="47" width="0.0" outlineLevel="1"/>
    <col min="17" max="17" hidden="1" style="47" width="0.0" outlineLevel="1"/>
    <col min="18" max="18" hidden="1" style="47" width="0.0" outlineLevel="1"/>
    <col min="19" max="19" hidden="1" style="47" width="0.0" outlineLevel="1"/>
    <col min="20" max="20" hidden="1" style="47" width="0.0" outlineLevel="1"/>
    <col min="21" max="21" hidden="1" style="47" width="0.0" outlineLevel="1"/>
    <col min="22" max="22" hidden="1" style="47" width="0.0" outlineLevel="1"/>
    <col min="23" max="23" hidden="1" style="47" width="0.0" outlineLevel="1"/>
    <col min="24" max="24" hidden="1" style="47" width="0.0" outlineLevel="1"/>
    <col min="25" max="25" hidden="1" style="47" width="0.0" outlineLevel="1"/>
    <col min="26" max="26" hidden="1" style="47" width="0.0" outlineLevel="1"/>
    <col min="27" max="27" hidden="1" style="47" width="0.0" outlineLevel="1"/>
    <col min="28" max="28" hidden="1" style="47" width="0.0" outlineLevel="1"/>
    <col min="29" max="29" style="47" width="7.94" collapsed="1"/>
    <col min="30" max="30" style="47" width="7.55"/>
    <col min="31" max="31" style="47" width="7.41"/>
    <col min="32" max="32" style="47" width="7.94"/>
    <col min="33" max="33" style="47" width="7.68"/>
    <col min="34" max="34" style="47" width="7.02"/>
    <col min="35" max="35" style="47" width="7.55"/>
    <col min="36" max="36" style="47" width="7.94"/>
    <col min="37" max="37" style="47" width="7.55"/>
    <col min="38" max="38" style="47" width="8.21"/>
    <col min="39" max="39" style="47" width="7.15"/>
    <col min="40" max="40" style="47" width="6.49"/>
    <col min="41" max="43" style="47" width="12.85"/>
    <col min="44" max="47" style="47" width="7.94"/>
    <col min="48" max="48" style="47" width="8.74"/>
    <col min="49" max="52" style="47" width="7.94"/>
    <col min="53" max="53" style="47" width="7.15"/>
    <col min="54" max="58" style="47" width="11.39"/>
    <col min="59" max="61" style="47" width="8.34"/>
    <col min="62" max="62" style="47" width="8.34"/>
    <col min="63" max="63" style="47" width="6.22"/>
    <col min="64" max="64" style="47" width="9.93"/>
    <col min="65" max="65" style="47" width="8.34"/>
    <col min="66" max="66" style="47" width="6.22"/>
    <col min="67" max="67" style="47" width="7.55"/>
    <col min="68" max="68" style="47" width="8.34"/>
    <col min="69" max="69" style="47" width="6.22"/>
    <col min="70" max="70" style="47" width="7.55"/>
    <col min="71" max="71" style="47" width="8.34"/>
    <col min="72" max="72" style="47" width="6.22"/>
    <col min="73" max="73" style="47" width="7.55"/>
    <col min="74" max="74" style="47" width="8.34"/>
    <col min="75" max="75" style="47" width="6.22"/>
    <col min="76" max="76" style="47" width="7.55"/>
    <col min="77" max="77" style="47" width="8.34"/>
    <col min="78" max="78" style="47" width="6.22"/>
    <col min="79" max="79" style="47" width="7.55"/>
    <col min="80" max="80" style="47" width="8.34"/>
    <col min="81" max="81" style="47" width="6.22"/>
    <col min="82" max="82" style="47" width="7.55"/>
    <col min="83" max="83" style="47" width="8.34"/>
    <col min="84" max="84" style="47" width="6.22"/>
    <col min="85" max="85" style="47" width="7.55"/>
    <col min="86" max="86" style="47" width="8.34"/>
    <col min="87" max="87" style="47" width="6.22"/>
    <col min="88" max="88" style="47" width="7.55"/>
    <col min="89" max="89" style="47" width="8.34"/>
    <col min="90" max="90" style="47" width="6.22"/>
    <col min="91" max="91" style="47" width="8.21"/>
    <col min="92" max="1016" style="47" width="13.24"/>
    <col min="1017" max="1022" style="47" width="13.24"/>
    <col min="1023" max="1024" style="47" width="13.24"/>
    <col min="1025" max="1025" width="13.24"/>
  </cols>
  <sheetData>
    <row r="5" ht="14.0">
      <c r="A5" s="93"/>
      <c r="B5" s="93"/>
      <c r="C5" s="93"/>
      <c r="D5" s="229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  <c r="Q5" s="251"/>
      <c r="R5" s="251"/>
      <c r="S5" s="251"/>
      <c r="T5" s="251"/>
      <c r="U5" s="251"/>
      <c r="V5" s="251"/>
      <c r="W5" s="251"/>
      <c r="X5" s="251"/>
      <c r="Y5" s="251"/>
      <c r="Z5" s="251"/>
      <c r="AA5" s="251"/>
      <c r="AB5" s="251"/>
      <c r="AC5" s="252">
        <v>0.055</v>
      </c>
      <c r="AD5" s="252">
        <v>0.1</v>
      </c>
      <c r="AE5" s="252">
        <v>0.1</v>
      </c>
      <c r="AF5" s="252">
        <v>0.08</v>
      </c>
      <c r="AG5" s="252">
        <v>0.085</v>
      </c>
      <c r="AH5" s="252">
        <v>0.08</v>
      </c>
      <c r="AI5" s="252">
        <v>0.07</v>
      </c>
      <c r="AJ5" s="252">
        <v>0.075</v>
      </c>
      <c r="AK5" s="252">
        <v>0.09</v>
      </c>
      <c r="AL5" s="252">
        <v>0.11</v>
      </c>
      <c r="AM5" s="252">
        <v>0.09</v>
      </c>
      <c r="AN5" s="253">
        <v>0.065</v>
      </c>
      <c r="AO5" s="111">
        <f>SUM(AC5:AN5)</f>
        <v>1.0</v>
      </c>
      <c r="AP5" s="64">
        <f>SUM(AI5:AN5)</f>
        <v>0.5</v>
      </c>
      <c r="AQ5" s="106">
        <f>AP5*1.1</f>
        <v>0.55</v>
      </c>
      <c r="AR5" s="254">
        <v>0.065</v>
      </c>
      <c r="AS5" s="104">
        <v>0.055</v>
      </c>
      <c r="AT5" s="104">
        <v>0.1</v>
      </c>
      <c r="AU5" s="104">
        <v>0.1</v>
      </c>
      <c r="AV5" s="104">
        <v>0.085</v>
      </c>
      <c r="AW5" s="104">
        <v>0.08</v>
      </c>
      <c r="AX5" s="104">
        <v>0.07</v>
      </c>
      <c r="AY5" s="104">
        <v>0.075</v>
      </c>
      <c r="AZ5" s="104">
        <v>0.09</v>
      </c>
      <c r="BA5" s="104">
        <v>0.11</v>
      </c>
    </row>
    <row r="6" ht="14.0">
      <c r="E6" s="255">
        <v>45891</v>
      </c>
      <c r="F6" s="255">
        <v>45922</v>
      </c>
      <c r="G6" s="255">
        <v>45952</v>
      </c>
      <c r="H6" s="255">
        <v>45983</v>
      </c>
      <c r="I6" s="255">
        <v>46013</v>
      </c>
      <c r="J6" s="255">
        <v>45680</v>
      </c>
      <c r="K6" s="255">
        <v>45711</v>
      </c>
      <c r="L6" s="255">
        <v>45739</v>
      </c>
      <c r="M6" s="255">
        <v>45770</v>
      </c>
      <c r="N6" s="255">
        <v>45800</v>
      </c>
      <c r="O6" s="255">
        <v>45831</v>
      </c>
      <c r="P6" s="255">
        <v>45861</v>
      </c>
      <c r="Q6" s="256">
        <v>45892</v>
      </c>
      <c r="R6" s="256">
        <v>45923</v>
      </c>
      <c r="S6" s="256">
        <v>45953</v>
      </c>
      <c r="T6" s="256">
        <v>45984</v>
      </c>
      <c r="U6" s="256">
        <v>46014</v>
      </c>
      <c r="V6" s="256">
        <v>45681</v>
      </c>
      <c r="W6" s="256">
        <v>45712</v>
      </c>
      <c r="X6" s="256">
        <v>45740</v>
      </c>
      <c r="Y6" s="256">
        <v>45771</v>
      </c>
      <c r="Z6" s="256">
        <v>45801</v>
      </c>
      <c r="AA6" s="256">
        <v>45832</v>
      </c>
      <c r="AB6" s="256">
        <v>45862</v>
      </c>
      <c r="AC6" s="257">
        <v>45893</v>
      </c>
      <c r="AD6" s="257">
        <v>45924</v>
      </c>
      <c r="AE6" s="257">
        <v>45954</v>
      </c>
      <c r="AF6" s="257">
        <v>45985</v>
      </c>
      <c r="AG6" s="257">
        <v>46015</v>
      </c>
      <c r="AH6" s="257">
        <v>45682</v>
      </c>
      <c r="AI6" s="257">
        <v>45713</v>
      </c>
      <c r="AJ6" s="257">
        <v>45741</v>
      </c>
      <c r="AK6" s="257">
        <v>45772</v>
      </c>
      <c r="AL6" s="257">
        <v>45802</v>
      </c>
      <c r="AM6" s="257">
        <v>45833</v>
      </c>
      <c r="AN6" s="257">
        <v>45863</v>
      </c>
      <c r="AO6" s="258" t="s">
        <v>1</v>
      </c>
      <c r="AP6" s="78" t="s">
        <v>806</v>
      </c>
      <c r="AQ6" s="78" t="s">
        <v>806</v>
      </c>
      <c r="AR6" s="259">
        <v>45893</v>
      </c>
      <c r="AS6" s="259">
        <v>45924</v>
      </c>
      <c r="AT6" s="259">
        <v>45955</v>
      </c>
      <c r="AU6" s="259">
        <v>45986</v>
      </c>
      <c r="AV6" s="259">
        <v>46016</v>
      </c>
      <c r="AW6" s="259">
        <v>46048</v>
      </c>
      <c r="AX6" s="259">
        <v>46079</v>
      </c>
      <c r="AY6" s="259">
        <v>46107</v>
      </c>
      <c r="AZ6" s="259">
        <v>46138</v>
      </c>
      <c r="BA6" s="259">
        <v>46168</v>
      </c>
      <c r="BB6" s="78" t="s">
        <v>3</v>
      </c>
      <c r="BC6" s="78" t="s">
        <v>3</v>
      </c>
      <c r="BD6" s="78" t="s">
        <v>3</v>
      </c>
      <c r="BE6" s="78" t="s">
        <v>3</v>
      </c>
      <c r="BF6" s="78" t="s">
        <v>3</v>
      </c>
      <c r="BG6" s="260" t="s">
        <v>3</v>
      </c>
      <c r="BH6" s="78"/>
      <c r="BI6" s="78" t="s">
        <v>5</v>
      </c>
      <c r="BJ6" s="78" t="s">
        <v>6</v>
      </c>
      <c r="BK6" s="78"/>
      <c r="BL6" s="78"/>
      <c r="BM6" s="78" t="s">
        <v>7</v>
      </c>
      <c r="BN6" s="78"/>
      <c r="BO6" s="78"/>
      <c r="BP6" s="78" t="s">
        <v>8</v>
      </c>
      <c r="BQ6" s="78"/>
      <c r="BR6" s="78"/>
      <c r="BS6" s="78" t="s">
        <v>9</v>
      </c>
      <c r="BT6" s="78"/>
      <c r="BU6" s="78"/>
      <c r="BV6" s="78" t="s">
        <v>10</v>
      </c>
      <c r="BW6" s="78"/>
      <c r="BX6" s="78"/>
      <c r="BY6" s="261">
        <v>46023</v>
      </c>
      <c r="BZ6" s="78"/>
      <c r="CA6" s="78"/>
      <c r="CB6" s="261">
        <v>46054</v>
      </c>
      <c r="CC6" s="78"/>
      <c r="CD6" s="78"/>
      <c r="CE6" s="261">
        <v>46082</v>
      </c>
      <c r="CF6" s="78"/>
      <c r="CG6" s="78"/>
      <c r="CH6" s="261">
        <v>46113</v>
      </c>
      <c r="CI6" s="78"/>
      <c r="CJ6" s="78"/>
      <c r="CK6" s="262">
        <v>46143</v>
      </c>
      <c r="CL6" s="78"/>
      <c r="CM6" s="78"/>
      <c r="CN6" s="64"/>
      <c r="CO6" s="64" t="s">
        <v>807</v>
      </c>
      <c r="CP6" s="64"/>
      <c r="CQ6" s="64"/>
      <c r="CR6" s="64" t="s">
        <v>807</v>
      </c>
      <c r="CS6" s="64"/>
      <c r="CT6" s="64"/>
      <c r="CU6" s="64"/>
      <c r="CV6" s="64"/>
      <c r="CW6" s="64"/>
      <c r="CX6" s="64"/>
      <c r="CY6" s="64"/>
      <c r="CZ6" s="64"/>
      <c r="DA6" s="64"/>
      <c r="DB6" s="64"/>
      <c r="DC6" s="64"/>
      <c r="DD6" s="64"/>
      <c r="DE6" s="64"/>
      <c r="DF6" s="64"/>
      <c r="DG6" s="64"/>
      <c r="DH6" s="64"/>
      <c r="DI6" s="64"/>
      <c r="DJ6" s="64"/>
      <c r="DK6" s="64"/>
      <c r="DL6" s="64"/>
      <c r="DM6" s="64"/>
      <c r="DN6" s="64"/>
      <c r="DO6" s="64"/>
      <c r="DP6" s="64"/>
      <c r="DQ6" s="64"/>
      <c r="DR6" s="64"/>
      <c r="AMC6" s="64"/>
      <c r="AMD6" s="64"/>
      <c r="AME6" s="64"/>
      <c r="AMF6" s="64"/>
      <c r="AMG6" s="64"/>
    </row>
    <row r="7" ht="43.0">
      <c r="A7" s="263" t="s">
        <v>12</v>
      </c>
      <c r="B7" s="263" t="s">
        <v>13</v>
      </c>
      <c r="C7" s="263" t="s">
        <v>14</v>
      </c>
      <c r="D7" s="264" t="s">
        <v>15</v>
      </c>
      <c r="E7" s="87" t="s">
        <v>16</v>
      </c>
      <c r="F7" s="87" t="s">
        <v>16</v>
      </c>
      <c r="G7" s="87" t="s">
        <v>16</v>
      </c>
      <c r="H7" s="87" t="s">
        <v>16</v>
      </c>
      <c r="I7" s="87" t="s">
        <v>16</v>
      </c>
      <c r="J7" s="87" t="s">
        <v>16</v>
      </c>
      <c r="K7" s="87" t="s">
        <v>16</v>
      </c>
      <c r="L7" s="87" t="s">
        <v>16</v>
      </c>
      <c r="M7" s="87" t="s">
        <v>16</v>
      </c>
      <c r="N7" s="87" t="s">
        <v>16</v>
      </c>
      <c r="O7" s="87" t="s">
        <v>16</v>
      </c>
      <c r="P7" s="87" t="s">
        <v>16</v>
      </c>
      <c r="Q7" s="87" t="s">
        <v>16</v>
      </c>
      <c r="R7" s="87" t="s">
        <v>16</v>
      </c>
      <c r="S7" s="87" t="s">
        <v>16</v>
      </c>
      <c r="T7" s="87" t="s">
        <v>16</v>
      </c>
      <c r="U7" s="87" t="s">
        <v>16</v>
      </c>
      <c r="V7" s="87" t="s">
        <v>16</v>
      </c>
      <c r="W7" s="87" t="s">
        <v>16</v>
      </c>
      <c r="X7" s="87" t="s">
        <v>16</v>
      </c>
      <c r="Y7" s="87" t="s">
        <v>16</v>
      </c>
      <c r="Z7" s="87" t="s">
        <v>16</v>
      </c>
      <c r="AA7" s="87" t="s">
        <v>16</v>
      </c>
      <c r="AB7" s="87" t="s">
        <v>16</v>
      </c>
      <c r="AC7" s="87" t="s">
        <v>16</v>
      </c>
      <c r="AD7" s="87" t="s">
        <v>16</v>
      </c>
      <c r="AE7" s="87" t="s">
        <v>16</v>
      </c>
      <c r="AF7" s="87" t="s">
        <v>16</v>
      </c>
      <c r="AG7" s="87" t="s">
        <v>16</v>
      </c>
      <c r="AH7" s="87" t="s">
        <v>16</v>
      </c>
      <c r="AI7" s="87" t="s">
        <v>16</v>
      </c>
      <c r="AJ7" s="87" t="s">
        <v>16</v>
      </c>
      <c r="AK7" s="87" t="s">
        <v>16</v>
      </c>
      <c r="AL7" s="87" t="s">
        <v>16</v>
      </c>
      <c r="AM7" s="87" t="s">
        <v>16</v>
      </c>
      <c r="AN7" s="87" t="s">
        <v>16</v>
      </c>
      <c r="AO7" s="88" t="s">
        <v>3</v>
      </c>
      <c r="AP7" s="88" t="s">
        <v>3</v>
      </c>
      <c r="AQ7" s="88" t="s">
        <v>17</v>
      </c>
      <c r="AR7" s="265" t="s">
        <v>18</v>
      </c>
      <c r="AS7" s="265" t="s">
        <v>18</v>
      </c>
      <c r="AT7" s="265" t="s">
        <v>18</v>
      </c>
      <c r="AU7" s="265" t="s">
        <v>18</v>
      </c>
      <c r="AV7" s="265" t="s">
        <v>18</v>
      </c>
      <c r="AW7" s="265" t="s">
        <v>18</v>
      </c>
      <c r="AX7" s="265" t="s">
        <v>18</v>
      </c>
      <c r="AY7" s="265" t="s">
        <v>18</v>
      </c>
      <c r="AZ7" s="265" t="s">
        <v>18</v>
      </c>
      <c r="BA7" s="265" t="s">
        <v>18</v>
      </c>
      <c r="BB7" s="265" t="s">
        <v>18</v>
      </c>
      <c r="BC7" s="87" t="s">
        <v>176</v>
      </c>
      <c r="BD7" s="90" t="s">
        <v>808</v>
      </c>
      <c r="BE7" s="266" t="s">
        <v>22</v>
      </c>
      <c r="BF7" s="87" t="s">
        <v>23</v>
      </c>
      <c r="BG7" s="267" t="s">
        <v>24</v>
      </c>
      <c r="BH7" s="86" t="s">
        <v>25</v>
      </c>
      <c r="BI7" s="87" t="s">
        <v>26</v>
      </c>
      <c r="BJ7" s="87" t="s">
        <v>18</v>
      </c>
      <c r="BK7" s="87" t="s">
        <v>27</v>
      </c>
      <c r="BL7" s="87" t="s">
        <v>28</v>
      </c>
      <c r="BM7" s="87" t="s">
        <v>18</v>
      </c>
      <c r="BN7" s="87" t="s">
        <v>27</v>
      </c>
      <c r="BO7" s="87" t="s">
        <v>28</v>
      </c>
      <c r="BP7" s="87" t="s">
        <v>18</v>
      </c>
      <c r="BQ7" s="87" t="s">
        <v>27</v>
      </c>
      <c r="BR7" s="87" t="s">
        <v>28</v>
      </c>
      <c r="BS7" s="87" t="s">
        <v>18</v>
      </c>
      <c r="BT7" s="87" t="s">
        <v>27</v>
      </c>
      <c r="BU7" s="87" t="s">
        <v>28</v>
      </c>
      <c r="BV7" s="87" t="s">
        <v>18</v>
      </c>
      <c r="BW7" s="87" t="s">
        <v>27</v>
      </c>
      <c r="BX7" s="87" t="s">
        <v>28</v>
      </c>
      <c r="BY7" s="87" t="s">
        <v>18</v>
      </c>
      <c r="BZ7" s="87" t="s">
        <v>27</v>
      </c>
      <c r="CA7" s="87" t="s">
        <v>28</v>
      </c>
      <c r="CB7" s="87" t="s">
        <v>18</v>
      </c>
      <c r="CC7" s="87" t="s">
        <v>27</v>
      </c>
      <c r="CD7" s="87" t="s">
        <v>28</v>
      </c>
      <c r="CE7" s="87" t="s">
        <v>18</v>
      </c>
      <c r="CF7" s="87" t="s">
        <v>27</v>
      </c>
      <c r="CG7" s="87" t="s">
        <v>28</v>
      </c>
      <c r="CH7" s="87" t="s">
        <v>18</v>
      </c>
      <c r="CI7" s="87" t="s">
        <v>27</v>
      </c>
      <c r="CJ7" s="87" t="s">
        <v>28</v>
      </c>
      <c r="CK7" s="87" t="s">
        <v>18</v>
      </c>
      <c r="CL7" s="87" t="s">
        <v>27</v>
      </c>
      <c r="CM7" s="87" t="s">
        <v>28</v>
      </c>
      <c r="CN7" s="84"/>
      <c r="CO7" s="268" t="s">
        <v>809</v>
      </c>
      <c r="CP7" s="269" t="s">
        <v>810</v>
      </c>
      <c r="CQ7" s="84"/>
      <c r="CR7" s="83" t="s">
        <v>811</v>
      </c>
      <c r="CS7" s="84"/>
      <c r="CT7" s="84"/>
      <c r="CU7" s="84"/>
      <c r="CV7" s="84"/>
      <c r="CW7" s="84"/>
      <c r="CX7" s="84"/>
      <c r="CY7" s="84"/>
      <c r="CZ7" s="84"/>
      <c r="DA7" s="84"/>
      <c r="DB7" s="84"/>
      <c r="DC7" s="84"/>
      <c r="DD7" s="84"/>
      <c r="DE7" s="84"/>
      <c r="DF7" s="84"/>
      <c r="DG7" s="84"/>
      <c r="DH7" s="84"/>
      <c r="DI7" s="84"/>
      <c r="DJ7" s="84"/>
      <c r="DK7" s="84"/>
      <c r="DL7" s="84"/>
      <c r="DM7" s="84"/>
      <c r="DN7" s="84"/>
      <c r="DO7" s="84"/>
      <c r="DP7" s="84"/>
      <c r="DQ7" s="84"/>
      <c r="DR7" s="84"/>
    </row>
    <row r="8" customHeight="1" ht="13.0">
      <c r="A8" s="93" t="s">
        <v>430</v>
      </c>
      <c r="B8" s="93" t="s">
        <v>53</v>
      </c>
      <c r="C8" s="93" t="s">
        <v>466</v>
      </c>
      <c r="D8" s="229" t="s">
        <v>467</v>
      </c>
      <c r="E8" s="93">
        <v>21.0</v>
      </c>
      <c r="F8" s="93">
        <v>24.0</v>
      </c>
      <c r="G8" s="93">
        <v>66.0</v>
      </c>
      <c r="H8" s="93">
        <v>46.0</v>
      </c>
      <c r="I8" s="93">
        <v>43.0</v>
      </c>
      <c r="J8" s="93">
        <v>0.0</v>
      </c>
      <c r="K8" s="93">
        <v>28.0</v>
      </c>
      <c r="L8" s="93">
        <v>33.0</v>
      </c>
      <c r="M8" s="93">
        <v>135.0</v>
      </c>
      <c r="N8" s="93">
        <v>78.0</v>
      </c>
      <c r="O8" s="93">
        <v>30.0</v>
      </c>
      <c r="P8" s="93">
        <v>45.0</v>
      </c>
      <c r="Q8" s="93">
        <v>46.0</v>
      </c>
      <c r="R8" s="93">
        <v>15.0</v>
      </c>
      <c r="S8" s="93">
        <v>36.0</v>
      </c>
      <c r="T8" s="93">
        <v>54.0</v>
      </c>
      <c r="U8" s="93">
        <v>54.0</v>
      </c>
      <c r="V8" s="93">
        <v>21.0</v>
      </c>
      <c r="W8" s="93">
        <v>42.0</v>
      </c>
      <c r="X8" s="93">
        <v>84.0</v>
      </c>
      <c r="Y8" s="93">
        <v>87.0</v>
      </c>
      <c r="Z8" s="93">
        <v>66.0</v>
      </c>
      <c r="AA8" s="93">
        <v>7.0</v>
      </c>
      <c r="AB8" s="93">
        <v>34.0</v>
      </c>
      <c r="AC8" s="93">
        <v>48.0</v>
      </c>
      <c r="AD8" s="93">
        <v>39.0</v>
      </c>
      <c r="AE8" s="93">
        <v>39.0</v>
      </c>
      <c r="AF8" s="93">
        <v>77.0</v>
      </c>
      <c r="AG8" s="93">
        <v>76.0</v>
      </c>
      <c r="AH8" s="93">
        <v>96.0</v>
      </c>
      <c r="AI8" s="93">
        <v>73.0</v>
      </c>
      <c r="AJ8" s="93">
        <v>85.0</v>
      </c>
      <c r="AK8" s="93">
        <v>110.0</v>
      </c>
      <c r="AL8" s="93">
        <v>12.0</v>
      </c>
      <c r="AM8" s="93">
        <v>41.0</v>
      </c>
      <c r="AN8" s="93">
        <v>36.0</v>
      </c>
      <c r="AO8" s="111">
        <f t="shared" ref="AO8:AO40" si="3">SUM(AC8:AN8)</f>
        <v>732.0</v>
      </c>
      <c r="AP8" s="64">
        <f t="shared" ref="AP8:AP40" si="4">SUM(AI8:AN8)</f>
        <v>357.0</v>
      </c>
      <c r="AQ8" s="69">
        <f t="shared" ref="AQ8:AQ40" si="5">AP8*1.1</f>
        <v>392.7</v>
      </c>
      <c r="AR8" s="65">
        <f>AQ8*$AR$5/$AQ$5</f>
        <v>46.41</v>
      </c>
      <c r="AS8" s="65">
        <f t="shared" ref="AS8:AS14" si="7">AQ8*$AS$5/$AQ$5</f>
        <v>39.27</v>
      </c>
      <c r="AT8" s="65">
        <f t="shared" ref="AT8:AT20" si="8">AQ8*$AT$5/$AQ$5</f>
        <v>71.4</v>
      </c>
      <c r="AU8" s="65">
        <f t="shared" ref="AU8:AU11" si="9">AQ8*$AU$5/$AQ$5</f>
        <v>71.4</v>
      </c>
      <c r="AV8" s="65">
        <f t="shared" ref="AV8:AV20" si="10">AQ8*$AV$5/$AQ$5</f>
        <v>60.69</v>
      </c>
      <c r="AW8" s="65">
        <f t="shared" ref="AW8:AW11" si="11">AQ8*$AW$5/$AQ$5</f>
        <v>57.12</v>
      </c>
      <c r="AX8" s="65">
        <f t="shared" ref="AX8:AX11" si="12">AQ8*$AX$5/$AQ$5</f>
        <v>49.98</v>
      </c>
      <c r="AY8" s="65">
        <f t="shared" ref="AY8:AY9" si="13">AQ8*$AY$5/$AQ$5</f>
        <v>53.55</v>
      </c>
      <c r="AZ8" s="65">
        <f>AK8*1.1</f>
        <v>121.0</v>
      </c>
      <c r="BA8" s="65">
        <f t="shared" ref="BA8:BA11" si="15">AQ8*$BA$5/$AQ$5</f>
        <v>78.54</v>
      </c>
      <c r="BB8" s="64">
        <f t="shared" ref="BB8:BB40" si="16">SUM(AR8:BA8)</f>
        <v>649.36</v>
      </c>
      <c r="BC8" s="47" t="e">
        <f t="shared" ref="BC8:BC40" si="17">VLOOKUP(D8,JULY31SOH,3,false)</f>
        <v>#REF!</v>
      </c>
      <c r="BD8" s="67" t="e">
        <f t="shared" ref="BD8:BD11" si="18">VLOOKUP(C8,FYTMSEPT,3,false)</f>
        <v>#REF!</v>
      </c>
      <c r="BE8" s="65" t="e">
        <f t="shared" ref="BE8:BE19" si="19">BC8+BD8-BB8</f>
        <v>#REF!</v>
      </c>
      <c r="BF8" s="47">
        <f>VLOOKUP(C8,MOQ,3,false)</f>
        <v>120.0</v>
      </c>
      <c r="BI8" s="47" t="e">
        <f t="shared" ref="BI8:BI40" si="21">BC8</f>
        <v>#REF!</v>
      </c>
      <c r="BJ8" s="47">
        <f t="shared" ref="BJ8:BJ19" si="22">AR8</f>
        <v>46.41</v>
      </c>
      <c r="BK8" s="47" t="e">
        <f t="shared" ref="BK8:BK33" si="23">BD8</f>
        <v>#REF!</v>
      </c>
      <c r="BL8" s="65" t="e">
        <f t="shared" ref="BL8:BL19" si="24">BI8+BK8-BJ8</f>
        <v>#REF!</v>
      </c>
      <c r="BM8" s="47">
        <f t="shared" ref="BM8:BM19" si="25">AS8</f>
        <v>39.27</v>
      </c>
      <c r="BO8" s="65" t="e">
        <f t="shared" ref="BO8:BO19" si="26">BL8+BN8-BM8</f>
        <v>#REF!</v>
      </c>
      <c r="BP8" s="47">
        <f t="shared" ref="BP8:BP19" si="27">AT8</f>
        <v>71.4</v>
      </c>
      <c r="BR8" s="65" t="e">
        <f t="shared" ref="BR8:BR19" si="28">BO8+BQ8-BP8</f>
        <v>#REF!</v>
      </c>
      <c r="BS8" s="47">
        <f t="shared" ref="BS8:BS19" si="29">AU8</f>
        <v>71.4</v>
      </c>
      <c r="BU8" s="65" t="e">
        <f t="shared" ref="BU8:BU19" si="30">BR8+BT8-BS8</f>
        <v>#REF!</v>
      </c>
      <c r="BV8" s="47">
        <f t="shared" ref="BV8:BV19" si="31">AV8</f>
        <v>60.69</v>
      </c>
      <c r="BX8" s="65" t="e">
        <f t="shared" ref="BX8:BX19" si="32">BU8+BW8-BV8</f>
        <v>#REF!</v>
      </c>
      <c r="BY8" s="47">
        <f t="shared" ref="BY8:BY19" si="33">AW8</f>
        <v>57.12</v>
      </c>
      <c r="CA8" s="65" t="e">
        <f t="shared" ref="CA8:CA19" si="34">BX8+BZ8-BY8</f>
        <v>#REF!</v>
      </c>
      <c r="CB8" s="47">
        <f t="shared" ref="CB8:CB19" si="35">AX8</f>
        <v>49.98</v>
      </c>
      <c r="CD8" s="65" t="e">
        <f t="shared" ref="CD8:CD19" si="36">CA8+CC8-CB8</f>
        <v>#REF!</v>
      </c>
      <c r="CE8" s="47">
        <f t="shared" ref="CE8:CE19" si="37">AY8</f>
        <v>53.55</v>
      </c>
      <c r="CG8" s="65" t="e">
        <f t="shared" ref="CG8:CG19" si="38">CD8+CF8-CE8</f>
        <v>#REF!</v>
      </c>
      <c r="CH8" s="47">
        <f t="shared" ref="CH8:CH19" si="39">AZ8</f>
        <v>121.0</v>
      </c>
      <c r="CJ8" s="65" t="e">
        <f t="shared" ref="CJ8:CJ19" si="40">CG8+CI8-CH8</f>
        <v>#REF!</v>
      </c>
      <c r="CK8" s="47">
        <f t="shared" ref="CK8:CK19" si="41">BA8</f>
        <v>78.54</v>
      </c>
      <c r="CM8" s="65" t="e">
        <f t="shared" ref="CM8:CM19" si="42">CJ8+CL8-CK8</f>
        <v>#REF!</v>
      </c>
    </row>
    <row r="9" customHeight="1" ht="13.0">
      <c r="A9" s="93" t="s">
        <v>430</v>
      </c>
      <c r="B9" s="93" t="s">
        <v>53</v>
      </c>
      <c r="C9" s="93" t="s">
        <v>468</v>
      </c>
      <c r="D9" s="229" t="s">
        <v>469</v>
      </c>
      <c r="E9" s="93">
        <v>78.0</v>
      </c>
      <c r="F9" s="93">
        <v>38.0</v>
      </c>
      <c r="G9" s="93">
        <v>76.0</v>
      </c>
      <c r="H9" s="93">
        <v>37.0</v>
      </c>
      <c r="I9" s="93">
        <v>40.0</v>
      </c>
      <c r="J9" s="93">
        <v>12.0</v>
      </c>
      <c r="K9" s="93">
        <v>39.0</v>
      </c>
      <c r="L9" s="93">
        <v>22.0</v>
      </c>
      <c r="M9" s="93">
        <v>27.0</v>
      </c>
      <c r="N9" s="93">
        <v>21.0</v>
      </c>
      <c r="O9" s="93">
        <v>15.0</v>
      </c>
      <c r="P9" s="93">
        <v>51.0</v>
      </c>
      <c r="Q9" s="93">
        <v>90.0</v>
      </c>
      <c r="R9" s="93">
        <v>25.0</v>
      </c>
      <c r="S9" s="93">
        <v>45.0</v>
      </c>
      <c r="T9" s="93">
        <v>21.0</v>
      </c>
      <c r="U9" s="93">
        <v>36.0</v>
      </c>
      <c r="V9" s="93">
        <v>15.0</v>
      </c>
      <c r="W9" s="93">
        <v>32.0</v>
      </c>
      <c r="X9" s="93">
        <v>24.0</v>
      </c>
      <c r="Y9" s="93">
        <v>20.0</v>
      </c>
      <c r="Z9" s="93">
        <v>21.0</v>
      </c>
      <c r="AA9" s="93">
        <v>18.0</v>
      </c>
      <c r="AB9" s="93">
        <v>103.0</v>
      </c>
      <c r="AC9" s="93">
        <v>117.0</v>
      </c>
      <c r="AD9" s="93">
        <v>36.0</v>
      </c>
      <c r="AE9" s="93">
        <v>48.0</v>
      </c>
      <c r="AF9" s="93">
        <v>65.0</v>
      </c>
      <c r="AG9" s="93">
        <v>48.0</v>
      </c>
      <c r="AH9" s="93">
        <v>88.0</v>
      </c>
      <c r="AI9" s="93">
        <v>17.0</v>
      </c>
      <c r="AJ9" s="270">
        <f>X9*1.1</f>
        <v>26.4</v>
      </c>
      <c r="AK9" s="270">
        <f>Y9*1.1</f>
        <v>22.0</v>
      </c>
      <c r="AL9" s="93">
        <v>6.0</v>
      </c>
      <c r="AM9" s="93">
        <v>27.0</v>
      </c>
      <c r="AN9" s="93">
        <v>76.0</v>
      </c>
      <c r="AO9" s="111">
        <f t="shared" si="3"/>
        <v>576.4</v>
      </c>
      <c r="AP9" s="64">
        <f t="shared" si="4"/>
        <v>174.4</v>
      </c>
      <c r="AQ9" s="69">
        <f t="shared" si="5"/>
        <v>191.84</v>
      </c>
      <c r="AR9" s="65">
        <f>AC9*1.1</f>
        <v>128.7</v>
      </c>
      <c r="AS9" s="65">
        <f t="shared" si="7"/>
        <v>19.184</v>
      </c>
      <c r="AT9" s="65">
        <f t="shared" si="8"/>
        <v>34.88</v>
      </c>
      <c r="AU9" s="65">
        <f t="shared" si="9"/>
        <v>34.88</v>
      </c>
      <c r="AV9" s="65">
        <f t="shared" si="10"/>
        <v>29.648</v>
      </c>
      <c r="AW9" s="65">
        <f t="shared" si="11"/>
        <v>27.904</v>
      </c>
      <c r="AX9" s="65">
        <f t="shared" si="12"/>
        <v>24.416</v>
      </c>
      <c r="AY9" s="65">
        <f t="shared" si="13"/>
        <v>26.16</v>
      </c>
      <c r="AZ9" s="65">
        <f>AQ9*$AZ$5/$AQ$5</f>
        <v>31.392</v>
      </c>
      <c r="BA9" s="65">
        <f t="shared" si="15"/>
        <v>38.368</v>
      </c>
      <c r="BB9" s="64">
        <f t="shared" si="16"/>
        <v>395.532</v>
      </c>
      <c r="BC9" s="47" t="e">
        <f t="shared" si="17"/>
        <v>#REF!</v>
      </c>
      <c r="BD9" s="67" t="e">
        <f t="shared" si="18"/>
        <v>#REF!</v>
      </c>
      <c r="BE9" s="65" t="e">
        <f t="shared" si="19"/>
        <v>#REF!</v>
      </c>
      <c r="BF9" s="47">
        <f>VLOOKUP(C9,MOQ,3,false)</f>
        <v>120.0</v>
      </c>
      <c r="BI9" s="47" t="e">
        <f t="shared" si="21"/>
        <v>#REF!</v>
      </c>
      <c r="BJ9" s="47">
        <f t="shared" si="22"/>
        <v>128.7</v>
      </c>
      <c r="BK9" s="47" t="e">
        <f t="shared" si="23"/>
        <v>#REF!</v>
      </c>
      <c r="BL9" s="65" t="e">
        <f t="shared" si="24"/>
        <v>#REF!</v>
      </c>
      <c r="BM9" s="47">
        <f t="shared" si="25"/>
        <v>19.184</v>
      </c>
      <c r="BO9" s="65" t="e">
        <f t="shared" si="26"/>
        <v>#REF!</v>
      </c>
      <c r="BP9" s="47">
        <f t="shared" si="27"/>
        <v>34.88</v>
      </c>
      <c r="BR9" s="65" t="e">
        <f t="shared" si="28"/>
        <v>#REF!</v>
      </c>
      <c r="BS9" s="47">
        <f t="shared" si="29"/>
        <v>34.88</v>
      </c>
      <c r="BU9" s="65" t="e">
        <f t="shared" si="30"/>
        <v>#REF!</v>
      </c>
      <c r="BV9" s="47">
        <f t="shared" si="31"/>
        <v>29.648</v>
      </c>
      <c r="BX9" s="65" t="e">
        <f t="shared" si="32"/>
        <v>#REF!</v>
      </c>
      <c r="BY9" s="47">
        <f t="shared" si="33"/>
        <v>27.904</v>
      </c>
      <c r="CA9" s="65" t="e">
        <f t="shared" si="34"/>
        <v>#REF!</v>
      </c>
      <c r="CB9" s="47">
        <f t="shared" si="35"/>
        <v>24.416</v>
      </c>
      <c r="CD9" s="65" t="e">
        <f t="shared" si="36"/>
        <v>#REF!</v>
      </c>
      <c r="CE9" s="47">
        <f t="shared" si="37"/>
        <v>26.16</v>
      </c>
      <c r="CG9" s="65" t="e">
        <f t="shared" si="38"/>
        <v>#REF!</v>
      </c>
      <c r="CH9" s="47">
        <f t="shared" si="39"/>
        <v>31.392</v>
      </c>
      <c r="CJ9" s="65" t="e">
        <f t="shared" si="40"/>
        <v>#REF!</v>
      </c>
      <c r="CK9" s="47">
        <f t="shared" si="41"/>
        <v>38.368</v>
      </c>
      <c r="CM9" s="65" t="e">
        <f t="shared" si="42"/>
        <v>#REF!</v>
      </c>
    </row>
    <row r="10" customHeight="1" ht="13.0">
      <c r="A10" s="93" t="s">
        <v>430</v>
      </c>
      <c r="B10" s="93" t="s">
        <v>53</v>
      </c>
      <c r="C10" s="93" t="s">
        <v>470</v>
      </c>
      <c r="D10" s="229" t="s">
        <v>471</v>
      </c>
      <c r="E10" s="93">
        <v>0.0</v>
      </c>
      <c r="F10" s="93">
        <v>12.0</v>
      </c>
      <c r="G10" s="93">
        <v>89.0</v>
      </c>
      <c r="H10" s="93">
        <v>45.0</v>
      </c>
      <c r="I10" s="93">
        <v>66.0</v>
      </c>
      <c r="J10" s="93">
        <v>18.0</v>
      </c>
      <c r="K10" s="93">
        <v>57.0</v>
      </c>
      <c r="L10" s="93">
        <v>26.0</v>
      </c>
      <c r="M10" s="93">
        <v>84.0</v>
      </c>
      <c r="N10" s="93">
        <v>50.0</v>
      </c>
      <c r="O10" s="93">
        <v>27.0</v>
      </c>
      <c r="P10" s="93">
        <v>30.0</v>
      </c>
      <c r="Q10" s="93">
        <v>36.0</v>
      </c>
      <c r="R10" s="93">
        <v>18.0</v>
      </c>
      <c r="S10" s="93">
        <v>21.0</v>
      </c>
      <c r="T10" s="93">
        <v>27.0</v>
      </c>
      <c r="U10" s="93">
        <v>55.0</v>
      </c>
      <c r="V10" s="93">
        <v>15.0</v>
      </c>
      <c r="W10" s="93">
        <v>42.0</v>
      </c>
      <c r="X10" s="93">
        <v>60.0</v>
      </c>
      <c r="Y10" s="93">
        <v>54.0</v>
      </c>
      <c r="Z10" s="93">
        <v>63.0</v>
      </c>
      <c r="AA10" s="93">
        <v>24.0</v>
      </c>
      <c r="AB10" s="93">
        <v>28.0</v>
      </c>
      <c r="AC10" s="93">
        <v>42.0</v>
      </c>
      <c r="AD10" s="93">
        <v>42.0</v>
      </c>
      <c r="AE10" s="93">
        <v>30.0</v>
      </c>
      <c r="AF10" s="93">
        <v>77.0</v>
      </c>
      <c r="AG10" s="93">
        <v>54.0</v>
      </c>
      <c r="AH10" s="93">
        <v>83.0</v>
      </c>
      <c r="AI10" s="93">
        <v>45.0</v>
      </c>
      <c r="AJ10" s="93">
        <v>68.0</v>
      </c>
      <c r="AK10" s="93">
        <v>49.0</v>
      </c>
      <c r="AL10" s="93">
        <v>22.0</v>
      </c>
      <c r="AM10" s="93">
        <v>27.0</v>
      </c>
      <c r="AN10" s="93">
        <v>20.0</v>
      </c>
      <c r="AO10" s="111">
        <f t="shared" si="3"/>
        <v>559.0</v>
      </c>
      <c r="AP10" s="64">
        <f t="shared" si="4"/>
        <v>231.0</v>
      </c>
      <c r="AQ10" s="69">
        <f t="shared" si="5"/>
        <v>254.1</v>
      </c>
      <c r="AR10" s="65">
        <f>AQ10*$AR$5/$AQ$5</f>
        <v>30.03</v>
      </c>
      <c r="AS10" s="65">
        <f t="shared" si="7"/>
        <v>25.41</v>
      </c>
      <c r="AT10" s="65">
        <f t="shared" si="8"/>
        <v>46.2</v>
      </c>
      <c r="AU10" s="65">
        <f t="shared" si="9"/>
        <v>46.2</v>
      </c>
      <c r="AV10" s="65">
        <f t="shared" si="10"/>
        <v>39.27</v>
      </c>
      <c r="AW10" s="65">
        <f t="shared" si="11"/>
        <v>36.96</v>
      </c>
      <c r="AX10" s="65">
        <f t="shared" si="12"/>
        <v>32.34</v>
      </c>
      <c r="AY10" s="65">
        <f>AJ10*1.1</f>
        <v>74.8</v>
      </c>
      <c r="AZ10" s="65">
        <f>AK10*1.1</f>
        <v>53.9</v>
      </c>
      <c r="BA10" s="65">
        <f t="shared" si="15"/>
        <v>50.82</v>
      </c>
      <c r="BB10" s="64">
        <f t="shared" si="16"/>
        <v>435.93</v>
      </c>
      <c r="BC10" s="47" t="e">
        <f t="shared" si="17"/>
        <v>#REF!</v>
      </c>
      <c r="BD10" s="67" t="e">
        <f t="shared" si="18"/>
        <v>#REF!</v>
      </c>
      <c r="BE10" s="65" t="e">
        <f t="shared" si="19"/>
        <v>#REF!</v>
      </c>
      <c r="BF10" s="47">
        <f>VLOOKUP(C10,MOQ,3,false)</f>
        <v>120.0</v>
      </c>
      <c r="BI10" s="47" t="e">
        <f t="shared" si="21"/>
        <v>#REF!</v>
      </c>
      <c r="BJ10" s="47">
        <f t="shared" si="22"/>
        <v>30.03</v>
      </c>
      <c r="BK10" s="47" t="e">
        <f t="shared" si="23"/>
        <v>#REF!</v>
      </c>
      <c r="BL10" s="65" t="e">
        <f t="shared" si="24"/>
        <v>#REF!</v>
      </c>
      <c r="BM10" s="47">
        <f t="shared" si="25"/>
        <v>25.41</v>
      </c>
      <c r="BO10" s="65" t="e">
        <f t="shared" si="26"/>
        <v>#REF!</v>
      </c>
      <c r="BP10" s="47">
        <f t="shared" si="27"/>
        <v>46.2</v>
      </c>
      <c r="BR10" s="65" t="e">
        <f t="shared" si="28"/>
        <v>#REF!</v>
      </c>
      <c r="BS10" s="47">
        <f t="shared" si="29"/>
        <v>46.2</v>
      </c>
      <c r="BU10" s="65" t="e">
        <f t="shared" si="30"/>
        <v>#REF!</v>
      </c>
      <c r="BV10" s="47">
        <f t="shared" si="31"/>
        <v>39.27</v>
      </c>
      <c r="BX10" s="65" t="e">
        <f t="shared" si="32"/>
        <v>#REF!</v>
      </c>
      <c r="BY10" s="47">
        <f t="shared" si="33"/>
        <v>36.96</v>
      </c>
      <c r="CA10" s="65" t="e">
        <f t="shared" si="34"/>
        <v>#REF!</v>
      </c>
      <c r="CB10" s="47">
        <f t="shared" si="35"/>
        <v>32.34</v>
      </c>
      <c r="CD10" s="65" t="e">
        <f t="shared" si="36"/>
        <v>#REF!</v>
      </c>
      <c r="CE10" s="47">
        <f t="shared" si="37"/>
        <v>74.8</v>
      </c>
      <c r="CG10" s="65" t="e">
        <f t="shared" si="38"/>
        <v>#REF!</v>
      </c>
      <c r="CH10" s="47">
        <f t="shared" si="39"/>
        <v>53.9</v>
      </c>
      <c r="CJ10" s="65" t="e">
        <f t="shared" si="40"/>
        <v>#REF!</v>
      </c>
      <c r="CK10" s="47">
        <f t="shared" si="41"/>
        <v>50.82</v>
      </c>
      <c r="CM10" s="65" t="e">
        <f t="shared" si="42"/>
        <v>#REF!</v>
      </c>
    </row>
    <row r="11" customHeight="1" ht="13.0">
      <c r="A11" s="93" t="s">
        <v>430</v>
      </c>
      <c r="B11" s="93" t="s">
        <v>53</v>
      </c>
      <c r="C11" s="93" t="s">
        <v>472</v>
      </c>
      <c r="D11" s="229" t="s">
        <v>473</v>
      </c>
      <c r="E11" s="93">
        <v>69.0</v>
      </c>
      <c r="F11" s="93">
        <v>27.0</v>
      </c>
      <c r="G11" s="93">
        <v>65.0</v>
      </c>
      <c r="H11" s="93">
        <v>16.0</v>
      </c>
      <c r="I11" s="93">
        <v>39.0</v>
      </c>
      <c r="J11" s="93">
        <v>18.0</v>
      </c>
      <c r="K11" s="93">
        <v>36.0</v>
      </c>
      <c r="L11" s="93">
        <v>18.0</v>
      </c>
      <c r="M11" s="93">
        <v>27.0</v>
      </c>
      <c r="N11" s="93">
        <v>12.0</v>
      </c>
      <c r="O11" s="93">
        <v>9.0</v>
      </c>
      <c r="P11" s="93">
        <v>31.0</v>
      </c>
      <c r="Q11" s="93">
        <v>81.0</v>
      </c>
      <c r="R11" s="93">
        <v>22.0</v>
      </c>
      <c r="S11" s="93">
        <v>32.0</v>
      </c>
      <c r="T11" s="93">
        <v>19.0</v>
      </c>
      <c r="U11" s="93">
        <v>29.0</v>
      </c>
      <c r="V11" s="93">
        <v>9.0</v>
      </c>
      <c r="W11" s="93">
        <v>18.0</v>
      </c>
      <c r="X11" s="93">
        <v>27.0</v>
      </c>
      <c r="Y11" s="93">
        <v>6.0</v>
      </c>
      <c r="Z11" s="93">
        <v>16.0</v>
      </c>
      <c r="AA11" s="93">
        <v>21.0</v>
      </c>
      <c r="AB11" s="93">
        <v>91.0</v>
      </c>
      <c r="AC11" s="93">
        <v>68.0</v>
      </c>
      <c r="AD11" s="93">
        <v>30.0</v>
      </c>
      <c r="AE11" s="93">
        <v>25.0</v>
      </c>
      <c r="AF11" s="93">
        <v>40.0</v>
      </c>
      <c r="AG11" s="93">
        <v>44.0</v>
      </c>
      <c r="AH11" s="93">
        <v>68.0</v>
      </c>
      <c r="AI11" s="93">
        <v>33.0</v>
      </c>
      <c r="AJ11" s="93">
        <v>24.0</v>
      </c>
      <c r="AK11" s="93">
        <v>6.0</v>
      </c>
      <c r="AL11" s="93">
        <v>27.0</v>
      </c>
      <c r="AM11" s="93">
        <v>6.0</v>
      </c>
      <c r="AN11" s="93">
        <v>37.0</v>
      </c>
      <c r="AO11" s="111">
        <f t="shared" si="3"/>
        <v>408.0</v>
      </c>
      <c r="AP11" s="64">
        <f t="shared" si="4"/>
        <v>133.0</v>
      </c>
      <c r="AQ11" s="69">
        <f t="shared" si="5"/>
        <v>146.3</v>
      </c>
      <c r="AR11" s="65">
        <f>AC11*1.1</f>
        <v>74.8</v>
      </c>
      <c r="AS11" s="65">
        <f t="shared" si="7"/>
        <v>14.63</v>
      </c>
      <c r="AT11" s="65">
        <f t="shared" si="8"/>
        <v>26.6</v>
      </c>
      <c r="AU11" s="65">
        <f t="shared" si="9"/>
        <v>26.6</v>
      </c>
      <c r="AV11" s="65">
        <f t="shared" si="10"/>
        <v>22.61</v>
      </c>
      <c r="AW11" s="65">
        <f t="shared" si="11"/>
        <v>21.28</v>
      </c>
      <c r="AX11" s="65">
        <f t="shared" si="12"/>
        <v>18.62</v>
      </c>
      <c r="AY11" s="65">
        <f>AQ11*$AY$5/$AQ$5</f>
        <v>19.95</v>
      </c>
      <c r="AZ11" s="65">
        <f>AQ11*$AZ$5/$AQ$5</f>
        <v>23.94</v>
      </c>
      <c r="BA11" s="65">
        <f t="shared" si="15"/>
        <v>29.26</v>
      </c>
      <c r="BB11" s="64">
        <f t="shared" si="16"/>
        <v>278.29</v>
      </c>
      <c r="BC11" s="47" t="e">
        <f t="shared" si="17"/>
        <v>#REF!</v>
      </c>
      <c r="BD11" s="67" t="e">
        <f t="shared" si="18"/>
        <v>#REF!</v>
      </c>
      <c r="BE11" s="65" t="e">
        <f t="shared" si="19"/>
        <v>#REF!</v>
      </c>
      <c r="BF11" s="47">
        <f>VLOOKUP(C11,MOQ,3,false)</f>
        <v>120.0</v>
      </c>
      <c r="BI11" s="47" t="e">
        <f t="shared" si="21"/>
        <v>#REF!</v>
      </c>
      <c r="BJ11" s="47">
        <f t="shared" si="22"/>
        <v>74.8</v>
      </c>
      <c r="BK11" s="47" t="e">
        <f t="shared" si="23"/>
        <v>#REF!</v>
      </c>
      <c r="BL11" s="65" t="e">
        <f t="shared" si="24"/>
        <v>#REF!</v>
      </c>
      <c r="BM11" s="47">
        <f t="shared" si="25"/>
        <v>14.63</v>
      </c>
      <c r="BO11" s="65" t="e">
        <f t="shared" si="26"/>
        <v>#REF!</v>
      </c>
      <c r="BP11" s="47">
        <f t="shared" si="27"/>
        <v>26.6</v>
      </c>
      <c r="BR11" s="65" t="e">
        <f t="shared" si="28"/>
        <v>#REF!</v>
      </c>
      <c r="BS11" s="47">
        <f t="shared" si="29"/>
        <v>26.6</v>
      </c>
      <c r="BU11" s="65" t="e">
        <f t="shared" si="30"/>
        <v>#REF!</v>
      </c>
      <c r="BV11" s="47">
        <f t="shared" si="31"/>
        <v>22.61</v>
      </c>
      <c r="BX11" s="65" t="e">
        <f t="shared" si="32"/>
        <v>#REF!</v>
      </c>
      <c r="BY11" s="47">
        <f t="shared" si="33"/>
        <v>21.28</v>
      </c>
      <c r="CA11" s="65" t="e">
        <f t="shared" si="34"/>
        <v>#REF!</v>
      </c>
      <c r="CB11" s="47">
        <f t="shared" si="35"/>
        <v>18.62</v>
      </c>
      <c r="CD11" s="65" t="e">
        <f t="shared" si="36"/>
        <v>#REF!</v>
      </c>
      <c r="CE11" s="47">
        <f t="shared" si="37"/>
        <v>19.95</v>
      </c>
      <c r="CG11" s="65" t="e">
        <f t="shared" si="38"/>
        <v>#REF!</v>
      </c>
      <c r="CH11" s="47">
        <f t="shared" si="39"/>
        <v>23.94</v>
      </c>
      <c r="CJ11" s="65" t="e">
        <f t="shared" si="40"/>
        <v>#REF!</v>
      </c>
      <c r="CK11" s="47">
        <f t="shared" si="41"/>
        <v>29.26</v>
      </c>
      <c r="CM11" s="65" t="e">
        <f t="shared" si="42"/>
        <v>#REF!</v>
      </c>
    </row>
    <row r="12" customHeight="1" ht="13.0">
      <c r="A12" s="93" t="s">
        <v>430</v>
      </c>
      <c r="B12" s="93" t="s">
        <v>53</v>
      </c>
      <c r="C12" s="93" t="s">
        <v>474</v>
      </c>
      <c r="D12" s="229" t="s">
        <v>475</v>
      </c>
      <c r="E12" s="93">
        <v>40.0</v>
      </c>
      <c r="F12" s="93">
        <v>13.0</v>
      </c>
      <c r="G12" s="93">
        <v>27.0</v>
      </c>
      <c r="H12" s="93">
        <v>21.0</v>
      </c>
      <c r="I12" s="93">
        <v>15.0</v>
      </c>
      <c r="J12" s="93">
        <v>9.0</v>
      </c>
      <c r="K12" s="93">
        <v>22.0</v>
      </c>
      <c r="L12" s="93">
        <v>6.0</v>
      </c>
      <c r="M12" s="93">
        <v>12.0</v>
      </c>
      <c r="N12" s="93">
        <v>5.0</v>
      </c>
      <c r="O12" s="93">
        <v>2.0</v>
      </c>
      <c r="P12" s="93">
        <v>11.0</v>
      </c>
      <c r="Q12" s="93">
        <v>71.0</v>
      </c>
      <c r="R12" s="93">
        <v>22.0</v>
      </c>
      <c r="S12" s="93">
        <v>41.0</v>
      </c>
      <c r="T12" s="93">
        <v>9.0</v>
      </c>
      <c r="U12" s="93">
        <v>25.0</v>
      </c>
      <c r="V12" s="93">
        <v>2.0</v>
      </c>
      <c r="W12" s="93">
        <v>21.0</v>
      </c>
      <c r="X12" s="93">
        <v>11.0</v>
      </c>
      <c r="Y12" s="93">
        <v>12.0</v>
      </c>
      <c r="Z12" s="93">
        <v>2.0</v>
      </c>
      <c r="AA12" s="93">
        <v>13.0</v>
      </c>
      <c r="AB12" s="93">
        <v>43.0</v>
      </c>
      <c r="AC12" s="93">
        <v>36.0</v>
      </c>
      <c r="AD12" s="93">
        <v>9.0</v>
      </c>
      <c r="AE12" s="93">
        <v>12.0</v>
      </c>
      <c r="AF12" s="93">
        <v>24.0</v>
      </c>
      <c r="AG12" s="93">
        <v>42.0</v>
      </c>
      <c r="AH12" s="93">
        <v>15.0</v>
      </c>
      <c r="AI12" s="93">
        <v>9.0</v>
      </c>
      <c r="AJ12" s="93">
        <v>15.0</v>
      </c>
      <c r="AK12" s="93">
        <v>15.0</v>
      </c>
      <c r="AL12" s="93">
        <v>9.0</v>
      </c>
      <c r="AM12" s="93">
        <v>9.0</v>
      </c>
      <c r="AN12" s="93">
        <v>40.0</v>
      </c>
      <c r="AO12" s="111">
        <f t="shared" si="3"/>
        <v>235.0</v>
      </c>
      <c r="AP12" s="64">
        <f t="shared" si="4"/>
        <v>97.0</v>
      </c>
      <c r="AQ12" s="69">
        <f t="shared" si="5"/>
        <v>106.7</v>
      </c>
      <c r="AR12" s="271">
        <f>AC12*1.1+384</f>
        <v>423.6</v>
      </c>
      <c r="AS12" s="65">
        <f t="shared" si="7"/>
        <v>10.67</v>
      </c>
      <c r="AT12" s="65">
        <f t="shared" si="8"/>
        <v>19.4</v>
      </c>
      <c r="AU12" s="271">
        <f>AQ12*$AU$5/$AQ$5+264</f>
        <v>283.4</v>
      </c>
      <c r="AV12" s="65">
        <f t="shared" si="10"/>
        <v>16.49</v>
      </c>
      <c r="AW12" s="271">
        <f>AQ12*$AW$5/$AQ$5+125</f>
        <v>140.52</v>
      </c>
      <c r="AX12" s="271">
        <f>AQ12*$AX$5/$AQ$5+109</f>
        <v>122.58</v>
      </c>
      <c r="AY12" s="271">
        <f>AQ12*$AY$5/$AQ$5+117</f>
        <v>131.55</v>
      </c>
      <c r="AZ12" s="271">
        <f>AQ12*$AZ$5/$AQ$5+141</f>
        <v>158.46</v>
      </c>
      <c r="BA12" s="271">
        <f>AQ12*$BA$5/$AQ$5+172</f>
        <v>193.34</v>
      </c>
      <c r="BB12" s="64">
        <f t="shared" si="16"/>
        <v>1500.01</v>
      </c>
      <c r="BC12" s="47" t="e">
        <f t="shared" si="17"/>
        <v>#REF!</v>
      </c>
      <c r="BD12" s="67"/>
      <c r="BE12" s="65" t="e">
        <f t="shared" si="19"/>
        <v>#REF!</v>
      </c>
      <c r="BF12" s="47">
        <f>VLOOKUP(C12,MOQ,3,false)</f>
        <v>200.0</v>
      </c>
      <c r="BI12" s="47" t="e">
        <f t="shared" si="21"/>
        <v>#REF!</v>
      </c>
      <c r="BJ12" s="47">
        <f t="shared" si="22"/>
        <v>423.6</v>
      </c>
      <c r="BK12" s="47">
        <f t="shared" si="23"/>
      </c>
      <c r="BL12" s="65" t="e">
        <f t="shared" si="24"/>
        <v>#REF!</v>
      </c>
      <c r="BM12" s="47">
        <f t="shared" si="25"/>
        <v>10.67</v>
      </c>
      <c r="BO12" s="65" t="e">
        <f t="shared" si="26"/>
        <v>#REF!</v>
      </c>
      <c r="BP12" s="47">
        <f t="shared" si="27"/>
        <v>19.4</v>
      </c>
      <c r="BR12" s="65" t="e">
        <f t="shared" si="28"/>
        <v>#REF!</v>
      </c>
      <c r="BS12" s="47">
        <f t="shared" si="29"/>
        <v>283.4</v>
      </c>
      <c r="BU12" s="65" t="e">
        <f t="shared" si="30"/>
        <v>#REF!</v>
      </c>
      <c r="BV12" s="47">
        <f t="shared" si="31"/>
        <v>16.49</v>
      </c>
      <c r="BX12" s="65" t="e">
        <f t="shared" si="32"/>
        <v>#REF!</v>
      </c>
      <c r="BY12" s="47">
        <f t="shared" si="33"/>
        <v>140.52</v>
      </c>
      <c r="CA12" s="65" t="e">
        <f t="shared" si="34"/>
        <v>#REF!</v>
      </c>
      <c r="CB12" s="47">
        <f t="shared" si="35"/>
        <v>122.58</v>
      </c>
      <c r="CD12" s="65" t="e">
        <f t="shared" si="36"/>
        <v>#REF!</v>
      </c>
      <c r="CE12" s="47">
        <f t="shared" si="37"/>
        <v>131.55</v>
      </c>
      <c r="CG12" s="65" t="e">
        <f t="shared" si="38"/>
        <v>#REF!</v>
      </c>
      <c r="CH12" s="47">
        <f t="shared" si="39"/>
        <v>158.46</v>
      </c>
      <c r="CJ12" s="65" t="e">
        <f t="shared" si="40"/>
        <v>#REF!</v>
      </c>
      <c r="CK12" s="47">
        <f t="shared" si="41"/>
        <v>193.34</v>
      </c>
      <c r="CM12" s="65" t="e">
        <f t="shared" si="42"/>
        <v>#REF!</v>
      </c>
      <c r="CO12" s="64" t="e">
        <f t="shared" ref="CO12:CO15" si="60">BX12*-1</f>
        <v>#REF!</v>
      </c>
      <c r="CP12" s="47">
        <v>96.0</v>
      </c>
      <c r="CR12" s="64" t="e">
        <f t="shared" ref="CR12:CR15" si="61">CA12*-1</f>
        <v>#REF!</v>
      </c>
    </row>
    <row r="13" customHeight="1" ht="13.0">
      <c r="A13" s="93" t="s">
        <v>430</v>
      </c>
      <c r="B13" s="93" t="s">
        <v>53</v>
      </c>
      <c r="C13" s="93" t="s">
        <v>476</v>
      </c>
      <c r="D13" s="229" t="s">
        <v>477</v>
      </c>
      <c r="E13" s="93">
        <v>31.0</v>
      </c>
      <c r="F13" s="93">
        <v>18.0</v>
      </c>
      <c r="G13" s="93">
        <v>16.0</v>
      </c>
      <c r="H13" s="93">
        <v>24.0</v>
      </c>
      <c r="I13" s="93">
        <v>25.0</v>
      </c>
      <c r="J13" s="93">
        <v>15.0</v>
      </c>
      <c r="K13" s="93">
        <v>12.0</v>
      </c>
      <c r="L13" s="93">
        <v>7.0</v>
      </c>
      <c r="M13" s="93">
        <v>15.0</v>
      </c>
      <c r="N13" s="93">
        <v>15.0</v>
      </c>
      <c r="O13" s="93">
        <v>3.0</v>
      </c>
      <c r="P13" s="93">
        <v>9.0</v>
      </c>
      <c r="Q13" s="93">
        <v>61.0</v>
      </c>
      <c r="R13" s="93">
        <v>16.0</v>
      </c>
      <c r="S13" s="93">
        <v>21.0</v>
      </c>
      <c r="T13" s="93">
        <v>18.0</v>
      </c>
      <c r="U13" s="93">
        <v>19.0</v>
      </c>
      <c r="V13" s="93">
        <v>8.0</v>
      </c>
      <c r="W13" s="93">
        <v>9.0</v>
      </c>
      <c r="X13" s="93">
        <v>12.0</v>
      </c>
      <c r="Y13" s="93">
        <v>6.0</v>
      </c>
      <c r="Z13" s="93">
        <v>3.0</v>
      </c>
      <c r="AA13" s="93">
        <v>12.0</v>
      </c>
      <c r="AB13" s="93">
        <v>40.0</v>
      </c>
      <c r="AC13" s="93">
        <v>24.0</v>
      </c>
      <c r="AD13" s="93">
        <v>3.0</v>
      </c>
      <c r="AE13" s="93">
        <v>16.0</v>
      </c>
      <c r="AF13" s="93">
        <v>12.0</v>
      </c>
      <c r="AG13" s="93">
        <v>20.0</v>
      </c>
      <c r="AH13" s="93">
        <v>16.0</v>
      </c>
      <c r="AI13" s="93">
        <v>13.0</v>
      </c>
      <c r="AJ13" s="93">
        <v>16.0</v>
      </c>
      <c r="AK13" s="93">
        <v>6.0</v>
      </c>
      <c r="AL13" s="93">
        <v>7.0</v>
      </c>
      <c r="AM13" s="93">
        <v>4.0</v>
      </c>
      <c r="AN13" s="93">
        <v>15.0</v>
      </c>
      <c r="AO13" s="111">
        <f t="shared" si="3"/>
        <v>152.0</v>
      </c>
      <c r="AP13" s="64">
        <f t="shared" si="4"/>
        <v>61.0</v>
      </c>
      <c r="AQ13" s="69">
        <f t="shared" si="5"/>
        <v>67.1</v>
      </c>
      <c r="AR13" s="271">
        <f>AC13*1.1+240</f>
        <v>266.4</v>
      </c>
      <c r="AS13" s="65">
        <f t="shared" si="7"/>
        <v>6.71</v>
      </c>
      <c r="AT13" s="65">
        <f t="shared" si="8"/>
        <v>12.2</v>
      </c>
      <c r="AU13" s="271">
        <f>AQ13*$AU$5/$AQ$5+192</f>
        <v>204.2</v>
      </c>
      <c r="AV13" s="65">
        <f t="shared" si="10"/>
        <v>10.37</v>
      </c>
      <c r="AW13" s="271">
        <f>AQ13*$AW$5/$AQ$5+76</f>
        <v>85.76</v>
      </c>
      <c r="AX13" s="271">
        <f>AQ13*$AX$5/$AQ$5+67</f>
        <v>75.54</v>
      </c>
      <c r="AY13" s="271">
        <f>AQ13*$AY$5/$AQ$5+72</f>
        <v>81.15</v>
      </c>
      <c r="AZ13" s="271">
        <f>AQ13*$AZ$5/$AQ$5+86</f>
        <v>96.98</v>
      </c>
      <c r="BA13" s="271">
        <f>AQ13*$BA$5/$AQ$5+105</f>
        <v>118.42</v>
      </c>
      <c r="BB13" s="64">
        <f t="shared" si="16"/>
        <v>957.73</v>
      </c>
      <c r="BC13" s="47" t="e">
        <f t="shared" si="17"/>
        <v>#REF!</v>
      </c>
      <c r="BD13" s="67"/>
      <c r="BE13" s="65" t="e">
        <f t="shared" si="19"/>
        <v>#REF!</v>
      </c>
      <c r="BF13" s="47">
        <f>VLOOKUP(C13,MOQ,3,false)</f>
        <v>200.0</v>
      </c>
      <c r="BI13" s="47" t="e">
        <f t="shared" si="21"/>
        <v>#REF!</v>
      </c>
      <c r="BJ13" s="47">
        <f t="shared" si="22"/>
        <v>266.4</v>
      </c>
      <c r="BK13" s="47">
        <f t="shared" si="23"/>
      </c>
      <c r="BL13" s="65" t="e">
        <f t="shared" si="24"/>
        <v>#REF!</v>
      </c>
      <c r="BM13" s="47">
        <f t="shared" si="25"/>
        <v>6.71</v>
      </c>
      <c r="BO13" s="65" t="e">
        <f t="shared" si="26"/>
        <v>#REF!</v>
      </c>
      <c r="BP13" s="47">
        <f t="shared" si="27"/>
        <v>12.2</v>
      </c>
      <c r="BR13" s="65" t="e">
        <f t="shared" si="28"/>
        <v>#REF!</v>
      </c>
      <c r="BS13" s="47">
        <f t="shared" si="29"/>
        <v>204.2</v>
      </c>
      <c r="BU13" s="65" t="e">
        <f t="shared" si="30"/>
        <v>#REF!</v>
      </c>
      <c r="BV13" s="47">
        <f t="shared" si="31"/>
        <v>10.37</v>
      </c>
      <c r="BX13" s="65" t="e">
        <f t="shared" si="32"/>
        <v>#REF!</v>
      </c>
      <c r="BY13" s="47">
        <f t="shared" si="33"/>
        <v>85.76</v>
      </c>
      <c r="CA13" s="65" t="e">
        <f t="shared" si="34"/>
        <v>#REF!</v>
      </c>
      <c r="CB13" s="47">
        <f t="shared" si="35"/>
        <v>75.54</v>
      </c>
      <c r="CD13" s="65" t="e">
        <f t="shared" si="36"/>
        <v>#REF!</v>
      </c>
      <c r="CE13" s="47">
        <f t="shared" si="37"/>
        <v>81.15</v>
      </c>
      <c r="CG13" s="65" t="e">
        <f t="shared" si="38"/>
        <v>#REF!</v>
      </c>
      <c r="CH13" s="47">
        <f t="shared" si="39"/>
        <v>96.98</v>
      </c>
      <c r="CJ13" s="65" t="e">
        <f t="shared" si="40"/>
        <v>#REF!</v>
      </c>
      <c r="CK13" s="47">
        <f t="shared" si="41"/>
        <v>118.42</v>
      </c>
      <c r="CM13" s="65" t="e">
        <f t="shared" si="42"/>
        <v>#REF!</v>
      </c>
      <c r="CO13" s="64" t="e">
        <f t="shared" si="60"/>
        <v>#REF!</v>
      </c>
      <c r="CP13" s="47">
        <v>7.0</v>
      </c>
      <c r="CR13" s="64" t="e">
        <f t="shared" si="61"/>
        <v>#REF!</v>
      </c>
    </row>
    <row r="14" customHeight="1" ht="13.0">
      <c r="A14" s="93" t="s">
        <v>430</v>
      </c>
      <c r="B14" s="93" t="s">
        <v>53</v>
      </c>
      <c r="C14" s="93" t="s">
        <v>478</v>
      </c>
      <c r="D14" s="229" t="s">
        <v>479</v>
      </c>
      <c r="E14" s="93">
        <v>15.0</v>
      </c>
      <c r="F14" s="93">
        <v>9.0</v>
      </c>
      <c r="G14" s="93">
        <v>17.0</v>
      </c>
      <c r="H14" s="93">
        <v>23.0</v>
      </c>
      <c r="I14" s="93">
        <v>47.0</v>
      </c>
      <c r="J14" s="93">
        <v>12.0</v>
      </c>
      <c r="K14" s="93">
        <v>30.0</v>
      </c>
      <c r="L14" s="93">
        <v>15.0</v>
      </c>
      <c r="M14" s="93">
        <v>45.0</v>
      </c>
      <c r="N14" s="93">
        <v>24.0</v>
      </c>
      <c r="O14" s="93">
        <v>13.0</v>
      </c>
      <c r="P14" s="93">
        <v>6.0</v>
      </c>
      <c r="Q14" s="93">
        <v>18.0</v>
      </c>
      <c r="R14" s="93">
        <v>10.0</v>
      </c>
      <c r="S14" s="93">
        <v>25.0</v>
      </c>
      <c r="T14" s="93">
        <v>20.0</v>
      </c>
      <c r="U14" s="93">
        <v>40.0</v>
      </c>
      <c r="V14" s="93">
        <v>3.0</v>
      </c>
      <c r="W14" s="93">
        <v>9.0</v>
      </c>
      <c r="X14" s="93">
        <v>27.0</v>
      </c>
      <c r="Y14" s="93">
        <v>26.0</v>
      </c>
      <c r="Z14" s="93">
        <v>6.0</v>
      </c>
      <c r="AA14" s="93">
        <v>9.0</v>
      </c>
      <c r="AB14" s="93">
        <v>13.0</v>
      </c>
      <c r="AC14" s="93">
        <v>3.0</v>
      </c>
      <c r="AD14" s="93">
        <v>12.0</v>
      </c>
      <c r="AE14" s="93">
        <v>24.0</v>
      </c>
      <c r="AF14" s="93">
        <v>21.0</v>
      </c>
      <c r="AG14" s="93">
        <v>18.0</v>
      </c>
      <c r="AH14" s="93">
        <v>18.0</v>
      </c>
      <c r="AI14" s="93">
        <v>6.0</v>
      </c>
      <c r="AJ14" s="93">
        <v>40.0</v>
      </c>
      <c r="AK14" s="93">
        <v>18.0</v>
      </c>
      <c r="AL14" s="270">
        <f>Z14*1.1</f>
        <v>6.6</v>
      </c>
      <c r="AM14" s="93">
        <v>13.0</v>
      </c>
      <c r="AN14" s="93">
        <v>10.0</v>
      </c>
      <c r="AO14" s="111">
        <f t="shared" si="3"/>
        <v>189.6</v>
      </c>
      <c r="AP14" s="64">
        <f t="shared" si="4"/>
        <v>93.6</v>
      </c>
      <c r="AQ14" s="69">
        <f t="shared" si="5"/>
        <v>102.96</v>
      </c>
      <c r="AR14" s="271">
        <f>AQ14*$AR$5/$AQ$5+96</f>
        <v>108.168</v>
      </c>
      <c r="AS14" s="65">
        <f t="shared" si="7"/>
        <v>10.296</v>
      </c>
      <c r="AT14" s="65">
        <f t="shared" si="8"/>
        <v>18.72</v>
      </c>
      <c r="AU14" s="271">
        <f>AQ14*$AU$5/$AQ$5+288</f>
        <v>306.72</v>
      </c>
      <c r="AV14" s="65">
        <f t="shared" si="10"/>
        <v>15.912</v>
      </c>
      <c r="AW14" s="271">
        <f>AQ14*$AW$5/$AQ$5+42</f>
        <v>56.976</v>
      </c>
      <c r="AX14" s="271">
        <f>AQ14*$AX$5/$AQ$5+36</f>
        <v>49.104</v>
      </c>
      <c r="AY14" s="271">
        <f>AJ14*1.1+39</f>
        <v>83.0</v>
      </c>
      <c r="AZ14" s="271">
        <f>AK14*1.1+277</f>
        <v>296.8</v>
      </c>
      <c r="BA14" s="271">
        <f>AQ14*$BA$5/$AQ$5+57</f>
        <v>77.592</v>
      </c>
      <c r="BB14" s="64">
        <f t="shared" si="16"/>
        <v>1023.288</v>
      </c>
      <c r="BC14" s="47" t="e">
        <f t="shared" si="17"/>
        <v>#REF!</v>
      </c>
      <c r="BD14" s="67"/>
      <c r="BE14" s="65" t="e">
        <f t="shared" si="19"/>
        <v>#REF!</v>
      </c>
      <c r="BF14" s="47">
        <f>VLOOKUP(C14,MOQ,3,false)</f>
        <v>120.0</v>
      </c>
      <c r="BI14" s="47" t="e">
        <f t="shared" si="21"/>
        <v>#REF!</v>
      </c>
      <c r="BJ14" s="47">
        <f t="shared" si="22"/>
        <v>108.168</v>
      </c>
      <c r="BK14" s="47">
        <f t="shared" si="23"/>
      </c>
      <c r="BL14" s="65" t="e">
        <f t="shared" si="24"/>
        <v>#REF!</v>
      </c>
      <c r="BM14" s="47">
        <f t="shared" si="25"/>
        <v>10.296</v>
      </c>
      <c r="BO14" s="65" t="e">
        <f t="shared" si="26"/>
        <v>#REF!</v>
      </c>
      <c r="BP14" s="47">
        <f t="shared" si="27"/>
        <v>18.72</v>
      </c>
      <c r="BR14" s="65" t="e">
        <f t="shared" si="28"/>
        <v>#REF!</v>
      </c>
      <c r="BS14" s="47">
        <f t="shared" si="29"/>
        <v>306.72</v>
      </c>
      <c r="BU14" s="65" t="e">
        <f t="shared" si="30"/>
        <v>#REF!</v>
      </c>
      <c r="BV14" s="47">
        <f t="shared" si="31"/>
        <v>15.912</v>
      </c>
      <c r="BX14" s="65" t="e">
        <f t="shared" si="32"/>
        <v>#REF!</v>
      </c>
      <c r="BY14" s="47">
        <f t="shared" si="33"/>
        <v>56.976</v>
      </c>
      <c r="CA14" s="65" t="e">
        <f t="shared" si="34"/>
        <v>#REF!</v>
      </c>
      <c r="CB14" s="47">
        <f t="shared" si="35"/>
        <v>49.104</v>
      </c>
      <c r="CD14" s="65" t="e">
        <f t="shared" si="36"/>
        <v>#REF!</v>
      </c>
      <c r="CE14" s="47">
        <f t="shared" si="37"/>
        <v>83.0</v>
      </c>
      <c r="CG14" s="65" t="e">
        <f t="shared" si="38"/>
        <v>#REF!</v>
      </c>
      <c r="CH14" s="47">
        <f t="shared" si="39"/>
        <v>296.8</v>
      </c>
      <c r="CJ14" s="65" t="e">
        <f t="shared" si="40"/>
        <v>#REF!</v>
      </c>
      <c r="CK14" s="47">
        <f t="shared" si="41"/>
        <v>77.592</v>
      </c>
      <c r="CM14" s="65" t="e">
        <f t="shared" si="42"/>
        <v>#REF!</v>
      </c>
      <c r="CO14" s="64" t="e">
        <f t="shared" si="60"/>
        <v>#REF!</v>
      </c>
      <c r="CP14" s="47">
        <v>181.0</v>
      </c>
      <c r="CR14" s="64" t="e">
        <f t="shared" si="61"/>
        <v>#REF!</v>
      </c>
    </row>
    <row r="15" customHeight="1" ht="13.0">
      <c r="A15" s="93" t="s">
        <v>430</v>
      </c>
      <c r="B15" s="93" t="s">
        <v>53</v>
      </c>
      <c r="C15" s="93" t="s">
        <v>481</v>
      </c>
      <c r="D15" s="229" t="s">
        <v>482</v>
      </c>
      <c r="E15" s="93">
        <v>13.0</v>
      </c>
      <c r="F15" s="93">
        <v>9.0</v>
      </c>
      <c r="G15" s="93">
        <v>26.0</v>
      </c>
      <c r="H15" s="93">
        <v>54.0</v>
      </c>
      <c r="I15" s="93">
        <v>37.0</v>
      </c>
      <c r="J15" s="93">
        <v>22.0</v>
      </c>
      <c r="K15" s="93">
        <v>55.0</v>
      </c>
      <c r="L15" s="93">
        <v>23.0</v>
      </c>
      <c r="M15" s="93">
        <v>101.0</v>
      </c>
      <c r="N15" s="93">
        <v>35.0</v>
      </c>
      <c r="O15" s="93">
        <v>20.0</v>
      </c>
      <c r="P15" s="93">
        <v>3.0</v>
      </c>
      <c r="Q15" s="93">
        <v>33.0</v>
      </c>
      <c r="R15" s="93">
        <v>10.0</v>
      </c>
      <c r="S15" s="93">
        <v>34.0</v>
      </c>
      <c r="T15" s="93">
        <v>18.0</v>
      </c>
      <c r="U15" s="93">
        <v>37.0</v>
      </c>
      <c r="V15" s="93">
        <v>11.0</v>
      </c>
      <c r="W15" s="93">
        <v>30.0</v>
      </c>
      <c r="X15" s="93">
        <v>52.0</v>
      </c>
      <c r="Y15" s="93">
        <v>47.0</v>
      </c>
      <c r="Z15" s="93">
        <v>18.0</v>
      </c>
      <c r="AA15" s="93">
        <v>15.0</v>
      </c>
      <c r="AB15" s="93">
        <v>19.0</v>
      </c>
      <c r="AC15" s="93">
        <v>24.0</v>
      </c>
      <c r="AD15" s="93">
        <v>13.0</v>
      </c>
      <c r="AE15" s="93">
        <v>24.0</v>
      </c>
      <c r="AF15" s="93">
        <v>53.0</v>
      </c>
      <c r="AG15" s="93">
        <v>60.0</v>
      </c>
      <c r="AH15" s="93">
        <v>15.0</v>
      </c>
      <c r="AI15" s="93">
        <v>19.0</v>
      </c>
      <c r="AJ15" s="93">
        <v>66.0</v>
      </c>
      <c r="AK15" s="93">
        <v>63.0</v>
      </c>
      <c r="AL15" s="93">
        <v>25.0</v>
      </c>
      <c r="AM15" s="93">
        <v>3.0</v>
      </c>
      <c r="AN15" s="93">
        <v>7.0</v>
      </c>
      <c r="AO15" s="111">
        <f t="shared" si="3"/>
        <v>372.0</v>
      </c>
      <c r="AP15" s="64">
        <f t="shared" si="4"/>
        <v>183.0</v>
      </c>
      <c r="AQ15" s="69">
        <f t="shared" si="5"/>
        <v>201.3</v>
      </c>
      <c r="AR15" s="65">
        <v>0.0</v>
      </c>
      <c r="AS15" s="271">
        <f>AQ15*$AS$5/$AQ$5+336</f>
        <v>356.13</v>
      </c>
      <c r="AT15" s="65">
        <f t="shared" si="8"/>
        <v>36.6</v>
      </c>
      <c r="AU15" s="271">
        <f>AQ15*$AU$5/$AQ$5+216</f>
        <v>252.6</v>
      </c>
      <c r="AV15" s="65">
        <f t="shared" si="10"/>
        <v>31.11</v>
      </c>
      <c r="AW15" s="271">
        <f>AQ15*$AW$5/$AQ$5+78</f>
        <v>107.28</v>
      </c>
      <c r="AX15" s="271">
        <f>AQ15*$AX$5/$AQ$5+69</f>
        <v>94.62</v>
      </c>
      <c r="AY15" s="271">
        <f>AJ15*1.1+74</f>
        <v>146.6</v>
      </c>
      <c r="AZ15" s="271">
        <f>AK15*1.1+408</f>
        <v>477.3</v>
      </c>
      <c r="BA15" s="271">
        <f>AQ15*$BA$5/$AQ$5+108</f>
        <v>148.26</v>
      </c>
      <c r="BB15" s="64">
        <f t="shared" si="16"/>
        <v>1650.5</v>
      </c>
      <c r="BC15" s="47" t="e">
        <f t="shared" si="17"/>
        <v>#REF!</v>
      </c>
      <c r="BD15" s="67" t="e">
        <f>VLOOKUP(C15,FYTMSEPT,3,false)</f>
        <v>#REF!</v>
      </c>
      <c r="BE15" s="65" t="e">
        <f t="shared" si="19"/>
        <v>#REF!</v>
      </c>
      <c r="BF15" s="47">
        <f>VLOOKUP(C15,MOQ,3,false)</f>
        <v>120.0</v>
      </c>
      <c r="BI15" s="47" t="e">
        <f t="shared" si="21"/>
        <v>#REF!</v>
      </c>
      <c r="BJ15" s="47">
        <f t="shared" si="22"/>
        <v>0.0</v>
      </c>
      <c r="BK15" s="47" t="e">
        <f t="shared" si="23"/>
        <v>#REF!</v>
      </c>
      <c r="BL15" s="65" t="e">
        <f t="shared" si="24"/>
        <v>#REF!</v>
      </c>
      <c r="BM15" s="47">
        <f t="shared" si="25"/>
        <v>356.13</v>
      </c>
      <c r="BO15" s="65" t="e">
        <f t="shared" si="26"/>
        <v>#REF!</v>
      </c>
      <c r="BP15" s="47">
        <f t="shared" si="27"/>
        <v>36.6</v>
      </c>
      <c r="BR15" s="65" t="e">
        <f t="shared" si="28"/>
        <v>#REF!</v>
      </c>
      <c r="BS15" s="47">
        <f t="shared" si="29"/>
        <v>252.6</v>
      </c>
      <c r="BU15" s="65" t="e">
        <f t="shared" si="30"/>
        <v>#REF!</v>
      </c>
      <c r="BV15" s="47">
        <f t="shared" si="31"/>
        <v>31.11</v>
      </c>
      <c r="BX15" s="65" t="e">
        <f t="shared" si="32"/>
        <v>#REF!</v>
      </c>
      <c r="BY15" s="47">
        <f t="shared" si="33"/>
        <v>107.28</v>
      </c>
      <c r="CA15" s="65" t="e">
        <f t="shared" si="34"/>
        <v>#REF!</v>
      </c>
      <c r="CB15" s="47">
        <f t="shared" si="35"/>
        <v>94.62</v>
      </c>
      <c r="CD15" s="65" t="e">
        <f t="shared" si="36"/>
        <v>#REF!</v>
      </c>
      <c r="CE15" s="47">
        <f t="shared" si="37"/>
        <v>146.6</v>
      </c>
      <c r="CG15" s="65" t="e">
        <f t="shared" si="38"/>
        <v>#REF!</v>
      </c>
      <c r="CH15" s="47">
        <f t="shared" si="39"/>
        <v>477.3</v>
      </c>
      <c r="CJ15" s="65" t="e">
        <f t="shared" si="40"/>
        <v>#REF!</v>
      </c>
      <c r="CK15" s="47">
        <f t="shared" si="41"/>
        <v>148.26</v>
      </c>
      <c r="CM15" s="65" t="e">
        <f t="shared" si="42"/>
        <v>#REF!</v>
      </c>
      <c r="CO15" s="64" t="e">
        <f t="shared" si="60"/>
        <v>#REF!</v>
      </c>
      <c r="CP15" s="47">
        <v>72.0</v>
      </c>
      <c r="CR15" s="64" t="e">
        <f t="shared" si="61"/>
        <v>#REF!</v>
      </c>
    </row>
    <row r="16" customHeight="1" ht="13.0">
      <c r="A16" s="93" t="s">
        <v>430</v>
      </c>
      <c r="B16" s="93" t="s">
        <v>431</v>
      </c>
      <c r="C16" s="93" t="s">
        <v>432</v>
      </c>
      <c r="D16" s="229" t="s">
        <v>433</v>
      </c>
      <c r="E16" s="93">
        <v>39.0</v>
      </c>
      <c r="F16" s="93">
        <v>36.0</v>
      </c>
      <c r="G16" s="93">
        <v>36.0</v>
      </c>
      <c r="H16" s="93">
        <v>24.0</v>
      </c>
      <c r="I16" s="93">
        <v>15.0</v>
      </c>
      <c r="J16" s="93">
        <v>9.0</v>
      </c>
      <c r="K16" s="93">
        <v>18.0</v>
      </c>
      <c r="L16" s="93">
        <v>12.0</v>
      </c>
      <c r="M16" s="93">
        <v>21.0</v>
      </c>
      <c r="N16" s="93">
        <v>18.0</v>
      </c>
      <c r="O16" s="93">
        <v>21.0</v>
      </c>
      <c r="P16" s="93">
        <v>39.0</v>
      </c>
      <c r="Q16" s="93">
        <v>36.0</v>
      </c>
      <c r="R16" s="93">
        <v>33.0</v>
      </c>
      <c r="S16" s="93">
        <v>54.0</v>
      </c>
      <c r="T16" s="93">
        <v>15.0</v>
      </c>
      <c r="U16" s="272">
        <f>I16</f>
        <v>15.0</v>
      </c>
      <c r="V16" s="93">
        <v>12.0</v>
      </c>
      <c r="W16" s="93">
        <v>15.0</v>
      </c>
      <c r="X16" s="93">
        <v>39.0</v>
      </c>
      <c r="Y16" s="93">
        <v>12.0</v>
      </c>
      <c r="Z16" s="93">
        <v>15.0</v>
      </c>
      <c r="AA16" s="93">
        <v>15.0</v>
      </c>
      <c r="AB16" s="93">
        <v>31.0</v>
      </c>
      <c r="AC16" s="93">
        <v>12.0</v>
      </c>
      <c r="AD16" s="93">
        <v>12.0</v>
      </c>
      <c r="AE16" s="93">
        <v>24.0</v>
      </c>
      <c r="AF16" s="93">
        <v>6.0</v>
      </c>
      <c r="AG16" s="93">
        <v>3.0</v>
      </c>
      <c r="AH16" s="93">
        <v>12.0</v>
      </c>
      <c r="AI16" s="93">
        <f>W16*1.1</f>
        <v>16.5</v>
      </c>
      <c r="AJ16" s="93">
        <v>21.0</v>
      </c>
      <c r="AK16" s="93">
        <v>15.0</v>
      </c>
      <c r="AL16" s="93">
        <v>6.0</v>
      </c>
      <c r="AM16" s="93">
        <v>3.0</v>
      </c>
      <c r="AN16" s="93">
        <v>6.0</v>
      </c>
      <c r="AO16" s="111">
        <f t="shared" si="3"/>
        <v>136.5</v>
      </c>
      <c r="AP16" s="64">
        <f t="shared" si="4"/>
        <v>67.5</v>
      </c>
      <c r="AQ16" s="69">
        <f t="shared" si="5"/>
        <v>74.25</v>
      </c>
      <c r="AR16" s="65">
        <f t="shared" ref="AR16:AR20" si="87">AQ16*$AR$5/$AQ$5</f>
        <v>8.775</v>
      </c>
      <c r="AS16" s="65">
        <f t="shared" ref="AS16:AS20" si="88">AQ16*$AS$5/$AQ$5</f>
        <v>7.425</v>
      </c>
      <c r="AT16" s="65">
        <f t="shared" si="8"/>
        <v>13.5</v>
      </c>
      <c r="AU16" s="65">
        <f t="shared" ref="AU16:AU20" si="89">AQ16*$AU$5/$AQ$5</f>
        <v>13.5</v>
      </c>
      <c r="AV16" s="65">
        <f t="shared" si="10"/>
        <v>11.475</v>
      </c>
      <c r="AW16" s="65">
        <f t="shared" ref="AW16:AW20" si="90">AQ16*$AW$5/$AQ$5</f>
        <v>10.8</v>
      </c>
      <c r="AX16" s="65">
        <f t="shared" ref="AX16:AX20" si="91">AQ16*$AX$5/$AQ$5</f>
        <v>9.45</v>
      </c>
      <c r="AY16" s="65">
        <f t="shared" ref="AY16:AY20" si="92">AQ16*$AY$5/$AQ$5</f>
        <v>10.125</v>
      </c>
      <c r="AZ16" s="65">
        <f t="shared" ref="AZ16:AZ20" si="93">AQ16*$AZ$5/$AQ$5</f>
        <v>12.15</v>
      </c>
      <c r="BA16" s="65">
        <f t="shared" ref="BA16:BA20" si="94">AQ16*$BA$5/$AQ$5</f>
        <v>14.85</v>
      </c>
      <c r="BB16" s="64">
        <f t="shared" si="16"/>
        <v>112.05</v>
      </c>
      <c r="BC16" s="47" t="e">
        <f t="shared" si="17"/>
        <v>#REF!</v>
      </c>
      <c r="BD16" s="67"/>
      <c r="BE16" s="65" t="e">
        <f t="shared" si="19"/>
        <v>#REF!</v>
      </c>
      <c r="BF16" s="47">
        <f>VLOOKUP(C16,MOQ,3,false)</f>
      </c>
      <c r="BI16" s="47" t="e">
        <f t="shared" si="21"/>
        <v>#REF!</v>
      </c>
      <c r="BJ16" s="47">
        <f t="shared" si="22"/>
        <v>8.775</v>
      </c>
      <c r="BK16" s="47">
        <f t="shared" si="23"/>
      </c>
      <c r="BL16" s="65" t="e">
        <f t="shared" si="24"/>
        <v>#REF!</v>
      </c>
      <c r="BM16" s="47">
        <f t="shared" si="25"/>
        <v>7.425</v>
      </c>
      <c r="BO16" s="65" t="e">
        <f t="shared" si="26"/>
        <v>#REF!</v>
      </c>
      <c r="BP16" s="47">
        <f t="shared" si="27"/>
        <v>13.5</v>
      </c>
      <c r="BR16" s="65" t="e">
        <f t="shared" si="28"/>
        <v>#REF!</v>
      </c>
      <c r="BS16" s="47">
        <f t="shared" si="29"/>
        <v>13.5</v>
      </c>
      <c r="BU16" s="65" t="e">
        <f t="shared" si="30"/>
        <v>#REF!</v>
      </c>
      <c r="BV16" s="47">
        <f t="shared" si="31"/>
        <v>11.475</v>
      </c>
      <c r="BX16" s="65" t="e">
        <f t="shared" si="32"/>
        <v>#REF!</v>
      </c>
      <c r="BY16" s="47">
        <f t="shared" si="33"/>
        <v>10.8</v>
      </c>
      <c r="CA16" s="65" t="e">
        <f t="shared" si="34"/>
        <v>#REF!</v>
      </c>
      <c r="CB16" s="47">
        <f t="shared" si="35"/>
        <v>9.45</v>
      </c>
      <c r="CD16" s="65" t="e">
        <f t="shared" si="36"/>
        <v>#REF!</v>
      </c>
      <c r="CE16" s="47">
        <f t="shared" si="37"/>
        <v>10.125</v>
      </c>
      <c r="CG16" s="65" t="e">
        <f t="shared" si="38"/>
        <v>#REF!</v>
      </c>
      <c r="CH16" s="47">
        <f t="shared" si="39"/>
        <v>12.15</v>
      </c>
      <c r="CJ16" s="65" t="e">
        <f t="shared" si="40"/>
        <v>#REF!</v>
      </c>
      <c r="CK16" s="47">
        <f t="shared" si="41"/>
        <v>14.85</v>
      </c>
      <c r="CM16" s="65" t="e">
        <f t="shared" si="42"/>
        <v>#REF!</v>
      </c>
    </row>
    <row r="17" customHeight="1" ht="13.0">
      <c r="A17" s="93" t="s">
        <v>430</v>
      </c>
      <c r="B17" s="93" t="s">
        <v>431</v>
      </c>
      <c r="C17" s="93" t="s">
        <v>434</v>
      </c>
      <c r="D17" s="229" t="s">
        <v>435</v>
      </c>
      <c r="E17" s="93">
        <v>0.0</v>
      </c>
      <c r="F17" s="93">
        <v>0.0</v>
      </c>
      <c r="G17" s="93">
        <v>30.0</v>
      </c>
      <c r="H17" s="93">
        <v>18.0</v>
      </c>
      <c r="I17" s="93">
        <v>6.0</v>
      </c>
      <c r="J17" s="93">
        <v>9.0</v>
      </c>
      <c r="K17" s="93">
        <v>49.0</v>
      </c>
      <c r="L17" s="93">
        <v>58.0</v>
      </c>
      <c r="M17" s="93">
        <v>60.0</v>
      </c>
      <c r="N17" s="93">
        <v>78.0</v>
      </c>
      <c r="O17" s="93">
        <v>50.0</v>
      </c>
      <c r="P17" s="93">
        <v>45.0</v>
      </c>
      <c r="Q17" s="93">
        <v>41.0</v>
      </c>
      <c r="R17" s="93">
        <v>72.0</v>
      </c>
      <c r="S17" s="93">
        <v>57.0</v>
      </c>
      <c r="T17" s="93">
        <v>48.0</v>
      </c>
      <c r="U17" s="93">
        <v>39.0</v>
      </c>
      <c r="V17" s="93">
        <v>39.0</v>
      </c>
      <c r="W17" s="93">
        <v>74.0</v>
      </c>
      <c r="X17" s="93">
        <v>54.0</v>
      </c>
      <c r="Y17" s="93">
        <v>30.0</v>
      </c>
      <c r="Z17" s="93">
        <v>33.0</v>
      </c>
      <c r="AA17" s="93">
        <v>15.0</v>
      </c>
      <c r="AB17" s="93">
        <v>25.0</v>
      </c>
      <c r="AC17" s="93">
        <v>36.0</v>
      </c>
      <c r="AD17" s="93">
        <v>36.0</v>
      </c>
      <c r="AE17" s="93">
        <v>54.0</v>
      </c>
      <c r="AF17" s="93">
        <v>33.0</v>
      </c>
      <c r="AG17" s="93">
        <v>24.0</v>
      </c>
      <c r="AH17" s="93">
        <v>39.0</v>
      </c>
      <c r="AI17" s="93">
        <v>42.0</v>
      </c>
      <c r="AJ17" s="93">
        <v>18.0</v>
      </c>
      <c r="AK17" s="93">
        <v>15.0</v>
      </c>
      <c r="AL17" s="93">
        <v>36.0</v>
      </c>
      <c r="AM17" s="93">
        <v>21.0</v>
      </c>
      <c r="AN17" s="93">
        <v>32.0</v>
      </c>
      <c r="AO17" s="111">
        <f t="shared" si="3"/>
        <v>386.0</v>
      </c>
      <c r="AP17" s="64">
        <f t="shared" si="4"/>
        <v>164.0</v>
      </c>
      <c r="AQ17" s="69">
        <f t="shared" si="5"/>
        <v>180.4</v>
      </c>
      <c r="AR17" s="65">
        <f t="shared" si="87"/>
        <v>21.32</v>
      </c>
      <c r="AS17" s="65">
        <f t="shared" si="88"/>
        <v>18.04</v>
      </c>
      <c r="AT17" s="65">
        <f t="shared" si="8"/>
        <v>32.8</v>
      </c>
      <c r="AU17" s="65">
        <f t="shared" si="89"/>
        <v>32.8</v>
      </c>
      <c r="AV17" s="65">
        <f t="shared" si="10"/>
        <v>27.88</v>
      </c>
      <c r="AW17" s="65">
        <f t="shared" si="90"/>
        <v>26.24</v>
      </c>
      <c r="AX17" s="65">
        <f t="shared" si="91"/>
        <v>22.96</v>
      </c>
      <c r="AY17" s="65">
        <f t="shared" si="92"/>
        <v>24.6</v>
      </c>
      <c r="AZ17" s="65">
        <f t="shared" si="93"/>
        <v>29.52</v>
      </c>
      <c r="BA17" s="65">
        <f t="shared" si="94"/>
        <v>36.08</v>
      </c>
      <c r="BB17" s="64">
        <f t="shared" si="16"/>
        <v>272.24</v>
      </c>
      <c r="BC17" s="47" t="e">
        <f t="shared" si="17"/>
        <v>#REF!</v>
      </c>
      <c r="BD17" s="67"/>
      <c r="BE17" s="65" t="e">
        <f t="shared" si="19"/>
        <v>#REF!</v>
      </c>
      <c r="BF17" s="47">
        <f>VLOOKUP(C17,MOQ,3,false)</f>
        <v>200.0</v>
      </c>
      <c r="BI17" s="47" t="e">
        <f t="shared" si="21"/>
        <v>#REF!</v>
      </c>
      <c r="BJ17" s="47">
        <f t="shared" si="22"/>
        <v>21.32</v>
      </c>
      <c r="BK17" s="47">
        <f t="shared" si="23"/>
      </c>
      <c r="BL17" s="65" t="e">
        <f t="shared" si="24"/>
        <v>#REF!</v>
      </c>
      <c r="BM17" s="47">
        <f t="shared" si="25"/>
        <v>18.04</v>
      </c>
      <c r="BO17" s="65" t="e">
        <f t="shared" si="26"/>
        <v>#REF!</v>
      </c>
      <c r="BP17" s="47">
        <f t="shared" si="27"/>
        <v>32.8</v>
      </c>
      <c r="BR17" s="65" t="e">
        <f t="shared" si="28"/>
        <v>#REF!</v>
      </c>
      <c r="BS17" s="47">
        <f t="shared" si="29"/>
        <v>32.8</v>
      </c>
      <c r="BU17" s="65" t="e">
        <f t="shared" si="30"/>
        <v>#REF!</v>
      </c>
      <c r="BV17" s="47">
        <f t="shared" si="31"/>
        <v>27.88</v>
      </c>
      <c r="BX17" s="65" t="e">
        <f t="shared" si="32"/>
        <v>#REF!</v>
      </c>
      <c r="BY17" s="47">
        <f t="shared" si="33"/>
        <v>26.24</v>
      </c>
      <c r="CA17" s="65" t="e">
        <f t="shared" si="34"/>
        <v>#REF!</v>
      </c>
      <c r="CB17" s="47">
        <f t="shared" si="35"/>
        <v>22.96</v>
      </c>
      <c r="CD17" s="65" t="e">
        <f t="shared" si="36"/>
        <v>#REF!</v>
      </c>
      <c r="CE17" s="47">
        <f t="shared" si="37"/>
        <v>24.6</v>
      </c>
      <c r="CG17" s="65" t="e">
        <f t="shared" si="38"/>
        <v>#REF!</v>
      </c>
      <c r="CH17" s="47">
        <f t="shared" si="39"/>
        <v>29.52</v>
      </c>
      <c r="CJ17" s="65" t="e">
        <f t="shared" si="40"/>
        <v>#REF!</v>
      </c>
      <c r="CK17" s="47">
        <f t="shared" si="41"/>
        <v>36.08</v>
      </c>
      <c r="CM17" s="65" t="e">
        <f t="shared" si="42"/>
        <v>#REF!</v>
      </c>
    </row>
    <row r="18" customHeight="1" ht="13.0">
      <c r="A18" s="93" t="s">
        <v>430</v>
      </c>
      <c r="B18" s="93" t="s">
        <v>431</v>
      </c>
      <c r="C18" s="93" t="s">
        <v>436</v>
      </c>
      <c r="D18" s="229" t="s">
        <v>437</v>
      </c>
      <c r="E18" s="93">
        <v>0.0</v>
      </c>
      <c r="F18" s="93">
        <v>0.0</v>
      </c>
      <c r="G18" s="93">
        <v>30.0</v>
      </c>
      <c r="H18" s="93">
        <v>36.0</v>
      </c>
      <c r="I18" s="93">
        <v>6.0</v>
      </c>
      <c r="J18" s="93">
        <v>9.0</v>
      </c>
      <c r="K18" s="93">
        <v>52.0</v>
      </c>
      <c r="L18" s="93">
        <v>39.0</v>
      </c>
      <c r="M18" s="93">
        <v>54.0</v>
      </c>
      <c r="N18" s="93">
        <v>42.0</v>
      </c>
      <c r="O18" s="93">
        <v>21.0</v>
      </c>
      <c r="P18" s="93">
        <v>21.0</v>
      </c>
      <c r="Q18" s="93">
        <v>30.0</v>
      </c>
      <c r="R18" s="93">
        <v>57.0</v>
      </c>
      <c r="S18" s="93">
        <v>21.0</v>
      </c>
      <c r="T18" s="93">
        <v>21.0</v>
      </c>
      <c r="U18" s="93">
        <v>39.0</v>
      </c>
      <c r="V18" s="93">
        <v>27.0</v>
      </c>
      <c r="W18" s="93">
        <v>39.0</v>
      </c>
      <c r="X18" s="93">
        <v>39.0</v>
      </c>
      <c r="Y18" s="93">
        <v>18.0</v>
      </c>
      <c r="Z18" s="93">
        <v>9.0</v>
      </c>
      <c r="AA18" s="93">
        <v>6.0</v>
      </c>
      <c r="AB18" s="93">
        <v>16.0</v>
      </c>
      <c r="AC18" s="93">
        <v>27.0</v>
      </c>
      <c r="AD18" s="93">
        <v>24.0</v>
      </c>
      <c r="AE18" s="93">
        <v>30.0</v>
      </c>
      <c r="AF18" s="93">
        <v>12.0</v>
      </c>
      <c r="AG18" s="93">
        <v>12.0</v>
      </c>
      <c r="AH18" s="93">
        <v>21.0</v>
      </c>
      <c r="AI18" s="93">
        <v>15.0</v>
      </c>
      <c r="AJ18" s="93">
        <v>3.0</v>
      </c>
      <c r="AK18" s="93">
        <v>3.0</v>
      </c>
      <c r="AL18" s="93">
        <v>30.0</v>
      </c>
      <c r="AM18" s="93">
        <v>6.0</v>
      </c>
      <c r="AN18" s="93">
        <v>14.0</v>
      </c>
      <c r="AO18" s="111">
        <f t="shared" si="3"/>
        <v>197.0</v>
      </c>
      <c r="AP18" s="64">
        <f t="shared" si="4"/>
        <v>71.0</v>
      </c>
      <c r="AQ18" s="69">
        <f t="shared" si="5"/>
        <v>78.1</v>
      </c>
      <c r="AR18" s="65">
        <f t="shared" si="87"/>
        <v>9.23</v>
      </c>
      <c r="AS18" s="65">
        <f t="shared" si="88"/>
        <v>7.81</v>
      </c>
      <c r="AT18" s="65">
        <f t="shared" si="8"/>
        <v>14.2</v>
      </c>
      <c r="AU18" s="65">
        <f t="shared" si="89"/>
        <v>14.2</v>
      </c>
      <c r="AV18" s="65">
        <f t="shared" si="10"/>
        <v>12.07</v>
      </c>
      <c r="AW18" s="65">
        <f t="shared" si="90"/>
        <v>11.36</v>
      </c>
      <c r="AX18" s="65">
        <f t="shared" si="91"/>
        <v>9.94</v>
      </c>
      <c r="AY18" s="65">
        <f t="shared" si="92"/>
        <v>10.65</v>
      </c>
      <c r="AZ18" s="65">
        <f t="shared" si="93"/>
        <v>12.78</v>
      </c>
      <c r="BA18" s="65">
        <f t="shared" si="94"/>
        <v>15.62</v>
      </c>
      <c r="BB18" s="64">
        <f t="shared" si="16"/>
        <v>117.86</v>
      </c>
      <c r="BC18" s="47" t="e">
        <f t="shared" si="17"/>
        <v>#REF!</v>
      </c>
      <c r="BD18" s="67"/>
      <c r="BE18" s="65" t="e">
        <f t="shared" si="19"/>
        <v>#REF!</v>
      </c>
      <c r="BF18" s="47">
        <f>VLOOKUP(C18,MOQ,3,false)</f>
        <v>120.0</v>
      </c>
      <c r="BI18" s="47" t="e">
        <f t="shared" si="21"/>
        <v>#REF!</v>
      </c>
      <c r="BJ18" s="47">
        <f t="shared" si="22"/>
        <v>9.23</v>
      </c>
      <c r="BK18" s="47">
        <f t="shared" si="23"/>
      </c>
      <c r="BL18" s="65" t="e">
        <f t="shared" si="24"/>
        <v>#REF!</v>
      </c>
      <c r="BM18" s="47">
        <f t="shared" si="25"/>
        <v>7.81</v>
      </c>
      <c r="BO18" s="65" t="e">
        <f t="shared" si="26"/>
        <v>#REF!</v>
      </c>
      <c r="BP18" s="47">
        <f t="shared" si="27"/>
        <v>14.2</v>
      </c>
      <c r="BR18" s="65" t="e">
        <f t="shared" si="28"/>
        <v>#REF!</v>
      </c>
      <c r="BS18" s="47">
        <f t="shared" si="29"/>
        <v>14.2</v>
      </c>
      <c r="BU18" s="65" t="e">
        <f t="shared" si="30"/>
        <v>#REF!</v>
      </c>
      <c r="BV18" s="47">
        <f t="shared" si="31"/>
        <v>12.07</v>
      </c>
      <c r="BX18" s="65" t="e">
        <f t="shared" si="32"/>
        <v>#REF!</v>
      </c>
      <c r="BY18" s="47">
        <f t="shared" si="33"/>
        <v>11.36</v>
      </c>
      <c r="CA18" s="65" t="e">
        <f t="shared" si="34"/>
        <v>#REF!</v>
      </c>
      <c r="CB18" s="47">
        <f t="shared" si="35"/>
        <v>9.94</v>
      </c>
      <c r="CD18" s="65" t="e">
        <f t="shared" si="36"/>
        <v>#REF!</v>
      </c>
      <c r="CE18" s="47">
        <f t="shared" si="37"/>
        <v>10.65</v>
      </c>
      <c r="CG18" s="65" t="e">
        <f t="shared" si="38"/>
        <v>#REF!</v>
      </c>
      <c r="CH18" s="47">
        <f t="shared" si="39"/>
        <v>12.78</v>
      </c>
      <c r="CJ18" s="65" t="e">
        <f t="shared" si="40"/>
        <v>#REF!</v>
      </c>
      <c r="CK18" s="47">
        <f t="shared" si="41"/>
        <v>15.62</v>
      </c>
      <c r="CM18" s="65" t="e">
        <f t="shared" si="42"/>
        <v>#REF!</v>
      </c>
    </row>
    <row r="19" customHeight="1" ht="13.0">
      <c r="A19" s="93" t="s">
        <v>430</v>
      </c>
      <c r="B19" s="93" t="s">
        <v>53</v>
      </c>
      <c r="C19" s="93" t="s">
        <v>483</v>
      </c>
      <c r="D19" s="229" t="s">
        <v>484</v>
      </c>
      <c r="E19" s="93">
        <v>0.0</v>
      </c>
      <c r="F19" s="93">
        <v>0.0</v>
      </c>
      <c r="G19" s="93">
        <v>0.0</v>
      </c>
      <c r="H19" s="93">
        <v>0.0</v>
      </c>
      <c r="I19" s="93">
        <v>0.0</v>
      </c>
      <c r="J19" s="93">
        <v>0.0</v>
      </c>
      <c r="K19" s="93">
        <v>0.0</v>
      </c>
      <c r="L19" s="93">
        <v>0.0</v>
      </c>
      <c r="M19" s="93">
        <v>0.0</v>
      </c>
      <c r="N19" s="93">
        <v>0.0</v>
      </c>
      <c r="O19" s="93">
        <v>0.0</v>
      </c>
      <c r="P19" s="93">
        <v>0.0</v>
      </c>
      <c r="Q19" s="93">
        <v>0.0</v>
      </c>
      <c r="R19" s="93">
        <v>0.0</v>
      </c>
      <c r="S19" s="93">
        <v>0.0</v>
      </c>
      <c r="T19" s="93">
        <v>0.0</v>
      </c>
      <c r="U19" s="93">
        <v>0.0</v>
      </c>
      <c r="V19" s="93">
        <v>0.0</v>
      </c>
      <c r="W19" s="93">
        <v>0.0</v>
      </c>
      <c r="X19" s="93">
        <v>0.0</v>
      </c>
      <c r="Y19" s="93">
        <v>0.0</v>
      </c>
      <c r="Z19" s="93">
        <v>0.0</v>
      </c>
      <c r="AA19" s="93">
        <v>0.0</v>
      </c>
      <c r="AB19" s="93">
        <v>0.0</v>
      </c>
      <c r="AC19" s="93">
        <v>0.0</v>
      </c>
      <c r="AD19" s="93">
        <v>0.0</v>
      </c>
      <c r="AE19" s="93">
        <v>0.0</v>
      </c>
      <c r="AF19" s="93">
        <v>0.0</v>
      </c>
      <c r="AG19" s="93">
        <v>0.0</v>
      </c>
      <c r="AH19" s="93">
        <v>0.0</v>
      </c>
      <c r="AI19" s="93">
        <v>0.0</v>
      </c>
      <c r="AJ19" s="93">
        <v>0.0</v>
      </c>
      <c r="AK19" s="93">
        <v>0.0</v>
      </c>
      <c r="AL19" s="93">
        <v>0.0</v>
      </c>
      <c r="AM19" s="93">
        <v>0.0</v>
      </c>
      <c r="AN19" s="93">
        <v>64.0</v>
      </c>
      <c r="AO19" s="111">
        <f t="shared" si="3"/>
        <v>64.0</v>
      </c>
      <c r="AP19" s="64">
        <f t="shared" si="4"/>
        <v>64.0</v>
      </c>
      <c r="AQ19" s="69">
        <f t="shared" si="5"/>
        <v>70.4</v>
      </c>
      <c r="AR19" s="65">
        <f t="shared" si="87"/>
        <v>8.32</v>
      </c>
      <c r="AS19" s="65">
        <f t="shared" si="88"/>
        <v>7.04</v>
      </c>
      <c r="AT19" s="65">
        <f t="shared" si="8"/>
        <v>12.8</v>
      </c>
      <c r="AU19" s="65">
        <f t="shared" si="89"/>
        <v>12.8</v>
      </c>
      <c r="AV19" s="65">
        <f t="shared" si="10"/>
        <v>10.88</v>
      </c>
      <c r="AW19" s="65">
        <f t="shared" si="90"/>
        <v>10.24</v>
      </c>
      <c r="AX19" s="65">
        <f t="shared" si="91"/>
        <v>8.96</v>
      </c>
      <c r="AY19" s="65">
        <f t="shared" si="92"/>
        <v>9.6</v>
      </c>
      <c r="AZ19" s="65">
        <f t="shared" si="93"/>
        <v>11.52</v>
      </c>
      <c r="BA19" s="65">
        <f t="shared" si="94"/>
        <v>14.08</v>
      </c>
      <c r="BB19" s="64">
        <f t="shared" si="16"/>
        <v>106.24</v>
      </c>
      <c r="BC19" s="47" t="e">
        <f t="shared" si="17"/>
        <v>#REF!</v>
      </c>
      <c r="BD19" s="67"/>
      <c r="BE19" s="65" t="e">
        <f t="shared" si="19"/>
        <v>#REF!</v>
      </c>
      <c r="BG19" s="238">
        <v>1900.0</v>
      </c>
      <c r="BI19" s="47" t="e">
        <f t="shared" si="21"/>
        <v>#REF!</v>
      </c>
      <c r="BJ19" s="47">
        <f t="shared" si="22"/>
        <v>8.32</v>
      </c>
      <c r="BK19" s="47">
        <f t="shared" si="23"/>
      </c>
      <c r="BL19" s="65" t="e">
        <f t="shared" si="24"/>
        <v>#REF!</v>
      </c>
      <c r="BM19" s="47">
        <f t="shared" si="25"/>
        <v>7.04</v>
      </c>
      <c r="BO19" s="65" t="e">
        <f t="shared" si="26"/>
        <v>#REF!</v>
      </c>
      <c r="BP19" s="47">
        <f t="shared" si="27"/>
        <v>12.8</v>
      </c>
      <c r="BR19" s="65" t="e">
        <f t="shared" si="28"/>
        <v>#REF!</v>
      </c>
      <c r="BS19" s="47">
        <f t="shared" si="29"/>
        <v>12.8</v>
      </c>
      <c r="BU19" s="65" t="e">
        <f t="shared" si="30"/>
        <v>#REF!</v>
      </c>
      <c r="BV19" s="47">
        <f t="shared" si="31"/>
        <v>10.88</v>
      </c>
      <c r="BX19" s="65" t="e">
        <f t="shared" si="32"/>
        <v>#REF!</v>
      </c>
      <c r="BY19" s="47">
        <f t="shared" si="33"/>
        <v>10.24</v>
      </c>
      <c r="CA19" s="65" t="e">
        <f t="shared" si="34"/>
        <v>#REF!</v>
      </c>
      <c r="CB19" s="47">
        <f t="shared" si="35"/>
        <v>8.96</v>
      </c>
      <c r="CD19" s="65" t="e">
        <f t="shared" si="36"/>
        <v>#REF!</v>
      </c>
      <c r="CE19" s="47">
        <f t="shared" si="37"/>
        <v>9.6</v>
      </c>
      <c r="CG19" s="65" t="e">
        <f t="shared" si="38"/>
        <v>#REF!</v>
      </c>
      <c r="CH19" s="47">
        <f t="shared" si="39"/>
        <v>11.52</v>
      </c>
      <c r="CJ19" s="65" t="e">
        <f t="shared" si="40"/>
        <v>#REF!</v>
      </c>
      <c r="CK19" s="47">
        <f t="shared" si="41"/>
        <v>14.08</v>
      </c>
      <c r="CM19" s="65" t="e">
        <f t="shared" si="42"/>
        <v>#REF!</v>
      </c>
    </row>
    <row r="20" customHeight="1" ht="13.0">
      <c r="A20" s="273" t="s">
        <v>430</v>
      </c>
      <c r="B20" s="273" t="s">
        <v>438</v>
      </c>
      <c r="C20" s="274" t="s">
        <v>439</v>
      </c>
      <c r="D20" s="275" t="s">
        <v>440</v>
      </c>
      <c r="E20" s="273">
        <v>0.0</v>
      </c>
      <c r="F20" s="273">
        <v>0.0</v>
      </c>
      <c r="G20" s="273">
        <v>0.0</v>
      </c>
      <c r="H20" s="273">
        <v>0.0</v>
      </c>
      <c r="I20" s="273">
        <v>0.0</v>
      </c>
      <c r="J20" s="273">
        <v>0.0</v>
      </c>
      <c r="K20" s="273">
        <v>0.0</v>
      </c>
      <c r="L20" s="273">
        <v>0.0</v>
      </c>
      <c r="M20" s="273">
        <v>0.0</v>
      </c>
      <c r="N20" s="273">
        <v>0.0</v>
      </c>
      <c r="O20" s="273">
        <v>0.0</v>
      </c>
      <c r="P20" s="273">
        <v>17.0</v>
      </c>
      <c r="Q20" s="273">
        <v>11.0</v>
      </c>
      <c r="R20" s="273">
        <v>12.0</v>
      </c>
      <c r="S20" s="273">
        <v>16.0</v>
      </c>
      <c r="T20" s="273">
        <v>11.0</v>
      </c>
      <c r="U20" s="273">
        <v>3.0</v>
      </c>
      <c r="V20" s="273">
        <v>3.0</v>
      </c>
      <c r="W20" s="273">
        <v>4.0</v>
      </c>
      <c r="X20" s="273">
        <v>6.0</v>
      </c>
      <c r="Y20" s="273">
        <v>4.0</v>
      </c>
      <c r="Z20" s="273">
        <v>0.0</v>
      </c>
      <c r="AA20" s="273">
        <v>2.0</v>
      </c>
      <c r="AB20" s="273">
        <v>2.0</v>
      </c>
      <c r="AC20" s="273">
        <v>1.0</v>
      </c>
      <c r="AD20" s="273">
        <v>9.0</v>
      </c>
      <c r="AE20" s="273">
        <v>5.0</v>
      </c>
      <c r="AF20" s="273">
        <v>4.0</v>
      </c>
      <c r="AG20" s="273">
        <v>1.0</v>
      </c>
      <c r="AH20" s="273">
        <v>1.0</v>
      </c>
      <c r="AI20" s="273">
        <v>2.0</v>
      </c>
      <c r="AJ20" s="273">
        <v>1.0</v>
      </c>
      <c r="AK20" s="273">
        <v>5.0</v>
      </c>
      <c r="AL20" s="273">
        <v>7.0</v>
      </c>
      <c r="AM20" s="273">
        <v>8.0</v>
      </c>
      <c r="AN20" s="273">
        <v>5.0</v>
      </c>
      <c r="AO20" s="273">
        <f t="shared" si="3"/>
        <v>49.0</v>
      </c>
      <c r="AP20" s="50">
        <f t="shared" si="4"/>
        <v>28.0</v>
      </c>
      <c r="AQ20" s="276">
        <f t="shared" si="5"/>
        <v>30.8</v>
      </c>
      <c r="AR20" s="276">
        <f t="shared" si="87"/>
        <v>3.64</v>
      </c>
      <c r="AS20" s="276">
        <f t="shared" si="88"/>
        <v>3.08</v>
      </c>
      <c r="AT20" s="276">
        <f t="shared" si="8"/>
        <v>5.6</v>
      </c>
      <c r="AU20" s="276">
        <f t="shared" si="89"/>
        <v>5.6</v>
      </c>
      <c r="AV20" s="276">
        <f t="shared" si="10"/>
        <v>4.76</v>
      </c>
      <c r="AW20" s="276">
        <f t="shared" si="90"/>
        <v>4.48</v>
      </c>
      <c r="AX20" s="276">
        <f t="shared" si="91"/>
        <v>3.92</v>
      </c>
      <c r="AY20" s="276">
        <f t="shared" si="92"/>
        <v>4.2</v>
      </c>
      <c r="AZ20" s="276">
        <f t="shared" si="93"/>
        <v>5.04</v>
      </c>
      <c r="BA20" s="276">
        <f t="shared" si="94"/>
        <v>6.16</v>
      </c>
      <c r="BB20" s="64">
        <f t="shared" si="16"/>
        <v>46.48</v>
      </c>
      <c r="BC20" s="47" t="e">
        <f t="shared" si="17"/>
        <v>#REF!</v>
      </c>
      <c r="BD20" s="67"/>
      <c r="BE20" s="65"/>
      <c r="BF20" s="47">
        <f>VLOOKUP(C20,MOQ,3,false)</f>
      </c>
      <c r="BH20" s="50"/>
      <c r="BI20" s="47" t="e">
        <f t="shared" si="21"/>
        <v>#REF!</v>
      </c>
      <c r="BJ20" s="50"/>
      <c r="BK20" s="47">
        <f t="shared" si="23"/>
      </c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</row>
    <row r="21" customHeight="1" ht="13.0">
      <c r="A21" s="93" t="s">
        <v>430</v>
      </c>
      <c r="B21" s="93" t="s">
        <v>438</v>
      </c>
      <c r="C21" s="93" t="s">
        <v>441</v>
      </c>
      <c r="D21" s="277" t="s">
        <v>442</v>
      </c>
      <c r="E21" s="93">
        <v>139.0</v>
      </c>
      <c r="F21" s="93">
        <v>133.0</v>
      </c>
      <c r="G21" s="93">
        <v>162.0</v>
      </c>
      <c r="H21" s="93">
        <v>191.0</v>
      </c>
      <c r="I21" s="93">
        <v>60.0</v>
      </c>
      <c r="J21" s="93">
        <v>53.0</v>
      </c>
      <c r="K21" s="93">
        <v>102.0</v>
      </c>
      <c r="L21" s="93">
        <v>114.0</v>
      </c>
      <c r="M21" s="93">
        <v>109.0</v>
      </c>
      <c r="N21" s="93">
        <v>138.0</v>
      </c>
      <c r="O21" s="93">
        <v>96.0</v>
      </c>
      <c r="P21" s="93">
        <v>168.0</v>
      </c>
      <c r="Q21" s="93">
        <v>150.0</v>
      </c>
      <c r="R21" s="93">
        <v>105.0</v>
      </c>
      <c r="S21" s="93">
        <v>165.0</v>
      </c>
      <c r="T21" s="93">
        <v>120.0</v>
      </c>
      <c r="U21" s="93">
        <v>100.0</v>
      </c>
      <c r="V21" s="93">
        <v>89.0</v>
      </c>
      <c r="W21" s="93">
        <v>143.0</v>
      </c>
      <c r="X21" s="93">
        <v>123.0</v>
      </c>
      <c r="Y21" s="93">
        <v>98.0</v>
      </c>
      <c r="Z21" s="93">
        <v>102.0</v>
      </c>
      <c r="AA21" s="93">
        <v>78.0</v>
      </c>
      <c r="AB21" s="93">
        <v>64.0</v>
      </c>
      <c r="AC21" s="93">
        <v>118.0</v>
      </c>
      <c r="AD21" s="93">
        <v>114.0</v>
      </c>
      <c r="AE21" s="93">
        <v>96.0</v>
      </c>
      <c r="AF21" s="93">
        <v>114.0</v>
      </c>
      <c r="AG21" s="93">
        <v>57.0</v>
      </c>
      <c r="AH21" s="93">
        <v>56.0</v>
      </c>
      <c r="AI21" s="93">
        <v>100.0</v>
      </c>
      <c r="AJ21" s="93">
        <v>86.0</v>
      </c>
      <c r="AK21" s="93">
        <v>78.0</v>
      </c>
      <c r="AL21" s="93">
        <v>57.0</v>
      </c>
      <c r="AM21" s="93">
        <v>51.0</v>
      </c>
      <c r="AN21" s="93">
        <v>39.0</v>
      </c>
      <c r="AO21" s="111">
        <f t="shared" si="3"/>
        <v>966.0</v>
      </c>
      <c r="AP21" s="64">
        <f t="shared" si="4"/>
        <v>411.0</v>
      </c>
      <c r="AQ21" s="69">
        <f t="shared" si="5"/>
        <v>452.1</v>
      </c>
      <c r="AR21" s="65">
        <f t="shared" ref="AR21:AR25" si="96">AQ21*$AR$5/$AQ$5+1*$AR$20</f>
        <v>57.07</v>
      </c>
      <c r="AS21" s="65">
        <f t="shared" ref="AS21:AS25" si="97">AQ21*$AS$5/$AQ$5+1*$AS$20</f>
        <v>48.29</v>
      </c>
      <c r="AT21" s="65">
        <f t="shared" ref="AT21:AT25" si="98">AQ21*$AT$5/$AQ$5+1*$AT$20</f>
        <v>87.8</v>
      </c>
      <c r="AU21" s="65">
        <f t="shared" ref="AU21:AU25" si="99">AQ21*$AU$5/$AQ$5+1*$AU$20</f>
        <v>87.8</v>
      </c>
      <c r="AV21" s="65">
        <f t="shared" ref="AV21:AV25" si="100">AQ21*$AV$5/$AQ$5+1*$AV$20</f>
        <v>74.63</v>
      </c>
      <c r="AW21" s="65">
        <f t="shared" ref="AW21:AW25" si="101">AQ21*$AW$5/$AQ$5+1*$AW$20</f>
        <v>70.24</v>
      </c>
      <c r="AX21" s="65">
        <f t="shared" ref="AX21:AX25" si="102">AQ21*$AX$5/$AQ$5+1*$AX$20</f>
        <v>61.46</v>
      </c>
      <c r="AY21" s="65">
        <f t="shared" ref="AY21:AY25" si="103">AQ21*$AY$5/$AQ$5+1*$AY$20</f>
        <v>65.85</v>
      </c>
      <c r="AZ21" s="65">
        <f t="shared" ref="AZ21:AZ25" si="104">AQ21*$AZ$5/$AQ$5+1*$AZ$20</f>
        <v>79.02</v>
      </c>
      <c r="BA21" s="65">
        <f t="shared" ref="BA21:BA25" si="105">AQ21*$BA$5/$AQ$5+1*$BA$20</f>
        <v>96.58</v>
      </c>
      <c r="BB21" s="64">
        <f t="shared" si="16"/>
        <v>728.74</v>
      </c>
      <c r="BC21" s="47" t="e">
        <f t="shared" si="17"/>
        <v>#REF!</v>
      </c>
      <c r="BD21" s="67" t="e">
        <f t="shared" ref="BD21:BD22" si="106">VLOOKUP(C21,FYTMSEPT,3,false)</f>
        <v>#REF!</v>
      </c>
      <c r="BE21" s="65" t="e">
        <f t="shared" ref="BE21:BE33" si="107">BC21+BD21-BB21</f>
        <v>#REF!</v>
      </c>
      <c r="BF21" s="47">
        <f>VLOOKUP(C21,MOQ,3,false)</f>
      </c>
      <c r="BI21" s="47" t="e">
        <f t="shared" si="21"/>
        <v>#REF!</v>
      </c>
      <c r="BJ21" s="47">
        <f t="shared" ref="BJ21:BJ33" si="108">AR21</f>
        <v>57.07</v>
      </c>
      <c r="BK21" s="47" t="e">
        <f t="shared" si="23"/>
        <v>#REF!</v>
      </c>
      <c r="BL21" s="65" t="e">
        <f t="shared" ref="BL21:BL33" si="109">BI21+BK21-BJ21</f>
        <v>#REF!</v>
      </c>
      <c r="BM21" s="47">
        <f t="shared" ref="BM21:BM33" si="110">AS21</f>
        <v>48.29</v>
      </c>
      <c r="BO21" s="65" t="e">
        <f t="shared" ref="BO21:BO33" si="111">BL21+BN21-BM21</f>
        <v>#REF!</v>
      </c>
      <c r="BP21" s="47">
        <f t="shared" ref="BP21:BP33" si="112">AT21</f>
        <v>87.8</v>
      </c>
      <c r="BR21" s="65" t="e">
        <f t="shared" ref="BR21:BR33" si="113">BO21+BQ21-BP21</f>
        <v>#REF!</v>
      </c>
      <c r="BS21" s="47">
        <f t="shared" ref="BS21:BS33" si="114">AU21</f>
        <v>87.8</v>
      </c>
      <c r="BU21" s="65" t="e">
        <f t="shared" ref="BU21:BU33" si="115">BR21+BT21-BS21</f>
        <v>#REF!</v>
      </c>
      <c r="BV21" s="47">
        <f t="shared" ref="BV21:BV33" si="116">AV21</f>
        <v>74.63</v>
      </c>
      <c r="BX21" s="65" t="e">
        <f t="shared" ref="BX21:BX33" si="117">BU21+BW21-BV21</f>
        <v>#REF!</v>
      </c>
      <c r="BY21" s="47">
        <f t="shared" ref="BY21:BY33" si="118">AW21</f>
        <v>70.24</v>
      </c>
      <c r="CA21" s="65" t="e">
        <f t="shared" ref="CA21:CA33" si="119">BX21+BZ21-BY21</f>
        <v>#REF!</v>
      </c>
      <c r="CB21" s="47">
        <f t="shared" ref="CB21:CB33" si="120">AX21</f>
        <v>61.46</v>
      </c>
      <c r="CD21" s="65" t="e">
        <f t="shared" ref="CD21:CD33" si="121">CA21+CC21-CB21</f>
        <v>#REF!</v>
      </c>
      <c r="CE21" s="47">
        <f t="shared" ref="CE21:CE33" si="122">AY21</f>
        <v>65.85</v>
      </c>
      <c r="CG21" s="65" t="e">
        <f t="shared" ref="CG21:CG33" si="123">CD21+CF21-CE21</f>
        <v>#REF!</v>
      </c>
      <c r="CH21" s="47">
        <f t="shared" ref="CH21:CH33" si="124">AZ21</f>
        <v>79.02</v>
      </c>
      <c r="CJ21" s="65" t="e">
        <f t="shared" ref="CJ21:CJ33" si="125">CG21+CI21-CH21</f>
        <v>#REF!</v>
      </c>
      <c r="CK21" s="47">
        <f t="shared" ref="CK21:CK33" si="126">BA21</f>
        <v>96.58</v>
      </c>
      <c r="CM21" s="65" t="e">
        <f t="shared" ref="CM21:CM33" si="127">CJ21+CL21-CK21</f>
        <v>#REF!</v>
      </c>
    </row>
    <row r="22" customHeight="1" ht="13.0">
      <c r="A22" s="93" t="s">
        <v>430</v>
      </c>
      <c r="B22" s="93" t="s">
        <v>438</v>
      </c>
      <c r="C22" s="93" t="s">
        <v>443</v>
      </c>
      <c r="D22" s="277" t="s">
        <v>444</v>
      </c>
      <c r="E22" s="93">
        <v>99.0</v>
      </c>
      <c r="F22" s="93">
        <v>137.0</v>
      </c>
      <c r="G22" s="93">
        <v>123.0</v>
      </c>
      <c r="H22" s="93">
        <v>141.0</v>
      </c>
      <c r="I22" s="93">
        <v>41.0</v>
      </c>
      <c r="J22" s="93">
        <v>31.0</v>
      </c>
      <c r="K22" s="93">
        <v>108.0</v>
      </c>
      <c r="L22" s="93">
        <v>105.0</v>
      </c>
      <c r="M22" s="93">
        <v>84.0</v>
      </c>
      <c r="N22" s="93">
        <v>103.0</v>
      </c>
      <c r="O22" s="93">
        <v>90.0</v>
      </c>
      <c r="P22" s="93">
        <v>106.0</v>
      </c>
      <c r="Q22" s="93">
        <v>95.0</v>
      </c>
      <c r="R22" s="93">
        <v>143.0</v>
      </c>
      <c r="S22" s="93">
        <v>155.0</v>
      </c>
      <c r="T22" s="93">
        <v>102.0</v>
      </c>
      <c r="U22" s="93">
        <v>58.0</v>
      </c>
      <c r="V22" s="93">
        <v>89.0</v>
      </c>
      <c r="W22" s="93">
        <v>93.0</v>
      </c>
      <c r="X22" s="93">
        <v>99.0</v>
      </c>
      <c r="Y22" s="93">
        <v>83.0</v>
      </c>
      <c r="Z22" s="93">
        <v>77.0</v>
      </c>
      <c r="AA22" s="93">
        <v>60.0</v>
      </c>
      <c r="AB22" s="93">
        <v>25.0</v>
      </c>
      <c r="AC22" s="93">
        <v>60.0</v>
      </c>
      <c r="AD22" s="93">
        <v>87.0</v>
      </c>
      <c r="AE22" s="93">
        <v>65.0</v>
      </c>
      <c r="AF22" s="93">
        <v>104.0</v>
      </c>
      <c r="AG22" s="93">
        <v>33.0</v>
      </c>
      <c r="AH22" s="93">
        <v>45.0</v>
      </c>
      <c r="AI22" s="93">
        <v>58.0</v>
      </c>
      <c r="AJ22" s="93">
        <v>56.0</v>
      </c>
      <c r="AK22" s="93">
        <v>47.0</v>
      </c>
      <c r="AL22" s="93">
        <v>52.0</v>
      </c>
      <c r="AM22" s="93">
        <v>24.0</v>
      </c>
      <c r="AN22" s="93">
        <v>58.0</v>
      </c>
      <c r="AO22" s="111">
        <f t="shared" si="3"/>
        <v>689.0</v>
      </c>
      <c r="AP22" s="64">
        <f t="shared" si="4"/>
        <v>295.0</v>
      </c>
      <c r="AQ22" s="69">
        <f t="shared" si="5"/>
        <v>324.5</v>
      </c>
      <c r="AR22" s="65">
        <f t="shared" si="96"/>
        <v>41.99</v>
      </c>
      <c r="AS22" s="65">
        <f t="shared" si="97"/>
        <v>35.53</v>
      </c>
      <c r="AT22" s="65">
        <f t="shared" si="98"/>
        <v>64.6</v>
      </c>
      <c r="AU22" s="65">
        <f t="shared" si="99"/>
        <v>64.6</v>
      </c>
      <c r="AV22" s="65">
        <f t="shared" si="100"/>
        <v>54.91</v>
      </c>
      <c r="AW22" s="65">
        <f t="shared" si="101"/>
        <v>51.68</v>
      </c>
      <c r="AX22" s="65">
        <f t="shared" si="102"/>
        <v>45.22</v>
      </c>
      <c r="AY22" s="65">
        <f t="shared" si="103"/>
        <v>48.45</v>
      </c>
      <c r="AZ22" s="65">
        <f t="shared" si="104"/>
        <v>58.14</v>
      </c>
      <c r="BA22" s="65">
        <f t="shared" si="105"/>
        <v>71.06</v>
      </c>
      <c r="BB22" s="64">
        <f t="shared" si="16"/>
        <v>536.18</v>
      </c>
      <c r="BC22" s="47" t="e">
        <f t="shared" si="17"/>
        <v>#REF!</v>
      </c>
      <c r="BD22" s="67" t="e">
        <f t="shared" si="106"/>
        <v>#REF!</v>
      </c>
      <c r="BE22" s="65" t="e">
        <f t="shared" si="107"/>
        <v>#REF!</v>
      </c>
      <c r="BF22" s="47">
        <f>VLOOKUP(C22,MOQ,3,false)</f>
      </c>
      <c r="BG22" s="47" t="e">
        <f>BE22*-1</f>
        <v>#REF!</v>
      </c>
      <c r="BI22" s="47" t="e">
        <f t="shared" si="21"/>
        <v>#REF!</v>
      </c>
      <c r="BJ22" s="47">
        <f t="shared" si="108"/>
        <v>41.99</v>
      </c>
      <c r="BK22" s="47" t="e">
        <f t="shared" si="23"/>
        <v>#REF!</v>
      </c>
      <c r="BL22" s="65" t="e">
        <f t="shared" si="109"/>
        <v>#REF!</v>
      </c>
      <c r="BM22" s="47">
        <f t="shared" si="110"/>
        <v>35.53</v>
      </c>
      <c r="BO22" s="65" t="e">
        <f t="shared" si="111"/>
        <v>#REF!</v>
      </c>
      <c r="BP22" s="47">
        <f t="shared" si="112"/>
        <v>64.6</v>
      </c>
      <c r="BR22" s="65" t="e">
        <f t="shared" si="113"/>
        <v>#REF!</v>
      </c>
      <c r="BS22" s="47">
        <f t="shared" si="114"/>
        <v>64.6</v>
      </c>
      <c r="BU22" s="65" t="e">
        <f t="shared" si="115"/>
        <v>#REF!</v>
      </c>
      <c r="BV22" s="47">
        <f t="shared" si="116"/>
        <v>54.91</v>
      </c>
      <c r="BX22" s="65" t="e">
        <f t="shared" si="117"/>
        <v>#REF!</v>
      </c>
      <c r="BY22" s="47">
        <f t="shared" si="118"/>
        <v>51.68</v>
      </c>
      <c r="CA22" s="65" t="e">
        <f t="shared" si="119"/>
        <v>#REF!</v>
      </c>
      <c r="CB22" s="47">
        <f t="shared" si="120"/>
        <v>45.22</v>
      </c>
      <c r="CD22" s="65" t="e">
        <f t="shared" si="121"/>
        <v>#REF!</v>
      </c>
      <c r="CE22" s="47">
        <f t="shared" si="122"/>
        <v>48.45</v>
      </c>
      <c r="CG22" s="65" t="e">
        <f t="shared" si="123"/>
        <v>#REF!</v>
      </c>
      <c r="CH22" s="47">
        <f t="shared" si="124"/>
        <v>58.14</v>
      </c>
      <c r="CJ22" s="65" t="e">
        <f t="shared" si="125"/>
        <v>#REF!</v>
      </c>
      <c r="CK22" s="47">
        <f t="shared" si="126"/>
        <v>71.06</v>
      </c>
      <c r="CM22" s="65" t="e">
        <f t="shared" si="127"/>
        <v>#REF!</v>
      </c>
    </row>
    <row r="23" customHeight="1" ht="13.0">
      <c r="A23" s="93" t="s">
        <v>430</v>
      </c>
      <c r="B23" s="93" t="s">
        <v>438</v>
      </c>
      <c r="C23" s="93" t="s">
        <v>445</v>
      </c>
      <c r="D23" s="277" t="s">
        <v>446</v>
      </c>
      <c r="E23" s="93">
        <v>0.0</v>
      </c>
      <c r="F23" s="93">
        <v>0.0</v>
      </c>
      <c r="G23" s="93">
        <v>0.0</v>
      </c>
      <c r="H23" s="93">
        <v>0.0</v>
      </c>
      <c r="I23" s="93">
        <v>0.0</v>
      </c>
      <c r="J23" s="93">
        <v>0.0</v>
      </c>
      <c r="K23" s="93">
        <v>0.0</v>
      </c>
      <c r="L23" s="93">
        <v>0.0</v>
      </c>
      <c r="M23" s="93">
        <v>0.0</v>
      </c>
      <c r="N23" s="93">
        <v>0.0</v>
      </c>
      <c r="O23" s="93">
        <v>9.0</v>
      </c>
      <c r="P23" s="93">
        <v>42.0</v>
      </c>
      <c r="Q23" s="93">
        <v>46.0</v>
      </c>
      <c r="R23" s="93">
        <v>27.0</v>
      </c>
      <c r="S23" s="93">
        <v>36.0</v>
      </c>
      <c r="T23" s="93">
        <v>27.0</v>
      </c>
      <c r="U23" s="93">
        <v>15.0</v>
      </c>
      <c r="V23" s="93">
        <v>36.0</v>
      </c>
      <c r="W23" s="93">
        <v>27.0</v>
      </c>
      <c r="X23" s="93">
        <v>33.0</v>
      </c>
      <c r="Y23" s="93">
        <v>12.0</v>
      </c>
      <c r="Z23" s="93">
        <v>21.0</v>
      </c>
      <c r="AA23" s="93">
        <v>23.0</v>
      </c>
      <c r="AB23" s="93">
        <v>1.0</v>
      </c>
      <c r="AC23" s="93">
        <v>25.0</v>
      </c>
      <c r="AD23" s="93">
        <v>15.0</v>
      </c>
      <c r="AE23" s="93">
        <v>21.0</v>
      </c>
      <c r="AF23" s="93">
        <v>18.0</v>
      </c>
      <c r="AG23" s="93">
        <v>9.0</v>
      </c>
      <c r="AH23" s="93">
        <v>12.0</v>
      </c>
      <c r="AI23" s="93">
        <v>15.0</v>
      </c>
      <c r="AJ23" s="93">
        <v>3.0</v>
      </c>
      <c r="AK23" s="93">
        <v>6.0</v>
      </c>
      <c r="AL23" s="93">
        <v>12.0</v>
      </c>
      <c r="AM23" s="93">
        <v>6.0</v>
      </c>
      <c r="AN23" s="93">
        <v>6.0</v>
      </c>
      <c r="AO23" s="111">
        <f t="shared" si="3"/>
        <v>148.0</v>
      </c>
      <c r="AP23" s="64">
        <f t="shared" si="4"/>
        <v>48.0</v>
      </c>
      <c r="AQ23" s="69">
        <f t="shared" si="5"/>
        <v>52.8</v>
      </c>
      <c r="AR23" s="65">
        <f t="shared" si="96"/>
        <v>9.88</v>
      </c>
      <c r="AS23" s="65">
        <f t="shared" si="97"/>
        <v>8.36</v>
      </c>
      <c r="AT23" s="65">
        <f t="shared" si="98"/>
        <v>15.2</v>
      </c>
      <c r="AU23" s="65">
        <f t="shared" si="99"/>
        <v>15.2</v>
      </c>
      <c r="AV23" s="65">
        <f t="shared" si="100"/>
        <v>12.92</v>
      </c>
      <c r="AW23" s="65">
        <f t="shared" si="101"/>
        <v>12.16</v>
      </c>
      <c r="AX23" s="65">
        <f t="shared" si="102"/>
        <v>10.64</v>
      </c>
      <c r="AY23" s="65">
        <f t="shared" si="103"/>
        <v>11.4</v>
      </c>
      <c r="AZ23" s="65">
        <f t="shared" si="104"/>
        <v>13.68</v>
      </c>
      <c r="BA23" s="65">
        <f t="shared" si="105"/>
        <v>16.72</v>
      </c>
      <c r="BB23" s="64">
        <f t="shared" si="16"/>
        <v>126.16</v>
      </c>
      <c r="BC23" s="47" t="e">
        <f t="shared" si="17"/>
        <v>#REF!</v>
      </c>
      <c r="BD23" s="67"/>
      <c r="BE23" s="65" t="e">
        <f t="shared" si="107"/>
        <v>#REF!</v>
      </c>
      <c r="BF23" s="47">
        <f>VLOOKUP(C23,MOQ,3,false)</f>
        <v>308.0</v>
      </c>
      <c r="BI23" s="47" t="e">
        <f t="shared" si="21"/>
        <v>#REF!</v>
      </c>
      <c r="BJ23" s="47">
        <f t="shared" si="108"/>
        <v>9.88</v>
      </c>
      <c r="BK23" s="47">
        <f t="shared" si="23"/>
      </c>
      <c r="BL23" s="65" t="e">
        <f t="shared" si="109"/>
        <v>#REF!</v>
      </c>
      <c r="BM23" s="47">
        <f t="shared" si="110"/>
        <v>8.36</v>
      </c>
      <c r="BO23" s="65" t="e">
        <f t="shared" si="111"/>
        <v>#REF!</v>
      </c>
      <c r="BP23" s="47">
        <f t="shared" si="112"/>
        <v>15.2</v>
      </c>
      <c r="BR23" s="65" t="e">
        <f t="shared" si="113"/>
        <v>#REF!</v>
      </c>
      <c r="BS23" s="47">
        <f t="shared" si="114"/>
        <v>15.2</v>
      </c>
      <c r="BU23" s="65" t="e">
        <f t="shared" si="115"/>
        <v>#REF!</v>
      </c>
      <c r="BV23" s="47">
        <f t="shared" si="116"/>
        <v>12.92</v>
      </c>
      <c r="BX23" s="65" t="e">
        <f t="shared" si="117"/>
        <v>#REF!</v>
      </c>
      <c r="BY23" s="47">
        <f t="shared" si="118"/>
        <v>12.16</v>
      </c>
      <c r="CA23" s="65" t="e">
        <f t="shared" si="119"/>
        <v>#REF!</v>
      </c>
      <c r="CB23" s="47">
        <f t="shared" si="120"/>
        <v>10.64</v>
      </c>
      <c r="CD23" s="65" t="e">
        <f t="shared" si="121"/>
        <v>#REF!</v>
      </c>
      <c r="CE23" s="47">
        <f t="shared" si="122"/>
        <v>11.4</v>
      </c>
      <c r="CG23" s="65" t="e">
        <f t="shared" si="123"/>
        <v>#REF!</v>
      </c>
      <c r="CH23" s="47">
        <f t="shared" si="124"/>
        <v>13.68</v>
      </c>
      <c r="CJ23" s="65" t="e">
        <f t="shared" si="125"/>
        <v>#REF!</v>
      </c>
      <c r="CK23" s="47">
        <f t="shared" si="126"/>
        <v>16.72</v>
      </c>
      <c r="CM23" s="65" t="e">
        <f t="shared" si="127"/>
        <v>#REF!</v>
      </c>
    </row>
    <row r="24" customHeight="1" ht="13.0">
      <c r="A24" s="93" t="s">
        <v>430</v>
      </c>
      <c r="B24" s="93" t="s">
        <v>438</v>
      </c>
      <c r="C24" s="93" t="s">
        <v>448</v>
      </c>
      <c r="D24" s="277" t="s">
        <v>449</v>
      </c>
      <c r="E24" s="93">
        <v>29.0</v>
      </c>
      <c r="F24" s="93">
        <v>69.0</v>
      </c>
      <c r="G24" s="93">
        <v>96.0</v>
      </c>
      <c r="H24" s="93">
        <v>93.0</v>
      </c>
      <c r="I24" s="93">
        <v>27.0</v>
      </c>
      <c r="J24" s="93">
        <v>12.0</v>
      </c>
      <c r="K24" s="93">
        <v>42.0</v>
      </c>
      <c r="L24" s="93">
        <v>37.0</v>
      </c>
      <c r="M24" s="93">
        <v>57.0</v>
      </c>
      <c r="N24" s="93">
        <v>52.0</v>
      </c>
      <c r="O24" s="93">
        <v>36.0</v>
      </c>
      <c r="P24" s="93">
        <v>45.0</v>
      </c>
      <c r="Q24" s="93">
        <v>27.0</v>
      </c>
      <c r="R24" s="93">
        <v>30.0</v>
      </c>
      <c r="S24" s="93">
        <v>48.0</v>
      </c>
      <c r="T24" s="93">
        <v>21.0</v>
      </c>
      <c r="U24" s="93">
        <v>20.0</v>
      </c>
      <c r="V24" s="93">
        <v>18.0</v>
      </c>
      <c r="W24" s="93">
        <v>21.0</v>
      </c>
      <c r="X24" s="93">
        <v>24.0</v>
      </c>
      <c r="Y24" s="93">
        <v>18.0</v>
      </c>
      <c r="Z24" s="93">
        <v>26.0</v>
      </c>
      <c r="AA24" s="93">
        <v>25.0</v>
      </c>
      <c r="AB24" s="93">
        <v>22.0</v>
      </c>
      <c r="AC24" s="93">
        <v>28.0</v>
      </c>
      <c r="AD24" s="93">
        <v>24.0</v>
      </c>
      <c r="AE24" s="93">
        <v>33.0</v>
      </c>
      <c r="AF24" s="93">
        <v>21.0</v>
      </c>
      <c r="AG24" s="93">
        <v>12.0</v>
      </c>
      <c r="AH24" s="93">
        <v>6.0</v>
      </c>
      <c r="AI24" s="93">
        <v>30.0</v>
      </c>
      <c r="AJ24" s="93">
        <v>12.0</v>
      </c>
      <c r="AK24" s="93">
        <v>18.0</v>
      </c>
      <c r="AL24" s="93">
        <v>22.0</v>
      </c>
      <c r="AM24" s="93">
        <v>19.0</v>
      </c>
      <c r="AN24" s="93">
        <v>9.0</v>
      </c>
      <c r="AO24" s="111">
        <f t="shared" si="3"/>
        <v>234.0</v>
      </c>
      <c r="AP24" s="64">
        <f t="shared" si="4"/>
        <v>110.0</v>
      </c>
      <c r="AQ24" s="69">
        <f t="shared" si="5"/>
        <v>121.0</v>
      </c>
      <c r="AR24" s="65">
        <f t="shared" si="96"/>
        <v>17.94</v>
      </c>
      <c r="AS24" s="65">
        <f t="shared" si="97"/>
        <v>15.18</v>
      </c>
      <c r="AT24" s="65">
        <f t="shared" si="98"/>
        <v>27.6</v>
      </c>
      <c r="AU24" s="65">
        <f t="shared" si="99"/>
        <v>27.6</v>
      </c>
      <c r="AV24" s="65">
        <f t="shared" si="100"/>
        <v>23.46</v>
      </c>
      <c r="AW24" s="65">
        <f t="shared" si="101"/>
        <v>22.08</v>
      </c>
      <c r="AX24" s="65">
        <f t="shared" si="102"/>
        <v>19.32</v>
      </c>
      <c r="AY24" s="65">
        <f t="shared" si="103"/>
        <v>20.7</v>
      </c>
      <c r="AZ24" s="65">
        <f t="shared" si="104"/>
        <v>24.84</v>
      </c>
      <c r="BA24" s="65">
        <f t="shared" si="105"/>
        <v>30.36</v>
      </c>
      <c r="BB24" s="64">
        <f t="shared" si="16"/>
        <v>229.08</v>
      </c>
      <c r="BC24" s="47" t="e">
        <f t="shared" si="17"/>
        <v>#REF!</v>
      </c>
      <c r="BD24" s="67"/>
      <c r="BE24" s="65" t="e">
        <f t="shared" si="107"/>
        <v>#REF!</v>
      </c>
      <c r="BF24" s="47">
        <f>VLOOKUP(C24,MOQ,3,false)</f>
        <v>120.0</v>
      </c>
      <c r="BG24" s="47">
        <f t="shared" ref="BG24:BG25" si="129">BF24</f>
        <v>120.0</v>
      </c>
      <c r="BI24" s="47" t="e">
        <f t="shared" si="21"/>
        <v>#REF!</v>
      </c>
      <c r="BJ24" s="47">
        <f t="shared" si="108"/>
        <v>17.94</v>
      </c>
      <c r="BK24" s="47">
        <f t="shared" si="23"/>
      </c>
      <c r="BL24" s="65" t="e">
        <f t="shared" si="109"/>
        <v>#REF!</v>
      </c>
      <c r="BM24" s="47">
        <f t="shared" si="110"/>
        <v>15.18</v>
      </c>
      <c r="BO24" s="65" t="e">
        <f t="shared" si="111"/>
        <v>#REF!</v>
      </c>
      <c r="BP24" s="47">
        <f t="shared" si="112"/>
        <v>27.6</v>
      </c>
      <c r="BR24" s="65" t="e">
        <f t="shared" si="113"/>
        <v>#REF!</v>
      </c>
      <c r="BS24" s="47">
        <f t="shared" si="114"/>
        <v>27.6</v>
      </c>
      <c r="BU24" s="65" t="e">
        <f t="shared" si="115"/>
        <v>#REF!</v>
      </c>
      <c r="BV24" s="47">
        <f t="shared" si="116"/>
        <v>23.46</v>
      </c>
      <c r="BX24" s="65" t="e">
        <f t="shared" si="117"/>
        <v>#REF!</v>
      </c>
      <c r="BY24" s="47">
        <f t="shared" si="118"/>
        <v>22.08</v>
      </c>
      <c r="CA24" s="65" t="e">
        <f t="shared" si="119"/>
        <v>#REF!</v>
      </c>
      <c r="CB24" s="47">
        <f t="shared" si="120"/>
        <v>19.32</v>
      </c>
      <c r="CD24" s="65" t="e">
        <f t="shared" si="121"/>
        <v>#REF!</v>
      </c>
      <c r="CE24" s="47">
        <f t="shared" si="122"/>
        <v>20.7</v>
      </c>
      <c r="CG24" s="65" t="e">
        <f t="shared" si="123"/>
        <v>#REF!</v>
      </c>
      <c r="CH24" s="47">
        <f t="shared" si="124"/>
        <v>24.84</v>
      </c>
      <c r="CJ24" s="65" t="e">
        <f t="shared" si="125"/>
        <v>#REF!</v>
      </c>
      <c r="CK24" s="47">
        <f t="shared" si="126"/>
        <v>30.36</v>
      </c>
      <c r="CM24" s="65" t="e">
        <f t="shared" si="127"/>
        <v>#REF!</v>
      </c>
    </row>
    <row r="25" customHeight="1" ht="13.0">
      <c r="A25" s="93" t="s">
        <v>430</v>
      </c>
      <c r="B25" s="93" t="s">
        <v>438</v>
      </c>
      <c r="C25" s="93" t="s">
        <v>451</v>
      </c>
      <c r="D25" s="277" t="s">
        <v>452</v>
      </c>
      <c r="E25" s="93">
        <v>0.0</v>
      </c>
      <c r="F25" s="93">
        <v>0.0</v>
      </c>
      <c r="G25" s="93">
        <v>0.0</v>
      </c>
      <c r="H25" s="93">
        <v>0.0</v>
      </c>
      <c r="I25" s="93">
        <v>0.0</v>
      </c>
      <c r="J25" s="93">
        <v>0.0</v>
      </c>
      <c r="K25" s="93">
        <v>0.0</v>
      </c>
      <c r="L25" s="93">
        <v>0.0</v>
      </c>
      <c r="M25" s="93">
        <v>0.0</v>
      </c>
      <c r="N25" s="93">
        <v>3.0</v>
      </c>
      <c r="O25" s="93">
        <v>41.0</v>
      </c>
      <c r="P25" s="93">
        <v>78.0</v>
      </c>
      <c r="Q25" s="93">
        <v>57.0</v>
      </c>
      <c r="R25" s="93">
        <v>54.0</v>
      </c>
      <c r="S25" s="93">
        <v>69.0</v>
      </c>
      <c r="T25" s="93">
        <v>39.0</v>
      </c>
      <c r="U25" s="93">
        <v>21.0</v>
      </c>
      <c r="V25" s="93">
        <v>12.0</v>
      </c>
      <c r="W25" s="93">
        <v>33.0</v>
      </c>
      <c r="X25" s="93">
        <v>36.0</v>
      </c>
      <c r="Y25" s="93">
        <v>54.0</v>
      </c>
      <c r="Z25" s="93">
        <v>27.0</v>
      </c>
      <c r="AA25" s="93">
        <v>26.0</v>
      </c>
      <c r="AB25" s="93">
        <v>31.0</v>
      </c>
      <c r="AC25" s="93">
        <v>25.0</v>
      </c>
      <c r="AD25" s="93">
        <v>42.0</v>
      </c>
      <c r="AE25" s="93">
        <v>42.0</v>
      </c>
      <c r="AF25" s="93">
        <v>42.0</v>
      </c>
      <c r="AG25" s="93">
        <v>12.0</v>
      </c>
      <c r="AH25" s="93">
        <v>6.0</v>
      </c>
      <c r="AI25" s="93">
        <v>39.0</v>
      </c>
      <c r="AJ25" s="93">
        <v>9.0</v>
      </c>
      <c r="AK25" s="93">
        <v>6.0</v>
      </c>
      <c r="AL25" s="93">
        <v>18.0</v>
      </c>
      <c r="AM25" s="93">
        <v>21.0</v>
      </c>
      <c r="AN25" s="93">
        <v>18.0</v>
      </c>
      <c r="AO25" s="111">
        <f t="shared" si="3"/>
        <v>280.0</v>
      </c>
      <c r="AP25" s="64">
        <f t="shared" si="4"/>
        <v>111.0</v>
      </c>
      <c r="AQ25" s="69">
        <f t="shared" si="5"/>
        <v>122.1</v>
      </c>
      <c r="AR25" s="65">
        <f t="shared" si="96"/>
        <v>18.07</v>
      </c>
      <c r="AS25" s="65">
        <f t="shared" si="97"/>
        <v>15.29</v>
      </c>
      <c r="AT25" s="65">
        <f t="shared" si="98"/>
        <v>27.8</v>
      </c>
      <c r="AU25" s="65">
        <f t="shared" si="99"/>
        <v>27.8</v>
      </c>
      <c r="AV25" s="65">
        <f t="shared" si="100"/>
        <v>23.63</v>
      </c>
      <c r="AW25" s="65">
        <f t="shared" si="101"/>
        <v>22.24</v>
      </c>
      <c r="AX25" s="65">
        <f t="shared" si="102"/>
        <v>19.46</v>
      </c>
      <c r="AY25" s="65">
        <f t="shared" si="103"/>
        <v>20.85</v>
      </c>
      <c r="AZ25" s="65">
        <f t="shared" si="104"/>
        <v>25.02</v>
      </c>
      <c r="BA25" s="65">
        <f t="shared" si="105"/>
        <v>30.58</v>
      </c>
      <c r="BB25" s="64">
        <f t="shared" si="16"/>
        <v>230.74</v>
      </c>
      <c r="BC25" s="47" t="e">
        <f t="shared" si="17"/>
        <v>#REF!</v>
      </c>
      <c r="BD25" s="67"/>
      <c r="BE25" s="65" t="e">
        <f t="shared" si="107"/>
        <v>#REF!</v>
      </c>
      <c r="BF25" s="47">
        <f>VLOOKUP(C25,MOQ,3,false)</f>
        <v>136.0</v>
      </c>
      <c r="BG25" s="47">
        <f t="shared" si="129"/>
        <v>136.0</v>
      </c>
      <c r="BI25" s="47" t="e">
        <f t="shared" si="21"/>
        <v>#REF!</v>
      </c>
      <c r="BJ25" s="47">
        <f t="shared" si="108"/>
        <v>18.07</v>
      </c>
      <c r="BK25" s="47">
        <f t="shared" si="23"/>
      </c>
      <c r="BL25" s="65" t="e">
        <f t="shared" si="109"/>
        <v>#REF!</v>
      </c>
      <c r="BM25" s="47">
        <f t="shared" si="110"/>
        <v>15.29</v>
      </c>
      <c r="BO25" s="65" t="e">
        <f t="shared" si="111"/>
        <v>#REF!</v>
      </c>
      <c r="BP25" s="47">
        <f t="shared" si="112"/>
        <v>27.8</v>
      </c>
      <c r="BR25" s="65" t="e">
        <f t="shared" si="113"/>
        <v>#REF!</v>
      </c>
      <c r="BS25" s="47">
        <f t="shared" si="114"/>
        <v>27.8</v>
      </c>
      <c r="BU25" s="65" t="e">
        <f t="shared" si="115"/>
        <v>#REF!</v>
      </c>
      <c r="BV25" s="47">
        <f t="shared" si="116"/>
        <v>23.63</v>
      </c>
      <c r="BX25" s="65" t="e">
        <f t="shared" si="117"/>
        <v>#REF!</v>
      </c>
      <c r="BY25" s="47">
        <f t="shared" si="118"/>
        <v>22.24</v>
      </c>
      <c r="CA25" s="65" t="e">
        <f t="shared" si="119"/>
        <v>#REF!</v>
      </c>
      <c r="CB25" s="47">
        <f t="shared" si="120"/>
        <v>19.46</v>
      </c>
      <c r="CD25" s="65" t="e">
        <f t="shared" si="121"/>
        <v>#REF!</v>
      </c>
      <c r="CE25" s="47">
        <f t="shared" si="122"/>
        <v>20.85</v>
      </c>
      <c r="CG25" s="65" t="e">
        <f t="shared" si="123"/>
        <v>#REF!</v>
      </c>
      <c r="CH25" s="47">
        <f t="shared" si="124"/>
        <v>25.02</v>
      </c>
      <c r="CJ25" s="65" t="e">
        <f t="shared" si="125"/>
        <v>#REF!</v>
      </c>
      <c r="CK25" s="47">
        <f t="shared" si="126"/>
        <v>30.58</v>
      </c>
      <c r="CM25" s="65" t="e">
        <f t="shared" si="127"/>
        <v>#REF!</v>
      </c>
      <c r="CR25" s="64" t="e">
        <f>CA25*-1</f>
        <v>#REF!</v>
      </c>
    </row>
    <row r="26" customHeight="1" ht="13.0">
      <c r="A26" s="93" t="s">
        <v>430</v>
      </c>
      <c r="B26" s="93" t="s">
        <v>53</v>
      </c>
      <c r="C26" s="93" t="s">
        <v>485</v>
      </c>
      <c r="D26" s="229" t="s">
        <v>486</v>
      </c>
      <c r="E26" s="93">
        <v>0.0</v>
      </c>
      <c r="F26" s="93">
        <v>0.0</v>
      </c>
      <c r="G26" s="93">
        <v>0.0</v>
      </c>
      <c r="H26" s="93">
        <v>0.0</v>
      </c>
      <c r="I26" s="93">
        <v>0.0</v>
      </c>
      <c r="J26" s="93">
        <v>0.0</v>
      </c>
      <c r="K26" s="93">
        <v>0.0</v>
      </c>
      <c r="L26" s="93">
        <v>0.0</v>
      </c>
      <c r="M26" s="93">
        <v>0.0</v>
      </c>
      <c r="N26" s="93">
        <v>0.0</v>
      </c>
      <c r="O26" s="93">
        <v>0.0</v>
      </c>
      <c r="P26" s="93">
        <v>0.0</v>
      </c>
      <c r="Q26" s="93">
        <v>0.0</v>
      </c>
      <c r="R26" s="93">
        <v>0.0</v>
      </c>
      <c r="S26" s="93">
        <v>0.0</v>
      </c>
      <c r="T26" s="93">
        <v>0.0</v>
      </c>
      <c r="U26" s="93">
        <v>0.0</v>
      </c>
      <c r="V26" s="93">
        <v>21.0</v>
      </c>
      <c r="W26" s="93">
        <v>37.0</v>
      </c>
      <c r="X26" s="93">
        <v>50.0</v>
      </c>
      <c r="Y26" s="93">
        <v>48.0</v>
      </c>
      <c r="Z26" s="93">
        <v>6.0</v>
      </c>
      <c r="AA26" s="93">
        <v>3.0</v>
      </c>
      <c r="AB26" s="93">
        <v>7.0</v>
      </c>
      <c r="AC26" s="93">
        <v>12.0</v>
      </c>
      <c r="AD26" s="93">
        <v>21.0</v>
      </c>
      <c r="AE26" s="93">
        <v>9.0</v>
      </c>
      <c r="AF26" s="93">
        <v>18.0</v>
      </c>
      <c r="AG26" s="93">
        <v>12.0</v>
      </c>
      <c r="AH26" s="93">
        <v>6.0</v>
      </c>
      <c r="AI26" s="93">
        <v>12.0</v>
      </c>
      <c r="AJ26" s="93">
        <v>9.0</v>
      </c>
      <c r="AK26" s="93">
        <v>3.0</v>
      </c>
      <c r="AL26" s="93">
        <v>12.0</v>
      </c>
      <c r="AM26" s="93">
        <v>3.0</v>
      </c>
      <c r="AN26" s="93">
        <v>15.0</v>
      </c>
      <c r="AO26" s="111">
        <f t="shared" si="3"/>
        <v>132.0</v>
      </c>
      <c r="AP26" s="64">
        <f t="shared" si="4"/>
        <v>54.0</v>
      </c>
      <c r="AQ26" s="69">
        <f t="shared" si="5"/>
        <v>59.4</v>
      </c>
      <c r="AR26" s="65">
        <f t="shared" ref="AR26:AR34" si="131">AQ26*$AR$5/$AQ$5</f>
        <v>7.02</v>
      </c>
      <c r="AS26" s="65">
        <f t="shared" ref="AS26:AS34" si="132">AQ26*$AS$5/$AQ$5</f>
        <v>5.94</v>
      </c>
      <c r="AT26" s="65">
        <f t="shared" ref="AT26:AT34" si="133">AQ26*$AT$5/$AQ$5</f>
        <v>10.8</v>
      </c>
      <c r="AU26" s="65">
        <f t="shared" ref="AU26:AU34" si="134">AQ26*$AU$5/$AQ$5</f>
        <v>10.8</v>
      </c>
      <c r="AV26" s="65">
        <f t="shared" ref="AV26:AV34" si="135">AQ26*$AV$5/$AQ$5</f>
        <v>9.18</v>
      </c>
      <c r="AW26" s="65">
        <f t="shared" ref="AW26:AW34" si="136">AQ26*$AW$5/$AQ$5</f>
        <v>8.64</v>
      </c>
      <c r="AX26" s="65">
        <f t="shared" ref="AX26:AX34" si="137">AQ26*$AX$5/$AQ$5</f>
        <v>7.56</v>
      </c>
      <c r="AY26" s="65">
        <f t="shared" ref="AY26:AY34" si="138">AQ26*$AY$5/$AQ$5</f>
        <v>8.1</v>
      </c>
      <c r="AZ26" s="65">
        <f t="shared" ref="AZ26:AZ34" si="139">AQ26*$AZ$5/$AQ$5</f>
        <v>9.72</v>
      </c>
      <c r="BA26" s="65">
        <f t="shared" ref="BA26:BA34" si="140">AQ26*$BA$5/$AQ$5</f>
        <v>11.88</v>
      </c>
      <c r="BB26" s="64">
        <f t="shared" si="16"/>
        <v>89.64</v>
      </c>
      <c r="BC26" s="47" t="e">
        <f t="shared" si="17"/>
        <v>#REF!</v>
      </c>
      <c r="BD26" s="67"/>
      <c r="BE26" s="65" t="e">
        <f t="shared" si="107"/>
        <v>#REF!</v>
      </c>
      <c r="BF26" s="47">
        <f>VLOOKUP(C26,MOQ,3,false)</f>
      </c>
      <c r="BI26" s="47" t="e">
        <f t="shared" si="21"/>
        <v>#REF!</v>
      </c>
      <c r="BJ26" s="47">
        <f t="shared" si="108"/>
        <v>7.02</v>
      </c>
      <c r="BK26" s="47">
        <f t="shared" si="23"/>
      </c>
      <c r="BL26" s="65" t="e">
        <f t="shared" si="109"/>
        <v>#REF!</v>
      </c>
      <c r="BM26" s="47">
        <f t="shared" si="110"/>
        <v>5.94</v>
      </c>
      <c r="BO26" s="65" t="e">
        <f t="shared" si="111"/>
        <v>#REF!</v>
      </c>
      <c r="BP26" s="47">
        <f t="shared" si="112"/>
        <v>10.8</v>
      </c>
      <c r="BR26" s="65" t="e">
        <f t="shared" si="113"/>
        <v>#REF!</v>
      </c>
      <c r="BS26" s="47">
        <f t="shared" si="114"/>
        <v>10.8</v>
      </c>
      <c r="BU26" s="65" t="e">
        <f t="shared" si="115"/>
        <v>#REF!</v>
      </c>
      <c r="BV26" s="47">
        <f t="shared" si="116"/>
        <v>9.18</v>
      </c>
      <c r="BX26" s="65" t="e">
        <f t="shared" si="117"/>
        <v>#REF!</v>
      </c>
      <c r="BY26" s="47">
        <f t="shared" si="118"/>
        <v>8.64</v>
      </c>
      <c r="CA26" s="65" t="e">
        <f t="shared" si="119"/>
        <v>#REF!</v>
      </c>
      <c r="CB26" s="47">
        <f t="shared" si="120"/>
        <v>7.56</v>
      </c>
      <c r="CD26" s="65" t="e">
        <f t="shared" si="121"/>
        <v>#REF!</v>
      </c>
      <c r="CE26" s="47">
        <f t="shared" si="122"/>
        <v>8.1</v>
      </c>
      <c r="CG26" s="65" t="e">
        <f t="shared" si="123"/>
        <v>#REF!</v>
      </c>
      <c r="CH26" s="47">
        <f t="shared" si="124"/>
        <v>9.72</v>
      </c>
      <c r="CJ26" s="65" t="e">
        <f t="shared" si="125"/>
        <v>#REF!</v>
      </c>
      <c r="CK26" s="47">
        <f t="shared" si="126"/>
        <v>11.88</v>
      </c>
      <c r="CM26" s="65" t="e">
        <f t="shared" si="127"/>
        <v>#REF!</v>
      </c>
    </row>
    <row r="27" customHeight="1" ht="13.0">
      <c r="A27" s="93" t="s">
        <v>430</v>
      </c>
      <c r="B27" s="93" t="s">
        <v>438</v>
      </c>
      <c r="C27" s="93" t="s">
        <v>454</v>
      </c>
      <c r="D27" s="229" t="s">
        <v>455</v>
      </c>
      <c r="E27" s="93">
        <v>0.0</v>
      </c>
      <c r="F27" s="93">
        <v>0.0</v>
      </c>
      <c r="G27" s="93">
        <v>0.0</v>
      </c>
      <c r="H27" s="93">
        <v>0.0</v>
      </c>
      <c r="I27" s="93">
        <v>0.0</v>
      </c>
      <c r="J27" s="93">
        <v>0.0</v>
      </c>
      <c r="K27" s="93">
        <v>0.0</v>
      </c>
      <c r="L27" s="93">
        <v>0.0</v>
      </c>
      <c r="M27" s="93">
        <v>0.0</v>
      </c>
      <c r="N27" s="93">
        <v>11.0</v>
      </c>
      <c r="O27" s="93">
        <v>76.0</v>
      </c>
      <c r="P27" s="93">
        <v>96.0</v>
      </c>
      <c r="Q27" s="93">
        <v>71.0</v>
      </c>
      <c r="R27" s="93">
        <v>54.0</v>
      </c>
      <c r="S27" s="93">
        <v>63.0</v>
      </c>
      <c r="T27" s="93">
        <v>33.0</v>
      </c>
      <c r="U27" s="93">
        <v>18.0</v>
      </c>
      <c r="V27" s="93">
        <v>18.0</v>
      </c>
      <c r="W27" s="93">
        <v>90.0</v>
      </c>
      <c r="X27" s="93">
        <v>75.0</v>
      </c>
      <c r="Y27" s="93">
        <v>90.0</v>
      </c>
      <c r="Z27" s="93">
        <v>24.0</v>
      </c>
      <c r="AA27" s="93">
        <v>21.0</v>
      </c>
      <c r="AB27" s="93">
        <v>10.0</v>
      </c>
      <c r="AC27" s="93">
        <v>28.0</v>
      </c>
      <c r="AD27" s="93">
        <v>27.0</v>
      </c>
      <c r="AE27" s="93">
        <v>12.0</v>
      </c>
      <c r="AF27" s="93">
        <v>33.0</v>
      </c>
      <c r="AG27" s="93">
        <v>15.0</v>
      </c>
      <c r="AH27" s="93">
        <v>12.0</v>
      </c>
      <c r="AI27" s="93">
        <v>27.0</v>
      </c>
      <c r="AJ27" s="93">
        <v>27.0</v>
      </c>
      <c r="AK27" s="93">
        <v>30.0</v>
      </c>
      <c r="AL27" s="93">
        <v>27.0</v>
      </c>
      <c r="AM27" s="93">
        <v>21.0</v>
      </c>
      <c r="AN27" s="93">
        <v>18.0</v>
      </c>
      <c r="AO27" s="111">
        <f t="shared" si="3"/>
        <v>277.0</v>
      </c>
      <c r="AP27" s="64">
        <f t="shared" si="4"/>
        <v>150.0</v>
      </c>
      <c r="AQ27" s="69">
        <f t="shared" si="5"/>
        <v>165.0</v>
      </c>
      <c r="AR27" s="65">
        <f t="shared" si="131"/>
        <v>19.5</v>
      </c>
      <c r="AS27" s="65">
        <f t="shared" si="132"/>
        <v>16.5</v>
      </c>
      <c r="AT27" s="65">
        <f t="shared" si="133"/>
        <v>30.0</v>
      </c>
      <c r="AU27" s="65">
        <f t="shared" si="134"/>
        <v>30.0</v>
      </c>
      <c r="AV27" s="65">
        <f t="shared" si="135"/>
        <v>25.5</v>
      </c>
      <c r="AW27" s="65">
        <f t="shared" si="136"/>
        <v>24.0</v>
      </c>
      <c r="AX27" s="65">
        <f t="shared" si="137"/>
        <v>21.0</v>
      </c>
      <c r="AY27" s="65">
        <f t="shared" si="138"/>
        <v>22.5</v>
      </c>
      <c r="AZ27" s="65">
        <f t="shared" si="139"/>
        <v>27.0</v>
      </c>
      <c r="BA27" s="65">
        <f t="shared" si="140"/>
        <v>33.0</v>
      </c>
      <c r="BB27" s="64">
        <f t="shared" si="16"/>
        <v>249.0</v>
      </c>
      <c r="BC27" s="47" t="e">
        <f t="shared" si="17"/>
        <v>#REF!</v>
      </c>
      <c r="BD27" s="67"/>
      <c r="BE27" s="65" t="e">
        <f t="shared" si="107"/>
        <v>#REF!</v>
      </c>
      <c r="BF27" s="47">
        <f>VLOOKUP(C27,MOQ,3,false)</f>
      </c>
      <c r="BI27" s="47" t="e">
        <f t="shared" si="21"/>
        <v>#REF!</v>
      </c>
      <c r="BJ27" s="47">
        <f t="shared" si="108"/>
        <v>19.5</v>
      </c>
      <c r="BK27" s="47">
        <f t="shared" si="23"/>
      </c>
      <c r="BL27" s="65" t="e">
        <f t="shared" si="109"/>
        <v>#REF!</v>
      </c>
      <c r="BM27" s="47">
        <f t="shared" si="110"/>
        <v>16.5</v>
      </c>
      <c r="BO27" s="65" t="e">
        <f t="shared" si="111"/>
        <v>#REF!</v>
      </c>
      <c r="BP27" s="47">
        <f t="shared" si="112"/>
        <v>30.0</v>
      </c>
      <c r="BR27" s="65" t="e">
        <f t="shared" si="113"/>
        <v>#REF!</v>
      </c>
      <c r="BS27" s="47">
        <f t="shared" si="114"/>
        <v>30.0</v>
      </c>
      <c r="BU27" s="65" t="e">
        <f t="shared" si="115"/>
        <v>#REF!</v>
      </c>
      <c r="BV27" s="47">
        <f t="shared" si="116"/>
        <v>25.5</v>
      </c>
      <c r="BX27" s="65" t="e">
        <f t="shared" si="117"/>
        <v>#REF!</v>
      </c>
      <c r="BY27" s="47">
        <f t="shared" si="118"/>
        <v>24.0</v>
      </c>
      <c r="CA27" s="65" t="e">
        <f t="shared" si="119"/>
        <v>#REF!</v>
      </c>
      <c r="CB27" s="47">
        <f t="shared" si="120"/>
        <v>21.0</v>
      </c>
      <c r="CD27" s="65" t="e">
        <f t="shared" si="121"/>
        <v>#REF!</v>
      </c>
      <c r="CE27" s="47">
        <f t="shared" si="122"/>
        <v>22.5</v>
      </c>
      <c r="CG27" s="65" t="e">
        <f t="shared" si="123"/>
        <v>#REF!</v>
      </c>
      <c r="CH27" s="47">
        <f t="shared" si="124"/>
        <v>27.0</v>
      </c>
      <c r="CJ27" s="65" t="e">
        <f t="shared" si="125"/>
        <v>#REF!</v>
      </c>
      <c r="CK27" s="47">
        <f t="shared" si="126"/>
        <v>33.0</v>
      </c>
      <c r="CM27" s="65" t="e">
        <f t="shared" si="127"/>
        <v>#REF!</v>
      </c>
    </row>
    <row r="28" customHeight="1" ht="13.0">
      <c r="A28" s="93" t="s">
        <v>430</v>
      </c>
      <c r="B28" s="93" t="s">
        <v>438</v>
      </c>
      <c r="C28" s="93" t="s">
        <v>456</v>
      </c>
      <c r="D28" s="229" t="s">
        <v>457</v>
      </c>
      <c r="E28" s="93">
        <v>0.0</v>
      </c>
      <c r="F28" s="93">
        <v>0.0</v>
      </c>
      <c r="G28" s="93">
        <v>0.0</v>
      </c>
      <c r="H28" s="93">
        <v>0.0</v>
      </c>
      <c r="I28" s="93">
        <v>0.0</v>
      </c>
      <c r="J28" s="93">
        <v>0.0</v>
      </c>
      <c r="K28" s="93">
        <v>0.0</v>
      </c>
      <c r="L28" s="93">
        <v>0.0</v>
      </c>
      <c r="M28" s="93">
        <v>0.0</v>
      </c>
      <c r="N28" s="93">
        <v>10.0</v>
      </c>
      <c r="O28" s="93">
        <v>70.0</v>
      </c>
      <c r="P28" s="93">
        <v>120.0</v>
      </c>
      <c r="Q28" s="93">
        <v>133.0</v>
      </c>
      <c r="R28" s="93">
        <v>54.0</v>
      </c>
      <c r="S28" s="93">
        <v>63.0</v>
      </c>
      <c r="T28" s="93">
        <v>39.0</v>
      </c>
      <c r="U28" s="93">
        <v>12.0</v>
      </c>
      <c r="V28" s="93">
        <v>15.0</v>
      </c>
      <c r="W28" s="93">
        <v>63.0</v>
      </c>
      <c r="X28" s="93">
        <v>30.0</v>
      </c>
      <c r="Y28" s="93">
        <v>33.0</v>
      </c>
      <c r="Z28" s="93">
        <v>18.0</v>
      </c>
      <c r="AA28" s="93">
        <v>20.0</v>
      </c>
      <c r="AB28" s="93">
        <v>28.0</v>
      </c>
      <c r="AC28" s="93">
        <v>53.0</v>
      </c>
      <c r="AD28" s="93">
        <v>44.0</v>
      </c>
      <c r="AE28" s="93">
        <v>3.0</v>
      </c>
      <c r="AF28" s="93">
        <v>36.0</v>
      </c>
      <c r="AG28" s="93">
        <v>18.0</v>
      </c>
      <c r="AH28" s="93">
        <v>9.0</v>
      </c>
      <c r="AI28" s="93">
        <v>12.0</v>
      </c>
      <c r="AJ28" s="93">
        <v>9.0</v>
      </c>
      <c r="AK28" s="93">
        <v>6.0</v>
      </c>
      <c r="AL28" s="93">
        <v>21.0</v>
      </c>
      <c r="AM28" s="93">
        <v>21.0</v>
      </c>
      <c r="AN28" s="93">
        <v>24.0</v>
      </c>
      <c r="AO28" s="111">
        <f t="shared" si="3"/>
        <v>256.0</v>
      </c>
      <c r="AP28" s="64">
        <f t="shared" si="4"/>
        <v>93.0</v>
      </c>
      <c r="AQ28" s="69">
        <f t="shared" si="5"/>
        <v>102.3</v>
      </c>
      <c r="AR28" s="65">
        <f t="shared" si="131"/>
        <v>12.09</v>
      </c>
      <c r="AS28" s="65">
        <f t="shared" si="132"/>
        <v>10.23</v>
      </c>
      <c r="AT28" s="65">
        <f t="shared" si="133"/>
        <v>18.6</v>
      </c>
      <c r="AU28" s="65">
        <f t="shared" si="134"/>
        <v>18.6</v>
      </c>
      <c r="AV28" s="65">
        <f t="shared" si="135"/>
        <v>15.81</v>
      </c>
      <c r="AW28" s="65">
        <f t="shared" si="136"/>
        <v>14.88</v>
      </c>
      <c r="AX28" s="65">
        <f t="shared" si="137"/>
        <v>13.02</v>
      </c>
      <c r="AY28" s="65">
        <f t="shared" si="138"/>
        <v>13.95</v>
      </c>
      <c r="AZ28" s="65">
        <f t="shared" si="139"/>
        <v>16.74</v>
      </c>
      <c r="BA28" s="65">
        <f t="shared" si="140"/>
        <v>20.46</v>
      </c>
      <c r="BB28" s="64">
        <f t="shared" si="16"/>
        <v>154.38</v>
      </c>
      <c r="BC28" s="47" t="e">
        <f t="shared" si="17"/>
        <v>#REF!</v>
      </c>
      <c r="BD28" s="67"/>
      <c r="BE28" s="65" t="e">
        <f t="shared" si="107"/>
        <v>#REF!</v>
      </c>
      <c r="BF28" s="47">
        <f>VLOOKUP(C28,MOQ,3,false)</f>
        <v>308.0</v>
      </c>
      <c r="BI28" s="47" t="e">
        <f t="shared" si="21"/>
        <v>#REF!</v>
      </c>
      <c r="BJ28" s="47">
        <f t="shared" si="108"/>
        <v>12.09</v>
      </c>
      <c r="BK28" s="47">
        <f t="shared" si="23"/>
      </c>
      <c r="BL28" s="65" t="e">
        <f t="shared" si="109"/>
        <v>#REF!</v>
      </c>
      <c r="BM28" s="47">
        <f t="shared" si="110"/>
        <v>10.23</v>
      </c>
      <c r="BO28" s="65" t="e">
        <f t="shared" si="111"/>
        <v>#REF!</v>
      </c>
      <c r="BP28" s="47">
        <f t="shared" si="112"/>
        <v>18.6</v>
      </c>
      <c r="BR28" s="65" t="e">
        <f t="shared" si="113"/>
        <v>#REF!</v>
      </c>
      <c r="BS28" s="47">
        <f t="shared" si="114"/>
        <v>18.6</v>
      </c>
      <c r="BU28" s="65" t="e">
        <f t="shared" si="115"/>
        <v>#REF!</v>
      </c>
      <c r="BV28" s="47">
        <f t="shared" si="116"/>
        <v>15.81</v>
      </c>
      <c r="BX28" s="65" t="e">
        <f t="shared" si="117"/>
        <v>#REF!</v>
      </c>
      <c r="BY28" s="47">
        <f t="shared" si="118"/>
        <v>14.88</v>
      </c>
      <c r="CA28" s="65" t="e">
        <f t="shared" si="119"/>
        <v>#REF!</v>
      </c>
      <c r="CB28" s="47">
        <f t="shared" si="120"/>
        <v>13.02</v>
      </c>
      <c r="CD28" s="65" t="e">
        <f t="shared" si="121"/>
        <v>#REF!</v>
      </c>
      <c r="CE28" s="47">
        <f t="shared" si="122"/>
        <v>13.95</v>
      </c>
      <c r="CG28" s="65" t="e">
        <f t="shared" si="123"/>
        <v>#REF!</v>
      </c>
      <c r="CH28" s="47">
        <f t="shared" si="124"/>
        <v>16.74</v>
      </c>
      <c r="CJ28" s="65" t="e">
        <f t="shared" si="125"/>
        <v>#REF!</v>
      </c>
      <c r="CK28" s="47">
        <f t="shared" si="126"/>
        <v>20.46</v>
      </c>
      <c r="CM28" s="65" t="e">
        <f t="shared" si="127"/>
        <v>#REF!</v>
      </c>
    </row>
    <row r="29" customHeight="1" ht="13.0">
      <c r="A29" s="93" t="s">
        <v>430</v>
      </c>
      <c r="B29" s="93" t="s">
        <v>438</v>
      </c>
      <c r="C29" s="93" t="s">
        <v>458</v>
      </c>
      <c r="D29" s="229" t="s">
        <v>459</v>
      </c>
      <c r="E29" s="93">
        <v>0.0</v>
      </c>
      <c r="F29" s="93">
        <v>0.0</v>
      </c>
      <c r="G29" s="93">
        <v>0.0</v>
      </c>
      <c r="H29" s="93">
        <v>0.0</v>
      </c>
      <c r="I29" s="93">
        <v>0.0</v>
      </c>
      <c r="J29" s="93">
        <v>0.0</v>
      </c>
      <c r="K29" s="93">
        <v>0.0</v>
      </c>
      <c r="L29" s="93">
        <v>0.0</v>
      </c>
      <c r="M29" s="93">
        <v>0.0</v>
      </c>
      <c r="N29" s="93">
        <v>1.0</v>
      </c>
      <c r="O29" s="93">
        <v>43.0</v>
      </c>
      <c r="P29" s="93">
        <v>87.0</v>
      </c>
      <c r="Q29" s="93">
        <v>73.0</v>
      </c>
      <c r="R29" s="93">
        <v>36.0</v>
      </c>
      <c r="S29" s="93">
        <v>66.0</v>
      </c>
      <c r="T29" s="93">
        <v>39.0</v>
      </c>
      <c r="U29" s="93">
        <v>21.0</v>
      </c>
      <c r="V29" s="93">
        <v>15.0</v>
      </c>
      <c r="W29" s="93">
        <v>60.0</v>
      </c>
      <c r="X29" s="93">
        <v>99.0</v>
      </c>
      <c r="Y29" s="93">
        <v>84.0</v>
      </c>
      <c r="Z29" s="93">
        <v>33.0</v>
      </c>
      <c r="AA29" s="93">
        <v>15.0</v>
      </c>
      <c r="AB29" s="93">
        <v>31.0</v>
      </c>
      <c r="AC29" s="93">
        <v>21.0</v>
      </c>
      <c r="AD29" s="93">
        <v>33.0</v>
      </c>
      <c r="AE29" s="93">
        <v>9.0</v>
      </c>
      <c r="AF29" s="93">
        <v>27.0</v>
      </c>
      <c r="AG29" s="93">
        <v>9.0</v>
      </c>
      <c r="AH29" s="93">
        <v>15.0</v>
      </c>
      <c r="AI29" s="93">
        <v>30.0</v>
      </c>
      <c r="AJ29" s="93">
        <v>36.0</v>
      </c>
      <c r="AK29" s="93">
        <v>45.0</v>
      </c>
      <c r="AL29" s="93">
        <v>27.0</v>
      </c>
      <c r="AM29" s="93">
        <v>15.0</v>
      </c>
      <c r="AN29" s="93">
        <v>12.0</v>
      </c>
      <c r="AO29" s="111">
        <f t="shared" si="3"/>
        <v>279.0</v>
      </c>
      <c r="AP29" s="64">
        <f t="shared" si="4"/>
        <v>165.0</v>
      </c>
      <c r="AQ29" s="69">
        <f t="shared" si="5"/>
        <v>181.5</v>
      </c>
      <c r="AR29" s="65">
        <f t="shared" si="131"/>
        <v>21.45</v>
      </c>
      <c r="AS29" s="65">
        <f t="shared" si="132"/>
        <v>18.15</v>
      </c>
      <c r="AT29" s="65">
        <f t="shared" si="133"/>
        <v>33.0</v>
      </c>
      <c r="AU29" s="65">
        <f t="shared" si="134"/>
        <v>33.0</v>
      </c>
      <c r="AV29" s="65">
        <f t="shared" si="135"/>
        <v>28.05</v>
      </c>
      <c r="AW29" s="65">
        <f t="shared" si="136"/>
        <v>26.4</v>
      </c>
      <c r="AX29" s="65">
        <f t="shared" si="137"/>
        <v>23.1</v>
      </c>
      <c r="AY29" s="65">
        <f t="shared" si="138"/>
        <v>24.75</v>
      </c>
      <c r="AZ29" s="65">
        <f t="shared" si="139"/>
        <v>29.7</v>
      </c>
      <c r="BA29" s="65">
        <f t="shared" si="140"/>
        <v>36.3</v>
      </c>
      <c r="BB29" s="64">
        <f t="shared" si="16"/>
        <v>273.9</v>
      </c>
      <c r="BC29" s="47" t="e">
        <f t="shared" si="17"/>
        <v>#REF!</v>
      </c>
      <c r="BD29" s="67"/>
      <c r="BE29" s="65" t="e">
        <f t="shared" si="107"/>
        <v>#REF!</v>
      </c>
      <c r="BF29" s="47">
        <f>VLOOKUP(C29,MOQ,3,false)</f>
      </c>
      <c r="BI29" s="47" t="e">
        <f t="shared" si="21"/>
        <v>#REF!</v>
      </c>
      <c r="BJ29" s="47">
        <f t="shared" si="108"/>
        <v>21.45</v>
      </c>
      <c r="BK29" s="47">
        <f t="shared" si="23"/>
      </c>
      <c r="BL29" s="65" t="e">
        <f t="shared" si="109"/>
        <v>#REF!</v>
      </c>
      <c r="BM29" s="47">
        <f t="shared" si="110"/>
        <v>18.15</v>
      </c>
      <c r="BO29" s="65" t="e">
        <f t="shared" si="111"/>
        <v>#REF!</v>
      </c>
      <c r="BP29" s="47">
        <f t="shared" si="112"/>
        <v>33.0</v>
      </c>
      <c r="BR29" s="65" t="e">
        <f t="shared" si="113"/>
        <v>#REF!</v>
      </c>
      <c r="BS29" s="47">
        <f t="shared" si="114"/>
        <v>33.0</v>
      </c>
      <c r="BU29" s="65" t="e">
        <f t="shared" si="115"/>
        <v>#REF!</v>
      </c>
      <c r="BV29" s="47">
        <f t="shared" si="116"/>
        <v>28.05</v>
      </c>
      <c r="BX29" s="65" t="e">
        <f t="shared" si="117"/>
        <v>#REF!</v>
      </c>
      <c r="BY29" s="47">
        <f t="shared" si="118"/>
        <v>26.4</v>
      </c>
      <c r="CA29" s="65" t="e">
        <f t="shared" si="119"/>
        <v>#REF!</v>
      </c>
      <c r="CB29" s="47">
        <f t="shared" si="120"/>
        <v>23.1</v>
      </c>
      <c r="CD29" s="65" t="e">
        <f t="shared" si="121"/>
        <v>#REF!</v>
      </c>
      <c r="CE29" s="47">
        <f t="shared" si="122"/>
        <v>24.75</v>
      </c>
      <c r="CG29" s="65" t="e">
        <f t="shared" si="123"/>
        <v>#REF!</v>
      </c>
      <c r="CH29" s="47">
        <f t="shared" si="124"/>
        <v>29.7</v>
      </c>
      <c r="CJ29" s="65" t="e">
        <f t="shared" si="125"/>
        <v>#REF!</v>
      </c>
      <c r="CK29" s="47">
        <f t="shared" si="126"/>
        <v>36.3</v>
      </c>
      <c r="CM29" s="65" t="e">
        <f t="shared" si="127"/>
        <v>#REF!</v>
      </c>
    </row>
    <row r="30" customHeight="1" ht="13.0">
      <c r="A30" s="93" t="s">
        <v>430</v>
      </c>
      <c r="B30" s="93" t="s">
        <v>438</v>
      </c>
      <c r="C30" s="93" t="s">
        <v>460</v>
      </c>
      <c r="D30" s="229" t="s">
        <v>461</v>
      </c>
      <c r="E30" s="93">
        <v>0.0</v>
      </c>
      <c r="F30" s="93">
        <v>0.0</v>
      </c>
      <c r="G30" s="93">
        <v>0.0</v>
      </c>
      <c r="H30" s="93">
        <v>0.0</v>
      </c>
      <c r="I30" s="93">
        <v>0.0</v>
      </c>
      <c r="J30" s="93">
        <v>0.0</v>
      </c>
      <c r="K30" s="93">
        <v>0.0</v>
      </c>
      <c r="L30" s="93">
        <v>0.0</v>
      </c>
      <c r="M30" s="93">
        <v>0.0</v>
      </c>
      <c r="N30" s="93">
        <v>2.0</v>
      </c>
      <c r="O30" s="93">
        <v>49.0</v>
      </c>
      <c r="P30" s="93">
        <v>99.0</v>
      </c>
      <c r="Q30" s="93">
        <v>140.0</v>
      </c>
      <c r="R30" s="93">
        <v>24.0</v>
      </c>
      <c r="S30" s="93">
        <v>57.0</v>
      </c>
      <c r="T30" s="93">
        <v>36.0</v>
      </c>
      <c r="U30" s="93">
        <v>12.0</v>
      </c>
      <c r="V30" s="93">
        <v>3.0</v>
      </c>
      <c r="W30" s="93">
        <v>21.0</v>
      </c>
      <c r="X30" s="93">
        <v>15.0</v>
      </c>
      <c r="Y30" s="93">
        <v>9.0</v>
      </c>
      <c r="Z30" s="93">
        <v>12.0</v>
      </c>
      <c r="AA30" s="93">
        <v>12.0</v>
      </c>
      <c r="AB30" s="93">
        <v>25.0</v>
      </c>
      <c r="AC30" s="93">
        <v>39.0</v>
      </c>
      <c r="AD30" s="93">
        <v>27.0</v>
      </c>
      <c r="AE30" s="93">
        <v>6.0</v>
      </c>
      <c r="AF30" s="93">
        <v>24.0</v>
      </c>
      <c r="AG30" s="93">
        <v>6.0</v>
      </c>
      <c r="AH30" s="93">
        <v>9.0</v>
      </c>
      <c r="AI30" s="93">
        <v>12.0</v>
      </c>
      <c r="AJ30" s="93">
        <v>3.0</v>
      </c>
      <c r="AK30" s="93">
        <v>3.0</v>
      </c>
      <c r="AL30" s="93">
        <v>9.0</v>
      </c>
      <c r="AM30" s="93">
        <v>15.0</v>
      </c>
      <c r="AN30" s="93">
        <v>24.0</v>
      </c>
      <c r="AO30" s="111">
        <f t="shared" si="3"/>
        <v>177.0</v>
      </c>
      <c r="AP30" s="64">
        <f t="shared" si="4"/>
        <v>66.0</v>
      </c>
      <c r="AQ30" s="69">
        <f t="shared" si="5"/>
        <v>72.6</v>
      </c>
      <c r="AR30" s="65">
        <f t="shared" si="131"/>
        <v>8.58</v>
      </c>
      <c r="AS30" s="65">
        <f t="shared" si="132"/>
        <v>7.26</v>
      </c>
      <c r="AT30" s="65">
        <f t="shared" si="133"/>
        <v>13.2</v>
      </c>
      <c r="AU30" s="65">
        <f t="shared" si="134"/>
        <v>13.2</v>
      </c>
      <c r="AV30" s="65">
        <f t="shared" si="135"/>
        <v>11.22</v>
      </c>
      <c r="AW30" s="65">
        <f t="shared" si="136"/>
        <v>10.56</v>
      </c>
      <c r="AX30" s="65">
        <f t="shared" si="137"/>
        <v>9.24</v>
      </c>
      <c r="AY30" s="65">
        <f t="shared" si="138"/>
        <v>9.9</v>
      </c>
      <c r="AZ30" s="65">
        <f t="shared" si="139"/>
        <v>11.88</v>
      </c>
      <c r="BA30" s="65">
        <f t="shared" si="140"/>
        <v>14.52</v>
      </c>
      <c r="BB30" s="64">
        <f t="shared" si="16"/>
        <v>109.56</v>
      </c>
      <c r="BC30" s="47" t="e">
        <f t="shared" si="17"/>
        <v>#REF!</v>
      </c>
      <c r="BD30" s="67"/>
      <c r="BE30" s="65" t="e">
        <f t="shared" si="107"/>
        <v>#REF!</v>
      </c>
      <c r="BF30" s="47">
        <f>VLOOKUP(C30,MOQ,3,false)</f>
        <v>308.0</v>
      </c>
      <c r="BI30" s="47" t="e">
        <f t="shared" si="21"/>
        <v>#REF!</v>
      </c>
      <c r="BJ30" s="47">
        <f t="shared" si="108"/>
        <v>8.58</v>
      </c>
      <c r="BK30" s="47">
        <f t="shared" si="23"/>
      </c>
      <c r="BL30" s="65" t="e">
        <f t="shared" si="109"/>
        <v>#REF!</v>
      </c>
      <c r="BM30" s="47">
        <f t="shared" si="110"/>
        <v>7.26</v>
      </c>
      <c r="BO30" s="65" t="e">
        <f t="shared" si="111"/>
        <v>#REF!</v>
      </c>
      <c r="BP30" s="47">
        <f t="shared" si="112"/>
        <v>13.2</v>
      </c>
      <c r="BR30" s="65" t="e">
        <f t="shared" si="113"/>
        <v>#REF!</v>
      </c>
      <c r="BS30" s="47">
        <f t="shared" si="114"/>
        <v>13.2</v>
      </c>
      <c r="BU30" s="65" t="e">
        <f t="shared" si="115"/>
        <v>#REF!</v>
      </c>
      <c r="BV30" s="47">
        <f t="shared" si="116"/>
        <v>11.22</v>
      </c>
      <c r="BX30" s="65" t="e">
        <f t="shared" si="117"/>
        <v>#REF!</v>
      </c>
      <c r="BY30" s="47">
        <f t="shared" si="118"/>
        <v>10.56</v>
      </c>
      <c r="CA30" s="65" t="e">
        <f t="shared" si="119"/>
        <v>#REF!</v>
      </c>
      <c r="CB30" s="47">
        <f t="shared" si="120"/>
        <v>9.24</v>
      </c>
      <c r="CD30" s="65" t="e">
        <f t="shared" si="121"/>
        <v>#REF!</v>
      </c>
      <c r="CE30" s="47">
        <f t="shared" si="122"/>
        <v>9.9</v>
      </c>
      <c r="CG30" s="65" t="e">
        <f t="shared" si="123"/>
        <v>#REF!</v>
      </c>
      <c r="CH30" s="47">
        <f t="shared" si="124"/>
        <v>11.88</v>
      </c>
      <c r="CJ30" s="65" t="e">
        <f t="shared" si="125"/>
        <v>#REF!</v>
      </c>
      <c r="CK30" s="47">
        <f t="shared" si="126"/>
        <v>14.52</v>
      </c>
      <c r="CM30" s="65" t="e">
        <f t="shared" si="127"/>
        <v>#REF!</v>
      </c>
    </row>
    <row r="31" customHeight="1" ht="13.0">
      <c r="A31" s="93" t="s">
        <v>430</v>
      </c>
      <c r="B31" s="93" t="s">
        <v>438</v>
      </c>
      <c r="C31" s="93" t="s">
        <v>462</v>
      </c>
      <c r="D31" s="229" t="s">
        <v>463</v>
      </c>
      <c r="E31" s="93">
        <v>0.0</v>
      </c>
      <c r="F31" s="93">
        <v>0.0</v>
      </c>
      <c r="G31" s="93">
        <v>0.0</v>
      </c>
      <c r="H31" s="93">
        <v>0.0</v>
      </c>
      <c r="I31" s="93">
        <v>0.0</v>
      </c>
      <c r="J31" s="93">
        <v>0.0</v>
      </c>
      <c r="K31" s="93">
        <v>0.0</v>
      </c>
      <c r="L31" s="93">
        <v>0.0</v>
      </c>
      <c r="M31" s="93">
        <v>0.0</v>
      </c>
      <c r="N31" s="93">
        <v>3.0</v>
      </c>
      <c r="O31" s="93">
        <v>39.0</v>
      </c>
      <c r="P31" s="93">
        <v>51.0</v>
      </c>
      <c r="Q31" s="93">
        <v>24.0</v>
      </c>
      <c r="R31" s="93">
        <v>18.0</v>
      </c>
      <c r="S31" s="93">
        <v>48.0</v>
      </c>
      <c r="T31" s="93">
        <v>48.0</v>
      </c>
      <c r="U31" s="93">
        <v>42.0</v>
      </c>
      <c r="V31" s="93">
        <v>27.0</v>
      </c>
      <c r="W31" s="93">
        <v>57.0</v>
      </c>
      <c r="X31" s="93">
        <v>39.0</v>
      </c>
      <c r="Y31" s="93">
        <v>21.0</v>
      </c>
      <c r="Z31" s="93">
        <v>17.0</v>
      </c>
      <c r="AA31" s="93">
        <v>3.0</v>
      </c>
      <c r="AB31" s="93">
        <v>7.0</v>
      </c>
      <c r="AC31" s="93">
        <v>24.0</v>
      </c>
      <c r="AD31" s="93">
        <v>27.0</v>
      </c>
      <c r="AE31" s="93">
        <v>18.0</v>
      </c>
      <c r="AF31" s="93">
        <v>27.0</v>
      </c>
      <c r="AG31" s="93">
        <v>21.0</v>
      </c>
      <c r="AH31" s="93">
        <v>18.0</v>
      </c>
      <c r="AI31" s="93">
        <v>24.0</v>
      </c>
      <c r="AJ31" s="93">
        <v>18.0</v>
      </c>
      <c r="AK31" s="93">
        <v>9.0</v>
      </c>
      <c r="AL31" s="270">
        <f>Z31*1.1</f>
        <v>18.7</v>
      </c>
      <c r="AM31" s="270">
        <f>AA31*1.1</f>
        <v>3.3</v>
      </c>
      <c r="AN31" s="93">
        <v>9.0</v>
      </c>
      <c r="AO31" s="111">
        <f t="shared" si="3"/>
        <v>217.0</v>
      </c>
      <c r="AP31" s="64">
        <f t="shared" si="4"/>
        <v>82.0</v>
      </c>
      <c r="AQ31" s="69">
        <f t="shared" si="5"/>
        <v>90.2</v>
      </c>
      <c r="AR31" s="65">
        <f t="shared" si="131"/>
        <v>10.66</v>
      </c>
      <c r="AS31" s="65">
        <f t="shared" si="132"/>
        <v>9.02</v>
      </c>
      <c r="AT31" s="65">
        <f t="shared" si="133"/>
        <v>16.4</v>
      </c>
      <c r="AU31" s="65">
        <f t="shared" si="134"/>
        <v>16.4</v>
      </c>
      <c r="AV31" s="65">
        <f t="shared" si="135"/>
        <v>13.94</v>
      </c>
      <c r="AW31" s="65">
        <f t="shared" si="136"/>
        <v>13.12</v>
      </c>
      <c r="AX31" s="65">
        <f t="shared" si="137"/>
        <v>11.48</v>
      </c>
      <c r="AY31" s="65">
        <f t="shared" si="138"/>
        <v>12.3</v>
      </c>
      <c r="AZ31" s="65">
        <f t="shared" si="139"/>
        <v>14.76</v>
      </c>
      <c r="BA31" s="65">
        <f t="shared" si="140"/>
        <v>18.04</v>
      </c>
      <c r="BB31" s="64">
        <f t="shared" si="16"/>
        <v>136.12</v>
      </c>
      <c r="BC31" s="47" t="e">
        <f t="shared" si="17"/>
        <v>#REF!</v>
      </c>
      <c r="BD31" s="67" t="e">
        <f>VLOOKUP(C31,FYTMSEPT,3,false)</f>
        <v>#REF!</v>
      </c>
      <c r="BE31" s="65" t="e">
        <f t="shared" si="107"/>
        <v>#REF!</v>
      </c>
      <c r="BF31" s="47">
        <f>VLOOKUP(C31,MOQ,3,false)</f>
      </c>
      <c r="BI31" s="47" t="e">
        <f t="shared" si="21"/>
        <v>#REF!</v>
      </c>
      <c r="BJ31" s="47">
        <f t="shared" si="108"/>
        <v>10.66</v>
      </c>
      <c r="BK31" s="47" t="e">
        <f t="shared" si="23"/>
        <v>#REF!</v>
      </c>
      <c r="BL31" s="65" t="e">
        <f t="shared" si="109"/>
        <v>#REF!</v>
      </c>
      <c r="BM31" s="47">
        <f t="shared" si="110"/>
        <v>9.02</v>
      </c>
      <c r="BO31" s="65" t="e">
        <f t="shared" si="111"/>
        <v>#REF!</v>
      </c>
      <c r="BP31" s="47">
        <f t="shared" si="112"/>
        <v>16.4</v>
      </c>
      <c r="BR31" s="65" t="e">
        <f t="shared" si="113"/>
        <v>#REF!</v>
      </c>
      <c r="BS31" s="47">
        <f t="shared" si="114"/>
        <v>16.4</v>
      </c>
      <c r="BU31" s="65" t="e">
        <f t="shared" si="115"/>
        <v>#REF!</v>
      </c>
      <c r="BV31" s="47">
        <f t="shared" si="116"/>
        <v>13.94</v>
      </c>
      <c r="BX31" s="65" t="e">
        <f t="shared" si="117"/>
        <v>#REF!</v>
      </c>
      <c r="BY31" s="47">
        <f t="shared" si="118"/>
        <v>13.12</v>
      </c>
      <c r="CA31" s="65" t="e">
        <f t="shared" si="119"/>
        <v>#REF!</v>
      </c>
      <c r="CB31" s="47">
        <f t="shared" si="120"/>
        <v>11.48</v>
      </c>
      <c r="CD31" s="65" t="e">
        <f t="shared" si="121"/>
        <v>#REF!</v>
      </c>
      <c r="CE31" s="47">
        <f t="shared" si="122"/>
        <v>12.3</v>
      </c>
      <c r="CG31" s="65" t="e">
        <f t="shared" si="123"/>
        <v>#REF!</v>
      </c>
      <c r="CH31" s="47">
        <f t="shared" si="124"/>
        <v>14.76</v>
      </c>
      <c r="CJ31" s="65" t="e">
        <f t="shared" si="125"/>
        <v>#REF!</v>
      </c>
      <c r="CK31" s="47">
        <f t="shared" si="126"/>
        <v>18.04</v>
      </c>
      <c r="CM31" s="65" t="e">
        <f t="shared" si="127"/>
        <v>#REF!</v>
      </c>
    </row>
    <row r="32" customHeight="1" ht="13.0">
      <c r="A32" s="93" t="s">
        <v>430</v>
      </c>
      <c r="B32" s="93" t="s">
        <v>438</v>
      </c>
      <c r="C32" s="93" t="s">
        <v>464</v>
      </c>
      <c r="D32" s="229" t="s">
        <v>465</v>
      </c>
      <c r="E32" s="93">
        <v>66.0</v>
      </c>
      <c r="F32" s="93">
        <v>79.0</v>
      </c>
      <c r="G32" s="93">
        <v>124.0</v>
      </c>
      <c r="H32" s="93">
        <v>79.0</v>
      </c>
      <c r="I32" s="93">
        <v>40.0</v>
      </c>
      <c r="J32" s="93">
        <v>43.0</v>
      </c>
      <c r="K32" s="93">
        <v>66.0</v>
      </c>
      <c r="L32" s="93">
        <v>43.0</v>
      </c>
      <c r="M32" s="93">
        <v>89.0</v>
      </c>
      <c r="N32" s="93">
        <v>101.0</v>
      </c>
      <c r="O32" s="93">
        <v>27.0</v>
      </c>
      <c r="P32" s="93">
        <v>66.0</v>
      </c>
      <c r="Q32" s="93">
        <v>57.0</v>
      </c>
      <c r="R32" s="93">
        <v>51.0</v>
      </c>
      <c r="S32" s="93">
        <v>124.0</v>
      </c>
      <c r="T32" s="93">
        <v>54.0</v>
      </c>
      <c r="U32" s="93">
        <v>24.0</v>
      </c>
      <c r="V32" s="93">
        <v>40.0</v>
      </c>
      <c r="W32" s="93">
        <v>76.0</v>
      </c>
      <c r="X32" s="93">
        <v>66.0</v>
      </c>
      <c r="Y32" s="93">
        <v>10.0</v>
      </c>
      <c r="Z32" s="272">
        <f>N32</f>
        <v>101.0</v>
      </c>
      <c r="AA32" s="272">
        <f>O32</f>
        <v>27.0</v>
      </c>
      <c r="AB32" s="93">
        <v>25.0</v>
      </c>
      <c r="AC32" s="93">
        <v>30.0</v>
      </c>
      <c r="AD32" s="93">
        <v>30.0</v>
      </c>
      <c r="AE32" s="93">
        <v>51.0</v>
      </c>
      <c r="AF32" s="93">
        <v>42.0</v>
      </c>
      <c r="AG32" s="93">
        <v>24.0</v>
      </c>
      <c r="AH32" s="93">
        <v>21.0</v>
      </c>
      <c r="AI32" s="93">
        <v>60.0</v>
      </c>
      <c r="AJ32" s="93">
        <v>12.0</v>
      </c>
      <c r="AK32" s="93">
        <v>41.0</v>
      </c>
      <c r="AL32" s="93">
        <v>24.0</v>
      </c>
      <c r="AM32" s="93">
        <v>16.0</v>
      </c>
      <c r="AN32" s="270">
        <f>AB32*1.1</f>
        <v>27.5</v>
      </c>
      <c r="AO32" s="111">
        <f t="shared" si="3"/>
        <v>378.5</v>
      </c>
      <c r="AP32" s="64">
        <f t="shared" si="4"/>
        <v>180.5</v>
      </c>
      <c r="AQ32" s="69">
        <f t="shared" si="5"/>
        <v>198.55</v>
      </c>
      <c r="AR32" s="65">
        <f t="shared" si="131"/>
        <v>23.465</v>
      </c>
      <c r="AS32" s="65">
        <f t="shared" si="132"/>
        <v>19.855</v>
      </c>
      <c r="AT32" s="65">
        <f t="shared" si="133"/>
        <v>36.1</v>
      </c>
      <c r="AU32" s="65">
        <f t="shared" si="134"/>
        <v>36.1</v>
      </c>
      <c r="AV32" s="65">
        <f t="shared" si="135"/>
        <v>30.685</v>
      </c>
      <c r="AW32" s="65">
        <f t="shared" si="136"/>
        <v>28.88</v>
      </c>
      <c r="AX32" s="65">
        <f t="shared" si="137"/>
        <v>25.27</v>
      </c>
      <c r="AY32" s="65">
        <f t="shared" si="138"/>
        <v>27.075</v>
      </c>
      <c r="AZ32" s="65">
        <f t="shared" si="139"/>
        <v>32.49</v>
      </c>
      <c r="BA32" s="65">
        <f t="shared" si="140"/>
        <v>39.71</v>
      </c>
      <c r="BB32" s="64">
        <f t="shared" si="16"/>
        <v>299.63</v>
      </c>
      <c r="BC32" s="47" t="e">
        <f t="shared" si="17"/>
        <v>#REF!</v>
      </c>
      <c r="BD32" s="67"/>
      <c r="BE32" s="65" t="e">
        <f t="shared" si="107"/>
        <v>#REF!</v>
      </c>
      <c r="BF32" s="47">
        <f>VLOOKUP(C32,MOQ,3,false)</f>
      </c>
      <c r="BG32" s="47" t="e">
        <f>BE32*-1</f>
        <v>#REF!</v>
      </c>
      <c r="BI32" s="47" t="e">
        <f t="shared" si="21"/>
        <v>#REF!</v>
      </c>
      <c r="BJ32" s="47">
        <f t="shared" si="108"/>
        <v>23.465</v>
      </c>
      <c r="BK32" s="47">
        <f t="shared" si="23"/>
      </c>
      <c r="BL32" s="65" t="e">
        <f t="shared" si="109"/>
        <v>#REF!</v>
      </c>
      <c r="BM32" s="47">
        <f t="shared" si="110"/>
        <v>19.855</v>
      </c>
      <c r="BO32" s="65" t="e">
        <f t="shared" si="111"/>
        <v>#REF!</v>
      </c>
      <c r="BP32" s="47">
        <f t="shared" si="112"/>
        <v>36.1</v>
      </c>
      <c r="BR32" s="65" t="e">
        <f t="shared" si="113"/>
        <v>#REF!</v>
      </c>
      <c r="BS32" s="47">
        <f t="shared" si="114"/>
        <v>36.1</v>
      </c>
      <c r="BU32" s="65" t="e">
        <f t="shared" si="115"/>
        <v>#REF!</v>
      </c>
      <c r="BV32" s="47">
        <f t="shared" si="116"/>
        <v>30.685</v>
      </c>
      <c r="BX32" s="65" t="e">
        <f t="shared" si="117"/>
        <v>#REF!</v>
      </c>
      <c r="BY32" s="47">
        <f t="shared" si="118"/>
        <v>28.88</v>
      </c>
      <c r="CA32" s="65" t="e">
        <f t="shared" si="119"/>
        <v>#REF!</v>
      </c>
      <c r="CB32" s="47">
        <f t="shared" si="120"/>
        <v>25.27</v>
      </c>
      <c r="CD32" s="65" t="e">
        <f t="shared" si="121"/>
        <v>#REF!</v>
      </c>
      <c r="CE32" s="47">
        <f t="shared" si="122"/>
        <v>27.075</v>
      </c>
      <c r="CG32" s="65" t="e">
        <f t="shared" si="123"/>
        <v>#REF!</v>
      </c>
      <c r="CH32" s="47">
        <f t="shared" si="124"/>
        <v>32.49</v>
      </c>
      <c r="CJ32" s="65" t="e">
        <f t="shared" si="125"/>
        <v>#REF!</v>
      </c>
      <c r="CK32" s="47">
        <f t="shared" si="126"/>
        <v>39.71</v>
      </c>
      <c r="CM32" s="65" t="e">
        <f t="shared" si="127"/>
        <v>#REF!</v>
      </c>
    </row>
    <row r="33" customHeight="1" ht="13.0">
      <c r="A33" s="93" t="s">
        <v>430</v>
      </c>
      <c r="B33" s="93" t="s">
        <v>53</v>
      </c>
      <c r="C33" s="93" t="s">
        <v>487</v>
      </c>
      <c r="D33" s="229" t="s">
        <v>488</v>
      </c>
      <c r="E33" s="93">
        <v>0.0</v>
      </c>
      <c r="F33" s="93">
        <v>0.0</v>
      </c>
      <c r="G33" s="93">
        <v>0.0</v>
      </c>
      <c r="H33" s="93">
        <v>0.0</v>
      </c>
      <c r="I33" s="93">
        <v>0.0</v>
      </c>
      <c r="J33" s="93">
        <v>0.0</v>
      </c>
      <c r="K33" s="93">
        <v>0.0</v>
      </c>
      <c r="L33" s="93">
        <v>0.0</v>
      </c>
      <c r="M33" s="93">
        <v>0.0</v>
      </c>
      <c r="N33" s="93">
        <v>0.0</v>
      </c>
      <c r="O33" s="93">
        <v>0.0</v>
      </c>
      <c r="P33" s="93">
        <v>0.0</v>
      </c>
      <c r="Q33" s="93">
        <v>0.0</v>
      </c>
      <c r="R33" s="93">
        <v>0.0</v>
      </c>
      <c r="S33" s="93">
        <v>0.0</v>
      </c>
      <c r="T33" s="93">
        <v>0.0</v>
      </c>
      <c r="U33" s="93">
        <v>0.0</v>
      </c>
      <c r="V33" s="93">
        <v>28.0</v>
      </c>
      <c r="W33" s="93">
        <v>95.0</v>
      </c>
      <c r="X33" s="93">
        <v>137.0</v>
      </c>
      <c r="Y33" s="93">
        <v>64.0</v>
      </c>
      <c r="Z33" s="93">
        <v>3.0</v>
      </c>
      <c r="AA33" s="93">
        <v>0.0</v>
      </c>
      <c r="AB33" s="93">
        <v>25.0</v>
      </c>
      <c r="AC33" s="93">
        <v>31.0</v>
      </c>
      <c r="AD33" s="93">
        <v>66.0</v>
      </c>
      <c r="AE33" s="93">
        <v>42.0</v>
      </c>
      <c r="AF33" s="93">
        <v>30.0</v>
      </c>
      <c r="AG33" s="93">
        <v>15.0</v>
      </c>
      <c r="AH33" s="93">
        <v>30.0</v>
      </c>
      <c r="AI33" s="93">
        <v>15.0</v>
      </c>
      <c r="AJ33" s="93">
        <v>12.0</v>
      </c>
      <c r="AK33" s="93">
        <v>21.0</v>
      </c>
      <c r="AL33" s="93">
        <v>27.0</v>
      </c>
      <c r="AM33" s="93">
        <v>12.0</v>
      </c>
      <c r="AN33" s="93">
        <v>24.0</v>
      </c>
      <c r="AO33" s="111">
        <f t="shared" si="3"/>
        <v>325.0</v>
      </c>
      <c r="AP33" s="64">
        <f t="shared" si="4"/>
        <v>111.0</v>
      </c>
      <c r="AQ33" s="69">
        <f t="shared" si="5"/>
        <v>122.1</v>
      </c>
      <c r="AR33" s="65">
        <f t="shared" si="131"/>
        <v>14.43</v>
      </c>
      <c r="AS33" s="65">
        <f t="shared" si="132"/>
        <v>12.21</v>
      </c>
      <c r="AT33" s="65">
        <f t="shared" si="133"/>
        <v>22.2</v>
      </c>
      <c r="AU33" s="65">
        <f t="shared" si="134"/>
        <v>22.2</v>
      </c>
      <c r="AV33" s="65">
        <f t="shared" si="135"/>
        <v>18.87</v>
      </c>
      <c r="AW33" s="65">
        <f t="shared" si="136"/>
        <v>17.76</v>
      </c>
      <c r="AX33" s="65">
        <f t="shared" si="137"/>
        <v>15.54</v>
      </c>
      <c r="AY33" s="65">
        <f t="shared" si="138"/>
        <v>16.65</v>
      </c>
      <c r="AZ33" s="65">
        <f t="shared" si="139"/>
        <v>19.98</v>
      </c>
      <c r="BA33" s="65">
        <f t="shared" si="140"/>
        <v>24.42</v>
      </c>
      <c r="BB33" s="64">
        <f t="shared" si="16"/>
        <v>184.26</v>
      </c>
      <c r="BC33" s="47" t="e">
        <f t="shared" si="17"/>
        <v>#REF!</v>
      </c>
      <c r="BD33" s="67"/>
      <c r="BE33" s="65" t="e">
        <f t="shared" si="107"/>
        <v>#REF!</v>
      </c>
      <c r="BF33" s="47">
        <f>VLOOKUP(C33,MOQ,3,false)</f>
      </c>
      <c r="BI33" s="47" t="e">
        <f t="shared" si="21"/>
        <v>#REF!</v>
      </c>
      <c r="BJ33" s="47">
        <f t="shared" si="108"/>
        <v>14.43</v>
      </c>
      <c r="BK33" s="47">
        <f t="shared" si="23"/>
      </c>
      <c r="BL33" s="65" t="e">
        <f t="shared" si="109"/>
        <v>#REF!</v>
      </c>
      <c r="BM33" s="47">
        <f t="shared" si="110"/>
        <v>12.21</v>
      </c>
      <c r="BO33" s="65" t="e">
        <f t="shared" si="111"/>
        <v>#REF!</v>
      </c>
      <c r="BP33" s="47">
        <f t="shared" si="112"/>
        <v>22.2</v>
      </c>
      <c r="BR33" s="65" t="e">
        <f t="shared" si="113"/>
        <v>#REF!</v>
      </c>
      <c r="BS33" s="47">
        <f t="shared" si="114"/>
        <v>22.2</v>
      </c>
      <c r="BU33" s="65" t="e">
        <f t="shared" si="115"/>
        <v>#REF!</v>
      </c>
      <c r="BV33" s="47">
        <f t="shared" si="116"/>
        <v>18.87</v>
      </c>
      <c r="BX33" s="65" t="e">
        <f t="shared" si="117"/>
        <v>#REF!</v>
      </c>
      <c r="BY33" s="47">
        <f t="shared" si="118"/>
        <v>17.76</v>
      </c>
      <c r="CA33" s="65" t="e">
        <f t="shared" si="119"/>
        <v>#REF!</v>
      </c>
      <c r="CB33" s="47">
        <f t="shared" si="120"/>
        <v>15.54</v>
      </c>
      <c r="CD33" s="65" t="e">
        <f t="shared" si="121"/>
        <v>#REF!</v>
      </c>
      <c r="CE33" s="47">
        <f t="shared" si="122"/>
        <v>16.65</v>
      </c>
      <c r="CG33" s="65" t="e">
        <f t="shared" si="123"/>
        <v>#REF!</v>
      </c>
      <c r="CH33" s="47">
        <f t="shared" si="124"/>
        <v>19.98</v>
      </c>
      <c r="CJ33" s="65" t="e">
        <f t="shared" si="125"/>
        <v>#REF!</v>
      </c>
      <c r="CK33" s="47">
        <f t="shared" si="126"/>
        <v>24.42</v>
      </c>
      <c r="CM33" s="65" t="e">
        <f t="shared" si="127"/>
        <v>#REF!</v>
      </c>
    </row>
    <row r="34" customHeight="1" ht="13.0">
      <c r="A34" s="273" t="s">
        <v>430</v>
      </c>
      <c r="B34" s="273" t="s">
        <v>489</v>
      </c>
      <c r="C34" s="274" t="s">
        <v>490</v>
      </c>
      <c r="D34" s="275" t="s">
        <v>491</v>
      </c>
      <c r="E34" s="273">
        <v>2.0</v>
      </c>
      <c r="F34" s="273">
        <v>4.0</v>
      </c>
      <c r="G34" s="273">
        <v>3.0</v>
      </c>
      <c r="H34" s="273">
        <v>0.0</v>
      </c>
      <c r="I34" s="273">
        <v>0.0</v>
      </c>
      <c r="J34" s="273">
        <v>0.0</v>
      </c>
      <c r="K34" s="273">
        <v>4.0</v>
      </c>
      <c r="L34" s="273">
        <v>2.0</v>
      </c>
      <c r="M34" s="273">
        <v>1.0</v>
      </c>
      <c r="N34" s="273">
        <v>2.0</v>
      </c>
      <c r="O34" s="273">
        <v>0.0</v>
      </c>
      <c r="P34" s="273">
        <v>0.0</v>
      </c>
      <c r="Q34" s="273">
        <v>4.0</v>
      </c>
      <c r="R34" s="273">
        <v>6.0</v>
      </c>
      <c r="S34" s="273">
        <v>11.0</v>
      </c>
      <c r="T34" s="273">
        <v>5.0</v>
      </c>
      <c r="U34" s="273">
        <v>1.0</v>
      </c>
      <c r="V34" s="273">
        <v>1.0</v>
      </c>
      <c r="W34" s="273">
        <v>6.0</v>
      </c>
      <c r="X34" s="273">
        <v>5.0</v>
      </c>
      <c r="Y34" s="273">
        <v>1.0</v>
      </c>
      <c r="Z34" s="273">
        <v>0.0</v>
      </c>
      <c r="AA34" s="273">
        <v>6.0</v>
      </c>
      <c r="AB34" s="273">
        <v>2.0</v>
      </c>
      <c r="AC34" s="273">
        <v>5.0</v>
      </c>
      <c r="AD34" s="273">
        <v>9.0</v>
      </c>
      <c r="AE34" s="273">
        <v>9.0</v>
      </c>
      <c r="AF34" s="273">
        <v>2.0</v>
      </c>
      <c r="AG34" s="273">
        <v>1.0</v>
      </c>
      <c r="AH34" s="273">
        <v>1.0</v>
      </c>
      <c r="AI34" s="273">
        <v>1.0</v>
      </c>
      <c r="AJ34" s="273">
        <v>3.0</v>
      </c>
      <c r="AK34" s="273">
        <v>5.0</v>
      </c>
      <c r="AL34" s="273">
        <v>3.0</v>
      </c>
      <c r="AM34" s="273">
        <v>4.0</v>
      </c>
      <c r="AN34" s="273">
        <v>4.0</v>
      </c>
      <c r="AO34" s="273">
        <f t="shared" si="3"/>
        <v>47.0</v>
      </c>
      <c r="AP34" s="50">
        <f t="shared" si="4"/>
        <v>20.0</v>
      </c>
      <c r="AQ34" s="276">
        <f t="shared" si="5"/>
        <v>22.0</v>
      </c>
      <c r="AR34" s="276">
        <f t="shared" si="131"/>
        <v>2.6</v>
      </c>
      <c r="AS34" s="276">
        <f t="shared" si="132"/>
        <v>2.2</v>
      </c>
      <c r="AT34" s="276">
        <f t="shared" si="133"/>
        <v>4.0</v>
      </c>
      <c r="AU34" s="276">
        <f t="shared" si="134"/>
        <v>4.0</v>
      </c>
      <c r="AV34" s="276">
        <f t="shared" si="135"/>
        <v>3.4</v>
      </c>
      <c r="AW34" s="276">
        <f t="shared" si="136"/>
        <v>3.2</v>
      </c>
      <c r="AX34" s="276">
        <f t="shared" si="137"/>
        <v>2.8</v>
      </c>
      <c r="AY34" s="276">
        <f t="shared" si="138"/>
        <v>3.0</v>
      </c>
      <c r="AZ34" s="276">
        <f t="shared" si="139"/>
        <v>3.6</v>
      </c>
      <c r="BA34" s="276">
        <f t="shared" si="140"/>
        <v>4.4</v>
      </c>
      <c r="BB34" s="64">
        <f t="shared" si="16"/>
        <v>33.2</v>
      </c>
      <c r="BC34" s="47" t="e">
        <f t="shared" si="17"/>
        <v>#REF!</v>
      </c>
      <c r="BD34" s="67"/>
      <c r="BE34" s="65"/>
      <c r="BF34" s="47">
        <f>VLOOKUP(C34,MOQ,3,false)</f>
      </c>
      <c r="BG34" s="50"/>
      <c r="BH34" s="50"/>
      <c r="BI34" s="47" t="e">
        <f t="shared" si="21"/>
        <v>#REF!</v>
      </c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</row>
    <row r="35" customHeight="1" ht="13.0">
      <c r="A35" s="93" t="s">
        <v>430</v>
      </c>
      <c r="B35" s="93" t="s">
        <v>489</v>
      </c>
      <c r="C35" s="93" t="s">
        <v>492</v>
      </c>
      <c r="D35" s="277" t="s">
        <v>493</v>
      </c>
      <c r="E35" s="93">
        <v>45.0</v>
      </c>
      <c r="F35" s="93">
        <v>76.0</v>
      </c>
      <c r="G35" s="93">
        <v>43.0</v>
      </c>
      <c r="H35" s="93">
        <v>30.0</v>
      </c>
      <c r="I35" s="93">
        <v>55.0</v>
      </c>
      <c r="J35" s="93">
        <v>31.0</v>
      </c>
      <c r="K35" s="93">
        <v>75.0</v>
      </c>
      <c r="L35" s="93">
        <v>97.0</v>
      </c>
      <c r="M35" s="93">
        <v>73.0</v>
      </c>
      <c r="N35" s="93">
        <v>76.0</v>
      </c>
      <c r="O35" s="93">
        <v>59.0</v>
      </c>
      <c r="P35" s="93">
        <v>120.0</v>
      </c>
      <c r="Q35" s="93">
        <v>85.0</v>
      </c>
      <c r="R35" s="93">
        <v>52.0</v>
      </c>
      <c r="S35" s="93">
        <v>88.0</v>
      </c>
      <c r="T35" s="93">
        <v>69.0</v>
      </c>
      <c r="U35" s="93">
        <v>60.0</v>
      </c>
      <c r="V35" s="93">
        <v>60.0</v>
      </c>
      <c r="W35" s="93">
        <v>94.0</v>
      </c>
      <c r="X35" s="93">
        <v>210.0</v>
      </c>
      <c r="Y35" s="93">
        <v>73.0</v>
      </c>
      <c r="Z35" s="93">
        <v>51.0</v>
      </c>
      <c r="AA35" s="93">
        <v>33.0</v>
      </c>
      <c r="AB35" s="93">
        <v>24.0</v>
      </c>
      <c r="AC35" s="93">
        <v>57.0</v>
      </c>
      <c r="AD35" s="93">
        <v>84.0</v>
      </c>
      <c r="AE35" s="93">
        <v>69.0</v>
      </c>
      <c r="AF35" s="93">
        <v>75.0</v>
      </c>
      <c r="AG35" s="93">
        <v>21.0</v>
      </c>
      <c r="AH35" s="93">
        <v>70.0</v>
      </c>
      <c r="AI35" s="93">
        <v>48.0</v>
      </c>
      <c r="AJ35" s="93">
        <v>33.0</v>
      </c>
      <c r="AK35" s="93">
        <v>87.0</v>
      </c>
      <c r="AL35" s="93">
        <v>49.0</v>
      </c>
      <c r="AM35" s="93">
        <v>42.0</v>
      </c>
      <c r="AN35" s="93">
        <v>48.0</v>
      </c>
      <c r="AO35" s="111">
        <f t="shared" si="3"/>
        <v>683.0</v>
      </c>
      <c r="AP35" s="64">
        <f t="shared" si="4"/>
        <v>307.0</v>
      </c>
      <c r="AQ35" s="69">
        <f t="shared" si="5"/>
        <v>337.7</v>
      </c>
      <c r="AR35" s="65">
        <f t="shared" ref="AR35:AR40" si="148">AQ35*$AR$5/$AQ$5+6*$AR$34</f>
        <v>55.51</v>
      </c>
      <c r="AS35" s="65">
        <f t="shared" ref="AS35:AS40" si="149">AQ35*$AS$5/$AQ$5+6*$AS$34</f>
        <v>46.97</v>
      </c>
      <c r="AT35" s="65">
        <f t="shared" ref="AT35:AT40" si="150">AQ35*$AT$5/$AQ$5+6*$AT$34</f>
        <v>85.4</v>
      </c>
      <c r="AU35" s="65">
        <f t="shared" ref="AU35:AU40" si="151">AQ35*$AU$5/$AQ$5+6*$AU$34</f>
        <v>85.4</v>
      </c>
      <c r="AV35" s="65">
        <f t="shared" ref="AV35:AV40" si="152">AQ35*$AV$5/$AQ$5+6*$AV$34</f>
        <v>72.59</v>
      </c>
      <c r="AW35" s="65">
        <f t="shared" ref="AW35:AW40" si="153">AQ35*$AW$5/$AQ$5+6*$AW$34</f>
        <v>68.32</v>
      </c>
      <c r="AX35" s="65">
        <f t="shared" ref="AX35:AX40" si="154">AQ35*$AX$5/$AQ$5+6*$AX$34</f>
        <v>59.78</v>
      </c>
      <c r="AY35" s="65">
        <f t="shared" ref="AY35:AY40" si="155">AQ35*$AY$5/$AQ$5+6*$AY$34</f>
        <v>64.05</v>
      </c>
      <c r="AZ35" s="65">
        <f t="shared" ref="AZ35:AZ40" si="156">AQ35*$AZ$5/$AQ$5+6*$AZ$34</f>
        <v>76.86</v>
      </c>
      <c r="BA35" s="65">
        <f t="shared" ref="BA35:BA40" si="157">AQ35*$BA$5/$AQ$5+6*$BA$34</f>
        <v>93.94</v>
      </c>
      <c r="BB35" s="64">
        <f t="shared" si="16"/>
        <v>708.82</v>
      </c>
      <c r="BC35" s="47" t="e">
        <f t="shared" si="17"/>
        <v>#REF!</v>
      </c>
      <c r="BD35" s="67"/>
      <c r="BE35" s="65" t="e">
        <f t="shared" ref="BE35:BE40" si="158">BC35+BD35-BB35</f>
        <v>#REF!</v>
      </c>
      <c r="BF35" s="47">
        <f>VLOOKUP(C35,MOQ,3,false)</f>
        <v>180.0</v>
      </c>
      <c r="BG35" s="47" t="e">
        <f>BE35*-1</f>
        <v>#REF!</v>
      </c>
      <c r="BI35" s="47" t="e">
        <f t="shared" si="21"/>
        <v>#REF!</v>
      </c>
      <c r="BJ35" s="47">
        <f t="shared" ref="BJ35:BJ40" si="160">AR35</f>
        <v>55.51</v>
      </c>
      <c r="BL35" s="65" t="e">
        <f t="shared" ref="BL35:BL40" si="161">BI35+BK35-BJ35</f>
        <v>#REF!</v>
      </c>
      <c r="BM35" s="47">
        <f t="shared" ref="BM35:BM40" si="162">AS35</f>
        <v>46.97</v>
      </c>
      <c r="BO35" s="65" t="e">
        <f t="shared" ref="BO35:BO40" si="163">BL35+BN35-BM35</f>
        <v>#REF!</v>
      </c>
      <c r="BP35" s="47">
        <f t="shared" ref="BP35:BP40" si="164">AT35</f>
        <v>85.4</v>
      </c>
      <c r="BR35" s="65" t="e">
        <f t="shared" ref="BR35:BR40" si="165">BO35+BQ35-BP35</f>
        <v>#REF!</v>
      </c>
      <c r="BS35" s="47">
        <f t="shared" ref="BS35:BS40" si="166">AU35</f>
        <v>85.4</v>
      </c>
      <c r="BU35" s="65" t="e">
        <f t="shared" ref="BU35:BU40" si="167">BR35+BT35-BS35</f>
        <v>#REF!</v>
      </c>
      <c r="BV35" s="47">
        <f t="shared" ref="BV35:BV40" si="168">AV35</f>
        <v>72.59</v>
      </c>
      <c r="BX35" s="65" t="e">
        <f t="shared" ref="BX35:BX40" si="169">BU35+BW35-BV35</f>
        <v>#REF!</v>
      </c>
      <c r="BY35" s="47">
        <f t="shared" ref="BY35:BY40" si="170">AW35</f>
        <v>68.32</v>
      </c>
      <c r="CA35" s="65" t="e">
        <f t="shared" ref="CA35:CA40" si="171">BX35+BZ35-BY35</f>
        <v>#REF!</v>
      </c>
      <c r="CB35" s="47">
        <f t="shared" ref="CB35:CB40" si="172">AX35</f>
        <v>59.78</v>
      </c>
      <c r="CD35" s="65" t="e">
        <f t="shared" ref="CD35:CD40" si="173">CA35+CC35-CB35</f>
        <v>#REF!</v>
      </c>
      <c r="CE35" s="47">
        <f t="shared" ref="CE35:CE40" si="174">AY35</f>
        <v>64.05</v>
      </c>
      <c r="CG35" s="65" t="e">
        <f t="shared" ref="CG35:CG40" si="175">CD35+CF35-CE35</f>
        <v>#REF!</v>
      </c>
      <c r="CH35" s="47">
        <f t="shared" ref="CH35:CH40" si="176">AZ35</f>
        <v>76.86</v>
      </c>
      <c r="CJ35" s="65" t="e">
        <f t="shared" ref="CJ35:CJ40" si="177">CG35+CI35-CH35</f>
        <v>#REF!</v>
      </c>
      <c r="CK35" s="47">
        <f t="shared" ref="CK35:CK40" si="178">BA35</f>
        <v>93.94</v>
      </c>
      <c r="CM35" s="65" t="e">
        <f t="shared" ref="CM35:CM40" si="179">CJ35+CL35-CK35</f>
        <v>#REF!</v>
      </c>
      <c r="CO35" s="64" t="e">
        <f>BX35*-1</f>
        <v>#REF!</v>
      </c>
      <c r="CR35" s="64" t="e">
        <f>CA35*-1</f>
        <v>#REF!</v>
      </c>
    </row>
    <row r="36" customHeight="1" ht="13.0">
      <c r="A36" s="93" t="s">
        <v>430</v>
      </c>
      <c r="B36" s="93" t="s">
        <v>489</v>
      </c>
      <c r="C36" s="93" t="s">
        <v>495</v>
      </c>
      <c r="D36" s="277" t="s">
        <v>496</v>
      </c>
      <c r="E36" s="93">
        <v>45.0</v>
      </c>
      <c r="F36" s="93">
        <v>58.0</v>
      </c>
      <c r="G36" s="93">
        <v>42.0</v>
      </c>
      <c r="H36" s="93">
        <v>57.0</v>
      </c>
      <c r="I36" s="93">
        <v>21.0</v>
      </c>
      <c r="J36" s="93">
        <v>24.0</v>
      </c>
      <c r="K36" s="93">
        <v>34.0</v>
      </c>
      <c r="L36" s="93">
        <v>41.0</v>
      </c>
      <c r="M36" s="93">
        <v>54.0</v>
      </c>
      <c r="N36" s="93">
        <v>48.0</v>
      </c>
      <c r="O36" s="93">
        <v>63.0</v>
      </c>
      <c r="P36" s="93">
        <v>102.0</v>
      </c>
      <c r="Q36" s="93">
        <v>42.0</v>
      </c>
      <c r="R36" s="93">
        <v>36.0</v>
      </c>
      <c r="S36" s="93">
        <v>63.0</v>
      </c>
      <c r="T36" s="93">
        <v>40.0</v>
      </c>
      <c r="U36" s="93">
        <v>42.0</v>
      </c>
      <c r="V36" s="93">
        <v>66.0</v>
      </c>
      <c r="W36" s="93">
        <v>76.0</v>
      </c>
      <c r="X36" s="93">
        <v>207.0</v>
      </c>
      <c r="Y36" s="93">
        <v>21.0</v>
      </c>
      <c r="Z36" s="93">
        <v>50.0</v>
      </c>
      <c r="AA36" s="93">
        <v>33.0</v>
      </c>
      <c r="AB36" s="93">
        <v>27.0</v>
      </c>
      <c r="AC36" s="93">
        <v>54.0</v>
      </c>
      <c r="AD36" s="93">
        <v>54.0</v>
      </c>
      <c r="AE36" s="93">
        <v>60.0</v>
      </c>
      <c r="AF36" s="93">
        <v>43.0</v>
      </c>
      <c r="AG36" s="93">
        <v>27.0</v>
      </c>
      <c r="AH36" s="93">
        <v>48.0</v>
      </c>
      <c r="AI36" s="93">
        <v>31.0</v>
      </c>
      <c r="AJ36" s="93">
        <v>24.0</v>
      </c>
      <c r="AK36" s="93">
        <v>48.0</v>
      </c>
      <c r="AL36" s="93">
        <v>34.0</v>
      </c>
      <c r="AM36" s="93">
        <v>27.0</v>
      </c>
      <c r="AN36" s="93">
        <v>27.0</v>
      </c>
      <c r="AO36" s="111">
        <f t="shared" si="3"/>
        <v>477.0</v>
      </c>
      <c r="AP36" s="64">
        <f t="shared" si="4"/>
        <v>191.0</v>
      </c>
      <c r="AQ36" s="69">
        <f t="shared" si="5"/>
        <v>210.1</v>
      </c>
      <c r="AR36" s="65">
        <f t="shared" si="148"/>
        <v>40.43</v>
      </c>
      <c r="AS36" s="65">
        <f t="shared" si="149"/>
        <v>34.21</v>
      </c>
      <c r="AT36" s="65">
        <f t="shared" si="150"/>
        <v>62.2</v>
      </c>
      <c r="AU36" s="65">
        <f t="shared" si="151"/>
        <v>62.2</v>
      </c>
      <c r="AV36" s="65">
        <f t="shared" si="152"/>
        <v>52.87</v>
      </c>
      <c r="AW36" s="65">
        <f t="shared" si="153"/>
        <v>49.76</v>
      </c>
      <c r="AX36" s="65">
        <f t="shared" si="154"/>
        <v>43.54</v>
      </c>
      <c r="AY36" s="65">
        <f t="shared" si="155"/>
        <v>46.65</v>
      </c>
      <c r="AZ36" s="65">
        <f t="shared" si="156"/>
        <v>55.98</v>
      </c>
      <c r="BA36" s="65">
        <f t="shared" si="157"/>
        <v>68.42</v>
      </c>
      <c r="BB36" s="64">
        <f t="shared" si="16"/>
        <v>516.26</v>
      </c>
      <c r="BC36" s="47" t="e">
        <f t="shared" si="17"/>
        <v>#REF!</v>
      </c>
      <c r="BD36" s="67"/>
      <c r="BE36" s="65" t="e">
        <f t="shared" si="158"/>
        <v>#REF!</v>
      </c>
      <c r="BF36" s="47">
        <f>VLOOKUP(C36,MOQ,3,false)</f>
        <v>180.0</v>
      </c>
      <c r="BG36" s="47">
        <f t="shared" ref="BG36:BG40" si="182">BF36</f>
        <v>180.0</v>
      </c>
      <c r="BI36" s="47" t="e">
        <f t="shared" si="21"/>
        <v>#REF!</v>
      </c>
      <c r="BJ36" s="47">
        <f t="shared" si="160"/>
        <v>40.43</v>
      </c>
      <c r="BL36" s="65" t="e">
        <f t="shared" si="161"/>
        <v>#REF!</v>
      </c>
      <c r="BM36" s="47">
        <f t="shared" si="162"/>
        <v>34.21</v>
      </c>
      <c r="BO36" s="65" t="e">
        <f t="shared" si="163"/>
        <v>#REF!</v>
      </c>
      <c r="BP36" s="47">
        <f t="shared" si="164"/>
        <v>62.2</v>
      </c>
      <c r="BR36" s="65" t="e">
        <f t="shared" si="165"/>
        <v>#REF!</v>
      </c>
      <c r="BS36" s="47">
        <f t="shared" si="166"/>
        <v>62.2</v>
      </c>
      <c r="BU36" s="65" t="e">
        <f t="shared" si="167"/>
        <v>#REF!</v>
      </c>
      <c r="BV36" s="47">
        <f t="shared" si="168"/>
        <v>52.87</v>
      </c>
      <c r="BX36" s="65" t="e">
        <f t="shared" si="169"/>
        <v>#REF!</v>
      </c>
      <c r="BY36" s="47">
        <f t="shared" si="170"/>
        <v>49.76</v>
      </c>
      <c r="CA36" s="65" t="e">
        <f t="shared" si="171"/>
        <v>#REF!</v>
      </c>
      <c r="CB36" s="47">
        <f t="shared" si="172"/>
        <v>43.54</v>
      </c>
      <c r="CD36" s="65" t="e">
        <f t="shared" si="173"/>
        <v>#REF!</v>
      </c>
      <c r="CE36" s="47">
        <f t="shared" si="174"/>
        <v>46.65</v>
      </c>
      <c r="CG36" s="65" t="e">
        <f t="shared" si="175"/>
        <v>#REF!</v>
      </c>
      <c r="CH36" s="47">
        <f t="shared" si="176"/>
        <v>55.98</v>
      </c>
      <c r="CJ36" s="65" t="e">
        <f t="shared" si="177"/>
        <v>#REF!</v>
      </c>
      <c r="CK36" s="47">
        <f t="shared" si="178"/>
        <v>68.42</v>
      </c>
      <c r="CM36" s="65" t="e">
        <f t="shared" si="179"/>
        <v>#REF!</v>
      </c>
    </row>
    <row r="37" customHeight="1" ht="13.0">
      <c r="A37" s="93" t="s">
        <v>430</v>
      </c>
      <c r="B37" s="93" t="s">
        <v>489</v>
      </c>
      <c r="C37" s="93" t="s">
        <v>497</v>
      </c>
      <c r="D37" s="277" t="s">
        <v>498</v>
      </c>
      <c r="E37" s="93">
        <v>33.0</v>
      </c>
      <c r="F37" s="93">
        <v>55.0</v>
      </c>
      <c r="G37" s="93">
        <v>42.0</v>
      </c>
      <c r="H37" s="93">
        <v>45.0</v>
      </c>
      <c r="I37" s="93">
        <v>9.0</v>
      </c>
      <c r="J37" s="93">
        <v>21.0</v>
      </c>
      <c r="K37" s="93">
        <v>57.0</v>
      </c>
      <c r="L37" s="93">
        <v>48.0</v>
      </c>
      <c r="M37" s="93">
        <v>61.0</v>
      </c>
      <c r="N37" s="93">
        <v>42.0</v>
      </c>
      <c r="O37" s="93">
        <v>45.0</v>
      </c>
      <c r="P37" s="93">
        <v>90.0</v>
      </c>
      <c r="Q37" s="93">
        <v>37.0</v>
      </c>
      <c r="R37" s="93">
        <v>36.0</v>
      </c>
      <c r="S37" s="93">
        <v>69.0</v>
      </c>
      <c r="T37" s="93">
        <v>27.0</v>
      </c>
      <c r="U37" s="93">
        <v>33.0</v>
      </c>
      <c r="V37" s="93">
        <v>28.0</v>
      </c>
      <c r="W37" s="93">
        <v>49.0</v>
      </c>
      <c r="X37" s="93">
        <v>210.0</v>
      </c>
      <c r="Y37" s="93">
        <v>55.0</v>
      </c>
      <c r="Z37" s="93">
        <v>38.0</v>
      </c>
      <c r="AA37" s="93">
        <v>15.0</v>
      </c>
      <c r="AB37" s="93">
        <v>27.0</v>
      </c>
      <c r="AC37" s="93">
        <v>51.0</v>
      </c>
      <c r="AD37" s="93">
        <v>48.0</v>
      </c>
      <c r="AE37" s="93">
        <v>48.0</v>
      </c>
      <c r="AF37" s="93">
        <v>48.0</v>
      </c>
      <c r="AG37" s="93">
        <v>18.0</v>
      </c>
      <c r="AH37" s="93">
        <v>54.0</v>
      </c>
      <c r="AI37" s="93">
        <v>25.0</v>
      </c>
      <c r="AJ37" s="93">
        <v>19.0</v>
      </c>
      <c r="AK37" s="93">
        <v>51.0</v>
      </c>
      <c r="AL37" s="93">
        <v>33.0</v>
      </c>
      <c r="AM37" s="93">
        <v>21.0</v>
      </c>
      <c r="AN37" s="93">
        <v>21.0</v>
      </c>
      <c r="AO37" s="111">
        <f t="shared" si="3"/>
        <v>437.0</v>
      </c>
      <c r="AP37" s="64">
        <f t="shared" si="4"/>
        <v>170.0</v>
      </c>
      <c r="AQ37" s="69">
        <f t="shared" si="5"/>
        <v>187.0</v>
      </c>
      <c r="AR37" s="65">
        <f t="shared" si="148"/>
        <v>37.7</v>
      </c>
      <c r="AS37" s="65">
        <f t="shared" si="149"/>
        <v>31.9</v>
      </c>
      <c r="AT37" s="65">
        <f t="shared" si="150"/>
        <v>58.0</v>
      </c>
      <c r="AU37" s="65">
        <f t="shared" si="151"/>
        <v>58.0</v>
      </c>
      <c r="AV37" s="65">
        <f t="shared" si="152"/>
        <v>49.3</v>
      </c>
      <c r="AW37" s="65">
        <f t="shared" si="153"/>
        <v>46.4</v>
      </c>
      <c r="AX37" s="65">
        <f t="shared" si="154"/>
        <v>40.6</v>
      </c>
      <c r="AY37" s="65">
        <f t="shared" si="155"/>
        <v>43.5</v>
      </c>
      <c r="AZ37" s="65">
        <f t="shared" si="156"/>
        <v>52.2</v>
      </c>
      <c r="BA37" s="65">
        <f t="shared" si="157"/>
        <v>63.8</v>
      </c>
      <c r="BB37" s="64">
        <f t="shared" si="16"/>
        <v>481.4</v>
      </c>
      <c r="BC37" s="47" t="e">
        <f t="shared" si="17"/>
        <v>#REF!</v>
      </c>
      <c r="BD37" s="67"/>
      <c r="BE37" s="65" t="e">
        <f t="shared" si="158"/>
        <v>#REF!</v>
      </c>
      <c r="BF37" s="47">
        <f>VLOOKUP(C37,MOQ,3,false)</f>
        <v>180.0</v>
      </c>
      <c r="BG37" s="47">
        <f t="shared" si="182"/>
        <v>180.0</v>
      </c>
      <c r="BI37" s="47" t="e">
        <f t="shared" si="21"/>
        <v>#REF!</v>
      </c>
      <c r="BJ37" s="47">
        <f t="shared" si="160"/>
        <v>37.7</v>
      </c>
      <c r="BL37" s="65" t="e">
        <f t="shared" si="161"/>
        <v>#REF!</v>
      </c>
      <c r="BM37" s="47">
        <f t="shared" si="162"/>
        <v>31.9</v>
      </c>
      <c r="BO37" s="65" t="e">
        <f t="shared" si="163"/>
        <v>#REF!</v>
      </c>
      <c r="BP37" s="47">
        <f t="shared" si="164"/>
        <v>58.0</v>
      </c>
      <c r="BR37" s="65" t="e">
        <f t="shared" si="165"/>
        <v>#REF!</v>
      </c>
      <c r="BS37" s="47">
        <f t="shared" si="166"/>
        <v>58.0</v>
      </c>
      <c r="BU37" s="65" t="e">
        <f t="shared" si="167"/>
        <v>#REF!</v>
      </c>
      <c r="BV37" s="47">
        <f t="shared" si="168"/>
        <v>49.3</v>
      </c>
      <c r="BX37" s="65" t="e">
        <f t="shared" si="169"/>
        <v>#REF!</v>
      </c>
      <c r="BY37" s="47">
        <f t="shared" si="170"/>
        <v>46.4</v>
      </c>
      <c r="CA37" s="65" t="e">
        <f t="shared" si="171"/>
        <v>#REF!</v>
      </c>
      <c r="CB37" s="47">
        <f t="shared" si="172"/>
        <v>40.6</v>
      </c>
      <c r="CD37" s="65" t="e">
        <f t="shared" si="173"/>
        <v>#REF!</v>
      </c>
      <c r="CE37" s="47">
        <f t="shared" si="174"/>
        <v>43.5</v>
      </c>
      <c r="CG37" s="65" t="e">
        <f t="shared" si="175"/>
        <v>#REF!</v>
      </c>
      <c r="CH37" s="47">
        <f t="shared" si="176"/>
        <v>52.2</v>
      </c>
      <c r="CJ37" s="65" t="e">
        <f t="shared" si="177"/>
        <v>#REF!</v>
      </c>
      <c r="CK37" s="47">
        <f t="shared" si="178"/>
        <v>63.8</v>
      </c>
      <c r="CM37" s="65" t="e">
        <f t="shared" si="179"/>
        <v>#REF!</v>
      </c>
    </row>
    <row r="38" customHeight="1" ht="13.0">
      <c r="A38" s="93" t="s">
        <v>430</v>
      </c>
      <c r="B38" s="93" t="s">
        <v>489</v>
      </c>
      <c r="C38" s="93" t="s">
        <v>499</v>
      </c>
      <c r="D38" s="277" t="s">
        <v>500</v>
      </c>
      <c r="E38" s="93">
        <v>33.0</v>
      </c>
      <c r="F38" s="93">
        <v>55.0</v>
      </c>
      <c r="G38" s="93">
        <v>45.0</v>
      </c>
      <c r="H38" s="93">
        <v>45.0</v>
      </c>
      <c r="I38" s="93">
        <v>9.0</v>
      </c>
      <c r="J38" s="93">
        <v>12.0</v>
      </c>
      <c r="K38" s="93">
        <v>48.0</v>
      </c>
      <c r="L38" s="93">
        <v>39.0</v>
      </c>
      <c r="M38" s="93">
        <v>54.0</v>
      </c>
      <c r="N38" s="93">
        <v>39.0</v>
      </c>
      <c r="O38" s="93">
        <v>39.0</v>
      </c>
      <c r="P38" s="93">
        <v>84.0</v>
      </c>
      <c r="Q38" s="93">
        <v>32.0</v>
      </c>
      <c r="R38" s="93">
        <v>33.0</v>
      </c>
      <c r="S38" s="93">
        <v>46.0</v>
      </c>
      <c r="T38" s="93">
        <v>12.0</v>
      </c>
      <c r="U38" s="93">
        <v>27.0</v>
      </c>
      <c r="V38" s="93">
        <v>33.0</v>
      </c>
      <c r="W38" s="93">
        <v>39.0</v>
      </c>
      <c r="X38" s="93">
        <v>186.0</v>
      </c>
      <c r="Y38" s="93">
        <v>54.0</v>
      </c>
      <c r="Z38" s="93">
        <v>54.0</v>
      </c>
      <c r="AA38" s="93">
        <v>23.0</v>
      </c>
      <c r="AB38" s="93">
        <v>15.0</v>
      </c>
      <c r="AC38" s="93">
        <v>30.0</v>
      </c>
      <c r="AD38" s="93">
        <v>48.0</v>
      </c>
      <c r="AE38" s="93">
        <v>33.0</v>
      </c>
      <c r="AF38" s="93">
        <v>58.0</v>
      </c>
      <c r="AG38" s="93">
        <v>24.0</v>
      </c>
      <c r="AH38" s="93">
        <v>27.0</v>
      </c>
      <c r="AI38" s="93">
        <v>35.0</v>
      </c>
      <c r="AJ38" s="93">
        <v>11.0</v>
      </c>
      <c r="AK38" s="93">
        <v>42.0</v>
      </c>
      <c r="AL38" s="93">
        <v>30.0</v>
      </c>
      <c r="AM38" s="93">
        <v>18.0</v>
      </c>
      <c r="AN38" s="93">
        <v>12.0</v>
      </c>
      <c r="AO38" s="111">
        <f t="shared" si="3"/>
        <v>368.0</v>
      </c>
      <c r="AP38" s="64">
        <f t="shared" si="4"/>
        <v>148.0</v>
      </c>
      <c r="AQ38" s="69">
        <f t="shared" si="5"/>
        <v>162.8</v>
      </c>
      <c r="AR38" s="65">
        <f t="shared" si="148"/>
        <v>34.84</v>
      </c>
      <c r="AS38" s="65">
        <f t="shared" si="149"/>
        <v>29.48</v>
      </c>
      <c r="AT38" s="65">
        <f t="shared" si="150"/>
        <v>53.6</v>
      </c>
      <c r="AU38" s="65">
        <f t="shared" si="151"/>
        <v>53.6</v>
      </c>
      <c r="AV38" s="65">
        <f t="shared" si="152"/>
        <v>45.56</v>
      </c>
      <c r="AW38" s="65">
        <f t="shared" si="153"/>
        <v>42.88</v>
      </c>
      <c r="AX38" s="65">
        <f t="shared" si="154"/>
        <v>37.52</v>
      </c>
      <c r="AY38" s="65">
        <f t="shared" si="155"/>
        <v>40.2</v>
      </c>
      <c r="AZ38" s="65">
        <f t="shared" si="156"/>
        <v>48.24</v>
      </c>
      <c r="BA38" s="65">
        <f t="shared" si="157"/>
        <v>58.96</v>
      </c>
      <c r="BB38" s="64">
        <f t="shared" si="16"/>
        <v>444.88</v>
      </c>
      <c r="BC38" s="47" t="e">
        <f t="shared" si="17"/>
        <v>#REF!</v>
      </c>
      <c r="BD38" s="67"/>
      <c r="BE38" s="65" t="e">
        <f t="shared" si="158"/>
        <v>#REF!</v>
      </c>
      <c r="BF38" s="47">
        <f>VLOOKUP(C38,MOQ,3,false)</f>
        <v>180.0</v>
      </c>
      <c r="BG38" s="47">
        <f t="shared" si="182"/>
        <v>180.0</v>
      </c>
      <c r="BI38" s="47" t="e">
        <f t="shared" si="21"/>
        <v>#REF!</v>
      </c>
      <c r="BJ38" s="47">
        <f t="shared" si="160"/>
        <v>34.84</v>
      </c>
      <c r="BL38" s="65" t="e">
        <f t="shared" si="161"/>
        <v>#REF!</v>
      </c>
      <c r="BM38" s="47">
        <f t="shared" si="162"/>
        <v>29.48</v>
      </c>
      <c r="BO38" s="65" t="e">
        <f t="shared" si="163"/>
        <v>#REF!</v>
      </c>
      <c r="BP38" s="47">
        <f t="shared" si="164"/>
        <v>53.6</v>
      </c>
      <c r="BR38" s="65" t="e">
        <f t="shared" si="165"/>
        <v>#REF!</v>
      </c>
      <c r="BS38" s="47">
        <f t="shared" si="166"/>
        <v>53.6</v>
      </c>
      <c r="BU38" s="65" t="e">
        <f t="shared" si="167"/>
        <v>#REF!</v>
      </c>
      <c r="BV38" s="47">
        <f t="shared" si="168"/>
        <v>45.56</v>
      </c>
      <c r="BX38" s="65" t="e">
        <f t="shared" si="169"/>
        <v>#REF!</v>
      </c>
      <c r="BY38" s="47">
        <f t="shared" si="170"/>
        <v>42.88</v>
      </c>
      <c r="CA38" s="65" t="e">
        <f t="shared" si="171"/>
        <v>#REF!</v>
      </c>
      <c r="CB38" s="47">
        <f t="shared" si="172"/>
        <v>37.52</v>
      </c>
      <c r="CD38" s="65" t="e">
        <f t="shared" si="173"/>
        <v>#REF!</v>
      </c>
      <c r="CE38" s="47">
        <f t="shared" si="174"/>
        <v>40.2</v>
      </c>
      <c r="CG38" s="65" t="e">
        <f t="shared" si="175"/>
        <v>#REF!</v>
      </c>
      <c r="CH38" s="47">
        <f t="shared" si="176"/>
        <v>48.24</v>
      </c>
      <c r="CJ38" s="65" t="e">
        <f t="shared" si="177"/>
        <v>#REF!</v>
      </c>
      <c r="CK38" s="47">
        <f t="shared" si="178"/>
        <v>58.96</v>
      </c>
      <c r="CM38" s="65" t="e">
        <f t="shared" si="179"/>
        <v>#REF!</v>
      </c>
    </row>
    <row r="39" customHeight="1" ht="13.0">
      <c r="A39" s="93" t="s">
        <v>430</v>
      </c>
      <c r="B39" s="93" t="s">
        <v>489</v>
      </c>
      <c r="C39" s="93" t="s">
        <v>501</v>
      </c>
      <c r="D39" s="277" t="s">
        <v>502</v>
      </c>
      <c r="E39" s="93">
        <v>18.0</v>
      </c>
      <c r="F39" s="93">
        <v>61.0</v>
      </c>
      <c r="G39" s="93">
        <v>60.0</v>
      </c>
      <c r="H39" s="93">
        <v>57.0</v>
      </c>
      <c r="I39" s="93">
        <v>21.0</v>
      </c>
      <c r="J39" s="93">
        <v>9.0</v>
      </c>
      <c r="K39" s="93">
        <v>42.0</v>
      </c>
      <c r="L39" s="93">
        <v>48.0</v>
      </c>
      <c r="M39" s="93">
        <v>43.0</v>
      </c>
      <c r="N39" s="93">
        <v>52.0</v>
      </c>
      <c r="O39" s="93">
        <v>48.0</v>
      </c>
      <c r="P39" s="93">
        <v>72.0</v>
      </c>
      <c r="Q39" s="93">
        <v>16.0</v>
      </c>
      <c r="R39" s="93">
        <v>21.0</v>
      </c>
      <c r="S39" s="93">
        <v>45.0</v>
      </c>
      <c r="T39" s="93">
        <v>65.0</v>
      </c>
      <c r="U39" s="93">
        <v>35.0</v>
      </c>
      <c r="V39" s="93">
        <v>15.0</v>
      </c>
      <c r="W39" s="93">
        <v>51.0</v>
      </c>
      <c r="X39" s="93">
        <v>195.0</v>
      </c>
      <c r="Y39" s="93">
        <v>21.0</v>
      </c>
      <c r="Z39" s="93">
        <v>13.0</v>
      </c>
      <c r="AA39" s="93">
        <v>21.0</v>
      </c>
      <c r="AB39" s="93">
        <v>15.0</v>
      </c>
      <c r="AC39" s="93">
        <v>54.0</v>
      </c>
      <c r="AD39" s="93">
        <v>39.0</v>
      </c>
      <c r="AE39" s="93">
        <v>39.0</v>
      </c>
      <c r="AF39" s="93">
        <v>70.0</v>
      </c>
      <c r="AG39" s="93">
        <v>27.0</v>
      </c>
      <c r="AH39" s="93">
        <v>41.0</v>
      </c>
      <c r="AI39" s="93">
        <v>20.0</v>
      </c>
      <c r="AJ39" s="93">
        <v>24.0</v>
      </c>
      <c r="AK39" s="93">
        <v>28.0</v>
      </c>
      <c r="AL39" s="93">
        <v>27.0</v>
      </c>
      <c r="AM39" s="93">
        <v>15.0</v>
      </c>
      <c r="AN39" s="93">
        <v>18.0</v>
      </c>
      <c r="AO39" s="111">
        <f t="shared" si="3"/>
        <v>402.0</v>
      </c>
      <c r="AP39" s="64">
        <f t="shared" si="4"/>
        <v>132.0</v>
      </c>
      <c r="AQ39" s="69">
        <f t="shared" si="5"/>
        <v>145.2</v>
      </c>
      <c r="AR39" s="65">
        <f t="shared" si="148"/>
        <v>32.76</v>
      </c>
      <c r="AS39" s="65">
        <f t="shared" si="149"/>
        <v>27.72</v>
      </c>
      <c r="AT39" s="65">
        <f t="shared" si="150"/>
        <v>50.4</v>
      </c>
      <c r="AU39" s="65">
        <f t="shared" si="151"/>
        <v>50.4</v>
      </c>
      <c r="AV39" s="65">
        <f t="shared" si="152"/>
        <v>42.84</v>
      </c>
      <c r="AW39" s="65">
        <f t="shared" si="153"/>
        <v>40.32</v>
      </c>
      <c r="AX39" s="65">
        <f t="shared" si="154"/>
        <v>35.28</v>
      </c>
      <c r="AY39" s="65">
        <f t="shared" si="155"/>
        <v>37.8</v>
      </c>
      <c r="AZ39" s="65">
        <f t="shared" si="156"/>
        <v>45.36</v>
      </c>
      <c r="BA39" s="65">
        <f t="shared" si="157"/>
        <v>55.44</v>
      </c>
      <c r="BB39" s="64">
        <f t="shared" si="16"/>
        <v>418.32</v>
      </c>
      <c r="BC39" s="47" t="e">
        <f t="shared" si="17"/>
        <v>#REF!</v>
      </c>
      <c r="BD39" s="67"/>
      <c r="BE39" s="65" t="e">
        <f t="shared" si="158"/>
        <v>#REF!</v>
      </c>
      <c r="BF39" s="47">
        <f>VLOOKUP(C39,MOQ,3,false)</f>
        <v>180.0</v>
      </c>
      <c r="BG39" s="47">
        <f t="shared" si="182"/>
        <v>180.0</v>
      </c>
      <c r="BI39" s="47" t="e">
        <f t="shared" si="21"/>
        <v>#REF!</v>
      </c>
      <c r="BJ39" s="47">
        <f t="shared" si="160"/>
        <v>32.76</v>
      </c>
      <c r="BL39" s="65" t="e">
        <f t="shared" si="161"/>
        <v>#REF!</v>
      </c>
      <c r="BM39" s="47">
        <f t="shared" si="162"/>
        <v>27.72</v>
      </c>
      <c r="BO39" s="65" t="e">
        <f t="shared" si="163"/>
        <v>#REF!</v>
      </c>
      <c r="BP39" s="47">
        <f t="shared" si="164"/>
        <v>50.4</v>
      </c>
      <c r="BR39" s="65" t="e">
        <f t="shared" si="165"/>
        <v>#REF!</v>
      </c>
      <c r="BS39" s="47">
        <f t="shared" si="166"/>
        <v>50.4</v>
      </c>
      <c r="BU39" s="65" t="e">
        <f t="shared" si="167"/>
        <v>#REF!</v>
      </c>
      <c r="BV39" s="47">
        <f t="shared" si="168"/>
        <v>42.84</v>
      </c>
      <c r="BX39" s="65" t="e">
        <f t="shared" si="169"/>
        <v>#REF!</v>
      </c>
      <c r="BY39" s="47">
        <f t="shared" si="170"/>
        <v>40.32</v>
      </c>
      <c r="CA39" s="65" t="e">
        <f t="shared" si="171"/>
        <v>#REF!</v>
      </c>
      <c r="CB39" s="47">
        <f t="shared" si="172"/>
        <v>35.28</v>
      </c>
      <c r="CD39" s="65" t="e">
        <f t="shared" si="173"/>
        <v>#REF!</v>
      </c>
      <c r="CE39" s="47">
        <f t="shared" si="174"/>
        <v>37.8</v>
      </c>
      <c r="CG39" s="65" t="e">
        <f t="shared" si="175"/>
        <v>#REF!</v>
      </c>
      <c r="CH39" s="47">
        <f t="shared" si="176"/>
        <v>45.36</v>
      </c>
      <c r="CJ39" s="65" t="e">
        <f t="shared" si="177"/>
        <v>#REF!</v>
      </c>
      <c r="CK39" s="47">
        <f t="shared" si="178"/>
        <v>55.44</v>
      </c>
      <c r="CM39" s="65" t="e">
        <f t="shared" si="179"/>
        <v>#REF!</v>
      </c>
    </row>
    <row r="40" customHeight="1" ht="13.0">
      <c r="A40" s="93" t="s">
        <v>430</v>
      </c>
      <c r="B40" s="93" t="s">
        <v>489</v>
      </c>
      <c r="C40" s="93" t="s">
        <v>503</v>
      </c>
      <c r="D40" s="277" t="s">
        <v>504</v>
      </c>
      <c r="E40" s="93">
        <v>33.0</v>
      </c>
      <c r="F40" s="93">
        <v>43.0</v>
      </c>
      <c r="G40" s="93">
        <v>24.0</v>
      </c>
      <c r="H40" s="93">
        <v>30.0</v>
      </c>
      <c r="I40" s="93">
        <v>3.0</v>
      </c>
      <c r="J40" s="93">
        <v>9.0</v>
      </c>
      <c r="K40" s="93">
        <v>21.0</v>
      </c>
      <c r="L40" s="93">
        <v>30.0</v>
      </c>
      <c r="M40" s="93">
        <v>33.0</v>
      </c>
      <c r="N40" s="93">
        <v>18.0</v>
      </c>
      <c r="O40" s="93">
        <v>30.0</v>
      </c>
      <c r="P40" s="93">
        <v>48.0</v>
      </c>
      <c r="Q40" s="93">
        <v>20.0</v>
      </c>
      <c r="R40" s="93">
        <v>15.0</v>
      </c>
      <c r="S40" s="93">
        <v>33.0</v>
      </c>
      <c r="T40" s="93">
        <v>15.0</v>
      </c>
      <c r="U40" s="93">
        <v>21.0</v>
      </c>
      <c r="V40" s="93">
        <v>18.0</v>
      </c>
      <c r="W40" s="93">
        <v>48.0</v>
      </c>
      <c r="X40" s="93">
        <v>27.0</v>
      </c>
      <c r="Y40" s="93">
        <v>39.0</v>
      </c>
      <c r="Z40" s="93">
        <v>27.0</v>
      </c>
      <c r="AA40" s="93">
        <v>6.0</v>
      </c>
      <c r="AB40" s="93">
        <v>12.0</v>
      </c>
      <c r="AC40" s="93">
        <v>15.0</v>
      </c>
      <c r="AD40" s="93">
        <v>33.0</v>
      </c>
      <c r="AE40" s="93">
        <v>21.0</v>
      </c>
      <c r="AF40" s="93">
        <v>28.0</v>
      </c>
      <c r="AG40" s="93">
        <v>18.0</v>
      </c>
      <c r="AH40" s="93">
        <v>26.0</v>
      </c>
      <c r="AI40" s="93">
        <v>13.0</v>
      </c>
      <c r="AJ40" s="93">
        <v>6.0</v>
      </c>
      <c r="AK40" s="93">
        <v>26.0</v>
      </c>
      <c r="AL40" s="93">
        <v>16.0</v>
      </c>
      <c r="AM40" s="93">
        <v>6.0</v>
      </c>
      <c r="AN40" s="93">
        <v>16.0</v>
      </c>
      <c r="AO40" s="111">
        <f t="shared" si="3"/>
        <v>224.0</v>
      </c>
      <c r="AP40" s="64">
        <f t="shared" si="4"/>
        <v>83.0</v>
      </c>
      <c r="AQ40" s="69">
        <f t="shared" si="5"/>
        <v>91.3</v>
      </c>
      <c r="AR40" s="65">
        <f t="shared" si="148"/>
        <v>26.39</v>
      </c>
      <c r="AS40" s="65">
        <f t="shared" si="149"/>
        <v>22.33</v>
      </c>
      <c r="AT40" s="65">
        <f t="shared" si="150"/>
        <v>40.6</v>
      </c>
      <c r="AU40" s="65">
        <f t="shared" si="151"/>
        <v>40.6</v>
      </c>
      <c r="AV40" s="65">
        <f t="shared" si="152"/>
        <v>34.51</v>
      </c>
      <c r="AW40" s="65">
        <f t="shared" si="153"/>
        <v>32.48</v>
      </c>
      <c r="AX40" s="65">
        <f t="shared" si="154"/>
        <v>28.42</v>
      </c>
      <c r="AY40" s="65">
        <f t="shared" si="155"/>
        <v>30.45</v>
      </c>
      <c r="AZ40" s="65">
        <f t="shared" si="156"/>
        <v>36.54</v>
      </c>
      <c r="BA40" s="65">
        <f t="shared" si="157"/>
        <v>44.66</v>
      </c>
      <c r="BB40" s="64">
        <f t="shared" si="16"/>
        <v>336.98</v>
      </c>
      <c r="BC40" s="47" t="e">
        <f t="shared" si="17"/>
        <v>#REF!</v>
      </c>
      <c r="BD40" s="67"/>
      <c r="BE40" s="65" t="e">
        <f t="shared" si="158"/>
        <v>#REF!</v>
      </c>
      <c r="BF40" s="47">
        <f>VLOOKUP(C40,MOQ,3,false)</f>
        <v>180.0</v>
      </c>
      <c r="BG40" s="47">
        <f t="shared" si="182"/>
        <v>180.0</v>
      </c>
      <c r="BI40" s="47" t="e">
        <f t="shared" si="21"/>
        <v>#REF!</v>
      </c>
      <c r="BJ40" s="47">
        <f t="shared" si="160"/>
        <v>26.39</v>
      </c>
      <c r="BL40" s="65" t="e">
        <f t="shared" si="161"/>
        <v>#REF!</v>
      </c>
      <c r="BM40" s="47">
        <f t="shared" si="162"/>
        <v>22.33</v>
      </c>
      <c r="BO40" s="65" t="e">
        <f t="shared" si="163"/>
        <v>#REF!</v>
      </c>
      <c r="BP40" s="47">
        <f t="shared" si="164"/>
        <v>40.6</v>
      </c>
      <c r="BR40" s="65" t="e">
        <f t="shared" si="165"/>
        <v>#REF!</v>
      </c>
      <c r="BS40" s="47">
        <f t="shared" si="166"/>
        <v>40.6</v>
      </c>
      <c r="BU40" s="65" t="e">
        <f t="shared" si="167"/>
        <v>#REF!</v>
      </c>
      <c r="BV40" s="47">
        <f t="shared" si="168"/>
        <v>34.51</v>
      </c>
      <c r="BX40" s="65" t="e">
        <f t="shared" si="169"/>
        <v>#REF!</v>
      </c>
      <c r="BY40" s="47">
        <f t="shared" si="170"/>
        <v>32.48</v>
      </c>
      <c r="CA40" s="65" t="e">
        <f t="shared" si="171"/>
        <v>#REF!</v>
      </c>
      <c r="CB40" s="47">
        <f t="shared" si="172"/>
        <v>28.42</v>
      </c>
      <c r="CD40" s="65" t="e">
        <f t="shared" si="173"/>
        <v>#REF!</v>
      </c>
      <c r="CE40" s="47">
        <f t="shared" si="174"/>
        <v>30.45</v>
      </c>
      <c r="CG40" s="65" t="e">
        <f t="shared" si="175"/>
        <v>#REF!</v>
      </c>
      <c r="CH40" s="47">
        <f t="shared" si="176"/>
        <v>36.54</v>
      </c>
      <c r="CJ40" s="65" t="e">
        <f t="shared" si="177"/>
        <v>#REF!</v>
      </c>
      <c r="CK40" s="47">
        <f t="shared" si="178"/>
        <v>44.66</v>
      </c>
      <c r="CM40" s="65" t="e">
        <f t="shared" si="179"/>
        <v>#REF!</v>
      </c>
    </row>
    <row r="41" customHeight="1" ht="13.0">
      <c r="A41" s="93"/>
      <c r="B41" s="93"/>
      <c r="C41" s="93"/>
      <c r="D41" s="229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</row>
    <row hidden="1" r="42" ht="14.0" outlineLevel="1">
      <c r="E42" s="278"/>
      <c r="F42" s="278"/>
      <c r="G42" s="278"/>
      <c r="H42" s="278"/>
      <c r="I42" s="278"/>
      <c r="J42" s="278"/>
      <c r="K42" s="278"/>
      <c r="L42" s="278"/>
      <c r="M42" s="278"/>
      <c r="N42" s="278"/>
      <c r="O42" s="278"/>
      <c r="P42" s="278"/>
      <c r="Q42" s="278"/>
      <c r="R42" s="278"/>
      <c r="S42" s="278"/>
      <c r="T42" s="278"/>
      <c r="U42" s="278"/>
      <c r="V42" s="278"/>
      <c r="W42" s="278"/>
      <c r="X42" s="278"/>
      <c r="Y42" s="278"/>
      <c r="Z42" s="278"/>
      <c r="AA42" s="278"/>
      <c r="AB42" s="278"/>
      <c r="AC42" s="279">
        <v>0.0635508729640514</v>
      </c>
      <c r="AD42" s="279">
        <v>0.0771945506477668</v>
      </c>
      <c r="AE42" s="279">
        <v>0.0292555870496106</v>
      </c>
      <c r="AF42" s="279">
        <v>0.0438833805744163</v>
      </c>
      <c r="AG42" s="279">
        <v>0.125368419640044</v>
      </c>
      <c r="AH42" s="279">
        <v>0.118175865153442</v>
      </c>
      <c r="AI42" s="279">
        <v>0.066699345418496</v>
      </c>
      <c r="AJ42" s="279">
        <v>0.122635901461769</v>
      </c>
      <c r="AK42" s="279">
        <v>0.150759002540072</v>
      </c>
      <c r="AL42" s="279">
        <v>0.0633507221616244</v>
      </c>
      <c r="AM42" s="279">
        <v>0.0370188087866314</v>
      </c>
      <c r="AN42" s="279">
        <v>0.102107543602072</v>
      </c>
      <c r="AO42" s="105">
        <f>SUM(AC42:AN42)</f>
        <v>0.999999999999996</v>
      </c>
      <c r="AP42" s="106">
        <f>SUM(AI42:AN42)</f>
        <v>0.542571323970664</v>
      </c>
      <c r="AQ42" s="106">
        <f>AP42*1.1</f>
        <v>0.59682845636773</v>
      </c>
      <c r="AR42" s="254">
        <v>0.0635508729640514</v>
      </c>
      <c r="AS42" s="104">
        <v>0.0771945506477668</v>
      </c>
      <c r="AT42" s="104">
        <v>0.0292555870496106</v>
      </c>
      <c r="AU42" s="104">
        <v>0.0438833805744163</v>
      </c>
      <c r="AV42" s="104">
        <v>0.125368419640044</v>
      </c>
      <c r="AW42" s="104">
        <v>0.118175865153442</v>
      </c>
      <c r="AX42" s="104">
        <v>0.066699345418496</v>
      </c>
      <c r="AY42" s="104">
        <v>0.122635901461769</v>
      </c>
      <c r="AZ42" s="104">
        <v>0.150759002540072</v>
      </c>
      <c r="BA42" s="104">
        <v>0.0633507221616244</v>
      </c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/>
    </row>
    <row hidden="1" r="43" ht="14.0" outlineLevel="2">
      <c r="E43" s="255">
        <v>45891</v>
      </c>
      <c r="F43" s="255">
        <v>45922</v>
      </c>
      <c r="G43" s="255">
        <v>45952</v>
      </c>
      <c r="H43" s="255">
        <v>45983</v>
      </c>
      <c r="I43" s="255">
        <v>46013</v>
      </c>
      <c r="J43" s="255">
        <v>45680</v>
      </c>
      <c r="K43" s="255">
        <v>45711</v>
      </c>
      <c r="L43" s="255">
        <v>45739</v>
      </c>
      <c r="M43" s="255">
        <v>45770</v>
      </c>
      <c r="N43" s="255">
        <v>45800</v>
      </c>
      <c r="O43" s="255">
        <v>45831</v>
      </c>
      <c r="P43" s="255">
        <v>45861</v>
      </c>
      <c r="Q43" s="256">
        <v>45892</v>
      </c>
      <c r="R43" s="256">
        <v>45923</v>
      </c>
      <c r="S43" s="256">
        <v>45953</v>
      </c>
      <c r="T43" s="256">
        <v>45984</v>
      </c>
      <c r="U43" s="256">
        <v>46014</v>
      </c>
      <c r="V43" s="256">
        <v>45681</v>
      </c>
      <c r="W43" s="256">
        <v>45712</v>
      </c>
      <c r="X43" s="256">
        <v>45740</v>
      </c>
      <c r="Y43" s="256">
        <v>45771</v>
      </c>
      <c r="Z43" s="256">
        <v>45801</v>
      </c>
      <c r="AA43" s="256">
        <v>45832</v>
      </c>
      <c r="AB43" s="256">
        <v>45862</v>
      </c>
      <c r="AC43" s="257">
        <v>45893</v>
      </c>
      <c r="AD43" s="257">
        <v>45924</v>
      </c>
      <c r="AE43" s="257">
        <v>45954</v>
      </c>
      <c r="AF43" s="257">
        <v>45985</v>
      </c>
      <c r="AG43" s="257">
        <v>46015</v>
      </c>
      <c r="AH43" s="257">
        <v>45682</v>
      </c>
      <c r="AI43" s="257">
        <v>45713</v>
      </c>
      <c r="AJ43" s="257">
        <v>45741</v>
      </c>
      <c r="AK43" s="257">
        <v>45772</v>
      </c>
      <c r="AL43" s="257">
        <v>45802</v>
      </c>
      <c r="AM43" s="257">
        <v>45833</v>
      </c>
      <c r="AN43" s="257">
        <v>45863</v>
      </c>
      <c r="AO43" s="258" t="s">
        <v>1</v>
      </c>
      <c r="AP43" s="78" t="s">
        <v>806</v>
      </c>
      <c r="AQ43" s="78" t="s">
        <v>806</v>
      </c>
      <c r="AR43" s="259">
        <v>45893</v>
      </c>
      <c r="AS43" s="259">
        <v>45924</v>
      </c>
      <c r="AT43" s="259">
        <v>45955</v>
      </c>
      <c r="AU43" s="259">
        <v>45986</v>
      </c>
      <c r="AV43" s="259">
        <v>46016</v>
      </c>
      <c r="AW43" s="259">
        <v>46048</v>
      </c>
      <c r="AX43" s="259">
        <v>46079</v>
      </c>
      <c r="AY43" s="259">
        <v>46107</v>
      </c>
      <c r="AZ43" s="259">
        <v>46138</v>
      </c>
      <c r="BA43" s="259">
        <v>46168</v>
      </c>
      <c r="BB43" s="78" t="s">
        <v>3</v>
      </c>
      <c r="BC43" s="78" t="s">
        <v>3</v>
      </c>
      <c r="BD43" s="78" t="s">
        <v>3</v>
      </c>
      <c r="BE43" s="78" t="s">
        <v>3</v>
      </c>
      <c r="BF43" s="78" t="s">
        <v>3</v>
      </c>
      <c r="BG43" s="260" t="s">
        <v>3</v>
      </c>
      <c r="BH43" s="78"/>
      <c r="BI43" s="78" t="s">
        <v>5</v>
      </c>
      <c r="BJ43" s="78" t="s">
        <v>6</v>
      </c>
      <c r="BK43" s="78"/>
      <c r="BL43" s="78"/>
      <c r="BM43" s="78" t="s">
        <v>7</v>
      </c>
      <c r="BN43" s="78"/>
      <c r="BO43" s="78"/>
      <c r="BP43" s="78" t="s">
        <v>8</v>
      </c>
      <c r="BQ43" s="78"/>
      <c r="BR43" s="78"/>
      <c r="BS43" s="78" t="s">
        <v>9</v>
      </c>
      <c r="BT43" s="78"/>
      <c r="BU43" s="78"/>
      <c r="BV43" s="78" t="s">
        <v>10</v>
      </c>
      <c r="BW43" s="78"/>
      <c r="BX43" s="78"/>
      <c r="BY43" s="261">
        <v>46023</v>
      </c>
      <c r="BZ43" s="78"/>
      <c r="CA43" s="78"/>
      <c r="CB43" s="261">
        <v>46054</v>
      </c>
      <c r="CC43" s="78"/>
      <c r="CD43" s="78"/>
      <c r="CE43" s="261">
        <v>46082</v>
      </c>
      <c r="CF43" s="78"/>
      <c r="CG43" s="78"/>
      <c r="CH43" s="261">
        <v>46113</v>
      </c>
      <c r="CI43" s="78"/>
      <c r="CJ43" s="78"/>
      <c r="CK43" s="262">
        <v>46143</v>
      </c>
      <c r="CL43" s="78"/>
      <c r="CM43" s="78"/>
      <c r="CN43" s="64"/>
      <c r="CO43" s="64"/>
      <c r="CP43" s="64"/>
      <c r="CQ43" s="64"/>
      <c r="CR43" s="64"/>
      <c r="CS43" s="64"/>
      <c r="CT43" s="64"/>
      <c r="CU43" s="64"/>
      <c r="CV43" s="64"/>
      <c r="CW43" s="64"/>
      <c r="CX43" s="64"/>
      <c r="CY43" s="64"/>
      <c r="CZ43" s="64"/>
      <c r="DA43" s="64"/>
      <c r="DB43" s="64"/>
      <c r="DC43" s="64"/>
      <c r="DD43" s="64"/>
      <c r="DE43" s="64"/>
      <c r="DF43" s="64"/>
      <c r="DG43" s="64"/>
      <c r="DH43" s="64"/>
      <c r="DI43" s="64"/>
      <c r="DJ43" s="64"/>
      <c r="DK43" s="64"/>
      <c r="DL43" s="64"/>
      <c r="DM43" s="64"/>
      <c r="AMC43" s="64"/>
      <c r="AMD43" s="64"/>
      <c r="AME43" s="64"/>
      <c r="AMF43" s="64"/>
      <c r="AMG43" s="64"/>
    </row>
    <row hidden="1" r="44" ht="29.0" outlineLevel="2">
      <c r="A44" s="111" t="s">
        <v>12</v>
      </c>
      <c r="B44" s="111" t="s">
        <v>13</v>
      </c>
      <c r="C44" s="111" t="s">
        <v>14</v>
      </c>
      <c r="D44" s="258" t="s">
        <v>15</v>
      </c>
      <c r="E44" s="87" t="s">
        <v>16</v>
      </c>
      <c r="F44" s="87" t="s">
        <v>16</v>
      </c>
      <c r="G44" s="87" t="s">
        <v>16</v>
      </c>
      <c r="H44" s="87" t="s">
        <v>16</v>
      </c>
      <c r="I44" s="87" t="s">
        <v>16</v>
      </c>
      <c r="J44" s="87" t="s">
        <v>16</v>
      </c>
      <c r="K44" s="87" t="s">
        <v>16</v>
      </c>
      <c r="L44" s="87" t="s">
        <v>16</v>
      </c>
      <c r="M44" s="87" t="s">
        <v>16</v>
      </c>
      <c r="N44" s="87" t="s">
        <v>16</v>
      </c>
      <c r="O44" s="87" t="s">
        <v>16</v>
      </c>
      <c r="P44" s="87" t="s">
        <v>16</v>
      </c>
      <c r="Q44" s="87" t="s">
        <v>16</v>
      </c>
      <c r="R44" s="87" t="s">
        <v>16</v>
      </c>
      <c r="S44" s="87" t="s">
        <v>16</v>
      </c>
      <c r="T44" s="87" t="s">
        <v>16</v>
      </c>
      <c r="U44" s="87" t="s">
        <v>16</v>
      </c>
      <c r="V44" s="87" t="s">
        <v>16</v>
      </c>
      <c r="W44" s="87" t="s">
        <v>16</v>
      </c>
      <c r="X44" s="87" t="s">
        <v>16</v>
      </c>
      <c r="Y44" s="87" t="s">
        <v>16</v>
      </c>
      <c r="Z44" s="87" t="s">
        <v>16</v>
      </c>
      <c r="AA44" s="87" t="s">
        <v>16</v>
      </c>
      <c r="AB44" s="87" t="s">
        <v>16</v>
      </c>
      <c r="AC44" s="87" t="s">
        <v>16</v>
      </c>
      <c r="AD44" s="87" t="s">
        <v>16</v>
      </c>
      <c r="AE44" s="87" t="s">
        <v>16</v>
      </c>
      <c r="AF44" s="87" t="s">
        <v>16</v>
      </c>
      <c r="AG44" s="87" t="s">
        <v>16</v>
      </c>
      <c r="AH44" s="87" t="s">
        <v>16</v>
      </c>
      <c r="AI44" s="87" t="s">
        <v>16</v>
      </c>
      <c r="AJ44" s="87" t="s">
        <v>16</v>
      </c>
      <c r="AK44" s="87" t="s">
        <v>16</v>
      </c>
      <c r="AL44" s="87" t="s">
        <v>16</v>
      </c>
      <c r="AM44" s="87" t="s">
        <v>16</v>
      </c>
      <c r="AN44" s="87" t="s">
        <v>16</v>
      </c>
      <c r="AO44" s="88" t="s">
        <v>3</v>
      </c>
      <c r="AP44" s="88" t="s">
        <v>3</v>
      </c>
      <c r="AQ44" s="88" t="s">
        <v>17</v>
      </c>
      <c r="AR44" s="265" t="s">
        <v>18</v>
      </c>
      <c r="AS44" s="265" t="s">
        <v>18</v>
      </c>
      <c r="AT44" s="265" t="s">
        <v>18</v>
      </c>
      <c r="AU44" s="265" t="s">
        <v>18</v>
      </c>
      <c r="AV44" s="265" t="s">
        <v>18</v>
      </c>
      <c r="AW44" s="265" t="s">
        <v>18</v>
      </c>
      <c r="AX44" s="265" t="s">
        <v>18</v>
      </c>
      <c r="AY44" s="265" t="s">
        <v>18</v>
      </c>
      <c r="AZ44" s="265" t="s">
        <v>18</v>
      </c>
      <c r="BA44" s="265" t="s">
        <v>18</v>
      </c>
      <c r="BB44" s="280" t="s">
        <v>18</v>
      </c>
      <c r="BC44" s="87" t="s">
        <v>176</v>
      </c>
      <c r="BD44" s="90" t="s">
        <v>178</v>
      </c>
      <c r="BE44" s="266" t="s">
        <v>22</v>
      </c>
      <c r="BF44" s="87" t="s">
        <v>23</v>
      </c>
      <c r="BG44" s="267" t="s">
        <v>24</v>
      </c>
      <c r="BH44" s="86" t="s">
        <v>25</v>
      </c>
      <c r="BI44" s="87" t="s">
        <v>26</v>
      </c>
      <c r="BJ44" s="87" t="s">
        <v>18</v>
      </c>
      <c r="BK44" s="87" t="s">
        <v>27</v>
      </c>
      <c r="BL44" s="87" t="s">
        <v>28</v>
      </c>
      <c r="BM44" s="87" t="s">
        <v>18</v>
      </c>
      <c r="BN44" s="87" t="s">
        <v>27</v>
      </c>
      <c r="BO44" s="87" t="s">
        <v>28</v>
      </c>
      <c r="BP44" s="87" t="s">
        <v>18</v>
      </c>
      <c r="BQ44" s="87" t="s">
        <v>27</v>
      </c>
      <c r="BR44" s="87" t="s">
        <v>28</v>
      </c>
      <c r="BS44" s="87" t="s">
        <v>18</v>
      </c>
      <c r="BT44" s="87" t="s">
        <v>27</v>
      </c>
      <c r="BU44" s="87" t="s">
        <v>28</v>
      </c>
      <c r="BV44" s="87" t="s">
        <v>18</v>
      </c>
      <c r="BW44" s="87" t="s">
        <v>27</v>
      </c>
      <c r="BX44" s="87" t="s">
        <v>28</v>
      </c>
      <c r="BY44" s="87" t="s">
        <v>18</v>
      </c>
      <c r="BZ44" s="87" t="s">
        <v>27</v>
      </c>
      <c r="CA44" s="87" t="s">
        <v>28</v>
      </c>
      <c r="CB44" s="87" t="s">
        <v>18</v>
      </c>
      <c r="CC44" s="87" t="s">
        <v>27</v>
      </c>
      <c r="CD44" s="87" t="s">
        <v>28</v>
      </c>
      <c r="CE44" s="87" t="s">
        <v>18</v>
      </c>
      <c r="CF44" s="87" t="s">
        <v>27</v>
      </c>
      <c r="CG44" s="87" t="s">
        <v>28</v>
      </c>
      <c r="CH44" s="87" t="s">
        <v>18</v>
      </c>
      <c r="CI44" s="87" t="s">
        <v>27</v>
      </c>
      <c r="CJ44" s="87" t="s">
        <v>28</v>
      </c>
      <c r="CK44" s="87" t="s">
        <v>18</v>
      </c>
      <c r="CL44" s="87" t="s">
        <v>27</v>
      </c>
      <c r="CM44" s="87" t="s">
        <v>28</v>
      </c>
    </row>
    <row hidden="1" r="45" customHeight="1" ht="13.0" outlineLevel="2">
      <c r="A45" s="93" t="s">
        <v>430</v>
      </c>
      <c r="B45" s="93" t="s">
        <v>53</v>
      </c>
      <c r="C45" s="93" t="s">
        <v>474</v>
      </c>
      <c r="D45" s="229" t="s">
        <v>475</v>
      </c>
      <c r="E45" s="93">
        <v>21.0</v>
      </c>
      <c r="F45" s="93">
        <v>24.0</v>
      </c>
      <c r="G45" s="93">
        <v>0.0</v>
      </c>
      <c r="H45" s="93">
        <v>24.0</v>
      </c>
      <c r="I45" s="93">
        <v>24.0</v>
      </c>
      <c r="J45" s="93">
        <v>48.0</v>
      </c>
      <c r="K45" s="93">
        <v>24.0</v>
      </c>
      <c r="L45" s="93">
        <v>0.0</v>
      </c>
      <c r="M45" s="93">
        <v>24.0</v>
      </c>
      <c r="N45" s="93">
        <v>24.0</v>
      </c>
      <c r="O45" s="93">
        <v>24.0</v>
      </c>
      <c r="P45" s="93">
        <v>192.0</v>
      </c>
      <c r="Q45" s="93">
        <v>0.0</v>
      </c>
      <c r="R45" s="93">
        <v>48.0</v>
      </c>
      <c r="S45" s="93">
        <v>0.0</v>
      </c>
      <c r="T45" s="93">
        <v>24.0</v>
      </c>
      <c r="U45" s="93">
        <v>24.0</v>
      </c>
      <c r="V45" s="93">
        <v>24.0</v>
      </c>
      <c r="W45" s="93">
        <v>24.0</v>
      </c>
      <c r="X45" s="93">
        <v>0.0</v>
      </c>
      <c r="Y45" s="93">
        <v>24.0</v>
      </c>
      <c r="Z45" s="93">
        <v>24.0</v>
      </c>
      <c r="AA45" s="93">
        <v>0.0</v>
      </c>
      <c r="AB45" s="93">
        <v>24.0</v>
      </c>
      <c r="AC45" s="93">
        <v>168.0</v>
      </c>
      <c r="AD45" s="93">
        <v>120.0</v>
      </c>
      <c r="AE45" s="93">
        <v>24.0</v>
      </c>
      <c r="AF45" s="93">
        <v>48.0</v>
      </c>
      <c r="AG45" s="93">
        <v>72.0</v>
      </c>
      <c r="AH45" s="93">
        <v>144.0</v>
      </c>
      <c r="AI45" s="93">
        <v>24.0</v>
      </c>
      <c r="AJ45" s="93">
        <v>24.0</v>
      </c>
      <c r="AK45" s="93">
        <v>24.0</v>
      </c>
      <c r="AL45" s="93">
        <v>72.0</v>
      </c>
      <c r="AM45" s="93">
        <v>24.0</v>
      </c>
      <c r="AN45" s="93">
        <v>48.0</v>
      </c>
      <c r="AO45" s="111">
        <f t="shared" ref="AO45:AO48" si="186">SUM(AC45:AN45)</f>
        <v>792.0</v>
      </c>
      <c r="AP45" s="64">
        <f t="shared" ref="AP45:AP48" si="187">SUM(AI45:AN45)</f>
        <v>216.0</v>
      </c>
      <c r="AQ45" s="69">
        <f t="shared" ref="AQ45:AQ48" si="188">AP45*1.1</f>
        <v>237.6</v>
      </c>
      <c r="AR45" s="95">
        <f t="shared" ref="AR45:AR48" si="189">AQ45*$AR$42/$AQ$42</f>
        <v>25.299878474553</v>
      </c>
      <c r="AS45" s="47">
        <f t="shared" ref="AS45:AS48" si="190">AQ45*$AS$42/$AQ$42</f>
        <v>30.7314858033652</v>
      </c>
      <c r="AT45" s="47">
        <f t="shared" ref="AT45:AT48" si="191">AQ45*$AT$42/$AQ$42</f>
        <v>11.6467762366622</v>
      </c>
      <c r="AU45" s="47">
        <f t="shared" ref="AU45:AU48" si="192">AQ45*$AU$42/$AQ$42</f>
        <v>17.4701643549934</v>
      </c>
      <c r="AV45" s="47">
        <f t="shared" ref="AV45:AV48" si="193">AQ45*$AV$42/$AQ$42</f>
        <v>49.909712227463</v>
      </c>
      <c r="AW45" s="47">
        <f t="shared" ref="AW45:AW48" si="194">AQ45*$AW$42/$AQ$42</f>
        <v>47.0463250551804</v>
      </c>
      <c r="AX45" s="47">
        <f t="shared" ref="AX45:AX48" si="195">AQ45*$AX$42/$AQ$42</f>
        <v>26.5532990298139</v>
      </c>
      <c r="AY45" s="47">
        <f t="shared" ref="AY45:AY48" si="196">AQ45*$AY$42/$AQ$42</f>
        <v>48.821884875682</v>
      </c>
      <c r="AZ45" s="47">
        <f t="shared" ref="AZ45:AZ47" si="197">AQ45*$AZ$42/$AQ$42</f>
        <v>60.0178135297401</v>
      </c>
      <c r="BA45" s="47">
        <f t="shared" ref="BA45:BA47" si="198">AQ45*$BA$42/$AQ$42</f>
        <v>25.2201975710216</v>
      </c>
      <c r="BB45" s="64">
        <f t="shared" ref="BB45:BB48" si="199">SUM(AR45:BA45)</f>
        <v>342.717537158474</v>
      </c>
      <c r="BC45" s="47" t="e">
        <f t="shared" ref="BC45:BC48" si="200">VLOOKUP(D45,JULY31SOH,3,false)</f>
        <v>#REF!</v>
      </c>
      <c r="BD45" s="67"/>
      <c r="BE45" s="65" t="e">
        <f t="shared" ref="BE45:BE48" si="201">BC45+BD45-BB45</f>
        <v>#REF!</v>
      </c>
      <c r="BF45" s="47">
        <f>VLOOKUP(C45,MOQ,3,false)</f>
        <v>200.0</v>
      </c>
      <c r="BI45" s="47" t="e">
        <f t="shared" ref="BI45:BI48" si="203">BC45</f>
        <v>#REF!</v>
      </c>
      <c r="BJ45" s="47">
        <f t="shared" ref="BJ45:BJ48" si="204">AR45</f>
        <v>25.299878474553</v>
      </c>
      <c r="BL45" s="65" t="e">
        <f t="shared" ref="BL45:BL48" si="205">BI45+BK45-BJ45</f>
        <v>#REF!</v>
      </c>
      <c r="BM45" s="47">
        <f t="shared" ref="BM45:BM48" si="206">AS45</f>
        <v>30.7314858033652</v>
      </c>
      <c r="BN45" s="47">
        <f t="shared" ref="BN45:BN48" si="207">BD45</f>
      </c>
      <c r="BO45" s="65" t="e">
        <f t="shared" ref="BO45:BO48" si="208">BL45+BN45-BM45</f>
        <v>#REF!</v>
      </c>
      <c r="BP45" s="47">
        <f t="shared" ref="BP45:BP48" si="209">AT45</f>
        <v>11.6467762366622</v>
      </c>
      <c r="BR45" s="65" t="e">
        <f t="shared" ref="BR45:BR48" si="210">BO45+BQ45-BP45</f>
        <v>#REF!</v>
      </c>
      <c r="BS45" s="47">
        <f t="shared" ref="BS45:BS48" si="211">AU45</f>
        <v>17.4701643549934</v>
      </c>
      <c r="BU45" s="65" t="e">
        <f t="shared" ref="BU45:BU48" si="212">BR45+BT45-BS45</f>
        <v>#REF!</v>
      </c>
      <c r="BV45" s="47">
        <f t="shared" ref="BV45:BV48" si="213">AV45</f>
        <v>49.909712227463</v>
      </c>
      <c r="BX45" s="65" t="e">
        <f t="shared" ref="BX45:BX48" si="214">BU45+BW45-BV45</f>
        <v>#REF!</v>
      </c>
      <c r="BY45" s="47">
        <f t="shared" ref="BY45:BY48" si="215">AW45</f>
        <v>47.0463250551804</v>
      </c>
      <c r="CA45" s="65" t="e">
        <f t="shared" ref="CA45:CA48" si="216">BX45+BZ45-BY45</f>
        <v>#REF!</v>
      </c>
      <c r="CB45" s="47">
        <f t="shared" ref="CB45:CB48" si="217">AX45</f>
        <v>26.5532990298139</v>
      </c>
      <c r="CD45" s="65" t="e">
        <f t="shared" ref="CD45:CD48" si="218">CA45+CC45-CB45</f>
        <v>#REF!</v>
      </c>
      <c r="CE45" s="47">
        <f t="shared" ref="CE45:CE48" si="219">AY45</f>
        <v>48.821884875682</v>
      </c>
      <c r="CG45" s="65" t="e">
        <f t="shared" ref="CG45:CG48" si="220">CD45+CF45-CE45</f>
        <v>#REF!</v>
      </c>
      <c r="CH45" s="47">
        <f t="shared" ref="CH45:CH48" si="221">AZ45</f>
        <v>60.0178135297401</v>
      </c>
      <c r="CJ45" s="65" t="e">
        <f t="shared" ref="CJ45:CJ48" si="222">CG45+CI45-CH45</f>
        <v>#REF!</v>
      </c>
      <c r="CK45" s="47">
        <f t="shared" ref="CK45:CK48" si="223">BA45</f>
        <v>25.2201975710216</v>
      </c>
      <c r="CM45" s="65" t="e">
        <f t="shared" ref="CM45:CM48" si="224">CJ45+CL45-CK45</f>
        <v>#REF!</v>
      </c>
    </row>
    <row hidden="1" r="46" customHeight="1" ht="13.0" outlineLevel="2">
      <c r="A46" s="93" t="s">
        <v>430</v>
      </c>
      <c r="B46" s="93" t="s">
        <v>53</v>
      </c>
      <c r="C46" s="93" t="s">
        <v>476</v>
      </c>
      <c r="D46" s="229" t="s">
        <v>477</v>
      </c>
      <c r="E46" s="93">
        <v>0.0</v>
      </c>
      <c r="F46" s="93">
        <v>24.0</v>
      </c>
      <c r="G46" s="93">
        <v>0.0</v>
      </c>
      <c r="H46" s="93">
        <v>24.0</v>
      </c>
      <c r="I46" s="93">
        <v>72.0</v>
      </c>
      <c r="J46" s="93">
        <v>24.0</v>
      </c>
      <c r="K46" s="93">
        <v>24.0</v>
      </c>
      <c r="L46" s="93">
        <v>24.0</v>
      </c>
      <c r="M46" s="93">
        <v>24.0</v>
      </c>
      <c r="N46" s="93">
        <v>24.0</v>
      </c>
      <c r="O46" s="93">
        <v>24.0</v>
      </c>
      <c r="P46" s="93">
        <v>192.0</v>
      </c>
      <c r="Q46" s="93">
        <v>0.0</v>
      </c>
      <c r="R46" s="93">
        <v>24.0</v>
      </c>
      <c r="S46" s="93">
        <v>0.0</v>
      </c>
      <c r="T46" s="93">
        <v>24.0</v>
      </c>
      <c r="U46" s="93">
        <v>24.0</v>
      </c>
      <c r="V46" s="93">
        <v>48.0</v>
      </c>
      <c r="W46" s="93">
        <v>24.0</v>
      </c>
      <c r="X46" s="93">
        <v>0.0</v>
      </c>
      <c r="Y46" s="93">
        <v>24.0</v>
      </c>
      <c r="Z46" s="93">
        <v>24.0</v>
      </c>
      <c r="AA46" s="93">
        <v>24.0</v>
      </c>
      <c r="AB46" s="93">
        <v>0.0</v>
      </c>
      <c r="AC46" s="93">
        <v>120.0</v>
      </c>
      <c r="AD46" s="93">
        <v>48.0</v>
      </c>
      <c r="AE46" s="93">
        <v>24.0</v>
      </c>
      <c r="AF46" s="93">
        <v>24.0</v>
      </c>
      <c r="AG46" s="93">
        <v>48.0</v>
      </c>
      <c r="AH46" s="93">
        <v>96.0</v>
      </c>
      <c r="AI46" s="281">
        <v>24.0</v>
      </c>
      <c r="AJ46" s="93">
        <v>24.0</v>
      </c>
      <c r="AK46" s="281">
        <v>24.0</v>
      </c>
      <c r="AL46" s="93">
        <v>48.0</v>
      </c>
      <c r="AM46" s="93">
        <v>24.0</v>
      </c>
      <c r="AN46" s="93">
        <v>24.0</v>
      </c>
      <c r="AO46" s="111">
        <f t="shared" si="186"/>
        <v>528.0</v>
      </c>
      <c r="AP46" s="64">
        <f t="shared" si="187"/>
        <v>168.0</v>
      </c>
      <c r="AQ46" s="69">
        <f t="shared" si="188"/>
        <v>184.8</v>
      </c>
      <c r="AR46" s="95">
        <f t="shared" si="189"/>
        <v>19.6776832579857</v>
      </c>
      <c r="AS46" s="47">
        <f t="shared" si="190"/>
        <v>23.9022667359509</v>
      </c>
      <c r="AT46" s="47">
        <f t="shared" si="191"/>
        <v>9.05860373962616</v>
      </c>
      <c r="AU46" s="47">
        <f t="shared" si="192"/>
        <v>13.5879056094393</v>
      </c>
      <c r="AV46" s="47">
        <f t="shared" si="193"/>
        <v>38.8186650658046</v>
      </c>
      <c r="AW46" s="47">
        <f t="shared" si="194"/>
        <v>36.5915861540291</v>
      </c>
      <c r="AX46" s="47">
        <f t="shared" si="195"/>
        <v>20.6525659120774</v>
      </c>
      <c r="AY46" s="47">
        <f t="shared" si="196"/>
        <v>37.9725771255304</v>
      </c>
      <c r="AZ46" s="47">
        <f t="shared" si="197"/>
        <v>46.6805216342423</v>
      </c>
      <c r="BA46" s="47">
        <f t="shared" si="198"/>
        <v>19.6157092219054</v>
      </c>
      <c r="BB46" s="64">
        <f t="shared" si="199"/>
        <v>266.558084456591</v>
      </c>
      <c r="BC46" s="47" t="e">
        <f t="shared" si="200"/>
        <v>#REF!</v>
      </c>
      <c r="BD46" s="67"/>
      <c r="BE46" s="65" t="e">
        <f t="shared" si="201"/>
        <v>#REF!</v>
      </c>
      <c r="BF46" s="47">
        <f>VLOOKUP(C46,MOQ,3,false)</f>
        <v>200.0</v>
      </c>
      <c r="BI46" s="47" t="e">
        <f t="shared" si="203"/>
        <v>#REF!</v>
      </c>
      <c r="BJ46" s="47">
        <f t="shared" si="204"/>
        <v>19.6776832579857</v>
      </c>
      <c r="BL46" s="65" t="e">
        <f t="shared" si="205"/>
        <v>#REF!</v>
      </c>
      <c r="BM46" s="47">
        <f t="shared" si="206"/>
        <v>23.9022667359509</v>
      </c>
      <c r="BN46" s="47">
        <f t="shared" si="207"/>
      </c>
      <c r="BO46" s="65" t="e">
        <f t="shared" si="208"/>
        <v>#REF!</v>
      </c>
      <c r="BP46" s="47">
        <f t="shared" si="209"/>
        <v>9.05860373962616</v>
      </c>
      <c r="BR46" s="65" t="e">
        <f t="shared" si="210"/>
        <v>#REF!</v>
      </c>
      <c r="BS46" s="47">
        <f t="shared" si="211"/>
        <v>13.5879056094393</v>
      </c>
      <c r="BU46" s="65" t="e">
        <f t="shared" si="212"/>
        <v>#REF!</v>
      </c>
      <c r="BV46" s="47">
        <f t="shared" si="213"/>
        <v>38.8186650658046</v>
      </c>
      <c r="BX46" s="65" t="e">
        <f t="shared" si="214"/>
        <v>#REF!</v>
      </c>
      <c r="BY46" s="47">
        <f t="shared" si="215"/>
        <v>36.5915861540291</v>
      </c>
      <c r="CA46" s="65" t="e">
        <f t="shared" si="216"/>
        <v>#REF!</v>
      </c>
      <c r="CB46" s="47">
        <f t="shared" si="217"/>
        <v>20.6525659120774</v>
      </c>
      <c r="CD46" s="65" t="e">
        <f t="shared" si="218"/>
        <v>#REF!</v>
      </c>
      <c r="CE46" s="47">
        <f t="shared" si="219"/>
        <v>37.9725771255304</v>
      </c>
      <c r="CG46" s="65" t="e">
        <f t="shared" si="220"/>
        <v>#REF!</v>
      </c>
      <c r="CH46" s="47">
        <f t="shared" si="221"/>
        <v>46.6805216342423</v>
      </c>
      <c r="CJ46" s="65" t="e">
        <f t="shared" si="222"/>
        <v>#REF!</v>
      </c>
      <c r="CK46" s="47">
        <f t="shared" si="223"/>
        <v>19.6157092219054</v>
      </c>
      <c r="CM46" s="65" t="e">
        <f t="shared" si="224"/>
        <v>#REF!</v>
      </c>
    </row>
    <row hidden="1" r="47" customHeight="1" ht="13.0" outlineLevel="2">
      <c r="A47" s="93" t="s">
        <v>430</v>
      </c>
      <c r="B47" s="93" t="s">
        <v>53</v>
      </c>
      <c r="C47" s="93" t="s">
        <v>478</v>
      </c>
      <c r="D47" s="229" t="s">
        <v>479</v>
      </c>
      <c r="E47" s="93">
        <v>24.0</v>
      </c>
      <c r="F47" s="93">
        <v>24.0</v>
      </c>
      <c r="G47" s="93">
        <v>24.0</v>
      </c>
      <c r="H47" s="93">
        <v>0.0</v>
      </c>
      <c r="I47" s="93">
        <v>96.0</v>
      </c>
      <c r="J47" s="93">
        <v>24.0</v>
      </c>
      <c r="K47" s="93">
        <v>48.0</v>
      </c>
      <c r="L47" s="93">
        <v>24.0</v>
      </c>
      <c r="M47" s="93">
        <v>216.0</v>
      </c>
      <c r="N47" s="93">
        <v>24.0</v>
      </c>
      <c r="O47" s="93">
        <v>24.0</v>
      </c>
      <c r="P47" s="93">
        <v>24.0</v>
      </c>
      <c r="Q47" s="93">
        <v>24.0</v>
      </c>
      <c r="R47" s="93">
        <v>24.0</v>
      </c>
      <c r="S47" s="93">
        <v>24.0</v>
      </c>
      <c r="T47" s="93">
        <v>24.0</v>
      </c>
      <c r="U47" s="93">
        <v>96.0</v>
      </c>
      <c r="V47" s="93">
        <v>48.0</v>
      </c>
      <c r="W47" s="93">
        <v>24.0</v>
      </c>
      <c r="X47" s="93">
        <v>240.0</v>
      </c>
      <c r="Y47" s="93">
        <v>0.0</v>
      </c>
      <c r="Z47" s="93">
        <v>0.0</v>
      </c>
      <c r="AA47" s="93">
        <v>24.0</v>
      </c>
      <c r="AB47" s="93">
        <v>0.0</v>
      </c>
      <c r="AC47" s="93">
        <v>48.0</v>
      </c>
      <c r="AD47" s="93">
        <v>24.0</v>
      </c>
      <c r="AE47" s="93">
        <v>24.0</v>
      </c>
      <c r="AF47" s="93">
        <v>24.0</v>
      </c>
      <c r="AG47" s="93">
        <v>72.0</v>
      </c>
      <c r="AH47" s="93">
        <v>144.0</v>
      </c>
      <c r="AI47" s="93">
        <v>12.0</v>
      </c>
      <c r="AJ47" s="93">
        <v>24.0</v>
      </c>
      <c r="AK47" s="93">
        <v>216.0</v>
      </c>
      <c r="AL47" s="93">
        <v>24.0</v>
      </c>
      <c r="AM47" s="281">
        <v>24.0</v>
      </c>
      <c r="AN47" s="93">
        <v>24.0</v>
      </c>
      <c r="AO47" s="111">
        <f t="shared" si="186"/>
        <v>660.0</v>
      </c>
      <c r="AP47" s="64">
        <f t="shared" si="187"/>
        <v>324.0</v>
      </c>
      <c r="AQ47" s="69">
        <f t="shared" si="188"/>
        <v>356.4</v>
      </c>
      <c r="AR47" s="95">
        <f t="shared" si="189"/>
        <v>37.9498177118294</v>
      </c>
      <c r="AS47" s="47">
        <f t="shared" si="190"/>
        <v>46.097228705048</v>
      </c>
      <c r="AT47" s="47">
        <f t="shared" si="191"/>
        <v>17.4701643549933</v>
      </c>
      <c r="AU47" s="47">
        <f t="shared" si="192"/>
        <v>26.2052465324886</v>
      </c>
      <c r="AV47" s="47">
        <f t="shared" si="193"/>
        <v>74.8645683411948</v>
      </c>
      <c r="AW47" s="47">
        <f t="shared" si="194"/>
        <v>70.5694875827707</v>
      </c>
      <c r="AX47" s="47">
        <f t="shared" si="195"/>
        <v>39.8299485447194</v>
      </c>
      <c r="AY47" s="47">
        <f t="shared" si="196"/>
        <v>73.2328273135229</v>
      </c>
      <c r="AZ47" s="47">
        <f t="shared" si="197"/>
        <v>90.0267202946103</v>
      </c>
      <c r="BA47" s="47">
        <f t="shared" si="198"/>
        <v>37.8302963565322</v>
      </c>
      <c r="BB47" s="64">
        <f t="shared" si="199"/>
        <v>514.07630573771</v>
      </c>
      <c r="BC47" s="47" t="e">
        <f t="shared" si="200"/>
        <v>#REF!</v>
      </c>
      <c r="BD47" s="67"/>
      <c r="BE47" s="65" t="e">
        <f t="shared" si="201"/>
        <v>#REF!</v>
      </c>
      <c r="BF47" s="47">
        <f>VLOOKUP(C47,MOQ,3,false)</f>
        <v>120.0</v>
      </c>
      <c r="BG47" s="47" t="e">
        <f t="shared" ref="BG47:BG48" si="225">BE47*-1</f>
        <v>#REF!</v>
      </c>
      <c r="BI47" s="47" t="e">
        <f t="shared" si="203"/>
        <v>#REF!</v>
      </c>
      <c r="BJ47" s="47">
        <f t="shared" si="204"/>
        <v>37.9498177118294</v>
      </c>
      <c r="BL47" s="65" t="e">
        <f t="shared" si="205"/>
        <v>#REF!</v>
      </c>
      <c r="BM47" s="47">
        <f t="shared" si="206"/>
        <v>46.097228705048</v>
      </c>
      <c r="BN47" s="47">
        <f t="shared" si="207"/>
      </c>
      <c r="BO47" s="65" t="e">
        <f t="shared" si="208"/>
        <v>#REF!</v>
      </c>
      <c r="BP47" s="47">
        <f t="shared" si="209"/>
        <v>17.4701643549933</v>
      </c>
      <c r="BR47" s="65" t="e">
        <f t="shared" si="210"/>
        <v>#REF!</v>
      </c>
      <c r="BS47" s="47">
        <f t="shared" si="211"/>
        <v>26.2052465324886</v>
      </c>
      <c r="BU47" s="65" t="e">
        <f t="shared" si="212"/>
        <v>#REF!</v>
      </c>
      <c r="BV47" s="47">
        <f t="shared" si="213"/>
        <v>74.8645683411948</v>
      </c>
      <c r="BX47" s="65" t="e">
        <f t="shared" si="214"/>
        <v>#REF!</v>
      </c>
      <c r="BY47" s="47">
        <f t="shared" si="215"/>
        <v>70.5694875827707</v>
      </c>
      <c r="CA47" s="65" t="e">
        <f t="shared" si="216"/>
        <v>#REF!</v>
      </c>
      <c r="CB47" s="47">
        <f t="shared" si="217"/>
        <v>39.8299485447194</v>
      </c>
      <c r="CD47" s="65" t="e">
        <f t="shared" si="218"/>
        <v>#REF!</v>
      </c>
      <c r="CE47" s="47">
        <f t="shared" si="219"/>
        <v>73.2328273135229</v>
      </c>
      <c r="CG47" s="65" t="e">
        <f t="shared" si="220"/>
        <v>#REF!</v>
      </c>
      <c r="CH47" s="47">
        <f t="shared" si="221"/>
        <v>90.0267202946103</v>
      </c>
      <c r="CJ47" s="65" t="e">
        <f t="shared" si="222"/>
        <v>#REF!</v>
      </c>
      <c r="CK47" s="47">
        <f t="shared" si="223"/>
        <v>37.8302963565322</v>
      </c>
      <c r="CM47" s="65" t="e">
        <f t="shared" si="224"/>
        <v>#REF!</v>
      </c>
    </row>
    <row hidden="1" r="48" customHeight="1" ht="13.0" outlineLevel="2">
      <c r="A48" s="93" t="s">
        <v>430</v>
      </c>
      <c r="B48" s="93" t="s">
        <v>53</v>
      </c>
      <c r="C48" s="93" t="s">
        <v>481</v>
      </c>
      <c r="D48" s="229" t="s">
        <v>482</v>
      </c>
      <c r="E48" s="93">
        <v>24.0</v>
      </c>
      <c r="F48" s="93">
        <v>24.0</v>
      </c>
      <c r="G48" s="93">
        <v>24.0</v>
      </c>
      <c r="H48" s="93">
        <v>24.0</v>
      </c>
      <c r="I48" s="93">
        <v>72.0</v>
      </c>
      <c r="J48" s="93">
        <v>48.0</v>
      </c>
      <c r="K48" s="93">
        <v>48.0</v>
      </c>
      <c r="L48" s="93">
        <v>24.0</v>
      </c>
      <c r="M48" s="93">
        <v>240.0</v>
      </c>
      <c r="N48" s="93">
        <v>48.0</v>
      </c>
      <c r="O48" s="93">
        <v>24.0</v>
      </c>
      <c r="P48" s="93">
        <v>24.0</v>
      </c>
      <c r="Q48" s="93">
        <v>24.0</v>
      </c>
      <c r="R48" s="93">
        <v>48.0</v>
      </c>
      <c r="S48" s="93">
        <v>24.0</v>
      </c>
      <c r="T48" s="93">
        <v>0.0</v>
      </c>
      <c r="U48" s="93">
        <v>72.0</v>
      </c>
      <c r="V48" s="93">
        <v>48.0</v>
      </c>
      <c r="W48" s="93">
        <v>72.0</v>
      </c>
      <c r="X48" s="93">
        <v>240.0</v>
      </c>
      <c r="Y48" s="93">
        <v>0.0</v>
      </c>
      <c r="Z48" s="93">
        <v>24.0</v>
      </c>
      <c r="AA48" s="93">
        <v>0.0</v>
      </c>
      <c r="AB48" s="93">
        <v>48.0</v>
      </c>
      <c r="AC48" s="93">
        <v>24.0</v>
      </c>
      <c r="AD48" s="93">
        <v>72.0</v>
      </c>
      <c r="AE48" s="93">
        <v>24.0</v>
      </c>
      <c r="AF48" s="93">
        <v>48.0</v>
      </c>
      <c r="AG48" s="93">
        <v>120.0</v>
      </c>
      <c r="AH48" s="93">
        <v>120.0</v>
      </c>
      <c r="AI48" s="93">
        <v>72.0</v>
      </c>
      <c r="AJ48" s="281">
        <v>0.0</v>
      </c>
      <c r="AK48" s="93">
        <v>264.0</v>
      </c>
      <c r="AL48" s="93">
        <v>100.0</v>
      </c>
      <c r="AM48" s="93">
        <v>48.0</v>
      </c>
      <c r="AN48" s="93">
        <v>48.0</v>
      </c>
      <c r="AO48" s="111">
        <f t="shared" si="186"/>
        <v>940.0</v>
      </c>
      <c r="AP48" s="64">
        <f t="shared" si="187"/>
        <v>532.0</v>
      </c>
      <c r="AQ48" s="69">
        <f t="shared" si="188"/>
        <v>585.2</v>
      </c>
      <c r="AR48" s="95">
        <f t="shared" si="189"/>
        <v>62.3126636502879</v>
      </c>
      <c r="AS48" s="47">
        <f t="shared" si="190"/>
        <v>75.690511330511</v>
      </c>
      <c r="AT48" s="47">
        <f t="shared" si="191"/>
        <v>28.6855785088162</v>
      </c>
      <c r="AU48" s="47">
        <f t="shared" si="192"/>
        <v>43.0283677632247</v>
      </c>
      <c r="AV48" s="47">
        <f t="shared" si="193"/>
        <v>122.925772708381</v>
      </c>
      <c r="AW48" s="47">
        <f t="shared" si="194"/>
        <v>115.87335615442</v>
      </c>
      <c r="AX48" s="47">
        <f t="shared" si="195"/>
        <v>65.3997920549124</v>
      </c>
      <c r="AY48" s="47">
        <f t="shared" si="196"/>
        <v>120.246494230846</v>
      </c>
      <c r="AZ48" s="65">
        <f>AK48*1.1</f>
        <v>290.4</v>
      </c>
      <c r="BA48" s="47">
        <f>AL48*1.1</f>
        <v>110.0</v>
      </c>
      <c r="BB48" s="69">
        <f t="shared" si="199"/>
        <v>1034.5625364014</v>
      </c>
      <c r="BC48" s="47" t="e">
        <f t="shared" si="200"/>
        <v>#REF!</v>
      </c>
      <c r="BD48" s="67"/>
      <c r="BE48" s="65" t="e">
        <f t="shared" si="201"/>
        <v>#REF!</v>
      </c>
      <c r="BF48" s="47">
        <f>VLOOKUP(C48,MOQ,3,false)</f>
        <v>120.0</v>
      </c>
      <c r="BG48" s="47" t="e">
        <f t="shared" si="225"/>
        <v>#REF!</v>
      </c>
      <c r="BI48" s="47" t="e">
        <f t="shared" si="203"/>
        <v>#REF!</v>
      </c>
      <c r="BJ48" s="47">
        <f t="shared" si="204"/>
        <v>62.3126636502879</v>
      </c>
      <c r="BL48" s="65" t="e">
        <f t="shared" si="205"/>
        <v>#REF!</v>
      </c>
      <c r="BM48" s="47">
        <f t="shared" si="206"/>
        <v>75.690511330511</v>
      </c>
      <c r="BN48" s="47">
        <f t="shared" si="207"/>
      </c>
      <c r="BO48" s="65" t="e">
        <f t="shared" si="208"/>
        <v>#REF!</v>
      </c>
      <c r="BP48" s="47">
        <f t="shared" si="209"/>
        <v>28.6855785088162</v>
      </c>
      <c r="BR48" s="65" t="e">
        <f t="shared" si="210"/>
        <v>#REF!</v>
      </c>
      <c r="BS48" s="47">
        <f t="shared" si="211"/>
        <v>43.0283677632247</v>
      </c>
      <c r="BU48" s="65" t="e">
        <f t="shared" si="212"/>
        <v>#REF!</v>
      </c>
      <c r="BV48" s="47">
        <f t="shared" si="213"/>
        <v>122.925772708381</v>
      </c>
      <c r="BX48" s="65" t="e">
        <f t="shared" si="214"/>
        <v>#REF!</v>
      </c>
      <c r="BY48" s="47">
        <f t="shared" si="215"/>
        <v>115.87335615442</v>
      </c>
      <c r="CA48" s="65" t="e">
        <f t="shared" si="216"/>
        <v>#REF!</v>
      </c>
      <c r="CB48" s="47">
        <f t="shared" si="217"/>
        <v>65.3997920549124</v>
      </c>
      <c r="CD48" s="65" t="e">
        <f t="shared" si="218"/>
        <v>#REF!</v>
      </c>
      <c r="CE48" s="47">
        <f t="shared" si="219"/>
        <v>120.246494230846</v>
      </c>
      <c r="CG48" s="65" t="e">
        <f t="shared" si="220"/>
        <v>#REF!</v>
      </c>
      <c r="CH48" s="47">
        <f t="shared" si="221"/>
        <v>290.4</v>
      </c>
      <c r="CJ48" s="65" t="e">
        <f t="shared" si="222"/>
        <v>#REF!</v>
      </c>
      <c r="CK48" s="47">
        <f t="shared" si="223"/>
        <v>110.0</v>
      </c>
      <c r="CM48" s="65" t="e">
        <f t="shared" si="224"/>
        <v>#REF!</v>
      </c>
      <c r="CO48" s="64"/>
    </row>
    <row hidden="1" r="49" ht="14.0" outlineLevel="1" collapsed="1">
      <c r="E49" s="282">
        <f>SUM(E47:E47)</f>
        <v>24.0</v>
      </c>
      <c r="F49" s="282">
        <f>SUM(F47:F47)</f>
        <v>24.0</v>
      </c>
      <c r="G49" s="282">
        <f>SUM(G47:G47)</f>
        <v>24.0</v>
      </c>
      <c r="H49" s="282">
        <f>SUM(H47:H47)</f>
        <v>0.0</v>
      </c>
      <c r="I49" s="282">
        <f>SUM(I47:I47)</f>
        <v>96.0</v>
      </c>
      <c r="J49" s="282">
        <f>SUM(J47:J47)</f>
        <v>24.0</v>
      </c>
      <c r="K49" s="282">
        <f>SUM(K47:K47)</f>
        <v>48.0</v>
      </c>
      <c r="L49" s="282">
        <f>SUM(L47:L47)</f>
        <v>24.0</v>
      </c>
      <c r="M49" s="282">
        <f>SUM(M47:M47)</f>
        <v>216.0</v>
      </c>
      <c r="N49" s="282">
        <f>SUM(N47:N47)</f>
        <v>24.0</v>
      </c>
      <c r="O49" s="282">
        <f>SUM(O47:O47)</f>
        <v>24.0</v>
      </c>
      <c r="P49" s="282">
        <f>SUM(P47:P47)</f>
        <v>24.0</v>
      </c>
      <c r="Q49" s="282">
        <f>SUM(Q47:Q47)</f>
        <v>24.0</v>
      </c>
      <c r="R49" s="282">
        <f>SUM(R47:R47)</f>
        <v>24.0</v>
      </c>
      <c r="S49" s="282">
        <f>SUM(S47:S47)</f>
        <v>24.0</v>
      </c>
      <c r="T49" s="282">
        <f>SUM(T47:T47)</f>
        <v>24.0</v>
      </c>
      <c r="U49" s="282">
        <f>SUM(U47:U47)</f>
        <v>96.0</v>
      </c>
      <c r="V49" s="282">
        <f>SUM(V47:V47)</f>
        <v>48.0</v>
      </c>
      <c r="W49" s="282">
        <f>SUM(W47:W47)</f>
        <v>24.0</v>
      </c>
      <c r="X49" s="282">
        <f>SUM(X47:X47)</f>
        <v>240.0</v>
      </c>
      <c r="Y49" s="282">
        <f>SUM(Y47:Y47)</f>
        <v>0.0</v>
      </c>
      <c r="Z49" s="282">
        <f>SUM(Z47:Z47)</f>
        <v>0.0</v>
      </c>
      <c r="AA49" s="282">
        <f>SUM(AA47:AA47)</f>
        <v>24.0</v>
      </c>
      <c r="AB49" s="282">
        <f>SUM(AB47:AB47)</f>
        <v>0.0</v>
      </c>
      <c r="AC49" s="282">
        <f>SUM(AC47:AC47)</f>
        <v>48.0</v>
      </c>
      <c r="AD49" s="282">
        <f>SUM(AD47:AD47)</f>
        <v>24.0</v>
      </c>
      <c r="AE49" s="282">
        <f>SUM(AE47:AE47)</f>
        <v>24.0</v>
      </c>
      <c r="AF49" s="282">
        <f>SUM(AF47:AF47)</f>
        <v>24.0</v>
      </c>
      <c r="AG49" s="282">
        <f>SUM(AG47:AG47)</f>
        <v>72.0</v>
      </c>
      <c r="AH49" s="282">
        <f>SUM(AH47:AH47)</f>
        <v>144.0</v>
      </c>
      <c r="AI49" s="282">
        <f>SUM(AI47:AI47)</f>
        <v>12.0</v>
      </c>
      <c r="AJ49" s="282">
        <f>SUM(AJ47:AJ47)</f>
        <v>24.0</v>
      </c>
      <c r="AK49" s="282">
        <f>SUM(AK47:AK47)</f>
        <v>216.0</v>
      </c>
      <c r="AL49" s="282">
        <f>SUM(AL47:AL47)</f>
        <v>24.0</v>
      </c>
      <c r="AM49" s="282">
        <f>SUM(AM47:AM47)</f>
        <v>24.0</v>
      </c>
      <c r="AN49" s="282">
        <f>SUM(AN47:AN47)</f>
        <v>24.0</v>
      </c>
    </row>
    <row r="50" ht="29.0" collapsed="1">
      <c r="AQ50" s="64" t="s">
        <v>812</v>
      </c>
      <c r="AR50" s="64" t="s">
        <v>813</v>
      </c>
      <c r="AS50" s="64" t="s">
        <v>814</v>
      </c>
      <c r="AT50" s="64" t="s">
        <v>815</v>
      </c>
      <c r="AU50" s="50" t="s">
        <v>816</v>
      </c>
      <c r="AV50" s="118" t="s">
        <v>817</v>
      </c>
      <c r="AW50" s="64" t="s">
        <v>818</v>
      </c>
    </row>
    <row r="51" ht="17.0">
      <c r="E51" s="255">
        <v>45891</v>
      </c>
      <c r="F51" s="255">
        <v>45922</v>
      </c>
      <c r="G51" s="255">
        <v>45952</v>
      </c>
      <c r="H51" s="255">
        <v>45983</v>
      </c>
      <c r="I51" s="255">
        <v>46013</v>
      </c>
      <c r="J51" s="255">
        <v>45680</v>
      </c>
      <c r="K51" s="255">
        <v>45711</v>
      </c>
      <c r="L51" s="255">
        <v>45739</v>
      </c>
      <c r="M51" s="255">
        <v>45770</v>
      </c>
      <c r="N51" s="255">
        <v>45800</v>
      </c>
      <c r="O51" s="255">
        <v>45831</v>
      </c>
      <c r="P51" s="255">
        <v>45861</v>
      </c>
      <c r="AQ51" s="283" t="s">
        <v>482</v>
      </c>
      <c r="AR51" s="283">
        <v>552.0</v>
      </c>
      <c r="AS51" s="47">
        <v>0.0</v>
      </c>
      <c r="AT51" s="47">
        <v>480.0</v>
      </c>
      <c r="AU51" s="50">
        <f t="shared" ref="AU51:AU54" si="264">AS51+AT51-AR51</f>
        <v>-72.0</v>
      </c>
      <c r="AV51" s="64">
        <v>189.0</v>
      </c>
      <c r="AW51" s="64">
        <f t="shared" ref="AW51:AW54" si="265">AV51+AU51</f>
        <v>117.0</v>
      </c>
      <c r="AZ51" s="229"/>
    </row>
    <row r="52" ht="17.0">
      <c r="E52" s="47">
        <v>69.0</v>
      </c>
      <c r="F52" s="47">
        <v>96.0</v>
      </c>
      <c r="G52" s="47">
        <v>48.0</v>
      </c>
      <c r="H52" s="47">
        <v>72.0</v>
      </c>
      <c r="I52" s="47">
        <v>264.0</v>
      </c>
      <c r="J52" s="47">
        <v>144.0</v>
      </c>
      <c r="K52" s="47">
        <v>144.0</v>
      </c>
      <c r="L52" s="47">
        <v>72.0</v>
      </c>
      <c r="M52" s="47">
        <v>504.0</v>
      </c>
      <c r="N52" s="47">
        <v>120.0</v>
      </c>
      <c r="O52" s="47">
        <v>96.0</v>
      </c>
      <c r="P52" s="47">
        <v>432.0</v>
      </c>
      <c r="Q52" s="64">
        <f t="shared" ref="Q52:Q53" si="266">SUM(E52:P52)</f>
        <v>2061.0</v>
      </c>
      <c r="AQ52" s="283" t="s">
        <v>479</v>
      </c>
      <c r="AR52" s="283">
        <v>384.0</v>
      </c>
      <c r="AS52" s="47">
        <v>203.0</v>
      </c>
      <c r="AU52" s="50">
        <f t="shared" si="264"/>
        <v>-181.0</v>
      </c>
      <c r="AV52" s="64">
        <v>257.0</v>
      </c>
      <c r="AW52" s="64">
        <f t="shared" si="265"/>
        <v>76.0</v>
      </c>
      <c r="AZ52" s="229"/>
    </row>
    <row r="53" ht="17.0">
      <c r="E53" s="284">
        <f>E52/$Q$52</f>
        <v>0.0334788937409024</v>
      </c>
      <c r="F53" s="284">
        <f>F52/$Q$52</f>
        <v>0.0465793304221251</v>
      </c>
      <c r="G53" s="284">
        <f>G52/$Q$52</f>
        <v>0.0232896652110626</v>
      </c>
      <c r="H53" s="284">
        <f>H52/$Q$52</f>
        <v>0.0349344978165939</v>
      </c>
      <c r="I53" s="284">
        <f>I52/$Q$52</f>
        <v>0.128093158660844</v>
      </c>
      <c r="J53" s="284">
        <f>J52/$Q$52</f>
        <v>0.0698689956331878</v>
      </c>
      <c r="K53" s="284">
        <f>K52/$Q$52</f>
        <v>0.0698689956331878</v>
      </c>
      <c r="L53" s="284">
        <f>L52/$Q$52</f>
        <v>0.0349344978165939</v>
      </c>
      <c r="M53" s="284">
        <f>M52/$Q$52</f>
        <v>0.244541484716157</v>
      </c>
      <c r="N53" s="284">
        <f>N52/$Q$52</f>
        <v>0.0582241630276564</v>
      </c>
      <c r="O53" s="284">
        <f>O52/$Q$52</f>
        <v>0.0465793304221251</v>
      </c>
      <c r="P53" s="284">
        <f>P52/$Q$52</f>
        <v>0.209606986899563</v>
      </c>
      <c r="Q53" s="64">
        <f t="shared" si="266"/>
        <v>0.999999999999999</v>
      </c>
      <c r="AQ53" s="283" t="s">
        <v>477</v>
      </c>
      <c r="AR53" s="283">
        <v>432.0</v>
      </c>
      <c r="AS53" s="47">
        <v>425.0</v>
      </c>
      <c r="AU53" s="50">
        <f t="shared" si="264"/>
        <v>-7.0</v>
      </c>
      <c r="AV53" s="64">
        <v>75.0</v>
      </c>
      <c r="AW53" s="64">
        <f t="shared" si="265"/>
        <v>68.0</v>
      </c>
      <c r="AZ53" s="229"/>
    </row>
    <row r="54" ht="17.0">
      <c r="Q54" s="64"/>
      <c r="AQ54" s="283" t="s">
        <v>475</v>
      </c>
      <c r="AR54" s="283">
        <v>648.0</v>
      </c>
      <c r="AS54" s="47">
        <v>552.0</v>
      </c>
      <c r="AU54" s="50">
        <f t="shared" si="264"/>
        <v>-96.0</v>
      </c>
      <c r="AV54" s="64">
        <v>202.0</v>
      </c>
      <c r="AW54" s="64">
        <f t="shared" si="265"/>
        <v>106.0</v>
      </c>
      <c r="AZ54" s="229"/>
    </row>
    <row r="55">
      <c r="Q55" s="64"/>
    </row>
    <row r="56" ht="14.0">
      <c r="E56" s="256">
        <v>45892</v>
      </c>
      <c r="F56" s="256">
        <v>45923</v>
      </c>
      <c r="G56" s="256">
        <v>45953</v>
      </c>
      <c r="H56" s="256">
        <v>45984</v>
      </c>
      <c r="I56" s="256">
        <v>46014</v>
      </c>
      <c r="J56" s="256">
        <v>45681</v>
      </c>
      <c r="K56" s="256">
        <v>45712</v>
      </c>
      <c r="L56" s="256">
        <v>45740</v>
      </c>
      <c r="M56" s="256">
        <v>45771</v>
      </c>
      <c r="N56" s="256">
        <v>45801</v>
      </c>
      <c r="O56" s="256">
        <v>45832</v>
      </c>
      <c r="P56" s="256">
        <v>45862</v>
      </c>
      <c r="Q56" s="64"/>
    </row>
    <row r="57" ht="14.0">
      <c r="E57" s="47">
        <v>48.0</v>
      </c>
      <c r="F57" s="47">
        <v>144.0</v>
      </c>
      <c r="G57" s="47">
        <v>48.0</v>
      </c>
      <c r="H57" s="47">
        <v>72.0</v>
      </c>
      <c r="I57" s="47">
        <v>216.0</v>
      </c>
      <c r="J57" s="47">
        <v>168.0</v>
      </c>
      <c r="K57" s="47">
        <v>144.0</v>
      </c>
      <c r="L57" s="47">
        <v>480.0</v>
      </c>
      <c r="M57" s="47">
        <v>48.0</v>
      </c>
      <c r="N57" s="47">
        <v>72.0</v>
      </c>
      <c r="O57" s="47">
        <v>48.0</v>
      </c>
      <c r="P57" s="47">
        <v>72.0</v>
      </c>
      <c r="Q57" s="64">
        <f t="shared" ref="Q57:Q58" si="279">SUM(E57:P57)</f>
        <v>1560.0</v>
      </c>
    </row>
    <row r="58" ht="14.0">
      <c r="E58" s="284">
        <f>E57/$Q$57</f>
        <v>0.03076923076923</v>
      </c>
      <c r="F58" s="284">
        <f>F57/$Q$57</f>
        <v>0.0923076923076923</v>
      </c>
      <c r="G58" s="284">
        <f>G57/$Q$57</f>
        <v>0.03076923076923</v>
      </c>
      <c r="H58" s="284">
        <f>H57/$Q$57</f>
        <v>0.0461538461538461</v>
      </c>
      <c r="I58" s="284">
        <f>I57/$Q$57</f>
        <v>0.138461538461538</v>
      </c>
      <c r="J58" s="284">
        <f>J57/$Q$57</f>
        <v>0.107692307692308</v>
      </c>
      <c r="K58" s="284">
        <f>K57/$Q$57</f>
        <v>0.0923076923076923</v>
      </c>
      <c r="L58" s="284">
        <f>L57/$Q$57</f>
        <v>0.307692307692308</v>
      </c>
      <c r="M58" s="284">
        <f>M57/$Q$57</f>
        <v>0.03076923076923</v>
      </c>
      <c r="N58" s="284">
        <f>N57/$Q$57</f>
        <v>0.0461538461538461</v>
      </c>
      <c r="O58" s="284">
        <f>O57/$Q$57</f>
        <v>0.03076923076923</v>
      </c>
      <c r="P58" s="284">
        <f>P57/$Q$57</f>
        <v>0.0461538461538461</v>
      </c>
      <c r="Q58" s="64">
        <f t="shared" si="279"/>
        <v>0.999999999999997</v>
      </c>
    </row>
    <row r="59">
      <c r="Q59" s="64"/>
    </row>
    <row r="60">
      <c r="Q60" s="64"/>
    </row>
    <row r="61" ht="14.0">
      <c r="E61" s="257">
        <v>45893</v>
      </c>
      <c r="F61" s="257">
        <v>45924</v>
      </c>
      <c r="G61" s="257">
        <v>45954</v>
      </c>
      <c r="H61" s="257">
        <v>45985</v>
      </c>
      <c r="I61" s="257">
        <v>46015</v>
      </c>
      <c r="J61" s="257">
        <v>45682</v>
      </c>
      <c r="K61" s="257">
        <v>45713</v>
      </c>
      <c r="L61" s="257">
        <v>45741</v>
      </c>
      <c r="M61" s="257">
        <v>45772</v>
      </c>
      <c r="N61" s="257">
        <v>45802</v>
      </c>
      <c r="O61" s="257">
        <v>45833</v>
      </c>
      <c r="P61" s="257">
        <v>45863</v>
      </c>
      <c r="Q61" s="64"/>
    </row>
    <row r="62" ht="14.0">
      <c r="E62" s="47">
        <v>360.0</v>
      </c>
      <c r="F62" s="47">
        <v>264.0</v>
      </c>
      <c r="G62" s="47">
        <v>96.0</v>
      </c>
      <c r="H62" s="47">
        <v>144.0</v>
      </c>
      <c r="I62" s="47">
        <v>312.0</v>
      </c>
      <c r="J62" s="47">
        <v>504.0</v>
      </c>
      <c r="K62" s="47">
        <v>108.0</v>
      </c>
      <c r="L62" s="47">
        <v>72.0</v>
      </c>
      <c r="M62" s="47">
        <v>504.0</v>
      </c>
      <c r="N62" s="47">
        <v>244.0</v>
      </c>
      <c r="O62" s="47">
        <v>96.0</v>
      </c>
      <c r="P62" s="47">
        <v>144.0</v>
      </c>
      <c r="Q62" s="64">
        <f t="shared" ref="Q62:Q63" si="292">SUM(E62:P62)</f>
        <v>2848.0</v>
      </c>
    </row>
    <row r="63" ht="14.0">
      <c r="E63" s="284">
        <f>E62/$Q$62</f>
        <v>0.126404494382022</v>
      </c>
      <c r="F63" s="284">
        <f>F62/$Q$62</f>
        <v>0.0926966292134831</v>
      </c>
      <c r="G63" s="284">
        <f>G62/$Q$62</f>
        <v>0.0337078651685393</v>
      </c>
      <c r="H63" s="284">
        <f>H62/$Q$62</f>
        <v>0.050561797752809</v>
      </c>
      <c r="I63" s="284">
        <f>I62/$Q$62</f>
        <v>0.109550561797752</v>
      </c>
      <c r="J63" s="284">
        <f>J62/$Q$62</f>
        <v>0.176966292134831</v>
      </c>
      <c r="K63" s="284">
        <f>K62/$Q$62</f>
        <v>0.0379213483146067</v>
      </c>
      <c r="L63" s="284">
        <f>L62/$Q$62</f>
        <v>0.0252808988764044</v>
      </c>
      <c r="M63" s="284">
        <f>M62/$Q$62</f>
        <v>0.176966292134831</v>
      </c>
      <c r="N63" s="284">
        <f>N62/$Q$62</f>
        <v>0.0856741573033708</v>
      </c>
      <c r="O63" s="284">
        <f>O62/$Q$62</f>
        <v>0.0337078651685393</v>
      </c>
      <c r="P63" s="284">
        <f>P62/$Q$62</f>
        <v>0.050561797752809</v>
      </c>
      <c r="Q63" s="64">
        <f t="shared" si="292"/>
        <v>0.999999999999998</v>
      </c>
    </row>
    <row r="65" ht="14.0">
      <c r="D65" s="185" t="s">
        <v>819</v>
      </c>
      <c r="E65" s="47">
        <f>AVERAGE(E53,E58)</f>
        <v>0.0321240622550662</v>
      </c>
      <c r="F65" s="47">
        <f>AVERAGE(F53,F58)</f>
        <v>0.0694435113649087</v>
      </c>
      <c r="G65" s="47">
        <f>AVERAGE(G53,G58)</f>
        <v>0.0270294479901463</v>
      </c>
      <c r="H65" s="47">
        <f>AVERAGE(H53,H58)</f>
        <v>0.04054417198522</v>
      </c>
      <c r="I65" s="47">
        <f>AVERAGE(I53,I58)</f>
        <v>0.133277348561191</v>
      </c>
      <c r="J65" s="47">
        <f>AVERAGE(J53,J58)</f>
        <v>0.0887806516627479</v>
      </c>
      <c r="K65" s="47">
        <f>AVERAGE(K53,K58)</f>
        <v>0.08108834397044</v>
      </c>
      <c r="L65" s="47">
        <f>AVERAGE(L53,L58)</f>
        <v>0.17131340275445</v>
      </c>
      <c r="M65" s="47">
        <f>AVERAGE(M53,M58)</f>
        <v>0.137655357742693</v>
      </c>
      <c r="N65" s="47">
        <f>AVERAGE(N53,N58)</f>
        <v>0.0521890045907512</v>
      </c>
      <c r="O65" s="47">
        <f>AVERAGE(O53,O58)</f>
        <v>0.038674280595678</v>
      </c>
      <c r="P65" s="47">
        <f>AVERAGE(P53,P58)</f>
        <v>0.127880416526704</v>
      </c>
    </row>
    <row r="66" ht="14.0">
      <c r="D66" s="185" t="s">
        <v>820</v>
      </c>
      <c r="E66" s="47">
        <f>AVERAGE(E58,E63)</f>
        <v>0.078586862575626</v>
      </c>
      <c r="F66" s="47">
        <f>AVERAGE(F58,F63)</f>
        <v>0.0925021607605877</v>
      </c>
      <c r="G66" s="47">
        <f>AVERAGE(G58,G63)</f>
        <v>0.0322385479688846</v>
      </c>
      <c r="H66" s="47">
        <f>AVERAGE(H58,H63)</f>
        <v>0.0483578219533276</v>
      </c>
      <c r="I66" s="47">
        <f>AVERAGE(I58,I63)</f>
        <v>0.124006050129645</v>
      </c>
      <c r="J66" s="47">
        <f>AVERAGE(J58,J63)</f>
        <v>0.14232929991357</v>
      </c>
      <c r="K66" s="47">
        <f>AVERAGE(K58,K63)</f>
        <v>0.0651145203111495</v>
      </c>
      <c r="L66" s="47">
        <f>AVERAGE(L58,L63)</f>
        <v>0.166486603284356</v>
      </c>
      <c r="M66" s="47">
        <f>AVERAGE(M58,M63)</f>
        <v>0.10386776145203</v>
      </c>
      <c r="N66" s="47">
        <f>AVERAGE(N58,N63)</f>
        <v>0.0659140017286084</v>
      </c>
      <c r="O66" s="47">
        <f>AVERAGE(O58,O63)</f>
        <v>0.0322385479688846</v>
      </c>
      <c r="P66" s="47">
        <f>AVERAGE(P58,P63)</f>
        <v>0.0483578219533276</v>
      </c>
    </row>
    <row r="68" ht="14.0">
      <c r="D68" s="185" t="s">
        <v>821</v>
      </c>
      <c r="E68" s="47">
        <f>AVERAGE(E53,E58,E63)</f>
        <v>0.0635508729640514</v>
      </c>
      <c r="F68" s="47">
        <f>AVERAGE(F53,F58,F63)</f>
        <v>0.0771945506477668</v>
      </c>
      <c r="G68" s="47">
        <f>AVERAGE(G53,G58,G63)</f>
        <v>0.0292555870496106</v>
      </c>
      <c r="H68" s="47">
        <f>AVERAGE(H53,H58,H63)</f>
        <v>0.0438833805744163</v>
      </c>
      <c r="I68" s="47">
        <f>AVERAGE(I53,I58,I63)</f>
        <v>0.125368419640044</v>
      </c>
      <c r="J68" s="47">
        <f>AVERAGE(J53,J58,J63)</f>
        <v>0.118175865153442</v>
      </c>
      <c r="K68" s="47">
        <f>AVERAGE(K53,K58,K63)</f>
        <v>0.066699345418496</v>
      </c>
      <c r="L68" s="47">
        <f>AVERAGE(L53,L58,L63)</f>
        <v>0.122635901461769</v>
      </c>
      <c r="M68" s="47">
        <f>AVERAGE(M53,M58,M63)</f>
        <v>0.150759002540072</v>
      </c>
      <c r="N68" s="47">
        <f>AVERAGE(N53,N58,N63)</f>
        <v>0.0633507221616244</v>
      </c>
      <c r="O68" s="47">
        <f>AVERAGE(O53,O58,O63)</f>
        <v>0.0370188087866314</v>
      </c>
      <c r="P68" s="47">
        <f>AVERAGE(P53,P58,P63)</f>
        <v>0.102107543602072</v>
      </c>
    </row>
  </sheetData>
  <mergeCells count="20">
    <mergeCell ref="BM6:BO6"/>
    <mergeCell ref="BM43:BO43"/>
    <mergeCell ref="BP43:BR43"/>
    <mergeCell ref="BP6:BR6"/>
    <mergeCell ref="BS6:BU6"/>
    <mergeCell ref="BS43:BU43"/>
    <mergeCell ref="BV43:BX43"/>
    <mergeCell ref="BV6:BX6"/>
    <mergeCell ref="BY6:CA6"/>
    <mergeCell ref="BY43:CA43"/>
    <mergeCell ref="CB43:CD43"/>
    <mergeCell ref="CB6:CD6"/>
    <mergeCell ref="CE6:CG6"/>
    <mergeCell ref="CE43:CG43"/>
    <mergeCell ref="CH43:CJ43"/>
    <mergeCell ref="CH6:CJ6"/>
    <mergeCell ref="CK6:CM6"/>
    <mergeCell ref="CK43:CM43"/>
    <mergeCell ref="BJ43:BL43"/>
    <mergeCell ref="BJ6:BL6"/>
  </mergeCells>
  <conditionalFormatting sqref="BE1:BE262143">
    <cfRule dxfId="3" operator="lessThan" type="cellIs" priority="1">
      <formula>0</formula>
    </cfRule>
  </conditionalFormatting>
  <conditionalFormatting sqref="Q45:AN48 Q8:AN40">
    <cfRule dxfId="8" operator="equal" type="cellIs" priority="2">
      <formula>0</formula>
    </cfRule>
  </conditionalFormatting>
  <conditionalFormatting sqref="BJ8:CM8 BK9:BK33">
    <cfRule dxfId="3" operator="lessThan" type="cellIs" priority="3">
      <formula>0</formula>
    </cfRule>
  </conditionalFormatting>
  <conditionalFormatting sqref="BJ9:BJ19 BL9:CM19">
    <cfRule dxfId="3" operator="lessThan" type="cellIs" priority="4">
      <formula>0</formula>
    </cfRule>
  </conditionalFormatting>
  <conditionalFormatting sqref="BJ21:BJ33 BL21:CM33">
    <cfRule dxfId="3" operator="lessThan" type="cellIs" priority="5">
      <formula>0</formula>
    </cfRule>
  </conditionalFormatting>
  <conditionalFormatting sqref="BJ35:CM40">
    <cfRule dxfId="3" operator="lessThan" type="cellIs" priority="6">
      <formula>0</formula>
    </cfRule>
  </conditionalFormatting>
  <conditionalFormatting sqref="BJ48:CM48">
    <cfRule dxfId="3" operator="lessThan" type="cellIs" priority="7">
      <formula>0</formula>
    </cfRule>
  </conditionalFormatting>
  <conditionalFormatting sqref="BJ45:CM47">
    <cfRule dxfId="3" operator="lessThan" type="cellIs" priority="8">
      <formula>0</formula>
    </cfRule>
  </conditionalFormatting>
  <extLst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C100"/>
  <sheetViews>
    <sheetView workbookViewId="0">
      <pane xSplit="28" ySplit="6" topLeftCell="AC7" state="frozen"/>
    </sheetView>
  </sheetViews>
  <sheetFormatPr defaultRowHeight="14.0" customHeight="1"/>
  <cols>
    <col min="1" max="1" style="47" width="13.24"/>
    <col min="2" max="2" style="47" width="16.03"/>
    <col min="3" max="3" style="47" width="52.2"/>
    <col min="4" max="4" style="185" width="11.52"/>
    <col min="5" max="5" hidden="1" style="47" width="0.0" outlineLevel="1"/>
    <col min="6" max="6" hidden="1" style="47" width="0.0" outlineLevel="1"/>
    <col min="7" max="7" hidden="1" style="47" width="0.0" outlineLevel="1"/>
    <col min="8" max="8" hidden="1" style="47" width="0.0" outlineLevel="1"/>
    <col min="9" max="9" hidden="1" style="47" width="0.0" outlineLevel="1"/>
    <col min="10" max="10" hidden="1" style="47" width="0.0" outlineLevel="1"/>
    <col min="11" max="11" hidden="1" style="47" width="0.0" outlineLevel="1"/>
    <col min="12" max="12" hidden="1" style="47" width="0.0" outlineLevel="1"/>
    <col min="13" max="13" hidden="1" style="47" width="0.0" outlineLevel="1"/>
    <col min="14" max="14" hidden="1" style="47" width="0.0" outlineLevel="1"/>
    <col min="15" max="15" hidden="1" style="47" width="0.0" outlineLevel="1"/>
    <col min="16" max="16" hidden="1" style="47" width="0.0" outlineLevel="1"/>
    <col min="17" max="17" hidden="1" style="47" width="0.0" outlineLevel="1"/>
    <col min="18" max="18" hidden="1" style="47" width="0.0" outlineLevel="1"/>
    <col min="19" max="19" hidden="1" style="47" width="0.0" outlineLevel="1"/>
    <col min="20" max="20" hidden="1" style="47" width="0.0" outlineLevel="1"/>
    <col min="21" max="21" hidden="1" style="47" width="0.0" outlineLevel="1"/>
    <col min="22" max="22" hidden="1" style="47" width="0.0" outlineLevel="1"/>
    <col min="23" max="23" hidden="1" style="47" width="0.0" outlineLevel="1"/>
    <col min="24" max="24" hidden="1" style="47" width="0.0" outlineLevel="1"/>
    <col min="25" max="25" hidden="1" style="47" width="0.0" outlineLevel="1"/>
    <col min="26" max="26" hidden="1" style="47" width="0.0" outlineLevel="1"/>
    <col min="27" max="27" hidden="1" style="47" width="0.0" outlineLevel="1"/>
    <col min="28" max="28" hidden="1" style="47" width="0.0" outlineLevel="1"/>
    <col min="29" max="29" style="47" width="6.49" collapsed="1"/>
    <col min="30" max="30" style="47" width="7.94"/>
    <col min="31" max="31" style="47" width="7.55"/>
    <col min="32" max="32" style="47" width="7.41"/>
    <col min="33" max="33" style="47" width="7.94"/>
    <col min="34" max="34" style="47" width="7.68"/>
    <col min="35" max="35" style="47" width="7.02"/>
    <col min="36" max="36" style="47" width="7.55"/>
    <col min="37" max="37" style="47" width="7.94"/>
    <col min="38" max="38" style="47" width="7.55"/>
    <col min="39" max="39" style="47" width="8.21"/>
    <col min="40" max="40" style="47" width="7.15"/>
    <col min="41" max="41" style="47" width="7.28"/>
    <col min="42" max="42" style="47" width="8.61"/>
    <col min="43" max="43" style="47" width="13.38"/>
    <col min="44" max="44" style="47" width="7.94"/>
    <col min="45" max="45" style="47" width="7.55"/>
    <col min="46" max="46" style="47" width="7.41"/>
    <col min="47" max="47" style="47" width="7.94"/>
    <col min="48" max="48" style="47" width="7.68"/>
    <col min="49" max="50" style="64" width="6.35"/>
    <col min="51" max="51" style="47" width="9.67"/>
    <col min="52" max="53" style="47" width="13.24"/>
    <col min="54" max="54" style="47" width="8.61"/>
    <col min="55" max="55" style="47" width="7.41"/>
    <col min="56" max="56" style="47" width="8.34"/>
    <col min="57" max="57" style="47" width="13.24"/>
    <col min="58" max="73" style="47" width="7.02"/>
    <col min="74" max="74" style="47" width="8.34"/>
    <col min="75" max="75" style="47" width="6.22"/>
    <col min="76" max="76" style="47" width="9.93"/>
    <col min="77" max="78" style="47" width="13.24"/>
    <col min="79" max="79" style="47" width="7.28"/>
    <col min="80" max="80" style="47" width="8.61"/>
    <col min="81" max="1024" style="47" width="13.24"/>
    <col min="1025" max="1029" width="13.24"/>
  </cols>
  <sheetData>
    <row r="4" ht="14.0">
      <c r="E4" s="104">
        <v>0.08</v>
      </c>
      <c r="F4" s="104">
        <v>0.1</v>
      </c>
      <c r="G4" s="104">
        <v>0.1</v>
      </c>
      <c r="H4" s="104">
        <v>0.1</v>
      </c>
      <c r="I4" s="104">
        <v>0.1</v>
      </c>
      <c r="J4" s="104">
        <v>0.06</v>
      </c>
      <c r="K4" s="104">
        <v>0.09</v>
      </c>
      <c r="L4" s="71">
        <v>0.065</v>
      </c>
      <c r="M4" s="104">
        <v>0.08</v>
      </c>
      <c r="N4" s="104">
        <v>0.08</v>
      </c>
      <c r="O4" s="104">
        <v>0.06</v>
      </c>
      <c r="P4" s="104">
        <v>0.06</v>
      </c>
      <c r="Q4" s="104">
        <v>0.08</v>
      </c>
      <c r="R4" s="104">
        <v>0.1</v>
      </c>
      <c r="S4" s="104">
        <v>0.1</v>
      </c>
      <c r="T4" s="104">
        <v>0.1</v>
      </c>
      <c r="U4" s="104">
        <v>0.1</v>
      </c>
      <c r="V4" s="104">
        <v>0.06</v>
      </c>
      <c r="W4" s="104">
        <v>0.09</v>
      </c>
      <c r="X4" s="71">
        <v>0.065</v>
      </c>
      <c r="Y4" s="104">
        <v>0.08</v>
      </c>
      <c r="Z4" s="104">
        <v>0.08</v>
      </c>
      <c r="AA4" s="104">
        <v>0.06</v>
      </c>
      <c r="AB4" s="104">
        <v>0.06</v>
      </c>
      <c r="AC4" s="285">
        <v>0.08</v>
      </c>
      <c r="AD4" s="285">
        <v>0.1</v>
      </c>
      <c r="AE4" s="285">
        <v>0.1</v>
      </c>
      <c r="AF4" s="285">
        <v>0.1</v>
      </c>
      <c r="AG4" s="285">
        <v>0.1</v>
      </c>
      <c r="AH4" s="285">
        <v>0.06</v>
      </c>
      <c r="AI4" s="285">
        <v>0.09</v>
      </c>
      <c r="AJ4" s="72">
        <v>0.07</v>
      </c>
      <c r="AK4" s="285">
        <v>0.08</v>
      </c>
      <c r="AL4" s="285">
        <v>0.08</v>
      </c>
      <c r="AM4" s="285">
        <v>0.07</v>
      </c>
      <c r="AN4" s="285">
        <v>0.07</v>
      </c>
      <c r="AO4" s="106">
        <f>SUM(AC4:AN4)</f>
        <v>1.0</v>
      </c>
      <c r="AP4" s="106">
        <f>SUM(AI4:AN4)</f>
        <v>0.46</v>
      </c>
      <c r="AQ4" s="106">
        <f>AP4*1.1</f>
        <v>0.506</v>
      </c>
      <c r="AR4" s="285">
        <v>0.08</v>
      </c>
      <c r="AS4" s="285">
        <v>0.1</v>
      </c>
      <c r="AT4" s="285">
        <v>0.1</v>
      </c>
      <c r="AU4" s="285">
        <v>0.1</v>
      </c>
      <c r="AV4" s="285">
        <v>0.1</v>
      </c>
      <c r="AW4" s="285">
        <v>0.06</v>
      </c>
      <c r="BB4" s="69"/>
      <c r="BD4" s="66"/>
      <c r="BE4" s="103"/>
    </row>
    <row r="5" ht="29.0">
      <c r="A5" s="73"/>
      <c r="B5" s="73"/>
      <c r="C5" s="73"/>
      <c r="D5" s="73"/>
      <c r="E5" s="74">
        <v>45893</v>
      </c>
      <c r="F5" s="74">
        <v>45924</v>
      </c>
      <c r="G5" s="74">
        <v>45954</v>
      </c>
      <c r="H5" s="74">
        <v>45985</v>
      </c>
      <c r="I5" s="74">
        <v>46015</v>
      </c>
      <c r="J5" s="74">
        <v>45682</v>
      </c>
      <c r="K5" s="74">
        <v>45713</v>
      </c>
      <c r="L5" s="74">
        <v>45741</v>
      </c>
      <c r="M5" s="74">
        <v>45772</v>
      </c>
      <c r="N5" s="74">
        <v>45802</v>
      </c>
      <c r="O5" s="74">
        <v>45833</v>
      </c>
      <c r="P5" s="74">
        <v>45863</v>
      </c>
      <c r="Q5" s="286">
        <v>45893</v>
      </c>
      <c r="R5" s="286">
        <v>45924</v>
      </c>
      <c r="S5" s="286">
        <v>45954</v>
      </c>
      <c r="T5" s="286">
        <v>45985</v>
      </c>
      <c r="U5" s="286">
        <v>46015</v>
      </c>
      <c r="V5" s="286">
        <v>45682</v>
      </c>
      <c r="W5" s="286">
        <v>45713</v>
      </c>
      <c r="X5" s="286">
        <v>45741</v>
      </c>
      <c r="Y5" s="286">
        <v>45772</v>
      </c>
      <c r="Z5" s="286">
        <v>45802</v>
      </c>
      <c r="AA5" s="286">
        <v>45833</v>
      </c>
      <c r="AB5" s="286">
        <v>45863</v>
      </c>
      <c r="AC5" s="76">
        <v>45893</v>
      </c>
      <c r="AD5" s="76">
        <v>45924</v>
      </c>
      <c r="AE5" s="76">
        <v>45954</v>
      </c>
      <c r="AF5" s="76">
        <v>45985</v>
      </c>
      <c r="AG5" s="76">
        <v>46015</v>
      </c>
      <c r="AH5" s="76">
        <v>45682</v>
      </c>
      <c r="AI5" s="76">
        <v>45713</v>
      </c>
      <c r="AJ5" s="76">
        <v>45741</v>
      </c>
      <c r="AK5" s="76">
        <v>45772</v>
      </c>
      <c r="AL5" s="76">
        <v>45802</v>
      </c>
      <c r="AM5" s="76">
        <v>45833</v>
      </c>
      <c r="AN5" s="76">
        <v>45863</v>
      </c>
      <c r="AO5" s="77" t="s">
        <v>1</v>
      </c>
      <c r="AP5" s="77" t="s">
        <v>175</v>
      </c>
      <c r="AQ5" s="77" t="s">
        <v>175</v>
      </c>
      <c r="AR5" s="76">
        <v>45894</v>
      </c>
      <c r="AS5" s="76">
        <v>45925</v>
      </c>
      <c r="AT5" s="76">
        <v>45955</v>
      </c>
      <c r="AU5" s="76">
        <v>45986</v>
      </c>
      <c r="AV5" s="76">
        <v>46016</v>
      </c>
      <c r="AW5" s="76">
        <v>46048</v>
      </c>
      <c r="AX5" s="73" t="s">
        <v>3</v>
      </c>
      <c r="AY5" s="73" t="s">
        <v>3</v>
      </c>
      <c r="AZ5" s="73" t="s">
        <v>3</v>
      </c>
      <c r="BA5" s="73" t="s">
        <v>3</v>
      </c>
      <c r="BB5" s="79" t="s">
        <v>3</v>
      </c>
      <c r="BC5" s="73" t="s">
        <v>3</v>
      </c>
      <c r="BD5" s="80" t="s">
        <v>3</v>
      </c>
      <c r="BE5" s="81"/>
      <c r="BF5" s="73" t="s">
        <v>5</v>
      </c>
      <c r="BG5" s="73" t="s">
        <v>6</v>
      </c>
      <c r="BH5" s="73"/>
      <c r="BI5" s="73"/>
      <c r="BJ5" s="73" t="s">
        <v>7</v>
      </c>
      <c r="BK5" s="73"/>
      <c r="BL5" s="73"/>
      <c r="BM5" s="73" t="s">
        <v>8</v>
      </c>
      <c r="BN5" s="73"/>
      <c r="BO5" s="73"/>
      <c r="BP5" s="73" t="s">
        <v>9</v>
      </c>
      <c r="BQ5" s="73"/>
      <c r="BR5" s="73"/>
      <c r="BS5" s="73" t="s">
        <v>10</v>
      </c>
      <c r="BT5" s="73"/>
      <c r="BU5" s="73"/>
      <c r="BV5" s="73" t="s">
        <v>822</v>
      </c>
      <c r="BW5" s="73"/>
      <c r="BX5" s="73"/>
      <c r="BY5" s="73"/>
      <c r="BZ5" s="73"/>
      <c r="CA5" s="73"/>
      <c r="CB5" s="73"/>
      <c r="CC5" s="268" t="s">
        <v>823</v>
      </c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AMF5" s="83"/>
      <c r="AMG5" s="83"/>
      <c r="AMH5" s="83"/>
      <c r="AMI5" s="83"/>
    </row>
    <row r="6" ht="43.0">
      <c r="A6" s="85" t="s">
        <v>12</v>
      </c>
      <c r="B6" s="85" t="s">
        <v>13</v>
      </c>
      <c r="C6" s="85" t="s">
        <v>14</v>
      </c>
      <c r="D6" s="86" t="s">
        <v>15</v>
      </c>
      <c r="E6" s="87" t="s">
        <v>16</v>
      </c>
      <c r="F6" s="87" t="s">
        <v>16</v>
      </c>
      <c r="G6" s="87" t="s">
        <v>16</v>
      </c>
      <c r="H6" s="87" t="s">
        <v>16</v>
      </c>
      <c r="I6" s="87" t="s">
        <v>16</v>
      </c>
      <c r="J6" s="87" t="s">
        <v>16</v>
      </c>
      <c r="K6" s="87" t="s">
        <v>16</v>
      </c>
      <c r="L6" s="87" t="s">
        <v>16</v>
      </c>
      <c r="M6" s="87" t="s">
        <v>16</v>
      </c>
      <c r="N6" s="87" t="s">
        <v>16</v>
      </c>
      <c r="O6" s="87" t="s">
        <v>16</v>
      </c>
      <c r="P6" s="87" t="s">
        <v>16</v>
      </c>
      <c r="Q6" s="87" t="s">
        <v>16</v>
      </c>
      <c r="R6" s="87" t="s">
        <v>16</v>
      </c>
      <c r="S6" s="87" t="s">
        <v>16</v>
      </c>
      <c r="T6" s="87" t="s">
        <v>16</v>
      </c>
      <c r="U6" s="87" t="s">
        <v>16</v>
      </c>
      <c r="V6" s="87" t="s">
        <v>16</v>
      </c>
      <c r="W6" s="87" t="s">
        <v>16</v>
      </c>
      <c r="X6" s="87" t="s">
        <v>16</v>
      </c>
      <c r="Y6" s="87" t="s">
        <v>16</v>
      </c>
      <c r="Z6" s="87" t="s">
        <v>16</v>
      </c>
      <c r="AA6" s="87" t="s">
        <v>16</v>
      </c>
      <c r="AB6" s="87" t="s">
        <v>16</v>
      </c>
      <c r="AC6" s="87" t="s">
        <v>16</v>
      </c>
      <c r="AD6" s="87" t="s">
        <v>16</v>
      </c>
      <c r="AE6" s="87" t="s">
        <v>16</v>
      </c>
      <c r="AF6" s="87" t="s">
        <v>16</v>
      </c>
      <c r="AG6" s="87" t="s">
        <v>16</v>
      </c>
      <c r="AH6" s="87" t="s">
        <v>16</v>
      </c>
      <c r="AI6" s="87" t="s">
        <v>16</v>
      </c>
      <c r="AJ6" s="87" t="s">
        <v>16</v>
      </c>
      <c r="AK6" s="87" t="s">
        <v>16</v>
      </c>
      <c r="AL6" s="87" t="s">
        <v>16</v>
      </c>
      <c r="AM6" s="87" t="s">
        <v>16</v>
      </c>
      <c r="AN6" s="87"/>
      <c r="AO6" s="88" t="s">
        <v>3</v>
      </c>
      <c r="AP6" s="88" t="s">
        <v>3</v>
      </c>
      <c r="AQ6" s="88" t="s">
        <v>17</v>
      </c>
      <c r="AR6" s="265" t="s">
        <v>18</v>
      </c>
      <c r="AS6" s="265" t="s">
        <v>18</v>
      </c>
      <c r="AT6" s="265" t="s">
        <v>18</v>
      </c>
      <c r="AU6" s="265" t="s">
        <v>18</v>
      </c>
      <c r="AV6" s="265" t="s">
        <v>18</v>
      </c>
      <c r="AW6" s="265" t="s">
        <v>18</v>
      </c>
      <c r="AX6" s="89" t="s">
        <v>18</v>
      </c>
      <c r="AY6" s="87" t="s">
        <v>824</v>
      </c>
      <c r="AZ6" s="287" t="s">
        <v>21</v>
      </c>
      <c r="BA6" s="287" t="s">
        <v>178</v>
      </c>
      <c r="BB6" s="91" t="s">
        <v>22</v>
      </c>
      <c r="BC6" s="87" t="s">
        <v>23</v>
      </c>
      <c r="BD6" s="92" t="s">
        <v>24</v>
      </c>
      <c r="BE6" s="85" t="s">
        <v>25</v>
      </c>
      <c r="BF6" s="87" t="s">
        <v>26</v>
      </c>
      <c r="BG6" s="87" t="s">
        <v>18</v>
      </c>
      <c r="BH6" s="87" t="s">
        <v>27</v>
      </c>
      <c r="BI6" s="87" t="s">
        <v>28</v>
      </c>
      <c r="BJ6" s="87" t="s">
        <v>18</v>
      </c>
      <c r="BK6" s="87" t="s">
        <v>27</v>
      </c>
      <c r="BL6" s="87" t="s">
        <v>28</v>
      </c>
      <c r="BM6" s="87" t="s">
        <v>18</v>
      </c>
      <c r="BN6" s="87" t="s">
        <v>27</v>
      </c>
      <c r="BO6" s="87" t="s">
        <v>28</v>
      </c>
      <c r="BP6" s="87" t="s">
        <v>18</v>
      </c>
      <c r="BQ6" s="87" t="s">
        <v>27</v>
      </c>
      <c r="BR6" s="87" t="s">
        <v>28</v>
      </c>
      <c r="BS6" s="87" t="s">
        <v>18</v>
      </c>
      <c r="BT6" s="87" t="s">
        <v>27</v>
      </c>
      <c r="BU6" s="87" t="s">
        <v>28</v>
      </c>
      <c r="BV6" s="87" t="s">
        <v>18</v>
      </c>
      <c r="BW6" s="87" t="s">
        <v>27</v>
      </c>
      <c r="BX6" s="87" t="s">
        <v>28</v>
      </c>
      <c r="BY6" s="84"/>
      <c r="BZ6" s="268" t="s">
        <v>823</v>
      </c>
      <c r="CA6" s="268" t="s">
        <v>29</v>
      </c>
      <c r="CB6" s="268" t="s">
        <v>30</v>
      </c>
      <c r="CC6" s="268" t="s">
        <v>31</v>
      </c>
      <c r="CD6" s="84"/>
      <c r="CE6" s="84"/>
      <c r="CF6" s="84"/>
      <c r="CG6" s="84"/>
      <c r="CH6" s="84"/>
      <c r="CI6" s="84"/>
      <c r="CJ6" s="84"/>
      <c r="CK6" s="84"/>
      <c r="CL6" s="84"/>
      <c r="CM6" s="84"/>
      <c r="CN6" s="84"/>
      <c r="CO6" s="84"/>
      <c r="CP6" s="84"/>
      <c r="CQ6" s="84"/>
      <c r="CR6" s="84"/>
      <c r="CS6" s="84"/>
      <c r="CT6" s="84"/>
      <c r="CU6" s="84"/>
      <c r="CV6" s="84"/>
      <c r="CW6" s="84"/>
      <c r="CX6" s="84"/>
      <c r="CY6" s="84"/>
      <c r="CZ6" s="84"/>
      <c r="DA6" s="84"/>
      <c r="DB6" s="84"/>
      <c r="DC6" s="84"/>
    </row>
    <row r="7" ht="14.0">
      <c r="A7" s="93" t="s">
        <v>32</v>
      </c>
      <c r="B7" s="93" t="s">
        <v>33</v>
      </c>
      <c r="C7" s="93" t="s">
        <v>38</v>
      </c>
      <c r="D7" s="229">
        <v>35801.0</v>
      </c>
      <c r="E7" s="93">
        <v>102.0</v>
      </c>
      <c r="F7" s="93">
        <v>78.0</v>
      </c>
      <c r="G7" s="93">
        <v>54.0</v>
      </c>
      <c r="H7" s="93">
        <v>0.0</v>
      </c>
      <c r="I7" s="93">
        <v>90.0</v>
      </c>
      <c r="J7" s="93">
        <v>24.0</v>
      </c>
      <c r="K7" s="93">
        <v>12.0</v>
      </c>
      <c r="L7" s="93">
        <v>0.0</v>
      </c>
      <c r="M7" s="93">
        <v>24.0</v>
      </c>
      <c r="N7" s="93">
        <v>30.0</v>
      </c>
      <c r="O7" s="93">
        <v>6.0</v>
      </c>
      <c r="P7" s="93">
        <v>12.0</v>
      </c>
      <c r="Q7" s="93">
        <v>6.0</v>
      </c>
      <c r="R7" s="93">
        <v>30.0</v>
      </c>
      <c r="S7" s="93">
        <v>24.0</v>
      </c>
      <c r="T7" s="93">
        <v>42.0</v>
      </c>
      <c r="U7" s="93">
        <v>48.0</v>
      </c>
      <c r="V7" s="93">
        <v>37.0</v>
      </c>
      <c r="W7" s="93">
        <v>30.0</v>
      </c>
      <c r="X7" s="93">
        <v>60.0</v>
      </c>
      <c r="Y7" s="93">
        <v>30.0</v>
      </c>
      <c r="Z7" s="93">
        <v>18.0</v>
      </c>
      <c r="AA7" s="93">
        <v>6.0</v>
      </c>
      <c r="AB7" s="93">
        <v>37.0</v>
      </c>
      <c r="AC7" s="93">
        <v>24.0</v>
      </c>
      <c r="AD7" s="93">
        <v>30.0</v>
      </c>
      <c r="AE7" s="93">
        <v>48.0</v>
      </c>
      <c r="AF7" s="93">
        <v>18.0</v>
      </c>
      <c r="AG7" s="93">
        <v>18.0</v>
      </c>
      <c r="AH7" s="93">
        <v>24.0</v>
      </c>
      <c r="AI7" s="93">
        <v>24.0</v>
      </c>
      <c r="AJ7" s="93">
        <v>6.0</v>
      </c>
      <c r="AK7" s="93">
        <v>18.0</v>
      </c>
      <c r="AL7" s="93">
        <v>18.0</v>
      </c>
      <c r="AM7" s="93">
        <v>13.0</v>
      </c>
      <c r="AN7" s="93">
        <v>6.0</v>
      </c>
      <c r="AO7" s="69">
        <f t="shared" ref="AO7:AO100" si="3">SUM(AC7:AN7)</f>
        <v>247.0</v>
      </c>
      <c r="AP7" s="69">
        <f t="shared" ref="AP7:AP100" si="4">SUM(AI7:AN7)</f>
        <v>85.0</v>
      </c>
      <c r="AQ7" s="69">
        <f t="shared" ref="AQ7:AQ100" si="5">AP7*1.1</f>
        <v>93.5</v>
      </c>
      <c r="AR7" s="47">
        <f t="shared" ref="AR7:AR9" si="6">AQ7*$AR$4/$AQ$4+6*$AR$11</f>
        <v>20.7826086956521</v>
      </c>
      <c r="AS7" s="47">
        <f t="shared" ref="AS7:AS9" si="7">AQ7*$AS$4/$AQ$4+6*$AS$11</f>
        <v>24.4782608695652</v>
      </c>
      <c r="AT7" s="47">
        <f t="shared" ref="AT7:AT9" si="8">AQ7*$AT$4/$AQ$4+6*$AT$11</f>
        <v>24.4782608695652</v>
      </c>
      <c r="AU7" s="47">
        <f t="shared" ref="AU7:AU9" si="9">AQ7*$AU$4/$AQ$4+6*$AU$11</f>
        <v>24.4782608695652</v>
      </c>
      <c r="AV7" s="47">
        <f t="shared" ref="AV7:AV9" si="10">AQ7*$AV$4/$AQ$4+6*$AV$11</f>
        <v>24.4782608695652</v>
      </c>
      <c r="AW7" s="64">
        <f t="shared" ref="AW7:AW9" si="11">AQ7*$AW$4/$AQ$4+6*$AW$11</f>
        <v>14.2173913043478</v>
      </c>
      <c r="AX7" s="69">
        <f t="shared" ref="AX7:AX8" si="12">SUM(AR7:AV7)</f>
        <v>118.695652173912</v>
      </c>
      <c r="AY7" s="64" t="e">
        <f t="shared" ref="AY7:AY100" si="13">VLOOKUP(D7,JULY31SOH,3,false)</f>
        <v>#REF!</v>
      </c>
      <c r="BB7" s="65" t="e">
        <f t="shared" ref="BB7:BB10" si="14">AY7+AZ7+BA7-AX7</f>
        <v>#REF!</v>
      </c>
      <c r="BD7" s="47" t="e">
        <f t="shared" ref="BD7:BD9" si="15">BB7*-1</f>
        <v>#REF!</v>
      </c>
      <c r="BE7" s="47" t="s">
        <v>249</v>
      </c>
      <c r="BF7" s="65" t="e">
        <f t="shared" ref="BF7:BF10" si="16">AY7</f>
        <v>#REF!</v>
      </c>
      <c r="BG7" s="65">
        <f t="shared" ref="BG7:BG10" si="17">AR7</f>
        <v>20.7826086956521</v>
      </c>
      <c r="BH7" s="65"/>
      <c r="BI7" s="65" t="e">
        <f t="shared" ref="BI7:BI10" si="18">BF7+BH7-BG7</f>
        <v>#REF!</v>
      </c>
      <c r="BJ7" s="65">
        <f t="shared" ref="BJ7:BJ10" si="19">AS7</f>
        <v>24.4782608695652</v>
      </c>
      <c r="BK7" s="65"/>
      <c r="BL7" s="65" t="e">
        <f t="shared" ref="BL7:BL10" si="20">BI7+BK7-BJ7</f>
        <v>#REF!</v>
      </c>
      <c r="BM7" s="65">
        <f t="shared" ref="BM7:BM10" si="21">AT7</f>
        <v>24.4782608695652</v>
      </c>
      <c r="BN7" s="65"/>
      <c r="BO7" s="65" t="e">
        <f t="shared" ref="BO7:BO10" si="22">BL7+BN7-BM7</f>
        <v>#REF!</v>
      </c>
      <c r="BP7" s="65">
        <f t="shared" ref="BP7:BP10" si="23">AU7</f>
        <v>24.4782608695652</v>
      </c>
      <c r="BQ7" s="65"/>
      <c r="BR7" s="65" t="e">
        <f t="shared" ref="BR7:BR10" si="24">BO7+BQ7-BP7</f>
        <v>#REF!</v>
      </c>
      <c r="BS7" s="65">
        <f t="shared" ref="BS7:BS10" si="25">AV7</f>
        <v>24.4782608695652</v>
      </c>
      <c r="BT7" s="65"/>
      <c r="BU7" s="65" t="e">
        <f t="shared" ref="BU7:BU10" si="26">BR7+BT7-BS7</f>
        <v>#REF!</v>
      </c>
      <c r="BV7" s="47">
        <f t="shared" ref="BV7:BV100" si="27">AW7</f>
        <v>14.2173913043478</v>
      </c>
      <c r="BX7" s="65" t="e">
        <f t="shared" ref="BX7:BX100" si="28">BU7+BW7-BV7</f>
        <v>#REF!</v>
      </c>
    </row>
    <row r="8" ht="14.0">
      <c r="A8" s="93" t="s">
        <v>32</v>
      </c>
      <c r="B8" s="93" t="s">
        <v>33</v>
      </c>
      <c r="C8" s="93" t="s">
        <v>39</v>
      </c>
      <c r="D8" s="229">
        <v>35804.0</v>
      </c>
      <c r="E8" s="93">
        <v>30.0</v>
      </c>
      <c r="F8" s="93">
        <v>-6.0</v>
      </c>
      <c r="G8" s="93">
        <v>0.0</v>
      </c>
      <c r="H8" s="93">
        <v>18.0</v>
      </c>
      <c r="I8" s="93">
        <v>96.0</v>
      </c>
      <c r="J8" s="93">
        <v>12.0</v>
      </c>
      <c r="K8" s="93">
        <v>12.0</v>
      </c>
      <c r="L8" s="93">
        <v>6.0</v>
      </c>
      <c r="M8" s="93">
        <v>6.0</v>
      </c>
      <c r="N8" s="93">
        <v>12.0</v>
      </c>
      <c r="O8" s="93">
        <v>24.0</v>
      </c>
      <c r="P8" s="93">
        <v>18.0</v>
      </c>
      <c r="Q8" s="93">
        <v>66.0</v>
      </c>
      <c r="R8" s="93">
        <v>24.0</v>
      </c>
      <c r="S8" s="93">
        <v>0.0</v>
      </c>
      <c r="T8" s="93">
        <v>0.0</v>
      </c>
      <c r="U8" s="93">
        <v>6.0</v>
      </c>
      <c r="V8" s="93">
        <v>0.0</v>
      </c>
      <c r="W8" s="93">
        <v>6.0</v>
      </c>
      <c r="X8" s="93">
        <v>30.0</v>
      </c>
      <c r="Y8" s="93">
        <v>42.0</v>
      </c>
      <c r="Z8" s="93">
        <v>30.0</v>
      </c>
      <c r="AA8" s="93">
        <v>0.0</v>
      </c>
      <c r="AB8" s="93">
        <v>7.0</v>
      </c>
      <c r="AC8" s="93">
        <v>24.0</v>
      </c>
      <c r="AD8" s="93">
        <v>12.0</v>
      </c>
      <c r="AE8" s="93">
        <v>36.0</v>
      </c>
      <c r="AF8" s="93">
        <v>6.0</v>
      </c>
      <c r="AG8" s="93">
        <v>0.0</v>
      </c>
      <c r="AH8" s="93">
        <v>30.0</v>
      </c>
      <c r="AI8" s="93">
        <v>18.0</v>
      </c>
      <c r="AJ8" s="93">
        <v>0.0</v>
      </c>
      <c r="AK8" s="93">
        <v>18.0</v>
      </c>
      <c r="AL8" s="93">
        <v>12.0</v>
      </c>
      <c r="AM8" s="93">
        <v>6.0</v>
      </c>
      <c r="AN8" s="93">
        <v>0.0</v>
      </c>
      <c r="AO8" s="69">
        <f t="shared" si="3"/>
        <v>162.0</v>
      </c>
      <c r="AP8" s="69">
        <f t="shared" si="4"/>
        <v>54.0</v>
      </c>
      <c r="AQ8" s="69">
        <f t="shared" si="5"/>
        <v>59.4</v>
      </c>
      <c r="AR8" s="47">
        <f t="shared" si="6"/>
        <v>15.391304347826</v>
      </c>
      <c r="AS8" s="47">
        <f t="shared" si="7"/>
        <v>17.7391304347826</v>
      </c>
      <c r="AT8" s="47">
        <f t="shared" si="8"/>
        <v>17.7391304347826</v>
      </c>
      <c r="AU8" s="47">
        <f t="shared" si="9"/>
        <v>17.7391304347826</v>
      </c>
      <c r="AV8" s="47">
        <f t="shared" si="10"/>
        <v>17.7391304347826</v>
      </c>
      <c r="AW8" s="64">
        <f t="shared" si="11"/>
        <v>10.1739130434782</v>
      </c>
      <c r="AX8" s="69">
        <f t="shared" si="12"/>
        <v>86.3478260869563</v>
      </c>
      <c r="AY8" s="64" t="e">
        <f t="shared" si="13"/>
        <v>#REF!</v>
      </c>
      <c r="BB8" s="65" t="e">
        <f t="shared" si="14"/>
        <v>#REF!</v>
      </c>
      <c r="BD8" s="47" t="e">
        <f t="shared" si="15"/>
        <v>#REF!</v>
      </c>
      <c r="BE8" s="47" t="s">
        <v>249</v>
      </c>
      <c r="BF8" s="65" t="e">
        <f t="shared" si="16"/>
        <v>#REF!</v>
      </c>
      <c r="BG8" s="65">
        <f t="shared" si="17"/>
        <v>15.391304347826</v>
      </c>
      <c r="BH8" s="65"/>
      <c r="BI8" s="65" t="e">
        <f t="shared" si="18"/>
        <v>#REF!</v>
      </c>
      <c r="BJ8" s="65">
        <f t="shared" si="19"/>
        <v>17.7391304347826</v>
      </c>
      <c r="BK8" s="65"/>
      <c r="BL8" s="65" t="e">
        <f t="shared" si="20"/>
        <v>#REF!</v>
      </c>
      <c r="BM8" s="65">
        <f t="shared" si="21"/>
        <v>17.7391304347826</v>
      </c>
      <c r="BN8" s="65"/>
      <c r="BO8" s="65" t="e">
        <f t="shared" si="22"/>
        <v>#REF!</v>
      </c>
      <c r="BP8" s="65">
        <f t="shared" si="23"/>
        <v>17.7391304347826</v>
      </c>
      <c r="BQ8" s="65"/>
      <c r="BR8" s="65" t="e">
        <f t="shared" si="24"/>
        <v>#REF!</v>
      </c>
      <c r="BS8" s="65">
        <f t="shared" si="25"/>
        <v>17.7391304347826</v>
      </c>
      <c r="BT8" s="65"/>
      <c r="BU8" s="65" t="e">
        <f t="shared" si="26"/>
        <v>#REF!</v>
      </c>
      <c r="BV8" s="47">
        <f t="shared" si="27"/>
        <v>10.1739130434782</v>
      </c>
      <c r="BX8" s="65" t="e">
        <f t="shared" si="28"/>
        <v>#REF!</v>
      </c>
    </row>
    <row r="9" ht="14.0">
      <c r="A9" s="93" t="s">
        <v>32</v>
      </c>
      <c r="B9" s="93" t="s">
        <v>33</v>
      </c>
      <c r="C9" s="93" t="s">
        <v>41</v>
      </c>
      <c r="D9" s="229">
        <v>35805.0</v>
      </c>
      <c r="E9" s="93">
        <v>18.0</v>
      </c>
      <c r="F9" s="93">
        <v>0.0</v>
      </c>
      <c r="G9" s="93">
        <v>0.0</v>
      </c>
      <c r="H9" s="93">
        <v>18.0</v>
      </c>
      <c r="I9" s="93">
        <v>90.0</v>
      </c>
      <c r="J9" s="93">
        <v>6.0</v>
      </c>
      <c r="K9" s="93">
        <v>6.0</v>
      </c>
      <c r="L9" s="93">
        <v>6.0</v>
      </c>
      <c r="M9" s="93">
        <v>0.0</v>
      </c>
      <c r="N9" s="93">
        <v>12.0</v>
      </c>
      <c r="O9" s="93">
        <v>6.0</v>
      </c>
      <c r="P9" s="93">
        <v>12.0</v>
      </c>
      <c r="Q9" s="93">
        <v>54.0</v>
      </c>
      <c r="R9" s="93">
        <v>12.0</v>
      </c>
      <c r="S9" s="93">
        <v>42.0</v>
      </c>
      <c r="T9" s="93">
        <v>54.0</v>
      </c>
      <c r="U9" s="93">
        <v>60.0</v>
      </c>
      <c r="V9" s="93">
        <v>6.0</v>
      </c>
      <c r="W9" s="93">
        <v>30.0</v>
      </c>
      <c r="X9" s="93">
        <v>54.0</v>
      </c>
      <c r="Y9" s="93">
        <v>30.0</v>
      </c>
      <c r="Z9" s="93">
        <v>48.0</v>
      </c>
      <c r="AA9" s="93">
        <v>12.0</v>
      </c>
      <c r="AB9" s="93">
        <v>13.0</v>
      </c>
      <c r="AC9" s="93">
        <v>18.0</v>
      </c>
      <c r="AD9" s="93">
        <v>12.0</v>
      </c>
      <c r="AE9" s="93">
        <v>18.0</v>
      </c>
      <c r="AF9" s="93">
        <v>18.0</v>
      </c>
      <c r="AG9" s="93">
        <v>18.0</v>
      </c>
      <c r="AH9" s="93">
        <v>12.0</v>
      </c>
      <c r="AI9" s="93">
        <v>18.0</v>
      </c>
      <c r="AJ9" s="93">
        <v>12.0</v>
      </c>
      <c r="AK9" s="93">
        <v>12.0</v>
      </c>
      <c r="AL9" s="93">
        <v>6.0</v>
      </c>
      <c r="AM9" s="93">
        <v>-6.0</v>
      </c>
      <c r="AN9" s="93">
        <v>11.0</v>
      </c>
      <c r="AO9" s="69">
        <f t="shared" si="3"/>
        <v>149.0</v>
      </c>
      <c r="AP9" s="69">
        <f t="shared" si="4"/>
        <v>53.0</v>
      </c>
      <c r="AQ9" s="69">
        <f t="shared" si="5"/>
        <v>58.3</v>
      </c>
      <c r="AR9" s="47">
        <f t="shared" si="6"/>
        <v>15.2173913043478</v>
      </c>
      <c r="AS9" s="47">
        <f t="shared" si="7"/>
        <v>17.5217391304348</v>
      </c>
      <c r="AT9" s="47">
        <f t="shared" si="8"/>
        <v>17.5217391304348</v>
      </c>
      <c r="AU9" s="47">
        <f t="shared" si="9"/>
        <v>17.5217391304348</v>
      </c>
      <c r="AV9" s="47">
        <f t="shared" si="10"/>
        <v>17.5217391304348</v>
      </c>
      <c r="AW9" s="64">
        <f t="shared" si="11"/>
        <v>10.0434782608696</v>
      </c>
      <c r="AX9" s="69">
        <f t="shared" ref="AX9:AX11" si="29">SUM(AR9:AW9)</f>
        <v>95.3478260869566</v>
      </c>
      <c r="AY9" s="64" t="e">
        <f t="shared" si="13"/>
        <v>#REF!</v>
      </c>
      <c r="BB9" s="65" t="e">
        <f t="shared" si="14"/>
        <v>#REF!</v>
      </c>
      <c r="BD9" s="47" t="e">
        <f t="shared" si="15"/>
        <v>#REF!</v>
      </c>
      <c r="BE9" s="47" t="s">
        <v>330</v>
      </c>
      <c r="BF9" s="65" t="e">
        <f t="shared" si="16"/>
        <v>#REF!</v>
      </c>
      <c r="BG9" s="65">
        <f t="shared" si="17"/>
        <v>15.2173913043478</v>
      </c>
      <c r="BH9" s="65"/>
      <c r="BI9" s="65" t="e">
        <f t="shared" si="18"/>
        <v>#REF!</v>
      </c>
      <c r="BJ9" s="65">
        <f t="shared" si="19"/>
        <v>17.5217391304348</v>
      </c>
      <c r="BK9" s="65"/>
      <c r="BL9" s="65" t="e">
        <f t="shared" si="20"/>
        <v>#REF!</v>
      </c>
      <c r="BM9" s="65">
        <f t="shared" si="21"/>
        <v>17.5217391304348</v>
      </c>
      <c r="BN9" s="65"/>
      <c r="BO9" s="65" t="e">
        <f t="shared" si="22"/>
        <v>#REF!</v>
      </c>
      <c r="BP9" s="65">
        <f t="shared" si="23"/>
        <v>17.5217391304348</v>
      </c>
      <c r="BQ9" s="65"/>
      <c r="BR9" s="65" t="e">
        <f t="shared" si="24"/>
        <v>#REF!</v>
      </c>
      <c r="BS9" s="65">
        <f t="shared" si="25"/>
        <v>17.5217391304348</v>
      </c>
      <c r="BT9" s="65"/>
      <c r="BU9" s="65" t="e">
        <f t="shared" si="26"/>
        <v>#REF!</v>
      </c>
      <c r="BV9" s="47">
        <f t="shared" si="27"/>
        <v>10.0434782608696</v>
      </c>
      <c r="BX9" s="65" t="e">
        <f t="shared" si="28"/>
        <v>#REF!</v>
      </c>
    </row>
    <row r="10" ht="14.0">
      <c r="A10" s="93" t="s">
        <v>32</v>
      </c>
      <c r="B10" s="93" t="s">
        <v>33</v>
      </c>
      <c r="C10" s="93" t="s">
        <v>34</v>
      </c>
      <c r="D10" s="229" t="s">
        <v>35</v>
      </c>
      <c r="E10" s="93">
        <v>0.0</v>
      </c>
      <c r="F10" s="93">
        <v>0.0</v>
      </c>
      <c r="G10" s="93">
        <v>1.0</v>
      </c>
      <c r="H10" s="93">
        <v>2.0</v>
      </c>
      <c r="I10" s="93">
        <v>0.0</v>
      </c>
      <c r="J10" s="93">
        <v>0.0</v>
      </c>
      <c r="K10" s="93">
        <v>0.0</v>
      </c>
      <c r="L10" s="93">
        <v>-1.0</v>
      </c>
      <c r="M10" s="93">
        <v>0.0</v>
      </c>
      <c r="N10" s="93">
        <v>0.0</v>
      </c>
      <c r="O10" s="93">
        <v>0.0</v>
      </c>
      <c r="P10" s="93">
        <v>0.0</v>
      </c>
      <c r="Q10" s="93">
        <v>0.0</v>
      </c>
      <c r="R10" s="93">
        <v>0.0</v>
      </c>
      <c r="S10" s="93">
        <v>1.0</v>
      </c>
      <c r="T10" s="93">
        <v>1.0</v>
      </c>
      <c r="U10" s="93">
        <v>0.0</v>
      </c>
      <c r="V10" s="93">
        <v>1.0</v>
      </c>
      <c r="W10" s="93">
        <v>0.0</v>
      </c>
      <c r="X10" s="93">
        <v>1.0</v>
      </c>
      <c r="Y10" s="93">
        <v>1.0</v>
      </c>
      <c r="Z10" s="93">
        <v>0.0</v>
      </c>
      <c r="AA10" s="93">
        <v>0.0</v>
      </c>
      <c r="AB10" s="93">
        <v>0.0</v>
      </c>
      <c r="AC10" s="93">
        <v>0.0</v>
      </c>
      <c r="AD10" s="93">
        <v>0.0</v>
      </c>
      <c r="AE10" s="93">
        <v>0.0</v>
      </c>
      <c r="AF10" s="93">
        <v>1.0</v>
      </c>
      <c r="AG10" s="93">
        <v>0.0</v>
      </c>
      <c r="AH10" s="93">
        <v>0.0</v>
      </c>
      <c r="AI10" s="93">
        <v>1.0</v>
      </c>
      <c r="AJ10" s="93">
        <v>0.0</v>
      </c>
      <c r="AK10" s="93">
        <v>0.0</v>
      </c>
      <c r="AL10" s="93">
        <v>0.0</v>
      </c>
      <c r="AM10" s="93">
        <v>0.0</v>
      </c>
      <c r="AN10" s="93">
        <v>0.0</v>
      </c>
      <c r="AO10" s="69">
        <f t="shared" si="3"/>
        <v>2.0</v>
      </c>
      <c r="AP10" s="69">
        <f t="shared" si="4"/>
        <v>1.0</v>
      </c>
      <c r="AQ10" s="69">
        <f t="shared" si="5"/>
        <v>1.1</v>
      </c>
      <c r="AR10" s="47">
        <f>AR11</f>
        <v>1.0</v>
      </c>
      <c r="AS10" s="47">
        <f>AS11</f>
        <v>1.0</v>
      </c>
      <c r="AT10" s="47">
        <f>AT11</f>
        <v>1.0</v>
      </c>
      <c r="AU10" s="47">
        <f>AU11</f>
        <v>1.0</v>
      </c>
      <c r="AV10" s="47">
        <f>AV11</f>
        <v>1.0</v>
      </c>
      <c r="AW10" s="47">
        <f>AW11</f>
        <v>0.521739130434782</v>
      </c>
      <c r="AX10" s="69">
        <f t="shared" si="29"/>
        <v>5.52173913043478</v>
      </c>
      <c r="AY10" s="64" t="e">
        <f t="shared" si="13"/>
        <v>#REF!</v>
      </c>
      <c r="BB10" s="65" t="e">
        <f t="shared" si="14"/>
        <v>#REF!</v>
      </c>
      <c r="BF10" s="65" t="e">
        <f t="shared" si="16"/>
        <v>#REF!</v>
      </c>
      <c r="BG10" s="65">
        <f t="shared" si="17"/>
        <v>1.0</v>
      </c>
      <c r="BH10" s="65"/>
      <c r="BI10" s="65" t="e">
        <f t="shared" si="18"/>
        <v>#REF!</v>
      </c>
      <c r="BJ10" s="65">
        <f t="shared" si="19"/>
        <v>1.0</v>
      </c>
      <c r="BK10" s="65"/>
      <c r="BL10" s="65" t="e">
        <f t="shared" si="20"/>
        <v>#REF!</v>
      </c>
      <c r="BM10" s="65">
        <f t="shared" si="21"/>
        <v>1.0</v>
      </c>
      <c r="BN10" s="65"/>
      <c r="BO10" s="65" t="e">
        <f t="shared" si="22"/>
        <v>#REF!</v>
      </c>
      <c r="BP10" s="65">
        <f t="shared" si="23"/>
        <v>1.0</v>
      </c>
      <c r="BQ10" s="65"/>
      <c r="BR10" s="65" t="e">
        <f t="shared" si="24"/>
        <v>#REF!</v>
      </c>
      <c r="BS10" s="65">
        <f t="shared" si="25"/>
        <v>1.0</v>
      </c>
      <c r="BT10" s="65"/>
      <c r="BU10" s="65" t="e">
        <f t="shared" si="26"/>
        <v>#REF!</v>
      </c>
      <c r="BV10" s="47">
        <f t="shared" si="27"/>
        <v>0.521739130434782</v>
      </c>
      <c r="BX10" s="65" t="e">
        <f t="shared" si="28"/>
        <v>#REF!</v>
      </c>
    </row>
    <row r="11" ht="14.0">
      <c r="A11" s="93" t="s">
        <v>32</v>
      </c>
      <c r="B11" s="93" t="s">
        <v>33</v>
      </c>
      <c r="C11" s="93" t="s">
        <v>36</v>
      </c>
      <c r="D11" s="229" t="s">
        <v>37</v>
      </c>
      <c r="E11" s="93">
        <v>2.0</v>
      </c>
      <c r="F11" s="93">
        <v>1.0</v>
      </c>
      <c r="G11" s="93">
        <v>0.0</v>
      </c>
      <c r="H11" s="93">
        <v>0.0</v>
      </c>
      <c r="I11" s="93">
        <v>0.0</v>
      </c>
      <c r="J11" s="93">
        <v>2.0</v>
      </c>
      <c r="K11" s="93">
        <v>2.0</v>
      </c>
      <c r="L11" s="93">
        <v>1.0</v>
      </c>
      <c r="M11" s="93">
        <v>2.0</v>
      </c>
      <c r="N11" s="93">
        <v>1.0</v>
      </c>
      <c r="O11" s="93">
        <v>1.0</v>
      </c>
      <c r="P11" s="93">
        <v>1.0</v>
      </c>
      <c r="Q11" s="93">
        <v>2.0</v>
      </c>
      <c r="R11" s="93">
        <v>2.0</v>
      </c>
      <c r="S11" s="93">
        <v>0.0</v>
      </c>
      <c r="T11" s="93">
        <v>0.0</v>
      </c>
      <c r="U11" s="93">
        <v>0.0</v>
      </c>
      <c r="V11" s="93">
        <v>0.0</v>
      </c>
      <c r="W11" s="93">
        <v>0.0</v>
      </c>
      <c r="X11" s="93">
        <v>0.0</v>
      </c>
      <c r="Y11" s="93">
        <v>0.0</v>
      </c>
      <c r="Z11" s="93">
        <v>0.0</v>
      </c>
      <c r="AA11" s="93">
        <v>0.0</v>
      </c>
      <c r="AB11" s="93">
        <v>0.0</v>
      </c>
      <c r="AC11" s="93">
        <v>0.0</v>
      </c>
      <c r="AD11" s="93">
        <v>0.0</v>
      </c>
      <c r="AE11" s="93">
        <v>1.0</v>
      </c>
      <c r="AF11" s="93">
        <v>0.0</v>
      </c>
      <c r="AG11" s="93">
        <v>0.0</v>
      </c>
      <c r="AH11" s="93">
        <v>0.0</v>
      </c>
      <c r="AI11" s="93">
        <v>0.0</v>
      </c>
      <c r="AJ11" s="93">
        <v>2.0</v>
      </c>
      <c r="AK11" s="93">
        <v>1.0</v>
      </c>
      <c r="AL11" s="93">
        <v>0.0</v>
      </c>
      <c r="AM11" s="93">
        <v>0.0</v>
      </c>
      <c r="AN11" s="93">
        <v>1.0</v>
      </c>
      <c r="AO11" s="69">
        <f t="shared" si="3"/>
        <v>5.0</v>
      </c>
      <c r="AP11" s="69">
        <f t="shared" si="4"/>
        <v>4.0</v>
      </c>
      <c r="AQ11" s="69">
        <f t="shared" si="5"/>
        <v>4.4</v>
      </c>
      <c r="AR11" s="235">
        <v>1.0</v>
      </c>
      <c r="AS11" s="235">
        <v>1.0</v>
      </c>
      <c r="AT11" s="235">
        <v>1.0</v>
      </c>
      <c r="AU11" s="235">
        <v>1.0</v>
      </c>
      <c r="AV11" s="235">
        <v>1.0</v>
      </c>
      <c r="AW11" s="249">
        <f>AQ11*$AW$4/$AQ$4</f>
        <v>0.521739130434782</v>
      </c>
      <c r="AX11" s="69">
        <f t="shared" si="29"/>
        <v>5.52173913043478</v>
      </c>
      <c r="AY11" s="64" t="e">
        <f t="shared" si="13"/>
        <v>#REF!</v>
      </c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47">
        <f t="shared" si="27"/>
        <v>0.521739130434782</v>
      </c>
      <c r="BX11" s="65">
        <f t="shared" si="28"/>
        <v>-0.521739130434782</v>
      </c>
    </row>
    <row r="12" ht="14.0">
      <c r="A12" s="93" t="s">
        <v>32</v>
      </c>
      <c r="B12" s="93" t="s">
        <v>33</v>
      </c>
      <c r="C12" s="93" t="s">
        <v>48</v>
      </c>
      <c r="D12" s="229">
        <v>36801.0</v>
      </c>
      <c r="E12" s="93">
        <v>24.0</v>
      </c>
      <c r="F12" s="93">
        <v>66.0</v>
      </c>
      <c r="G12" s="93">
        <v>15.0</v>
      </c>
      <c r="H12" s="93">
        <v>54.0</v>
      </c>
      <c r="I12" s="93">
        <v>39.0</v>
      </c>
      <c r="J12" s="93">
        <v>12.0</v>
      </c>
      <c r="K12" s="93">
        <v>15.0</v>
      </c>
      <c r="L12" s="93">
        <v>24.0</v>
      </c>
      <c r="M12" s="93">
        <v>30.0</v>
      </c>
      <c r="N12" s="93">
        <v>21.0</v>
      </c>
      <c r="O12" s="93">
        <v>21.0</v>
      </c>
      <c r="P12" s="93">
        <v>24.0</v>
      </c>
      <c r="Q12" s="93">
        <v>18.0</v>
      </c>
      <c r="R12" s="93">
        <v>30.0</v>
      </c>
      <c r="S12" s="93">
        <v>27.0</v>
      </c>
      <c r="T12" s="93">
        <v>3.0</v>
      </c>
      <c r="U12" s="93">
        <v>63.0</v>
      </c>
      <c r="V12" s="93">
        <v>18.0</v>
      </c>
      <c r="W12" s="93">
        <v>12.0</v>
      </c>
      <c r="X12" s="93">
        <v>24.0</v>
      </c>
      <c r="Y12" s="93">
        <v>1.0</v>
      </c>
      <c r="Z12" s="93">
        <v>39.0</v>
      </c>
      <c r="AA12" s="93">
        <v>30.0</v>
      </c>
      <c r="AB12" s="93">
        <v>13.0</v>
      </c>
      <c r="AC12" s="93">
        <v>18.0</v>
      </c>
      <c r="AD12" s="93">
        <v>33.0</v>
      </c>
      <c r="AE12" s="93">
        <v>45.0</v>
      </c>
      <c r="AF12" s="93">
        <v>3.0</v>
      </c>
      <c r="AG12" s="93">
        <v>33.0</v>
      </c>
      <c r="AH12" s="93">
        <v>39.0</v>
      </c>
      <c r="AI12" s="93">
        <v>15.0</v>
      </c>
      <c r="AJ12" s="93">
        <v>27.0</v>
      </c>
      <c r="AK12" s="93">
        <v>18.0</v>
      </c>
      <c r="AL12" s="93">
        <v>24.0</v>
      </c>
      <c r="AM12" s="93">
        <v>9.0</v>
      </c>
      <c r="AN12" s="93">
        <v>18.0</v>
      </c>
      <c r="AO12" s="69">
        <f t="shared" si="3"/>
        <v>282.0</v>
      </c>
      <c r="AP12" s="69">
        <f t="shared" si="4"/>
        <v>111.0</v>
      </c>
      <c r="AQ12" s="69">
        <f t="shared" si="5"/>
        <v>122.1</v>
      </c>
      <c r="AR12" s="47">
        <f>AQ12*$AR$4/$AQ$4+3*$AR$18</f>
        <v>25.304347826087</v>
      </c>
      <c r="AS12" s="47">
        <f>AQ12*$AS$4/$AQ$4+3*$AS$18</f>
        <v>30.1304347826087</v>
      </c>
      <c r="AT12" s="47">
        <f>AQ12*$AT$4/$AQ$4+3*$AT$18</f>
        <v>30.1304347826087</v>
      </c>
      <c r="AU12" s="47">
        <f>AQ12*$AU$4/$AQ$4+3*$AU$18</f>
        <v>30.1304347826087</v>
      </c>
      <c r="AV12" s="47">
        <f>AQ12*$AV$4/$AQ$4+3*$AV$18</f>
        <v>30.1304347826087</v>
      </c>
      <c r="AW12" s="64">
        <f t="shared" ref="AW12:AW16" si="42">AQ12*$AW$4/$AQ$4+3*$AW$18</f>
        <v>17.4782608695652</v>
      </c>
      <c r="AX12" s="69">
        <f>SUM(AR12:AV12)</f>
        <v>145.826086956521</v>
      </c>
      <c r="AY12" s="64" t="e">
        <f t="shared" si="13"/>
        <v>#REF!</v>
      </c>
      <c r="BB12" s="65" t="e">
        <f t="shared" ref="BB12:BB17" si="44">AY12+AZ12+BA12-AX12</f>
        <v>#REF!</v>
      </c>
      <c r="BD12" s="47" t="e">
        <f t="shared" ref="BD12:BD16" si="45">BB12*-1</f>
        <v>#REF!</v>
      </c>
      <c r="BE12" s="47" t="s">
        <v>249</v>
      </c>
      <c r="BF12" s="65" t="e">
        <f t="shared" ref="BF12:BF17" si="46">AY12</f>
        <v>#REF!</v>
      </c>
      <c r="BG12" s="65">
        <f t="shared" ref="BG12:BG17" si="47">AR12</f>
        <v>25.304347826087</v>
      </c>
      <c r="BH12" s="65"/>
      <c r="BI12" s="65" t="e">
        <f t="shared" ref="BI12:BI17" si="48">BF12+BH12-BG12</f>
        <v>#REF!</v>
      </c>
      <c r="BJ12" s="65">
        <f t="shared" ref="BJ12:BJ17" si="49">AS12</f>
        <v>30.1304347826087</v>
      </c>
      <c r="BK12" s="65"/>
      <c r="BL12" s="65" t="e">
        <f t="shared" ref="BL12:BL17" si="50">BI12+BK12-BJ12</f>
        <v>#REF!</v>
      </c>
      <c r="BM12" s="65">
        <f t="shared" ref="BM12:BM17" si="51">AT12</f>
        <v>30.1304347826087</v>
      </c>
      <c r="BN12" s="65"/>
      <c r="BO12" s="65" t="e">
        <f t="shared" ref="BO12:BO17" si="52">BL12+BN12-BM12</f>
        <v>#REF!</v>
      </c>
      <c r="BP12" s="65">
        <f t="shared" ref="BP12:BP17" si="53">AU12</f>
        <v>30.1304347826087</v>
      </c>
      <c r="BQ12" s="65"/>
      <c r="BR12" s="65" t="e">
        <f t="shared" ref="BR12:BR17" si="54">BO12+BQ12-BP12</f>
        <v>#REF!</v>
      </c>
      <c r="BS12" s="65">
        <f t="shared" ref="BS12:BS17" si="55">AV12</f>
        <v>30.1304347826087</v>
      </c>
      <c r="BT12" s="65"/>
      <c r="BU12" s="65" t="e">
        <f t="shared" ref="BU12:BU17" si="56">BR12+BT12-BS12</f>
        <v>#REF!</v>
      </c>
      <c r="BV12" s="47">
        <f t="shared" si="27"/>
        <v>17.4782608695652</v>
      </c>
      <c r="BX12" s="65" t="e">
        <f t="shared" si="28"/>
        <v>#REF!</v>
      </c>
    </row>
    <row r="13" ht="14.0">
      <c r="A13" s="93" t="s">
        <v>32</v>
      </c>
      <c r="B13" s="93" t="s">
        <v>33</v>
      </c>
      <c r="C13" s="93" t="s">
        <v>49</v>
      </c>
      <c r="D13" s="229">
        <v>36803.0</v>
      </c>
      <c r="E13" s="93">
        <v>9.0</v>
      </c>
      <c r="F13" s="93">
        <v>33.0</v>
      </c>
      <c r="G13" s="93">
        <v>18.0</v>
      </c>
      <c r="H13" s="93">
        <v>33.0</v>
      </c>
      <c r="I13" s="93">
        <v>24.0</v>
      </c>
      <c r="J13" s="93">
        <v>12.0</v>
      </c>
      <c r="K13" s="93">
        <v>12.0</v>
      </c>
      <c r="L13" s="93">
        <v>15.0</v>
      </c>
      <c r="M13" s="93">
        <v>21.0</v>
      </c>
      <c r="N13" s="93">
        <v>12.0</v>
      </c>
      <c r="O13" s="93">
        <v>9.0</v>
      </c>
      <c r="P13" s="93">
        <v>21.0</v>
      </c>
      <c r="Q13" s="93">
        <v>9.0</v>
      </c>
      <c r="R13" s="93">
        <v>21.0</v>
      </c>
      <c r="S13" s="93">
        <v>12.0</v>
      </c>
      <c r="T13" s="93">
        <v>15.0</v>
      </c>
      <c r="U13" s="93">
        <v>48.0</v>
      </c>
      <c r="V13" s="93">
        <v>15.0</v>
      </c>
      <c r="W13" s="93">
        <v>6.0</v>
      </c>
      <c r="X13" s="93">
        <v>30.0</v>
      </c>
      <c r="Y13" s="93">
        <v>42.0</v>
      </c>
      <c r="Z13" s="93">
        <v>9.0</v>
      </c>
      <c r="AA13" s="93">
        <v>0.0</v>
      </c>
      <c r="AB13" s="93">
        <v>7.0</v>
      </c>
      <c r="AC13" s="93">
        <v>18.0</v>
      </c>
      <c r="AD13" s="93">
        <v>18.0</v>
      </c>
      <c r="AE13" s="93">
        <v>22.0</v>
      </c>
      <c r="AF13" s="93">
        <v>24.0</v>
      </c>
      <c r="AG13" s="93">
        <v>29.0</v>
      </c>
      <c r="AH13" s="93">
        <v>24.0</v>
      </c>
      <c r="AI13" s="93">
        <v>6.0</v>
      </c>
      <c r="AJ13" s="93">
        <v>24.0</v>
      </c>
      <c r="AK13" s="93">
        <v>15.0</v>
      </c>
      <c r="AL13" s="93">
        <v>42.0</v>
      </c>
      <c r="AM13" s="93">
        <v>0.0</v>
      </c>
      <c r="AN13" s="93">
        <v>6.0</v>
      </c>
      <c r="AO13" s="69">
        <f t="shared" si="3"/>
        <v>228.0</v>
      </c>
      <c r="AP13" s="69">
        <f t="shared" si="4"/>
        <v>93.0</v>
      </c>
      <c r="AQ13" s="69">
        <f t="shared" si="5"/>
        <v>102.3</v>
      </c>
      <c r="AR13" s="47">
        <f>AQ13*$AR$4/$AQ$4</f>
        <v>16.1739130434782</v>
      </c>
      <c r="AS13" s="47">
        <f>AQ13*$AS$4/$AQ$4</f>
        <v>20.2173913043478</v>
      </c>
      <c r="AT13" s="47">
        <f>AQ13*$AT$4/$AQ$4</f>
        <v>20.2173913043478</v>
      </c>
      <c r="AU13" s="47">
        <f>AQ13*$AU$4/$AQ$4</f>
        <v>20.2173913043478</v>
      </c>
      <c r="AV13" s="47">
        <f>AQ13*$AV$4/$AQ$4</f>
        <v>20.2173913043478</v>
      </c>
      <c r="AW13" s="64">
        <f t="shared" si="42"/>
        <v>15.130434782609</v>
      </c>
      <c r="AX13" s="69">
        <f>SUM(AR13:AW13)</f>
        <v>112.173913043478</v>
      </c>
      <c r="AY13" s="64" t="e">
        <f t="shared" si="13"/>
        <v>#REF!</v>
      </c>
      <c r="BB13" s="65" t="e">
        <f t="shared" si="44"/>
        <v>#REF!</v>
      </c>
      <c r="BD13" s="47" t="e">
        <f t="shared" si="45"/>
        <v>#REF!</v>
      </c>
      <c r="BE13" s="288">
        <v>45683</v>
      </c>
      <c r="BF13" s="65" t="e">
        <f t="shared" si="46"/>
        <v>#REF!</v>
      </c>
      <c r="BG13" s="65">
        <f t="shared" si="47"/>
        <v>16.1739130434782</v>
      </c>
      <c r="BH13" s="65"/>
      <c r="BI13" s="65" t="e">
        <f t="shared" si="48"/>
        <v>#REF!</v>
      </c>
      <c r="BJ13" s="65">
        <f t="shared" si="49"/>
        <v>20.2173913043478</v>
      </c>
      <c r="BK13" s="65"/>
      <c r="BL13" s="65" t="e">
        <f t="shared" si="50"/>
        <v>#REF!</v>
      </c>
      <c r="BM13" s="65">
        <f t="shared" si="51"/>
        <v>20.2173913043478</v>
      </c>
      <c r="BN13" s="65"/>
      <c r="BO13" s="65" t="e">
        <f t="shared" si="52"/>
        <v>#REF!</v>
      </c>
      <c r="BP13" s="65">
        <f t="shared" si="53"/>
        <v>20.2173913043478</v>
      </c>
      <c r="BQ13" s="65"/>
      <c r="BR13" s="65" t="e">
        <f t="shared" si="54"/>
        <v>#REF!</v>
      </c>
      <c r="BS13" s="65">
        <f t="shared" si="55"/>
        <v>20.2173913043478</v>
      </c>
      <c r="BT13" s="65"/>
      <c r="BU13" s="65" t="e">
        <f t="shared" si="56"/>
        <v>#REF!</v>
      </c>
      <c r="BV13" s="47">
        <f t="shared" si="27"/>
        <v>15.130434782609</v>
      </c>
      <c r="BX13" s="65" t="e">
        <f t="shared" si="28"/>
        <v>#REF!</v>
      </c>
    </row>
    <row r="14" ht="14.0">
      <c r="A14" s="93" t="s">
        <v>32</v>
      </c>
      <c r="B14" s="93" t="s">
        <v>33</v>
      </c>
      <c r="C14" s="93" t="s">
        <v>50</v>
      </c>
      <c r="D14" s="229">
        <v>36804.0</v>
      </c>
      <c r="E14" s="93">
        <v>9.0</v>
      </c>
      <c r="F14" s="93">
        <v>57.0</v>
      </c>
      <c r="G14" s="93">
        <v>15.0</v>
      </c>
      <c r="H14" s="93">
        <v>39.0</v>
      </c>
      <c r="I14" s="93">
        <v>36.0</v>
      </c>
      <c r="J14" s="93">
        <v>27.0</v>
      </c>
      <c r="K14" s="93">
        <v>12.0</v>
      </c>
      <c r="L14" s="93">
        <v>18.0</v>
      </c>
      <c r="M14" s="93">
        <v>30.0</v>
      </c>
      <c r="N14" s="93">
        <v>18.0</v>
      </c>
      <c r="O14" s="93">
        <v>6.0</v>
      </c>
      <c r="P14" s="93">
        <v>12.0</v>
      </c>
      <c r="Q14" s="93">
        <v>24.0</v>
      </c>
      <c r="R14" s="93">
        <v>21.0</v>
      </c>
      <c r="S14" s="93">
        <v>30.0</v>
      </c>
      <c r="T14" s="93">
        <v>9.0</v>
      </c>
      <c r="U14" s="93">
        <v>51.0</v>
      </c>
      <c r="V14" s="93">
        <v>12.0</v>
      </c>
      <c r="W14" s="93">
        <v>15.0</v>
      </c>
      <c r="X14" s="93">
        <v>27.0</v>
      </c>
      <c r="Y14" s="93">
        <v>36.0</v>
      </c>
      <c r="Z14" s="93">
        <v>15.0</v>
      </c>
      <c r="AA14" s="93">
        <v>0.0</v>
      </c>
      <c r="AB14" s="93">
        <v>13.0</v>
      </c>
      <c r="AC14" s="93">
        <v>15.0</v>
      </c>
      <c r="AD14" s="93">
        <v>15.0</v>
      </c>
      <c r="AE14" s="93">
        <v>48.0</v>
      </c>
      <c r="AF14" s="93">
        <v>3.0</v>
      </c>
      <c r="AG14" s="93">
        <v>12.0</v>
      </c>
      <c r="AH14" s="93">
        <v>45.0</v>
      </c>
      <c r="AI14" s="93">
        <v>9.0</v>
      </c>
      <c r="AJ14" s="93">
        <v>27.0</v>
      </c>
      <c r="AK14" s="93">
        <v>15.0</v>
      </c>
      <c r="AL14" s="93">
        <v>21.0</v>
      </c>
      <c r="AM14" s="93">
        <v>6.0</v>
      </c>
      <c r="AN14" s="93">
        <v>15.0</v>
      </c>
      <c r="AO14" s="69">
        <f t="shared" si="3"/>
        <v>231.0</v>
      </c>
      <c r="AP14" s="69">
        <f t="shared" si="4"/>
        <v>93.0</v>
      </c>
      <c r="AQ14" s="69">
        <f t="shared" si="5"/>
        <v>102.3</v>
      </c>
      <c r="AR14" s="47">
        <f t="shared" ref="AR14:AR16" si="63">AQ14*$AR$4/$AQ$4+3*$AR$18</f>
        <v>22.1739130434782</v>
      </c>
      <c r="AS14" s="47">
        <f t="shared" ref="AS14:AS16" si="64">AQ14*$AS$4/$AQ$4+3*$AS$18</f>
        <v>26.2173913043478</v>
      </c>
      <c r="AT14" s="47">
        <f t="shared" ref="AT14:AT16" si="65">AQ14*$AT$4/$AQ$4+3*$AT$18</f>
        <v>26.2173913043478</v>
      </c>
      <c r="AU14" s="47">
        <f t="shared" ref="AU14:AU16" si="66">AQ14*$AU$4/$AQ$4+3*$AU$18</f>
        <v>26.2173913043478</v>
      </c>
      <c r="AV14" s="47">
        <f t="shared" ref="AV14:AV16" si="67">AQ14*$AV$4/$AQ$4+3*$AV$18</f>
        <v>26.2173913043478</v>
      </c>
      <c r="AW14" s="64">
        <f t="shared" si="42"/>
        <v>15.130434782609</v>
      </c>
      <c r="AX14" s="69">
        <f t="shared" ref="AX14:AX16" si="68">SUM(AR14:AV14)</f>
        <v>127.043478260869</v>
      </c>
      <c r="AY14" s="64" t="e">
        <f t="shared" si="13"/>
        <v>#REF!</v>
      </c>
      <c r="BB14" s="65" t="e">
        <f t="shared" si="44"/>
        <v>#REF!</v>
      </c>
      <c r="BD14" s="47" t="e">
        <f t="shared" si="45"/>
        <v>#REF!</v>
      </c>
      <c r="BE14" s="47" t="s">
        <v>249</v>
      </c>
      <c r="BF14" s="65" t="e">
        <f t="shared" si="46"/>
        <v>#REF!</v>
      </c>
      <c r="BG14" s="65">
        <f t="shared" si="47"/>
        <v>22.1739130434782</v>
      </c>
      <c r="BH14" s="65"/>
      <c r="BI14" s="65" t="e">
        <f t="shared" si="48"/>
        <v>#REF!</v>
      </c>
      <c r="BJ14" s="65">
        <f t="shared" si="49"/>
        <v>26.2173913043478</v>
      </c>
      <c r="BK14" s="65"/>
      <c r="BL14" s="65" t="e">
        <f t="shared" si="50"/>
        <v>#REF!</v>
      </c>
      <c r="BM14" s="65">
        <f t="shared" si="51"/>
        <v>26.2173913043478</v>
      </c>
      <c r="BN14" s="65"/>
      <c r="BO14" s="65" t="e">
        <f t="shared" si="52"/>
        <v>#REF!</v>
      </c>
      <c r="BP14" s="65">
        <f t="shared" si="53"/>
        <v>26.2173913043478</v>
      </c>
      <c r="BQ14" s="65"/>
      <c r="BR14" s="65" t="e">
        <f t="shared" si="54"/>
        <v>#REF!</v>
      </c>
      <c r="BS14" s="65">
        <f t="shared" si="55"/>
        <v>26.2173913043478</v>
      </c>
      <c r="BT14" s="65"/>
      <c r="BU14" s="65" t="e">
        <f t="shared" si="56"/>
        <v>#REF!</v>
      </c>
      <c r="BV14" s="47">
        <f t="shared" si="27"/>
        <v>15.130434782609</v>
      </c>
      <c r="BX14" s="65" t="e">
        <f t="shared" si="28"/>
        <v>#REF!</v>
      </c>
    </row>
    <row r="15" ht="14.0">
      <c r="A15" s="93" t="s">
        <v>32</v>
      </c>
      <c r="B15" s="93" t="s">
        <v>33</v>
      </c>
      <c r="C15" s="93" t="s">
        <v>51</v>
      </c>
      <c r="D15" s="229">
        <v>36805.0</v>
      </c>
      <c r="E15" s="93">
        <v>9.0</v>
      </c>
      <c r="F15" s="93">
        <v>60.0</v>
      </c>
      <c r="G15" s="93">
        <v>24.0</v>
      </c>
      <c r="H15" s="93">
        <v>36.0</v>
      </c>
      <c r="I15" s="93">
        <v>27.0</v>
      </c>
      <c r="J15" s="93">
        <v>12.0</v>
      </c>
      <c r="K15" s="93">
        <v>9.0</v>
      </c>
      <c r="L15" s="93">
        <v>24.0</v>
      </c>
      <c r="M15" s="93">
        <v>27.0</v>
      </c>
      <c r="N15" s="93">
        <v>15.0</v>
      </c>
      <c r="O15" s="93">
        <v>15.0</v>
      </c>
      <c r="P15" s="93">
        <v>33.0</v>
      </c>
      <c r="Q15" s="93">
        <v>15.0</v>
      </c>
      <c r="R15" s="93">
        <v>27.0</v>
      </c>
      <c r="S15" s="93">
        <v>27.0</v>
      </c>
      <c r="T15" s="93">
        <v>27.0</v>
      </c>
      <c r="U15" s="93">
        <v>42.0</v>
      </c>
      <c r="V15" s="93">
        <v>6.0</v>
      </c>
      <c r="W15" s="93">
        <v>18.0</v>
      </c>
      <c r="X15" s="93">
        <v>42.0</v>
      </c>
      <c r="Y15" s="93">
        <v>39.0</v>
      </c>
      <c r="Z15" s="93">
        <v>12.0</v>
      </c>
      <c r="AA15" s="93">
        <v>9.0</v>
      </c>
      <c r="AB15" s="93">
        <v>7.0</v>
      </c>
      <c r="AC15" s="93">
        <v>30.0</v>
      </c>
      <c r="AD15" s="93">
        <v>24.0</v>
      </c>
      <c r="AE15" s="93">
        <v>42.0</v>
      </c>
      <c r="AF15" s="93">
        <v>30.0</v>
      </c>
      <c r="AG15" s="93">
        <v>18.0</v>
      </c>
      <c r="AH15" s="93">
        <v>39.0</v>
      </c>
      <c r="AI15" s="93">
        <v>33.0</v>
      </c>
      <c r="AJ15" s="93">
        <v>37.0</v>
      </c>
      <c r="AK15" s="93">
        <v>3.0</v>
      </c>
      <c r="AL15" s="93">
        <v>39.0</v>
      </c>
      <c r="AM15" s="93">
        <v>24.0</v>
      </c>
      <c r="AN15" s="93">
        <v>6.0</v>
      </c>
      <c r="AO15" s="69">
        <f t="shared" si="3"/>
        <v>325.0</v>
      </c>
      <c r="AP15" s="69">
        <f t="shared" si="4"/>
        <v>142.0</v>
      </c>
      <c r="AQ15" s="69">
        <f t="shared" si="5"/>
        <v>156.2</v>
      </c>
      <c r="AR15" s="47">
        <f t="shared" si="63"/>
        <v>30.695652173913</v>
      </c>
      <c r="AS15" s="47">
        <f t="shared" si="64"/>
        <v>36.8695652173913</v>
      </c>
      <c r="AT15" s="47">
        <f t="shared" si="65"/>
        <v>36.8695652173913</v>
      </c>
      <c r="AU15" s="47">
        <f t="shared" si="66"/>
        <v>36.8695652173913</v>
      </c>
      <c r="AV15" s="47">
        <f t="shared" si="67"/>
        <v>36.8695652173913</v>
      </c>
      <c r="AW15" s="64">
        <f t="shared" si="42"/>
        <v>21.5217391304348</v>
      </c>
      <c r="AX15" s="69">
        <f t="shared" si="68"/>
        <v>178.173913043478</v>
      </c>
      <c r="AY15" s="64" t="e">
        <f t="shared" si="13"/>
        <v>#REF!</v>
      </c>
      <c r="BB15" s="65" t="e">
        <f t="shared" si="44"/>
        <v>#REF!</v>
      </c>
      <c r="BD15" s="47" t="e">
        <f t="shared" si="45"/>
        <v>#REF!</v>
      </c>
      <c r="BE15" s="47" t="s">
        <v>255</v>
      </c>
      <c r="BF15" s="65" t="e">
        <f t="shared" si="46"/>
        <v>#REF!</v>
      </c>
      <c r="BG15" s="65">
        <f t="shared" si="47"/>
        <v>30.695652173913</v>
      </c>
      <c r="BH15" s="65"/>
      <c r="BI15" s="65" t="e">
        <f t="shared" si="48"/>
        <v>#REF!</v>
      </c>
      <c r="BJ15" s="65">
        <f t="shared" si="49"/>
        <v>36.8695652173913</v>
      </c>
      <c r="BK15" s="65"/>
      <c r="BL15" s="65" t="e">
        <f t="shared" si="50"/>
        <v>#REF!</v>
      </c>
      <c r="BM15" s="65">
        <f t="shared" si="51"/>
        <v>36.8695652173913</v>
      </c>
      <c r="BN15" s="65"/>
      <c r="BO15" s="65" t="e">
        <f t="shared" si="52"/>
        <v>#REF!</v>
      </c>
      <c r="BP15" s="65">
        <f t="shared" si="53"/>
        <v>36.8695652173913</v>
      </c>
      <c r="BQ15" s="65"/>
      <c r="BR15" s="65" t="e">
        <f t="shared" si="54"/>
        <v>#REF!</v>
      </c>
      <c r="BS15" s="65">
        <f t="shared" si="55"/>
        <v>36.8695652173913</v>
      </c>
      <c r="BT15" s="65"/>
      <c r="BU15" s="65" t="e">
        <f t="shared" si="56"/>
        <v>#REF!</v>
      </c>
      <c r="BV15" s="47">
        <f t="shared" si="27"/>
        <v>21.5217391304348</v>
      </c>
      <c r="BX15" s="65" t="e">
        <f t="shared" si="28"/>
        <v>#REF!</v>
      </c>
    </row>
    <row r="16" ht="14.0">
      <c r="A16" s="93" t="s">
        <v>32</v>
      </c>
      <c r="B16" s="93" t="s">
        <v>33</v>
      </c>
      <c r="C16" s="93" t="s">
        <v>52</v>
      </c>
      <c r="D16" s="229">
        <v>36806.0</v>
      </c>
      <c r="E16" s="93">
        <v>0.0</v>
      </c>
      <c r="F16" s="93">
        <v>0.0</v>
      </c>
      <c r="G16" s="93">
        <v>0.0</v>
      </c>
      <c r="H16" s="93">
        <v>0.0</v>
      </c>
      <c r="I16" s="93">
        <v>0.0</v>
      </c>
      <c r="J16" s="93">
        <v>0.0</v>
      </c>
      <c r="K16" s="93">
        <v>0.0</v>
      </c>
      <c r="L16" s="93">
        <v>0.0</v>
      </c>
      <c r="M16" s="93">
        <v>0.0</v>
      </c>
      <c r="N16" s="93">
        <v>0.0</v>
      </c>
      <c r="O16" s="93">
        <v>0.0</v>
      </c>
      <c r="P16" s="93">
        <v>0.0</v>
      </c>
      <c r="Q16" s="93">
        <v>0.0</v>
      </c>
      <c r="R16" s="93">
        <v>0.0</v>
      </c>
      <c r="S16" s="93">
        <v>0.0</v>
      </c>
      <c r="T16" s="93">
        <v>0.0</v>
      </c>
      <c r="U16" s="93">
        <v>0.0</v>
      </c>
      <c r="V16" s="93">
        <v>0.0</v>
      </c>
      <c r="W16" s="93">
        <v>0.0</v>
      </c>
      <c r="X16" s="93">
        <v>0.0</v>
      </c>
      <c r="Y16" s="93">
        <v>0.0</v>
      </c>
      <c r="Z16" s="93">
        <v>0.0</v>
      </c>
      <c r="AA16" s="93">
        <v>0.0</v>
      </c>
      <c r="AB16" s="93">
        <v>1.0</v>
      </c>
      <c r="AC16" s="93">
        <v>12.0</v>
      </c>
      <c r="AD16" s="93">
        <v>12.0</v>
      </c>
      <c r="AE16" s="93">
        <v>15.0</v>
      </c>
      <c r="AF16" s="93">
        <v>0.0</v>
      </c>
      <c r="AG16" s="93">
        <v>0.0</v>
      </c>
      <c r="AH16" s="93">
        <v>0.0</v>
      </c>
      <c r="AI16" s="93">
        <v>0.0</v>
      </c>
      <c r="AJ16" s="93">
        <v>18.0</v>
      </c>
      <c r="AK16" s="93">
        <v>0.0</v>
      </c>
      <c r="AL16" s="93">
        <v>39.0</v>
      </c>
      <c r="AM16" s="93">
        <v>30.0</v>
      </c>
      <c r="AN16" s="93">
        <v>18.0</v>
      </c>
      <c r="AO16" s="69">
        <f t="shared" si="3"/>
        <v>144.0</v>
      </c>
      <c r="AP16" s="69">
        <f t="shared" si="4"/>
        <v>105.0</v>
      </c>
      <c r="AQ16" s="69">
        <f t="shared" si="5"/>
        <v>115.5</v>
      </c>
      <c r="AR16" s="47">
        <f t="shared" si="63"/>
        <v>24.2608695652173</v>
      </c>
      <c r="AS16" s="47">
        <f t="shared" si="64"/>
        <v>28.8260869565217</v>
      </c>
      <c r="AT16" s="47">
        <f t="shared" si="65"/>
        <v>28.8260869565217</v>
      </c>
      <c r="AU16" s="47">
        <f t="shared" si="66"/>
        <v>28.8260869565217</v>
      </c>
      <c r="AV16" s="47">
        <f t="shared" si="67"/>
        <v>28.8260869565217</v>
      </c>
      <c r="AW16" s="64">
        <f t="shared" si="42"/>
        <v>16.695652173913</v>
      </c>
      <c r="AX16" s="69">
        <f t="shared" si="68"/>
        <v>139.565217391304</v>
      </c>
      <c r="AY16" s="64" t="e">
        <f t="shared" si="13"/>
        <v>#REF!</v>
      </c>
      <c r="BB16" s="65" t="e">
        <f t="shared" si="44"/>
        <v>#REF!</v>
      </c>
      <c r="BD16" s="47" t="e">
        <f t="shared" si="45"/>
        <v>#REF!</v>
      </c>
      <c r="BE16" s="47" t="s">
        <v>355</v>
      </c>
      <c r="BF16" s="65" t="e">
        <f t="shared" si="46"/>
        <v>#REF!</v>
      </c>
      <c r="BG16" s="65">
        <f t="shared" si="47"/>
        <v>24.2608695652173</v>
      </c>
      <c r="BH16" s="65"/>
      <c r="BI16" s="65" t="e">
        <f t="shared" si="48"/>
        <v>#REF!</v>
      </c>
      <c r="BJ16" s="65">
        <f t="shared" si="49"/>
        <v>28.8260869565217</v>
      </c>
      <c r="BK16" s="65"/>
      <c r="BL16" s="65" t="e">
        <f t="shared" si="50"/>
        <v>#REF!</v>
      </c>
      <c r="BM16" s="65">
        <f t="shared" si="51"/>
        <v>28.8260869565217</v>
      </c>
      <c r="BN16" s="65"/>
      <c r="BO16" s="65" t="e">
        <f t="shared" si="52"/>
        <v>#REF!</v>
      </c>
      <c r="BP16" s="65">
        <f t="shared" si="53"/>
        <v>28.8260869565217</v>
      </c>
      <c r="BQ16" s="65"/>
      <c r="BR16" s="65" t="e">
        <f t="shared" si="54"/>
        <v>#REF!</v>
      </c>
      <c r="BS16" s="65">
        <f t="shared" si="55"/>
        <v>28.8260869565217</v>
      </c>
      <c r="BT16" s="65"/>
      <c r="BU16" s="65" t="e">
        <f t="shared" si="56"/>
        <v>#REF!</v>
      </c>
      <c r="BV16" s="47">
        <f t="shared" si="27"/>
        <v>16.695652173913</v>
      </c>
      <c r="BX16" s="65" t="e">
        <f t="shared" si="28"/>
        <v>#REF!</v>
      </c>
    </row>
    <row r="17" ht="14.0">
      <c r="A17" s="93" t="s">
        <v>32</v>
      </c>
      <c r="B17" s="93" t="s">
        <v>45</v>
      </c>
      <c r="C17" s="93" t="s">
        <v>46</v>
      </c>
      <c r="D17" s="229" t="s">
        <v>47</v>
      </c>
      <c r="E17" s="93">
        <v>0.0</v>
      </c>
      <c r="F17" s="93">
        <v>1.0</v>
      </c>
      <c r="G17" s="93">
        <v>0.0</v>
      </c>
      <c r="H17" s="93">
        <v>0.0</v>
      </c>
      <c r="I17" s="93">
        <v>0.0</v>
      </c>
      <c r="J17" s="93">
        <v>0.0</v>
      </c>
      <c r="K17" s="93">
        <v>0.0</v>
      </c>
      <c r="L17" s="93">
        <v>0.0</v>
      </c>
      <c r="M17" s="93">
        <v>0.0</v>
      </c>
      <c r="N17" s="93">
        <v>0.0</v>
      </c>
      <c r="O17" s="93">
        <v>0.0</v>
      </c>
      <c r="P17" s="93">
        <v>0.0</v>
      </c>
      <c r="Q17" s="93">
        <v>0.0</v>
      </c>
      <c r="R17" s="93">
        <v>0.0</v>
      </c>
      <c r="S17" s="93">
        <v>0.0</v>
      </c>
      <c r="T17" s="93">
        <v>0.0</v>
      </c>
      <c r="U17" s="93">
        <v>0.0</v>
      </c>
      <c r="V17" s="93">
        <v>3.0</v>
      </c>
      <c r="W17" s="93">
        <v>0.0</v>
      </c>
      <c r="X17" s="93">
        <v>0.0</v>
      </c>
      <c r="Y17" s="93">
        <v>1.0</v>
      </c>
      <c r="Z17" s="93">
        <v>0.0</v>
      </c>
      <c r="AA17" s="93">
        <v>0.0</v>
      </c>
      <c r="AB17" s="93">
        <v>1.0</v>
      </c>
      <c r="AC17" s="93">
        <v>0.0</v>
      </c>
      <c r="AD17" s="93">
        <v>0.0</v>
      </c>
      <c r="AE17" s="93">
        <v>1.0</v>
      </c>
      <c r="AF17" s="93">
        <v>0.0</v>
      </c>
      <c r="AG17" s="93">
        <v>0.0</v>
      </c>
      <c r="AH17" s="93">
        <v>0.0</v>
      </c>
      <c r="AI17" s="93">
        <v>0.0</v>
      </c>
      <c r="AJ17" s="93">
        <v>1.0</v>
      </c>
      <c r="AK17" s="93">
        <v>0.0</v>
      </c>
      <c r="AL17" s="93">
        <v>0.0</v>
      </c>
      <c r="AM17" s="93">
        <v>0.0</v>
      </c>
      <c r="AN17" s="93">
        <v>0.0</v>
      </c>
      <c r="AO17" s="69">
        <f t="shared" si="3"/>
        <v>2.0</v>
      </c>
      <c r="AP17" s="69">
        <f t="shared" si="4"/>
        <v>1.0</v>
      </c>
      <c r="AQ17" s="69">
        <f t="shared" si="5"/>
        <v>1.1</v>
      </c>
      <c r="AR17" s="47">
        <f>AR18</f>
        <v>2.0</v>
      </c>
      <c r="AS17" s="47">
        <f>AS18</f>
        <v>2.0</v>
      </c>
      <c r="AT17" s="47">
        <f>AT18</f>
        <v>2.0</v>
      </c>
      <c r="AU17" s="47">
        <f>AU18</f>
        <v>2.0</v>
      </c>
      <c r="AV17" s="47">
        <f>AV18</f>
        <v>2.0</v>
      </c>
      <c r="AW17" s="47">
        <f>AW18</f>
        <v>1.0</v>
      </c>
      <c r="AX17" s="69">
        <f t="shared" ref="AX17:AX19" si="75">SUM(AR17:AW17)</f>
        <v>11.0</v>
      </c>
      <c r="AY17" s="64" t="e">
        <f t="shared" si="13"/>
        <v>#REF!</v>
      </c>
      <c r="BB17" s="65" t="e">
        <f t="shared" si="44"/>
        <v>#REF!</v>
      </c>
      <c r="BF17" s="65" t="e">
        <f t="shared" si="46"/>
        <v>#REF!</v>
      </c>
      <c r="BG17" s="65">
        <f t="shared" si="47"/>
        <v>2.0</v>
      </c>
      <c r="BH17" s="65"/>
      <c r="BI17" s="65" t="e">
        <f t="shared" si="48"/>
        <v>#REF!</v>
      </c>
      <c r="BJ17" s="65">
        <f t="shared" si="49"/>
        <v>2.0</v>
      </c>
      <c r="BK17" s="65"/>
      <c r="BL17" s="65" t="e">
        <f t="shared" si="50"/>
        <v>#REF!</v>
      </c>
      <c r="BM17" s="65">
        <f t="shared" si="51"/>
        <v>2.0</v>
      </c>
      <c r="BN17" s="65"/>
      <c r="BO17" s="65" t="e">
        <f t="shared" si="52"/>
        <v>#REF!</v>
      </c>
      <c r="BP17" s="65">
        <f t="shared" si="53"/>
        <v>2.0</v>
      </c>
      <c r="BQ17" s="65"/>
      <c r="BR17" s="65" t="e">
        <f t="shared" si="54"/>
        <v>#REF!</v>
      </c>
      <c r="BS17" s="65">
        <f t="shared" si="55"/>
        <v>2.0</v>
      </c>
      <c r="BT17" s="65"/>
      <c r="BU17" s="65" t="e">
        <f t="shared" si="56"/>
        <v>#REF!</v>
      </c>
      <c r="BV17" s="47">
        <f t="shared" si="27"/>
        <v>1.0</v>
      </c>
      <c r="BX17" s="65" t="e">
        <f t="shared" si="28"/>
        <v>#REF!</v>
      </c>
    </row>
    <row r="18" ht="14.0">
      <c r="A18" s="93" t="s">
        <v>32</v>
      </c>
      <c r="B18" s="93" t="s">
        <v>33</v>
      </c>
      <c r="C18" s="93" t="s">
        <v>43</v>
      </c>
      <c r="D18" s="229" t="s">
        <v>44</v>
      </c>
      <c r="E18" s="93">
        <v>0.0</v>
      </c>
      <c r="F18" s="93">
        <v>0.0</v>
      </c>
      <c r="G18" s="93">
        <v>2.0</v>
      </c>
      <c r="H18" s="93">
        <v>3.0</v>
      </c>
      <c r="I18" s="93">
        <v>2.0</v>
      </c>
      <c r="J18" s="93">
        <v>0.0</v>
      </c>
      <c r="K18" s="93">
        <v>2.0</v>
      </c>
      <c r="L18" s="93">
        <v>1.0</v>
      </c>
      <c r="M18" s="93">
        <v>1.0</v>
      </c>
      <c r="N18" s="93">
        <v>1.0</v>
      </c>
      <c r="O18" s="93">
        <v>2.0</v>
      </c>
      <c r="P18" s="93">
        <v>0.0</v>
      </c>
      <c r="Q18" s="93">
        <v>1.0</v>
      </c>
      <c r="R18" s="93">
        <v>2.0</v>
      </c>
      <c r="S18" s="93">
        <v>0.0</v>
      </c>
      <c r="T18" s="93">
        <v>1.0</v>
      </c>
      <c r="U18" s="93">
        <v>0.0</v>
      </c>
      <c r="V18" s="93">
        <v>0.0</v>
      </c>
      <c r="W18" s="93">
        <v>0.0</v>
      </c>
      <c r="X18" s="93">
        <v>2.0</v>
      </c>
      <c r="Y18" s="93">
        <v>1.0</v>
      </c>
      <c r="Z18" s="93">
        <v>0.0</v>
      </c>
      <c r="AA18" s="93">
        <v>1.0</v>
      </c>
      <c r="AB18" s="93">
        <v>1.0</v>
      </c>
      <c r="AC18" s="93">
        <v>1.0</v>
      </c>
      <c r="AD18" s="93">
        <v>4.0</v>
      </c>
      <c r="AE18" s="93">
        <v>2.0</v>
      </c>
      <c r="AF18" s="93">
        <v>5.0</v>
      </c>
      <c r="AG18" s="93">
        <v>0.0</v>
      </c>
      <c r="AH18" s="93">
        <v>3.0</v>
      </c>
      <c r="AI18" s="93">
        <v>2.0</v>
      </c>
      <c r="AJ18" s="93">
        <v>3.0</v>
      </c>
      <c r="AK18" s="93">
        <v>1.0</v>
      </c>
      <c r="AL18" s="93">
        <v>2.0</v>
      </c>
      <c r="AM18" s="93">
        <v>1.0</v>
      </c>
      <c r="AN18" s="93">
        <v>0.0</v>
      </c>
      <c r="AO18" s="69">
        <f t="shared" si="3"/>
        <v>24.0</v>
      </c>
      <c r="AP18" s="69">
        <f t="shared" si="4"/>
        <v>9.0</v>
      </c>
      <c r="AQ18" s="69">
        <f t="shared" si="5"/>
        <v>9.9</v>
      </c>
      <c r="AR18" s="235">
        <v>2.0</v>
      </c>
      <c r="AS18" s="235">
        <v>2.0</v>
      </c>
      <c r="AT18" s="235">
        <v>2.0</v>
      </c>
      <c r="AU18" s="235">
        <v>2.0</v>
      </c>
      <c r="AV18" s="235">
        <v>2.0</v>
      </c>
      <c r="AW18" s="249">
        <v>1.0</v>
      </c>
      <c r="AX18" s="69">
        <f t="shared" si="75"/>
        <v>11.0</v>
      </c>
      <c r="AY18" s="64" t="e">
        <f t="shared" si="13"/>
        <v>#REF!</v>
      </c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47">
        <f t="shared" si="27"/>
        <v>1.0</v>
      </c>
      <c r="BX18" s="65">
        <f t="shared" si="28"/>
        <v>-1.0</v>
      </c>
    </row>
    <row r="19" ht="14.0">
      <c r="A19" s="93" t="s">
        <v>32</v>
      </c>
      <c r="B19" s="93"/>
      <c r="C19" s="93" t="s">
        <v>54</v>
      </c>
      <c r="D19" s="229" t="s">
        <v>55</v>
      </c>
      <c r="E19" s="93">
        <v>0.0</v>
      </c>
      <c r="F19" s="93">
        <v>0.0</v>
      </c>
      <c r="G19" s="93">
        <v>0.0</v>
      </c>
      <c r="H19" s="93">
        <v>0.0</v>
      </c>
      <c r="I19" s="93">
        <v>0.0</v>
      </c>
      <c r="J19" s="93">
        <v>0.0</v>
      </c>
      <c r="K19" s="93">
        <v>0.0</v>
      </c>
      <c r="L19" s="93">
        <v>0.0</v>
      </c>
      <c r="M19" s="93">
        <v>0.0</v>
      </c>
      <c r="N19" s="93">
        <v>0.0</v>
      </c>
      <c r="O19" s="93">
        <v>0.0</v>
      </c>
      <c r="P19" s="93">
        <v>0.0</v>
      </c>
      <c r="Q19" s="93">
        <v>0.0</v>
      </c>
      <c r="R19" s="93">
        <v>0.0</v>
      </c>
      <c r="S19" s="93">
        <v>0.0</v>
      </c>
      <c r="T19" s="93">
        <v>0.0</v>
      </c>
      <c r="U19" s="93">
        <v>0.0</v>
      </c>
      <c r="V19" s="93">
        <v>0.0</v>
      </c>
      <c r="W19" s="93">
        <v>0.0</v>
      </c>
      <c r="X19" s="93">
        <v>0.0</v>
      </c>
      <c r="Y19" s="93">
        <v>0.0</v>
      </c>
      <c r="Z19" s="93">
        <v>0.0</v>
      </c>
      <c r="AA19" s="93">
        <v>0.0</v>
      </c>
      <c r="AB19" s="93">
        <v>0.0</v>
      </c>
      <c r="AC19" s="93">
        <v>0.0</v>
      </c>
      <c r="AD19" s="93">
        <v>0.0</v>
      </c>
      <c r="AE19" s="93">
        <v>0.0</v>
      </c>
      <c r="AF19" s="93">
        <v>0.0</v>
      </c>
      <c r="AG19" s="93">
        <v>0.0</v>
      </c>
      <c r="AH19" s="93">
        <v>0.0</v>
      </c>
      <c r="AI19" s="93">
        <v>0.0</v>
      </c>
      <c r="AJ19" s="93">
        <v>0.0</v>
      </c>
      <c r="AK19" s="93">
        <v>0.0</v>
      </c>
      <c r="AL19" s="93">
        <v>1.0</v>
      </c>
      <c r="AM19" s="93">
        <v>0.0</v>
      </c>
      <c r="AN19" s="93">
        <v>0.0</v>
      </c>
      <c r="AO19" s="69">
        <f t="shared" si="3"/>
        <v>1.0</v>
      </c>
      <c r="AP19" s="69">
        <f t="shared" si="4"/>
        <v>1.0</v>
      </c>
      <c r="AQ19" s="69">
        <f t="shared" si="5"/>
        <v>1.1</v>
      </c>
      <c r="AR19" s="47">
        <f>AR25</f>
        <v>1.0</v>
      </c>
      <c r="AS19" s="47">
        <f>AS25</f>
        <v>1.0</v>
      </c>
      <c r="AT19" s="47">
        <f>AT25</f>
        <v>1.0</v>
      </c>
      <c r="AU19" s="47">
        <f>AU25</f>
        <v>1.0</v>
      </c>
      <c r="AV19" s="47">
        <f>AV25</f>
        <v>1.0</v>
      </c>
      <c r="AW19" s="47">
        <f>AW25</f>
        <v>0.521739130434782</v>
      </c>
      <c r="AX19" s="69">
        <f t="shared" si="75"/>
        <v>5.52173913043478</v>
      </c>
      <c r="AY19" s="64" t="e">
        <f t="shared" si="13"/>
        <v>#REF!</v>
      </c>
      <c r="BB19" s="65" t="e">
        <f t="shared" ref="BB19:BB24" si="82">AY19+AZ19+BA19-AX19</f>
        <v>#REF!</v>
      </c>
      <c r="BF19" s="65" t="e">
        <f t="shared" ref="BF19:BF24" si="83">AY19</f>
        <v>#REF!</v>
      </c>
      <c r="BG19" s="65">
        <f t="shared" ref="BG19:BG24" si="84">AR19</f>
        <v>1.0</v>
      </c>
      <c r="BH19" s="65"/>
      <c r="BI19" s="65" t="e">
        <f t="shared" ref="BI19:BI24" si="85">BF19+BH19-BG19</f>
        <v>#REF!</v>
      </c>
      <c r="BJ19" s="65">
        <f t="shared" ref="BJ19:BJ24" si="86">AS19</f>
        <v>1.0</v>
      </c>
      <c r="BK19" s="65"/>
      <c r="BL19" s="65" t="e">
        <f t="shared" ref="BL19:BL24" si="87">BI19+BK19-BJ19</f>
        <v>#REF!</v>
      </c>
      <c r="BM19" s="65">
        <f t="shared" ref="BM19:BM24" si="88">AT19</f>
        <v>1.0</v>
      </c>
      <c r="BN19" s="65"/>
      <c r="BO19" s="65" t="e">
        <f t="shared" ref="BO19:BO24" si="89">BL19+BN19-BM19</f>
        <v>#REF!</v>
      </c>
      <c r="BP19" s="65">
        <f t="shared" ref="BP19:BP24" si="90">AU19</f>
        <v>1.0</v>
      </c>
      <c r="BQ19" s="65"/>
      <c r="BR19" s="65" t="e">
        <f t="shared" ref="BR19:BR24" si="91">BO19+BQ19-BP19</f>
        <v>#REF!</v>
      </c>
      <c r="BS19" s="65">
        <f t="shared" ref="BS19:BS24" si="92">AV19</f>
        <v>1.0</v>
      </c>
      <c r="BT19" s="65"/>
      <c r="BU19" s="65" t="e">
        <f t="shared" ref="BU19:BU24" si="93">BR19+BT19-BS19</f>
        <v>#REF!</v>
      </c>
      <c r="BV19" s="47">
        <f t="shared" si="27"/>
        <v>0.521739130434782</v>
      </c>
      <c r="BX19" s="65" t="e">
        <f t="shared" si="28"/>
        <v>#REF!</v>
      </c>
    </row>
    <row r="20" ht="14.0">
      <c r="A20" s="93" t="s">
        <v>32</v>
      </c>
      <c r="B20" s="93" t="s">
        <v>53</v>
      </c>
      <c r="C20" s="93" t="s">
        <v>58</v>
      </c>
      <c r="D20" s="229">
        <v>71101.0</v>
      </c>
      <c r="E20" s="93">
        <v>0.0</v>
      </c>
      <c r="F20" s="93">
        <v>0.0</v>
      </c>
      <c r="G20" s="93">
        <v>0.0</v>
      </c>
      <c r="H20" s="93">
        <v>0.0</v>
      </c>
      <c r="I20" s="93">
        <v>0.0</v>
      </c>
      <c r="J20" s="93">
        <v>0.0</v>
      </c>
      <c r="K20" s="93">
        <v>0.0</v>
      </c>
      <c r="L20" s="93">
        <v>0.0</v>
      </c>
      <c r="M20" s="93">
        <v>0.0</v>
      </c>
      <c r="N20" s="93">
        <v>0.0</v>
      </c>
      <c r="O20" s="93">
        <v>0.0</v>
      </c>
      <c r="P20" s="93">
        <v>0.0</v>
      </c>
      <c r="Q20" s="93">
        <v>0.0</v>
      </c>
      <c r="R20" s="93">
        <v>0.0</v>
      </c>
      <c r="S20" s="93">
        <v>0.0</v>
      </c>
      <c r="T20" s="93">
        <v>0.0</v>
      </c>
      <c r="U20" s="93">
        <v>0.0</v>
      </c>
      <c r="V20" s="93">
        <v>0.0</v>
      </c>
      <c r="W20" s="93">
        <v>0.0</v>
      </c>
      <c r="X20" s="93">
        <v>0.0</v>
      </c>
      <c r="Y20" s="93">
        <v>0.0</v>
      </c>
      <c r="Z20" s="93">
        <v>0.0</v>
      </c>
      <c r="AA20" s="93">
        <v>5.0</v>
      </c>
      <c r="AB20" s="93">
        <v>107.0</v>
      </c>
      <c r="AC20" s="93">
        <v>57.0</v>
      </c>
      <c r="AD20" s="93">
        <v>63.0</v>
      </c>
      <c r="AE20" s="93">
        <v>42.0</v>
      </c>
      <c r="AF20" s="93">
        <v>63.0</v>
      </c>
      <c r="AG20" s="93">
        <v>45.0</v>
      </c>
      <c r="AH20" s="93">
        <v>48.0</v>
      </c>
      <c r="AI20" s="93">
        <v>30.0</v>
      </c>
      <c r="AJ20" s="93">
        <v>42.0</v>
      </c>
      <c r="AK20" s="93">
        <v>18.0</v>
      </c>
      <c r="AL20" s="93">
        <v>42.0</v>
      </c>
      <c r="AM20" s="93">
        <v>16.0</v>
      </c>
      <c r="AN20" s="93">
        <v>33.0</v>
      </c>
      <c r="AO20" s="69">
        <f t="shared" si="3"/>
        <v>499.0</v>
      </c>
      <c r="AP20" s="69">
        <f t="shared" si="4"/>
        <v>181.0</v>
      </c>
      <c r="AQ20" s="69">
        <f t="shared" si="5"/>
        <v>199.1</v>
      </c>
      <c r="AR20" s="47">
        <f t="shared" ref="AR20:AR24" si="94">AQ20*$AR$4/$AQ$4+3*$AR$25</f>
        <v>34.4782608695652</v>
      </c>
      <c r="AS20" s="47">
        <f t="shared" ref="AS20:AS24" si="95">AQ20*$AS$4/$AQ$4+3*$AS$25</f>
        <v>42.3478260869565</v>
      </c>
      <c r="AT20" s="47">
        <f t="shared" ref="AT20:AT24" si="96">AQ20*$AT$4/$AQ$4+3*$AT$25</f>
        <v>42.3478260869565</v>
      </c>
      <c r="AU20" s="47">
        <f t="shared" ref="AU20:AU24" si="97">AQ20*$AU$4/$AQ$4+3*$AU$25</f>
        <v>42.3478260869565</v>
      </c>
      <c r="AV20" s="47">
        <f t="shared" ref="AV20:AV24" si="98">AQ20*$AV$4/$AQ$4+3*$AV$25</f>
        <v>42.3478260869565</v>
      </c>
      <c r="AW20" s="64">
        <f t="shared" ref="AW20:AW24" si="99">AQ20*$AW$4/$AQ$4+3*$AW$25</f>
        <v>25.1739130434782</v>
      </c>
      <c r="AX20" s="69">
        <f>SUM(AR20:AV20)</f>
        <v>203.869565217391</v>
      </c>
      <c r="AY20" s="64" t="e">
        <f t="shared" si="13"/>
        <v>#REF!</v>
      </c>
      <c r="BB20" s="65" t="e">
        <f t="shared" si="82"/>
        <v>#REF!</v>
      </c>
      <c r="BD20" s="47" t="e">
        <f>BB20*-1</f>
        <v>#REF!</v>
      </c>
      <c r="BE20" s="47" t="s">
        <v>255</v>
      </c>
      <c r="BF20" s="65" t="e">
        <f t="shared" si="83"/>
        <v>#REF!</v>
      </c>
      <c r="BG20" s="65">
        <f t="shared" si="84"/>
        <v>34.4782608695652</v>
      </c>
      <c r="BH20" s="65"/>
      <c r="BI20" s="65" t="e">
        <f t="shared" si="85"/>
        <v>#REF!</v>
      </c>
      <c r="BJ20" s="65">
        <f t="shared" si="86"/>
        <v>42.3478260869565</v>
      </c>
      <c r="BK20" s="65"/>
      <c r="BL20" s="65" t="e">
        <f t="shared" si="87"/>
        <v>#REF!</v>
      </c>
      <c r="BM20" s="65">
        <f t="shared" si="88"/>
        <v>42.3478260869565</v>
      </c>
      <c r="BN20" s="65"/>
      <c r="BO20" s="65" t="e">
        <f t="shared" si="89"/>
        <v>#REF!</v>
      </c>
      <c r="BP20" s="65">
        <f t="shared" si="90"/>
        <v>42.3478260869565</v>
      </c>
      <c r="BQ20" s="65"/>
      <c r="BR20" s="65" t="e">
        <f t="shared" si="91"/>
        <v>#REF!</v>
      </c>
      <c r="BS20" s="65">
        <f t="shared" si="92"/>
        <v>42.3478260869565</v>
      </c>
      <c r="BT20" s="65"/>
      <c r="BU20" s="65" t="e">
        <f t="shared" si="93"/>
        <v>#REF!</v>
      </c>
      <c r="BV20" s="47">
        <f t="shared" si="27"/>
        <v>25.1739130434782</v>
      </c>
      <c r="BX20" s="65" t="e">
        <f t="shared" si="28"/>
        <v>#REF!</v>
      </c>
    </row>
    <row r="21" ht="14.0">
      <c r="A21" s="93" t="s">
        <v>32</v>
      </c>
      <c r="B21" s="93" t="s">
        <v>53</v>
      </c>
      <c r="C21" s="93" t="s">
        <v>59</v>
      </c>
      <c r="D21" s="229">
        <v>71201.0</v>
      </c>
      <c r="E21" s="93">
        <v>0.0</v>
      </c>
      <c r="F21" s="93">
        <v>0.0</v>
      </c>
      <c r="G21" s="93">
        <v>0.0</v>
      </c>
      <c r="H21" s="93">
        <v>0.0</v>
      </c>
      <c r="I21" s="93">
        <v>0.0</v>
      </c>
      <c r="J21" s="93">
        <v>0.0</v>
      </c>
      <c r="K21" s="93">
        <v>0.0</v>
      </c>
      <c r="L21" s="93">
        <v>0.0</v>
      </c>
      <c r="M21" s="93">
        <v>0.0</v>
      </c>
      <c r="N21" s="93">
        <v>0.0</v>
      </c>
      <c r="O21" s="93">
        <v>0.0</v>
      </c>
      <c r="P21" s="93">
        <v>0.0</v>
      </c>
      <c r="Q21" s="93">
        <v>0.0</v>
      </c>
      <c r="R21" s="93">
        <v>0.0</v>
      </c>
      <c r="S21" s="93">
        <v>0.0</v>
      </c>
      <c r="T21" s="93">
        <v>0.0</v>
      </c>
      <c r="U21" s="93">
        <v>0.0</v>
      </c>
      <c r="V21" s="93">
        <v>0.0</v>
      </c>
      <c r="W21" s="93">
        <v>34.0</v>
      </c>
      <c r="X21" s="93">
        <v>33.0</v>
      </c>
      <c r="Y21" s="93">
        <v>9.0</v>
      </c>
      <c r="Z21" s="93">
        <v>6.0</v>
      </c>
      <c r="AA21" s="93">
        <v>3.0</v>
      </c>
      <c r="AB21" s="93">
        <v>24.0</v>
      </c>
      <c r="AC21" s="93">
        <v>10.0</v>
      </c>
      <c r="AD21" s="93">
        <v>9.0</v>
      </c>
      <c r="AE21" s="93">
        <v>3.0</v>
      </c>
      <c r="AF21" s="93">
        <v>6.0</v>
      </c>
      <c r="AG21" s="93">
        <v>12.0</v>
      </c>
      <c r="AH21" s="93">
        <v>3.0</v>
      </c>
      <c r="AI21" s="93">
        <v>0.0</v>
      </c>
      <c r="AJ21" s="93">
        <v>6.0</v>
      </c>
      <c r="AK21" s="93">
        <v>9.0</v>
      </c>
      <c r="AL21" s="93">
        <v>3.0</v>
      </c>
      <c r="AM21" s="93">
        <v>0.0</v>
      </c>
      <c r="AN21" s="93">
        <v>3.0</v>
      </c>
      <c r="AO21" s="69">
        <f t="shared" si="3"/>
        <v>64.0</v>
      </c>
      <c r="AP21" s="69">
        <f t="shared" si="4"/>
        <v>21.0</v>
      </c>
      <c r="AQ21" s="69">
        <f t="shared" si="5"/>
        <v>23.1</v>
      </c>
      <c r="AR21" s="47">
        <f t="shared" si="94"/>
        <v>6.6521739130434</v>
      </c>
      <c r="AS21" s="47">
        <f t="shared" si="95"/>
        <v>7.56521739130434</v>
      </c>
      <c r="AT21" s="47">
        <f t="shared" si="96"/>
        <v>7.56521739130434</v>
      </c>
      <c r="AU21" s="47">
        <f t="shared" si="97"/>
        <v>7.56521739130434</v>
      </c>
      <c r="AV21" s="47">
        <f t="shared" si="98"/>
        <v>7.56521739130434</v>
      </c>
      <c r="AW21" s="64">
        <f t="shared" si="99"/>
        <v>4.30434782608694</v>
      </c>
      <c r="AX21" s="69">
        <f t="shared" ref="AX21:AX25" si="102">SUM(AR21:AW21)</f>
        <v>41.2173913043477</v>
      </c>
      <c r="AY21" s="64" t="e">
        <f t="shared" si="13"/>
        <v>#REF!</v>
      </c>
      <c r="BB21" s="65" t="e">
        <f t="shared" si="82"/>
        <v>#REF!</v>
      </c>
      <c r="BF21" s="65" t="e">
        <f t="shared" si="83"/>
        <v>#REF!</v>
      </c>
      <c r="BG21" s="65">
        <f t="shared" si="84"/>
        <v>6.6521739130434</v>
      </c>
      <c r="BH21" s="65"/>
      <c r="BI21" s="65" t="e">
        <f t="shared" si="85"/>
        <v>#REF!</v>
      </c>
      <c r="BJ21" s="65">
        <f t="shared" si="86"/>
        <v>7.56521739130434</v>
      </c>
      <c r="BK21" s="65"/>
      <c r="BL21" s="65" t="e">
        <f t="shared" si="87"/>
        <v>#REF!</v>
      </c>
      <c r="BM21" s="65">
        <f t="shared" si="88"/>
        <v>7.56521739130434</v>
      </c>
      <c r="BN21" s="65"/>
      <c r="BO21" s="65" t="e">
        <f t="shared" si="89"/>
        <v>#REF!</v>
      </c>
      <c r="BP21" s="65">
        <f t="shared" si="90"/>
        <v>7.56521739130434</v>
      </c>
      <c r="BQ21" s="65"/>
      <c r="BR21" s="65" t="e">
        <f t="shared" si="91"/>
        <v>#REF!</v>
      </c>
      <c r="BS21" s="65">
        <f t="shared" si="92"/>
        <v>7.56521739130434</v>
      </c>
      <c r="BT21" s="65"/>
      <c r="BU21" s="65" t="e">
        <f t="shared" si="93"/>
        <v>#REF!</v>
      </c>
      <c r="BV21" s="47">
        <f t="shared" si="27"/>
        <v>4.30434782608694</v>
      </c>
      <c r="BX21" s="65" t="e">
        <f t="shared" si="28"/>
        <v>#REF!</v>
      </c>
    </row>
    <row r="22" ht="14.0">
      <c r="A22" s="93" t="s">
        <v>32</v>
      </c>
      <c r="B22" s="93" t="s">
        <v>53</v>
      </c>
      <c r="C22" s="93" t="s">
        <v>60</v>
      </c>
      <c r="D22" s="229">
        <v>71301.0</v>
      </c>
      <c r="E22" s="93">
        <v>0.0</v>
      </c>
      <c r="F22" s="93">
        <v>0.0</v>
      </c>
      <c r="G22" s="93">
        <v>0.0</v>
      </c>
      <c r="H22" s="93">
        <v>0.0</v>
      </c>
      <c r="I22" s="93">
        <v>0.0</v>
      </c>
      <c r="J22" s="93">
        <v>0.0</v>
      </c>
      <c r="K22" s="93">
        <v>0.0</v>
      </c>
      <c r="L22" s="93">
        <v>0.0</v>
      </c>
      <c r="M22" s="93">
        <v>0.0</v>
      </c>
      <c r="N22" s="93">
        <v>0.0</v>
      </c>
      <c r="O22" s="93">
        <v>0.0</v>
      </c>
      <c r="P22" s="93">
        <v>0.0</v>
      </c>
      <c r="Q22" s="93">
        <v>0.0</v>
      </c>
      <c r="R22" s="93">
        <v>0.0</v>
      </c>
      <c r="S22" s="93">
        <v>0.0</v>
      </c>
      <c r="T22" s="93">
        <v>0.0</v>
      </c>
      <c r="U22" s="93">
        <v>0.0</v>
      </c>
      <c r="V22" s="93">
        <v>0.0</v>
      </c>
      <c r="W22" s="93">
        <v>0.0</v>
      </c>
      <c r="X22" s="93">
        <v>0.0</v>
      </c>
      <c r="Y22" s="93">
        <v>0.0</v>
      </c>
      <c r="Z22" s="93">
        <v>0.0</v>
      </c>
      <c r="AA22" s="93">
        <v>5.0</v>
      </c>
      <c r="AB22" s="93">
        <v>61.0</v>
      </c>
      <c r="AC22" s="93">
        <v>33.0</v>
      </c>
      <c r="AD22" s="93">
        <v>33.0</v>
      </c>
      <c r="AE22" s="93">
        <v>36.0</v>
      </c>
      <c r="AF22" s="93">
        <v>27.0</v>
      </c>
      <c r="AG22" s="93">
        <v>24.0</v>
      </c>
      <c r="AH22" s="93">
        <v>18.0</v>
      </c>
      <c r="AI22" s="93">
        <v>21.0</v>
      </c>
      <c r="AJ22" s="93">
        <v>15.0</v>
      </c>
      <c r="AK22" s="93">
        <v>6.0</v>
      </c>
      <c r="AL22" s="93">
        <v>15.0</v>
      </c>
      <c r="AM22" s="93">
        <v>0.0</v>
      </c>
      <c r="AN22" s="93">
        <v>24.0</v>
      </c>
      <c r="AO22" s="69">
        <f t="shared" si="3"/>
        <v>252.0</v>
      </c>
      <c r="AP22" s="69">
        <f t="shared" si="4"/>
        <v>81.0</v>
      </c>
      <c r="AQ22" s="69">
        <f t="shared" si="5"/>
        <v>89.1</v>
      </c>
      <c r="AR22" s="47">
        <f t="shared" si="94"/>
        <v>17.0869565217391</v>
      </c>
      <c r="AS22" s="47">
        <f t="shared" si="95"/>
        <v>20.6086956521739</v>
      </c>
      <c r="AT22" s="47">
        <f t="shared" si="96"/>
        <v>20.6086956521739</v>
      </c>
      <c r="AU22" s="47">
        <f t="shared" si="97"/>
        <v>20.6086956521739</v>
      </c>
      <c r="AV22" s="47">
        <f t="shared" si="98"/>
        <v>20.6086956521739</v>
      </c>
      <c r="AW22" s="64">
        <f t="shared" si="99"/>
        <v>12.1304347826086</v>
      </c>
      <c r="AX22" s="69">
        <f t="shared" si="102"/>
        <v>111.652173913043</v>
      </c>
      <c r="AY22" s="64" t="e">
        <f t="shared" si="13"/>
        <v>#REF!</v>
      </c>
      <c r="BB22" s="65" t="e">
        <f t="shared" si="82"/>
        <v>#REF!</v>
      </c>
      <c r="BF22" s="65" t="e">
        <f t="shared" si="83"/>
        <v>#REF!</v>
      </c>
      <c r="BG22" s="65">
        <f t="shared" si="84"/>
        <v>17.0869565217391</v>
      </c>
      <c r="BH22" s="65"/>
      <c r="BI22" s="65" t="e">
        <f t="shared" si="85"/>
        <v>#REF!</v>
      </c>
      <c r="BJ22" s="65">
        <f t="shared" si="86"/>
        <v>20.6086956521739</v>
      </c>
      <c r="BK22" s="65"/>
      <c r="BL22" s="65" t="e">
        <f t="shared" si="87"/>
        <v>#REF!</v>
      </c>
      <c r="BM22" s="65">
        <f t="shared" si="88"/>
        <v>20.6086956521739</v>
      </c>
      <c r="BN22" s="65"/>
      <c r="BO22" s="65" t="e">
        <f t="shared" si="89"/>
        <v>#REF!</v>
      </c>
      <c r="BP22" s="65">
        <f t="shared" si="90"/>
        <v>20.6086956521739</v>
      </c>
      <c r="BQ22" s="65"/>
      <c r="BR22" s="65" t="e">
        <f t="shared" si="91"/>
        <v>#REF!</v>
      </c>
      <c r="BS22" s="65">
        <f t="shared" si="92"/>
        <v>20.6086956521739</v>
      </c>
      <c r="BT22" s="65"/>
      <c r="BU22" s="65" t="e">
        <f t="shared" si="93"/>
        <v>#REF!</v>
      </c>
      <c r="BV22" s="47">
        <f t="shared" si="27"/>
        <v>12.1304347826086</v>
      </c>
      <c r="BX22" s="65" t="e">
        <f t="shared" si="28"/>
        <v>#REF!</v>
      </c>
    </row>
    <row r="23" ht="14.0">
      <c r="A23" s="93" t="s">
        <v>32</v>
      </c>
      <c r="B23" s="93" t="s">
        <v>53</v>
      </c>
      <c r="C23" s="93" t="s">
        <v>61</v>
      </c>
      <c r="D23" s="229">
        <v>71401.0</v>
      </c>
      <c r="E23" s="93">
        <v>0.0</v>
      </c>
      <c r="F23" s="93">
        <v>0.0</v>
      </c>
      <c r="G23" s="93">
        <v>0.0</v>
      </c>
      <c r="H23" s="93">
        <v>0.0</v>
      </c>
      <c r="I23" s="93">
        <v>0.0</v>
      </c>
      <c r="J23" s="93">
        <v>0.0</v>
      </c>
      <c r="K23" s="93">
        <v>0.0</v>
      </c>
      <c r="L23" s="93">
        <v>0.0</v>
      </c>
      <c r="M23" s="93">
        <v>0.0</v>
      </c>
      <c r="N23" s="93">
        <v>0.0</v>
      </c>
      <c r="O23" s="93">
        <v>0.0</v>
      </c>
      <c r="P23" s="93">
        <v>0.0</v>
      </c>
      <c r="Q23" s="93">
        <v>0.0</v>
      </c>
      <c r="R23" s="93">
        <v>0.0</v>
      </c>
      <c r="S23" s="93">
        <v>0.0</v>
      </c>
      <c r="T23" s="93">
        <v>0.0</v>
      </c>
      <c r="U23" s="93">
        <v>0.0</v>
      </c>
      <c r="V23" s="93">
        <v>0.0</v>
      </c>
      <c r="W23" s="93">
        <v>0.0</v>
      </c>
      <c r="X23" s="93">
        <v>0.0</v>
      </c>
      <c r="Y23" s="93">
        <v>0.0</v>
      </c>
      <c r="Z23" s="93">
        <v>0.0</v>
      </c>
      <c r="AA23" s="93">
        <v>5.0</v>
      </c>
      <c r="AB23" s="93">
        <v>79.0</v>
      </c>
      <c r="AC23" s="93">
        <v>39.0</v>
      </c>
      <c r="AD23" s="93">
        <v>30.0</v>
      </c>
      <c r="AE23" s="93">
        <v>27.0</v>
      </c>
      <c r="AF23" s="93">
        <v>15.0</v>
      </c>
      <c r="AG23" s="93">
        <v>15.0</v>
      </c>
      <c r="AH23" s="93">
        <v>24.0</v>
      </c>
      <c r="AI23" s="93">
        <v>12.0</v>
      </c>
      <c r="AJ23" s="93">
        <v>18.0</v>
      </c>
      <c r="AK23" s="93">
        <v>9.0</v>
      </c>
      <c r="AL23" s="93">
        <v>15.0</v>
      </c>
      <c r="AM23" s="93">
        <v>3.0</v>
      </c>
      <c r="AN23" s="93">
        <v>15.0</v>
      </c>
      <c r="AO23" s="69">
        <f t="shared" si="3"/>
        <v>222.0</v>
      </c>
      <c r="AP23" s="69">
        <f t="shared" si="4"/>
        <v>72.0</v>
      </c>
      <c r="AQ23" s="69">
        <f t="shared" si="5"/>
        <v>79.2</v>
      </c>
      <c r="AR23" s="47">
        <f t="shared" si="94"/>
        <v>15.5217391304348</v>
      </c>
      <c r="AS23" s="47">
        <f t="shared" si="95"/>
        <v>18.6521739130434</v>
      </c>
      <c r="AT23" s="47">
        <f t="shared" si="96"/>
        <v>18.6521739130434</v>
      </c>
      <c r="AU23" s="47">
        <f t="shared" si="97"/>
        <v>18.6521739130434</v>
      </c>
      <c r="AV23" s="47">
        <f t="shared" si="98"/>
        <v>18.6521739130434</v>
      </c>
      <c r="AW23" s="64">
        <f t="shared" si="99"/>
        <v>10.9565217391303</v>
      </c>
      <c r="AX23" s="69">
        <f t="shared" si="102"/>
        <v>101.086956521739</v>
      </c>
      <c r="AY23" s="64" t="e">
        <f t="shared" si="13"/>
        <v>#REF!</v>
      </c>
      <c r="BB23" s="65" t="e">
        <f t="shared" si="82"/>
        <v>#REF!</v>
      </c>
      <c r="BF23" s="65" t="e">
        <f t="shared" si="83"/>
        <v>#REF!</v>
      </c>
      <c r="BG23" s="65">
        <f t="shared" si="84"/>
        <v>15.5217391304348</v>
      </c>
      <c r="BH23" s="65"/>
      <c r="BI23" s="65" t="e">
        <f t="shared" si="85"/>
        <v>#REF!</v>
      </c>
      <c r="BJ23" s="65">
        <f t="shared" si="86"/>
        <v>18.6521739130434</v>
      </c>
      <c r="BK23" s="65"/>
      <c r="BL23" s="65" t="e">
        <f t="shared" si="87"/>
        <v>#REF!</v>
      </c>
      <c r="BM23" s="65">
        <f t="shared" si="88"/>
        <v>18.6521739130434</v>
      </c>
      <c r="BN23" s="65"/>
      <c r="BO23" s="65" t="e">
        <f t="shared" si="89"/>
        <v>#REF!</v>
      </c>
      <c r="BP23" s="65">
        <f t="shared" si="90"/>
        <v>18.6521739130434</v>
      </c>
      <c r="BQ23" s="65"/>
      <c r="BR23" s="65" t="e">
        <f t="shared" si="91"/>
        <v>#REF!</v>
      </c>
      <c r="BS23" s="65">
        <f t="shared" si="92"/>
        <v>18.6521739130434</v>
      </c>
      <c r="BT23" s="65"/>
      <c r="BU23" s="65" t="e">
        <f t="shared" si="93"/>
        <v>#REF!</v>
      </c>
      <c r="BV23" s="47">
        <f t="shared" si="27"/>
        <v>10.9565217391303</v>
      </c>
      <c r="BX23" s="65" t="e">
        <f t="shared" si="28"/>
        <v>#REF!</v>
      </c>
    </row>
    <row r="24" ht="14.0">
      <c r="A24" s="93" t="s">
        <v>32</v>
      </c>
      <c r="B24" s="93" t="s">
        <v>53</v>
      </c>
      <c r="C24" s="93" t="s">
        <v>62</v>
      </c>
      <c r="D24" s="229">
        <v>71501.0</v>
      </c>
      <c r="E24" s="93">
        <v>0.0</v>
      </c>
      <c r="F24" s="93">
        <v>0.0</v>
      </c>
      <c r="G24" s="93">
        <v>0.0</v>
      </c>
      <c r="H24" s="93">
        <v>0.0</v>
      </c>
      <c r="I24" s="93">
        <v>0.0</v>
      </c>
      <c r="J24" s="93">
        <v>0.0</v>
      </c>
      <c r="K24" s="93">
        <v>0.0</v>
      </c>
      <c r="L24" s="93">
        <v>0.0</v>
      </c>
      <c r="M24" s="93">
        <v>0.0</v>
      </c>
      <c r="N24" s="93">
        <v>0.0</v>
      </c>
      <c r="O24" s="93">
        <v>0.0</v>
      </c>
      <c r="P24" s="93">
        <v>0.0</v>
      </c>
      <c r="Q24" s="93">
        <v>0.0</v>
      </c>
      <c r="R24" s="93">
        <v>0.0</v>
      </c>
      <c r="S24" s="93">
        <v>0.0</v>
      </c>
      <c r="T24" s="93">
        <v>0.0</v>
      </c>
      <c r="U24" s="93">
        <v>0.0</v>
      </c>
      <c r="V24" s="93">
        <v>0.0</v>
      </c>
      <c r="W24" s="93">
        <v>43.0</v>
      </c>
      <c r="X24" s="93">
        <v>90.0</v>
      </c>
      <c r="Y24" s="93">
        <v>30.0</v>
      </c>
      <c r="Z24" s="93">
        <v>6.0</v>
      </c>
      <c r="AA24" s="93">
        <v>15.0</v>
      </c>
      <c r="AB24" s="93">
        <v>36.0</v>
      </c>
      <c r="AC24" s="93">
        <v>7.0</v>
      </c>
      <c r="AD24" s="93">
        <v>15.0</v>
      </c>
      <c r="AE24" s="93">
        <v>21.0</v>
      </c>
      <c r="AF24" s="93">
        <v>6.0</v>
      </c>
      <c r="AG24" s="93">
        <v>9.0</v>
      </c>
      <c r="AH24" s="93">
        <v>21.0</v>
      </c>
      <c r="AI24" s="93">
        <v>6.0</v>
      </c>
      <c r="AJ24" s="93">
        <v>9.0</v>
      </c>
      <c r="AK24" s="93">
        <v>3.0</v>
      </c>
      <c r="AL24" s="93">
        <v>18.0</v>
      </c>
      <c r="AM24" s="93">
        <v>0.0</v>
      </c>
      <c r="AN24" s="93">
        <v>9.0</v>
      </c>
      <c r="AO24" s="69">
        <f t="shared" si="3"/>
        <v>124.0</v>
      </c>
      <c r="AP24" s="69">
        <f t="shared" si="4"/>
        <v>45.0</v>
      </c>
      <c r="AQ24" s="69">
        <f t="shared" si="5"/>
        <v>49.5</v>
      </c>
      <c r="AR24" s="47">
        <f t="shared" si="94"/>
        <v>10.8260869565217</v>
      </c>
      <c r="AS24" s="47">
        <f t="shared" si="95"/>
        <v>12.7826086956521</v>
      </c>
      <c r="AT24" s="47">
        <f t="shared" si="96"/>
        <v>12.7826086956521</v>
      </c>
      <c r="AU24" s="47">
        <f t="shared" si="97"/>
        <v>12.7826086956521</v>
      </c>
      <c r="AV24" s="47">
        <f t="shared" si="98"/>
        <v>12.7826086956521</v>
      </c>
      <c r="AW24" s="64">
        <f t="shared" si="99"/>
        <v>7.43478260869564</v>
      </c>
      <c r="AX24" s="69">
        <f t="shared" si="102"/>
        <v>69.3913043478257</v>
      </c>
      <c r="AY24" s="64" t="e">
        <f t="shared" si="13"/>
        <v>#REF!</v>
      </c>
      <c r="BB24" s="65" t="e">
        <f t="shared" si="82"/>
        <v>#REF!</v>
      </c>
      <c r="BF24" s="65" t="e">
        <f t="shared" si="83"/>
        <v>#REF!</v>
      </c>
      <c r="BG24" s="65">
        <f t="shared" si="84"/>
        <v>10.8260869565217</v>
      </c>
      <c r="BH24" s="65"/>
      <c r="BI24" s="65" t="e">
        <f t="shared" si="85"/>
        <v>#REF!</v>
      </c>
      <c r="BJ24" s="65">
        <f t="shared" si="86"/>
        <v>12.7826086956521</v>
      </c>
      <c r="BK24" s="65"/>
      <c r="BL24" s="65" t="e">
        <f t="shared" si="87"/>
        <v>#REF!</v>
      </c>
      <c r="BM24" s="65">
        <f t="shared" si="88"/>
        <v>12.7826086956521</v>
      </c>
      <c r="BN24" s="65"/>
      <c r="BO24" s="65" t="e">
        <f t="shared" si="89"/>
        <v>#REF!</v>
      </c>
      <c r="BP24" s="65">
        <f t="shared" si="90"/>
        <v>12.7826086956521</v>
      </c>
      <c r="BQ24" s="65"/>
      <c r="BR24" s="65" t="e">
        <f t="shared" si="91"/>
        <v>#REF!</v>
      </c>
      <c r="BS24" s="65">
        <f t="shared" si="92"/>
        <v>12.7826086956521</v>
      </c>
      <c r="BT24" s="65"/>
      <c r="BU24" s="65" t="e">
        <f t="shared" si="93"/>
        <v>#REF!</v>
      </c>
      <c r="BV24" s="47">
        <f t="shared" si="27"/>
        <v>7.43478260869564</v>
      </c>
      <c r="BX24" s="65" t="e">
        <f t="shared" si="28"/>
        <v>#REF!</v>
      </c>
    </row>
    <row r="25" ht="14.0">
      <c r="A25" s="93" t="s">
        <v>32</v>
      </c>
      <c r="B25" s="93" t="s">
        <v>53</v>
      </c>
      <c r="C25" s="93" t="s">
        <v>56</v>
      </c>
      <c r="D25" s="229" t="s">
        <v>57</v>
      </c>
      <c r="E25" s="93">
        <v>0.0</v>
      </c>
      <c r="F25" s="93">
        <v>0.0</v>
      </c>
      <c r="G25" s="93">
        <v>0.0</v>
      </c>
      <c r="H25" s="93">
        <v>0.0</v>
      </c>
      <c r="I25" s="93">
        <v>0.0</v>
      </c>
      <c r="J25" s="93">
        <v>0.0</v>
      </c>
      <c r="K25" s="93">
        <v>0.0</v>
      </c>
      <c r="L25" s="93">
        <v>0.0</v>
      </c>
      <c r="M25" s="93">
        <v>0.0</v>
      </c>
      <c r="N25" s="93">
        <v>0.0</v>
      </c>
      <c r="O25" s="93">
        <v>0.0</v>
      </c>
      <c r="P25" s="93">
        <v>0.0</v>
      </c>
      <c r="Q25" s="93">
        <v>0.0</v>
      </c>
      <c r="R25" s="93">
        <v>0.0</v>
      </c>
      <c r="S25" s="93">
        <v>0.0</v>
      </c>
      <c r="T25" s="93">
        <v>0.0</v>
      </c>
      <c r="U25" s="93">
        <v>0.0</v>
      </c>
      <c r="V25" s="93">
        <v>0.0</v>
      </c>
      <c r="W25" s="93">
        <v>0.0</v>
      </c>
      <c r="X25" s="93">
        <v>0.0</v>
      </c>
      <c r="Y25" s="93">
        <v>0.0</v>
      </c>
      <c r="Z25" s="93">
        <v>0.0</v>
      </c>
      <c r="AA25" s="93">
        <v>0.0</v>
      </c>
      <c r="AB25" s="93">
        <v>3.0</v>
      </c>
      <c r="AC25" s="93">
        <v>2.0</v>
      </c>
      <c r="AD25" s="93">
        <v>6.0</v>
      </c>
      <c r="AE25" s="93">
        <v>4.0</v>
      </c>
      <c r="AF25" s="93">
        <v>2.0</v>
      </c>
      <c r="AG25" s="93">
        <v>2.0</v>
      </c>
      <c r="AH25" s="93">
        <v>0.0</v>
      </c>
      <c r="AI25" s="93">
        <v>3.0</v>
      </c>
      <c r="AJ25" s="93">
        <v>0.0</v>
      </c>
      <c r="AK25" s="93">
        <v>1.0</v>
      </c>
      <c r="AL25" s="93">
        <v>0.0</v>
      </c>
      <c r="AM25" s="93">
        <v>0.0</v>
      </c>
      <c r="AN25" s="93">
        <v>0.0</v>
      </c>
      <c r="AO25" s="69">
        <f t="shared" si="3"/>
        <v>20.0</v>
      </c>
      <c r="AP25" s="69">
        <f t="shared" si="4"/>
        <v>4.0</v>
      </c>
      <c r="AQ25" s="69">
        <f t="shared" si="5"/>
        <v>4.4</v>
      </c>
      <c r="AR25" s="235">
        <v>1.0</v>
      </c>
      <c r="AS25" s="235">
        <v>1.0</v>
      </c>
      <c r="AT25" s="235">
        <v>1.0</v>
      </c>
      <c r="AU25" s="235">
        <v>1.0</v>
      </c>
      <c r="AV25" s="235">
        <v>1.0</v>
      </c>
      <c r="AW25" s="249">
        <f>AQ25*$AW$4/$AQ$4</f>
        <v>0.521739130434782</v>
      </c>
      <c r="AX25" s="69">
        <f t="shared" si="102"/>
        <v>5.52173913043478</v>
      </c>
      <c r="AY25" s="64" t="e">
        <f t="shared" si="13"/>
        <v>#REF!</v>
      </c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47">
        <f t="shared" si="27"/>
        <v>0.521739130434782</v>
      </c>
      <c r="BX25" s="65">
        <f t="shared" si="28"/>
        <v>-0.521739130434782</v>
      </c>
    </row>
    <row r="26" ht="14.0">
      <c r="A26" s="93" t="s">
        <v>32</v>
      </c>
      <c r="B26" s="93" t="s">
        <v>63</v>
      </c>
      <c r="C26" s="93" t="s">
        <v>68</v>
      </c>
      <c r="D26" s="277">
        <v>41201.0</v>
      </c>
      <c r="E26" s="93">
        <v>28.0</v>
      </c>
      <c r="F26" s="93">
        <v>9.0</v>
      </c>
      <c r="G26" s="93">
        <v>24.0</v>
      </c>
      <c r="H26" s="93">
        <v>20.0</v>
      </c>
      <c r="I26" s="93">
        <v>34.0</v>
      </c>
      <c r="J26" s="93">
        <v>0.0</v>
      </c>
      <c r="K26" s="93">
        <v>13.0</v>
      </c>
      <c r="L26" s="93">
        <v>17.0</v>
      </c>
      <c r="M26" s="93">
        <v>8.0</v>
      </c>
      <c r="N26" s="93">
        <v>7.0</v>
      </c>
      <c r="O26" s="93">
        <v>10.0</v>
      </c>
      <c r="P26" s="93">
        <v>8.0</v>
      </c>
      <c r="Q26" s="93">
        <v>30.0</v>
      </c>
      <c r="R26" s="93">
        <v>15.0</v>
      </c>
      <c r="S26" s="93">
        <v>3.0</v>
      </c>
      <c r="T26" s="93">
        <v>15.0</v>
      </c>
      <c r="U26" s="93">
        <v>11.0</v>
      </c>
      <c r="V26" s="93">
        <v>39.0</v>
      </c>
      <c r="W26" s="93">
        <v>6.0</v>
      </c>
      <c r="X26" s="93">
        <v>15.0</v>
      </c>
      <c r="Y26" s="93">
        <v>9.0</v>
      </c>
      <c r="Z26" s="93">
        <v>51.0</v>
      </c>
      <c r="AA26" s="93">
        <v>9.0</v>
      </c>
      <c r="AB26" s="93">
        <v>6.0</v>
      </c>
      <c r="AC26" s="93">
        <v>3.0</v>
      </c>
      <c r="AD26" s="93">
        <v>9.0</v>
      </c>
      <c r="AE26" s="93">
        <v>15.0</v>
      </c>
      <c r="AF26" s="93">
        <v>24.0</v>
      </c>
      <c r="AG26" s="93">
        <v>28.0</v>
      </c>
      <c r="AH26" s="93">
        <v>18.0</v>
      </c>
      <c r="AI26" s="93">
        <v>9.0</v>
      </c>
      <c r="AJ26" s="93">
        <v>6.0</v>
      </c>
      <c r="AK26" s="93">
        <v>6.0</v>
      </c>
      <c r="AL26" s="93">
        <v>9.0</v>
      </c>
      <c r="AM26" s="93">
        <v>6.0</v>
      </c>
      <c r="AN26" s="93">
        <v>7.0</v>
      </c>
      <c r="AO26" s="69">
        <f t="shared" si="3"/>
        <v>140.0</v>
      </c>
      <c r="AP26" s="69">
        <f t="shared" si="4"/>
        <v>43.0</v>
      </c>
      <c r="AQ26" s="69">
        <f t="shared" si="5"/>
        <v>47.3</v>
      </c>
      <c r="AR26" s="47">
        <f t="shared" ref="AR26:AR27" si="104">AQ26*$AR$4/$AQ$4+6*$AR$32</f>
        <v>13.4782608695652</v>
      </c>
      <c r="AS26" s="47">
        <f t="shared" ref="AS26:AS27" si="105">AQ26*$AS$4/$AQ$4+6*$AS$32</f>
        <v>21.3478260869565</v>
      </c>
      <c r="AT26" s="47">
        <f t="shared" ref="AT26:AT27" si="106">AQ26*$AT$4/$AQ$4+6*$AT$32</f>
        <v>21.3478260869565</v>
      </c>
      <c r="AU26" s="47">
        <f t="shared" ref="AU26:AU27" si="107">AQ26*$AU$4/$AQ$4+6*$AU$32</f>
        <v>21.3478260869565</v>
      </c>
      <c r="AV26" s="47">
        <f t="shared" ref="AV26:AV27" si="108">AQ26*$AV$4/$AQ$4+6*$AV$32</f>
        <v>21.3478260869565</v>
      </c>
      <c r="AW26" s="64">
        <f t="shared" ref="AW26:AW27" si="109">AQ26*$AW$4/$AQ$4+6*$AW$32</f>
        <v>11.6086956521739</v>
      </c>
      <c r="AX26" s="69">
        <f t="shared" ref="AX26:AX30" si="110">SUM(AR26:AV26)</f>
        <v>98.8695652173912</v>
      </c>
      <c r="AY26" s="64" t="e">
        <f t="shared" si="13"/>
        <v>#REF!</v>
      </c>
      <c r="BB26" s="65" t="e">
        <f t="shared" ref="BB26:BB31" si="111">AY26+AZ26+BA26-AX26</f>
        <v>#REF!</v>
      </c>
      <c r="BD26" s="47" t="e">
        <f t="shared" ref="BD26:BD30" si="112">BB26*-1</f>
        <v>#REF!</v>
      </c>
      <c r="BE26" s="47" t="s">
        <v>350</v>
      </c>
      <c r="BF26" s="65" t="e">
        <f t="shared" ref="BF26:BF31" si="113">AY26</f>
        <v>#REF!</v>
      </c>
      <c r="BG26" s="65">
        <f t="shared" ref="BG26:BG31" si="114">AR26</f>
        <v>13.4782608695652</v>
      </c>
      <c r="BH26" s="65"/>
      <c r="BI26" s="65" t="e">
        <f t="shared" ref="BI26:BI31" si="115">BF26+BH26-BG26</f>
        <v>#REF!</v>
      </c>
      <c r="BJ26" s="65">
        <f t="shared" ref="BJ26:BJ31" si="116">AS26</f>
        <v>21.3478260869565</v>
      </c>
      <c r="BK26" s="65"/>
      <c r="BL26" s="65" t="e">
        <f t="shared" ref="BL26:BL31" si="117">BI26+BK26-BJ26</f>
        <v>#REF!</v>
      </c>
      <c r="BM26" s="65">
        <f t="shared" ref="BM26:BM31" si="118">AT26</f>
        <v>21.3478260869565</v>
      </c>
      <c r="BN26" s="65"/>
      <c r="BO26" s="65" t="e">
        <f t="shared" ref="BO26:BO31" si="119">BL26+BN26-BM26</f>
        <v>#REF!</v>
      </c>
      <c r="BP26" s="65">
        <f t="shared" ref="BP26:BP31" si="120">AU26</f>
        <v>21.3478260869565</v>
      </c>
      <c r="BQ26" s="65"/>
      <c r="BR26" s="65" t="e">
        <f t="shared" ref="BR26:BR31" si="121">BO26+BQ26-BP26</f>
        <v>#REF!</v>
      </c>
      <c r="BS26" s="65">
        <f t="shared" ref="BS26:BS31" si="122">AV26</f>
        <v>21.3478260869565</v>
      </c>
      <c r="BT26" s="65"/>
      <c r="BU26" s="65" t="e">
        <f t="shared" ref="BU26:BU31" si="123">BR26+BT26-BS26</f>
        <v>#REF!</v>
      </c>
      <c r="BV26" s="47">
        <f t="shared" si="27"/>
        <v>11.6086956521739</v>
      </c>
      <c r="BX26" s="65" t="e">
        <f t="shared" si="28"/>
        <v>#REF!</v>
      </c>
    </row>
    <row r="27" ht="14.0">
      <c r="A27" s="93" t="s">
        <v>32</v>
      </c>
      <c r="B27" s="93" t="s">
        <v>63</v>
      </c>
      <c r="C27" s="93" t="s">
        <v>69</v>
      </c>
      <c r="D27" s="277">
        <v>41202.0</v>
      </c>
      <c r="E27" s="93">
        <v>10.0</v>
      </c>
      <c r="F27" s="93">
        <v>10.0</v>
      </c>
      <c r="G27" s="93">
        <v>22.0</v>
      </c>
      <c r="H27" s="93">
        <v>21.0</v>
      </c>
      <c r="I27" s="93">
        <v>15.0</v>
      </c>
      <c r="J27" s="93">
        <v>12.0</v>
      </c>
      <c r="K27" s="93">
        <v>15.0</v>
      </c>
      <c r="L27" s="93">
        <v>15.0</v>
      </c>
      <c r="M27" s="93">
        <v>16.0</v>
      </c>
      <c r="N27" s="93">
        <v>10.0</v>
      </c>
      <c r="O27" s="93">
        <v>4.0</v>
      </c>
      <c r="P27" s="93">
        <v>4.0</v>
      </c>
      <c r="Q27" s="93">
        <v>12.0</v>
      </c>
      <c r="R27" s="93">
        <v>9.0</v>
      </c>
      <c r="S27" s="93">
        <v>7.0</v>
      </c>
      <c r="T27" s="93">
        <v>15.0</v>
      </c>
      <c r="U27" s="93">
        <v>31.0</v>
      </c>
      <c r="V27" s="93">
        <v>21.0</v>
      </c>
      <c r="W27" s="93">
        <v>18.0</v>
      </c>
      <c r="X27" s="93">
        <v>3.0</v>
      </c>
      <c r="Y27" s="93">
        <v>9.0</v>
      </c>
      <c r="Z27" s="93">
        <v>36.0</v>
      </c>
      <c r="AA27" s="93">
        <v>0.0</v>
      </c>
      <c r="AB27" s="93">
        <v>9.0</v>
      </c>
      <c r="AC27" s="93">
        <v>3.0</v>
      </c>
      <c r="AD27" s="93">
        <v>6.0</v>
      </c>
      <c r="AE27" s="93">
        <v>21.0</v>
      </c>
      <c r="AF27" s="93">
        <v>17.0</v>
      </c>
      <c r="AG27" s="93">
        <v>15.0</v>
      </c>
      <c r="AH27" s="93">
        <v>16.0</v>
      </c>
      <c r="AI27" s="93">
        <v>9.0</v>
      </c>
      <c r="AJ27" s="93">
        <v>9.0</v>
      </c>
      <c r="AK27" s="93">
        <v>3.0</v>
      </c>
      <c r="AL27" s="93">
        <v>6.0</v>
      </c>
      <c r="AM27" s="93">
        <v>0.0</v>
      </c>
      <c r="AN27" s="93">
        <v>9.0</v>
      </c>
      <c r="AO27" s="69">
        <f t="shared" si="3"/>
        <v>114.0</v>
      </c>
      <c r="AP27" s="69">
        <f t="shared" si="4"/>
        <v>36.0</v>
      </c>
      <c r="AQ27" s="69">
        <f t="shared" si="5"/>
        <v>39.6</v>
      </c>
      <c r="AR27" s="47">
        <f t="shared" si="104"/>
        <v>12.2608695652173</v>
      </c>
      <c r="AS27" s="47">
        <f t="shared" si="105"/>
        <v>19.8260869565217</v>
      </c>
      <c r="AT27" s="47">
        <f t="shared" si="106"/>
        <v>19.8260869565217</v>
      </c>
      <c r="AU27" s="47">
        <f t="shared" si="107"/>
        <v>19.8260869565217</v>
      </c>
      <c r="AV27" s="47">
        <f t="shared" si="108"/>
        <v>19.8260869565217</v>
      </c>
      <c r="AW27" s="64">
        <f t="shared" si="109"/>
        <v>10.695652173913</v>
      </c>
      <c r="AX27" s="69">
        <f t="shared" si="110"/>
        <v>91.565217391304</v>
      </c>
      <c r="AY27" s="64" t="e">
        <f t="shared" si="13"/>
        <v>#REF!</v>
      </c>
      <c r="BB27" s="65" t="e">
        <f t="shared" si="111"/>
        <v>#REF!</v>
      </c>
      <c r="BD27" s="47" t="e">
        <f t="shared" si="112"/>
        <v>#REF!</v>
      </c>
      <c r="BE27" s="47" t="s">
        <v>355</v>
      </c>
      <c r="BF27" s="65" t="e">
        <f t="shared" si="113"/>
        <v>#REF!</v>
      </c>
      <c r="BG27" s="65">
        <f t="shared" si="114"/>
        <v>12.2608695652173</v>
      </c>
      <c r="BH27" s="65"/>
      <c r="BI27" s="65" t="e">
        <f t="shared" si="115"/>
        <v>#REF!</v>
      </c>
      <c r="BJ27" s="65">
        <f t="shared" si="116"/>
        <v>19.8260869565217</v>
      </c>
      <c r="BK27" s="65"/>
      <c r="BL27" s="65" t="e">
        <f t="shared" si="117"/>
        <v>#REF!</v>
      </c>
      <c r="BM27" s="65">
        <f t="shared" si="118"/>
        <v>19.8260869565217</v>
      </c>
      <c r="BN27" s="65"/>
      <c r="BO27" s="65" t="e">
        <f t="shared" si="119"/>
        <v>#REF!</v>
      </c>
      <c r="BP27" s="65">
        <f t="shared" si="120"/>
        <v>19.8260869565217</v>
      </c>
      <c r="BQ27" s="65"/>
      <c r="BR27" s="65" t="e">
        <f t="shared" si="121"/>
        <v>#REF!</v>
      </c>
      <c r="BS27" s="65">
        <f t="shared" si="122"/>
        <v>19.8260869565217</v>
      </c>
      <c r="BT27" s="65"/>
      <c r="BU27" s="65" t="e">
        <f t="shared" si="123"/>
        <v>#REF!</v>
      </c>
      <c r="BV27" s="47">
        <f t="shared" si="27"/>
        <v>10.695652173913</v>
      </c>
      <c r="BX27" s="65" t="e">
        <f t="shared" si="28"/>
        <v>#REF!</v>
      </c>
    </row>
    <row r="28" ht="14.0">
      <c r="A28" s="93" t="s">
        <v>32</v>
      </c>
      <c r="B28" s="93" t="s">
        <v>63</v>
      </c>
      <c r="C28" s="93" t="s">
        <v>70</v>
      </c>
      <c r="D28" s="229">
        <v>41205.0</v>
      </c>
      <c r="E28" s="93">
        <v>9.0</v>
      </c>
      <c r="F28" s="93">
        <v>0.0</v>
      </c>
      <c r="G28" s="93">
        <v>6.0</v>
      </c>
      <c r="H28" s="93">
        <v>10.0</v>
      </c>
      <c r="I28" s="93">
        <v>10.0</v>
      </c>
      <c r="J28" s="93">
        <v>1.0</v>
      </c>
      <c r="K28" s="93">
        <v>5.0</v>
      </c>
      <c r="L28" s="93">
        <v>11.0</v>
      </c>
      <c r="M28" s="93">
        <v>7.0</v>
      </c>
      <c r="N28" s="93">
        <v>1.0</v>
      </c>
      <c r="O28" s="93">
        <v>5.0</v>
      </c>
      <c r="P28" s="93">
        <v>10.0</v>
      </c>
      <c r="Q28" s="93">
        <v>4.0</v>
      </c>
      <c r="R28" s="93">
        <v>9.0</v>
      </c>
      <c r="S28" s="93">
        <v>6.0</v>
      </c>
      <c r="T28" s="93">
        <v>7.0</v>
      </c>
      <c r="U28" s="93">
        <v>15.0</v>
      </c>
      <c r="V28" s="93">
        <v>17.0</v>
      </c>
      <c r="W28" s="93">
        <v>7.0</v>
      </c>
      <c r="X28" s="93">
        <v>6.0</v>
      </c>
      <c r="Y28" s="93">
        <v>0.0</v>
      </c>
      <c r="Z28" s="93">
        <v>29.0</v>
      </c>
      <c r="AA28" s="93">
        <v>6.0</v>
      </c>
      <c r="AB28" s="93">
        <v>9.0</v>
      </c>
      <c r="AC28" s="93">
        <v>-6.0</v>
      </c>
      <c r="AD28" s="93">
        <v>6.0</v>
      </c>
      <c r="AE28" s="93">
        <v>0.0</v>
      </c>
      <c r="AF28" s="93">
        <v>12.0</v>
      </c>
      <c r="AG28" s="93">
        <v>6.0</v>
      </c>
      <c r="AH28" s="93">
        <v>7.0</v>
      </c>
      <c r="AI28" s="93">
        <v>0.0</v>
      </c>
      <c r="AJ28" s="93">
        <v>3.0</v>
      </c>
      <c r="AK28" s="93">
        <v>3.0</v>
      </c>
      <c r="AL28" s="93">
        <v>4.0</v>
      </c>
      <c r="AM28" s="93">
        <v>0.0</v>
      </c>
      <c r="AN28" s="93">
        <v>3.0</v>
      </c>
      <c r="AO28" s="69">
        <f t="shared" si="3"/>
        <v>38.0</v>
      </c>
      <c r="AP28" s="69">
        <f t="shared" si="4"/>
        <v>13.0</v>
      </c>
      <c r="AQ28" s="69">
        <f t="shared" si="5"/>
        <v>14.3</v>
      </c>
      <c r="AR28" s="47">
        <f>AQ28*$AR$4/$AQ$4</f>
        <v>2.26086956521739</v>
      </c>
      <c r="AS28" s="47">
        <f>AQ28*$AS$4/$AQ$4</f>
        <v>2.82608695652173</v>
      </c>
      <c r="AT28" s="47">
        <f>AQ28*$AT$4/$AQ$4</f>
        <v>2.82608695652173</v>
      </c>
      <c r="AU28" s="47">
        <f>AQ28*$AU$4/$AQ$4</f>
        <v>2.82608695652173</v>
      </c>
      <c r="AV28" s="47">
        <f>AQ28*$AV$4/$AQ$4</f>
        <v>2.82608695652173</v>
      </c>
      <c r="AW28" s="64">
        <f>AQ28*$AW$4/$AQ$4</f>
        <v>1.69565217391304</v>
      </c>
      <c r="AX28" s="69">
        <f t="shared" si="110"/>
        <v>13.5652173913043</v>
      </c>
      <c r="AY28" s="64" t="e">
        <f t="shared" si="13"/>
        <v>#REF!</v>
      </c>
      <c r="BB28" s="65" t="e">
        <f t="shared" si="111"/>
        <v>#REF!</v>
      </c>
      <c r="BD28" s="47" t="e">
        <f t="shared" si="112"/>
        <v>#REF!</v>
      </c>
      <c r="BE28" s="47" t="s">
        <v>350</v>
      </c>
      <c r="BF28" s="65" t="e">
        <f t="shared" si="113"/>
        <v>#REF!</v>
      </c>
      <c r="BG28" s="65">
        <f t="shared" si="114"/>
        <v>2.26086956521739</v>
      </c>
      <c r="BH28" s="65"/>
      <c r="BI28" s="65" t="e">
        <f t="shared" si="115"/>
        <v>#REF!</v>
      </c>
      <c r="BJ28" s="65">
        <f t="shared" si="116"/>
        <v>2.82608695652173</v>
      </c>
      <c r="BK28" s="65"/>
      <c r="BL28" s="65" t="e">
        <f t="shared" si="117"/>
        <v>#REF!</v>
      </c>
      <c r="BM28" s="65">
        <f t="shared" si="118"/>
        <v>2.82608695652173</v>
      </c>
      <c r="BN28" s="65"/>
      <c r="BO28" s="65" t="e">
        <f t="shared" si="119"/>
        <v>#REF!</v>
      </c>
      <c r="BP28" s="65">
        <f t="shared" si="120"/>
        <v>2.82608695652173</v>
      </c>
      <c r="BQ28" s="65"/>
      <c r="BR28" s="65" t="e">
        <f t="shared" si="121"/>
        <v>#REF!</v>
      </c>
      <c r="BS28" s="65">
        <f t="shared" si="122"/>
        <v>2.82608695652173</v>
      </c>
      <c r="BT28" s="65"/>
      <c r="BU28" s="65" t="e">
        <f t="shared" si="123"/>
        <v>#REF!</v>
      </c>
      <c r="BV28" s="47">
        <f t="shared" si="27"/>
        <v>1.69565217391304</v>
      </c>
      <c r="BX28" s="65" t="e">
        <f t="shared" si="28"/>
        <v>#REF!</v>
      </c>
    </row>
    <row r="29" ht="14.0">
      <c r="A29" s="93" t="s">
        <v>32</v>
      </c>
      <c r="B29" s="93" t="s">
        <v>63</v>
      </c>
      <c r="C29" s="93" t="s">
        <v>71</v>
      </c>
      <c r="D29" s="277">
        <v>41233.0</v>
      </c>
      <c r="E29" s="93">
        <v>0.0</v>
      </c>
      <c r="F29" s="93">
        <v>0.0</v>
      </c>
      <c r="G29" s="93">
        <v>0.0</v>
      </c>
      <c r="H29" s="93">
        <v>0.0</v>
      </c>
      <c r="I29" s="93">
        <v>0.0</v>
      </c>
      <c r="J29" s="93">
        <v>0.0</v>
      </c>
      <c r="K29" s="93">
        <v>3.0</v>
      </c>
      <c r="L29" s="93">
        <v>9.0</v>
      </c>
      <c r="M29" s="93">
        <v>6.0</v>
      </c>
      <c r="N29" s="93">
        <v>6.0</v>
      </c>
      <c r="O29" s="93">
        <v>6.0</v>
      </c>
      <c r="P29" s="93">
        <v>15.0</v>
      </c>
      <c r="Q29" s="93">
        <v>6.0</v>
      </c>
      <c r="R29" s="93">
        <v>3.0</v>
      </c>
      <c r="S29" s="93">
        <v>6.0</v>
      </c>
      <c r="T29" s="93">
        <v>6.0</v>
      </c>
      <c r="U29" s="93">
        <v>36.0</v>
      </c>
      <c r="V29" s="93">
        <v>0.0</v>
      </c>
      <c r="W29" s="93">
        <v>21.0</v>
      </c>
      <c r="X29" s="93">
        <v>12.0</v>
      </c>
      <c r="Y29" s="93">
        <v>6.0</v>
      </c>
      <c r="Z29" s="93">
        <v>6.0</v>
      </c>
      <c r="AA29" s="93">
        <v>9.0</v>
      </c>
      <c r="AB29" s="93">
        <v>12.0</v>
      </c>
      <c r="AC29" s="93">
        <v>-3.0</v>
      </c>
      <c r="AD29" s="93">
        <v>9.0</v>
      </c>
      <c r="AE29" s="93">
        <v>6.0</v>
      </c>
      <c r="AF29" s="93">
        <v>12.0</v>
      </c>
      <c r="AG29" s="93">
        <v>3.0</v>
      </c>
      <c r="AH29" s="93">
        <v>6.0</v>
      </c>
      <c r="AI29" s="93">
        <v>3.0</v>
      </c>
      <c r="AJ29" s="93">
        <v>0.0</v>
      </c>
      <c r="AK29" s="93">
        <v>3.0</v>
      </c>
      <c r="AL29" s="93">
        <v>3.0</v>
      </c>
      <c r="AM29" s="93">
        <v>0.0</v>
      </c>
      <c r="AN29" s="93">
        <v>6.0</v>
      </c>
      <c r="AO29" s="69">
        <f t="shared" si="3"/>
        <v>48.0</v>
      </c>
      <c r="AP29" s="69">
        <f t="shared" si="4"/>
        <v>15.0</v>
      </c>
      <c r="AQ29" s="69">
        <f t="shared" si="5"/>
        <v>16.5</v>
      </c>
      <c r="AR29" s="47">
        <f>AQ29*$AR$4/$AQ$4+3*$AR$32</f>
        <v>5.60869565217391</v>
      </c>
      <c r="AS29" s="47">
        <f>AQ29*$AS$4/$AQ$4+3*$AS$32</f>
        <v>9.26086956521739</v>
      </c>
      <c r="AT29" s="47">
        <f>AQ29*$AT$4/$AQ$4+3*$AT$32</f>
        <v>9.26086956521739</v>
      </c>
      <c r="AU29" s="47">
        <f>AQ29*$AU$4/$AQ$4+3*$AU$32</f>
        <v>9.26086956521739</v>
      </c>
      <c r="AV29" s="47">
        <f>AQ29*$AV$4/$AQ$4+3*$AV$32</f>
        <v>9.26086956521739</v>
      </c>
      <c r="AW29" s="64">
        <f>AQ29*$AW$4/$AQ$4+6*$AW$32</f>
        <v>7.95652173913043</v>
      </c>
      <c r="AX29" s="69">
        <f t="shared" si="110"/>
        <v>42.6521739130434</v>
      </c>
      <c r="AY29" s="64" t="e">
        <f t="shared" si="13"/>
        <v>#REF!</v>
      </c>
      <c r="BB29" s="65" t="e">
        <f t="shared" si="111"/>
        <v>#REF!</v>
      </c>
      <c r="BD29" s="47" t="e">
        <f t="shared" si="112"/>
        <v>#REF!</v>
      </c>
      <c r="BE29" s="47" t="s">
        <v>350</v>
      </c>
      <c r="BF29" s="65" t="e">
        <f t="shared" si="113"/>
        <v>#REF!</v>
      </c>
      <c r="BG29" s="65">
        <f t="shared" si="114"/>
        <v>5.60869565217391</v>
      </c>
      <c r="BH29" s="65"/>
      <c r="BI29" s="65" t="e">
        <f t="shared" si="115"/>
        <v>#REF!</v>
      </c>
      <c r="BJ29" s="65">
        <f t="shared" si="116"/>
        <v>9.26086956521739</v>
      </c>
      <c r="BK29" s="65"/>
      <c r="BL29" s="65" t="e">
        <f t="shared" si="117"/>
        <v>#REF!</v>
      </c>
      <c r="BM29" s="65">
        <f t="shared" si="118"/>
        <v>9.26086956521739</v>
      </c>
      <c r="BN29" s="65"/>
      <c r="BO29" s="65" t="e">
        <f t="shared" si="119"/>
        <v>#REF!</v>
      </c>
      <c r="BP29" s="65">
        <f t="shared" si="120"/>
        <v>9.26086956521739</v>
      </c>
      <c r="BQ29" s="65"/>
      <c r="BR29" s="65" t="e">
        <f t="shared" si="121"/>
        <v>#REF!</v>
      </c>
      <c r="BS29" s="65">
        <f t="shared" si="122"/>
        <v>9.26086956521739</v>
      </c>
      <c r="BT29" s="65"/>
      <c r="BU29" s="65" t="e">
        <f t="shared" si="123"/>
        <v>#REF!</v>
      </c>
      <c r="BV29" s="47">
        <f t="shared" si="27"/>
        <v>7.95652173913043</v>
      </c>
      <c r="BX29" s="65" t="e">
        <f t="shared" si="28"/>
        <v>#REF!</v>
      </c>
    </row>
    <row r="30" ht="14.0">
      <c r="A30" s="93" t="s">
        <v>32</v>
      </c>
      <c r="B30" s="93" t="s">
        <v>63</v>
      </c>
      <c r="C30" s="93" t="s">
        <v>72</v>
      </c>
      <c r="D30" s="229">
        <v>41234.0</v>
      </c>
      <c r="E30" s="93">
        <v>0.0</v>
      </c>
      <c r="F30" s="93">
        <v>0.0</v>
      </c>
      <c r="G30" s="93">
        <v>0.0</v>
      </c>
      <c r="H30" s="93">
        <v>0.0</v>
      </c>
      <c r="I30" s="93">
        <v>0.0</v>
      </c>
      <c r="J30" s="93">
        <v>0.0</v>
      </c>
      <c r="K30" s="93">
        <v>9.0</v>
      </c>
      <c r="L30" s="93">
        <v>12.0</v>
      </c>
      <c r="M30" s="93">
        <v>0.0</v>
      </c>
      <c r="N30" s="93">
        <v>0.0</v>
      </c>
      <c r="O30" s="93">
        <v>6.0</v>
      </c>
      <c r="P30" s="93">
        <v>9.0</v>
      </c>
      <c r="Q30" s="93">
        <v>6.0</v>
      </c>
      <c r="R30" s="93">
        <v>3.0</v>
      </c>
      <c r="S30" s="93">
        <v>3.0</v>
      </c>
      <c r="T30" s="93">
        <v>0.0</v>
      </c>
      <c r="U30" s="93">
        <v>0.0</v>
      </c>
      <c r="V30" s="93">
        <v>0.0</v>
      </c>
      <c r="W30" s="93">
        <v>0.0</v>
      </c>
      <c r="X30" s="93">
        <v>0.0</v>
      </c>
      <c r="Y30" s="93">
        <v>3.0</v>
      </c>
      <c r="Z30" s="93">
        <v>4.0</v>
      </c>
      <c r="AA30" s="93">
        <v>0.0</v>
      </c>
      <c r="AB30" s="93">
        <v>0.0</v>
      </c>
      <c r="AC30" s="93">
        <v>0.0</v>
      </c>
      <c r="AD30" s="93">
        <v>0.0</v>
      </c>
      <c r="AE30" s="93">
        <v>0.0</v>
      </c>
      <c r="AF30" s="93">
        <v>0.0</v>
      </c>
      <c r="AG30" s="93">
        <v>0.0</v>
      </c>
      <c r="AH30" s="93">
        <v>3.0</v>
      </c>
      <c r="AI30" s="93">
        <v>0.0</v>
      </c>
      <c r="AJ30" s="93">
        <v>0.0</v>
      </c>
      <c r="AK30" s="93">
        <v>0.0</v>
      </c>
      <c r="AL30" s="93">
        <v>6.0</v>
      </c>
      <c r="AM30" s="93">
        <v>0.0</v>
      </c>
      <c r="AN30" s="93">
        <v>0.0</v>
      </c>
      <c r="AO30" s="69">
        <f t="shared" si="3"/>
        <v>9.0</v>
      </c>
      <c r="AP30" s="69">
        <f t="shared" si="4"/>
        <v>6.0</v>
      </c>
      <c r="AQ30" s="69">
        <f t="shared" si="5"/>
        <v>6.6</v>
      </c>
      <c r="AR30" s="47">
        <f>AQ30*$AR$4/$AQ$4</f>
        <v>1.04347826086957</v>
      </c>
      <c r="AS30" s="47">
        <f>AQ30*$AS$4/$AQ$4</f>
        <v>1.30434782608696</v>
      </c>
      <c r="AT30" s="47">
        <f>AQ30*$AT$4/$AQ$4</f>
        <v>1.30434782608696</v>
      </c>
      <c r="AU30" s="47">
        <f>AQ30*$AU$4/$AQ$4</f>
        <v>1.30434782608696</v>
      </c>
      <c r="AV30" s="47">
        <f>AQ30*$AV$4/$AQ$4</f>
        <v>1.30434782608696</v>
      </c>
      <c r="AW30" s="64">
        <f>AQ30*$AW$4/$AQ$4</f>
        <v>0.782608695652174</v>
      </c>
      <c r="AX30" s="69">
        <f t="shared" si="110"/>
        <v>6.26086956521741</v>
      </c>
      <c r="AY30" s="64" t="e">
        <f t="shared" si="13"/>
        <v>#REF!</v>
      </c>
      <c r="BB30" s="65" t="e">
        <f t="shared" si="111"/>
        <v>#REF!</v>
      </c>
      <c r="BD30" s="47" t="e">
        <f t="shared" si="112"/>
        <v>#REF!</v>
      </c>
      <c r="BE30" s="47" t="s">
        <v>355</v>
      </c>
      <c r="BF30" s="65" t="e">
        <f t="shared" si="113"/>
        <v>#REF!</v>
      </c>
      <c r="BG30" s="65">
        <f t="shared" si="114"/>
        <v>1.04347826086957</v>
      </c>
      <c r="BH30" s="65"/>
      <c r="BI30" s="65" t="e">
        <f t="shared" si="115"/>
        <v>#REF!</v>
      </c>
      <c r="BJ30" s="65">
        <f t="shared" si="116"/>
        <v>1.30434782608696</v>
      </c>
      <c r="BK30" s="65"/>
      <c r="BL30" s="65" t="e">
        <f t="shared" si="117"/>
        <v>#REF!</v>
      </c>
      <c r="BM30" s="65">
        <f t="shared" si="118"/>
        <v>1.30434782608696</v>
      </c>
      <c r="BN30" s="65"/>
      <c r="BO30" s="65" t="e">
        <f t="shared" si="119"/>
        <v>#REF!</v>
      </c>
      <c r="BP30" s="65">
        <f t="shared" si="120"/>
        <v>1.30434782608696</v>
      </c>
      <c r="BQ30" s="65"/>
      <c r="BR30" s="65" t="e">
        <f t="shared" si="121"/>
        <v>#REF!</v>
      </c>
      <c r="BS30" s="65">
        <f t="shared" si="122"/>
        <v>1.30434782608696</v>
      </c>
      <c r="BT30" s="65"/>
      <c r="BU30" s="65" t="e">
        <f t="shared" si="123"/>
        <v>#REF!</v>
      </c>
      <c r="BV30" s="47">
        <f t="shared" si="27"/>
        <v>0.782608695652174</v>
      </c>
      <c r="BX30" s="65" t="e">
        <f t="shared" si="28"/>
        <v>#REF!</v>
      </c>
    </row>
    <row r="31" ht="14.0">
      <c r="A31" s="93" t="s">
        <v>32</v>
      </c>
      <c r="B31" s="93" t="s">
        <v>63</v>
      </c>
      <c r="C31" s="93" t="s">
        <v>64</v>
      </c>
      <c r="D31" s="229" t="s">
        <v>65</v>
      </c>
      <c r="E31" s="93">
        <v>0.0</v>
      </c>
      <c r="F31" s="93">
        <v>0.0</v>
      </c>
      <c r="G31" s="93">
        <v>0.0</v>
      </c>
      <c r="H31" s="93">
        <v>0.0</v>
      </c>
      <c r="I31" s="93">
        <v>2.0</v>
      </c>
      <c r="J31" s="93">
        <v>0.0</v>
      </c>
      <c r="K31" s="93">
        <v>0.0</v>
      </c>
      <c r="L31" s="93">
        <v>0.0</v>
      </c>
      <c r="M31" s="93">
        <v>0.0</v>
      </c>
      <c r="N31" s="93">
        <v>0.0</v>
      </c>
      <c r="O31" s="93">
        <v>0.0</v>
      </c>
      <c r="P31" s="93">
        <v>0.0</v>
      </c>
      <c r="Q31" s="93">
        <v>0.0</v>
      </c>
      <c r="R31" s="93">
        <v>1.0</v>
      </c>
      <c r="S31" s="93">
        <v>0.0</v>
      </c>
      <c r="T31" s="93">
        <v>0.0</v>
      </c>
      <c r="U31" s="93">
        <v>0.0</v>
      </c>
      <c r="V31" s="93">
        <v>0.0</v>
      </c>
      <c r="W31" s="93">
        <v>0.0</v>
      </c>
      <c r="X31" s="93">
        <v>0.0</v>
      </c>
      <c r="Y31" s="93">
        <v>1.0</v>
      </c>
      <c r="Z31" s="93">
        <v>0.0</v>
      </c>
      <c r="AA31" s="93">
        <v>0.0</v>
      </c>
      <c r="AB31" s="93">
        <v>0.0</v>
      </c>
      <c r="AC31" s="93">
        <v>0.0</v>
      </c>
      <c r="AD31" s="93">
        <v>0.0</v>
      </c>
      <c r="AE31" s="93">
        <v>0.0</v>
      </c>
      <c r="AF31" s="93">
        <v>0.0</v>
      </c>
      <c r="AG31" s="93">
        <v>0.0</v>
      </c>
      <c r="AH31" s="93">
        <v>0.0</v>
      </c>
      <c r="AI31" s="93">
        <v>0.0</v>
      </c>
      <c r="AJ31" s="93">
        <v>0.0</v>
      </c>
      <c r="AK31" s="93">
        <v>0.0</v>
      </c>
      <c r="AL31" s="93">
        <v>0.0</v>
      </c>
      <c r="AM31" s="93">
        <v>0.0</v>
      </c>
      <c r="AN31" s="93">
        <v>0.0</v>
      </c>
      <c r="AO31" s="69">
        <f t="shared" si="3"/>
        <v>0.0</v>
      </c>
      <c r="AP31" s="69">
        <f t="shared" si="4"/>
        <v>0.0</v>
      </c>
      <c r="AQ31" s="69">
        <f t="shared" si="5"/>
        <v>0.0</v>
      </c>
      <c r="AR31" s="47">
        <f>AR32</f>
        <v>1.0</v>
      </c>
      <c r="AS31" s="47">
        <f>AS32</f>
        <v>2.0</v>
      </c>
      <c r="AT31" s="47">
        <f>AT32</f>
        <v>2.0</v>
      </c>
      <c r="AU31" s="47">
        <f>AU32</f>
        <v>2.0</v>
      </c>
      <c r="AV31" s="47">
        <f>AV32</f>
        <v>2.0</v>
      </c>
      <c r="AW31" s="47">
        <f>AW32</f>
        <v>1.0</v>
      </c>
      <c r="AX31" s="69">
        <f t="shared" ref="AX31:AX34" si="148">SUM(AR31:AW31)</f>
        <v>10.0</v>
      </c>
      <c r="AY31" s="64" t="e">
        <f t="shared" si="13"/>
        <v>#REF!</v>
      </c>
      <c r="BB31" s="65" t="e">
        <f t="shared" si="111"/>
        <v>#REF!</v>
      </c>
      <c r="BF31" s="65" t="e">
        <f t="shared" si="113"/>
        <v>#REF!</v>
      </c>
      <c r="BG31" s="65">
        <f t="shared" si="114"/>
        <v>1.0</v>
      </c>
      <c r="BH31" s="65"/>
      <c r="BI31" s="65" t="e">
        <f t="shared" si="115"/>
        <v>#REF!</v>
      </c>
      <c r="BJ31" s="65">
        <f t="shared" si="116"/>
        <v>2.0</v>
      </c>
      <c r="BK31" s="65"/>
      <c r="BL31" s="65" t="e">
        <f t="shared" si="117"/>
        <v>#REF!</v>
      </c>
      <c r="BM31" s="65">
        <f t="shared" si="118"/>
        <v>2.0</v>
      </c>
      <c r="BN31" s="65"/>
      <c r="BO31" s="65" t="e">
        <f t="shared" si="119"/>
        <v>#REF!</v>
      </c>
      <c r="BP31" s="65">
        <f t="shared" si="120"/>
        <v>2.0</v>
      </c>
      <c r="BQ31" s="65"/>
      <c r="BR31" s="65" t="e">
        <f t="shared" si="121"/>
        <v>#REF!</v>
      </c>
      <c r="BS31" s="65">
        <f t="shared" si="122"/>
        <v>2.0</v>
      </c>
      <c r="BT31" s="65"/>
      <c r="BU31" s="65" t="e">
        <f t="shared" si="123"/>
        <v>#REF!</v>
      </c>
      <c r="BV31" s="47">
        <f t="shared" si="27"/>
        <v>1.0</v>
      </c>
      <c r="BX31" s="65" t="e">
        <f t="shared" si="28"/>
        <v>#REF!</v>
      </c>
    </row>
    <row r="32" ht="14.0">
      <c r="A32" s="93" t="s">
        <v>32</v>
      </c>
      <c r="B32" s="93" t="s">
        <v>63</v>
      </c>
      <c r="C32" s="93" t="s">
        <v>66</v>
      </c>
      <c r="D32" s="229" t="s">
        <v>67</v>
      </c>
      <c r="E32" s="93">
        <v>4.0</v>
      </c>
      <c r="F32" s="93">
        <v>3.0</v>
      </c>
      <c r="G32" s="93">
        <v>6.0</v>
      </c>
      <c r="H32" s="93">
        <v>2.0</v>
      </c>
      <c r="I32" s="93">
        <v>2.0</v>
      </c>
      <c r="J32" s="93">
        <v>0.0</v>
      </c>
      <c r="K32" s="93">
        <v>4.0</v>
      </c>
      <c r="L32" s="93">
        <v>4.0</v>
      </c>
      <c r="M32" s="93">
        <v>1.0</v>
      </c>
      <c r="N32" s="93">
        <v>7.0</v>
      </c>
      <c r="O32" s="93">
        <v>2.0</v>
      </c>
      <c r="P32" s="93">
        <v>0.0</v>
      </c>
      <c r="Q32" s="93">
        <v>1.0</v>
      </c>
      <c r="R32" s="93">
        <v>1.0</v>
      </c>
      <c r="S32" s="93">
        <v>3.0</v>
      </c>
      <c r="T32" s="93">
        <v>0.0</v>
      </c>
      <c r="U32" s="93">
        <v>0.0</v>
      </c>
      <c r="V32" s="93">
        <v>2.0</v>
      </c>
      <c r="W32" s="93">
        <v>1.0</v>
      </c>
      <c r="X32" s="93">
        <v>5.0</v>
      </c>
      <c r="Y32" s="93">
        <v>1.0</v>
      </c>
      <c r="Z32" s="93">
        <v>0.0</v>
      </c>
      <c r="AA32" s="93">
        <v>2.0</v>
      </c>
      <c r="AB32" s="93">
        <v>1.0</v>
      </c>
      <c r="AC32" s="93">
        <v>0.0</v>
      </c>
      <c r="AD32" s="93">
        <v>2.0</v>
      </c>
      <c r="AE32" s="93">
        <v>3.0</v>
      </c>
      <c r="AF32" s="93">
        <v>2.0</v>
      </c>
      <c r="AG32" s="93">
        <v>0.0</v>
      </c>
      <c r="AH32" s="93">
        <v>1.0</v>
      </c>
      <c r="AI32" s="93">
        <v>0.0</v>
      </c>
      <c r="AJ32" s="93">
        <v>1.0</v>
      </c>
      <c r="AK32" s="93">
        <v>0.0</v>
      </c>
      <c r="AL32" s="93">
        <v>2.0</v>
      </c>
      <c r="AM32" s="93">
        <v>1.0</v>
      </c>
      <c r="AN32" s="93">
        <v>3.0</v>
      </c>
      <c r="AO32" s="69">
        <f t="shared" si="3"/>
        <v>15.0</v>
      </c>
      <c r="AP32" s="69">
        <f t="shared" si="4"/>
        <v>7.0</v>
      </c>
      <c r="AQ32" s="69">
        <f t="shared" si="5"/>
        <v>7.7</v>
      </c>
      <c r="AR32" s="235">
        <v>1.0</v>
      </c>
      <c r="AS32" s="235">
        <v>2.0</v>
      </c>
      <c r="AT32" s="235">
        <v>2.0</v>
      </c>
      <c r="AU32" s="235">
        <v>2.0</v>
      </c>
      <c r="AV32" s="235">
        <v>2.0</v>
      </c>
      <c r="AW32" s="249">
        <v>1.0</v>
      </c>
      <c r="AX32" s="69">
        <f t="shared" si="148"/>
        <v>10.0</v>
      </c>
      <c r="AY32" s="64" t="e">
        <f t="shared" si="13"/>
        <v>#REF!</v>
      </c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47">
        <f t="shared" si="27"/>
        <v>1.0</v>
      </c>
      <c r="BX32" s="65">
        <f t="shared" si="28"/>
        <v>-1.0</v>
      </c>
    </row>
    <row r="33" ht="14.0">
      <c r="A33" s="93" t="s">
        <v>32</v>
      </c>
      <c r="B33" s="93" t="s">
        <v>74</v>
      </c>
      <c r="C33" s="93" t="s">
        <v>77</v>
      </c>
      <c r="D33" s="229">
        <v>43301.0</v>
      </c>
      <c r="E33" s="93">
        <v>24.0</v>
      </c>
      <c r="F33" s="93">
        <v>18.0</v>
      </c>
      <c r="G33" s="93">
        <v>18.0</v>
      </c>
      <c r="H33" s="93">
        <v>21.0</v>
      </c>
      <c r="I33" s="93">
        <v>21.0</v>
      </c>
      <c r="J33" s="93">
        <v>12.0</v>
      </c>
      <c r="K33" s="93">
        <v>15.0</v>
      </c>
      <c r="L33" s="93">
        <v>15.0</v>
      </c>
      <c r="M33" s="93">
        <v>6.0</v>
      </c>
      <c r="N33" s="93">
        <v>12.0</v>
      </c>
      <c r="O33" s="93">
        <v>33.0</v>
      </c>
      <c r="P33" s="93">
        <v>30.0</v>
      </c>
      <c r="Q33" s="93">
        <v>66.0</v>
      </c>
      <c r="R33" s="93">
        <v>70.0</v>
      </c>
      <c r="S33" s="93">
        <v>21.0</v>
      </c>
      <c r="T33" s="93">
        <v>3.0</v>
      </c>
      <c r="U33" s="93">
        <v>2.0</v>
      </c>
      <c r="V33" s="93">
        <v>0.0</v>
      </c>
      <c r="W33" s="93">
        <v>153.0</v>
      </c>
      <c r="X33" s="93">
        <v>30.0</v>
      </c>
      <c r="Y33" s="93">
        <v>18.0</v>
      </c>
      <c r="Z33" s="93">
        <v>12.0</v>
      </c>
      <c r="AA33" s="93">
        <v>15.0</v>
      </c>
      <c r="AB33" s="93">
        <v>16.0</v>
      </c>
      <c r="AC33" s="93">
        <v>15.0</v>
      </c>
      <c r="AD33" s="93">
        <v>18.0</v>
      </c>
      <c r="AE33" s="93">
        <v>18.0</v>
      </c>
      <c r="AF33" s="93">
        <v>18.0</v>
      </c>
      <c r="AG33" s="93">
        <v>24.0</v>
      </c>
      <c r="AH33" s="93">
        <v>12.0</v>
      </c>
      <c r="AI33" s="93">
        <v>15.0</v>
      </c>
      <c r="AJ33" s="93">
        <v>15.0</v>
      </c>
      <c r="AK33" s="93">
        <v>9.0</v>
      </c>
      <c r="AL33" s="93">
        <v>3.0</v>
      </c>
      <c r="AM33" s="93">
        <v>0.0</v>
      </c>
      <c r="AN33" s="93">
        <v>12.0</v>
      </c>
      <c r="AO33" s="69">
        <f t="shared" si="3"/>
        <v>159.0</v>
      </c>
      <c r="AP33" s="69">
        <f t="shared" si="4"/>
        <v>54.0</v>
      </c>
      <c r="AQ33" s="69">
        <f t="shared" si="5"/>
        <v>59.4</v>
      </c>
      <c r="AR33" s="47">
        <f t="shared" ref="AR33:AR36" si="149">AQ33*$AR$4/$AQ$4+1*$AR$37</f>
        <v>10.391304347826</v>
      </c>
      <c r="AS33" s="47">
        <f t="shared" ref="AS33:AS36" si="150">AQ33*$AS$4/$AQ$4+1*$AS$37</f>
        <v>12.7391304347826</v>
      </c>
      <c r="AT33" s="47">
        <f t="shared" ref="AT33:AT36" si="151">AQ33*$AT$4/$AQ$4+1*$AT$37</f>
        <v>12.7391304347826</v>
      </c>
      <c r="AU33" s="47">
        <f t="shared" ref="AU33:AU36" si="152">AQ33*$AU$4/$AQ$4+1*$AU$37</f>
        <v>12.7391304347826</v>
      </c>
      <c r="AV33" s="47">
        <f t="shared" ref="AV33:AV36" si="153">AQ33*$AV$4/$AQ$4+1*$AV$37</f>
        <v>12.7391304347826</v>
      </c>
      <c r="AW33" s="64">
        <f t="shared" ref="AW33:AW36" si="154">AQ33*$AW$4/$AQ$4+1*$AW$37</f>
        <v>7.04347826086957</v>
      </c>
      <c r="AX33" s="69">
        <f t="shared" si="148"/>
        <v>68.391304347826</v>
      </c>
      <c r="AY33" s="64" t="e">
        <f t="shared" si="13"/>
        <v>#REF!</v>
      </c>
      <c r="BB33" s="65" t="e">
        <f t="shared" ref="BB33:BB36" si="155">AY33+AZ33+BA33-AX33</f>
        <v>#REF!</v>
      </c>
      <c r="BD33" s="47" t="e">
        <f t="shared" ref="BD33:BD36" si="156">BB33*-1</f>
        <v>#REF!</v>
      </c>
      <c r="BE33" s="47" t="s">
        <v>330</v>
      </c>
      <c r="BF33" s="65" t="e">
        <f t="shared" ref="BF33:BF36" si="157">AY33</f>
        <v>#REF!</v>
      </c>
      <c r="BG33" s="65">
        <f t="shared" ref="BG33:BG36" si="158">AR33</f>
        <v>10.391304347826</v>
      </c>
      <c r="BH33" s="65"/>
      <c r="BI33" s="65" t="e">
        <f t="shared" ref="BI33:BI36" si="159">BF33+BH33-BG33</f>
        <v>#REF!</v>
      </c>
      <c r="BJ33" s="65">
        <f t="shared" ref="BJ33:BJ36" si="160">AS33</f>
        <v>12.7391304347826</v>
      </c>
      <c r="BK33" s="65"/>
      <c r="BL33" s="65" t="e">
        <f t="shared" ref="BL33:BL36" si="161">BI33+BK33-BJ33</f>
        <v>#REF!</v>
      </c>
      <c r="BM33" s="65">
        <f t="shared" ref="BM33:BM36" si="162">AT33</f>
        <v>12.7391304347826</v>
      </c>
      <c r="BN33" s="65"/>
      <c r="BO33" s="65" t="e">
        <f t="shared" ref="BO33:BO36" si="163">BL33+BN33-BM33</f>
        <v>#REF!</v>
      </c>
      <c r="BP33" s="65">
        <f t="shared" ref="BP33:BP36" si="164">AU33</f>
        <v>12.7391304347826</v>
      </c>
      <c r="BQ33" s="65"/>
      <c r="BR33" s="65" t="e">
        <f t="shared" ref="BR33:BR36" si="165">BO33+BQ33-BP33</f>
        <v>#REF!</v>
      </c>
      <c r="BS33" s="65">
        <f t="shared" ref="BS33:BS36" si="166">AV33</f>
        <v>12.7391304347826</v>
      </c>
      <c r="BT33" s="65"/>
      <c r="BU33" s="65" t="e">
        <f t="shared" ref="BU33:BU36" si="167">BR33+BT33-BS33</f>
        <v>#REF!</v>
      </c>
      <c r="BV33" s="47">
        <f t="shared" si="27"/>
        <v>7.04347826086957</v>
      </c>
      <c r="BX33" s="65" t="e">
        <f t="shared" si="28"/>
        <v>#REF!</v>
      </c>
    </row>
    <row r="34" ht="14.0">
      <c r="A34" s="93" t="s">
        <v>32</v>
      </c>
      <c r="B34" s="93" t="s">
        <v>74</v>
      </c>
      <c r="C34" s="93" t="s">
        <v>78</v>
      </c>
      <c r="D34" s="229">
        <v>43302.0</v>
      </c>
      <c r="E34" s="93">
        <v>12.0</v>
      </c>
      <c r="F34" s="93">
        <v>12.0</v>
      </c>
      <c r="G34" s="93">
        <v>12.0</v>
      </c>
      <c r="H34" s="93">
        <v>30.0</v>
      </c>
      <c r="I34" s="93">
        <v>24.0</v>
      </c>
      <c r="J34" s="93">
        <v>3.0</v>
      </c>
      <c r="K34" s="93">
        <v>6.0</v>
      </c>
      <c r="L34" s="93">
        <v>3.0</v>
      </c>
      <c r="M34" s="93">
        <v>0.0</v>
      </c>
      <c r="N34" s="93">
        <v>0.0</v>
      </c>
      <c r="O34" s="93">
        <v>12.0</v>
      </c>
      <c r="P34" s="93">
        <v>15.0</v>
      </c>
      <c r="Q34" s="93">
        <v>9.0</v>
      </c>
      <c r="R34" s="93">
        <v>6.0</v>
      </c>
      <c r="S34" s="93">
        <v>12.0</v>
      </c>
      <c r="T34" s="93">
        <v>6.0</v>
      </c>
      <c r="U34" s="93">
        <v>9.0</v>
      </c>
      <c r="V34" s="93">
        <v>9.0</v>
      </c>
      <c r="W34" s="93">
        <v>9.0</v>
      </c>
      <c r="X34" s="93">
        <v>3.0</v>
      </c>
      <c r="Y34" s="93">
        <v>9.0</v>
      </c>
      <c r="Z34" s="93">
        <v>9.0</v>
      </c>
      <c r="AA34" s="93">
        <v>0.0</v>
      </c>
      <c r="AB34" s="93">
        <v>10.0</v>
      </c>
      <c r="AC34" s="93">
        <v>3.0</v>
      </c>
      <c r="AD34" s="93">
        <v>18.0</v>
      </c>
      <c r="AE34" s="93">
        <v>15.0</v>
      </c>
      <c r="AF34" s="93">
        <v>3.0</v>
      </c>
      <c r="AG34" s="93">
        <v>9.0</v>
      </c>
      <c r="AH34" s="93">
        <v>6.0</v>
      </c>
      <c r="AI34" s="93">
        <v>0.0</v>
      </c>
      <c r="AJ34" s="93">
        <v>3.0</v>
      </c>
      <c r="AK34" s="93">
        <v>3.0</v>
      </c>
      <c r="AL34" s="93">
        <v>3.0</v>
      </c>
      <c r="AM34" s="93">
        <v>0.0</v>
      </c>
      <c r="AN34" s="93">
        <v>6.0</v>
      </c>
      <c r="AO34" s="69">
        <f t="shared" si="3"/>
        <v>69.0</v>
      </c>
      <c r="AP34" s="69">
        <f t="shared" si="4"/>
        <v>15.0</v>
      </c>
      <c r="AQ34" s="69">
        <f t="shared" si="5"/>
        <v>16.5</v>
      </c>
      <c r="AR34" s="47">
        <f t="shared" si="149"/>
        <v>3.60869565217391</v>
      </c>
      <c r="AS34" s="47">
        <f t="shared" si="150"/>
        <v>4.26086956521739</v>
      </c>
      <c r="AT34" s="47">
        <f t="shared" si="151"/>
        <v>4.26086956521739</v>
      </c>
      <c r="AU34" s="47">
        <f t="shared" si="152"/>
        <v>4.26086956521739</v>
      </c>
      <c r="AV34" s="47">
        <f t="shared" si="153"/>
        <v>4.26086956521739</v>
      </c>
      <c r="AW34" s="64">
        <f t="shared" si="154"/>
        <v>1.95652173913043</v>
      </c>
      <c r="AX34" s="69">
        <f t="shared" si="148"/>
        <v>22.6086956521739</v>
      </c>
      <c r="AY34" s="64" t="e">
        <f t="shared" si="13"/>
        <v>#REF!</v>
      </c>
      <c r="BB34" s="65" t="e">
        <f t="shared" si="155"/>
        <v>#REF!</v>
      </c>
      <c r="BD34" s="47" t="e">
        <f t="shared" si="156"/>
        <v>#REF!</v>
      </c>
      <c r="BE34" s="47" t="s">
        <v>330</v>
      </c>
      <c r="BF34" s="65" t="e">
        <f t="shared" si="157"/>
        <v>#REF!</v>
      </c>
      <c r="BG34" s="65">
        <f t="shared" si="158"/>
        <v>3.60869565217391</v>
      </c>
      <c r="BH34" s="65"/>
      <c r="BI34" s="65" t="e">
        <f t="shared" si="159"/>
        <v>#REF!</v>
      </c>
      <c r="BJ34" s="65">
        <f t="shared" si="160"/>
        <v>4.26086956521739</v>
      </c>
      <c r="BK34" s="65"/>
      <c r="BL34" s="65" t="e">
        <f t="shared" si="161"/>
        <v>#REF!</v>
      </c>
      <c r="BM34" s="65">
        <f t="shared" si="162"/>
        <v>4.26086956521739</v>
      </c>
      <c r="BN34" s="65"/>
      <c r="BO34" s="65" t="e">
        <f t="shared" si="163"/>
        <v>#REF!</v>
      </c>
      <c r="BP34" s="65">
        <f t="shared" si="164"/>
        <v>4.26086956521739</v>
      </c>
      <c r="BQ34" s="65"/>
      <c r="BR34" s="65" t="e">
        <f t="shared" si="165"/>
        <v>#REF!</v>
      </c>
      <c r="BS34" s="65">
        <f t="shared" si="166"/>
        <v>4.26086956521739</v>
      </c>
      <c r="BT34" s="65"/>
      <c r="BU34" s="65" t="e">
        <f t="shared" si="167"/>
        <v>#REF!</v>
      </c>
      <c r="BV34" s="47">
        <f t="shared" si="27"/>
        <v>1.95652173913043</v>
      </c>
      <c r="BX34" s="65" t="e">
        <f t="shared" si="28"/>
        <v>#REF!</v>
      </c>
    </row>
    <row r="35" ht="14.0">
      <c r="A35" s="93" t="s">
        <v>32</v>
      </c>
      <c r="B35" s="93" t="s">
        <v>74</v>
      </c>
      <c r="C35" s="93" t="s">
        <v>79</v>
      </c>
      <c r="D35" s="229">
        <v>43304.0</v>
      </c>
      <c r="E35" s="93">
        <v>15.0</v>
      </c>
      <c r="F35" s="93">
        <v>15.0</v>
      </c>
      <c r="G35" s="93">
        <v>12.0</v>
      </c>
      <c r="H35" s="93">
        <v>30.0</v>
      </c>
      <c r="I35" s="93">
        <v>30.0</v>
      </c>
      <c r="J35" s="93">
        <v>0.0</v>
      </c>
      <c r="K35" s="93">
        <v>12.0</v>
      </c>
      <c r="L35" s="93">
        <v>8.0</v>
      </c>
      <c r="M35" s="93">
        <v>3.0</v>
      </c>
      <c r="N35" s="93">
        <v>4.0</v>
      </c>
      <c r="O35" s="93">
        <v>9.0</v>
      </c>
      <c r="P35" s="93">
        <v>6.0</v>
      </c>
      <c r="Q35" s="93">
        <v>9.0</v>
      </c>
      <c r="R35" s="93">
        <v>9.0</v>
      </c>
      <c r="S35" s="93">
        <v>3.0</v>
      </c>
      <c r="T35" s="93">
        <v>12.0</v>
      </c>
      <c r="U35" s="93">
        <v>12.0</v>
      </c>
      <c r="V35" s="93">
        <v>18.0</v>
      </c>
      <c r="W35" s="93">
        <v>6.0</v>
      </c>
      <c r="X35" s="93">
        <v>9.0</v>
      </c>
      <c r="Y35" s="93">
        <v>11.0</v>
      </c>
      <c r="Z35" s="93">
        <v>9.0</v>
      </c>
      <c r="AA35" s="93">
        <v>3.0</v>
      </c>
      <c r="AB35" s="93">
        <v>1.0</v>
      </c>
      <c r="AC35" s="93">
        <v>12.0</v>
      </c>
      <c r="AD35" s="93">
        <v>3.0</v>
      </c>
      <c r="AE35" s="93">
        <v>12.0</v>
      </c>
      <c r="AF35" s="93">
        <v>6.0</v>
      </c>
      <c r="AG35" s="93">
        <v>6.0</v>
      </c>
      <c r="AH35" s="93">
        <v>18.0</v>
      </c>
      <c r="AI35" s="93">
        <v>0.0</v>
      </c>
      <c r="AJ35" s="93">
        <v>6.0</v>
      </c>
      <c r="AK35" s="93">
        <v>3.0</v>
      </c>
      <c r="AL35" s="93">
        <v>6.0</v>
      </c>
      <c r="AM35" s="93">
        <v>3.0</v>
      </c>
      <c r="AN35" s="93">
        <v>9.0</v>
      </c>
      <c r="AO35" s="69">
        <f t="shared" si="3"/>
        <v>84.0</v>
      </c>
      <c r="AP35" s="69">
        <f t="shared" si="4"/>
        <v>27.0</v>
      </c>
      <c r="AQ35" s="69">
        <f t="shared" si="5"/>
        <v>29.7</v>
      </c>
      <c r="AR35" s="47">
        <f t="shared" si="149"/>
        <v>5.69565217391304</v>
      </c>
      <c r="AS35" s="47">
        <f t="shared" si="150"/>
        <v>6.8695652173913</v>
      </c>
      <c r="AT35" s="47">
        <f t="shared" si="151"/>
        <v>6.8695652173913</v>
      </c>
      <c r="AU35" s="47">
        <f t="shared" si="152"/>
        <v>6.8695652173913</v>
      </c>
      <c r="AV35" s="47">
        <f t="shared" si="153"/>
        <v>6.8695652173913</v>
      </c>
      <c r="AW35" s="64">
        <f t="shared" si="154"/>
        <v>3.52173913043478</v>
      </c>
      <c r="AX35" s="69">
        <f t="shared" ref="AX35:AX36" si="168">SUM(AR35:AV35)</f>
        <v>33.1739130434782</v>
      </c>
      <c r="AY35" s="64" t="e">
        <f t="shared" si="13"/>
        <v>#REF!</v>
      </c>
      <c r="BB35" s="65" t="e">
        <f t="shared" si="155"/>
        <v>#REF!</v>
      </c>
      <c r="BD35" s="47" t="e">
        <f t="shared" si="156"/>
        <v>#REF!</v>
      </c>
      <c r="BE35" s="47" t="s">
        <v>255</v>
      </c>
      <c r="BF35" s="65" t="e">
        <f t="shared" si="157"/>
        <v>#REF!</v>
      </c>
      <c r="BG35" s="65">
        <f t="shared" si="158"/>
        <v>5.69565217391304</v>
      </c>
      <c r="BH35" s="65"/>
      <c r="BI35" s="65" t="e">
        <f t="shared" si="159"/>
        <v>#REF!</v>
      </c>
      <c r="BJ35" s="65">
        <f t="shared" si="160"/>
        <v>6.8695652173913</v>
      </c>
      <c r="BK35" s="65"/>
      <c r="BL35" s="65" t="e">
        <f t="shared" si="161"/>
        <v>#REF!</v>
      </c>
      <c r="BM35" s="65">
        <f t="shared" si="162"/>
        <v>6.8695652173913</v>
      </c>
      <c r="BN35" s="65"/>
      <c r="BO35" s="65" t="e">
        <f t="shared" si="163"/>
        <v>#REF!</v>
      </c>
      <c r="BP35" s="65">
        <f t="shared" si="164"/>
        <v>6.8695652173913</v>
      </c>
      <c r="BQ35" s="65"/>
      <c r="BR35" s="65" t="e">
        <f t="shared" si="165"/>
        <v>#REF!</v>
      </c>
      <c r="BS35" s="65">
        <f t="shared" si="166"/>
        <v>6.8695652173913</v>
      </c>
      <c r="BT35" s="65"/>
      <c r="BU35" s="65" t="e">
        <f t="shared" si="167"/>
        <v>#REF!</v>
      </c>
      <c r="BV35" s="47">
        <f t="shared" si="27"/>
        <v>3.52173913043478</v>
      </c>
      <c r="BX35" s="65" t="e">
        <f t="shared" si="28"/>
        <v>#REF!</v>
      </c>
    </row>
    <row r="36" ht="14.0">
      <c r="A36" s="93" t="s">
        <v>32</v>
      </c>
      <c r="B36" s="93" t="s">
        <v>74</v>
      </c>
      <c r="C36" s="93" t="s">
        <v>80</v>
      </c>
      <c r="D36" s="229">
        <v>43332.0</v>
      </c>
      <c r="E36" s="93">
        <v>0.0</v>
      </c>
      <c r="F36" s="93">
        <v>0.0</v>
      </c>
      <c r="G36" s="93">
        <v>0.0</v>
      </c>
      <c r="H36" s="93">
        <v>0.0</v>
      </c>
      <c r="I36" s="93">
        <v>0.0</v>
      </c>
      <c r="J36" s="93">
        <v>0.0</v>
      </c>
      <c r="K36" s="93">
        <v>15.0</v>
      </c>
      <c r="L36" s="93">
        <v>9.0</v>
      </c>
      <c r="M36" s="93">
        <v>9.0</v>
      </c>
      <c r="N36" s="93">
        <v>0.0</v>
      </c>
      <c r="O36" s="93">
        <v>0.0</v>
      </c>
      <c r="P36" s="93">
        <v>0.0</v>
      </c>
      <c r="Q36" s="93">
        <v>0.0</v>
      </c>
      <c r="R36" s="93">
        <v>9.0</v>
      </c>
      <c r="S36" s="93">
        <v>15.0</v>
      </c>
      <c r="T36" s="93">
        <v>15.0</v>
      </c>
      <c r="U36" s="93">
        <v>24.0</v>
      </c>
      <c r="V36" s="93">
        <v>0.0</v>
      </c>
      <c r="W36" s="93">
        <v>9.0</v>
      </c>
      <c r="X36" s="93">
        <v>9.0</v>
      </c>
      <c r="Y36" s="93">
        <v>18.0</v>
      </c>
      <c r="Z36" s="93">
        <v>14.0</v>
      </c>
      <c r="AA36" s="93">
        <v>3.0</v>
      </c>
      <c r="AB36" s="93">
        <v>4.0</v>
      </c>
      <c r="AC36" s="93">
        <v>9.0</v>
      </c>
      <c r="AD36" s="93">
        <v>6.0</v>
      </c>
      <c r="AE36" s="93">
        <v>6.0</v>
      </c>
      <c r="AF36" s="93">
        <v>15.0</v>
      </c>
      <c r="AG36" s="93">
        <v>18.0</v>
      </c>
      <c r="AH36" s="93">
        <v>6.0</v>
      </c>
      <c r="AI36" s="93">
        <v>9.0</v>
      </c>
      <c r="AJ36" s="93">
        <v>9.0</v>
      </c>
      <c r="AK36" s="93">
        <v>6.0</v>
      </c>
      <c r="AL36" s="93">
        <v>3.0</v>
      </c>
      <c r="AM36" s="93">
        <v>3.0</v>
      </c>
      <c r="AN36" s="93">
        <v>6.0</v>
      </c>
      <c r="AO36" s="69">
        <f t="shared" si="3"/>
        <v>96.0</v>
      </c>
      <c r="AP36" s="69">
        <f t="shared" si="4"/>
        <v>36.0</v>
      </c>
      <c r="AQ36" s="69">
        <f t="shared" si="5"/>
        <v>39.6</v>
      </c>
      <c r="AR36" s="47">
        <f t="shared" si="149"/>
        <v>7.26086956521739</v>
      </c>
      <c r="AS36" s="47">
        <f t="shared" si="150"/>
        <v>8.82608695652173</v>
      </c>
      <c r="AT36" s="47">
        <f t="shared" si="151"/>
        <v>8.82608695652173</v>
      </c>
      <c r="AU36" s="47">
        <f t="shared" si="152"/>
        <v>8.82608695652173</v>
      </c>
      <c r="AV36" s="47">
        <f t="shared" si="153"/>
        <v>8.82608695652173</v>
      </c>
      <c r="AW36" s="64">
        <f t="shared" si="154"/>
        <v>4.69565217391304</v>
      </c>
      <c r="AX36" s="69">
        <f t="shared" si="168"/>
        <v>42.5652173913043</v>
      </c>
      <c r="AY36" s="64" t="e">
        <f t="shared" si="13"/>
        <v>#REF!</v>
      </c>
      <c r="BB36" s="65" t="e">
        <f t="shared" si="155"/>
        <v>#REF!</v>
      </c>
      <c r="BD36" s="47" t="e">
        <f t="shared" si="156"/>
        <v>#REF!</v>
      </c>
      <c r="BE36" s="47" t="s">
        <v>249</v>
      </c>
      <c r="BF36" s="65" t="e">
        <f t="shared" si="157"/>
        <v>#REF!</v>
      </c>
      <c r="BG36" s="65">
        <f t="shared" si="158"/>
        <v>7.26086956521739</v>
      </c>
      <c r="BH36" s="65"/>
      <c r="BI36" s="65" t="e">
        <f t="shared" si="159"/>
        <v>#REF!</v>
      </c>
      <c r="BJ36" s="65">
        <f t="shared" si="160"/>
        <v>8.82608695652173</v>
      </c>
      <c r="BK36" s="65"/>
      <c r="BL36" s="65" t="e">
        <f t="shared" si="161"/>
        <v>#REF!</v>
      </c>
      <c r="BM36" s="65">
        <f t="shared" si="162"/>
        <v>8.82608695652173</v>
      </c>
      <c r="BN36" s="65"/>
      <c r="BO36" s="65" t="e">
        <f t="shared" si="163"/>
        <v>#REF!</v>
      </c>
      <c r="BP36" s="65">
        <f t="shared" si="164"/>
        <v>8.82608695652173</v>
      </c>
      <c r="BQ36" s="65"/>
      <c r="BR36" s="65" t="e">
        <f t="shared" si="165"/>
        <v>#REF!</v>
      </c>
      <c r="BS36" s="65">
        <f t="shared" si="166"/>
        <v>8.82608695652173</v>
      </c>
      <c r="BT36" s="65"/>
      <c r="BU36" s="65" t="e">
        <f t="shared" si="167"/>
        <v>#REF!</v>
      </c>
      <c r="BV36" s="47">
        <f t="shared" si="27"/>
        <v>4.69565217391304</v>
      </c>
      <c r="BX36" s="65" t="e">
        <f t="shared" si="28"/>
        <v>#REF!</v>
      </c>
    </row>
    <row r="37" ht="14.0">
      <c r="A37" s="93" t="s">
        <v>32</v>
      </c>
      <c r="B37" s="93" t="s">
        <v>74</v>
      </c>
      <c r="C37" s="93" t="s">
        <v>75</v>
      </c>
      <c r="D37" s="229" t="s">
        <v>76</v>
      </c>
      <c r="E37" s="93">
        <v>1.0</v>
      </c>
      <c r="F37" s="93">
        <v>4.0</v>
      </c>
      <c r="G37" s="93">
        <v>1.0</v>
      </c>
      <c r="H37" s="93">
        <v>1.0</v>
      </c>
      <c r="I37" s="93">
        <v>5.0</v>
      </c>
      <c r="J37" s="93">
        <v>0.0</v>
      </c>
      <c r="K37" s="93">
        <v>1.0</v>
      </c>
      <c r="L37" s="93">
        <v>3.0</v>
      </c>
      <c r="M37" s="93">
        <v>2.0</v>
      </c>
      <c r="N37" s="93">
        <v>1.0</v>
      </c>
      <c r="O37" s="93">
        <v>1.0</v>
      </c>
      <c r="P37" s="93">
        <v>3.0</v>
      </c>
      <c r="Q37" s="93">
        <v>1.0</v>
      </c>
      <c r="R37" s="93">
        <v>0.0</v>
      </c>
      <c r="S37" s="93">
        <v>2.0</v>
      </c>
      <c r="T37" s="93">
        <v>0.0</v>
      </c>
      <c r="U37" s="93">
        <v>1.0</v>
      </c>
      <c r="V37" s="93">
        <v>0.0</v>
      </c>
      <c r="W37" s="93">
        <v>1.0</v>
      </c>
      <c r="X37" s="93">
        <v>1.0</v>
      </c>
      <c r="Y37" s="93">
        <v>0.0</v>
      </c>
      <c r="Z37" s="93">
        <v>3.0</v>
      </c>
      <c r="AA37" s="93">
        <v>1.0</v>
      </c>
      <c r="AB37" s="93">
        <v>0.0</v>
      </c>
      <c r="AC37" s="93">
        <v>2.0</v>
      </c>
      <c r="AD37" s="93">
        <v>1.0</v>
      </c>
      <c r="AE37" s="93">
        <v>2.0</v>
      </c>
      <c r="AF37" s="93">
        <v>2.0</v>
      </c>
      <c r="AG37" s="93">
        <v>0.0</v>
      </c>
      <c r="AH37" s="93">
        <v>1.0</v>
      </c>
      <c r="AI37" s="93">
        <v>0.0</v>
      </c>
      <c r="AJ37" s="93">
        <v>1.0</v>
      </c>
      <c r="AK37" s="93">
        <v>0.0</v>
      </c>
      <c r="AL37" s="93">
        <v>2.0</v>
      </c>
      <c r="AM37" s="93">
        <v>0.0</v>
      </c>
      <c r="AN37" s="93">
        <v>0.0</v>
      </c>
      <c r="AO37" s="69">
        <f t="shared" si="3"/>
        <v>11.0</v>
      </c>
      <c r="AP37" s="69">
        <f t="shared" si="4"/>
        <v>3.0</v>
      </c>
      <c r="AQ37" s="69">
        <f t="shared" si="5"/>
        <v>3.3</v>
      </c>
      <c r="AR37" s="235">
        <v>1.0</v>
      </c>
      <c r="AS37" s="235">
        <v>1.0</v>
      </c>
      <c r="AT37" s="235">
        <v>1.0</v>
      </c>
      <c r="AU37" s="235">
        <v>1.0</v>
      </c>
      <c r="AV37" s="235">
        <v>1.0</v>
      </c>
      <c r="AW37" s="235">
        <v>0.0</v>
      </c>
      <c r="AX37" s="69">
        <f>SUM(AR37:AW37)</f>
        <v>5.0</v>
      </c>
      <c r="AY37" s="64" t="e">
        <f t="shared" si="13"/>
        <v>#REF!</v>
      </c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47">
        <f t="shared" si="27"/>
        <v>0.0</v>
      </c>
      <c r="BX37" s="65">
        <f t="shared" si="28"/>
        <v>0.0</v>
      </c>
    </row>
    <row r="38" ht="14.0">
      <c r="A38" s="93" t="s">
        <v>32</v>
      </c>
      <c r="B38" s="93" t="s">
        <v>81</v>
      </c>
      <c r="C38" s="93" t="s">
        <v>535</v>
      </c>
      <c r="D38" s="229">
        <v>37601.0</v>
      </c>
      <c r="E38" s="93">
        <v>0.0</v>
      </c>
      <c r="F38" s="93">
        <v>0.0</v>
      </c>
      <c r="G38" s="93">
        <v>0.0</v>
      </c>
      <c r="H38" s="93">
        <v>0.0</v>
      </c>
      <c r="I38" s="93">
        <v>0.0</v>
      </c>
      <c r="J38" s="93">
        <v>0.0</v>
      </c>
      <c r="K38" s="93">
        <v>0.0</v>
      </c>
      <c r="L38" s="93">
        <v>0.0</v>
      </c>
      <c r="M38" s="93">
        <v>0.0</v>
      </c>
      <c r="N38" s="93">
        <v>0.0</v>
      </c>
      <c r="O38" s="93">
        <v>0.0</v>
      </c>
      <c r="P38" s="93">
        <v>0.0</v>
      </c>
      <c r="Q38" s="93">
        <v>0.0</v>
      </c>
      <c r="R38" s="93">
        <v>0.0</v>
      </c>
      <c r="S38" s="93">
        <v>0.0</v>
      </c>
      <c r="T38" s="93">
        <v>0.0</v>
      </c>
      <c r="U38" s="93">
        <v>0.0</v>
      </c>
      <c r="V38" s="93">
        <v>0.0</v>
      </c>
      <c r="W38" s="93">
        <v>0.0</v>
      </c>
      <c r="X38" s="93">
        <v>0.0</v>
      </c>
      <c r="Y38" s="93">
        <v>0.0</v>
      </c>
      <c r="Z38" s="93">
        <v>0.0</v>
      </c>
      <c r="AA38" s="93">
        <v>0.0</v>
      </c>
      <c r="AB38" s="93">
        <v>0.0</v>
      </c>
      <c r="AC38" s="93">
        <v>0.0</v>
      </c>
      <c r="AD38" s="93">
        <v>0.0</v>
      </c>
      <c r="AE38" s="93">
        <v>0.0</v>
      </c>
      <c r="AF38" s="93">
        <v>0.0</v>
      </c>
      <c r="AG38" s="93">
        <v>0.0</v>
      </c>
      <c r="AH38" s="93">
        <v>0.0</v>
      </c>
      <c r="AI38" s="93">
        <v>0.0</v>
      </c>
      <c r="AJ38" s="93">
        <v>0.0</v>
      </c>
      <c r="AK38" s="93">
        <v>0.0</v>
      </c>
      <c r="AL38" s="93">
        <v>0.0</v>
      </c>
      <c r="AM38" s="93">
        <v>0.0</v>
      </c>
      <c r="AN38" s="93">
        <v>6.0</v>
      </c>
      <c r="AO38" s="69">
        <f t="shared" si="3"/>
        <v>6.0</v>
      </c>
      <c r="AP38" s="69">
        <f t="shared" si="4"/>
        <v>6.0</v>
      </c>
      <c r="AQ38" s="69">
        <f t="shared" si="5"/>
        <v>6.6</v>
      </c>
      <c r="AR38" s="65">
        <f t="shared" ref="AR38:AR41" si="170">AN38*1.1+6*$AR$42</f>
        <v>72.6</v>
      </c>
      <c r="AS38" s="47">
        <f t="shared" ref="AS38:AS41" si="171">AR38+6*$AS$42</f>
        <v>138.6</v>
      </c>
      <c r="AT38" s="47">
        <f t="shared" ref="AT38:AT41" si="172">AS38+6*$AT$42</f>
        <v>204.6</v>
      </c>
      <c r="AU38" s="47">
        <f t="shared" ref="AU38:AU41" si="173">AT38+6*$AU$42</f>
        <v>270.6</v>
      </c>
      <c r="AV38" s="47">
        <f t="shared" ref="AV38:AV41" si="174">AU38+6*$AV$42</f>
        <v>336.6</v>
      </c>
      <c r="AW38" s="238">
        <f t="shared" ref="AW38:AW41" si="175">AU38+6*$AW$42</f>
        <v>336.6</v>
      </c>
      <c r="AX38" s="69">
        <f t="shared" ref="AX38:AX41" si="176">SUM(AR38:AV38)</f>
        <v>1023.0</v>
      </c>
      <c r="AY38" s="64" t="e">
        <f t="shared" si="13"/>
        <v>#REF!</v>
      </c>
      <c r="BB38" s="65" t="e">
        <f t="shared" ref="BB38:BB41" si="177">AY38+AZ38+BA38-AX38</f>
        <v>#REF!</v>
      </c>
      <c r="BD38" s="47" t="e">
        <f t="shared" ref="BD38:BD41" si="178">BB38*-1</f>
        <v>#REF!</v>
      </c>
      <c r="BE38" s="47" t="s">
        <v>255</v>
      </c>
      <c r="BF38" s="65" t="e">
        <f t="shared" ref="BF38:BF41" si="179">AY38</f>
        <v>#REF!</v>
      </c>
      <c r="BG38" s="65">
        <f t="shared" ref="BG38:BG41" si="180">AR38</f>
        <v>72.6</v>
      </c>
      <c r="BH38" s="65"/>
      <c r="BI38" s="65" t="e">
        <f t="shared" ref="BI38:BI41" si="181">BF38+BH38-BG38</f>
        <v>#REF!</v>
      </c>
      <c r="BJ38" s="65">
        <f t="shared" ref="BJ38:BJ41" si="182">AS38</f>
        <v>138.6</v>
      </c>
      <c r="BK38" s="65"/>
      <c r="BL38" s="65" t="e">
        <f t="shared" ref="BL38:BL41" si="183">BI38+BK38-BJ38</f>
        <v>#REF!</v>
      </c>
      <c r="BM38" s="65">
        <f t="shared" ref="BM38:BM41" si="184">AT38</f>
        <v>204.6</v>
      </c>
      <c r="BN38" s="65"/>
      <c r="BO38" s="65" t="e">
        <f t="shared" ref="BO38:BO41" si="185">BL38+BN38-BM38</f>
        <v>#REF!</v>
      </c>
      <c r="BP38" s="65">
        <f t="shared" ref="BP38:BP41" si="186">AU38</f>
        <v>270.6</v>
      </c>
      <c r="BQ38" s="65"/>
      <c r="BR38" s="65" t="e">
        <f t="shared" ref="BR38:BR41" si="187">BO38+BQ38-BP38</f>
        <v>#REF!</v>
      </c>
      <c r="BS38" s="65">
        <f t="shared" ref="BS38:BS41" si="188">AV38</f>
        <v>336.6</v>
      </c>
      <c r="BT38" s="65"/>
      <c r="BU38" s="65" t="e">
        <f t="shared" ref="BU38:BU41" si="189">BR38+BT38-BS38</f>
        <v>#REF!</v>
      </c>
      <c r="BV38" s="47">
        <f t="shared" si="27"/>
        <v>336.6</v>
      </c>
      <c r="BX38" s="65" t="e">
        <f t="shared" si="28"/>
        <v>#REF!</v>
      </c>
    </row>
    <row r="39" ht="14.0">
      <c r="A39" s="93" t="s">
        <v>32</v>
      </c>
      <c r="B39" s="93" t="s">
        <v>81</v>
      </c>
      <c r="C39" s="93" t="s">
        <v>536</v>
      </c>
      <c r="D39" s="229">
        <v>37602.0</v>
      </c>
      <c r="E39" s="93">
        <v>0.0</v>
      </c>
      <c r="F39" s="93">
        <v>0.0</v>
      </c>
      <c r="G39" s="93">
        <v>0.0</v>
      </c>
      <c r="H39" s="93">
        <v>0.0</v>
      </c>
      <c r="I39" s="93">
        <v>0.0</v>
      </c>
      <c r="J39" s="93">
        <v>0.0</v>
      </c>
      <c r="K39" s="93">
        <v>0.0</v>
      </c>
      <c r="L39" s="93">
        <v>0.0</v>
      </c>
      <c r="M39" s="93">
        <v>0.0</v>
      </c>
      <c r="N39" s="93">
        <v>0.0</v>
      </c>
      <c r="O39" s="93">
        <v>0.0</v>
      </c>
      <c r="P39" s="93">
        <v>0.0</v>
      </c>
      <c r="Q39" s="93">
        <v>0.0</v>
      </c>
      <c r="R39" s="93">
        <v>0.0</v>
      </c>
      <c r="S39" s="93">
        <v>0.0</v>
      </c>
      <c r="T39" s="93">
        <v>0.0</v>
      </c>
      <c r="U39" s="93">
        <v>0.0</v>
      </c>
      <c r="V39" s="93">
        <v>0.0</v>
      </c>
      <c r="W39" s="93">
        <v>0.0</v>
      </c>
      <c r="X39" s="93">
        <v>0.0</v>
      </c>
      <c r="Y39" s="93">
        <v>0.0</v>
      </c>
      <c r="Z39" s="93">
        <v>0.0</v>
      </c>
      <c r="AA39" s="93">
        <v>0.0</v>
      </c>
      <c r="AB39" s="93">
        <v>0.0</v>
      </c>
      <c r="AC39" s="93">
        <v>0.0</v>
      </c>
      <c r="AD39" s="93">
        <v>0.0</v>
      </c>
      <c r="AE39" s="93">
        <v>0.0</v>
      </c>
      <c r="AF39" s="93">
        <v>0.0</v>
      </c>
      <c r="AG39" s="93">
        <v>0.0</v>
      </c>
      <c r="AH39" s="93">
        <v>0.0</v>
      </c>
      <c r="AI39" s="93">
        <v>0.0</v>
      </c>
      <c r="AJ39" s="93">
        <v>0.0</v>
      </c>
      <c r="AK39" s="93">
        <v>0.0</v>
      </c>
      <c r="AL39" s="93">
        <v>0.0</v>
      </c>
      <c r="AM39" s="93">
        <v>0.0</v>
      </c>
      <c r="AN39" s="93">
        <v>12.0</v>
      </c>
      <c r="AO39" s="69">
        <f t="shared" si="3"/>
        <v>12.0</v>
      </c>
      <c r="AP39" s="69">
        <f t="shared" si="4"/>
        <v>12.0</v>
      </c>
      <c r="AQ39" s="69">
        <f t="shared" si="5"/>
        <v>13.2</v>
      </c>
      <c r="AR39" s="65">
        <f t="shared" si="170"/>
        <v>79.2</v>
      </c>
      <c r="AS39" s="47">
        <f t="shared" si="171"/>
        <v>145.2</v>
      </c>
      <c r="AT39" s="47">
        <f t="shared" si="172"/>
        <v>211.2</v>
      </c>
      <c r="AU39" s="47">
        <f t="shared" si="173"/>
        <v>277.2</v>
      </c>
      <c r="AV39" s="47">
        <f t="shared" si="174"/>
        <v>343.2</v>
      </c>
      <c r="AW39" s="238">
        <f t="shared" si="175"/>
        <v>343.2</v>
      </c>
      <c r="AX39" s="69">
        <f t="shared" si="176"/>
        <v>1056.0</v>
      </c>
      <c r="AY39" s="64" t="e">
        <f t="shared" si="13"/>
        <v>#REF!</v>
      </c>
      <c r="BB39" s="65" t="e">
        <f t="shared" si="177"/>
        <v>#REF!</v>
      </c>
      <c r="BD39" s="47" t="e">
        <f t="shared" si="178"/>
        <v>#REF!</v>
      </c>
      <c r="BE39" s="47" t="s">
        <v>255</v>
      </c>
      <c r="BF39" s="65" t="e">
        <f t="shared" si="179"/>
        <v>#REF!</v>
      </c>
      <c r="BG39" s="65">
        <f t="shared" si="180"/>
        <v>79.2</v>
      </c>
      <c r="BH39" s="65"/>
      <c r="BI39" s="65" t="e">
        <f t="shared" si="181"/>
        <v>#REF!</v>
      </c>
      <c r="BJ39" s="65">
        <f t="shared" si="182"/>
        <v>145.2</v>
      </c>
      <c r="BK39" s="65"/>
      <c r="BL39" s="65" t="e">
        <f t="shared" si="183"/>
        <v>#REF!</v>
      </c>
      <c r="BM39" s="65">
        <f t="shared" si="184"/>
        <v>211.2</v>
      </c>
      <c r="BN39" s="65"/>
      <c r="BO39" s="65" t="e">
        <f t="shared" si="185"/>
        <v>#REF!</v>
      </c>
      <c r="BP39" s="65">
        <f t="shared" si="186"/>
        <v>277.2</v>
      </c>
      <c r="BQ39" s="65"/>
      <c r="BR39" s="65" t="e">
        <f t="shared" si="187"/>
        <v>#REF!</v>
      </c>
      <c r="BS39" s="65">
        <f t="shared" si="188"/>
        <v>343.2</v>
      </c>
      <c r="BT39" s="65"/>
      <c r="BU39" s="65" t="e">
        <f t="shared" si="189"/>
        <v>#REF!</v>
      </c>
      <c r="BV39" s="47">
        <f t="shared" si="27"/>
        <v>343.2</v>
      </c>
      <c r="BX39" s="65" t="e">
        <f t="shared" si="28"/>
        <v>#REF!</v>
      </c>
    </row>
    <row r="40" ht="14.0">
      <c r="A40" s="93" t="s">
        <v>32</v>
      </c>
      <c r="B40" s="93" t="s">
        <v>81</v>
      </c>
      <c r="C40" s="93" t="s">
        <v>537</v>
      </c>
      <c r="D40" s="229">
        <v>37603.0</v>
      </c>
      <c r="E40" s="93">
        <v>0.0</v>
      </c>
      <c r="F40" s="93">
        <v>0.0</v>
      </c>
      <c r="G40" s="93">
        <v>0.0</v>
      </c>
      <c r="H40" s="93">
        <v>0.0</v>
      </c>
      <c r="I40" s="93">
        <v>0.0</v>
      </c>
      <c r="J40" s="93">
        <v>0.0</v>
      </c>
      <c r="K40" s="93">
        <v>0.0</v>
      </c>
      <c r="L40" s="93">
        <v>0.0</v>
      </c>
      <c r="M40" s="93">
        <v>0.0</v>
      </c>
      <c r="N40" s="93">
        <v>0.0</v>
      </c>
      <c r="O40" s="93">
        <v>0.0</v>
      </c>
      <c r="P40" s="93">
        <v>0.0</v>
      </c>
      <c r="Q40" s="93">
        <v>0.0</v>
      </c>
      <c r="R40" s="93">
        <v>0.0</v>
      </c>
      <c r="S40" s="93">
        <v>0.0</v>
      </c>
      <c r="T40" s="93">
        <v>0.0</v>
      </c>
      <c r="U40" s="93">
        <v>0.0</v>
      </c>
      <c r="V40" s="93">
        <v>0.0</v>
      </c>
      <c r="W40" s="93">
        <v>0.0</v>
      </c>
      <c r="X40" s="93">
        <v>0.0</v>
      </c>
      <c r="Y40" s="93">
        <v>0.0</v>
      </c>
      <c r="Z40" s="93">
        <v>0.0</v>
      </c>
      <c r="AA40" s="93">
        <v>0.0</v>
      </c>
      <c r="AB40" s="93">
        <v>0.0</v>
      </c>
      <c r="AC40" s="93">
        <v>0.0</v>
      </c>
      <c r="AD40" s="93">
        <v>0.0</v>
      </c>
      <c r="AE40" s="93">
        <v>0.0</v>
      </c>
      <c r="AF40" s="93">
        <v>0.0</v>
      </c>
      <c r="AG40" s="93">
        <v>0.0</v>
      </c>
      <c r="AH40" s="93">
        <v>0.0</v>
      </c>
      <c r="AI40" s="93">
        <v>0.0</v>
      </c>
      <c r="AJ40" s="93">
        <v>0.0</v>
      </c>
      <c r="AK40" s="93">
        <v>0.0</v>
      </c>
      <c r="AL40" s="93">
        <v>0.0</v>
      </c>
      <c r="AM40" s="93">
        <v>0.0</v>
      </c>
      <c r="AN40" s="93">
        <v>6.0</v>
      </c>
      <c r="AO40" s="69">
        <f t="shared" si="3"/>
        <v>6.0</v>
      </c>
      <c r="AP40" s="69">
        <f t="shared" si="4"/>
        <v>6.0</v>
      </c>
      <c r="AQ40" s="69">
        <f t="shared" si="5"/>
        <v>6.6</v>
      </c>
      <c r="AR40" s="65">
        <f t="shared" si="170"/>
        <v>72.6</v>
      </c>
      <c r="AS40" s="47">
        <f t="shared" si="171"/>
        <v>138.6</v>
      </c>
      <c r="AT40" s="47">
        <f t="shared" si="172"/>
        <v>204.6</v>
      </c>
      <c r="AU40" s="47">
        <f t="shared" si="173"/>
        <v>270.6</v>
      </c>
      <c r="AV40" s="47">
        <f t="shared" si="174"/>
        <v>336.6</v>
      </c>
      <c r="AW40" s="238">
        <f t="shared" si="175"/>
        <v>336.6</v>
      </c>
      <c r="AX40" s="69">
        <f t="shared" si="176"/>
        <v>1023.0</v>
      </c>
      <c r="AY40" s="64" t="e">
        <f t="shared" si="13"/>
        <v>#REF!</v>
      </c>
      <c r="BB40" s="65" t="e">
        <f t="shared" si="177"/>
        <v>#REF!</v>
      </c>
      <c r="BD40" s="47" t="e">
        <f t="shared" si="178"/>
        <v>#REF!</v>
      </c>
      <c r="BE40" s="47" t="s">
        <v>255</v>
      </c>
      <c r="BF40" s="65" t="e">
        <f t="shared" si="179"/>
        <v>#REF!</v>
      </c>
      <c r="BG40" s="65">
        <f t="shared" si="180"/>
        <v>72.6</v>
      </c>
      <c r="BH40" s="65"/>
      <c r="BI40" s="65" t="e">
        <f t="shared" si="181"/>
        <v>#REF!</v>
      </c>
      <c r="BJ40" s="65">
        <f t="shared" si="182"/>
        <v>138.6</v>
      </c>
      <c r="BK40" s="65"/>
      <c r="BL40" s="65" t="e">
        <f t="shared" si="183"/>
        <v>#REF!</v>
      </c>
      <c r="BM40" s="65">
        <f t="shared" si="184"/>
        <v>204.6</v>
      </c>
      <c r="BN40" s="65"/>
      <c r="BO40" s="65" t="e">
        <f t="shared" si="185"/>
        <v>#REF!</v>
      </c>
      <c r="BP40" s="65">
        <f t="shared" si="186"/>
        <v>270.6</v>
      </c>
      <c r="BQ40" s="65"/>
      <c r="BR40" s="65" t="e">
        <f t="shared" si="187"/>
        <v>#REF!</v>
      </c>
      <c r="BS40" s="65">
        <f t="shared" si="188"/>
        <v>336.6</v>
      </c>
      <c r="BT40" s="65"/>
      <c r="BU40" s="65" t="e">
        <f t="shared" si="189"/>
        <v>#REF!</v>
      </c>
      <c r="BV40" s="47">
        <f t="shared" si="27"/>
        <v>336.6</v>
      </c>
      <c r="BX40" s="65" t="e">
        <f t="shared" si="28"/>
        <v>#REF!</v>
      </c>
    </row>
    <row r="41" ht="14.0">
      <c r="A41" s="93" t="s">
        <v>32</v>
      </c>
      <c r="B41" s="93" t="s">
        <v>81</v>
      </c>
      <c r="C41" s="93" t="s">
        <v>538</v>
      </c>
      <c r="D41" s="229">
        <v>37604.0</v>
      </c>
      <c r="E41" s="93">
        <v>0.0</v>
      </c>
      <c r="F41" s="93">
        <v>0.0</v>
      </c>
      <c r="G41" s="93">
        <v>0.0</v>
      </c>
      <c r="H41" s="93">
        <v>0.0</v>
      </c>
      <c r="I41" s="93">
        <v>0.0</v>
      </c>
      <c r="J41" s="93">
        <v>0.0</v>
      </c>
      <c r="K41" s="93">
        <v>0.0</v>
      </c>
      <c r="L41" s="93">
        <v>0.0</v>
      </c>
      <c r="M41" s="93">
        <v>0.0</v>
      </c>
      <c r="N41" s="93">
        <v>0.0</v>
      </c>
      <c r="O41" s="93">
        <v>0.0</v>
      </c>
      <c r="P41" s="93">
        <v>0.0</v>
      </c>
      <c r="Q41" s="93">
        <v>0.0</v>
      </c>
      <c r="R41" s="93">
        <v>0.0</v>
      </c>
      <c r="S41" s="93">
        <v>0.0</v>
      </c>
      <c r="T41" s="93">
        <v>0.0</v>
      </c>
      <c r="U41" s="93">
        <v>0.0</v>
      </c>
      <c r="V41" s="93">
        <v>0.0</v>
      </c>
      <c r="W41" s="93">
        <v>0.0</v>
      </c>
      <c r="X41" s="93">
        <v>0.0</v>
      </c>
      <c r="Y41" s="93">
        <v>0.0</v>
      </c>
      <c r="Z41" s="93">
        <v>0.0</v>
      </c>
      <c r="AA41" s="93">
        <v>0.0</v>
      </c>
      <c r="AB41" s="93">
        <v>0.0</v>
      </c>
      <c r="AC41" s="93">
        <v>0.0</v>
      </c>
      <c r="AD41" s="93">
        <v>0.0</v>
      </c>
      <c r="AE41" s="93">
        <v>0.0</v>
      </c>
      <c r="AF41" s="93">
        <v>0.0</v>
      </c>
      <c r="AG41" s="93">
        <v>0.0</v>
      </c>
      <c r="AH41" s="93">
        <v>0.0</v>
      </c>
      <c r="AI41" s="93">
        <v>0.0</v>
      </c>
      <c r="AJ41" s="93">
        <v>0.0</v>
      </c>
      <c r="AK41" s="93">
        <v>0.0</v>
      </c>
      <c r="AL41" s="93">
        <v>0.0</v>
      </c>
      <c r="AM41" s="93">
        <v>0.0</v>
      </c>
      <c r="AN41" s="93">
        <v>6.0</v>
      </c>
      <c r="AO41" s="69">
        <f t="shared" si="3"/>
        <v>6.0</v>
      </c>
      <c r="AP41" s="69">
        <f t="shared" si="4"/>
        <v>6.0</v>
      </c>
      <c r="AQ41" s="69">
        <f t="shared" si="5"/>
        <v>6.6</v>
      </c>
      <c r="AR41" s="65">
        <f t="shared" si="170"/>
        <v>72.6</v>
      </c>
      <c r="AS41" s="47">
        <f t="shared" si="171"/>
        <v>138.6</v>
      </c>
      <c r="AT41" s="47">
        <f t="shared" si="172"/>
        <v>204.6</v>
      </c>
      <c r="AU41" s="47">
        <f t="shared" si="173"/>
        <v>270.6</v>
      </c>
      <c r="AV41" s="47">
        <f t="shared" si="174"/>
        <v>336.6</v>
      </c>
      <c r="AW41" s="238">
        <f t="shared" si="175"/>
        <v>336.6</v>
      </c>
      <c r="AX41" s="69">
        <f t="shared" si="176"/>
        <v>1023.0</v>
      </c>
      <c r="AY41" s="64" t="e">
        <f t="shared" si="13"/>
        <v>#REF!</v>
      </c>
      <c r="BB41" s="65" t="e">
        <f t="shared" si="177"/>
        <v>#REF!</v>
      </c>
      <c r="BD41" s="47" t="e">
        <f t="shared" si="178"/>
        <v>#REF!</v>
      </c>
      <c r="BE41" s="47" t="s">
        <v>255</v>
      </c>
      <c r="BF41" s="65" t="e">
        <f t="shared" si="179"/>
        <v>#REF!</v>
      </c>
      <c r="BG41" s="65">
        <f t="shared" si="180"/>
        <v>72.6</v>
      </c>
      <c r="BH41" s="65"/>
      <c r="BI41" s="65" t="e">
        <f t="shared" si="181"/>
        <v>#REF!</v>
      </c>
      <c r="BJ41" s="65">
        <f t="shared" si="182"/>
        <v>138.6</v>
      </c>
      <c r="BK41" s="65"/>
      <c r="BL41" s="65" t="e">
        <f t="shared" si="183"/>
        <v>#REF!</v>
      </c>
      <c r="BM41" s="65">
        <f t="shared" si="184"/>
        <v>204.6</v>
      </c>
      <c r="BN41" s="65"/>
      <c r="BO41" s="65" t="e">
        <f t="shared" si="185"/>
        <v>#REF!</v>
      </c>
      <c r="BP41" s="65">
        <f t="shared" si="186"/>
        <v>270.6</v>
      </c>
      <c r="BQ41" s="65"/>
      <c r="BR41" s="65" t="e">
        <f t="shared" si="187"/>
        <v>#REF!</v>
      </c>
      <c r="BS41" s="65">
        <f t="shared" si="188"/>
        <v>336.6</v>
      </c>
      <c r="BT41" s="65"/>
      <c r="BU41" s="65" t="e">
        <f t="shared" si="189"/>
        <v>#REF!</v>
      </c>
      <c r="BV41" s="47">
        <f t="shared" si="27"/>
        <v>336.6</v>
      </c>
      <c r="BX41" s="65" t="e">
        <f t="shared" si="28"/>
        <v>#REF!</v>
      </c>
    </row>
    <row r="42" ht="14.0">
      <c r="A42" s="93" t="s">
        <v>32</v>
      </c>
      <c r="B42" s="93" t="s">
        <v>81</v>
      </c>
      <c r="C42" s="93" t="s">
        <v>531</v>
      </c>
      <c r="D42" s="229" t="s">
        <v>532</v>
      </c>
      <c r="E42" s="93">
        <v>0.0</v>
      </c>
      <c r="F42" s="93">
        <v>0.0</v>
      </c>
      <c r="G42" s="93">
        <v>0.0</v>
      </c>
      <c r="H42" s="93">
        <v>0.0</v>
      </c>
      <c r="I42" s="93">
        <v>0.0</v>
      </c>
      <c r="J42" s="93">
        <v>0.0</v>
      </c>
      <c r="K42" s="93">
        <v>0.0</v>
      </c>
      <c r="L42" s="93">
        <v>0.0</v>
      </c>
      <c r="M42" s="93">
        <v>0.0</v>
      </c>
      <c r="N42" s="93">
        <v>0.0</v>
      </c>
      <c r="O42" s="93">
        <v>0.0</v>
      </c>
      <c r="P42" s="93">
        <v>0.0</v>
      </c>
      <c r="Q42" s="93">
        <v>0.0</v>
      </c>
      <c r="R42" s="93">
        <v>0.0</v>
      </c>
      <c r="S42" s="93">
        <v>0.0</v>
      </c>
      <c r="T42" s="93">
        <v>0.0</v>
      </c>
      <c r="U42" s="93">
        <v>0.0</v>
      </c>
      <c r="V42" s="93">
        <v>0.0</v>
      </c>
      <c r="W42" s="93">
        <v>0.0</v>
      </c>
      <c r="X42" s="93">
        <v>0.0</v>
      </c>
      <c r="Y42" s="93">
        <v>0.0</v>
      </c>
      <c r="Z42" s="93">
        <v>0.0</v>
      </c>
      <c r="AA42" s="93">
        <v>0.0</v>
      </c>
      <c r="AB42" s="93">
        <v>0.0</v>
      </c>
      <c r="AC42" s="93">
        <v>0.0</v>
      </c>
      <c r="AD42" s="93">
        <v>0.0</v>
      </c>
      <c r="AE42" s="93">
        <v>0.0</v>
      </c>
      <c r="AF42" s="93">
        <v>0.0</v>
      </c>
      <c r="AG42" s="93">
        <v>0.0</v>
      </c>
      <c r="AH42" s="93">
        <v>0.0</v>
      </c>
      <c r="AI42" s="93">
        <v>0.0</v>
      </c>
      <c r="AJ42" s="93">
        <v>0.0</v>
      </c>
      <c r="AK42" s="93">
        <v>0.0</v>
      </c>
      <c r="AL42" s="93">
        <v>0.0</v>
      </c>
      <c r="AM42" s="93">
        <v>0.0</v>
      </c>
      <c r="AN42" s="93">
        <v>10.0</v>
      </c>
      <c r="AO42" s="69">
        <f t="shared" si="3"/>
        <v>10.0</v>
      </c>
      <c r="AP42" s="69">
        <f t="shared" si="4"/>
        <v>10.0</v>
      </c>
      <c r="AQ42" s="69">
        <f t="shared" si="5"/>
        <v>11.0</v>
      </c>
      <c r="AR42" s="235">
        <f>AN42*1.1</f>
        <v>11.0</v>
      </c>
      <c r="AS42" s="235">
        <f>AR42</f>
        <v>11.0</v>
      </c>
      <c r="AT42" s="235">
        <f>AS42</f>
        <v>11.0</v>
      </c>
      <c r="AU42" s="235">
        <f>AT42</f>
        <v>11.0</v>
      </c>
      <c r="AV42" s="235">
        <f>AU42</f>
        <v>11.0</v>
      </c>
      <c r="AW42" s="235">
        <f>AV42</f>
        <v>11.0</v>
      </c>
      <c r="AX42" s="69">
        <f>SUM(AR42:AW42)</f>
        <v>66.0</v>
      </c>
      <c r="AY42" s="64" t="e">
        <f t="shared" si="13"/>
        <v>#REF!</v>
      </c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5"/>
      <c r="BQ42" s="65"/>
      <c r="BR42" s="65"/>
      <c r="BS42" s="65"/>
      <c r="BT42" s="65"/>
      <c r="BU42" s="65"/>
      <c r="BV42" s="47">
        <f t="shared" si="27"/>
        <v>11.0</v>
      </c>
      <c r="BX42" s="65">
        <f t="shared" si="28"/>
        <v>-11.0</v>
      </c>
    </row>
    <row r="43" ht="14.0">
      <c r="A43" s="93" t="s">
        <v>32</v>
      </c>
      <c r="B43" s="93" t="s">
        <v>81</v>
      </c>
      <c r="C43" s="93" t="s">
        <v>90</v>
      </c>
      <c r="D43" s="229">
        <v>43006.0</v>
      </c>
      <c r="E43" s="93">
        <v>15.0</v>
      </c>
      <c r="F43" s="93">
        <v>27.0</v>
      </c>
      <c r="G43" s="93">
        <v>39.0</v>
      </c>
      <c r="H43" s="93">
        <v>26.0</v>
      </c>
      <c r="I43" s="93">
        <v>27.0</v>
      </c>
      <c r="J43" s="93">
        <v>15.0</v>
      </c>
      <c r="K43" s="93">
        <v>15.0</v>
      </c>
      <c r="L43" s="93">
        <v>15.0</v>
      </c>
      <c r="M43" s="93">
        <v>18.0</v>
      </c>
      <c r="N43" s="93">
        <v>34.0</v>
      </c>
      <c r="O43" s="93">
        <v>12.0</v>
      </c>
      <c r="P43" s="93">
        <v>21.0</v>
      </c>
      <c r="Q43" s="93">
        <v>15.0</v>
      </c>
      <c r="R43" s="93">
        <v>14.0</v>
      </c>
      <c r="S43" s="93">
        <v>3.0</v>
      </c>
      <c r="T43" s="93">
        <v>26.0</v>
      </c>
      <c r="U43" s="93">
        <v>21.0</v>
      </c>
      <c r="V43" s="93">
        <v>12.0</v>
      </c>
      <c r="W43" s="93">
        <v>27.0</v>
      </c>
      <c r="X43" s="93">
        <v>15.0</v>
      </c>
      <c r="Y43" s="93">
        <v>15.0</v>
      </c>
      <c r="Z43" s="93">
        <v>15.0</v>
      </c>
      <c r="AA43" s="93">
        <v>27.0</v>
      </c>
      <c r="AB43" s="93">
        <v>9.0</v>
      </c>
      <c r="AC43" s="93">
        <v>6.0</v>
      </c>
      <c r="AD43" s="93">
        <v>18.0</v>
      </c>
      <c r="AE43" s="93">
        <v>6.0</v>
      </c>
      <c r="AF43" s="93">
        <v>12.0</v>
      </c>
      <c r="AG43" s="93">
        <v>12.0</v>
      </c>
      <c r="AH43" s="93">
        <v>6.0</v>
      </c>
      <c r="AI43" s="93">
        <v>3.0</v>
      </c>
      <c r="AJ43" s="93">
        <v>15.0</v>
      </c>
      <c r="AK43" s="93">
        <v>9.0</v>
      </c>
      <c r="AL43" s="93">
        <v>9.0</v>
      </c>
      <c r="AM43" s="93">
        <v>9.0</v>
      </c>
      <c r="AN43" s="93">
        <v>9.0</v>
      </c>
      <c r="AO43" s="69">
        <f t="shared" si="3"/>
        <v>114.0</v>
      </c>
      <c r="AP43" s="69">
        <f t="shared" si="4"/>
        <v>54.0</v>
      </c>
      <c r="AQ43" s="69">
        <f t="shared" si="5"/>
        <v>59.4</v>
      </c>
      <c r="AR43" s="47">
        <f t="shared" ref="AR43:AR45" si="197">AQ43*$AR$4/$AQ$4</f>
        <v>9.391304347826</v>
      </c>
      <c r="AS43" s="47">
        <f t="shared" ref="AS43:AS45" si="198">AQ43*$AS$4/$AQ$4</f>
        <v>11.7391304347826</v>
      </c>
      <c r="AT43" s="47">
        <f t="shared" ref="AT43:AT45" si="199">AQ43*$AT$4/$AQ$4</f>
        <v>11.7391304347826</v>
      </c>
      <c r="AU43" s="47">
        <f t="shared" ref="AU43:AU45" si="200">AQ43*$AU$4/$AQ$4</f>
        <v>11.7391304347826</v>
      </c>
      <c r="AV43" s="47">
        <f t="shared" ref="AV43:AV45" si="201">AQ43*$AV$4/$AQ$4</f>
        <v>11.7391304347826</v>
      </c>
      <c r="AW43" s="64">
        <f t="shared" ref="AW43:AW45" si="202">AQ43*$AW$4/$AQ$4</f>
        <v>7.04347826086957</v>
      </c>
      <c r="AX43" s="69">
        <f t="shared" ref="AX43:AX45" si="203">SUM(AR43:AV43)</f>
        <v>56.3478260869564</v>
      </c>
      <c r="AY43" s="64" t="e">
        <f t="shared" si="13"/>
        <v>#REF!</v>
      </c>
      <c r="BB43" s="65" t="e">
        <f t="shared" ref="BB43:BB50" si="204">AY43+AZ43+BA43-AX43</f>
        <v>#REF!</v>
      </c>
      <c r="BD43" s="47" t="e">
        <f t="shared" ref="BD43:BD45" si="205">BB43*-1</f>
        <v>#REF!</v>
      </c>
      <c r="BE43" s="47" t="s">
        <v>350</v>
      </c>
      <c r="BF43" s="65" t="e">
        <f t="shared" ref="BF43:BF50" si="206">AY43</f>
        <v>#REF!</v>
      </c>
      <c r="BG43" s="65">
        <f t="shared" ref="BG43:BG50" si="207">AR43</f>
        <v>9.391304347826</v>
      </c>
      <c r="BH43" s="65"/>
      <c r="BI43" s="65" t="e">
        <f t="shared" ref="BI43:BI50" si="208">BF43+BH43-BG43</f>
        <v>#REF!</v>
      </c>
      <c r="BJ43" s="65">
        <f t="shared" ref="BJ43:BJ50" si="209">AS43</f>
        <v>11.7391304347826</v>
      </c>
      <c r="BK43" s="65"/>
      <c r="BL43" s="65" t="e">
        <f t="shared" ref="BL43:BL50" si="210">BI43+BK43-BJ43</f>
        <v>#REF!</v>
      </c>
      <c r="BM43" s="65">
        <f t="shared" ref="BM43:BM50" si="211">AT43</f>
        <v>11.7391304347826</v>
      </c>
      <c r="BN43" s="65"/>
      <c r="BO43" s="65" t="e">
        <f t="shared" ref="BO43:BO50" si="212">BL43+BN43-BM43</f>
        <v>#REF!</v>
      </c>
      <c r="BP43" s="65">
        <f t="shared" ref="BP43:BP50" si="213">AU43</f>
        <v>11.7391304347826</v>
      </c>
      <c r="BQ43" s="65"/>
      <c r="BR43" s="65" t="e">
        <f t="shared" ref="BR43:BR50" si="214">BO43+BQ43-BP43</f>
        <v>#REF!</v>
      </c>
      <c r="BS43" s="65">
        <f t="shared" ref="BS43:BS50" si="215">AV43</f>
        <v>11.7391304347826</v>
      </c>
      <c r="BT43" s="65"/>
      <c r="BU43" s="65" t="e">
        <f t="shared" ref="BU43:BU50" si="216">BR43+BT43-BS43</f>
        <v>#REF!</v>
      </c>
      <c r="BV43" s="47">
        <f t="shared" si="27"/>
        <v>7.04347826086957</v>
      </c>
      <c r="BX43" s="65" t="e">
        <f t="shared" si="28"/>
        <v>#REF!</v>
      </c>
    </row>
    <row r="44" ht="14.0">
      <c r="A44" s="93" t="s">
        <v>32</v>
      </c>
      <c r="B44" s="93" t="s">
        <v>81</v>
      </c>
      <c r="C44" s="93" t="s">
        <v>91</v>
      </c>
      <c r="D44" s="229">
        <v>43010.0</v>
      </c>
      <c r="E44" s="93">
        <v>12.0</v>
      </c>
      <c r="F44" s="93">
        <v>39.0</v>
      </c>
      <c r="G44" s="93">
        <v>39.0</v>
      </c>
      <c r="H44" s="93">
        <v>20.0</v>
      </c>
      <c r="I44" s="93">
        <v>15.0</v>
      </c>
      <c r="J44" s="93">
        <v>15.0</v>
      </c>
      <c r="K44" s="93">
        <v>18.0</v>
      </c>
      <c r="L44" s="93">
        <v>24.0</v>
      </c>
      <c r="M44" s="93">
        <v>21.0</v>
      </c>
      <c r="N44" s="93">
        <v>36.0</v>
      </c>
      <c r="O44" s="93">
        <v>9.0</v>
      </c>
      <c r="P44" s="93">
        <v>21.0</v>
      </c>
      <c r="Q44" s="93">
        <v>18.0</v>
      </c>
      <c r="R44" s="93">
        <v>17.0</v>
      </c>
      <c r="S44" s="93">
        <v>6.0</v>
      </c>
      <c r="T44" s="93">
        <v>15.0</v>
      </c>
      <c r="U44" s="93">
        <v>24.0</v>
      </c>
      <c r="V44" s="93">
        <v>15.0</v>
      </c>
      <c r="W44" s="93">
        <v>21.0</v>
      </c>
      <c r="X44" s="93">
        <v>18.0</v>
      </c>
      <c r="Y44" s="93">
        <v>9.0</v>
      </c>
      <c r="Z44" s="93">
        <v>12.0</v>
      </c>
      <c r="AA44" s="93">
        <v>18.0</v>
      </c>
      <c r="AB44" s="93">
        <v>9.0</v>
      </c>
      <c r="AC44" s="93">
        <v>12.0</v>
      </c>
      <c r="AD44" s="93">
        <v>24.0</v>
      </c>
      <c r="AE44" s="93">
        <v>18.0</v>
      </c>
      <c r="AF44" s="93">
        <v>11.0</v>
      </c>
      <c r="AG44" s="93">
        <v>18.0</v>
      </c>
      <c r="AH44" s="93">
        <v>15.0</v>
      </c>
      <c r="AI44" s="93">
        <v>6.0</v>
      </c>
      <c r="AJ44" s="93">
        <v>15.0</v>
      </c>
      <c r="AK44" s="93">
        <v>3.0</v>
      </c>
      <c r="AL44" s="93">
        <v>9.0</v>
      </c>
      <c r="AM44" s="93">
        <v>6.0</v>
      </c>
      <c r="AN44" s="93">
        <v>9.0</v>
      </c>
      <c r="AO44" s="69">
        <f t="shared" si="3"/>
        <v>146.0</v>
      </c>
      <c r="AP44" s="69">
        <f t="shared" si="4"/>
        <v>48.0</v>
      </c>
      <c r="AQ44" s="69">
        <f t="shared" si="5"/>
        <v>52.8</v>
      </c>
      <c r="AR44" s="47">
        <f t="shared" si="197"/>
        <v>8.34782608695652</v>
      </c>
      <c r="AS44" s="47">
        <f t="shared" si="198"/>
        <v>10.4347826086957</v>
      </c>
      <c r="AT44" s="47">
        <f t="shared" si="199"/>
        <v>10.4347826086957</v>
      </c>
      <c r="AU44" s="47">
        <f t="shared" si="200"/>
        <v>10.4347826086957</v>
      </c>
      <c r="AV44" s="47">
        <f t="shared" si="201"/>
        <v>10.4347826086957</v>
      </c>
      <c r="AW44" s="64">
        <f t="shared" si="202"/>
        <v>6.26086956521739</v>
      </c>
      <c r="AX44" s="69">
        <f t="shared" si="203"/>
        <v>50.0869565217393</v>
      </c>
      <c r="AY44" s="64" t="e">
        <f t="shared" si="13"/>
        <v>#REF!</v>
      </c>
      <c r="BB44" s="65" t="e">
        <f t="shared" si="204"/>
        <v>#REF!</v>
      </c>
      <c r="BD44" s="47" t="e">
        <f t="shared" si="205"/>
        <v>#REF!</v>
      </c>
      <c r="BE44" s="47" t="s">
        <v>249</v>
      </c>
      <c r="BF44" s="65" t="e">
        <f t="shared" si="206"/>
        <v>#REF!</v>
      </c>
      <c r="BG44" s="65">
        <f t="shared" si="207"/>
        <v>8.34782608695652</v>
      </c>
      <c r="BH44" s="65"/>
      <c r="BI44" s="65" t="e">
        <f t="shared" si="208"/>
        <v>#REF!</v>
      </c>
      <c r="BJ44" s="65">
        <f t="shared" si="209"/>
        <v>10.4347826086957</v>
      </c>
      <c r="BK44" s="65"/>
      <c r="BL44" s="65" t="e">
        <f t="shared" si="210"/>
        <v>#REF!</v>
      </c>
      <c r="BM44" s="65">
        <f t="shared" si="211"/>
        <v>10.4347826086957</v>
      </c>
      <c r="BN44" s="65"/>
      <c r="BO44" s="65" t="e">
        <f t="shared" si="212"/>
        <v>#REF!</v>
      </c>
      <c r="BP44" s="65">
        <f t="shared" si="213"/>
        <v>10.4347826086957</v>
      </c>
      <c r="BQ44" s="65"/>
      <c r="BR44" s="65" t="e">
        <f t="shared" si="214"/>
        <v>#REF!</v>
      </c>
      <c r="BS44" s="65">
        <f t="shared" si="215"/>
        <v>10.4347826086957</v>
      </c>
      <c r="BT44" s="65"/>
      <c r="BU44" s="65" t="e">
        <f t="shared" si="216"/>
        <v>#REF!</v>
      </c>
      <c r="BV44" s="47">
        <f t="shared" si="27"/>
        <v>6.26086956521739</v>
      </c>
      <c r="BX44" s="65" t="e">
        <f t="shared" si="28"/>
        <v>#REF!</v>
      </c>
    </row>
    <row r="45" ht="14.0">
      <c r="A45" s="93" t="s">
        <v>32</v>
      </c>
      <c r="B45" s="93" t="s">
        <v>81</v>
      </c>
      <c r="C45" s="93" t="s">
        <v>92</v>
      </c>
      <c r="D45" s="229">
        <v>43011.0</v>
      </c>
      <c r="E45" s="93">
        <v>15.0</v>
      </c>
      <c r="F45" s="93">
        <v>30.0</v>
      </c>
      <c r="G45" s="93">
        <v>39.0</v>
      </c>
      <c r="H45" s="93">
        <v>19.0</v>
      </c>
      <c r="I45" s="93">
        <v>39.0</v>
      </c>
      <c r="J45" s="93">
        <v>0.0</v>
      </c>
      <c r="K45" s="93">
        <v>18.0</v>
      </c>
      <c r="L45" s="93">
        <v>30.0</v>
      </c>
      <c r="M45" s="93">
        <v>15.0</v>
      </c>
      <c r="N45" s="93">
        <v>45.0</v>
      </c>
      <c r="O45" s="93">
        <v>3.0</v>
      </c>
      <c r="P45" s="93">
        <v>30.0</v>
      </c>
      <c r="Q45" s="93">
        <v>18.0</v>
      </c>
      <c r="R45" s="93">
        <v>13.0</v>
      </c>
      <c r="S45" s="93">
        <v>18.0</v>
      </c>
      <c r="T45" s="93">
        <v>18.0</v>
      </c>
      <c r="U45" s="93">
        <v>24.0</v>
      </c>
      <c r="V45" s="93">
        <v>15.0</v>
      </c>
      <c r="W45" s="93">
        <v>18.0</v>
      </c>
      <c r="X45" s="93">
        <v>18.0</v>
      </c>
      <c r="Y45" s="93">
        <v>3.0</v>
      </c>
      <c r="Z45" s="93">
        <v>9.0</v>
      </c>
      <c r="AA45" s="93">
        <v>24.0</v>
      </c>
      <c r="AB45" s="93">
        <v>9.0</v>
      </c>
      <c r="AC45" s="93">
        <v>15.0</v>
      </c>
      <c r="AD45" s="93">
        <v>3.0</v>
      </c>
      <c r="AE45" s="93">
        <v>9.0</v>
      </c>
      <c r="AF45" s="93">
        <v>7.0</v>
      </c>
      <c r="AG45" s="93">
        <v>15.0</v>
      </c>
      <c r="AH45" s="93">
        <v>9.0</v>
      </c>
      <c r="AI45" s="93">
        <v>3.0</v>
      </c>
      <c r="AJ45" s="93">
        <v>15.0</v>
      </c>
      <c r="AK45" s="93">
        <v>3.0</v>
      </c>
      <c r="AL45" s="93">
        <v>12.0</v>
      </c>
      <c r="AM45" s="93">
        <v>3.0</v>
      </c>
      <c r="AN45" s="93">
        <v>12.0</v>
      </c>
      <c r="AO45" s="69">
        <f t="shared" si="3"/>
        <v>106.0</v>
      </c>
      <c r="AP45" s="69">
        <f t="shared" si="4"/>
        <v>48.0</v>
      </c>
      <c r="AQ45" s="69">
        <f t="shared" si="5"/>
        <v>52.8</v>
      </c>
      <c r="AR45" s="47">
        <f t="shared" si="197"/>
        <v>8.34782608695652</v>
      </c>
      <c r="AS45" s="47">
        <f t="shared" si="198"/>
        <v>10.4347826086957</v>
      </c>
      <c r="AT45" s="47">
        <f t="shared" si="199"/>
        <v>10.4347826086957</v>
      </c>
      <c r="AU45" s="47">
        <f t="shared" si="200"/>
        <v>10.4347826086957</v>
      </c>
      <c r="AV45" s="47">
        <f t="shared" si="201"/>
        <v>10.4347826086957</v>
      </c>
      <c r="AW45" s="64">
        <f t="shared" si="202"/>
        <v>6.26086956521739</v>
      </c>
      <c r="AX45" s="69">
        <f t="shared" si="203"/>
        <v>50.0869565217393</v>
      </c>
      <c r="AY45" s="64" t="e">
        <f t="shared" si="13"/>
        <v>#REF!</v>
      </c>
      <c r="BB45" s="65" t="e">
        <f t="shared" si="204"/>
        <v>#REF!</v>
      </c>
      <c r="BD45" s="47" t="e">
        <f t="shared" si="205"/>
        <v>#REF!</v>
      </c>
      <c r="BE45" s="47" t="s">
        <v>350</v>
      </c>
      <c r="BF45" s="65" t="e">
        <f t="shared" si="206"/>
        <v>#REF!</v>
      </c>
      <c r="BG45" s="65">
        <f t="shared" si="207"/>
        <v>8.34782608695652</v>
      </c>
      <c r="BH45" s="65"/>
      <c r="BI45" s="65" t="e">
        <f t="shared" si="208"/>
        <v>#REF!</v>
      </c>
      <c r="BJ45" s="65">
        <f t="shared" si="209"/>
        <v>10.4347826086957</v>
      </c>
      <c r="BK45" s="65"/>
      <c r="BL45" s="65" t="e">
        <f t="shared" si="210"/>
        <v>#REF!</v>
      </c>
      <c r="BM45" s="65">
        <f t="shared" si="211"/>
        <v>10.4347826086957</v>
      </c>
      <c r="BN45" s="65"/>
      <c r="BO45" s="65" t="e">
        <f t="shared" si="212"/>
        <v>#REF!</v>
      </c>
      <c r="BP45" s="65">
        <f t="shared" si="213"/>
        <v>10.4347826086957</v>
      </c>
      <c r="BQ45" s="65"/>
      <c r="BR45" s="65" t="e">
        <f t="shared" si="214"/>
        <v>#REF!</v>
      </c>
      <c r="BS45" s="65">
        <f t="shared" si="215"/>
        <v>10.4347826086957</v>
      </c>
      <c r="BT45" s="65"/>
      <c r="BU45" s="65" t="e">
        <f t="shared" si="216"/>
        <v>#REF!</v>
      </c>
      <c r="BV45" s="47">
        <f t="shared" si="27"/>
        <v>6.26086956521739</v>
      </c>
      <c r="BX45" s="65" t="e">
        <f t="shared" si="28"/>
        <v>#REF!</v>
      </c>
    </row>
    <row r="46" ht="14.0">
      <c r="A46" s="93" t="s">
        <v>32</v>
      </c>
      <c r="B46" s="93" t="s">
        <v>81</v>
      </c>
      <c r="C46" s="93" t="s">
        <v>93</v>
      </c>
      <c r="D46" s="277">
        <v>43012.0</v>
      </c>
      <c r="E46" s="93">
        <v>6.0</v>
      </c>
      <c r="F46" s="93">
        <v>15.0</v>
      </c>
      <c r="G46" s="93">
        <v>24.0</v>
      </c>
      <c r="H46" s="93">
        <v>20.0</v>
      </c>
      <c r="I46" s="93">
        <v>21.0</v>
      </c>
      <c r="J46" s="93">
        <v>12.0</v>
      </c>
      <c r="K46" s="93">
        <v>9.0</v>
      </c>
      <c r="L46" s="93">
        <v>12.0</v>
      </c>
      <c r="M46" s="93">
        <v>24.0</v>
      </c>
      <c r="N46" s="93">
        <v>24.0</v>
      </c>
      <c r="O46" s="93">
        <v>3.0</v>
      </c>
      <c r="P46" s="93">
        <v>21.0</v>
      </c>
      <c r="Q46" s="93">
        <v>3.0</v>
      </c>
      <c r="R46" s="93">
        <v>10.0</v>
      </c>
      <c r="S46" s="93">
        <v>12.0</v>
      </c>
      <c r="T46" s="93">
        <v>19.0</v>
      </c>
      <c r="U46" s="93">
        <v>22.0</v>
      </c>
      <c r="V46" s="93">
        <v>6.0</v>
      </c>
      <c r="W46" s="93">
        <v>12.0</v>
      </c>
      <c r="X46" s="93">
        <v>9.0</v>
      </c>
      <c r="Y46" s="93">
        <v>14.0</v>
      </c>
      <c r="Z46" s="93">
        <v>12.0</v>
      </c>
      <c r="AA46" s="93">
        <v>3.0</v>
      </c>
      <c r="AB46" s="93">
        <v>12.0</v>
      </c>
      <c r="AC46" s="93">
        <v>3.0</v>
      </c>
      <c r="AD46" s="93">
        <v>15.0</v>
      </c>
      <c r="AE46" s="93">
        <v>6.0</v>
      </c>
      <c r="AF46" s="93">
        <v>5.0</v>
      </c>
      <c r="AG46" s="93">
        <v>15.0</v>
      </c>
      <c r="AH46" s="93">
        <v>3.0</v>
      </c>
      <c r="AI46" s="93">
        <v>9.0</v>
      </c>
      <c r="AJ46" s="93">
        <v>12.0</v>
      </c>
      <c r="AK46" s="93">
        <v>6.0</v>
      </c>
      <c r="AL46" s="93">
        <v>0.0</v>
      </c>
      <c r="AM46" s="93">
        <v>6.0</v>
      </c>
      <c r="AN46" s="93">
        <v>6.0</v>
      </c>
      <c r="AO46" s="69">
        <f t="shared" si="3"/>
        <v>86.0</v>
      </c>
      <c r="AP46" s="69">
        <f t="shared" si="4"/>
        <v>39.0</v>
      </c>
      <c r="AQ46" s="69">
        <f t="shared" si="5"/>
        <v>42.9</v>
      </c>
      <c r="AR46" s="47">
        <f t="shared" ref="AR46:AR49" si="217">AQ46*$AR$4/$AQ$4+2*$AR$51</f>
        <v>12.7826086956521</v>
      </c>
      <c r="AS46" s="47">
        <f t="shared" ref="AS46:AS49" si="218">AQ46*$AS$4/$AQ$4+2*$AS$51</f>
        <v>14.4782608695652</v>
      </c>
      <c r="AT46" s="47">
        <f t="shared" ref="AT46:AT49" si="219">AQ46*$AT$4/$AQ$4+2*$AT$51</f>
        <v>14.4782608695652</v>
      </c>
      <c r="AU46" s="47">
        <f t="shared" ref="AU46:AU49" si="220">AQ46*$AU$4/$AQ$4+2*$AU$51</f>
        <v>14.4782608695652</v>
      </c>
      <c r="AV46" s="47">
        <f t="shared" ref="AV46:AV49" si="221">AQ46*$AV$4/$AQ$4+2*$AV$51</f>
        <v>14.4782608695652</v>
      </c>
      <c r="AW46" s="64">
        <f t="shared" ref="AW46:AW49" si="222">AQ46*$AW$4/$AQ$4+2*$AW$51</f>
        <v>9.26086956521739</v>
      </c>
      <c r="AX46" s="69">
        <f t="shared" ref="AX46:AX49" si="223">SUM(AR46:AW46)</f>
        <v>79.9565217391303</v>
      </c>
      <c r="AY46" s="64" t="e">
        <f t="shared" si="13"/>
        <v>#REF!</v>
      </c>
      <c r="BB46" s="65" t="e">
        <f t="shared" si="204"/>
        <v>#REF!</v>
      </c>
      <c r="BF46" s="65" t="e">
        <f t="shared" si="206"/>
        <v>#REF!</v>
      </c>
      <c r="BG46" s="65">
        <f t="shared" si="207"/>
        <v>12.7826086956521</v>
      </c>
      <c r="BH46" s="65"/>
      <c r="BI46" s="65" t="e">
        <f t="shared" si="208"/>
        <v>#REF!</v>
      </c>
      <c r="BJ46" s="65">
        <f t="shared" si="209"/>
        <v>14.4782608695652</v>
      </c>
      <c r="BK46" s="65"/>
      <c r="BL46" s="65" t="e">
        <f t="shared" si="210"/>
        <v>#REF!</v>
      </c>
      <c r="BM46" s="65">
        <f t="shared" si="211"/>
        <v>14.4782608695652</v>
      </c>
      <c r="BN46" s="65"/>
      <c r="BO46" s="65" t="e">
        <f t="shared" si="212"/>
        <v>#REF!</v>
      </c>
      <c r="BP46" s="65">
        <f t="shared" si="213"/>
        <v>14.4782608695652</v>
      </c>
      <c r="BQ46" s="65"/>
      <c r="BR46" s="65" t="e">
        <f t="shared" si="214"/>
        <v>#REF!</v>
      </c>
      <c r="BS46" s="65">
        <f t="shared" si="215"/>
        <v>14.4782608695652</v>
      </c>
      <c r="BT46" s="65"/>
      <c r="BU46" s="65" t="e">
        <f t="shared" si="216"/>
        <v>#REF!</v>
      </c>
      <c r="BV46" s="47">
        <f t="shared" si="27"/>
        <v>9.26086956521739</v>
      </c>
      <c r="BX46" s="65" t="e">
        <f t="shared" si="28"/>
        <v>#REF!</v>
      </c>
    </row>
    <row r="47" ht="14.0">
      <c r="A47" s="93" t="s">
        <v>32</v>
      </c>
      <c r="B47" s="93" t="s">
        <v>81</v>
      </c>
      <c r="C47" s="93" t="s">
        <v>94</v>
      </c>
      <c r="D47" s="277">
        <v>43032.0</v>
      </c>
      <c r="E47" s="93">
        <v>0.0</v>
      </c>
      <c r="F47" s="93">
        <v>0.0</v>
      </c>
      <c r="G47" s="93">
        <v>0.0</v>
      </c>
      <c r="H47" s="93">
        <v>0.0</v>
      </c>
      <c r="I47" s="93">
        <v>0.0</v>
      </c>
      <c r="J47" s="93">
        <v>0.0</v>
      </c>
      <c r="K47" s="93">
        <v>0.0</v>
      </c>
      <c r="L47" s="93">
        <v>0.0</v>
      </c>
      <c r="M47" s="93">
        <v>0.0</v>
      </c>
      <c r="N47" s="93">
        <v>0.0</v>
      </c>
      <c r="O47" s="93">
        <v>0.0</v>
      </c>
      <c r="P47" s="93">
        <v>0.0</v>
      </c>
      <c r="Q47" s="93">
        <v>0.0</v>
      </c>
      <c r="R47" s="93">
        <v>0.0</v>
      </c>
      <c r="S47" s="93">
        <v>0.0</v>
      </c>
      <c r="T47" s="93">
        <v>0.0</v>
      </c>
      <c r="U47" s="93">
        <v>0.0</v>
      </c>
      <c r="V47" s="93">
        <v>0.0</v>
      </c>
      <c r="W47" s="93">
        <v>0.0</v>
      </c>
      <c r="X47" s="93">
        <v>0.0</v>
      </c>
      <c r="Y47" s="93">
        <v>0.0</v>
      </c>
      <c r="Z47" s="93">
        <v>0.0</v>
      </c>
      <c r="AA47" s="93">
        <v>0.0</v>
      </c>
      <c r="AB47" s="93">
        <v>0.0</v>
      </c>
      <c r="AC47" s="93">
        <v>0.0</v>
      </c>
      <c r="AD47" s="93">
        <v>3.0</v>
      </c>
      <c r="AE47" s="93">
        <v>6.0</v>
      </c>
      <c r="AF47" s="93">
        <v>0.0</v>
      </c>
      <c r="AG47" s="93">
        <v>3.0</v>
      </c>
      <c r="AH47" s="93">
        <v>0.0</v>
      </c>
      <c r="AI47" s="93">
        <v>0.0</v>
      </c>
      <c r="AJ47" s="93">
        <v>3.0</v>
      </c>
      <c r="AK47" s="93">
        <v>9.0</v>
      </c>
      <c r="AL47" s="93">
        <v>0.0</v>
      </c>
      <c r="AM47" s="93">
        <v>0.0</v>
      </c>
      <c r="AN47" s="93">
        <v>6.0</v>
      </c>
      <c r="AO47" s="69">
        <f t="shared" si="3"/>
        <v>30.0</v>
      </c>
      <c r="AP47" s="69">
        <f t="shared" si="4"/>
        <v>18.0</v>
      </c>
      <c r="AQ47" s="69">
        <f t="shared" si="5"/>
        <v>19.8</v>
      </c>
      <c r="AR47" s="47">
        <f t="shared" si="217"/>
        <v>9.1304347826087</v>
      </c>
      <c r="AS47" s="47">
        <f t="shared" si="218"/>
        <v>9.91304347826087</v>
      </c>
      <c r="AT47" s="47">
        <f t="shared" si="219"/>
        <v>9.91304347826087</v>
      </c>
      <c r="AU47" s="47">
        <f t="shared" si="220"/>
        <v>9.91304347826087</v>
      </c>
      <c r="AV47" s="47">
        <f t="shared" si="221"/>
        <v>9.91304347826087</v>
      </c>
      <c r="AW47" s="64">
        <f t="shared" si="222"/>
        <v>6.52173913043478</v>
      </c>
      <c r="AX47" s="69">
        <f t="shared" si="223"/>
        <v>55.304347826087</v>
      </c>
      <c r="AY47" s="64" t="e">
        <f t="shared" si="13"/>
        <v>#REF!</v>
      </c>
      <c r="BB47" s="65" t="e">
        <f t="shared" si="204"/>
        <v>#REF!</v>
      </c>
      <c r="BF47" s="65" t="e">
        <f t="shared" si="206"/>
        <v>#REF!</v>
      </c>
      <c r="BG47" s="65">
        <f t="shared" si="207"/>
        <v>9.1304347826087</v>
      </c>
      <c r="BH47" s="65"/>
      <c r="BI47" s="65" t="e">
        <f t="shared" si="208"/>
        <v>#REF!</v>
      </c>
      <c r="BJ47" s="65">
        <f t="shared" si="209"/>
        <v>9.91304347826087</v>
      </c>
      <c r="BK47" s="65"/>
      <c r="BL47" s="65" t="e">
        <f t="shared" si="210"/>
        <v>#REF!</v>
      </c>
      <c r="BM47" s="65">
        <f t="shared" si="211"/>
        <v>9.91304347826087</v>
      </c>
      <c r="BN47" s="65"/>
      <c r="BO47" s="65" t="e">
        <f t="shared" si="212"/>
        <v>#REF!</v>
      </c>
      <c r="BP47" s="65">
        <f t="shared" si="213"/>
        <v>9.91304347826087</v>
      </c>
      <c r="BQ47" s="65"/>
      <c r="BR47" s="65" t="e">
        <f t="shared" si="214"/>
        <v>#REF!</v>
      </c>
      <c r="BS47" s="65">
        <f t="shared" si="215"/>
        <v>9.91304347826087</v>
      </c>
      <c r="BT47" s="65"/>
      <c r="BU47" s="65" t="e">
        <f t="shared" si="216"/>
        <v>#REF!</v>
      </c>
      <c r="BV47" s="47">
        <f t="shared" si="27"/>
        <v>6.52173913043478</v>
      </c>
      <c r="BX47" s="65" t="e">
        <f t="shared" si="28"/>
        <v>#REF!</v>
      </c>
    </row>
    <row r="48" ht="14.0">
      <c r="A48" s="93" t="s">
        <v>32</v>
      </c>
      <c r="B48" s="93" t="s">
        <v>81</v>
      </c>
      <c r="C48" s="93" t="s">
        <v>95</v>
      </c>
      <c r="D48" s="277">
        <v>43033.0</v>
      </c>
      <c r="E48" s="93">
        <v>0.0</v>
      </c>
      <c r="F48" s="93">
        <v>0.0</v>
      </c>
      <c r="G48" s="93">
        <v>0.0</v>
      </c>
      <c r="H48" s="93">
        <v>0.0</v>
      </c>
      <c r="I48" s="93">
        <v>0.0</v>
      </c>
      <c r="J48" s="93">
        <v>0.0</v>
      </c>
      <c r="K48" s="93">
        <v>0.0</v>
      </c>
      <c r="L48" s="93">
        <v>0.0</v>
      </c>
      <c r="M48" s="93">
        <v>0.0</v>
      </c>
      <c r="N48" s="93">
        <v>0.0</v>
      </c>
      <c r="O48" s="93">
        <v>0.0</v>
      </c>
      <c r="P48" s="93">
        <v>0.0</v>
      </c>
      <c r="Q48" s="93">
        <v>0.0</v>
      </c>
      <c r="R48" s="93">
        <v>0.0</v>
      </c>
      <c r="S48" s="93">
        <v>0.0</v>
      </c>
      <c r="T48" s="93">
        <v>0.0</v>
      </c>
      <c r="U48" s="93">
        <v>0.0</v>
      </c>
      <c r="V48" s="93">
        <v>0.0</v>
      </c>
      <c r="W48" s="93">
        <v>0.0</v>
      </c>
      <c r="X48" s="93">
        <v>0.0</v>
      </c>
      <c r="Y48" s="93">
        <v>0.0</v>
      </c>
      <c r="Z48" s="93">
        <v>0.0</v>
      </c>
      <c r="AA48" s="93">
        <v>3.0</v>
      </c>
      <c r="AB48" s="93">
        <v>3.0</v>
      </c>
      <c r="AC48" s="93">
        <v>0.0</v>
      </c>
      <c r="AD48" s="93">
        <v>0.0</v>
      </c>
      <c r="AE48" s="93">
        <v>9.0</v>
      </c>
      <c r="AF48" s="93">
        <v>3.0</v>
      </c>
      <c r="AG48" s="93">
        <v>3.0</v>
      </c>
      <c r="AH48" s="93">
        <v>3.0</v>
      </c>
      <c r="AI48" s="93">
        <v>0.0</v>
      </c>
      <c r="AJ48" s="93">
        <v>0.0</v>
      </c>
      <c r="AK48" s="93">
        <v>0.0</v>
      </c>
      <c r="AL48" s="93">
        <v>3.0</v>
      </c>
      <c r="AM48" s="93">
        <v>0.0</v>
      </c>
      <c r="AN48" s="93">
        <v>3.0</v>
      </c>
      <c r="AO48" s="69">
        <f t="shared" si="3"/>
        <v>24.0</v>
      </c>
      <c r="AP48" s="69">
        <f t="shared" si="4"/>
        <v>6.0</v>
      </c>
      <c r="AQ48" s="69">
        <f t="shared" si="5"/>
        <v>6.6</v>
      </c>
      <c r="AR48" s="47">
        <f t="shared" si="217"/>
        <v>7.04347826086957</v>
      </c>
      <c r="AS48" s="47">
        <f t="shared" si="218"/>
        <v>7.30434782608696</v>
      </c>
      <c r="AT48" s="47">
        <f t="shared" si="219"/>
        <v>7.30434782608696</v>
      </c>
      <c r="AU48" s="47">
        <f t="shared" si="220"/>
        <v>7.30434782608696</v>
      </c>
      <c r="AV48" s="47">
        <f t="shared" si="221"/>
        <v>7.30434782608696</v>
      </c>
      <c r="AW48" s="64">
        <f t="shared" si="222"/>
        <v>4.95652173913043</v>
      </c>
      <c r="AX48" s="69">
        <f t="shared" si="223"/>
        <v>41.2173913043478</v>
      </c>
      <c r="AY48" s="64" t="e">
        <f t="shared" si="13"/>
        <v>#REF!</v>
      </c>
      <c r="BB48" s="65" t="e">
        <f t="shared" si="204"/>
        <v>#REF!</v>
      </c>
      <c r="BF48" s="65" t="e">
        <f t="shared" si="206"/>
        <v>#REF!</v>
      </c>
      <c r="BG48" s="65">
        <f t="shared" si="207"/>
        <v>7.04347826086957</v>
      </c>
      <c r="BH48" s="65"/>
      <c r="BI48" s="65" t="e">
        <f t="shared" si="208"/>
        <v>#REF!</v>
      </c>
      <c r="BJ48" s="65">
        <f t="shared" si="209"/>
        <v>7.30434782608696</v>
      </c>
      <c r="BK48" s="65"/>
      <c r="BL48" s="65" t="e">
        <f t="shared" si="210"/>
        <v>#REF!</v>
      </c>
      <c r="BM48" s="65">
        <f t="shared" si="211"/>
        <v>7.30434782608696</v>
      </c>
      <c r="BN48" s="65"/>
      <c r="BO48" s="65" t="e">
        <f t="shared" si="212"/>
        <v>#REF!</v>
      </c>
      <c r="BP48" s="65">
        <f t="shared" si="213"/>
        <v>7.30434782608696</v>
      </c>
      <c r="BQ48" s="65"/>
      <c r="BR48" s="65" t="e">
        <f t="shared" si="214"/>
        <v>#REF!</v>
      </c>
      <c r="BS48" s="65">
        <f t="shared" si="215"/>
        <v>7.30434782608696</v>
      </c>
      <c r="BT48" s="65"/>
      <c r="BU48" s="65" t="e">
        <f t="shared" si="216"/>
        <v>#REF!</v>
      </c>
      <c r="BV48" s="47">
        <f t="shared" si="27"/>
        <v>4.95652173913043</v>
      </c>
      <c r="BX48" s="65" t="e">
        <f t="shared" si="28"/>
        <v>#REF!</v>
      </c>
    </row>
    <row r="49" ht="14.0">
      <c r="A49" s="93" t="s">
        <v>32</v>
      </c>
      <c r="B49" s="93" t="s">
        <v>81</v>
      </c>
      <c r="C49" s="93" t="s">
        <v>96</v>
      </c>
      <c r="D49" s="277">
        <v>43034.0</v>
      </c>
      <c r="E49" s="93">
        <v>0.0</v>
      </c>
      <c r="F49" s="93">
        <v>0.0</v>
      </c>
      <c r="G49" s="93">
        <v>0.0</v>
      </c>
      <c r="H49" s="93">
        <v>0.0</v>
      </c>
      <c r="I49" s="93">
        <v>0.0</v>
      </c>
      <c r="J49" s="93">
        <v>0.0</v>
      </c>
      <c r="K49" s="93">
        <v>0.0</v>
      </c>
      <c r="L49" s="93">
        <v>0.0</v>
      </c>
      <c r="M49" s="93">
        <v>0.0</v>
      </c>
      <c r="N49" s="93">
        <v>0.0</v>
      </c>
      <c r="O49" s="93">
        <v>0.0</v>
      </c>
      <c r="P49" s="93">
        <v>0.0</v>
      </c>
      <c r="Q49" s="93">
        <v>0.0</v>
      </c>
      <c r="R49" s="93">
        <v>0.0</v>
      </c>
      <c r="S49" s="93">
        <v>0.0</v>
      </c>
      <c r="T49" s="93">
        <v>0.0</v>
      </c>
      <c r="U49" s="93">
        <v>0.0</v>
      </c>
      <c r="V49" s="93">
        <v>0.0</v>
      </c>
      <c r="W49" s="93">
        <v>0.0</v>
      </c>
      <c r="X49" s="93">
        <v>0.0</v>
      </c>
      <c r="Y49" s="93">
        <v>0.0</v>
      </c>
      <c r="Z49" s="93">
        <v>0.0</v>
      </c>
      <c r="AA49" s="93">
        <v>3.0</v>
      </c>
      <c r="AB49" s="93">
        <v>6.0</v>
      </c>
      <c r="AC49" s="93">
        <v>3.0</v>
      </c>
      <c r="AD49" s="93">
        <v>3.0</v>
      </c>
      <c r="AE49" s="93">
        <v>6.0</v>
      </c>
      <c r="AF49" s="93">
        <v>2.0</v>
      </c>
      <c r="AG49" s="93">
        <v>3.0</v>
      </c>
      <c r="AH49" s="93">
        <v>0.0</v>
      </c>
      <c r="AI49" s="93">
        <v>0.0</v>
      </c>
      <c r="AJ49" s="93">
        <v>0.0</v>
      </c>
      <c r="AK49" s="93">
        <v>3.0</v>
      </c>
      <c r="AL49" s="93">
        <v>0.0</v>
      </c>
      <c r="AM49" s="93">
        <v>3.0</v>
      </c>
      <c r="AN49" s="93">
        <v>6.0</v>
      </c>
      <c r="AO49" s="69">
        <f t="shared" si="3"/>
        <v>29.0</v>
      </c>
      <c r="AP49" s="69">
        <f t="shared" si="4"/>
        <v>12.0</v>
      </c>
      <c r="AQ49" s="69">
        <f t="shared" si="5"/>
        <v>13.2</v>
      </c>
      <c r="AR49" s="47">
        <f t="shared" si="217"/>
        <v>8.08695652173912</v>
      </c>
      <c r="AS49" s="47">
        <f t="shared" si="218"/>
        <v>8.60869565217391</v>
      </c>
      <c r="AT49" s="47">
        <f t="shared" si="219"/>
        <v>8.60869565217391</v>
      </c>
      <c r="AU49" s="47">
        <f t="shared" si="220"/>
        <v>8.60869565217391</v>
      </c>
      <c r="AV49" s="47">
        <f t="shared" si="221"/>
        <v>8.60869565217391</v>
      </c>
      <c r="AW49" s="64">
        <f t="shared" si="222"/>
        <v>5.7391304347826</v>
      </c>
      <c r="AX49" s="69">
        <f t="shared" si="223"/>
        <v>48.2608695652173</v>
      </c>
      <c r="AY49" s="64" t="e">
        <f t="shared" si="13"/>
        <v>#REF!</v>
      </c>
      <c r="BB49" s="65" t="e">
        <f t="shared" si="204"/>
        <v>#REF!</v>
      </c>
      <c r="BF49" s="65" t="e">
        <f t="shared" si="206"/>
        <v>#REF!</v>
      </c>
      <c r="BG49" s="65">
        <f t="shared" si="207"/>
        <v>8.08695652173912</v>
      </c>
      <c r="BH49" s="65"/>
      <c r="BI49" s="65" t="e">
        <f t="shared" si="208"/>
        <v>#REF!</v>
      </c>
      <c r="BJ49" s="65">
        <f t="shared" si="209"/>
        <v>8.60869565217391</v>
      </c>
      <c r="BK49" s="65"/>
      <c r="BL49" s="65" t="e">
        <f t="shared" si="210"/>
        <v>#REF!</v>
      </c>
      <c r="BM49" s="65">
        <f t="shared" si="211"/>
        <v>8.60869565217391</v>
      </c>
      <c r="BN49" s="65"/>
      <c r="BO49" s="65" t="e">
        <f t="shared" si="212"/>
        <v>#REF!</v>
      </c>
      <c r="BP49" s="65">
        <f t="shared" si="213"/>
        <v>8.60869565217391</v>
      </c>
      <c r="BQ49" s="65"/>
      <c r="BR49" s="65" t="e">
        <f t="shared" si="214"/>
        <v>#REF!</v>
      </c>
      <c r="BS49" s="65">
        <f t="shared" si="215"/>
        <v>8.60869565217391</v>
      </c>
      <c r="BT49" s="65"/>
      <c r="BU49" s="65" t="e">
        <f t="shared" si="216"/>
        <v>#REF!</v>
      </c>
      <c r="BV49" s="47">
        <f t="shared" si="27"/>
        <v>5.7391304347826</v>
      </c>
      <c r="BX49" s="65" t="e">
        <f t="shared" si="28"/>
        <v>#REF!</v>
      </c>
    </row>
    <row r="50" ht="14.0">
      <c r="A50" s="93" t="s">
        <v>32</v>
      </c>
      <c r="B50" s="93" t="s">
        <v>81</v>
      </c>
      <c r="C50" s="93" t="s">
        <v>84</v>
      </c>
      <c r="D50" s="229" t="s">
        <v>85</v>
      </c>
      <c r="E50" s="93">
        <v>0.0</v>
      </c>
      <c r="F50" s="93">
        <v>1.0</v>
      </c>
      <c r="G50" s="93">
        <v>1.0</v>
      </c>
      <c r="H50" s="93">
        <v>0.0</v>
      </c>
      <c r="I50" s="93">
        <v>0.0</v>
      </c>
      <c r="J50" s="93">
        <v>0.0</v>
      </c>
      <c r="K50" s="93">
        <v>0.0</v>
      </c>
      <c r="L50" s="93">
        <v>0.0</v>
      </c>
      <c r="M50" s="93">
        <v>0.0</v>
      </c>
      <c r="N50" s="93">
        <v>4.0</v>
      </c>
      <c r="O50" s="93">
        <v>0.0</v>
      </c>
      <c r="P50" s="93">
        <v>0.0</v>
      </c>
      <c r="Q50" s="93">
        <v>0.0</v>
      </c>
      <c r="R50" s="93">
        <v>3.0</v>
      </c>
      <c r="S50" s="93">
        <v>0.0</v>
      </c>
      <c r="T50" s="93">
        <v>0.0</v>
      </c>
      <c r="U50" s="93">
        <v>0.0</v>
      </c>
      <c r="V50" s="93">
        <v>0.0</v>
      </c>
      <c r="W50" s="93">
        <v>0.0</v>
      </c>
      <c r="X50" s="93">
        <v>0.0</v>
      </c>
      <c r="Y50" s="93">
        <v>0.0</v>
      </c>
      <c r="Z50" s="93">
        <v>0.0</v>
      </c>
      <c r="AA50" s="93">
        <v>0.0</v>
      </c>
      <c r="AB50" s="93">
        <v>0.0</v>
      </c>
      <c r="AC50" s="93">
        <v>0.0</v>
      </c>
      <c r="AD50" s="93">
        <v>0.0</v>
      </c>
      <c r="AE50" s="93">
        <v>0.0</v>
      </c>
      <c r="AF50" s="93">
        <v>0.0</v>
      </c>
      <c r="AG50" s="93">
        <v>0.0</v>
      </c>
      <c r="AH50" s="93">
        <v>0.0</v>
      </c>
      <c r="AI50" s="93">
        <v>0.0</v>
      </c>
      <c r="AJ50" s="93">
        <v>1.0</v>
      </c>
      <c r="AK50" s="93">
        <v>0.0</v>
      </c>
      <c r="AL50" s="93">
        <v>0.0</v>
      </c>
      <c r="AM50" s="93">
        <v>0.0</v>
      </c>
      <c r="AN50" s="93">
        <v>0.0</v>
      </c>
      <c r="AO50" s="69">
        <f t="shared" si="3"/>
        <v>1.0</v>
      </c>
      <c r="AP50" s="69">
        <f t="shared" si="4"/>
        <v>1.0</v>
      </c>
      <c r="AQ50" s="69">
        <f t="shared" si="5"/>
        <v>1.1</v>
      </c>
      <c r="AR50" s="47">
        <f>AR51</f>
        <v>3.0</v>
      </c>
      <c r="AS50" s="47">
        <f>AS51</f>
        <v>3.0</v>
      </c>
      <c r="AT50" s="47">
        <f>AT51</f>
        <v>3.0</v>
      </c>
      <c r="AU50" s="47">
        <f>AU51</f>
        <v>3.0</v>
      </c>
      <c r="AV50" s="47">
        <f>AV51</f>
        <v>3.0</v>
      </c>
      <c r="AW50" s="47">
        <f>AW51</f>
        <v>2.08695652173913</v>
      </c>
      <c r="AX50" s="69">
        <f>SUM(AR50:AV50)</f>
        <v>15.0</v>
      </c>
      <c r="AY50" s="64" t="e">
        <f t="shared" si="13"/>
        <v>#REF!</v>
      </c>
      <c r="BB50" s="65" t="e">
        <f t="shared" si="204"/>
        <v>#REF!</v>
      </c>
      <c r="BD50" s="47" t="e">
        <f>BB50*-1</f>
        <v>#REF!</v>
      </c>
      <c r="BE50" s="47" t="s">
        <v>355</v>
      </c>
      <c r="BF50" s="65" t="e">
        <f t="shared" si="206"/>
        <v>#REF!</v>
      </c>
      <c r="BG50" s="65">
        <f t="shared" si="207"/>
        <v>3.0</v>
      </c>
      <c r="BH50" s="65"/>
      <c r="BI50" s="65" t="e">
        <f t="shared" si="208"/>
        <v>#REF!</v>
      </c>
      <c r="BJ50" s="65">
        <f t="shared" si="209"/>
        <v>3.0</v>
      </c>
      <c r="BK50" s="65"/>
      <c r="BL50" s="65" t="e">
        <f t="shared" si="210"/>
        <v>#REF!</v>
      </c>
      <c r="BM50" s="65">
        <f t="shared" si="211"/>
        <v>3.0</v>
      </c>
      <c r="BN50" s="65"/>
      <c r="BO50" s="65" t="e">
        <f t="shared" si="212"/>
        <v>#REF!</v>
      </c>
      <c r="BP50" s="65">
        <f t="shared" si="213"/>
        <v>3.0</v>
      </c>
      <c r="BQ50" s="65"/>
      <c r="BR50" s="65" t="e">
        <f t="shared" si="214"/>
        <v>#REF!</v>
      </c>
      <c r="BS50" s="65">
        <f t="shared" si="215"/>
        <v>3.0</v>
      </c>
      <c r="BT50" s="65"/>
      <c r="BU50" s="65" t="e">
        <f t="shared" si="216"/>
        <v>#REF!</v>
      </c>
      <c r="BV50" s="47">
        <f t="shared" si="27"/>
        <v>2.08695652173913</v>
      </c>
      <c r="BX50" s="65" t="e">
        <f t="shared" si="28"/>
        <v>#REF!</v>
      </c>
    </row>
    <row r="51" ht="14.0">
      <c r="A51" s="93" t="s">
        <v>32</v>
      </c>
      <c r="B51" s="93" t="s">
        <v>81</v>
      </c>
      <c r="C51" s="93" t="s">
        <v>82</v>
      </c>
      <c r="D51" s="229" t="s">
        <v>83</v>
      </c>
      <c r="E51" s="93">
        <v>4.0</v>
      </c>
      <c r="F51" s="93">
        <v>7.0</v>
      </c>
      <c r="G51" s="93">
        <v>3.0</v>
      </c>
      <c r="H51" s="93">
        <v>0.0</v>
      </c>
      <c r="I51" s="93">
        <v>0.0</v>
      </c>
      <c r="J51" s="93">
        <v>0.0</v>
      </c>
      <c r="K51" s="93">
        <v>6.0</v>
      </c>
      <c r="L51" s="93">
        <v>3.0</v>
      </c>
      <c r="M51" s="93">
        <v>4.0</v>
      </c>
      <c r="N51" s="93">
        <v>2.0</v>
      </c>
      <c r="O51" s="93">
        <v>2.0</v>
      </c>
      <c r="P51" s="93">
        <v>7.0</v>
      </c>
      <c r="Q51" s="93">
        <v>5.0</v>
      </c>
      <c r="R51" s="93">
        <v>3.0</v>
      </c>
      <c r="S51" s="93">
        <v>1.0</v>
      </c>
      <c r="T51" s="93">
        <v>8.0</v>
      </c>
      <c r="U51" s="93">
        <v>4.0</v>
      </c>
      <c r="V51" s="93">
        <v>1.0</v>
      </c>
      <c r="W51" s="93">
        <v>4.0</v>
      </c>
      <c r="X51" s="93">
        <v>8.0</v>
      </c>
      <c r="Y51" s="93">
        <v>4.0</v>
      </c>
      <c r="Z51" s="93">
        <v>0.0</v>
      </c>
      <c r="AA51" s="93">
        <v>2.0</v>
      </c>
      <c r="AB51" s="93">
        <v>3.0</v>
      </c>
      <c r="AC51" s="93">
        <v>3.0</v>
      </c>
      <c r="AD51" s="93">
        <v>0.0</v>
      </c>
      <c r="AE51" s="93">
        <v>3.0</v>
      </c>
      <c r="AF51" s="93">
        <v>4.0</v>
      </c>
      <c r="AG51" s="93">
        <v>2.0</v>
      </c>
      <c r="AH51" s="93">
        <v>2.0</v>
      </c>
      <c r="AI51" s="93">
        <v>2.0</v>
      </c>
      <c r="AJ51" s="93">
        <v>4.0</v>
      </c>
      <c r="AK51" s="93">
        <v>3.0</v>
      </c>
      <c r="AL51" s="93">
        <v>3.0</v>
      </c>
      <c r="AM51" s="93">
        <v>4.0</v>
      </c>
      <c r="AN51" s="93">
        <v>0.0</v>
      </c>
      <c r="AO51" s="69">
        <f t="shared" si="3"/>
        <v>30.0</v>
      </c>
      <c r="AP51" s="69">
        <f t="shared" si="4"/>
        <v>16.0</v>
      </c>
      <c r="AQ51" s="69">
        <f t="shared" si="5"/>
        <v>17.6</v>
      </c>
      <c r="AR51" s="235">
        <v>3.0</v>
      </c>
      <c r="AS51" s="235">
        <v>3.0</v>
      </c>
      <c r="AT51" s="235">
        <v>3.0</v>
      </c>
      <c r="AU51" s="235">
        <v>3.0</v>
      </c>
      <c r="AV51" s="235">
        <v>3.0</v>
      </c>
      <c r="AW51" s="249">
        <f>AQ51*$AW$4/$AQ$4</f>
        <v>2.08695652173913</v>
      </c>
      <c r="AX51" s="69">
        <f t="shared" ref="AX51:AX52" si="233">SUM(AR51:AW51)</f>
        <v>17.0869565217391</v>
      </c>
      <c r="AY51" s="64" t="e">
        <f t="shared" si="13"/>
        <v>#REF!</v>
      </c>
      <c r="BF51" s="65"/>
      <c r="BG51" s="65"/>
      <c r="BH51" s="65"/>
      <c r="BI51" s="65"/>
      <c r="BJ51" s="65"/>
      <c r="BK51" s="65"/>
      <c r="BL51" s="65"/>
      <c r="BM51" s="65"/>
      <c r="BN51" s="65"/>
      <c r="BO51" s="65"/>
      <c r="BP51" s="65"/>
      <c r="BQ51" s="65"/>
      <c r="BR51" s="65"/>
      <c r="BS51" s="65"/>
      <c r="BT51" s="65"/>
      <c r="BU51" s="65"/>
      <c r="BV51" s="47">
        <f t="shared" si="27"/>
        <v>2.08695652173913</v>
      </c>
      <c r="BX51" s="65">
        <f t="shared" si="28"/>
        <v>-2.08695652173913</v>
      </c>
    </row>
    <row r="52" ht="14.0">
      <c r="A52" s="93" t="s">
        <v>32</v>
      </c>
      <c r="B52" s="93" t="s">
        <v>81</v>
      </c>
      <c r="C52" s="93" t="s">
        <v>101</v>
      </c>
      <c r="D52" s="277">
        <v>43201.0</v>
      </c>
      <c r="E52" s="93">
        <v>9.0</v>
      </c>
      <c r="F52" s="93">
        <v>15.0</v>
      </c>
      <c r="G52" s="93">
        <v>21.0</v>
      </c>
      <c r="H52" s="93">
        <v>24.0</v>
      </c>
      <c r="I52" s="93">
        <v>15.0</v>
      </c>
      <c r="J52" s="93">
        <v>6.0</v>
      </c>
      <c r="K52" s="93">
        <v>15.0</v>
      </c>
      <c r="L52" s="93">
        <v>6.0</v>
      </c>
      <c r="M52" s="93">
        <v>3.0</v>
      </c>
      <c r="N52" s="93">
        <v>17.0</v>
      </c>
      <c r="O52" s="93">
        <v>12.0</v>
      </c>
      <c r="P52" s="93">
        <v>15.0</v>
      </c>
      <c r="Q52" s="93">
        <v>12.0</v>
      </c>
      <c r="R52" s="93">
        <v>7.0</v>
      </c>
      <c r="S52" s="93">
        <v>3.0</v>
      </c>
      <c r="T52" s="93">
        <v>17.0</v>
      </c>
      <c r="U52" s="93">
        <v>6.0</v>
      </c>
      <c r="V52" s="93">
        <v>3.0</v>
      </c>
      <c r="W52" s="93">
        <v>24.0</v>
      </c>
      <c r="X52" s="93">
        <v>21.0</v>
      </c>
      <c r="Y52" s="93">
        <v>9.0</v>
      </c>
      <c r="Z52" s="93">
        <v>18.0</v>
      </c>
      <c r="AA52" s="93">
        <v>6.0</v>
      </c>
      <c r="AB52" s="93">
        <v>6.0</v>
      </c>
      <c r="AC52" s="93">
        <v>6.0</v>
      </c>
      <c r="AD52" s="93">
        <v>3.0</v>
      </c>
      <c r="AE52" s="93">
        <v>21.0</v>
      </c>
      <c r="AF52" s="93">
        <v>15.0</v>
      </c>
      <c r="AG52" s="93">
        <v>3.0</v>
      </c>
      <c r="AH52" s="93">
        <v>18.0</v>
      </c>
      <c r="AI52" s="93">
        <v>3.0</v>
      </c>
      <c r="AJ52" s="93">
        <v>3.0</v>
      </c>
      <c r="AK52" s="93">
        <v>6.0</v>
      </c>
      <c r="AL52" s="93">
        <v>0.0</v>
      </c>
      <c r="AM52" s="93">
        <v>0.0</v>
      </c>
      <c r="AN52" s="93">
        <v>0.0</v>
      </c>
      <c r="AO52" s="69">
        <f t="shared" si="3"/>
        <v>78.0</v>
      </c>
      <c r="AP52" s="69">
        <f t="shared" si="4"/>
        <v>12.0</v>
      </c>
      <c r="AQ52" s="69">
        <f t="shared" si="5"/>
        <v>13.2</v>
      </c>
      <c r="AR52" s="47">
        <f>AQ52*$AR$4/$AQ$4+2*$AR$60</f>
        <v>4.08695652173913</v>
      </c>
      <c r="AS52" s="47">
        <f>AQ52*$AS$4/$AQ$4+2*$AS$60</f>
        <v>6.60869565217391</v>
      </c>
      <c r="AT52" s="47">
        <f>AQ52*$AT$4/$AQ$4+2*$AT$60</f>
        <v>6.60869565217391</v>
      </c>
      <c r="AU52" s="47">
        <f>AQ52*$AU$4/$AQ$4+2*$AU$60</f>
        <v>6.60869565217391</v>
      </c>
      <c r="AV52" s="47">
        <f>AQ52*$AV$4/$AQ$4+2*$AV$60</f>
        <v>6.60869565217391</v>
      </c>
      <c r="AW52" s="64">
        <f>AQ52*$AW$4/$AQ$4+2*$AW$60</f>
        <v>3.65217391304348</v>
      </c>
      <c r="AX52" s="69">
        <f t="shared" si="233"/>
        <v>34.1739130434782</v>
      </c>
      <c r="AY52" s="64" t="e">
        <f t="shared" si="13"/>
        <v>#REF!</v>
      </c>
      <c r="BB52" s="65" t="e">
        <f t="shared" ref="BB52:BB59" si="240">AY52+AZ52+BA52-AX52</f>
        <v>#REF!</v>
      </c>
      <c r="BF52" s="65" t="e">
        <f t="shared" ref="BF52:BF59" si="241">AY52</f>
        <v>#REF!</v>
      </c>
      <c r="BG52" s="65">
        <f t="shared" ref="BG52:BG59" si="242">AR52</f>
        <v>4.08695652173913</v>
      </c>
      <c r="BH52" s="65"/>
      <c r="BI52" s="65" t="e">
        <f t="shared" ref="BI52:BI59" si="243">BF52+BH52-BG52</f>
        <v>#REF!</v>
      </c>
      <c r="BJ52" s="65">
        <f t="shared" ref="BJ52:BJ59" si="244">AS52</f>
        <v>6.60869565217391</v>
      </c>
      <c r="BK52" s="65"/>
      <c r="BL52" s="65" t="e">
        <f t="shared" ref="BL52:BL59" si="245">BI52+BK52-BJ52</f>
        <v>#REF!</v>
      </c>
      <c r="BM52" s="65">
        <f t="shared" ref="BM52:BM59" si="246">AT52</f>
        <v>6.60869565217391</v>
      </c>
      <c r="BN52" s="65"/>
      <c r="BO52" s="65" t="e">
        <f t="shared" ref="BO52:BO59" si="247">BL52+BN52-BM52</f>
        <v>#REF!</v>
      </c>
      <c r="BP52" s="65">
        <f t="shared" ref="BP52:BP59" si="248">AU52</f>
        <v>6.60869565217391</v>
      </c>
      <c r="BQ52" s="65"/>
      <c r="BR52" s="65" t="e">
        <f t="shared" ref="BR52:BR59" si="249">BO52+BQ52-BP52</f>
        <v>#REF!</v>
      </c>
      <c r="BS52" s="65">
        <f t="shared" ref="BS52:BS59" si="250">AV52</f>
        <v>6.60869565217391</v>
      </c>
      <c r="BT52" s="65"/>
      <c r="BU52" s="65" t="e">
        <f t="shared" ref="BU52:BU59" si="251">BR52+BT52-BS52</f>
        <v>#REF!</v>
      </c>
      <c r="BV52" s="47">
        <f t="shared" si="27"/>
        <v>3.65217391304348</v>
      </c>
      <c r="BX52" s="65" t="e">
        <f t="shared" si="28"/>
        <v>#REF!</v>
      </c>
    </row>
    <row r="53" ht="14.0">
      <c r="A53" s="93" t="s">
        <v>32</v>
      </c>
      <c r="B53" s="93" t="s">
        <v>81</v>
      </c>
      <c r="C53" s="93" t="s">
        <v>102</v>
      </c>
      <c r="D53" s="229">
        <v>43203.0</v>
      </c>
      <c r="E53" s="93">
        <v>12.0</v>
      </c>
      <c r="F53" s="93">
        <v>21.0</v>
      </c>
      <c r="G53" s="93">
        <v>37.0</v>
      </c>
      <c r="H53" s="93">
        <v>36.0</v>
      </c>
      <c r="I53" s="93">
        <v>9.0</v>
      </c>
      <c r="J53" s="93">
        <v>15.0</v>
      </c>
      <c r="K53" s="93">
        <v>21.0</v>
      </c>
      <c r="L53" s="93">
        <v>18.0</v>
      </c>
      <c r="M53" s="93">
        <v>21.0</v>
      </c>
      <c r="N53" s="93">
        <v>24.0</v>
      </c>
      <c r="O53" s="93">
        <v>6.0</v>
      </c>
      <c r="P53" s="93">
        <v>12.0</v>
      </c>
      <c r="Q53" s="93">
        <v>15.0</v>
      </c>
      <c r="R53" s="93">
        <v>30.0</v>
      </c>
      <c r="S53" s="93">
        <v>9.0</v>
      </c>
      <c r="T53" s="93">
        <v>21.0</v>
      </c>
      <c r="U53" s="93">
        <v>39.0</v>
      </c>
      <c r="V53" s="93">
        <v>6.0</v>
      </c>
      <c r="W53" s="93">
        <v>19.0</v>
      </c>
      <c r="X53" s="93">
        <v>33.0</v>
      </c>
      <c r="Y53" s="93">
        <v>12.0</v>
      </c>
      <c r="Z53" s="93">
        <v>33.0</v>
      </c>
      <c r="AA53" s="93">
        <v>24.0</v>
      </c>
      <c r="AB53" s="93">
        <v>12.0</v>
      </c>
      <c r="AC53" s="93">
        <v>3.0</v>
      </c>
      <c r="AD53" s="93">
        <v>6.0</v>
      </c>
      <c r="AE53" s="93">
        <v>24.0</v>
      </c>
      <c r="AF53" s="93">
        <v>21.0</v>
      </c>
      <c r="AG53" s="93">
        <v>15.0</v>
      </c>
      <c r="AH53" s="93">
        <v>15.0</v>
      </c>
      <c r="AI53" s="93">
        <v>21.0</v>
      </c>
      <c r="AJ53" s="93">
        <v>12.0</v>
      </c>
      <c r="AK53" s="93">
        <v>12.0</v>
      </c>
      <c r="AL53" s="93">
        <v>4.0</v>
      </c>
      <c r="AM53" s="93">
        <v>0.0</v>
      </c>
      <c r="AN53" s="93">
        <v>0.0</v>
      </c>
      <c r="AO53" s="69">
        <f t="shared" si="3"/>
        <v>133.0</v>
      </c>
      <c r="AP53" s="69">
        <f t="shared" si="4"/>
        <v>49.0</v>
      </c>
      <c r="AQ53" s="69">
        <f t="shared" si="5"/>
        <v>53.9</v>
      </c>
      <c r="AR53" s="47">
        <f>AQ53*$AR$4/$AQ$4</f>
        <v>8.52173913043478</v>
      </c>
      <c r="AS53" s="47">
        <f>AQ53*$AS$4/$AQ$4</f>
        <v>10.6521739130434</v>
      </c>
      <c r="AT53" s="47">
        <f>AQ53*$AT$4/$AQ$4</f>
        <v>10.6521739130434</v>
      </c>
      <c r="AU53" s="47">
        <f>AQ53*$AU$4/$AQ$4</f>
        <v>10.6521739130434</v>
      </c>
      <c r="AV53" s="47">
        <f>AQ53*$AV$4/$AQ$4</f>
        <v>10.6521739130434</v>
      </c>
      <c r="AW53" s="64">
        <f>AQ53*$AW$4/$AQ$4</f>
        <v>6.39130434782609</v>
      </c>
      <c r="AX53" s="69">
        <f t="shared" ref="AX53:AX55" si="258">SUM(AR53:AV53)</f>
        <v>51.1304347826083</v>
      </c>
      <c r="AY53" s="64" t="e">
        <f t="shared" si="13"/>
        <v>#REF!</v>
      </c>
      <c r="BB53" s="65" t="e">
        <f t="shared" si="240"/>
        <v>#REF!</v>
      </c>
      <c r="BD53" s="47" t="e">
        <f t="shared" ref="BD53:BD55" si="259">BB53*-1</f>
        <v>#REF!</v>
      </c>
      <c r="BE53" s="47" t="s">
        <v>355</v>
      </c>
      <c r="BF53" s="65" t="e">
        <f t="shared" si="241"/>
        <v>#REF!</v>
      </c>
      <c r="BG53" s="65">
        <f t="shared" si="242"/>
        <v>8.52173913043478</v>
      </c>
      <c r="BH53" s="65"/>
      <c r="BI53" s="65" t="e">
        <f t="shared" si="243"/>
        <v>#REF!</v>
      </c>
      <c r="BJ53" s="65">
        <f t="shared" si="244"/>
        <v>10.6521739130434</v>
      </c>
      <c r="BK53" s="65"/>
      <c r="BL53" s="65" t="e">
        <f t="shared" si="245"/>
        <v>#REF!</v>
      </c>
      <c r="BM53" s="65">
        <f t="shared" si="246"/>
        <v>10.6521739130434</v>
      </c>
      <c r="BN53" s="65"/>
      <c r="BO53" s="65" t="e">
        <f t="shared" si="247"/>
        <v>#REF!</v>
      </c>
      <c r="BP53" s="65">
        <f t="shared" si="248"/>
        <v>10.6521739130434</v>
      </c>
      <c r="BQ53" s="65"/>
      <c r="BR53" s="65" t="e">
        <f t="shared" si="249"/>
        <v>#REF!</v>
      </c>
      <c r="BS53" s="65">
        <f t="shared" si="250"/>
        <v>10.6521739130434</v>
      </c>
      <c r="BT53" s="65"/>
      <c r="BU53" s="65" t="e">
        <f t="shared" si="251"/>
        <v>#REF!</v>
      </c>
      <c r="BV53" s="47">
        <f t="shared" si="27"/>
        <v>6.39130434782609</v>
      </c>
      <c r="BX53" s="65" t="e">
        <f t="shared" si="28"/>
        <v>#REF!</v>
      </c>
    </row>
    <row r="54" ht="14.0">
      <c r="A54" s="93" t="s">
        <v>32</v>
      </c>
      <c r="B54" s="93" t="s">
        <v>81</v>
      </c>
      <c r="C54" s="93" t="s">
        <v>106</v>
      </c>
      <c r="D54" s="250">
        <v>43206.0</v>
      </c>
      <c r="E54" s="93">
        <v>6.0</v>
      </c>
      <c r="F54" s="93">
        <v>18.0</v>
      </c>
      <c r="G54" s="93">
        <v>30.0</v>
      </c>
      <c r="H54" s="93">
        <v>24.0</v>
      </c>
      <c r="I54" s="93">
        <v>24.0</v>
      </c>
      <c r="J54" s="93">
        <v>12.0</v>
      </c>
      <c r="K54" s="93">
        <v>24.0</v>
      </c>
      <c r="L54" s="93">
        <v>24.0</v>
      </c>
      <c r="M54" s="93">
        <v>15.0</v>
      </c>
      <c r="N54" s="93">
        <v>39.0</v>
      </c>
      <c r="O54" s="93">
        <v>12.0</v>
      </c>
      <c r="P54" s="93">
        <v>24.0</v>
      </c>
      <c r="Q54" s="93">
        <v>24.0</v>
      </c>
      <c r="R54" s="93">
        <v>40.0</v>
      </c>
      <c r="S54" s="93">
        <v>9.0</v>
      </c>
      <c r="T54" s="93">
        <v>36.0</v>
      </c>
      <c r="U54" s="93">
        <v>30.0</v>
      </c>
      <c r="V54" s="93">
        <v>18.0</v>
      </c>
      <c r="W54" s="93">
        <v>34.0</v>
      </c>
      <c r="X54" s="93">
        <v>24.0</v>
      </c>
      <c r="Y54" s="93">
        <v>12.0</v>
      </c>
      <c r="Z54" s="93">
        <v>30.0</v>
      </c>
      <c r="AA54" s="93">
        <v>24.0</v>
      </c>
      <c r="AB54" s="93">
        <v>18.0</v>
      </c>
      <c r="AC54" s="93">
        <v>12.0</v>
      </c>
      <c r="AD54" s="93">
        <v>6.0</v>
      </c>
      <c r="AE54" s="93">
        <v>21.0</v>
      </c>
      <c r="AF54" s="93">
        <v>6.0</v>
      </c>
      <c r="AG54" s="93">
        <v>15.0</v>
      </c>
      <c r="AH54" s="93">
        <v>24.0</v>
      </c>
      <c r="AI54" s="93">
        <v>9.0</v>
      </c>
      <c r="AJ54" s="93">
        <v>6.0</v>
      </c>
      <c r="AK54" s="93">
        <v>9.0</v>
      </c>
      <c r="AL54" s="93">
        <v>12.0</v>
      </c>
      <c r="AM54" s="93">
        <v>3.0</v>
      </c>
      <c r="AN54" s="93">
        <v>6.0</v>
      </c>
      <c r="AO54" s="69">
        <f t="shared" si="3"/>
        <v>129.0</v>
      </c>
      <c r="AP54" s="69">
        <f t="shared" si="4"/>
        <v>45.0</v>
      </c>
      <c r="AQ54" s="69">
        <f t="shared" si="5"/>
        <v>49.5</v>
      </c>
      <c r="AR54" s="47">
        <f t="shared" ref="AR54:AR55" si="260">AQ54*$AR$4/$AQ$4+1*$AR$60</f>
        <v>8.82608695652173</v>
      </c>
      <c r="AS54" s="47">
        <f t="shared" ref="AS54:AS55" si="261">AQ54*$AS$4/$AQ$4+1*$AS$60</f>
        <v>11.7826086956521</v>
      </c>
      <c r="AT54" s="47">
        <f t="shared" ref="AT54:AT55" si="262">AQ54*$AT$4/$AQ$4+1*$AT$60</f>
        <v>11.7826086956521</v>
      </c>
      <c r="AU54" s="47">
        <f t="shared" ref="AU54:AU55" si="263">AQ54*$AU$4/$AQ$4+1*$AU$60</f>
        <v>11.7826086956521</v>
      </c>
      <c r="AV54" s="47">
        <f t="shared" ref="AV54:AV55" si="264">AQ54*$AV$4/$AQ$4+1*$AV$60</f>
        <v>11.7826086956521</v>
      </c>
      <c r="AW54" s="64">
        <f t="shared" ref="AW54:AW55" si="265">AQ54*$AW$4/$AQ$4+1*$AW$60</f>
        <v>6.91304347826087</v>
      </c>
      <c r="AX54" s="69">
        <f t="shared" si="258"/>
        <v>55.9565217391301</v>
      </c>
      <c r="AY54" s="64" t="e">
        <f t="shared" si="13"/>
        <v>#REF!</v>
      </c>
      <c r="BB54" s="65" t="e">
        <f t="shared" si="240"/>
        <v>#REF!</v>
      </c>
      <c r="BD54" s="47" t="e">
        <f t="shared" si="259"/>
        <v>#REF!</v>
      </c>
      <c r="BE54" s="47" t="s">
        <v>255</v>
      </c>
      <c r="BF54" s="65" t="e">
        <f t="shared" si="241"/>
        <v>#REF!</v>
      </c>
      <c r="BG54" s="65">
        <f t="shared" si="242"/>
        <v>8.82608695652173</v>
      </c>
      <c r="BH54" s="65"/>
      <c r="BI54" s="65" t="e">
        <f t="shared" si="243"/>
        <v>#REF!</v>
      </c>
      <c r="BJ54" s="65">
        <f t="shared" si="244"/>
        <v>11.7826086956521</v>
      </c>
      <c r="BK54" s="65"/>
      <c r="BL54" s="65" t="e">
        <f t="shared" si="245"/>
        <v>#REF!</v>
      </c>
      <c r="BM54" s="65">
        <f t="shared" si="246"/>
        <v>11.7826086956521</v>
      </c>
      <c r="BN54" s="65"/>
      <c r="BO54" s="65" t="e">
        <f t="shared" si="247"/>
        <v>#REF!</v>
      </c>
      <c r="BP54" s="65">
        <f t="shared" si="248"/>
        <v>11.7826086956521</v>
      </c>
      <c r="BQ54" s="65"/>
      <c r="BR54" s="65" t="e">
        <f t="shared" si="249"/>
        <v>#REF!</v>
      </c>
      <c r="BS54" s="65">
        <f t="shared" si="250"/>
        <v>11.7826086956521</v>
      </c>
      <c r="BT54" s="65"/>
      <c r="BU54" s="65" t="e">
        <f t="shared" si="251"/>
        <v>#REF!</v>
      </c>
      <c r="BV54" s="47">
        <f t="shared" si="27"/>
        <v>6.91304347826087</v>
      </c>
      <c r="BX54" s="65" t="e">
        <f t="shared" si="28"/>
        <v>#REF!</v>
      </c>
    </row>
    <row r="55" ht="14.0">
      <c r="A55" s="93" t="s">
        <v>32</v>
      </c>
      <c r="B55" s="93" t="s">
        <v>81</v>
      </c>
      <c r="C55" s="93" t="s">
        <v>107</v>
      </c>
      <c r="D55" s="250">
        <v>43215.0</v>
      </c>
      <c r="E55" s="93">
        <v>12.0</v>
      </c>
      <c r="F55" s="93">
        <v>15.0</v>
      </c>
      <c r="G55" s="93">
        <v>30.0</v>
      </c>
      <c r="H55" s="93">
        <v>18.0</v>
      </c>
      <c r="I55" s="93">
        <v>21.0</v>
      </c>
      <c r="J55" s="93">
        <v>9.0</v>
      </c>
      <c r="K55" s="93">
        <v>21.0</v>
      </c>
      <c r="L55" s="93">
        <v>21.0</v>
      </c>
      <c r="M55" s="93">
        <v>21.0</v>
      </c>
      <c r="N55" s="93">
        <v>36.0</v>
      </c>
      <c r="O55" s="93">
        <v>15.0</v>
      </c>
      <c r="P55" s="93">
        <v>21.0</v>
      </c>
      <c r="Q55" s="93">
        <v>12.0</v>
      </c>
      <c r="R55" s="93">
        <v>33.0</v>
      </c>
      <c r="S55" s="93">
        <v>9.0</v>
      </c>
      <c r="T55" s="93">
        <v>18.0</v>
      </c>
      <c r="U55" s="93">
        <v>18.0</v>
      </c>
      <c r="V55" s="93">
        <v>12.0</v>
      </c>
      <c r="W55" s="93">
        <v>18.0</v>
      </c>
      <c r="X55" s="93">
        <v>39.0</v>
      </c>
      <c r="Y55" s="93">
        <v>12.0</v>
      </c>
      <c r="Z55" s="93">
        <v>18.0</v>
      </c>
      <c r="AA55" s="93">
        <v>21.0</v>
      </c>
      <c r="AB55" s="93">
        <v>18.0</v>
      </c>
      <c r="AC55" s="93">
        <v>6.0</v>
      </c>
      <c r="AD55" s="93">
        <v>12.0</v>
      </c>
      <c r="AE55" s="93">
        <v>21.0</v>
      </c>
      <c r="AF55" s="93">
        <v>9.0</v>
      </c>
      <c r="AG55" s="93">
        <v>18.0</v>
      </c>
      <c r="AH55" s="93">
        <v>12.0</v>
      </c>
      <c r="AI55" s="93">
        <v>12.0</v>
      </c>
      <c r="AJ55" s="93">
        <v>15.0</v>
      </c>
      <c r="AK55" s="93">
        <v>3.0</v>
      </c>
      <c r="AL55" s="93">
        <v>12.0</v>
      </c>
      <c r="AM55" s="93">
        <v>0.0</v>
      </c>
      <c r="AN55" s="93">
        <v>9.0</v>
      </c>
      <c r="AO55" s="69">
        <f t="shared" si="3"/>
        <v>129.0</v>
      </c>
      <c r="AP55" s="69">
        <f t="shared" si="4"/>
        <v>51.0</v>
      </c>
      <c r="AQ55" s="69">
        <f t="shared" si="5"/>
        <v>56.1</v>
      </c>
      <c r="AR55" s="47">
        <f t="shared" si="260"/>
        <v>9.8695652173913</v>
      </c>
      <c r="AS55" s="47">
        <f t="shared" si="261"/>
        <v>13.0869565217391</v>
      </c>
      <c r="AT55" s="47">
        <f t="shared" si="262"/>
        <v>13.0869565217391</v>
      </c>
      <c r="AU55" s="47">
        <f t="shared" si="263"/>
        <v>13.0869565217391</v>
      </c>
      <c r="AV55" s="47">
        <f t="shared" si="264"/>
        <v>13.0869565217391</v>
      </c>
      <c r="AW55" s="64">
        <f t="shared" si="265"/>
        <v>7.69565217391297</v>
      </c>
      <c r="AX55" s="69">
        <f t="shared" si="258"/>
        <v>62.2173913043477</v>
      </c>
      <c r="AY55" s="64" t="e">
        <f t="shared" si="13"/>
        <v>#REF!</v>
      </c>
      <c r="BB55" s="65" t="e">
        <f t="shared" si="240"/>
        <v>#REF!</v>
      </c>
      <c r="BD55" s="47" t="e">
        <f t="shared" si="259"/>
        <v>#REF!</v>
      </c>
      <c r="BE55" s="47" t="s">
        <v>255</v>
      </c>
      <c r="BF55" s="65" t="e">
        <f t="shared" si="241"/>
        <v>#REF!</v>
      </c>
      <c r="BG55" s="65">
        <f t="shared" si="242"/>
        <v>9.8695652173913</v>
      </c>
      <c r="BH55" s="65"/>
      <c r="BI55" s="65" t="e">
        <f t="shared" si="243"/>
        <v>#REF!</v>
      </c>
      <c r="BJ55" s="65">
        <f t="shared" si="244"/>
        <v>13.0869565217391</v>
      </c>
      <c r="BK55" s="65"/>
      <c r="BL55" s="65" t="e">
        <f t="shared" si="245"/>
        <v>#REF!</v>
      </c>
      <c r="BM55" s="65">
        <f t="shared" si="246"/>
        <v>13.0869565217391</v>
      </c>
      <c r="BN55" s="65"/>
      <c r="BO55" s="65" t="e">
        <f t="shared" si="247"/>
        <v>#REF!</v>
      </c>
      <c r="BP55" s="65">
        <f t="shared" si="248"/>
        <v>13.0869565217391</v>
      </c>
      <c r="BQ55" s="65"/>
      <c r="BR55" s="65" t="e">
        <f t="shared" si="249"/>
        <v>#REF!</v>
      </c>
      <c r="BS55" s="65">
        <f t="shared" si="250"/>
        <v>13.0869565217391</v>
      </c>
      <c r="BT55" s="65"/>
      <c r="BU55" s="65" t="e">
        <f t="shared" si="251"/>
        <v>#REF!</v>
      </c>
      <c r="BV55" s="47">
        <f t="shared" si="27"/>
        <v>7.69565217391297</v>
      </c>
      <c r="BX55" s="65" t="e">
        <f t="shared" si="28"/>
        <v>#REF!</v>
      </c>
    </row>
    <row r="56" ht="14.0">
      <c r="A56" s="93" t="s">
        <v>32</v>
      </c>
      <c r="B56" s="93" t="s">
        <v>81</v>
      </c>
      <c r="C56" s="93" t="s">
        <v>108</v>
      </c>
      <c r="D56" s="277">
        <v>43232.0</v>
      </c>
      <c r="E56" s="93">
        <v>0.0</v>
      </c>
      <c r="F56" s="93">
        <v>0.0</v>
      </c>
      <c r="G56" s="93">
        <v>0.0</v>
      </c>
      <c r="H56" s="93">
        <v>0.0</v>
      </c>
      <c r="I56" s="93">
        <v>0.0</v>
      </c>
      <c r="J56" s="93">
        <v>0.0</v>
      </c>
      <c r="K56" s="93">
        <v>13.0</v>
      </c>
      <c r="L56" s="93">
        <v>18.0</v>
      </c>
      <c r="M56" s="93">
        <v>9.0</v>
      </c>
      <c r="N56" s="93">
        <v>24.0</v>
      </c>
      <c r="O56" s="93">
        <v>12.0</v>
      </c>
      <c r="P56" s="93">
        <v>6.0</v>
      </c>
      <c r="Q56" s="93">
        <v>10.0</v>
      </c>
      <c r="R56" s="93">
        <v>18.0</v>
      </c>
      <c r="S56" s="93">
        <v>6.0</v>
      </c>
      <c r="T56" s="93">
        <v>15.0</v>
      </c>
      <c r="U56" s="93">
        <v>21.0</v>
      </c>
      <c r="V56" s="93">
        <v>0.0</v>
      </c>
      <c r="W56" s="93">
        <v>6.0</v>
      </c>
      <c r="X56" s="93">
        <v>15.0</v>
      </c>
      <c r="Y56" s="93">
        <v>12.0</v>
      </c>
      <c r="Z56" s="93">
        <v>6.0</v>
      </c>
      <c r="AA56" s="93">
        <v>0.0</v>
      </c>
      <c r="AB56" s="93">
        <v>6.0</v>
      </c>
      <c r="AC56" s="93">
        <v>0.0</v>
      </c>
      <c r="AD56" s="93">
        <v>6.0</v>
      </c>
      <c r="AE56" s="93">
        <v>15.0</v>
      </c>
      <c r="AF56" s="93">
        <v>0.0</v>
      </c>
      <c r="AG56" s="93">
        <v>3.0</v>
      </c>
      <c r="AH56" s="93">
        <v>12.0</v>
      </c>
      <c r="AI56" s="93">
        <v>0.0</v>
      </c>
      <c r="AJ56" s="93">
        <v>3.0</v>
      </c>
      <c r="AK56" s="93">
        <v>6.0</v>
      </c>
      <c r="AL56" s="93">
        <v>0.0</v>
      </c>
      <c r="AM56" s="93">
        <v>0.0</v>
      </c>
      <c r="AN56" s="93">
        <v>0.0</v>
      </c>
      <c r="AO56" s="69">
        <f t="shared" si="3"/>
        <v>45.0</v>
      </c>
      <c r="AP56" s="69">
        <f t="shared" si="4"/>
        <v>9.0</v>
      </c>
      <c r="AQ56" s="69">
        <f t="shared" si="5"/>
        <v>9.9</v>
      </c>
      <c r="AR56" s="47">
        <f t="shared" ref="AR56:AR57" si="266">AQ56*$AR$4/$AQ$4+2*$AR$60</f>
        <v>3.56521739130433</v>
      </c>
      <c r="AS56" s="47">
        <f t="shared" ref="AS56:AS57" si="267">AQ56*$AS$4/$AQ$4+2*$AS$60</f>
        <v>5.95652173913043</v>
      </c>
      <c r="AT56" s="47">
        <f t="shared" ref="AT56:AT57" si="268">AQ56*$AT$4/$AQ$4+2*$AT$60</f>
        <v>5.95652173913043</v>
      </c>
      <c r="AU56" s="47">
        <f t="shared" ref="AU56:AU57" si="269">AQ56*$AU$4/$AQ$4+2*$AU$60</f>
        <v>5.95652173913043</v>
      </c>
      <c r="AV56" s="47">
        <f t="shared" ref="AV56:AV57" si="270">AQ56*$AV$4/$AQ$4+2*$AV$60</f>
        <v>5.95652173913043</v>
      </c>
      <c r="AW56" s="64">
        <f t="shared" ref="AW56:AW57" si="271">AQ56*$AW$4/$AQ$4+2*$AW$60</f>
        <v>3.2608695652174</v>
      </c>
      <c r="AX56" s="69">
        <f>SUM(AR56:AW56)</f>
        <v>30.6521739130434</v>
      </c>
      <c r="AY56" s="64" t="e">
        <f t="shared" si="13"/>
        <v>#REF!</v>
      </c>
      <c r="BB56" s="65" t="e">
        <f t="shared" si="240"/>
        <v>#REF!</v>
      </c>
      <c r="BF56" s="65" t="e">
        <f t="shared" si="241"/>
        <v>#REF!</v>
      </c>
      <c r="BG56" s="65">
        <f t="shared" si="242"/>
        <v>3.56521739130433</v>
      </c>
      <c r="BH56" s="65"/>
      <c r="BI56" s="65" t="e">
        <f t="shared" si="243"/>
        <v>#REF!</v>
      </c>
      <c r="BJ56" s="65">
        <f t="shared" si="244"/>
        <v>5.95652173913043</v>
      </c>
      <c r="BK56" s="65"/>
      <c r="BL56" s="65" t="e">
        <f t="shared" si="245"/>
        <v>#REF!</v>
      </c>
      <c r="BM56" s="65">
        <f t="shared" si="246"/>
        <v>5.95652173913043</v>
      </c>
      <c r="BN56" s="65"/>
      <c r="BO56" s="65" t="e">
        <f t="shared" si="247"/>
        <v>#REF!</v>
      </c>
      <c r="BP56" s="65">
        <f t="shared" si="248"/>
        <v>5.95652173913043</v>
      </c>
      <c r="BQ56" s="65"/>
      <c r="BR56" s="65" t="e">
        <f t="shared" si="249"/>
        <v>#REF!</v>
      </c>
      <c r="BS56" s="65">
        <f t="shared" si="250"/>
        <v>5.95652173913043</v>
      </c>
      <c r="BT56" s="65"/>
      <c r="BU56" s="65" t="e">
        <f t="shared" si="251"/>
        <v>#REF!</v>
      </c>
      <c r="BV56" s="47">
        <f t="shared" si="27"/>
        <v>3.2608695652174</v>
      </c>
      <c r="BX56" s="65" t="e">
        <f t="shared" si="28"/>
        <v>#REF!</v>
      </c>
    </row>
    <row r="57" ht="14.0">
      <c r="A57" s="93" t="s">
        <v>32</v>
      </c>
      <c r="B57" s="93" t="s">
        <v>81</v>
      </c>
      <c r="C57" s="93" t="s">
        <v>104</v>
      </c>
      <c r="D57" s="277">
        <v>43245.0</v>
      </c>
      <c r="E57" s="93">
        <v>0.0</v>
      </c>
      <c r="F57" s="93">
        <v>0.0</v>
      </c>
      <c r="G57" s="93">
        <v>0.0</v>
      </c>
      <c r="H57" s="93">
        <v>0.0</v>
      </c>
      <c r="I57" s="93">
        <v>0.0</v>
      </c>
      <c r="J57" s="93">
        <v>0.0</v>
      </c>
      <c r="K57" s="93">
        <v>0.0</v>
      </c>
      <c r="L57" s="93">
        <v>0.0</v>
      </c>
      <c r="M57" s="93">
        <v>0.0</v>
      </c>
      <c r="N57" s="93">
        <v>0.0</v>
      </c>
      <c r="O57" s="93">
        <v>0.0</v>
      </c>
      <c r="P57" s="93">
        <v>0.0</v>
      </c>
      <c r="Q57" s="93">
        <v>0.0</v>
      </c>
      <c r="R57" s="93">
        <v>0.0</v>
      </c>
      <c r="S57" s="93">
        <v>0.0</v>
      </c>
      <c r="T57" s="93">
        <v>0.0</v>
      </c>
      <c r="U57" s="93">
        <v>0.0</v>
      </c>
      <c r="V57" s="93">
        <v>3.0</v>
      </c>
      <c r="W57" s="93">
        <v>0.0</v>
      </c>
      <c r="X57" s="93">
        <v>30.0</v>
      </c>
      <c r="Y57" s="93">
        <v>6.0</v>
      </c>
      <c r="Z57" s="93">
        <v>21.0</v>
      </c>
      <c r="AA57" s="93">
        <v>12.0</v>
      </c>
      <c r="AB57" s="93">
        <v>15.0</v>
      </c>
      <c r="AC57" s="93">
        <v>0.0</v>
      </c>
      <c r="AD57" s="93">
        <v>9.0</v>
      </c>
      <c r="AE57" s="93">
        <v>21.0</v>
      </c>
      <c r="AF57" s="93">
        <v>0.0</v>
      </c>
      <c r="AG57" s="93">
        <v>3.0</v>
      </c>
      <c r="AH57" s="93">
        <v>6.0</v>
      </c>
      <c r="AI57" s="93">
        <v>18.0</v>
      </c>
      <c r="AJ57" s="93">
        <v>0.0</v>
      </c>
      <c r="AK57" s="93">
        <v>3.0</v>
      </c>
      <c r="AL57" s="93">
        <v>6.0</v>
      </c>
      <c r="AM57" s="93">
        <v>0.0</v>
      </c>
      <c r="AN57" s="93">
        <v>3.0</v>
      </c>
      <c r="AO57" s="69">
        <f t="shared" si="3"/>
        <v>69.0</v>
      </c>
      <c r="AP57" s="69">
        <f t="shared" si="4"/>
        <v>30.0</v>
      </c>
      <c r="AQ57" s="69">
        <f t="shared" si="5"/>
        <v>33.0</v>
      </c>
      <c r="AR57" s="47">
        <f t="shared" si="266"/>
        <v>7.21739130434782</v>
      </c>
      <c r="AS57" s="47">
        <f t="shared" si="267"/>
        <v>10.5217391304348</v>
      </c>
      <c r="AT57" s="47">
        <f t="shared" si="268"/>
        <v>10.5217391304348</v>
      </c>
      <c r="AU57" s="47">
        <f t="shared" si="269"/>
        <v>10.5217391304348</v>
      </c>
      <c r="AV57" s="47">
        <f t="shared" si="270"/>
        <v>10.5217391304348</v>
      </c>
      <c r="AW57" s="64">
        <f t="shared" si="271"/>
        <v>6.00000000000001</v>
      </c>
      <c r="AX57" s="69">
        <f>SUM(AR57:AV57)</f>
        <v>49.304347826087</v>
      </c>
      <c r="AY57" s="64" t="e">
        <f t="shared" si="13"/>
        <v>#REF!</v>
      </c>
      <c r="BB57" s="65" t="e">
        <f t="shared" si="240"/>
        <v>#REF!</v>
      </c>
      <c r="BD57" s="47" t="e">
        <f>BB57*-1</f>
        <v>#REF!</v>
      </c>
      <c r="BE57" s="47" t="s">
        <v>355</v>
      </c>
      <c r="BF57" s="65" t="e">
        <f t="shared" si="241"/>
        <v>#REF!</v>
      </c>
      <c r="BG57" s="65">
        <f t="shared" si="242"/>
        <v>7.21739130434782</v>
      </c>
      <c r="BH57" s="65"/>
      <c r="BI57" s="65" t="e">
        <f t="shared" si="243"/>
        <v>#REF!</v>
      </c>
      <c r="BJ57" s="65">
        <f t="shared" si="244"/>
        <v>10.5217391304348</v>
      </c>
      <c r="BK57" s="65"/>
      <c r="BL57" s="65" t="e">
        <f t="shared" si="245"/>
        <v>#REF!</v>
      </c>
      <c r="BM57" s="65">
        <f t="shared" si="246"/>
        <v>10.5217391304348</v>
      </c>
      <c r="BN57" s="65"/>
      <c r="BO57" s="65" t="e">
        <f t="shared" si="247"/>
        <v>#REF!</v>
      </c>
      <c r="BP57" s="65">
        <f t="shared" si="248"/>
        <v>10.5217391304348</v>
      </c>
      <c r="BQ57" s="65"/>
      <c r="BR57" s="65" t="e">
        <f t="shared" si="249"/>
        <v>#REF!</v>
      </c>
      <c r="BS57" s="65">
        <f t="shared" si="250"/>
        <v>10.5217391304348</v>
      </c>
      <c r="BT57" s="65"/>
      <c r="BU57" s="65" t="e">
        <f t="shared" si="251"/>
        <v>#REF!</v>
      </c>
      <c r="BV57" s="47">
        <f t="shared" si="27"/>
        <v>6.00000000000001</v>
      </c>
      <c r="BX57" s="65" t="e">
        <f t="shared" si="28"/>
        <v>#REF!</v>
      </c>
    </row>
    <row r="58" ht="14.0">
      <c r="A58" s="93" t="s">
        <v>32</v>
      </c>
      <c r="B58" s="93" t="s">
        <v>81</v>
      </c>
      <c r="C58" s="93" t="s">
        <v>109</v>
      </c>
      <c r="D58" s="229">
        <v>992432.0</v>
      </c>
      <c r="E58" s="93">
        <v>0.0</v>
      </c>
      <c r="F58" s="93">
        <v>0.0</v>
      </c>
      <c r="G58" s="93">
        <v>0.0</v>
      </c>
      <c r="H58" s="93">
        <v>0.0</v>
      </c>
      <c r="I58" s="93">
        <v>0.0</v>
      </c>
      <c r="J58" s="93">
        <v>0.0</v>
      </c>
      <c r="K58" s="93">
        <v>0.0</v>
      </c>
      <c r="L58" s="93">
        <v>0.0</v>
      </c>
      <c r="M58" s="93">
        <v>0.0</v>
      </c>
      <c r="N58" s="93">
        <v>0.0</v>
      </c>
      <c r="O58" s="93">
        <v>0.0</v>
      </c>
      <c r="P58" s="93">
        <v>0.0</v>
      </c>
      <c r="Q58" s="93">
        <v>0.0</v>
      </c>
      <c r="R58" s="93">
        <v>0.0</v>
      </c>
      <c r="S58" s="93">
        <v>1.0</v>
      </c>
      <c r="T58" s="93">
        <v>0.0</v>
      </c>
      <c r="U58" s="93">
        <v>0.0</v>
      </c>
      <c r="V58" s="93">
        <v>0.0</v>
      </c>
      <c r="W58" s="93">
        <v>0.0</v>
      </c>
      <c r="X58" s="93">
        <v>0.0</v>
      </c>
      <c r="Y58" s="93">
        <v>0.0</v>
      </c>
      <c r="Z58" s="93">
        <v>0.0</v>
      </c>
      <c r="AA58" s="93">
        <v>1.0</v>
      </c>
      <c r="AB58" s="93">
        <v>1.0</v>
      </c>
      <c r="AC58" s="93">
        <v>0.0</v>
      </c>
      <c r="AD58" s="93">
        <v>0.0</v>
      </c>
      <c r="AE58" s="93">
        <v>1.0</v>
      </c>
      <c r="AF58" s="93">
        <v>2.0</v>
      </c>
      <c r="AG58" s="93">
        <v>0.0</v>
      </c>
      <c r="AH58" s="93">
        <v>0.0</v>
      </c>
      <c r="AI58" s="93">
        <v>0.0</v>
      </c>
      <c r="AJ58" s="93">
        <v>0.0</v>
      </c>
      <c r="AK58" s="93">
        <v>0.0</v>
      </c>
      <c r="AL58" s="93">
        <v>0.0</v>
      </c>
      <c r="AM58" s="93">
        <v>0.0</v>
      </c>
      <c r="AN58" s="93">
        <v>1.0</v>
      </c>
      <c r="AO58" s="69">
        <f t="shared" si="3"/>
        <v>4.0</v>
      </c>
      <c r="AP58" s="69">
        <f t="shared" si="4"/>
        <v>1.0</v>
      </c>
      <c r="AQ58" s="69">
        <f t="shared" si="5"/>
        <v>1.1</v>
      </c>
      <c r="AR58" s="47">
        <f>AQ58*$AR$4/$AQ$4</f>
        <v>0.17391304347826</v>
      </c>
      <c r="AS58" s="47">
        <f>AQ58*$AS$4/$AQ$4</f>
        <v>0.217391304347826</v>
      </c>
      <c r="AT58" s="47">
        <f>AQ58*$AT$4/$AQ$4</f>
        <v>0.217391304347826</v>
      </c>
      <c r="AU58" s="47">
        <f>AQ58*$AU$4/$AQ$4</f>
        <v>0.217391304347826</v>
      </c>
      <c r="AV58" s="47">
        <f>AQ58*$AV$4/$AQ$4</f>
        <v>0.217391304347826</v>
      </c>
      <c r="AW58" s="64">
        <f>AQ58*$AW$4/$AQ$4</f>
        <v>0.130434782608696</v>
      </c>
      <c r="AX58" s="69">
        <f t="shared" ref="AX58:AX60" si="281">SUM(AR58:AW58)</f>
        <v>1.17391304347826</v>
      </c>
      <c r="AY58" s="64" t="e">
        <f t="shared" si="13"/>
        <v>#REF!</v>
      </c>
      <c r="BB58" s="65" t="e">
        <f t="shared" si="240"/>
        <v>#REF!</v>
      </c>
      <c r="BF58" s="65" t="e">
        <f t="shared" si="241"/>
        <v>#REF!</v>
      </c>
      <c r="BG58" s="65">
        <f t="shared" si="242"/>
        <v>0.17391304347826</v>
      </c>
      <c r="BH58" s="65"/>
      <c r="BI58" s="65" t="e">
        <f t="shared" si="243"/>
        <v>#REF!</v>
      </c>
      <c r="BJ58" s="65">
        <f t="shared" si="244"/>
        <v>0.217391304347826</v>
      </c>
      <c r="BK58" s="65"/>
      <c r="BL58" s="65" t="e">
        <f t="shared" si="245"/>
        <v>#REF!</v>
      </c>
      <c r="BM58" s="65">
        <f t="shared" si="246"/>
        <v>0.217391304347826</v>
      </c>
      <c r="BN58" s="65"/>
      <c r="BO58" s="65" t="e">
        <f t="shared" si="247"/>
        <v>#REF!</v>
      </c>
      <c r="BP58" s="65">
        <f t="shared" si="248"/>
        <v>0.217391304347826</v>
      </c>
      <c r="BQ58" s="65"/>
      <c r="BR58" s="65" t="e">
        <f t="shared" si="249"/>
        <v>#REF!</v>
      </c>
      <c r="BS58" s="65">
        <f t="shared" si="250"/>
        <v>0.217391304347826</v>
      </c>
      <c r="BT58" s="65"/>
      <c r="BU58" s="65" t="e">
        <f t="shared" si="251"/>
        <v>#REF!</v>
      </c>
      <c r="BV58" s="47">
        <f t="shared" si="27"/>
        <v>0.130434782608696</v>
      </c>
      <c r="BX58" s="65" t="e">
        <f t="shared" si="28"/>
        <v>#REF!</v>
      </c>
    </row>
    <row r="59" ht="14.0">
      <c r="A59" s="93" t="s">
        <v>32</v>
      </c>
      <c r="B59" s="93" t="s">
        <v>81</v>
      </c>
      <c r="C59" s="93" t="s">
        <v>99</v>
      </c>
      <c r="D59" s="229" t="s">
        <v>100</v>
      </c>
      <c r="E59" s="93">
        <v>0.0</v>
      </c>
      <c r="F59" s="93">
        <v>0.0</v>
      </c>
      <c r="G59" s="93">
        <v>1.0</v>
      </c>
      <c r="H59" s="93">
        <v>2.0</v>
      </c>
      <c r="I59" s="93">
        <v>0.0</v>
      </c>
      <c r="J59" s="93">
        <v>0.0</v>
      </c>
      <c r="K59" s="93">
        <v>1.0</v>
      </c>
      <c r="L59" s="93">
        <v>1.0</v>
      </c>
      <c r="M59" s="93">
        <v>0.0</v>
      </c>
      <c r="N59" s="93">
        <v>1.0</v>
      </c>
      <c r="O59" s="93">
        <v>0.0</v>
      </c>
      <c r="P59" s="93">
        <v>0.0</v>
      </c>
      <c r="Q59" s="93">
        <v>1.0</v>
      </c>
      <c r="R59" s="93">
        <v>0.0</v>
      </c>
      <c r="S59" s="93">
        <v>0.0</v>
      </c>
      <c r="T59" s="93">
        <v>1.0</v>
      </c>
      <c r="U59" s="93">
        <v>0.0</v>
      </c>
      <c r="V59" s="93">
        <v>0.0</v>
      </c>
      <c r="W59" s="93">
        <v>0.0</v>
      </c>
      <c r="X59" s="93">
        <v>1.0</v>
      </c>
      <c r="Y59" s="93">
        <v>0.0</v>
      </c>
      <c r="Z59" s="93">
        <v>0.0</v>
      </c>
      <c r="AA59" s="93">
        <v>1.0</v>
      </c>
      <c r="AB59" s="93">
        <v>0.0</v>
      </c>
      <c r="AC59" s="93">
        <v>0.0</v>
      </c>
      <c r="AD59" s="93">
        <v>0.0</v>
      </c>
      <c r="AE59" s="93">
        <v>1.0</v>
      </c>
      <c r="AF59" s="93">
        <v>0.0</v>
      </c>
      <c r="AG59" s="93">
        <v>0.0</v>
      </c>
      <c r="AH59" s="93">
        <v>0.0</v>
      </c>
      <c r="AI59" s="93">
        <v>0.0</v>
      </c>
      <c r="AJ59" s="93">
        <v>1.0</v>
      </c>
      <c r="AK59" s="93">
        <v>0.0</v>
      </c>
      <c r="AL59" s="93">
        <v>0.0</v>
      </c>
      <c r="AM59" s="93">
        <v>0.0</v>
      </c>
      <c r="AN59" s="93">
        <v>0.0</v>
      </c>
      <c r="AO59" s="69">
        <f t="shared" si="3"/>
        <v>2.0</v>
      </c>
      <c r="AP59" s="69">
        <f t="shared" si="4"/>
        <v>1.0</v>
      </c>
      <c r="AQ59" s="69">
        <f t="shared" si="5"/>
        <v>1.1</v>
      </c>
      <c r="AR59" s="47">
        <f>AR60</f>
        <v>1.0</v>
      </c>
      <c r="AS59" s="47">
        <f>AS60</f>
        <v>2.0</v>
      </c>
      <c r="AT59" s="47">
        <f>AT60</f>
        <v>2.0</v>
      </c>
      <c r="AU59" s="47">
        <f>AU60</f>
        <v>2.0</v>
      </c>
      <c r="AV59" s="47">
        <f>AV60</f>
        <v>2.0</v>
      </c>
      <c r="AW59" s="47">
        <f>AW60</f>
        <v>1.04347826086957</v>
      </c>
      <c r="AX59" s="69">
        <f t="shared" si="281"/>
        <v>10.0434782608696</v>
      </c>
      <c r="AY59" s="64" t="e">
        <f t="shared" si="13"/>
        <v>#REF!</v>
      </c>
      <c r="BB59" s="65" t="e">
        <f t="shared" si="240"/>
        <v>#REF!</v>
      </c>
      <c r="BD59" s="47" t="e">
        <f>BB59*-1</f>
        <v>#REF!</v>
      </c>
      <c r="BE59" s="47" t="s">
        <v>330</v>
      </c>
      <c r="BF59" s="65" t="e">
        <f t="shared" si="241"/>
        <v>#REF!</v>
      </c>
      <c r="BG59" s="65">
        <f t="shared" si="242"/>
        <v>1.0</v>
      </c>
      <c r="BH59" s="65"/>
      <c r="BI59" s="65" t="e">
        <f t="shared" si="243"/>
        <v>#REF!</v>
      </c>
      <c r="BJ59" s="65">
        <f t="shared" si="244"/>
        <v>2.0</v>
      </c>
      <c r="BK59" s="65"/>
      <c r="BL59" s="65" t="e">
        <f t="shared" si="245"/>
        <v>#REF!</v>
      </c>
      <c r="BM59" s="65">
        <f t="shared" si="246"/>
        <v>2.0</v>
      </c>
      <c r="BN59" s="65"/>
      <c r="BO59" s="65" t="e">
        <f t="shared" si="247"/>
        <v>#REF!</v>
      </c>
      <c r="BP59" s="65">
        <f t="shared" si="248"/>
        <v>2.0</v>
      </c>
      <c r="BQ59" s="65"/>
      <c r="BR59" s="65" t="e">
        <f t="shared" si="249"/>
        <v>#REF!</v>
      </c>
      <c r="BS59" s="65">
        <f t="shared" si="250"/>
        <v>2.0</v>
      </c>
      <c r="BT59" s="65"/>
      <c r="BU59" s="65" t="e">
        <f t="shared" si="251"/>
        <v>#REF!</v>
      </c>
      <c r="BV59" s="47">
        <f t="shared" si="27"/>
        <v>1.04347826086957</v>
      </c>
      <c r="BX59" s="65" t="e">
        <f t="shared" si="28"/>
        <v>#REF!</v>
      </c>
    </row>
    <row r="60" ht="14.0">
      <c r="A60" s="93" t="s">
        <v>32</v>
      </c>
      <c r="B60" s="93" t="s">
        <v>81</v>
      </c>
      <c r="C60" s="93" t="s">
        <v>97</v>
      </c>
      <c r="D60" s="229" t="s">
        <v>98</v>
      </c>
      <c r="E60" s="93">
        <v>3.0</v>
      </c>
      <c r="F60" s="93">
        <v>6.0</v>
      </c>
      <c r="G60" s="93">
        <v>4.0</v>
      </c>
      <c r="H60" s="93">
        <v>1.0</v>
      </c>
      <c r="I60" s="93">
        <v>0.0</v>
      </c>
      <c r="J60" s="93">
        <v>0.0</v>
      </c>
      <c r="K60" s="93">
        <v>7.0</v>
      </c>
      <c r="L60" s="93">
        <v>2.0</v>
      </c>
      <c r="M60" s="93">
        <v>4.0</v>
      </c>
      <c r="N60" s="93">
        <v>2.0</v>
      </c>
      <c r="O60" s="93">
        <v>0.0</v>
      </c>
      <c r="P60" s="93">
        <v>5.0</v>
      </c>
      <c r="Q60" s="93">
        <v>4.0</v>
      </c>
      <c r="R60" s="93">
        <v>6.0</v>
      </c>
      <c r="S60" s="93">
        <v>4.0</v>
      </c>
      <c r="T60" s="93">
        <v>6.0</v>
      </c>
      <c r="U60" s="93">
        <v>3.0</v>
      </c>
      <c r="V60" s="93">
        <v>0.0</v>
      </c>
      <c r="W60" s="93">
        <v>2.0</v>
      </c>
      <c r="X60" s="93">
        <v>6.0</v>
      </c>
      <c r="Y60" s="93">
        <v>2.0</v>
      </c>
      <c r="Z60" s="93">
        <v>1.0</v>
      </c>
      <c r="AA60" s="93">
        <v>1.0</v>
      </c>
      <c r="AB60" s="93">
        <v>1.0</v>
      </c>
      <c r="AC60" s="93">
        <v>1.0</v>
      </c>
      <c r="AD60" s="93">
        <v>1.0</v>
      </c>
      <c r="AE60" s="93">
        <v>3.0</v>
      </c>
      <c r="AF60" s="93">
        <v>4.0</v>
      </c>
      <c r="AG60" s="93">
        <v>0.0</v>
      </c>
      <c r="AH60" s="93">
        <v>1.0</v>
      </c>
      <c r="AI60" s="93">
        <v>1.0</v>
      </c>
      <c r="AJ60" s="93">
        <v>3.0</v>
      </c>
      <c r="AK60" s="93">
        <v>1.0</v>
      </c>
      <c r="AL60" s="93">
        <v>2.0</v>
      </c>
      <c r="AM60" s="93">
        <v>0.0</v>
      </c>
      <c r="AN60" s="93">
        <v>1.0</v>
      </c>
      <c r="AO60" s="69">
        <f t="shared" si="3"/>
        <v>18.0</v>
      </c>
      <c r="AP60" s="69">
        <f t="shared" si="4"/>
        <v>8.0</v>
      </c>
      <c r="AQ60" s="69">
        <f t="shared" si="5"/>
        <v>8.8</v>
      </c>
      <c r="AR60" s="235">
        <v>1.0</v>
      </c>
      <c r="AS60" s="235">
        <v>2.0</v>
      </c>
      <c r="AT60" s="235">
        <v>2.0</v>
      </c>
      <c r="AU60" s="235">
        <v>2.0</v>
      </c>
      <c r="AV60" s="235">
        <v>2.0</v>
      </c>
      <c r="AW60" s="249">
        <f>AQ60*$AW$4/$AQ$4</f>
        <v>1.04347826086957</v>
      </c>
      <c r="AX60" s="69">
        <f t="shared" si="281"/>
        <v>10.0434782608696</v>
      </c>
      <c r="AY60" s="64" t="e">
        <f t="shared" si="13"/>
        <v>#REF!</v>
      </c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5"/>
      <c r="BQ60" s="65"/>
      <c r="BR60" s="65"/>
      <c r="BS60" s="65"/>
      <c r="BT60" s="65"/>
      <c r="BU60" s="65"/>
      <c r="BV60" s="47">
        <f t="shared" si="27"/>
        <v>1.04347826086957</v>
      </c>
      <c r="BX60" s="65">
        <f t="shared" si="28"/>
        <v>-1.04347826086957</v>
      </c>
    </row>
    <row r="61" ht="14.0">
      <c r="A61" s="93" t="s">
        <v>32</v>
      </c>
      <c r="B61" s="93" t="s">
        <v>110</v>
      </c>
      <c r="C61" s="93" t="s">
        <v>120</v>
      </c>
      <c r="D61" s="277">
        <v>43101.0</v>
      </c>
      <c r="E61" s="93">
        <v>18.0</v>
      </c>
      <c r="F61" s="93">
        <v>21.0</v>
      </c>
      <c r="G61" s="93">
        <v>12.0</v>
      </c>
      <c r="H61" s="93">
        <v>30.0</v>
      </c>
      <c r="I61" s="93">
        <v>39.0</v>
      </c>
      <c r="J61" s="93">
        <v>18.0</v>
      </c>
      <c r="K61" s="93">
        <v>18.0</v>
      </c>
      <c r="L61" s="93">
        <v>27.0</v>
      </c>
      <c r="M61" s="93">
        <v>18.0</v>
      </c>
      <c r="N61" s="93">
        <v>21.0</v>
      </c>
      <c r="O61" s="93">
        <v>24.0</v>
      </c>
      <c r="P61" s="93">
        <v>15.0</v>
      </c>
      <c r="Q61" s="93">
        <v>34.0</v>
      </c>
      <c r="R61" s="93">
        <v>24.0</v>
      </c>
      <c r="S61" s="93">
        <v>15.0</v>
      </c>
      <c r="T61" s="93">
        <v>21.0</v>
      </c>
      <c r="U61" s="93">
        <v>42.0</v>
      </c>
      <c r="V61" s="93">
        <v>12.0</v>
      </c>
      <c r="W61" s="93">
        <v>30.0</v>
      </c>
      <c r="X61" s="93">
        <v>39.0</v>
      </c>
      <c r="Y61" s="93">
        <v>42.0</v>
      </c>
      <c r="Z61" s="93">
        <v>22.0</v>
      </c>
      <c r="AA61" s="93">
        <v>21.0</v>
      </c>
      <c r="AB61" s="93">
        <v>36.0</v>
      </c>
      <c r="AC61" s="93">
        <v>33.0</v>
      </c>
      <c r="AD61" s="93">
        <v>12.0</v>
      </c>
      <c r="AE61" s="93">
        <v>30.0</v>
      </c>
      <c r="AF61" s="93">
        <v>36.0</v>
      </c>
      <c r="AG61" s="93">
        <v>27.0</v>
      </c>
      <c r="AH61" s="93">
        <v>27.0</v>
      </c>
      <c r="AI61" s="93">
        <v>24.0</v>
      </c>
      <c r="AJ61" s="93">
        <v>9.0</v>
      </c>
      <c r="AK61" s="93">
        <v>6.0</v>
      </c>
      <c r="AL61" s="93">
        <v>39.0</v>
      </c>
      <c r="AM61" s="93">
        <v>24.0</v>
      </c>
      <c r="AN61" s="93">
        <v>27.0</v>
      </c>
      <c r="AO61" s="69">
        <f t="shared" si="3"/>
        <v>294.0</v>
      </c>
      <c r="AP61" s="69">
        <f t="shared" si="4"/>
        <v>129.0</v>
      </c>
      <c r="AQ61" s="69">
        <f t="shared" si="5"/>
        <v>141.9</v>
      </c>
      <c r="AR61" s="47">
        <f t="shared" ref="AR61:AR65" si="290">AQ61*$AR$4/$AQ$4+3*$AR$75</f>
        <v>31.4347826086957</v>
      </c>
      <c r="AS61" s="47">
        <f t="shared" ref="AS61:AS65" si="291">AQ61*$AS$4/$AQ$4+3*$AS$75</f>
        <v>40.0434782608696</v>
      </c>
      <c r="AT61" s="47">
        <f t="shared" ref="AT61:AT65" si="292">AQ61*$AT$4/$AQ$4+3*$AT$75</f>
        <v>40.0434782608696</v>
      </c>
      <c r="AU61" s="47">
        <f t="shared" ref="AU61:AU65" si="293">AQ61*$AU$4/$AQ$4+3*$AU$75</f>
        <v>40.0434782608696</v>
      </c>
      <c r="AV61" s="47">
        <f t="shared" ref="AV61:AV65" si="294">AQ61*$AV$4/$AQ$4+3*$AV$75</f>
        <v>40.0434782608696</v>
      </c>
      <c r="AW61" s="64">
        <f t="shared" ref="AW61:AW65" si="295">AQ61*$AW$4/$AQ$4+3*$AW$75</f>
        <v>23.8695652173912</v>
      </c>
      <c r="AX61" s="69">
        <f t="shared" ref="AX61:AX65" si="296">SUM(AR61:AV61)</f>
        <v>191.608695652174</v>
      </c>
      <c r="AY61" s="64" t="e">
        <f t="shared" si="13"/>
        <v>#REF!</v>
      </c>
      <c r="BB61" s="65" t="e">
        <f t="shared" ref="BB61:BB74" si="297">AY61+AZ61+BA61-AX61</f>
        <v>#REF!</v>
      </c>
      <c r="BD61" s="47" t="e">
        <f t="shared" ref="BD61:BD65" si="298">BB61*-1</f>
        <v>#REF!</v>
      </c>
      <c r="BE61" s="47" t="s">
        <v>350</v>
      </c>
      <c r="BF61" s="65" t="e">
        <f t="shared" ref="BF61:BF74" si="299">AY61</f>
        <v>#REF!</v>
      </c>
      <c r="BG61" s="65">
        <f t="shared" ref="BG61:BG74" si="300">AR61</f>
        <v>31.4347826086957</v>
      </c>
      <c r="BH61" s="65"/>
      <c r="BI61" s="65" t="e">
        <f t="shared" ref="BI61:BI74" si="301">BF61+BH61-BG61</f>
        <v>#REF!</v>
      </c>
      <c r="BJ61" s="65">
        <f t="shared" ref="BJ61:BJ74" si="302">AS61</f>
        <v>40.0434782608696</v>
      </c>
      <c r="BK61" s="65"/>
      <c r="BL61" s="65" t="e">
        <f t="shared" ref="BL61:BL74" si="303">BI61+BK61-BJ61</f>
        <v>#REF!</v>
      </c>
      <c r="BM61" s="65">
        <f t="shared" ref="BM61:BM74" si="304">AT61</f>
        <v>40.0434782608696</v>
      </c>
      <c r="BN61" s="65"/>
      <c r="BO61" s="65" t="e">
        <f t="shared" ref="BO61:BO74" si="305">BL61+BN61-BM61</f>
        <v>#REF!</v>
      </c>
      <c r="BP61" s="65">
        <f t="shared" ref="BP61:BP74" si="306">AU61</f>
        <v>40.0434782608696</v>
      </c>
      <c r="BQ61" s="65"/>
      <c r="BR61" s="65" t="e">
        <f t="shared" ref="BR61:BR74" si="307">BO61+BQ61-BP61</f>
        <v>#REF!</v>
      </c>
      <c r="BS61" s="65">
        <f t="shared" ref="BS61:BS74" si="308">AV61</f>
        <v>40.0434782608696</v>
      </c>
      <c r="BT61" s="65"/>
      <c r="BU61" s="65" t="e">
        <f t="shared" ref="BU61:BU74" si="309">BR61+BT61-BS61</f>
        <v>#REF!</v>
      </c>
      <c r="BV61" s="47">
        <f t="shared" si="27"/>
        <v>23.8695652173912</v>
      </c>
      <c r="BX61" s="65" t="e">
        <f t="shared" si="28"/>
        <v>#REF!</v>
      </c>
    </row>
    <row r="62" ht="14.0">
      <c r="A62" s="93" t="s">
        <v>32</v>
      </c>
      <c r="B62" s="93" t="s">
        <v>110</v>
      </c>
      <c r="C62" s="93" t="s">
        <v>121</v>
      </c>
      <c r="D62" s="277">
        <v>43104.0</v>
      </c>
      <c r="E62" s="93">
        <v>6.0</v>
      </c>
      <c r="F62" s="93">
        <v>30.0</v>
      </c>
      <c r="G62" s="93">
        <v>15.0</v>
      </c>
      <c r="H62" s="93">
        <v>6.0</v>
      </c>
      <c r="I62" s="93">
        <v>39.0</v>
      </c>
      <c r="J62" s="93">
        <v>15.0</v>
      </c>
      <c r="K62" s="93">
        <v>30.0</v>
      </c>
      <c r="L62" s="93">
        <v>30.0</v>
      </c>
      <c r="M62" s="93">
        <v>39.0</v>
      </c>
      <c r="N62" s="93">
        <v>12.0</v>
      </c>
      <c r="O62" s="93">
        <v>27.0</v>
      </c>
      <c r="P62" s="93">
        <v>24.0</v>
      </c>
      <c r="Q62" s="93">
        <v>27.0</v>
      </c>
      <c r="R62" s="93">
        <v>24.0</v>
      </c>
      <c r="S62" s="93">
        <v>15.0</v>
      </c>
      <c r="T62" s="93">
        <v>15.0</v>
      </c>
      <c r="U62" s="93">
        <v>24.0</v>
      </c>
      <c r="V62" s="93">
        <v>12.0</v>
      </c>
      <c r="W62" s="93">
        <v>21.0</v>
      </c>
      <c r="X62" s="93">
        <v>36.0</v>
      </c>
      <c r="Y62" s="93">
        <v>21.0</v>
      </c>
      <c r="Z62" s="93">
        <v>19.0</v>
      </c>
      <c r="AA62" s="93">
        <v>5.0</v>
      </c>
      <c r="AB62" s="93">
        <v>0.0</v>
      </c>
      <c r="AC62" s="93">
        <v>0.0</v>
      </c>
      <c r="AD62" s="93">
        <v>3.0</v>
      </c>
      <c r="AE62" s="93">
        <v>0.0</v>
      </c>
      <c r="AF62" s="93">
        <v>12.0</v>
      </c>
      <c r="AG62" s="93">
        <v>3.0</v>
      </c>
      <c r="AH62" s="93">
        <v>6.0</v>
      </c>
      <c r="AI62" s="93">
        <v>0.0</v>
      </c>
      <c r="AJ62" s="93">
        <v>24.0</v>
      </c>
      <c r="AK62" s="93">
        <v>0.0</v>
      </c>
      <c r="AL62" s="93">
        <v>3.0</v>
      </c>
      <c r="AM62" s="93">
        <v>3.0</v>
      </c>
      <c r="AN62" s="93">
        <v>6.0</v>
      </c>
      <c r="AO62" s="69">
        <f t="shared" si="3"/>
        <v>60.0</v>
      </c>
      <c r="AP62" s="69">
        <f t="shared" si="4"/>
        <v>36.0</v>
      </c>
      <c r="AQ62" s="69">
        <f t="shared" si="5"/>
        <v>39.6</v>
      </c>
      <c r="AR62" s="47">
        <f t="shared" si="290"/>
        <v>15.2608695652173</v>
      </c>
      <c r="AS62" s="47">
        <f t="shared" si="291"/>
        <v>19.8260869565217</v>
      </c>
      <c r="AT62" s="47">
        <f t="shared" si="292"/>
        <v>19.8260869565217</v>
      </c>
      <c r="AU62" s="47">
        <f t="shared" si="293"/>
        <v>19.8260869565217</v>
      </c>
      <c r="AV62" s="47">
        <f t="shared" si="294"/>
        <v>19.8260869565217</v>
      </c>
      <c r="AW62" s="64">
        <f t="shared" si="295"/>
        <v>11.7391304347826</v>
      </c>
      <c r="AX62" s="69">
        <f t="shared" si="296"/>
        <v>94.565217391304</v>
      </c>
      <c r="AY62" s="64" t="e">
        <f t="shared" si="13"/>
        <v>#REF!</v>
      </c>
      <c r="BB62" s="65" t="e">
        <f t="shared" si="297"/>
        <v>#REF!</v>
      </c>
      <c r="BD62" s="47" t="e">
        <f t="shared" si="298"/>
        <v>#REF!</v>
      </c>
      <c r="BE62" s="47" t="s">
        <v>350</v>
      </c>
      <c r="BF62" s="65" t="e">
        <f t="shared" si="299"/>
        <v>#REF!</v>
      </c>
      <c r="BG62" s="65">
        <f t="shared" si="300"/>
        <v>15.2608695652173</v>
      </c>
      <c r="BH62" s="65"/>
      <c r="BI62" s="65" t="e">
        <f t="shared" si="301"/>
        <v>#REF!</v>
      </c>
      <c r="BJ62" s="65">
        <f t="shared" si="302"/>
        <v>19.8260869565217</v>
      </c>
      <c r="BK62" s="65"/>
      <c r="BL62" s="65" t="e">
        <f t="shared" si="303"/>
        <v>#REF!</v>
      </c>
      <c r="BM62" s="65">
        <f t="shared" si="304"/>
        <v>19.8260869565217</v>
      </c>
      <c r="BN62" s="65"/>
      <c r="BO62" s="65" t="e">
        <f t="shared" si="305"/>
        <v>#REF!</v>
      </c>
      <c r="BP62" s="65">
        <f t="shared" si="306"/>
        <v>19.8260869565217</v>
      </c>
      <c r="BQ62" s="65"/>
      <c r="BR62" s="65" t="e">
        <f t="shared" si="307"/>
        <v>#REF!</v>
      </c>
      <c r="BS62" s="65">
        <f t="shared" si="308"/>
        <v>19.8260869565217</v>
      </c>
      <c r="BT62" s="65"/>
      <c r="BU62" s="65" t="e">
        <f t="shared" si="309"/>
        <v>#REF!</v>
      </c>
      <c r="BV62" s="47">
        <f t="shared" si="27"/>
        <v>11.7391304347826</v>
      </c>
      <c r="BX62" s="65" t="e">
        <f t="shared" si="28"/>
        <v>#REF!</v>
      </c>
    </row>
    <row r="63" ht="14.0">
      <c r="A63" s="93" t="s">
        <v>32</v>
      </c>
      <c r="B63" s="93" t="s">
        <v>110</v>
      </c>
      <c r="C63" s="93" t="s">
        <v>122</v>
      </c>
      <c r="D63" s="277">
        <v>43105.0</v>
      </c>
      <c r="E63" s="93">
        <v>15.0</v>
      </c>
      <c r="F63" s="93">
        <v>30.0</v>
      </c>
      <c r="G63" s="93">
        <v>9.0</v>
      </c>
      <c r="H63" s="93">
        <v>0.0</v>
      </c>
      <c r="I63" s="93">
        <v>48.0</v>
      </c>
      <c r="J63" s="93">
        <v>18.0</v>
      </c>
      <c r="K63" s="93">
        <v>27.0</v>
      </c>
      <c r="L63" s="93">
        <v>24.0</v>
      </c>
      <c r="M63" s="93">
        <v>27.0</v>
      </c>
      <c r="N63" s="93">
        <v>18.0</v>
      </c>
      <c r="O63" s="93">
        <v>21.0</v>
      </c>
      <c r="P63" s="93">
        <v>9.0</v>
      </c>
      <c r="Q63" s="93">
        <v>21.0</v>
      </c>
      <c r="R63" s="93">
        <v>24.0</v>
      </c>
      <c r="S63" s="93">
        <v>15.0</v>
      </c>
      <c r="T63" s="93">
        <v>24.0</v>
      </c>
      <c r="U63" s="93">
        <v>36.0</v>
      </c>
      <c r="V63" s="93">
        <v>15.0</v>
      </c>
      <c r="W63" s="93">
        <v>24.0</v>
      </c>
      <c r="X63" s="93">
        <v>30.0</v>
      </c>
      <c r="Y63" s="93">
        <v>34.0</v>
      </c>
      <c r="Z63" s="93">
        <v>19.0</v>
      </c>
      <c r="AA63" s="93">
        <v>24.0</v>
      </c>
      <c r="AB63" s="93">
        <v>21.0</v>
      </c>
      <c r="AC63" s="93">
        <v>27.0</v>
      </c>
      <c r="AD63" s="93">
        <v>21.0</v>
      </c>
      <c r="AE63" s="93">
        <v>42.0</v>
      </c>
      <c r="AF63" s="93">
        <v>24.0</v>
      </c>
      <c r="AG63" s="93">
        <v>33.0</v>
      </c>
      <c r="AH63" s="93">
        <v>0.0</v>
      </c>
      <c r="AI63" s="93">
        <v>0.0</v>
      </c>
      <c r="AJ63" s="93">
        <v>0.0</v>
      </c>
      <c r="AK63" s="93">
        <v>0.0</v>
      </c>
      <c r="AL63" s="93">
        <v>37.0</v>
      </c>
      <c r="AM63" s="93">
        <v>15.0</v>
      </c>
      <c r="AN63" s="93">
        <v>45.0</v>
      </c>
      <c r="AO63" s="69">
        <f t="shared" si="3"/>
        <v>244.0</v>
      </c>
      <c r="AP63" s="69">
        <f t="shared" si="4"/>
        <v>97.0</v>
      </c>
      <c r="AQ63" s="69">
        <f t="shared" si="5"/>
        <v>106.7</v>
      </c>
      <c r="AR63" s="47">
        <f t="shared" si="290"/>
        <v>25.8695652173913</v>
      </c>
      <c r="AS63" s="47">
        <f t="shared" si="291"/>
        <v>33.0869565217391</v>
      </c>
      <c r="AT63" s="47">
        <f t="shared" si="292"/>
        <v>33.0869565217391</v>
      </c>
      <c r="AU63" s="47">
        <f t="shared" si="293"/>
        <v>33.0869565217391</v>
      </c>
      <c r="AV63" s="47">
        <f t="shared" si="294"/>
        <v>33.0869565217391</v>
      </c>
      <c r="AW63" s="64">
        <f t="shared" si="295"/>
        <v>19.695652173913</v>
      </c>
      <c r="AX63" s="69">
        <f t="shared" si="296"/>
        <v>158.21739130434</v>
      </c>
      <c r="AY63" s="64" t="e">
        <f t="shared" si="13"/>
        <v>#REF!</v>
      </c>
      <c r="BB63" s="65" t="e">
        <f t="shared" si="297"/>
        <v>#REF!</v>
      </c>
      <c r="BD63" s="47" t="e">
        <f t="shared" si="298"/>
        <v>#REF!</v>
      </c>
      <c r="BE63" s="47" t="s">
        <v>355</v>
      </c>
      <c r="BF63" s="65" t="e">
        <f t="shared" si="299"/>
        <v>#REF!</v>
      </c>
      <c r="BG63" s="65">
        <f t="shared" si="300"/>
        <v>25.8695652173913</v>
      </c>
      <c r="BH63" s="65"/>
      <c r="BI63" s="65" t="e">
        <f t="shared" si="301"/>
        <v>#REF!</v>
      </c>
      <c r="BJ63" s="65">
        <f t="shared" si="302"/>
        <v>33.0869565217391</v>
      </c>
      <c r="BK63" s="65"/>
      <c r="BL63" s="65" t="e">
        <f t="shared" si="303"/>
        <v>#REF!</v>
      </c>
      <c r="BM63" s="65">
        <f t="shared" si="304"/>
        <v>33.0869565217391</v>
      </c>
      <c r="BN63" s="65"/>
      <c r="BO63" s="65" t="e">
        <f t="shared" si="305"/>
        <v>#REF!</v>
      </c>
      <c r="BP63" s="65">
        <f t="shared" si="306"/>
        <v>33.0869565217391</v>
      </c>
      <c r="BQ63" s="65"/>
      <c r="BR63" s="65" t="e">
        <f t="shared" si="307"/>
        <v>#REF!</v>
      </c>
      <c r="BS63" s="65">
        <f t="shared" si="308"/>
        <v>33.0869565217391</v>
      </c>
      <c r="BT63" s="65"/>
      <c r="BU63" s="65" t="e">
        <f t="shared" si="309"/>
        <v>#REF!</v>
      </c>
      <c r="BV63" s="47">
        <f t="shared" si="27"/>
        <v>19.695652173913</v>
      </c>
      <c r="BX63" s="65" t="e">
        <f t="shared" si="28"/>
        <v>#REF!</v>
      </c>
    </row>
    <row r="64" ht="14.0">
      <c r="A64" s="93" t="s">
        <v>32</v>
      </c>
      <c r="B64" s="93" t="s">
        <v>110</v>
      </c>
      <c r="C64" s="93" t="s">
        <v>123</v>
      </c>
      <c r="D64" s="277">
        <v>43106.0</v>
      </c>
      <c r="E64" s="93">
        <v>27.0</v>
      </c>
      <c r="F64" s="93">
        <v>36.0</v>
      </c>
      <c r="G64" s="93">
        <v>18.0</v>
      </c>
      <c r="H64" s="93">
        <v>24.0</v>
      </c>
      <c r="I64" s="93">
        <v>45.0</v>
      </c>
      <c r="J64" s="93">
        <v>24.0</v>
      </c>
      <c r="K64" s="93">
        <v>39.0</v>
      </c>
      <c r="L64" s="93">
        <v>18.0</v>
      </c>
      <c r="M64" s="93">
        <v>33.0</v>
      </c>
      <c r="N64" s="93">
        <v>28.0</v>
      </c>
      <c r="O64" s="93">
        <v>36.0</v>
      </c>
      <c r="P64" s="93">
        <v>33.0</v>
      </c>
      <c r="Q64" s="93">
        <v>45.0</v>
      </c>
      <c r="R64" s="93">
        <v>36.0</v>
      </c>
      <c r="S64" s="93">
        <v>18.0</v>
      </c>
      <c r="T64" s="93">
        <v>27.0</v>
      </c>
      <c r="U64" s="93">
        <v>39.0</v>
      </c>
      <c r="V64" s="93">
        <v>33.0</v>
      </c>
      <c r="W64" s="93">
        <v>21.0</v>
      </c>
      <c r="X64" s="93">
        <v>39.0</v>
      </c>
      <c r="Y64" s="93">
        <v>45.0</v>
      </c>
      <c r="Z64" s="93">
        <v>37.0</v>
      </c>
      <c r="AA64" s="93">
        <v>21.0</v>
      </c>
      <c r="AB64" s="93">
        <v>30.0</v>
      </c>
      <c r="AC64" s="93">
        <v>36.0</v>
      </c>
      <c r="AD64" s="93">
        <v>23.0</v>
      </c>
      <c r="AE64" s="93">
        <v>48.0</v>
      </c>
      <c r="AF64" s="93">
        <v>69.0</v>
      </c>
      <c r="AG64" s="93">
        <v>7.0</v>
      </c>
      <c r="AH64" s="93">
        <v>0.0</v>
      </c>
      <c r="AI64" s="93">
        <v>0.0</v>
      </c>
      <c r="AJ64" s="93">
        <v>1.0</v>
      </c>
      <c r="AK64" s="93">
        <v>0.0</v>
      </c>
      <c r="AL64" s="93">
        <v>33.0</v>
      </c>
      <c r="AM64" s="93">
        <v>18.0</v>
      </c>
      <c r="AN64" s="93">
        <v>15.0</v>
      </c>
      <c r="AO64" s="69">
        <f t="shared" si="3"/>
        <v>250.0</v>
      </c>
      <c r="AP64" s="69">
        <f t="shared" si="4"/>
        <v>67.0</v>
      </c>
      <c r="AQ64" s="69">
        <f t="shared" si="5"/>
        <v>73.7</v>
      </c>
      <c r="AR64" s="47">
        <f t="shared" si="290"/>
        <v>20.6521739130434</v>
      </c>
      <c r="AS64" s="47">
        <f t="shared" si="291"/>
        <v>26.5652173913043</v>
      </c>
      <c r="AT64" s="47">
        <f t="shared" si="292"/>
        <v>26.5652173913043</v>
      </c>
      <c r="AU64" s="47">
        <f t="shared" si="293"/>
        <v>26.5652173913043</v>
      </c>
      <c r="AV64" s="47">
        <f t="shared" si="294"/>
        <v>26.5652173913043</v>
      </c>
      <c r="AW64" s="64">
        <f t="shared" si="295"/>
        <v>15.7826086956521</v>
      </c>
      <c r="AX64" s="69">
        <f t="shared" si="296"/>
        <v>126.91304347826</v>
      </c>
      <c r="AY64" s="64" t="e">
        <f t="shared" si="13"/>
        <v>#REF!</v>
      </c>
      <c r="BB64" s="65" t="e">
        <f t="shared" si="297"/>
        <v>#REF!</v>
      </c>
      <c r="BD64" s="47" t="e">
        <f t="shared" si="298"/>
        <v>#REF!</v>
      </c>
      <c r="BE64" s="47" t="s">
        <v>249</v>
      </c>
      <c r="BF64" s="65" t="e">
        <f t="shared" si="299"/>
        <v>#REF!</v>
      </c>
      <c r="BG64" s="65">
        <f t="shared" si="300"/>
        <v>20.6521739130434</v>
      </c>
      <c r="BH64" s="65"/>
      <c r="BI64" s="65" t="e">
        <f t="shared" si="301"/>
        <v>#REF!</v>
      </c>
      <c r="BJ64" s="65">
        <f t="shared" si="302"/>
        <v>26.5652173913043</v>
      </c>
      <c r="BK64" s="65"/>
      <c r="BL64" s="65" t="e">
        <f t="shared" si="303"/>
        <v>#REF!</v>
      </c>
      <c r="BM64" s="65">
        <f t="shared" si="304"/>
        <v>26.5652173913043</v>
      </c>
      <c r="BN64" s="65"/>
      <c r="BO64" s="65" t="e">
        <f t="shared" si="305"/>
        <v>#REF!</v>
      </c>
      <c r="BP64" s="65">
        <f t="shared" si="306"/>
        <v>26.5652173913043</v>
      </c>
      <c r="BQ64" s="65"/>
      <c r="BR64" s="65" t="e">
        <f t="shared" si="307"/>
        <v>#REF!</v>
      </c>
      <c r="BS64" s="65">
        <f t="shared" si="308"/>
        <v>26.5652173913043</v>
      </c>
      <c r="BT64" s="65"/>
      <c r="BU64" s="65" t="e">
        <f t="shared" si="309"/>
        <v>#REF!</v>
      </c>
      <c r="BV64" s="47">
        <f t="shared" si="27"/>
        <v>15.7826086956521</v>
      </c>
      <c r="BX64" s="65" t="e">
        <f t="shared" si="28"/>
        <v>#REF!</v>
      </c>
    </row>
    <row r="65" ht="14.0">
      <c r="A65" s="93" t="s">
        <v>32</v>
      </c>
      <c r="B65" s="93" t="s">
        <v>110</v>
      </c>
      <c r="C65" s="93" t="s">
        <v>124</v>
      </c>
      <c r="D65" s="277">
        <v>43107.0</v>
      </c>
      <c r="E65" s="93">
        <v>0.0</v>
      </c>
      <c r="F65" s="93">
        <v>0.0</v>
      </c>
      <c r="G65" s="93">
        <v>0.0</v>
      </c>
      <c r="H65" s="93">
        <v>0.0</v>
      </c>
      <c r="I65" s="93">
        <v>0.0</v>
      </c>
      <c r="J65" s="93">
        <v>0.0</v>
      </c>
      <c r="K65" s="93">
        <v>0.0</v>
      </c>
      <c r="L65" s="93">
        <v>0.0</v>
      </c>
      <c r="M65" s="93">
        <v>0.0</v>
      </c>
      <c r="N65" s="93">
        <v>0.0</v>
      </c>
      <c r="O65" s="93">
        <v>0.0</v>
      </c>
      <c r="P65" s="93">
        <v>0.0</v>
      </c>
      <c r="Q65" s="93">
        <v>0.0</v>
      </c>
      <c r="R65" s="93">
        <v>0.0</v>
      </c>
      <c r="S65" s="93">
        <v>0.0</v>
      </c>
      <c r="T65" s="93">
        <v>12.0</v>
      </c>
      <c r="U65" s="93">
        <v>48.0</v>
      </c>
      <c r="V65" s="93">
        <v>9.0</v>
      </c>
      <c r="W65" s="93">
        <v>15.0</v>
      </c>
      <c r="X65" s="93">
        <v>12.0</v>
      </c>
      <c r="Y65" s="93">
        <v>12.0</v>
      </c>
      <c r="Z65" s="93">
        <v>10.0</v>
      </c>
      <c r="AA65" s="93">
        <v>24.0</v>
      </c>
      <c r="AB65" s="93">
        <v>15.0</v>
      </c>
      <c r="AC65" s="93">
        <v>15.0</v>
      </c>
      <c r="AD65" s="93">
        <v>18.0</v>
      </c>
      <c r="AE65" s="93">
        <v>27.0</v>
      </c>
      <c r="AF65" s="93">
        <v>24.0</v>
      </c>
      <c r="AG65" s="93">
        <v>12.0</v>
      </c>
      <c r="AH65" s="93">
        <v>42.0</v>
      </c>
      <c r="AI65" s="93">
        <v>27.0</v>
      </c>
      <c r="AJ65" s="93">
        <v>0.0</v>
      </c>
      <c r="AK65" s="93">
        <v>0.0</v>
      </c>
      <c r="AL65" s="93">
        <v>18.0</v>
      </c>
      <c r="AM65" s="93">
        <v>18.0</v>
      </c>
      <c r="AN65" s="93">
        <v>21.0</v>
      </c>
      <c r="AO65" s="69">
        <f t="shared" si="3"/>
        <v>222.0</v>
      </c>
      <c r="AP65" s="69">
        <f t="shared" si="4"/>
        <v>84.0</v>
      </c>
      <c r="AQ65" s="69">
        <f t="shared" si="5"/>
        <v>92.4</v>
      </c>
      <c r="AR65" s="47">
        <f t="shared" si="290"/>
        <v>23.6086956521739</v>
      </c>
      <c r="AS65" s="47">
        <f t="shared" si="291"/>
        <v>30.2608695652173</v>
      </c>
      <c r="AT65" s="47">
        <f t="shared" si="292"/>
        <v>30.2608695652173</v>
      </c>
      <c r="AU65" s="47">
        <f t="shared" si="293"/>
        <v>30.2608695652173</v>
      </c>
      <c r="AV65" s="47">
        <f t="shared" si="294"/>
        <v>30.2608695652173</v>
      </c>
      <c r="AW65" s="64">
        <f t="shared" si="295"/>
        <v>18.0</v>
      </c>
      <c r="AX65" s="69">
        <f t="shared" si="296"/>
        <v>144.652173913043</v>
      </c>
      <c r="AY65" s="64" t="e">
        <f t="shared" si="13"/>
        <v>#REF!</v>
      </c>
      <c r="BB65" s="65" t="e">
        <f t="shared" si="297"/>
        <v>#REF!</v>
      </c>
      <c r="BD65" s="47" t="e">
        <f t="shared" si="298"/>
        <v>#REF!</v>
      </c>
      <c r="BE65" s="47" t="s">
        <v>350</v>
      </c>
      <c r="BF65" s="65" t="e">
        <f t="shared" si="299"/>
        <v>#REF!</v>
      </c>
      <c r="BG65" s="65">
        <f t="shared" si="300"/>
        <v>23.6086956521739</v>
      </c>
      <c r="BH65" s="65"/>
      <c r="BI65" s="65" t="e">
        <f t="shared" si="301"/>
        <v>#REF!</v>
      </c>
      <c r="BJ65" s="65">
        <f t="shared" si="302"/>
        <v>30.2608695652173</v>
      </c>
      <c r="BK65" s="65"/>
      <c r="BL65" s="65" t="e">
        <f t="shared" si="303"/>
        <v>#REF!</v>
      </c>
      <c r="BM65" s="65">
        <f t="shared" si="304"/>
        <v>30.2608695652173</v>
      </c>
      <c r="BN65" s="65"/>
      <c r="BO65" s="65" t="e">
        <f t="shared" si="305"/>
        <v>#REF!</v>
      </c>
      <c r="BP65" s="65">
        <f t="shared" si="306"/>
        <v>30.2608695652173</v>
      </c>
      <c r="BQ65" s="65"/>
      <c r="BR65" s="65" t="e">
        <f t="shared" si="307"/>
        <v>#REF!</v>
      </c>
      <c r="BS65" s="65">
        <f t="shared" si="308"/>
        <v>30.2608695652173</v>
      </c>
      <c r="BT65" s="65"/>
      <c r="BU65" s="65" t="e">
        <f t="shared" si="309"/>
        <v>#REF!</v>
      </c>
      <c r="BV65" s="47">
        <f t="shared" si="27"/>
        <v>18.0</v>
      </c>
      <c r="BX65" s="65" t="e">
        <f t="shared" si="28"/>
        <v>#REF!</v>
      </c>
    </row>
    <row r="66" ht="14.0">
      <c r="A66" s="93" t="s">
        <v>32</v>
      </c>
      <c r="B66" s="93" t="s">
        <v>110</v>
      </c>
      <c r="C66" s="93" t="s">
        <v>125</v>
      </c>
      <c r="D66" s="229">
        <v>43110.0</v>
      </c>
      <c r="E66" s="93">
        <v>0.0</v>
      </c>
      <c r="F66" s="93">
        <v>3.0</v>
      </c>
      <c r="G66" s="93">
        <v>0.0</v>
      </c>
      <c r="H66" s="93">
        <v>0.0</v>
      </c>
      <c r="I66" s="93">
        <v>54.0</v>
      </c>
      <c r="J66" s="93">
        <v>45.0</v>
      </c>
      <c r="K66" s="93">
        <v>51.0</v>
      </c>
      <c r="L66" s="93">
        <v>30.0</v>
      </c>
      <c r="M66" s="93">
        <v>36.0</v>
      </c>
      <c r="N66" s="93">
        <v>34.0</v>
      </c>
      <c r="O66" s="93">
        <v>42.0</v>
      </c>
      <c r="P66" s="93">
        <v>60.0</v>
      </c>
      <c r="Q66" s="93">
        <v>54.0</v>
      </c>
      <c r="R66" s="93">
        <v>66.0</v>
      </c>
      <c r="S66" s="93">
        <v>33.0</v>
      </c>
      <c r="T66" s="93">
        <v>51.0</v>
      </c>
      <c r="U66" s="93">
        <v>55.0</v>
      </c>
      <c r="V66" s="93">
        <v>48.0</v>
      </c>
      <c r="W66" s="93">
        <v>27.0</v>
      </c>
      <c r="X66" s="93">
        <v>50.0</v>
      </c>
      <c r="Y66" s="93">
        <v>42.0</v>
      </c>
      <c r="Z66" s="93">
        <v>55.0</v>
      </c>
      <c r="AA66" s="93">
        <v>42.0</v>
      </c>
      <c r="AB66" s="93">
        <v>45.0</v>
      </c>
      <c r="AC66" s="93">
        <v>24.0</v>
      </c>
      <c r="AD66" s="93">
        <v>57.0</v>
      </c>
      <c r="AE66" s="93">
        <v>63.0</v>
      </c>
      <c r="AF66" s="93">
        <v>63.0</v>
      </c>
      <c r="AG66" s="93">
        <v>42.0</v>
      </c>
      <c r="AH66" s="93">
        <v>11.0</v>
      </c>
      <c r="AI66" s="93">
        <v>0.0</v>
      </c>
      <c r="AJ66" s="93">
        <v>0.0</v>
      </c>
      <c r="AK66" s="93">
        <v>0.0</v>
      </c>
      <c r="AL66" s="93">
        <v>0.0</v>
      </c>
      <c r="AM66" s="93">
        <v>0.0</v>
      </c>
      <c r="AN66" s="93">
        <v>6.0</v>
      </c>
      <c r="AO66" s="69">
        <f t="shared" si="3"/>
        <v>266.0</v>
      </c>
      <c r="AP66" s="69">
        <f t="shared" si="4"/>
        <v>6.0</v>
      </c>
      <c r="AQ66" s="69">
        <f t="shared" si="5"/>
        <v>6.6</v>
      </c>
      <c r="AR66" s="47">
        <f t="shared" ref="AR66:AR67" si="310">AQ66*$AR$4/$AQ$4</f>
        <v>1.04347826086957</v>
      </c>
      <c r="AS66" s="47">
        <f t="shared" ref="AS66:AS67" si="311">AQ66*$AS$4/$AQ$4</f>
        <v>1.30434782608696</v>
      </c>
      <c r="AT66" s="47">
        <f t="shared" ref="AT66:AT67" si="312">AQ66*$AT$4/$AQ$4</f>
        <v>1.30434782608696</v>
      </c>
      <c r="AU66" s="47">
        <f t="shared" ref="AU66:AU67" si="313">AQ66*$AU$4/$AQ$4</f>
        <v>1.30434782608696</v>
      </c>
      <c r="AV66" s="47">
        <f t="shared" ref="AV66:AV67" si="314">AQ66*$AV$4/$AQ$4</f>
        <v>1.30434782608696</v>
      </c>
      <c r="AW66" s="64">
        <f t="shared" ref="AW66:AW67" si="315">AQ66*$AW$4/$AQ$4</f>
        <v>0.782608695652174</v>
      </c>
      <c r="AX66" s="69">
        <f>SUM(AR66:AW66)</f>
        <v>7.04347826086958</v>
      </c>
      <c r="AY66" s="64" t="e">
        <f t="shared" si="13"/>
        <v>#REF!</v>
      </c>
      <c r="BB66" s="65" t="e">
        <f t="shared" si="297"/>
        <v>#REF!</v>
      </c>
      <c r="BF66" s="65" t="e">
        <f t="shared" si="299"/>
        <v>#REF!</v>
      </c>
      <c r="BG66" s="65">
        <f t="shared" si="300"/>
        <v>1.04347826086957</v>
      </c>
      <c r="BH66" s="65"/>
      <c r="BI66" s="65" t="e">
        <f t="shared" si="301"/>
        <v>#REF!</v>
      </c>
      <c r="BJ66" s="65">
        <f t="shared" si="302"/>
        <v>1.30434782608696</v>
      </c>
      <c r="BK66" s="65"/>
      <c r="BL66" s="65" t="e">
        <f t="shared" si="303"/>
        <v>#REF!</v>
      </c>
      <c r="BM66" s="65">
        <f t="shared" si="304"/>
        <v>1.30434782608696</v>
      </c>
      <c r="BN66" s="65"/>
      <c r="BO66" s="65" t="e">
        <f t="shared" si="305"/>
        <v>#REF!</v>
      </c>
      <c r="BP66" s="65">
        <f t="shared" si="306"/>
        <v>1.30434782608696</v>
      </c>
      <c r="BQ66" s="65"/>
      <c r="BR66" s="65" t="e">
        <f t="shared" si="307"/>
        <v>#REF!</v>
      </c>
      <c r="BS66" s="65">
        <f t="shared" si="308"/>
        <v>1.30434782608696</v>
      </c>
      <c r="BT66" s="65"/>
      <c r="BU66" s="65" t="e">
        <f t="shared" si="309"/>
        <v>#REF!</v>
      </c>
      <c r="BV66" s="47">
        <f t="shared" si="27"/>
        <v>0.782608695652174</v>
      </c>
      <c r="BX66" s="65" t="e">
        <f t="shared" si="28"/>
        <v>#REF!</v>
      </c>
    </row>
    <row r="67" ht="14.0">
      <c r="A67" s="93" t="s">
        <v>32</v>
      </c>
      <c r="B67" s="93" t="s">
        <v>110</v>
      </c>
      <c r="C67" s="93" t="s">
        <v>126</v>
      </c>
      <c r="D67" s="229">
        <v>43111.0</v>
      </c>
      <c r="E67" s="93">
        <v>0.0</v>
      </c>
      <c r="F67" s="93">
        <v>0.0</v>
      </c>
      <c r="G67" s="93">
        <v>0.0</v>
      </c>
      <c r="H67" s="93">
        <v>0.0</v>
      </c>
      <c r="I67" s="93">
        <v>0.0</v>
      </c>
      <c r="J67" s="93">
        <v>0.0</v>
      </c>
      <c r="K67" s="93">
        <v>0.0</v>
      </c>
      <c r="L67" s="93">
        <v>0.0</v>
      </c>
      <c r="M67" s="93">
        <v>0.0</v>
      </c>
      <c r="N67" s="93">
        <v>0.0</v>
      </c>
      <c r="O67" s="93">
        <v>0.0</v>
      </c>
      <c r="P67" s="93">
        <v>0.0</v>
      </c>
      <c r="Q67" s="93">
        <v>0.0</v>
      </c>
      <c r="R67" s="93">
        <v>0.0</v>
      </c>
      <c r="S67" s="93">
        <v>0.0</v>
      </c>
      <c r="T67" s="93">
        <v>9.0</v>
      </c>
      <c r="U67" s="93">
        <v>48.0</v>
      </c>
      <c r="V67" s="93">
        <v>21.0</v>
      </c>
      <c r="W67" s="93">
        <v>39.0</v>
      </c>
      <c r="X67" s="93">
        <v>49.0</v>
      </c>
      <c r="Y67" s="93">
        <v>27.0</v>
      </c>
      <c r="Z67" s="93">
        <v>31.0</v>
      </c>
      <c r="AA67" s="93">
        <v>33.0</v>
      </c>
      <c r="AB67" s="93">
        <v>27.0</v>
      </c>
      <c r="AC67" s="93">
        <v>18.0</v>
      </c>
      <c r="AD67" s="93">
        <v>30.0</v>
      </c>
      <c r="AE67" s="93">
        <v>27.0</v>
      </c>
      <c r="AF67" s="93">
        <v>30.0</v>
      </c>
      <c r="AG67" s="93">
        <v>24.0</v>
      </c>
      <c r="AH67" s="93">
        <v>33.0</v>
      </c>
      <c r="AI67" s="93">
        <v>21.0</v>
      </c>
      <c r="AJ67" s="93">
        <v>54.0</v>
      </c>
      <c r="AK67" s="93">
        <v>12.0</v>
      </c>
      <c r="AL67" s="93">
        <v>0.0</v>
      </c>
      <c r="AM67" s="93">
        <v>0.0</v>
      </c>
      <c r="AN67" s="93">
        <v>0.0</v>
      </c>
      <c r="AO67" s="69">
        <f t="shared" si="3"/>
        <v>249.0</v>
      </c>
      <c r="AP67" s="69">
        <f t="shared" si="4"/>
        <v>87.0</v>
      </c>
      <c r="AQ67" s="69">
        <f t="shared" si="5"/>
        <v>95.7</v>
      </c>
      <c r="AR67" s="47">
        <f t="shared" si="310"/>
        <v>15.130434782609</v>
      </c>
      <c r="AS67" s="47">
        <f t="shared" si="311"/>
        <v>18.9130434782609</v>
      </c>
      <c r="AT67" s="47">
        <f t="shared" si="312"/>
        <v>18.9130434782609</v>
      </c>
      <c r="AU67" s="47">
        <f t="shared" si="313"/>
        <v>18.9130434782609</v>
      </c>
      <c r="AV67" s="47">
        <f t="shared" si="314"/>
        <v>18.9130434782609</v>
      </c>
      <c r="AW67" s="64">
        <f t="shared" si="315"/>
        <v>11.3478260869565</v>
      </c>
      <c r="AX67" s="69">
        <f t="shared" ref="AX67:AX68" si="317">SUM(AR67:AV67)</f>
        <v>90.7826086956526</v>
      </c>
      <c r="AY67" s="64" t="e">
        <f t="shared" si="13"/>
        <v>#REF!</v>
      </c>
      <c r="BB67" s="65" t="e">
        <f t="shared" si="297"/>
        <v>#REF!</v>
      </c>
      <c r="BD67" s="47" t="e">
        <f t="shared" ref="BD67:BD68" si="318">BB67*-1</f>
        <v>#REF!</v>
      </c>
      <c r="BE67" s="47" t="s">
        <v>355</v>
      </c>
      <c r="BF67" s="65" t="e">
        <f t="shared" si="299"/>
        <v>#REF!</v>
      </c>
      <c r="BG67" s="65">
        <f t="shared" si="300"/>
        <v>15.130434782609</v>
      </c>
      <c r="BH67" s="65"/>
      <c r="BI67" s="65" t="e">
        <f t="shared" si="301"/>
        <v>#REF!</v>
      </c>
      <c r="BJ67" s="65">
        <f t="shared" si="302"/>
        <v>18.9130434782609</v>
      </c>
      <c r="BK67" s="65"/>
      <c r="BL67" s="65" t="e">
        <f t="shared" si="303"/>
        <v>#REF!</v>
      </c>
      <c r="BM67" s="65">
        <f t="shared" si="304"/>
        <v>18.9130434782609</v>
      </c>
      <c r="BN67" s="65"/>
      <c r="BO67" s="65" t="e">
        <f t="shared" si="305"/>
        <v>#REF!</v>
      </c>
      <c r="BP67" s="65">
        <f t="shared" si="306"/>
        <v>18.9130434782609</v>
      </c>
      <c r="BQ67" s="65"/>
      <c r="BR67" s="65" t="e">
        <f t="shared" si="307"/>
        <v>#REF!</v>
      </c>
      <c r="BS67" s="65">
        <f t="shared" si="308"/>
        <v>18.9130434782609</v>
      </c>
      <c r="BT67" s="65"/>
      <c r="BU67" s="65" t="e">
        <f t="shared" si="309"/>
        <v>#REF!</v>
      </c>
      <c r="BV67" s="47">
        <f t="shared" si="27"/>
        <v>11.3478260869565</v>
      </c>
      <c r="BX67" s="65" t="e">
        <f t="shared" si="28"/>
        <v>#REF!</v>
      </c>
    </row>
    <row r="68" ht="14.0">
      <c r="A68" s="93" t="s">
        <v>32</v>
      </c>
      <c r="B68" s="93" t="s">
        <v>110</v>
      </c>
      <c r="C68" s="93" t="s">
        <v>127</v>
      </c>
      <c r="D68" s="277">
        <v>43112.0</v>
      </c>
      <c r="E68" s="93">
        <v>24.0</v>
      </c>
      <c r="F68" s="93">
        <v>27.0</v>
      </c>
      <c r="G68" s="93">
        <v>15.0</v>
      </c>
      <c r="H68" s="93">
        <v>9.0</v>
      </c>
      <c r="I68" s="93">
        <v>51.0</v>
      </c>
      <c r="J68" s="93">
        <v>39.0</v>
      </c>
      <c r="K68" s="93">
        <v>33.0</v>
      </c>
      <c r="L68" s="93">
        <v>45.0</v>
      </c>
      <c r="M68" s="93">
        <v>33.0</v>
      </c>
      <c r="N68" s="93">
        <v>39.0</v>
      </c>
      <c r="O68" s="93">
        <v>39.0</v>
      </c>
      <c r="P68" s="93">
        <v>36.0</v>
      </c>
      <c r="Q68" s="93">
        <v>33.0</v>
      </c>
      <c r="R68" s="93">
        <v>32.0</v>
      </c>
      <c r="S68" s="93">
        <v>24.0</v>
      </c>
      <c r="T68" s="93">
        <v>48.0</v>
      </c>
      <c r="U68" s="93">
        <v>51.0</v>
      </c>
      <c r="V68" s="93">
        <v>21.0</v>
      </c>
      <c r="W68" s="93">
        <v>33.0</v>
      </c>
      <c r="X68" s="93">
        <v>42.0</v>
      </c>
      <c r="Y68" s="93">
        <v>39.0</v>
      </c>
      <c r="Z68" s="93">
        <v>31.0</v>
      </c>
      <c r="AA68" s="93">
        <v>30.0</v>
      </c>
      <c r="AB68" s="93">
        <v>27.0</v>
      </c>
      <c r="AC68" s="93">
        <v>51.0</v>
      </c>
      <c r="AD68" s="93">
        <v>40.0</v>
      </c>
      <c r="AE68" s="93">
        <v>33.0</v>
      </c>
      <c r="AF68" s="93">
        <v>54.0</v>
      </c>
      <c r="AG68" s="93">
        <v>39.0</v>
      </c>
      <c r="AH68" s="93">
        <v>56.0</v>
      </c>
      <c r="AI68" s="93">
        <v>46.0</v>
      </c>
      <c r="AJ68" s="93">
        <v>66.0</v>
      </c>
      <c r="AK68" s="93">
        <v>12.0</v>
      </c>
      <c r="AL68" s="93">
        <v>51.0</v>
      </c>
      <c r="AM68" s="93">
        <v>21.0</v>
      </c>
      <c r="AN68" s="93">
        <v>33.0</v>
      </c>
      <c r="AO68" s="69">
        <f t="shared" si="3"/>
        <v>502.0</v>
      </c>
      <c r="AP68" s="69">
        <f t="shared" si="4"/>
        <v>229.0</v>
      </c>
      <c r="AQ68" s="69">
        <f t="shared" si="5"/>
        <v>251.9</v>
      </c>
      <c r="AR68" s="47">
        <f>AQ68*$AR$4/$AQ$4+3*$AR$75</f>
        <v>48.8260869565217</v>
      </c>
      <c r="AS68" s="47">
        <f>AQ68*$AS$4/$AQ$4+3*$AS$75</f>
        <v>61.7826086956521</v>
      </c>
      <c r="AT68" s="47">
        <f>AQ68*$AT$4/$AQ$4+3*$AT$75</f>
        <v>61.7826086956521</v>
      </c>
      <c r="AU68" s="47">
        <f>AQ68*$AU$4/$AQ$4+3*$AU$75</f>
        <v>61.7826086956521</v>
      </c>
      <c r="AV68" s="47">
        <f>AQ68*$AV$4/$AQ$4+3*$AV$75</f>
        <v>61.7826086956521</v>
      </c>
      <c r="AW68" s="64">
        <f>AQ68*$AW$4/$AQ$4+3*$AW$75</f>
        <v>36.9130434782609</v>
      </c>
      <c r="AX68" s="69">
        <f t="shared" si="317"/>
        <v>295.95652173913</v>
      </c>
      <c r="AY68" s="64" t="e">
        <f t="shared" si="13"/>
        <v>#REF!</v>
      </c>
      <c r="BB68" s="65" t="e">
        <f t="shared" si="297"/>
        <v>#REF!</v>
      </c>
      <c r="BD68" s="47" t="e">
        <f t="shared" si="318"/>
        <v>#REF!</v>
      </c>
      <c r="BE68" s="47" t="s">
        <v>255</v>
      </c>
      <c r="BF68" s="65" t="e">
        <f t="shared" si="299"/>
        <v>#REF!</v>
      </c>
      <c r="BG68" s="65">
        <f t="shared" si="300"/>
        <v>48.8260869565217</v>
      </c>
      <c r="BH68" s="65"/>
      <c r="BI68" s="65" t="e">
        <f t="shared" si="301"/>
        <v>#REF!</v>
      </c>
      <c r="BJ68" s="65">
        <f t="shared" si="302"/>
        <v>61.7826086956521</v>
      </c>
      <c r="BK68" s="65"/>
      <c r="BL68" s="65" t="e">
        <f t="shared" si="303"/>
        <v>#REF!</v>
      </c>
      <c r="BM68" s="65">
        <f t="shared" si="304"/>
        <v>61.7826086956521</v>
      </c>
      <c r="BN68" s="65"/>
      <c r="BO68" s="65" t="e">
        <f t="shared" si="305"/>
        <v>#REF!</v>
      </c>
      <c r="BP68" s="65">
        <f t="shared" si="306"/>
        <v>61.7826086956521</v>
      </c>
      <c r="BQ68" s="65"/>
      <c r="BR68" s="65" t="e">
        <f t="shared" si="307"/>
        <v>#REF!</v>
      </c>
      <c r="BS68" s="65">
        <f t="shared" si="308"/>
        <v>61.7826086956521</v>
      </c>
      <c r="BT68" s="65"/>
      <c r="BU68" s="65" t="e">
        <f t="shared" si="309"/>
        <v>#REF!</v>
      </c>
      <c r="BV68" s="47">
        <f t="shared" si="27"/>
        <v>36.9130434782609</v>
      </c>
      <c r="BX68" s="65" t="e">
        <f t="shared" si="28"/>
        <v>#REF!</v>
      </c>
    </row>
    <row r="69" ht="14.0">
      <c r="A69" s="93" t="s">
        <v>32</v>
      </c>
      <c r="B69" s="93" t="s">
        <v>110</v>
      </c>
      <c r="C69" s="93" t="s">
        <v>128</v>
      </c>
      <c r="D69" s="229">
        <v>43133.0</v>
      </c>
      <c r="E69" s="93">
        <v>0.0</v>
      </c>
      <c r="F69" s="93">
        <v>0.0</v>
      </c>
      <c r="G69" s="93">
        <v>0.0</v>
      </c>
      <c r="H69" s="93">
        <v>0.0</v>
      </c>
      <c r="I69" s="93">
        <v>0.0</v>
      </c>
      <c r="J69" s="93">
        <v>0.0</v>
      </c>
      <c r="K69" s="93">
        <v>0.0</v>
      </c>
      <c r="L69" s="93">
        <v>0.0</v>
      </c>
      <c r="M69" s="93">
        <v>0.0</v>
      </c>
      <c r="N69" s="93">
        <v>0.0</v>
      </c>
      <c r="O69" s="93">
        <v>0.0</v>
      </c>
      <c r="P69" s="93">
        <v>0.0</v>
      </c>
      <c r="Q69" s="93">
        <v>0.0</v>
      </c>
      <c r="R69" s="93">
        <v>0.0</v>
      </c>
      <c r="S69" s="93">
        <v>0.0</v>
      </c>
      <c r="T69" s="93">
        <v>6.0</v>
      </c>
      <c r="U69" s="93">
        <v>39.0</v>
      </c>
      <c r="V69" s="93">
        <v>9.0</v>
      </c>
      <c r="W69" s="93">
        <v>21.0</v>
      </c>
      <c r="X69" s="93">
        <v>15.0</v>
      </c>
      <c r="Y69" s="93">
        <v>15.0</v>
      </c>
      <c r="Z69" s="93">
        <v>4.0</v>
      </c>
      <c r="AA69" s="93">
        <v>18.0</v>
      </c>
      <c r="AB69" s="93">
        <v>9.0</v>
      </c>
      <c r="AC69" s="93">
        <v>9.0</v>
      </c>
      <c r="AD69" s="93">
        <v>9.0</v>
      </c>
      <c r="AE69" s="93">
        <v>6.0</v>
      </c>
      <c r="AF69" s="93">
        <v>12.0</v>
      </c>
      <c r="AG69" s="93">
        <v>18.0</v>
      </c>
      <c r="AH69" s="93">
        <v>29.0</v>
      </c>
      <c r="AI69" s="93">
        <v>0.0</v>
      </c>
      <c r="AJ69" s="93">
        <v>0.0</v>
      </c>
      <c r="AK69" s="93">
        <v>3.0</v>
      </c>
      <c r="AL69" s="93">
        <v>15.0</v>
      </c>
      <c r="AM69" s="93">
        <v>9.0</v>
      </c>
      <c r="AN69" s="93">
        <v>6.0</v>
      </c>
      <c r="AO69" s="69">
        <f t="shared" si="3"/>
        <v>116.0</v>
      </c>
      <c r="AP69" s="69">
        <f t="shared" si="4"/>
        <v>33.0</v>
      </c>
      <c r="AQ69" s="69">
        <f t="shared" si="5"/>
        <v>36.3</v>
      </c>
      <c r="AR69" s="47">
        <f t="shared" ref="AR69:AR70" si="325">AQ69*$AR$4/$AQ$4</f>
        <v>5.7391304347826</v>
      </c>
      <c r="AS69" s="47">
        <f t="shared" ref="AS69:AS70" si="326">AQ69*$AS$4/$AQ$4</f>
        <v>7.17391304347826</v>
      </c>
      <c r="AT69" s="47">
        <f t="shared" ref="AT69:AT70" si="327">AQ69*$AT$4/$AQ$4</f>
        <v>7.17391304347826</v>
      </c>
      <c r="AU69" s="47">
        <f t="shared" ref="AU69:AU70" si="328">AQ69*$AU$4/$AQ$4</f>
        <v>7.17391304347826</v>
      </c>
      <c r="AV69" s="47">
        <f t="shared" ref="AV69:AV70" si="329">AQ69*$AV$4/$AQ$4</f>
        <v>7.17391304347826</v>
      </c>
      <c r="AW69" s="64">
        <f t="shared" ref="AW69:AW70" si="330">AQ69*$AW$4/$AQ$4</f>
        <v>4.30434782608696</v>
      </c>
      <c r="AX69" s="69">
        <f>SUM(AR69:AW69)</f>
        <v>38.7391304347826</v>
      </c>
      <c r="AY69" s="64" t="e">
        <f t="shared" si="13"/>
        <v>#REF!</v>
      </c>
      <c r="BB69" s="65" t="e">
        <f t="shared" si="297"/>
        <v>#REF!</v>
      </c>
      <c r="BF69" s="65" t="e">
        <f t="shared" si="299"/>
        <v>#REF!</v>
      </c>
      <c r="BG69" s="65">
        <f t="shared" si="300"/>
        <v>5.7391304347826</v>
      </c>
      <c r="BH69" s="65"/>
      <c r="BI69" s="65" t="e">
        <f t="shared" si="301"/>
        <v>#REF!</v>
      </c>
      <c r="BJ69" s="65">
        <f t="shared" si="302"/>
        <v>7.17391304347826</v>
      </c>
      <c r="BK69" s="65"/>
      <c r="BL69" s="65" t="e">
        <f t="shared" si="303"/>
        <v>#REF!</v>
      </c>
      <c r="BM69" s="65">
        <f t="shared" si="304"/>
        <v>7.17391304347826</v>
      </c>
      <c r="BN69" s="65"/>
      <c r="BO69" s="65" t="e">
        <f t="shared" si="305"/>
        <v>#REF!</v>
      </c>
      <c r="BP69" s="65">
        <f t="shared" si="306"/>
        <v>7.17391304347826</v>
      </c>
      <c r="BQ69" s="65"/>
      <c r="BR69" s="65" t="e">
        <f t="shared" si="307"/>
        <v>#REF!</v>
      </c>
      <c r="BS69" s="65">
        <f t="shared" si="308"/>
        <v>7.17391304347826</v>
      </c>
      <c r="BT69" s="65"/>
      <c r="BU69" s="65" t="e">
        <f t="shared" si="309"/>
        <v>#REF!</v>
      </c>
      <c r="BV69" s="47">
        <f t="shared" si="27"/>
        <v>4.30434782608696</v>
      </c>
      <c r="BX69" s="65" t="e">
        <f t="shared" si="28"/>
        <v>#REF!</v>
      </c>
    </row>
    <row r="70" ht="14.0">
      <c r="A70" s="93" t="s">
        <v>32</v>
      </c>
      <c r="B70" s="93" t="s">
        <v>110</v>
      </c>
      <c r="C70" s="93" t="s">
        <v>130</v>
      </c>
      <c r="D70" s="229">
        <v>43134.0</v>
      </c>
      <c r="E70" s="93">
        <v>0.0</v>
      </c>
      <c r="F70" s="93">
        <v>0.0</v>
      </c>
      <c r="G70" s="93">
        <v>0.0</v>
      </c>
      <c r="H70" s="93">
        <v>0.0</v>
      </c>
      <c r="I70" s="93">
        <v>0.0</v>
      </c>
      <c r="J70" s="93">
        <v>0.0</v>
      </c>
      <c r="K70" s="93">
        <v>24.0</v>
      </c>
      <c r="L70" s="93">
        <v>33.0</v>
      </c>
      <c r="M70" s="93">
        <v>21.0</v>
      </c>
      <c r="N70" s="93">
        <v>34.0</v>
      </c>
      <c r="O70" s="93">
        <v>24.0</v>
      </c>
      <c r="P70" s="93">
        <v>12.0</v>
      </c>
      <c r="Q70" s="93">
        <v>3.0</v>
      </c>
      <c r="R70" s="93">
        <v>3.0</v>
      </c>
      <c r="S70" s="93">
        <v>3.0</v>
      </c>
      <c r="T70" s="93">
        <v>6.0</v>
      </c>
      <c r="U70" s="93">
        <v>6.0</v>
      </c>
      <c r="V70" s="93">
        <v>4.0</v>
      </c>
      <c r="W70" s="93">
        <v>0.0</v>
      </c>
      <c r="X70" s="93">
        <v>9.0</v>
      </c>
      <c r="Y70" s="93">
        <v>3.0</v>
      </c>
      <c r="Z70" s="93">
        <v>19.0</v>
      </c>
      <c r="AA70" s="93">
        <v>31.0</v>
      </c>
      <c r="AB70" s="93">
        <v>9.0</v>
      </c>
      <c r="AC70" s="93">
        <v>9.0</v>
      </c>
      <c r="AD70" s="93">
        <v>12.0</v>
      </c>
      <c r="AE70" s="93">
        <v>6.0</v>
      </c>
      <c r="AF70" s="93">
        <v>27.0</v>
      </c>
      <c r="AG70" s="93">
        <v>15.0</v>
      </c>
      <c r="AH70" s="93">
        <v>27.0</v>
      </c>
      <c r="AI70" s="93">
        <v>6.0</v>
      </c>
      <c r="AJ70" s="93">
        <v>24.0</v>
      </c>
      <c r="AK70" s="93">
        <v>6.0</v>
      </c>
      <c r="AL70" s="93">
        <v>33.0</v>
      </c>
      <c r="AM70" s="93">
        <v>18.0</v>
      </c>
      <c r="AN70" s="93">
        <v>18.0</v>
      </c>
      <c r="AO70" s="69">
        <f t="shared" si="3"/>
        <v>201.0</v>
      </c>
      <c r="AP70" s="69">
        <f t="shared" si="4"/>
        <v>105.0</v>
      </c>
      <c r="AQ70" s="69">
        <f t="shared" si="5"/>
        <v>115.5</v>
      </c>
      <c r="AR70" s="47">
        <f t="shared" si="325"/>
        <v>18.2608695652173</v>
      </c>
      <c r="AS70" s="47">
        <f t="shared" si="326"/>
        <v>22.8260869565217</v>
      </c>
      <c r="AT70" s="47">
        <f t="shared" si="327"/>
        <v>22.8260869565217</v>
      </c>
      <c r="AU70" s="47">
        <f t="shared" si="328"/>
        <v>22.8260869565217</v>
      </c>
      <c r="AV70" s="47">
        <f t="shared" si="329"/>
        <v>22.8260869565217</v>
      </c>
      <c r="AW70" s="64">
        <f t="shared" si="330"/>
        <v>13.695652173913</v>
      </c>
      <c r="AX70" s="69">
        <f t="shared" ref="AX70:AX74" si="332">SUM(AR70:AV70)</f>
        <v>109.565217391304</v>
      </c>
      <c r="AY70" s="64" t="e">
        <f t="shared" si="13"/>
        <v>#REF!</v>
      </c>
      <c r="BB70" s="65" t="e">
        <f t="shared" si="297"/>
        <v>#REF!</v>
      </c>
      <c r="BD70" s="47" t="e">
        <f t="shared" ref="BD70:BD74" si="333">BB70*-1</f>
        <v>#REF!</v>
      </c>
      <c r="BE70" s="47" t="s">
        <v>249</v>
      </c>
      <c r="BF70" s="65" t="e">
        <f t="shared" si="299"/>
        <v>#REF!</v>
      </c>
      <c r="BG70" s="65">
        <f t="shared" si="300"/>
        <v>18.2608695652173</v>
      </c>
      <c r="BH70" s="65"/>
      <c r="BI70" s="65" t="e">
        <f t="shared" si="301"/>
        <v>#REF!</v>
      </c>
      <c r="BJ70" s="65">
        <f t="shared" si="302"/>
        <v>22.8260869565217</v>
      </c>
      <c r="BK70" s="65"/>
      <c r="BL70" s="65" t="e">
        <f t="shared" si="303"/>
        <v>#REF!</v>
      </c>
      <c r="BM70" s="65">
        <f t="shared" si="304"/>
        <v>22.8260869565217</v>
      </c>
      <c r="BN70" s="65"/>
      <c r="BO70" s="65" t="e">
        <f t="shared" si="305"/>
        <v>#REF!</v>
      </c>
      <c r="BP70" s="65">
        <f t="shared" si="306"/>
        <v>22.8260869565217</v>
      </c>
      <c r="BQ70" s="65"/>
      <c r="BR70" s="65" t="e">
        <f t="shared" si="307"/>
        <v>#REF!</v>
      </c>
      <c r="BS70" s="65">
        <f t="shared" si="308"/>
        <v>22.8260869565217</v>
      </c>
      <c r="BT70" s="65"/>
      <c r="BU70" s="65" t="e">
        <f t="shared" si="309"/>
        <v>#REF!</v>
      </c>
      <c r="BV70" s="47">
        <f t="shared" si="27"/>
        <v>13.695652173913</v>
      </c>
      <c r="BX70" s="65" t="e">
        <f t="shared" si="28"/>
        <v>#REF!</v>
      </c>
    </row>
    <row r="71" ht="14.0">
      <c r="A71" s="93" t="s">
        <v>32</v>
      </c>
      <c r="B71" s="93" t="s">
        <v>110</v>
      </c>
      <c r="C71" s="93" t="s">
        <v>131</v>
      </c>
      <c r="D71" s="277">
        <v>43145.0</v>
      </c>
      <c r="E71" s="93">
        <v>0.0</v>
      </c>
      <c r="F71" s="93">
        <v>0.0</v>
      </c>
      <c r="G71" s="93">
        <v>0.0</v>
      </c>
      <c r="H71" s="93">
        <v>0.0</v>
      </c>
      <c r="I71" s="93">
        <v>0.0</v>
      </c>
      <c r="J71" s="93">
        <v>0.0</v>
      </c>
      <c r="K71" s="93">
        <v>24.0</v>
      </c>
      <c r="L71" s="93">
        <v>24.0</v>
      </c>
      <c r="M71" s="93">
        <v>24.0</v>
      </c>
      <c r="N71" s="93">
        <v>24.0</v>
      </c>
      <c r="O71" s="93">
        <v>36.0</v>
      </c>
      <c r="P71" s="93">
        <v>15.0</v>
      </c>
      <c r="Q71" s="93">
        <v>18.0</v>
      </c>
      <c r="R71" s="93">
        <v>30.0</v>
      </c>
      <c r="S71" s="93">
        <v>15.0</v>
      </c>
      <c r="T71" s="93">
        <v>18.0</v>
      </c>
      <c r="U71" s="93">
        <v>35.0</v>
      </c>
      <c r="V71" s="93">
        <v>9.0</v>
      </c>
      <c r="W71" s="93">
        <v>15.0</v>
      </c>
      <c r="X71" s="93">
        <v>24.0</v>
      </c>
      <c r="Y71" s="93">
        <v>18.0</v>
      </c>
      <c r="Z71" s="93">
        <v>37.0</v>
      </c>
      <c r="AA71" s="93">
        <v>19.0</v>
      </c>
      <c r="AB71" s="93">
        <v>18.0</v>
      </c>
      <c r="AC71" s="93">
        <v>9.0</v>
      </c>
      <c r="AD71" s="93">
        <v>18.0</v>
      </c>
      <c r="AE71" s="93">
        <v>27.0</v>
      </c>
      <c r="AF71" s="93">
        <v>27.0</v>
      </c>
      <c r="AG71" s="93">
        <v>27.0</v>
      </c>
      <c r="AH71" s="93">
        <v>33.0</v>
      </c>
      <c r="AI71" s="93">
        <v>13.0</v>
      </c>
      <c r="AJ71" s="93">
        <v>0.0</v>
      </c>
      <c r="AK71" s="93">
        <v>3.0</v>
      </c>
      <c r="AL71" s="93">
        <v>30.0</v>
      </c>
      <c r="AM71" s="93">
        <v>12.0</v>
      </c>
      <c r="AN71" s="93">
        <v>24.0</v>
      </c>
      <c r="AO71" s="69">
        <f t="shared" si="3"/>
        <v>223.0</v>
      </c>
      <c r="AP71" s="69">
        <f t="shared" si="4"/>
        <v>82.0</v>
      </c>
      <c r="AQ71" s="69">
        <f t="shared" si="5"/>
        <v>90.2</v>
      </c>
      <c r="AR71" s="47">
        <f t="shared" ref="AR71:AR72" si="334">AQ71*$AR$4/$AQ$4+3*$AR$75</f>
        <v>23.2608695652173</v>
      </c>
      <c r="AS71" s="47">
        <f t="shared" ref="AS71:AS72" si="335">AQ71*$AS$4/$AQ$4+3*$AS$75</f>
        <v>29.8260869565217</v>
      </c>
      <c r="AT71" s="47">
        <f t="shared" ref="AT71:AT72" si="336">AQ71*$AT$4/$AQ$4+3*$AT$75</f>
        <v>29.8260869565217</v>
      </c>
      <c r="AU71" s="47">
        <f t="shared" ref="AU71:AU72" si="337">AQ71*$AU$4/$AQ$4+3*$AU$75</f>
        <v>29.8260869565217</v>
      </c>
      <c r="AV71" s="47">
        <f t="shared" ref="AV71:AV72" si="338">AQ71*$AV$4/$AQ$4+3*$AV$75</f>
        <v>29.8260869565217</v>
      </c>
      <c r="AW71" s="64">
        <f t="shared" ref="AW71:AW72" si="339">AQ71*$AW$4/$AQ$4+3*$AW$75</f>
        <v>17.7391304347826</v>
      </c>
      <c r="AX71" s="69">
        <f t="shared" si="332"/>
        <v>142.565217391304</v>
      </c>
      <c r="AY71" s="64" t="e">
        <f t="shared" si="13"/>
        <v>#REF!</v>
      </c>
      <c r="BB71" s="65" t="e">
        <f t="shared" si="297"/>
        <v>#REF!</v>
      </c>
      <c r="BD71" s="47" t="e">
        <f t="shared" si="333"/>
        <v>#REF!</v>
      </c>
      <c r="BE71" s="47" t="s">
        <v>350</v>
      </c>
      <c r="BF71" s="65" t="e">
        <f t="shared" si="299"/>
        <v>#REF!</v>
      </c>
      <c r="BG71" s="65">
        <f t="shared" si="300"/>
        <v>23.2608695652173</v>
      </c>
      <c r="BH71" s="65"/>
      <c r="BI71" s="65" t="e">
        <f t="shared" si="301"/>
        <v>#REF!</v>
      </c>
      <c r="BJ71" s="65">
        <f t="shared" si="302"/>
        <v>29.8260869565217</v>
      </c>
      <c r="BK71" s="65"/>
      <c r="BL71" s="65" t="e">
        <f t="shared" si="303"/>
        <v>#REF!</v>
      </c>
      <c r="BM71" s="65">
        <f t="shared" si="304"/>
        <v>29.8260869565217</v>
      </c>
      <c r="BN71" s="65"/>
      <c r="BO71" s="65" t="e">
        <f t="shared" si="305"/>
        <v>#REF!</v>
      </c>
      <c r="BP71" s="65">
        <f t="shared" si="306"/>
        <v>29.8260869565217</v>
      </c>
      <c r="BQ71" s="65"/>
      <c r="BR71" s="65" t="e">
        <f t="shared" si="307"/>
        <v>#REF!</v>
      </c>
      <c r="BS71" s="65">
        <f t="shared" si="308"/>
        <v>29.8260869565217</v>
      </c>
      <c r="BT71" s="65"/>
      <c r="BU71" s="65" t="e">
        <f t="shared" si="309"/>
        <v>#REF!</v>
      </c>
      <c r="BV71" s="47">
        <f t="shared" si="27"/>
        <v>17.7391304347826</v>
      </c>
      <c r="BX71" s="65" t="e">
        <f t="shared" si="28"/>
        <v>#REF!</v>
      </c>
    </row>
    <row r="72" ht="14.0">
      <c r="A72" s="93" t="s">
        <v>32</v>
      </c>
      <c r="B72" s="93" t="s">
        <v>110</v>
      </c>
      <c r="C72" s="93" t="s">
        <v>132</v>
      </c>
      <c r="D72" s="277">
        <v>43150.0</v>
      </c>
      <c r="E72" s="93">
        <v>0.0</v>
      </c>
      <c r="F72" s="93">
        <v>0.0</v>
      </c>
      <c r="G72" s="93">
        <v>0.0</v>
      </c>
      <c r="H72" s="93">
        <v>0.0</v>
      </c>
      <c r="I72" s="93">
        <v>0.0</v>
      </c>
      <c r="J72" s="93">
        <v>0.0</v>
      </c>
      <c r="K72" s="93">
        <v>0.0</v>
      </c>
      <c r="L72" s="93">
        <v>0.0</v>
      </c>
      <c r="M72" s="93">
        <v>0.0</v>
      </c>
      <c r="N72" s="93">
        <v>0.0</v>
      </c>
      <c r="O72" s="93">
        <v>0.0</v>
      </c>
      <c r="P72" s="93">
        <v>0.0</v>
      </c>
      <c r="Q72" s="93">
        <v>0.0</v>
      </c>
      <c r="R72" s="93">
        <v>0.0</v>
      </c>
      <c r="S72" s="93">
        <v>0.0</v>
      </c>
      <c r="T72" s="93">
        <v>9.0</v>
      </c>
      <c r="U72" s="93">
        <v>39.0</v>
      </c>
      <c r="V72" s="93">
        <v>9.0</v>
      </c>
      <c r="W72" s="93">
        <v>15.0</v>
      </c>
      <c r="X72" s="93">
        <v>24.0</v>
      </c>
      <c r="Y72" s="93">
        <v>12.0</v>
      </c>
      <c r="Z72" s="93">
        <v>4.0</v>
      </c>
      <c r="AA72" s="93">
        <v>9.0</v>
      </c>
      <c r="AB72" s="93">
        <v>3.0</v>
      </c>
      <c r="AC72" s="93">
        <v>3.0</v>
      </c>
      <c r="AD72" s="93">
        <v>9.0</v>
      </c>
      <c r="AE72" s="93">
        <v>21.0</v>
      </c>
      <c r="AF72" s="93">
        <v>21.0</v>
      </c>
      <c r="AG72" s="93">
        <v>9.0</v>
      </c>
      <c r="AH72" s="93">
        <v>15.0</v>
      </c>
      <c r="AI72" s="93">
        <v>21.0</v>
      </c>
      <c r="AJ72" s="93">
        <v>2.0</v>
      </c>
      <c r="AK72" s="93">
        <v>3.0</v>
      </c>
      <c r="AL72" s="93">
        <v>15.0</v>
      </c>
      <c r="AM72" s="93">
        <v>0.0</v>
      </c>
      <c r="AN72" s="93">
        <v>21.0</v>
      </c>
      <c r="AO72" s="69">
        <f t="shared" si="3"/>
        <v>140.0</v>
      </c>
      <c r="AP72" s="69">
        <f t="shared" si="4"/>
        <v>62.0</v>
      </c>
      <c r="AQ72" s="69">
        <f t="shared" si="5"/>
        <v>68.2</v>
      </c>
      <c r="AR72" s="47">
        <f t="shared" si="334"/>
        <v>19.7826086956521</v>
      </c>
      <c r="AS72" s="47">
        <f t="shared" si="335"/>
        <v>25.4782608695652</v>
      </c>
      <c r="AT72" s="47">
        <f t="shared" si="336"/>
        <v>25.4782608695652</v>
      </c>
      <c r="AU72" s="47">
        <f t="shared" si="337"/>
        <v>25.4782608695652</v>
      </c>
      <c r="AV72" s="47">
        <f t="shared" si="338"/>
        <v>25.4782608695652</v>
      </c>
      <c r="AW72" s="64">
        <f t="shared" si="339"/>
        <v>15.130434782609</v>
      </c>
      <c r="AX72" s="69">
        <f t="shared" si="332"/>
        <v>121.695652173912</v>
      </c>
      <c r="AY72" s="64" t="e">
        <f t="shared" si="13"/>
        <v>#REF!</v>
      </c>
      <c r="BB72" s="65" t="e">
        <f t="shared" si="297"/>
        <v>#REF!</v>
      </c>
      <c r="BD72" s="47" t="e">
        <f t="shared" si="333"/>
        <v>#REF!</v>
      </c>
      <c r="BE72" s="47" t="s">
        <v>350</v>
      </c>
      <c r="BF72" s="65" t="e">
        <f t="shared" si="299"/>
        <v>#REF!</v>
      </c>
      <c r="BG72" s="65">
        <f t="shared" si="300"/>
        <v>19.7826086956521</v>
      </c>
      <c r="BH72" s="65"/>
      <c r="BI72" s="65" t="e">
        <f t="shared" si="301"/>
        <v>#REF!</v>
      </c>
      <c r="BJ72" s="65">
        <f t="shared" si="302"/>
        <v>25.4782608695652</v>
      </c>
      <c r="BK72" s="65"/>
      <c r="BL72" s="65" t="e">
        <f t="shared" si="303"/>
        <v>#REF!</v>
      </c>
      <c r="BM72" s="65">
        <f t="shared" si="304"/>
        <v>25.4782608695652</v>
      </c>
      <c r="BN72" s="65"/>
      <c r="BO72" s="65" t="e">
        <f t="shared" si="305"/>
        <v>#REF!</v>
      </c>
      <c r="BP72" s="65">
        <f t="shared" si="306"/>
        <v>25.4782608695652</v>
      </c>
      <c r="BQ72" s="65"/>
      <c r="BR72" s="65" t="e">
        <f t="shared" si="307"/>
        <v>#REF!</v>
      </c>
      <c r="BS72" s="65">
        <f t="shared" si="308"/>
        <v>25.4782608695652</v>
      </c>
      <c r="BT72" s="65"/>
      <c r="BU72" s="65" t="e">
        <f t="shared" si="309"/>
        <v>#REF!</v>
      </c>
      <c r="BV72" s="47">
        <f t="shared" si="27"/>
        <v>15.130434782609</v>
      </c>
      <c r="BX72" s="65" t="e">
        <f t="shared" si="28"/>
        <v>#REF!</v>
      </c>
    </row>
    <row r="73" ht="14.0">
      <c r="A73" s="93" t="s">
        <v>32</v>
      </c>
      <c r="B73" s="93" t="s">
        <v>110</v>
      </c>
      <c r="C73" s="93" t="s">
        <v>133</v>
      </c>
      <c r="D73" s="229">
        <v>43190.0</v>
      </c>
      <c r="E73" s="93">
        <v>0.0</v>
      </c>
      <c r="F73" s="93">
        <v>0.0</v>
      </c>
      <c r="G73" s="93">
        <v>0.0</v>
      </c>
      <c r="H73" s="93">
        <v>0.0</v>
      </c>
      <c r="I73" s="93">
        <v>0.0</v>
      </c>
      <c r="J73" s="93">
        <v>0.0</v>
      </c>
      <c r="K73" s="93">
        <v>0.0</v>
      </c>
      <c r="L73" s="93">
        <v>0.0</v>
      </c>
      <c r="M73" s="93">
        <v>0.0</v>
      </c>
      <c r="N73" s="93">
        <v>0.0</v>
      </c>
      <c r="O73" s="93">
        <v>0.0</v>
      </c>
      <c r="P73" s="93">
        <v>6.0</v>
      </c>
      <c r="Q73" s="93">
        <v>18.0</v>
      </c>
      <c r="R73" s="93">
        <v>39.0</v>
      </c>
      <c r="S73" s="93">
        <v>12.0</v>
      </c>
      <c r="T73" s="93">
        <v>21.0</v>
      </c>
      <c r="U73" s="93">
        <v>12.0</v>
      </c>
      <c r="V73" s="93">
        <v>9.0</v>
      </c>
      <c r="W73" s="93">
        <v>6.0</v>
      </c>
      <c r="X73" s="93">
        <v>33.0</v>
      </c>
      <c r="Y73" s="93">
        <v>36.0</v>
      </c>
      <c r="Z73" s="93">
        <v>1.0</v>
      </c>
      <c r="AA73" s="93">
        <v>18.0</v>
      </c>
      <c r="AB73" s="93">
        <v>10.0</v>
      </c>
      <c r="AC73" s="93">
        <v>24.0</v>
      </c>
      <c r="AD73" s="93">
        <v>30.0</v>
      </c>
      <c r="AE73" s="93">
        <v>24.0</v>
      </c>
      <c r="AF73" s="93">
        <v>33.0</v>
      </c>
      <c r="AG73" s="93">
        <v>9.0</v>
      </c>
      <c r="AH73" s="93">
        <v>18.0</v>
      </c>
      <c r="AI73" s="93">
        <v>0.0</v>
      </c>
      <c r="AJ73" s="93">
        <v>9.0</v>
      </c>
      <c r="AK73" s="93">
        <v>3.0</v>
      </c>
      <c r="AL73" s="93">
        <v>24.0</v>
      </c>
      <c r="AM73" s="93">
        <v>12.0</v>
      </c>
      <c r="AN73" s="93">
        <v>15.0</v>
      </c>
      <c r="AO73" s="69">
        <f t="shared" si="3"/>
        <v>201.0</v>
      </c>
      <c r="AP73" s="69">
        <f t="shared" si="4"/>
        <v>63.0</v>
      </c>
      <c r="AQ73" s="69">
        <f t="shared" si="5"/>
        <v>69.3</v>
      </c>
      <c r="AR73" s="47">
        <f>AQ73*$AR$4/$AQ$4</f>
        <v>10.9565217391304</v>
      </c>
      <c r="AS73" s="47">
        <f>AQ73*$AS$4/$AQ$4</f>
        <v>13.695652173913</v>
      </c>
      <c r="AT73" s="47">
        <f>AQ73*$AT$4/$AQ$4</f>
        <v>13.695652173913</v>
      </c>
      <c r="AU73" s="47">
        <f>AQ73*$AU$4/$AQ$4</f>
        <v>13.695652173913</v>
      </c>
      <c r="AV73" s="47">
        <f>AQ73*$AV$4/$AQ$4</f>
        <v>13.695652173913</v>
      </c>
      <c r="AW73" s="64">
        <f>AQ73*$AW$4/$AQ$4</f>
        <v>8.21739130434782</v>
      </c>
      <c r="AX73" s="69">
        <f t="shared" si="332"/>
        <v>65.7391304347824</v>
      </c>
      <c r="AY73" s="64" t="e">
        <f t="shared" si="13"/>
        <v>#REF!</v>
      </c>
      <c r="BB73" s="65" t="e">
        <f t="shared" si="297"/>
        <v>#REF!</v>
      </c>
      <c r="BD73" s="47" t="e">
        <f t="shared" si="333"/>
        <v>#REF!</v>
      </c>
      <c r="BE73" s="47" t="s">
        <v>350</v>
      </c>
      <c r="BF73" s="65" t="e">
        <f t="shared" si="299"/>
        <v>#REF!</v>
      </c>
      <c r="BG73" s="65">
        <f t="shared" si="300"/>
        <v>10.9565217391304</v>
      </c>
      <c r="BH73" s="65"/>
      <c r="BI73" s="65" t="e">
        <f t="shared" si="301"/>
        <v>#REF!</v>
      </c>
      <c r="BJ73" s="65">
        <f t="shared" si="302"/>
        <v>13.695652173913</v>
      </c>
      <c r="BK73" s="65"/>
      <c r="BL73" s="65" t="e">
        <f t="shared" si="303"/>
        <v>#REF!</v>
      </c>
      <c r="BM73" s="65">
        <f t="shared" si="304"/>
        <v>13.695652173913</v>
      </c>
      <c r="BN73" s="65"/>
      <c r="BO73" s="65" t="e">
        <f t="shared" si="305"/>
        <v>#REF!</v>
      </c>
      <c r="BP73" s="65">
        <f t="shared" si="306"/>
        <v>13.695652173913</v>
      </c>
      <c r="BQ73" s="65"/>
      <c r="BR73" s="65" t="e">
        <f t="shared" si="307"/>
        <v>#REF!</v>
      </c>
      <c r="BS73" s="65">
        <f t="shared" si="308"/>
        <v>13.695652173913</v>
      </c>
      <c r="BT73" s="65"/>
      <c r="BU73" s="65" t="e">
        <f t="shared" si="309"/>
        <v>#REF!</v>
      </c>
      <c r="BV73" s="47">
        <f t="shared" si="27"/>
        <v>8.21739130434782</v>
      </c>
      <c r="BX73" s="65" t="e">
        <f t="shared" si="28"/>
        <v>#REF!</v>
      </c>
    </row>
    <row r="74" ht="14.0">
      <c r="A74" s="93" t="s">
        <v>32</v>
      </c>
      <c r="B74" s="93" t="s">
        <v>45</v>
      </c>
      <c r="C74" s="93" t="s">
        <v>118</v>
      </c>
      <c r="D74" s="229" t="s">
        <v>119</v>
      </c>
      <c r="E74" s="93">
        <v>0.0</v>
      </c>
      <c r="F74" s="93">
        <v>0.0</v>
      </c>
      <c r="G74" s="93">
        <v>0.0</v>
      </c>
      <c r="H74" s="93">
        <v>0.0</v>
      </c>
      <c r="I74" s="93">
        <v>0.0</v>
      </c>
      <c r="J74" s="93">
        <v>0.0</v>
      </c>
      <c r="K74" s="93">
        <v>1.0</v>
      </c>
      <c r="L74" s="93">
        <v>1.0</v>
      </c>
      <c r="M74" s="93">
        <v>0.0</v>
      </c>
      <c r="N74" s="93">
        <v>0.0</v>
      </c>
      <c r="O74" s="93">
        <v>2.0</v>
      </c>
      <c r="P74" s="93">
        <v>0.0</v>
      </c>
      <c r="Q74" s="93">
        <v>1.0</v>
      </c>
      <c r="R74" s="93">
        <v>0.0</v>
      </c>
      <c r="S74" s="93">
        <v>0.0</v>
      </c>
      <c r="T74" s="93">
        <v>0.0</v>
      </c>
      <c r="U74" s="93">
        <v>0.0</v>
      </c>
      <c r="V74" s="93">
        <v>0.0</v>
      </c>
      <c r="W74" s="93">
        <v>0.0</v>
      </c>
      <c r="X74" s="93">
        <v>3.0</v>
      </c>
      <c r="Y74" s="93">
        <v>5.0</v>
      </c>
      <c r="Z74" s="93">
        <v>0.0</v>
      </c>
      <c r="AA74" s="93">
        <v>1.0</v>
      </c>
      <c r="AB74" s="93">
        <v>0.0</v>
      </c>
      <c r="AC74" s="93">
        <v>0.0</v>
      </c>
      <c r="AD74" s="93">
        <v>0.0</v>
      </c>
      <c r="AE74" s="93">
        <v>0.0</v>
      </c>
      <c r="AF74" s="93">
        <v>0.0</v>
      </c>
      <c r="AG74" s="93">
        <v>0.0</v>
      </c>
      <c r="AH74" s="93">
        <v>0.0</v>
      </c>
      <c r="AI74" s="93">
        <v>3.0</v>
      </c>
      <c r="AJ74" s="93">
        <v>4.0</v>
      </c>
      <c r="AK74" s="93">
        <v>0.0</v>
      </c>
      <c r="AL74" s="93">
        <v>0.0</v>
      </c>
      <c r="AM74" s="93">
        <v>0.0</v>
      </c>
      <c r="AN74" s="93">
        <v>0.0</v>
      </c>
      <c r="AO74" s="69">
        <f t="shared" si="3"/>
        <v>7.0</v>
      </c>
      <c r="AP74" s="69">
        <f t="shared" si="4"/>
        <v>7.0</v>
      </c>
      <c r="AQ74" s="69">
        <f t="shared" si="5"/>
        <v>7.7</v>
      </c>
      <c r="AR74" s="47">
        <f>AR75</f>
        <v>3.0</v>
      </c>
      <c r="AS74" s="47">
        <f>AS75</f>
        <v>4.0</v>
      </c>
      <c r="AT74" s="47">
        <f>AT75</f>
        <v>4.0</v>
      </c>
      <c r="AU74" s="47">
        <f>AU75</f>
        <v>4.0</v>
      </c>
      <c r="AV74" s="47">
        <f>AV75</f>
        <v>4.0</v>
      </c>
      <c r="AW74" s="47">
        <f>AW75</f>
        <v>2.34782608695652</v>
      </c>
      <c r="AX74" s="69">
        <f t="shared" si="332"/>
        <v>19.0</v>
      </c>
      <c r="AY74" s="64" t="e">
        <f t="shared" si="13"/>
        <v>#REF!</v>
      </c>
      <c r="BB74" s="65" t="e">
        <f t="shared" si="297"/>
        <v>#REF!</v>
      </c>
      <c r="BD74" s="47" t="e">
        <f t="shared" si="333"/>
        <v>#REF!</v>
      </c>
      <c r="BE74" s="47" t="s">
        <v>355</v>
      </c>
      <c r="BF74" s="65" t="e">
        <f t="shared" si="299"/>
        <v>#REF!</v>
      </c>
      <c r="BG74" s="65">
        <f t="shared" si="300"/>
        <v>3.0</v>
      </c>
      <c r="BH74" s="65"/>
      <c r="BI74" s="65" t="e">
        <f t="shared" si="301"/>
        <v>#REF!</v>
      </c>
      <c r="BJ74" s="65">
        <f t="shared" si="302"/>
        <v>4.0</v>
      </c>
      <c r="BK74" s="65"/>
      <c r="BL74" s="65" t="e">
        <f t="shared" si="303"/>
        <v>#REF!</v>
      </c>
      <c r="BM74" s="65">
        <f t="shared" si="304"/>
        <v>4.0</v>
      </c>
      <c r="BN74" s="65"/>
      <c r="BO74" s="65" t="e">
        <f t="shared" si="305"/>
        <v>#REF!</v>
      </c>
      <c r="BP74" s="65">
        <f t="shared" si="306"/>
        <v>4.0</v>
      </c>
      <c r="BQ74" s="65"/>
      <c r="BR74" s="65" t="e">
        <f t="shared" si="307"/>
        <v>#REF!</v>
      </c>
      <c r="BS74" s="65">
        <f t="shared" si="308"/>
        <v>4.0</v>
      </c>
      <c r="BT74" s="65"/>
      <c r="BU74" s="65" t="e">
        <f t="shared" si="309"/>
        <v>#REF!</v>
      </c>
      <c r="BV74" s="47">
        <f t="shared" si="27"/>
        <v>2.34782608695652</v>
      </c>
      <c r="BX74" s="65" t="e">
        <f t="shared" si="28"/>
        <v>#REF!</v>
      </c>
    </row>
    <row r="75" ht="14.0">
      <c r="A75" s="93" t="s">
        <v>32</v>
      </c>
      <c r="B75" s="93" t="s">
        <v>110</v>
      </c>
      <c r="C75" s="93" t="s">
        <v>116</v>
      </c>
      <c r="D75" s="229" t="s">
        <v>117</v>
      </c>
      <c r="E75" s="93">
        <v>13.0</v>
      </c>
      <c r="F75" s="93">
        <v>10.0</v>
      </c>
      <c r="G75" s="93">
        <v>12.0</v>
      </c>
      <c r="H75" s="93">
        <v>3.0</v>
      </c>
      <c r="I75" s="93">
        <v>10.0</v>
      </c>
      <c r="J75" s="93">
        <v>4.0</v>
      </c>
      <c r="K75" s="93">
        <v>19.0</v>
      </c>
      <c r="L75" s="93">
        <v>6.0</v>
      </c>
      <c r="M75" s="93">
        <v>5.0</v>
      </c>
      <c r="N75" s="93">
        <v>4.0</v>
      </c>
      <c r="O75" s="93">
        <v>8.0</v>
      </c>
      <c r="P75" s="93">
        <v>5.0</v>
      </c>
      <c r="Q75" s="93">
        <v>9.0</v>
      </c>
      <c r="R75" s="93">
        <v>15.0</v>
      </c>
      <c r="S75" s="93">
        <v>10.0</v>
      </c>
      <c r="T75" s="93">
        <v>5.0</v>
      </c>
      <c r="U75" s="93">
        <v>5.0</v>
      </c>
      <c r="V75" s="93">
        <v>1.0</v>
      </c>
      <c r="W75" s="93">
        <v>8.0</v>
      </c>
      <c r="X75" s="93">
        <v>11.0</v>
      </c>
      <c r="Y75" s="93">
        <v>3.0</v>
      </c>
      <c r="Z75" s="93">
        <v>3.0</v>
      </c>
      <c r="AA75" s="93">
        <v>4.0</v>
      </c>
      <c r="AB75" s="93">
        <v>3.0</v>
      </c>
      <c r="AC75" s="93">
        <v>8.0</v>
      </c>
      <c r="AD75" s="93">
        <v>7.0</v>
      </c>
      <c r="AE75" s="93">
        <v>7.0</v>
      </c>
      <c r="AF75" s="93">
        <v>7.0</v>
      </c>
      <c r="AG75" s="93">
        <v>2.0</v>
      </c>
      <c r="AH75" s="93">
        <v>4.0</v>
      </c>
      <c r="AI75" s="93">
        <v>5.0</v>
      </c>
      <c r="AJ75" s="93">
        <v>0.0</v>
      </c>
      <c r="AK75" s="93">
        <v>0.0</v>
      </c>
      <c r="AL75" s="93">
        <v>5.0</v>
      </c>
      <c r="AM75" s="93">
        <v>5.0</v>
      </c>
      <c r="AN75" s="93">
        <v>3.0</v>
      </c>
      <c r="AO75" s="69">
        <f t="shared" si="3"/>
        <v>53.0</v>
      </c>
      <c r="AP75" s="69">
        <f t="shared" si="4"/>
        <v>18.0</v>
      </c>
      <c r="AQ75" s="69">
        <f t="shared" si="5"/>
        <v>19.8</v>
      </c>
      <c r="AR75" s="235">
        <v>3.0</v>
      </c>
      <c r="AS75" s="235">
        <v>4.0</v>
      </c>
      <c r="AT75" s="235">
        <v>4.0</v>
      </c>
      <c r="AU75" s="235">
        <v>4.0</v>
      </c>
      <c r="AV75" s="235">
        <v>4.0</v>
      </c>
      <c r="AW75" s="249">
        <f>AQ75*$AW$4/$AQ$4</f>
        <v>2.34782608695652</v>
      </c>
      <c r="AX75" s="69">
        <f t="shared" ref="AX75:AX76" si="353">SUM(AR75:AW75)</f>
        <v>21.3478260869565</v>
      </c>
      <c r="AY75" s="64" t="e">
        <f t="shared" si="13"/>
        <v>#REF!</v>
      </c>
      <c r="BF75" s="65"/>
      <c r="BG75" s="65"/>
      <c r="BH75" s="65"/>
      <c r="BI75" s="65"/>
      <c r="BJ75" s="65"/>
      <c r="BK75" s="65"/>
      <c r="BL75" s="65"/>
      <c r="BM75" s="65"/>
      <c r="BN75" s="65"/>
      <c r="BO75" s="65"/>
      <c r="BP75" s="65"/>
      <c r="BQ75" s="65"/>
      <c r="BR75" s="65"/>
      <c r="BS75" s="65"/>
      <c r="BT75" s="65"/>
      <c r="BU75" s="65"/>
      <c r="BV75" s="47">
        <f t="shared" si="27"/>
        <v>2.34782608695652</v>
      </c>
      <c r="BX75" s="65">
        <f t="shared" si="28"/>
        <v>-2.34782608695652</v>
      </c>
    </row>
    <row r="76" ht="14.0">
      <c r="A76" s="93" t="s">
        <v>32</v>
      </c>
      <c r="B76" s="93" t="s">
        <v>110</v>
      </c>
      <c r="C76" s="110" t="s">
        <v>113</v>
      </c>
      <c r="D76" s="229" t="s">
        <v>114</v>
      </c>
      <c r="E76" s="93">
        <v>0.0</v>
      </c>
      <c r="F76" s="93">
        <v>0.0</v>
      </c>
      <c r="G76" s="93">
        <v>0.0</v>
      </c>
      <c r="H76" s="93">
        <v>0.0</v>
      </c>
      <c r="I76" s="93">
        <v>0.0</v>
      </c>
      <c r="J76" s="93">
        <v>0.0</v>
      </c>
      <c r="K76" s="93">
        <v>0.0</v>
      </c>
      <c r="L76" s="93">
        <v>0.0</v>
      </c>
      <c r="M76" s="93">
        <v>0.0</v>
      </c>
      <c r="N76" s="93">
        <v>0.0</v>
      </c>
      <c r="O76" s="93">
        <v>0.0</v>
      </c>
      <c r="P76" s="93">
        <v>0.0</v>
      </c>
      <c r="Q76" s="93">
        <v>0.0</v>
      </c>
      <c r="R76" s="93">
        <v>0.0</v>
      </c>
      <c r="S76" s="93">
        <v>0.0</v>
      </c>
      <c r="T76" s="93">
        <v>0.0</v>
      </c>
      <c r="U76" s="93">
        <v>1.0</v>
      </c>
      <c r="V76" s="93">
        <v>0.0</v>
      </c>
      <c r="W76" s="93">
        <v>0.0</v>
      </c>
      <c r="X76" s="93">
        <v>0.0</v>
      </c>
      <c r="Y76" s="93">
        <v>0.0</v>
      </c>
      <c r="Z76" s="93">
        <v>0.0</v>
      </c>
      <c r="AA76" s="93">
        <v>0.0</v>
      </c>
      <c r="AB76" s="93">
        <v>1.0</v>
      </c>
      <c r="AC76" s="93">
        <v>0.0</v>
      </c>
      <c r="AD76" s="93">
        <v>0.0</v>
      </c>
      <c r="AE76" s="93">
        <v>0.0</v>
      </c>
      <c r="AF76" s="93">
        <v>0.0</v>
      </c>
      <c r="AG76" s="93">
        <v>0.0</v>
      </c>
      <c r="AH76" s="93">
        <v>0.0</v>
      </c>
      <c r="AI76" s="93">
        <v>0.0</v>
      </c>
      <c r="AJ76" s="93">
        <v>0.0</v>
      </c>
      <c r="AK76" s="93">
        <v>0.0</v>
      </c>
      <c r="AL76" s="93">
        <v>0.0</v>
      </c>
      <c r="AM76" s="93">
        <v>0.0</v>
      </c>
      <c r="AN76" s="93">
        <v>0.0</v>
      </c>
      <c r="AO76" s="69">
        <f t="shared" si="3"/>
        <v>0.0</v>
      </c>
      <c r="AP76" s="69">
        <f t="shared" si="4"/>
        <v>0.0</v>
      </c>
      <c r="AQ76" s="69">
        <f t="shared" si="5"/>
        <v>0.0</v>
      </c>
      <c r="AR76" s="47">
        <f>AR78</f>
        <v>8.0</v>
      </c>
      <c r="AS76" s="47">
        <f>AS78</f>
        <v>10.0</v>
      </c>
      <c r="AT76" s="47">
        <f>AT78</f>
        <v>10.0</v>
      </c>
      <c r="AU76" s="47">
        <f>AU78</f>
        <v>10.0</v>
      </c>
      <c r="AV76" s="47">
        <f>AV78</f>
        <v>10.0</v>
      </c>
      <c r="AW76" s="64">
        <f>AW78</f>
        <v>5.8695652173913</v>
      </c>
      <c r="AX76" s="69">
        <f t="shared" si="353"/>
        <v>53.8695652173913</v>
      </c>
      <c r="AY76" s="64" t="e">
        <f t="shared" si="13"/>
        <v>#REF!</v>
      </c>
      <c r="BF76" s="65"/>
      <c r="BG76" s="65"/>
      <c r="BH76" s="65"/>
      <c r="BI76" s="65"/>
      <c r="BJ76" s="65"/>
      <c r="BK76" s="65"/>
      <c r="BL76" s="65"/>
      <c r="BM76" s="65"/>
      <c r="BN76" s="65"/>
      <c r="BO76" s="65"/>
      <c r="BP76" s="65"/>
      <c r="BQ76" s="65"/>
      <c r="BR76" s="65"/>
      <c r="BS76" s="65"/>
      <c r="BT76" s="65"/>
      <c r="BU76" s="65"/>
      <c r="BV76" s="47">
        <f t="shared" si="27"/>
        <v>5.8695652173913</v>
      </c>
      <c r="BX76" s="65">
        <f t="shared" si="28"/>
        <v>-5.8695652173913</v>
      </c>
    </row>
    <row r="77" ht="14.0">
      <c r="A77" s="93" t="s">
        <v>32</v>
      </c>
      <c r="B77" s="93" t="s">
        <v>110</v>
      </c>
      <c r="C77" s="93" t="s">
        <v>115</v>
      </c>
      <c r="D77" s="229">
        <v>34101.0</v>
      </c>
      <c r="E77" s="93">
        <v>0.0</v>
      </c>
      <c r="F77" s="93">
        <v>0.0</v>
      </c>
      <c r="G77" s="93">
        <v>0.0</v>
      </c>
      <c r="H77" s="93">
        <v>0.0</v>
      </c>
      <c r="I77" s="93">
        <v>0.0</v>
      </c>
      <c r="J77" s="93">
        <v>0.0</v>
      </c>
      <c r="K77" s="93">
        <v>0.0</v>
      </c>
      <c r="L77" s="93">
        <v>0.0</v>
      </c>
      <c r="M77" s="93">
        <v>0.0</v>
      </c>
      <c r="N77" s="93">
        <v>0.0</v>
      </c>
      <c r="O77" s="93">
        <v>0.0</v>
      </c>
      <c r="P77" s="93">
        <v>0.0</v>
      </c>
      <c r="Q77" s="93">
        <v>0.0</v>
      </c>
      <c r="R77" s="93">
        <v>6.0</v>
      </c>
      <c r="S77" s="93">
        <v>84.0</v>
      </c>
      <c r="T77" s="93">
        <v>46.0</v>
      </c>
      <c r="U77" s="93">
        <v>45.0</v>
      </c>
      <c r="V77" s="93">
        <v>0.0</v>
      </c>
      <c r="W77" s="93">
        <v>243.0</v>
      </c>
      <c r="X77" s="93">
        <v>156.0</v>
      </c>
      <c r="Y77" s="93">
        <v>133.0</v>
      </c>
      <c r="Z77" s="93">
        <v>162.0</v>
      </c>
      <c r="AA77" s="93">
        <v>123.0</v>
      </c>
      <c r="AB77" s="93">
        <v>180.0</v>
      </c>
      <c r="AC77" s="93">
        <v>168.0</v>
      </c>
      <c r="AD77" s="93">
        <v>313.0</v>
      </c>
      <c r="AE77" s="93">
        <v>576.0</v>
      </c>
      <c r="AF77" s="93">
        <v>473.0</v>
      </c>
      <c r="AG77" s="93">
        <v>0.0</v>
      </c>
      <c r="AH77" s="93">
        <v>0.0</v>
      </c>
      <c r="AI77" s="93">
        <v>240.0</v>
      </c>
      <c r="AJ77" s="93">
        <v>276.0</v>
      </c>
      <c r="AK77" s="93">
        <v>229.0</v>
      </c>
      <c r="AL77" s="93">
        <v>240.0</v>
      </c>
      <c r="AM77" s="93">
        <v>159.0</v>
      </c>
      <c r="AN77" s="93">
        <v>120.0</v>
      </c>
      <c r="AO77" s="69">
        <f t="shared" si="3"/>
        <v>2794.0</v>
      </c>
      <c r="AP77" s="69">
        <f t="shared" si="4"/>
        <v>1264.0</v>
      </c>
      <c r="AQ77" s="69">
        <f t="shared" si="5"/>
        <v>1390.4</v>
      </c>
      <c r="AR77" s="47">
        <f>AQ77*$AR$4/$AQ$4+12*$AR$78</f>
        <v>315.826086956521</v>
      </c>
      <c r="AS77" s="47">
        <f>AQ77*$AS$4/$AQ$4+12*$AS$78</f>
        <v>394.782608695652</v>
      </c>
      <c r="AT77" s="47">
        <f>AQ77*$AT$4/$AQ$4+12*$AT$78</f>
        <v>394.782608695652</v>
      </c>
      <c r="AU77" s="47">
        <f>AQ77*$AU$4/$AQ$4+12*$AU$78</f>
        <v>394.782608695652</v>
      </c>
      <c r="AV77" s="47">
        <f>AQ77*$AV$4/$AQ$4+12*$AV$78</f>
        <v>394.782608695652</v>
      </c>
      <c r="AW77" s="64">
        <f>AQ77*$AW$4/$AQ$4+12*$AW$78</f>
        <v>235.304347826087</v>
      </c>
      <c r="AX77" s="69">
        <f>SUM(AR77:AV77)</f>
        <v>1894.95652173912</v>
      </c>
      <c r="AY77" s="64" t="e">
        <f t="shared" si="13"/>
        <v>#REF!</v>
      </c>
      <c r="BB77" s="65" t="e">
        <f>AY77+AZ77+BA77-AX77</f>
        <v>#REF!</v>
      </c>
      <c r="BD77" s="47" t="e">
        <f>BB77*-1</f>
        <v>#REF!</v>
      </c>
      <c r="BE77" s="47" t="s">
        <v>350</v>
      </c>
      <c r="BF77" s="65" t="e">
        <f>AY77</f>
        <v>#REF!</v>
      </c>
      <c r="BG77" s="65">
        <f>AR77</f>
        <v>315.826086956521</v>
      </c>
      <c r="BH77" s="65"/>
      <c r="BI77" s="65" t="e">
        <f>BF77+BH77-BG77</f>
        <v>#REF!</v>
      </c>
      <c r="BJ77" s="65">
        <f>AS77</f>
        <v>394.782608695652</v>
      </c>
      <c r="BK77" s="65"/>
      <c r="BL77" s="65" t="e">
        <f>BI77+BK77-BJ77</f>
        <v>#REF!</v>
      </c>
      <c r="BM77" s="65">
        <f>AT77</f>
        <v>394.782608695652</v>
      </c>
      <c r="BN77" s="65"/>
      <c r="BO77" s="65" t="e">
        <f>BL77+BN77-BM77</f>
        <v>#REF!</v>
      </c>
      <c r="BP77" s="65">
        <f>AU77</f>
        <v>394.782608695652</v>
      </c>
      <c r="BQ77" s="65"/>
      <c r="BR77" s="65" t="e">
        <f>BO77+BQ77-BP77</f>
        <v>#REF!</v>
      </c>
      <c r="BS77" s="65">
        <f>AV77</f>
        <v>394.782608695652</v>
      </c>
      <c r="BT77" s="65"/>
      <c r="BU77" s="65" t="e">
        <f>BR77+BT77-BS77</f>
        <v>#REF!</v>
      </c>
      <c r="BV77" s="47">
        <f t="shared" si="27"/>
        <v>235.304347826087</v>
      </c>
      <c r="BX77" s="65" t="e">
        <f t="shared" si="28"/>
        <v>#REF!</v>
      </c>
    </row>
    <row r="78" ht="14.0">
      <c r="A78" s="93" t="s">
        <v>32</v>
      </c>
      <c r="B78" s="93" t="s">
        <v>110</v>
      </c>
      <c r="C78" s="93" t="s">
        <v>111</v>
      </c>
      <c r="D78" s="229" t="s">
        <v>112</v>
      </c>
      <c r="E78" s="93">
        <v>0.0</v>
      </c>
      <c r="F78" s="93">
        <v>0.0</v>
      </c>
      <c r="G78" s="93">
        <v>0.0</v>
      </c>
      <c r="H78" s="93">
        <v>0.0</v>
      </c>
      <c r="I78" s="93">
        <v>0.0</v>
      </c>
      <c r="J78" s="93">
        <v>0.0</v>
      </c>
      <c r="K78" s="93">
        <v>0.0</v>
      </c>
      <c r="L78" s="93">
        <v>0.0</v>
      </c>
      <c r="M78" s="93">
        <v>0.0</v>
      </c>
      <c r="N78" s="93">
        <v>0.0</v>
      </c>
      <c r="O78" s="93">
        <v>0.0</v>
      </c>
      <c r="P78" s="93">
        <v>0.0</v>
      </c>
      <c r="Q78" s="93">
        <v>0.0</v>
      </c>
      <c r="R78" s="93">
        <v>8.0</v>
      </c>
      <c r="S78" s="93">
        <v>26.0</v>
      </c>
      <c r="T78" s="93">
        <v>34.0</v>
      </c>
      <c r="U78" s="93">
        <v>16.0</v>
      </c>
      <c r="V78" s="93">
        <v>0.0</v>
      </c>
      <c r="W78" s="93">
        <v>26.0</v>
      </c>
      <c r="X78" s="93">
        <v>38.0</v>
      </c>
      <c r="Y78" s="93">
        <v>7.0</v>
      </c>
      <c r="Z78" s="93">
        <v>17.0</v>
      </c>
      <c r="AA78" s="93">
        <v>17.0</v>
      </c>
      <c r="AB78" s="93">
        <v>18.0</v>
      </c>
      <c r="AC78" s="93">
        <v>21.0</v>
      </c>
      <c r="AD78" s="93">
        <v>24.0</v>
      </c>
      <c r="AE78" s="93">
        <v>18.0</v>
      </c>
      <c r="AF78" s="93">
        <v>13.0</v>
      </c>
      <c r="AG78" s="93">
        <v>0.0</v>
      </c>
      <c r="AH78" s="93">
        <v>0.0</v>
      </c>
      <c r="AI78" s="93">
        <v>3.0</v>
      </c>
      <c r="AJ78" s="93">
        <v>8.0</v>
      </c>
      <c r="AK78" s="93">
        <v>14.0</v>
      </c>
      <c r="AL78" s="93">
        <v>8.0</v>
      </c>
      <c r="AM78" s="93">
        <v>5.0</v>
      </c>
      <c r="AN78" s="93">
        <v>7.0</v>
      </c>
      <c r="AO78" s="69">
        <f t="shared" si="3"/>
        <v>121.0</v>
      </c>
      <c r="AP78" s="69">
        <f t="shared" si="4"/>
        <v>45.0</v>
      </c>
      <c r="AQ78" s="69">
        <f t="shared" si="5"/>
        <v>49.5</v>
      </c>
      <c r="AR78" s="235">
        <v>8.0</v>
      </c>
      <c r="AS78" s="235">
        <v>10.0</v>
      </c>
      <c r="AT78" s="235">
        <v>10.0</v>
      </c>
      <c r="AU78" s="235">
        <v>10.0</v>
      </c>
      <c r="AV78" s="235">
        <v>10.0</v>
      </c>
      <c r="AW78" s="249">
        <f t="shared" ref="AW78:AW83" si="380">AQ78*$AW$4/$AQ$4</f>
        <v>5.8695652173913</v>
      </c>
      <c r="AX78" s="69">
        <f>SUM(AR78:AW78)</f>
        <v>53.8695652173913</v>
      </c>
      <c r="AY78" s="64" t="e">
        <f t="shared" si="13"/>
        <v>#REF!</v>
      </c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47">
        <f t="shared" si="27"/>
        <v>5.8695652173913</v>
      </c>
      <c r="BX78" s="65">
        <f t="shared" si="28"/>
        <v>-5.8695652173913</v>
      </c>
    </row>
    <row r="79" ht="14.0">
      <c r="A79" s="98" t="s">
        <v>32</v>
      </c>
      <c r="B79" s="93" t="s">
        <v>134</v>
      </c>
      <c r="C79" s="93" t="s">
        <v>139</v>
      </c>
      <c r="D79" s="234">
        <v>40701.0</v>
      </c>
      <c r="E79" s="93">
        <v>38.0</v>
      </c>
      <c r="F79" s="93">
        <v>40.0</v>
      </c>
      <c r="G79" s="93">
        <v>43.0</v>
      </c>
      <c r="H79" s="93">
        <v>59.0</v>
      </c>
      <c r="I79" s="93">
        <v>71.0</v>
      </c>
      <c r="J79" s="93">
        <v>40.0</v>
      </c>
      <c r="K79" s="93">
        <v>41.0</v>
      </c>
      <c r="L79" s="93">
        <v>25.0</v>
      </c>
      <c r="M79" s="93">
        <v>39.0</v>
      </c>
      <c r="N79" s="93">
        <v>32.0</v>
      </c>
      <c r="O79" s="93">
        <v>21.0</v>
      </c>
      <c r="P79" s="93">
        <v>29.0</v>
      </c>
      <c r="Q79" s="93">
        <v>50.0</v>
      </c>
      <c r="R79" s="93">
        <v>39.0</v>
      </c>
      <c r="S79" s="93">
        <v>35.0</v>
      </c>
      <c r="T79" s="93">
        <v>35.0</v>
      </c>
      <c r="U79" s="93">
        <v>56.0</v>
      </c>
      <c r="V79" s="93">
        <v>41.0</v>
      </c>
      <c r="W79" s="93">
        <v>36.0</v>
      </c>
      <c r="X79" s="93">
        <v>33.0</v>
      </c>
      <c r="Y79" s="93">
        <v>29.0</v>
      </c>
      <c r="Z79" s="93">
        <v>41.0</v>
      </c>
      <c r="AA79" s="93">
        <v>45.0</v>
      </c>
      <c r="AB79" s="93">
        <v>9.0</v>
      </c>
      <c r="AC79" s="93">
        <v>3.0</v>
      </c>
      <c r="AD79" s="93">
        <v>24.0</v>
      </c>
      <c r="AE79" s="93">
        <v>27.0</v>
      </c>
      <c r="AF79" s="93">
        <v>44.0</v>
      </c>
      <c r="AG79" s="93">
        <v>26.0</v>
      </c>
      <c r="AH79" s="93">
        <v>28.0</v>
      </c>
      <c r="AI79" s="93">
        <v>18.0</v>
      </c>
      <c r="AJ79" s="93">
        <v>21.0</v>
      </c>
      <c r="AK79" s="93">
        <v>21.0</v>
      </c>
      <c r="AL79" s="93">
        <v>29.0</v>
      </c>
      <c r="AM79" s="93">
        <v>13.0</v>
      </c>
      <c r="AN79" s="93">
        <v>6.0</v>
      </c>
      <c r="AO79" s="69">
        <f t="shared" si="3"/>
        <v>260.0</v>
      </c>
      <c r="AP79" s="69">
        <f t="shared" si="4"/>
        <v>108.0</v>
      </c>
      <c r="AQ79" s="69">
        <f t="shared" si="5"/>
        <v>118.8</v>
      </c>
      <c r="AR79" s="47">
        <f t="shared" ref="AR79:AR84" si="382">AQ79*$AR$4/$AQ$4</f>
        <v>18.7826086956521</v>
      </c>
      <c r="AS79" s="47">
        <f t="shared" ref="AS79:AS84" si="383">AQ79*$AS$4/$AQ$4</f>
        <v>23.4782608695652</v>
      </c>
      <c r="AT79" s="47">
        <f t="shared" ref="AT79:AT84" si="384">AQ79*$AT$4/$AQ$4</f>
        <v>23.4782608695652</v>
      </c>
      <c r="AU79" s="47">
        <f t="shared" ref="AU79:AU84" si="385">AQ79*$AU$4/$AQ$4</f>
        <v>23.4782608695652</v>
      </c>
      <c r="AV79" s="47">
        <f t="shared" ref="AV79:AV84" si="386">AQ79*$AV$4/$AQ$4</f>
        <v>23.4782608695652</v>
      </c>
      <c r="AW79" s="64">
        <f t="shared" si="380"/>
        <v>14.0869565217391</v>
      </c>
      <c r="AX79" s="69">
        <f t="shared" ref="AX79:AX83" si="387">SUM(AR79:AV79)</f>
        <v>112.695652173912</v>
      </c>
      <c r="AY79" s="64" t="e">
        <f t="shared" si="13"/>
        <v>#REF!</v>
      </c>
      <c r="BB79" s="65" t="e">
        <f t="shared" ref="BB79:BB84" si="388">AY79+AZ79+BA79-AX79</f>
        <v>#REF!</v>
      </c>
      <c r="BD79" s="99"/>
      <c r="BE79" s="47" t="s">
        <v>350</v>
      </c>
      <c r="BF79" s="65" t="e">
        <f t="shared" ref="BF79:BF84" si="389">AY79</f>
        <v>#REF!</v>
      </c>
      <c r="BG79" s="65">
        <f t="shared" ref="BG79:BG84" si="390">AR79</f>
        <v>18.7826086956521</v>
      </c>
      <c r="BH79" s="65"/>
      <c r="BI79" s="65" t="e">
        <f t="shared" ref="BI79:BI84" si="391">BF79+BH79-BG79</f>
        <v>#REF!</v>
      </c>
      <c r="BJ79" s="65">
        <f t="shared" ref="BJ79:BJ84" si="392">AS79</f>
        <v>23.4782608695652</v>
      </c>
      <c r="BK79" s="65"/>
      <c r="BL79" s="65" t="e">
        <f t="shared" ref="BL79:BL84" si="393">BI79+BK79-BJ79</f>
        <v>#REF!</v>
      </c>
      <c r="BM79" s="65">
        <f t="shared" ref="BM79:BM84" si="394">AT79</f>
        <v>23.4782608695652</v>
      </c>
      <c r="BN79" s="65"/>
      <c r="BO79" s="65" t="e">
        <f t="shared" ref="BO79:BO84" si="395">BL79+BN79-BM79</f>
        <v>#REF!</v>
      </c>
      <c r="BP79" s="65">
        <f t="shared" ref="BP79:BP84" si="396">AU79</f>
        <v>23.4782608695652</v>
      </c>
      <c r="BQ79" s="65"/>
      <c r="BR79" s="65" t="e">
        <f t="shared" ref="BR79:BR84" si="397">BO79+BQ79-BP79</f>
        <v>#REF!</v>
      </c>
      <c r="BS79" s="65">
        <f t="shared" ref="BS79:BS84" si="398">AV79</f>
        <v>23.4782608695652</v>
      </c>
      <c r="BT79" s="65"/>
      <c r="BU79" s="65" t="e">
        <f t="shared" ref="BU79:BU84" si="399">BR79+BT79-BS79</f>
        <v>#REF!</v>
      </c>
      <c r="BV79" s="47">
        <f t="shared" si="27"/>
        <v>14.0869565217391</v>
      </c>
      <c r="BX79" s="65" t="e">
        <f t="shared" si="28"/>
        <v>#REF!</v>
      </c>
    </row>
    <row r="80" ht="14.0">
      <c r="A80" s="98" t="s">
        <v>32</v>
      </c>
      <c r="B80" s="93" t="s">
        <v>134</v>
      </c>
      <c r="C80" s="93" t="s">
        <v>140</v>
      </c>
      <c r="D80" s="234">
        <v>40702.0</v>
      </c>
      <c r="E80" s="93">
        <v>18.0</v>
      </c>
      <c r="F80" s="93">
        <v>36.0</v>
      </c>
      <c r="G80" s="93">
        <v>21.0</v>
      </c>
      <c r="H80" s="93">
        <v>36.0</v>
      </c>
      <c r="I80" s="93">
        <v>24.0</v>
      </c>
      <c r="J80" s="93">
        <v>27.0</v>
      </c>
      <c r="K80" s="93">
        <v>30.0</v>
      </c>
      <c r="L80" s="93">
        <v>13.0</v>
      </c>
      <c r="M80" s="93">
        <v>24.0</v>
      </c>
      <c r="N80" s="93">
        <v>27.0</v>
      </c>
      <c r="O80" s="93">
        <v>18.0</v>
      </c>
      <c r="P80" s="93">
        <v>12.0</v>
      </c>
      <c r="Q80" s="93">
        <v>42.0</v>
      </c>
      <c r="R80" s="93">
        <v>36.0</v>
      </c>
      <c r="S80" s="93">
        <v>18.0</v>
      </c>
      <c r="T80" s="93">
        <v>24.0</v>
      </c>
      <c r="U80" s="93">
        <v>33.0</v>
      </c>
      <c r="V80" s="93">
        <v>27.0</v>
      </c>
      <c r="W80" s="93">
        <v>9.0</v>
      </c>
      <c r="X80" s="93">
        <v>45.0</v>
      </c>
      <c r="Y80" s="93">
        <v>27.0</v>
      </c>
      <c r="Z80" s="93">
        <v>30.0</v>
      </c>
      <c r="AA80" s="93">
        <v>24.0</v>
      </c>
      <c r="AB80" s="93">
        <v>3.0</v>
      </c>
      <c r="AC80" s="93">
        <v>21.0</v>
      </c>
      <c r="AD80" s="93">
        <v>21.0</v>
      </c>
      <c r="AE80" s="93">
        <v>24.0</v>
      </c>
      <c r="AF80" s="93">
        <v>24.0</v>
      </c>
      <c r="AG80" s="93">
        <v>24.0</v>
      </c>
      <c r="AH80" s="93">
        <v>15.0</v>
      </c>
      <c r="AI80" s="93">
        <v>39.0</v>
      </c>
      <c r="AJ80" s="93">
        <v>0.0</v>
      </c>
      <c r="AK80" s="93">
        <v>6.0</v>
      </c>
      <c r="AL80" s="93">
        <v>27.0</v>
      </c>
      <c r="AM80" s="93">
        <v>18.0</v>
      </c>
      <c r="AN80" s="93">
        <v>3.0</v>
      </c>
      <c r="AO80" s="69">
        <f t="shared" si="3"/>
        <v>222.0</v>
      </c>
      <c r="AP80" s="69">
        <f t="shared" si="4"/>
        <v>93.0</v>
      </c>
      <c r="AQ80" s="69">
        <f t="shared" si="5"/>
        <v>102.3</v>
      </c>
      <c r="AR80" s="47">
        <f t="shared" si="382"/>
        <v>16.1739130434782</v>
      </c>
      <c r="AS80" s="47">
        <f t="shared" si="383"/>
        <v>20.2173913043478</v>
      </c>
      <c r="AT80" s="47">
        <f t="shared" si="384"/>
        <v>20.2173913043478</v>
      </c>
      <c r="AU80" s="47">
        <f t="shared" si="385"/>
        <v>20.2173913043478</v>
      </c>
      <c r="AV80" s="47">
        <f t="shared" si="386"/>
        <v>20.2173913043478</v>
      </c>
      <c r="AW80" s="64">
        <f t="shared" si="380"/>
        <v>12.130434782609</v>
      </c>
      <c r="AX80" s="69">
        <f t="shared" si="387"/>
        <v>97.0434782608694</v>
      </c>
      <c r="AY80" s="64" t="e">
        <f t="shared" si="13"/>
        <v>#REF!</v>
      </c>
      <c r="BB80" s="65" t="e">
        <f t="shared" si="388"/>
        <v>#REF!</v>
      </c>
      <c r="BD80" s="99"/>
      <c r="BE80" s="47" t="s">
        <v>255</v>
      </c>
      <c r="BF80" s="65" t="e">
        <f t="shared" si="389"/>
        <v>#REF!</v>
      </c>
      <c r="BG80" s="65">
        <f t="shared" si="390"/>
        <v>16.1739130434782</v>
      </c>
      <c r="BH80" s="65"/>
      <c r="BI80" s="65" t="e">
        <f t="shared" si="391"/>
        <v>#REF!</v>
      </c>
      <c r="BJ80" s="65">
        <f t="shared" si="392"/>
        <v>20.2173913043478</v>
      </c>
      <c r="BK80" s="65"/>
      <c r="BL80" s="65" t="e">
        <f t="shared" si="393"/>
        <v>#REF!</v>
      </c>
      <c r="BM80" s="65">
        <f t="shared" si="394"/>
        <v>20.2173913043478</v>
      </c>
      <c r="BN80" s="65"/>
      <c r="BO80" s="65" t="e">
        <f t="shared" si="395"/>
        <v>#REF!</v>
      </c>
      <c r="BP80" s="65">
        <f t="shared" si="396"/>
        <v>20.2173913043478</v>
      </c>
      <c r="BQ80" s="65"/>
      <c r="BR80" s="65" t="e">
        <f t="shared" si="397"/>
        <v>#REF!</v>
      </c>
      <c r="BS80" s="65">
        <f t="shared" si="398"/>
        <v>20.2173913043478</v>
      </c>
      <c r="BT80" s="65"/>
      <c r="BU80" s="65" t="e">
        <f t="shared" si="399"/>
        <v>#REF!</v>
      </c>
      <c r="BV80" s="47">
        <f t="shared" si="27"/>
        <v>12.130434782609</v>
      </c>
      <c r="BX80" s="65" t="e">
        <f t="shared" si="28"/>
        <v>#REF!</v>
      </c>
    </row>
    <row r="81" ht="14.0">
      <c r="A81" s="98" t="s">
        <v>32</v>
      </c>
      <c r="B81" s="93" t="s">
        <v>134</v>
      </c>
      <c r="C81" s="93" t="s">
        <v>141</v>
      </c>
      <c r="D81" s="234">
        <v>40732.0</v>
      </c>
      <c r="E81" s="93">
        <v>0.0</v>
      </c>
      <c r="F81" s="93">
        <v>0.0</v>
      </c>
      <c r="G81" s="93">
        <v>0.0</v>
      </c>
      <c r="H81" s="93">
        <v>0.0</v>
      </c>
      <c r="I81" s="93">
        <v>0.0</v>
      </c>
      <c r="J81" s="93">
        <v>0.0</v>
      </c>
      <c r="K81" s="93">
        <v>12.0</v>
      </c>
      <c r="L81" s="93">
        <v>18.0</v>
      </c>
      <c r="M81" s="93">
        <v>12.0</v>
      </c>
      <c r="N81" s="93">
        <v>15.0</v>
      </c>
      <c r="O81" s="93">
        <v>9.0</v>
      </c>
      <c r="P81" s="93">
        <v>9.0</v>
      </c>
      <c r="Q81" s="93">
        <v>0.0</v>
      </c>
      <c r="R81" s="93">
        <v>12.0</v>
      </c>
      <c r="S81" s="93">
        <v>15.0</v>
      </c>
      <c r="T81" s="93">
        <v>12.0</v>
      </c>
      <c r="U81" s="93">
        <v>21.0</v>
      </c>
      <c r="V81" s="93">
        <v>18.0</v>
      </c>
      <c r="W81" s="93">
        <v>24.0</v>
      </c>
      <c r="X81" s="93">
        <v>6.0</v>
      </c>
      <c r="Y81" s="93">
        <v>15.0</v>
      </c>
      <c r="Z81" s="93">
        <v>34.0</v>
      </c>
      <c r="AA81" s="93">
        <v>9.0</v>
      </c>
      <c r="AB81" s="93">
        <v>15.0</v>
      </c>
      <c r="AC81" s="93">
        <v>15.0</v>
      </c>
      <c r="AD81" s="93">
        <v>9.0</v>
      </c>
      <c r="AE81" s="93">
        <v>9.0</v>
      </c>
      <c r="AF81" s="93">
        <v>24.0</v>
      </c>
      <c r="AG81" s="93">
        <v>15.0</v>
      </c>
      <c r="AH81" s="93">
        <v>7.0</v>
      </c>
      <c r="AI81" s="93">
        <v>15.0</v>
      </c>
      <c r="AJ81" s="93">
        <v>21.0</v>
      </c>
      <c r="AK81" s="93">
        <v>6.0</v>
      </c>
      <c r="AL81" s="93">
        <v>24.0</v>
      </c>
      <c r="AM81" s="93">
        <v>9.0</v>
      </c>
      <c r="AN81" s="93">
        <v>0.0</v>
      </c>
      <c r="AO81" s="69">
        <f t="shared" si="3"/>
        <v>154.0</v>
      </c>
      <c r="AP81" s="69">
        <f t="shared" si="4"/>
        <v>75.0</v>
      </c>
      <c r="AQ81" s="69">
        <f t="shared" si="5"/>
        <v>82.5</v>
      </c>
      <c r="AR81" s="47">
        <f t="shared" si="382"/>
        <v>13.0434782608696</v>
      </c>
      <c r="AS81" s="47">
        <f t="shared" si="383"/>
        <v>16.304347826087</v>
      </c>
      <c r="AT81" s="47">
        <f t="shared" si="384"/>
        <v>16.304347826087</v>
      </c>
      <c r="AU81" s="47">
        <f t="shared" si="385"/>
        <v>16.304347826087</v>
      </c>
      <c r="AV81" s="47">
        <f t="shared" si="386"/>
        <v>16.304347826087</v>
      </c>
      <c r="AW81" s="64">
        <f t="shared" si="380"/>
        <v>9.78260869565217</v>
      </c>
      <c r="AX81" s="69">
        <f t="shared" si="387"/>
        <v>78.2608695652176</v>
      </c>
      <c r="AY81" s="64" t="e">
        <f t="shared" si="13"/>
        <v>#REF!</v>
      </c>
      <c r="BB81" s="65" t="e">
        <f t="shared" si="388"/>
        <v>#REF!</v>
      </c>
      <c r="BD81" s="99"/>
      <c r="BE81" s="47" t="s">
        <v>355</v>
      </c>
      <c r="BF81" s="65" t="e">
        <f t="shared" si="389"/>
        <v>#REF!</v>
      </c>
      <c r="BG81" s="65">
        <f t="shared" si="390"/>
        <v>13.0434782608696</v>
      </c>
      <c r="BH81" s="65"/>
      <c r="BI81" s="65" t="e">
        <f t="shared" si="391"/>
        <v>#REF!</v>
      </c>
      <c r="BJ81" s="65">
        <f t="shared" si="392"/>
        <v>16.304347826087</v>
      </c>
      <c r="BK81" s="65"/>
      <c r="BL81" s="65" t="e">
        <f t="shared" si="393"/>
        <v>#REF!</v>
      </c>
      <c r="BM81" s="65">
        <f t="shared" si="394"/>
        <v>16.304347826087</v>
      </c>
      <c r="BN81" s="65"/>
      <c r="BO81" s="65" t="e">
        <f t="shared" si="395"/>
        <v>#REF!</v>
      </c>
      <c r="BP81" s="65">
        <f t="shared" si="396"/>
        <v>16.304347826087</v>
      </c>
      <c r="BQ81" s="65"/>
      <c r="BR81" s="65" t="e">
        <f t="shared" si="397"/>
        <v>#REF!</v>
      </c>
      <c r="BS81" s="65">
        <f t="shared" si="398"/>
        <v>16.304347826087</v>
      </c>
      <c r="BT81" s="65"/>
      <c r="BU81" s="65" t="e">
        <f t="shared" si="399"/>
        <v>#REF!</v>
      </c>
      <c r="BV81" s="47">
        <f t="shared" si="27"/>
        <v>9.78260869565217</v>
      </c>
      <c r="BX81" s="65" t="e">
        <f t="shared" si="28"/>
        <v>#REF!</v>
      </c>
    </row>
    <row r="82" ht="14.0">
      <c r="A82" s="98" t="s">
        <v>32</v>
      </c>
      <c r="B82" s="93" t="s">
        <v>134</v>
      </c>
      <c r="C82" s="93" t="s">
        <v>142</v>
      </c>
      <c r="D82" s="234">
        <v>40734.0</v>
      </c>
      <c r="E82" s="93">
        <v>0.0</v>
      </c>
      <c r="F82" s="93">
        <v>0.0</v>
      </c>
      <c r="G82" s="93">
        <v>0.0</v>
      </c>
      <c r="H82" s="93">
        <v>0.0</v>
      </c>
      <c r="I82" s="93">
        <v>0.0</v>
      </c>
      <c r="J82" s="93">
        <v>0.0</v>
      </c>
      <c r="K82" s="93">
        <v>0.0</v>
      </c>
      <c r="L82" s="93">
        <v>0.0</v>
      </c>
      <c r="M82" s="93">
        <v>0.0</v>
      </c>
      <c r="N82" s="93">
        <v>0.0</v>
      </c>
      <c r="O82" s="93">
        <v>0.0</v>
      </c>
      <c r="P82" s="93">
        <v>12.0</v>
      </c>
      <c r="Q82" s="93">
        <v>3.0</v>
      </c>
      <c r="R82" s="93">
        <v>6.0</v>
      </c>
      <c r="S82" s="93">
        <v>6.0</v>
      </c>
      <c r="T82" s="93">
        <v>6.0</v>
      </c>
      <c r="U82" s="93">
        <v>6.0</v>
      </c>
      <c r="V82" s="93">
        <v>12.0</v>
      </c>
      <c r="W82" s="93">
        <v>9.0</v>
      </c>
      <c r="X82" s="93">
        <v>9.0</v>
      </c>
      <c r="Y82" s="93">
        <v>6.0</v>
      </c>
      <c r="Z82" s="93">
        <v>0.0</v>
      </c>
      <c r="AA82" s="93">
        <v>6.0</v>
      </c>
      <c r="AB82" s="93">
        <v>3.0</v>
      </c>
      <c r="AC82" s="93">
        <v>0.0</v>
      </c>
      <c r="AD82" s="93">
        <v>3.0</v>
      </c>
      <c r="AE82" s="93">
        <v>9.0</v>
      </c>
      <c r="AF82" s="93">
        <v>15.0</v>
      </c>
      <c r="AG82" s="93">
        <v>6.0</v>
      </c>
      <c r="AH82" s="93">
        <v>9.0</v>
      </c>
      <c r="AI82" s="93">
        <v>0.0</v>
      </c>
      <c r="AJ82" s="93">
        <v>15.0</v>
      </c>
      <c r="AK82" s="93">
        <v>12.0</v>
      </c>
      <c r="AL82" s="93">
        <v>12.0</v>
      </c>
      <c r="AM82" s="93">
        <v>0.0</v>
      </c>
      <c r="AN82" s="93">
        <v>0.0</v>
      </c>
      <c r="AO82" s="69">
        <f t="shared" si="3"/>
        <v>81.0</v>
      </c>
      <c r="AP82" s="69">
        <f t="shared" si="4"/>
        <v>39.0</v>
      </c>
      <c r="AQ82" s="69">
        <f t="shared" si="5"/>
        <v>42.9</v>
      </c>
      <c r="AR82" s="47">
        <f t="shared" si="382"/>
        <v>6.78260869565217</v>
      </c>
      <c r="AS82" s="47">
        <f t="shared" si="383"/>
        <v>8.47826086956521</v>
      </c>
      <c r="AT82" s="47">
        <f t="shared" si="384"/>
        <v>8.47826086956521</v>
      </c>
      <c r="AU82" s="47">
        <f t="shared" si="385"/>
        <v>8.47826086956521</v>
      </c>
      <c r="AV82" s="47">
        <f t="shared" si="386"/>
        <v>8.47826086956521</v>
      </c>
      <c r="AW82" s="64">
        <f t="shared" si="380"/>
        <v>5.08695652173913</v>
      </c>
      <c r="AX82" s="69">
        <f t="shared" si="387"/>
        <v>40.695652173913</v>
      </c>
      <c r="AY82" s="64" t="e">
        <f t="shared" si="13"/>
        <v>#REF!</v>
      </c>
      <c r="BB82" s="65" t="e">
        <f t="shared" si="388"/>
        <v>#REF!</v>
      </c>
      <c r="BD82" s="47" t="e">
        <f t="shared" ref="BD82:BD84" si="400">BB82*-1</f>
        <v>#REF!</v>
      </c>
      <c r="BE82" s="47" t="s">
        <v>355</v>
      </c>
      <c r="BF82" s="65" t="e">
        <f t="shared" si="389"/>
        <v>#REF!</v>
      </c>
      <c r="BG82" s="65">
        <f t="shared" si="390"/>
        <v>6.78260869565217</v>
      </c>
      <c r="BH82" s="65"/>
      <c r="BI82" s="65" t="e">
        <f t="shared" si="391"/>
        <v>#REF!</v>
      </c>
      <c r="BJ82" s="65">
        <f t="shared" si="392"/>
        <v>8.47826086956521</v>
      </c>
      <c r="BK82" s="65"/>
      <c r="BL82" s="65" t="e">
        <f t="shared" si="393"/>
        <v>#REF!</v>
      </c>
      <c r="BM82" s="65">
        <f t="shared" si="394"/>
        <v>8.47826086956521</v>
      </c>
      <c r="BN82" s="65"/>
      <c r="BO82" s="65" t="e">
        <f t="shared" si="395"/>
        <v>#REF!</v>
      </c>
      <c r="BP82" s="65">
        <f t="shared" si="396"/>
        <v>8.47826086956521</v>
      </c>
      <c r="BQ82" s="65"/>
      <c r="BR82" s="65" t="e">
        <f t="shared" si="397"/>
        <v>#REF!</v>
      </c>
      <c r="BS82" s="65">
        <f t="shared" si="398"/>
        <v>8.47826086956521</v>
      </c>
      <c r="BT82" s="65"/>
      <c r="BU82" s="65" t="e">
        <f t="shared" si="399"/>
        <v>#REF!</v>
      </c>
      <c r="BV82" s="47">
        <f t="shared" si="27"/>
        <v>5.08695652173913</v>
      </c>
      <c r="BX82" s="65" t="e">
        <f t="shared" si="28"/>
        <v>#REF!</v>
      </c>
    </row>
    <row r="83" ht="14.0">
      <c r="A83" s="98" t="s">
        <v>32</v>
      </c>
      <c r="B83" s="93" t="s">
        <v>134</v>
      </c>
      <c r="C83" s="93" t="s">
        <v>143</v>
      </c>
      <c r="D83" s="234">
        <v>40746.0</v>
      </c>
      <c r="E83" s="93">
        <v>0.0</v>
      </c>
      <c r="F83" s="93">
        <v>0.0</v>
      </c>
      <c r="G83" s="93">
        <v>0.0</v>
      </c>
      <c r="H83" s="93">
        <v>0.0</v>
      </c>
      <c r="I83" s="93">
        <v>0.0</v>
      </c>
      <c r="J83" s="93">
        <v>0.0</v>
      </c>
      <c r="K83" s="93">
        <v>24.0</v>
      </c>
      <c r="L83" s="93">
        <v>18.0</v>
      </c>
      <c r="M83" s="93">
        <v>0.0</v>
      </c>
      <c r="N83" s="93">
        <v>3.0</v>
      </c>
      <c r="O83" s="93">
        <v>9.0</v>
      </c>
      <c r="P83" s="93">
        <v>12.0</v>
      </c>
      <c r="Q83" s="93">
        <v>12.0</v>
      </c>
      <c r="R83" s="93">
        <v>9.0</v>
      </c>
      <c r="S83" s="93">
        <v>15.0</v>
      </c>
      <c r="T83" s="93">
        <v>9.0</v>
      </c>
      <c r="U83" s="93">
        <v>30.0</v>
      </c>
      <c r="V83" s="93">
        <v>36.0</v>
      </c>
      <c r="W83" s="93">
        <v>27.0</v>
      </c>
      <c r="X83" s="93">
        <v>12.0</v>
      </c>
      <c r="Y83" s="93">
        <v>6.0</v>
      </c>
      <c r="Z83" s="93">
        <v>46.0</v>
      </c>
      <c r="AA83" s="93">
        <v>0.0</v>
      </c>
      <c r="AB83" s="93">
        <v>9.0</v>
      </c>
      <c r="AC83" s="93">
        <v>9.0</v>
      </c>
      <c r="AD83" s="93">
        <v>18.0</v>
      </c>
      <c r="AE83" s="93">
        <v>6.0</v>
      </c>
      <c r="AF83" s="93">
        <v>21.0</v>
      </c>
      <c r="AG83" s="93">
        <v>18.0</v>
      </c>
      <c r="AH83" s="93">
        <v>15.0</v>
      </c>
      <c r="AI83" s="93">
        <v>12.0</v>
      </c>
      <c r="AJ83" s="93">
        <v>15.0</v>
      </c>
      <c r="AK83" s="93">
        <v>6.0</v>
      </c>
      <c r="AL83" s="93">
        <v>21.0</v>
      </c>
      <c r="AM83" s="93">
        <v>9.0</v>
      </c>
      <c r="AN83" s="93">
        <v>9.0</v>
      </c>
      <c r="AO83" s="69">
        <f t="shared" si="3"/>
        <v>159.0</v>
      </c>
      <c r="AP83" s="69">
        <f t="shared" si="4"/>
        <v>72.0</v>
      </c>
      <c r="AQ83" s="69">
        <f t="shared" si="5"/>
        <v>79.2</v>
      </c>
      <c r="AR83" s="47">
        <f t="shared" si="382"/>
        <v>12.5217391304348</v>
      </c>
      <c r="AS83" s="47">
        <f t="shared" si="383"/>
        <v>15.6521739130434</v>
      </c>
      <c r="AT83" s="47">
        <f t="shared" si="384"/>
        <v>15.6521739130434</v>
      </c>
      <c r="AU83" s="47">
        <f t="shared" si="385"/>
        <v>15.6521739130434</v>
      </c>
      <c r="AV83" s="47">
        <f t="shared" si="386"/>
        <v>15.6521739130434</v>
      </c>
      <c r="AW83" s="64">
        <f t="shared" si="380"/>
        <v>9.391304347826</v>
      </c>
      <c r="AX83" s="69">
        <f t="shared" si="387"/>
        <v>75.1304347826084</v>
      </c>
      <c r="AY83" s="64" t="e">
        <f t="shared" si="13"/>
        <v>#REF!</v>
      </c>
      <c r="BB83" s="65" t="e">
        <f t="shared" si="388"/>
        <v>#REF!</v>
      </c>
      <c r="BD83" s="47" t="e">
        <f t="shared" si="400"/>
        <v>#REF!</v>
      </c>
      <c r="BE83" s="47" t="s">
        <v>355</v>
      </c>
      <c r="BF83" s="65" t="e">
        <f t="shared" si="389"/>
        <v>#REF!</v>
      </c>
      <c r="BG83" s="65">
        <f t="shared" si="390"/>
        <v>12.5217391304348</v>
      </c>
      <c r="BH83" s="65"/>
      <c r="BI83" s="65" t="e">
        <f t="shared" si="391"/>
        <v>#REF!</v>
      </c>
      <c r="BJ83" s="65">
        <f t="shared" si="392"/>
        <v>15.6521739130434</v>
      </c>
      <c r="BK83" s="65"/>
      <c r="BL83" s="65" t="e">
        <f t="shared" si="393"/>
        <v>#REF!</v>
      </c>
      <c r="BM83" s="65">
        <f t="shared" si="394"/>
        <v>15.6521739130434</v>
      </c>
      <c r="BN83" s="65"/>
      <c r="BO83" s="65" t="e">
        <f t="shared" si="395"/>
        <v>#REF!</v>
      </c>
      <c r="BP83" s="65">
        <f t="shared" si="396"/>
        <v>15.6521739130434</v>
      </c>
      <c r="BQ83" s="65"/>
      <c r="BR83" s="65" t="e">
        <f t="shared" si="397"/>
        <v>#REF!</v>
      </c>
      <c r="BS83" s="65">
        <f t="shared" si="398"/>
        <v>15.6521739130434</v>
      </c>
      <c r="BT83" s="65"/>
      <c r="BU83" s="65" t="e">
        <f t="shared" si="399"/>
        <v>#REF!</v>
      </c>
      <c r="BV83" s="47">
        <f t="shared" si="27"/>
        <v>9.391304347826</v>
      </c>
      <c r="BX83" s="65" t="e">
        <f t="shared" si="28"/>
        <v>#REF!</v>
      </c>
    </row>
    <row r="84" ht="14.0">
      <c r="A84" s="98" t="s">
        <v>32</v>
      </c>
      <c r="B84" s="93" t="s">
        <v>134</v>
      </c>
      <c r="C84" s="93" t="s">
        <v>137</v>
      </c>
      <c r="D84" s="234" t="s">
        <v>138</v>
      </c>
      <c r="E84" s="93">
        <v>0.0</v>
      </c>
      <c r="F84" s="93">
        <v>0.0</v>
      </c>
      <c r="G84" s="93">
        <v>0.0</v>
      </c>
      <c r="H84" s="93">
        <v>0.0</v>
      </c>
      <c r="I84" s="93">
        <v>1.0</v>
      </c>
      <c r="J84" s="93">
        <v>0.0</v>
      </c>
      <c r="K84" s="93">
        <v>1.0</v>
      </c>
      <c r="L84" s="93">
        <v>1.0</v>
      </c>
      <c r="M84" s="93">
        <v>1.0</v>
      </c>
      <c r="N84" s="93">
        <v>0.0</v>
      </c>
      <c r="O84" s="93">
        <v>0.0</v>
      </c>
      <c r="P84" s="93">
        <v>0.0</v>
      </c>
      <c r="Q84" s="93">
        <v>0.0</v>
      </c>
      <c r="R84" s="93">
        <v>1.0</v>
      </c>
      <c r="S84" s="93">
        <v>0.0</v>
      </c>
      <c r="T84" s="93">
        <v>0.0</v>
      </c>
      <c r="U84" s="93">
        <v>0.0</v>
      </c>
      <c r="V84" s="93">
        <v>0.0</v>
      </c>
      <c r="W84" s="93">
        <v>0.0</v>
      </c>
      <c r="X84" s="93">
        <v>0.0</v>
      </c>
      <c r="Y84" s="93">
        <v>0.0</v>
      </c>
      <c r="Z84" s="93">
        <v>0.0</v>
      </c>
      <c r="AA84" s="93">
        <v>0.0</v>
      </c>
      <c r="AB84" s="93">
        <v>0.0</v>
      </c>
      <c r="AC84" s="93">
        <v>0.0</v>
      </c>
      <c r="AD84" s="93">
        <v>0.0</v>
      </c>
      <c r="AE84" s="93">
        <v>0.0</v>
      </c>
      <c r="AF84" s="93">
        <v>1.0</v>
      </c>
      <c r="AG84" s="93">
        <v>0.0</v>
      </c>
      <c r="AH84" s="93">
        <v>0.0</v>
      </c>
      <c r="AI84" s="93">
        <v>0.0</v>
      </c>
      <c r="AJ84" s="93">
        <v>3.0</v>
      </c>
      <c r="AK84" s="93">
        <v>0.0</v>
      </c>
      <c r="AL84" s="93">
        <v>0.0</v>
      </c>
      <c r="AM84" s="93">
        <v>0.0</v>
      </c>
      <c r="AN84" s="93">
        <v>0.0</v>
      </c>
      <c r="AO84" s="69">
        <f t="shared" si="3"/>
        <v>4.0</v>
      </c>
      <c r="AP84" s="69">
        <f t="shared" si="4"/>
        <v>3.0</v>
      </c>
      <c r="AQ84" s="69">
        <f t="shared" si="5"/>
        <v>3.3</v>
      </c>
      <c r="AR84" s="47">
        <f t="shared" si="382"/>
        <v>0.521739130434782</v>
      </c>
      <c r="AS84" s="47">
        <f t="shared" si="383"/>
        <v>0.652173913043478</v>
      </c>
      <c r="AT84" s="47">
        <f t="shared" si="384"/>
        <v>0.652173913043478</v>
      </c>
      <c r="AU84" s="47">
        <f t="shared" si="385"/>
        <v>0.652173913043478</v>
      </c>
      <c r="AV84" s="47">
        <f t="shared" si="386"/>
        <v>0.652173913043478</v>
      </c>
      <c r="AW84" s="47">
        <f>AR84*$AV$4/$AQ$4</f>
        <v>0.103110500085925</v>
      </c>
      <c r="AX84" s="69">
        <f t="shared" ref="AX84:AX85" si="402">SUM(AR84:AW84)</f>
        <v>3.23354528269461</v>
      </c>
      <c r="AY84" s="64" t="e">
        <f t="shared" si="13"/>
        <v>#REF!</v>
      </c>
      <c r="BB84" s="65" t="e">
        <f t="shared" si="388"/>
        <v>#REF!</v>
      </c>
      <c r="BD84" s="47" t="e">
        <f t="shared" si="400"/>
        <v>#REF!</v>
      </c>
      <c r="BE84" s="47" t="s">
        <v>330</v>
      </c>
      <c r="BF84" s="65" t="e">
        <f t="shared" si="389"/>
        <v>#REF!</v>
      </c>
      <c r="BG84" s="65">
        <f t="shared" si="390"/>
        <v>0.521739130434782</v>
      </c>
      <c r="BH84" s="65"/>
      <c r="BI84" s="65" t="e">
        <f t="shared" si="391"/>
        <v>#REF!</v>
      </c>
      <c r="BJ84" s="65">
        <f t="shared" si="392"/>
        <v>0.652173913043478</v>
      </c>
      <c r="BK84" s="65"/>
      <c r="BL84" s="65" t="e">
        <f t="shared" si="393"/>
        <v>#REF!</v>
      </c>
      <c r="BM84" s="65">
        <f t="shared" si="394"/>
        <v>0.652173913043478</v>
      </c>
      <c r="BN84" s="65"/>
      <c r="BO84" s="65" t="e">
        <f t="shared" si="395"/>
        <v>#REF!</v>
      </c>
      <c r="BP84" s="65">
        <f t="shared" si="396"/>
        <v>0.652173913043478</v>
      </c>
      <c r="BQ84" s="65"/>
      <c r="BR84" s="65" t="e">
        <f t="shared" si="397"/>
        <v>#REF!</v>
      </c>
      <c r="BS84" s="65">
        <f t="shared" si="398"/>
        <v>0.652173913043478</v>
      </c>
      <c r="BT84" s="65"/>
      <c r="BU84" s="65" t="e">
        <f t="shared" si="399"/>
        <v>#REF!</v>
      </c>
      <c r="BV84" s="47">
        <f t="shared" si="27"/>
        <v>0.103110500085925</v>
      </c>
      <c r="BX84" s="65" t="e">
        <f t="shared" si="28"/>
        <v>#REF!</v>
      </c>
    </row>
    <row r="85" ht="14.0">
      <c r="A85" s="98" t="s">
        <v>32</v>
      </c>
      <c r="B85" s="93" t="s">
        <v>134</v>
      </c>
      <c r="C85" s="93" t="s">
        <v>135</v>
      </c>
      <c r="D85" s="234" t="s">
        <v>136</v>
      </c>
      <c r="E85" s="93">
        <v>3.0</v>
      </c>
      <c r="F85" s="93">
        <v>2.0</v>
      </c>
      <c r="G85" s="93">
        <v>8.0</v>
      </c>
      <c r="H85" s="93">
        <v>1.0</v>
      </c>
      <c r="I85" s="93">
        <v>5.0</v>
      </c>
      <c r="J85" s="93">
        <v>0.0</v>
      </c>
      <c r="K85" s="93">
        <v>5.0</v>
      </c>
      <c r="L85" s="93">
        <v>6.0</v>
      </c>
      <c r="M85" s="93">
        <v>1.0</v>
      </c>
      <c r="N85" s="93">
        <v>4.0</v>
      </c>
      <c r="O85" s="93">
        <v>4.0</v>
      </c>
      <c r="P85" s="93">
        <v>2.0</v>
      </c>
      <c r="Q85" s="93">
        <v>3.0</v>
      </c>
      <c r="R85" s="93">
        <v>5.0</v>
      </c>
      <c r="S85" s="93">
        <v>2.0</v>
      </c>
      <c r="T85" s="93">
        <v>3.0</v>
      </c>
      <c r="U85" s="93">
        <v>5.0</v>
      </c>
      <c r="V85" s="93">
        <v>3.0</v>
      </c>
      <c r="W85" s="93">
        <v>4.0</v>
      </c>
      <c r="X85" s="93">
        <v>4.0</v>
      </c>
      <c r="Y85" s="93">
        <v>3.0</v>
      </c>
      <c r="Z85" s="93">
        <v>1.0</v>
      </c>
      <c r="AA85" s="93">
        <v>1.0</v>
      </c>
      <c r="AB85" s="93">
        <v>2.0</v>
      </c>
      <c r="AC85" s="93">
        <v>2.0</v>
      </c>
      <c r="AD85" s="93">
        <v>4.0</v>
      </c>
      <c r="AE85" s="93">
        <v>2.0</v>
      </c>
      <c r="AF85" s="93">
        <v>1.0</v>
      </c>
      <c r="AG85" s="93">
        <v>0.0</v>
      </c>
      <c r="AH85" s="93">
        <v>1.0</v>
      </c>
      <c r="AI85" s="93">
        <v>1.0</v>
      </c>
      <c r="AJ85" s="93">
        <v>0.0</v>
      </c>
      <c r="AK85" s="93">
        <v>1.0</v>
      </c>
      <c r="AL85" s="93">
        <v>2.0</v>
      </c>
      <c r="AM85" s="93">
        <v>0.0</v>
      </c>
      <c r="AN85" s="93">
        <v>1.0</v>
      </c>
      <c r="AO85" s="69">
        <f t="shared" si="3"/>
        <v>15.0</v>
      </c>
      <c r="AP85" s="69">
        <f t="shared" si="4"/>
        <v>5.0</v>
      </c>
      <c r="AQ85" s="69">
        <f t="shared" si="5"/>
        <v>5.5</v>
      </c>
      <c r="AR85" s="235">
        <v>1.0</v>
      </c>
      <c r="AS85" s="235">
        <v>1.0</v>
      </c>
      <c r="AT85" s="235">
        <v>1.0</v>
      </c>
      <c r="AU85" s="235">
        <v>1.0</v>
      </c>
      <c r="AV85" s="235">
        <v>1.0</v>
      </c>
      <c r="AW85" s="235">
        <v>1.0</v>
      </c>
      <c r="AX85" s="69">
        <f t="shared" si="402"/>
        <v>6.0</v>
      </c>
      <c r="AY85" s="64" t="e">
        <f t="shared" si="13"/>
        <v>#REF!</v>
      </c>
      <c r="BF85" s="65"/>
      <c r="BG85" s="65"/>
      <c r="BH85" s="65"/>
      <c r="BI85" s="65"/>
      <c r="BJ85" s="65"/>
      <c r="BK85" s="65"/>
      <c r="BL85" s="65"/>
      <c r="BM85" s="65"/>
      <c r="BN85" s="65"/>
      <c r="BO85" s="65"/>
      <c r="BP85" s="65"/>
      <c r="BQ85" s="65"/>
      <c r="BR85" s="65"/>
      <c r="BS85" s="65"/>
      <c r="BT85" s="65"/>
      <c r="BU85" s="65"/>
      <c r="BV85" s="47">
        <f t="shared" si="27"/>
        <v>1.0</v>
      </c>
      <c r="BX85" s="65">
        <f t="shared" si="28"/>
        <v>-1.0</v>
      </c>
    </row>
    <row r="86" ht="14.0">
      <c r="A86" s="93" t="s">
        <v>32</v>
      </c>
      <c r="B86" s="93" t="s">
        <v>153</v>
      </c>
      <c r="C86" s="93" t="s">
        <v>158</v>
      </c>
      <c r="D86" s="229">
        <v>40501.0</v>
      </c>
      <c r="E86" s="93">
        <v>33.0</v>
      </c>
      <c r="F86" s="93">
        <v>54.0</v>
      </c>
      <c r="G86" s="93">
        <v>54.0</v>
      </c>
      <c r="H86" s="93">
        <v>42.0</v>
      </c>
      <c r="I86" s="93">
        <v>18.0</v>
      </c>
      <c r="J86" s="93">
        <v>18.0</v>
      </c>
      <c r="K86" s="93">
        <v>27.0</v>
      </c>
      <c r="L86" s="93">
        <v>24.0</v>
      </c>
      <c r="M86" s="93">
        <v>84.0</v>
      </c>
      <c r="N86" s="93">
        <v>48.0</v>
      </c>
      <c r="O86" s="93">
        <v>24.0</v>
      </c>
      <c r="P86" s="93">
        <v>18.0</v>
      </c>
      <c r="Q86" s="93">
        <v>28.0</v>
      </c>
      <c r="R86" s="93">
        <v>51.0</v>
      </c>
      <c r="S86" s="93">
        <v>21.0</v>
      </c>
      <c r="T86" s="93">
        <v>42.0</v>
      </c>
      <c r="U86" s="93">
        <v>30.0</v>
      </c>
      <c r="V86" s="93">
        <v>18.0</v>
      </c>
      <c r="W86" s="93">
        <v>21.0</v>
      </c>
      <c r="X86" s="93">
        <v>18.0</v>
      </c>
      <c r="Y86" s="93">
        <v>18.0</v>
      </c>
      <c r="Z86" s="93">
        <v>19.0</v>
      </c>
      <c r="AA86" s="93">
        <v>18.0</v>
      </c>
      <c r="AB86" s="93">
        <v>9.0</v>
      </c>
      <c r="AC86" s="93">
        <v>18.0</v>
      </c>
      <c r="AD86" s="93">
        <v>33.0</v>
      </c>
      <c r="AE86" s="93">
        <v>12.0</v>
      </c>
      <c r="AF86" s="93">
        <v>21.0</v>
      </c>
      <c r="AG86" s="93">
        <v>21.0</v>
      </c>
      <c r="AH86" s="93">
        <v>6.0</v>
      </c>
      <c r="AI86" s="93">
        <v>18.0</v>
      </c>
      <c r="AJ86" s="93">
        <v>18.0</v>
      </c>
      <c r="AK86" s="93">
        <v>15.0</v>
      </c>
      <c r="AL86" s="93">
        <v>9.0</v>
      </c>
      <c r="AM86" s="93">
        <v>12.0</v>
      </c>
      <c r="AN86" s="93">
        <v>15.0</v>
      </c>
      <c r="AO86" s="69">
        <f t="shared" si="3"/>
        <v>198.0</v>
      </c>
      <c r="AP86" s="69">
        <f t="shared" si="4"/>
        <v>87.0</v>
      </c>
      <c r="AQ86" s="69">
        <f t="shared" si="5"/>
        <v>95.7</v>
      </c>
      <c r="AR86" s="47">
        <f t="shared" ref="AR86:AR90" si="403">AQ86*$AR$4/$AQ$4+3*$AR$92</f>
        <v>21.130434782609</v>
      </c>
      <c r="AS86" s="47">
        <f t="shared" ref="AS86:AS90" si="404">AQ86*$AS$4/$AQ$4+3*$AS$92</f>
        <v>24.9130434782609</v>
      </c>
      <c r="AT86" s="47">
        <f t="shared" ref="AT86:AT90" si="405">AQ86*$AT$4/$AQ$4+3*$AT$92</f>
        <v>24.9130434782609</v>
      </c>
      <c r="AU86" s="47">
        <f t="shared" ref="AU86:AU90" si="406">AQ86*$AU$4/$AQ$4+3*$AU$92</f>
        <v>24.9130434782609</v>
      </c>
      <c r="AV86" s="47">
        <f t="shared" ref="AV86:AV90" si="407">AQ86*$AV$4/$AQ$4+3*$AV$92</f>
        <v>24.9130434782609</v>
      </c>
      <c r="AW86" s="64">
        <f t="shared" ref="AW86:AW90" si="408">AQ86*$AW$4/$AQ$4+3*$AW$92</f>
        <v>14.3478260869565</v>
      </c>
      <c r="AX86" s="69">
        <f t="shared" ref="AX86:AX91" si="409">SUM(AR86:AV86)</f>
        <v>120.782608695652</v>
      </c>
      <c r="AY86" s="64" t="e">
        <f t="shared" si="13"/>
        <v>#REF!</v>
      </c>
      <c r="BB86" s="65" t="e">
        <f t="shared" ref="BB86:BB91" si="410">AY86+AZ86+BA86-AX86</f>
        <v>#REF!</v>
      </c>
      <c r="BD86" s="47" t="e">
        <f t="shared" ref="BD86:BD91" si="411">BB86*-1</f>
        <v>#REF!</v>
      </c>
      <c r="BE86" s="47" t="s">
        <v>350</v>
      </c>
      <c r="BF86" s="65" t="e">
        <f t="shared" ref="BF86:BF91" si="412">AY86</f>
        <v>#REF!</v>
      </c>
      <c r="BG86" s="65">
        <f t="shared" ref="BG86:BG91" si="413">AR86</f>
        <v>21.130434782609</v>
      </c>
      <c r="BH86" s="65"/>
      <c r="BI86" s="65" t="e">
        <f t="shared" ref="BI86:BI91" si="414">BF86+BH86-BG86</f>
        <v>#REF!</v>
      </c>
      <c r="BJ86" s="65">
        <f t="shared" ref="BJ86:BJ91" si="415">AS86</f>
        <v>24.9130434782609</v>
      </c>
      <c r="BK86" s="65"/>
      <c r="BL86" s="65" t="e">
        <f t="shared" ref="BL86:BL91" si="416">BI86+BK86-BJ86</f>
        <v>#REF!</v>
      </c>
      <c r="BM86" s="65">
        <f t="shared" ref="BM86:BM91" si="417">AT86</f>
        <v>24.9130434782609</v>
      </c>
      <c r="BN86" s="65"/>
      <c r="BO86" s="65" t="e">
        <f t="shared" ref="BO86:BO91" si="418">BL86+BN86-BM86</f>
        <v>#REF!</v>
      </c>
      <c r="BP86" s="65">
        <f t="shared" ref="BP86:BP91" si="419">AU86</f>
        <v>24.9130434782609</v>
      </c>
      <c r="BQ86" s="65"/>
      <c r="BR86" s="65" t="e">
        <f t="shared" ref="BR86:BR91" si="420">BO86+BQ86-BP86</f>
        <v>#REF!</v>
      </c>
      <c r="BS86" s="65">
        <f t="shared" ref="BS86:BS91" si="421">AV86</f>
        <v>24.9130434782609</v>
      </c>
      <c r="BT86" s="65"/>
      <c r="BU86" s="65" t="e">
        <f t="shared" ref="BU86:BU91" si="422">BR86+BT86-BS86</f>
        <v>#REF!</v>
      </c>
      <c r="BV86" s="47">
        <f t="shared" si="27"/>
        <v>14.3478260869565</v>
      </c>
      <c r="BX86" s="65" t="e">
        <f t="shared" si="28"/>
        <v>#REF!</v>
      </c>
    </row>
    <row r="87" ht="14.0">
      <c r="A87" s="93" t="s">
        <v>32</v>
      </c>
      <c r="B87" s="93" t="s">
        <v>153</v>
      </c>
      <c r="C87" s="93" t="s">
        <v>159</v>
      </c>
      <c r="D87" s="229">
        <v>40502.0</v>
      </c>
      <c r="E87" s="93">
        <v>15.0</v>
      </c>
      <c r="F87" s="93">
        <v>42.0</v>
      </c>
      <c r="G87" s="93">
        <v>21.0</v>
      </c>
      <c r="H87" s="93">
        <v>27.0</v>
      </c>
      <c r="I87" s="93">
        <v>18.0</v>
      </c>
      <c r="J87" s="93">
        <v>9.0</v>
      </c>
      <c r="K87" s="93">
        <v>18.0</v>
      </c>
      <c r="L87" s="93">
        <v>12.0</v>
      </c>
      <c r="M87" s="93">
        <v>39.0</v>
      </c>
      <c r="N87" s="93">
        <v>21.0</v>
      </c>
      <c r="O87" s="93">
        <v>12.0</v>
      </c>
      <c r="P87" s="93">
        <v>12.0</v>
      </c>
      <c r="Q87" s="93">
        <v>15.0</v>
      </c>
      <c r="R87" s="93">
        <v>9.0</v>
      </c>
      <c r="S87" s="93">
        <v>12.0</v>
      </c>
      <c r="T87" s="93">
        <v>3.0</v>
      </c>
      <c r="U87" s="93">
        <v>15.0</v>
      </c>
      <c r="V87" s="93">
        <v>6.0</v>
      </c>
      <c r="W87" s="93">
        <v>12.0</v>
      </c>
      <c r="X87" s="93">
        <v>3.0</v>
      </c>
      <c r="Y87" s="93">
        <v>12.0</v>
      </c>
      <c r="Z87" s="93">
        <v>21.0</v>
      </c>
      <c r="AA87" s="93">
        <v>9.0</v>
      </c>
      <c r="AB87" s="93">
        <v>0.0</v>
      </c>
      <c r="AC87" s="93">
        <v>12.0</v>
      </c>
      <c r="AD87" s="93">
        <v>18.0</v>
      </c>
      <c r="AE87" s="93">
        <v>6.0</v>
      </c>
      <c r="AF87" s="93">
        <v>15.0</v>
      </c>
      <c r="AG87" s="93">
        <v>18.0</v>
      </c>
      <c r="AH87" s="93">
        <v>0.0</v>
      </c>
      <c r="AI87" s="93">
        <v>12.0</v>
      </c>
      <c r="AJ87" s="93">
        <v>12.0</v>
      </c>
      <c r="AK87" s="93">
        <v>6.0</v>
      </c>
      <c r="AL87" s="93">
        <v>0.0</v>
      </c>
      <c r="AM87" s="93">
        <v>9.0</v>
      </c>
      <c r="AN87" s="93">
        <v>9.0</v>
      </c>
      <c r="AO87" s="69">
        <f t="shared" si="3"/>
        <v>117.0</v>
      </c>
      <c r="AP87" s="69">
        <f t="shared" si="4"/>
        <v>48.0</v>
      </c>
      <c r="AQ87" s="69">
        <f t="shared" si="5"/>
        <v>52.8</v>
      </c>
      <c r="AR87" s="47">
        <f t="shared" si="403"/>
        <v>14.3478260869565</v>
      </c>
      <c r="AS87" s="47">
        <f t="shared" si="404"/>
        <v>16.4347826086957</v>
      </c>
      <c r="AT87" s="47">
        <f t="shared" si="405"/>
        <v>16.4347826086957</v>
      </c>
      <c r="AU87" s="47">
        <f t="shared" si="406"/>
        <v>16.4347826086957</v>
      </c>
      <c r="AV87" s="47">
        <f t="shared" si="407"/>
        <v>16.4347826086957</v>
      </c>
      <c r="AW87" s="64">
        <f t="shared" si="408"/>
        <v>9.26086956521739</v>
      </c>
      <c r="AX87" s="69">
        <f t="shared" si="409"/>
        <v>80.0869565217393</v>
      </c>
      <c r="AY87" s="64" t="e">
        <f t="shared" si="13"/>
        <v>#REF!</v>
      </c>
      <c r="BB87" s="65" t="e">
        <f t="shared" si="410"/>
        <v>#REF!</v>
      </c>
      <c r="BD87" s="47" t="e">
        <f t="shared" si="411"/>
        <v>#REF!</v>
      </c>
      <c r="BE87" s="47" t="s">
        <v>350</v>
      </c>
      <c r="BF87" s="65" t="e">
        <f t="shared" si="412"/>
        <v>#REF!</v>
      </c>
      <c r="BG87" s="65">
        <f t="shared" si="413"/>
        <v>14.3478260869565</v>
      </c>
      <c r="BH87" s="65"/>
      <c r="BI87" s="65" t="e">
        <f t="shared" si="414"/>
        <v>#REF!</v>
      </c>
      <c r="BJ87" s="65">
        <f t="shared" si="415"/>
        <v>16.4347826086957</v>
      </c>
      <c r="BK87" s="65"/>
      <c r="BL87" s="65" t="e">
        <f t="shared" si="416"/>
        <v>#REF!</v>
      </c>
      <c r="BM87" s="65">
        <f t="shared" si="417"/>
        <v>16.4347826086957</v>
      </c>
      <c r="BN87" s="65"/>
      <c r="BO87" s="65" t="e">
        <f t="shared" si="418"/>
        <v>#REF!</v>
      </c>
      <c r="BP87" s="65">
        <f t="shared" si="419"/>
        <v>16.4347826086957</v>
      </c>
      <c r="BQ87" s="65"/>
      <c r="BR87" s="65" t="e">
        <f t="shared" si="420"/>
        <v>#REF!</v>
      </c>
      <c r="BS87" s="65">
        <f t="shared" si="421"/>
        <v>16.4347826086957</v>
      </c>
      <c r="BT87" s="65"/>
      <c r="BU87" s="65" t="e">
        <f t="shared" si="422"/>
        <v>#REF!</v>
      </c>
      <c r="BV87" s="47">
        <f t="shared" si="27"/>
        <v>9.26086956521739</v>
      </c>
      <c r="BX87" s="65" t="e">
        <f t="shared" si="28"/>
        <v>#REF!</v>
      </c>
    </row>
    <row r="88" ht="14.0">
      <c r="A88" s="93" t="s">
        <v>32</v>
      </c>
      <c r="B88" s="93" t="s">
        <v>153</v>
      </c>
      <c r="C88" s="93" t="s">
        <v>160</v>
      </c>
      <c r="D88" s="229">
        <v>40523.0</v>
      </c>
      <c r="E88" s="93">
        <v>0.0</v>
      </c>
      <c r="F88" s="93">
        <v>15.0</v>
      </c>
      <c r="G88" s="93">
        <v>15.0</v>
      </c>
      <c r="H88" s="93">
        <v>9.0</v>
      </c>
      <c r="I88" s="93">
        <v>9.0</v>
      </c>
      <c r="J88" s="93">
        <v>9.0</v>
      </c>
      <c r="K88" s="93">
        <v>3.0</v>
      </c>
      <c r="L88" s="93">
        <v>6.0</v>
      </c>
      <c r="M88" s="93">
        <v>27.0</v>
      </c>
      <c r="N88" s="93">
        <v>9.0</v>
      </c>
      <c r="O88" s="93">
        <v>9.0</v>
      </c>
      <c r="P88" s="93">
        <v>3.0</v>
      </c>
      <c r="Q88" s="93">
        <v>3.0</v>
      </c>
      <c r="R88" s="93">
        <v>18.0</v>
      </c>
      <c r="S88" s="93">
        <v>-3.0</v>
      </c>
      <c r="T88" s="93">
        <v>3.0</v>
      </c>
      <c r="U88" s="93">
        <v>6.0</v>
      </c>
      <c r="V88" s="93">
        <v>0.0</v>
      </c>
      <c r="W88" s="93">
        <v>3.0</v>
      </c>
      <c r="X88" s="93">
        <v>3.0</v>
      </c>
      <c r="Y88" s="93">
        <v>3.0</v>
      </c>
      <c r="Z88" s="93">
        <v>18.0</v>
      </c>
      <c r="AA88" s="93">
        <v>0.0</v>
      </c>
      <c r="AB88" s="93">
        <v>3.0</v>
      </c>
      <c r="AC88" s="93">
        <v>3.0</v>
      </c>
      <c r="AD88" s="93">
        <v>6.0</v>
      </c>
      <c r="AE88" s="93">
        <v>3.0</v>
      </c>
      <c r="AF88" s="93">
        <v>18.0</v>
      </c>
      <c r="AG88" s="93">
        <v>3.0</v>
      </c>
      <c r="AH88" s="93">
        <v>0.0</v>
      </c>
      <c r="AI88" s="93">
        <v>3.0</v>
      </c>
      <c r="AJ88" s="93">
        <v>3.0</v>
      </c>
      <c r="AK88" s="93">
        <v>3.0</v>
      </c>
      <c r="AL88" s="93">
        <v>9.0</v>
      </c>
      <c r="AM88" s="93">
        <v>3.0</v>
      </c>
      <c r="AN88" s="93">
        <v>0.0</v>
      </c>
      <c r="AO88" s="69">
        <f t="shared" si="3"/>
        <v>54.0</v>
      </c>
      <c r="AP88" s="69">
        <f t="shared" si="4"/>
        <v>21.0</v>
      </c>
      <c r="AQ88" s="69">
        <f t="shared" si="5"/>
        <v>23.1</v>
      </c>
      <c r="AR88" s="47">
        <f t="shared" si="403"/>
        <v>9.6521739130434</v>
      </c>
      <c r="AS88" s="47">
        <f t="shared" si="404"/>
        <v>10.5652173913043</v>
      </c>
      <c r="AT88" s="47">
        <f t="shared" si="405"/>
        <v>10.5652173913043</v>
      </c>
      <c r="AU88" s="47">
        <f t="shared" si="406"/>
        <v>10.5652173913043</v>
      </c>
      <c r="AV88" s="47">
        <f t="shared" si="407"/>
        <v>10.5652173913043</v>
      </c>
      <c r="AW88" s="64">
        <f t="shared" si="408"/>
        <v>5.7391304347826</v>
      </c>
      <c r="AX88" s="69">
        <f t="shared" si="409"/>
        <v>51.9130434782606</v>
      </c>
      <c r="AY88" s="64" t="e">
        <f t="shared" si="13"/>
        <v>#REF!</v>
      </c>
      <c r="BB88" s="65" t="e">
        <f t="shared" si="410"/>
        <v>#REF!</v>
      </c>
      <c r="BD88" s="47" t="e">
        <f t="shared" si="411"/>
        <v>#REF!</v>
      </c>
      <c r="BE88" s="47" t="s">
        <v>255</v>
      </c>
      <c r="BF88" s="65" t="e">
        <f t="shared" si="412"/>
        <v>#REF!</v>
      </c>
      <c r="BG88" s="65">
        <f t="shared" si="413"/>
        <v>9.6521739130434</v>
      </c>
      <c r="BH88" s="65"/>
      <c r="BI88" s="65" t="e">
        <f t="shared" si="414"/>
        <v>#REF!</v>
      </c>
      <c r="BJ88" s="65">
        <f t="shared" si="415"/>
        <v>10.5652173913043</v>
      </c>
      <c r="BK88" s="65"/>
      <c r="BL88" s="65" t="e">
        <f t="shared" si="416"/>
        <v>#REF!</v>
      </c>
      <c r="BM88" s="65">
        <f t="shared" si="417"/>
        <v>10.5652173913043</v>
      </c>
      <c r="BN88" s="65"/>
      <c r="BO88" s="65" t="e">
        <f t="shared" si="418"/>
        <v>#REF!</v>
      </c>
      <c r="BP88" s="65">
        <f t="shared" si="419"/>
        <v>10.5652173913043</v>
      </c>
      <c r="BQ88" s="65"/>
      <c r="BR88" s="65" t="e">
        <f t="shared" si="420"/>
        <v>#REF!</v>
      </c>
      <c r="BS88" s="65">
        <f t="shared" si="421"/>
        <v>10.5652173913043</v>
      </c>
      <c r="BT88" s="65"/>
      <c r="BU88" s="65" t="e">
        <f t="shared" si="422"/>
        <v>#REF!</v>
      </c>
      <c r="BV88" s="47">
        <f t="shared" si="27"/>
        <v>5.7391304347826</v>
      </c>
      <c r="BX88" s="65" t="e">
        <f t="shared" si="28"/>
        <v>#REF!</v>
      </c>
    </row>
    <row r="89" ht="14.0">
      <c r="A89" s="93" t="s">
        <v>32</v>
      </c>
      <c r="B89" s="93" t="s">
        <v>153</v>
      </c>
      <c r="C89" s="93" t="s">
        <v>161</v>
      </c>
      <c r="D89" s="229">
        <v>40533.0</v>
      </c>
      <c r="E89" s="93">
        <v>3.0</v>
      </c>
      <c r="F89" s="93">
        <v>15.0</v>
      </c>
      <c r="G89" s="93">
        <v>18.0</v>
      </c>
      <c r="H89" s="93">
        <v>21.0</v>
      </c>
      <c r="I89" s="93">
        <v>21.0</v>
      </c>
      <c r="J89" s="93">
        <v>9.0</v>
      </c>
      <c r="K89" s="93">
        <v>0.0</v>
      </c>
      <c r="L89" s="93">
        <v>12.0</v>
      </c>
      <c r="M89" s="93">
        <v>21.0</v>
      </c>
      <c r="N89" s="93">
        <v>3.0</v>
      </c>
      <c r="O89" s="93">
        <v>15.0</v>
      </c>
      <c r="P89" s="93">
        <v>15.0</v>
      </c>
      <c r="Q89" s="93">
        <v>15.0</v>
      </c>
      <c r="R89" s="93">
        <v>18.0</v>
      </c>
      <c r="S89" s="93">
        <v>4.0</v>
      </c>
      <c r="T89" s="93">
        <v>6.0</v>
      </c>
      <c r="U89" s="93">
        <v>3.0</v>
      </c>
      <c r="V89" s="93">
        <v>12.0</v>
      </c>
      <c r="W89" s="93">
        <v>12.0</v>
      </c>
      <c r="X89" s="93">
        <v>18.0</v>
      </c>
      <c r="Y89" s="93">
        <v>6.0</v>
      </c>
      <c r="Z89" s="93">
        <v>19.0</v>
      </c>
      <c r="AA89" s="93">
        <v>0.0</v>
      </c>
      <c r="AB89" s="93">
        <v>6.0</v>
      </c>
      <c r="AC89" s="93">
        <v>3.0</v>
      </c>
      <c r="AD89" s="93">
        <v>15.0</v>
      </c>
      <c r="AE89" s="93">
        <v>9.0</v>
      </c>
      <c r="AF89" s="93">
        <v>9.0</v>
      </c>
      <c r="AG89" s="93">
        <v>6.0</v>
      </c>
      <c r="AH89" s="93">
        <v>0.0</v>
      </c>
      <c r="AI89" s="93">
        <v>12.0</v>
      </c>
      <c r="AJ89" s="93">
        <v>6.0</v>
      </c>
      <c r="AK89" s="93">
        <v>3.0</v>
      </c>
      <c r="AL89" s="93">
        <v>3.0</v>
      </c>
      <c r="AM89" s="93">
        <v>6.0</v>
      </c>
      <c r="AN89" s="93">
        <v>12.0</v>
      </c>
      <c r="AO89" s="69">
        <f t="shared" si="3"/>
        <v>84.0</v>
      </c>
      <c r="AP89" s="69">
        <f t="shared" si="4"/>
        <v>42.0</v>
      </c>
      <c r="AQ89" s="69">
        <f t="shared" si="5"/>
        <v>46.2</v>
      </c>
      <c r="AR89" s="47">
        <f t="shared" si="403"/>
        <v>13.304347826087</v>
      </c>
      <c r="AS89" s="47">
        <f t="shared" si="404"/>
        <v>15.1304347826087</v>
      </c>
      <c r="AT89" s="47">
        <f t="shared" si="405"/>
        <v>15.1304347826087</v>
      </c>
      <c r="AU89" s="47">
        <f t="shared" si="406"/>
        <v>15.1304347826087</v>
      </c>
      <c r="AV89" s="47">
        <f t="shared" si="407"/>
        <v>15.1304347826087</v>
      </c>
      <c r="AW89" s="64">
        <f t="shared" si="408"/>
        <v>8.47826086956521</v>
      </c>
      <c r="AX89" s="69">
        <f t="shared" si="409"/>
        <v>73.8260869565218</v>
      </c>
      <c r="AY89" s="64" t="e">
        <f t="shared" si="13"/>
        <v>#REF!</v>
      </c>
      <c r="BB89" s="65" t="e">
        <f t="shared" si="410"/>
        <v>#REF!</v>
      </c>
      <c r="BD89" s="47" t="e">
        <f t="shared" si="411"/>
        <v>#REF!</v>
      </c>
      <c r="BE89" s="47" t="s">
        <v>355</v>
      </c>
      <c r="BF89" s="65" t="e">
        <f t="shared" si="412"/>
        <v>#REF!</v>
      </c>
      <c r="BG89" s="65">
        <f t="shared" si="413"/>
        <v>13.304347826087</v>
      </c>
      <c r="BH89" s="65"/>
      <c r="BI89" s="65" t="e">
        <f t="shared" si="414"/>
        <v>#REF!</v>
      </c>
      <c r="BJ89" s="65">
        <f t="shared" si="415"/>
        <v>15.1304347826087</v>
      </c>
      <c r="BK89" s="65"/>
      <c r="BL89" s="65" t="e">
        <f t="shared" si="416"/>
        <v>#REF!</v>
      </c>
      <c r="BM89" s="65">
        <f t="shared" si="417"/>
        <v>15.1304347826087</v>
      </c>
      <c r="BN89" s="65"/>
      <c r="BO89" s="65" t="e">
        <f t="shared" si="418"/>
        <v>#REF!</v>
      </c>
      <c r="BP89" s="65">
        <f t="shared" si="419"/>
        <v>15.1304347826087</v>
      </c>
      <c r="BQ89" s="65"/>
      <c r="BR89" s="65" t="e">
        <f t="shared" si="420"/>
        <v>#REF!</v>
      </c>
      <c r="BS89" s="65">
        <f t="shared" si="421"/>
        <v>15.1304347826087</v>
      </c>
      <c r="BT89" s="65"/>
      <c r="BU89" s="65" t="e">
        <f t="shared" si="422"/>
        <v>#REF!</v>
      </c>
      <c r="BV89" s="47">
        <f t="shared" si="27"/>
        <v>8.47826086956521</v>
      </c>
      <c r="BX89" s="65" t="e">
        <f t="shared" si="28"/>
        <v>#REF!</v>
      </c>
    </row>
    <row r="90" ht="14.0">
      <c r="A90" s="93" t="s">
        <v>32</v>
      </c>
      <c r="B90" s="93" t="s">
        <v>153</v>
      </c>
      <c r="C90" s="93" t="s">
        <v>162</v>
      </c>
      <c r="D90" s="229">
        <v>40534.0</v>
      </c>
      <c r="E90" s="93">
        <v>0.0</v>
      </c>
      <c r="F90" s="93">
        <v>0.0</v>
      </c>
      <c r="G90" s="93">
        <v>0.0</v>
      </c>
      <c r="H90" s="93">
        <v>0.0</v>
      </c>
      <c r="I90" s="93">
        <v>0.0</v>
      </c>
      <c r="J90" s="93">
        <v>0.0</v>
      </c>
      <c r="K90" s="93">
        <v>12.0</v>
      </c>
      <c r="L90" s="93">
        <v>18.0</v>
      </c>
      <c r="M90" s="93">
        <v>0.0</v>
      </c>
      <c r="N90" s="93">
        <v>3.0</v>
      </c>
      <c r="O90" s="93">
        <v>6.0</v>
      </c>
      <c r="P90" s="93">
        <v>15.0</v>
      </c>
      <c r="Q90" s="93">
        <v>9.0</v>
      </c>
      <c r="R90" s="93">
        <v>15.0</v>
      </c>
      <c r="S90" s="93">
        <v>9.0</v>
      </c>
      <c r="T90" s="93">
        <v>9.0</v>
      </c>
      <c r="U90" s="93">
        <v>3.0</v>
      </c>
      <c r="V90" s="93">
        <v>12.0</v>
      </c>
      <c r="W90" s="93">
        <v>9.0</v>
      </c>
      <c r="X90" s="93">
        <v>3.0</v>
      </c>
      <c r="Y90" s="93">
        <v>9.0</v>
      </c>
      <c r="Z90" s="93">
        <v>15.0</v>
      </c>
      <c r="AA90" s="93">
        <v>3.0</v>
      </c>
      <c r="AB90" s="93">
        <v>9.0</v>
      </c>
      <c r="AC90" s="93">
        <v>6.0</v>
      </c>
      <c r="AD90" s="93">
        <v>6.0</v>
      </c>
      <c r="AE90" s="93">
        <v>3.0</v>
      </c>
      <c r="AF90" s="93">
        <v>3.0</v>
      </c>
      <c r="AG90" s="93">
        <v>6.0</v>
      </c>
      <c r="AH90" s="93">
        <v>0.0</v>
      </c>
      <c r="AI90" s="93">
        <v>9.0</v>
      </c>
      <c r="AJ90" s="93">
        <v>6.0</v>
      </c>
      <c r="AK90" s="93">
        <v>3.0</v>
      </c>
      <c r="AL90" s="93">
        <v>3.0</v>
      </c>
      <c r="AM90" s="93">
        <v>0.0</v>
      </c>
      <c r="AN90" s="93">
        <v>0.0</v>
      </c>
      <c r="AO90" s="69">
        <f t="shared" si="3"/>
        <v>45.0</v>
      </c>
      <c r="AP90" s="69">
        <f t="shared" si="4"/>
        <v>21.0</v>
      </c>
      <c r="AQ90" s="69">
        <f t="shared" si="5"/>
        <v>23.1</v>
      </c>
      <c r="AR90" s="47">
        <f t="shared" si="403"/>
        <v>9.6521739130434</v>
      </c>
      <c r="AS90" s="47">
        <f t="shared" si="404"/>
        <v>10.5652173913043</v>
      </c>
      <c r="AT90" s="47">
        <f t="shared" si="405"/>
        <v>10.5652173913043</v>
      </c>
      <c r="AU90" s="47">
        <f t="shared" si="406"/>
        <v>10.5652173913043</v>
      </c>
      <c r="AV90" s="47">
        <f t="shared" si="407"/>
        <v>10.5652173913043</v>
      </c>
      <c r="AW90" s="64">
        <f t="shared" si="408"/>
        <v>5.7391304347826</v>
      </c>
      <c r="AX90" s="69">
        <f t="shared" si="409"/>
        <v>51.9130434782606</v>
      </c>
      <c r="AY90" s="64" t="e">
        <f t="shared" si="13"/>
        <v>#REF!</v>
      </c>
      <c r="BB90" s="65" t="e">
        <f t="shared" si="410"/>
        <v>#REF!</v>
      </c>
      <c r="BD90" s="47" t="e">
        <f t="shared" si="411"/>
        <v>#REF!</v>
      </c>
      <c r="BE90" s="47" t="s">
        <v>255</v>
      </c>
      <c r="BF90" s="65" t="e">
        <f t="shared" si="412"/>
        <v>#REF!</v>
      </c>
      <c r="BG90" s="65">
        <f t="shared" si="413"/>
        <v>9.6521739130434</v>
      </c>
      <c r="BH90" s="65"/>
      <c r="BI90" s="65" t="e">
        <f t="shared" si="414"/>
        <v>#REF!</v>
      </c>
      <c r="BJ90" s="65">
        <f t="shared" si="415"/>
        <v>10.5652173913043</v>
      </c>
      <c r="BK90" s="65"/>
      <c r="BL90" s="65" t="e">
        <f t="shared" si="416"/>
        <v>#REF!</v>
      </c>
      <c r="BM90" s="65">
        <f t="shared" si="417"/>
        <v>10.5652173913043</v>
      </c>
      <c r="BN90" s="65"/>
      <c r="BO90" s="65" t="e">
        <f t="shared" si="418"/>
        <v>#REF!</v>
      </c>
      <c r="BP90" s="65">
        <f t="shared" si="419"/>
        <v>10.5652173913043</v>
      </c>
      <c r="BQ90" s="65"/>
      <c r="BR90" s="65" t="e">
        <f t="shared" si="420"/>
        <v>#REF!</v>
      </c>
      <c r="BS90" s="65">
        <f t="shared" si="421"/>
        <v>10.5652173913043</v>
      </c>
      <c r="BT90" s="65"/>
      <c r="BU90" s="65" t="e">
        <f t="shared" si="422"/>
        <v>#REF!</v>
      </c>
      <c r="BV90" s="47">
        <f t="shared" si="27"/>
        <v>5.7391304347826</v>
      </c>
      <c r="BX90" s="65" t="e">
        <f t="shared" si="28"/>
        <v>#REF!</v>
      </c>
    </row>
    <row r="91" ht="14.0">
      <c r="A91" s="93" t="s">
        <v>32</v>
      </c>
      <c r="B91" s="93" t="s">
        <v>153</v>
      </c>
      <c r="C91" s="93" t="s">
        <v>156</v>
      </c>
      <c r="D91" s="229" t="s">
        <v>157</v>
      </c>
      <c r="E91" s="93">
        <v>0.0</v>
      </c>
      <c r="F91" s="93">
        <v>0.0</v>
      </c>
      <c r="G91" s="93">
        <v>0.0</v>
      </c>
      <c r="H91" s="93">
        <v>0.0</v>
      </c>
      <c r="I91" s="93">
        <v>1.0</v>
      </c>
      <c r="J91" s="93">
        <v>0.0</v>
      </c>
      <c r="K91" s="93">
        <v>0.0</v>
      </c>
      <c r="L91" s="93">
        <v>0.0</v>
      </c>
      <c r="M91" s="93">
        <v>1.0</v>
      </c>
      <c r="N91" s="93">
        <v>0.0</v>
      </c>
      <c r="O91" s="93">
        <v>0.0</v>
      </c>
      <c r="P91" s="93">
        <v>0.0</v>
      </c>
      <c r="Q91" s="93">
        <v>1.0</v>
      </c>
      <c r="R91" s="93">
        <v>0.0</v>
      </c>
      <c r="S91" s="93">
        <v>0.0</v>
      </c>
      <c r="T91" s="93">
        <v>0.0</v>
      </c>
      <c r="U91" s="93">
        <v>0.0</v>
      </c>
      <c r="V91" s="93">
        <v>0.0</v>
      </c>
      <c r="W91" s="93">
        <v>1.0</v>
      </c>
      <c r="X91" s="93">
        <v>0.0</v>
      </c>
      <c r="Y91" s="93">
        <v>0.0</v>
      </c>
      <c r="Z91" s="93">
        <v>0.0</v>
      </c>
      <c r="AA91" s="93">
        <v>1.0</v>
      </c>
      <c r="AB91" s="93">
        <v>0.0</v>
      </c>
      <c r="AC91" s="93">
        <v>0.0</v>
      </c>
      <c r="AD91" s="93">
        <v>0.0</v>
      </c>
      <c r="AE91" s="93">
        <v>0.0</v>
      </c>
      <c r="AF91" s="93">
        <v>0.0</v>
      </c>
      <c r="AG91" s="93">
        <v>0.0</v>
      </c>
      <c r="AH91" s="93">
        <v>0.0</v>
      </c>
      <c r="AI91" s="93">
        <v>0.0</v>
      </c>
      <c r="AJ91" s="93">
        <v>0.0</v>
      </c>
      <c r="AK91" s="93">
        <v>0.0</v>
      </c>
      <c r="AL91" s="93">
        <v>0.0</v>
      </c>
      <c r="AM91" s="93">
        <v>0.0</v>
      </c>
      <c r="AN91" s="93">
        <v>0.0</v>
      </c>
      <c r="AO91" s="69">
        <f t="shared" si="3"/>
        <v>0.0</v>
      </c>
      <c r="AP91" s="69">
        <f t="shared" si="4"/>
        <v>0.0</v>
      </c>
      <c r="AQ91" s="69">
        <f t="shared" si="5"/>
        <v>0.0</v>
      </c>
      <c r="AR91" s="47">
        <f>AR92</f>
        <v>2.0</v>
      </c>
      <c r="AS91" s="47">
        <f>AS92</f>
        <v>2.0</v>
      </c>
      <c r="AT91" s="47">
        <f>AT92</f>
        <v>2.0</v>
      </c>
      <c r="AU91" s="47">
        <f>AU92</f>
        <v>2.0</v>
      </c>
      <c r="AV91" s="47">
        <f>AV92</f>
        <v>2.0</v>
      </c>
      <c r="AW91" s="47">
        <f>AW92</f>
        <v>1.0</v>
      </c>
      <c r="AX91" s="69">
        <f t="shared" si="409"/>
        <v>10.0</v>
      </c>
      <c r="AY91" s="64" t="e">
        <f t="shared" si="13"/>
        <v>#REF!</v>
      </c>
      <c r="BB91" s="65" t="e">
        <f t="shared" si="410"/>
        <v>#REF!</v>
      </c>
      <c r="BD91" s="47" t="e">
        <f t="shared" si="411"/>
        <v>#REF!</v>
      </c>
      <c r="BE91" s="47" t="s">
        <v>355</v>
      </c>
      <c r="BF91" s="65" t="e">
        <f t="shared" si="412"/>
        <v>#REF!</v>
      </c>
      <c r="BG91" s="65">
        <f t="shared" si="413"/>
        <v>2.0</v>
      </c>
      <c r="BH91" s="65"/>
      <c r="BI91" s="65" t="e">
        <f t="shared" si="414"/>
        <v>#REF!</v>
      </c>
      <c r="BJ91" s="65">
        <f t="shared" si="415"/>
        <v>2.0</v>
      </c>
      <c r="BK91" s="65"/>
      <c r="BL91" s="65" t="e">
        <f t="shared" si="416"/>
        <v>#REF!</v>
      </c>
      <c r="BM91" s="65">
        <f t="shared" si="417"/>
        <v>2.0</v>
      </c>
      <c r="BN91" s="65"/>
      <c r="BO91" s="65" t="e">
        <f t="shared" si="418"/>
        <v>#REF!</v>
      </c>
      <c r="BP91" s="65">
        <f t="shared" si="419"/>
        <v>2.0</v>
      </c>
      <c r="BQ91" s="65"/>
      <c r="BR91" s="65" t="e">
        <f t="shared" si="420"/>
        <v>#REF!</v>
      </c>
      <c r="BS91" s="65">
        <f t="shared" si="421"/>
        <v>2.0</v>
      </c>
      <c r="BT91" s="65"/>
      <c r="BU91" s="65" t="e">
        <f t="shared" si="422"/>
        <v>#REF!</v>
      </c>
      <c r="BV91" s="47">
        <f t="shared" si="27"/>
        <v>1.0</v>
      </c>
      <c r="BX91" s="65" t="e">
        <f t="shared" si="28"/>
        <v>#REF!</v>
      </c>
    </row>
    <row r="92" ht="14.0">
      <c r="A92" s="93" t="s">
        <v>32</v>
      </c>
      <c r="B92" s="93" t="s">
        <v>153</v>
      </c>
      <c r="C92" s="93" t="s">
        <v>154</v>
      </c>
      <c r="D92" s="229" t="s">
        <v>155</v>
      </c>
      <c r="E92" s="93">
        <v>8.0</v>
      </c>
      <c r="F92" s="93">
        <v>7.0</v>
      </c>
      <c r="G92" s="93">
        <v>8.0</v>
      </c>
      <c r="H92" s="93">
        <v>2.0</v>
      </c>
      <c r="I92" s="93">
        <v>2.0</v>
      </c>
      <c r="J92" s="93">
        <v>1.0</v>
      </c>
      <c r="K92" s="93">
        <v>5.0</v>
      </c>
      <c r="L92" s="93">
        <v>6.0</v>
      </c>
      <c r="M92" s="93">
        <v>3.0</v>
      </c>
      <c r="N92" s="93">
        <v>8.0</v>
      </c>
      <c r="O92" s="93">
        <v>3.0</v>
      </c>
      <c r="P92" s="93">
        <v>1.0</v>
      </c>
      <c r="Q92" s="93">
        <v>9.0</v>
      </c>
      <c r="R92" s="93">
        <v>5.0</v>
      </c>
      <c r="S92" s="93">
        <v>12.0</v>
      </c>
      <c r="T92" s="93">
        <v>11.0</v>
      </c>
      <c r="U92" s="93">
        <v>4.0</v>
      </c>
      <c r="V92" s="93">
        <v>5.0</v>
      </c>
      <c r="W92" s="93">
        <v>4.0</v>
      </c>
      <c r="X92" s="93">
        <v>10.0</v>
      </c>
      <c r="Y92" s="93">
        <v>7.0</v>
      </c>
      <c r="Z92" s="93">
        <v>1.0</v>
      </c>
      <c r="AA92" s="93">
        <v>2.0</v>
      </c>
      <c r="AB92" s="93">
        <v>3.0</v>
      </c>
      <c r="AC92" s="93">
        <v>3.0</v>
      </c>
      <c r="AD92" s="93">
        <v>8.0</v>
      </c>
      <c r="AE92" s="93">
        <v>4.0</v>
      </c>
      <c r="AF92" s="93">
        <v>2.0</v>
      </c>
      <c r="AG92" s="93">
        <v>1.0</v>
      </c>
      <c r="AH92" s="93">
        <v>4.0</v>
      </c>
      <c r="AI92" s="93">
        <v>2.0</v>
      </c>
      <c r="AJ92" s="93">
        <v>3.0</v>
      </c>
      <c r="AK92" s="93">
        <v>0.0</v>
      </c>
      <c r="AL92" s="93">
        <v>0.0</v>
      </c>
      <c r="AM92" s="93">
        <v>0.0</v>
      </c>
      <c r="AN92" s="93">
        <v>4.0</v>
      </c>
      <c r="AO92" s="69">
        <f t="shared" si="3"/>
        <v>31.0</v>
      </c>
      <c r="AP92" s="69">
        <f t="shared" si="4"/>
        <v>9.0</v>
      </c>
      <c r="AQ92" s="69">
        <f t="shared" si="5"/>
        <v>9.9</v>
      </c>
      <c r="AR92" s="235">
        <v>2.0</v>
      </c>
      <c r="AS92" s="235">
        <v>2.0</v>
      </c>
      <c r="AT92" s="235">
        <v>2.0</v>
      </c>
      <c r="AU92" s="235">
        <v>2.0</v>
      </c>
      <c r="AV92" s="235">
        <v>2.0</v>
      </c>
      <c r="AW92" s="235">
        <v>1.0</v>
      </c>
      <c r="AX92" s="69">
        <f>SUM(AR92:AW92)</f>
        <v>11.0</v>
      </c>
      <c r="AY92" s="64" t="e">
        <f t="shared" si="13"/>
        <v>#REF!</v>
      </c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47">
        <f t="shared" si="27"/>
        <v>1.0</v>
      </c>
      <c r="BX92" s="65">
        <f t="shared" si="28"/>
        <v>-1.0</v>
      </c>
    </row>
    <row r="93" ht="14.0">
      <c r="A93" s="93" t="s">
        <v>32</v>
      </c>
      <c r="B93" s="93" t="s">
        <v>163</v>
      </c>
      <c r="C93" s="93" t="s">
        <v>164</v>
      </c>
      <c r="D93" s="229">
        <v>40402.0</v>
      </c>
      <c r="E93" s="93">
        <v>22.0</v>
      </c>
      <c r="F93" s="93">
        <v>16.0</v>
      </c>
      <c r="G93" s="93">
        <v>34.0</v>
      </c>
      <c r="H93" s="93">
        <v>26.0</v>
      </c>
      <c r="I93" s="93">
        <v>24.0</v>
      </c>
      <c r="J93" s="93">
        <v>27.0</v>
      </c>
      <c r="K93" s="93">
        <v>16.0</v>
      </c>
      <c r="L93" s="93">
        <v>24.0</v>
      </c>
      <c r="M93" s="93">
        <v>28.0</v>
      </c>
      <c r="N93" s="93">
        <v>24.0</v>
      </c>
      <c r="O93" s="93">
        <v>18.0</v>
      </c>
      <c r="P93" s="93">
        <v>10.0</v>
      </c>
      <c r="Q93" s="93">
        <v>31.0</v>
      </c>
      <c r="R93" s="93">
        <v>21.0</v>
      </c>
      <c r="S93" s="93">
        <v>25.0</v>
      </c>
      <c r="T93" s="93">
        <v>42.0</v>
      </c>
      <c r="U93" s="93">
        <v>21.0</v>
      </c>
      <c r="V93" s="93">
        <v>12.0</v>
      </c>
      <c r="W93" s="93">
        <v>22.0</v>
      </c>
      <c r="X93" s="93">
        <v>21.0</v>
      </c>
      <c r="Y93" s="93">
        <v>21.0</v>
      </c>
      <c r="Z93" s="93">
        <v>22.0</v>
      </c>
      <c r="AA93" s="93">
        <v>20.0</v>
      </c>
      <c r="AB93" s="93">
        <v>10.0</v>
      </c>
      <c r="AC93" s="93">
        <v>12.0</v>
      </c>
      <c r="AD93" s="93">
        <v>45.0</v>
      </c>
      <c r="AE93" s="93">
        <v>27.0</v>
      </c>
      <c r="AF93" s="93">
        <v>33.0</v>
      </c>
      <c r="AG93" s="93">
        <v>21.0</v>
      </c>
      <c r="AH93" s="93">
        <v>12.0</v>
      </c>
      <c r="AI93" s="93">
        <v>27.0</v>
      </c>
      <c r="AJ93" s="93">
        <v>15.0</v>
      </c>
      <c r="AK93" s="93">
        <v>3.0</v>
      </c>
      <c r="AL93" s="93">
        <v>30.0</v>
      </c>
      <c r="AM93" s="93">
        <v>18.0</v>
      </c>
      <c r="AN93" s="93">
        <v>6.0</v>
      </c>
      <c r="AO93" s="69">
        <f t="shared" si="3"/>
        <v>249.0</v>
      </c>
      <c r="AP93" s="69">
        <f t="shared" si="4"/>
        <v>99.0</v>
      </c>
      <c r="AQ93" s="69">
        <f t="shared" si="5"/>
        <v>108.9</v>
      </c>
      <c r="AR93" s="47">
        <f t="shared" ref="AR93:AR100" si="430">AQ93*$AR$4/$AQ$4</f>
        <v>17.2173913043478</v>
      </c>
      <c r="AS93" s="47">
        <f t="shared" ref="AS93:AS100" si="431">AQ93*$AS$4/$AQ$4</f>
        <v>21.5217391304348</v>
      </c>
      <c r="AT93" s="47">
        <f t="shared" ref="AT93:AT100" si="432">AQ93*$AT$4/$AQ$4</f>
        <v>21.5217391304348</v>
      </c>
      <c r="AU93" s="47">
        <f t="shared" ref="AU93:AU100" si="433">AQ93*$AU$4/$AQ$4</f>
        <v>21.5217391304348</v>
      </c>
      <c r="AV93" s="47">
        <f t="shared" ref="AV93:AV100" si="434">AQ93*$AV$4/$AQ$4</f>
        <v>21.5217391304348</v>
      </c>
      <c r="AW93" s="64">
        <f t="shared" ref="AW93:AW100" si="435">AQ93*$AW$4/$AQ$4</f>
        <v>12.9130434782609</v>
      </c>
      <c r="AX93" s="69">
        <f t="shared" ref="AX93:AX100" si="436">SUM(AR93:AV93)</f>
        <v>103.304347826087</v>
      </c>
      <c r="AY93" s="64" t="e">
        <f t="shared" si="13"/>
        <v>#REF!</v>
      </c>
      <c r="BB93" s="65" t="e">
        <f t="shared" ref="BB93:BB100" si="437">AY93+AZ93+BA93-AX93</f>
        <v>#REF!</v>
      </c>
      <c r="BD93" s="47" t="e">
        <f t="shared" ref="BD93:BD100" si="438">BB93*-1</f>
        <v>#REF!</v>
      </c>
      <c r="BE93" s="47" t="s">
        <v>255</v>
      </c>
      <c r="BF93" s="65" t="e">
        <f t="shared" ref="BF93:BF100" si="439">AY93</f>
        <v>#REF!</v>
      </c>
      <c r="BG93" s="65">
        <f t="shared" ref="BG93:BG100" si="440">AR93</f>
        <v>17.2173913043478</v>
      </c>
      <c r="BH93" s="65"/>
      <c r="BI93" s="65" t="e">
        <f t="shared" ref="BI93:BI100" si="441">BF93+BH93-BG93</f>
        <v>#REF!</v>
      </c>
      <c r="BJ93" s="65">
        <f t="shared" ref="BJ93:BJ100" si="442">AS93</f>
        <v>21.5217391304348</v>
      </c>
      <c r="BK93" s="65"/>
      <c r="BL93" s="65" t="e">
        <f t="shared" ref="BL93:BL100" si="443">BI93+BK93-BJ93</f>
        <v>#REF!</v>
      </c>
      <c r="BM93" s="65">
        <f t="shared" ref="BM93:BM100" si="444">AT93</f>
        <v>21.5217391304348</v>
      </c>
      <c r="BN93" s="65"/>
      <c r="BO93" s="65" t="e">
        <f t="shared" ref="BO93:BO100" si="445">BL93+BN93-BM93</f>
        <v>#REF!</v>
      </c>
      <c r="BP93" s="65">
        <f t="shared" ref="BP93:BP100" si="446">AU93</f>
        <v>21.5217391304348</v>
      </c>
      <c r="BQ93" s="65"/>
      <c r="BR93" s="65" t="e">
        <f t="shared" ref="BR93:BR100" si="447">BO93+BQ93-BP93</f>
        <v>#REF!</v>
      </c>
      <c r="BS93" s="65">
        <f t="shared" ref="BS93:BS100" si="448">AV93</f>
        <v>21.5217391304348</v>
      </c>
      <c r="BT93" s="65"/>
      <c r="BU93" s="65" t="e">
        <f t="shared" ref="BU93:BU100" si="449">BR93+BT93-BS93</f>
        <v>#REF!</v>
      </c>
      <c r="BV93" s="47">
        <f t="shared" si="27"/>
        <v>12.9130434782609</v>
      </c>
      <c r="BX93" s="65" t="e">
        <f t="shared" si="28"/>
        <v>#REF!</v>
      </c>
    </row>
    <row r="94" ht="14.0">
      <c r="A94" s="93" t="s">
        <v>32</v>
      </c>
      <c r="B94" s="93" t="s">
        <v>163</v>
      </c>
      <c r="C94" s="93" t="s">
        <v>165</v>
      </c>
      <c r="D94" s="229">
        <v>40403.0</v>
      </c>
      <c r="E94" s="93">
        <v>24.0</v>
      </c>
      <c r="F94" s="93">
        <v>33.0</v>
      </c>
      <c r="G94" s="93">
        <v>30.0</v>
      </c>
      <c r="H94" s="93">
        <v>23.0</v>
      </c>
      <c r="I94" s="93">
        <v>21.0</v>
      </c>
      <c r="J94" s="93">
        <v>18.0</v>
      </c>
      <c r="K94" s="93">
        <v>17.0</v>
      </c>
      <c r="L94" s="93">
        <v>23.0</v>
      </c>
      <c r="M94" s="93">
        <v>26.0</v>
      </c>
      <c r="N94" s="93">
        <v>13.0</v>
      </c>
      <c r="O94" s="93">
        <v>22.0</v>
      </c>
      <c r="P94" s="93">
        <v>25.0</v>
      </c>
      <c r="Q94" s="93">
        <v>23.0</v>
      </c>
      <c r="R94" s="93">
        <v>30.0</v>
      </c>
      <c r="S94" s="93">
        <v>26.0</v>
      </c>
      <c r="T94" s="93">
        <v>36.0</v>
      </c>
      <c r="U94" s="93">
        <v>18.0</v>
      </c>
      <c r="V94" s="93">
        <v>20.0</v>
      </c>
      <c r="W94" s="93">
        <v>19.0</v>
      </c>
      <c r="X94" s="93">
        <v>33.0</v>
      </c>
      <c r="Y94" s="93">
        <v>25.0</v>
      </c>
      <c r="Z94" s="93">
        <v>35.0</v>
      </c>
      <c r="AA94" s="93">
        <v>24.0</v>
      </c>
      <c r="AB94" s="93">
        <v>18.0</v>
      </c>
      <c r="AC94" s="93">
        <v>15.0</v>
      </c>
      <c r="AD94" s="93">
        <v>57.0</v>
      </c>
      <c r="AE94" s="93">
        <v>33.0</v>
      </c>
      <c r="AF94" s="93">
        <v>30.0</v>
      </c>
      <c r="AG94" s="93">
        <v>33.0</v>
      </c>
      <c r="AH94" s="93">
        <v>27.0</v>
      </c>
      <c r="AI94" s="93">
        <v>27.0</v>
      </c>
      <c r="AJ94" s="93">
        <v>24.0</v>
      </c>
      <c r="AK94" s="93">
        <v>21.0</v>
      </c>
      <c r="AL94" s="93">
        <v>24.0</v>
      </c>
      <c r="AM94" s="93">
        <v>18.0</v>
      </c>
      <c r="AN94" s="93">
        <v>21.0</v>
      </c>
      <c r="AO94" s="69">
        <f t="shared" si="3"/>
        <v>330.0</v>
      </c>
      <c r="AP94" s="69">
        <f t="shared" si="4"/>
        <v>135.0</v>
      </c>
      <c r="AQ94" s="69">
        <f t="shared" si="5"/>
        <v>148.5</v>
      </c>
      <c r="AR94" s="47">
        <f t="shared" si="430"/>
        <v>23.4782608695652</v>
      </c>
      <c r="AS94" s="47">
        <f t="shared" si="431"/>
        <v>29.3478260869565</v>
      </c>
      <c r="AT94" s="47">
        <f t="shared" si="432"/>
        <v>29.3478260869565</v>
      </c>
      <c r="AU94" s="47">
        <f t="shared" si="433"/>
        <v>29.3478260869565</v>
      </c>
      <c r="AV94" s="47">
        <f t="shared" si="434"/>
        <v>29.3478260869565</v>
      </c>
      <c r="AW94" s="64">
        <f t="shared" si="435"/>
        <v>17.6086956521739</v>
      </c>
      <c r="AX94" s="69">
        <f t="shared" si="436"/>
        <v>140.869565217391</v>
      </c>
      <c r="AY94" s="64" t="e">
        <f t="shared" si="13"/>
        <v>#REF!</v>
      </c>
      <c r="BB94" s="65" t="e">
        <f t="shared" si="437"/>
        <v>#REF!</v>
      </c>
      <c r="BD94" s="47" t="e">
        <f t="shared" si="438"/>
        <v>#REF!</v>
      </c>
      <c r="BE94" s="47" t="s">
        <v>255</v>
      </c>
      <c r="BF94" s="65" t="e">
        <f t="shared" si="439"/>
        <v>#REF!</v>
      </c>
      <c r="BG94" s="65">
        <f t="shared" si="440"/>
        <v>23.4782608695652</v>
      </c>
      <c r="BH94" s="65"/>
      <c r="BI94" s="65" t="e">
        <f t="shared" si="441"/>
        <v>#REF!</v>
      </c>
      <c r="BJ94" s="65">
        <f t="shared" si="442"/>
        <v>29.3478260869565</v>
      </c>
      <c r="BK94" s="65"/>
      <c r="BL94" s="65" t="e">
        <f t="shared" si="443"/>
        <v>#REF!</v>
      </c>
      <c r="BM94" s="65">
        <f t="shared" si="444"/>
        <v>29.3478260869565</v>
      </c>
      <c r="BN94" s="65"/>
      <c r="BO94" s="65" t="e">
        <f t="shared" si="445"/>
        <v>#REF!</v>
      </c>
      <c r="BP94" s="65">
        <f t="shared" si="446"/>
        <v>29.3478260869565</v>
      </c>
      <c r="BQ94" s="65"/>
      <c r="BR94" s="65" t="e">
        <f t="shared" si="447"/>
        <v>#REF!</v>
      </c>
      <c r="BS94" s="65">
        <f t="shared" si="448"/>
        <v>29.3478260869565</v>
      </c>
      <c r="BT94" s="65"/>
      <c r="BU94" s="65" t="e">
        <f t="shared" si="449"/>
        <v>#REF!</v>
      </c>
      <c r="BV94" s="47">
        <f t="shared" si="27"/>
        <v>17.6086956521739</v>
      </c>
      <c r="BX94" s="65" t="e">
        <f t="shared" si="28"/>
        <v>#REF!</v>
      </c>
    </row>
    <row r="95" ht="14.0">
      <c r="A95" s="93" t="s">
        <v>32</v>
      </c>
      <c r="B95" s="93" t="s">
        <v>163</v>
      </c>
      <c r="C95" s="93" t="s">
        <v>166</v>
      </c>
      <c r="D95" s="229">
        <v>40404.0</v>
      </c>
      <c r="E95" s="93">
        <v>15.0</v>
      </c>
      <c r="F95" s="93">
        <v>21.0</v>
      </c>
      <c r="G95" s="93">
        <v>27.0</v>
      </c>
      <c r="H95" s="93">
        <v>-6.0</v>
      </c>
      <c r="I95" s="93">
        <v>34.0</v>
      </c>
      <c r="J95" s="93">
        <v>18.0</v>
      </c>
      <c r="K95" s="93">
        <v>15.0</v>
      </c>
      <c r="L95" s="93">
        <v>19.0</v>
      </c>
      <c r="M95" s="93">
        <v>18.0</v>
      </c>
      <c r="N95" s="93">
        <v>9.0</v>
      </c>
      <c r="O95" s="93">
        <v>13.0</v>
      </c>
      <c r="P95" s="93">
        <v>19.0</v>
      </c>
      <c r="Q95" s="93">
        <v>24.0</v>
      </c>
      <c r="R95" s="93">
        <v>27.0</v>
      </c>
      <c r="S95" s="93">
        <v>24.0</v>
      </c>
      <c r="T95" s="93">
        <v>30.0</v>
      </c>
      <c r="U95" s="93">
        <v>21.0</v>
      </c>
      <c r="V95" s="93">
        <v>9.0</v>
      </c>
      <c r="W95" s="93">
        <v>15.0</v>
      </c>
      <c r="X95" s="93">
        <v>12.0</v>
      </c>
      <c r="Y95" s="93">
        <v>15.0</v>
      </c>
      <c r="Z95" s="93">
        <v>24.0</v>
      </c>
      <c r="AA95" s="93">
        <v>15.0</v>
      </c>
      <c r="AB95" s="93">
        <v>9.0</v>
      </c>
      <c r="AC95" s="93">
        <v>9.0</v>
      </c>
      <c r="AD95" s="93">
        <v>30.0</v>
      </c>
      <c r="AE95" s="93">
        <v>33.0</v>
      </c>
      <c r="AF95" s="93">
        <v>27.0</v>
      </c>
      <c r="AG95" s="93">
        <v>24.0</v>
      </c>
      <c r="AH95" s="93">
        <v>12.0</v>
      </c>
      <c r="AI95" s="93">
        <v>15.0</v>
      </c>
      <c r="AJ95" s="93">
        <v>9.0</v>
      </c>
      <c r="AK95" s="93">
        <v>15.0</v>
      </c>
      <c r="AL95" s="93">
        <v>18.0</v>
      </c>
      <c r="AM95" s="93">
        <v>18.0</v>
      </c>
      <c r="AN95" s="93">
        <v>12.0</v>
      </c>
      <c r="AO95" s="69">
        <f t="shared" si="3"/>
        <v>222.0</v>
      </c>
      <c r="AP95" s="69">
        <f t="shared" si="4"/>
        <v>87.0</v>
      </c>
      <c r="AQ95" s="69">
        <f t="shared" si="5"/>
        <v>95.7</v>
      </c>
      <c r="AR95" s="47">
        <f t="shared" si="430"/>
        <v>15.130434782609</v>
      </c>
      <c r="AS95" s="47">
        <f t="shared" si="431"/>
        <v>18.9130434782609</v>
      </c>
      <c r="AT95" s="47">
        <f t="shared" si="432"/>
        <v>18.9130434782609</v>
      </c>
      <c r="AU95" s="47">
        <f t="shared" si="433"/>
        <v>18.9130434782609</v>
      </c>
      <c r="AV95" s="47">
        <f t="shared" si="434"/>
        <v>18.9130434782609</v>
      </c>
      <c r="AW95" s="64">
        <f t="shared" si="435"/>
        <v>11.3478260869565</v>
      </c>
      <c r="AX95" s="69">
        <f t="shared" si="436"/>
        <v>90.7826086956526</v>
      </c>
      <c r="AY95" s="64" t="e">
        <f t="shared" si="13"/>
        <v>#REF!</v>
      </c>
      <c r="BB95" s="65" t="e">
        <f t="shared" si="437"/>
        <v>#REF!</v>
      </c>
      <c r="BD95" s="47" t="e">
        <f t="shared" si="438"/>
        <v>#REF!</v>
      </c>
      <c r="BE95" s="47" t="s">
        <v>350</v>
      </c>
      <c r="BF95" s="65" t="e">
        <f t="shared" si="439"/>
        <v>#REF!</v>
      </c>
      <c r="BG95" s="65">
        <f t="shared" si="440"/>
        <v>15.130434782609</v>
      </c>
      <c r="BH95" s="65"/>
      <c r="BI95" s="65" t="e">
        <f t="shared" si="441"/>
        <v>#REF!</v>
      </c>
      <c r="BJ95" s="65">
        <f t="shared" si="442"/>
        <v>18.9130434782609</v>
      </c>
      <c r="BK95" s="65"/>
      <c r="BL95" s="65" t="e">
        <f t="shared" si="443"/>
        <v>#REF!</v>
      </c>
      <c r="BM95" s="65">
        <f t="shared" si="444"/>
        <v>18.9130434782609</v>
      </c>
      <c r="BN95" s="65"/>
      <c r="BO95" s="65" t="e">
        <f t="shared" si="445"/>
        <v>#REF!</v>
      </c>
      <c r="BP95" s="65">
        <f t="shared" si="446"/>
        <v>18.9130434782609</v>
      </c>
      <c r="BQ95" s="65"/>
      <c r="BR95" s="65" t="e">
        <f t="shared" si="447"/>
        <v>#REF!</v>
      </c>
      <c r="BS95" s="65">
        <f t="shared" si="448"/>
        <v>18.9130434782609</v>
      </c>
      <c r="BT95" s="65"/>
      <c r="BU95" s="65" t="e">
        <f t="shared" si="449"/>
        <v>#REF!</v>
      </c>
      <c r="BV95" s="47">
        <f t="shared" si="27"/>
        <v>11.3478260869565</v>
      </c>
      <c r="BX95" s="65" t="e">
        <f t="shared" si="28"/>
        <v>#REF!</v>
      </c>
    </row>
    <row r="96" ht="14.0">
      <c r="A96" s="93" t="s">
        <v>32</v>
      </c>
      <c r="B96" s="93" t="s">
        <v>163</v>
      </c>
      <c r="C96" s="93" t="s">
        <v>167</v>
      </c>
      <c r="D96" s="229">
        <v>40407.0</v>
      </c>
      <c r="E96" s="93">
        <v>0.0</v>
      </c>
      <c r="F96" s="93">
        <v>21.0</v>
      </c>
      <c r="G96" s="93">
        <v>0.0</v>
      </c>
      <c r="H96" s="93">
        <v>3.0</v>
      </c>
      <c r="I96" s="93">
        <v>12.0</v>
      </c>
      <c r="J96" s="93">
        <v>6.0</v>
      </c>
      <c r="K96" s="93">
        <v>12.0</v>
      </c>
      <c r="L96" s="93">
        <v>19.0</v>
      </c>
      <c r="M96" s="93">
        <v>9.0</v>
      </c>
      <c r="N96" s="93">
        <v>9.0</v>
      </c>
      <c r="O96" s="93">
        <v>6.0</v>
      </c>
      <c r="P96" s="93">
        <v>3.0</v>
      </c>
      <c r="Q96" s="93">
        <v>15.0</v>
      </c>
      <c r="R96" s="93">
        <v>15.0</v>
      </c>
      <c r="S96" s="93">
        <v>0.0</v>
      </c>
      <c r="T96" s="93">
        <v>14.0</v>
      </c>
      <c r="U96" s="93">
        <v>18.0</v>
      </c>
      <c r="V96" s="93">
        <v>3.0</v>
      </c>
      <c r="W96" s="93">
        <v>15.0</v>
      </c>
      <c r="X96" s="93">
        <v>15.0</v>
      </c>
      <c r="Y96" s="93">
        <v>9.0</v>
      </c>
      <c r="Z96" s="93">
        <v>21.0</v>
      </c>
      <c r="AA96" s="93">
        <v>9.0</v>
      </c>
      <c r="AB96" s="93">
        <v>3.0</v>
      </c>
      <c r="AC96" s="93">
        <v>6.0</v>
      </c>
      <c r="AD96" s="93">
        <v>24.0</v>
      </c>
      <c r="AE96" s="93">
        <v>15.0</v>
      </c>
      <c r="AF96" s="93">
        <v>12.0</v>
      </c>
      <c r="AG96" s="93">
        <v>15.0</v>
      </c>
      <c r="AH96" s="93">
        <v>9.0</v>
      </c>
      <c r="AI96" s="93">
        <v>15.0</v>
      </c>
      <c r="AJ96" s="93">
        <v>0.0</v>
      </c>
      <c r="AK96" s="93">
        <v>9.0</v>
      </c>
      <c r="AL96" s="93">
        <v>21.0</v>
      </c>
      <c r="AM96" s="93">
        <v>6.0</v>
      </c>
      <c r="AN96" s="93">
        <v>6.0</v>
      </c>
      <c r="AO96" s="69">
        <f t="shared" si="3"/>
        <v>138.0</v>
      </c>
      <c r="AP96" s="69">
        <f t="shared" si="4"/>
        <v>57.0</v>
      </c>
      <c r="AQ96" s="69">
        <f t="shared" si="5"/>
        <v>62.7</v>
      </c>
      <c r="AR96" s="47">
        <f t="shared" si="430"/>
        <v>9.91304347826087</v>
      </c>
      <c r="AS96" s="47">
        <f t="shared" si="431"/>
        <v>12.391304347826</v>
      </c>
      <c r="AT96" s="47">
        <f t="shared" si="432"/>
        <v>12.391304347826</v>
      </c>
      <c r="AU96" s="47">
        <f t="shared" si="433"/>
        <v>12.391304347826</v>
      </c>
      <c r="AV96" s="47">
        <f t="shared" si="434"/>
        <v>12.391304347826</v>
      </c>
      <c r="AW96" s="64">
        <f t="shared" si="435"/>
        <v>7.43478260869565</v>
      </c>
      <c r="AX96" s="69">
        <f t="shared" si="436"/>
        <v>59.4782608695649</v>
      </c>
      <c r="AY96" s="64" t="e">
        <f t="shared" si="13"/>
        <v>#REF!</v>
      </c>
      <c r="BB96" s="65" t="e">
        <f t="shared" si="437"/>
        <v>#REF!</v>
      </c>
      <c r="BD96" s="47" t="e">
        <f t="shared" si="438"/>
        <v>#REF!</v>
      </c>
      <c r="BE96" s="47" t="s">
        <v>255</v>
      </c>
      <c r="BF96" s="65" t="e">
        <f t="shared" si="439"/>
        <v>#REF!</v>
      </c>
      <c r="BG96" s="65">
        <f t="shared" si="440"/>
        <v>9.91304347826087</v>
      </c>
      <c r="BH96" s="65"/>
      <c r="BI96" s="65" t="e">
        <f t="shared" si="441"/>
        <v>#REF!</v>
      </c>
      <c r="BJ96" s="65">
        <f t="shared" si="442"/>
        <v>12.391304347826</v>
      </c>
      <c r="BK96" s="65"/>
      <c r="BL96" s="65" t="e">
        <f t="shared" si="443"/>
        <v>#REF!</v>
      </c>
      <c r="BM96" s="65">
        <f t="shared" si="444"/>
        <v>12.391304347826</v>
      </c>
      <c r="BN96" s="65"/>
      <c r="BO96" s="65" t="e">
        <f t="shared" si="445"/>
        <v>#REF!</v>
      </c>
      <c r="BP96" s="65">
        <f t="shared" si="446"/>
        <v>12.391304347826</v>
      </c>
      <c r="BQ96" s="65"/>
      <c r="BR96" s="65" t="e">
        <f t="shared" si="447"/>
        <v>#REF!</v>
      </c>
      <c r="BS96" s="65">
        <f t="shared" si="448"/>
        <v>12.391304347826</v>
      </c>
      <c r="BT96" s="65"/>
      <c r="BU96" s="65" t="e">
        <f t="shared" si="449"/>
        <v>#REF!</v>
      </c>
      <c r="BV96" s="47">
        <f t="shared" si="27"/>
        <v>7.43478260869565</v>
      </c>
      <c r="BX96" s="65" t="e">
        <f t="shared" si="28"/>
        <v>#REF!</v>
      </c>
    </row>
    <row r="97" ht="14.0">
      <c r="A97" s="93" t="s">
        <v>32</v>
      </c>
      <c r="B97" s="93" t="s">
        <v>163</v>
      </c>
      <c r="C97" s="93" t="s">
        <v>168</v>
      </c>
      <c r="D97" s="229">
        <v>40408.0</v>
      </c>
      <c r="E97" s="93">
        <v>0.0</v>
      </c>
      <c r="F97" s="93">
        <v>0.0</v>
      </c>
      <c r="G97" s="93">
        <v>0.0</v>
      </c>
      <c r="H97" s="93">
        <v>0.0</v>
      </c>
      <c r="I97" s="93">
        <v>12.0</v>
      </c>
      <c r="J97" s="93">
        <v>13.0</v>
      </c>
      <c r="K97" s="93">
        <v>21.0</v>
      </c>
      <c r="L97" s="93">
        <v>18.0</v>
      </c>
      <c r="M97" s="93">
        <v>15.0</v>
      </c>
      <c r="N97" s="93">
        <v>9.0</v>
      </c>
      <c r="O97" s="93">
        <v>6.0</v>
      </c>
      <c r="P97" s="93">
        <v>3.0</v>
      </c>
      <c r="Q97" s="93">
        <v>12.0</v>
      </c>
      <c r="R97" s="93">
        <v>24.0</v>
      </c>
      <c r="S97" s="93">
        <v>15.0</v>
      </c>
      <c r="T97" s="93">
        <v>13.0</v>
      </c>
      <c r="U97" s="93">
        <v>15.0</v>
      </c>
      <c r="V97" s="93">
        <v>8.0</v>
      </c>
      <c r="W97" s="93">
        <v>8.0</v>
      </c>
      <c r="X97" s="93">
        <v>27.0</v>
      </c>
      <c r="Y97" s="93">
        <v>12.0</v>
      </c>
      <c r="Z97" s="93">
        <v>19.0</v>
      </c>
      <c r="AA97" s="93">
        <v>6.0</v>
      </c>
      <c r="AB97" s="93">
        <v>4.0</v>
      </c>
      <c r="AC97" s="93">
        <v>12.0</v>
      </c>
      <c r="AD97" s="93">
        <v>15.0</v>
      </c>
      <c r="AE97" s="93">
        <v>21.0</v>
      </c>
      <c r="AF97" s="93">
        <v>18.0</v>
      </c>
      <c r="AG97" s="93">
        <v>21.0</v>
      </c>
      <c r="AH97" s="93">
        <v>15.0</v>
      </c>
      <c r="AI97" s="93">
        <v>10.0</v>
      </c>
      <c r="AJ97" s="93">
        <v>0.0</v>
      </c>
      <c r="AK97" s="93">
        <v>18.0</v>
      </c>
      <c r="AL97" s="93">
        <v>14.0</v>
      </c>
      <c r="AM97" s="93">
        <v>3.0</v>
      </c>
      <c r="AN97" s="93">
        <v>6.0</v>
      </c>
      <c r="AO97" s="69">
        <f t="shared" si="3"/>
        <v>153.0</v>
      </c>
      <c r="AP97" s="69">
        <f t="shared" si="4"/>
        <v>51.0</v>
      </c>
      <c r="AQ97" s="69">
        <f t="shared" si="5"/>
        <v>56.1</v>
      </c>
      <c r="AR97" s="47">
        <f t="shared" si="430"/>
        <v>8.8695652173913</v>
      </c>
      <c r="AS97" s="47">
        <f t="shared" si="431"/>
        <v>11.0869565217391</v>
      </c>
      <c r="AT97" s="47">
        <f t="shared" si="432"/>
        <v>11.0869565217391</v>
      </c>
      <c r="AU97" s="47">
        <f t="shared" si="433"/>
        <v>11.0869565217391</v>
      </c>
      <c r="AV97" s="47">
        <f t="shared" si="434"/>
        <v>11.0869565217391</v>
      </c>
      <c r="AW97" s="64">
        <f t="shared" si="435"/>
        <v>6.6521739130434</v>
      </c>
      <c r="AX97" s="69">
        <f t="shared" si="436"/>
        <v>53.2173913043477</v>
      </c>
      <c r="AY97" s="64" t="e">
        <f t="shared" si="13"/>
        <v>#REF!</v>
      </c>
      <c r="BB97" s="65" t="e">
        <f t="shared" si="437"/>
        <v>#REF!</v>
      </c>
      <c r="BD97" s="47" t="e">
        <f t="shared" si="438"/>
        <v>#REF!</v>
      </c>
      <c r="BE97" s="47" t="s">
        <v>249</v>
      </c>
      <c r="BF97" s="65" t="e">
        <f t="shared" si="439"/>
        <v>#REF!</v>
      </c>
      <c r="BG97" s="65">
        <f t="shared" si="440"/>
        <v>8.8695652173913</v>
      </c>
      <c r="BH97" s="65"/>
      <c r="BI97" s="65" t="e">
        <f t="shared" si="441"/>
        <v>#REF!</v>
      </c>
      <c r="BJ97" s="65">
        <f t="shared" si="442"/>
        <v>11.0869565217391</v>
      </c>
      <c r="BK97" s="65"/>
      <c r="BL97" s="65" t="e">
        <f t="shared" si="443"/>
        <v>#REF!</v>
      </c>
      <c r="BM97" s="65">
        <f t="shared" si="444"/>
        <v>11.0869565217391</v>
      </c>
      <c r="BN97" s="65"/>
      <c r="BO97" s="65" t="e">
        <f t="shared" si="445"/>
        <v>#REF!</v>
      </c>
      <c r="BP97" s="65">
        <f t="shared" si="446"/>
        <v>11.0869565217391</v>
      </c>
      <c r="BQ97" s="65"/>
      <c r="BR97" s="65" t="e">
        <f t="shared" si="447"/>
        <v>#REF!</v>
      </c>
      <c r="BS97" s="65">
        <f t="shared" si="448"/>
        <v>11.0869565217391</v>
      </c>
      <c r="BT97" s="65"/>
      <c r="BU97" s="65" t="e">
        <f t="shared" si="449"/>
        <v>#REF!</v>
      </c>
      <c r="BV97" s="47">
        <f t="shared" si="27"/>
        <v>6.6521739130434</v>
      </c>
      <c r="BX97" s="65" t="e">
        <f t="shared" si="28"/>
        <v>#REF!</v>
      </c>
    </row>
    <row r="98" ht="14.0">
      <c r="A98" s="93" t="s">
        <v>32</v>
      </c>
      <c r="B98" s="93" t="s">
        <v>163</v>
      </c>
      <c r="C98" s="93" t="s">
        <v>169</v>
      </c>
      <c r="D98" s="229">
        <v>40409.0</v>
      </c>
      <c r="E98" s="93">
        <v>0.0</v>
      </c>
      <c r="F98" s="93">
        <v>0.0</v>
      </c>
      <c r="G98" s="93">
        <v>0.0</v>
      </c>
      <c r="H98" s="93">
        <v>0.0</v>
      </c>
      <c r="I98" s="93">
        <v>6.0</v>
      </c>
      <c r="J98" s="93">
        <v>9.0</v>
      </c>
      <c r="K98" s="93">
        <v>12.0</v>
      </c>
      <c r="L98" s="93">
        <v>21.0</v>
      </c>
      <c r="M98" s="93">
        <v>12.0</v>
      </c>
      <c r="N98" s="93">
        <v>12.0</v>
      </c>
      <c r="O98" s="93">
        <v>9.0</v>
      </c>
      <c r="P98" s="93">
        <v>3.0</v>
      </c>
      <c r="Q98" s="93">
        <v>12.0</v>
      </c>
      <c r="R98" s="93">
        <v>21.0</v>
      </c>
      <c r="S98" s="93">
        <v>6.0</v>
      </c>
      <c r="T98" s="93">
        <v>12.0</v>
      </c>
      <c r="U98" s="93">
        <v>15.0</v>
      </c>
      <c r="V98" s="93">
        <v>6.0</v>
      </c>
      <c r="W98" s="93">
        <v>6.0</v>
      </c>
      <c r="X98" s="93">
        <v>27.0</v>
      </c>
      <c r="Y98" s="93">
        <v>15.0</v>
      </c>
      <c r="Z98" s="93">
        <v>31.0</v>
      </c>
      <c r="AA98" s="93">
        <v>15.0</v>
      </c>
      <c r="AB98" s="93">
        <v>8.0</v>
      </c>
      <c r="AC98" s="93">
        <v>18.0</v>
      </c>
      <c r="AD98" s="93">
        <v>21.0</v>
      </c>
      <c r="AE98" s="93">
        <v>21.0</v>
      </c>
      <c r="AF98" s="93">
        <v>33.0</v>
      </c>
      <c r="AG98" s="93">
        <v>10.0</v>
      </c>
      <c r="AH98" s="93">
        <v>11.0</v>
      </c>
      <c r="AI98" s="93">
        <v>30.0</v>
      </c>
      <c r="AJ98" s="93">
        <v>0.0</v>
      </c>
      <c r="AK98" s="93">
        <v>6.0</v>
      </c>
      <c r="AL98" s="93">
        <v>27.0</v>
      </c>
      <c r="AM98" s="93">
        <v>12.0</v>
      </c>
      <c r="AN98" s="93">
        <v>3.0</v>
      </c>
      <c r="AO98" s="69">
        <f t="shared" si="3"/>
        <v>192.0</v>
      </c>
      <c r="AP98" s="69">
        <f t="shared" si="4"/>
        <v>78.0</v>
      </c>
      <c r="AQ98" s="69">
        <f t="shared" si="5"/>
        <v>85.8</v>
      </c>
      <c r="AR98" s="47">
        <f t="shared" si="430"/>
        <v>13.5652173913043</v>
      </c>
      <c r="AS98" s="47">
        <f t="shared" si="431"/>
        <v>16.9565217391304</v>
      </c>
      <c r="AT98" s="47">
        <f t="shared" si="432"/>
        <v>16.9565217391304</v>
      </c>
      <c r="AU98" s="47">
        <f t="shared" si="433"/>
        <v>16.9565217391304</v>
      </c>
      <c r="AV98" s="47">
        <f t="shared" si="434"/>
        <v>16.9565217391304</v>
      </c>
      <c r="AW98" s="64">
        <f t="shared" si="435"/>
        <v>10.1739130434782</v>
      </c>
      <c r="AX98" s="69">
        <f t="shared" si="436"/>
        <v>81.3913043478259</v>
      </c>
      <c r="AY98" s="64" t="e">
        <f t="shared" si="13"/>
        <v>#REF!</v>
      </c>
      <c r="BB98" s="65" t="e">
        <f t="shared" si="437"/>
        <v>#REF!</v>
      </c>
      <c r="BD98" s="47" t="e">
        <f t="shared" si="438"/>
        <v>#REF!</v>
      </c>
      <c r="BE98" s="47" t="s">
        <v>255</v>
      </c>
      <c r="BF98" s="65" t="e">
        <f t="shared" si="439"/>
        <v>#REF!</v>
      </c>
      <c r="BG98" s="65">
        <f t="shared" si="440"/>
        <v>13.5652173913043</v>
      </c>
      <c r="BH98" s="65"/>
      <c r="BI98" s="65" t="e">
        <f t="shared" si="441"/>
        <v>#REF!</v>
      </c>
      <c r="BJ98" s="65">
        <f t="shared" si="442"/>
        <v>16.9565217391304</v>
      </c>
      <c r="BK98" s="65"/>
      <c r="BL98" s="65" t="e">
        <f t="shared" si="443"/>
        <v>#REF!</v>
      </c>
      <c r="BM98" s="65">
        <f t="shared" si="444"/>
        <v>16.9565217391304</v>
      </c>
      <c r="BN98" s="65"/>
      <c r="BO98" s="65" t="e">
        <f t="shared" si="445"/>
        <v>#REF!</v>
      </c>
      <c r="BP98" s="65">
        <f t="shared" si="446"/>
        <v>16.9565217391304</v>
      </c>
      <c r="BQ98" s="65"/>
      <c r="BR98" s="65" t="e">
        <f t="shared" si="447"/>
        <v>#REF!</v>
      </c>
      <c r="BS98" s="65">
        <f t="shared" si="448"/>
        <v>16.9565217391304</v>
      </c>
      <c r="BT98" s="65"/>
      <c r="BU98" s="65" t="e">
        <f t="shared" si="449"/>
        <v>#REF!</v>
      </c>
      <c r="BV98" s="47">
        <f t="shared" si="27"/>
        <v>10.1739130434782</v>
      </c>
      <c r="BX98" s="65" t="e">
        <f t="shared" si="28"/>
        <v>#REF!</v>
      </c>
    </row>
    <row r="99" ht="14.0">
      <c r="A99" s="93" t="s">
        <v>32</v>
      </c>
      <c r="B99" s="93" t="s">
        <v>170</v>
      </c>
      <c r="C99" s="93" t="s">
        <v>171</v>
      </c>
      <c r="D99" s="229">
        <v>41001.0</v>
      </c>
      <c r="E99" s="93">
        <v>39.0</v>
      </c>
      <c r="F99" s="93">
        <v>45.0</v>
      </c>
      <c r="G99" s="93">
        <v>30.0</v>
      </c>
      <c r="H99" s="93">
        <v>48.0</v>
      </c>
      <c r="I99" s="93">
        <v>48.0</v>
      </c>
      <c r="J99" s="93">
        <v>21.0</v>
      </c>
      <c r="K99" s="93">
        <v>16.0</v>
      </c>
      <c r="L99" s="93">
        <v>12.0</v>
      </c>
      <c r="M99" s="93">
        <v>21.0</v>
      </c>
      <c r="N99" s="93">
        <v>21.0</v>
      </c>
      <c r="O99" s="93">
        <v>0.0</v>
      </c>
      <c r="P99" s="93">
        <v>18.0</v>
      </c>
      <c r="Q99" s="93">
        <v>12.0</v>
      </c>
      <c r="R99" s="93">
        <v>45.0</v>
      </c>
      <c r="S99" s="93">
        <v>30.0</v>
      </c>
      <c r="T99" s="93">
        <v>30.0</v>
      </c>
      <c r="U99" s="93">
        <v>63.0</v>
      </c>
      <c r="V99" s="93">
        <v>24.0</v>
      </c>
      <c r="W99" s="93">
        <v>33.0</v>
      </c>
      <c r="X99" s="93">
        <v>36.0</v>
      </c>
      <c r="Y99" s="93">
        <v>15.0</v>
      </c>
      <c r="Z99" s="93">
        <v>31.0</v>
      </c>
      <c r="AA99" s="93">
        <v>3.0</v>
      </c>
      <c r="AB99" s="93">
        <v>4.0</v>
      </c>
      <c r="AC99" s="93">
        <v>9.0</v>
      </c>
      <c r="AD99" s="93">
        <v>18.0</v>
      </c>
      <c r="AE99" s="93">
        <v>12.0</v>
      </c>
      <c r="AF99" s="93">
        <v>21.0</v>
      </c>
      <c r="AG99" s="93">
        <v>6.0</v>
      </c>
      <c r="AH99" s="93">
        <v>9.0</v>
      </c>
      <c r="AI99" s="93">
        <v>21.0</v>
      </c>
      <c r="AJ99" s="93">
        <v>9.0</v>
      </c>
      <c r="AK99" s="93">
        <v>6.0</v>
      </c>
      <c r="AL99" s="93">
        <v>6.0</v>
      </c>
      <c r="AM99" s="93">
        <v>0.0</v>
      </c>
      <c r="AN99" s="93">
        <v>12.0</v>
      </c>
      <c r="AO99" s="69">
        <f t="shared" si="3"/>
        <v>129.0</v>
      </c>
      <c r="AP99" s="69">
        <f t="shared" si="4"/>
        <v>54.0</v>
      </c>
      <c r="AQ99" s="69">
        <f t="shared" si="5"/>
        <v>59.4</v>
      </c>
      <c r="AR99" s="47">
        <f t="shared" si="430"/>
        <v>9.391304347826</v>
      </c>
      <c r="AS99" s="47">
        <f t="shared" si="431"/>
        <v>11.7391304347826</v>
      </c>
      <c r="AT99" s="47">
        <f t="shared" si="432"/>
        <v>11.7391304347826</v>
      </c>
      <c r="AU99" s="47">
        <f t="shared" si="433"/>
        <v>11.7391304347826</v>
      </c>
      <c r="AV99" s="47">
        <f t="shared" si="434"/>
        <v>11.7391304347826</v>
      </c>
      <c r="AW99" s="64">
        <f t="shared" si="435"/>
        <v>7.04347826086957</v>
      </c>
      <c r="AX99" s="69">
        <f t="shared" si="436"/>
        <v>56.3478260869564</v>
      </c>
      <c r="AY99" s="64" t="e">
        <f t="shared" si="13"/>
        <v>#REF!</v>
      </c>
      <c r="BB99" s="65" t="e">
        <f t="shared" si="437"/>
        <v>#REF!</v>
      </c>
      <c r="BD99" s="47" t="e">
        <f t="shared" si="438"/>
        <v>#REF!</v>
      </c>
      <c r="BE99" s="47" t="s">
        <v>255</v>
      </c>
      <c r="BF99" s="65" t="e">
        <f t="shared" si="439"/>
        <v>#REF!</v>
      </c>
      <c r="BG99" s="65">
        <f t="shared" si="440"/>
        <v>9.391304347826</v>
      </c>
      <c r="BH99" s="65"/>
      <c r="BI99" s="65" t="e">
        <f t="shared" si="441"/>
        <v>#REF!</v>
      </c>
      <c r="BJ99" s="65">
        <f t="shared" si="442"/>
        <v>11.7391304347826</v>
      </c>
      <c r="BK99" s="65"/>
      <c r="BL99" s="65" t="e">
        <f t="shared" si="443"/>
        <v>#REF!</v>
      </c>
      <c r="BM99" s="65">
        <f t="shared" si="444"/>
        <v>11.7391304347826</v>
      </c>
      <c r="BN99" s="65"/>
      <c r="BO99" s="65" t="e">
        <f t="shared" si="445"/>
        <v>#REF!</v>
      </c>
      <c r="BP99" s="65">
        <f t="shared" si="446"/>
        <v>11.7391304347826</v>
      </c>
      <c r="BQ99" s="65"/>
      <c r="BR99" s="65" t="e">
        <f t="shared" si="447"/>
        <v>#REF!</v>
      </c>
      <c r="BS99" s="65">
        <f t="shared" si="448"/>
        <v>11.7391304347826</v>
      </c>
      <c r="BT99" s="65"/>
      <c r="BU99" s="65" t="e">
        <f t="shared" si="449"/>
        <v>#REF!</v>
      </c>
      <c r="BV99" s="47">
        <f t="shared" si="27"/>
        <v>7.04347826086957</v>
      </c>
      <c r="BX99" s="65" t="e">
        <f t="shared" si="28"/>
        <v>#REF!</v>
      </c>
    </row>
    <row r="100" ht="14.0">
      <c r="A100" s="93" t="s">
        <v>32</v>
      </c>
      <c r="B100" s="93" t="s">
        <v>170</v>
      </c>
      <c r="C100" s="93" t="s">
        <v>172</v>
      </c>
      <c r="D100" s="229">
        <v>41002.0</v>
      </c>
      <c r="E100" s="93">
        <v>30.0</v>
      </c>
      <c r="F100" s="93">
        <v>36.0</v>
      </c>
      <c r="G100" s="93">
        <v>51.0</v>
      </c>
      <c r="H100" s="93">
        <v>45.0</v>
      </c>
      <c r="I100" s="93">
        <v>69.0</v>
      </c>
      <c r="J100" s="93">
        <v>12.0</v>
      </c>
      <c r="K100" s="93">
        <v>22.0</v>
      </c>
      <c r="L100" s="93">
        <v>21.0</v>
      </c>
      <c r="M100" s="93">
        <v>6.0</v>
      </c>
      <c r="N100" s="93">
        <v>19.0</v>
      </c>
      <c r="O100" s="93">
        <v>24.0</v>
      </c>
      <c r="P100" s="93">
        <v>18.0</v>
      </c>
      <c r="Q100" s="93">
        <v>9.0</v>
      </c>
      <c r="R100" s="93">
        <v>51.0</v>
      </c>
      <c r="S100" s="93">
        <v>30.0</v>
      </c>
      <c r="T100" s="93">
        <v>30.0</v>
      </c>
      <c r="U100" s="93">
        <v>63.0</v>
      </c>
      <c r="V100" s="93">
        <v>21.0</v>
      </c>
      <c r="W100" s="93">
        <v>14.0</v>
      </c>
      <c r="X100" s="93">
        <v>0.0</v>
      </c>
      <c r="Y100" s="93">
        <v>0.0</v>
      </c>
      <c r="Z100" s="93">
        <v>12.0</v>
      </c>
      <c r="AA100" s="93">
        <v>0.0</v>
      </c>
      <c r="AB100" s="93">
        <v>10.0</v>
      </c>
      <c r="AC100" s="93">
        <v>12.0</v>
      </c>
      <c r="AD100" s="93">
        <v>3.0</v>
      </c>
      <c r="AE100" s="93">
        <v>6.0</v>
      </c>
      <c r="AF100" s="93">
        <v>6.0</v>
      </c>
      <c r="AG100" s="93">
        <v>21.0</v>
      </c>
      <c r="AH100" s="93">
        <v>6.0</v>
      </c>
      <c r="AI100" s="93">
        <v>12.0</v>
      </c>
      <c r="AJ100" s="93">
        <v>7.0</v>
      </c>
      <c r="AK100" s="93">
        <v>0.0</v>
      </c>
      <c r="AL100" s="93">
        <v>6.0</v>
      </c>
      <c r="AM100" s="93">
        <v>3.0</v>
      </c>
      <c r="AN100" s="93">
        <v>15.0</v>
      </c>
      <c r="AO100" s="69">
        <f t="shared" si="3"/>
        <v>97.0</v>
      </c>
      <c r="AP100" s="69">
        <f t="shared" si="4"/>
        <v>43.0</v>
      </c>
      <c r="AQ100" s="69">
        <f t="shared" si="5"/>
        <v>47.3</v>
      </c>
      <c r="AR100" s="47">
        <f t="shared" si="430"/>
        <v>7.47826086956521</v>
      </c>
      <c r="AS100" s="47">
        <f t="shared" si="431"/>
        <v>9.34782608695652</v>
      </c>
      <c r="AT100" s="47">
        <f t="shared" si="432"/>
        <v>9.34782608695652</v>
      </c>
      <c r="AU100" s="47">
        <f t="shared" si="433"/>
        <v>9.34782608695652</v>
      </c>
      <c r="AV100" s="47">
        <f t="shared" si="434"/>
        <v>9.34782608695652</v>
      </c>
      <c r="AW100" s="64">
        <f t="shared" si="435"/>
        <v>5.60869565217391</v>
      </c>
      <c r="AX100" s="69">
        <f t="shared" si="436"/>
        <v>44.8695652173912</v>
      </c>
      <c r="AY100" s="64" t="e">
        <f t="shared" si="13"/>
        <v>#REF!</v>
      </c>
      <c r="BB100" s="65" t="e">
        <f t="shared" si="437"/>
        <v>#REF!</v>
      </c>
      <c r="BD100" s="47" t="e">
        <f t="shared" si="438"/>
        <v>#REF!</v>
      </c>
      <c r="BE100" s="47" t="s">
        <v>350</v>
      </c>
      <c r="BF100" s="65" t="e">
        <f t="shared" si="439"/>
        <v>#REF!</v>
      </c>
      <c r="BG100" s="65">
        <f t="shared" si="440"/>
        <v>7.47826086956521</v>
      </c>
      <c r="BH100" s="65"/>
      <c r="BI100" s="65" t="e">
        <f t="shared" si="441"/>
        <v>#REF!</v>
      </c>
      <c r="BJ100" s="65">
        <f t="shared" si="442"/>
        <v>9.34782608695652</v>
      </c>
      <c r="BK100" s="65"/>
      <c r="BL100" s="65" t="e">
        <f t="shared" si="443"/>
        <v>#REF!</v>
      </c>
      <c r="BM100" s="65">
        <f t="shared" si="444"/>
        <v>9.34782608695652</v>
      </c>
      <c r="BN100" s="65"/>
      <c r="BO100" s="65" t="e">
        <f t="shared" si="445"/>
        <v>#REF!</v>
      </c>
      <c r="BP100" s="65">
        <f t="shared" si="446"/>
        <v>9.34782608695652</v>
      </c>
      <c r="BQ100" s="65"/>
      <c r="BR100" s="65" t="e">
        <f t="shared" si="447"/>
        <v>#REF!</v>
      </c>
      <c r="BS100" s="65">
        <f t="shared" si="448"/>
        <v>9.34782608695652</v>
      </c>
      <c r="BT100" s="65"/>
      <c r="BU100" s="65" t="e">
        <f t="shared" si="449"/>
        <v>#REF!</v>
      </c>
      <c r="BV100" s="47">
        <f t="shared" si="27"/>
        <v>5.60869565217391</v>
      </c>
      <c r="BX100" s="65" t="e">
        <f t="shared" si="28"/>
        <v>#REF!</v>
      </c>
    </row>
    <row r="101">
      <c r="BD101" s="67"/>
    </row>
  </sheetData>
  <mergeCells count="6">
    <mergeCell ref="BM5:BO5"/>
    <mergeCell ref="BP5:BR5"/>
    <mergeCell ref="BS5:BU5"/>
    <mergeCell ref="BV5:BX5"/>
    <mergeCell ref="BG5:BI5"/>
    <mergeCell ref="BJ5:BL5"/>
  </mergeCells>
  <conditionalFormatting sqref="C4:C6">
    <cfRule dxfId="1" operator="containsText" type="containsText" priority="1" text="set up">
      <formula>NOT(ISERROR(SEARCH("set up",C4)))</formula>
    </cfRule>
  </conditionalFormatting>
  <conditionalFormatting sqref="BB4:BB6">
    <cfRule dxfId="2" operator="lessThan" type="cellIs" priority="2">
      <formula>0</formula>
    </cfRule>
  </conditionalFormatting>
  <conditionalFormatting sqref="C4:C6">
    <cfRule dxfId="1" operator="containsText" type="containsText" priority="3" text="SET UP">
      <formula>NOT(ISERROR(SEARCH("SET UP",C4)))</formula>
    </cfRule>
  </conditionalFormatting>
  <conditionalFormatting sqref="C4:C6">
    <cfRule dxfId="1" operator="containsText" type="containsText" priority="4" text="starter pack">
      <formula>NOT(ISERROR(SEARCH("starter pack",C4)))</formula>
    </cfRule>
  </conditionalFormatting>
  <conditionalFormatting sqref="BD4:BD6">
    <cfRule dxfId="4" operator="greaterThan" type="cellIs" priority="5">
      <formula>0</formula>
    </cfRule>
  </conditionalFormatting>
  <conditionalFormatting sqref="C4:C6">
    <cfRule dxfId="5" operator="containsText" type="containsText" priority="6" text="CDU">
      <formula>NOT(ISERROR(SEARCH("CDU",C4)))</formula>
    </cfRule>
  </conditionalFormatting>
  <conditionalFormatting sqref="C4:C6">
    <cfRule dxfId="5" operator="containsText" type="containsText" priority="7" text="DISPLAY">
      <formula>NOT(ISERROR(SEARCH("DISPLAY",C4)))</formula>
    </cfRule>
  </conditionalFormatting>
  <conditionalFormatting sqref="BB7:BB10 BB93:BB100">
    <cfRule dxfId="11" operator="lessThanOrEqual" type="cellIs" priority="8">
      <formula>0</formula>
    </cfRule>
  </conditionalFormatting>
  <conditionalFormatting sqref="AC7:AN101">
    <cfRule dxfId="8" operator="lessThanOrEqual" type="cellIs" priority="9">
      <formula>0</formula>
    </cfRule>
  </conditionalFormatting>
  <conditionalFormatting sqref="C1:C262142">
    <cfRule dxfId="1" operator="containsText" type="containsText" priority="10" text="STARTER PACK">
      <formula>NOT(ISERROR(SEARCH("STARTER PACK",C1)))</formula>
    </cfRule>
  </conditionalFormatting>
  <conditionalFormatting sqref="C1:C262142">
    <cfRule dxfId="1" operator="containsText" type="containsText" priority="11" text="SET UP">
      <formula>NOT(ISERROR(SEARCH("SET UP",C1)))</formula>
    </cfRule>
  </conditionalFormatting>
  <conditionalFormatting sqref="BF7:BU101">
    <cfRule dxfId="2" operator="lessThan" type="cellIs" priority="12">
      <formula>0</formula>
    </cfRule>
  </conditionalFormatting>
  <conditionalFormatting sqref="C1:C262143">
    <cfRule dxfId="9" operator="containsText" type="containsText" priority="13" text="CDU">
      <formula>NOT(ISERROR(SEARCH("CDU",C1)))</formula>
    </cfRule>
  </conditionalFormatting>
  <conditionalFormatting sqref="C1:C262143">
    <cfRule dxfId="9" operator="containsText" type="containsText" priority="14" text="STAND">
      <formula>NOT(ISERROR(SEARCH("STAND",C1)))</formula>
    </cfRule>
  </conditionalFormatting>
  <conditionalFormatting sqref="BB7:BB100">
    <cfRule dxfId="11" operator="lessThan" type="cellIs" priority="15">
      <formula>0</formula>
    </cfRule>
  </conditionalFormatting>
  <conditionalFormatting sqref="BD7:BD100">
    <cfRule dxfId="4" operator="greaterThan" type="cellIs" priority="16">
      <formula>0</formula>
    </cfRule>
  </conditionalFormatting>
  <conditionalFormatting sqref="AY7:AY100">
    <cfRule dxfId="6" operator="lessThanOrEqual" type="cellIs" priority="17">
      <formula>0</formula>
    </cfRule>
  </conditionalFormatting>
  <conditionalFormatting sqref="BX7:BX100">
    <cfRule dxfId="2" operator="lessThan" type="cellIs" priority="18">
      <formula>0</formula>
    </cfRule>
  </conditionalFormatting>
  <extLst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C95"/>
  <sheetViews>
    <sheetView workbookViewId="0">
      <pane xSplit="4" ySplit="6" topLeftCell="E7" state="frozen"/>
    </sheetView>
  </sheetViews>
  <sheetFormatPr defaultRowHeight="14.0" customHeight="1"/>
  <cols>
    <col min="1" max="1" style="130" width="13.24"/>
    <col min="2" max="2" style="130" width="24.24"/>
    <col min="3" max="3" style="130" width="52.2"/>
    <col min="4" max="4" style="131" width="11.52"/>
    <col min="5" max="5" style="130" width="8.08" outlineLevel="1"/>
    <col min="6" max="6" style="130" width="7.81" outlineLevel="1"/>
    <col min="7" max="7" style="130" width="7.55" outlineLevel="1"/>
    <col min="8" max="8" style="130" width="8.08" outlineLevel="1"/>
    <col min="9" max="9" style="130" width="7.94" outlineLevel="1"/>
    <col min="10" max="11" style="130" width="7.68" outlineLevel="1"/>
    <col min="12" max="12" style="130" width="8.08" outlineLevel="1"/>
    <col min="13" max="13" style="130" width="7.68" outlineLevel="1"/>
    <col min="14" max="14" style="130" width="8.34" outlineLevel="1"/>
    <col min="15" max="15" style="130" width="7.68" outlineLevel="1"/>
    <col min="16" max="16" style="130" width="7.15" outlineLevel="1"/>
    <col min="17" max="17" style="130" width="8.08" outlineLevel="1"/>
    <col min="18" max="18" style="130" width="7.81" outlineLevel="1"/>
    <col min="19" max="19" style="130" width="7.55" outlineLevel="1"/>
    <col min="20" max="20" style="130" width="8.08" outlineLevel="1"/>
    <col min="21" max="21" style="130" width="7.94" outlineLevel="1"/>
    <col min="22" max="23" style="130" width="7.68" outlineLevel="1"/>
    <col min="24" max="24" style="130" width="8.08" outlineLevel="1"/>
    <col min="25" max="25" style="130" width="7.68" outlineLevel="1"/>
    <col min="26" max="26" style="130" width="8.34" outlineLevel="1"/>
    <col min="27" max="27" style="130" width="7.68" outlineLevel="1"/>
    <col min="28" max="28" style="130" width="7.15" outlineLevel="1"/>
    <col min="29" max="29" style="130" width="8.08"/>
    <col min="30" max="30" style="130" width="7.81"/>
    <col min="31" max="31" style="130" width="7.55"/>
    <col min="32" max="32" style="130" width="8.08"/>
    <col min="33" max="33" style="130" width="7.94"/>
    <col min="34" max="35" style="130" width="7.68"/>
    <col min="36" max="36" style="130" width="8.08"/>
    <col min="37" max="37" style="130" width="7.68"/>
    <col min="38" max="38" style="130" width="8.34"/>
    <col min="39" max="39" style="130" width="7.68"/>
    <col min="40" max="40" style="130" width="7.15"/>
    <col min="41" max="43" style="130" width="11.65"/>
    <col min="44" max="49" style="130" width="9.4"/>
    <col min="50" max="50" style="130" width="9.8"/>
    <col min="51" max="51" style="23" width="13.24"/>
    <col min="52" max="55" style="130" width="13.24"/>
    <col min="56" max="57" style="130" width="9.8"/>
    <col min="58" max="76" style="130" width="7.94"/>
    <col min="77" max="1024" style="130" width="13.24"/>
    <col min="1025" max="1025" width="13.24"/>
  </cols>
  <sheetData>
    <row r="1">
      <c r="A1" s="84"/>
      <c r="B1" s="84"/>
      <c r="C1" s="84"/>
      <c r="D1" s="289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W1" s="83"/>
      <c r="AX1" s="83"/>
      <c r="AY1" s="83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84"/>
      <c r="BW1" s="84"/>
      <c r="BX1" s="84"/>
      <c r="BY1" s="84"/>
      <c r="CC1" s="83"/>
      <c r="CD1" s="84"/>
      <c r="CE1" s="84"/>
      <c r="CF1" s="84"/>
      <c r="CG1" s="84"/>
      <c r="CH1" s="84"/>
      <c r="CI1" s="84"/>
      <c r="CJ1" s="84"/>
      <c r="CK1" s="84"/>
      <c r="CL1" s="84"/>
      <c r="CM1" s="84"/>
      <c r="CN1" s="84"/>
      <c r="CO1" s="84"/>
      <c r="CP1" s="84"/>
      <c r="CQ1" s="84"/>
      <c r="CR1" s="84"/>
      <c r="CS1" s="84"/>
      <c r="CT1" s="84"/>
      <c r="CU1" s="84"/>
      <c r="CV1" s="84"/>
      <c r="CW1" s="84"/>
      <c r="CX1" s="84"/>
      <c r="CY1" s="84"/>
      <c r="CZ1" s="84"/>
      <c r="DA1" s="84"/>
      <c r="DB1" s="84"/>
      <c r="DC1" s="84"/>
    </row>
    <row r="2">
      <c r="A2" s="84"/>
      <c r="B2" s="84"/>
      <c r="C2" s="84"/>
      <c r="D2" s="289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W2" s="83"/>
      <c r="AX2" s="83"/>
      <c r="AY2" s="83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4"/>
      <c r="BY2" s="84"/>
      <c r="CC2" s="83"/>
      <c r="CD2" s="84"/>
      <c r="CE2" s="84"/>
      <c r="CF2" s="84"/>
      <c r="CG2" s="84"/>
      <c r="CH2" s="84"/>
      <c r="CI2" s="84"/>
      <c r="CJ2" s="84"/>
      <c r="CK2" s="84"/>
      <c r="CL2" s="84"/>
      <c r="CM2" s="84"/>
      <c r="CN2" s="84"/>
      <c r="CO2" s="84"/>
      <c r="CP2" s="84"/>
      <c r="CQ2" s="84"/>
      <c r="CR2" s="84"/>
      <c r="CS2" s="84"/>
      <c r="CT2" s="84"/>
      <c r="CU2" s="84"/>
      <c r="CV2" s="84"/>
      <c r="CW2" s="84"/>
      <c r="CX2" s="84"/>
      <c r="CY2" s="84"/>
      <c r="CZ2" s="84"/>
      <c r="DA2" s="84"/>
      <c r="DB2" s="84"/>
      <c r="DC2" s="84"/>
    </row>
    <row r="3">
      <c r="A3" s="84"/>
      <c r="B3" s="84"/>
      <c r="C3" s="84"/>
      <c r="D3" s="289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W3" s="83"/>
      <c r="AX3" s="83"/>
      <c r="AY3" s="83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4"/>
      <c r="BN3" s="84"/>
      <c r="BO3" s="84"/>
      <c r="BP3" s="84"/>
      <c r="BQ3" s="84"/>
      <c r="BR3" s="84"/>
      <c r="BS3" s="84"/>
      <c r="BT3" s="84"/>
      <c r="BU3" s="84"/>
      <c r="BV3" s="84"/>
      <c r="BW3" s="84"/>
      <c r="BX3" s="84"/>
      <c r="BY3" s="84"/>
      <c r="CC3" s="83"/>
      <c r="CD3" s="84"/>
      <c r="CE3" s="84"/>
      <c r="CF3" s="84"/>
      <c r="CG3" s="84"/>
      <c r="CH3" s="84"/>
      <c r="CI3" s="84"/>
      <c r="CJ3" s="84"/>
      <c r="CK3" s="84"/>
      <c r="CL3" s="84"/>
      <c r="CM3" s="84"/>
      <c r="CN3" s="84"/>
      <c r="CO3" s="84"/>
      <c r="CP3" s="84"/>
      <c r="CQ3" s="84"/>
      <c r="CR3" s="84"/>
      <c r="CS3" s="84"/>
      <c r="CT3" s="84"/>
      <c r="CU3" s="84"/>
      <c r="CV3" s="84"/>
      <c r="CW3" s="84"/>
      <c r="CX3" s="84"/>
      <c r="CY3" s="84"/>
      <c r="CZ3" s="84"/>
      <c r="DA3" s="84"/>
      <c r="DB3" s="84"/>
      <c r="DC3" s="84"/>
    </row>
    <row r="4" ht="14.0">
      <c r="A4" s="84"/>
      <c r="B4" s="84"/>
      <c r="C4" s="84"/>
      <c r="D4" s="289"/>
      <c r="E4" s="290">
        <v>0.08</v>
      </c>
      <c r="F4" s="290">
        <v>0.1</v>
      </c>
      <c r="G4" s="290">
        <v>0.1</v>
      </c>
      <c r="H4" s="290">
        <v>0.1</v>
      </c>
      <c r="I4" s="290">
        <v>0.1</v>
      </c>
      <c r="J4" s="290">
        <v>0.06</v>
      </c>
      <c r="K4" s="290">
        <v>0.09</v>
      </c>
      <c r="L4" s="291">
        <v>0.065</v>
      </c>
      <c r="M4" s="290">
        <v>0.08</v>
      </c>
      <c r="N4" s="290">
        <v>0.08</v>
      </c>
      <c r="O4" s="290">
        <v>0.06</v>
      </c>
      <c r="P4" s="290">
        <v>0.06</v>
      </c>
      <c r="Q4" s="290">
        <v>0.08</v>
      </c>
      <c r="R4" s="290">
        <v>0.1</v>
      </c>
      <c r="S4" s="290">
        <v>0.1</v>
      </c>
      <c r="T4" s="290">
        <v>0.1</v>
      </c>
      <c r="U4" s="290">
        <v>0.1</v>
      </c>
      <c r="V4" s="290">
        <v>0.06</v>
      </c>
      <c r="W4" s="290">
        <v>0.09</v>
      </c>
      <c r="X4" s="291">
        <v>0.065</v>
      </c>
      <c r="Y4" s="290">
        <v>0.08</v>
      </c>
      <c r="Z4" s="290">
        <v>0.08</v>
      </c>
      <c r="AA4" s="290">
        <v>0.06</v>
      </c>
      <c r="AB4" s="290">
        <v>0.06</v>
      </c>
      <c r="AC4" s="292">
        <v>0.08</v>
      </c>
      <c r="AD4" s="292">
        <v>0.1</v>
      </c>
      <c r="AE4" s="292">
        <v>0.1</v>
      </c>
      <c r="AF4" s="292">
        <v>0.1</v>
      </c>
      <c r="AG4" s="292">
        <v>0.1</v>
      </c>
      <c r="AH4" s="292">
        <v>0.06</v>
      </c>
      <c r="AI4" s="292">
        <v>0.09</v>
      </c>
      <c r="AJ4" s="293">
        <v>0.07</v>
      </c>
      <c r="AK4" s="292">
        <v>0.08</v>
      </c>
      <c r="AL4" s="292">
        <v>0.08</v>
      </c>
      <c r="AM4" s="292">
        <v>0.07</v>
      </c>
      <c r="AN4" s="292">
        <v>0.07</v>
      </c>
      <c r="AO4" s="294">
        <f>SUM(AC4:AN4)</f>
        <v>1.0</v>
      </c>
      <c r="AP4" s="294">
        <f>SUM(AI4:AN4)</f>
        <v>0.46</v>
      </c>
      <c r="AQ4" s="294">
        <f>AP4*1.1</f>
        <v>0.506</v>
      </c>
      <c r="AR4" s="292">
        <v>0.08</v>
      </c>
      <c r="AS4" s="292">
        <v>0.1</v>
      </c>
      <c r="AT4" s="292">
        <v>0.1</v>
      </c>
      <c r="AU4" s="292">
        <v>0.1</v>
      </c>
      <c r="AV4" s="292">
        <v>0.1</v>
      </c>
      <c r="AW4" s="292">
        <v>0.06</v>
      </c>
      <c r="AX4" s="83"/>
      <c r="AY4" s="83"/>
      <c r="AZ4" s="84"/>
      <c r="BA4" s="84"/>
      <c r="BB4" s="295"/>
      <c r="BC4" s="84"/>
      <c r="BD4" s="80"/>
      <c r="BE4" s="81"/>
      <c r="BF4" s="84"/>
      <c r="BG4" s="84"/>
      <c r="BH4" s="84"/>
      <c r="BI4" s="84"/>
      <c r="BJ4" s="84"/>
      <c r="BK4" s="84"/>
      <c r="BL4" s="84"/>
      <c r="BM4" s="84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84"/>
      <c r="CC4" s="83"/>
      <c r="CD4" s="84"/>
      <c r="CE4" s="84"/>
      <c r="CF4" s="84"/>
      <c r="CG4" s="84"/>
      <c r="CH4" s="84"/>
      <c r="CI4" s="84"/>
      <c r="CJ4" s="84"/>
      <c r="CK4" s="84"/>
      <c r="CL4" s="84"/>
      <c r="CM4" s="84"/>
      <c r="CN4" s="84"/>
      <c r="CO4" s="84"/>
      <c r="CP4" s="84"/>
      <c r="CQ4" s="84"/>
      <c r="CR4" s="84"/>
      <c r="CS4" s="84"/>
      <c r="CT4" s="84"/>
      <c r="CU4" s="84"/>
      <c r="CV4" s="84"/>
      <c r="CW4" s="84"/>
      <c r="CX4" s="84"/>
      <c r="CY4" s="84"/>
      <c r="CZ4" s="84"/>
      <c r="DA4" s="84"/>
      <c r="DB4" s="84"/>
      <c r="DC4" s="84"/>
      <c r="AMF4" s="84"/>
      <c r="AMG4" s="84"/>
      <c r="AMH4" s="84"/>
      <c r="AMI4" s="84"/>
      <c r="AMJ4" s="84"/>
    </row>
    <row r="5" ht="29.0">
      <c r="A5" s="73"/>
      <c r="B5" s="73"/>
      <c r="C5" s="73"/>
      <c r="D5" s="73"/>
      <c r="E5" s="74">
        <v>45893</v>
      </c>
      <c r="F5" s="74">
        <v>45924</v>
      </c>
      <c r="G5" s="74">
        <v>45954</v>
      </c>
      <c r="H5" s="74">
        <v>45985</v>
      </c>
      <c r="I5" s="74">
        <v>46015</v>
      </c>
      <c r="J5" s="74">
        <v>45682</v>
      </c>
      <c r="K5" s="74">
        <v>45713</v>
      </c>
      <c r="L5" s="74">
        <v>45741</v>
      </c>
      <c r="M5" s="74">
        <v>45772</v>
      </c>
      <c r="N5" s="74">
        <v>45802</v>
      </c>
      <c r="O5" s="74">
        <v>45833</v>
      </c>
      <c r="P5" s="74">
        <v>45863</v>
      </c>
      <c r="Q5" s="286">
        <v>45893</v>
      </c>
      <c r="R5" s="286">
        <v>45924</v>
      </c>
      <c r="S5" s="286">
        <v>45954</v>
      </c>
      <c r="T5" s="286">
        <v>45985</v>
      </c>
      <c r="U5" s="286">
        <v>46015</v>
      </c>
      <c r="V5" s="286">
        <v>45682</v>
      </c>
      <c r="W5" s="286">
        <v>45713</v>
      </c>
      <c r="X5" s="286">
        <v>45741</v>
      </c>
      <c r="Y5" s="286">
        <v>45772</v>
      </c>
      <c r="Z5" s="286">
        <v>45802</v>
      </c>
      <c r="AA5" s="286">
        <v>45833</v>
      </c>
      <c r="AB5" s="286">
        <v>45863</v>
      </c>
      <c r="AC5" s="76">
        <v>45893</v>
      </c>
      <c r="AD5" s="76">
        <v>45924</v>
      </c>
      <c r="AE5" s="76">
        <v>45954</v>
      </c>
      <c r="AF5" s="76">
        <v>45985</v>
      </c>
      <c r="AG5" s="76">
        <v>46015</v>
      </c>
      <c r="AH5" s="76">
        <v>45682</v>
      </c>
      <c r="AI5" s="76">
        <v>45713</v>
      </c>
      <c r="AJ5" s="76">
        <v>45741</v>
      </c>
      <c r="AK5" s="76">
        <v>45772</v>
      </c>
      <c r="AL5" s="76">
        <v>45802</v>
      </c>
      <c r="AM5" s="76">
        <v>45833</v>
      </c>
      <c r="AN5" s="76">
        <v>45863</v>
      </c>
      <c r="AO5" s="77" t="s">
        <v>1</v>
      </c>
      <c r="AP5" s="77" t="s">
        <v>175</v>
      </c>
      <c r="AQ5" s="77" t="s">
        <v>175</v>
      </c>
      <c r="AR5" s="76">
        <v>45894</v>
      </c>
      <c r="AS5" s="76">
        <v>45925</v>
      </c>
      <c r="AT5" s="76">
        <v>45955</v>
      </c>
      <c r="AU5" s="76">
        <v>45986</v>
      </c>
      <c r="AV5" s="76">
        <v>46016</v>
      </c>
      <c r="AW5" s="76">
        <v>46048</v>
      </c>
      <c r="AX5" s="73" t="s">
        <v>3</v>
      </c>
      <c r="AY5" s="73" t="s">
        <v>3</v>
      </c>
      <c r="AZ5" s="73" t="s">
        <v>3</v>
      </c>
      <c r="BA5" s="73" t="s">
        <v>3</v>
      </c>
      <c r="BB5" s="79" t="s">
        <v>3</v>
      </c>
      <c r="BC5" s="73" t="s">
        <v>3</v>
      </c>
      <c r="BD5" s="80" t="s">
        <v>3</v>
      </c>
      <c r="BE5" s="81"/>
      <c r="BF5" s="73" t="s">
        <v>521</v>
      </c>
      <c r="BG5" s="73" t="s">
        <v>6</v>
      </c>
      <c r="BH5" s="73"/>
      <c r="BI5" s="73"/>
      <c r="BJ5" s="73" t="s">
        <v>7</v>
      </c>
      <c r="BK5" s="73"/>
      <c r="BL5" s="73"/>
      <c r="BM5" s="73" t="s">
        <v>8</v>
      </c>
      <c r="BN5" s="73"/>
      <c r="BO5" s="73"/>
      <c r="BP5" s="73" t="s">
        <v>9</v>
      </c>
      <c r="BQ5" s="73"/>
      <c r="BR5" s="73"/>
      <c r="BS5" s="73" t="s">
        <v>10</v>
      </c>
      <c r="BT5" s="73"/>
      <c r="BU5" s="73"/>
      <c r="BV5" s="73" t="s">
        <v>822</v>
      </c>
      <c r="BW5" s="73"/>
      <c r="BX5" s="73"/>
      <c r="BY5" s="73"/>
      <c r="BZ5" s="73"/>
      <c r="CA5" s="73"/>
      <c r="CB5" s="73"/>
      <c r="CC5" s="268" t="s">
        <v>823</v>
      </c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AMF5" s="83"/>
      <c r="AMG5" s="83"/>
      <c r="AMH5" s="83"/>
      <c r="AMI5" s="83"/>
      <c r="AMJ5" s="84"/>
    </row>
    <row r="6" ht="43.0">
      <c r="A6" s="85" t="s">
        <v>12</v>
      </c>
      <c r="B6" s="85" t="s">
        <v>13</v>
      </c>
      <c r="C6" s="85" t="s">
        <v>14</v>
      </c>
      <c r="D6" s="86" t="s">
        <v>15</v>
      </c>
      <c r="E6" s="87" t="s">
        <v>16</v>
      </c>
      <c r="F6" s="87" t="s">
        <v>16</v>
      </c>
      <c r="G6" s="87" t="s">
        <v>16</v>
      </c>
      <c r="H6" s="87" t="s">
        <v>16</v>
      </c>
      <c r="I6" s="87" t="s">
        <v>16</v>
      </c>
      <c r="J6" s="87" t="s">
        <v>16</v>
      </c>
      <c r="K6" s="87" t="s">
        <v>16</v>
      </c>
      <c r="L6" s="87" t="s">
        <v>16</v>
      </c>
      <c r="M6" s="87" t="s">
        <v>16</v>
      </c>
      <c r="N6" s="87" t="s">
        <v>16</v>
      </c>
      <c r="O6" s="87" t="s">
        <v>16</v>
      </c>
      <c r="P6" s="87" t="s">
        <v>16</v>
      </c>
      <c r="Q6" s="87" t="s">
        <v>16</v>
      </c>
      <c r="R6" s="87" t="s">
        <v>16</v>
      </c>
      <c r="S6" s="87" t="s">
        <v>16</v>
      </c>
      <c r="T6" s="87" t="s">
        <v>16</v>
      </c>
      <c r="U6" s="87" t="s">
        <v>16</v>
      </c>
      <c r="V6" s="87" t="s">
        <v>16</v>
      </c>
      <c r="W6" s="87" t="s">
        <v>16</v>
      </c>
      <c r="X6" s="87" t="s">
        <v>16</v>
      </c>
      <c r="Y6" s="87" t="s">
        <v>16</v>
      </c>
      <c r="Z6" s="87" t="s">
        <v>16</v>
      </c>
      <c r="AA6" s="87" t="s">
        <v>16</v>
      </c>
      <c r="AB6" s="87" t="s">
        <v>16</v>
      </c>
      <c r="AC6" s="87" t="s">
        <v>16</v>
      </c>
      <c r="AD6" s="87" t="s">
        <v>16</v>
      </c>
      <c r="AE6" s="87" t="s">
        <v>16</v>
      </c>
      <c r="AF6" s="87" t="s">
        <v>16</v>
      </c>
      <c r="AG6" s="87" t="s">
        <v>16</v>
      </c>
      <c r="AH6" s="87" t="s">
        <v>16</v>
      </c>
      <c r="AI6" s="87" t="s">
        <v>16</v>
      </c>
      <c r="AJ6" s="87" t="s">
        <v>16</v>
      </c>
      <c r="AK6" s="87" t="s">
        <v>16</v>
      </c>
      <c r="AL6" s="87" t="s">
        <v>16</v>
      </c>
      <c r="AM6" s="87" t="s">
        <v>16</v>
      </c>
      <c r="AN6" s="87" t="s">
        <v>16</v>
      </c>
      <c r="AO6" s="88" t="s">
        <v>3</v>
      </c>
      <c r="AP6" s="88" t="s">
        <v>3</v>
      </c>
      <c r="AQ6" s="88" t="s">
        <v>17</v>
      </c>
      <c r="AR6" s="265" t="s">
        <v>18</v>
      </c>
      <c r="AS6" s="265" t="s">
        <v>18</v>
      </c>
      <c r="AT6" s="265" t="s">
        <v>18</v>
      </c>
      <c r="AU6" s="265" t="s">
        <v>18</v>
      </c>
      <c r="AV6" s="265" t="s">
        <v>18</v>
      </c>
      <c r="AW6" s="265" t="s">
        <v>18</v>
      </c>
      <c r="AX6" s="89" t="s">
        <v>18</v>
      </c>
      <c r="AY6" s="87" t="s">
        <v>825</v>
      </c>
      <c r="AZ6" s="287" t="s">
        <v>21</v>
      </c>
      <c r="BA6" s="287" t="s">
        <v>178</v>
      </c>
      <c r="BB6" s="91" t="s">
        <v>22</v>
      </c>
      <c r="BC6" s="87" t="s">
        <v>23</v>
      </c>
      <c r="BD6" s="92" t="s">
        <v>24</v>
      </c>
      <c r="BE6" s="85" t="s">
        <v>25</v>
      </c>
      <c r="BF6" s="87" t="s">
        <v>26</v>
      </c>
      <c r="BG6" s="87" t="s">
        <v>18</v>
      </c>
      <c r="BH6" s="87" t="s">
        <v>27</v>
      </c>
      <c r="BI6" s="87" t="s">
        <v>28</v>
      </c>
      <c r="BJ6" s="87" t="s">
        <v>18</v>
      </c>
      <c r="BK6" s="87" t="s">
        <v>27</v>
      </c>
      <c r="BL6" s="87" t="s">
        <v>28</v>
      </c>
      <c r="BM6" s="87" t="s">
        <v>18</v>
      </c>
      <c r="BN6" s="87" t="s">
        <v>27</v>
      </c>
      <c r="BO6" s="87" t="s">
        <v>28</v>
      </c>
      <c r="BP6" s="87" t="s">
        <v>18</v>
      </c>
      <c r="BQ6" s="87" t="s">
        <v>27</v>
      </c>
      <c r="BR6" s="87" t="s">
        <v>28</v>
      </c>
      <c r="BS6" s="87" t="s">
        <v>18</v>
      </c>
      <c r="BT6" s="87" t="s">
        <v>27</v>
      </c>
      <c r="BU6" s="87" t="s">
        <v>28</v>
      </c>
      <c r="BV6" s="87" t="s">
        <v>18</v>
      </c>
      <c r="BW6" s="87" t="s">
        <v>27</v>
      </c>
      <c r="BX6" s="87" t="s">
        <v>28</v>
      </c>
      <c r="BY6" s="84"/>
      <c r="BZ6" s="268" t="s">
        <v>823</v>
      </c>
      <c r="CA6" s="268" t="s">
        <v>29</v>
      </c>
      <c r="CB6" s="268" t="s">
        <v>30</v>
      </c>
      <c r="CC6" s="268" t="s">
        <v>31</v>
      </c>
      <c r="CD6" s="84"/>
      <c r="CE6" s="84"/>
      <c r="CF6" s="84"/>
      <c r="CG6" s="84"/>
      <c r="CH6" s="84"/>
      <c r="CI6" s="84"/>
      <c r="CJ6" s="84"/>
      <c r="CK6" s="84"/>
      <c r="CL6" s="84"/>
      <c r="CM6" s="84"/>
      <c r="CN6" s="84"/>
      <c r="CO6" s="84"/>
      <c r="CP6" s="84"/>
      <c r="CQ6" s="84"/>
      <c r="CR6" s="84"/>
      <c r="CS6" s="84"/>
      <c r="CT6" s="84"/>
      <c r="CU6" s="84"/>
      <c r="CV6" s="84"/>
      <c r="CW6" s="84"/>
      <c r="CX6" s="84"/>
      <c r="CY6" s="84"/>
      <c r="CZ6" s="84"/>
      <c r="DA6" s="84"/>
      <c r="DB6" s="84"/>
      <c r="DC6" s="84"/>
      <c r="AMF6" s="84"/>
      <c r="AMG6" s="84"/>
      <c r="AMH6" s="84"/>
      <c r="AMI6" s="84"/>
      <c r="AMJ6" s="84"/>
    </row>
    <row r="7" ht="17.0">
      <c r="A7" s="296" t="s">
        <v>32</v>
      </c>
      <c r="B7" s="296" t="s">
        <v>33</v>
      </c>
      <c r="C7" s="296" t="s">
        <v>34</v>
      </c>
      <c r="D7" s="297" t="s">
        <v>35</v>
      </c>
      <c r="F7" s="296">
        <v>0.0</v>
      </c>
      <c r="G7" s="296">
        <v>1.0</v>
      </c>
      <c r="H7" s="296">
        <v>2.0</v>
      </c>
      <c r="I7" s="296">
        <v>0.0</v>
      </c>
      <c r="J7" s="296">
        <v>0.0</v>
      </c>
      <c r="K7" s="296">
        <v>0.0</v>
      </c>
      <c r="L7" s="296">
        <v>-1.0</v>
      </c>
      <c r="M7" s="296">
        <v>0.0</v>
      </c>
      <c r="N7" s="296">
        <v>0.0</v>
      </c>
      <c r="O7" s="296">
        <v>0.0</v>
      </c>
      <c r="P7" s="296">
        <v>0.0</v>
      </c>
      <c r="Q7" s="296">
        <v>0.0</v>
      </c>
      <c r="R7" s="296">
        <v>0.0</v>
      </c>
      <c r="S7" s="296">
        <v>1.0</v>
      </c>
      <c r="T7" s="296">
        <v>1.0</v>
      </c>
      <c r="U7" s="296">
        <v>0.0</v>
      </c>
      <c r="V7" s="296">
        <v>1.0</v>
      </c>
      <c r="W7" s="296">
        <v>0.0</v>
      </c>
      <c r="X7" s="296">
        <v>1.0</v>
      </c>
      <c r="Y7" s="296">
        <v>1.0</v>
      </c>
      <c r="Z7" s="296">
        <v>0.0</v>
      </c>
      <c r="AA7" s="296">
        <v>0.0</v>
      </c>
      <c r="AB7" s="296">
        <v>0.0</v>
      </c>
      <c r="AC7" s="296">
        <v>0.0</v>
      </c>
      <c r="AD7" s="296">
        <v>0.0</v>
      </c>
      <c r="AE7" s="296">
        <v>0.0</v>
      </c>
      <c r="AF7" s="296">
        <v>1.0</v>
      </c>
      <c r="AG7" s="296">
        <v>0.0</v>
      </c>
      <c r="AH7" s="296">
        <v>0.0</v>
      </c>
      <c r="AI7" s="296">
        <v>1.0</v>
      </c>
      <c r="AJ7" s="296">
        <v>0.0</v>
      </c>
      <c r="AK7" s="296">
        <v>0.0</v>
      </c>
      <c r="AL7" s="296">
        <v>0.0</v>
      </c>
      <c r="AM7" s="296">
        <v>0.0</v>
      </c>
      <c r="AN7" s="296">
        <v>0.0</v>
      </c>
      <c r="AO7" s="298">
        <f t="shared" ref="AO7:AO95" si="3">SUM(AC7:AN7)</f>
        <v>2.0</v>
      </c>
      <c r="AP7" s="298">
        <f t="shared" ref="AP7:AP95" si="4">SUM(AI7:AN7)</f>
        <v>1.0</v>
      </c>
      <c r="AQ7" s="298">
        <f t="shared" ref="AQ7:AQ95" si="5">AP7*1.1</f>
        <v>1.1</v>
      </c>
      <c r="AR7" s="130">
        <f>AR8</f>
        <v>0.695652173913043</v>
      </c>
      <c r="AS7" s="130">
        <f>AS8</f>
        <v>0.869565217391304</v>
      </c>
      <c r="AT7" s="130">
        <f>AT8</f>
        <v>0.869565217391304</v>
      </c>
      <c r="AU7" s="130">
        <f>AU8</f>
        <v>0.869565217391304</v>
      </c>
      <c r="AV7" s="130">
        <f>AV8</f>
        <v>0.869565217391304</v>
      </c>
      <c r="AW7" s="130">
        <f>AW8</f>
        <v>0.521739130434782</v>
      </c>
      <c r="AX7" s="130">
        <f t="shared" ref="AX7:AX95" si="12">SUM(AR7:AW7)</f>
        <v>4.69565217391304</v>
      </c>
      <c r="AY7" s="23" t="e">
        <f t="shared" ref="AY7:AY95" si="13">VLOOKUP(D7,AUG11SOH,3,false)</f>
        <v>#REF!</v>
      </c>
      <c r="BB7" s="298" t="e">
        <f t="shared" ref="BB7:BB95" si="14">AY7-AX7+AZ7+BA7</f>
        <v>#REF!</v>
      </c>
      <c r="BC7">
        <f>VLOOKUP(C7,MOQ,3,false)</f>
      </c>
      <c r="BF7" s="130" t="e">
        <f>AY7</f>
        <v>#REF!</v>
      </c>
      <c r="BG7" s="130">
        <f>AR7</f>
        <v>0.695652173913043</v>
      </c>
      <c r="BI7" s="298" t="e">
        <f>BF7+BH7-BG7</f>
        <v>#REF!</v>
      </c>
      <c r="BJ7" s="298">
        <f>AS7</f>
        <v>0.869565217391304</v>
      </c>
      <c r="BK7" s="298"/>
      <c r="BL7" s="298" t="e">
        <f>BI7+BK7-BJ7</f>
        <v>#REF!</v>
      </c>
      <c r="BM7" s="298">
        <f>AT7</f>
        <v>0.869565217391304</v>
      </c>
      <c r="BN7" s="298"/>
      <c r="BO7" s="298" t="e">
        <f>BL7+BN7-BM7</f>
        <v>#REF!</v>
      </c>
      <c r="BP7" s="298">
        <f>AU7</f>
        <v>0.869565217391304</v>
      </c>
      <c r="BQ7" s="298"/>
      <c r="BR7" s="298" t="e">
        <f>BO7+BQ7-BP7</f>
        <v>#REF!</v>
      </c>
      <c r="BS7" s="298">
        <f>AV7</f>
        <v>0.869565217391304</v>
      </c>
      <c r="BT7" s="298"/>
      <c r="BU7" s="298" t="e">
        <f>BR7+BT7-BS7</f>
        <v>#REF!</v>
      </c>
      <c r="BV7" s="298">
        <f>AW7</f>
        <v>0.521739130434782</v>
      </c>
      <c r="BW7" s="298"/>
      <c r="BX7" s="298" t="e">
        <f>BU7+BW7-BV7</f>
        <v>#REF!</v>
      </c>
    </row>
    <row r="8" ht="17.0">
      <c r="A8" s="296" t="s">
        <v>32</v>
      </c>
      <c r="B8" s="296" t="s">
        <v>33</v>
      </c>
      <c r="C8" s="296" t="s">
        <v>36</v>
      </c>
      <c r="D8" s="297" t="s">
        <v>37</v>
      </c>
      <c r="F8" s="296">
        <v>1.0</v>
      </c>
      <c r="G8" s="296">
        <v>0.0</v>
      </c>
      <c r="H8" s="296">
        <v>0.0</v>
      </c>
      <c r="I8" s="296">
        <v>0.0</v>
      </c>
      <c r="J8" s="296">
        <v>2.0</v>
      </c>
      <c r="K8" s="296">
        <v>2.0</v>
      </c>
      <c r="L8" s="296">
        <v>1.0</v>
      </c>
      <c r="M8" s="296">
        <v>2.0</v>
      </c>
      <c r="N8" s="296">
        <v>1.0</v>
      </c>
      <c r="O8" s="296">
        <v>1.0</v>
      </c>
      <c r="P8" s="296">
        <v>1.0</v>
      </c>
      <c r="Q8" s="296">
        <v>2.0</v>
      </c>
      <c r="R8" s="296">
        <v>2.0</v>
      </c>
      <c r="S8" s="296">
        <v>0.0</v>
      </c>
      <c r="T8" s="296">
        <v>0.0</v>
      </c>
      <c r="U8" s="296">
        <v>0.0</v>
      </c>
      <c r="V8" s="296">
        <v>0.0</v>
      </c>
      <c r="W8" s="296">
        <v>0.0</v>
      </c>
      <c r="X8" s="296">
        <v>0.0</v>
      </c>
      <c r="Y8" s="296">
        <v>0.0</v>
      </c>
      <c r="Z8" s="296">
        <v>0.0</v>
      </c>
      <c r="AA8" s="296">
        <v>0.0</v>
      </c>
      <c r="AB8" s="296">
        <v>0.0</v>
      </c>
      <c r="AC8" s="296">
        <v>0.0</v>
      </c>
      <c r="AD8" s="296">
        <v>0.0</v>
      </c>
      <c r="AE8" s="296">
        <v>1.0</v>
      </c>
      <c r="AF8" s="296">
        <v>0.0</v>
      </c>
      <c r="AG8" s="296">
        <v>0.0</v>
      </c>
      <c r="AH8" s="296">
        <v>0.0</v>
      </c>
      <c r="AI8" s="296">
        <v>0.0</v>
      </c>
      <c r="AJ8" s="296">
        <v>2.0</v>
      </c>
      <c r="AK8" s="296">
        <v>1.0</v>
      </c>
      <c r="AL8" s="296">
        <v>0.0</v>
      </c>
      <c r="AM8" s="296">
        <v>0.0</v>
      </c>
      <c r="AN8" s="296">
        <v>1.0</v>
      </c>
      <c r="AO8" s="298">
        <f t="shared" si="3"/>
        <v>5.0</v>
      </c>
      <c r="AP8" s="298">
        <f t="shared" si="4"/>
        <v>4.0</v>
      </c>
      <c r="AQ8" s="298">
        <f t="shared" si="5"/>
        <v>4.4</v>
      </c>
      <c r="AR8" s="299">
        <f>AQ8*$AR$4/$AQ$4</f>
        <v>0.695652173913043</v>
      </c>
      <c r="AS8" s="299">
        <f>AQ8*$AS$4/$AQ$4</f>
        <v>0.869565217391304</v>
      </c>
      <c r="AT8" s="299">
        <f>AQ8*$AT$4/$AQ$4</f>
        <v>0.869565217391304</v>
      </c>
      <c r="AU8" s="299">
        <f>AQ8*$AU$4/$AQ$4</f>
        <v>0.869565217391304</v>
      </c>
      <c r="AV8" s="299">
        <f>AQ8*$AV$4/$AQ$4</f>
        <v>0.869565217391304</v>
      </c>
      <c r="AW8" s="299">
        <f>AQ8*$AW$4/$AQ$4</f>
        <v>0.521739130434782</v>
      </c>
      <c r="AX8" s="130">
        <f t="shared" si="12"/>
        <v>4.69565217391304</v>
      </c>
      <c r="AY8" s="23" t="e">
        <f t="shared" si="13"/>
        <v>#REF!</v>
      </c>
      <c r="BB8" s="298" t="e">
        <f t="shared" si="14"/>
        <v>#REF!</v>
      </c>
      <c r="BC8">
        <f>VLOOKUP(C8,MOQ,3,false)</f>
      </c>
      <c r="BI8" s="298"/>
      <c r="BJ8" s="298"/>
      <c r="BK8" s="298"/>
      <c r="BL8" s="298"/>
      <c r="BM8" s="298"/>
      <c r="BN8" s="298"/>
      <c r="BO8" s="298"/>
      <c r="BP8" s="298"/>
      <c r="BQ8" s="298"/>
      <c r="BR8" s="298"/>
      <c r="BS8" s="298"/>
      <c r="BT8" s="298"/>
      <c r="BU8" s="298"/>
      <c r="BV8" s="298"/>
      <c r="BW8" s="298"/>
      <c r="BX8" s="298"/>
    </row>
    <row r="9" ht="17.0">
      <c r="A9" s="296" t="s">
        <v>32</v>
      </c>
      <c r="B9" s="296" t="s">
        <v>33</v>
      </c>
      <c r="C9" s="296" t="s">
        <v>41</v>
      </c>
      <c r="D9" s="297">
        <v>35805.0</v>
      </c>
      <c r="F9" s="296">
        <v>0.0</v>
      </c>
      <c r="G9" s="296">
        <v>0.0</v>
      </c>
      <c r="H9" s="296">
        <v>18.0</v>
      </c>
      <c r="I9" s="296">
        <v>90.0</v>
      </c>
      <c r="J9" s="296">
        <v>6.0</v>
      </c>
      <c r="K9" s="296">
        <v>6.0</v>
      </c>
      <c r="L9" s="296">
        <v>6.0</v>
      </c>
      <c r="M9" s="296">
        <v>0.0</v>
      </c>
      <c r="N9" s="296">
        <v>12.0</v>
      </c>
      <c r="O9" s="296">
        <v>6.0</v>
      </c>
      <c r="P9" s="296">
        <v>12.0</v>
      </c>
      <c r="Q9" s="296">
        <v>54.0</v>
      </c>
      <c r="R9" s="296">
        <v>12.0</v>
      </c>
      <c r="S9" s="296">
        <v>42.0</v>
      </c>
      <c r="T9" s="296">
        <v>54.0</v>
      </c>
      <c r="U9" s="296">
        <v>60.0</v>
      </c>
      <c r="V9" s="296">
        <v>6.0</v>
      </c>
      <c r="W9" s="296">
        <v>30.0</v>
      </c>
      <c r="X9" s="296">
        <v>54.0</v>
      </c>
      <c r="Y9" s="296">
        <v>30.0</v>
      </c>
      <c r="Z9" s="296">
        <v>48.0</v>
      </c>
      <c r="AA9" s="296">
        <v>12.0</v>
      </c>
      <c r="AB9" s="296">
        <v>13.0</v>
      </c>
      <c r="AC9" s="296">
        <v>18.0</v>
      </c>
      <c r="AD9" s="296">
        <v>12.0</v>
      </c>
      <c r="AE9" s="296">
        <v>18.0</v>
      </c>
      <c r="AF9" s="296">
        <v>18.0</v>
      </c>
      <c r="AG9" s="296">
        <v>18.0</v>
      </c>
      <c r="AH9" s="296">
        <v>12.0</v>
      </c>
      <c r="AI9" s="296">
        <v>18.0</v>
      </c>
      <c r="AJ9" s="296">
        <v>12.0</v>
      </c>
      <c r="AK9" s="296">
        <v>12.0</v>
      </c>
      <c r="AL9" s="296">
        <v>6.0</v>
      </c>
      <c r="AM9" s="296">
        <v>-6.0</v>
      </c>
      <c r="AN9" s="296">
        <v>11.0</v>
      </c>
      <c r="AO9" s="298">
        <f t="shared" si="3"/>
        <v>149.0</v>
      </c>
      <c r="AP9" s="298">
        <f t="shared" si="4"/>
        <v>53.0</v>
      </c>
      <c r="AQ9" s="298">
        <f t="shared" si="5"/>
        <v>58.3</v>
      </c>
      <c r="AR9" s="130">
        <f t="shared" ref="AR9:AR11" si="35">AQ9*$AR$4/$AQ$4+6*$AR$8</f>
        <v>13.391304347826</v>
      </c>
      <c r="AS9" s="130">
        <f t="shared" ref="AS9:AS11" si="36">AQ9*$AS$4/$AQ$4+6*$AS$8</f>
        <v>16.7391304347826</v>
      </c>
      <c r="AT9" s="130">
        <f t="shared" ref="AT9:AT11" si="37">AQ9*$AT$4/$AQ$4+6*$AT$8</f>
        <v>16.7391304347826</v>
      </c>
      <c r="AU9" s="130">
        <f t="shared" ref="AU9:AU11" si="38">AQ9*$AU$4/$AQ$4+6*$AU$8</f>
        <v>16.7391304347826</v>
      </c>
      <c r="AV9" s="130">
        <f t="shared" ref="AV9:AV11" si="39">AQ9*$AV$4/$AQ$4+6*$AV$8</f>
        <v>16.7391304347826</v>
      </c>
      <c r="AW9" s="130">
        <f t="shared" ref="AW9:AW11" si="40">AQ9*$AW$4/$AQ$4+6*$AW$8</f>
        <v>10.0434782608696</v>
      </c>
      <c r="AX9" s="130">
        <f t="shared" si="12"/>
        <v>90.391304347826</v>
      </c>
      <c r="AY9" s="23" t="e">
        <f t="shared" si="13"/>
        <v>#REF!</v>
      </c>
      <c r="BB9" s="298" t="e">
        <f t="shared" si="14"/>
        <v>#REF!</v>
      </c>
      <c r="BC9">
        <f>VLOOKUP(C9,MOQ,3,false)</f>
      </c>
      <c r="BE9" s="130" t="s">
        <v>330</v>
      </c>
      <c r="BF9" s="130" t="e">
        <f t="shared" ref="BF9:BF18" si="41">AY9</f>
        <v>#REF!</v>
      </c>
      <c r="BG9" s="130">
        <f t="shared" ref="BG9:BG18" si="42">AR9</f>
        <v>13.391304347826</v>
      </c>
      <c r="BI9" s="298" t="e">
        <f t="shared" ref="BI9:BI18" si="43">BF9+BH9-BG9</f>
        <v>#REF!</v>
      </c>
      <c r="BJ9" s="298">
        <f t="shared" ref="BJ9:BJ18" si="44">AS9</f>
        <v>16.7391304347826</v>
      </c>
      <c r="BK9" s="298"/>
      <c r="BL9" s="298" t="e">
        <f t="shared" ref="BL9:BL18" si="45">BI9+BK9-BJ9</f>
        <v>#REF!</v>
      </c>
      <c r="BM9" s="298">
        <f t="shared" ref="BM9:BM18" si="46">AT9</f>
        <v>16.7391304347826</v>
      </c>
      <c r="BN9" s="298"/>
      <c r="BO9" s="298" t="e">
        <f t="shared" ref="BO9:BO18" si="47">BL9+BN9-BM9</f>
        <v>#REF!</v>
      </c>
      <c r="BP9" s="298">
        <f t="shared" ref="BP9:BP18" si="48">AU9</f>
        <v>16.7391304347826</v>
      </c>
      <c r="BQ9" s="298"/>
      <c r="BR9" s="298" t="e">
        <f t="shared" ref="BR9:BR18" si="49">BO9+BQ9-BP9</f>
        <v>#REF!</v>
      </c>
      <c r="BS9" s="298">
        <f t="shared" ref="BS9:BS18" si="50">AV9</f>
        <v>16.7391304347826</v>
      </c>
      <c r="BT9" s="298"/>
      <c r="BU9" s="298" t="e">
        <f t="shared" ref="BU9:BU18" si="51">BR9+BT9-BS9</f>
        <v>#REF!</v>
      </c>
      <c r="BV9" s="298">
        <f t="shared" ref="BV9:BV18" si="52">AW9</f>
        <v>10.0434782608696</v>
      </c>
      <c r="BW9" s="298"/>
      <c r="BX9" s="298" t="e">
        <f t="shared" ref="BX9:BX18" si="53">BU9+BW9-BV9</f>
        <v>#REF!</v>
      </c>
      <c r="BZ9" s="23" t="e">
        <f t="shared" ref="BZ9:BZ17" si="54">BX9*-1</f>
        <v>#REF!</v>
      </c>
      <c r="CA9" s="300" t="e">
        <f t="shared" ref="CA9:CA17" si="55">BZ9/6</f>
        <v>#REF!</v>
      </c>
      <c r="CB9" s="130" t="e">
        <f t="shared" ref="CB9:CB17" si="56">ROUNDUP(CA9,0)</f>
        <v>#REF!</v>
      </c>
      <c r="CC9" s="23" t="e">
        <f t="shared" ref="CC9:CC17" si="57">CB9*6</f>
        <v>#REF!</v>
      </c>
    </row>
    <row r="10" ht="17.0">
      <c r="A10" s="296" t="s">
        <v>32</v>
      </c>
      <c r="B10" s="296" t="s">
        <v>33</v>
      </c>
      <c r="C10" s="296" t="s">
        <v>39</v>
      </c>
      <c r="D10" s="297">
        <v>35804.0</v>
      </c>
      <c r="F10" s="296">
        <v>-6.0</v>
      </c>
      <c r="G10" s="296">
        <v>0.0</v>
      </c>
      <c r="H10" s="296">
        <v>18.0</v>
      </c>
      <c r="I10" s="296">
        <v>96.0</v>
      </c>
      <c r="J10" s="296">
        <v>12.0</v>
      </c>
      <c r="K10" s="296">
        <v>12.0</v>
      </c>
      <c r="L10" s="296">
        <v>6.0</v>
      </c>
      <c r="M10" s="296">
        <v>6.0</v>
      </c>
      <c r="N10" s="296">
        <v>12.0</v>
      </c>
      <c r="O10" s="296">
        <v>24.0</v>
      </c>
      <c r="P10" s="296">
        <v>18.0</v>
      </c>
      <c r="Q10" s="296">
        <v>66.0</v>
      </c>
      <c r="R10" s="296">
        <v>24.0</v>
      </c>
      <c r="S10" s="296">
        <v>0.0</v>
      </c>
      <c r="T10" s="296">
        <v>0.0</v>
      </c>
      <c r="U10" s="296">
        <v>6.0</v>
      </c>
      <c r="V10" s="296">
        <v>0.0</v>
      </c>
      <c r="W10" s="296">
        <v>6.0</v>
      </c>
      <c r="X10" s="296">
        <v>30.0</v>
      </c>
      <c r="Y10" s="296">
        <v>42.0</v>
      </c>
      <c r="Z10" s="296">
        <v>30.0</v>
      </c>
      <c r="AA10" s="296">
        <v>0.0</v>
      </c>
      <c r="AB10" s="296">
        <v>7.0</v>
      </c>
      <c r="AC10" s="296">
        <v>24.0</v>
      </c>
      <c r="AD10" s="296">
        <v>12.0</v>
      </c>
      <c r="AE10" s="296">
        <v>36.0</v>
      </c>
      <c r="AF10" s="296">
        <v>6.0</v>
      </c>
      <c r="AG10" s="296">
        <v>0.0</v>
      </c>
      <c r="AH10" s="296">
        <v>30.0</v>
      </c>
      <c r="AI10" s="296">
        <v>18.0</v>
      </c>
      <c r="AJ10" s="296">
        <v>0.0</v>
      </c>
      <c r="AK10" s="296">
        <v>18.0</v>
      </c>
      <c r="AL10" s="296">
        <v>12.0</v>
      </c>
      <c r="AM10" s="296">
        <v>6.0</v>
      </c>
      <c r="AN10" s="296">
        <v>0.0</v>
      </c>
      <c r="AO10" s="298">
        <f t="shared" si="3"/>
        <v>162.0</v>
      </c>
      <c r="AP10" s="298">
        <f t="shared" si="4"/>
        <v>54.0</v>
      </c>
      <c r="AQ10" s="298">
        <f t="shared" si="5"/>
        <v>59.4</v>
      </c>
      <c r="AR10" s="130">
        <f t="shared" si="35"/>
        <v>13.5652173913042</v>
      </c>
      <c r="AS10" s="130">
        <f t="shared" si="36"/>
        <v>16.9565217391304</v>
      </c>
      <c r="AT10" s="130">
        <f t="shared" si="37"/>
        <v>16.9565217391304</v>
      </c>
      <c r="AU10" s="130">
        <f t="shared" si="38"/>
        <v>16.9565217391304</v>
      </c>
      <c r="AV10" s="130">
        <f t="shared" si="39"/>
        <v>16.9565217391304</v>
      </c>
      <c r="AW10" s="130">
        <f t="shared" si="40"/>
        <v>10.1739130434782</v>
      </c>
      <c r="AX10" s="130">
        <f t="shared" si="12"/>
        <v>91.565217391304</v>
      </c>
      <c r="AY10" s="23" t="e">
        <f t="shared" si="13"/>
        <v>#REF!</v>
      </c>
      <c r="BB10" s="298" t="e">
        <f t="shared" si="14"/>
        <v>#REF!</v>
      </c>
      <c r="BC10">
        <f>VLOOKUP(C10,MOQ,3,false)</f>
      </c>
      <c r="BE10" s="130" t="s">
        <v>330</v>
      </c>
      <c r="BF10" s="130" t="e">
        <f t="shared" si="41"/>
        <v>#REF!</v>
      </c>
      <c r="BG10" s="130">
        <f t="shared" si="42"/>
        <v>13.5652173913042</v>
      </c>
      <c r="BI10" s="298" t="e">
        <f t="shared" si="43"/>
        <v>#REF!</v>
      </c>
      <c r="BJ10" s="298">
        <f t="shared" si="44"/>
        <v>16.9565217391304</v>
      </c>
      <c r="BK10" s="298"/>
      <c r="BL10" s="298" t="e">
        <f t="shared" si="45"/>
        <v>#REF!</v>
      </c>
      <c r="BM10" s="298">
        <f t="shared" si="46"/>
        <v>16.9565217391304</v>
      </c>
      <c r="BN10" s="298"/>
      <c r="BO10" s="298" t="e">
        <f t="shared" si="47"/>
        <v>#REF!</v>
      </c>
      <c r="BP10" s="298">
        <f t="shared" si="48"/>
        <v>16.9565217391304</v>
      </c>
      <c r="BQ10" s="298"/>
      <c r="BR10" s="298" t="e">
        <f t="shared" si="49"/>
        <v>#REF!</v>
      </c>
      <c r="BS10" s="298">
        <f t="shared" si="50"/>
        <v>16.9565217391304</v>
      </c>
      <c r="BT10" s="298"/>
      <c r="BU10" s="298" t="e">
        <f t="shared" si="51"/>
        <v>#REF!</v>
      </c>
      <c r="BV10" s="298">
        <f t="shared" si="52"/>
        <v>10.1739130434782</v>
      </c>
      <c r="BW10" s="298"/>
      <c r="BX10" s="298" t="e">
        <f t="shared" si="53"/>
        <v>#REF!</v>
      </c>
      <c r="BZ10" s="23" t="e">
        <f t="shared" si="54"/>
        <v>#REF!</v>
      </c>
      <c r="CA10" s="300" t="e">
        <f t="shared" si="55"/>
        <v>#REF!</v>
      </c>
      <c r="CB10" s="130" t="e">
        <f t="shared" si="56"/>
        <v>#REF!</v>
      </c>
      <c r="CC10" s="23" t="e">
        <f t="shared" si="57"/>
        <v>#REF!</v>
      </c>
    </row>
    <row r="11" ht="17.0">
      <c r="A11" s="296" t="s">
        <v>32</v>
      </c>
      <c r="B11" s="296" t="s">
        <v>33</v>
      </c>
      <c r="C11" s="296" t="s">
        <v>38</v>
      </c>
      <c r="D11" s="297">
        <v>35801.0</v>
      </c>
      <c r="F11" s="296">
        <v>78.0</v>
      </c>
      <c r="G11" s="296">
        <v>54.0</v>
      </c>
      <c r="H11" s="296">
        <v>0.0</v>
      </c>
      <c r="I11" s="296">
        <v>90.0</v>
      </c>
      <c r="J11" s="296">
        <v>24.0</v>
      </c>
      <c r="K11" s="296">
        <v>12.0</v>
      </c>
      <c r="L11" s="296">
        <v>0.0</v>
      </c>
      <c r="M11" s="296">
        <v>24.0</v>
      </c>
      <c r="N11" s="296">
        <v>30.0</v>
      </c>
      <c r="O11" s="296">
        <v>6.0</v>
      </c>
      <c r="P11" s="296">
        <v>12.0</v>
      </c>
      <c r="Q11" s="296">
        <v>6.0</v>
      </c>
      <c r="R11" s="296">
        <v>30.0</v>
      </c>
      <c r="S11" s="296">
        <v>24.0</v>
      </c>
      <c r="T11" s="296">
        <v>42.0</v>
      </c>
      <c r="U11" s="296">
        <v>48.0</v>
      </c>
      <c r="V11" s="296">
        <v>37.0</v>
      </c>
      <c r="W11" s="296">
        <v>30.0</v>
      </c>
      <c r="X11" s="296">
        <v>60.0</v>
      </c>
      <c r="Y11" s="296">
        <v>30.0</v>
      </c>
      <c r="Z11" s="296">
        <v>18.0</v>
      </c>
      <c r="AA11" s="296">
        <v>6.0</v>
      </c>
      <c r="AB11" s="296">
        <v>37.0</v>
      </c>
      <c r="AC11" s="296">
        <v>24.0</v>
      </c>
      <c r="AD11" s="296">
        <v>30.0</v>
      </c>
      <c r="AE11" s="296">
        <v>48.0</v>
      </c>
      <c r="AF11" s="296">
        <v>18.0</v>
      </c>
      <c r="AG11" s="296">
        <v>18.0</v>
      </c>
      <c r="AH11" s="296">
        <v>24.0</v>
      </c>
      <c r="AI11" s="296">
        <v>24.0</v>
      </c>
      <c r="AJ11" s="296">
        <v>6.0</v>
      </c>
      <c r="AK11" s="296">
        <v>18.0</v>
      </c>
      <c r="AL11" s="296">
        <v>18.0</v>
      </c>
      <c r="AM11" s="296">
        <v>13.0</v>
      </c>
      <c r="AN11" s="296">
        <v>6.0</v>
      </c>
      <c r="AO11" s="298">
        <f t="shared" si="3"/>
        <v>247.0</v>
      </c>
      <c r="AP11" s="298">
        <f t="shared" si="4"/>
        <v>85.0</v>
      </c>
      <c r="AQ11" s="298">
        <f t="shared" si="5"/>
        <v>93.5</v>
      </c>
      <c r="AR11" s="130">
        <f t="shared" si="35"/>
        <v>18.9565217391303</v>
      </c>
      <c r="AS11" s="130">
        <f t="shared" si="36"/>
        <v>23.695652173913</v>
      </c>
      <c r="AT11" s="130">
        <f t="shared" si="37"/>
        <v>23.695652173913</v>
      </c>
      <c r="AU11" s="130">
        <f t="shared" si="38"/>
        <v>23.695652173913</v>
      </c>
      <c r="AV11" s="130">
        <f t="shared" si="39"/>
        <v>23.695652173913</v>
      </c>
      <c r="AW11" s="130">
        <f t="shared" si="40"/>
        <v>14.2173913043478</v>
      </c>
      <c r="AX11" s="130">
        <f t="shared" si="12"/>
        <v>127.95652173913</v>
      </c>
      <c r="AY11" s="23" t="e">
        <f t="shared" si="13"/>
        <v>#REF!</v>
      </c>
      <c r="BB11" s="298" t="e">
        <f t="shared" si="14"/>
        <v>#REF!</v>
      </c>
      <c r="BC11">
        <f>VLOOKUP(C11,MOQ,3,false)</f>
      </c>
      <c r="BE11" s="130" t="s">
        <v>249</v>
      </c>
      <c r="BF11" s="130" t="e">
        <f t="shared" si="41"/>
        <v>#REF!</v>
      </c>
      <c r="BG11" s="130">
        <f t="shared" si="42"/>
        <v>18.9565217391303</v>
      </c>
      <c r="BI11" s="298" t="e">
        <f t="shared" si="43"/>
        <v>#REF!</v>
      </c>
      <c r="BJ11" s="298">
        <f t="shared" si="44"/>
        <v>23.695652173913</v>
      </c>
      <c r="BK11" s="298"/>
      <c r="BL11" s="298" t="e">
        <f t="shared" si="45"/>
        <v>#REF!</v>
      </c>
      <c r="BM11" s="298">
        <f t="shared" si="46"/>
        <v>23.695652173913</v>
      </c>
      <c r="BN11" s="298"/>
      <c r="BO11" s="298" t="e">
        <f t="shared" si="47"/>
        <v>#REF!</v>
      </c>
      <c r="BP11" s="298">
        <f t="shared" si="48"/>
        <v>23.695652173913</v>
      </c>
      <c r="BQ11" s="298"/>
      <c r="BR11" s="298" t="e">
        <f t="shared" si="49"/>
        <v>#REF!</v>
      </c>
      <c r="BS11" s="298">
        <f t="shared" si="50"/>
        <v>23.695652173913</v>
      </c>
      <c r="BT11" s="298"/>
      <c r="BU11" s="298" t="e">
        <f t="shared" si="51"/>
        <v>#REF!</v>
      </c>
      <c r="BV11" s="298">
        <f t="shared" si="52"/>
        <v>14.2173913043478</v>
      </c>
      <c r="BW11" s="298"/>
      <c r="BX11" s="298" t="e">
        <f t="shared" si="53"/>
        <v>#REF!</v>
      </c>
      <c r="BZ11" s="23" t="e">
        <f t="shared" si="54"/>
        <v>#REF!</v>
      </c>
      <c r="CA11" s="300" t="e">
        <f t="shared" si="55"/>
        <v>#REF!</v>
      </c>
      <c r="CB11" s="130" t="e">
        <f t="shared" si="56"/>
        <v>#REF!</v>
      </c>
      <c r="CC11" s="23" t="e">
        <f t="shared" si="57"/>
        <v>#REF!</v>
      </c>
    </row>
    <row r="12" ht="17.0">
      <c r="A12" s="296" t="s">
        <v>32</v>
      </c>
      <c r="B12" s="296" t="s">
        <v>163</v>
      </c>
      <c r="C12" s="296" t="s">
        <v>166</v>
      </c>
      <c r="D12" s="297">
        <v>40404.0</v>
      </c>
      <c r="F12" s="296">
        <v>21.0</v>
      </c>
      <c r="G12" s="296">
        <v>27.0</v>
      </c>
      <c r="H12" s="296">
        <v>-6.0</v>
      </c>
      <c r="I12" s="296">
        <v>34.0</v>
      </c>
      <c r="J12" s="296">
        <v>18.0</v>
      </c>
      <c r="K12" s="296">
        <v>15.0</v>
      </c>
      <c r="L12" s="296">
        <v>19.0</v>
      </c>
      <c r="M12" s="296">
        <v>18.0</v>
      </c>
      <c r="N12" s="296">
        <v>9.0</v>
      </c>
      <c r="O12" s="296">
        <v>13.0</v>
      </c>
      <c r="P12" s="296">
        <v>19.0</v>
      </c>
      <c r="Q12" s="296">
        <v>24.0</v>
      </c>
      <c r="R12" s="296">
        <v>27.0</v>
      </c>
      <c r="S12" s="296">
        <v>24.0</v>
      </c>
      <c r="T12" s="296">
        <v>30.0</v>
      </c>
      <c r="U12" s="296">
        <v>21.0</v>
      </c>
      <c r="V12" s="296">
        <v>9.0</v>
      </c>
      <c r="W12" s="296">
        <v>15.0</v>
      </c>
      <c r="X12" s="296">
        <v>12.0</v>
      </c>
      <c r="Y12" s="296">
        <v>15.0</v>
      </c>
      <c r="Z12" s="296">
        <v>24.0</v>
      </c>
      <c r="AA12" s="296">
        <v>15.0</v>
      </c>
      <c r="AB12" s="296">
        <v>9.0</v>
      </c>
      <c r="AC12" s="296">
        <v>9.0</v>
      </c>
      <c r="AD12" s="296">
        <v>30.0</v>
      </c>
      <c r="AE12" s="296">
        <v>33.0</v>
      </c>
      <c r="AF12" s="296">
        <v>27.0</v>
      </c>
      <c r="AG12" s="296">
        <v>24.0</v>
      </c>
      <c r="AH12" s="296">
        <v>12.0</v>
      </c>
      <c r="AI12" s="296">
        <v>15.0</v>
      </c>
      <c r="AJ12" s="296">
        <v>9.0</v>
      </c>
      <c r="AK12" s="296">
        <v>15.0</v>
      </c>
      <c r="AL12" s="296">
        <v>18.0</v>
      </c>
      <c r="AM12" s="296">
        <v>18.0</v>
      </c>
      <c r="AN12" s="296">
        <v>12.0</v>
      </c>
      <c r="AO12" s="298">
        <f t="shared" si="3"/>
        <v>222.0</v>
      </c>
      <c r="AP12" s="298">
        <f t="shared" si="4"/>
        <v>87.0</v>
      </c>
      <c r="AQ12" s="298">
        <f t="shared" si="5"/>
        <v>95.7</v>
      </c>
      <c r="AR12" s="130">
        <f t="shared" ref="AR12:AR17" si="58">AQ12*$AR$4/$AQ$4</f>
        <v>15.130434782609</v>
      </c>
      <c r="AS12" s="130">
        <f t="shared" ref="AS12:AS17" si="59">AQ12*$AS$4/$AQ$4</f>
        <v>18.9130434782609</v>
      </c>
      <c r="AT12" s="130">
        <f t="shared" ref="AT12:AT17" si="60">AQ12*$AT$4/$AQ$4</f>
        <v>18.9130434782609</v>
      </c>
      <c r="AU12" s="130">
        <f t="shared" ref="AU12:AU17" si="61">AQ12*$AU$4/$AQ$4</f>
        <v>18.9130434782609</v>
      </c>
      <c r="AV12" s="130">
        <f t="shared" ref="AV12:AV17" si="62">AQ12*$AV$4/$AQ$4</f>
        <v>18.9130434782609</v>
      </c>
      <c r="AW12" s="130">
        <f t="shared" ref="AW12:AW17" si="63">AQ12*$AW$4/$AQ$4</f>
        <v>11.3478260869565</v>
      </c>
      <c r="AX12" s="130">
        <f t="shared" si="12"/>
        <v>102.130434782609</v>
      </c>
      <c r="AY12" s="23" t="e">
        <f t="shared" si="13"/>
        <v>#REF!</v>
      </c>
      <c r="BB12" s="298" t="e">
        <f t="shared" si="14"/>
        <v>#REF!</v>
      </c>
      <c r="BC12">
        <f>VLOOKUP(C12,MOQ,3,false)</f>
      </c>
      <c r="BE12" s="130" t="s">
        <v>350</v>
      </c>
      <c r="BF12" s="130" t="e">
        <f t="shared" si="41"/>
        <v>#REF!</v>
      </c>
      <c r="BG12" s="130">
        <f t="shared" si="42"/>
        <v>15.130434782609</v>
      </c>
      <c r="BI12" s="298" t="e">
        <f t="shared" si="43"/>
        <v>#REF!</v>
      </c>
      <c r="BJ12" s="298">
        <f t="shared" si="44"/>
        <v>18.9130434782609</v>
      </c>
      <c r="BK12" s="298"/>
      <c r="BL12" s="298" t="e">
        <f t="shared" si="45"/>
        <v>#REF!</v>
      </c>
      <c r="BM12" s="298">
        <f t="shared" si="46"/>
        <v>18.9130434782609</v>
      </c>
      <c r="BN12" s="298"/>
      <c r="BO12" s="298" t="e">
        <f t="shared" si="47"/>
        <v>#REF!</v>
      </c>
      <c r="BP12" s="298">
        <f t="shared" si="48"/>
        <v>18.9130434782609</v>
      </c>
      <c r="BQ12" s="298"/>
      <c r="BR12" s="298" t="e">
        <f t="shared" si="49"/>
        <v>#REF!</v>
      </c>
      <c r="BS12" s="298">
        <f t="shared" si="50"/>
        <v>18.9130434782609</v>
      </c>
      <c r="BT12" s="298"/>
      <c r="BU12" s="298" t="e">
        <f t="shared" si="51"/>
        <v>#REF!</v>
      </c>
      <c r="BV12" s="298">
        <f t="shared" si="52"/>
        <v>11.3478260869565</v>
      </c>
      <c r="BW12" s="298"/>
      <c r="BX12" s="298" t="e">
        <f t="shared" si="53"/>
        <v>#REF!</v>
      </c>
      <c r="BZ12" s="23" t="e">
        <f t="shared" si="54"/>
        <v>#REF!</v>
      </c>
      <c r="CA12" s="300" t="e">
        <f t="shared" si="55"/>
        <v>#REF!</v>
      </c>
      <c r="CB12" s="130" t="e">
        <f t="shared" si="56"/>
        <v>#REF!</v>
      </c>
      <c r="CC12" s="23" t="e">
        <f t="shared" si="57"/>
        <v>#REF!</v>
      </c>
    </row>
    <row r="13" ht="17.0">
      <c r="A13" s="296" t="s">
        <v>32</v>
      </c>
      <c r="B13" s="296" t="s">
        <v>163</v>
      </c>
      <c r="C13" s="296" t="s">
        <v>165</v>
      </c>
      <c r="D13" s="297">
        <v>40403.0</v>
      </c>
      <c r="F13" s="296">
        <v>33.0</v>
      </c>
      <c r="G13" s="296">
        <v>30.0</v>
      </c>
      <c r="H13" s="296">
        <v>23.0</v>
      </c>
      <c r="I13" s="296">
        <v>21.0</v>
      </c>
      <c r="J13" s="296">
        <v>18.0</v>
      </c>
      <c r="K13" s="296">
        <v>17.0</v>
      </c>
      <c r="L13" s="296">
        <v>23.0</v>
      </c>
      <c r="M13" s="296">
        <v>26.0</v>
      </c>
      <c r="N13" s="296">
        <v>13.0</v>
      </c>
      <c r="O13" s="296">
        <v>22.0</v>
      </c>
      <c r="P13" s="296">
        <v>25.0</v>
      </c>
      <c r="Q13" s="296">
        <v>23.0</v>
      </c>
      <c r="R13" s="296">
        <v>30.0</v>
      </c>
      <c r="S13" s="296">
        <v>26.0</v>
      </c>
      <c r="T13" s="296">
        <v>36.0</v>
      </c>
      <c r="U13" s="296">
        <v>18.0</v>
      </c>
      <c r="V13" s="296">
        <v>20.0</v>
      </c>
      <c r="W13" s="296">
        <v>19.0</v>
      </c>
      <c r="X13" s="296">
        <v>33.0</v>
      </c>
      <c r="Y13" s="296">
        <v>25.0</v>
      </c>
      <c r="Z13" s="296">
        <v>35.0</v>
      </c>
      <c r="AA13" s="296">
        <v>24.0</v>
      </c>
      <c r="AB13" s="296">
        <v>18.0</v>
      </c>
      <c r="AC13" s="296">
        <v>15.0</v>
      </c>
      <c r="AD13" s="296">
        <v>57.0</v>
      </c>
      <c r="AE13" s="296">
        <v>33.0</v>
      </c>
      <c r="AF13" s="296">
        <v>30.0</v>
      </c>
      <c r="AG13" s="296">
        <v>33.0</v>
      </c>
      <c r="AH13" s="296">
        <v>27.0</v>
      </c>
      <c r="AI13" s="296">
        <v>27.0</v>
      </c>
      <c r="AJ13" s="296">
        <v>24.0</v>
      </c>
      <c r="AK13" s="296">
        <v>21.0</v>
      </c>
      <c r="AL13" s="296">
        <v>24.0</v>
      </c>
      <c r="AM13" s="296">
        <v>18.0</v>
      </c>
      <c r="AN13" s="296">
        <v>21.0</v>
      </c>
      <c r="AO13" s="298">
        <f t="shared" si="3"/>
        <v>330.0</v>
      </c>
      <c r="AP13" s="298">
        <f t="shared" si="4"/>
        <v>135.0</v>
      </c>
      <c r="AQ13" s="298">
        <f t="shared" si="5"/>
        <v>148.5</v>
      </c>
      <c r="AR13" s="130">
        <f t="shared" si="58"/>
        <v>23.4782608695652</v>
      </c>
      <c r="AS13" s="130">
        <f t="shared" si="59"/>
        <v>29.3478260869565</v>
      </c>
      <c r="AT13" s="130">
        <f t="shared" si="60"/>
        <v>29.3478260869565</v>
      </c>
      <c r="AU13" s="130">
        <f t="shared" si="61"/>
        <v>29.3478260869565</v>
      </c>
      <c r="AV13" s="130">
        <f t="shared" si="62"/>
        <v>29.3478260869565</v>
      </c>
      <c r="AW13" s="130">
        <f t="shared" si="63"/>
        <v>17.6086956521739</v>
      </c>
      <c r="AX13" s="130">
        <f t="shared" si="12"/>
        <v>158.478260869565</v>
      </c>
      <c r="AY13" s="23" t="e">
        <f t="shared" si="13"/>
        <v>#REF!</v>
      </c>
      <c r="BB13" s="298" t="e">
        <f t="shared" si="14"/>
        <v>#REF!</v>
      </c>
      <c r="BC13">
        <f>VLOOKUP(C13,MOQ,3,false)</f>
      </c>
      <c r="BE13" s="130" t="s">
        <v>255</v>
      </c>
      <c r="BF13" s="130" t="e">
        <f t="shared" si="41"/>
        <v>#REF!</v>
      </c>
      <c r="BG13" s="130">
        <f t="shared" si="42"/>
        <v>23.4782608695652</v>
      </c>
      <c r="BI13" s="298" t="e">
        <f t="shared" si="43"/>
        <v>#REF!</v>
      </c>
      <c r="BJ13" s="298">
        <f t="shared" si="44"/>
        <v>29.3478260869565</v>
      </c>
      <c r="BK13" s="298"/>
      <c r="BL13" s="298" t="e">
        <f t="shared" si="45"/>
        <v>#REF!</v>
      </c>
      <c r="BM13" s="298">
        <f t="shared" si="46"/>
        <v>29.3478260869565</v>
      </c>
      <c r="BN13" s="298"/>
      <c r="BO13" s="298" t="e">
        <f t="shared" si="47"/>
        <v>#REF!</v>
      </c>
      <c r="BP13" s="298">
        <f t="shared" si="48"/>
        <v>29.3478260869565</v>
      </c>
      <c r="BQ13" s="298"/>
      <c r="BR13" s="298" t="e">
        <f t="shared" si="49"/>
        <v>#REF!</v>
      </c>
      <c r="BS13" s="298">
        <f t="shared" si="50"/>
        <v>29.3478260869565</v>
      </c>
      <c r="BT13" s="298"/>
      <c r="BU13" s="298" t="e">
        <f t="shared" si="51"/>
        <v>#REF!</v>
      </c>
      <c r="BV13" s="298">
        <f t="shared" si="52"/>
        <v>17.6086956521739</v>
      </c>
      <c r="BW13" s="298"/>
      <c r="BX13" s="298" t="e">
        <f t="shared" si="53"/>
        <v>#REF!</v>
      </c>
      <c r="BZ13" s="23" t="e">
        <f t="shared" si="54"/>
        <v>#REF!</v>
      </c>
      <c r="CA13" s="300" t="e">
        <f t="shared" si="55"/>
        <v>#REF!</v>
      </c>
      <c r="CB13" s="130" t="e">
        <f t="shared" si="56"/>
        <v>#REF!</v>
      </c>
      <c r="CC13" s="23" t="e">
        <f t="shared" si="57"/>
        <v>#REF!</v>
      </c>
    </row>
    <row r="14" ht="17.0">
      <c r="A14" s="296" t="s">
        <v>32</v>
      </c>
      <c r="B14" s="296" t="s">
        <v>163</v>
      </c>
      <c r="C14" s="296" t="s">
        <v>164</v>
      </c>
      <c r="D14" s="297">
        <v>40402.0</v>
      </c>
      <c r="F14" s="296">
        <v>16.0</v>
      </c>
      <c r="G14" s="296">
        <v>34.0</v>
      </c>
      <c r="H14" s="296">
        <v>26.0</v>
      </c>
      <c r="I14" s="296">
        <v>24.0</v>
      </c>
      <c r="J14" s="296">
        <v>27.0</v>
      </c>
      <c r="K14" s="296">
        <v>16.0</v>
      </c>
      <c r="L14" s="296">
        <v>24.0</v>
      </c>
      <c r="M14" s="296">
        <v>28.0</v>
      </c>
      <c r="N14" s="296">
        <v>24.0</v>
      </c>
      <c r="O14" s="296">
        <v>18.0</v>
      </c>
      <c r="P14" s="296">
        <v>10.0</v>
      </c>
      <c r="Q14" s="296">
        <v>31.0</v>
      </c>
      <c r="R14" s="296">
        <v>21.0</v>
      </c>
      <c r="S14" s="296">
        <v>25.0</v>
      </c>
      <c r="T14" s="296">
        <v>42.0</v>
      </c>
      <c r="U14" s="296">
        <v>21.0</v>
      </c>
      <c r="V14" s="296">
        <v>12.0</v>
      </c>
      <c r="W14" s="296">
        <v>22.0</v>
      </c>
      <c r="X14" s="296">
        <v>21.0</v>
      </c>
      <c r="Y14" s="296">
        <v>21.0</v>
      </c>
      <c r="Z14" s="296">
        <v>22.0</v>
      </c>
      <c r="AA14" s="296">
        <v>20.0</v>
      </c>
      <c r="AB14" s="296">
        <v>10.0</v>
      </c>
      <c r="AC14" s="296">
        <v>12.0</v>
      </c>
      <c r="AD14" s="296">
        <v>45.0</v>
      </c>
      <c r="AE14" s="296">
        <v>27.0</v>
      </c>
      <c r="AF14" s="296">
        <v>33.0</v>
      </c>
      <c r="AG14" s="296">
        <v>21.0</v>
      </c>
      <c r="AH14" s="296">
        <v>12.0</v>
      </c>
      <c r="AI14" s="296">
        <v>27.0</v>
      </c>
      <c r="AJ14" s="296">
        <v>15.0</v>
      </c>
      <c r="AK14" s="296">
        <v>3.0</v>
      </c>
      <c r="AL14" s="296">
        <v>30.0</v>
      </c>
      <c r="AM14" s="296">
        <v>18.0</v>
      </c>
      <c r="AN14" s="296">
        <v>6.0</v>
      </c>
      <c r="AO14" s="298">
        <f t="shared" si="3"/>
        <v>249.0</v>
      </c>
      <c r="AP14" s="298">
        <f t="shared" si="4"/>
        <v>99.0</v>
      </c>
      <c r="AQ14" s="298">
        <f t="shared" si="5"/>
        <v>108.9</v>
      </c>
      <c r="AR14" s="130">
        <f t="shared" si="58"/>
        <v>17.2173913043478</v>
      </c>
      <c r="AS14" s="130">
        <f t="shared" si="59"/>
        <v>21.5217391304348</v>
      </c>
      <c r="AT14" s="130">
        <f t="shared" si="60"/>
        <v>21.5217391304348</v>
      </c>
      <c r="AU14" s="130">
        <f t="shared" si="61"/>
        <v>21.5217391304348</v>
      </c>
      <c r="AV14" s="130">
        <f t="shared" si="62"/>
        <v>21.5217391304348</v>
      </c>
      <c r="AW14" s="130">
        <f t="shared" si="63"/>
        <v>12.9130434782609</v>
      </c>
      <c r="AX14" s="130">
        <f t="shared" si="12"/>
        <v>116.217391304348</v>
      </c>
      <c r="AY14" s="23" t="e">
        <f t="shared" si="13"/>
        <v>#REF!</v>
      </c>
      <c r="BB14" s="298" t="e">
        <f t="shared" si="14"/>
        <v>#REF!</v>
      </c>
      <c r="BC14">
        <f>VLOOKUP(C14,MOQ,3,false)</f>
      </c>
      <c r="BE14" s="130" t="s">
        <v>350</v>
      </c>
      <c r="BF14" s="130" t="e">
        <f t="shared" si="41"/>
        <v>#REF!</v>
      </c>
      <c r="BG14" s="130">
        <f t="shared" si="42"/>
        <v>17.2173913043478</v>
      </c>
      <c r="BI14" s="298" t="e">
        <f t="shared" si="43"/>
        <v>#REF!</v>
      </c>
      <c r="BJ14" s="298">
        <f t="shared" si="44"/>
        <v>21.5217391304348</v>
      </c>
      <c r="BK14" s="298"/>
      <c r="BL14" s="298" t="e">
        <f t="shared" si="45"/>
        <v>#REF!</v>
      </c>
      <c r="BM14" s="298">
        <f t="shared" si="46"/>
        <v>21.5217391304348</v>
      </c>
      <c r="BN14" s="298"/>
      <c r="BO14" s="298" t="e">
        <f t="shared" si="47"/>
        <v>#REF!</v>
      </c>
      <c r="BP14" s="298">
        <f t="shared" si="48"/>
        <v>21.5217391304348</v>
      </c>
      <c r="BQ14" s="298"/>
      <c r="BR14" s="298" t="e">
        <f t="shared" si="49"/>
        <v>#REF!</v>
      </c>
      <c r="BS14" s="298">
        <f t="shared" si="50"/>
        <v>21.5217391304348</v>
      </c>
      <c r="BT14" s="298"/>
      <c r="BU14" s="298" t="e">
        <f t="shared" si="51"/>
        <v>#REF!</v>
      </c>
      <c r="BV14" s="298">
        <f t="shared" si="52"/>
        <v>12.9130434782609</v>
      </c>
      <c r="BW14" s="298"/>
      <c r="BX14" s="298" t="e">
        <f t="shared" si="53"/>
        <v>#REF!</v>
      </c>
      <c r="BZ14" s="23" t="e">
        <f t="shared" si="54"/>
        <v>#REF!</v>
      </c>
      <c r="CA14" s="300" t="e">
        <f t="shared" si="55"/>
        <v>#REF!</v>
      </c>
      <c r="CB14" s="130" t="e">
        <f t="shared" si="56"/>
        <v>#REF!</v>
      </c>
      <c r="CC14" s="23" t="e">
        <f t="shared" si="57"/>
        <v>#REF!</v>
      </c>
    </row>
    <row r="15" ht="17.0">
      <c r="A15" s="296" t="s">
        <v>32</v>
      </c>
      <c r="B15" s="296" t="s">
        <v>163</v>
      </c>
      <c r="C15" s="296" t="s">
        <v>169</v>
      </c>
      <c r="D15" s="297">
        <v>40409.0</v>
      </c>
      <c r="F15" s="296">
        <v>0.0</v>
      </c>
      <c r="G15" s="296">
        <v>0.0</v>
      </c>
      <c r="H15" s="296">
        <v>0.0</v>
      </c>
      <c r="I15" s="296">
        <v>6.0</v>
      </c>
      <c r="J15" s="296">
        <v>9.0</v>
      </c>
      <c r="K15" s="296">
        <v>12.0</v>
      </c>
      <c r="L15" s="296">
        <v>21.0</v>
      </c>
      <c r="M15" s="296">
        <v>12.0</v>
      </c>
      <c r="N15" s="296">
        <v>12.0</v>
      </c>
      <c r="O15" s="296">
        <v>9.0</v>
      </c>
      <c r="P15" s="296">
        <v>3.0</v>
      </c>
      <c r="Q15" s="296">
        <v>12.0</v>
      </c>
      <c r="R15" s="296">
        <v>21.0</v>
      </c>
      <c r="S15" s="296">
        <v>6.0</v>
      </c>
      <c r="T15" s="296">
        <v>12.0</v>
      </c>
      <c r="U15" s="296">
        <v>15.0</v>
      </c>
      <c r="V15" s="296">
        <v>6.0</v>
      </c>
      <c r="W15" s="296">
        <v>6.0</v>
      </c>
      <c r="X15" s="296">
        <v>27.0</v>
      </c>
      <c r="Y15" s="296">
        <v>15.0</v>
      </c>
      <c r="Z15" s="296">
        <v>31.0</v>
      </c>
      <c r="AA15" s="296">
        <v>15.0</v>
      </c>
      <c r="AB15" s="296">
        <v>8.0</v>
      </c>
      <c r="AC15" s="296">
        <v>18.0</v>
      </c>
      <c r="AD15" s="296">
        <v>21.0</v>
      </c>
      <c r="AE15" s="296">
        <v>21.0</v>
      </c>
      <c r="AF15" s="296">
        <v>33.0</v>
      </c>
      <c r="AG15" s="296">
        <v>10.0</v>
      </c>
      <c r="AH15" s="296">
        <v>11.0</v>
      </c>
      <c r="AI15" s="296">
        <v>30.0</v>
      </c>
      <c r="AJ15" s="296">
        <v>0.0</v>
      </c>
      <c r="AK15" s="296">
        <v>6.0</v>
      </c>
      <c r="AL15" s="296">
        <v>27.0</v>
      </c>
      <c r="AM15" s="296">
        <v>12.0</v>
      </c>
      <c r="AN15" s="296">
        <v>3.0</v>
      </c>
      <c r="AO15" s="298">
        <f t="shared" si="3"/>
        <v>192.0</v>
      </c>
      <c r="AP15" s="298">
        <f t="shared" si="4"/>
        <v>78.0</v>
      </c>
      <c r="AQ15" s="298">
        <f t="shared" si="5"/>
        <v>85.8</v>
      </c>
      <c r="AR15" s="130">
        <f t="shared" si="58"/>
        <v>13.5652173913043</v>
      </c>
      <c r="AS15" s="130">
        <f t="shared" si="59"/>
        <v>16.9565217391304</v>
      </c>
      <c r="AT15" s="130">
        <f t="shared" si="60"/>
        <v>16.9565217391304</v>
      </c>
      <c r="AU15" s="130">
        <f t="shared" si="61"/>
        <v>16.9565217391304</v>
      </c>
      <c r="AV15" s="130">
        <f t="shared" si="62"/>
        <v>16.9565217391304</v>
      </c>
      <c r="AW15" s="130">
        <f t="shared" si="63"/>
        <v>10.1739130434782</v>
      </c>
      <c r="AX15" s="130">
        <f t="shared" si="12"/>
        <v>91.5652173913041</v>
      </c>
      <c r="AY15" s="23" t="e">
        <f t="shared" si="13"/>
        <v>#REF!</v>
      </c>
      <c r="BB15" s="298" t="e">
        <f t="shared" si="14"/>
        <v>#REF!</v>
      </c>
      <c r="BC15">
        <f>VLOOKUP(C15,MOQ,3,false)</f>
      </c>
      <c r="BE15" s="130" t="s">
        <v>255</v>
      </c>
      <c r="BF15" s="130" t="e">
        <f t="shared" si="41"/>
        <v>#REF!</v>
      </c>
      <c r="BG15" s="130">
        <f t="shared" si="42"/>
        <v>13.5652173913043</v>
      </c>
      <c r="BI15" s="298" t="e">
        <f t="shared" si="43"/>
        <v>#REF!</v>
      </c>
      <c r="BJ15" s="298">
        <f t="shared" si="44"/>
        <v>16.9565217391304</v>
      </c>
      <c r="BK15" s="298"/>
      <c r="BL15" s="298" t="e">
        <f t="shared" si="45"/>
        <v>#REF!</v>
      </c>
      <c r="BM15" s="298">
        <f t="shared" si="46"/>
        <v>16.9565217391304</v>
      </c>
      <c r="BN15" s="298"/>
      <c r="BO15" s="298" t="e">
        <f t="shared" si="47"/>
        <v>#REF!</v>
      </c>
      <c r="BP15" s="298">
        <f t="shared" si="48"/>
        <v>16.9565217391304</v>
      </c>
      <c r="BQ15" s="298"/>
      <c r="BR15" s="298" t="e">
        <f t="shared" si="49"/>
        <v>#REF!</v>
      </c>
      <c r="BS15" s="298">
        <f t="shared" si="50"/>
        <v>16.9565217391304</v>
      </c>
      <c r="BT15" s="298"/>
      <c r="BU15" s="298" t="e">
        <f t="shared" si="51"/>
        <v>#REF!</v>
      </c>
      <c r="BV15" s="298">
        <f t="shared" si="52"/>
        <v>10.1739130434782</v>
      </c>
      <c r="BW15" s="298"/>
      <c r="BX15" s="298" t="e">
        <f t="shared" si="53"/>
        <v>#REF!</v>
      </c>
      <c r="BZ15" s="23" t="e">
        <f t="shared" si="54"/>
        <v>#REF!</v>
      </c>
      <c r="CA15" s="300" t="e">
        <f t="shared" si="55"/>
        <v>#REF!</v>
      </c>
      <c r="CB15" s="130" t="e">
        <f t="shared" si="56"/>
        <v>#REF!</v>
      </c>
      <c r="CC15" s="23" t="e">
        <f t="shared" si="57"/>
        <v>#REF!</v>
      </c>
    </row>
    <row r="16" ht="17.0">
      <c r="A16" s="296" t="s">
        <v>32</v>
      </c>
      <c r="B16" s="296" t="s">
        <v>163</v>
      </c>
      <c r="C16" s="296" t="s">
        <v>168</v>
      </c>
      <c r="D16" s="297">
        <v>40408.0</v>
      </c>
      <c r="F16" s="296">
        <v>0.0</v>
      </c>
      <c r="G16" s="296">
        <v>0.0</v>
      </c>
      <c r="H16" s="296">
        <v>0.0</v>
      </c>
      <c r="I16" s="296">
        <v>12.0</v>
      </c>
      <c r="J16" s="296">
        <v>13.0</v>
      </c>
      <c r="K16" s="296">
        <v>21.0</v>
      </c>
      <c r="L16" s="296">
        <v>18.0</v>
      </c>
      <c r="M16" s="296">
        <v>15.0</v>
      </c>
      <c r="N16" s="296">
        <v>9.0</v>
      </c>
      <c r="O16" s="296">
        <v>6.0</v>
      </c>
      <c r="P16" s="296">
        <v>3.0</v>
      </c>
      <c r="Q16" s="296">
        <v>12.0</v>
      </c>
      <c r="R16" s="296">
        <v>24.0</v>
      </c>
      <c r="S16" s="296">
        <v>15.0</v>
      </c>
      <c r="T16" s="296">
        <v>13.0</v>
      </c>
      <c r="U16" s="296">
        <v>15.0</v>
      </c>
      <c r="V16" s="296">
        <v>8.0</v>
      </c>
      <c r="W16" s="296">
        <v>8.0</v>
      </c>
      <c r="X16" s="296">
        <v>27.0</v>
      </c>
      <c r="Y16" s="296">
        <v>12.0</v>
      </c>
      <c r="Z16" s="296">
        <v>19.0</v>
      </c>
      <c r="AA16" s="296">
        <v>6.0</v>
      </c>
      <c r="AB16" s="296">
        <v>4.0</v>
      </c>
      <c r="AC16" s="296">
        <v>12.0</v>
      </c>
      <c r="AD16" s="296">
        <v>15.0</v>
      </c>
      <c r="AE16" s="296">
        <v>21.0</v>
      </c>
      <c r="AF16" s="296">
        <v>18.0</v>
      </c>
      <c r="AG16" s="296">
        <v>21.0</v>
      </c>
      <c r="AH16" s="296">
        <v>15.0</v>
      </c>
      <c r="AI16" s="296">
        <v>10.0</v>
      </c>
      <c r="AJ16" s="296">
        <v>0.0</v>
      </c>
      <c r="AK16" s="296">
        <v>18.0</v>
      </c>
      <c r="AL16" s="296">
        <v>14.0</v>
      </c>
      <c r="AM16" s="296">
        <v>3.0</v>
      </c>
      <c r="AN16" s="296">
        <v>6.0</v>
      </c>
      <c r="AO16" s="298">
        <f t="shared" si="3"/>
        <v>153.0</v>
      </c>
      <c r="AP16" s="298">
        <f t="shared" si="4"/>
        <v>51.0</v>
      </c>
      <c r="AQ16" s="298">
        <f t="shared" si="5"/>
        <v>56.1</v>
      </c>
      <c r="AR16" s="130">
        <f t="shared" si="58"/>
        <v>8.8695652173913</v>
      </c>
      <c r="AS16" s="130">
        <f t="shared" si="59"/>
        <v>11.0869565217391</v>
      </c>
      <c r="AT16" s="130">
        <f t="shared" si="60"/>
        <v>11.0869565217391</v>
      </c>
      <c r="AU16" s="130">
        <f t="shared" si="61"/>
        <v>11.0869565217391</v>
      </c>
      <c r="AV16" s="130">
        <f t="shared" si="62"/>
        <v>11.0869565217391</v>
      </c>
      <c r="AW16" s="130">
        <f t="shared" si="63"/>
        <v>6.6521739130434</v>
      </c>
      <c r="AX16" s="130">
        <f t="shared" si="12"/>
        <v>59.8695652173911</v>
      </c>
      <c r="AY16" s="23" t="e">
        <f t="shared" si="13"/>
        <v>#REF!</v>
      </c>
      <c r="BB16" s="298" t="e">
        <f t="shared" si="14"/>
        <v>#REF!</v>
      </c>
      <c r="BC16">
        <f>VLOOKUP(C16,MOQ,3,false)</f>
      </c>
      <c r="BE16" s="130" t="s">
        <v>249</v>
      </c>
      <c r="BF16" s="130" t="e">
        <f t="shared" si="41"/>
        <v>#REF!</v>
      </c>
      <c r="BG16" s="130">
        <f t="shared" si="42"/>
        <v>8.8695652173913</v>
      </c>
      <c r="BI16" s="298" t="e">
        <f t="shared" si="43"/>
        <v>#REF!</v>
      </c>
      <c r="BJ16" s="298">
        <f t="shared" si="44"/>
        <v>11.0869565217391</v>
      </c>
      <c r="BK16" s="298"/>
      <c r="BL16" s="298" t="e">
        <f t="shared" si="45"/>
        <v>#REF!</v>
      </c>
      <c r="BM16" s="298">
        <f t="shared" si="46"/>
        <v>11.0869565217391</v>
      </c>
      <c r="BN16" s="298"/>
      <c r="BO16" s="298" t="e">
        <f t="shared" si="47"/>
        <v>#REF!</v>
      </c>
      <c r="BP16" s="298">
        <f t="shared" si="48"/>
        <v>11.0869565217391</v>
      </c>
      <c r="BQ16" s="298"/>
      <c r="BR16" s="298" t="e">
        <f t="shared" si="49"/>
        <v>#REF!</v>
      </c>
      <c r="BS16" s="298">
        <f t="shared" si="50"/>
        <v>11.0869565217391</v>
      </c>
      <c r="BT16" s="298"/>
      <c r="BU16" s="298" t="e">
        <f t="shared" si="51"/>
        <v>#REF!</v>
      </c>
      <c r="BV16" s="298">
        <f t="shared" si="52"/>
        <v>6.6521739130434</v>
      </c>
      <c r="BW16" s="298"/>
      <c r="BX16" s="298" t="e">
        <f t="shared" si="53"/>
        <v>#REF!</v>
      </c>
      <c r="BZ16" s="23" t="e">
        <f t="shared" si="54"/>
        <v>#REF!</v>
      </c>
      <c r="CA16" s="300" t="e">
        <f t="shared" si="55"/>
        <v>#REF!</v>
      </c>
      <c r="CB16" s="130" t="e">
        <f t="shared" si="56"/>
        <v>#REF!</v>
      </c>
      <c r="CC16" s="23" t="e">
        <f t="shared" si="57"/>
        <v>#REF!</v>
      </c>
    </row>
    <row r="17" ht="17.0">
      <c r="A17" s="296" t="s">
        <v>32</v>
      </c>
      <c r="B17" s="296" t="s">
        <v>163</v>
      </c>
      <c r="C17" s="296" t="s">
        <v>167</v>
      </c>
      <c r="D17" s="297">
        <v>40407.0</v>
      </c>
      <c r="F17" s="296">
        <v>21.0</v>
      </c>
      <c r="G17" s="296">
        <v>0.0</v>
      </c>
      <c r="H17" s="296">
        <v>3.0</v>
      </c>
      <c r="I17" s="296">
        <v>12.0</v>
      </c>
      <c r="J17" s="296">
        <v>6.0</v>
      </c>
      <c r="K17" s="296">
        <v>12.0</v>
      </c>
      <c r="L17" s="296">
        <v>19.0</v>
      </c>
      <c r="M17" s="296">
        <v>9.0</v>
      </c>
      <c r="N17" s="296">
        <v>9.0</v>
      </c>
      <c r="O17" s="296">
        <v>6.0</v>
      </c>
      <c r="P17" s="296">
        <v>3.0</v>
      </c>
      <c r="Q17" s="296">
        <v>15.0</v>
      </c>
      <c r="R17" s="296">
        <v>15.0</v>
      </c>
      <c r="S17" s="296">
        <v>0.0</v>
      </c>
      <c r="T17" s="296">
        <v>14.0</v>
      </c>
      <c r="U17" s="296">
        <v>18.0</v>
      </c>
      <c r="V17" s="296">
        <v>3.0</v>
      </c>
      <c r="W17" s="296">
        <v>15.0</v>
      </c>
      <c r="X17" s="296">
        <v>15.0</v>
      </c>
      <c r="Y17" s="296">
        <v>9.0</v>
      </c>
      <c r="Z17" s="296">
        <v>21.0</v>
      </c>
      <c r="AA17" s="296">
        <v>9.0</v>
      </c>
      <c r="AB17" s="296">
        <v>3.0</v>
      </c>
      <c r="AC17" s="296">
        <v>6.0</v>
      </c>
      <c r="AD17" s="296">
        <v>24.0</v>
      </c>
      <c r="AE17" s="296">
        <v>15.0</v>
      </c>
      <c r="AF17" s="296">
        <v>12.0</v>
      </c>
      <c r="AG17" s="296">
        <v>15.0</v>
      </c>
      <c r="AH17" s="296">
        <v>9.0</v>
      </c>
      <c r="AI17" s="296">
        <v>15.0</v>
      </c>
      <c r="AJ17" s="296">
        <v>0.0</v>
      </c>
      <c r="AK17" s="296">
        <v>9.0</v>
      </c>
      <c r="AL17" s="296">
        <v>21.0</v>
      </c>
      <c r="AM17" s="296">
        <v>6.0</v>
      </c>
      <c r="AN17" s="296">
        <v>6.0</v>
      </c>
      <c r="AO17" s="298">
        <f t="shared" si="3"/>
        <v>138.0</v>
      </c>
      <c r="AP17" s="298">
        <f t="shared" si="4"/>
        <v>57.0</v>
      </c>
      <c r="AQ17" s="298">
        <f t="shared" si="5"/>
        <v>62.7</v>
      </c>
      <c r="AR17" s="130">
        <f t="shared" si="58"/>
        <v>9.91304347826087</v>
      </c>
      <c r="AS17" s="130">
        <f t="shared" si="59"/>
        <v>12.391304347826</v>
      </c>
      <c r="AT17" s="130">
        <f t="shared" si="60"/>
        <v>12.391304347826</v>
      </c>
      <c r="AU17" s="130">
        <f t="shared" si="61"/>
        <v>12.391304347826</v>
      </c>
      <c r="AV17" s="130">
        <f t="shared" si="62"/>
        <v>12.391304347826</v>
      </c>
      <c r="AW17" s="130">
        <f t="shared" si="63"/>
        <v>7.43478260869565</v>
      </c>
      <c r="AX17" s="130">
        <f t="shared" si="12"/>
        <v>66.9130434782605</v>
      </c>
      <c r="AY17" s="23" t="e">
        <f t="shared" si="13"/>
        <v>#REF!</v>
      </c>
      <c r="BB17" s="298" t="e">
        <f t="shared" si="14"/>
        <v>#REF!</v>
      </c>
      <c r="BC17">
        <f>VLOOKUP(C17,MOQ,3,false)</f>
      </c>
      <c r="BE17" s="130" t="s">
        <v>255</v>
      </c>
      <c r="BF17" s="130" t="e">
        <f t="shared" si="41"/>
        <v>#REF!</v>
      </c>
      <c r="BG17" s="130">
        <f t="shared" si="42"/>
        <v>9.91304347826087</v>
      </c>
      <c r="BI17" s="298" t="e">
        <f t="shared" si="43"/>
        <v>#REF!</v>
      </c>
      <c r="BJ17" s="298">
        <f t="shared" si="44"/>
        <v>12.391304347826</v>
      </c>
      <c r="BK17" s="298"/>
      <c r="BL17" s="298" t="e">
        <f t="shared" si="45"/>
        <v>#REF!</v>
      </c>
      <c r="BM17" s="298">
        <f t="shared" si="46"/>
        <v>12.391304347826</v>
      </c>
      <c r="BN17" s="298"/>
      <c r="BO17" s="298" t="e">
        <f t="shared" si="47"/>
        <v>#REF!</v>
      </c>
      <c r="BP17" s="298">
        <f t="shared" si="48"/>
        <v>12.391304347826</v>
      </c>
      <c r="BQ17" s="298"/>
      <c r="BR17" s="298" t="e">
        <f t="shared" si="49"/>
        <v>#REF!</v>
      </c>
      <c r="BS17" s="298">
        <f t="shared" si="50"/>
        <v>12.391304347826</v>
      </c>
      <c r="BT17" s="298"/>
      <c r="BU17" s="298" t="e">
        <f t="shared" si="51"/>
        <v>#REF!</v>
      </c>
      <c r="BV17" s="298">
        <f t="shared" si="52"/>
        <v>7.43478260869565</v>
      </c>
      <c r="BW17" s="298"/>
      <c r="BX17" s="298" t="e">
        <f t="shared" si="53"/>
        <v>#REF!</v>
      </c>
      <c r="BZ17" s="23" t="e">
        <f t="shared" si="54"/>
        <v>#REF!</v>
      </c>
      <c r="CA17" s="300" t="e">
        <f t="shared" si="55"/>
        <v>#REF!</v>
      </c>
      <c r="CB17" s="130" t="e">
        <f t="shared" si="56"/>
        <v>#REF!</v>
      </c>
      <c r="CC17" s="23" t="e">
        <f t="shared" si="57"/>
        <v>#REF!</v>
      </c>
    </row>
    <row r="18" ht="17.0">
      <c r="A18" s="296" t="s">
        <v>32</v>
      </c>
      <c r="B18" s="296" t="s">
        <v>54</v>
      </c>
      <c r="C18" s="296" t="s">
        <v>54</v>
      </c>
      <c r="D18" s="297" t="s">
        <v>55</v>
      </c>
      <c r="F18" s="296">
        <v>0.0</v>
      </c>
      <c r="G18" s="296">
        <v>0.0</v>
      </c>
      <c r="H18" s="296">
        <v>0.0</v>
      </c>
      <c r="I18" s="296">
        <v>0.0</v>
      </c>
      <c r="J18" s="296">
        <v>0.0</v>
      </c>
      <c r="K18" s="296">
        <v>0.0</v>
      </c>
      <c r="L18" s="296">
        <v>0.0</v>
      </c>
      <c r="M18" s="296">
        <v>0.0</v>
      </c>
      <c r="N18" s="296">
        <v>0.0</v>
      </c>
      <c r="O18" s="296">
        <v>0.0</v>
      </c>
      <c r="P18" s="296">
        <v>0.0</v>
      </c>
      <c r="Q18" s="296">
        <v>0.0</v>
      </c>
      <c r="R18" s="296">
        <v>0.0</v>
      </c>
      <c r="S18" s="296">
        <v>0.0</v>
      </c>
      <c r="T18" s="296">
        <v>0.0</v>
      </c>
      <c r="U18" s="296">
        <v>0.0</v>
      </c>
      <c r="V18" s="296">
        <v>0.0</v>
      </c>
      <c r="W18" s="296">
        <v>0.0</v>
      </c>
      <c r="X18" s="296">
        <v>0.0</v>
      </c>
      <c r="Y18" s="296">
        <v>0.0</v>
      </c>
      <c r="Z18" s="296">
        <v>0.0</v>
      </c>
      <c r="AA18" s="296">
        <v>0.0</v>
      </c>
      <c r="AB18" s="296">
        <v>0.0</v>
      </c>
      <c r="AC18" s="296">
        <v>0.0</v>
      </c>
      <c r="AD18" s="296">
        <v>0.0</v>
      </c>
      <c r="AE18" s="296">
        <v>0.0</v>
      </c>
      <c r="AF18" s="296">
        <v>0.0</v>
      </c>
      <c r="AG18" s="296">
        <v>0.0</v>
      </c>
      <c r="AH18" s="296">
        <v>0.0</v>
      </c>
      <c r="AI18" s="296">
        <v>0.0</v>
      </c>
      <c r="AJ18" s="296">
        <v>0.0</v>
      </c>
      <c r="AK18" s="296">
        <v>0.0</v>
      </c>
      <c r="AL18" s="296">
        <v>1.0</v>
      </c>
      <c r="AM18" s="296">
        <v>0.0</v>
      </c>
      <c r="AN18" s="296">
        <v>0.0</v>
      </c>
      <c r="AO18" s="298">
        <f t="shared" si="3"/>
        <v>1.0</v>
      </c>
      <c r="AP18" s="298">
        <f t="shared" si="4"/>
        <v>1.0</v>
      </c>
      <c r="AQ18" s="298">
        <f t="shared" si="5"/>
        <v>1.1</v>
      </c>
      <c r="AR18" s="130">
        <f>AR19</f>
        <v>0.695652173913043</v>
      </c>
      <c r="AS18" s="130">
        <f>AS19</f>
        <v>0.869565217391304</v>
      </c>
      <c r="AT18" s="130">
        <f>AT19</f>
        <v>0.869565217391304</v>
      </c>
      <c r="AU18" s="130">
        <f>AU19</f>
        <v>0.869565217391304</v>
      </c>
      <c r="AV18" s="130">
        <f>AV19</f>
        <v>0.869565217391304</v>
      </c>
      <c r="AW18" s="130">
        <f>AW19</f>
        <v>0.521739130434782</v>
      </c>
      <c r="AX18" s="130">
        <f t="shared" si="12"/>
        <v>4.69565217391304</v>
      </c>
      <c r="AY18" s="23" t="e">
        <f t="shared" si="13"/>
        <v>#REF!</v>
      </c>
      <c r="BB18" s="298" t="e">
        <f t="shared" si="14"/>
        <v>#REF!</v>
      </c>
      <c r="BF18" s="130" t="e">
        <f t="shared" si="41"/>
        <v>#REF!</v>
      </c>
      <c r="BG18" s="130">
        <f t="shared" si="42"/>
        <v>0.695652173913043</v>
      </c>
      <c r="BI18" s="298" t="e">
        <f t="shared" si="43"/>
        <v>#REF!</v>
      </c>
      <c r="BJ18" s="298">
        <f t="shared" si="44"/>
        <v>0.869565217391304</v>
      </c>
      <c r="BK18" s="298"/>
      <c r="BL18" s="298" t="e">
        <f t="shared" si="45"/>
        <v>#REF!</v>
      </c>
      <c r="BM18" s="298">
        <f t="shared" si="46"/>
        <v>0.869565217391304</v>
      </c>
      <c r="BN18" s="298"/>
      <c r="BO18" s="298" t="e">
        <f t="shared" si="47"/>
        <v>#REF!</v>
      </c>
      <c r="BP18" s="298">
        <f t="shared" si="48"/>
        <v>0.869565217391304</v>
      </c>
      <c r="BQ18" s="298"/>
      <c r="BR18" s="298" t="e">
        <f t="shared" si="49"/>
        <v>#REF!</v>
      </c>
      <c r="BS18" s="298">
        <f t="shared" si="50"/>
        <v>0.869565217391304</v>
      </c>
      <c r="BT18" s="298"/>
      <c r="BU18" s="298" t="e">
        <f t="shared" si="51"/>
        <v>#REF!</v>
      </c>
      <c r="BV18" s="298">
        <f t="shared" si="52"/>
        <v>0.521739130434782</v>
      </c>
      <c r="BW18" s="298"/>
      <c r="BX18" s="298" t="e">
        <f t="shared" si="53"/>
        <v>#REF!</v>
      </c>
    </row>
    <row r="19" ht="17.0">
      <c r="A19" s="296" t="s">
        <v>32</v>
      </c>
      <c r="B19" s="296" t="s">
        <v>53</v>
      </c>
      <c r="C19" s="296" t="s">
        <v>56</v>
      </c>
      <c r="D19" s="297" t="s">
        <v>57</v>
      </c>
      <c r="F19" s="296">
        <v>0.0</v>
      </c>
      <c r="G19" s="296">
        <v>0.0</v>
      </c>
      <c r="H19" s="296">
        <v>0.0</v>
      </c>
      <c r="I19" s="296">
        <v>0.0</v>
      </c>
      <c r="J19" s="296">
        <v>0.0</v>
      </c>
      <c r="K19" s="296">
        <v>0.0</v>
      </c>
      <c r="L19" s="296">
        <v>0.0</v>
      </c>
      <c r="M19" s="296">
        <v>0.0</v>
      </c>
      <c r="N19" s="296">
        <v>0.0</v>
      </c>
      <c r="O19" s="296">
        <v>0.0</v>
      </c>
      <c r="P19" s="296">
        <v>0.0</v>
      </c>
      <c r="Q19" s="296">
        <v>0.0</v>
      </c>
      <c r="R19" s="296">
        <v>0.0</v>
      </c>
      <c r="S19" s="296">
        <v>0.0</v>
      </c>
      <c r="T19" s="296">
        <v>0.0</v>
      </c>
      <c r="U19" s="296">
        <v>0.0</v>
      </c>
      <c r="V19" s="296">
        <v>0.0</v>
      </c>
      <c r="W19" s="296">
        <v>0.0</v>
      </c>
      <c r="X19" s="296">
        <v>0.0</v>
      </c>
      <c r="Y19" s="296">
        <v>0.0</v>
      </c>
      <c r="Z19" s="296">
        <v>0.0</v>
      </c>
      <c r="AA19" s="296">
        <v>0.0</v>
      </c>
      <c r="AB19" s="296">
        <v>3.0</v>
      </c>
      <c r="AC19" s="296">
        <v>2.0</v>
      </c>
      <c r="AD19" s="296">
        <v>6.0</v>
      </c>
      <c r="AE19" s="296">
        <v>4.0</v>
      </c>
      <c r="AF19" s="296">
        <v>2.0</v>
      </c>
      <c r="AG19" s="296">
        <v>2.0</v>
      </c>
      <c r="AH19" s="296">
        <v>0.0</v>
      </c>
      <c r="AI19" s="296">
        <v>3.0</v>
      </c>
      <c r="AJ19" s="296">
        <v>0.0</v>
      </c>
      <c r="AK19" s="296">
        <v>1.0</v>
      </c>
      <c r="AL19" s="296">
        <v>0.0</v>
      </c>
      <c r="AM19" s="296">
        <v>0.0</v>
      </c>
      <c r="AN19" s="296">
        <v>0.0</v>
      </c>
      <c r="AO19" s="298">
        <f t="shared" si="3"/>
        <v>20.0</v>
      </c>
      <c r="AP19" s="298">
        <f t="shared" si="4"/>
        <v>4.0</v>
      </c>
      <c r="AQ19" s="298">
        <f t="shared" si="5"/>
        <v>4.4</v>
      </c>
      <c r="AR19" s="299">
        <f>AQ19*$AR$4/$AQ$4</f>
        <v>0.695652173913043</v>
      </c>
      <c r="AS19" s="299">
        <f>AQ19*$AS$4/$AQ$4</f>
        <v>0.869565217391304</v>
      </c>
      <c r="AT19" s="299">
        <f>AQ19*$AT$4/$AQ$4</f>
        <v>0.869565217391304</v>
      </c>
      <c r="AU19" s="299">
        <f>AQ19*$AU$4/$AQ$4</f>
        <v>0.869565217391304</v>
      </c>
      <c r="AV19" s="299">
        <f>AQ19*$AV$4/$AQ$4</f>
        <v>0.869565217391304</v>
      </c>
      <c r="AW19" s="299">
        <f>AQ19*$AW$4/$AQ$4</f>
        <v>0.521739130434782</v>
      </c>
      <c r="AX19" s="130">
        <f t="shared" si="12"/>
        <v>4.69565217391304</v>
      </c>
      <c r="AY19" s="23" t="e">
        <f t="shared" si="13"/>
        <v>#REF!</v>
      </c>
      <c r="BB19" s="298" t="e">
        <f t="shared" si="14"/>
        <v>#REF!</v>
      </c>
      <c r="BI19" s="298"/>
      <c r="BJ19" s="298"/>
      <c r="BK19" s="298"/>
      <c r="BL19" s="298"/>
      <c r="BM19" s="298"/>
      <c r="BN19" s="298"/>
      <c r="BO19" s="298"/>
      <c r="BP19" s="298"/>
      <c r="BQ19" s="298"/>
      <c r="BR19" s="298"/>
      <c r="BS19" s="298"/>
      <c r="BT19" s="298"/>
      <c r="BU19" s="298"/>
      <c r="BV19" s="298"/>
      <c r="BW19" s="298"/>
      <c r="BX19" s="298"/>
    </row>
    <row r="20" ht="17.0">
      <c r="A20" s="296" t="s">
        <v>32</v>
      </c>
      <c r="B20" s="296" t="s">
        <v>53</v>
      </c>
      <c r="C20" s="296" t="s">
        <v>61</v>
      </c>
      <c r="D20" s="297">
        <v>71401.0</v>
      </c>
      <c r="F20" s="296">
        <v>0.0</v>
      </c>
      <c r="G20" s="296">
        <v>0.0</v>
      </c>
      <c r="H20" s="296">
        <v>0.0</v>
      </c>
      <c r="I20" s="296">
        <v>0.0</v>
      </c>
      <c r="J20" s="296">
        <v>0.0</v>
      </c>
      <c r="K20" s="296">
        <v>0.0</v>
      </c>
      <c r="L20" s="296">
        <v>0.0</v>
      </c>
      <c r="M20" s="296">
        <v>0.0</v>
      </c>
      <c r="N20" s="296">
        <v>0.0</v>
      </c>
      <c r="O20" s="296">
        <v>0.0</v>
      </c>
      <c r="P20" s="296">
        <v>0.0</v>
      </c>
      <c r="Q20" s="296">
        <v>0.0</v>
      </c>
      <c r="R20" s="296">
        <v>0.0</v>
      </c>
      <c r="S20" s="296">
        <v>0.0</v>
      </c>
      <c r="T20" s="296">
        <v>0.0</v>
      </c>
      <c r="U20" s="296">
        <v>0.0</v>
      </c>
      <c r="V20" s="296">
        <v>0.0</v>
      </c>
      <c r="W20" s="296">
        <v>0.0</v>
      </c>
      <c r="X20" s="296">
        <v>0.0</v>
      </c>
      <c r="Y20" s="296">
        <v>0.0</v>
      </c>
      <c r="Z20" s="296">
        <v>0.0</v>
      </c>
      <c r="AA20" s="296">
        <v>5.0</v>
      </c>
      <c r="AB20" s="296">
        <v>79.0</v>
      </c>
      <c r="AC20" s="296">
        <v>39.0</v>
      </c>
      <c r="AD20" s="296">
        <v>30.0</v>
      </c>
      <c r="AE20" s="296">
        <v>27.0</v>
      </c>
      <c r="AF20" s="296">
        <v>15.0</v>
      </c>
      <c r="AG20" s="296">
        <v>15.0</v>
      </c>
      <c r="AH20" s="296">
        <v>24.0</v>
      </c>
      <c r="AI20" s="296">
        <v>12.0</v>
      </c>
      <c r="AJ20" s="296">
        <v>18.0</v>
      </c>
      <c r="AK20" s="296">
        <v>9.0</v>
      </c>
      <c r="AL20" s="296">
        <v>15.0</v>
      </c>
      <c r="AM20" s="296">
        <v>3.0</v>
      </c>
      <c r="AN20" s="296">
        <v>15.0</v>
      </c>
      <c r="AO20" s="298">
        <f t="shared" si="3"/>
        <v>222.0</v>
      </c>
      <c r="AP20" s="298">
        <f t="shared" si="4"/>
        <v>72.0</v>
      </c>
      <c r="AQ20" s="298">
        <f t="shared" si="5"/>
        <v>79.2</v>
      </c>
      <c r="AR20" s="130">
        <f t="shared" ref="AR20:AR24" si="76">AQ20*$AR$4/$AQ$4+3*$AR$19</f>
        <v>14.6086956521739</v>
      </c>
      <c r="AS20" s="130">
        <f t="shared" ref="AS20:AS24" si="77">AQ20*$AS$4/$AQ$4+3*$AS$19</f>
        <v>18.2608695652173</v>
      </c>
      <c r="AT20" s="130">
        <f t="shared" ref="AT20:AT24" si="78">AQ20*$AT$4/$AQ$4+3*$AT$19</f>
        <v>18.2608695652173</v>
      </c>
      <c r="AU20" s="130">
        <f t="shared" ref="AU20:AU24" si="79">AQ20*$AU$4/$AQ$4+3*$AU$19</f>
        <v>18.2608695652173</v>
      </c>
      <c r="AV20" s="130">
        <f t="shared" ref="AV20:AV24" si="80">AQ20*$AV$4/$AQ$4+3*$AV$19</f>
        <v>18.2608695652173</v>
      </c>
      <c r="AW20" s="130">
        <f t="shared" ref="AW20:AW24" si="81">AQ20*$AW$4/$AQ$4+3*$AW$19</f>
        <v>10.9565217391303</v>
      </c>
      <c r="AX20" s="130">
        <f t="shared" si="12"/>
        <v>98.6086956521734</v>
      </c>
      <c r="AY20" s="23" t="e">
        <f t="shared" si="13"/>
        <v>#REF!</v>
      </c>
      <c r="BB20" s="298" t="e">
        <f t="shared" si="14"/>
        <v>#REF!</v>
      </c>
      <c r="BF20" s="130" t="e">
        <f t="shared" ref="BF20:BF25" si="82">AY20</f>
        <v>#REF!</v>
      </c>
      <c r="BG20" s="130">
        <f t="shared" ref="BG20:BG25" si="83">AR20</f>
        <v>14.6086956521739</v>
      </c>
      <c r="BI20" s="298" t="e">
        <f t="shared" ref="BI20:BI25" si="84">BF20+BH20-BG20</f>
        <v>#REF!</v>
      </c>
      <c r="BJ20" s="298">
        <f t="shared" ref="BJ20:BJ25" si="85">AS20</f>
        <v>18.2608695652173</v>
      </c>
      <c r="BK20" s="298"/>
      <c r="BL20" s="298" t="e">
        <f t="shared" ref="BL20:BL25" si="86">BI20+BK20-BJ20</f>
        <v>#REF!</v>
      </c>
      <c r="BM20" s="298">
        <f t="shared" ref="BM20:BM25" si="87">AT20</f>
        <v>18.2608695652173</v>
      </c>
      <c r="BN20" s="298"/>
      <c r="BO20" s="298" t="e">
        <f t="shared" ref="BO20:BO25" si="88">BL20+BN20-BM20</f>
        <v>#REF!</v>
      </c>
      <c r="BP20" s="298">
        <f t="shared" ref="BP20:BP25" si="89">AU20</f>
        <v>18.2608695652173</v>
      </c>
      <c r="BQ20" s="298"/>
      <c r="BR20" s="298" t="e">
        <f t="shared" ref="BR20:BR25" si="90">BO20+BQ20-BP20</f>
        <v>#REF!</v>
      </c>
      <c r="BS20" s="298">
        <f t="shared" ref="BS20:BS25" si="91">AV20</f>
        <v>18.2608695652173</v>
      </c>
      <c r="BT20" s="298"/>
      <c r="BU20" s="298" t="e">
        <f t="shared" ref="BU20:BU25" si="92">BR20+BT20-BS20</f>
        <v>#REF!</v>
      </c>
      <c r="BV20" s="298">
        <f t="shared" ref="BV20:BV25" si="93">AW20</f>
        <v>10.9565217391303</v>
      </c>
      <c r="BW20" s="298"/>
      <c r="BX20" s="298" t="e">
        <f t="shared" ref="BX20:BX25" si="94">BU20+BW20-BV20</f>
        <v>#REF!</v>
      </c>
    </row>
    <row r="21" ht="17.0">
      <c r="A21" s="296" t="s">
        <v>32</v>
      </c>
      <c r="B21" s="296" t="s">
        <v>53</v>
      </c>
      <c r="C21" s="296" t="s">
        <v>58</v>
      </c>
      <c r="D21" s="297">
        <v>71101.0</v>
      </c>
      <c r="F21" s="296">
        <v>0.0</v>
      </c>
      <c r="G21" s="296">
        <v>0.0</v>
      </c>
      <c r="H21" s="296">
        <v>0.0</v>
      </c>
      <c r="I21" s="296">
        <v>0.0</v>
      </c>
      <c r="J21" s="296">
        <v>0.0</v>
      </c>
      <c r="K21" s="296">
        <v>0.0</v>
      </c>
      <c r="L21" s="296">
        <v>0.0</v>
      </c>
      <c r="M21" s="296">
        <v>0.0</v>
      </c>
      <c r="N21" s="296">
        <v>0.0</v>
      </c>
      <c r="O21" s="296">
        <v>0.0</v>
      </c>
      <c r="P21" s="296">
        <v>0.0</v>
      </c>
      <c r="Q21" s="296">
        <v>0.0</v>
      </c>
      <c r="R21" s="296">
        <v>0.0</v>
      </c>
      <c r="S21" s="296">
        <v>0.0</v>
      </c>
      <c r="T21" s="296">
        <v>0.0</v>
      </c>
      <c r="U21" s="296">
        <v>0.0</v>
      </c>
      <c r="V21" s="296">
        <v>0.0</v>
      </c>
      <c r="W21" s="296">
        <v>0.0</v>
      </c>
      <c r="X21" s="296">
        <v>0.0</v>
      </c>
      <c r="Y21" s="296">
        <v>0.0</v>
      </c>
      <c r="Z21" s="296">
        <v>0.0</v>
      </c>
      <c r="AA21" s="296">
        <v>5.0</v>
      </c>
      <c r="AB21" s="296">
        <v>107.0</v>
      </c>
      <c r="AC21" s="296">
        <v>57.0</v>
      </c>
      <c r="AD21" s="296">
        <v>63.0</v>
      </c>
      <c r="AE21" s="296">
        <v>42.0</v>
      </c>
      <c r="AF21" s="296">
        <v>63.0</v>
      </c>
      <c r="AG21" s="296">
        <v>45.0</v>
      </c>
      <c r="AH21" s="296">
        <v>48.0</v>
      </c>
      <c r="AI21" s="296">
        <v>30.0</v>
      </c>
      <c r="AJ21" s="296">
        <v>42.0</v>
      </c>
      <c r="AK21" s="296">
        <v>18.0</v>
      </c>
      <c r="AL21" s="296">
        <v>42.0</v>
      </c>
      <c r="AM21" s="296">
        <v>16.0</v>
      </c>
      <c r="AN21" s="296">
        <v>33.0</v>
      </c>
      <c r="AO21" s="298">
        <f t="shared" si="3"/>
        <v>499.0</v>
      </c>
      <c r="AP21" s="298">
        <f t="shared" si="4"/>
        <v>181.0</v>
      </c>
      <c r="AQ21" s="298">
        <f t="shared" si="5"/>
        <v>199.1</v>
      </c>
      <c r="AR21" s="130">
        <f t="shared" si="76"/>
        <v>33.5652173913043</v>
      </c>
      <c r="AS21" s="130">
        <f t="shared" si="77"/>
        <v>41.9565217391304</v>
      </c>
      <c r="AT21" s="130">
        <f t="shared" si="78"/>
        <v>41.9565217391304</v>
      </c>
      <c r="AU21" s="130">
        <f t="shared" si="79"/>
        <v>41.9565217391304</v>
      </c>
      <c r="AV21" s="130">
        <f t="shared" si="80"/>
        <v>41.9565217391304</v>
      </c>
      <c r="AW21" s="130">
        <f t="shared" si="81"/>
        <v>25.1739130434782</v>
      </c>
      <c r="AX21" s="130">
        <f t="shared" si="12"/>
        <v>226.565217391304</v>
      </c>
      <c r="AY21" s="23" t="e">
        <f t="shared" si="13"/>
        <v>#REF!</v>
      </c>
      <c r="BB21" s="298" t="e">
        <f t="shared" si="14"/>
        <v>#REF!</v>
      </c>
      <c r="BE21" s="130" t="s">
        <v>255</v>
      </c>
      <c r="BF21" s="130" t="e">
        <f t="shared" si="82"/>
        <v>#REF!</v>
      </c>
      <c r="BG21" s="130">
        <f t="shared" si="83"/>
        <v>33.5652173913043</v>
      </c>
      <c r="BI21" s="298" t="e">
        <f t="shared" si="84"/>
        <v>#REF!</v>
      </c>
      <c r="BJ21" s="298">
        <f t="shared" si="85"/>
        <v>41.9565217391304</v>
      </c>
      <c r="BK21" s="298"/>
      <c r="BL21" s="298" t="e">
        <f t="shared" si="86"/>
        <v>#REF!</v>
      </c>
      <c r="BM21" s="298">
        <f t="shared" si="87"/>
        <v>41.9565217391304</v>
      </c>
      <c r="BN21" s="298"/>
      <c r="BO21" s="298" t="e">
        <f t="shared" si="88"/>
        <v>#REF!</v>
      </c>
      <c r="BP21" s="298">
        <f t="shared" si="89"/>
        <v>41.9565217391304</v>
      </c>
      <c r="BQ21" s="298"/>
      <c r="BR21" s="298" t="e">
        <f t="shared" si="90"/>
        <v>#REF!</v>
      </c>
      <c r="BS21" s="298">
        <f t="shared" si="91"/>
        <v>41.9565217391304</v>
      </c>
      <c r="BT21" s="298"/>
      <c r="BU21" s="298" t="e">
        <f t="shared" si="92"/>
        <v>#REF!</v>
      </c>
      <c r="BV21" s="298">
        <f t="shared" si="93"/>
        <v>25.1739130434782</v>
      </c>
      <c r="BW21" s="298"/>
      <c r="BX21" s="298" t="e">
        <f t="shared" si="94"/>
        <v>#REF!</v>
      </c>
      <c r="BZ21" s="23" t="e">
        <f t="shared" ref="BZ21:BZ22" si="95">BX21*-1</f>
        <v>#REF!</v>
      </c>
      <c r="CA21" s="300" t="e">
        <f t="shared" ref="CA21:CA22" si="96">BZ21/6</f>
        <v>#REF!</v>
      </c>
      <c r="CB21" s="130" t="e">
        <f t="shared" ref="CB21:CB22" si="97">ROUNDUP(CA21,0)</f>
        <v>#REF!</v>
      </c>
      <c r="CC21" s="23" t="e">
        <f t="shared" ref="CC21:CC22" si="98">CB21*6</f>
        <v>#REF!</v>
      </c>
    </row>
    <row r="22" ht="17.0">
      <c r="A22" s="296" t="s">
        <v>32</v>
      </c>
      <c r="B22" s="296" t="s">
        <v>53</v>
      </c>
      <c r="C22" s="296" t="s">
        <v>60</v>
      </c>
      <c r="D22" s="297">
        <v>71301.0</v>
      </c>
      <c r="F22" s="296">
        <v>0.0</v>
      </c>
      <c r="G22" s="296">
        <v>0.0</v>
      </c>
      <c r="H22" s="296">
        <v>0.0</v>
      </c>
      <c r="I22" s="296">
        <v>0.0</v>
      </c>
      <c r="J22" s="296">
        <v>0.0</v>
      </c>
      <c r="K22" s="296">
        <v>0.0</v>
      </c>
      <c r="L22" s="296">
        <v>0.0</v>
      </c>
      <c r="M22" s="296">
        <v>0.0</v>
      </c>
      <c r="N22" s="296">
        <v>0.0</v>
      </c>
      <c r="O22" s="296">
        <v>0.0</v>
      </c>
      <c r="P22" s="296">
        <v>0.0</v>
      </c>
      <c r="Q22" s="296">
        <v>0.0</v>
      </c>
      <c r="R22" s="296">
        <v>0.0</v>
      </c>
      <c r="S22" s="296">
        <v>0.0</v>
      </c>
      <c r="T22" s="296">
        <v>0.0</v>
      </c>
      <c r="U22" s="296">
        <v>0.0</v>
      </c>
      <c r="V22" s="296">
        <v>0.0</v>
      </c>
      <c r="W22" s="296">
        <v>0.0</v>
      </c>
      <c r="X22" s="296">
        <v>0.0</v>
      </c>
      <c r="Y22" s="296">
        <v>0.0</v>
      </c>
      <c r="Z22" s="296">
        <v>0.0</v>
      </c>
      <c r="AA22" s="296">
        <v>5.0</v>
      </c>
      <c r="AB22" s="296">
        <v>61.0</v>
      </c>
      <c r="AC22" s="296">
        <v>33.0</v>
      </c>
      <c r="AD22" s="296">
        <v>33.0</v>
      </c>
      <c r="AE22" s="296">
        <v>36.0</v>
      </c>
      <c r="AF22" s="296">
        <v>27.0</v>
      </c>
      <c r="AG22" s="296">
        <v>24.0</v>
      </c>
      <c r="AH22" s="296">
        <v>18.0</v>
      </c>
      <c r="AI22" s="296">
        <v>21.0</v>
      </c>
      <c r="AJ22" s="296">
        <v>15.0</v>
      </c>
      <c r="AK22" s="296">
        <v>6.0</v>
      </c>
      <c r="AL22" s="296">
        <v>15.0</v>
      </c>
      <c r="AM22" s="296">
        <v>0.0</v>
      </c>
      <c r="AN22" s="296">
        <v>24.0</v>
      </c>
      <c r="AO22" s="298">
        <f t="shared" si="3"/>
        <v>252.0</v>
      </c>
      <c r="AP22" s="298">
        <f t="shared" si="4"/>
        <v>81.0</v>
      </c>
      <c r="AQ22" s="298">
        <f t="shared" si="5"/>
        <v>89.1</v>
      </c>
      <c r="AR22" s="130">
        <f t="shared" si="76"/>
        <v>16.1739130434782</v>
      </c>
      <c r="AS22" s="130">
        <f t="shared" si="77"/>
        <v>20.2173913043478</v>
      </c>
      <c r="AT22" s="130">
        <f t="shared" si="78"/>
        <v>20.2173913043478</v>
      </c>
      <c r="AU22" s="130">
        <f t="shared" si="79"/>
        <v>20.2173913043478</v>
      </c>
      <c r="AV22" s="130">
        <f t="shared" si="80"/>
        <v>20.2173913043478</v>
      </c>
      <c r="AW22" s="130">
        <f t="shared" si="81"/>
        <v>12.1304347826086</v>
      </c>
      <c r="AX22" s="130">
        <f t="shared" si="12"/>
        <v>109.173913043478</v>
      </c>
      <c r="AY22" s="23" t="e">
        <f t="shared" si="13"/>
        <v>#REF!</v>
      </c>
      <c r="BB22" s="298" t="e">
        <f t="shared" si="14"/>
        <v>#REF!</v>
      </c>
      <c r="BE22" s="130" t="s">
        <v>453</v>
      </c>
      <c r="BF22" s="130" t="e">
        <f t="shared" si="82"/>
        <v>#REF!</v>
      </c>
      <c r="BG22" s="130">
        <f t="shared" si="83"/>
        <v>16.1739130434782</v>
      </c>
      <c r="BI22" s="298" t="e">
        <f t="shared" si="84"/>
        <v>#REF!</v>
      </c>
      <c r="BJ22" s="298">
        <f t="shared" si="85"/>
        <v>20.2173913043478</v>
      </c>
      <c r="BK22" s="298"/>
      <c r="BL22" s="298" t="e">
        <f t="shared" si="86"/>
        <v>#REF!</v>
      </c>
      <c r="BM22" s="298">
        <f t="shared" si="87"/>
        <v>20.2173913043478</v>
      </c>
      <c r="BN22" s="298"/>
      <c r="BO22" s="298" t="e">
        <f t="shared" si="88"/>
        <v>#REF!</v>
      </c>
      <c r="BP22" s="298">
        <f t="shared" si="89"/>
        <v>20.2173913043478</v>
      </c>
      <c r="BQ22" s="298"/>
      <c r="BR22" s="298" t="e">
        <f t="shared" si="90"/>
        <v>#REF!</v>
      </c>
      <c r="BS22" s="298">
        <f t="shared" si="91"/>
        <v>20.2173913043478</v>
      </c>
      <c r="BT22" s="298"/>
      <c r="BU22" s="298" t="e">
        <f t="shared" si="92"/>
        <v>#REF!</v>
      </c>
      <c r="BV22" s="298">
        <f t="shared" si="93"/>
        <v>12.1304347826086</v>
      </c>
      <c r="BW22" s="298"/>
      <c r="BX22" s="298" t="e">
        <f t="shared" si="94"/>
        <v>#REF!</v>
      </c>
      <c r="BZ22" s="23" t="e">
        <f t="shared" si="95"/>
        <v>#REF!</v>
      </c>
      <c r="CA22" s="300" t="e">
        <f t="shared" si="96"/>
        <v>#REF!</v>
      </c>
      <c r="CB22" s="130" t="e">
        <f t="shared" si="97"/>
        <v>#REF!</v>
      </c>
      <c r="CC22" s="23" t="e">
        <f t="shared" si="98"/>
        <v>#REF!</v>
      </c>
    </row>
    <row r="23" ht="17.0">
      <c r="A23" s="296" t="s">
        <v>32</v>
      </c>
      <c r="B23" s="296" t="s">
        <v>53</v>
      </c>
      <c r="C23" s="296" t="s">
        <v>59</v>
      </c>
      <c r="D23" s="297">
        <v>71201.0</v>
      </c>
      <c r="F23" s="296">
        <v>0.0</v>
      </c>
      <c r="G23" s="296">
        <v>0.0</v>
      </c>
      <c r="H23" s="296">
        <v>0.0</v>
      </c>
      <c r="I23" s="296">
        <v>0.0</v>
      </c>
      <c r="J23" s="296">
        <v>0.0</v>
      </c>
      <c r="K23" s="296">
        <v>0.0</v>
      </c>
      <c r="L23" s="296">
        <v>0.0</v>
      </c>
      <c r="M23" s="296">
        <v>0.0</v>
      </c>
      <c r="N23" s="296">
        <v>0.0</v>
      </c>
      <c r="O23" s="296">
        <v>0.0</v>
      </c>
      <c r="P23" s="296">
        <v>0.0</v>
      </c>
      <c r="Q23" s="296">
        <v>0.0</v>
      </c>
      <c r="R23" s="296">
        <v>0.0</v>
      </c>
      <c r="S23" s="296">
        <v>0.0</v>
      </c>
      <c r="T23" s="296">
        <v>0.0</v>
      </c>
      <c r="U23" s="296">
        <v>0.0</v>
      </c>
      <c r="V23" s="296">
        <v>0.0</v>
      </c>
      <c r="W23" s="296">
        <v>34.0</v>
      </c>
      <c r="X23" s="296">
        <v>33.0</v>
      </c>
      <c r="Y23" s="296">
        <v>9.0</v>
      </c>
      <c r="Z23" s="296">
        <v>6.0</v>
      </c>
      <c r="AA23" s="296">
        <v>3.0</v>
      </c>
      <c r="AB23" s="296">
        <v>24.0</v>
      </c>
      <c r="AC23" s="296">
        <v>10.0</v>
      </c>
      <c r="AD23" s="296">
        <v>9.0</v>
      </c>
      <c r="AE23" s="296">
        <v>3.0</v>
      </c>
      <c r="AF23" s="296">
        <v>6.0</v>
      </c>
      <c r="AG23" s="296">
        <v>12.0</v>
      </c>
      <c r="AH23" s="296">
        <v>3.0</v>
      </c>
      <c r="AI23" s="296">
        <v>0.0</v>
      </c>
      <c r="AJ23" s="296">
        <v>6.0</v>
      </c>
      <c r="AK23" s="296">
        <v>9.0</v>
      </c>
      <c r="AL23" s="296">
        <v>3.0</v>
      </c>
      <c r="AM23" s="296">
        <v>0.0</v>
      </c>
      <c r="AN23" s="296">
        <v>3.0</v>
      </c>
      <c r="AO23" s="298">
        <f t="shared" si="3"/>
        <v>64.0</v>
      </c>
      <c r="AP23" s="298">
        <f t="shared" si="4"/>
        <v>21.0</v>
      </c>
      <c r="AQ23" s="298">
        <f t="shared" si="5"/>
        <v>23.1</v>
      </c>
      <c r="AR23" s="130">
        <f t="shared" si="76"/>
        <v>5.73913043478252</v>
      </c>
      <c r="AS23" s="130">
        <f t="shared" si="77"/>
        <v>7.17391304347824</v>
      </c>
      <c r="AT23" s="130">
        <f t="shared" si="78"/>
        <v>7.17391304347824</v>
      </c>
      <c r="AU23" s="130">
        <f t="shared" si="79"/>
        <v>7.17391304347824</v>
      </c>
      <c r="AV23" s="130">
        <f t="shared" si="80"/>
        <v>7.17391304347824</v>
      </c>
      <c r="AW23" s="130">
        <f t="shared" si="81"/>
        <v>4.30434782608694</v>
      </c>
      <c r="AX23" s="130">
        <f t="shared" si="12"/>
        <v>38.7391304347824</v>
      </c>
      <c r="AY23" s="23" t="e">
        <f t="shared" si="13"/>
        <v>#REF!</v>
      </c>
      <c r="BB23" s="298" t="e">
        <f t="shared" si="14"/>
        <v>#REF!</v>
      </c>
      <c r="BF23" s="130" t="e">
        <f t="shared" si="82"/>
        <v>#REF!</v>
      </c>
      <c r="BG23" s="130">
        <f t="shared" si="83"/>
        <v>5.73913043478252</v>
      </c>
      <c r="BI23" s="298" t="e">
        <f t="shared" si="84"/>
        <v>#REF!</v>
      </c>
      <c r="BJ23" s="298">
        <f t="shared" si="85"/>
        <v>7.17391304347824</v>
      </c>
      <c r="BK23" s="298"/>
      <c r="BL23" s="298" t="e">
        <f t="shared" si="86"/>
        <v>#REF!</v>
      </c>
      <c r="BM23" s="298">
        <f t="shared" si="87"/>
        <v>7.17391304347824</v>
      </c>
      <c r="BN23" s="298"/>
      <c r="BO23" s="298" t="e">
        <f t="shared" si="88"/>
        <v>#REF!</v>
      </c>
      <c r="BP23" s="298">
        <f t="shared" si="89"/>
        <v>7.17391304347824</v>
      </c>
      <c r="BQ23" s="298"/>
      <c r="BR23" s="298" t="e">
        <f t="shared" si="90"/>
        <v>#REF!</v>
      </c>
      <c r="BS23" s="298">
        <f t="shared" si="91"/>
        <v>7.17391304347824</v>
      </c>
      <c r="BT23" s="298"/>
      <c r="BU23" s="298" t="e">
        <f t="shared" si="92"/>
        <v>#REF!</v>
      </c>
      <c r="BV23" s="298">
        <f t="shared" si="93"/>
        <v>4.30434782608694</v>
      </c>
      <c r="BW23" s="298"/>
      <c r="BX23" s="298" t="e">
        <f t="shared" si="94"/>
        <v>#REF!</v>
      </c>
    </row>
    <row r="24" ht="17.0">
      <c r="A24" s="296" t="s">
        <v>32</v>
      </c>
      <c r="B24" s="296" t="s">
        <v>53</v>
      </c>
      <c r="C24" s="296" t="s">
        <v>62</v>
      </c>
      <c r="D24" s="297">
        <v>71501.0</v>
      </c>
      <c r="F24" s="296">
        <v>0.0</v>
      </c>
      <c r="G24" s="296">
        <v>0.0</v>
      </c>
      <c r="H24" s="296">
        <v>0.0</v>
      </c>
      <c r="I24" s="296">
        <v>0.0</v>
      </c>
      <c r="J24" s="296">
        <v>0.0</v>
      </c>
      <c r="K24" s="296">
        <v>0.0</v>
      </c>
      <c r="L24" s="296">
        <v>0.0</v>
      </c>
      <c r="M24" s="296">
        <v>0.0</v>
      </c>
      <c r="N24" s="296">
        <v>0.0</v>
      </c>
      <c r="O24" s="296">
        <v>0.0</v>
      </c>
      <c r="P24" s="296">
        <v>0.0</v>
      </c>
      <c r="Q24" s="296">
        <v>0.0</v>
      </c>
      <c r="R24" s="296">
        <v>0.0</v>
      </c>
      <c r="S24" s="296">
        <v>0.0</v>
      </c>
      <c r="T24" s="296">
        <v>0.0</v>
      </c>
      <c r="U24" s="296">
        <v>0.0</v>
      </c>
      <c r="V24" s="296">
        <v>0.0</v>
      </c>
      <c r="W24" s="296">
        <v>43.0</v>
      </c>
      <c r="X24" s="296">
        <v>90.0</v>
      </c>
      <c r="Y24" s="296">
        <v>30.0</v>
      </c>
      <c r="Z24" s="296">
        <v>6.0</v>
      </c>
      <c r="AA24" s="296">
        <v>15.0</v>
      </c>
      <c r="AB24" s="296">
        <v>36.0</v>
      </c>
      <c r="AC24" s="296">
        <v>7.0</v>
      </c>
      <c r="AD24" s="296">
        <v>15.0</v>
      </c>
      <c r="AE24" s="296">
        <v>21.0</v>
      </c>
      <c r="AF24" s="296">
        <v>6.0</v>
      </c>
      <c r="AG24" s="296">
        <v>9.0</v>
      </c>
      <c r="AH24" s="296">
        <v>21.0</v>
      </c>
      <c r="AI24" s="296">
        <v>6.0</v>
      </c>
      <c r="AJ24" s="296">
        <v>9.0</v>
      </c>
      <c r="AK24" s="296">
        <v>3.0</v>
      </c>
      <c r="AL24" s="296">
        <v>18.0</v>
      </c>
      <c r="AM24" s="296">
        <v>0.0</v>
      </c>
      <c r="AN24" s="296">
        <v>9.0</v>
      </c>
      <c r="AO24" s="298">
        <f t="shared" si="3"/>
        <v>124.0</v>
      </c>
      <c r="AP24" s="298">
        <f t="shared" si="4"/>
        <v>45.0</v>
      </c>
      <c r="AQ24" s="298">
        <f t="shared" si="5"/>
        <v>49.5</v>
      </c>
      <c r="AR24" s="130">
        <f t="shared" si="76"/>
        <v>9.91304347826085</v>
      </c>
      <c r="AS24" s="130">
        <f t="shared" si="77"/>
        <v>12.391304347826</v>
      </c>
      <c r="AT24" s="130">
        <f t="shared" si="78"/>
        <v>12.391304347826</v>
      </c>
      <c r="AU24" s="130">
        <f t="shared" si="79"/>
        <v>12.391304347826</v>
      </c>
      <c r="AV24" s="130">
        <f t="shared" si="80"/>
        <v>12.391304347826</v>
      </c>
      <c r="AW24" s="130">
        <f t="shared" si="81"/>
        <v>7.43478260869564</v>
      </c>
      <c r="AX24" s="130">
        <f t="shared" si="12"/>
        <v>66.9130434782604</v>
      </c>
      <c r="AY24" s="23" t="e">
        <f t="shared" si="13"/>
        <v>#REF!</v>
      </c>
      <c r="BB24" s="298" t="e">
        <f t="shared" si="14"/>
        <v>#REF!</v>
      </c>
      <c r="BF24" s="130" t="e">
        <f t="shared" si="82"/>
        <v>#REF!</v>
      </c>
      <c r="BG24" s="130">
        <f t="shared" si="83"/>
        <v>9.91304347826085</v>
      </c>
      <c r="BI24" s="298" t="e">
        <f t="shared" si="84"/>
        <v>#REF!</v>
      </c>
      <c r="BJ24" s="298">
        <f t="shared" si="85"/>
        <v>12.391304347826</v>
      </c>
      <c r="BK24" s="298"/>
      <c r="BL24" s="298" t="e">
        <f t="shared" si="86"/>
        <v>#REF!</v>
      </c>
      <c r="BM24" s="298">
        <f t="shared" si="87"/>
        <v>12.391304347826</v>
      </c>
      <c r="BN24" s="298"/>
      <c r="BO24" s="298" t="e">
        <f t="shared" si="88"/>
        <v>#REF!</v>
      </c>
      <c r="BP24" s="298">
        <f t="shared" si="89"/>
        <v>12.391304347826</v>
      </c>
      <c r="BQ24" s="298"/>
      <c r="BR24" s="298" t="e">
        <f t="shared" si="90"/>
        <v>#REF!</v>
      </c>
      <c r="BS24" s="298">
        <f t="shared" si="91"/>
        <v>12.391304347826</v>
      </c>
      <c r="BT24" s="298"/>
      <c r="BU24" s="298" t="e">
        <f t="shared" si="92"/>
        <v>#REF!</v>
      </c>
      <c r="BV24" s="298">
        <f t="shared" si="93"/>
        <v>7.43478260869564</v>
      </c>
      <c r="BW24" s="298"/>
      <c r="BX24" s="298" t="e">
        <f t="shared" si="94"/>
        <v>#REF!</v>
      </c>
    </row>
    <row r="25" ht="17.0">
      <c r="A25" s="296" t="s">
        <v>32</v>
      </c>
      <c r="B25" s="296" t="s">
        <v>45</v>
      </c>
      <c r="C25" s="296" t="s">
        <v>46</v>
      </c>
      <c r="D25" s="297" t="s">
        <v>47</v>
      </c>
      <c r="F25" s="296">
        <v>1.0</v>
      </c>
      <c r="G25" s="296">
        <v>0.0</v>
      </c>
      <c r="H25" s="296">
        <v>0.0</v>
      </c>
      <c r="I25" s="296">
        <v>0.0</v>
      </c>
      <c r="J25" s="296">
        <v>0.0</v>
      </c>
      <c r="K25" s="296">
        <v>0.0</v>
      </c>
      <c r="L25" s="296">
        <v>0.0</v>
      </c>
      <c r="M25" s="296">
        <v>0.0</v>
      </c>
      <c r="N25" s="296">
        <v>0.0</v>
      </c>
      <c r="O25" s="296">
        <v>0.0</v>
      </c>
      <c r="P25" s="296">
        <v>0.0</v>
      </c>
      <c r="Q25" s="296">
        <v>0.0</v>
      </c>
      <c r="R25" s="296">
        <v>0.0</v>
      </c>
      <c r="S25" s="296">
        <v>0.0</v>
      </c>
      <c r="T25" s="296">
        <v>0.0</v>
      </c>
      <c r="U25" s="296">
        <v>0.0</v>
      </c>
      <c r="V25" s="296">
        <v>3.0</v>
      </c>
      <c r="W25" s="296">
        <v>0.0</v>
      </c>
      <c r="X25" s="296">
        <v>0.0</v>
      </c>
      <c r="Y25" s="296">
        <v>1.0</v>
      </c>
      <c r="Z25" s="296">
        <v>0.0</v>
      </c>
      <c r="AA25" s="296">
        <v>0.0</v>
      </c>
      <c r="AB25" s="296">
        <v>1.0</v>
      </c>
      <c r="AC25" s="296">
        <v>0.0</v>
      </c>
      <c r="AD25" s="296">
        <v>0.0</v>
      </c>
      <c r="AE25" s="296">
        <v>1.0</v>
      </c>
      <c r="AF25" s="296">
        <v>0.0</v>
      </c>
      <c r="AG25" s="296">
        <v>0.0</v>
      </c>
      <c r="AH25" s="296">
        <v>0.0</v>
      </c>
      <c r="AI25" s="296">
        <v>0.0</v>
      </c>
      <c r="AJ25" s="296">
        <v>1.0</v>
      </c>
      <c r="AK25" s="296">
        <v>0.0</v>
      </c>
      <c r="AL25" s="296">
        <v>0.0</v>
      </c>
      <c r="AM25" s="296">
        <v>0.0</v>
      </c>
      <c r="AN25" s="296">
        <v>0.0</v>
      </c>
      <c r="AO25" s="298">
        <f t="shared" si="3"/>
        <v>2.0</v>
      </c>
      <c r="AP25" s="298">
        <f t="shared" si="4"/>
        <v>1.0</v>
      </c>
      <c r="AQ25" s="298">
        <f t="shared" si="5"/>
        <v>1.1</v>
      </c>
      <c r="AR25" s="130">
        <f>AR26</f>
        <v>1.56521739130434</v>
      </c>
      <c r="AS25" s="130">
        <f>AS26</f>
        <v>1.95652173913043</v>
      </c>
      <c r="AT25" s="130">
        <f>AT26</f>
        <v>1.95652173913043</v>
      </c>
      <c r="AU25" s="130">
        <f>AU26</f>
        <v>1.95652173913043</v>
      </c>
      <c r="AV25" s="130">
        <f>AV26</f>
        <v>1.95652173913043</v>
      </c>
      <c r="AW25" s="130">
        <f>AW26</f>
        <v>1.17391304347826</v>
      </c>
      <c r="AX25" s="130">
        <f t="shared" si="12"/>
        <v>10.5652173913043</v>
      </c>
      <c r="AY25" s="23" t="e">
        <f t="shared" si="13"/>
        <v>#REF!</v>
      </c>
      <c r="BB25" s="298" t="e">
        <f t="shared" si="14"/>
        <v>#REF!</v>
      </c>
      <c r="BF25" s="130" t="e">
        <f t="shared" si="82"/>
        <v>#REF!</v>
      </c>
      <c r="BG25" s="130">
        <f t="shared" si="83"/>
        <v>1.56521739130434</v>
      </c>
      <c r="BI25" s="298" t="e">
        <f t="shared" si="84"/>
        <v>#REF!</v>
      </c>
      <c r="BJ25" s="298">
        <f t="shared" si="85"/>
        <v>1.95652173913043</v>
      </c>
      <c r="BK25" s="298"/>
      <c r="BL25" s="298" t="e">
        <f t="shared" si="86"/>
        <v>#REF!</v>
      </c>
      <c r="BM25" s="298">
        <f t="shared" si="87"/>
        <v>1.95652173913043</v>
      </c>
      <c r="BN25" s="298"/>
      <c r="BO25" s="298" t="e">
        <f t="shared" si="88"/>
        <v>#REF!</v>
      </c>
      <c r="BP25" s="298">
        <f t="shared" si="89"/>
        <v>1.95652173913043</v>
      </c>
      <c r="BQ25" s="298"/>
      <c r="BR25" s="298" t="e">
        <f t="shared" si="90"/>
        <v>#REF!</v>
      </c>
      <c r="BS25" s="298">
        <f t="shared" si="91"/>
        <v>1.95652173913043</v>
      </c>
      <c r="BT25" s="298"/>
      <c r="BU25" s="298" t="e">
        <f t="shared" si="92"/>
        <v>#REF!</v>
      </c>
      <c r="BV25" s="298">
        <f t="shared" si="93"/>
        <v>1.17391304347826</v>
      </c>
      <c r="BW25" s="298"/>
      <c r="BX25" s="298" t="e">
        <f t="shared" si="94"/>
        <v>#REF!</v>
      </c>
    </row>
    <row r="26" ht="17.0">
      <c r="A26" s="296" t="s">
        <v>32</v>
      </c>
      <c r="B26" s="296" t="s">
        <v>33</v>
      </c>
      <c r="C26" s="296" t="s">
        <v>43</v>
      </c>
      <c r="D26" s="297" t="s">
        <v>44</v>
      </c>
      <c r="F26" s="296">
        <v>0.0</v>
      </c>
      <c r="G26" s="296">
        <v>2.0</v>
      </c>
      <c r="H26" s="296">
        <v>3.0</v>
      </c>
      <c r="I26" s="296">
        <v>2.0</v>
      </c>
      <c r="J26" s="296">
        <v>0.0</v>
      </c>
      <c r="K26" s="296">
        <v>2.0</v>
      </c>
      <c r="L26" s="296">
        <v>1.0</v>
      </c>
      <c r="M26" s="296">
        <v>1.0</v>
      </c>
      <c r="N26" s="296">
        <v>1.0</v>
      </c>
      <c r="O26" s="296">
        <v>2.0</v>
      </c>
      <c r="P26" s="296">
        <v>0.0</v>
      </c>
      <c r="Q26" s="296">
        <v>1.0</v>
      </c>
      <c r="R26" s="296">
        <v>2.0</v>
      </c>
      <c r="S26" s="296">
        <v>0.0</v>
      </c>
      <c r="T26" s="296">
        <v>1.0</v>
      </c>
      <c r="U26" s="296">
        <v>0.0</v>
      </c>
      <c r="V26" s="296">
        <v>0.0</v>
      </c>
      <c r="W26" s="296">
        <v>0.0</v>
      </c>
      <c r="X26" s="296">
        <v>2.0</v>
      </c>
      <c r="Y26" s="296">
        <v>1.0</v>
      </c>
      <c r="Z26" s="296">
        <v>0.0</v>
      </c>
      <c r="AA26" s="296">
        <v>1.0</v>
      </c>
      <c r="AB26" s="296">
        <v>1.0</v>
      </c>
      <c r="AC26" s="296">
        <v>1.0</v>
      </c>
      <c r="AD26" s="296">
        <v>4.0</v>
      </c>
      <c r="AE26" s="296">
        <v>2.0</v>
      </c>
      <c r="AF26" s="296">
        <v>5.0</v>
      </c>
      <c r="AG26" s="296">
        <v>0.0</v>
      </c>
      <c r="AH26" s="296">
        <v>3.0</v>
      </c>
      <c r="AI26" s="296">
        <v>2.0</v>
      </c>
      <c r="AJ26" s="296">
        <v>3.0</v>
      </c>
      <c r="AK26" s="296">
        <v>1.0</v>
      </c>
      <c r="AL26" s="296">
        <v>2.0</v>
      </c>
      <c r="AM26" s="296">
        <v>1.0</v>
      </c>
      <c r="AN26" s="296">
        <v>0.0</v>
      </c>
      <c r="AO26" s="298">
        <f t="shared" si="3"/>
        <v>24.0</v>
      </c>
      <c r="AP26" s="298">
        <f t="shared" si="4"/>
        <v>9.0</v>
      </c>
      <c r="AQ26" s="298">
        <f t="shared" si="5"/>
        <v>9.9</v>
      </c>
      <c r="AR26" s="299">
        <f>AQ26*$AR$4/$AQ$4</f>
        <v>1.56521739130434</v>
      </c>
      <c r="AS26" s="299">
        <f>AQ26*$AS$4/$AQ$4</f>
        <v>1.95652173913043</v>
      </c>
      <c r="AT26" s="299">
        <f>AQ26*$AT$4/$AQ$4</f>
        <v>1.95652173913043</v>
      </c>
      <c r="AU26" s="299">
        <f>AQ26*$AU$4/$AQ$4</f>
        <v>1.95652173913043</v>
      </c>
      <c r="AV26" s="299">
        <f>AQ26*$AV$4/$AQ$4</f>
        <v>1.95652173913043</v>
      </c>
      <c r="AW26" s="299">
        <f>AQ26*$AW$4/$AQ$4</f>
        <v>1.17391304347826</v>
      </c>
      <c r="AX26" s="130">
        <f t="shared" si="12"/>
        <v>10.5652173913043</v>
      </c>
      <c r="AY26" s="23" t="e">
        <f t="shared" si="13"/>
        <v>#REF!</v>
      </c>
      <c r="BB26" s="298" t="e">
        <f t="shared" si="14"/>
        <v>#REF!</v>
      </c>
      <c r="BC26">
        <f>VLOOKUP(C26,MOQ,3,false)</f>
      </c>
      <c r="BI26" s="298"/>
      <c r="BJ26" s="298"/>
      <c r="BK26" s="298"/>
      <c r="BL26" s="298"/>
      <c r="BM26" s="298"/>
      <c r="BN26" s="298"/>
      <c r="BO26" s="298"/>
      <c r="BP26" s="298"/>
      <c r="BQ26" s="298"/>
      <c r="BR26" s="298"/>
      <c r="BS26" s="298"/>
      <c r="BT26" s="298"/>
      <c r="BU26" s="298"/>
      <c r="BV26" s="298"/>
      <c r="BW26" s="298"/>
      <c r="BX26" s="298"/>
    </row>
    <row r="27" ht="17.0">
      <c r="A27" s="296" t="s">
        <v>32</v>
      </c>
      <c r="B27" s="296" t="s">
        <v>33</v>
      </c>
      <c r="C27" s="296" t="s">
        <v>49</v>
      </c>
      <c r="D27" s="297">
        <v>36803.0</v>
      </c>
      <c r="F27" s="296">
        <v>33.0</v>
      </c>
      <c r="G27" s="296">
        <v>18.0</v>
      </c>
      <c r="H27" s="296">
        <v>33.0</v>
      </c>
      <c r="I27" s="296">
        <v>24.0</v>
      </c>
      <c r="J27" s="296">
        <v>12.0</v>
      </c>
      <c r="K27" s="296">
        <v>12.0</v>
      </c>
      <c r="L27" s="296">
        <v>15.0</v>
      </c>
      <c r="M27" s="296">
        <v>21.0</v>
      </c>
      <c r="N27" s="296">
        <v>12.0</v>
      </c>
      <c r="O27" s="296">
        <v>9.0</v>
      </c>
      <c r="P27" s="296">
        <v>21.0</v>
      </c>
      <c r="Q27" s="296">
        <v>9.0</v>
      </c>
      <c r="R27" s="296">
        <v>21.0</v>
      </c>
      <c r="S27" s="296">
        <v>12.0</v>
      </c>
      <c r="T27" s="296">
        <v>15.0</v>
      </c>
      <c r="U27" s="296">
        <v>48.0</v>
      </c>
      <c r="V27" s="296">
        <v>15.0</v>
      </c>
      <c r="W27" s="296">
        <v>6.0</v>
      </c>
      <c r="X27" s="296">
        <v>30.0</v>
      </c>
      <c r="Y27" s="296">
        <v>42.0</v>
      </c>
      <c r="Z27" s="296">
        <v>9.0</v>
      </c>
      <c r="AA27" s="296">
        <v>0.0</v>
      </c>
      <c r="AB27" s="296">
        <v>7.0</v>
      </c>
      <c r="AC27" s="296">
        <v>18.0</v>
      </c>
      <c r="AD27" s="296">
        <v>18.0</v>
      </c>
      <c r="AE27" s="296">
        <v>22.0</v>
      </c>
      <c r="AF27" s="296">
        <v>24.0</v>
      </c>
      <c r="AG27" s="296">
        <v>29.0</v>
      </c>
      <c r="AH27" s="296">
        <v>24.0</v>
      </c>
      <c r="AI27" s="296">
        <v>6.0</v>
      </c>
      <c r="AJ27" s="296">
        <v>24.0</v>
      </c>
      <c r="AK27" s="296">
        <v>15.0</v>
      </c>
      <c r="AL27" s="296">
        <v>42.0</v>
      </c>
      <c r="AM27" s="296">
        <v>0.0</v>
      </c>
      <c r="AN27" s="296">
        <v>6.0</v>
      </c>
      <c r="AO27" s="298">
        <f t="shared" si="3"/>
        <v>228.0</v>
      </c>
      <c r="AP27" s="298">
        <f t="shared" si="4"/>
        <v>93.0</v>
      </c>
      <c r="AQ27" s="298">
        <f t="shared" si="5"/>
        <v>102.3</v>
      </c>
      <c r="AR27" s="130">
        <f t="shared" ref="AR27:AR31" si="112">AQ27*$AR$4/$AQ$4+3*$AR$26</f>
        <v>20.8695652173912</v>
      </c>
      <c r="AS27" s="130">
        <f t="shared" ref="AS27:AS31" si="113">AQ27*$AS$4/$AQ$4+3*$AS$26</f>
        <v>26.086956521739</v>
      </c>
      <c r="AT27" s="130">
        <f t="shared" ref="AT27:AT31" si="114">AQ27*$AT$4/$AQ$4+3*$AT$26</f>
        <v>26.086956521739</v>
      </c>
      <c r="AU27" s="130">
        <f t="shared" ref="AU27:AU31" si="115">AQ27*$AU$4/$AQ$4+3*$AU$26</f>
        <v>26.086956521739</v>
      </c>
      <c r="AV27" s="130">
        <f t="shared" ref="AV27:AV31" si="116">AQ27*$AV$4/$AQ$4+3*$AV$26</f>
        <v>26.086956521739</v>
      </c>
      <c r="AW27" s="130">
        <f t="shared" ref="AW27:AW31" si="117">AQ27*$AW$4/$AQ$4+3*$AW$26</f>
        <v>15.6521739130438</v>
      </c>
      <c r="AX27" s="130">
        <f t="shared" si="12"/>
        <v>140.869565217391</v>
      </c>
      <c r="AY27" s="23" t="e">
        <f t="shared" si="13"/>
        <v>#REF!</v>
      </c>
      <c r="BB27" s="298" t="e">
        <f t="shared" si="14"/>
        <v>#REF!</v>
      </c>
      <c r="BC27">
        <f>VLOOKUP(C27,MOQ,3,false)</f>
      </c>
      <c r="BE27" s="130" t="s">
        <v>330</v>
      </c>
      <c r="BF27" s="130" t="e">
        <f t="shared" ref="BF27:BF31" si="118">AY27</f>
        <v>#REF!</v>
      </c>
      <c r="BG27" s="130">
        <f t="shared" ref="BG27:BG31" si="119">AR27</f>
        <v>20.8695652173912</v>
      </c>
      <c r="BI27" s="298" t="e">
        <f t="shared" ref="BI27:BI31" si="120">BF27+BH27-BG27</f>
        <v>#REF!</v>
      </c>
      <c r="BJ27" s="298">
        <f t="shared" ref="BJ27:BJ31" si="121">AS27</f>
        <v>26.086956521739</v>
      </c>
      <c r="BK27" s="298"/>
      <c r="BL27" s="298" t="e">
        <f t="shared" ref="BL27:BL31" si="122">BI27+BK27-BJ27</f>
        <v>#REF!</v>
      </c>
      <c r="BM27" s="298">
        <f t="shared" ref="BM27:BM31" si="123">AT27</f>
        <v>26.086956521739</v>
      </c>
      <c r="BN27" s="298"/>
      <c r="BO27" s="298" t="e">
        <f t="shared" ref="BO27:BO31" si="124">BL27+BN27-BM27</f>
        <v>#REF!</v>
      </c>
      <c r="BP27" s="298">
        <f t="shared" ref="BP27:BP31" si="125">AU27</f>
        <v>26.086956521739</v>
      </c>
      <c r="BQ27" s="298"/>
      <c r="BR27" s="298" t="e">
        <f t="shared" ref="BR27:BR31" si="126">BO27+BQ27-BP27</f>
        <v>#REF!</v>
      </c>
      <c r="BS27" s="298">
        <f t="shared" ref="BS27:BS31" si="127">AV27</f>
        <v>26.086956521739</v>
      </c>
      <c r="BT27" s="298"/>
      <c r="BU27" s="298" t="e">
        <f t="shared" ref="BU27:BU31" si="128">BR27+BT27-BS27</f>
        <v>#REF!</v>
      </c>
      <c r="BV27" s="298">
        <f t="shared" ref="BV27:BV31" si="129">AW27</f>
        <v>15.6521739130438</v>
      </c>
      <c r="BW27" s="298"/>
      <c r="BX27" s="298" t="e">
        <f t="shared" ref="BX27:BX31" si="130">BU27+BW27-BV27</f>
        <v>#REF!</v>
      </c>
      <c r="BZ27" s="23" t="e">
        <f t="shared" ref="BZ27:BZ31" si="131">BX27*-1</f>
        <v>#REF!</v>
      </c>
      <c r="CA27" s="300" t="e">
        <f t="shared" ref="CA27:CA31" si="132">BZ27/6</f>
        <v>#REF!</v>
      </c>
      <c r="CB27" s="130" t="e">
        <f t="shared" ref="CB27:CB31" si="133">ROUNDUP(CA27,0)</f>
        <v>#REF!</v>
      </c>
      <c r="CC27" s="23" t="e">
        <f t="shared" ref="CC27:CC31" si="134">CB27*6</f>
        <v>#REF!</v>
      </c>
    </row>
    <row r="28" ht="17.0">
      <c r="A28" s="296" t="s">
        <v>32</v>
      </c>
      <c r="B28" s="296" t="s">
        <v>33</v>
      </c>
      <c r="C28" s="296" t="s">
        <v>48</v>
      </c>
      <c r="D28" s="297">
        <v>36801.0</v>
      </c>
      <c r="F28" s="296">
        <v>66.0</v>
      </c>
      <c r="G28" s="296">
        <v>15.0</v>
      </c>
      <c r="H28" s="296">
        <v>54.0</v>
      </c>
      <c r="I28" s="296">
        <v>39.0</v>
      </c>
      <c r="J28" s="296">
        <v>12.0</v>
      </c>
      <c r="K28" s="296">
        <v>15.0</v>
      </c>
      <c r="L28" s="296">
        <v>24.0</v>
      </c>
      <c r="M28" s="296">
        <v>30.0</v>
      </c>
      <c r="N28" s="296">
        <v>21.0</v>
      </c>
      <c r="O28" s="296">
        <v>21.0</v>
      </c>
      <c r="P28" s="296">
        <v>24.0</v>
      </c>
      <c r="Q28" s="296">
        <v>18.0</v>
      </c>
      <c r="R28" s="296">
        <v>30.0</v>
      </c>
      <c r="S28" s="296">
        <v>27.0</v>
      </c>
      <c r="T28" s="296">
        <v>3.0</v>
      </c>
      <c r="U28" s="296">
        <v>63.0</v>
      </c>
      <c r="V28" s="296">
        <v>18.0</v>
      </c>
      <c r="W28" s="296">
        <v>12.0</v>
      </c>
      <c r="X28" s="296">
        <v>24.0</v>
      </c>
      <c r="Y28" s="296">
        <v>1.0</v>
      </c>
      <c r="Z28" s="296">
        <v>39.0</v>
      </c>
      <c r="AA28" s="296">
        <v>30.0</v>
      </c>
      <c r="AB28" s="296">
        <v>13.0</v>
      </c>
      <c r="AC28" s="296">
        <v>18.0</v>
      </c>
      <c r="AD28" s="296">
        <v>33.0</v>
      </c>
      <c r="AE28" s="296">
        <v>45.0</v>
      </c>
      <c r="AF28" s="296">
        <v>3.0</v>
      </c>
      <c r="AG28" s="296">
        <v>33.0</v>
      </c>
      <c r="AH28" s="296">
        <v>39.0</v>
      </c>
      <c r="AI28" s="296">
        <v>15.0</v>
      </c>
      <c r="AJ28" s="296">
        <v>27.0</v>
      </c>
      <c r="AK28" s="296">
        <v>18.0</v>
      </c>
      <c r="AL28" s="296">
        <v>24.0</v>
      </c>
      <c r="AM28" s="296">
        <v>9.0</v>
      </c>
      <c r="AN28" s="296">
        <v>18.0</v>
      </c>
      <c r="AO28" s="298">
        <f t="shared" si="3"/>
        <v>282.0</v>
      </c>
      <c r="AP28" s="298">
        <f t="shared" si="4"/>
        <v>111.0</v>
      </c>
      <c r="AQ28" s="298">
        <f t="shared" si="5"/>
        <v>122.1</v>
      </c>
      <c r="AR28" s="130">
        <f t="shared" si="112"/>
        <v>24.0</v>
      </c>
      <c r="AS28" s="130">
        <f t="shared" si="113"/>
        <v>30.0</v>
      </c>
      <c r="AT28" s="130">
        <f t="shared" si="114"/>
        <v>30.0</v>
      </c>
      <c r="AU28" s="130">
        <f t="shared" si="115"/>
        <v>30.0</v>
      </c>
      <c r="AV28" s="130">
        <f t="shared" si="116"/>
        <v>30.0</v>
      </c>
      <c r="AW28" s="130">
        <f t="shared" si="117"/>
        <v>18.0</v>
      </c>
      <c r="AX28" s="130">
        <f t="shared" si="12"/>
        <v>162.0</v>
      </c>
      <c r="AY28" s="23" t="e">
        <f t="shared" si="13"/>
        <v>#REF!</v>
      </c>
      <c r="BB28" s="298" t="e">
        <f t="shared" si="14"/>
        <v>#REF!</v>
      </c>
      <c r="BC28">
        <f>VLOOKUP(C28,MOQ,3,false)</f>
      </c>
      <c r="BE28" s="130" t="s">
        <v>249</v>
      </c>
      <c r="BF28" s="130" t="e">
        <f t="shared" si="118"/>
        <v>#REF!</v>
      </c>
      <c r="BG28" s="130">
        <f t="shared" si="119"/>
        <v>24.0</v>
      </c>
      <c r="BI28" s="298" t="e">
        <f t="shared" si="120"/>
        <v>#REF!</v>
      </c>
      <c r="BJ28" s="298">
        <f t="shared" si="121"/>
        <v>30.0</v>
      </c>
      <c r="BK28" s="298"/>
      <c r="BL28" s="298" t="e">
        <f t="shared" si="122"/>
        <v>#REF!</v>
      </c>
      <c r="BM28" s="298">
        <f t="shared" si="123"/>
        <v>30.0</v>
      </c>
      <c r="BN28" s="298"/>
      <c r="BO28" s="298" t="e">
        <f t="shared" si="124"/>
        <v>#REF!</v>
      </c>
      <c r="BP28" s="298">
        <f t="shared" si="125"/>
        <v>30.0</v>
      </c>
      <c r="BQ28" s="298"/>
      <c r="BR28" s="298" t="e">
        <f t="shared" si="126"/>
        <v>#REF!</v>
      </c>
      <c r="BS28" s="298">
        <f t="shared" si="127"/>
        <v>30.0</v>
      </c>
      <c r="BT28" s="298"/>
      <c r="BU28" s="298" t="e">
        <f t="shared" si="128"/>
        <v>#REF!</v>
      </c>
      <c r="BV28" s="298">
        <f t="shared" si="129"/>
        <v>18.0</v>
      </c>
      <c r="BW28" s="298"/>
      <c r="BX28" s="298" t="e">
        <f t="shared" si="130"/>
        <v>#REF!</v>
      </c>
      <c r="BZ28" s="23" t="e">
        <f t="shared" si="131"/>
        <v>#REF!</v>
      </c>
      <c r="CA28" s="300" t="e">
        <f t="shared" si="132"/>
        <v>#REF!</v>
      </c>
      <c r="CB28" s="130" t="e">
        <f t="shared" si="133"/>
        <v>#REF!</v>
      </c>
      <c r="CC28" s="23" t="e">
        <f t="shared" si="134"/>
        <v>#REF!</v>
      </c>
    </row>
    <row r="29" ht="17.0">
      <c r="A29" s="296" t="s">
        <v>32</v>
      </c>
      <c r="B29" s="296" t="s">
        <v>33</v>
      </c>
      <c r="C29" s="296" t="s">
        <v>51</v>
      </c>
      <c r="D29" s="297">
        <v>36805.0</v>
      </c>
      <c r="F29" s="296">
        <v>60.0</v>
      </c>
      <c r="G29" s="296">
        <v>24.0</v>
      </c>
      <c r="H29" s="296">
        <v>36.0</v>
      </c>
      <c r="I29" s="296">
        <v>27.0</v>
      </c>
      <c r="J29" s="296">
        <v>12.0</v>
      </c>
      <c r="K29" s="296">
        <v>9.0</v>
      </c>
      <c r="L29" s="296">
        <v>24.0</v>
      </c>
      <c r="M29" s="296">
        <v>27.0</v>
      </c>
      <c r="N29" s="296">
        <v>15.0</v>
      </c>
      <c r="O29" s="296">
        <v>15.0</v>
      </c>
      <c r="P29" s="296">
        <v>33.0</v>
      </c>
      <c r="Q29" s="296">
        <v>15.0</v>
      </c>
      <c r="R29" s="296">
        <v>27.0</v>
      </c>
      <c r="S29" s="296">
        <v>27.0</v>
      </c>
      <c r="T29" s="296">
        <v>27.0</v>
      </c>
      <c r="U29" s="296">
        <v>42.0</v>
      </c>
      <c r="V29" s="296">
        <v>6.0</v>
      </c>
      <c r="W29" s="296">
        <v>18.0</v>
      </c>
      <c r="X29" s="296">
        <v>42.0</v>
      </c>
      <c r="Y29" s="296">
        <v>39.0</v>
      </c>
      <c r="Z29" s="296">
        <v>12.0</v>
      </c>
      <c r="AA29" s="296">
        <v>9.0</v>
      </c>
      <c r="AB29" s="296">
        <v>7.0</v>
      </c>
      <c r="AC29" s="296">
        <v>30.0</v>
      </c>
      <c r="AD29" s="296">
        <v>24.0</v>
      </c>
      <c r="AE29" s="296">
        <v>42.0</v>
      </c>
      <c r="AF29" s="296">
        <v>30.0</v>
      </c>
      <c r="AG29" s="296">
        <v>18.0</v>
      </c>
      <c r="AH29" s="296">
        <v>39.0</v>
      </c>
      <c r="AI29" s="296">
        <v>33.0</v>
      </c>
      <c r="AJ29" s="296">
        <v>37.0</v>
      </c>
      <c r="AK29" s="296">
        <v>3.0</v>
      </c>
      <c r="AL29" s="296">
        <v>39.0</v>
      </c>
      <c r="AM29" s="296">
        <v>24.0</v>
      </c>
      <c r="AN29" s="296">
        <v>6.0</v>
      </c>
      <c r="AO29" s="298">
        <f t="shared" si="3"/>
        <v>325.0</v>
      </c>
      <c r="AP29" s="298">
        <f t="shared" si="4"/>
        <v>142.0</v>
      </c>
      <c r="AQ29" s="298">
        <f t="shared" si="5"/>
        <v>156.2</v>
      </c>
      <c r="AR29" s="130">
        <f t="shared" si="112"/>
        <v>29.391304347826</v>
      </c>
      <c r="AS29" s="130">
        <f t="shared" si="113"/>
        <v>36.7391304347826</v>
      </c>
      <c r="AT29" s="130">
        <f t="shared" si="114"/>
        <v>36.7391304347826</v>
      </c>
      <c r="AU29" s="130">
        <f t="shared" si="115"/>
        <v>36.7391304347826</v>
      </c>
      <c r="AV29" s="130">
        <f t="shared" si="116"/>
        <v>36.7391304347826</v>
      </c>
      <c r="AW29" s="130">
        <f t="shared" si="117"/>
        <v>22.0434782608696</v>
      </c>
      <c r="AX29" s="130">
        <f t="shared" si="12"/>
        <v>198.391304347826</v>
      </c>
      <c r="AY29" s="23" t="e">
        <f t="shared" si="13"/>
        <v>#REF!</v>
      </c>
      <c r="BB29" s="298" t="e">
        <f t="shared" si="14"/>
        <v>#REF!</v>
      </c>
      <c r="BC29">
        <f>VLOOKUP(C29,MOQ,3,false)</f>
      </c>
      <c r="BE29" s="130" t="s">
        <v>255</v>
      </c>
      <c r="BF29" s="130" t="e">
        <f t="shared" si="118"/>
        <v>#REF!</v>
      </c>
      <c r="BG29" s="130">
        <f t="shared" si="119"/>
        <v>29.391304347826</v>
      </c>
      <c r="BI29" s="298" t="e">
        <f t="shared" si="120"/>
        <v>#REF!</v>
      </c>
      <c r="BJ29" s="298">
        <f t="shared" si="121"/>
        <v>36.7391304347826</v>
      </c>
      <c r="BK29" s="298"/>
      <c r="BL29" s="298" t="e">
        <f t="shared" si="122"/>
        <v>#REF!</v>
      </c>
      <c r="BM29" s="298">
        <f t="shared" si="123"/>
        <v>36.7391304347826</v>
      </c>
      <c r="BN29" s="298"/>
      <c r="BO29" s="298" t="e">
        <f t="shared" si="124"/>
        <v>#REF!</v>
      </c>
      <c r="BP29" s="298">
        <f t="shared" si="125"/>
        <v>36.7391304347826</v>
      </c>
      <c r="BQ29" s="298"/>
      <c r="BR29" s="298" t="e">
        <f t="shared" si="126"/>
        <v>#REF!</v>
      </c>
      <c r="BS29" s="298">
        <f t="shared" si="127"/>
        <v>36.7391304347826</v>
      </c>
      <c r="BT29" s="298"/>
      <c r="BU29" s="298" t="e">
        <f t="shared" si="128"/>
        <v>#REF!</v>
      </c>
      <c r="BV29" s="298">
        <f t="shared" si="129"/>
        <v>22.0434782608696</v>
      </c>
      <c r="BW29" s="298"/>
      <c r="BX29" s="298" t="e">
        <f t="shared" si="130"/>
        <v>#REF!</v>
      </c>
      <c r="BZ29" s="23" t="e">
        <f t="shared" si="131"/>
        <v>#REF!</v>
      </c>
      <c r="CA29" s="300" t="e">
        <f t="shared" si="132"/>
        <v>#REF!</v>
      </c>
      <c r="CB29" s="130" t="e">
        <f t="shared" si="133"/>
        <v>#REF!</v>
      </c>
      <c r="CC29" s="23" t="e">
        <f t="shared" si="134"/>
        <v>#REF!</v>
      </c>
    </row>
    <row r="30" ht="17.0">
      <c r="A30" s="296" t="s">
        <v>32</v>
      </c>
      <c r="B30" s="296" t="s">
        <v>33</v>
      </c>
      <c r="C30" s="296" t="s">
        <v>52</v>
      </c>
      <c r="D30" s="297">
        <v>36806.0</v>
      </c>
      <c r="F30" s="296">
        <v>0.0</v>
      </c>
      <c r="G30" s="296">
        <v>0.0</v>
      </c>
      <c r="H30" s="296">
        <v>0.0</v>
      </c>
      <c r="I30" s="296">
        <v>0.0</v>
      </c>
      <c r="J30" s="296">
        <v>0.0</v>
      </c>
      <c r="K30" s="296">
        <v>0.0</v>
      </c>
      <c r="L30" s="296">
        <v>0.0</v>
      </c>
      <c r="M30" s="296">
        <v>0.0</v>
      </c>
      <c r="N30" s="296">
        <v>0.0</v>
      </c>
      <c r="O30" s="296">
        <v>0.0</v>
      </c>
      <c r="P30" s="296">
        <v>0.0</v>
      </c>
      <c r="Q30" s="296">
        <v>0.0</v>
      </c>
      <c r="R30" s="296">
        <v>0.0</v>
      </c>
      <c r="S30" s="296">
        <v>0.0</v>
      </c>
      <c r="T30" s="296">
        <v>0.0</v>
      </c>
      <c r="U30" s="296">
        <v>0.0</v>
      </c>
      <c r="V30" s="296">
        <v>0.0</v>
      </c>
      <c r="W30" s="296">
        <v>0.0</v>
      </c>
      <c r="X30" s="296">
        <v>0.0</v>
      </c>
      <c r="Y30" s="296">
        <v>0.0</v>
      </c>
      <c r="Z30" s="296">
        <v>0.0</v>
      </c>
      <c r="AA30" s="296">
        <v>0.0</v>
      </c>
      <c r="AB30" s="296">
        <v>1.0</v>
      </c>
      <c r="AC30" s="296">
        <v>12.0</v>
      </c>
      <c r="AD30" s="296">
        <v>12.0</v>
      </c>
      <c r="AE30" s="296">
        <v>15.0</v>
      </c>
      <c r="AF30" s="296">
        <v>0.0</v>
      </c>
      <c r="AG30" s="296">
        <v>0.0</v>
      </c>
      <c r="AH30" s="296">
        <v>0.0</v>
      </c>
      <c r="AI30" s="296">
        <v>0.0</v>
      </c>
      <c r="AJ30" s="296">
        <v>18.0</v>
      </c>
      <c r="AK30" s="296">
        <v>0.0</v>
      </c>
      <c r="AL30" s="296">
        <v>39.0</v>
      </c>
      <c r="AM30" s="296">
        <v>30.0</v>
      </c>
      <c r="AN30" s="296">
        <v>18.0</v>
      </c>
      <c r="AO30" s="298">
        <f t="shared" si="3"/>
        <v>144.0</v>
      </c>
      <c r="AP30" s="298">
        <f t="shared" si="4"/>
        <v>105.0</v>
      </c>
      <c r="AQ30" s="298">
        <f t="shared" si="5"/>
        <v>115.5</v>
      </c>
      <c r="AR30" s="130">
        <f t="shared" si="112"/>
        <v>22.9565217391303</v>
      </c>
      <c r="AS30" s="130">
        <f t="shared" si="113"/>
        <v>28.695652173913</v>
      </c>
      <c r="AT30" s="130">
        <f t="shared" si="114"/>
        <v>28.695652173913</v>
      </c>
      <c r="AU30" s="130">
        <f t="shared" si="115"/>
        <v>28.695652173913</v>
      </c>
      <c r="AV30" s="130">
        <f t="shared" si="116"/>
        <v>28.695652173913</v>
      </c>
      <c r="AW30" s="130">
        <f t="shared" si="117"/>
        <v>17.2173913043478</v>
      </c>
      <c r="AX30" s="130">
        <f t="shared" si="12"/>
        <v>154.95652173913</v>
      </c>
      <c r="AY30" s="23" t="e">
        <f t="shared" si="13"/>
        <v>#REF!</v>
      </c>
      <c r="BB30" s="298" t="e">
        <f t="shared" si="14"/>
        <v>#REF!</v>
      </c>
      <c r="BE30" s="130" t="s">
        <v>355</v>
      </c>
      <c r="BF30" s="130" t="e">
        <f t="shared" si="118"/>
        <v>#REF!</v>
      </c>
      <c r="BG30" s="130">
        <f t="shared" si="119"/>
        <v>22.9565217391303</v>
      </c>
      <c r="BI30" s="298" t="e">
        <f t="shared" si="120"/>
        <v>#REF!</v>
      </c>
      <c r="BJ30" s="298">
        <f t="shared" si="121"/>
        <v>28.695652173913</v>
      </c>
      <c r="BK30" s="298"/>
      <c r="BL30" s="298" t="e">
        <f t="shared" si="122"/>
        <v>#REF!</v>
      </c>
      <c r="BM30" s="298">
        <f t="shared" si="123"/>
        <v>28.695652173913</v>
      </c>
      <c r="BN30" s="298"/>
      <c r="BO30" s="298" t="e">
        <f t="shared" si="124"/>
        <v>#REF!</v>
      </c>
      <c r="BP30" s="298">
        <f t="shared" si="125"/>
        <v>28.695652173913</v>
      </c>
      <c r="BQ30" s="298"/>
      <c r="BR30" s="298" t="e">
        <f t="shared" si="126"/>
        <v>#REF!</v>
      </c>
      <c r="BS30" s="298">
        <f t="shared" si="127"/>
        <v>28.695652173913</v>
      </c>
      <c r="BT30" s="298"/>
      <c r="BU30" s="298" t="e">
        <f t="shared" si="128"/>
        <v>#REF!</v>
      </c>
      <c r="BV30" s="298">
        <f t="shared" si="129"/>
        <v>17.2173913043478</v>
      </c>
      <c r="BW30" s="298"/>
      <c r="BX30" s="298" t="e">
        <f t="shared" si="130"/>
        <v>#REF!</v>
      </c>
      <c r="BZ30" s="23" t="e">
        <f t="shared" si="131"/>
        <v>#REF!</v>
      </c>
      <c r="CA30" s="300" t="e">
        <f t="shared" si="132"/>
        <v>#REF!</v>
      </c>
      <c r="CB30" s="130" t="e">
        <f t="shared" si="133"/>
        <v>#REF!</v>
      </c>
      <c r="CC30" s="23" t="e">
        <f t="shared" si="134"/>
        <v>#REF!</v>
      </c>
    </row>
    <row r="31" ht="17.0">
      <c r="A31" s="296" t="s">
        <v>32</v>
      </c>
      <c r="B31" s="296" t="s">
        <v>33</v>
      </c>
      <c r="C31" s="296" t="s">
        <v>50</v>
      </c>
      <c r="D31" s="297">
        <v>36804.0</v>
      </c>
      <c r="F31" s="296">
        <v>57.0</v>
      </c>
      <c r="G31" s="296">
        <v>15.0</v>
      </c>
      <c r="H31" s="296">
        <v>39.0</v>
      </c>
      <c r="I31" s="296">
        <v>36.0</v>
      </c>
      <c r="J31" s="296">
        <v>27.0</v>
      </c>
      <c r="K31" s="296">
        <v>12.0</v>
      </c>
      <c r="L31" s="296">
        <v>18.0</v>
      </c>
      <c r="M31" s="296">
        <v>30.0</v>
      </c>
      <c r="N31" s="296">
        <v>18.0</v>
      </c>
      <c r="O31" s="296">
        <v>6.0</v>
      </c>
      <c r="P31" s="296">
        <v>12.0</v>
      </c>
      <c r="Q31" s="296">
        <v>24.0</v>
      </c>
      <c r="R31" s="296">
        <v>21.0</v>
      </c>
      <c r="S31" s="296">
        <v>30.0</v>
      </c>
      <c r="T31" s="296">
        <v>9.0</v>
      </c>
      <c r="U31" s="296">
        <v>51.0</v>
      </c>
      <c r="V31" s="296">
        <v>12.0</v>
      </c>
      <c r="W31" s="296">
        <v>15.0</v>
      </c>
      <c r="X31" s="296">
        <v>27.0</v>
      </c>
      <c r="Y31" s="296">
        <v>36.0</v>
      </c>
      <c r="Z31" s="296">
        <v>15.0</v>
      </c>
      <c r="AA31" s="296">
        <v>0.0</v>
      </c>
      <c r="AB31" s="296">
        <v>13.0</v>
      </c>
      <c r="AC31" s="296">
        <v>15.0</v>
      </c>
      <c r="AD31" s="296">
        <v>15.0</v>
      </c>
      <c r="AE31" s="296">
        <v>48.0</v>
      </c>
      <c r="AF31" s="296">
        <v>3.0</v>
      </c>
      <c r="AG31" s="296">
        <v>12.0</v>
      </c>
      <c r="AH31" s="296">
        <v>45.0</v>
      </c>
      <c r="AI31" s="296">
        <v>9.0</v>
      </c>
      <c r="AJ31" s="296">
        <v>27.0</v>
      </c>
      <c r="AK31" s="296">
        <v>15.0</v>
      </c>
      <c r="AL31" s="296">
        <v>21.0</v>
      </c>
      <c r="AM31" s="296">
        <v>6.0</v>
      </c>
      <c r="AN31" s="296">
        <v>15.0</v>
      </c>
      <c r="AO31" s="298">
        <f t="shared" si="3"/>
        <v>231.0</v>
      </c>
      <c r="AP31" s="298">
        <f t="shared" si="4"/>
        <v>93.0</v>
      </c>
      <c r="AQ31" s="298">
        <f t="shared" si="5"/>
        <v>102.3</v>
      </c>
      <c r="AR31" s="130">
        <f t="shared" si="112"/>
        <v>20.8695652173912</v>
      </c>
      <c r="AS31" s="130">
        <f t="shared" si="113"/>
        <v>26.086956521739</v>
      </c>
      <c r="AT31" s="130">
        <f t="shared" si="114"/>
        <v>26.086956521739</v>
      </c>
      <c r="AU31" s="130">
        <f t="shared" si="115"/>
        <v>26.086956521739</v>
      </c>
      <c r="AV31" s="130">
        <f t="shared" si="116"/>
        <v>26.086956521739</v>
      </c>
      <c r="AW31" s="130">
        <f t="shared" si="117"/>
        <v>15.6521739130438</v>
      </c>
      <c r="AX31" s="130">
        <f t="shared" si="12"/>
        <v>140.869565217391</v>
      </c>
      <c r="AY31" s="23" t="e">
        <f t="shared" si="13"/>
        <v>#REF!</v>
      </c>
      <c r="BB31" s="298" t="e">
        <f t="shared" si="14"/>
        <v>#REF!</v>
      </c>
      <c r="BC31">
        <f>VLOOKUP(C31,MOQ,3,false)</f>
      </c>
      <c r="BE31" s="130" t="s">
        <v>249</v>
      </c>
      <c r="BF31" s="130" t="e">
        <f t="shared" si="118"/>
        <v>#REF!</v>
      </c>
      <c r="BG31" s="130">
        <f t="shared" si="119"/>
        <v>20.8695652173912</v>
      </c>
      <c r="BI31" s="298" t="e">
        <f t="shared" si="120"/>
        <v>#REF!</v>
      </c>
      <c r="BJ31" s="298">
        <f t="shared" si="121"/>
        <v>26.086956521739</v>
      </c>
      <c r="BK31" s="298"/>
      <c r="BL31" s="298" t="e">
        <f t="shared" si="122"/>
        <v>#REF!</v>
      </c>
      <c r="BM31" s="298">
        <f t="shared" si="123"/>
        <v>26.086956521739</v>
      </c>
      <c r="BN31" s="298"/>
      <c r="BO31" s="298" t="e">
        <f t="shared" si="124"/>
        <v>#REF!</v>
      </c>
      <c r="BP31" s="298">
        <f t="shared" si="125"/>
        <v>26.086956521739</v>
      </c>
      <c r="BQ31" s="298"/>
      <c r="BR31" s="298" t="e">
        <f t="shared" si="126"/>
        <v>#REF!</v>
      </c>
      <c r="BS31" s="298">
        <f t="shared" si="127"/>
        <v>26.086956521739</v>
      </c>
      <c r="BT31" s="298"/>
      <c r="BU31" s="298" t="e">
        <f t="shared" si="128"/>
        <v>#REF!</v>
      </c>
      <c r="BV31" s="298">
        <f t="shared" si="129"/>
        <v>15.6521739130438</v>
      </c>
      <c r="BW31" s="298"/>
      <c r="BX31" s="298" t="e">
        <f t="shared" si="130"/>
        <v>#REF!</v>
      </c>
      <c r="BZ31" s="23" t="e">
        <f t="shared" si="131"/>
        <v>#REF!</v>
      </c>
      <c r="CA31" s="300" t="e">
        <f t="shared" si="132"/>
        <v>#REF!</v>
      </c>
      <c r="CB31" s="130" t="e">
        <f t="shared" si="133"/>
        <v>#REF!</v>
      </c>
      <c r="CC31" s="23" t="e">
        <f t="shared" si="134"/>
        <v>#REF!</v>
      </c>
    </row>
    <row r="32" ht="17.0">
      <c r="A32" s="296" t="s">
        <v>32</v>
      </c>
      <c r="B32" s="296" t="s">
        <v>110</v>
      </c>
      <c r="C32" s="296" t="s">
        <v>111</v>
      </c>
      <c r="D32" s="297" t="s">
        <v>112</v>
      </c>
      <c r="F32" s="296">
        <v>0.0</v>
      </c>
      <c r="G32" s="296">
        <v>0.0</v>
      </c>
      <c r="H32" s="296">
        <v>0.0</v>
      </c>
      <c r="I32" s="296">
        <v>0.0</v>
      </c>
      <c r="J32" s="296">
        <v>0.0</v>
      </c>
      <c r="K32" s="296">
        <v>0.0</v>
      </c>
      <c r="L32" s="296">
        <v>0.0</v>
      </c>
      <c r="M32" s="296">
        <v>0.0</v>
      </c>
      <c r="N32" s="296">
        <v>0.0</v>
      </c>
      <c r="O32" s="296">
        <v>0.0</v>
      </c>
      <c r="P32" s="296">
        <v>0.0</v>
      </c>
      <c r="Q32" s="296">
        <v>0.0</v>
      </c>
      <c r="R32" s="296">
        <v>8.0</v>
      </c>
      <c r="S32" s="296">
        <v>26.0</v>
      </c>
      <c r="T32" s="296">
        <v>34.0</v>
      </c>
      <c r="U32" s="296">
        <v>16.0</v>
      </c>
      <c r="V32" s="296">
        <v>0.0</v>
      </c>
      <c r="W32" s="296">
        <v>26.0</v>
      </c>
      <c r="X32" s="296">
        <v>38.0</v>
      </c>
      <c r="Y32" s="296">
        <v>7.0</v>
      </c>
      <c r="Z32" s="296">
        <v>17.0</v>
      </c>
      <c r="AA32" s="296">
        <v>17.0</v>
      </c>
      <c r="AB32" s="296">
        <v>18.0</v>
      </c>
      <c r="AC32" s="296">
        <v>21.0</v>
      </c>
      <c r="AD32" s="296">
        <v>24.0</v>
      </c>
      <c r="AE32" s="296">
        <v>18.0</v>
      </c>
      <c r="AF32" s="296">
        <v>13.0</v>
      </c>
      <c r="AG32" s="296">
        <v>0.0</v>
      </c>
      <c r="AH32" s="296">
        <v>0.0</v>
      </c>
      <c r="AI32" s="296">
        <v>3.0</v>
      </c>
      <c r="AJ32" s="296">
        <v>8.0</v>
      </c>
      <c r="AK32" s="296">
        <v>14.0</v>
      </c>
      <c r="AL32" s="296">
        <v>8.0</v>
      </c>
      <c r="AM32" s="296">
        <v>5.0</v>
      </c>
      <c r="AN32" s="296">
        <v>7.0</v>
      </c>
      <c r="AO32" s="298">
        <f t="shared" si="3"/>
        <v>121.0</v>
      </c>
      <c r="AP32" s="298">
        <f t="shared" si="4"/>
        <v>45.0</v>
      </c>
      <c r="AQ32" s="298">
        <f t="shared" si="5"/>
        <v>49.5</v>
      </c>
      <c r="AR32" s="299">
        <f>AQ32*$AR$4/$AQ$4</f>
        <v>7.82608695652173</v>
      </c>
      <c r="AS32" s="299">
        <f>AQ32*$AS$4/$AQ$4</f>
        <v>9.78260869565217</v>
      </c>
      <c r="AT32" s="299">
        <f>AQ32*$AT$4/$AQ$4</f>
        <v>9.78260869565217</v>
      </c>
      <c r="AU32" s="299">
        <f>AQ32*$AU$4/$AQ$4</f>
        <v>9.78260869565217</v>
      </c>
      <c r="AV32" s="299">
        <f>AQ32*$AV$4/$AQ$4</f>
        <v>9.78260869565217</v>
      </c>
      <c r="AW32" s="299">
        <f>AQ32*$AW$4/$AQ$4</f>
        <v>5.8695652173913</v>
      </c>
      <c r="AX32" s="130">
        <f t="shared" si="12"/>
        <v>52.8260869565217</v>
      </c>
      <c r="AY32" s="23" t="e">
        <f t="shared" si="13"/>
        <v>#REF!</v>
      </c>
      <c r="BB32" s="298" t="e">
        <f t="shared" si="14"/>
        <v>#REF!</v>
      </c>
      <c r="BC32">
        <f>VLOOKUP(C32,MOQ,3,false)</f>
      </c>
      <c r="BI32" s="298"/>
      <c r="BJ32" s="298"/>
      <c r="BK32" s="298"/>
      <c r="BL32" s="298"/>
      <c r="BM32" s="298"/>
      <c r="BN32" s="298"/>
      <c r="BO32" s="298"/>
      <c r="BP32" s="298"/>
      <c r="BQ32" s="298"/>
      <c r="BR32" s="298"/>
      <c r="BS32" s="298"/>
      <c r="BT32" s="298"/>
      <c r="BU32" s="298"/>
      <c r="BV32" s="298"/>
      <c r="BW32" s="298"/>
      <c r="BX32" s="298"/>
    </row>
    <row r="33" ht="17.0">
      <c r="A33" s="296" t="s">
        <v>32</v>
      </c>
      <c r="B33" s="296" t="s">
        <v>110</v>
      </c>
      <c r="C33" s="296" t="s">
        <v>115</v>
      </c>
      <c r="D33" s="297">
        <v>34101.0</v>
      </c>
      <c r="F33" s="296">
        <v>0.0</v>
      </c>
      <c r="G33" s="296">
        <v>0.0</v>
      </c>
      <c r="H33" s="296">
        <v>0.0</v>
      </c>
      <c r="I33" s="296">
        <v>0.0</v>
      </c>
      <c r="J33" s="296">
        <v>0.0</v>
      </c>
      <c r="K33" s="296">
        <v>0.0</v>
      </c>
      <c r="L33" s="296">
        <v>0.0</v>
      </c>
      <c r="M33" s="296">
        <v>0.0</v>
      </c>
      <c r="N33" s="296">
        <v>0.0</v>
      </c>
      <c r="O33" s="296">
        <v>0.0</v>
      </c>
      <c r="P33" s="296">
        <v>0.0</v>
      </c>
      <c r="Q33" s="296">
        <v>0.0</v>
      </c>
      <c r="R33" s="296">
        <v>6.0</v>
      </c>
      <c r="S33" s="296">
        <v>84.0</v>
      </c>
      <c r="T33" s="296">
        <v>46.0</v>
      </c>
      <c r="U33" s="296">
        <v>45.0</v>
      </c>
      <c r="V33" s="296">
        <v>0.0</v>
      </c>
      <c r="W33" s="296">
        <v>243.0</v>
      </c>
      <c r="X33" s="296">
        <v>156.0</v>
      </c>
      <c r="Y33" s="296">
        <v>133.0</v>
      </c>
      <c r="Z33" s="296">
        <v>162.0</v>
      </c>
      <c r="AA33" s="296">
        <v>123.0</v>
      </c>
      <c r="AB33" s="296">
        <v>180.0</v>
      </c>
      <c r="AC33" s="296">
        <v>168.0</v>
      </c>
      <c r="AD33" s="296">
        <v>313.0</v>
      </c>
      <c r="AE33" s="296">
        <v>576.0</v>
      </c>
      <c r="AF33" s="296">
        <v>473.0</v>
      </c>
      <c r="AG33" s="296">
        <v>0.0</v>
      </c>
      <c r="AH33" s="296">
        <v>0.0</v>
      </c>
      <c r="AI33" s="296">
        <v>240.0</v>
      </c>
      <c r="AJ33" s="296">
        <v>276.0</v>
      </c>
      <c r="AK33" s="296">
        <v>229.0</v>
      </c>
      <c r="AL33" s="296">
        <v>240.0</v>
      </c>
      <c r="AM33" s="296">
        <v>159.0</v>
      </c>
      <c r="AN33" s="296">
        <v>120.0</v>
      </c>
      <c r="AO33" s="298">
        <f t="shared" si="3"/>
        <v>2794.0</v>
      </c>
      <c r="AP33" s="298">
        <f t="shared" si="4"/>
        <v>1264.0</v>
      </c>
      <c r="AQ33" s="298">
        <f t="shared" si="5"/>
        <v>1390.4</v>
      </c>
      <c r="AR33" s="130">
        <f>AQ33*$AR$4/$AQ$4+12*$AR$32</f>
        <v>313.739130434781</v>
      </c>
      <c r="AS33" s="130">
        <f>AQ33*$AS$4/$AQ$4+12*$AS$32</f>
        <v>392.173913043478</v>
      </c>
      <c r="AT33" s="130">
        <f>AQ33*$AT$4/$AQ$4+12*$AT$32</f>
        <v>392.173913043478</v>
      </c>
      <c r="AU33" s="130">
        <f>AQ33*$AU$4/$AQ$4+12*$AU$32</f>
        <v>392.173913043478</v>
      </c>
      <c r="AV33" s="130">
        <f>AQ33*$AV$4/$AQ$4+12*$AV$32</f>
        <v>392.173913043478</v>
      </c>
      <c r="AW33" s="130">
        <f>AQ33*$AW$4/$AQ$4+12*$AW$32</f>
        <v>235.304347826087</v>
      </c>
      <c r="AX33" s="130">
        <f t="shared" si="12"/>
        <v>2117.73913043478</v>
      </c>
      <c r="AY33" s="23" t="e">
        <f t="shared" si="13"/>
        <v>#REF!</v>
      </c>
      <c r="BB33" s="298" t="e">
        <f t="shared" si="14"/>
        <v>#REF!</v>
      </c>
      <c r="BC33">
        <f>VLOOKUP(C33,MOQ,3,false)</f>
      </c>
      <c r="BE33" s="130" t="s">
        <v>350</v>
      </c>
      <c r="BF33" s="130" t="e">
        <f t="shared" ref="BF33:BF36" si="148">AY33</f>
        <v>#REF!</v>
      </c>
      <c r="BG33" s="130">
        <f t="shared" ref="BG33:BG36" si="149">AR33</f>
        <v>313.739130434781</v>
      </c>
      <c r="BI33" s="298" t="e">
        <f t="shared" ref="BI33:BI36" si="150">BF33+BH33-BG33</f>
        <v>#REF!</v>
      </c>
      <c r="BJ33" s="298">
        <f t="shared" ref="BJ33:BJ36" si="151">AS33</f>
        <v>392.173913043478</v>
      </c>
      <c r="BK33" s="298"/>
      <c r="BL33" s="298" t="e">
        <f t="shared" ref="BL33:BL36" si="152">BI33+BK33-BJ33</f>
        <v>#REF!</v>
      </c>
      <c r="BM33" s="298">
        <f t="shared" ref="BM33:BM36" si="153">AT33</f>
        <v>392.173913043478</v>
      </c>
      <c r="BN33" s="298"/>
      <c r="BO33" s="298" t="e">
        <f t="shared" ref="BO33:BO36" si="154">BL33+BN33-BM33</f>
        <v>#REF!</v>
      </c>
      <c r="BP33" s="298">
        <f t="shared" ref="BP33:BP36" si="155">AU33</f>
        <v>392.173913043478</v>
      </c>
      <c r="BQ33" s="298"/>
      <c r="BR33" s="298" t="e">
        <f t="shared" ref="BR33:BR36" si="156">BO33+BQ33-BP33</f>
        <v>#REF!</v>
      </c>
      <c r="BS33" s="298">
        <f t="shared" ref="BS33:BS36" si="157">AV33</f>
        <v>392.173913043478</v>
      </c>
      <c r="BT33" s="298"/>
      <c r="BU33" s="298" t="e">
        <f t="shared" ref="BU33:BU36" si="158">BR33+BT33-BS33</f>
        <v>#REF!</v>
      </c>
      <c r="BV33" s="298">
        <f t="shared" ref="BV33:BV36" si="159">AW33</f>
        <v>235.304347826087</v>
      </c>
      <c r="BW33" s="298"/>
      <c r="BX33" s="298" t="e">
        <f t="shared" ref="BX33:BX36" si="160">BU33+BW33-BV33</f>
        <v>#REF!</v>
      </c>
      <c r="BZ33" s="23" t="e">
        <f t="shared" ref="BZ33:BZ35" si="161">BX33*-1</f>
        <v>#REF!</v>
      </c>
      <c r="CA33" s="300" t="e">
        <f t="shared" ref="CA33:CA35" si="162">BZ33/6</f>
        <v>#REF!</v>
      </c>
      <c r="CB33" s="130" t="e">
        <f t="shared" ref="CB33:CB35" si="163">ROUNDUP(CA33,0)</f>
        <v>#REF!</v>
      </c>
      <c r="CC33" s="23" t="e">
        <f t="shared" ref="CC33:CC35" si="164">CB33*6</f>
        <v>#REF!</v>
      </c>
    </row>
    <row r="34" ht="17.0">
      <c r="A34" s="296" t="s">
        <v>32</v>
      </c>
      <c r="B34" s="296" t="s">
        <v>110</v>
      </c>
      <c r="C34" s="296" t="s">
        <v>113</v>
      </c>
      <c r="D34" s="297" t="s">
        <v>114</v>
      </c>
      <c r="F34" s="296">
        <v>0.0</v>
      </c>
      <c r="G34" s="296">
        <v>0.0</v>
      </c>
      <c r="H34" s="296">
        <v>0.0</v>
      </c>
      <c r="I34" s="296">
        <v>0.0</v>
      </c>
      <c r="J34" s="296">
        <v>0.0</v>
      </c>
      <c r="K34" s="296">
        <v>0.0</v>
      </c>
      <c r="L34" s="296">
        <v>0.0</v>
      </c>
      <c r="M34" s="296">
        <v>0.0</v>
      </c>
      <c r="N34" s="296">
        <v>0.0</v>
      </c>
      <c r="O34" s="296">
        <v>0.0</v>
      </c>
      <c r="P34" s="296">
        <v>0.0</v>
      </c>
      <c r="Q34" s="296">
        <v>0.0</v>
      </c>
      <c r="R34" s="296">
        <v>0.0</v>
      </c>
      <c r="S34" s="296">
        <v>0.0</v>
      </c>
      <c r="T34" s="296">
        <v>0.0</v>
      </c>
      <c r="U34" s="296">
        <v>1.0</v>
      </c>
      <c r="V34" s="296">
        <v>0.0</v>
      </c>
      <c r="W34" s="296">
        <v>0.0</v>
      </c>
      <c r="X34" s="296">
        <v>0.0</v>
      </c>
      <c r="Y34" s="296">
        <v>0.0</v>
      </c>
      <c r="Z34" s="296">
        <v>0.0</v>
      </c>
      <c r="AA34" s="296">
        <v>0.0</v>
      </c>
      <c r="AB34" s="296">
        <v>1.0</v>
      </c>
      <c r="AC34" s="296">
        <v>0.0</v>
      </c>
      <c r="AD34" s="296">
        <v>0.0</v>
      </c>
      <c r="AE34" s="296">
        <v>0.0</v>
      </c>
      <c r="AF34" s="296">
        <v>0.0</v>
      </c>
      <c r="AG34" s="296">
        <v>0.0</v>
      </c>
      <c r="AH34" s="296">
        <v>0.0</v>
      </c>
      <c r="AI34" s="296">
        <v>0.0</v>
      </c>
      <c r="AJ34" s="296">
        <v>0.0</v>
      </c>
      <c r="AK34" s="296">
        <v>0.0</v>
      </c>
      <c r="AL34" s="296">
        <v>0.0</v>
      </c>
      <c r="AM34" s="296">
        <v>0.0</v>
      </c>
      <c r="AN34" s="296">
        <v>0.0</v>
      </c>
      <c r="AO34" s="298">
        <f t="shared" si="3"/>
        <v>0.0</v>
      </c>
      <c r="AP34" s="298">
        <f t="shared" si="4"/>
        <v>0.0</v>
      </c>
      <c r="AQ34" s="298">
        <f t="shared" si="5"/>
        <v>0.0</v>
      </c>
      <c r="AR34" s="130">
        <f>AR32</f>
        <v>7.82608695652173</v>
      </c>
      <c r="AS34" s="130">
        <f>AS32</f>
        <v>9.78260869565217</v>
      </c>
      <c r="AT34" s="130">
        <f>AT32</f>
        <v>9.78260869565217</v>
      </c>
      <c r="AU34" s="130">
        <f>AU32</f>
        <v>9.78260869565217</v>
      </c>
      <c r="AV34" s="130">
        <f>AV32</f>
        <v>9.78260869565217</v>
      </c>
      <c r="AW34" s="130">
        <f>AW32</f>
        <v>5.8695652173913</v>
      </c>
      <c r="AX34" s="130">
        <f t="shared" si="12"/>
        <v>52.8260869565217</v>
      </c>
      <c r="AY34" s="23" t="e">
        <f t="shared" si="13"/>
        <v>#REF!</v>
      </c>
      <c r="BB34" s="298" t="e">
        <f t="shared" si="14"/>
        <v>#REF!</v>
      </c>
      <c r="BC34" s="130">
        <f>VLOOKUP(C34,MOQ,3,false)</f>
        <v>60.0</v>
      </c>
      <c r="BE34" s="130" t="s">
        <v>255</v>
      </c>
      <c r="BF34" s="130" t="e">
        <f t="shared" si="148"/>
        <v>#REF!</v>
      </c>
      <c r="BG34" s="130">
        <f t="shared" si="149"/>
        <v>7.82608695652173</v>
      </c>
      <c r="BI34" s="298" t="e">
        <f t="shared" si="150"/>
        <v>#REF!</v>
      </c>
      <c r="BJ34" s="298">
        <f t="shared" si="151"/>
        <v>9.78260869565217</v>
      </c>
      <c r="BK34" s="298"/>
      <c r="BL34" s="298" t="e">
        <f t="shared" si="152"/>
        <v>#REF!</v>
      </c>
      <c r="BM34" s="298">
        <f t="shared" si="153"/>
        <v>9.78260869565217</v>
      </c>
      <c r="BN34" s="298"/>
      <c r="BO34" s="298" t="e">
        <f t="shared" si="154"/>
        <v>#REF!</v>
      </c>
      <c r="BP34" s="298">
        <f t="shared" si="155"/>
        <v>9.78260869565217</v>
      </c>
      <c r="BQ34" s="298"/>
      <c r="BR34" s="298" t="e">
        <f t="shared" si="156"/>
        <v>#REF!</v>
      </c>
      <c r="BS34" s="298">
        <f t="shared" si="157"/>
        <v>9.78260869565217</v>
      </c>
      <c r="BT34" s="298"/>
      <c r="BU34" s="298" t="e">
        <f t="shared" si="158"/>
        <v>#REF!</v>
      </c>
      <c r="BV34" s="298">
        <f t="shared" si="159"/>
        <v>5.8695652173913</v>
      </c>
      <c r="BW34" s="298"/>
      <c r="BX34" s="298" t="e">
        <f t="shared" si="160"/>
        <v>#REF!</v>
      </c>
      <c r="BZ34" s="23" t="e">
        <f t="shared" si="161"/>
        <v>#REF!</v>
      </c>
      <c r="CA34" s="300" t="e">
        <f t="shared" si="162"/>
        <v>#REF!</v>
      </c>
      <c r="CB34" s="130" t="e">
        <f t="shared" si="163"/>
        <v>#REF!</v>
      </c>
      <c r="CC34" s="23" t="e">
        <f t="shared" si="164"/>
        <v>#REF!</v>
      </c>
    </row>
    <row r="35" ht="17.0">
      <c r="A35" s="296" t="s">
        <v>32</v>
      </c>
      <c r="B35" s="296" t="s">
        <v>110</v>
      </c>
      <c r="C35" s="301" t="s">
        <v>540</v>
      </c>
      <c r="D35" s="297" t="s">
        <v>541</v>
      </c>
      <c r="F35" s="296"/>
      <c r="G35" s="296"/>
      <c r="H35" s="296"/>
      <c r="I35" s="296"/>
      <c r="J35" s="296"/>
      <c r="K35" s="296"/>
      <c r="L35" s="296"/>
      <c r="M35" s="296"/>
      <c r="N35" s="296"/>
      <c r="O35" s="296"/>
      <c r="P35" s="296"/>
      <c r="Q35" s="296"/>
      <c r="R35" s="296"/>
      <c r="S35" s="296"/>
      <c r="T35" s="296"/>
      <c r="U35" s="296"/>
      <c r="V35" s="296"/>
      <c r="W35" s="296"/>
      <c r="X35" s="296"/>
      <c r="Y35" s="296"/>
      <c r="Z35" s="296"/>
      <c r="AA35" s="296"/>
      <c r="AB35" s="296"/>
      <c r="AC35" s="296">
        <v>0.0</v>
      </c>
      <c r="AD35" s="296">
        <v>0.0</v>
      </c>
      <c r="AE35" s="296">
        <v>0.0</v>
      </c>
      <c r="AF35" s="296">
        <v>0.0</v>
      </c>
      <c r="AG35" s="296">
        <v>0.0</v>
      </c>
      <c r="AH35" s="296">
        <v>0.0</v>
      </c>
      <c r="AI35" s="296">
        <v>0.0</v>
      </c>
      <c r="AJ35" s="296">
        <v>0.0</v>
      </c>
      <c r="AK35" s="296">
        <v>0.0</v>
      </c>
      <c r="AL35" s="296">
        <v>0.0</v>
      </c>
      <c r="AM35" s="296">
        <v>0.0</v>
      </c>
      <c r="AN35" s="296">
        <v>15.0</v>
      </c>
      <c r="AO35" s="298">
        <f t="shared" si="3"/>
        <v>15.0</v>
      </c>
      <c r="AP35" s="298">
        <f t="shared" si="4"/>
        <v>15.0</v>
      </c>
      <c r="AQ35" s="298">
        <f t="shared" si="5"/>
        <v>16.5</v>
      </c>
      <c r="AR35" s="299">
        <f>AQ35</f>
        <v>16.5</v>
      </c>
      <c r="AS35" s="299">
        <f>AR35</f>
        <v>16.5</v>
      </c>
      <c r="AT35" s="299">
        <f>AS35</f>
        <v>16.5</v>
      </c>
      <c r="AU35" s="299">
        <f>AT35</f>
        <v>16.5</v>
      </c>
      <c r="AV35" s="299">
        <f>AU35</f>
        <v>16.5</v>
      </c>
      <c r="AW35" s="299">
        <f>AV35</f>
        <v>16.5</v>
      </c>
      <c r="AX35" s="130">
        <f t="shared" si="12"/>
        <v>99.0</v>
      </c>
      <c r="AY35" s="23" t="e">
        <f t="shared" si="13"/>
        <v>#REF!</v>
      </c>
      <c r="BB35" s="298" t="e">
        <f t="shared" si="14"/>
        <v>#REF!</v>
      </c>
      <c r="BE35" s="130" t="s">
        <v>350</v>
      </c>
      <c r="BF35" s="130" t="e">
        <f t="shared" si="148"/>
        <v>#REF!</v>
      </c>
      <c r="BG35" s="130">
        <f t="shared" si="149"/>
        <v>16.5</v>
      </c>
      <c r="BI35" s="298" t="e">
        <f t="shared" si="150"/>
        <v>#REF!</v>
      </c>
      <c r="BJ35" s="298">
        <f t="shared" si="151"/>
        <v>16.5</v>
      </c>
      <c r="BK35" s="298"/>
      <c r="BL35" s="298" t="e">
        <f t="shared" si="152"/>
        <v>#REF!</v>
      </c>
      <c r="BM35" s="298">
        <f t="shared" si="153"/>
        <v>16.5</v>
      </c>
      <c r="BN35" s="298"/>
      <c r="BO35" s="298" t="e">
        <f t="shared" si="154"/>
        <v>#REF!</v>
      </c>
      <c r="BP35" s="298">
        <f t="shared" si="155"/>
        <v>16.5</v>
      </c>
      <c r="BQ35" s="298"/>
      <c r="BR35" s="298" t="e">
        <f t="shared" si="156"/>
        <v>#REF!</v>
      </c>
      <c r="BS35" s="298">
        <f t="shared" si="157"/>
        <v>16.5</v>
      </c>
      <c r="BT35" s="298"/>
      <c r="BU35" s="298" t="e">
        <f t="shared" si="158"/>
        <v>#REF!</v>
      </c>
      <c r="BV35" s="298">
        <f t="shared" si="159"/>
        <v>16.5</v>
      </c>
      <c r="BW35" s="298"/>
      <c r="BX35" s="298" t="e">
        <f t="shared" si="160"/>
        <v>#REF!</v>
      </c>
      <c r="BZ35" s="23" t="e">
        <f t="shared" si="161"/>
        <v>#REF!</v>
      </c>
      <c r="CA35" s="300" t="e">
        <f t="shared" si="162"/>
        <v>#REF!</v>
      </c>
      <c r="CB35" s="130" t="e">
        <f t="shared" si="163"/>
        <v>#REF!</v>
      </c>
      <c r="CC35" s="23" t="e">
        <f t="shared" si="164"/>
        <v>#REF!</v>
      </c>
    </row>
    <row r="36" ht="17.0">
      <c r="A36" s="296" t="s">
        <v>32</v>
      </c>
      <c r="B36" s="296" t="s">
        <v>81</v>
      </c>
      <c r="C36" s="296" t="s">
        <v>533</v>
      </c>
      <c r="D36" s="297" t="s">
        <v>534</v>
      </c>
      <c r="F36" s="296"/>
      <c r="G36" s="296"/>
      <c r="H36" s="296"/>
      <c r="I36" s="296"/>
      <c r="J36" s="296"/>
      <c r="K36" s="296"/>
      <c r="L36" s="296"/>
      <c r="M36" s="296"/>
      <c r="N36" s="296"/>
      <c r="O36" s="296"/>
      <c r="P36" s="296"/>
      <c r="Q36" s="296"/>
      <c r="R36" s="296"/>
      <c r="S36" s="296"/>
      <c r="T36" s="296"/>
      <c r="U36" s="296"/>
      <c r="V36" s="296"/>
      <c r="W36" s="296"/>
      <c r="X36" s="296"/>
      <c r="Y36" s="296"/>
      <c r="Z36" s="296"/>
      <c r="AA36" s="296"/>
      <c r="AB36" s="296"/>
      <c r="AC36" s="296">
        <v>0.0</v>
      </c>
      <c r="AD36" s="296">
        <v>0.0</v>
      </c>
      <c r="AE36" s="296">
        <v>0.0</v>
      </c>
      <c r="AF36" s="296">
        <v>0.0</v>
      </c>
      <c r="AG36" s="296">
        <v>0.0</v>
      </c>
      <c r="AH36" s="296">
        <v>0.0</v>
      </c>
      <c r="AI36" s="296">
        <v>0.0</v>
      </c>
      <c r="AJ36" s="296">
        <v>0.0</v>
      </c>
      <c r="AK36" s="296">
        <v>0.0</v>
      </c>
      <c r="AL36" s="296">
        <v>0.0</v>
      </c>
      <c r="AM36" s="296">
        <v>0.0</v>
      </c>
      <c r="AN36" s="296">
        <v>0.0</v>
      </c>
      <c r="AO36" s="298">
        <f t="shared" si="3"/>
        <v>0.0</v>
      </c>
      <c r="AP36" s="298">
        <f t="shared" si="4"/>
        <v>0.0</v>
      </c>
      <c r="AQ36" s="298">
        <f t="shared" si="5"/>
        <v>0.0</v>
      </c>
      <c r="AR36" s="302">
        <f>AR37</f>
        <v>1.7391304347826</v>
      </c>
      <c r="AS36" s="302">
        <f>AS37</f>
        <v>2.17391304347826</v>
      </c>
      <c r="AT36" s="302">
        <f>AT37</f>
        <v>2.17391304347826</v>
      </c>
      <c r="AU36" s="302">
        <f>AU37</f>
        <v>2.17391304347826</v>
      </c>
      <c r="AV36" s="302">
        <f>AV37</f>
        <v>2.17391304347826</v>
      </c>
      <c r="AW36" s="302">
        <f>AW37</f>
        <v>1.30434782608696</v>
      </c>
      <c r="AX36" s="130">
        <f t="shared" si="12"/>
        <v>11.7391304347826</v>
      </c>
      <c r="AY36" s="23" t="e">
        <f t="shared" si="13"/>
        <v>#REF!</v>
      </c>
      <c r="BB36" s="298" t="e">
        <f t="shared" si="14"/>
        <v>#REF!</v>
      </c>
      <c r="BF36" s="130" t="e">
        <f t="shared" si="148"/>
        <v>#REF!</v>
      </c>
      <c r="BG36" s="130">
        <f t="shared" si="149"/>
        <v>1.7391304347826</v>
      </c>
      <c r="BI36" s="298" t="e">
        <f t="shared" si="150"/>
        <v>#REF!</v>
      </c>
      <c r="BJ36" s="298">
        <f t="shared" si="151"/>
        <v>2.17391304347826</v>
      </c>
      <c r="BK36" s="298"/>
      <c r="BL36" s="298" t="e">
        <f t="shared" si="152"/>
        <v>#REF!</v>
      </c>
      <c r="BM36" s="298">
        <f t="shared" si="153"/>
        <v>2.17391304347826</v>
      </c>
      <c r="BN36" s="298"/>
      <c r="BO36" s="298" t="e">
        <f t="shared" si="154"/>
        <v>#REF!</v>
      </c>
      <c r="BP36" s="298">
        <f t="shared" si="155"/>
        <v>2.17391304347826</v>
      </c>
      <c r="BQ36" s="298"/>
      <c r="BR36" s="298" t="e">
        <f t="shared" si="156"/>
        <v>#REF!</v>
      </c>
      <c r="BS36" s="298">
        <f t="shared" si="157"/>
        <v>2.17391304347826</v>
      </c>
      <c r="BT36" s="298"/>
      <c r="BU36" s="298" t="e">
        <f t="shared" si="158"/>
        <v>#REF!</v>
      </c>
      <c r="BV36" s="298">
        <f t="shared" si="159"/>
        <v>1.30434782608696</v>
      </c>
      <c r="BW36" s="298"/>
      <c r="BX36" s="298" t="e">
        <f t="shared" si="160"/>
        <v>#REF!</v>
      </c>
    </row>
    <row r="37" ht="17.0">
      <c r="A37" s="296" t="s">
        <v>32</v>
      </c>
      <c r="B37" s="296" t="s">
        <v>81</v>
      </c>
      <c r="C37" s="296" t="s">
        <v>531</v>
      </c>
      <c r="D37" s="297" t="s">
        <v>532</v>
      </c>
      <c r="F37" s="296">
        <v>0.0</v>
      </c>
      <c r="G37" s="296">
        <v>0.0</v>
      </c>
      <c r="H37" s="296">
        <v>0.0</v>
      </c>
      <c r="I37" s="296">
        <v>0.0</v>
      </c>
      <c r="J37" s="296">
        <v>0.0</v>
      </c>
      <c r="K37" s="296">
        <v>0.0</v>
      </c>
      <c r="L37" s="296">
        <v>0.0</v>
      </c>
      <c r="M37" s="296">
        <v>0.0</v>
      </c>
      <c r="N37" s="296">
        <v>0.0</v>
      </c>
      <c r="O37" s="296">
        <v>0.0</v>
      </c>
      <c r="P37" s="296">
        <v>0.0</v>
      </c>
      <c r="Q37" s="296">
        <v>0.0</v>
      </c>
      <c r="R37" s="296">
        <v>0.0</v>
      </c>
      <c r="S37" s="296">
        <v>0.0</v>
      </c>
      <c r="T37" s="296">
        <v>0.0</v>
      </c>
      <c r="U37" s="296">
        <v>0.0</v>
      </c>
      <c r="V37" s="296">
        <v>0.0</v>
      </c>
      <c r="W37" s="296">
        <v>0.0</v>
      </c>
      <c r="X37" s="296">
        <v>0.0</v>
      </c>
      <c r="Y37" s="296">
        <v>0.0</v>
      </c>
      <c r="Z37" s="296">
        <v>0.0</v>
      </c>
      <c r="AA37" s="296">
        <v>0.0</v>
      </c>
      <c r="AB37" s="296">
        <v>0.0</v>
      </c>
      <c r="AC37" s="296">
        <v>0.0</v>
      </c>
      <c r="AD37" s="296">
        <v>0.0</v>
      </c>
      <c r="AE37" s="296">
        <v>0.0</v>
      </c>
      <c r="AF37" s="296">
        <v>0.0</v>
      </c>
      <c r="AG37" s="296">
        <v>0.0</v>
      </c>
      <c r="AH37" s="296">
        <v>0.0</v>
      </c>
      <c r="AI37" s="296">
        <v>0.0</v>
      </c>
      <c r="AJ37" s="296">
        <v>0.0</v>
      </c>
      <c r="AK37" s="296">
        <v>0.0</v>
      </c>
      <c r="AL37" s="296">
        <v>0.0</v>
      </c>
      <c r="AM37" s="296">
        <v>0.0</v>
      </c>
      <c r="AN37" s="296">
        <v>10.0</v>
      </c>
      <c r="AO37" s="298">
        <f t="shared" si="3"/>
        <v>10.0</v>
      </c>
      <c r="AP37" s="298">
        <f t="shared" si="4"/>
        <v>10.0</v>
      </c>
      <c r="AQ37" s="298">
        <f t="shared" si="5"/>
        <v>11.0</v>
      </c>
      <c r="AR37" s="299">
        <f>AQ37*$AR$4/$AQ$4</f>
        <v>1.7391304347826</v>
      </c>
      <c r="AS37" s="299">
        <f>AQ37*$AS$4/$AQ$4</f>
        <v>2.17391304347826</v>
      </c>
      <c r="AT37" s="299">
        <f>AQ37*$AT$4/$AQ$4</f>
        <v>2.17391304347826</v>
      </c>
      <c r="AU37" s="299">
        <f>AQ37*$AU$4/$AQ$4</f>
        <v>2.17391304347826</v>
      </c>
      <c r="AV37" s="299">
        <f>AQ37*$AV$4/$AQ$4</f>
        <v>2.17391304347826</v>
      </c>
      <c r="AW37" s="299">
        <f>AQ37*$AW$4/$AQ$4</f>
        <v>1.30434782608696</v>
      </c>
      <c r="AX37" s="130">
        <f t="shared" si="12"/>
        <v>11.7391304347826</v>
      </c>
      <c r="AY37" s="23" t="e">
        <f t="shared" si="13"/>
        <v>#REF!</v>
      </c>
      <c r="BB37" s="298" t="e">
        <f t="shared" si="14"/>
        <v>#REF!</v>
      </c>
      <c r="BI37" s="298"/>
      <c r="BJ37" s="298"/>
      <c r="BK37" s="298"/>
      <c r="BL37" s="298"/>
      <c r="BM37" s="298"/>
      <c r="BN37" s="298"/>
      <c r="BO37" s="298"/>
      <c r="BP37" s="298"/>
      <c r="BQ37" s="298"/>
      <c r="BR37" s="298"/>
      <c r="BS37" s="298"/>
      <c r="BT37" s="298"/>
      <c r="BU37" s="298"/>
      <c r="BV37" s="298"/>
      <c r="BW37" s="298"/>
      <c r="BX37" s="298"/>
    </row>
    <row r="38" ht="17.0">
      <c r="A38" s="296" t="s">
        <v>32</v>
      </c>
      <c r="B38" s="296" t="s">
        <v>81</v>
      </c>
      <c r="C38" s="296" t="s">
        <v>538</v>
      </c>
      <c r="D38" s="297">
        <v>37604.0</v>
      </c>
      <c r="F38" s="296">
        <v>0.0</v>
      </c>
      <c r="G38" s="296">
        <v>0.0</v>
      </c>
      <c r="H38" s="296">
        <v>0.0</v>
      </c>
      <c r="I38" s="296">
        <v>0.0</v>
      </c>
      <c r="J38" s="296">
        <v>0.0</v>
      </c>
      <c r="K38" s="296">
        <v>0.0</v>
      </c>
      <c r="L38" s="296">
        <v>0.0</v>
      </c>
      <c r="M38" s="296">
        <v>0.0</v>
      </c>
      <c r="N38" s="296">
        <v>0.0</v>
      </c>
      <c r="O38" s="296">
        <v>0.0</v>
      </c>
      <c r="P38" s="296">
        <v>0.0</v>
      </c>
      <c r="Q38" s="296">
        <v>0.0</v>
      </c>
      <c r="R38" s="296">
        <v>0.0</v>
      </c>
      <c r="S38" s="296">
        <v>0.0</v>
      </c>
      <c r="T38" s="296">
        <v>0.0</v>
      </c>
      <c r="U38" s="296">
        <v>0.0</v>
      </c>
      <c r="V38" s="296">
        <v>0.0</v>
      </c>
      <c r="W38" s="296">
        <v>0.0</v>
      </c>
      <c r="X38" s="296">
        <v>0.0</v>
      </c>
      <c r="Y38" s="296">
        <v>0.0</v>
      </c>
      <c r="Z38" s="296">
        <v>0.0</v>
      </c>
      <c r="AA38" s="296">
        <v>0.0</v>
      </c>
      <c r="AB38" s="296">
        <v>0.0</v>
      </c>
      <c r="AC38" s="296">
        <v>0.0</v>
      </c>
      <c r="AD38" s="296">
        <v>0.0</v>
      </c>
      <c r="AE38" s="296">
        <v>0.0</v>
      </c>
      <c r="AF38" s="296">
        <v>0.0</v>
      </c>
      <c r="AG38" s="296">
        <v>0.0</v>
      </c>
      <c r="AH38" s="296">
        <v>0.0</v>
      </c>
      <c r="AI38" s="296">
        <v>0.0</v>
      </c>
      <c r="AJ38" s="296">
        <v>0.0</v>
      </c>
      <c r="AK38" s="296">
        <v>0.0</v>
      </c>
      <c r="AL38" s="296">
        <v>0.0</v>
      </c>
      <c r="AM38" s="296">
        <v>0.0</v>
      </c>
      <c r="AN38" s="296">
        <v>6.0</v>
      </c>
      <c r="AO38" s="298">
        <f t="shared" si="3"/>
        <v>6.0</v>
      </c>
      <c r="AP38" s="298">
        <f t="shared" si="4"/>
        <v>6.0</v>
      </c>
      <c r="AQ38" s="298">
        <f t="shared" si="5"/>
        <v>6.6</v>
      </c>
      <c r="AR38" s="298">
        <f t="shared" ref="AR38:AR41" si="189">AN38*1.1+6*$AR$37</f>
        <v>17.034782608696</v>
      </c>
      <c r="AS38" s="130">
        <f t="shared" ref="AS38:AS41" si="190">AR38+6*$AS$37</f>
        <v>30.0782608695656</v>
      </c>
      <c r="AT38" s="130">
        <f>AS38+6*$AT$37</f>
        <v>43.1217391304352</v>
      </c>
      <c r="AU38" s="130">
        <f>AT38+6*$AU$37</f>
        <v>56.1652173913048</v>
      </c>
      <c r="AV38" s="130">
        <f>AU38+6*$AV$37</f>
        <v>69.2086956521744</v>
      </c>
      <c r="AW38" s="130">
        <f>AV38+6*$AW$37</f>
        <v>77.0347826086961</v>
      </c>
      <c r="AX38" s="130">
        <f t="shared" si="12"/>
        <v>292.643478260872</v>
      </c>
      <c r="AY38" s="23" t="e">
        <f t="shared" si="13"/>
        <v>#REF!</v>
      </c>
      <c r="BB38" s="298" t="e">
        <f t="shared" si="14"/>
        <v>#REF!</v>
      </c>
      <c r="BE38" s="130" t="s">
        <v>330</v>
      </c>
      <c r="BF38" s="130" t="e">
        <f t="shared" ref="BF38:BF43" si="195">AY38</f>
        <v>#REF!</v>
      </c>
      <c r="BG38" s="130">
        <f t="shared" ref="BG38:BG43" si="196">AR38</f>
        <v>17.034782608696</v>
      </c>
      <c r="BI38" s="298" t="e">
        <f t="shared" ref="BI38:BI43" si="197">BF38+BH38-BG38</f>
        <v>#REF!</v>
      </c>
      <c r="BJ38" s="298">
        <f t="shared" ref="BJ38:BJ43" si="198">AS38</f>
        <v>30.0782608695656</v>
      </c>
      <c r="BK38" s="298"/>
      <c r="BL38" s="298" t="e">
        <f t="shared" ref="BL38:BL43" si="199">BI38+BK38-BJ38</f>
        <v>#REF!</v>
      </c>
      <c r="BM38" s="298">
        <f t="shared" ref="BM38:BM43" si="200">AT38</f>
        <v>43.1217391304352</v>
      </c>
      <c r="BN38" s="298"/>
      <c r="BO38" s="298" t="e">
        <f t="shared" ref="BO38:BO43" si="201">BL38+BN38-BM38</f>
        <v>#REF!</v>
      </c>
      <c r="BP38" s="298">
        <f t="shared" ref="BP38:BP43" si="202">AU38</f>
        <v>56.1652173913048</v>
      </c>
      <c r="BQ38" s="298"/>
      <c r="BR38" s="298" t="e">
        <f t="shared" ref="BR38:BR43" si="203">BO38+BQ38-BP38</f>
        <v>#REF!</v>
      </c>
      <c r="BS38" s="298">
        <f t="shared" ref="BS38:BS43" si="204">AV38</f>
        <v>69.2086956521744</v>
      </c>
      <c r="BT38" s="298"/>
      <c r="BU38" s="298" t="e">
        <f t="shared" ref="BU38:BU43" si="205">BR38+BT38-BS38</f>
        <v>#REF!</v>
      </c>
      <c r="BV38" s="298">
        <f t="shared" ref="BV38:BV43" si="206">AW38</f>
        <v>77.0347826086961</v>
      </c>
      <c r="BW38" s="298"/>
      <c r="BX38" s="298" t="e">
        <f t="shared" ref="BX38:BX43" si="207">BU38+BW38-BV38</f>
        <v>#REF!</v>
      </c>
      <c r="BZ38" s="23" t="e">
        <f>BX38*-1</f>
        <v>#REF!</v>
      </c>
      <c r="CA38" s="300" t="e">
        <f>BZ38/6</f>
        <v>#REF!</v>
      </c>
      <c r="CB38" s="130" t="e">
        <f>ROUNDUP(CA38,0)</f>
        <v>#REF!</v>
      </c>
      <c r="CC38" s="23" t="e">
        <f>CB38*6</f>
        <v>#REF!</v>
      </c>
    </row>
    <row r="39" ht="17.0">
      <c r="A39" s="296" t="s">
        <v>32</v>
      </c>
      <c r="B39" s="296" t="s">
        <v>81</v>
      </c>
      <c r="C39" s="296" t="s">
        <v>537</v>
      </c>
      <c r="D39" s="297">
        <v>37603.0</v>
      </c>
      <c r="F39" s="296">
        <v>0.0</v>
      </c>
      <c r="G39" s="296">
        <v>0.0</v>
      </c>
      <c r="H39" s="296">
        <v>0.0</v>
      </c>
      <c r="I39" s="296">
        <v>0.0</v>
      </c>
      <c r="J39" s="296">
        <v>0.0</v>
      </c>
      <c r="K39" s="296">
        <v>0.0</v>
      </c>
      <c r="L39" s="296">
        <v>0.0</v>
      </c>
      <c r="M39" s="296">
        <v>0.0</v>
      </c>
      <c r="N39" s="296">
        <v>0.0</v>
      </c>
      <c r="O39" s="296">
        <v>0.0</v>
      </c>
      <c r="P39" s="296">
        <v>0.0</v>
      </c>
      <c r="Q39" s="296">
        <v>0.0</v>
      </c>
      <c r="R39" s="296">
        <v>0.0</v>
      </c>
      <c r="S39" s="296">
        <v>0.0</v>
      </c>
      <c r="T39" s="296">
        <v>0.0</v>
      </c>
      <c r="U39" s="296">
        <v>0.0</v>
      </c>
      <c r="V39" s="296">
        <v>0.0</v>
      </c>
      <c r="W39" s="296">
        <v>0.0</v>
      </c>
      <c r="X39" s="296">
        <v>0.0</v>
      </c>
      <c r="Y39" s="296">
        <v>0.0</v>
      </c>
      <c r="Z39" s="296">
        <v>0.0</v>
      </c>
      <c r="AA39" s="296">
        <v>0.0</v>
      </c>
      <c r="AB39" s="296">
        <v>0.0</v>
      </c>
      <c r="AC39" s="296">
        <v>0.0</v>
      </c>
      <c r="AD39" s="296">
        <v>0.0</v>
      </c>
      <c r="AE39" s="296">
        <v>0.0</v>
      </c>
      <c r="AF39" s="296">
        <v>0.0</v>
      </c>
      <c r="AG39" s="296">
        <v>0.0</v>
      </c>
      <c r="AH39" s="296">
        <v>0.0</v>
      </c>
      <c r="AI39" s="296">
        <v>0.0</v>
      </c>
      <c r="AJ39" s="296">
        <v>0.0</v>
      </c>
      <c r="AK39" s="296">
        <v>0.0</v>
      </c>
      <c r="AL39" s="296">
        <v>0.0</v>
      </c>
      <c r="AM39" s="296">
        <v>0.0</v>
      </c>
      <c r="AN39" s="296">
        <v>6.0</v>
      </c>
      <c r="AO39" s="298">
        <f t="shared" si="3"/>
        <v>6.0</v>
      </c>
      <c r="AP39" s="298">
        <f t="shared" si="4"/>
        <v>6.0</v>
      </c>
      <c r="AQ39" s="298">
        <f t="shared" si="5"/>
        <v>6.6</v>
      </c>
      <c r="AR39" s="298">
        <f t="shared" si="189"/>
        <v>17.034782608696</v>
      </c>
      <c r="AS39" s="130">
        <f t="shared" si="190"/>
        <v>30.0782608695656</v>
      </c>
      <c r="AT39" s="130">
        <f t="shared" ref="AT39:AT41" si="212">AQ39*$AT$4/$AQ$4+6*$AT$37</f>
        <v>14.3478260869566</v>
      </c>
      <c r="AU39" s="130">
        <f t="shared" ref="AU39:AU41" si="213">AQ39*$AU$4/$AQ$4+6*$AU$37</f>
        <v>14.3478260869566</v>
      </c>
      <c r="AV39" s="130">
        <f t="shared" ref="AV39:AV41" si="214">AQ39*$AV$4/$AQ$4+6*$AV$37</f>
        <v>14.3478260869566</v>
      </c>
      <c r="AW39" s="130">
        <f t="shared" ref="AW39:AW41" si="215">AQ39*$AW$4/$AQ$4+6*$AW$37</f>
        <v>8.60869565217393</v>
      </c>
      <c r="AX39" s="130">
        <f t="shared" si="12"/>
        <v>98.7652173913053</v>
      </c>
      <c r="AY39" s="23" t="e">
        <f t="shared" si="13"/>
        <v>#REF!</v>
      </c>
      <c r="BB39" s="298" t="e">
        <f t="shared" si="14"/>
        <v>#REF!</v>
      </c>
      <c r="BF39" s="130" t="e">
        <f t="shared" si="195"/>
        <v>#REF!</v>
      </c>
      <c r="BG39" s="130">
        <f t="shared" si="196"/>
        <v>17.034782608696</v>
      </c>
      <c r="BI39" s="298" t="e">
        <f t="shared" si="197"/>
        <v>#REF!</v>
      </c>
      <c r="BJ39" s="298">
        <f t="shared" si="198"/>
        <v>30.0782608695656</v>
      </c>
      <c r="BK39" s="298"/>
      <c r="BL39" s="298" t="e">
        <f t="shared" si="199"/>
        <v>#REF!</v>
      </c>
      <c r="BM39" s="298">
        <f t="shared" si="200"/>
        <v>14.3478260869566</v>
      </c>
      <c r="BN39" s="298"/>
      <c r="BO39" s="298" t="e">
        <f t="shared" si="201"/>
        <v>#REF!</v>
      </c>
      <c r="BP39" s="298">
        <f t="shared" si="202"/>
        <v>14.3478260869566</v>
      </c>
      <c r="BQ39" s="298"/>
      <c r="BR39" s="298" t="e">
        <f t="shared" si="203"/>
        <v>#REF!</v>
      </c>
      <c r="BS39" s="298">
        <f t="shared" si="204"/>
        <v>14.3478260869566</v>
      </c>
      <c r="BT39" s="298"/>
      <c r="BU39" s="298" t="e">
        <f t="shared" si="205"/>
        <v>#REF!</v>
      </c>
      <c r="BV39" s="298">
        <f t="shared" si="206"/>
        <v>8.60869565217393</v>
      </c>
      <c r="BW39" s="298"/>
      <c r="BX39" s="298" t="e">
        <f t="shared" si="207"/>
        <v>#REF!</v>
      </c>
    </row>
    <row r="40" ht="17.0">
      <c r="A40" s="296" t="s">
        <v>32</v>
      </c>
      <c r="B40" s="296" t="s">
        <v>81</v>
      </c>
      <c r="C40" s="296" t="s">
        <v>536</v>
      </c>
      <c r="D40" s="297">
        <v>37602.0</v>
      </c>
      <c r="F40" s="296">
        <v>0.0</v>
      </c>
      <c r="G40" s="296">
        <v>0.0</v>
      </c>
      <c r="H40" s="296">
        <v>0.0</v>
      </c>
      <c r="I40" s="296">
        <v>0.0</v>
      </c>
      <c r="J40" s="296">
        <v>0.0</v>
      </c>
      <c r="K40" s="296">
        <v>0.0</v>
      </c>
      <c r="L40" s="296">
        <v>0.0</v>
      </c>
      <c r="M40" s="296">
        <v>0.0</v>
      </c>
      <c r="N40" s="296">
        <v>0.0</v>
      </c>
      <c r="O40" s="296">
        <v>0.0</v>
      </c>
      <c r="P40" s="296">
        <v>0.0</v>
      </c>
      <c r="Q40" s="296">
        <v>0.0</v>
      </c>
      <c r="R40" s="296">
        <v>0.0</v>
      </c>
      <c r="S40" s="296">
        <v>0.0</v>
      </c>
      <c r="T40" s="296">
        <v>0.0</v>
      </c>
      <c r="U40" s="296">
        <v>0.0</v>
      </c>
      <c r="V40" s="296">
        <v>0.0</v>
      </c>
      <c r="W40" s="296">
        <v>0.0</v>
      </c>
      <c r="X40" s="296">
        <v>0.0</v>
      </c>
      <c r="Y40" s="296">
        <v>0.0</v>
      </c>
      <c r="Z40" s="296">
        <v>0.0</v>
      </c>
      <c r="AA40" s="296">
        <v>0.0</v>
      </c>
      <c r="AB40" s="296">
        <v>0.0</v>
      </c>
      <c r="AC40" s="296">
        <v>0.0</v>
      </c>
      <c r="AD40" s="296">
        <v>0.0</v>
      </c>
      <c r="AE40" s="296">
        <v>0.0</v>
      </c>
      <c r="AF40" s="296">
        <v>0.0</v>
      </c>
      <c r="AG40" s="296">
        <v>0.0</v>
      </c>
      <c r="AH40" s="296">
        <v>0.0</v>
      </c>
      <c r="AI40" s="296">
        <v>0.0</v>
      </c>
      <c r="AJ40" s="296">
        <v>0.0</v>
      </c>
      <c r="AK40" s="296">
        <v>0.0</v>
      </c>
      <c r="AL40" s="296">
        <v>0.0</v>
      </c>
      <c r="AM40" s="296">
        <v>0.0</v>
      </c>
      <c r="AN40" s="296">
        <v>12.0</v>
      </c>
      <c r="AO40" s="298">
        <f t="shared" si="3"/>
        <v>12.0</v>
      </c>
      <c r="AP40" s="298">
        <f t="shared" si="4"/>
        <v>12.0</v>
      </c>
      <c r="AQ40" s="298">
        <f t="shared" si="5"/>
        <v>13.2</v>
      </c>
      <c r="AR40" s="298">
        <f t="shared" si="189"/>
        <v>23.634782608696</v>
      </c>
      <c r="AS40" s="130">
        <f t="shared" si="190"/>
        <v>36.6782608695656</v>
      </c>
      <c r="AT40" s="130">
        <f t="shared" si="212"/>
        <v>15.6521739130435</v>
      </c>
      <c r="AU40" s="130">
        <f t="shared" si="213"/>
        <v>15.6521739130435</v>
      </c>
      <c r="AV40" s="130">
        <f t="shared" si="214"/>
        <v>15.6521739130435</v>
      </c>
      <c r="AW40" s="130">
        <f t="shared" si="215"/>
        <v>9.3913043478261</v>
      </c>
      <c r="AX40" s="130">
        <f t="shared" si="12"/>
        <v>116.660869565218</v>
      </c>
      <c r="AY40" s="23" t="e">
        <f t="shared" si="13"/>
        <v>#REF!</v>
      </c>
      <c r="BB40" s="298" t="e">
        <f t="shared" si="14"/>
        <v>#REF!</v>
      </c>
      <c r="BF40" s="130" t="e">
        <f t="shared" si="195"/>
        <v>#REF!</v>
      </c>
      <c r="BG40" s="130">
        <f t="shared" si="196"/>
        <v>23.634782608696</v>
      </c>
      <c r="BI40" s="298" t="e">
        <f t="shared" si="197"/>
        <v>#REF!</v>
      </c>
      <c r="BJ40" s="298">
        <f t="shared" si="198"/>
        <v>36.6782608695656</v>
      </c>
      <c r="BK40" s="298"/>
      <c r="BL40" s="298" t="e">
        <f t="shared" si="199"/>
        <v>#REF!</v>
      </c>
      <c r="BM40" s="298">
        <f t="shared" si="200"/>
        <v>15.6521739130435</v>
      </c>
      <c r="BN40" s="298"/>
      <c r="BO40" s="298" t="e">
        <f t="shared" si="201"/>
        <v>#REF!</v>
      </c>
      <c r="BP40" s="298">
        <f t="shared" si="202"/>
        <v>15.6521739130435</v>
      </c>
      <c r="BQ40" s="298"/>
      <c r="BR40" s="298" t="e">
        <f t="shared" si="203"/>
        <v>#REF!</v>
      </c>
      <c r="BS40" s="298">
        <f t="shared" si="204"/>
        <v>15.6521739130435</v>
      </c>
      <c r="BT40" s="298"/>
      <c r="BU40" s="298" t="e">
        <f t="shared" si="205"/>
        <v>#REF!</v>
      </c>
      <c r="BV40" s="298">
        <f t="shared" si="206"/>
        <v>9.3913043478261</v>
      </c>
      <c r="BW40" s="298"/>
      <c r="BX40" s="298" t="e">
        <f t="shared" si="207"/>
        <v>#REF!</v>
      </c>
    </row>
    <row r="41" ht="17.0">
      <c r="A41" s="296" t="s">
        <v>32</v>
      </c>
      <c r="B41" s="296" t="s">
        <v>81</v>
      </c>
      <c r="C41" s="296" t="s">
        <v>535</v>
      </c>
      <c r="D41" s="297">
        <v>37601.0</v>
      </c>
      <c r="F41" s="296">
        <v>0.0</v>
      </c>
      <c r="G41" s="296">
        <v>0.0</v>
      </c>
      <c r="H41" s="296">
        <v>0.0</v>
      </c>
      <c r="I41" s="296">
        <v>0.0</v>
      </c>
      <c r="J41" s="296">
        <v>0.0</v>
      </c>
      <c r="K41" s="296">
        <v>0.0</v>
      </c>
      <c r="L41" s="296">
        <v>0.0</v>
      </c>
      <c r="M41" s="296">
        <v>0.0</v>
      </c>
      <c r="N41" s="296">
        <v>0.0</v>
      </c>
      <c r="O41" s="296">
        <v>0.0</v>
      </c>
      <c r="P41" s="296">
        <v>0.0</v>
      </c>
      <c r="Q41" s="296">
        <v>0.0</v>
      </c>
      <c r="R41" s="296">
        <v>0.0</v>
      </c>
      <c r="S41" s="296">
        <v>0.0</v>
      </c>
      <c r="T41" s="296">
        <v>0.0</v>
      </c>
      <c r="U41" s="296">
        <v>0.0</v>
      </c>
      <c r="V41" s="296">
        <v>0.0</v>
      </c>
      <c r="W41" s="296">
        <v>0.0</v>
      </c>
      <c r="X41" s="296">
        <v>0.0</v>
      </c>
      <c r="Y41" s="296">
        <v>0.0</v>
      </c>
      <c r="Z41" s="296">
        <v>0.0</v>
      </c>
      <c r="AA41" s="296">
        <v>0.0</v>
      </c>
      <c r="AB41" s="296">
        <v>0.0</v>
      </c>
      <c r="AC41" s="296">
        <v>0.0</v>
      </c>
      <c r="AD41" s="296">
        <v>0.0</v>
      </c>
      <c r="AE41" s="296">
        <v>0.0</v>
      </c>
      <c r="AF41" s="296">
        <v>0.0</v>
      </c>
      <c r="AG41" s="296">
        <v>0.0</v>
      </c>
      <c r="AH41" s="296">
        <v>0.0</v>
      </c>
      <c r="AI41" s="296">
        <v>0.0</v>
      </c>
      <c r="AJ41" s="296">
        <v>0.0</v>
      </c>
      <c r="AK41" s="296">
        <v>0.0</v>
      </c>
      <c r="AL41" s="296">
        <v>0.0</v>
      </c>
      <c r="AM41" s="296">
        <v>0.0</v>
      </c>
      <c r="AN41" s="296">
        <v>6.0</v>
      </c>
      <c r="AO41" s="298">
        <f t="shared" si="3"/>
        <v>6.0</v>
      </c>
      <c r="AP41" s="298">
        <f t="shared" si="4"/>
        <v>6.0</v>
      </c>
      <c r="AQ41" s="298">
        <f t="shared" si="5"/>
        <v>6.6</v>
      </c>
      <c r="AR41" s="298">
        <f t="shared" si="189"/>
        <v>17.034782608696</v>
      </c>
      <c r="AS41" s="130">
        <f t="shared" si="190"/>
        <v>30.0782608695656</v>
      </c>
      <c r="AT41" s="130">
        <f t="shared" si="212"/>
        <v>14.3478260869566</v>
      </c>
      <c r="AU41" s="130">
        <f t="shared" si="213"/>
        <v>14.3478260869566</v>
      </c>
      <c r="AV41" s="130">
        <f t="shared" si="214"/>
        <v>14.3478260869566</v>
      </c>
      <c r="AW41" s="130">
        <f t="shared" si="215"/>
        <v>8.60869565217393</v>
      </c>
      <c r="AX41" s="130">
        <f t="shared" si="12"/>
        <v>98.7652173913053</v>
      </c>
      <c r="AY41" s="23" t="e">
        <f t="shared" si="13"/>
        <v>#REF!</v>
      </c>
      <c r="BB41" s="298" t="e">
        <f t="shared" si="14"/>
        <v>#REF!</v>
      </c>
      <c r="BF41" s="130" t="e">
        <f t="shared" si="195"/>
        <v>#REF!</v>
      </c>
      <c r="BG41" s="130">
        <f t="shared" si="196"/>
        <v>17.034782608696</v>
      </c>
      <c r="BI41" s="298" t="e">
        <f t="shared" si="197"/>
        <v>#REF!</v>
      </c>
      <c r="BJ41" s="298">
        <f t="shared" si="198"/>
        <v>30.0782608695656</v>
      </c>
      <c r="BK41" s="298"/>
      <c r="BL41" s="298" t="e">
        <f t="shared" si="199"/>
        <v>#REF!</v>
      </c>
      <c r="BM41" s="298">
        <f t="shared" si="200"/>
        <v>14.3478260869566</v>
      </c>
      <c r="BN41" s="298"/>
      <c r="BO41" s="298" t="e">
        <f t="shared" si="201"/>
        <v>#REF!</v>
      </c>
      <c r="BP41" s="298">
        <f t="shared" si="202"/>
        <v>14.3478260869566</v>
      </c>
      <c r="BQ41" s="298"/>
      <c r="BR41" s="298" t="e">
        <f t="shared" si="203"/>
        <v>#REF!</v>
      </c>
      <c r="BS41" s="298">
        <f t="shared" si="204"/>
        <v>14.3478260869566</v>
      </c>
      <c r="BT41" s="298"/>
      <c r="BU41" s="298" t="e">
        <f t="shared" si="205"/>
        <v>#REF!</v>
      </c>
      <c r="BV41" s="298">
        <f t="shared" si="206"/>
        <v>8.60869565217393</v>
      </c>
      <c r="BW41" s="298"/>
      <c r="BX41" s="298" t="e">
        <f t="shared" si="207"/>
        <v>#REF!</v>
      </c>
    </row>
    <row r="42" ht="17.0">
      <c r="A42" s="296" t="s">
        <v>32</v>
      </c>
      <c r="B42" s="296" t="s">
        <v>170</v>
      </c>
      <c r="C42" s="296" t="s">
        <v>172</v>
      </c>
      <c r="D42" s="297">
        <v>41002.0</v>
      </c>
      <c r="F42" s="296">
        <v>36.0</v>
      </c>
      <c r="G42" s="296">
        <v>51.0</v>
      </c>
      <c r="H42" s="296">
        <v>45.0</v>
      </c>
      <c r="I42" s="296">
        <v>69.0</v>
      </c>
      <c r="J42" s="296">
        <v>12.0</v>
      </c>
      <c r="K42" s="296">
        <v>22.0</v>
      </c>
      <c r="L42" s="296">
        <v>21.0</v>
      </c>
      <c r="M42" s="296">
        <v>6.0</v>
      </c>
      <c r="N42" s="296">
        <v>19.0</v>
      </c>
      <c r="O42" s="296">
        <v>24.0</v>
      </c>
      <c r="P42" s="296">
        <v>18.0</v>
      </c>
      <c r="Q42" s="296">
        <v>9.0</v>
      </c>
      <c r="R42" s="296">
        <v>51.0</v>
      </c>
      <c r="S42" s="296">
        <v>30.0</v>
      </c>
      <c r="T42" s="296">
        <v>30.0</v>
      </c>
      <c r="U42" s="296">
        <v>63.0</v>
      </c>
      <c r="V42" s="296">
        <v>21.0</v>
      </c>
      <c r="W42" s="296">
        <v>14.0</v>
      </c>
      <c r="X42" s="296">
        <v>0.0</v>
      </c>
      <c r="Y42" s="296">
        <v>0.0</v>
      </c>
      <c r="Z42" s="296">
        <v>12.0</v>
      </c>
      <c r="AA42" s="296">
        <v>0.0</v>
      </c>
      <c r="AB42" s="296">
        <v>10.0</v>
      </c>
      <c r="AC42" s="296">
        <v>12.0</v>
      </c>
      <c r="AD42" s="296">
        <v>3.0</v>
      </c>
      <c r="AE42" s="296">
        <v>6.0</v>
      </c>
      <c r="AF42" s="296">
        <v>6.0</v>
      </c>
      <c r="AG42" s="296">
        <v>21.0</v>
      </c>
      <c r="AH42" s="296">
        <v>6.0</v>
      </c>
      <c r="AI42" s="296">
        <v>12.0</v>
      </c>
      <c r="AJ42" s="296">
        <v>7.0</v>
      </c>
      <c r="AK42" s="296">
        <v>0.0</v>
      </c>
      <c r="AL42" s="296">
        <v>6.0</v>
      </c>
      <c r="AM42" s="296">
        <v>3.0</v>
      </c>
      <c r="AN42" s="296">
        <v>15.0</v>
      </c>
      <c r="AO42" s="298">
        <f t="shared" si="3"/>
        <v>97.0</v>
      </c>
      <c r="AP42" s="298">
        <f t="shared" si="4"/>
        <v>43.0</v>
      </c>
      <c r="AQ42" s="298">
        <f t="shared" si="5"/>
        <v>47.3</v>
      </c>
      <c r="AR42" s="130">
        <f t="shared" ref="AR42:AR44" si="216">AQ42*$AR$4/$AQ$4</f>
        <v>7.47826086956521</v>
      </c>
      <c r="AS42" s="130">
        <f t="shared" ref="AS42:AS44" si="217">AQ42*$AS$4/$AQ$4</f>
        <v>9.34782608695652</v>
      </c>
      <c r="AT42" s="130">
        <f t="shared" ref="AT42:AT44" si="218">AQ42*$AT$4/$AQ$4</f>
        <v>9.34782608695652</v>
      </c>
      <c r="AU42" s="130">
        <f t="shared" ref="AU42:AU44" si="219">AQ42*$AU$4/$AQ$4</f>
        <v>9.34782608695652</v>
      </c>
      <c r="AV42" s="130">
        <f t="shared" ref="AV42:AV44" si="220">AQ42*$AV$4/$AQ$4</f>
        <v>9.34782608695652</v>
      </c>
      <c r="AW42" s="130">
        <f t="shared" ref="AW42:AW44" si="221">AQ42*$AW$4/$AQ$4</f>
        <v>5.60869565217391</v>
      </c>
      <c r="AX42" s="130">
        <f t="shared" si="12"/>
        <v>50.4782608695651</v>
      </c>
      <c r="AY42" s="23" t="e">
        <f t="shared" si="13"/>
        <v>#REF!</v>
      </c>
      <c r="BB42" s="298" t="e">
        <f t="shared" si="14"/>
        <v>#REF!</v>
      </c>
      <c r="BC42">
        <f>VLOOKUP(C42,MOQ,3,false)</f>
      </c>
      <c r="BE42" s="130" t="s">
        <v>350</v>
      </c>
      <c r="BF42" s="130" t="e">
        <f t="shared" si="195"/>
        <v>#REF!</v>
      </c>
      <c r="BG42" s="130">
        <f t="shared" si="196"/>
        <v>7.47826086956521</v>
      </c>
      <c r="BI42" s="298" t="e">
        <f t="shared" si="197"/>
        <v>#REF!</v>
      </c>
      <c r="BJ42" s="298">
        <f t="shared" si="198"/>
        <v>9.34782608695652</v>
      </c>
      <c r="BK42" s="298"/>
      <c r="BL42" s="298" t="e">
        <f t="shared" si="199"/>
        <v>#REF!</v>
      </c>
      <c r="BM42" s="298">
        <f t="shared" si="200"/>
        <v>9.34782608695652</v>
      </c>
      <c r="BN42" s="298"/>
      <c r="BO42" s="298" t="e">
        <f t="shared" si="201"/>
        <v>#REF!</v>
      </c>
      <c r="BP42" s="298">
        <f t="shared" si="202"/>
        <v>9.34782608695652</v>
      </c>
      <c r="BQ42" s="298"/>
      <c r="BR42" s="298" t="e">
        <f t="shared" si="203"/>
        <v>#REF!</v>
      </c>
      <c r="BS42" s="298">
        <f t="shared" si="204"/>
        <v>9.34782608695652</v>
      </c>
      <c r="BT42" s="298"/>
      <c r="BU42" s="298" t="e">
        <f t="shared" si="205"/>
        <v>#REF!</v>
      </c>
      <c r="BV42" s="298">
        <f t="shared" si="206"/>
        <v>5.60869565217391</v>
      </c>
      <c r="BW42" s="298"/>
      <c r="BX42" s="298" t="e">
        <f t="shared" si="207"/>
        <v>#REF!</v>
      </c>
      <c r="BZ42" s="23" t="e">
        <f t="shared" ref="BZ42:BZ43" si="223">BX42*-1</f>
        <v>#REF!</v>
      </c>
      <c r="CA42" s="300" t="e">
        <f t="shared" ref="CA42:CA43" si="224">BZ42/6</f>
        <v>#REF!</v>
      </c>
      <c r="CB42" s="130" t="e">
        <f t="shared" ref="CB42:CB43" si="225">ROUNDUP(CA42,0)</f>
        <v>#REF!</v>
      </c>
      <c r="CC42" s="23" t="e">
        <f t="shared" ref="CC42:CC43" si="226">CB42*6</f>
        <v>#REF!</v>
      </c>
    </row>
    <row r="43" ht="17.0">
      <c r="A43" s="296" t="s">
        <v>32</v>
      </c>
      <c r="B43" s="296" t="s">
        <v>170</v>
      </c>
      <c r="C43" s="296" t="s">
        <v>171</v>
      </c>
      <c r="D43" s="297">
        <v>41001.0</v>
      </c>
      <c r="F43" s="296">
        <v>45.0</v>
      </c>
      <c r="G43" s="296">
        <v>30.0</v>
      </c>
      <c r="H43" s="296">
        <v>48.0</v>
      </c>
      <c r="I43" s="296">
        <v>48.0</v>
      </c>
      <c r="J43" s="296">
        <v>21.0</v>
      </c>
      <c r="K43" s="296">
        <v>16.0</v>
      </c>
      <c r="L43" s="296">
        <v>12.0</v>
      </c>
      <c r="M43" s="296">
        <v>21.0</v>
      </c>
      <c r="N43" s="296">
        <v>21.0</v>
      </c>
      <c r="O43" s="296">
        <v>0.0</v>
      </c>
      <c r="P43" s="296">
        <v>18.0</v>
      </c>
      <c r="Q43" s="296">
        <v>12.0</v>
      </c>
      <c r="R43" s="296">
        <v>45.0</v>
      </c>
      <c r="S43" s="296">
        <v>30.0</v>
      </c>
      <c r="T43" s="296">
        <v>30.0</v>
      </c>
      <c r="U43" s="296">
        <v>63.0</v>
      </c>
      <c r="V43" s="296">
        <v>24.0</v>
      </c>
      <c r="W43" s="296">
        <v>33.0</v>
      </c>
      <c r="X43" s="296">
        <v>36.0</v>
      </c>
      <c r="Y43" s="296">
        <v>15.0</v>
      </c>
      <c r="Z43" s="296">
        <v>31.0</v>
      </c>
      <c r="AA43" s="296">
        <v>3.0</v>
      </c>
      <c r="AB43" s="296">
        <v>4.0</v>
      </c>
      <c r="AC43" s="296">
        <v>9.0</v>
      </c>
      <c r="AD43" s="296">
        <v>18.0</v>
      </c>
      <c r="AE43" s="296">
        <v>12.0</v>
      </c>
      <c r="AF43" s="296">
        <v>21.0</v>
      </c>
      <c r="AG43" s="296">
        <v>6.0</v>
      </c>
      <c r="AH43" s="296">
        <v>9.0</v>
      </c>
      <c r="AI43" s="296">
        <v>21.0</v>
      </c>
      <c r="AJ43" s="296">
        <v>9.0</v>
      </c>
      <c r="AK43" s="296">
        <v>6.0</v>
      </c>
      <c r="AL43" s="296">
        <v>6.0</v>
      </c>
      <c r="AM43" s="296">
        <v>0.0</v>
      </c>
      <c r="AN43" s="296">
        <v>12.0</v>
      </c>
      <c r="AO43" s="298">
        <f t="shared" si="3"/>
        <v>129.0</v>
      </c>
      <c r="AP43" s="298">
        <f t="shared" si="4"/>
        <v>54.0</v>
      </c>
      <c r="AQ43" s="298">
        <f t="shared" si="5"/>
        <v>59.4</v>
      </c>
      <c r="AR43" s="130">
        <f t="shared" si="216"/>
        <v>9.391304347826</v>
      </c>
      <c r="AS43" s="130">
        <f t="shared" si="217"/>
        <v>11.7391304347826</v>
      </c>
      <c r="AT43" s="130">
        <f t="shared" si="218"/>
        <v>11.7391304347826</v>
      </c>
      <c r="AU43" s="130">
        <f t="shared" si="219"/>
        <v>11.7391304347826</v>
      </c>
      <c r="AV43" s="130">
        <f t="shared" si="220"/>
        <v>11.7391304347826</v>
      </c>
      <c r="AW43" s="130">
        <f t="shared" si="221"/>
        <v>7.04347826086957</v>
      </c>
      <c r="AX43" s="130">
        <f t="shared" si="12"/>
        <v>63.391304347826</v>
      </c>
      <c r="AY43" s="23" t="e">
        <f t="shared" si="13"/>
        <v>#REF!</v>
      </c>
      <c r="BB43" s="298" t="e">
        <f t="shared" si="14"/>
        <v>#REF!</v>
      </c>
      <c r="BC43">
        <f>VLOOKUP(C43,MOQ,3,false)</f>
      </c>
      <c r="BE43" s="130" t="s">
        <v>350</v>
      </c>
      <c r="BF43" s="130" t="e">
        <f t="shared" si="195"/>
        <v>#REF!</v>
      </c>
      <c r="BG43" s="130">
        <f t="shared" si="196"/>
        <v>9.391304347826</v>
      </c>
      <c r="BI43" s="298" t="e">
        <f t="shared" si="197"/>
        <v>#REF!</v>
      </c>
      <c r="BJ43" s="298">
        <f t="shared" si="198"/>
        <v>11.7391304347826</v>
      </c>
      <c r="BK43" s="298"/>
      <c r="BL43" s="298" t="e">
        <f t="shared" si="199"/>
        <v>#REF!</v>
      </c>
      <c r="BM43" s="298">
        <f t="shared" si="200"/>
        <v>11.7391304347826</v>
      </c>
      <c r="BN43" s="298"/>
      <c r="BO43" s="298" t="e">
        <f t="shared" si="201"/>
        <v>#REF!</v>
      </c>
      <c r="BP43" s="298">
        <f t="shared" si="202"/>
        <v>11.7391304347826</v>
      </c>
      <c r="BQ43" s="298"/>
      <c r="BR43" s="298" t="e">
        <f t="shared" si="203"/>
        <v>#REF!</v>
      </c>
      <c r="BS43" s="298">
        <f t="shared" si="204"/>
        <v>11.7391304347826</v>
      </c>
      <c r="BT43" s="298"/>
      <c r="BU43" s="298" t="e">
        <f t="shared" si="205"/>
        <v>#REF!</v>
      </c>
      <c r="BV43" s="298">
        <f t="shared" si="206"/>
        <v>7.04347826086957</v>
      </c>
      <c r="BW43" s="298"/>
      <c r="BX43" s="298" t="e">
        <f t="shared" si="207"/>
        <v>#REF!</v>
      </c>
      <c r="BZ43" s="23" t="e">
        <f t="shared" si="223"/>
        <v>#REF!</v>
      </c>
      <c r="CA43" s="300" t="e">
        <f t="shared" si="224"/>
        <v>#REF!</v>
      </c>
      <c r="CB43" s="130" t="e">
        <f t="shared" si="225"/>
        <v>#REF!</v>
      </c>
      <c r="CC43" s="23" t="e">
        <f t="shared" si="226"/>
        <v>#REF!</v>
      </c>
    </row>
    <row r="44" ht="17.0">
      <c r="A44" s="296" t="s">
        <v>32</v>
      </c>
      <c r="B44" s="296" t="s">
        <v>81</v>
      </c>
      <c r="C44" s="296" t="s">
        <v>82</v>
      </c>
      <c r="D44" s="297" t="s">
        <v>83</v>
      </c>
      <c r="F44" s="296">
        <v>7.0</v>
      </c>
      <c r="G44" s="296">
        <v>3.0</v>
      </c>
      <c r="H44" s="296">
        <v>0.0</v>
      </c>
      <c r="I44" s="296">
        <v>0.0</v>
      </c>
      <c r="J44" s="296">
        <v>0.0</v>
      </c>
      <c r="K44" s="296">
        <v>6.0</v>
      </c>
      <c r="L44" s="296">
        <v>3.0</v>
      </c>
      <c r="M44" s="296">
        <v>4.0</v>
      </c>
      <c r="N44" s="296">
        <v>2.0</v>
      </c>
      <c r="O44" s="296">
        <v>2.0</v>
      </c>
      <c r="P44" s="296">
        <v>7.0</v>
      </c>
      <c r="Q44" s="296">
        <v>5.0</v>
      </c>
      <c r="R44" s="296">
        <v>3.0</v>
      </c>
      <c r="S44" s="296">
        <v>1.0</v>
      </c>
      <c r="T44" s="296">
        <v>8.0</v>
      </c>
      <c r="U44" s="296">
        <v>4.0</v>
      </c>
      <c r="V44" s="296">
        <v>1.0</v>
      </c>
      <c r="W44" s="296">
        <v>4.0</v>
      </c>
      <c r="X44" s="296">
        <v>8.0</v>
      </c>
      <c r="Y44" s="296">
        <v>4.0</v>
      </c>
      <c r="Z44" s="296">
        <v>0.0</v>
      </c>
      <c r="AA44" s="296">
        <v>2.0</v>
      </c>
      <c r="AB44" s="296">
        <v>3.0</v>
      </c>
      <c r="AC44" s="296">
        <v>3.0</v>
      </c>
      <c r="AD44" s="296">
        <v>0.0</v>
      </c>
      <c r="AE44" s="296">
        <v>3.0</v>
      </c>
      <c r="AF44" s="296">
        <v>4.0</v>
      </c>
      <c r="AG44" s="296">
        <v>2.0</v>
      </c>
      <c r="AH44" s="296">
        <v>2.0</v>
      </c>
      <c r="AI44" s="296">
        <v>2.0</v>
      </c>
      <c r="AJ44" s="296">
        <v>4.0</v>
      </c>
      <c r="AK44" s="296">
        <v>3.0</v>
      </c>
      <c r="AL44" s="296">
        <v>3.0</v>
      </c>
      <c r="AM44" s="296">
        <v>4.0</v>
      </c>
      <c r="AN44" s="296">
        <v>0.0</v>
      </c>
      <c r="AO44" s="298">
        <f t="shared" si="3"/>
        <v>30.0</v>
      </c>
      <c r="AP44" s="298">
        <f t="shared" si="4"/>
        <v>16.0</v>
      </c>
      <c r="AQ44" s="298">
        <f t="shared" si="5"/>
        <v>17.6</v>
      </c>
      <c r="AR44" s="299">
        <f t="shared" si="216"/>
        <v>2.78260869565217</v>
      </c>
      <c r="AS44" s="299">
        <f t="shared" si="217"/>
        <v>3.47826086956521</v>
      </c>
      <c r="AT44" s="299">
        <f t="shared" si="218"/>
        <v>3.47826086956521</v>
      </c>
      <c r="AU44" s="299">
        <f t="shared" si="219"/>
        <v>3.47826086956521</v>
      </c>
      <c r="AV44" s="299">
        <f t="shared" si="220"/>
        <v>3.47826086956521</v>
      </c>
      <c r="AW44" s="299">
        <f t="shared" si="221"/>
        <v>2.08695652173913</v>
      </c>
      <c r="AX44" s="130">
        <f t="shared" si="12"/>
        <v>18.7826086956521</v>
      </c>
      <c r="AY44" s="23" t="e">
        <f t="shared" si="13"/>
        <v>#REF!</v>
      </c>
      <c r="BB44" s="298" t="e">
        <f t="shared" si="14"/>
        <v>#REF!</v>
      </c>
      <c r="BC44">
        <f>VLOOKUP(C44,MOQ,3,false)</f>
      </c>
      <c r="BI44" s="298"/>
      <c r="BJ44" s="298"/>
      <c r="BK44" s="298"/>
      <c r="BL44" s="298"/>
      <c r="BM44" s="298"/>
      <c r="BN44" s="298"/>
      <c r="BO44" s="298"/>
      <c r="BP44" s="298"/>
      <c r="BQ44" s="298"/>
      <c r="BR44" s="298"/>
      <c r="BS44" s="298"/>
      <c r="BT44" s="298"/>
      <c r="BU44" s="298"/>
      <c r="BV44" s="298"/>
      <c r="BW44" s="298"/>
      <c r="BX44" s="298"/>
    </row>
    <row r="45" ht="17.0">
      <c r="A45" s="296" t="s">
        <v>32</v>
      </c>
      <c r="B45" s="296" t="s">
        <v>81</v>
      </c>
      <c r="C45" s="296" t="s">
        <v>84</v>
      </c>
      <c r="D45" s="297" t="s">
        <v>85</v>
      </c>
      <c r="F45" s="296">
        <v>1.0</v>
      </c>
      <c r="G45" s="296">
        <v>1.0</v>
      </c>
      <c r="H45" s="296">
        <v>0.0</v>
      </c>
      <c r="I45" s="296">
        <v>0.0</v>
      </c>
      <c r="J45" s="296">
        <v>0.0</v>
      </c>
      <c r="K45" s="296">
        <v>0.0</v>
      </c>
      <c r="L45" s="296">
        <v>0.0</v>
      </c>
      <c r="M45" s="296">
        <v>0.0</v>
      </c>
      <c r="N45" s="296">
        <v>4.0</v>
      </c>
      <c r="O45" s="296">
        <v>0.0</v>
      </c>
      <c r="P45" s="296">
        <v>0.0</v>
      </c>
      <c r="Q45" s="296">
        <v>0.0</v>
      </c>
      <c r="R45" s="296">
        <v>3.0</v>
      </c>
      <c r="S45" s="296">
        <v>0.0</v>
      </c>
      <c r="T45" s="296">
        <v>0.0</v>
      </c>
      <c r="U45" s="296">
        <v>0.0</v>
      </c>
      <c r="V45" s="296">
        <v>0.0</v>
      </c>
      <c r="W45" s="296">
        <v>0.0</v>
      </c>
      <c r="X45" s="296">
        <v>0.0</v>
      </c>
      <c r="Y45" s="296">
        <v>0.0</v>
      </c>
      <c r="Z45" s="296">
        <v>0.0</v>
      </c>
      <c r="AA45" s="296">
        <v>0.0</v>
      </c>
      <c r="AB45" s="296">
        <v>0.0</v>
      </c>
      <c r="AC45" s="296">
        <v>0.0</v>
      </c>
      <c r="AD45" s="296">
        <v>0.0</v>
      </c>
      <c r="AE45" s="296">
        <v>0.0</v>
      </c>
      <c r="AF45" s="296">
        <v>0.0</v>
      </c>
      <c r="AG45" s="296">
        <v>0.0</v>
      </c>
      <c r="AH45" s="296">
        <v>0.0</v>
      </c>
      <c r="AI45" s="296">
        <v>0.0</v>
      </c>
      <c r="AJ45" s="296">
        <v>1.0</v>
      </c>
      <c r="AK45" s="296">
        <v>0.0</v>
      </c>
      <c r="AL45" s="296">
        <v>0.0</v>
      </c>
      <c r="AM45" s="296">
        <v>0.0</v>
      </c>
      <c r="AN45" s="296">
        <v>0.0</v>
      </c>
      <c r="AO45" s="298">
        <f t="shared" si="3"/>
        <v>1.0</v>
      </c>
      <c r="AP45" s="298">
        <f t="shared" si="4"/>
        <v>1.0</v>
      </c>
      <c r="AQ45" s="298">
        <f t="shared" si="5"/>
        <v>1.1</v>
      </c>
      <c r="AR45" s="130">
        <f>AR44</f>
        <v>2.78260869565217</v>
      </c>
      <c r="AS45" s="130">
        <f>AS44</f>
        <v>3.47826086956521</v>
      </c>
      <c r="AT45" s="130">
        <f>AT44</f>
        <v>3.47826086956521</v>
      </c>
      <c r="AU45" s="130">
        <f>AU44</f>
        <v>3.47826086956521</v>
      </c>
      <c r="AV45" s="130">
        <f>AV44</f>
        <v>3.47826086956521</v>
      </c>
      <c r="AW45" s="130">
        <f>AW44</f>
        <v>2.08695652173913</v>
      </c>
      <c r="AX45" s="130">
        <f t="shared" si="12"/>
        <v>18.7826086956521</v>
      </c>
      <c r="AY45" s="23" t="e">
        <f t="shared" si="13"/>
        <v>#REF!</v>
      </c>
      <c r="BB45" s="298" t="e">
        <f t="shared" si="14"/>
        <v>#REF!</v>
      </c>
      <c r="BC45">
        <f>VLOOKUP(C45,MOQ,3,false)</f>
      </c>
      <c r="BE45" s="130" t="s">
        <v>826</v>
      </c>
      <c r="BF45" s="130" t="e">
        <f t="shared" ref="BF45:BF52" si="233">AY45</f>
        <v>#REF!</v>
      </c>
      <c r="BG45" s="130">
        <f t="shared" ref="BG45:BG52" si="234">AR45</f>
        <v>2.78260869565217</v>
      </c>
      <c r="BI45" s="298" t="e">
        <f t="shared" ref="BI45:BI52" si="235">BF45+BH45-BG45</f>
        <v>#REF!</v>
      </c>
      <c r="BJ45" s="298">
        <f t="shared" ref="BJ45:BJ52" si="236">AS45</f>
        <v>3.47826086956521</v>
      </c>
      <c r="BK45" s="298"/>
      <c r="BL45" s="298" t="e">
        <f t="shared" ref="BL45:BL52" si="237">BI45+BK45-BJ45</f>
        <v>#REF!</v>
      </c>
      <c r="BM45" s="298">
        <f t="shared" ref="BM45:BM52" si="238">AT45</f>
        <v>3.47826086956521</v>
      </c>
      <c r="BN45" s="298"/>
      <c r="BO45" s="298" t="e">
        <f t="shared" ref="BO45:BO52" si="239">BL45+BN45-BM45</f>
        <v>#REF!</v>
      </c>
      <c r="BP45" s="298">
        <f t="shared" ref="BP45:BP52" si="240">AU45</f>
        <v>3.47826086956521</v>
      </c>
      <c r="BQ45" s="298"/>
      <c r="BR45" s="298" t="e">
        <f t="shared" ref="BR45:BR52" si="241">BO45+BQ45-BP45</f>
        <v>#REF!</v>
      </c>
      <c r="BS45" s="298">
        <f t="shared" ref="BS45:BS52" si="242">AV45</f>
        <v>3.47826086956521</v>
      </c>
      <c r="BT45" s="298"/>
      <c r="BU45" s="298" t="e">
        <f t="shared" ref="BU45:BU52" si="243">BR45+BT45-BS45</f>
        <v>#REF!</v>
      </c>
      <c r="BV45" s="298">
        <f t="shared" ref="BV45:BV52" si="244">AW45</f>
        <v>2.08695652173913</v>
      </c>
      <c r="BW45" s="298"/>
      <c r="BX45" s="298" t="e">
        <f t="shared" ref="BX45:BX52" si="245">BU45+BW45-BV45</f>
        <v>#REF!</v>
      </c>
      <c r="BZ45" s="23" t="e">
        <f>BX45*-1</f>
        <v>#REF!</v>
      </c>
      <c r="CA45" s="300" t="e">
        <f>BZ45/6</f>
        <v>#REF!</v>
      </c>
      <c r="CB45" s="130" t="e">
        <f>ROUNDUP(CA45,0)</f>
        <v>#REF!</v>
      </c>
      <c r="CC45" s="23" t="e">
        <f>CB45*6</f>
        <v>#REF!</v>
      </c>
    </row>
    <row r="46" ht="17.0">
      <c r="A46" s="296" t="s">
        <v>32</v>
      </c>
      <c r="B46" s="296" t="s">
        <v>81</v>
      </c>
      <c r="C46" s="303" t="s">
        <v>93</v>
      </c>
      <c r="D46" s="297">
        <v>43012.0</v>
      </c>
      <c r="F46" s="296">
        <v>15.0</v>
      </c>
      <c r="G46" s="296">
        <v>24.0</v>
      </c>
      <c r="H46" s="296">
        <v>20.0</v>
      </c>
      <c r="I46" s="296">
        <v>21.0</v>
      </c>
      <c r="J46" s="296">
        <v>12.0</v>
      </c>
      <c r="K46" s="296">
        <v>9.0</v>
      </c>
      <c r="L46" s="296">
        <v>12.0</v>
      </c>
      <c r="M46" s="296">
        <v>24.0</v>
      </c>
      <c r="N46" s="296">
        <v>24.0</v>
      </c>
      <c r="O46" s="296">
        <v>3.0</v>
      </c>
      <c r="P46" s="296">
        <v>21.0</v>
      </c>
      <c r="Q46" s="296">
        <v>3.0</v>
      </c>
      <c r="R46" s="296">
        <v>10.0</v>
      </c>
      <c r="S46" s="296">
        <v>12.0</v>
      </c>
      <c r="T46" s="296">
        <v>19.0</v>
      </c>
      <c r="U46" s="296">
        <v>22.0</v>
      </c>
      <c r="V46" s="296">
        <v>6.0</v>
      </c>
      <c r="W46" s="296">
        <v>12.0</v>
      </c>
      <c r="X46" s="296">
        <v>9.0</v>
      </c>
      <c r="Y46" s="296">
        <v>14.0</v>
      </c>
      <c r="Z46" s="296">
        <v>12.0</v>
      </c>
      <c r="AA46" s="296">
        <v>3.0</v>
      </c>
      <c r="AB46" s="296">
        <v>12.0</v>
      </c>
      <c r="AC46" s="296">
        <v>3.0</v>
      </c>
      <c r="AD46" s="296">
        <v>15.0</v>
      </c>
      <c r="AE46" s="296">
        <v>6.0</v>
      </c>
      <c r="AF46" s="296">
        <v>5.0</v>
      </c>
      <c r="AG46" s="296">
        <v>15.0</v>
      </c>
      <c r="AH46" s="296">
        <v>3.0</v>
      </c>
      <c r="AI46" s="296">
        <v>9.0</v>
      </c>
      <c r="AJ46" s="296">
        <v>12.0</v>
      </c>
      <c r="AK46" s="296">
        <v>6.0</v>
      </c>
      <c r="AL46" s="296">
        <v>0.0</v>
      </c>
      <c r="AM46" s="296">
        <v>6.0</v>
      </c>
      <c r="AN46" s="296">
        <v>6.0</v>
      </c>
      <c r="AO46" s="298">
        <f t="shared" si="3"/>
        <v>86.0</v>
      </c>
      <c r="AP46" s="298">
        <f t="shared" si="4"/>
        <v>39.0</v>
      </c>
      <c r="AQ46" s="298">
        <f t="shared" si="5"/>
        <v>42.9</v>
      </c>
      <c r="AR46" s="130">
        <f>AQ46*$AR$4/$AQ$4+2*$AR$44</f>
        <v>12.3478260869565</v>
      </c>
      <c r="AS46" s="130">
        <f>AQ46*$AS$4/$AQ$4+2*$AS$44</f>
        <v>15.4347826086956</v>
      </c>
      <c r="AT46" s="130">
        <f>AQ46*$AT$4/$AQ$4+2*$AT$44</f>
        <v>15.4347826086956</v>
      </c>
      <c r="AU46" s="130">
        <f>AQ46*$AU$4/$AQ$4+2*$AU$44</f>
        <v>15.4347826086956</v>
      </c>
      <c r="AV46" s="130">
        <f>AQ46*$AV$4/$AQ$4+2*$AV$44</f>
        <v>15.4347826086956</v>
      </c>
      <c r="AW46" s="130">
        <f>AQ46*$AW$4/$AQ$4+2*$AW$44</f>
        <v>9.26086956521739</v>
      </c>
      <c r="AX46" s="130">
        <f t="shared" si="12"/>
        <v>83.3478260869562</v>
      </c>
      <c r="AY46" s="23" t="e">
        <f t="shared" si="13"/>
        <v>#REF!</v>
      </c>
      <c r="BB46" s="298" t="e">
        <f t="shared" si="14"/>
        <v>#REF!</v>
      </c>
      <c r="BC46">
        <f>VLOOKUP(C46,MOQ,3,false)</f>
      </c>
      <c r="BF46" s="130" t="e">
        <f t="shared" si="233"/>
        <v>#REF!</v>
      </c>
      <c r="BG46" s="130">
        <f t="shared" si="234"/>
        <v>12.3478260869565</v>
      </c>
      <c r="BI46" s="298" t="e">
        <f t="shared" si="235"/>
        <v>#REF!</v>
      </c>
      <c r="BJ46" s="298">
        <f t="shared" si="236"/>
        <v>15.4347826086956</v>
      </c>
      <c r="BK46" s="298"/>
      <c r="BL46" s="298" t="e">
        <f t="shared" si="237"/>
        <v>#REF!</v>
      </c>
      <c r="BM46" s="298">
        <f t="shared" si="238"/>
        <v>15.4347826086956</v>
      </c>
      <c r="BN46" s="298"/>
      <c r="BO46" s="298" t="e">
        <f t="shared" si="239"/>
        <v>#REF!</v>
      </c>
      <c r="BP46" s="298">
        <f t="shared" si="240"/>
        <v>15.4347826086956</v>
      </c>
      <c r="BQ46" s="298"/>
      <c r="BR46" s="298" t="e">
        <f t="shared" si="241"/>
        <v>#REF!</v>
      </c>
      <c r="BS46" s="298">
        <f t="shared" si="242"/>
        <v>15.4347826086956</v>
      </c>
      <c r="BT46" s="298"/>
      <c r="BU46" s="298" t="e">
        <f t="shared" si="243"/>
        <v>#REF!</v>
      </c>
      <c r="BV46" s="298">
        <f t="shared" si="244"/>
        <v>9.26086956521739</v>
      </c>
      <c r="BW46" s="298"/>
      <c r="BX46" s="298" t="e">
        <f t="shared" si="245"/>
        <v>#REF!</v>
      </c>
    </row>
    <row r="47" ht="17.0">
      <c r="A47" s="296" t="s">
        <v>32</v>
      </c>
      <c r="B47" s="296" t="s">
        <v>81</v>
      </c>
      <c r="C47" s="296" t="s">
        <v>90</v>
      </c>
      <c r="D47" s="297">
        <v>43006.0</v>
      </c>
      <c r="F47" s="296">
        <v>27.0</v>
      </c>
      <c r="G47" s="296">
        <v>39.0</v>
      </c>
      <c r="H47" s="296">
        <v>26.0</v>
      </c>
      <c r="I47" s="296">
        <v>27.0</v>
      </c>
      <c r="J47" s="296">
        <v>15.0</v>
      </c>
      <c r="K47" s="296">
        <v>15.0</v>
      </c>
      <c r="L47" s="296">
        <v>15.0</v>
      </c>
      <c r="M47" s="296">
        <v>18.0</v>
      </c>
      <c r="N47" s="296">
        <v>34.0</v>
      </c>
      <c r="O47" s="296">
        <v>12.0</v>
      </c>
      <c r="P47" s="296">
        <v>21.0</v>
      </c>
      <c r="Q47" s="296">
        <v>15.0</v>
      </c>
      <c r="R47" s="296">
        <v>14.0</v>
      </c>
      <c r="S47" s="296">
        <v>3.0</v>
      </c>
      <c r="T47" s="296">
        <v>26.0</v>
      </c>
      <c r="U47" s="296">
        <v>21.0</v>
      </c>
      <c r="V47" s="296">
        <v>12.0</v>
      </c>
      <c r="W47" s="296">
        <v>27.0</v>
      </c>
      <c r="X47" s="296">
        <v>15.0</v>
      </c>
      <c r="Y47" s="296">
        <v>15.0</v>
      </c>
      <c r="Z47" s="296">
        <v>15.0</v>
      </c>
      <c r="AA47" s="296">
        <v>27.0</v>
      </c>
      <c r="AB47" s="296">
        <v>9.0</v>
      </c>
      <c r="AC47" s="296">
        <v>6.0</v>
      </c>
      <c r="AD47" s="296">
        <v>18.0</v>
      </c>
      <c r="AE47" s="296">
        <v>6.0</v>
      </c>
      <c r="AF47" s="296">
        <v>12.0</v>
      </c>
      <c r="AG47" s="296">
        <v>12.0</v>
      </c>
      <c r="AH47" s="296">
        <v>6.0</v>
      </c>
      <c r="AI47" s="296">
        <v>3.0</v>
      </c>
      <c r="AJ47" s="296">
        <v>15.0</v>
      </c>
      <c r="AK47" s="296">
        <v>9.0</v>
      </c>
      <c r="AL47" s="296">
        <v>9.0</v>
      </c>
      <c r="AM47" s="296">
        <v>9.0</v>
      </c>
      <c r="AN47" s="296">
        <v>9.0</v>
      </c>
      <c r="AO47" s="298">
        <f t="shared" si="3"/>
        <v>114.0</v>
      </c>
      <c r="AP47" s="298">
        <f t="shared" si="4"/>
        <v>54.0</v>
      </c>
      <c r="AQ47" s="298">
        <f t="shared" si="5"/>
        <v>59.4</v>
      </c>
      <c r="AR47" s="130">
        <f>AQ47*$AR$4/$AQ$4</f>
        <v>9.391304347826</v>
      </c>
      <c r="AS47" s="130">
        <f>AQ47*$AS$4/$AQ$4</f>
        <v>11.7391304347826</v>
      </c>
      <c r="AT47" s="130">
        <f>AQ47*$AT$4/$AQ$4</f>
        <v>11.7391304347826</v>
      </c>
      <c r="AU47" s="130">
        <f>AQ47*$AU$4/$AQ$4</f>
        <v>11.7391304347826</v>
      </c>
      <c r="AV47" s="130">
        <f>AQ47*$AV$4/$AQ$4</f>
        <v>11.7391304347826</v>
      </c>
      <c r="AW47" s="130">
        <f>AQ47*$AW$4/$AQ$4</f>
        <v>7.04347826086957</v>
      </c>
      <c r="AX47" s="130">
        <f t="shared" si="12"/>
        <v>63.391304347826</v>
      </c>
      <c r="AY47" s="23" t="e">
        <f t="shared" si="13"/>
        <v>#REF!</v>
      </c>
      <c r="BB47" s="298" t="e">
        <f t="shared" si="14"/>
        <v>#REF!</v>
      </c>
      <c r="BE47" s="130" t="s">
        <v>355</v>
      </c>
      <c r="BF47" s="130" t="e">
        <f t="shared" si="233"/>
        <v>#REF!</v>
      </c>
      <c r="BG47" s="130">
        <f t="shared" si="234"/>
        <v>9.391304347826</v>
      </c>
      <c r="BI47" s="298" t="e">
        <f t="shared" si="235"/>
        <v>#REF!</v>
      </c>
      <c r="BJ47" s="298">
        <f t="shared" si="236"/>
        <v>11.7391304347826</v>
      </c>
      <c r="BK47" s="298"/>
      <c r="BL47" s="298" t="e">
        <f t="shared" si="237"/>
        <v>#REF!</v>
      </c>
      <c r="BM47" s="298">
        <f t="shared" si="238"/>
        <v>11.7391304347826</v>
      </c>
      <c r="BN47" s="298"/>
      <c r="BO47" s="298" t="e">
        <f t="shared" si="239"/>
        <v>#REF!</v>
      </c>
      <c r="BP47" s="298">
        <f t="shared" si="240"/>
        <v>11.7391304347826</v>
      </c>
      <c r="BQ47" s="298"/>
      <c r="BR47" s="298" t="e">
        <f t="shared" si="241"/>
        <v>#REF!</v>
      </c>
      <c r="BS47" s="298">
        <f t="shared" si="242"/>
        <v>11.7391304347826</v>
      </c>
      <c r="BT47" s="298"/>
      <c r="BU47" s="298" t="e">
        <f t="shared" si="243"/>
        <v>#REF!</v>
      </c>
      <c r="BV47" s="298">
        <f t="shared" si="244"/>
        <v>7.04347826086957</v>
      </c>
      <c r="BW47" s="298"/>
      <c r="BX47" s="298" t="e">
        <f t="shared" si="245"/>
        <v>#REF!</v>
      </c>
      <c r="BZ47" s="23" t="e">
        <f>BX47*-1</f>
        <v>#REF!</v>
      </c>
      <c r="CA47" s="300" t="e">
        <f>BZ47/6</f>
        <v>#REF!</v>
      </c>
      <c r="CB47" s="130" t="e">
        <f>ROUNDUP(CA47,0)</f>
        <v>#REF!</v>
      </c>
      <c r="CC47" s="23" t="e">
        <f>CB47*6</f>
        <v>#REF!</v>
      </c>
    </row>
    <row r="48" ht="17.0">
      <c r="A48" s="296" t="s">
        <v>32</v>
      </c>
      <c r="B48" s="296" t="s">
        <v>81</v>
      </c>
      <c r="C48" s="303" t="s">
        <v>96</v>
      </c>
      <c r="D48" s="297">
        <v>43034.0</v>
      </c>
      <c r="F48" s="296">
        <v>0.0</v>
      </c>
      <c r="G48" s="296">
        <v>0.0</v>
      </c>
      <c r="H48" s="296">
        <v>0.0</v>
      </c>
      <c r="I48" s="296">
        <v>0.0</v>
      </c>
      <c r="J48" s="296">
        <v>0.0</v>
      </c>
      <c r="K48" s="296">
        <v>0.0</v>
      </c>
      <c r="L48" s="296">
        <v>0.0</v>
      </c>
      <c r="M48" s="296">
        <v>0.0</v>
      </c>
      <c r="N48" s="296">
        <v>0.0</v>
      </c>
      <c r="O48" s="296">
        <v>0.0</v>
      </c>
      <c r="P48" s="296">
        <v>0.0</v>
      </c>
      <c r="Q48" s="296">
        <v>0.0</v>
      </c>
      <c r="R48" s="296">
        <v>0.0</v>
      </c>
      <c r="S48" s="296">
        <v>0.0</v>
      </c>
      <c r="T48" s="296">
        <v>0.0</v>
      </c>
      <c r="U48" s="296">
        <v>0.0</v>
      </c>
      <c r="V48" s="296">
        <v>0.0</v>
      </c>
      <c r="W48" s="296">
        <v>0.0</v>
      </c>
      <c r="X48" s="296">
        <v>0.0</v>
      </c>
      <c r="Y48" s="296">
        <v>0.0</v>
      </c>
      <c r="Z48" s="296">
        <v>0.0</v>
      </c>
      <c r="AA48" s="296">
        <v>3.0</v>
      </c>
      <c r="AB48" s="296">
        <v>6.0</v>
      </c>
      <c r="AC48" s="296">
        <v>3.0</v>
      </c>
      <c r="AD48" s="296">
        <v>3.0</v>
      </c>
      <c r="AE48" s="296">
        <v>6.0</v>
      </c>
      <c r="AF48" s="296">
        <v>2.0</v>
      </c>
      <c r="AG48" s="296">
        <v>3.0</v>
      </c>
      <c r="AH48" s="296">
        <v>0.0</v>
      </c>
      <c r="AI48" s="296">
        <v>0.0</v>
      </c>
      <c r="AJ48" s="296">
        <v>0.0</v>
      </c>
      <c r="AK48" s="296">
        <v>3.0</v>
      </c>
      <c r="AL48" s="296">
        <v>0.0</v>
      </c>
      <c r="AM48" s="296">
        <v>3.0</v>
      </c>
      <c r="AN48" s="296">
        <v>6.0</v>
      </c>
      <c r="AO48" s="298">
        <f t="shared" si="3"/>
        <v>29.0</v>
      </c>
      <c r="AP48" s="298">
        <f t="shared" si="4"/>
        <v>12.0</v>
      </c>
      <c r="AQ48" s="298">
        <f t="shared" si="5"/>
        <v>13.2</v>
      </c>
      <c r="AR48" s="130">
        <f t="shared" ref="AR48:AR49" si="266">AQ48*$AR$4/$AQ$4+2*$AR$44</f>
        <v>7.65217391304347</v>
      </c>
      <c r="AS48" s="130">
        <f t="shared" ref="AS48:AS49" si="267">AQ48*$AS$4/$AQ$4+2*$AS$44</f>
        <v>9.56521739130433</v>
      </c>
      <c r="AT48" s="130">
        <f t="shared" ref="AT48:AT49" si="268">AQ48*$AT$4/$AQ$4+2*$AT$44</f>
        <v>9.56521739130433</v>
      </c>
      <c r="AU48" s="130">
        <f t="shared" ref="AU48:AU49" si="269">AQ48*$AU$4/$AQ$4+2*$AU$44</f>
        <v>9.56521739130433</v>
      </c>
      <c r="AV48" s="130">
        <f t="shared" ref="AV48:AV49" si="270">AQ48*$AV$4/$AQ$4+2*$AV$44</f>
        <v>9.56521739130433</v>
      </c>
      <c r="AW48" s="130">
        <f t="shared" ref="AW48:AW49" si="271">AQ48*$AW$4/$AQ$4+2*$AW$44</f>
        <v>5.7391304347826</v>
      </c>
      <c r="AX48" s="130">
        <f t="shared" si="12"/>
        <v>51.6521739130433</v>
      </c>
      <c r="AY48" s="23" t="e">
        <f t="shared" si="13"/>
        <v>#REF!</v>
      </c>
      <c r="BB48" s="298" t="e">
        <f t="shared" si="14"/>
        <v>#REF!</v>
      </c>
      <c r="BF48" s="130" t="e">
        <f t="shared" si="233"/>
        <v>#REF!</v>
      </c>
      <c r="BG48" s="130">
        <f t="shared" si="234"/>
        <v>7.65217391304347</v>
      </c>
      <c r="BI48" s="298" t="e">
        <f t="shared" si="235"/>
        <v>#REF!</v>
      </c>
      <c r="BJ48" s="298">
        <f t="shared" si="236"/>
        <v>9.56521739130433</v>
      </c>
      <c r="BK48" s="298"/>
      <c r="BL48" s="298" t="e">
        <f t="shared" si="237"/>
        <v>#REF!</v>
      </c>
      <c r="BM48" s="298">
        <f t="shared" si="238"/>
        <v>9.56521739130433</v>
      </c>
      <c r="BN48" s="298"/>
      <c r="BO48" s="298" t="e">
        <f t="shared" si="239"/>
        <v>#REF!</v>
      </c>
      <c r="BP48" s="298">
        <f t="shared" si="240"/>
        <v>9.56521739130433</v>
      </c>
      <c r="BQ48" s="298"/>
      <c r="BR48" s="298" t="e">
        <f t="shared" si="241"/>
        <v>#REF!</v>
      </c>
      <c r="BS48" s="298">
        <f t="shared" si="242"/>
        <v>9.56521739130433</v>
      </c>
      <c r="BT48" s="298"/>
      <c r="BU48" s="298" t="e">
        <f t="shared" si="243"/>
        <v>#REF!</v>
      </c>
      <c r="BV48" s="298">
        <f t="shared" si="244"/>
        <v>5.7391304347826</v>
      </c>
      <c r="BW48" s="298"/>
      <c r="BX48" s="298" t="e">
        <f t="shared" si="245"/>
        <v>#REF!</v>
      </c>
    </row>
    <row r="49" ht="17.0">
      <c r="A49" s="296" t="s">
        <v>32</v>
      </c>
      <c r="B49" s="296" t="s">
        <v>81</v>
      </c>
      <c r="C49" s="303" t="s">
        <v>95</v>
      </c>
      <c r="D49" s="297">
        <v>43033.0</v>
      </c>
      <c r="F49" s="296">
        <v>0.0</v>
      </c>
      <c r="G49" s="296">
        <v>0.0</v>
      </c>
      <c r="H49" s="296">
        <v>0.0</v>
      </c>
      <c r="I49" s="296">
        <v>0.0</v>
      </c>
      <c r="J49" s="296">
        <v>0.0</v>
      </c>
      <c r="K49" s="296">
        <v>0.0</v>
      </c>
      <c r="L49" s="296">
        <v>0.0</v>
      </c>
      <c r="M49" s="296">
        <v>0.0</v>
      </c>
      <c r="N49" s="296">
        <v>0.0</v>
      </c>
      <c r="O49" s="296">
        <v>0.0</v>
      </c>
      <c r="P49" s="296">
        <v>0.0</v>
      </c>
      <c r="Q49" s="296">
        <v>0.0</v>
      </c>
      <c r="R49" s="296">
        <v>0.0</v>
      </c>
      <c r="S49" s="296">
        <v>0.0</v>
      </c>
      <c r="T49" s="296">
        <v>0.0</v>
      </c>
      <c r="U49" s="296">
        <v>0.0</v>
      </c>
      <c r="V49" s="296">
        <v>0.0</v>
      </c>
      <c r="W49" s="296">
        <v>0.0</v>
      </c>
      <c r="X49" s="296">
        <v>0.0</v>
      </c>
      <c r="Y49" s="296">
        <v>0.0</v>
      </c>
      <c r="Z49" s="296">
        <v>0.0</v>
      </c>
      <c r="AA49" s="296">
        <v>3.0</v>
      </c>
      <c r="AB49" s="296">
        <v>3.0</v>
      </c>
      <c r="AC49" s="296">
        <v>0.0</v>
      </c>
      <c r="AD49" s="296">
        <v>0.0</v>
      </c>
      <c r="AE49" s="296">
        <v>9.0</v>
      </c>
      <c r="AF49" s="296">
        <v>3.0</v>
      </c>
      <c r="AG49" s="296">
        <v>3.0</v>
      </c>
      <c r="AH49" s="296">
        <v>3.0</v>
      </c>
      <c r="AI49" s="296">
        <v>0.0</v>
      </c>
      <c r="AJ49" s="296">
        <v>0.0</v>
      </c>
      <c r="AK49" s="296">
        <v>0.0</v>
      </c>
      <c r="AL49" s="296">
        <v>3.0</v>
      </c>
      <c r="AM49" s="296">
        <v>0.0</v>
      </c>
      <c r="AN49" s="296">
        <v>3.0</v>
      </c>
      <c r="AO49" s="298">
        <f t="shared" si="3"/>
        <v>24.0</v>
      </c>
      <c r="AP49" s="298">
        <f t="shared" si="4"/>
        <v>6.0</v>
      </c>
      <c r="AQ49" s="298">
        <f t="shared" si="5"/>
        <v>6.6</v>
      </c>
      <c r="AR49" s="130">
        <f t="shared" si="266"/>
        <v>6.6086956521739</v>
      </c>
      <c r="AS49" s="130">
        <f t="shared" si="267"/>
        <v>8.26086956521738</v>
      </c>
      <c r="AT49" s="130">
        <f t="shared" si="268"/>
        <v>8.26086956521738</v>
      </c>
      <c r="AU49" s="130">
        <f t="shared" si="269"/>
        <v>8.26086956521738</v>
      </c>
      <c r="AV49" s="130">
        <f t="shared" si="270"/>
        <v>8.26086956521738</v>
      </c>
      <c r="AW49" s="130">
        <f t="shared" si="271"/>
        <v>4.95652173913043</v>
      </c>
      <c r="AX49" s="130">
        <f t="shared" si="12"/>
        <v>44.6086956521739</v>
      </c>
      <c r="AY49" s="23" t="e">
        <f t="shared" si="13"/>
        <v>#REF!</v>
      </c>
      <c r="BB49" s="298" t="e">
        <f t="shared" si="14"/>
        <v>#REF!</v>
      </c>
      <c r="BF49" s="130" t="e">
        <f t="shared" si="233"/>
        <v>#REF!</v>
      </c>
      <c r="BG49" s="130">
        <f t="shared" si="234"/>
        <v>6.6086956521739</v>
      </c>
      <c r="BI49" s="298" t="e">
        <f t="shared" si="235"/>
        <v>#REF!</v>
      </c>
      <c r="BJ49" s="298">
        <f t="shared" si="236"/>
        <v>8.26086956521738</v>
      </c>
      <c r="BK49" s="298"/>
      <c r="BL49" s="298" t="e">
        <f t="shared" si="237"/>
        <v>#REF!</v>
      </c>
      <c r="BM49" s="298">
        <f t="shared" si="238"/>
        <v>8.26086956521738</v>
      </c>
      <c r="BN49" s="298"/>
      <c r="BO49" s="298" t="e">
        <f t="shared" si="239"/>
        <v>#REF!</v>
      </c>
      <c r="BP49" s="298">
        <f t="shared" si="240"/>
        <v>8.26086956521738</v>
      </c>
      <c r="BQ49" s="298"/>
      <c r="BR49" s="298" t="e">
        <f t="shared" si="241"/>
        <v>#REF!</v>
      </c>
      <c r="BS49" s="298">
        <f t="shared" si="242"/>
        <v>8.26086956521738</v>
      </c>
      <c r="BT49" s="298"/>
      <c r="BU49" s="298" t="e">
        <f t="shared" si="243"/>
        <v>#REF!</v>
      </c>
      <c r="BV49" s="298">
        <f t="shared" si="244"/>
        <v>4.95652173913043</v>
      </c>
      <c r="BW49" s="298"/>
      <c r="BX49" s="298" t="e">
        <f t="shared" si="245"/>
        <v>#REF!</v>
      </c>
    </row>
    <row r="50" ht="17.0">
      <c r="A50" s="296" t="s">
        <v>32</v>
      </c>
      <c r="B50" s="296" t="s">
        <v>81</v>
      </c>
      <c r="C50" s="296" t="s">
        <v>92</v>
      </c>
      <c r="D50" s="297">
        <v>43011.0</v>
      </c>
      <c r="F50" s="296">
        <v>30.0</v>
      </c>
      <c r="G50" s="296">
        <v>39.0</v>
      </c>
      <c r="H50" s="296">
        <v>19.0</v>
      </c>
      <c r="I50" s="296">
        <v>39.0</v>
      </c>
      <c r="J50" s="296">
        <v>0.0</v>
      </c>
      <c r="K50" s="296">
        <v>18.0</v>
      </c>
      <c r="L50" s="296">
        <v>30.0</v>
      </c>
      <c r="M50" s="296">
        <v>15.0</v>
      </c>
      <c r="N50" s="296">
        <v>45.0</v>
      </c>
      <c r="O50" s="296">
        <v>3.0</v>
      </c>
      <c r="P50" s="296">
        <v>30.0</v>
      </c>
      <c r="Q50" s="296">
        <v>18.0</v>
      </c>
      <c r="R50" s="296">
        <v>13.0</v>
      </c>
      <c r="S50" s="296">
        <v>18.0</v>
      </c>
      <c r="T50" s="296">
        <v>18.0</v>
      </c>
      <c r="U50" s="296">
        <v>24.0</v>
      </c>
      <c r="V50" s="296">
        <v>15.0</v>
      </c>
      <c r="W50" s="296">
        <v>18.0</v>
      </c>
      <c r="X50" s="296">
        <v>18.0</v>
      </c>
      <c r="Y50" s="296">
        <v>3.0</v>
      </c>
      <c r="Z50" s="296">
        <v>9.0</v>
      </c>
      <c r="AA50" s="296">
        <v>24.0</v>
      </c>
      <c r="AB50" s="296">
        <v>9.0</v>
      </c>
      <c r="AC50" s="296">
        <v>15.0</v>
      </c>
      <c r="AD50" s="296">
        <v>3.0</v>
      </c>
      <c r="AE50" s="296">
        <v>9.0</v>
      </c>
      <c r="AF50" s="296">
        <v>7.0</v>
      </c>
      <c r="AG50" s="296">
        <v>15.0</v>
      </c>
      <c r="AH50" s="296">
        <v>9.0</v>
      </c>
      <c r="AI50" s="296">
        <v>3.0</v>
      </c>
      <c r="AJ50" s="296">
        <v>15.0</v>
      </c>
      <c r="AK50" s="296">
        <v>3.0</v>
      </c>
      <c r="AL50" s="296">
        <v>12.0</v>
      </c>
      <c r="AM50" s="296">
        <v>3.0</v>
      </c>
      <c r="AN50" s="296">
        <v>12.0</v>
      </c>
      <c r="AO50" s="298">
        <f t="shared" si="3"/>
        <v>106.0</v>
      </c>
      <c r="AP50" s="298">
        <f t="shared" si="4"/>
        <v>48.0</v>
      </c>
      <c r="AQ50" s="298">
        <f t="shared" si="5"/>
        <v>52.8</v>
      </c>
      <c r="AR50" s="130">
        <f>AQ50*$AR$4/$AQ$4</f>
        <v>8.34782608695652</v>
      </c>
      <c r="AS50" s="130">
        <f>AQ50*$AS$4/$AQ$4</f>
        <v>10.4347826086957</v>
      </c>
      <c r="AT50" s="130">
        <f>AQ50*$AT$4/$AQ$4</f>
        <v>10.4347826086957</v>
      </c>
      <c r="AU50" s="130">
        <f>AQ50*$AU$4/$AQ$4</f>
        <v>10.4347826086957</v>
      </c>
      <c r="AV50" s="130">
        <f>AQ50*$AV$4/$AQ$4</f>
        <v>10.4347826086957</v>
      </c>
      <c r="AW50" s="130">
        <f>AQ50*$AW$4/$AQ$4</f>
        <v>6.26086956521739</v>
      </c>
      <c r="AX50" s="130">
        <f t="shared" si="12"/>
        <v>56.3478260869567</v>
      </c>
      <c r="AY50" s="23" t="e">
        <f t="shared" si="13"/>
        <v>#REF!</v>
      </c>
      <c r="BB50" s="298" t="e">
        <f t="shared" si="14"/>
        <v>#REF!</v>
      </c>
      <c r="BE50" s="130" t="s">
        <v>350</v>
      </c>
      <c r="BF50" s="130" t="e">
        <f t="shared" si="233"/>
        <v>#REF!</v>
      </c>
      <c r="BG50" s="130">
        <f t="shared" si="234"/>
        <v>8.34782608695652</v>
      </c>
      <c r="BI50" s="298" t="e">
        <f t="shared" si="235"/>
        <v>#REF!</v>
      </c>
      <c r="BJ50" s="298">
        <f t="shared" si="236"/>
        <v>10.4347826086957</v>
      </c>
      <c r="BK50" s="298"/>
      <c r="BL50" s="298" t="e">
        <f t="shared" si="237"/>
        <v>#REF!</v>
      </c>
      <c r="BM50" s="298">
        <f t="shared" si="238"/>
        <v>10.4347826086957</v>
      </c>
      <c r="BN50" s="298"/>
      <c r="BO50" s="298" t="e">
        <f t="shared" si="239"/>
        <v>#REF!</v>
      </c>
      <c r="BP50" s="298">
        <f t="shared" si="240"/>
        <v>10.4347826086957</v>
      </c>
      <c r="BQ50" s="298"/>
      <c r="BR50" s="298" t="e">
        <f t="shared" si="241"/>
        <v>#REF!</v>
      </c>
      <c r="BS50" s="298">
        <f t="shared" si="242"/>
        <v>10.4347826086957</v>
      </c>
      <c r="BT50" s="298"/>
      <c r="BU50" s="298" t="e">
        <f t="shared" si="243"/>
        <v>#REF!</v>
      </c>
      <c r="BV50" s="298">
        <f t="shared" si="244"/>
        <v>6.26086956521739</v>
      </c>
      <c r="BW50" s="298"/>
      <c r="BX50" s="298" t="e">
        <f t="shared" si="245"/>
        <v>#REF!</v>
      </c>
      <c r="BZ50" s="23" t="e">
        <f>BX50*-1</f>
        <v>#REF!</v>
      </c>
      <c r="CA50" s="300" t="e">
        <f>BZ50/6</f>
        <v>#REF!</v>
      </c>
      <c r="CB50" s="130" t="e">
        <f>ROUNDUP(CA50,0)</f>
        <v>#REF!</v>
      </c>
      <c r="CC50" s="23" t="e">
        <f>CB50*6</f>
        <v>#REF!</v>
      </c>
    </row>
    <row r="51" ht="17.0">
      <c r="A51" s="296" t="s">
        <v>32</v>
      </c>
      <c r="B51" s="296" t="s">
        <v>81</v>
      </c>
      <c r="C51" s="303" t="s">
        <v>94</v>
      </c>
      <c r="D51" s="297">
        <v>43032.0</v>
      </c>
      <c r="F51" s="296">
        <v>0.0</v>
      </c>
      <c r="G51" s="296">
        <v>0.0</v>
      </c>
      <c r="H51" s="296">
        <v>0.0</v>
      </c>
      <c r="I51" s="296">
        <v>0.0</v>
      </c>
      <c r="J51" s="296">
        <v>0.0</v>
      </c>
      <c r="K51" s="296">
        <v>0.0</v>
      </c>
      <c r="L51" s="296">
        <v>0.0</v>
      </c>
      <c r="M51" s="296">
        <v>0.0</v>
      </c>
      <c r="N51" s="296">
        <v>0.0</v>
      </c>
      <c r="O51" s="296">
        <v>0.0</v>
      </c>
      <c r="P51" s="296">
        <v>0.0</v>
      </c>
      <c r="Q51" s="296">
        <v>0.0</v>
      </c>
      <c r="R51" s="296">
        <v>0.0</v>
      </c>
      <c r="S51" s="296">
        <v>0.0</v>
      </c>
      <c r="T51" s="296">
        <v>0.0</v>
      </c>
      <c r="U51" s="296">
        <v>0.0</v>
      </c>
      <c r="V51" s="296">
        <v>0.0</v>
      </c>
      <c r="W51" s="296">
        <v>0.0</v>
      </c>
      <c r="X51" s="296">
        <v>0.0</v>
      </c>
      <c r="Y51" s="296">
        <v>0.0</v>
      </c>
      <c r="Z51" s="296">
        <v>0.0</v>
      </c>
      <c r="AA51" s="296">
        <v>0.0</v>
      </c>
      <c r="AB51" s="296">
        <v>0.0</v>
      </c>
      <c r="AC51" s="296">
        <v>0.0</v>
      </c>
      <c r="AD51" s="296">
        <v>3.0</v>
      </c>
      <c r="AE51" s="296">
        <v>6.0</v>
      </c>
      <c r="AF51" s="296">
        <v>0.0</v>
      </c>
      <c r="AG51" s="296">
        <v>3.0</v>
      </c>
      <c r="AH51" s="296">
        <v>0.0</v>
      </c>
      <c r="AI51" s="296">
        <v>0.0</v>
      </c>
      <c r="AJ51" s="296">
        <v>3.0</v>
      </c>
      <c r="AK51" s="296">
        <v>9.0</v>
      </c>
      <c r="AL51" s="296">
        <v>0.0</v>
      </c>
      <c r="AM51" s="296">
        <v>0.0</v>
      </c>
      <c r="AN51" s="296">
        <v>6.0</v>
      </c>
      <c r="AO51" s="298">
        <f t="shared" si="3"/>
        <v>30.0</v>
      </c>
      <c r="AP51" s="298">
        <f t="shared" si="4"/>
        <v>18.0</v>
      </c>
      <c r="AQ51" s="298">
        <f t="shared" si="5"/>
        <v>19.8</v>
      </c>
      <c r="AR51" s="130">
        <f>AQ51*$AR$4/$AQ$4+2*$AR$44</f>
        <v>8.69565217391304</v>
      </c>
      <c r="AS51" s="130">
        <f>AQ51*$AS$4/$AQ$4+2*$AS$44</f>
        <v>10.8695652173912</v>
      </c>
      <c r="AT51" s="130">
        <f>AQ51*$AT$4/$AQ$4+2*$AT$44</f>
        <v>10.8695652173912</v>
      </c>
      <c r="AU51" s="130">
        <f>AQ51*$AU$4/$AQ$4+2*$AU$44</f>
        <v>10.8695652173912</v>
      </c>
      <c r="AV51" s="130">
        <f>AQ51*$AV$4/$AQ$4+2*$AV$44</f>
        <v>10.8695652173912</v>
      </c>
      <c r="AW51" s="130">
        <f>AQ51*$AW$4/$AQ$4+2*$AW$44</f>
        <v>6.52173913043478</v>
      </c>
      <c r="AX51" s="130">
        <f t="shared" si="12"/>
        <v>58.6956521739126</v>
      </c>
      <c r="AY51" s="23" t="e">
        <f t="shared" si="13"/>
        <v>#REF!</v>
      </c>
      <c r="BB51" s="298" t="e">
        <f t="shared" si="14"/>
        <v>#REF!</v>
      </c>
      <c r="BF51" s="130" t="e">
        <f t="shared" si="233"/>
        <v>#REF!</v>
      </c>
      <c r="BG51" s="130">
        <f t="shared" si="234"/>
        <v>8.69565217391304</v>
      </c>
      <c r="BI51" s="298" t="e">
        <f t="shared" si="235"/>
        <v>#REF!</v>
      </c>
      <c r="BJ51" s="298">
        <f t="shared" si="236"/>
        <v>10.8695652173912</v>
      </c>
      <c r="BK51" s="298"/>
      <c r="BL51" s="298" t="e">
        <f t="shared" si="237"/>
        <v>#REF!</v>
      </c>
      <c r="BM51" s="298">
        <f t="shared" si="238"/>
        <v>10.8695652173912</v>
      </c>
      <c r="BN51" s="298"/>
      <c r="BO51" s="298" t="e">
        <f t="shared" si="239"/>
        <v>#REF!</v>
      </c>
      <c r="BP51" s="298">
        <f t="shared" si="240"/>
        <v>10.8695652173912</v>
      </c>
      <c r="BQ51" s="298"/>
      <c r="BR51" s="298" t="e">
        <f t="shared" si="241"/>
        <v>#REF!</v>
      </c>
      <c r="BS51" s="298">
        <f t="shared" si="242"/>
        <v>10.8695652173912</v>
      </c>
      <c r="BT51" s="298"/>
      <c r="BU51" s="298" t="e">
        <f t="shared" si="243"/>
        <v>#REF!</v>
      </c>
      <c r="BV51" s="298">
        <f t="shared" si="244"/>
        <v>6.52173913043478</v>
      </c>
      <c r="BW51" s="298"/>
      <c r="BX51" s="298" t="e">
        <f t="shared" si="245"/>
        <v>#REF!</v>
      </c>
    </row>
    <row r="52" ht="17.0">
      <c r="A52" s="296" t="s">
        <v>32</v>
      </c>
      <c r="B52" s="296" t="s">
        <v>81</v>
      </c>
      <c r="C52" s="296" t="s">
        <v>91</v>
      </c>
      <c r="D52" s="297">
        <v>43010.0</v>
      </c>
      <c r="F52" s="296">
        <v>39.0</v>
      </c>
      <c r="G52" s="296">
        <v>39.0</v>
      </c>
      <c r="H52" s="296">
        <v>20.0</v>
      </c>
      <c r="I52" s="296">
        <v>15.0</v>
      </c>
      <c r="J52" s="296">
        <v>15.0</v>
      </c>
      <c r="K52" s="296">
        <v>18.0</v>
      </c>
      <c r="L52" s="296">
        <v>24.0</v>
      </c>
      <c r="M52" s="296">
        <v>21.0</v>
      </c>
      <c r="N52" s="296">
        <v>36.0</v>
      </c>
      <c r="O52" s="296">
        <v>9.0</v>
      </c>
      <c r="P52" s="296">
        <v>21.0</v>
      </c>
      <c r="Q52" s="296">
        <v>18.0</v>
      </c>
      <c r="R52" s="296">
        <v>17.0</v>
      </c>
      <c r="S52" s="296">
        <v>6.0</v>
      </c>
      <c r="T52" s="296">
        <v>15.0</v>
      </c>
      <c r="U52" s="296">
        <v>24.0</v>
      </c>
      <c r="V52" s="296">
        <v>15.0</v>
      </c>
      <c r="W52" s="296">
        <v>21.0</v>
      </c>
      <c r="X52" s="296">
        <v>18.0</v>
      </c>
      <c r="Y52" s="296">
        <v>9.0</v>
      </c>
      <c r="Z52" s="296">
        <v>12.0</v>
      </c>
      <c r="AA52" s="296">
        <v>18.0</v>
      </c>
      <c r="AB52" s="296">
        <v>9.0</v>
      </c>
      <c r="AC52" s="296">
        <v>12.0</v>
      </c>
      <c r="AD52" s="296">
        <v>24.0</v>
      </c>
      <c r="AE52" s="296">
        <v>18.0</v>
      </c>
      <c r="AF52" s="296">
        <v>11.0</v>
      </c>
      <c r="AG52" s="296">
        <v>18.0</v>
      </c>
      <c r="AH52" s="296">
        <v>15.0</v>
      </c>
      <c r="AI52" s="296">
        <v>6.0</v>
      </c>
      <c r="AJ52" s="296">
        <v>15.0</v>
      </c>
      <c r="AK52" s="296">
        <v>3.0</v>
      </c>
      <c r="AL52" s="296">
        <v>9.0</v>
      </c>
      <c r="AM52" s="296">
        <v>6.0</v>
      </c>
      <c r="AN52" s="296">
        <v>9.0</v>
      </c>
      <c r="AO52" s="298">
        <f t="shared" si="3"/>
        <v>146.0</v>
      </c>
      <c r="AP52" s="298">
        <f t="shared" si="4"/>
        <v>48.0</v>
      </c>
      <c r="AQ52" s="298">
        <f t="shared" si="5"/>
        <v>52.8</v>
      </c>
      <c r="AR52" s="130">
        <f t="shared" ref="AR52:AR53" si="288">AQ52*$AR$4/$AQ$4</f>
        <v>8.34782608695652</v>
      </c>
      <c r="AS52" s="130">
        <f t="shared" ref="AS52:AS53" si="289">AQ52*$AS$4/$AQ$4</f>
        <v>10.4347826086957</v>
      </c>
      <c r="AT52" s="130">
        <f t="shared" ref="AT52:AT53" si="290">AQ52*$AT$4/$AQ$4</f>
        <v>10.4347826086957</v>
      </c>
      <c r="AU52" s="130">
        <f t="shared" ref="AU52:AU53" si="291">AQ52*$AU$4/$AQ$4</f>
        <v>10.4347826086957</v>
      </c>
      <c r="AV52" s="130">
        <f t="shared" ref="AV52:AV53" si="292">AQ52*$AV$4/$AQ$4</f>
        <v>10.4347826086957</v>
      </c>
      <c r="AW52" s="130">
        <f t="shared" ref="AW52:AW53" si="293">AQ52*$AW$4/$AQ$4</f>
        <v>6.26086956521739</v>
      </c>
      <c r="AX52" s="130">
        <f t="shared" si="12"/>
        <v>56.3478260869567</v>
      </c>
      <c r="AY52" s="23" t="e">
        <f t="shared" si="13"/>
        <v>#REF!</v>
      </c>
      <c r="BB52" s="298" t="e">
        <f t="shared" si="14"/>
        <v>#REF!</v>
      </c>
      <c r="BE52" s="130" t="s">
        <v>255</v>
      </c>
      <c r="BF52" s="130" t="e">
        <f t="shared" si="233"/>
        <v>#REF!</v>
      </c>
      <c r="BG52" s="130">
        <f t="shared" si="234"/>
        <v>8.34782608695652</v>
      </c>
      <c r="BI52" s="298" t="e">
        <f t="shared" si="235"/>
        <v>#REF!</v>
      </c>
      <c r="BJ52" s="298">
        <f t="shared" si="236"/>
        <v>10.4347826086957</v>
      </c>
      <c r="BK52" s="298"/>
      <c r="BL52" s="298" t="e">
        <f t="shared" si="237"/>
        <v>#REF!</v>
      </c>
      <c r="BM52" s="298">
        <f t="shared" si="238"/>
        <v>10.4347826086957</v>
      </c>
      <c r="BN52" s="298"/>
      <c r="BO52" s="298" t="e">
        <f t="shared" si="239"/>
        <v>#REF!</v>
      </c>
      <c r="BP52" s="298">
        <f t="shared" si="240"/>
        <v>10.4347826086957</v>
      </c>
      <c r="BQ52" s="298"/>
      <c r="BR52" s="298" t="e">
        <f t="shared" si="241"/>
        <v>#REF!</v>
      </c>
      <c r="BS52" s="298">
        <f t="shared" si="242"/>
        <v>10.4347826086957</v>
      </c>
      <c r="BT52" s="298"/>
      <c r="BU52" s="298" t="e">
        <f t="shared" si="243"/>
        <v>#REF!</v>
      </c>
      <c r="BV52" s="298">
        <f t="shared" si="244"/>
        <v>6.26086956521739</v>
      </c>
      <c r="BW52" s="298"/>
      <c r="BX52" s="298" t="e">
        <f t="shared" si="245"/>
        <v>#REF!</v>
      </c>
      <c r="BZ52" s="23" t="e">
        <f>BX52*-1</f>
        <v>#REF!</v>
      </c>
      <c r="CA52" s="300" t="e">
        <f>BZ52/6</f>
        <v>#REF!</v>
      </c>
      <c r="CB52" s="130" t="e">
        <f>ROUNDUP(CA52,0)</f>
        <v>#REF!</v>
      </c>
      <c r="CC52" s="23" t="e">
        <f>CB52*6</f>
        <v>#REF!</v>
      </c>
    </row>
    <row r="53" ht="17.0">
      <c r="A53" s="296" t="s">
        <v>32</v>
      </c>
      <c r="B53" s="296" t="s">
        <v>153</v>
      </c>
      <c r="C53" s="296" t="s">
        <v>154</v>
      </c>
      <c r="D53" s="297" t="s">
        <v>155</v>
      </c>
      <c r="F53" s="296">
        <v>7.0</v>
      </c>
      <c r="G53" s="296">
        <v>8.0</v>
      </c>
      <c r="H53" s="296">
        <v>2.0</v>
      </c>
      <c r="I53" s="296">
        <v>2.0</v>
      </c>
      <c r="J53" s="296">
        <v>1.0</v>
      </c>
      <c r="K53" s="296">
        <v>5.0</v>
      </c>
      <c r="L53" s="296">
        <v>6.0</v>
      </c>
      <c r="M53" s="296">
        <v>3.0</v>
      </c>
      <c r="N53" s="296">
        <v>8.0</v>
      </c>
      <c r="O53" s="296">
        <v>3.0</v>
      </c>
      <c r="P53" s="296">
        <v>1.0</v>
      </c>
      <c r="Q53" s="296">
        <v>9.0</v>
      </c>
      <c r="R53" s="296">
        <v>5.0</v>
      </c>
      <c r="S53" s="296">
        <v>12.0</v>
      </c>
      <c r="T53" s="296">
        <v>11.0</v>
      </c>
      <c r="U53" s="296">
        <v>4.0</v>
      </c>
      <c r="V53" s="296">
        <v>5.0</v>
      </c>
      <c r="W53" s="296">
        <v>4.0</v>
      </c>
      <c r="X53" s="296">
        <v>10.0</v>
      </c>
      <c r="Y53" s="296">
        <v>7.0</v>
      </c>
      <c r="Z53" s="296">
        <v>1.0</v>
      </c>
      <c r="AA53" s="296">
        <v>2.0</v>
      </c>
      <c r="AB53" s="296">
        <v>3.0</v>
      </c>
      <c r="AC53" s="296">
        <v>3.0</v>
      </c>
      <c r="AD53" s="296">
        <v>8.0</v>
      </c>
      <c r="AE53" s="296">
        <v>4.0</v>
      </c>
      <c r="AF53" s="296">
        <v>2.0</v>
      </c>
      <c r="AG53" s="296">
        <v>1.0</v>
      </c>
      <c r="AH53" s="296">
        <v>4.0</v>
      </c>
      <c r="AI53" s="296">
        <v>2.0</v>
      </c>
      <c r="AJ53" s="296">
        <v>3.0</v>
      </c>
      <c r="AK53" s="296">
        <v>0.0</v>
      </c>
      <c r="AL53" s="296">
        <v>0.0</v>
      </c>
      <c r="AM53" s="296">
        <v>0.0</v>
      </c>
      <c r="AN53" s="296">
        <v>4.0</v>
      </c>
      <c r="AO53" s="298">
        <f t="shared" si="3"/>
        <v>31.0</v>
      </c>
      <c r="AP53" s="298">
        <f t="shared" si="4"/>
        <v>9.0</v>
      </c>
      <c r="AQ53" s="298">
        <f t="shared" si="5"/>
        <v>9.9</v>
      </c>
      <c r="AR53" s="299">
        <f t="shared" si="288"/>
        <v>1.56521739130434</v>
      </c>
      <c r="AS53" s="299">
        <f t="shared" si="289"/>
        <v>1.95652173913043</v>
      </c>
      <c r="AT53" s="299">
        <f t="shared" si="290"/>
        <v>1.95652173913043</v>
      </c>
      <c r="AU53" s="299">
        <f t="shared" si="291"/>
        <v>1.95652173913043</v>
      </c>
      <c r="AV53" s="299">
        <f t="shared" si="292"/>
        <v>1.95652173913043</v>
      </c>
      <c r="AW53" s="299">
        <f t="shared" si="293"/>
        <v>1.17391304347826</v>
      </c>
      <c r="AX53" s="130">
        <f t="shared" si="12"/>
        <v>10.5652173913043</v>
      </c>
      <c r="AY53" s="23" t="e">
        <f t="shared" si="13"/>
        <v>#REF!</v>
      </c>
      <c r="BB53" s="298" t="e">
        <f t="shared" si="14"/>
        <v>#REF!</v>
      </c>
      <c r="BI53" s="298"/>
      <c r="BJ53" s="298"/>
      <c r="BK53" s="298"/>
      <c r="BL53" s="298"/>
      <c r="BM53" s="298"/>
      <c r="BN53" s="298"/>
      <c r="BO53" s="298"/>
      <c r="BP53" s="298"/>
      <c r="BQ53" s="298"/>
      <c r="BR53" s="298"/>
      <c r="BS53" s="298"/>
      <c r="BT53" s="298"/>
      <c r="BU53" s="298"/>
      <c r="BV53" s="298"/>
      <c r="BW53" s="298"/>
      <c r="BX53" s="298"/>
    </row>
    <row r="54" ht="17.0">
      <c r="A54" s="296" t="s">
        <v>32</v>
      </c>
      <c r="B54" s="296" t="s">
        <v>153</v>
      </c>
      <c r="C54" s="296" t="s">
        <v>156</v>
      </c>
      <c r="D54" s="297" t="s">
        <v>157</v>
      </c>
      <c r="F54" s="296">
        <v>0.0</v>
      </c>
      <c r="G54" s="296">
        <v>0.0</v>
      </c>
      <c r="H54" s="296">
        <v>0.0</v>
      </c>
      <c r="I54" s="296">
        <v>1.0</v>
      </c>
      <c r="J54" s="296">
        <v>0.0</v>
      </c>
      <c r="K54" s="296">
        <v>0.0</v>
      </c>
      <c r="L54" s="296">
        <v>0.0</v>
      </c>
      <c r="M54" s="296">
        <v>1.0</v>
      </c>
      <c r="N54" s="296">
        <v>0.0</v>
      </c>
      <c r="O54" s="296">
        <v>0.0</v>
      </c>
      <c r="P54" s="296">
        <v>0.0</v>
      </c>
      <c r="Q54" s="296">
        <v>1.0</v>
      </c>
      <c r="R54" s="296">
        <v>0.0</v>
      </c>
      <c r="S54" s="296">
        <v>0.0</v>
      </c>
      <c r="T54" s="296">
        <v>0.0</v>
      </c>
      <c r="U54" s="296">
        <v>0.0</v>
      </c>
      <c r="V54" s="296">
        <v>0.0</v>
      </c>
      <c r="W54" s="296">
        <v>1.0</v>
      </c>
      <c r="X54" s="296">
        <v>0.0</v>
      </c>
      <c r="Y54" s="296">
        <v>0.0</v>
      </c>
      <c r="Z54" s="296">
        <v>0.0</v>
      </c>
      <c r="AA54" s="296">
        <v>1.0</v>
      </c>
      <c r="AB54" s="296">
        <v>0.0</v>
      </c>
      <c r="AC54" s="296">
        <v>0.0</v>
      </c>
      <c r="AD54" s="296">
        <v>0.0</v>
      </c>
      <c r="AE54" s="296">
        <v>0.0</v>
      </c>
      <c r="AF54" s="296">
        <v>0.0</v>
      </c>
      <c r="AG54" s="296">
        <v>0.0</v>
      </c>
      <c r="AH54" s="296">
        <v>0.0</v>
      </c>
      <c r="AI54" s="296">
        <v>0.0</v>
      </c>
      <c r="AJ54" s="296">
        <v>0.0</v>
      </c>
      <c r="AK54" s="296">
        <v>0.0</v>
      </c>
      <c r="AL54" s="296">
        <v>0.0</v>
      </c>
      <c r="AM54" s="296">
        <v>0.0</v>
      </c>
      <c r="AN54" s="296">
        <v>0.0</v>
      </c>
      <c r="AO54" s="298">
        <f t="shared" si="3"/>
        <v>0.0</v>
      </c>
      <c r="AP54" s="298">
        <f t="shared" si="4"/>
        <v>0.0</v>
      </c>
      <c r="AQ54" s="298">
        <f t="shared" si="5"/>
        <v>0.0</v>
      </c>
      <c r="AR54" s="130">
        <f>AR53</f>
        <v>1.56521739130434</v>
      </c>
      <c r="AS54" s="130">
        <f>AS53</f>
        <v>1.95652173913043</v>
      </c>
      <c r="AT54" s="130">
        <f>AT53</f>
        <v>1.95652173913043</v>
      </c>
      <c r="AU54" s="130">
        <f>AU53</f>
        <v>1.95652173913043</v>
      </c>
      <c r="AV54" s="130">
        <f>AV53</f>
        <v>1.95652173913043</v>
      </c>
      <c r="AW54" s="130">
        <f>AW53</f>
        <v>1.17391304347826</v>
      </c>
      <c r="AX54" s="130">
        <f t="shared" si="12"/>
        <v>10.5652173913043</v>
      </c>
      <c r="AY54" s="23" t="e">
        <f t="shared" si="13"/>
        <v>#REF!</v>
      </c>
      <c r="BB54" s="298" t="e">
        <f t="shared" si="14"/>
        <v>#REF!</v>
      </c>
      <c r="BE54" s="130" t="s">
        <v>826</v>
      </c>
      <c r="BF54" s="130" t="e">
        <f t="shared" ref="BF54:BF60" si="304">AY54</f>
        <v>#REF!</v>
      </c>
      <c r="BG54" s="130">
        <f t="shared" ref="BG54:BG60" si="305">AR54</f>
        <v>1.56521739130434</v>
      </c>
      <c r="BI54" s="298" t="e">
        <f t="shared" ref="BI54:BI60" si="306">BF54+BH54-BG54</f>
        <v>#REF!</v>
      </c>
      <c r="BJ54" s="298">
        <f t="shared" ref="BJ54:BJ60" si="307">AS54</f>
        <v>1.95652173913043</v>
      </c>
      <c r="BK54" s="298"/>
      <c r="BL54" s="298" t="e">
        <f t="shared" ref="BL54:BL60" si="308">BI54+BK54-BJ54</f>
        <v>#REF!</v>
      </c>
      <c r="BM54" s="298">
        <f t="shared" ref="BM54:BM60" si="309">AT54</f>
        <v>1.95652173913043</v>
      </c>
      <c r="BN54" s="298"/>
      <c r="BO54" s="298" t="e">
        <f t="shared" ref="BO54:BO60" si="310">BL54+BN54-BM54</f>
        <v>#REF!</v>
      </c>
      <c r="BP54" s="298">
        <f t="shared" ref="BP54:BP60" si="311">AU54</f>
        <v>1.95652173913043</v>
      </c>
      <c r="BQ54" s="298"/>
      <c r="BR54" s="298" t="e">
        <f t="shared" ref="BR54:BR60" si="312">BO54+BQ54-BP54</f>
        <v>#REF!</v>
      </c>
      <c r="BS54" s="298">
        <f t="shared" ref="BS54:BS60" si="313">AV54</f>
        <v>1.95652173913043</v>
      </c>
      <c r="BT54" s="298"/>
      <c r="BU54" s="298" t="e">
        <f t="shared" ref="BU54:BU60" si="314">BR54+BT54-BS54</f>
        <v>#REF!</v>
      </c>
      <c r="BV54" s="298">
        <f t="shared" ref="BV54:BV60" si="315">AW54</f>
        <v>1.17391304347826</v>
      </c>
      <c r="BW54" s="298"/>
      <c r="BX54" s="298" t="e">
        <f t="shared" ref="BX54:BX60" si="316">BU54+BW54-BV54</f>
        <v>#REF!</v>
      </c>
      <c r="BZ54" s="23" t="e">
        <f t="shared" ref="BZ54:BZ59" si="317">BX54*-1</f>
        <v>#REF!</v>
      </c>
      <c r="CA54" s="300" t="e">
        <f t="shared" ref="CA54:CA59" si="318">BZ54/6</f>
        <v>#REF!</v>
      </c>
      <c r="CB54" s="130" t="e">
        <f t="shared" ref="CB54:CB59" si="319">ROUNDUP(CA54,0)</f>
        <v>#REF!</v>
      </c>
      <c r="CC54" s="23" t="e">
        <f t="shared" ref="CC54:CC59" si="320">CB54*6</f>
        <v>#REF!</v>
      </c>
    </row>
    <row r="55" ht="17.0">
      <c r="A55" s="296" t="s">
        <v>32</v>
      </c>
      <c r="B55" s="296" t="s">
        <v>153</v>
      </c>
      <c r="C55" s="296" t="s">
        <v>160</v>
      </c>
      <c r="D55" s="297">
        <v>40523.0</v>
      </c>
      <c r="F55" s="296">
        <v>15.0</v>
      </c>
      <c r="G55" s="296">
        <v>15.0</v>
      </c>
      <c r="H55" s="296">
        <v>9.0</v>
      </c>
      <c r="I55" s="296">
        <v>9.0</v>
      </c>
      <c r="J55" s="296">
        <v>9.0</v>
      </c>
      <c r="K55" s="296">
        <v>3.0</v>
      </c>
      <c r="L55" s="296">
        <v>6.0</v>
      </c>
      <c r="M55" s="296">
        <v>27.0</v>
      </c>
      <c r="N55" s="296">
        <v>9.0</v>
      </c>
      <c r="O55" s="296">
        <v>9.0</v>
      </c>
      <c r="P55" s="296">
        <v>3.0</v>
      </c>
      <c r="Q55" s="296">
        <v>3.0</v>
      </c>
      <c r="R55" s="296">
        <v>18.0</v>
      </c>
      <c r="S55" s="296">
        <v>-3.0</v>
      </c>
      <c r="T55" s="296">
        <v>3.0</v>
      </c>
      <c r="U55" s="296">
        <v>6.0</v>
      </c>
      <c r="V55" s="296">
        <v>0.0</v>
      </c>
      <c r="W55" s="296">
        <v>3.0</v>
      </c>
      <c r="X55" s="296">
        <v>3.0</v>
      </c>
      <c r="Y55" s="296">
        <v>3.0</v>
      </c>
      <c r="Z55" s="296">
        <v>18.0</v>
      </c>
      <c r="AA55" s="296">
        <v>0.0</v>
      </c>
      <c r="AB55" s="296">
        <v>3.0</v>
      </c>
      <c r="AC55" s="296">
        <v>3.0</v>
      </c>
      <c r="AD55" s="296">
        <v>6.0</v>
      </c>
      <c r="AE55" s="296">
        <v>3.0</v>
      </c>
      <c r="AF55" s="296">
        <v>18.0</v>
      </c>
      <c r="AG55" s="296">
        <v>3.0</v>
      </c>
      <c r="AH55" s="296">
        <v>0.0</v>
      </c>
      <c r="AI55" s="296">
        <v>3.0</v>
      </c>
      <c r="AJ55" s="296">
        <v>3.0</v>
      </c>
      <c r="AK55" s="296">
        <v>3.0</v>
      </c>
      <c r="AL55" s="296">
        <v>9.0</v>
      </c>
      <c r="AM55" s="296">
        <v>3.0</v>
      </c>
      <c r="AN55" s="296">
        <v>0.0</v>
      </c>
      <c r="AO55" s="298">
        <f t="shared" si="3"/>
        <v>54.0</v>
      </c>
      <c r="AP55" s="298">
        <f t="shared" si="4"/>
        <v>21.0</v>
      </c>
      <c r="AQ55" s="298">
        <f t="shared" si="5"/>
        <v>23.1</v>
      </c>
      <c r="AR55" s="130">
        <f t="shared" ref="AR55:AR59" si="321">AQ55*$AR$4/$AQ$4+3*$AR$53</f>
        <v>8.34782608695642</v>
      </c>
      <c r="AS55" s="130">
        <f t="shared" ref="AS55:AS59" si="322">AQ55*$AS$4/$AQ$4+3*$AS$53</f>
        <v>10.4347826086956</v>
      </c>
      <c r="AT55" s="130">
        <f t="shared" ref="AT55:AT59" si="323">AQ55*$AT$4/$AQ$4+3*$AT$53</f>
        <v>10.4347826086956</v>
      </c>
      <c r="AU55" s="130">
        <f t="shared" ref="AU55:AU59" si="324">AQ55*$AU$4/$AQ$4+3*$AU$53</f>
        <v>10.4347826086956</v>
      </c>
      <c r="AV55" s="130">
        <f t="shared" ref="AV55:AV59" si="325">AQ55*$AV$4/$AQ$4+3*$AV$53</f>
        <v>10.4347826086956</v>
      </c>
      <c r="AW55" s="130">
        <f t="shared" ref="AW55:AW59" si="326">AQ55*$AW$4/$AQ$4+3*$AW$53</f>
        <v>6.26086956521738</v>
      </c>
      <c r="AX55" s="130">
        <f t="shared" si="12"/>
        <v>56.3478260869562</v>
      </c>
      <c r="AY55" s="23" t="e">
        <f t="shared" si="13"/>
        <v>#REF!</v>
      </c>
      <c r="BB55" s="298" t="e">
        <f t="shared" si="14"/>
        <v>#REF!</v>
      </c>
      <c r="BC55">
        <f>VLOOKUP(C55,MOQ,3,false)</f>
      </c>
      <c r="BE55" s="130" t="s">
        <v>350</v>
      </c>
      <c r="BF55" s="130" t="e">
        <f t="shared" si="304"/>
        <v>#REF!</v>
      </c>
      <c r="BG55" s="130">
        <f t="shared" si="305"/>
        <v>8.34782608695642</v>
      </c>
      <c r="BI55" s="298" t="e">
        <f t="shared" si="306"/>
        <v>#REF!</v>
      </c>
      <c r="BJ55" s="298">
        <f t="shared" si="307"/>
        <v>10.4347826086956</v>
      </c>
      <c r="BK55" s="298"/>
      <c r="BL55" s="298" t="e">
        <f t="shared" si="308"/>
        <v>#REF!</v>
      </c>
      <c r="BM55" s="298">
        <f t="shared" si="309"/>
        <v>10.4347826086956</v>
      </c>
      <c r="BN55" s="298"/>
      <c r="BO55" s="298" t="e">
        <f t="shared" si="310"/>
        <v>#REF!</v>
      </c>
      <c r="BP55" s="298">
        <f t="shared" si="311"/>
        <v>10.4347826086956</v>
      </c>
      <c r="BQ55" s="298"/>
      <c r="BR55" s="298" t="e">
        <f t="shared" si="312"/>
        <v>#REF!</v>
      </c>
      <c r="BS55" s="298">
        <f t="shared" si="313"/>
        <v>10.4347826086956</v>
      </c>
      <c r="BT55" s="298"/>
      <c r="BU55" s="298" t="e">
        <f t="shared" si="314"/>
        <v>#REF!</v>
      </c>
      <c r="BV55" s="298">
        <f t="shared" si="315"/>
        <v>6.26086956521738</v>
      </c>
      <c r="BW55" s="298"/>
      <c r="BX55" s="298" t="e">
        <f t="shared" si="316"/>
        <v>#REF!</v>
      </c>
      <c r="BZ55" s="23" t="e">
        <f t="shared" si="317"/>
        <v>#REF!</v>
      </c>
      <c r="CA55" s="300" t="e">
        <f t="shared" si="318"/>
        <v>#REF!</v>
      </c>
      <c r="CB55" s="130" t="e">
        <f t="shared" si="319"/>
        <v>#REF!</v>
      </c>
      <c r="CC55" s="23" t="e">
        <f t="shared" si="320"/>
        <v>#REF!</v>
      </c>
    </row>
    <row r="56" ht="17.0">
      <c r="A56" s="296" t="s">
        <v>32</v>
      </c>
      <c r="B56" s="296" t="s">
        <v>153</v>
      </c>
      <c r="C56" s="296" t="s">
        <v>162</v>
      </c>
      <c r="D56" s="297">
        <v>40534.0</v>
      </c>
      <c r="F56" s="296">
        <v>0.0</v>
      </c>
      <c r="G56" s="296">
        <v>0.0</v>
      </c>
      <c r="H56" s="296">
        <v>0.0</v>
      </c>
      <c r="I56" s="296">
        <v>0.0</v>
      </c>
      <c r="J56" s="296">
        <v>0.0</v>
      </c>
      <c r="K56" s="296">
        <v>12.0</v>
      </c>
      <c r="L56" s="296">
        <v>18.0</v>
      </c>
      <c r="M56" s="296">
        <v>0.0</v>
      </c>
      <c r="N56" s="296">
        <v>3.0</v>
      </c>
      <c r="O56" s="296">
        <v>6.0</v>
      </c>
      <c r="P56" s="296">
        <v>15.0</v>
      </c>
      <c r="Q56" s="296">
        <v>9.0</v>
      </c>
      <c r="R56" s="296">
        <v>15.0</v>
      </c>
      <c r="S56" s="296">
        <v>9.0</v>
      </c>
      <c r="T56" s="296">
        <v>9.0</v>
      </c>
      <c r="U56" s="296">
        <v>3.0</v>
      </c>
      <c r="V56" s="296">
        <v>12.0</v>
      </c>
      <c r="W56" s="296">
        <v>9.0</v>
      </c>
      <c r="X56" s="296">
        <v>3.0</v>
      </c>
      <c r="Y56" s="296">
        <v>9.0</v>
      </c>
      <c r="Z56" s="296">
        <v>15.0</v>
      </c>
      <c r="AA56" s="296">
        <v>3.0</v>
      </c>
      <c r="AB56" s="296">
        <v>9.0</v>
      </c>
      <c r="AC56" s="296">
        <v>6.0</v>
      </c>
      <c r="AD56" s="296">
        <v>6.0</v>
      </c>
      <c r="AE56" s="296">
        <v>3.0</v>
      </c>
      <c r="AF56" s="296">
        <v>3.0</v>
      </c>
      <c r="AG56" s="296">
        <v>6.0</v>
      </c>
      <c r="AH56" s="296">
        <v>0.0</v>
      </c>
      <c r="AI56" s="296">
        <v>9.0</v>
      </c>
      <c r="AJ56" s="296">
        <v>6.0</v>
      </c>
      <c r="AK56" s="296">
        <v>3.0</v>
      </c>
      <c r="AL56" s="296">
        <v>3.0</v>
      </c>
      <c r="AM56" s="296">
        <v>0.0</v>
      </c>
      <c r="AN56" s="296">
        <v>0.0</v>
      </c>
      <c r="AO56" s="298">
        <f t="shared" si="3"/>
        <v>45.0</v>
      </c>
      <c r="AP56" s="298">
        <f t="shared" si="4"/>
        <v>21.0</v>
      </c>
      <c r="AQ56" s="298">
        <f t="shared" si="5"/>
        <v>23.1</v>
      </c>
      <c r="AR56" s="130">
        <f t="shared" si="321"/>
        <v>8.34782608695642</v>
      </c>
      <c r="AS56" s="130">
        <f t="shared" si="322"/>
        <v>10.4347826086956</v>
      </c>
      <c r="AT56" s="130">
        <f t="shared" si="323"/>
        <v>10.4347826086956</v>
      </c>
      <c r="AU56" s="130">
        <f t="shared" si="324"/>
        <v>10.4347826086956</v>
      </c>
      <c r="AV56" s="130">
        <f t="shared" si="325"/>
        <v>10.4347826086956</v>
      </c>
      <c r="AW56" s="130">
        <f t="shared" si="326"/>
        <v>6.26086956521738</v>
      </c>
      <c r="AX56" s="130">
        <f t="shared" si="12"/>
        <v>56.3478260869562</v>
      </c>
      <c r="AY56" s="23" t="e">
        <f t="shared" si="13"/>
        <v>#REF!</v>
      </c>
      <c r="BB56" s="298" t="e">
        <f t="shared" si="14"/>
        <v>#REF!</v>
      </c>
      <c r="BC56">
        <f>VLOOKUP(C56,MOQ,3,false)</f>
      </c>
      <c r="BE56" s="130" t="s">
        <v>255</v>
      </c>
      <c r="BF56" s="130" t="e">
        <f t="shared" si="304"/>
        <v>#REF!</v>
      </c>
      <c r="BG56" s="130">
        <f t="shared" si="305"/>
        <v>8.34782608695642</v>
      </c>
      <c r="BI56" s="298" t="e">
        <f t="shared" si="306"/>
        <v>#REF!</v>
      </c>
      <c r="BJ56" s="298">
        <f t="shared" si="307"/>
        <v>10.4347826086956</v>
      </c>
      <c r="BK56" s="298"/>
      <c r="BL56" s="298" t="e">
        <f t="shared" si="308"/>
        <v>#REF!</v>
      </c>
      <c r="BM56" s="298">
        <f t="shared" si="309"/>
        <v>10.4347826086956</v>
      </c>
      <c r="BN56" s="298"/>
      <c r="BO56" s="298" t="e">
        <f t="shared" si="310"/>
        <v>#REF!</v>
      </c>
      <c r="BP56" s="298">
        <f t="shared" si="311"/>
        <v>10.4347826086956</v>
      </c>
      <c r="BQ56" s="298"/>
      <c r="BR56" s="298" t="e">
        <f t="shared" si="312"/>
        <v>#REF!</v>
      </c>
      <c r="BS56" s="298">
        <f t="shared" si="313"/>
        <v>10.4347826086956</v>
      </c>
      <c r="BT56" s="298"/>
      <c r="BU56" s="298" t="e">
        <f t="shared" si="314"/>
        <v>#REF!</v>
      </c>
      <c r="BV56" s="298">
        <f t="shared" si="315"/>
        <v>6.26086956521738</v>
      </c>
      <c r="BW56" s="298"/>
      <c r="BX56" s="298" t="e">
        <f t="shared" si="316"/>
        <v>#REF!</v>
      </c>
      <c r="BZ56" s="23" t="e">
        <f t="shared" si="317"/>
        <v>#REF!</v>
      </c>
      <c r="CA56" s="300" t="e">
        <f t="shared" si="318"/>
        <v>#REF!</v>
      </c>
      <c r="CB56" s="130" t="e">
        <f t="shared" si="319"/>
        <v>#REF!</v>
      </c>
      <c r="CC56" s="23" t="e">
        <f t="shared" si="320"/>
        <v>#REF!</v>
      </c>
    </row>
    <row r="57" ht="17.0">
      <c r="A57" s="296" t="s">
        <v>32</v>
      </c>
      <c r="B57" s="296" t="s">
        <v>153</v>
      </c>
      <c r="C57" s="296" t="s">
        <v>161</v>
      </c>
      <c r="D57" s="297">
        <v>40533.0</v>
      </c>
      <c r="F57" s="296">
        <v>15.0</v>
      </c>
      <c r="G57" s="296">
        <v>18.0</v>
      </c>
      <c r="H57" s="296">
        <v>21.0</v>
      </c>
      <c r="I57" s="296">
        <v>21.0</v>
      </c>
      <c r="J57" s="296">
        <v>9.0</v>
      </c>
      <c r="K57" s="296">
        <v>0.0</v>
      </c>
      <c r="L57" s="296">
        <v>12.0</v>
      </c>
      <c r="M57" s="296">
        <v>21.0</v>
      </c>
      <c r="N57" s="296">
        <v>3.0</v>
      </c>
      <c r="O57" s="296">
        <v>15.0</v>
      </c>
      <c r="P57" s="296">
        <v>15.0</v>
      </c>
      <c r="Q57" s="296">
        <v>15.0</v>
      </c>
      <c r="R57" s="296">
        <v>18.0</v>
      </c>
      <c r="S57" s="296">
        <v>4.0</v>
      </c>
      <c r="T57" s="296">
        <v>6.0</v>
      </c>
      <c r="U57" s="296">
        <v>3.0</v>
      </c>
      <c r="V57" s="296">
        <v>12.0</v>
      </c>
      <c r="W57" s="296">
        <v>12.0</v>
      </c>
      <c r="X57" s="296">
        <v>18.0</v>
      </c>
      <c r="Y57" s="296">
        <v>6.0</v>
      </c>
      <c r="Z57" s="296">
        <v>19.0</v>
      </c>
      <c r="AA57" s="296">
        <v>0.0</v>
      </c>
      <c r="AB57" s="296">
        <v>6.0</v>
      </c>
      <c r="AC57" s="296">
        <v>3.0</v>
      </c>
      <c r="AD57" s="296">
        <v>15.0</v>
      </c>
      <c r="AE57" s="296">
        <v>9.0</v>
      </c>
      <c r="AF57" s="296">
        <v>9.0</v>
      </c>
      <c r="AG57" s="296">
        <v>6.0</v>
      </c>
      <c r="AH57" s="296">
        <v>0.0</v>
      </c>
      <c r="AI57" s="296">
        <v>12.0</v>
      </c>
      <c r="AJ57" s="296">
        <v>6.0</v>
      </c>
      <c r="AK57" s="296">
        <v>3.0</v>
      </c>
      <c r="AL57" s="296">
        <v>3.0</v>
      </c>
      <c r="AM57" s="296">
        <v>6.0</v>
      </c>
      <c r="AN57" s="296">
        <v>12.0</v>
      </c>
      <c r="AO57" s="298">
        <f t="shared" si="3"/>
        <v>84.0</v>
      </c>
      <c r="AP57" s="298">
        <f t="shared" si="4"/>
        <v>42.0</v>
      </c>
      <c r="AQ57" s="298">
        <f t="shared" si="5"/>
        <v>46.2</v>
      </c>
      <c r="AR57" s="130">
        <f t="shared" si="321"/>
        <v>12.0</v>
      </c>
      <c r="AS57" s="130">
        <f t="shared" si="322"/>
        <v>15.0</v>
      </c>
      <c r="AT57" s="130">
        <f t="shared" si="323"/>
        <v>15.0</v>
      </c>
      <c r="AU57" s="130">
        <f t="shared" si="324"/>
        <v>15.0</v>
      </c>
      <c r="AV57" s="130">
        <f t="shared" si="325"/>
        <v>15.0</v>
      </c>
      <c r="AW57" s="130">
        <f t="shared" si="326"/>
        <v>8.99999999999999</v>
      </c>
      <c r="AX57" s="130">
        <f t="shared" si="12"/>
        <v>81.0</v>
      </c>
      <c r="AY57" s="23" t="e">
        <f t="shared" si="13"/>
        <v>#REF!</v>
      </c>
      <c r="BB57" s="298" t="e">
        <f t="shared" si="14"/>
        <v>#REF!</v>
      </c>
      <c r="BC57">
        <f>VLOOKUP(C57,MOQ,3,false)</f>
      </c>
      <c r="BE57" s="130" t="s">
        <v>350</v>
      </c>
      <c r="BF57" s="130" t="e">
        <f t="shared" si="304"/>
        <v>#REF!</v>
      </c>
      <c r="BG57" s="130">
        <f t="shared" si="305"/>
        <v>12.0</v>
      </c>
      <c r="BI57" s="298" t="e">
        <f t="shared" si="306"/>
        <v>#REF!</v>
      </c>
      <c r="BJ57" s="298">
        <f t="shared" si="307"/>
        <v>15.0</v>
      </c>
      <c r="BK57" s="298"/>
      <c r="BL57" s="298" t="e">
        <f t="shared" si="308"/>
        <v>#REF!</v>
      </c>
      <c r="BM57" s="298">
        <f t="shared" si="309"/>
        <v>15.0</v>
      </c>
      <c r="BN57" s="298"/>
      <c r="BO57" s="298" t="e">
        <f t="shared" si="310"/>
        <v>#REF!</v>
      </c>
      <c r="BP57" s="298">
        <f t="shared" si="311"/>
        <v>15.0</v>
      </c>
      <c r="BQ57" s="298"/>
      <c r="BR57" s="298" t="e">
        <f t="shared" si="312"/>
        <v>#REF!</v>
      </c>
      <c r="BS57" s="298">
        <f t="shared" si="313"/>
        <v>15.0</v>
      </c>
      <c r="BT57" s="298"/>
      <c r="BU57" s="298" t="e">
        <f t="shared" si="314"/>
        <v>#REF!</v>
      </c>
      <c r="BV57" s="298">
        <f t="shared" si="315"/>
        <v>8.99999999999999</v>
      </c>
      <c r="BW57" s="298"/>
      <c r="BX57" s="298" t="e">
        <f t="shared" si="316"/>
        <v>#REF!</v>
      </c>
      <c r="BZ57" s="23" t="e">
        <f t="shared" si="317"/>
        <v>#REF!</v>
      </c>
      <c r="CA57" s="300" t="e">
        <f t="shared" si="318"/>
        <v>#REF!</v>
      </c>
      <c r="CB57" s="130" t="e">
        <f t="shared" si="319"/>
        <v>#REF!</v>
      </c>
      <c r="CC57" s="23" t="e">
        <f t="shared" si="320"/>
        <v>#REF!</v>
      </c>
    </row>
    <row r="58" ht="17.0">
      <c r="A58" s="296" t="s">
        <v>32</v>
      </c>
      <c r="B58" s="296" t="s">
        <v>153</v>
      </c>
      <c r="C58" s="296" t="s">
        <v>159</v>
      </c>
      <c r="D58" s="297">
        <v>40502.0</v>
      </c>
      <c r="F58" s="296">
        <v>42.0</v>
      </c>
      <c r="G58" s="296">
        <v>21.0</v>
      </c>
      <c r="H58" s="296">
        <v>27.0</v>
      </c>
      <c r="I58" s="296">
        <v>18.0</v>
      </c>
      <c r="J58" s="296">
        <v>9.0</v>
      </c>
      <c r="K58" s="296">
        <v>18.0</v>
      </c>
      <c r="L58" s="296">
        <v>12.0</v>
      </c>
      <c r="M58" s="296">
        <v>39.0</v>
      </c>
      <c r="N58" s="296">
        <v>21.0</v>
      </c>
      <c r="O58" s="296">
        <v>12.0</v>
      </c>
      <c r="P58" s="296">
        <v>12.0</v>
      </c>
      <c r="Q58" s="296">
        <v>15.0</v>
      </c>
      <c r="R58" s="296">
        <v>9.0</v>
      </c>
      <c r="S58" s="296">
        <v>12.0</v>
      </c>
      <c r="T58" s="296">
        <v>3.0</v>
      </c>
      <c r="U58" s="296">
        <v>15.0</v>
      </c>
      <c r="V58" s="296">
        <v>6.0</v>
      </c>
      <c r="W58" s="296">
        <v>12.0</v>
      </c>
      <c r="X58" s="296">
        <v>3.0</v>
      </c>
      <c r="Y58" s="296">
        <v>12.0</v>
      </c>
      <c r="Z58" s="296">
        <v>21.0</v>
      </c>
      <c r="AA58" s="296">
        <v>9.0</v>
      </c>
      <c r="AB58" s="296">
        <v>0.0</v>
      </c>
      <c r="AC58" s="296">
        <v>12.0</v>
      </c>
      <c r="AD58" s="296">
        <v>18.0</v>
      </c>
      <c r="AE58" s="296">
        <v>6.0</v>
      </c>
      <c r="AF58" s="296">
        <v>15.0</v>
      </c>
      <c r="AG58" s="296">
        <v>18.0</v>
      </c>
      <c r="AH58" s="296">
        <v>0.0</v>
      </c>
      <c r="AI58" s="296">
        <v>12.0</v>
      </c>
      <c r="AJ58" s="296">
        <v>12.0</v>
      </c>
      <c r="AK58" s="296">
        <v>6.0</v>
      </c>
      <c r="AL58" s="296">
        <v>0.0</v>
      </c>
      <c r="AM58" s="296">
        <v>9.0</v>
      </c>
      <c r="AN58" s="296">
        <v>9.0</v>
      </c>
      <c r="AO58" s="298">
        <f t="shared" si="3"/>
        <v>117.0</v>
      </c>
      <c r="AP58" s="298">
        <f t="shared" si="4"/>
        <v>48.0</v>
      </c>
      <c r="AQ58" s="298">
        <f t="shared" si="5"/>
        <v>52.8</v>
      </c>
      <c r="AR58" s="130">
        <f t="shared" si="321"/>
        <v>13.0434782608695</v>
      </c>
      <c r="AS58" s="130">
        <f t="shared" si="322"/>
        <v>16.304347826087</v>
      </c>
      <c r="AT58" s="130">
        <f t="shared" si="323"/>
        <v>16.304347826087</v>
      </c>
      <c r="AU58" s="130">
        <f t="shared" si="324"/>
        <v>16.304347826087</v>
      </c>
      <c r="AV58" s="130">
        <f t="shared" si="325"/>
        <v>16.304347826087</v>
      </c>
      <c r="AW58" s="130">
        <f t="shared" si="326"/>
        <v>9.78260869565217</v>
      </c>
      <c r="AX58" s="130">
        <f t="shared" si="12"/>
        <v>88.0434782608697</v>
      </c>
      <c r="AY58" s="23" t="e">
        <f t="shared" si="13"/>
        <v>#REF!</v>
      </c>
      <c r="BB58" s="298" t="e">
        <f t="shared" si="14"/>
        <v>#REF!</v>
      </c>
      <c r="BC58">
        <f>VLOOKUP(C58,MOQ,3,false)</f>
      </c>
      <c r="BE58" s="130" t="s">
        <v>350</v>
      </c>
      <c r="BF58" s="130" t="e">
        <f t="shared" si="304"/>
        <v>#REF!</v>
      </c>
      <c r="BG58" s="130">
        <f t="shared" si="305"/>
        <v>13.0434782608695</v>
      </c>
      <c r="BI58" s="298" t="e">
        <f t="shared" si="306"/>
        <v>#REF!</v>
      </c>
      <c r="BJ58" s="298">
        <f t="shared" si="307"/>
        <v>16.304347826087</v>
      </c>
      <c r="BK58" s="298"/>
      <c r="BL58" s="298" t="e">
        <f t="shared" si="308"/>
        <v>#REF!</v>
      </c>
      <c r="BM58" s="298">
        <f t="shared" si="309"/>
        <v>16.304347826087</v>
      </c>
      <c r="BN58" s="298"/>
      <c r="BO58" s="298" t="e">
        <f t="shared" si="310"/>
        <v>#REF!</v>
      </c>
      <c r="BP58" s="298">
        <f t="shared" si="311"/>
        <v>16.304347826087</v>
      </c>
      <c r="BQ58" s="298"/>
      <c r="BR58" s="298" t="e">
        <f t="shared" si="312"/>
        <v>#REF!</v>
      </c>
      <c r="BS58" s="298">
        <f t="shared" si="313"/>
        <v>16.304347826087</v>
      </c>
      <c r="BT58" s="298"/>
      <c r="BU58" s="298" t="e">
        <f t="shared" si="314"/>
        <v>#REF!</v>
      </c>
      <c r="BV58" s="298">
        <f t="shared" si="315"/>
        <v>9.78260869565217</v>
      </c>
      <c r="BW58" s="298"/>
      <c r="BX58" s="298" t="e">
        <f t="shared" si="316"/>
        <v>#REF!</v>
      </c>
      <c r="BZ58" s="23" t="e">
        <f t="shared" si="317"/>
        <v>#REF!</v>
      </c>
      <c r="CA58" s="300" t="e">
        <f t="shared" si="318"/>
        <v>#REF!</v>
      </c>
      <c r="CB58" s="130" t="e">
        <f t="shared" si="319"/>
        <v>#REF!</v>
      </c>
      <c r="CC58" s="23" t="e">
        <f t="shared" si="320"/>
        <v>#REF!</v>
      </c>
    </row>
    <row r="59" ht="17.0">
      <c r="A59" s="296" t="s">
        <v>32</v>
      </c>
      <c r="B59" s="296" t="s">
        <v>153</v>
      </c>
      <c r="C59" s="296" t="s">
        <v>158</v>
      </c>
      <c r="D59" s="297">
        <v>40501.0</v>
      </c>
      <c r="F59" s="296">
        <v>54.0</v>
      </c>
      <c r="G59" s="296">
        <v>54.0</v>
      </c>
      <c r="H59" s="296">
        <v>42.0</v>
      </c>
      <c r="I59" s="296">
        <v>18.0</v>
      </c>
      <c r="J59" s="296">
        <v>18.0</v>
      </c>
      <c r="K59" s="296">
        <v>27.0</v>
      </c>
      <c r="L59" s="296">
        <v>24.0</v>
      </c>
      <c r="M59" s="296">
        <v>84.0</v>
      </c>
      <c r="N59" s="296">
        <v>48.0</v>
      </c>
      <c r="O59" s="296">
        <v>24.0</v>
      </c>
      <c r="P59" s="296">
        <v>18.0</v>
      </c>
      <c r="Q59" s="296">
        <v>28.0</v>
      </c>
      <c r="R59" s="296">
        <v>51.0</v>
      </c>
      <c r="S59" s="296">
        <v>21.0</v>
      </c>
      <c r="T59" s="296">
        <v>42.0</v>
      </c>
      <c r="U59" s="296">
        <v>30.0</v>
      </c>
      <c r="V59" s="296">
        <v>18.0</v>
      </c>
      <c r="W59" s="296">
        <v>21.0</v>
      </c>
      <c r="X59" s="296">
        <v>18.0</v>
      </c>
      <c r="Y59" s="296">
        <v>18.0</v>
      </c>
      <c r="Z59" s="296">
        <v>19.0</v>
      </c>
      <c r="AA59" s="296">
        <v>18.0</v>
      </c>
      <c r="AB59" s="296">
        <v>9.0</v>
      </c>
      <c r="AC59" s="296">
        <v>18.0</v>
      </c>
      <c r="AD59" s="296">
        <v>33.0</v>
      </c>
      <c r="AE59" s="296">
        <v>12.0</v>
      </c>
      <c r="AF59" s="296">
        <v>21.0</v>
      </c>
      <c r="AG59" s="296">
        <v>21.0</v>
      </c>
      <c r="AH59" s="296">
        <v>6.0</v>
      </c>
      <c r="AI59" s="296">
        <v>18.0</v>
      </c>
      <c r="AJ59" s="296">
        <v>18.0</v>
      </c>
      <c r="AK59" s="296">
        <v>15.0</v>
      </c>
      <c r="AL59" s="296">
        <v>9.0</v>
      </c>
      <c r="AM59" s="296">
        <v>12.0</v>
      </c>
      <c r="AN59" s="296">
        <v>15.0</v>
      </c>
      <c r="AO59" s="298">
        <f t="shared" si="3"/>
        <v>198.0</v>
      </c>
      <c r="AP59" s="298">
        <f t="shared" si="4"/>
        <v>87.0</v>
      </c>
      <c r="AQ59" s="298">
        <f t="shared" si="5"/>
        <v>95.7</v>
      </c>
      <c r="AR59" s="130">
        <f t="shared" si="321"/>
        <v>19.826086956522</v>
      </c>
      <c r="AS59" s="130">
        <f t="shared" si="322"/>
        <v>24.7826086956521</v>
      </c>
      <c r="AT59" s="130">
        <f t="shared" si="323"/>
        <v>24.7826086956521</v>
      </c>
      <c r="AU59" s="130">
        <f t="shared" si="324"/>
        <v>24.7826086956521</v>
      </c>
      <c r="AV59" s="130">
        <f t="shared" si="325"/>
        <v>24.7826086956521</v>
      </c>
      <c r="AW59" s="130">
        <f t="shared" si="326"/>
        <v>14.8695652173912</v>
      </c>
      <c r="AX59" s="130">
        <f t="shared" si="12"/>
        <v>133.826086956521</v>
      </c>
      <c r="AY59" s="23" t="e">
        <f t="shared" si="13"/>
        <v>#REF!</v>
      </c>
      <c r="BB59" s="298" t="e">
        <f t="shared" si="14"/>
        <v>#REF!</v>
      </c>
      <c r="BC59">
        <f>VLOOKUP(C59,MOQ,3,false)</f>
      </c>
      <c r="BE59" s="130" t="s">
        <v>350</v>
      </c>
      <c r="BF59" s="130" t="e">
        <f t="shared" si="304"/>
        <v>#REF!</v>
      </c>
      <c r="BG59" s="130">
        <f t="shared" si="305"/>
        <v>19.826086956522</v>
      </c>
      <c r="BI59" s="298" t="e">
        <f t="shared" si="306"/>
        <v>#REF!</v>
      </c>
      <c r="BJ59" s="298">
        <f t="shared" si="307"/>
        <v>24.7826086956521</v>
      </c>
      <c r="BK59" s="298"/>
      <c r="BL59" s="298" t="e">
        <f t="shared" si="308"/>
        <v>#REF!</v>
      </c>
      <c r="BM59" s="298">
        <f t="shared" si="309"/>
        <v>24.7826086956521</v>
      </c>
      <c r="BN59" s="298"/>
      <c r="BO59" s="298" t="e">
        <f t="shared" si="310"/>
        <v>#REF!</v>
      </c>
      <c r="BP59" s="298">
        <f t="shared" si="311"/>
        <v>24.7826086956521</v>
      </c>
      <c r="BQ59" s="298"/>
      <c r="BR59" s="298" t="e">
        <f t="shared" si="312"/>
        <v>#REF!</v>
      </c>
      <c r="BS59" s="298">
        <f t="shared" si="313"/>
        <v>24.7826086956521</v>
      </c>
      <c r="BT59" s="298"/>
      <c r="BU59" s="298" t="e">
        <f t="shared" si="314"/>
        <v>#REF!</v>
      </c>
      <c r="BV59" s="298">
        <f t="shared" si="315"/>
        <v>14.8695652173912</v>
      </c>
      <c r="BW59" s="298"/>
      <c r="BX59" s="298" t="e">
        <f t="shared" si="316"/>
        <v>#REF!</v>
      </c>
      <c r="BZ59" s="23" t="e">
        <f t="shared" si="317"/>
        <v>#REF!</v>
      </c>
      <c r="CA59" s="300" t="e">
        <f t="shared" si="318"/>
        <v>#REF!</v>
      </c>
      <c r="CB59" s="130" t="e">
        <f t="shared" si="319"/>
        <v>#REF!</v>
      </c>
      <c r="CC59" s="23" t="e">
        <f t="shared" si="320"/>
        <v>#REF!</v>
      </c>
    </row>
    <row r="60" ht="17.0">
      <c r="A60" s="296" t="s">
        <v>32</v>
      </c>
      <c r="B60" s="296" t="s">
        <v>81</v>
      </c>
      <c r="C60" s="296" t="s">
        <v>109</v>
      </c>
      <c r="D60" s="297">
        <v>992432.0</v>
      </c>
      <c r="F60" s="296">
        <v>0.0</v>
      </c>
      <c r="G60" s="296">
        <v>0.0</v>
      </c>
      <c r="H60" s="296">
        <v>0.0</v>
      </c>
      <c r="I60" s="296">
        <v>0.0</v>
      </c>
      <c r="J60" s="296">
        <v>0.0</v>
      </c>
      <c r="K60" s="296">
        <v>0.0</v>
      </c>
      <c r="L60" s="296">
        <v>0.0</v>
      </c>
      <c r="M60" s="296">
        <v>0.0</v>
      </c>
      <c r="N60" s="296">
        <v>0.0</v>
      </c>
      <c r="O60" s="296">
        <v>0.0</v>
      </c>
      <c r="P60" s="296">
        <v>0.0</v>
      </c>
      <c r="Q60" s="296">
        <v>0.0</v>
      </c>
      <c r="R60" s="296">
        <v>0.0</v>
      </c>
      <c r="S60" s="296">
        <v>1.0</v>
      </c>
      <c r="T60" s="296">
        <v>0.0</v>
      </c>
      <c r="U60" s="296">
        <v>0.0</v>
      </c>
      <c r="V60" s="296">
        <v>0.0</v>
      </c>
      <c r="W60" s="296">
        <v>0.0</v>
      </c>
      <c r="X60" s="296">
        <v>0.0</v>
      </c>
      <c r="Y60" s="296">
        <v>0.0</v>
      </c>
      <c r="Z60" s="296">
        <v>0.0</v>
      </c>
      <c r="AA60" s="296">
        <v>1.0</v>
      </c>
      <c r="AB60" s="296">
        <v>1.0</v>
      </c>
      <c r="AC60" s="296">
        <v>0.0</v>
      </c>
      <c r="AD60" s="296">
        <v>0.0</v>
      </c>
      <c r="AE60" s="296">
        <v>1.0</v>
      </c>
      <c r="AF60" s="296">
        <v>2.0</v>
      </c>
      <c r="AG60" s="296">
        <v>0.0</v>
      </c>
      <c r="AH60" s="296">
        <v>0.0</v>
      </c>
      <c r="AI60" s="296">
        <v>0.0</v>
      </c>
      <c r="AJ60" s="296">
        <v>0.0</v>
      </c>
      <c r="AK60" s="296">
        <v>0.0</v>
      </c>
      <c r="AL60" s="296">
        <v>0.0</v>
      </c>
      <c r="AM60" s="296">
        <v>0.0</v>
      </c>
      <c r="AN60" s="296">
        <v>1.0</v>
      </c>
      <c r="AO60" s="298">
        <f t="shared" si="3"/>
        <v>4.0</v>
      </c>
      <c r="AP60" s="298">
        <f t="shared" si="4"/>
        <v>1.0</v>
      </c>
      <c r="AQ60" s="298">
        <f t="shared" si="5"/>
        <v>1.1</v>
      </c>
      <c r="AR60" s="130">
        <f>AR44</f>
        <v>2.78260869565217</v>
      </c>
      <c r="AS60" s="130">
        <f>AS44</f>
        <v>3.47826086956521</v>
      </c>
      <c r="AT60" s="130">
        <f>AT44</f>
        <v>3.47826086956521</v>
      </c>
      <c r="AU60" s="130">
        <f>AU44</f>
        <v>3.47826086956521</v>
      </c>
      <c r="AV60" s="130">
        <f>AV44</f>
        <v>3.47826086956521</v>
      </c>
      <c r="AW60" s="130">
        <f>AW44</f>
        <v>2.08695652173913</v>
      </c>
      <c r="AX60" s="130">
        <f t="shared" si="12"/>
        <v>18.7826086956521</v>
      </c>
      <c r="AY60" s="23" t="e">
        <f t="shared" si="13"/>
        <v>#REF!</v>
      </c>
      <c r="BB60" s="298" t="e">
        <f t="shared" si="14"/>
        <v>#REF!</v>
      </c>
      <c r="BC60" s="130">
        <f>VLOOKUP(C60,MOQ,3,false)</f>
      </c>
      <c r="BF60" s="130" t="e">
        <f t="shared" si="304"/>
        <v>#REF!</v>
      </c>
      <c r="BG60" s="130">
        <f t="shared" si="305"/>
        <v>2.78260869565217</v>
      </c>
      <c r="BI60" s="298" t="e">
        <f t="shared" si="306"/>
        <v>#REF!</v>
      </c>
      <c r="BJ60" s="298">
        <f t="shared" si="307"/>
        <v>3.47826086956521</v>
      </c>
      <c r="BK60" s="298"/>
      <c r="BL60" s="298" t="e">
        <f t="shared" si="308"/>
        <v>#REF!</v>
      </c>
      <c r="BM60" s="298">
        <f t="shared" si="309"/>
        <v>3.47826086956521</v>
      </c>
      <c r="BN60" s="298"/>
      <c r="BO60" s="298" t="e">
        <f t="shared" si="310"/>
        <v>#REF!</v>
      </c>
      <c r="BP60" s="298">
        <f t="shared" si="311"/>
        <v>3.47826086956521</v>
      </c>
      <c r="BQ60" s="298"/>
      <c r="BR60" s="298" t="e">
        <f t="shared" si="312"/>
        <v>#REF!</v>
      </c>
      <c r="BS60" s="298">
        <f t="shared" si="313"/>
        <v>3.47826086956521</v>
      </c>
      <c r="BT60" s="298"/>
      <c r="BU60" s="298" t="e">
        <f t="shared" si="314"/>
        <v>#REF!</v>
      </c>
      <c r="BV60" s="298">
        <f t="shared" si="315"/>
        <v>2.08695652173913</v>
      </c>
      <c r="BW60" s="298"/>
      <c r="BX60" s="298" t="e">
        <f t="shared" si="316"/>
        <v>#REF!</v>
      </c>
    </row>
    <row r="61" ht="17.0">
      <c r="A61" s="296" t="s">
        <v>32</v>
      </c>
      <c r="B61" s="296" t="s">
        <v>110</v>
      </c>
      <c r="C61" s="296" t="s">
        <v>116</v>
      </c>
      <c r="D61" s="297" t="s">
        <v>117</v>
      </c>
      <c r="F61" s="296">
        <v>10.0</v>
      </c>
      <c r="G61" s="296">
        <v>12.0</v>
      </c>
      <c r="H61" s="296">
        <v>3.0</v>
      </c>
      <c r="I61" s="296">
        <v>10.0</v>
      </c>
      <c r="J61" s="296">
        <v>4.0</v>
      </c>
      <c r="K61" s="296">
        <v>19.0</v>
      </c>
      <c r="L61" s="296">
        <v>6.0</v>
      </c>
      <c r="M61" s="296">
        <v>5.0</v>
      </c>
      <c r="N61" s="296">
        <v>4.0</v>
      </c>
      <c r="O61" s="296">
        <v>8.0</v>
      </c>
      <c r="P61" s="296">
        <v>5.0</v>
      </c>
      <c r="Q61" s="296">
        <v>9.0</v>
      </c>
      <c r="R61" s="296">
        <v>15.0</v>
      </c>
      <c r="S61" s="296">
        <v>10.0</v>
      </c>
      <c r="T61" s="296">
        <v>5.0</v>
      </c>
      <c r="U61" s="296">
        <v>5.0</v>
      </c>
      <c r="V61" s="296">
        <v>1.0</v>
      </c>
      <c r="W61" s="296">
        <v>8.0</v>
      </c>
      <c r="X61" s="296">
        <v>11.0</v>
      </c>
      <c r="Y61" s="296">
        <v>3.0</v>
      </c>
      <c r="Z61" s="296">
        <v>3.0</v>
      </c>
      <c r="AA61" s="296">
        <v>4.0</v>
      </c>
      <c r="AB61" s="296">
        <v>3.0</v>
      </c>
      <c r="AC61" s="296">
        <v>8.0</v>
      </c>
      <c r="AD61" s="296">
        <v>7.0</v>
      </c>
      <c r="AE61" s="296">
        <v>7.0</v>
      </c>
      <c r="AF61" s="296">
        <v>7.0</v>
      </c>
      <c r="AG61" s="296">
        <v>2.0</v>
      </c>
      <c r="AH61" s="296">
        <v>4.0</v>
      </c>
      <c r="AI61" s="296">
        <v>5.0</v>
      </c>
      <c r="AJ61" s="296">
        <v>0.0</v>
      </c>
      <c r="AK61" s="296">
        <v>0.0</v>
      </c>
      <c r="AL61" s="296">
        <v>5.0</v>
      </c>
      <c r="AM61" s="296">
        <v>5.0</v>
      </c>
      <c r="AN61" s="296">
        <v>3.0</v>
      </c>
      <c r="AO61" s="298">
        <f t="shared" si="3"/>
        <v>53.0</v>
      </c>
      <c r="AP61" s="298">
        <f t="shared" si="4"/>
        <v>18.0</v>
      </c>
      <c r="AQ61" s="298">
        <f t="shared" si="5"/>
        <v>19.8</v>
      </c>
      <c r="AR61" s="299">
        <f>AQ61*$AR$4/$AQ$4</f>
        <v>3.1304347826087</v>
      </c>
      <c r="AS61" s="299">
        <f>AQ61*$AS$4/$AQ$4</f>
        <v>3.91304347826087</v>
      </c>
      <c r="AT61" s="299">
        <f>AQ61*$AT$4/$AQ$4</f>
        <v>3.91304347826087</v>
      </c>
      <c r="AU61" s="299">
        <f>AQ61*$AU$4/$AQ$4</f>
        <v>3.91304347826087</v>
      </c>
      <c r="AV61" s="299">
        <f>AQ61*$AV$4/$AQ$4</f>
        <v>3.91304347826087</v>
      </c>
      <c r="AW61" s="299">
        <f>AQ61*$AW$4/$AQ$4</f>
        <v>2.34782608695652</v>
      </c>
      <c r="AX61" s="130">
        <f t="shared" si="12"/>
        <v>21.1304347826087</v>
      </c>
      <c r="AY61" s="23" t="e">
        <f t="shared" si="13"/>
        <v>#REF!</v>
      </c>
      <c r="BB61" s="298" t="e">
        <f t="shared" si="14"/>
        <v>#REF!</v>
      </c>
      <c r="BC61">
        <f>VLOOKUP(C61,MOQ,3,false)</f>
      </c>
      <c r="BI61" s="298"/>
      <c r="BJ61" s="298"/>
      <c r="BK61" s="298"/>
      <c r="BL61" s="298"/>
      <c r="BM61" s="298"/>
      <c r="BN61" s="298"/>
      <c r="BO61" s="298"/>
      <c r="BP61" s="298"/>
      <c r="BQ61" s="298"/>
      <c r="BR61" s="298"/>
      <c r="BS61" s="298"/>
      <c r="BT61" s="298"/>
      <c r="BU61" s="298"/>
      <c r="BV61" s="298"/>
      <c r="BW61" s="298"/>
      <c r="BX61" s="298"/>
    </row>
    <row r="62" ht="17.0">
      <c r="A62" s="296" t="s">
        <v>32</v>
      </c>
      <c r="B62" s="296" t="s">
        <v>45</v>
      </c>
      <c r="C62" s="296" t="s">
        <v>118</v>
      </c>
      <c r="D62" s="297" t="s">
        <v>119</v>
      </c>
      <c r="F62" s="296">
        <v>0.0</v>
      </c>
      <c r="G62" s="296">
        <v>0.0</v>
      </c>
      <c r="H62" s="296">
        <v>0.0</v>
      </c>
      <c r="I62" s="296">
        <v>0.0</v>
      </c>
      <c r="J62" s="296">
        <v>0.0</v>
      </c>
      <c r="K62" s="296">
        <v>1.0</v>
      </c>
      <c r="L62" s="296">
        <v>1.0</v>
      </c>
      <c r="M62" s="296">
        <v>0.0</v>
      </c>
      <c r="N62" s="296">
        <v>0.0</v>
      </c>
      <c r="O62" s="296">
        <v>2.0</v>
      </c>
      <c r="P62" s="296">
        <v>0.0</v>
      </c>
      <c r="Q62" s="296">
        <v>1.0</v>
      </c>
      <c r="R62" s="296">
        <v>0.0</v>
      </c>
      <c r="S62" s="296">
        <v>0.0</v>
      </c>
      <c r="T62" s="296">
        <v>0.0</v>
      </c>
      <c r="U62" s="296">
        <v>0.0</v>
      </c>
      <c r="V62" s="296">
        <v>0.0</v>
      </c>
      <c r="W62" s="296">
        <v>0.0</v>
      </c>
      <c r="X62" s="296">
        <v>3.0</v>
      </c>
      <c r="Y62" s="296">
        <v>5.0</v>
      </c>
      <c r="Z62" s="296">
        <v>0.0</v>
      </c>
      <c r="AA62" s="296">
        <v>1.0</v>
      </c>
      <c r="AB62" s="296">
        <v>0.0</v>
      </c>
      <c r="AC62" s="296">
        <v>0.0</v>
      </c>
      <c r="AD62" s="296">
        <v>0.0</v>
      </c>
      <c r="AE62" s="296">
        <v>0.0</v>
      </c>
      <c r="AF62" s="296">
        <v>0.0</v>
      </c>
      <c r="AG62" s="296">
        <v>0.0</v>
      </c>
      <c r="AH62" s="296">
        <v>0.0</v>
      </c>
      <c r="AI62" s="296">
        <v>3.0</v>
      </c>
      <c r="AJ62" s="296">
        <v>4.0</v>
      </c>
      <c r="AK62" s="296">
        <v>0.0</v>
      </c>
      <c r="AL62" s="296">
        <v>0.0</v>
      </c>
      <c r="AM62" s="296">
        <v>0.0</v>
      </c>
      <c r="AN62" s="296">
        <v>0.0</v>
      </c>
      <c r="AO62" s="298">
        <f t="shared" si="3"/>
        <v>7.0</v>
      </c>
      <c r="AP62" s="298">
        <f t="shared" si="4"/>
        <v>7.0</v>
      </c>
      <c r="AQ62" s="298">
        <f t="shared" si="5"/>
        <v>7.7</v>
      </c>
      <c r="AR62" s="130">
        <f>AR61</f>
        <v>3.1304347826087</v>
      </c>
      <c r="AS62" s="130">
        <f>AS61</f>
        <v>3.91304347826087</v>
      </c>
      <c r="AT62" s="130">
        <f>AT61</f>
        <v>3.91304347826087</v>
      </c>
      <c r="AU62" s="130">
        <f>AU61</f>
        <v>3.91304347826087</v>
      </c>
      <c r="AV62" s="130">
        <f>AV61</f>
        <v>3.91304347826087</v>
      </c>
      <c r="AW62" s="130">
        <f>AW61</f>
        <v>2.34782608695652</v>
      </c>
      <c r="AX62" s="130">
        <f t="shared" si="12"/>
        <v>21.1304347826087</v>
      </c>
      <c r="AY62" s="23" t="e">
        <f t="shared" si="13"/>
        <v>#REF!</v>
      </c>
      <c r="BB62" s="298" t="e">
        <f t="shared" si="14"/>
        <v>#REF!</v>
      </c>
      <c r="BC62">
        <f>VLOOKUP(C62,MOQ,3,false)</f>
      </c>
      <c r="BE62" s="130" t="s">
        <v>826</v>
      </c>
      <c r="BF62" s="130" t="e">
        <f t="shared" ref="BF62:BF76" si="346">AY62</f>
        <v>#REF!</v>
      </c>
      <c r="BG62" s="130">
        <f t="shared" ref="BG62:BG76" si="347">AR62</f>
        <v>3.1304347826087</v>
      </c>
      <c r="BI62" s="298" t="e">
        <f t="shared" ref="BI62:BI76" si="348">BF62+BH62-BG62</f>
        <v>#REF!</v>
      </c>
      <c r="BJ62" s="298">
        <f t="shared" ref="BJ62:BJ76" si="349">AS62</f>
        <v>3.91304347826087</v>
      </c>
      <c r="BK62" s="298"/>
      <c r="BL62" s="298" t="e">
        <f t="shared" ref="BL62:BL76" si="350">BI62+BK62-BJ62</f>
        <v>#REF!</v>
      </c>
      <c r="BM62" s="298">
        <f t="shared" ref="BM62:BM76" si="351">AT62</f>
        <v>3.91304347826087</v>
      </c>
      <c r="BN62" s="298"/>
      <c r="BO62" s="298" t="e">
        <f t="shared" ref="BO62:BO76" si="352">BL62+BN62-BM62</f>
        <v>#REF!</v>
      </c>
      <c r="BP62" s="298">
        <f t="shared" ref="BP62:BP76" si="353">AU62</f>
        <v>3.91304347826087</v>
      </c>
      <c r="BQ62" s="298"/>
      <c r="BR62" s="298" t="e">
        <f t="shared" ref="BR62:BR76" si="354">BO62+BQ62-BP62</f>
        <v>#REF!</v>
      </c>
      <c r="BS62" s="298">
        <f t="shared" ref="BS62:BS76" si="355">AV62</f>
        <v>3.91304347826087</v>
      </c>
      <c r="BT62" s="298"/>
      <c r="BU62" s="298" t="e">
        <f t="shared" ref="BU62:BU76" si="356">BR62+BT62-BS62</f>
        <v>#REF!</v>
      </c>
      <c r="BV62" s="298">
        <f t="shared" ref="BV62:BV76" si="357">AW62</f>
        <v>2.34782608695652</v>
      </c>
      <c r="BW62" s="298"/>
      <c r="BX62" s="298" t="e">
        <f t="shared" ref="BX62:BX76" si="358">BU62+BW62-BV62</f>
        <v>#REF!</v>
      </c>
      <c r="BZ62" s="23" t="e">
        <f t="shared" ref="BZ62:BZ73" si="359">BX62*-1</f>
        <v>#REF!</v>
      </c>
      <c r="CA62" s="300" t="e">
        <f t="shared" ref="CA62:CA73" si="360">BZ62/6</f>
        <v>#REF!</v>
      </c>
      <c r="CB62" s="130" t="e">
        <f t="shared" ref="CB62:CB73" si="361">ROUNDUP(CA62,0)</f>
        <v>#REF!</v>
      </c>
      <c r="CC62" s="23" t="e">
        <f t="shared" ref="CC62:CC73" si="362">CB62*6</f>
        <v>#REF!</v>
      </c>
    </row>
    <row r="63" ht="17.0">
      <c r="A63" s="296" t="s">
        <v>32</v>
      </c>
      <c r="B63" s="296" t="s">
        <v>110</v>
      </c>
      <c r="C63" s="296" t="s">
        <v>133</v>
      </c>
      <c r="D63" s="297">
        <v>43190.0</v>
      </c>
      <c r="F63" s="296">
        <v>0.0</v>
      </c>
      <c r="G63" s="296">
        <v>0.0</v>
      </c>
      <c r="H63" s="296">
        <v>0.0</v>
      </c>
      <c r="I63" s="296">
        <v>0.0</v>
      </c>
      <c r="J63" s="296">
        <v>0.0</v>
      </c>
      <c r="K63" s="296">
        <v>0.0</v>
      </c>
      <c r="L63" s="296">
        <v>0.0</v>
      </c>
      <c r="M63" s="296">
        <v>0.0</v>
      </c>
      <c r="N63" s="296">
        <v>0.0</v>
      </c>
      <c r="O63" s="296">
        <v>0.0</v>
      </c>
      <c r="P63" s="296">
        <v>6.0</v>
      </c>
      <c r="Q63" s="296">
        <v>18.0</v>
      </c>
      <c r="R63" s="296">
        <v>39.0</v>
      </c>
      <c r="S63" s="296">
        <v>12.0</v>
      </c>
      <c r="T63" s="296">
        <v>21.0</v>
      </c>
      <c r="U63" s="296">
        <v>12.0</v>
      </c>
      <c r="V63" s="296">
        <v>9.0</v>
      </c>
      <c r="W63" s="296">
        <v>6.0</v>
      </c>
      <c r="X63" s="296">
        <v>33.0</v>
      </c>
      <c r="Y63" s="296">
        <v>36.0</v>
      </c>
      <c r="Z63" s="296">
        <v>1.0</v>
      </c>
      <c r="AA63" s="296">
        <v>18.0</v>
      </c>
      <c r="AB63" s="296">
        <v>10.0</v>
      </c>
      <c r="AC63" s="296">
        <v>24.0</v>
      </c>
      <c r="AD63" s="296">
        <v>30.0</v>
      </c>
      <c r="AE63" s="296">
        <v>24.0</v>
      </c>
      <c r="AF63" s="296">
        <v>33.0</v>
      </c>
      <c r="AG63" s="296">
        <v>9.0</v>
      </c>
      <c r="AH63" s="296">
        <v>18.0</v>
      </c>
      <c r="AI63" s="296">
        <v>0.0</v>
      </c>
      <c r="AJ63" s="296">
        <v>9.0</v>
      </c>
      <c r="AK63" s="296">
        <v>3.0</v>
      </c>
      <c r="AL63" s="296">
        <v>24.0</v>
      </c>
      <c r="AM63" s="296">
        <v>12.0</v>
      </c>
      <c r="AN63" s="296">
        <v>15.0</v>
      </c>
      <c r="AO63" s="298">
        <f t="shared" si="3"/>
        <v>201.0</v>
      </c>
      <c r="AP63" s="298">
        <f t="shared" si="4"/>
        <v>63.0</v>
      </c>
      <c r="AQ63" s="298">
        <f t="shared" si="5"/>
        <v>69.3</v>
      </c>
      <c r="AR63" s="130">
        <f>AQ63*$AR$4/$AQ$4</f>
        <v>10.9565217391304</v>
      </c>
      <c r="AS63" s="130">
        <f>AQ63*$AS$4/$AQ$4</f>
        <v>13.695652173913</v>
      </c>
      <c r="AT63" s="130">
        <f>AQ63*$AT$4/$AQ$4</f>
        <v>13.695652173913</v>
      </c>
      <c r="AU63" s="130">
        <f>AQ63*$AU$4/$AQ$4</f>
        <v>13.695652173913</v>
      </c>
      <c r="AV63" s="130">
        <f>AQ63*$AV$4/$AQ$4</f>
        <v>13.695652173913</v>
      </c>
      <c r="AW63" s="130">
        <f>AQ63*$AW$4/$AQ$4</f>
        <v>8.21739130434782</v>
      </c>
      <c r="AX63" s="130">
        <f t="shared" si="12"/>
        <v>73.9565217391302</v>
      </c>
      <c r="AY63" s="23" t="e">
        <f t="shared" si="13"/>
        <v>#REF!</v>
      </c>
      <c r="BB63" s="298" t="e">
        <f t="shared" si="14"/>
        <v>#REF!</v>
      </c>
      <c r="BC63" s="130">
        <f>VLOOKUP(C63,MOQ,3,false)</f>
      </c>
      <c r="BE63" s="130" t="s">
        <v>355</v>
      </c>
      <c r="BF63" s="130" t="e">
        <f t="shared" si="346"/>
        <v>#REF!</v>
      </c>
      <c r="BG63" s="130">
        <f t="shared" si="347"/>
        <v>10.9565217391304</v>
      </c>
      <c r="BI63" s="298" t="e">
        <f t="shared" si="348"/>
        <v>#REF!</v>
      </c>
      <c r="BJ63" s="298">
        <f t="shared" si="349"/>
        <v>13.695652173913</v>
      </c>
      <c r="BK63" s="298"/>
      <c r="BL63" s="298" t="e">
        <f t="shared" si="350"/>
        <v>#REF!</v>
      </c>
      <c r="BM63" s="298">
        <f t="shared" si="351"/>
        <v>13.695652173913</v>
      </c>
      <c r="BN63" s="298"/>
      <c r="BO63" s="298" t="e">
        <f t="shared" si="352"/>
        <v>#REF!</v>
      </c>
      <c r="BP63" s="298">
        <f t="shared" si="353"/>
        <v>13.695652173913</v>
      </c>
      <c r="BQ63" s="298"/>
      <c r="BR63" s="298" t="e">
        <f t="shared" si="354"/>
        <v>#REF!</v>
      </c>
      <c r="BS63" s="298">
        <f t="shared" si="355"/>
        <v>13.695652173913</v>
      </c>
      <c r="BT63" s="298"/>
      <c r="BU63" s="298" t="e">
        <f t="shared" si="356"/>
        <v>#REF!</v>
      </c>
      <c r="BV63" s="298">
        <f t="shared" si="357"/>
        <v>8.21739130434782</v>
      </c>
      <c r="BW63" s="298"/>
      <c r="BX63" s="298" t="e">
        <f t="shared" si="358"/>
        <v>#REF!</v>
      </c>
      <c r="BZ63" s="23" t="e">
        <f t="shared" si="359"/>
        <v>#REF!</v>
      </c>
      <c r="CA63" s="300" t="e">
        <f t="shared" si="360"/>
        <v>#REF!</v>
      </c>
      <c r="CB63" s="130" t="e">
        <f t="shared" si="361"/>
        <v>#REF!</v>
      </c>
      <c r="CC63" s="23" t="e">
        <f t="shared" si="362"/>
        <v>#REF!</v>
      </c>
    </row>
    <row r="64" ht="17.0">
      <c r="A64" s="296" t="s">
        <v>32</v>
      </c>
      <c r="B64" s="296" t="s">
        <v>110</v>
      </c>
      <c r="C64" s="303" t="s">
        <v>124</v>
      </c>
      <c r="D64" s="297">
        <v>43107.0</v>
      </c>
      <c r="F64" s="296">
        <v>0.0</v>
      </c>
      <c r="G64" s="296">
        <v>0.0</v>
      </c>
      <c r="H64" s="296">
        <v>0.0</v>
      </c>
      <c r="I64" s="296">
        <v>0.0</v>
      </c>
      <c r="J64" s="296">
        <v>0.0</v>
      </c>
      <c r="K64" s="296">
        <v>0.0</v>
      </c>
      <c r="L64" s="296">
        <v>0.0</v>
      </c>
      <c r="M64" s="296">
        <v>0.0</v>
      </c>
      <c r="N64" s="296">
        <v>0.0</v>
      </c>
      <c r="O64" s="296">
        <v>0.0</v>
      </c>
      <c r="P64" s="296">
        <v>0.0</v>
      </c>
      <c r="Q64" s="296">
        <v>0.0</v>
      </c>
      <c r="R64" s="296">
        <v>0.0</v>
      </c>
      <c r="S64" s="296">
        <v>0.0</v>
      </c>
      <c r="T64" s="296">
        <v>12.0</v>
      </c>
      <c r="U64" s="296">
        <v>48.0</v>
      </c>
      <c r="V64" s="296">
        <v>9.0</v>
      </c>
      <c r="W64" s="296">
        <v>15.0</v>
      </c>
      <c r="X64" s="296">
        <v>12.0</v>
      </c>
      <c r="Y64" s="296">
        <v>12.0</v>
      </c>
      <c r="Z64" s="296">
        <v>10.0</v>
      </c>
      <c r="AA64" s="296">
        <v>24.0</v>
      </c>
      <c r="AB64" s="296">
        <v>15.0</v>
      </c>
      <c r="AC64" s="296">
        <v>15.0</v>
      </c>
      <c r="AD64" s="296">
        <v>18.0</v>
      </c>
      <c r="AE64" s="296">
        <v>27.0</v>
      </c>
      <c r="AF64" s="296">
        <v>24.0</v>
      </c>
      <c r="AG64" s="296">
        <v>12.0</v>
      </c>
      <c r="AH64" s="296">
        <v>42.0</v>
      </c>
      <c r="AI64" s="296">
        <v>27.0</v>
      </c>
      <c r="AJ64" s="296">
        <v>0.0</v>
      </c>
      <c r="AK64" s="296">
        <v>0.0</v>
      </c>
      <c r="AL64" s="296">
        <v>18.0</v>
      </c>
      <c r="AM64" s="296">
        <v>18.0</v>
      </c>
      <c r="AN64" s="296">
        <v>21.0</v>
      </c>
      <c r="AO64" s="298">
        <f t="shared" si="3"/>
        <v>222.0</v>
      </c>
      <c r="AP64" s="298">
        <f t="shared" si="4"/>
        <v>84.0</v>
      </c>
      <c r="AQ64" s="298">
        <f t="shared" si="5"/>
        <v>92.4</v>
      </c>
      <c r="AR64" s="130">
        <f t="shared" ref="AR64:AR69" si="369">AQ64*$AR$4/$AQ$4+3*$AR$61</f>
        <v>24.0</v>
      </c>
      <c r="AS64" s="130">
        <f t="shared" ref="AS64:AS69" si="370">AQ64*$AS$4/$AQ$4+3*$AS$61</f>
        <v>29.9999999999999</v>
      </c>
      <c r="AT64" s="130">
        <f t="shared" ref="AT64:AT69" si="371">AQ64*$AT$4/$AQ$4+3*$AT$61</f>
        <v>29.9999999999999</v>
      </c>
      <c r="AU64" s="130">
        <f t="shared" ref="AU64:AU69" si="372">AQ64*$AU$4/$AQ$4+3*$AU$61</f>
        <v>29.9999999999999</v>
      </c>
      <c r="AV64" s="130">
        <f t="shared" ref="AV64:AV69" si="373">AQ64*$AV$4/$AQ$4+3*$AV$61</f>
        <v>29.9999999999999</v>
      </c>
      <c r="AW64" s="130">
        <f t="shared" ref="AW64:AW69" si="374">AQ64*$AW$4/$AQ$4+3*$AW$61</f>
        <v>18.0</v>
      </c>
      <c r="AX64" s="130">
        <f t="shared" si="12"/>
        <v>162.0</v>
      </c>
      <c r="AY64" s="23" t="e">
        <f t="shared" si="13"/>
        <v>#REF!</v>
      </c>
      <c r="BB64" s="298" t="e">
        <f t="shared" si="14"/>
        <v>#REF!</v>
      </c>
      <c r="BC64" s="130">
        <f>VLOOKUP(C64,MOQ,3,false)</f>
      </c>
      <c r="BE64" s="130" t="s">
        <v>350</v>
      </c>
      <c r="BF64" s="130" t="e">
        <f t="shared" si="346"/>
        <v>#REF!</v>
      </c>
      <c r="BG64" s="130">
        <f t="shared" si="347"/>
        <v>24.0</v>
      </c>
      <c r="BI64" s="298" t="e">
        <f t="shared" si="348"/>
        <v>#REF!</v>
      </c>
      <c r="BJ64" s="298">
        <f t="shared" si="349"/>
        <v>29.9999999999999</v>
      </c>
      <c r="BK64" s="298"/>
      <c r="BL64" s="298" t="e">
        <f t="shared" si="350"/>
        <v>#REF!</v>
      </c>
      <c r="BM64" s="298">
        <f t="shared" si="351"/>
        <v>29.9999999999999</v>
      </c>
      <c r="BN64" s="298"/>
      <c r="BO64" s="298" t="e">
        <f t="shared" si="352"/>
        <v>#REF!</v>
      </c>
      <c r="BP64" s="298">
        <f t="shared" si="353"/>
        <v>29.9999999999999</v>
      </c>
      <c r="BQ64" s="298"/>
      <c r="BR64" s="298" t="e">
        <f t="shared" si="354"/>
        <v>#REF!</v>
      </c>
      <c r="BS64" s="298">
        <f t="shared" si="355"/>
        <v>29.9999999999999</v>
      </c>
      <c r="BT64" s="298"/>
      <c r="BU64" s="298" t="e">
        <f t="shared" si="356"/>
        <v>#REF!</v>
      </c>
      <c r="BV64" s="298">
        <f t="shared" si="357"/>
        <v>18.0</v>
      </c>
      <c r="BW64" s="298"/>
      <c r="BX64" s="298" t="e">
        <f t="shared" si="358"/>
        <v>#REF!</v>
      </c>
      <c r="BZ64" s="23" t="e">
        <f t="shared" si="359"/>
        <v>#REF!</v>
      </c>
      <c r="CA64" s="300" t="e">
        <f t="shared" si="360"/>
        <v>#REF!</v>
      </c>
      <c r="CB64" s="130" t="e">
        <f t="shared" si="361"/>
        <v>#REF!</v>
      </c>
      <c r="CC64" s="23" t="e">
        <f t="shared" si="362"/>
        <v>#REF!</v>
      </c>
    </row>
    <row r="65" ht="17.0">
      <c r="A65" s="296" t="s">
        <v>32</v>
      </c>
      <c r="B65" s="296" t="s">
        <v>110</v>
      </c>
      <c r="C65" s="303" t="s">
        <v>127</v>
      </c>
      <c r="D65" s="297">
        <v>43112.0</v>
      </c>
      <c r="F65" s="296">
        <v>27.0</v>
      </c>
      <c r="G65" s="296">
        <v>15.0</v>
      </c>
      <c r="H65" s="296">
        <v>9.0</v>
      </c>
      <c r="I65" s="296">
        <v>51.0</v>
      </c>
      <c r="J65" s="296">
        <v>39.0</v>
      </c>
      <c r="K65" s="296">
        <v>33.0</v>
      </c>
      <c r="L65" s="296">
        <v>45.0</v>
      </c>
      <c r="M65" s="296">
        <v>33.0</v>
      </c>
      <c r="N65" s="296">
        <v>39.0</v>
      </c>
      <c r="O65" s="296">
        <v>39.0</v>
      </c>
      <c r="P65" s="296">
        <v>36.0</v>
      </c>
      <c r="Q65" s="296">
        <v>33.0</v>
      </c>
      <c r="R65" s="296">
        <v>32.0</v>
      </c>
      <c r="S65" s="296">
        <v>24.0</v>
      </c>
      <c r="T65" s="296">
        <v>48.0</v>
      </c>
      <c r="U65" s="296">
        <v>51.0</v>
      </c>
      <c r="V65" s="296">
        <v>21.0</v>
      </c>
      <c r="W65" s="296">
        <v>33.0</v>
      </c>
      <c r="X65" s="296">
        <v>42.0</v>
      </c>
      <c r="Y65" s="296">
        <v>39.0</v>
      </c>
      <c r="Z65" s="296">
        <v>31.0</v>
      </c>
      <c r="AA65" s="296">
        <v>30.0</v>
      </c>
      <c r="AB65" s="296">
        <v>27.0</v>
      </c>
      <c r="AC65" s="296">
        <v>51.0</v>
      </c>
      <c r="AD65" s="296">
        <v>40.0</v>
      </c>
      <c r="AE65" s="296">
        <v>33.0</v>
      </c>
      <c r="AF65" s="296">
        <v>54.0</v>
      </c>
      <c r="AG65" s="296">
        <v>39.0</v>
      </c>
      <c r="AH65" s="296">
        <v>56.0</v>
      </c>
      <c r="AI65" s="296">
        <v>46.0</v>
      </c>
      <c r="AJ65" s="296">
        <v>66.0</v>
      </c>
      <c r="AK65" s="296">
        <v>12.0</v>
      </c>
      <c r="AL65" s="296">
        <v>51.0</v>
      </c>
      <c r="AM65" s="296">
        <v>21.0</v>
      </c>
      <c r="AN65" s="296">
        <v>33.0</v>
      </c>
      <c r="AO65" s="298">
        <f t="shared" si="3"/>
        <v>502.0</v>
      </c>
      <c r="AP65" s="298">
        <f t="shared" si="4"/>
        <v>229.0</v>
      </c>
      <c r="AQ65" s="298">
        <f t="shared" si="5"/>
        <v>251.9</v>
      </c>
      <c r="AR65" s="130">
        <f t="shared" si="369"/>
        <v>49.2173913043478</v>
      </c>
      <c r="AS65" s="130">
        <f t="shared" si="370"/>
        <v>61.5217391304347</v>
      </c>
      <c r="AT65" s="130">
        <f t="shared" si="371"/>
        <v>61.5217391304347</v>
      </c>
      <c r="AU65" s="130">
        <f t="shared" si="372"/>
        <v>61.5217391304347</v>
      </c>
      <c r="AV65" s="130">
        <f t="shared" si="373"/>
        <v>61.5217391304347</v>
      </c>
      <c r="AW65" s="130">
        <f t="shared" si="374"/>
        <v>36.9130434782609</v>
      </c>
      <c r="AX65" s="130">
        <f t="shared" si="12"/>
        <v>332.21739130434</v>
      </c>
      <c r="AY65" s="23" t="e">
        <f t="shared" si="13"/>
        <v>#REF!</v>
      </c>
      <c r="BB65" s="298" t="e">
        <f t="shared" si="14"/>
        <v>#REF!</v>
      </c>
      <c r="BC65">
        <f>VLOOKUP(C65,MOQ,3,false)</f>
      </c>
      <c r="BE65" s="130" t="s">
        <v>255</v>
      </c>
      <c r="BF65" s="130" t="e">
        <f t="shared" si="346"/>
        <v>#REF!</v>
      </c>
      <c r="BG65" s="130">
        <f t="shared" si="347"/>
        <v>49.2173913043478</v>
      </c>
      <c r="BI65" s="298" t="e">
        <f t="shared" si="348"/>
        <v>#REF!</v>
      </c>
      <c r="BJ65" s="298">
        <f t="shared" si="349"/>
        <v>61.5217391304347</v>
      </c>
      <c r="BK65" s="298"/>
      <c r="BL65" s="298" t="e">
        <f t="shared" si="350"/>
        <v>#REF!</v>
      </c>
      <c r="BM65" s="298">
        <f t="shared" si="351"/>
        <v>61.5217391304347</v>
      </c>
      <c r="BN65" s="298"/>
      <c r="BO65" s="298" t="e">
        <f t="shared" si="352"/>
        <v>#REF!</v>
      </c>
      <c r="BP65" s="298">
        <f t="shared" si="353"/>
        <v>61.5217391304347</v>
      </c>
      <c r="BQ65" s="298"/>
      <c r="BR65" s="298" t="e">
        <f t="shared" si="354"/>
        <v>#REF!</v>
      </c>
      <c r="BS65" s="298">
        <f t="shared" si="355"/>
        <v>61.5217391304347</v>
      </c>
      <c r="BT65" s="298"/>
      <c r="BU65" s="298" t="e">
        <f t="shared" si="356"/>
        <v>#REF!</v>
      </c>
      <c r="BV65" s="298">
        <f t="shared" si="357"/>
        <v>36.9130434782609</v>
      </c>
      <c r="BW65" s="298"/>
      <c r="BX65" s="298" t="e">
        <f t="shared" si="358"/>
        <v>#REF!</v>
      </c>
      <c r="BZ65" s="23" t="e">
        <f t="shared" si="359"/>
        <v>#REF!</v>
      </c>
      <c r="CA65" s="300" t="e">
        <f t="shared" si="360"/>
        <v>#REF!</v>
      </c>
      <c r="CB65" s="130" t="e">
        <f t="shared" si="361"/>
        <v>#REF!</v>
      </c>
      <c r="CC65" s="23" t="e">
        <f t="shared" si="362"/>
        <v>#REF!</v>
      </c>
    </row>
    <row r="66" ht="17.0">
      <c r="A66" s="296" t="s">
        <v>32</v>
      </c>
      <c r="B66" s="296" t="s">
        <v>110</v>
      </c>
      <c r="C66" s="303" t="s">
        <v>121</v>
      </c>
      <c r="D66" s="297">
        <v>43104.0</v>
      </c>
      <c r="F66" s="296">
        <v>30.0</v>
      </c>
      <c r="G66" s="296">
        <v>15.0</v>
      </c>
      <c r="H66" s="296">
        <v>6.0</v>
      </c>
      <c r="I66" s="296">
        <v>39.0</v>
      </c>
      <c r="J66" s="296">
        <v>15.0</v>
      </c>
      <c r="K66" s="296">
        <v>30.0</v>
      </c>
      <c r="L66" s="296">
        <v>30.0</v>
      </c>
      <c r="M66" s="296">
        <v>39.0</v>
      </c>
      <c r="N66" s="296">
        <v>12.0</v>
      </c>
      <c r="O66" s="296">
        <v>27.0</v>
      </c>
      <c r="P66" s="296">
        <v>24.0</v>
      </c>
      <c r="Q66" s="296">
        <v>27.0</v>
      </c>
      <c r="R66" s="296">
        <v>24.0</v>
      </c>
      <c r="S66" s="296">
        <v>15.0</v>
      </c>
      <c r="T66" s="296">
        <v>15.0</v>
      </c>
      <c r="U66" s="296">
        <v>24.0</v>
      </c>
      <c r="V66" s="296">
        <v>12.0</v>
      </c>
      <c r="W66" s="296">
        <v>21.0</v>
      </c>
      <c r="X66" s="296">
        <v>36.0</v>
      </c>
      <c r="Y66" s="296">
        <v>21.0</v>
      </c>
      <c r="Z66" s="296">
        <v>19.0</v>
      </c>
      <c r="AA66" s="296">
        <v>5.0</v>
      </c>
      <c r="AB66" s="296">
        <v>0.0</v>
      </c>
      <c r="AC66" s="296">
        <v>0.0</v>
      </c>
      <c r="AD66" s="296">
        <v>3.0</v>
      </c>
      <c r="AE66" s="296">
        <v>0.0</v>
      </c>
      <c r="AF66" s="296">
        <v>12.0</v>
      </c>
      <c r="AG66" s="296">
        <v>3.0</v>
      </c>
      <c r="AH66" s="296">
        <v>6.0</v>
      </c>
      <c r="AI66" s="296">
        <v>0.0</v>
      </c>
      <c r="AJ66" s="296">
        <v>24.0</v>
      </c>
      <c r="AK66" s="296">
        <v>0.0</v>
      </c>
      <c r="AL66" s="296">
        <v>3.0</v>
      </c>
      <c r="AM66" s="296">
        <v>3.0</v>
      </c>
      <c r="AN66" s="296">
        <v>6.0</v>
      </c>
      <c r="AO66" s="298">
        <f t="shared" si="3"/>
        <v>60.0</v>
      </c>
      <c r="AP66" s="298">
        <f t="shared" si="4"/>
        <v>36.0</v>
      </c>
      <c r="AQ66" s="298">
        <f t="shared" si="5"/>
        <v>39.6</v>
      </c>
      <c r="AR66" s="130">
        <f t="shared" si="369"/>
        <v>15.6521739130434</v>
      </c>
      <c r="AS66" s="130">
        <f t="shared" si="370"/>
        <v>19.5652173913043</v>
      </c>
      <c r="AT66" s="130">
        <f t="shared" si="371"/>
        <v>19.5652173913043</v>
      </c>
      <c r="AU66" s="130">
        <f t="shared" si="372"/>
        <v>19.5652173913043</v>
      </c>
      <c r="AV66" s="130">
        <f t="shared" si="373"/>
        <v>19.5652173913043</v>
      </c>
      <c r="AW66" s="130">
        <f t="shared" si="374"/>
        <v>11.7391304347826</v>
      </c>
      <c r="AX66" s="130">
        <f t="shared" si="12"/>
        <v>105.652173913043</v>
      </c>
      <c r="AY66" s="23" t="e">
        <f t="shared" si="13"/>
        <v>#REF!</v>
      </c>
      <c r="BB66" s="298" t="e">
        <f t="shared" si="14"/>
        <v>#REF!</v>
      </c>
      <c r="BC66">
        <f>VLOOKUP(C66,MOQ,3,false)</f>
      </c>
      <c r="BE66" s="130" t="s">
        <v>350</v>
      </c>
      <c r="BF66" s="130" t="e">
        <f t="shared" si="346"/>
        <v>#REF!</v>
      </c>
      <c r="BG66" s="130">
        <f t="shared" si="347"/>
        <v>15.6521739130434</v>
      </c>
      <c r="BI66" s="298" t="e">
        <f t="shared" si="348"/>
        <v>#REF!</v>
      </c>
      <c r="BJ66" s="298">
        <f t="shared" si="349"/>
        <v>19.5652173913043</v>
      </c>
      <c r="BK66" s="298"/>
      <c r="BL66" s="298" t="e">
        <f t="shared" si="350"/>
        <v>#REF!</v>
      </c>
      <c r="BM66" s="298">
        <f t="shared" si="351"/>
        <v>19.5652173913043</v>
      </c>
      <c r="BN66" s="298"/>
      <c r="BO66" s="298" t="e">
        <f t="shared" si="352"/>
        <v>#REF!</v>
      </c>
      <c r="BP66" s="298">
        <f t="shared" si="353"/>
        <v>19.5652173913043</v>
      </c>
      <c r="BQ66" s="298"/>
      <c r="BR66" s="298" t="e">
        <f t="shared" si="354"/>
        <v>#REF!</v>
      </c>
      <c r="BS66" s="298">
        <f t="shared" si="355"/>
        <v>19.5652173913043</v>
      </c>
      <c r="BT66" s="298"/>
      <c r="BU66" s="298" t="e">
        <f t="shared" si="356"/>
        <v>#REF!</v>
      </c>
      <c r="BV66" s="298">
        <f t="shared" si="357"/>
        <v>11.7391304347826</v>
      </c>
      <c r="BW66" s="298"/>
      <c r="BX66" s="298" t="e">
        <f t="shared" si="358"/>
        <v>#REF!</v>
      </c>
      <c r="BZ66" s="23" t="e">
        <f t="shared" si="359"/>
        <v>#REF!</v>
      </c>
      <c r="CA66" s="300" t="e">
        <f t="shared" si="360"/>
        <v>#REF!</v>
      </c>
      <c r="CB66" s="130" t="e">
        <f t="shared" si="361"/>
        <v>#REF!</v>
      </c>
      <c r="CC66" s="23" t="e">
        <f t="shared" si="362"/>
        <v>#REF!</v>
      </c>
    </row>
    <row r="67" ht="17.0">
      <c r="A67" s="296" t="s">
        <v>32</v>
      </c>
      <c r="B67" s="296" t="s">
        <v>110</v>
      </c>
      <c r="C67" s="303" t="s">
        <v>122</v>
      </c>
      <c r="D67" s="297">
        <v>43105.0</v>
      </c>
      <c r="F67" s="296">
        <v>30.0</v>
      </c>
      <c r="G67" s="296">
        <v>9.0</v>
      </c>
      <c r="H67" s="296">
        <v>0.0</v>
      </c>
      <c r="I67" s="296">
        <v>48.0</v>
      </c>
      <c r="J67" s="296">
        <v>18.0</v>
      </c>
      <c r="K67" s="296">
        <v>27.0</v>
      </c>
      <c r="L67" s="296">
        <v>24.0</v>
      </c>
      <c r="M67" s="296">
        <v>27.0</v>
      </c>
      <c r="N67" s="296">
        <v>18.0</v>
      </c>
      <c r="O67" s="296">
        <v>21.0</v>
      </c>
      <c r="P67" s="296">
        <v>9.0</v>
      </c>
      <c r="Q67" s="296">
        <v>21.0</v>
      </c>
      <c r="R67" s="296">
        <v>24.0</v>
      </c>
      <c r="S67" s="296">
        <v>15.0</v>
      </c>
      <c r="T67" s="296">
        <v>24.0</v>
      </c>
      <c r="U67" s="296">
        <v>36.0</v>
      </c>
      <c r="V67" s="296">
        <v>15.0</v>
      </c>
      <c r="W67" s="296">
        <v>24.0</v>
      </c>
      <c r="X67" s="296">
        <v>30.0</v>
      </c>
      <c r="Y67" s="296">
        <v>34.0</v>
      </c>
      <c r="Z67" s="296">
        <v>19.0</v>
      </c>
      <c r="AA67" s="296">
        <v>24.0</v>
      </c>
      <c r="AB67" s="296">
        <v>21.0</v>
      </c>
      <c r="AC67" s="296">
        <v>27.0</v>
      </c>
      <c r="AD67" s="296">
        <v>21.0</v>
      </c>
      <c r="AE67" s="296">
        <v>42.0</v>
      </c>
      <c r="AF67" s="296">
        <v>24.0</v>
      </c>
      <c r="AG67" s="296">
        <v>33.0</v>
      </c>
      <c r="AH67" s="296">
        <v>0.0</v>
      </c>
      <c r="AI67" s="296">
        <v>0.0</v>
      </c>
      <c r="AJ67" s="296">
        <v>0.0</v>
      </c>
      <c r="AK67" s="296">
        <v>0.0</v>
      </c>
      <c r="AL67" s="296">
        <v>37.0</v>
      </c>
      <c r="AM67" s="296">
        <v>15.0</v>
      </c>
      <c r="AN67" s="296">
        <v>45.0</v>
      </c>
      <c r="AO67" s="298">
        <f t="shared" si="3"/>
        <v>244.0</v>
      </c>
      <c r="AP67" s="298">
        <f t="shared" si="4"/>
        <v>97.0</v>
      </c>
      <c r="AQ67" s="298">
        <f t="shared" si="5"/>
        <v>106.7</v>
      </c>
      <c r="AR67" s="130">
        <f t="shared" si="369"/>
        <v>26.2608695652174</v>
      </c>
      <c r="AS67" s="130">
        <f t="shared" si="370"/>
        <v>32.8260869565217</v>
      </c>
      <c r="AT67" s="130">
        <f t="shared" si="371"/>
        <v>32.8260869565217</v>
      </c>
      <c r="AU67" s="130">
        <f t="shared" si="372"/>
        <v>32.8260869565217</v>
      </c>
      <c r="AV67" s="130">
        <f t="shared" si="373"/>
        <v>32.8260869565217</v>
      </c>
      <c r="AW67" s="130">
        <f t="shared" si="374"/>
        <v>19.695652173913</v>
      </c>
      <c r="AX67" s="130">
        <f t="shared" si="12"/>
        <v>177.260869565217</v>
      </c>
      <c r="AY67" s="23" t="e">
        <f t="shared" si="13"/>
        <v>#REF!</v>
      </c>
      <c r="BB67" s="298" t="e">
        <f t="shared" si="14"/>
        <v>#REF!</v>
      </c>
      <c r="BC67">
        <f>VLOOKUP(C67,MOQ,3,false)</f>
      </c>
      <c r="BE67" s="130" t="s">
        <v>355</v>
      </c>
      <c r="BF67" s="130" t="e">
        <f t="shared" si="346"/>
        <v>#REF!</v>
      </c>
      <c r="BG67" s="130">
        <f t="shared" si="347"/>
        <v>26.2608695652174</v>
      </c>
      <c r="BI67" s="298" t="e">
        <f t="shared" si="348"/>
        <v>#REF!</v>
      </c>
      <c r="BJ67" s="298">
        <f t="shared" si="349"/>
        <v>32.8260869565217</v>
      </c>
      <c r="BK67" s="298"/>
      <c r="BL67" s="298" t="e">
        <f t="shared" si="350"/>
        <v>#REF!</v>
      </c>
      <c r="BM67" s="298">
        <f t="shared" si="351"/>
        <v>32.8260869565217</v>
      </c>
      <c r="BN67" s="298"/>
      <c r="BO67" s="298" t="e">
        <f t="shared" si="352"/>
        <v>#REF!</v>
      </c>
      <c r="BP67" s="298">
        <f t="shared" si="353"/>
        <v>32.8260869565217</v>
      </c>
      <c r="BQ67" s="298"/>
      <c r="BR67" s="298" t="e">
        <f t="shared" si="354"/>
        <v>#REF!</v>
      </c>
      <c r="BS67" s="298">
        <f t="shared" si="355"/>
        <v>32.8260869565217</v>
      </c>
      <c r="BT67" s="298"/>
      <c r="BU67" s="298" t="e">
        <f t="shared" si="356"/>
        <v>#REF!</v>
      </c>
      <c r="BV67" s="298">
        <f t="shared" si="357"/>
        <v>19.695652173913</v>
      </c>
      <c r="BW67" s="298"/>
      <c r="BX67" s="298" t="e">
        <f t="shared" si="358"/>
        <v>#REF!</v>
      </c>
      <c r="BZ67" s="23" t="e">
        <f t="shared" si="359"/>
        <v>#REF!</v>
      </c>
      <c r="CA67" s="300" t="e">
        <f t="shared" si="360"/>
        <v>#REF!</v>
      </c>
      <c r="CB67" s="130" t="e">
        <f t="shared" si="361"/>
        <v>#REF!</v>
      </c>
      <c r="CC67" s="23" t="e">
        <f t="shared" si="362"/>
        <v>#REF!</v>
      </c>
    </row>
    <row r="68" ht="17.0">
      <c r="A68" s="296" t="s">
        <v>32</v>
      </c>
      <c r="B68" s="296" t="s">
        <v>110</v>
      </c>
      <c r="C68" s="303" t="s">
        <v>123</v>
      </c>
      <c r="D68" s="297">
        <v>43106.0</v>
      </c>
      <c r="F68" s="296">
        <v>36.0</v>
      </c>
      <c r="G68" s="296">
        <v>18.0</v>
      </c>
      <c r="H68" s="296">
        <v>24.0</v>
      </c>
      <c r="I68" s="296">
        <v>45.0</v>
      </c>
      <c r="J68" s="296">
        <v>24.0</v>
      </c>
      <c r="K68" s="296">
        <v>39.0</v>
      </c>
      <c r="L68" s="296">
        <v>18.0</v>
      </c>
      <c r="M68" s="296">
        <v>33.0</v>
      </c>
      <c r="N68" s="296">
        <v>28.0</v>
      </c>
      <c r="O68" s="296">
        <v>36.0</v>
      </c>
      <c r="P68" s="296">
        <v>33.0</v>
      </c>
      <c r="Q68" s="296">
        <v>45.0</v>
      </c>
      <c r="R68" s="296">
        <v>36.0</v>
      </c>
      <c r="S68" s="296">
        <v>18.0</v>
      </c>
      <c r="T68" s="296">
        <v>27.0</v>
      </c>
      <c r="U68" s="296">
        <v>39.0</v>
      </c>
      <c r="V68" s="296">
        <v>33.0</v>
      </c>
      <c r="W68" s="296">
        <v>21.0</v>
      </c>
      <c r="X68" s="296">
        <v>39.0</v>
      </c>
      <c r="Y68" s="296">
        <v>45.0</v>
      </c>
      <c r="Z68" s="296">
        <v>37.0</v>
      </c>
      <c r="AA68" s="296">
        <v>21.0</v>
      </c>
      <c r="AB68" s="296">
        <v>30.0</v>
      </c>
      <c r="AC68" s="296">
        <v>36.0</v>
      </c>
      <c r="AD68" s="296">
        <v>23.0</v>
      </c>
      <c r="AE68" s="296">
        <v>48.0</v>
      </c>
      <c r="AF68" s="296">
        <v>69.0</v>
      </c>
      <c r="AG68" s="296">
        <v>7.0</v>
      </c>
      <c r="AH68" s="296">
        <v>0.0</v>
      </c>
      <c r="AI68" s="296">
        <v>0.0</v>
      </c>
      <c r="AJ68" s="296">
        <v>1.0</v>
      </c>
      <c r="AK68" s="296">
        <v>0.0</v>
      </c>
      <c r="AL68" s="296">
        <v>33.0</v>
      </c>
      <c r="AM68" s="296">
        <v>18.0</v>
      </c>
      <c r="AN68" s="296">
        <v>15.0</v>
      </c>
      <c r="AO68" s="298">
        <f t="shared" si="3"/>
        <v>250.0</v>
      </c>
      <c r="AP68" s="298">
        <f t="shared" si="4"/>
        <v>67.0</v>
      </c>
      <c r="AQ68" s="298">
        <f t="shared" si="5"/>
        <v>73.7</v>
      </c>
      <c r="AR68" s="130">
        <f t="shared" si="369"/>
        <v>21.0434782608695</v>
      </c>
      <c r="AS68" s="130">
        <f t="shared" si="370"/>
        <v>26.3043478260869</v>
      </c>
      <c r="AT68" s="130">
        <f t="shared" si="371"/>
        <v>26.3043478260869</v>
      </c>
      <c r="AU68" s="130">
        <f t="shared" si="372"/>
        <v>26.3043478260869</v>
      </c>
      <c r="AV68" s="130">
        <f t="shared" si="373"/>
        <v>26.3043478260869</v>
      </c>
      <c r="AW68" s="130">
        <f t="shared" si="374"/>
        <v>15.7826086956521</v>
      </c>
      <c r="AX68" s="130">
        <f t="shared" si="12"/>
        <v>142.043478260869</v>
      </c>
      <c r="AY68" s="23" t="e">
        <f t="shared" si="13"/>
        <v>#REF!</v>
      </c>
      <c r="BB68" s="298" t="e">
        <f t="shared" si="14"/>
        <v>#REF!</v>
      </c>
      <c r="BC68">
        <f>VLOOKUP(C68,MOQ,3,false)</f>
      </c>
      <c r="BE68" s="130" t="s">
        <v>255</v>
      </c>
      <c r="BF68" s="130" t="e">
        <f t="shared" si="346"/>
        <v>#REF!</v>
      </c>
      <c r="BG68" s="130">
        <f t="shared" si="347"/>
        <v>21.0434782608695</v>
      </c>
      <c r="BI68" s="298" t="e">
        <f t="shared" si="348"/>
        <v>#REF!</v>
      </c>
      <c r="BJ68" s="298">
        <f t="shared" si="349"/>
        <v>26.3043478260869</v>
      </c>
      <c r="BK68" s="298"/>
      <c r="BL68" s="298" t="e">
        <f t="shared" si="350"/>
        <v>#REF!</v>
      </c>
      <c r="BM68" s="298">
        <f t="shared" si="351"/>
        <v>26.3043478260869</v>
      </c>
      <c r="BN68" s="298"/>
      <c r="BO68" s="298" t="e">
        <f t="shared" si="352"/>
        <v>#REF!</v>
      </c>
      <c r="BP68" s="298">
        <f t="shared" si="353"/>
        <v>26.3043478260869</v>
      </c>
      <c r="BQ68" s="298"/>
      <c r="BR68" s="298" t="e">
        <f t="shared" si="354"/>
        <v>#REF!</v>
      </c>
      <c r="BS68" s="298">
        <f t="shared" si="355"/>
        <v>26.3043478260869</v>
      </c>
      <c r="BT68" s="298"/>
      <c r="BU68" s="298" t="e">
        <f t="shared" si="356"/>
        <v>#REF!</v>
      </c>
      <c r="BV68" s="298">
        <f t="shared" si="357"/>
        <v>15.7826086956521</v>
      </c>
      <c r="BW68" s="298"/>
      <c r="BX68" s="298" t="e">
        <f t="shared" si="358"/>
        <v>#REF!</v>
      </c>
      <c r="BZ68" s="23" t="e">
        <f t="shared" si="359"/>
        <v>#REF!</v>
      </c>
      <c r="CA68" s="300" t="e">
        <f t="shared" si="360"/>
        <v>#REF!</v>
      </c>
      <c r="CB68" s="130" t="e">
        <f t="shared" si="361"/>
        <v>#REF!</v>
      </c>
      <c r="CC68" s="23" t="e">
        <f t="shared" si="362"/>
        <v>#REF!</v>
      </c>
    </row>
    <row r="69" ht="17.0">
      <c r="A69" s="296" t="s">
        <v>32</v>
      </c>
      <c r="B69" s="296" t="s">
        <v>110</v>
      </c>
      <c r="C69" s="303" t="s">
        <v>120</v>
      </c>
      <c r="D69" s="297">
        <v>43101.0</v>
      </c>
      <c r="F69" s="296">
        <v>21.0</v>
      </c>
      <c r="G69" s="296">
        <v>12.0</v>
      </c>
      <c r="H69" s="296">
        <v>30.0</v>
      </c>
      <c r="I69" s="296">
        <v>39.0</v>
      </c>
      <c r="J69" s="296">
        <v>18.0</v>
      </c>
      <c r="K69" s="296">
        <v>18.0</v>
      </c>
      <c r="L69" s="296">
        <v>27.0</v>
      </c>
      <c r="M69" s="296">
        <v>18.0</v>
      </c>
      <c r="N69" s="296">
        <v>21.0</v>
      </c>
      <c r="O69" s="296">
        <v>24.0</v>
      </c>
      <c r="P69" s="296">
        <v>15.0</v>
      </c>
      <c r="Q69" s="296">
        <v>34.0</v>
      </c>
      <c r="R69" s="296">
        <v>24.0</v>
      </c>
      <c r="S69" s="296">
        <v>15.0</v>
      </c>
      <c r="T69" s="296">
        <v>21.0</v>
      </c>
      <c r="U69" s="296">
        <v>42.0</v>
      </c>
      <c r="V69" s="296">
        <v>12.0</v>
      </c>
      <c r="W69" s="296">
        <v>30.0</v>
      </c>
      <c r="X69" s="296">
        <v>39.0</v>
      </c>
      <c r="Y69" s="296">
        <v>42.0</v>
      </c>
      <c r="Z69" s="296">
        <v>22.0</v>
      </c>
      <c r="AA69" s="296">
        <v>21.0</v>
      </c>
      <c r="AB69" s="296">
        <v>36.0</v>
      </c>
      <c r="AC69" s="296">
        <v>33.0</v>
      </c>
      <c r="AD69" s="296">
        <v>12.0</v>
      </c>
      <c r="AE69" s="296">
        <v>30.0</v>
      </c>
      <c r="AF69" s="296">
        <v>36.0</v>
      </c>
      <c r="AG69" s="296">
        <v>27.0</v>
      </c>
      <c r="AH69" s="296">
        <v>27.0</v>
      </c>
      <c r="AI69" s="296">
        <v>24.0</v>
      </c>
      <c r="AJ69" s="296">
        <v>9.0</v>
      </c>
      <c r="AK69" s="296">
        <v>6.0</v>
      </c>
      <c r="AL69" s="296">
        <v>39.0</v>
      </c>
      <c r="AM69" s="296">
        <v>24.0</v>
      </c>
      <c r="AN69" s="296">
        <v>27.0</v>
      </c>
      <c r="AO69" s="298">
        <f t="shared" si="3"/>
        <v>294.0</v>
      </c>
      <c r="AP69" s="298">
        <f t="shared" si="4"/>
        <v>129.0</v>
      </c>
      <c r="AQ69" s="298">
        <f t="shared" si="5"/>
        <v>141.9</v>
      </c>
      <c r="AR69" s="130">
        <f t="shared" si="369"/>
        <v>31.8260869565218</v>
      </c>
      <c r="AS69" s="130">
        <f t="shared" si="370"/>
        <v>39.7826086956522</v>
      </c>
      <c r="AT69" s="130">
        <f t="shared" si="371"/>
        <v>39.7826086956522</v>
      </c>
      <c r="AU69" s="130">
        <f t="shared" si="372"/>
        <v>39.7826086956522</v>
      </c>
      <c r="AV69" s="130">
        <f t="shared" si="373"/>
        <v>39.7826086956522</v>
      </c>
      <c r="AW69" s="130">
        <f t="shared" si="374"/>
        <v>23.8695652173912</v>
      </c>
      <c r="AX69" s="130">
        <f t="shared" si="12"/>
        <v>214.826086956521</v>
      </c>
      <c r="AY69" s="23" t="e">
        <f t="shared" si="13"/>
        <v>#REF!</v>
      </c>
      <c r="BB69" s="298" t="e">
        <f t="shared" si="14"/>
        <v>#REF!</v>
      </c>
      <c r="BC69">
        <f>VLOOKUP(C69,MOQ,3,false)</f>
      </c>
      <c r="BE69" s="130" t="s">
        <v>350</v>
      </c>
      <c r="BF69" s="130" t="e">
        <f t="shared" si="346"/>
        <v>#REF!</v>
      </c>
      <c r="BG69" s="130">
        <f t="shared" si="347"/>
        <v>31.8260869565218</v>
      </c>
      <c r="BI69" s="298" t="e">
        <f t="shared" si="348"/>
        <v>#REF!</v>
      </c>
      <c r="BJ69" s="298">
        <f t="shared" si="349"/>
        <v>39.7826086956522</v>
      </c>
      <c r="BK69" s="298"/>
      <c r="BL69" s="298" t="e">
        <f t="shared" si="350"/>
        <v>#REF!</v>
      </c>
      <c r="BM69" s="298">
        <f t="shared" si="351"/>
        <v>39.7826086956522</v>
      </c>
      <c r="BN69" s="298"/>
      <c r="BO69" s="298" t="e">
        <f t="shared" si="352"/>
        <v>#REF!</v>
      </c>
      <c r="BP69" s="298">
        <f t="shared" si="353"/>
        <v>39.7826086956522</v>
      </c>
      <c r="BQ69" s="298"/>
      <c r="BR69" s="298" t="e">
        <f t="shared" si="354"/>
        <v>#REF!</v>
      </c>
      <c r="BS69" s="298">
        <f t="shared" si="355"/>
        <v>39.7826086956522</v>
      </c>
      <c r="BT69" s="298"/>
      <c r="BU69" s="298" t="e">
        <f t="shared" si="356"/>
        <v>#REF!</v>
      </c>
      <c r="BV69" s="298">
        <f t="shared" si="357"/>
        <v>23.8695652173912</v>
      </c>
      <c r="BW69" s="298"/>
      <c r="BX69" s="298" t="e">
        <f t="shared" si="358"/>
        <v>#REF!</v>
      </c>
      <c r="BZ69" s="23" t="e">
        <f t="shared" si="359"/>
        <v>#REF!</v>
      </c>
      <c r="CA69" s="300" t="e">
        <f t="shared" si="360"/>
        <v>#REF!</v>
      </c>
      <c r="CB69" s="130" t="e">
        <f t="shared" si="361"/>
        <v>#REF!</v>
      </c>
      <c r="CC69" s="23" t="e">
        <f t="shared" si="362"/>
        <v>#REF!</v>
      </c>
    </row>
    <row r="70" ht="17.0">
      <c r="A70" s="296" t="s">
        <v>32</v>
      </c>
      <c r="B70" s="296" t="s">
        <v>110</v>
      </c>
      <c r="C70" s="296" t="s">
        <v>126</v>
      </c>
      <c r="D70" s="297">
        <v>43111.0</v>
      </c>
      <c r="F70" s="296">
        <v>0.0</v>
      </c>
      <c r="G70" s="296">
        <v>0.0</v>
      </c>
      <c r="H70" s="296">
        <v>0.0</v>
      </c>
      <c r="I70" s="296">
        <v>0.0</v>
      </c>
      <c r="J70" s="296">
        <v>0.0</v>
      </c>
      <c r="K70" s="296">
        <v>0.0</v>
      </c>
      <c r="L70" s="296">
        <v>0.0</v>
      </c>
      <c r="M70" s="296">
        <v>0.0</v>
      </c>
      <c r="N70" s="296">
        <v>0.0</v>
      </c>
      <c r="O70" s="296">
        <v>0.0</v>
      </c>
      <c r="P70" s="296">
        <v>0.0</v>
      </c>
      <c r="Q70" s="296">
        <v>0.0</v>
      </c>
      <c r="R70" s="296">
        <v>0.0</v>
      </c>
      <c r="S70" s="296">
        <v>0.0</v>
      </c>
      <c r="T70" s="296">
        <v>9.0</v>
      </c>
      <c r="U70" s="296">
        <v>48.0</v>
      </c>
      <c r="V70" s="296">
        <v>21.0</v>
      </c>
      <c r="W70" s="296">
        <v>39.0</v>
      </c>
      <c r="X70" s="296">
        <v>49.0</v>
      </c>
      <c r="Y70" s="296">
        <v>27.0</v>
      </c>
      <c r="Z70" s="296">
        <v>31.0</v>
      </c>
      <c r="AA70" s="296">
        <v>33.0</v>
      </c>
      <c r="AB70" s="296">
        <v>27.0</v>
      </c>
      <c r="AC70" s="296">
        <v>18.0</v>
      </c>
      <c r="AD70" s="296">
        <v>30.0</v>
      </c>
      <c r="AE70" s="296">
        <v>27.0</v>
      </c>
      <c r="AF70" s="296">
        <v>30.0</v>
      </c>
      <c r="AG70" s="296">
        <v>24.0</v>
      </c>
      <c r="AH70" s="296">
        <v>33.0</v>
      </c>
      <c r="AI70" s="296">
        <v>21.0</v>
      </c>
      <c r="AJ70" s="296">
        <v>54.0</v>
      </c>
      <c r="AK70" s="296">
        <v>12.0</v>
      </c>
      <c r="AL70" s="296">
        <v>0.0</v>
      </c>
      <c r="AM70" s="296">
        <v>0.0</v>
      </c>
      <c r="AN70" s="296">
        <v>0.0</v>
      </c>
      <c r="AO70" s="298">
        <f t="shared" si="3"/>
        <v>249.0</v>
      </c>
      <c r="AP70" s="298">
        <f t="shared" si="4"/>
        <v>87.0</v>
      </c>
      <c r="AQ70" s="298">
        <f t="shared" si="5"/>
        <v>95.7</v>
      </c>
      <c r="AR70" s="130">
        <f>AQ70*$AR$4/$AQ$4</f>
        <v>15.130434782609</v>
      </c>
      <c r="AS70" s="130">
        <f>AQ70*$AS$4/$AQ$4</f>
        <v>18.9130434782609</v>
      </c>
      <c r="AT70" s="130">
        <f>AQ70*$AT$4/$AQ$4</f>
        <v>18.9130434782609</v>
      </c>
      <c r="AU70" s="130">
        <f>AQ70*$AU$4/$AQ$4</f>
        <v>18.9130434782609</v>
      </c>
      <c r="AV70" s="130">
        <f>AQ70*$AV$4/$AQ$4</f>
        <v>18.9130434782609</v>
      </c>
      <c r="AW70" s="130">
        <f>AQ70*$AW$4/$AQ$4</f>
        <v>11.3478260869565</v>
      </c>
      <c r="AX70" s="130">
        <f t="shared" si="12"/>
        <v>102.130434782609</v>
      </c>
      <c r="AY70" s="23" t="e">
        <f t="shared" si="13"/>
        <v>#REF!</v>
      </c>
      <c r="BB70" s="298" t="e">
        <f t="shared" si="14"/>
        <v>#REF!</v>
      </c>
      <c r="BC70">
        <f>VLOOKUP(C70,MOQ,3,false)</f>
      </c>
      <c r="BE70" s="130" t="s">
        <v>826</v>
      </c>
      <c r="BF70" s="130" t="e">
        <f t="shared" si="346"/>
        <v>#REF!</v>
      </c>
      <c r="BG70" s="130">
        <f t="shared" si="347"/>
        <v>15.130434782609</v>
      </c>
      <c r="BI70" s="298" t="e">
        <f t="shared" si="348"/>
        <v>#REF!</v>
      </c>
      <c r="BJ70" s="298">
        <f t="shared" si="349"/>
        <v>18.9130434782609</v>
      </c>
      <c r="BK70" s="298"/>
      <c r="BL70" s="298" t="e">
        <f t="shared" si="350"/>
        <v>#REF!</v>
      </c>
      <c r="BM70" s="298">
        <f t="shared" si="351"/>
        <v>18.9130434782609</v>
      </c>
      <c r="BN70" s="298"/>
      <c r="BO70" s="298" t="e">
        <f t="shared" si="352"/>
        <v>#REF!</v>
      </c>
      <c r="BP70" s="298">
        <f t="shared" si="353"/>
        <v>18.9130434782609</v>
      </c>
      <c r="BQ70" s="298"/>
      <c r="BR70" s="298" t="e">
        <f t="shared" si="354"/>
        <v>#REF!</v>
      </c>
      <c r="BS70" s="298">
        <f t="shared" si="355"/>
        <v>18.9130434782609</v>
      </c>
      <c r="BT70" s="298"/>
      <c r="BU70" s="298" t="e">
        <f t="shared" si="356"/>
        <v>#REF!</v>
      </c>
      <c r="BV70" s="298">
        <f t="shared" si="357"/>
        <v>11.3478260869565</v>
      </c>
      <c r="BW70" s="298"/>
      <c r="BX70" s="298" t="e">
        <f t="shared" si="358"/>
        <v>#REF!</v>
      </c>
      <c r="BZ70" s="23" t="e">
        <f t="shared" si="359"/>
        <v>#REF!</v>
      </c>
      <c r="CA70" s="300" t="e">
        <f t="shared" si="360"/>
        <v>#REF!</v>
      </c>
      <c r="CB70" s="130" t="e">
        <f t="shared" si="361"/>
        <v>#REF!</v>
      </c>
      <c r="CC70" s="23" t="e">
        <f t="shared" si="362"/>
        <v>#REF!</v>
      </c>
    </row>
    <row r="71" ht="17.0">
      <c r="A71" s="296" t="s">
        <v>32</v>
      </c>
      <c r="B71" s="296" t="s">
        <v>110</v>
      </c>
      <c r="C71" s="303" t="s">
        <v>131</v>
      </c>
      <c r="D71" s="297">
        <v>43145.0</v>
      </c>
      <c r="F71" s="296">
        <v>0.0</v>
      </c>
      <c r="G71" s="296">
        <v>0.0</v>
      </c>
      <c r="H71" s="296">
        <v>0.0</v>
      </c>
      <c r="I71" s="296">
        <v>0.0</v>
      </c>
      <c r="J71" s="296">
        <v>0.0</v>
      </c>
      <c r="K71" s="296">
        <v>24.0</v>
      </c>
      <c r="L71" s="296">
        <v>24.0</v>
      </c>
      <c r="M71" s="296">
        <v>24.0</v>
      </c>
      <c r="N71" s="296">
        <v>24.0</v>
      </c>
      <c r="O71" s="296">
        <v>36.0</v>
      </c>
      <c r="P71" s="296">
        <v>15.0</v>
      </c>
      <c r="Q71" s="296">
        <v>18.0</v>
      </c>
      <c r="R71" s="296">
        <v>30.0</v>
      </c>
      <c r="S71" s="296">
        <v>15.0</v>
      </c>
      <c r="T71" s="296">
        <v>18.0</v>
      </c>
      <c r="U71" s="296">
        <v>35.0</v>
      </c>
      <c r="V71" s="296">
        <v>9.0</v>
      </c>
      <c r="W71" s="296">
        <v>15.0</v>
      </c>
      <c r="X71" s="296">
        <v>24.0</v>
      </c>
      <c r="Y71" s="296">
        <v>18.0</v>
      </c>
      <c r="Z71" s="296">
        <v>37.0</v>
      </c>
      <c r="AA71" s="296">
        <v>19.0</v>
      </c>
      <c r="AB71" s="296">
        <v>18.0</v>
      </c>
      <c r="AC71" s="296">
        <v>9.0</v>
      </c>
      <c r="AD71" s="296">
        <v>18.0</v>
      </c>
      <c r="AE71" s="296">
        <v>27.0</v>
      </c>
      <c r="AF71" s="296">
        <v>27.0</v>
      </c>
      <c r="AG71" s="296">
        <v>27.0</v>
      </c>
      <c r="AH71" s="296">
        <v>33.0</v>
      </c>
      <c r="AI71" s="296">
        <v>13.0</v>
      </c>
      <c r="AJ71" s="296">
        <v>0.0</v>
      </c>
      <c r="AK71" s="296">
        <v>3.0</v>
      </c>
      <c r="AL71" s="296">
        <v>30.0</v>
      </c>
      <c r="AM71" s="296">
        <v>12.0</v>
      </c>
      <c r="AN71" s="296">
        <v>24.0</v>
      </c>
      <c r="AO71" s="298">
        <f t="shared" si="3"/>
        <v>223.0</v>
      </c>
      <c r="AP71" s="298">
        <f t="shared" si="4"/>
        <v>82.0</v>
      </c>
      <c r="AQ71" s="298">
        <f t="shared" si="5"/>
        <v>90.2</v>
      </c>
      <c r="AR71" s="130">
        <f>AQ71*$AR$4/$AQ$4+3*$AR$61</f>
        <v>23.6521739130434</v>
      </c>
      <c r="AS71" s="130">
        <f>AQ71*$AS$4/$AQ$4+3*$AS$61</f>
        <v>29.5652173913043</v>
      </c>
      <c r="AT71" s="130">
        <f>AQ71*$AT$4/$AQ$4+3*$AT$61</f>
        <v>29.5652173913043</v>
      </c>
      <c r="AU71" s="130">
        <f>AQ71*$AU$4/$AQ$4+3*$AU$61</f>
        <v>29.5652173913043</v>
      </c>
      <c r="AV71" s="130">
        <f>AQ71*$AV$4/$AQ$4+3*$AV$61</f>
        <v>29.5652173913043</v>
      </c>
      <c r="AW71" s="130">
        <f>AQ71*$AW$4/$AQ$4+3*$AW$61</f>
        <v>17.7391304347826</v>
      </c>
      <c r="AX71" s="130">
        <f t="shared" si="12"/>
        <v>159.652173913043</v>
      </c>
      <c r="AY71" s="23" t="e">
        <f t="shared" si="13"/>
        <v>#REF!</v>
      </c>
      <c r="BB71" s="298" t="e">
        <f t="shared" si="14"/>
        <v>#REF!</v>
      </c>
      <c r="BC71">
        <f>VLOOKUP(C71,MOQ,3,false)</f>
      </c>
      <c r="BE71" s="130" t="s">
        <v>350</v>
      </c>
      <c r="BF71" s="130" t="e">
        <f t="shared" si="346"/>
        <v>#REF!</v>
      </c>
      <c r="BG71" s="130">
        <f t="shared" si="347"/>
        <v>23.6521739130434</v>
      </c>
      <c r="BI71" s="298" t="e">
        <f t="shared" si="348"/>
        <v>#REF!</v>
      </c>
      <c r="BJ71" s="298">
        <f t="shared" si="349"/>
        <v>29.5652173913043</v>
      </c>
      <c r="BK71" s="298"/>
      <c r="BL71" s="298" t="e">
        <f t="shared" si="350"/>
        <v>#REF!</v>
      </c>
      <c r="BM71" s="298">
        <f t="shared" si="351"/>
        <v>29.5652173913043</v>
      </c>
      <c r="BN71" s="298"/>
      <c r="BO71" s="298" t="e">
        <f t="shared" si="352"/>
        <v>#REF!</v>
      </c>
      <c r="BP71" s="298">
        <f t="shared" si="353"/>
        <v>29.5652173913043</v>
      </c>
      <c r="BQ71" s="298"/>
      <c r="BR71" s="298" t="e">
        <f t="shared" si="354"/>
        <v>#REF!</v>
      </c>
      <c r="BS71" s="298">
        <f t="shared" si="355"/>
        <v>29.5652173913043</v>
      </c>
      <c r="BT71" s="298"/>
      <c r="BU71" s="298" t="e">
        <f t="shared" si="356"/>
        <v>#REF!</v>
      </c>
      <c r="BV71" s="298">
        <f t="shared" si="357"/>
        <v>17.7391304347826</v>
      </c>
      <c r="BW71" s="298"/>
      <c r="BX71" s="298" t="e">
        <f t="shared" si="358"/>
        <v>#REF!</v>
      </c>
      <c r="BZ71" s="23" t="e">
        <f t="shared" si="359"/>
        <v>#REF!</v>
      </c>
      <c r="CA71" s="300" t="e">
        <f t="shared" si="360"/>
        <v>#REF!</v>
      </c>
      <c r="CB71" s="130" t="e">
        <f t="shared" si="361"/>
        <v>#REF!</v>
      </c>
      <c r="CC71" s="23" t="e">
        <f t="shared" si="362"/>
        <v>#REF!</v>
      </c>
    </row>
    <row r="72" ht="17.0">
      <c r="A72" s="296" t="s">
        <v>32</v>
      </c>
      <c r="B72" s="296" t="s">
        <v>110</v>
      </c>
      <c r="C72" s="296" t="s">
        <v>130</v>
      </c>
      <c r="D72" s="297">
        <v>43134.0</v>
      </c>
      <c r="F72" s="296">
        <v>0.0</v>
      </c>
      <c r="G72" s="296">
        <v>0.0</v>
      </c>
      <c r="H72" s="296">
        <v>0.0</v>
      </c>
      <c r="I72" s="296">
        <v>0.0</v>
      </c>
      <c r="J72" s="296">
        <v>0.0</v>
      </c>
      <c r="K72" s="296">
        <v>24.0</v>
      </c>
      <c r="L72" s="296">
        <v>33.0</v>
      </c>
      <c r="M72" s="296">
        <v>21.0</v>
      </c>
      <c r="N72" s="296">
        <v>34.0</v>
      </c>
      <c r="O72" s="296">
        <v>24.0</v>
      </c>
      <c r="P72" s="296">
        <v>12.0</v>
      </c>
      <c r="Q72" s="296">
        <v>3.0</v>
      </c>
      <c r="R72" s="296">
        <v>3.0</v>
      </c>
      <c r="S72" s="296">
        <v>3.0</v>
      </c>
      <c r="T72" s="296">
        <v>6.0</v>
      </c>
      <c r="U72" s="296">
        <v>6.0</v>
      </c>
      <c r="V72" s="296">
        <v>4.0</v>
      </c>
      <c r="W72" s="296">
        <v>0.0</v>
      </c>
      <c r="X72" s="296">
        <v>9.0</v>
      </c>
      <c r="Y72" s="296">
        <v>3.0</v>
      </c>
      <c r="Z72" s="296">
        <v>19.0</v>
      </c>
      <c r="AA72" s="296">
        <v>31.0</v>
      </c>
      <c r="AB72" s="296">
        <v>9.0</v>
      </c>
      <c r="AC72" s="296">
        <v>9.0</v>
      </c>
      <c r="AD72" s="296">
        <v>12.0</v>
      </c>
      <c r="AE72" s="296">
        <v>6.0</v>
      </c>
      <c r="AF72" s="296">
        <v>27.0</v>
      </c>
      <c r="AG72" s="296">
        <v>15.0</v>
      </c>
      <c r="AH72" s="296">
        <v>27.0</v>
      </c>
      <c r="AI72" s="296">
        <v>6.0</v>
      </c>
      <c r="AJ72" s="296">
        <v>24.0</v>
      </c>
      <c r="AK72" s="296">
        <v>6.0</v>
      </c>
      <c r="AL72" s="296">
        <v>33.0</v>
      </c>
      <c r="AM72" s="296">
        <v>18.0</v>
      </c>
      <c r="AN72" s="296">
        <v>18.0</v>
      </c>
      <c r="AO72" s="298">
        <f t="shared" si="3"/>
        <v>201.0</v>
      </c>
      <c r="AP72" s="298">
        <f t="shared" si="4"/>
        <v>105.0</v>
      </c>
      <c r="AQ72" s="298">
        <f t="shared" si="5"/>
        <v>115.5</v>
      </c>
      <c r="AR72" s="130">
        <f>AQ72*$AR$4/$AQ$4</f>
        <v>18.2608695652173</v>
      </c>
      <c r="AS72" s="130">
        <f>AQ72*$AS$4/$AQ$4</f>
        <v>22.8260869565217</v>
      </c>
      <c r="AT72" s="130">
        <f>AQ72*$AT$4/$AQ$4</f>
        <v>22.8260869565217</v>
      </c>
      <c r="AU72" s="130">
        <f>AQ72*$AU$4/$AQ$4</f>
        <v>22.8260869565217</v>
      </c>
      <c r="AV72" s="130">
        <f>AQ72*$AV$4/$AQ$4</f>
        <v>22.8260869565217</v>
      </c>
      <c r="AW72" s="130">
        <f>AQ72*$AW$4/$AQ$4</f>
        <v>13.695652173913</v>
      </c>
      <c r="AX72" s="130">
        <f t="shared" si="12"/>
        <v>123.260869565217</v>
      </c>
      <c r="AY72" s="23" t="e">
        <f t="shared" si="13"/>
        <v>#REF!</v>
      </c>
      <c r="BB72" s="298" t="e">
        <f t="shared" si="14"/>
        <v>#REF!</v>
      </c>
      <c r="BC72">
        <f>VLOOKUP(C72,MOQ,3,false)</f>
      </c>
      <c r="BE72" s="130" t="s">
        <v>255</v>
      </c>
      <c r="BF72" s="130" t="e">
        <f t="shared" si="346"/>
        <v>#REF!</v>
      </c>
      <c r="BG72" s="130">
        <f t="shared" si="347"/>
        <v>18.2608695652173</v>
      </c>
      <c r="BI72" s="298" t="e">
        <f t="shared" si="348"/>
        <v>#REF!</v>
      </c>
      <c r="BJ72" s="298">
        <f t="shared" si="349"/>
        <v>22.8260869565217</v>
      </c>
      <c r="BK72" s="298"/>
      <c r="BL72" s="298" t="e">
        <f t="shared" si="350"/>
        <v>#REF!</v>
      </c>
      <c r="BM72" s="298">
        <f t="shared" si="351"/>
        <v>22.8260869565217</v>
      </c>
      <c r="BN72" s="298"/>
      <c r="BO72" s="298" t="e">
        <f t="shared" si="352"/>
        <v>#REF!</v>
      </c>
      <c r="BP72" s="298">
        <f t="shared" si="353"/>
        <v>22.8260869565217</v>
      </c>
      <c r="BQ72" s="298"/>
      <c r="BR72" s="298" t="e">
        <f t="shared" si="354"/>
        <v>#REF!</v>
      </c>
      <c r="BS72" s="298">
        <f t="shared" si="355"/>
        <v>22.8260869565217</v>
      </c>
      <c r="BT72" s="298"/>
      <c r="BU72" s="298" t="e">
        <f t="shared" si="356"/>
        <v>#REF!</v>
      </c>
      <c r="BV72" s="298">
        <f t="shared" si="357"/>
        <v>13.695652173913</v>
      </c>
      <c r="BW72" s="298"/>
      <c r="BX72" s="298" t="e">
        <f t="shared" si="358"/>
        <v>#REF!</v>
      </c>
      <c r="BZ72" s="23" t="e">
        <f t="shared" si="359"/>
        <v>#REF!</v>
      </c>
      <c r="CA72" s="300" t="e">
        <f t="shared" si="360"/>
        <v>#REF!</v>
      </c>
      <c r="CB72" s="130" t="e">
        <f t="shared" si="361"/>
        <v>#REF!</v>
      </c>
      <c r="CC72" s="23" t="e">
        <f t="shared" si="362"/>
        <v>#REF!</v>
      </c>
    </row>
    <row r="73" ht="17.0">
      <c r="A73" s="296" t="s">
        <v>32</v>
      </c>
      <c r="B73" s="296" t="s">
        <v>110</v>
      </c>
      <c r="C73" s="303" t="s">
        <v>132</v>
      </c>
      <c r="D73" s="297">
        <v>43150.0</v>
      </c>
      <c r="F73" s="296">
        <v>0.0</v>
      </c>
      <c r="G73" s="296">
        <v>0.0</v>
      </c>
      <c r="H73" s="296">
        <v>0.0</v>
      </c>
      <c r="I73" s="296">
        <v>0.0</v>
      </c>
      <c r="J73" s="296">
        <v>0.0</v>
      </c>
      <c r="K73" s="296">
        <v>0.0</v>
      </c>
      <c r="L73" s="296">
        <v>0.0</v>
      </c>
      <c r="M73" s="296">
        <v>0.0</v>
      </c>
      <c r="N73" s="296">
        <v>0.0</v>
      </c>
      <c r="O73" s="296">
        <v>0.0</v>
      </c>
      <c r="P73" s="296">
        <v>0.0</v>
      </c>
      <c r="Q73" s="296">
        <v>0.0</v>
      </c>
      <c r="R73" s="296">
        <v>0.0</v>
      </c>
      <c r="S73" s="296">
        <v>0.0</v>
      </c>
      <c r="T73" s="296">
        <v>9.0</v>
      </c>
      <c r="U73" s="296">
        <v>39.0</v>
      </c>
      <c r="V73" s="296">
        <v>9.0</v>
      </c>
      <c r="W73" s="296">
        <v>15.0</v>
      </c>
      <c r="X73" s="296">
        <v>24.0</v>
      </c>
      <c r="Y73" s="296">
        <v>12.0</v>
      </c>
      <c r="Z73" s="296">
        <v>4.0</v>
      </c>
      <c r="AA73" s="296">
        <v>9.0</v>
      </c>
      <c r="AB73" s="296">
        <v>3.0</v>
      </c>
      <c r="AC73" s="296">
        <v>3.0</v>
      </c>
      <c r="AD73" s="296">
        <v>9.0</v>
      </c>
      <c r="AE73" s="296">
        <v>21.0</v>
      </c>
      <c r="AF73" s="296">
        <v>21.0</v>
      </c>
      <c r="AG73" s="296">
        <v>9.0</v>
      </c>
      <c r="AH73" s="296">
        <v>15.0</v>
      </c>
      <c r="AI73" s="296">
        <v>21.0</v>
      </c>
      <c r="AJ73" s="296">
        <v>2.0</v>
      </c>
      <c r="AK73" s="296">
        <v>3.0</v>
      </c>
      <c r="AL73" s="296">
        <v>15.0</v>
      </c>
      <c r="AM73" s="296">
        <v>0.0</v>
      </c>
      <c r="AN73" s="296">
        <v>21.0</v>
      </c>
      <c r="AO73" s="298">
        <f t="shared" si="3"/>
        <v>140.0</v>
      </c>
      <c r="AP73" s="298">
        <f t="shared" si="4"/>
        <v>62.0</v>
      </c>
      <c r="AQ73" s="298">
        <f t="shared" si="5"/>
        <v>68.2</v>
      </c>
      <c r="AR73" s="130">
        <f>AQ73*$AR$4/$AQ$4+3*$AR$61</f>
        <v>20.1739130434782</v>
      </c>
      <c r="AS73" s="130">
        <f>AQ73*$AS$4/$AQ$4+3*$AS$61</f>
        <v>25.2173913043478</v>
      </c>
      <c r="AT73" s="130">
        <f>AQ73*$AT$4/$AQ$4+3*$AT$61</f>
        <v>25.2173913043478</v>
      </c>
      <c r="AU73" s="130">
        <f>AQ73*$AU$4/$AQ$4+3*$AU$61</f>
        <v>25.2173913043478</v>
      </c>
      <c r="AV73" s="130">
        <f>AQ73*$AV$4/$AQ$4+3*$AV$61</f>
        <v>25.2173913043478</v>
      </c>
      <c r="AW73" s="130">
        <f>AQ73*$AW$4/$AQ$4+3*$AW$61</f>
        <v>15.130434782609</v>
      </c>
      <c r="AX73" s="130">
        <f t="shared" si="12"/>
        <v>136.173913043478</v>
      </c>
      <c r="AY73" s="23" t="e">
        <f t="shared" si="13"/>
        <v>#REF!</v>
      </c>
      <c r="BB73" s="298" t="e">
        <f t="shared" si="14"/>
        <v>#REF!</v>
      </c>
      <c r="BC73">
        <f>VLOOKUP(C73,MOQ,3,false)</f>
      </c>
      <c r="BE73" s="130" t="s">
        <v>350</v>
      </c>
      <c r="BF73" s="130" t="e">
        <f t="shared" si="346"/>
        <v>#REF!</v>
      </c>
      <c r="BG73" s="130">
        <f t="shared" si="347"/>
        <v>20.1739130434782</v>
      </c>
      <c r="BI73" s="298" t="e">
        <f t="shared" si="348"/>
        <v>#REF!</v>
      </c>
      <c r="BJ73" s="298">
        <f t="shared" si="349"/>
        <v>25.2173913043478</v>
      </c>
      <c r="BK73" s="298"/>
      <c r="BL73" s="298" t="e">
        <f t="shared" si="350"/>
        <v>#REF!</v>
      </c>
      <c r="BM73" s="298">
        <f t="shared" si="351"/>
        <v>25.2173913043478</v>
      </c>
      <c r="BN73" s="298"/>
      <c r="BO73" s="298" t="e">
        <f t="shared" si="352"/>
        <v>#REF!</v>
      </c>
      <c r="BP73" s="298">
        <f t="shared" si="353"/>
        <v>25.2173913043478</v>
      </c>
      <c r="BQ73" s="298"/>
      <c r="BR73" s="298" t="e">
        <f t="shared" si="354"/>
        <v>#REF!</v>
      </c>
      <c r="BS73" s="298">
        <f t="shared" si="355"/>
        <v>25.2173913043478</v>
      </c>
      <c r="BT73" s="298"/>
      <c r="BU73" s="298" t="e">
        <f t="shared" si="356"/>
        <v>#REF!</v>
      </c>
      <c r="BV73" s="298">
        <f t="shared" si="357"/>
        <v>15.130434782609</v>
      </c>
      <c r="BW73" s="298"/>
      <c r="BX73" s="298" t="e">
        <f t="shared" si="358"/>
        <v>#REF!</v>
      </c>
      <c r="BZ73" s="23" t="e">
        <f t="shared" si="359"/>
        <v>#REF!</v>
      </c>
      <c r="CA73" s="300" t="e">
        <f t="shared" si="360"/>
        <v>#REF!</v>
      </c>
      <c r="CB73" s="130" t="e">
        <f t="shared" si="361"/>
        <v>#REF!</v>
      </c>
      <c r="CC73" s="23" t="e">
        <f t="shared" si="362"/>
        <v>#REF!</v>
      </c>
    </row>
    <row r="74" ht="17.0">
      <c r="A74" s="296" t="s">
        <v>32</v>
      </c>
      <c r="B74" s="296" t="s">
        <v>110</v>
      </c>
      <c r="C74" s="296" t="s">
        <v>128</v>
      </c>
      <c r="D74" s="297">
        <v>43133.0</v>
      </c>
      <c r="F74" s="296">
        <v>0.0</v>
      </c>
      <c r="G74" s="296">
        <v>0.0</v>
      </c>
      <c r="H74" s="296">
        <v>0.0</v>
      </c>
      <c r="I74" s="296">
        <v>0.0</v>
      </c>
      <c r="J74" s="296">
        <v>0.0</v>
      </c>
      <c r="K74" s="296">
        <v>0.0</v>
      </c>
      <c r="L74" s="296">
        <v>0.0</v>
      </c>
      <c r="M74" s="296">
        <v>0.0</v>
      </c>
      <c r="N74" s="296">
        <v>0.0</v>
      </c>
      <c r="O74" s="296">
        <v>0.0</v>
      </c>
      <c r="P74" s="296">
        <v>0.0</v>
      </c>
      <c r="Q74" s="296">
        <v>0.0</v>
      </c>
      <c r="R74" s="296">
        <v>0.0</v>
      </c>
      <c r="S74" s="296">
        <v>0.0</v>
      </c>
      <c r="T74" s="296">
        <v>6.0</v>
      </c>
      <c r="U74" s="296">
        <v>39.0</v>
      </c>
      <c r="V74" s="296">
        <v>9.0</v>
      </c>
      <c r="W74" s="296">
        <v>21.0</v>
      </c>
      <c r="X74" s="296">
        <v>15.0</v>
      </c>
      <c r="Y74" s="296">
        <v>15.0</v>
      </c>
      <c r="Z74" s="296">
        <v>4.0</v>
      </c>
      <c r="AA74" s="296">
        <v>18.0</v>
      </c>
      <c r="AB74" s="296">
        <v>9.0</v>
      </c>
      <c r="AC74" s="296">
        <v>9.0</v>
      </c>
      <c r="AD74" s="296">
        <v>9.0</v>
      </c>
      <c r="AE74" s="296">
        <v>6.0</v>
      </c>
      <c r="AF74" s="296">
        <v>12.0</v>
      </c>
      <c r="AG74" s="296">
        <v>18.0</v>
      </c>
      <c r="AH74" s="296">
        <v>29.0</v>
      </c>
      <c r="AI74" s="296">
        <v>0.0</v>
      </c>
      <c r="AJ74" s="296">
        <v>0.0</v>
      </c>
      <c r="AK74" s="296">
        <v>3.0</v>
      </c>
      <c r="AL74" s="296">
        <v>15.0</v>
      </c>
      <c r="AM74" s="296">
        <v>9.0</v>
      </c>
      <c r="AN74" s="296">
        <v>6.0</v>
      </c>
      <c r="AO74" s="298">
        <f t="shared" si="3"/>
        <v>116.0</v>
      </c>
      <c r="AP74" s="298">
        <f t="shared" si="4"/>
        <v>33.0</v>
      </c>
      <c r="AQ74" s="298">
        <f t="shared" si="5"/>
        <v>36.3</v>
      </c>
      <c r="AR74" s="130">
        <f t="shared" ref="AR74:AR75" si="399">AQ74*$AR$4/$AQ$4</f>
        <v>5.7391304347826</v>
      </c>
      <c r="AS74" s="130">
        <f t="shared" ref="AS74:AS75" si="400">AQ74*$AS$4/$AQ$4</f>
        <v>7.17391304347826</v>
      </c>
      <c r="AT74" s="130">
        <f t="shared" ref="AT74:AT76" si="401">AQ74*$AT$4/$AQ$4</f>
        <v>7.17391304347826</v>
      </c>
      <c r="AU74" s="130">
        <f t="shared" ref="AU74:AU76" si="402">AQ74*$AU$4/$AQ$4</f>
        <v>7.17391304347826</v>
      </c>
      <c r="AV74" s="130">
        <f t="shared" ref="AV74:AV76" si="403">AQ74*$AV$4/$AQ$4</f>
        <v>7.17391304347826</v>
      </c>
      <c r="AW74" s="130">
        <f t="shared" ref="AW74:AW76" si="404">AQ74*$AW$4/$AQ$4</f>
        <v>4.30434782608696</v>
      </c>
      <c r="AX74" s="130">
        <f t="shared" si="12"/>
        <v>38.7391304347826</v>
      </c>
      <c r="AY74" s="23" t="e">
        <f t="shared" si="13"/>
        <v>#REF!</v>
      </c>
      <c r="BB74" s="298" t="e">
        <f t="shared" si="14"/>
        <v>#REF!</v>
      </c>
      <c r="BC74">
        <f>VLOOKUP(C74,MOQ,3,false)</f>
      </c>
      <c r="BF74" s="130" t="e">
        <f t="shared" si="346"/>
        <v>#REF!</v>
      </c>
      <c r="BG74" s="130">
        <f t="shared" si="347"/>
        <v>5.7391304347826</v>
      </c>
      <c r="BI74" s="298" t="e">
        <f t="shared" si="348"/>
        <v>#REF!</v>
      </c>
      <c r="BJ74" s="298">
        <f t="shared" si="349"/>
        <v>7.17391304347826</v>
      </c>
      <c r="BK74" s="298"/>
      <c r="BL74" s="298" t="e">
        <f t="shared" si="350"/>
        <v>#REF!</v>
      </c>
      <c r="BM74" s="298">
        <f t="shared" si="351"/>
        <v>7.17391304347826</v>
      </c>
      <c r="BN74" s="298"/>
      <c r="BO74" s="298" t="e">
        <f t="shared" si="352"/>
        <v>#REF!</v>
      </c>
      <c r="BP74" s="298">
        <f t="shared" si="353"/>
        <v>7.17391304347826</v>
      </c>
      <c r="BQ74" s="298"/>
      <c r="BR74" s="298" t="e">
        <f t="shared" si="354"/>
        <v>#REF!</v>
      </c>
      <c r="BS74" s="298">
        <f t="shared" si="355"/>
        <v>7.17391304347826</v>
      </c>
      <c r="BT74" s="298"/>
      <c r="BU74" s="298" t="e">
        <f t="shared" si="356"/>
        <v>#REF!</v>
      </c>
      <c r="BV74" s="298">
        <f t="shared" si="357"/>
        <v>4.30434782608696</v>
      </c>
      <c r="BW74" s="298"/>
      <c r="BX74" s="298" t="e">
        <f t="shared" si="358"/>
        <v>#REF!</v>
      </c>
    </row>
    <row r="75" ht="17.0">
      <c r="A75" s="296" t="s">
        <v>32</v>
      </c>
      <c r="B75" s="296" t="s">
        <v>110</v>
      </c>
      <c r="C75" s="296" t="s">
        <v>125</v>
      </c>
      <c r="D75" s="297">
        <v>43110.0</v>
      </c>
      <c r="F75" s="296">
        <v>3.0</v>
      </c>
      <c r="G75" s="296">
        <v>0.0</v>
      </c>
      <c r="H75" s="296">
        <v>0.0</v>
      </c>
      <c r="I75" s="296">
        <v>54.0</v>
      </c>
      <c r="J75" s="296">
        <v>45.0</v>
      </c>
      <c r="K75" s="296">
        <v>51.0</v>
      </c>
      <c r="L75" s="296">
        <v>30.0</v>
      </c>
      <c r="M75" s="296">
        <v>36.0</v>
      </c>
      <c r="N75" s="296">
        <v>34.0</v>
      </c>
      <c r="O75" s="296">
        <v>42.0</v>
      </c>
      <c r="P75" s="296">
        <v>60.0</v>
      </c>
      <c r="Q75" s="296">
        <v>54.0</v>
      </c>
      <c r="R75" s="296">
        <v>66.0</v>
      </c>
      <c r="S75" s="296">
        <v>33.0</v>
      </c>
      <c r="T75" s="296">
        <v>51.0</v>
      </c>
      <c r="U75" s="296">
        <v>55.0</v>
      </c>
      <c r="V75" s="296">
        <v>48.0</v>
      </c>
      <c r="W75" s="296">
        <v>27.0</v>
      </c>
      <c r="X75" s="296">
        <v>50.0</v>
      </c>
      <c r="Y75" s="296">
        <v>42.0</v>
      </c>
      <c r="Z75" s="296">
        <v>55.0</v>
      </c>
      <c r="AA75" s="296">
        <v>42.0</v>
      </c>
      <c r="AB75" s="296">
        <v>45.0</v>
      </c>
      <c r="AC75" s="296">
        <v>24.0</v>
      </c>
      <c r="AD75" s="296">
        <v>57.0</v>
      </c>
      <c r="AE75" s="296">
        <v>63.0</v>
      </c>
      <c r="AF75" s="296">
        <v>63.0</v>
      </c>
      <c r="AG75" s="296">
        <v>42.0</v>
      </c>
      <c r="AH75" s="296">
        <v>11.0</v>
      </c>
      <c r="AI75" s="296">
        <v>0.0</v>
      </c>
      <c r="AJ75" s="296">
        <v>0.0</v>
      </c>
      <c r="AK75" s="296">
        <v>0.0</v>
      </c>
      <c r="AL75" s="296">
        <v>0.0</v>
      </c>
      <c r="AM75" s="296">
        <v>0.0</v>
      </c>
      <c r="AN75" s="296">
        <v>6.0</v>
      </c>
      <c r="AO75" s="298">
        <f t="shared" si="3"/>
        <v>266.0</v>
      </c>
      <c r="AP75" s="298">
        <f t="shared" si="4"/>
        <v>6.0</v>
      </c>
      <c r="AQ75" s="298">
        <f t="shared" si="5"/>
        <v>6.6</v>
      </c>
      <c r="AR75" s="130">
        <f t="shared" si="399"/>
        <v>1.04347826086957</v>
      </c>
      <c r="AS75" s="130">
        <f t="shared" si="400"/>
        <v>1.30434782608696</v>
      </c>
      <c r="AT75" s="130">
        <f t="shared" si="401"/>
        <v>1.30434782608696</v>
      </c>
      <c r="AU75" s="130">
        <f t="shared" si="402"/>
        <v>1.30434782608696</v>
      </c>
      <c r="AV75" s="130">
        <f t="shared" si="403"/>
        <v>1.30434782608696</v>
      </c>
      <c r="AW75" s="130">
        <f t="shared" si="404"/>
        <v>0.782608695652174</v>
      </c>
      <c r="AX75" s="130">
        <f t="shared" si="12"/>
        <v>7.04347826086958</v>
      </c>
      <c r="AY75" s="23" t="e">
        <f t="shared" si="13"/>
        <v>#REF!</v>
      </c>
      <c r="BB75" s="298" t="e">
        <f t="shared" si="14"/>
        <v>#REF!</v>
      </c>
      <c r="BC75">
        <f>VLOOKUP(C75,MOQ,3,false)</f>
      </c>
      <c r="BF75" s="130" t="e">
        <f t="shared" si="346"/>
        <v>#REF!</v>
      </c>
      <c r="BG75" s="130">
        <f t="shared" si="347"/>
        <v>1.04347826086957</v>
      </c>
      <c r="BI75" s="298" t="e">
        <f t="shared" si="348"/>
        <v>#REF!</v>
      </c>
      <c r="BJ75" s="298">
        <f t="shared" si="349"/>
        <v>1.30434782608696</v>
      </c>
      <c r="BK75" s="298"/>
      <c r="BL75" s="298" t="e">
        <f t="shared" si="350"/>
        <v>#REF!</v>
      </c>
      <c r="BM75" s="298">
        <f t="shared" si="351"/>
        <v>1.30434782608696</v>
      </c>
      <c r="BN75" s="298"/>
      <c r="BO75" s="298" t="e">
        <f t="shared" si="352"/>
        <v>#REF!</v>
      </c>
      <c r="BP75" s="298">
        <f t="shared" si="353"/>
        <v>1.30434782608696</v>
      </c>
      <c r="BQ75" s="298"/>
      <c r="BR75" s="298" t="e">
        <f t="shared" si="354"/>
        <v>#REF!</v>
      </c>
      <c r="BS75" s="298">
        <f t="shared" si="355"/>
        <v>1.30434782608696</v>
      </c>
      <c r="BT75" s="298"/>
      <c r="BU75" s="298" t="e">
        <f t="shared" si="356"/>
        <v>#REF!</v>
      </c>
      <c r="BV75" s="298">
        <f t="shared" si="357"/>
        <v>0.782608695652174</v>
      </c>
      <c r="BW75" s="298"/>
      <c r="BX75" s="298" t="e">
        <f t="shared" si="358"/>
        <v>#REF!</v>
      </c>
    </row>
    <row r="76" ht="17.0">
      <c r="A76" s="296" t="s">
        <v>32</v>
      </c>
      <c r="B76" s="296" t="s">
        <v>81</v>
      </c>
      <c r="C76" s="296" t="s">
        <v>99</v>
      </c>
      <c r="D76" s="297" t="s">
        <v>100</v>
      </c>
      <c r="F76" s="296">
        <v>0.0</v>
      </c>
      <c r="G76" s="296">
        <v>1.0</v>
      </c>
      <c r="H76" s="296">
        <v>2.0</v>
      </c>
      <c r="I76" s="296">
        <v>0.0</v>
      </c>
      <c r="J76" s="296">
        <v>0.0</v>
      </c>
      <c r="K76" s="296">
        <v>1.0</v>
      </c>
      <c r="L76" s="296">
        <v>1.0</v>
      </c>
      <c r="M76" s="296">
        <v>0.0</v>
      </c>
      <c r="N76" s="296">
        <v>1.0</v>
      </c>
      <c r="O76" s="296">
        <v>0.0</v>
      </c>
      <c r="P76" s="296">
        <v>0.0</v>
      </c>
      <c r="Q76" s="296">
        <v>1.0</v>
      </c>
      <c r="R76" s="296">
        <v>0.0</v>
      </c>
      <c r="S76" s="296">
        <v>0.0</v>
      </c>
      <c r="T76" s="296">
        <v>1.0</v>
      </c>
      <c r="U76" s="296">
        <v>0.0</v>
      </c>
      <c r="V76" s="296">
        <v>0.0</v>
      </c>
      <c r="W76" s="296">
        <v>0.0</v>
      </c>
      <c r="X76" s="296">
        <v>1.0</v>
      </c>
      <c r="Y76" s="296">
        <v>0.0</v>
      </c>
      <c r="Z76" s="296">
        <v>0.0</v>
      </c>
      <c r="AA76" s="296">
        <v>1.0</v>
      </c>
      <c r="AB76" s="296">
        <v>0.0</v>
      </c>
      <c r="AC76" s="296">
        <v>0.0</v>
      </c>
      <c r="AD76" s="296">
        <v>0.0</v>
      </c>
      <c r="AE76" s="296">
        <v>1.0</v>
      </c>
      <c r="AF76" s="296">
        <v>0.0</v>
      </c>
      <c r="AG76" s="296">
        <v>0.0</v>
      </c>
      <c r="AH76" s="296">
        <v>0.0</v>
      </c>
      <c r="AI76" s="296">
        <v>0.0</v>
      </c>
      <c r="AJ76" s="296">
        <v>1.0</v>
      </c>
      <c r="AK76" s="296">
        <v>0.0</v>
      </c>
      <c r="AL76" s="296">
        <v>0.0</v>
      </c>
      <c r="AM76" s="296">
        <v>0.0</v>
      </c>
      <c r="AN76" s="296">
        <v>0.0</v>
      </c>
      <c r="AO76" s="298">
        <f t="shared" si="3"/>
        <v>2.0</v>
      </c>
      <c r="AP76" s="298">
        <f t="shared" si="4"/>
        <v>1.0</v>
      </c>
      <c r="AQ76" s="298">
        <f t="shared" si="5"/>
        <v>1.1</v>
      </c>
      <c r="AR76" s="298">
        <f>AR77</f>
        <v>1.0</v>
      </c>
      <c r="AS76" s="298">
        <f>AS77</f>
        <v>1.0</v>
      </c>
      <c r="AT76" s="130">
        <f t="shared" si="401"/>
        <v>0.217391304347826</v>
      </c>
      <c r="AU76" s="130">
        <f t="shared" si="402"/>
        <v>0.217391304347826</v>
      </c>
      <c r="AV76" s="130">
        <f t="shared" si="403"/>
        <v>0.217391304347826</v>
      </c>
      <c r="AW76" s="130">
        <f t="shared" si="404"/>
        <v>0.130434782608696</v>
      </c>
      <c r="AX76" s="130">
        <f t="shared" si="12"/>
        <v>2.78260869565217</v>
      </c>
      <c r="AY76" s="23" t="e">
        <f t="shared" si="13"/>
        <v>#REF!</v>
      </c>
      <c r="BB76" s="298" t="e">
        <f t="shared" si="14"/>
        <v>#REF!</v>
      </c>
      <c r="BC76">
        <f>VLOOKUP(C76,MOQ,3,false)</f>
      </c>
      <c r="BF76" s="130" t="e">
        <f t="shared" si="346"/>
        <v>#REF!</v>
      </c>
      <c r="BG76" s="130">
        <f t="shared" si="347"/>
        <v>1.0</v>
      </c>
      <c r="BI76" s="298" t="e">
        <f t="shared" si="348"/>
        <v>#REF!</v>
      </c>
      <c r="BJ76" s="298">
        <f t="shared" si="349"/>
        <v>1.0</v>
      </c>
      <c r="BK76" s="298"/>
      <c r="BL76" s="298" t="e">
        <f t="shared" si="350"/>
        <v>#REF!</v>
      </c>
      <c r="BM76" s="298">
        <f t="shared" si="351"/>
        <v>0.217391304347826</v>
      </c>
      <c r="BN76" s="298"/>
      <c r="BO76" s="298" t="e">
        <f t="shared" si="352"/>
        <v>#REF!</v>
      </c>
      <c r="BP76" s="298">
        <f t="shared" si="353"/>
        <v>0.217391304347826</v>
      </c>
      <c r="BQ76" s="298"/>
      <c r="BR76" s="298" t="e">
        <f t="shared" si="354"/>
        <v>#REF!</v>
      </c>
      <c r="BS76" s="298">
        <f t="shared" si="355"/>
        <v>0.217391304347826</v>
      </c>
      <c r="BT76" s="298"/>
      <c r="BU76" s="298" t="e">
        <f t="shared" si="356"/>
        <v>#REF!</v>
      </c>
      <c r="BV76" s="298">
        <f t="shared" si="357"/>
        <v>0.130434782608696</v>
      </c>
      <c r="BW76" s="298"/>
      <c r="BX76" s="298" t="e">
        <f t="shared" si="358"/>
        <v>#REF!</v>
      </c>
    </row>
    <row r="77" ht="17.0">
      <c r="A77" s="296" t="s">
        <v>32</v>
      </c>
      <c r="B77" s="296" t="s">
        <v>81</v>
      </c>
      <c r="C77" s="296" t="s">
        <v>97</v>
      </c>
      <c r="D77" s="297" t="s">
        <v>98</v>
      </c>
      <c r="F77" s="296">
        <v>6.0</v>
      </c>
      <c r="G77" s="296">
        <v>4.0</v>
      </c>
      <c r="H77" s="296">
        <v>1.0</v>
      </c>
      <c r="I77" s="296">
        <v>0.0</v>
      </c>
      <c r="J77" s="296">
        <v>0.0</v>
      </c>
      <c r="K77" s="296">
        <v>7.0</v>
      </c>
      <c r="L77" s="296">
        <v>2.0</v>
      </c>
      <c r="M77" s="296">
        <v>4.0</v>
      </c>
      <c r="N77" s="296">
        <v>2.0</v>
      </c>
      <c r="O77" s="296">
        <v>0.0</v>
      </c>
      <c r="P77" s="296">
        <v>5.0</v>
      </c>
      <c r="Q77" s="296">
        <v>4.0</v>
      </c>
      <c r="R77" s="296">
        <v>6.0</v>
      </c>
      <c r="S77" s="296">
        <v>4.0</v>
      </c>
      <c r="T77" s="296">
        <v>6.0</v>
      </c>
      <c r="U77" s="296">
        <v>3.0</v>
      </c>
      <c r="V77" s="296">
        <v>0.0</v>
      </c>
      <c r="W77" s="296">
        <v>2.0</v>
      </c>
      <c r="X77" s="296">
        <v>6.0</v>
      </c>
      <c r="Y77" s="296">
        <v>2.0</v>
      </c>
      <c r="Z77" s="296">
        <v>1.0</v>
      </c>
      <c r="AA77" s="296">
        <v>1.0</v>
      </c>
      <c r="AB77" s="296">
        <v>1.0</v>
      </c>
      <c r="AC77" s="296">
        <v>1.0</v>
      </c>
      <c r="AD77" s="296">
        <v>1.0</v>
      </c>
      <c r="AE77" s="296">
        <v>3.0</v>
      </c>
      <c r="AF77" s="296">
        <v>4.0</v>
      </c>
      <c r="AG77" s="296">
        <v>0.0</v>
      </c>
      <c r="AH77" s="296">
        <v>1.0</v>
      </c>
      <c r="AI77" s="296">
        <v>1.0</v>
      </c>
      <c r="AJ77" s="296">
        <v>3.0</v>
      </c>
      <c r="AK77" s="296">
        <v>1.0</v>
      </c>
      <c r="AL77" s="296">
        <v>2.0</v>
      </c>
      <c r="AM77" s="296">
        <v>0.0</v>
      </c>
      <c r="AN77" s="296">
        <v>1.0</v>
      </c>
      <c r="AO77" s="298">
        <f t="shared" si="3"/>
        <v>18.0</v>
      </c>
      <c r="AP77" s="298">
        <f t="shared" si="4"/>
        <v>8.0</v>
      </c>
      <c r="AQ77" s="298">
        <f t="shared" si="5"/>
        <v>8.8</v>
      </c>
      <c r="AR77" s="304">
        <v>1.0</v>
      </c>
      <c r="AS77" s="304">
        <v>1.0</v>
      </c>
      <c r="AT77" s="304">
        <v>0.0</v>
      </c>
      <c r="AU77" s="304">
        <v>0.0</v>
      </c>
      <c r="AV77" s="304">
        <v>0.0</v>
      </c>
      <c r="AW77" s="304">
        <v>0.0</v>
      </c>
      <c r="AX77" s="130">
        <f t="shared" si="12"/>
        <v>2.0</v>
      </c>
      <c r="AY77" s="23" t="e">
        <f t="shared" si="13"/>
        <v>#REF!</v>
      </c>
      <c r="BB77" s="298" t="e">
        <f t="shared" si="14"/>
        <v>#REF!</v>
      </c>
      <c r="BC77">
        <f>VLOOKUP(C77,MOQ,3,false)</f>
      </c>
      <c r="BI77" s="298"/>
      <c r="BJ77" s="298"/>
      <c r="BK77" s="298"/>
      <c r="BL77" s="298"/>
      <c r="BM77" s="298"/>
      <c r="BN77" s="298"/>
      <c r="BO77" s="298"/>
      <c r="BP77" s="298"/>
      <c r="BQ77" s="298"/>
      <c r="BR77" s="298"/>
      <c r="BS77" s="298"/>
      <c r="BT77" s="298"/>
      <c r="BU77" s="298"/>
      <c r="BV77" s="298"/>
      <c r="BW77" s="298"/>
      <c r="BX77" s="298"/>
    </row>
    <row r="78" ht="17.0">
      <c r="A78" s="296" t="s">
        <v>32</v>
      </c>
      <c r="B78" s="296" t="s">
        <v>81</v>
      </c>
      <c r="C78" s="305" t="s">
        <v>101</v>
      </c>
      <c r="D78" s="297">
        <v>43201.0</v>
      </c>
      <c r="F78" s="296">
        <v>15.0</v>
      </c>
      <c r="G78" s="296">
        <v>21.0</v>
      </c>
      <c r="H78" s="296">
        <v>24.0</v>
      </c>
      <c r="I78" s="296">
        <v>15.0</v>
      </c>
      <c r="J78" s="296">
        <v>6.0</v>
      </c>
      <c r="K78" s="296">
        <v>15.0</v>
      </c>
      <c r="L78" s="296">
        <v>6.0</v>
      </c>
      <c r="M78" s="296">
        <v>3.0</v>
      </c>
      <c r="N78" s="296">
        <v>17.0</v>
      </c>
      <c r="O78" s="296">
        <v>12.0</v>
      </c>
      <c r="P78" s="296">
        <v>15.0</v>
      </c>
      <c r="Q78" s="296">
        <v>12.0</v>
      </c>
      <c r="R78" s="296">
        <v>7.0</v>
      </c>
      <c r="S78" s="296">
        <v>3.0</v>
      </c>
      <c r="T78" s="296">
        <v>17.0</v>
      </c>
      <c r="U78" s="296">
        <v>6.0</v>
      </c>
      <c r="V78" s="296">
        <v>3.0</v>
      </c>
      <c r="W78" s="296">
        <v>24.0</v>
      </c>
      <c r="X78" s="296">
        <v>21.0</v>
      </c>
      <c r="Y78" s="296">
        <v>9.0</v>
      </c>
      <c r="Z78" s="296">
        <v>18.0</v>
      </c>
      <c r="AA78" s="296">
        <v>6.0</v>
      </c>
      <c r="AB78" s="296">
        <v>6.0</v>
      </c>
      <c r="AC78" s="296">
        <v>6.0</v>
      </c>
      <c r="AD78" s="296">
        <v>3.0</v>
      </c>
      <c r="AE78" s="296">
        <v>21.0</v>
      </c>
      <c r="AF78" s="296">
        <v>15.0</v>
      </c>
      <c r="AG78" s="296">
        <v>3.0</v>
      </c>
      <c r="AH78" s="296">
        <v>18.0</v>
      </c>
      <c r="AI78" s="296">
        <v>3.0</v>
      </c>
      <c r="AJ78" s="296">
        <v>3.0</v>
      </c>
      <c r="AK78" s="296">
        <v>6.0</v>
      </c>
      <c r="AL78" s="296">
        <v>0.0</v>
      </c>
      <c r="AM78" s="296">
        <v>0.0</v>
      </c>
      <c r="AN78" s="296">
        <v>0.0</v>
      </c>
      <c r="AO78" s="298">
        <f t="shared" si="3"/>
        <v>78.0</v>
      </c>
      <c r="AP78" s="298">
        <f t="shared" si="4"/>
        <v>12.0</v>
      </c>
      <c r="AQ78" s="298">
        <f t="shared" si="5"/>
        <v>13.2</v>
      </c>
      <c r="AR78" s="130">
        <f t="shared" ref="AR78:AR79" si="407">AQ78*$AR$4/$AQ$4+2*$AR$77</f>
        <v>4.08695652173913</v>
      </c>
      <c r="AS78" s="130">
        <f t="shared" ref="AS78:AS79" si="408">AQ78*$AS$4/$AQ$4+2*$AS$77</f>
        <v>4.60869565217391</v>
      </c>
      <c r="AT78" s="130">
        <f t="shared" ref="AT78:AT84" si="409">AQ78*$AT$4/$AQ$4</f>
        <v>2.60869565217391</v>
      </c>
      <c r="AU78" s="130">
        <f t="shared" ref="AU78:AU84" si="410">AQ78*$AU$4/$AQ$4</f>
        <v>2.60869565217391</v>
      </c>
      <c r="AV78" s="130">
        <f t="shared" ref="AV78:AV84" si="411">AQ78*$AV$4/$AQ$4</f>
        <v>2.60869565217391</v>
      </c>
      <c r="AW78" s="130">
        <f t="shared" ref="AW78:AW84" si="412">AQ78*$AW$4/$AQ$4</f>
        <v>1.56521739130434</v>
      </c>
      <c r="AX78" s="130">
        <f t="shared" si="12"/>
        <v>18.0869565217391</v>
      </c>
      <c r="AY78" s="23" t="e">
        <f t="shared" si="13"/>
        <v>#REF!</v>
      </c>
      <c r="BB78" s="298" t="e">
        <f t="shared" si="14"/>
        <v>#REF!</v>
      </c>
      <c r="BC78">
        <f>VLOOKUP(C78,MOQ,3,false)</f>
      </c>
      <c r="BF78" s="130" t="e">
        <f t="shared" ref="BF78:BF83" si="413">AY78</f>
        <v>#REF!</v>
      </c>
      <c r="BG78" s="130">
        <f t="shared" ref="BG78:BG83" si="414">AR78</f>
        <v>4.08695652173913</v>
      </c>
      <c r="BI78" s="298" t="e">
        <f t="shared" ref="BI78:BI83" si="415">BF78+BH78-BG78</f>
        <v>#REF!</v>
      </c>
      <c r="BJ78" s="298">
        <f t="shared" ref="BJ78:BJ83" si="416">AS78</f>
        <v>4.60869565217391</v>
      </c>
      <c r="BK78" s="298"/>
      <c r="BL78" s="298" t="e">
        <f t="shared" ref="BL78:BL83" si="417">BI78+BK78-BJ78</f>
        <v>#REF!</v>
      </c>
      <c r="BM78" s="298">
        <f t="shared" ref="BM78:BM83" si="418">AT78</f>
        <v>2.60869565217391</v>
      </c>
      <c r="BN78" s="298"/>
      <c r="BO78" s="298" t="e">
        <f t="shared" ref="BO78:BO83" si="419">BL78+BN78-BM78</f>
        <v>#REF!</v>
      </c>
      <c r="BP78" s="298">
        <f t="shared" ref="BP78:BP83" si="420">AU78</f>
        <v>2.60869565217391</v>
      </c>
      <c r="BQ78" s="298"/>
      <c r="BR78" s="298" t="e">
        <f t="shared" ref="BR78:BR83" si="421">BO78+BQ78-BP78</f>
        <v>#REF!</v>
      </c>
      <c r="BS78" s="298">
        <f t="shared" ref="BS78:BS83" si="422">AV78</f>
        <v>2.60869565217391</v>
      </c>
      <c r="BT78" s="298"/>
      <c r="BU78" s="298" t="e">
        <f t="shared" ref="BU78:BU83" si="423">BR78+BT78-BS78</f>
        <v>#REF!</v>
      </c>
      <c r="BV78" s="298">
        <f t="shared" ref="BV78:BV83" si="424">AW78</f>
        <v>1.56521739130434</v>
      </c>
      <c r="BW78" s="298"/>
      <c r="BX78" s="298" t="e">
        <f t="shared" ref="BX78:BX83" si="425">BU78+BW78-BV78</f>
        <v>#REF!</v>
      </c>
    </row>
    <row r="79" ht="17.0">
      <c r="A79" s="296" t="s">
        <v>32</v>
      </c>
      <c r="B79" s="296" t="s">
        <v>81</v>
      </c>
      <c r="C79" s="305" t="s">
        <v>104</v>
      </c>
      <c r="D79" s="297">
        <v>43245.0</v>
      </c>
      <c r="F79" s="296">
        <v>0.0</v>
      </c>
      <c r="G79" s="296">
        <v>0.0</v>
      </c>
      <c r="H79" s="296">
        <v>0.0</v>
      </c>
      <c r="I79" s="296">
        <v>0.0</v>
      </c>
      <c r="J79" s="296">
        <v>0.0</v>
      </c>
      <c r="K79" s="296">
        <v>0.0</v>
      </c>
      <c r="L79" s="296">
        <v>0.0</v>
      </c>
      <c r="M79" s="296">
        <v>0.0</v>
      </c>
      <c r="N79" s="296">
        <v>0.0</v>
      </c>
      <c r="O79" s="296">
        <v>0.0</v>
      </c>
      <c r="P79" s="296">
        <v>0.0</v>
      </c>
      <c r="Q79" s="296">
        <v>0.0</v>
      </c>
      <c r="R79" s="296">
        <v>0.0</v>
      </c>
      <c r="S79" s="296">
        <v>0.0</v>
      </c>
      <c r="T79" s="296">
        <v>0.0</v>
      </c>
      <c r="U79" s="296">
        <v>0.0</v>
      </c>
      <c r="V79" s="296">
        <v>3.0</v>
      </c>
      <c r="W79" s="296">
        <v>0.0</v>
      </c>
      <c r="X79" s="296">
        <v>30.0</v>
      </c>
      <c r="Y79" s="296">
        <v>6.0</v>
      </c>
      <c r="Z79" s="296">
        <v>21.0</v>
      </c>
      <c r="AA79" s="296">
        <v>12.0</v>
      </c>
      <c r="AB79" s="296">
        <v>15.0</v>
      </c>
      <c r="AC79" s="296">
        <v>0.0</v>
      </c>
      <c r="AD79" s="296">
        <v>9.0</v>
      </c>
      <c r="AE79" s="296">
        <v>21.0</v>
      </c>
      <c r="AF79" s="296">
        <v>0.0</v>
      </c>
      <c r="AG79" s="296">
        <v>3.0</v>
      </c>
      <c r="AH79" s="296">
        <v>6.0</v>
      </c>
      <c r="AI79" s="296">
        <v>18.0</v>
      </c>
      <c r="AJ79" s="296">
        <v>0.0</v>
      </c>
      <c r="AK79" s="296">
        <v>3.0</v>
      </c>
      <c r="AL79" s="296">
        <v>6.0</v>
      </c>
      <c r="AM79" s="296">
        <v>0.0</v>
      </c>
      <c r="AN79" s="296">
        <v>3.0</v>
      </c>
      <c r="AO79" s="298">
        <f t="shared" si="3"/>
        <v>69.0</v>
      </c>
      <c r="AP79" s="298">
        <f t="shared" si="4"/>
        <v>30.0</v>
      </c>
      <c r="AQ79" s="298">
        <f t="shared" si="5"/>
        <v>33.0</v>
      </c>
      <c r="AR79" s="130">
        <f t="shared" si="407"/>
        <v>7.21739130434782</v>
      </c>
      <c r="AS79" s="130">
        <f t="shared" si="408"/>
        <v>8.52173913043478</v>
      </c>
      <c r="AT79" s="130">
        <f t="shared" si="409"/>
        <v>6.52173913043478</v>
      </c>
      <c r="AU79" s="130">
        <f t="shared" si="410"/>
        <v>6.52173913043478</v>
      </c>
      <c r="AV79" s="130">
        <f t="shared" si="411"/>
        <v>6.52173913043478</v>
      </c>
      <c r="AW79" s="130">
        <f t="shared" si="412"/>
        <v>3.91304347826087</v>
      </c>
      <c r="AX79" s="130">
        <f t="shared" si="12"/>
        <v>39.2173913043478</v>
      </c>
      <c r="AY79" s="23" t="e">
        <f t="shared" si="13"/>
        <v>#REF!</v>
      </c>
      <c r="BB79" s="298" t="e">
        <f t="shared" si="14"/>
        <v>#REF!</v>
      </c>
      <c r="BC79">
        <f>VLOOKUP(C79,MOQ,3,false)</f>
      </c>
      <c r="BE79" s="130" t="s">
        <v>355</v>
      </c>
      <c r="BF79" s="130" t="e">
        <f t="shared" si="413"/>
        <v>#REF!</v>
      </c>
      <c r="BG79" s="130">
        <f t="shared" si="414"/>
        <v>7.21739130434782</v>
      </c>
      <c r="BI79" s="298" t="e">
        <f t="shared" si="415"/>
        <v>#REF!</v>
      </c>
      <c r="BJ79" s="298">
        <f t="shared" si="416"/>
        <v>8.52173913043478</v>
      </c>
      <c r="BK79" s="298"/>
      <c r="BL79" s="298" t="e">
        <f t="shared" si="417"/>
        <v>#REF!</v>
      </c>
      <c r="BM79" s="298">
        <f t="shared" si="418"/>
        <v>6.52173913043478</v>
      </c>
      <c r="BN79" s="298"/>
      <c r="BO79" s="298" t="e">
        <f t="shared" si="419"/>
        <v>#REF!</v>
      </c>
      <c r="BP79" s="298">
        <f t="shared" si="420"/>
        <v>6.52173913043478</v>
      </c>
      <c r="BQ79" s="298"/>
      <c r="BR79" s="298" t="e">
        <f t="shared" si="421"/>
        <v>#REF!</v>
      </c>
      <c r="BS79" s="298">
        <f t="shared" si="422"/>
        <v>6.52173913043478</v>
      </c>
      <c r="BT79" s="298"/>
      <c r="BU79" s="298" t="e">
        <f t="shared" si="423"/>
        <v>#REF!</v>
      </c>
      <c r="BV79" s="298">
        <f t="shared" si="424"/>
        <v>3.91304347826087</v>
      </c>
      <c r="BW79" s="298"/>
      <c r="BX79" s="298" t="e">
        <f t="shared" si="425"/>
        <v>#REF!</v>
      </c>
      <c r="BZ79" s="23" t="e">
        <f t="shared" ref="BZ79:BZ81" si="426">BX79*-1</f>
        <v>#REF!</v>
      </c>
      <c r="CA79" s="300" t="e">
        <f t="shared" ref="CA79:CA81" si="427">BZ79/6</f>
        <v>#REF!</v>
      </c>
      <c r="CB79" s="130" t="e">
        <f t="shared" ref="CB79:CB81" si="428">ROUNDUP(CA79,0)</f>
        <v>#REF!</v>
      </c>
      <c r="CC79" s="23" t="e">
        <f t="shared" ref="CC79:CC81" si="429">CB79*6</f>
        <v>#REF!</v>
      </c>
    </row>
    <row r="80" ht="17.0">
      <c r="A80" s="296" t="s">
        <v>32</v>
      </c>
      <c r="B80" s="296" t="s">
        <v>81</v>
      </c>
      <c r="C80" s="303" t="s">
        <v>107</v>
      </c>
      <c r="D80" s="297">
        <v>43215.0</v>
      </c>
      <c r="F80" s="296">
        <v>15.0</v>
      </c>
      <c r="G80" s="296">
        <v>30.0</v>
      </c>
      <c r="H80" s="296">
        <v>18.0</v>
      </c>
      <c r="I80" s="296">
        <v>21.0</v>
      </c>
      <c r="J80" s="296">
        <v>9.0</v>
      </c>
      <c r="K80" s="296">
        <v>21.0</v>
      </c>
      <c r="L80" s="296">
        <v>21.0</v>
      </c>
      <c r="M80" s="296">
        <v>21.0</v>
      </c>
      <c r="N80" s="296">
        <v>36.0</v>
      </c>
      <c r="O80" s="296">
        <v>15.0</v>
      </c>
      <c r="P80" s="296">
        <v>21.0</v>
      </c>
      <c r="Q80" s="296">
        <v>12.0</v>
      </c>
      <c r="R80" s="296">
        <v>33.0</v>
      </c>
      <c r="S80" s="296">
        <v>9.0</v>
      </c>
      <c r="T80" s="296">
        <v>18.0</v>
      </c>
      <c r="U80" s="296">
        <v>18.0</v>
      </c>
      <c r="V80" s="296">
        <v>12.0</v>
      </c>
      <c r="W80" s="296">
        <v>18.0</v>
      </c>
      <c r="X80" s="296">
        <v>39.0</v>
      </c>
      <c r="Y80" s="296">
        <v>12.0</v>
      </c>
      <c r="Z80" s="296">
        <v>18.0</v>
      </c>
      <c r="AA80" s="296">
        <v>21.0</v>
      </c>
      <c r="AB80" s="296">
        <v>18.0</v>
      </c>
      <c r="AC80" s="296">
        <v>6.0</v>
      </c>
      <c r="AD80" s="296">
        <v>12.0</v>
      </c>
      <c r="AE80" s="296">
        <v>21.0</v>
      </c>
      <c r="AF80" s="296">
        <v>9.0</v>
      </c>
      <c r="AG80" s="296">
        <v>18.0</v>
      </c>
      <c r="AH80" s="296">
        <v>12.0</v>
      </c>
      <c r="AI80" s="296">
        <v>12.0</v>
      </c>
      <c r="AJ80" s="296">
        <v>15.0</v>
      </c>
      <c r="AK80" s="296">
        <v>3.0</v>
      </c>
      <c r="AL80" s="296">
        <v>12.0</v>
      </c>
      <c r="AM80" s="296">
        <v>0.0</v>
      </c>
      <c r="AN80" s="296">
        <v>9.0</v>
      </c>
      <c r="AO80" s="298">
        <f t="shared" si="3"/>
        <v>129.0</v>
      </c>
      <c r="AP80" s="298">
        <f t="shared" si="4"/>
        <v>51.0</v>
      </c>
      <c r="AQ80" s="298">
        <f t="shared" si="5"/>
        <v>56.1</v>
      </c>
      <c r="AR80" s="130">
        <f t="shared" ref="AR80:AR82" si="430">AQ80*$AR$4/$AQ$4+1*$AR$77</f>
        <v>9.8695652173913</v>
      </c>
      <c r="AS80" s="130">
        <f t="shared" ref="AS80:AS82" si="431">AQ80*$AS$4/$AQ$4+1*$AS$77</f>
        <v>12.0869565217391</v>
      </c>
      <c r="AT80" s="130">
        <f t="shared" si="409"/>
        <v>11.0869565217391</v>
      </c>
      <c r="AU80" s="130">
        <f t="shared" si="410"/>
        <v>11.0869565217391</v>
      </c>
      <c r="AV80" s="130">
        <f t="shared" si="411"/>
        <v>11.0869565217391</v>
      </c>
      <c r="AW80" s="130">
        <f t="shared" si="412"/>
        <v>6.6521739130434</v>
      </c>
      <c r="AX80" s="130">
        <f t="shared" si="12"/>
        <v>61.8695652173911</v>
      </c>
      <c r="AY80" s="23" t="e">
        <f t="shared" si="13"/>
        <v>#REF!</v>
      </c>
      <c r="BB80" s="298" t="e">
        <f t="shared" si="14"/>
        <v>#REF!</v>
      </c>
      <c r="BC80">
        <f>VLOOKUP(C80,MOQ,3,false)</f>
      </c>
      <c r="BE80" s="130" t="s">
        <v>255</v>
      </c>
      <c r="BF80" s="130" t="e">
        <f t="shared" si="413"/>
        <v>#REF!</v>
      </c>
      <c r="BG80" s="130">
        <f t="shared" si="414"/>
        <v>9.8695652173913</v>
      </c>
      <c r="BI80" s="298" t="e">
        <f t="shared" si="415"/>
        <v>#REF!</v>
      </c>
      <c r="BJ80" s="298">
        <f t="shared" si="416"/>
        <v>12.0869565217391</v>
      </c>
      <c r="BK80" s="298"/>
      <c r="BL80" s="298" t="e">
        <f t="shared" si="417"/>
        <v>#REF!</v>
      </c>
      <c r="BM80" s="298">
        <f t="shared" si="418"/>
        <v>11.0869565217391</v>
      </c>
      <c r="BN80" s="298"/>
      <c r="BO80" s="298" t="e">
        <f t="shared" si="419"/>
        <v>#REF!</v>
      </c>
      <c r="BP80" s="298">
        <f t="shared" si="420"/>
        <v>11.0869565217391</v>
      </c>
      <c r="BQ80" s="298"/>
      <c r="BR80" s="298" t="e">
        <f t="shared" si="421"/>
        <v>#REF!</v>
      </c>
      <c r="BS80" s="298">
        <f t="shared" si="422"/>
        <v>11.0869565217391</v>
      </c>
      <c r="BT80" s="298"/>
      <c r="BU80" s="298" t="e">
        <f t="shared" si="423"/>
        <v>#REF!</v>
      </c>
      <c r="BV80" s="298">
        <f t="shared" si="424"/>
        <v>6.6521739130434</v>
      </c>
      <c r="BW80" s="298"/>
      <c r="BX80" s="298" t="e">
        <f t="shared" si="425"/>
        <v>#REF!</v>
      </c>
      <c r="BZ80" s="23" t="e">
        <f t="shared" si="426"/>
        <v>#REF!</v>
      </c>
      <c r="CA80" s="300" t="e">
        <f t="shared" si="427"/>
        <v>#REF!</v>
      </c>
      <c r="CB80" s="130" t="e">
        <f t="shared" si="428"/>
        <v>#REF!</v>
      </c>
      <c r="CC80" s="23" t="e">
        <f t="shared" si="429"/>
        <v>#REF!</v>
      </c>
    </row>
    <row r="81" ht="17.0">
      <c r="A81" s="296" t="s">
        <v>32</v>
      </c>
      <c r="B81" s="296" t="s">
        <v>81</v>
      </c>
      <c r="C81" s="303" t="s">
        <v>106</v>
      </c>
      <c r="D81" s="297">
        <v>43206.0</v>
      </c>
      <c r="F81" s="296">
        <v>18.0</v>
      </c>
      <c r="G81" s="296">
        <v>30.0</v>
      </c>
      <c r="H81" s="296">
        <v>24.0</v>
      </c>
      <c r="I81" s="296">
        <v>24.0</v>
      </c>
      <c r="J81" s="296">
        <v>12.0</v>
      </c>
      <c r="K81" s="296">
        <v>24.0</v>
      </c>
      <c r="L81" s="296">
        <v>24.0</v>
      </c>
      <c r="M81" s="296">
        <v>15.0</v>
      </c>
      <c r="N81" s="296">
        <v>39.0</v>
      </c>
      <c r="O81" s="296">
        <v>12.0</v>
      </c>
      <c r="P81" s="296">
        <v>24.0</v>
      </c>
      <c r="Q81" s="296">
        <v>24.0</v>
      </c>
      <c r="R81" s="296">
        <v>40.0</v>
      </c>
      <c r="S81" s="296">
        <v>9.0</v>
      </c>
      <c r="T81" s="296">
        <v>36.0</v>
      </c>
      <c r="U81" s="296">
        <v>30.0</v>
      </c>
      <c r="V81" s="296">
        <v>18.0</v>
      </c>
      <c r="W81" s="296">
        <v>34.0</v>
      </c>
      <c r="X81" s="296">
        <v>24.0</v>
      </c>
      <c r="Y81" s="296">
        <v>12.0</v>
      </c>
      <c r="Z81" s="296">
        <v>30.0</v>
      </c>
      <c r="AA81" s="296">
        <v>24.0</v>
      </c>
      <c r="AB81" s="296">
        <v>18.0</v>
      </c>
      <c r="AC81" s="296">
        <v>12.0</v>
      </c>
      <c r="AD81" s="296">
        <v>6.0</v>
      </c>
      <c r="AE81" s="296">
        <v>21.0</v>
      </c>
      <c r="AF81" s="296">
        <v>6.0</v>
      </c>
      <c r="AG81" s="296">
        <v>15.0</v>
      </c>
      <c r="AH81" s="296">
        <v>24.0</v>
      </c>
      <c r="AI81" s="296">
        <v>9.0</v>
      </c>
      <c r="AJ81" s="296">
        <v>6.0</v>
      </c>
      <c r="AK81" s="296">
        <v>9.0</v>
      </c>
      <c r="AL81" s="296">
        <v>12.0</v>
      </c>
      <c r="AM81" s="296">
        <v>3.0</v>
      </c>
      <c r="AN81" s="296">
        <v>6.0</v>
      </c>
      <c r="AO81" s="298">
        <f t="shared" si="3"/>
        <v>129.0</v>
      </c>
      <c r="AP81" s="298">
        <f t="shared" si="4"/>
        <v>45.0</v>
      </c>
      <c r="AQ81" s="298">
        <f t="shared" si="5"/>
        <v>49.5</v>
      </c>
      <c r="AR81" s="130">
        <f t="shared" si="430"/>
        <v>8.82608695652173</v>
      </c>
      <c r="AS81" s="130">
        <f t="shared" si="431"/>
        <v>10.7826086956521</v>
      </c>
      <c r="AT81" s="130">
        <f t="shared" si="409"/>
        <v>9.78260869565217</v>
      </c>
      <c r="AU81" s="130">
        <f t="shared" si="410"/>
        <v>9.78260869565217</v>
      </c>
      <c r="AV81" s="130">
        <f t="shared" si="411"/>
        <v>9.78260869565217</v>
      </c>
      <c r="AW81" s="130">
        <f t="shared" si="412"/>
        <v>5.8695652173913</v>
      </c>
      <c r="AX81" s="130">
        <f t="shared" si="12"/>
        <v>54.8260869565216</v>
      </c>
      <c r="AY81" s="23" t="e">
        <f t="shared" si="13"/>
        <v>#REF!</v>
      </c>
      <c r="BB81" s="298" t="e">
        <f t="shared" si="14"/>
        <v>#REF!</v>
      </c>
      <c r="BC81">
        <f>VLOOKUP(C81,MOQ,3,false)</f>
      </c>
      <c r="BE81" s="130" t="s">
        <v>255</v>
      </c>
      <c r="BF81" s="130" t="e">
        <f t="shared" si="413"/>
        <v>#REF!</v>
      </c>
      <c r="BG81" s="130">
        <f t="shared" si="414"/>
        <v>8.82608695652173</v>
      </c>
      <c r="BI81" s="298" t="e">
        <f t="shared" si="415"/>
        <v>#REF!</v>
      </c>
      <c r="BJ81" s="298">
        <f t="shared" si="416"/>
        <v>10.7826086956521</v>
      </c>
      <c r="BK81" s="298"/>
      <c r="BL81" s="298" t="e">
        <f t="shared" si="417"/>
        <v>#REF!</v>
      </c>
      <c r="BM81" s="298">
        <f t="shared" si="418"/>
        <v>9.78260869565217</v>
      </c>
      <c r="BN81" s="298"/>
      <c r="BO81" s="298" t="e">
        <f t="shared" si="419"/>
        <v>#REF!</v>
      </c>
      <c r="BP81" s="298">
        <f t="shared" si="420"/>
        <v>9.78260869565217</v>
      </c>
      <c r="BQ81" s="298"/>
      <c r="BR81" s="298" t="e">
        <f t="shared" si="421"/>
        <v>#REF!</v>
      </c>
      <c r="BS81" s="298">
        <f t="shared" si="422"/>
        <v>9.78260869565217</v>
      </c>
      <c r="BT81" s="298"/>
      <c r="BU81" s="298" t="e">
        <f t="shared" si="423"/>
        <v>#REF!</v>
      </c>
      <c r="BV81" s="298">
        <f t="shared" si="424"/>
        <v>5.8695652173913</v>
      </c>
      <c r="BW81" s="298"/>
      <c r="BX81" s="298" t="e">
        <f t="shared" si="425"/>
        <v>#REF!</v>
      </c>
      <c r="BZ81" s="23" t="e">
        <f t="shared" si="426"/>
        <v>#REF!</v>
      </c>
      <c r="CA81" s="300" t="e">
        <f t="shared" si="427"/>
        <v>#REF!</v>
      </c>
      <c r="CB81" s="130" t="e">
        <f t="shared" si="428"/>
        <v>#REF!</v>
      </c>
      <c r="CC81" s="23" t="e">
        <f t="shared" si="429"/>
        <v>#REF!</v>
      </c>
    </row>
    <row r="82" ht="17.0">
      <c r="A82" s="296" t="s">
        <v>32</v>
      </c>
      <c r="B82" s="296" t="s">
        <v>81</v>
      </c>
      <c r="C82" s="303" t="s">
        <v>108</v>
      </c>
      <c r="D82" s="297">
        <v>43232.0</v>
      </c>
      <c r="F82" s="296">
        <v>0.0</v>
      </c>
      <c r="G82" s="296">
        <v>0.0</v>
      </c>
      <c r="H82" s="296">
        <v>0.0</v>
      </c>
      <c r="I82" s="296">
        <v>0.0</v>
      </c>
      <c r="J82" s="296">
        <v>0.0</v>
      </c>
      <c r="K82" s="296">
        <v>13.0</v>
      </c>
      <c r="L82" s="296">
        <v>18.0</v>
      </c>
      <c r="M82" s="296">
        <v>9.0</v>
      </c>
      <c r="N82" s="296">
        <v>24.0</v>
      </c>
      <c r="O82" s="296">
        <v>12.0</v>
      </c>
      <c r="P82" s="296">
        <v>6.0</v>
      </c>
      <c r="Q82" s="296">
        <v>10.0</v>
      </c>
      <c r="R82" s="296">
        <v>18.0</v>
      </c>
      <c r="S82" s="296">
        <v>6.0</v>
      </c>
      <c r="T82" s="296">
        <v>15.0</v>
      </c>
      <c r="U82" s="296">
        <v>21.0</v>
      </c>
      <c r="V82" s="296">
        <v>0.0</v>
      </c>
      <c r="W82" s="296">
        <v>6.0</v>
      </c>
      <c r="X82" s="296">
        <v>15.0</v>
      </c>
      <c r="Y82" s="296">
        <v>12.0</v>
      </c>
      <c r="Z82" s="296">
        <v>6.0</v>
      </c>
      <c r="AA82" s="296">
        <v>0.0</v>
      </c>
      <c r="AB82" s="296">
        <v>6.0</v>
      </c>
      <c r="AC82" s="296">
        <v>0.0</v>
      </c>
      <c r="AD82" s="296">
        <v>6.0</v>
      </c>
      <c r="AE82" s="296">
        <v>15.0</v>
      </c>
      <c r="AF82" s="296">
        <v>0.0</v>
      </c>
      <c r="AG82" s="296">
        <v>3.0</v>
      </c>
      <c r="AH82" s="296">
        <v>12.0</v>
      </c>
      <c r="AI82" s="296">
        <v>0.0</v>
      </c>
      <c r="AJ82" s="296">
        <v>3.0</v>
      </c>
      <c r="AK82" s="296">
        <v>6.0</v>
      </c>
      <c r="AL82" s="296">
        <v>0.0</v>
      </c>
      <c r="AM82" s="296">
        <v>0.0</v>
      </c>
      <c r="AN82" s="296">
        <v>0.0</v>
      </c>
      <c r="AO82" s="298">
        <f t="shared" si="3"/>
        <v>45.0</v>
      </c>
      <c r="AP82" s="298">
        <f t="shared" si="4"/>
        <v>9.0</v>
      </c>
      <c r="AQ82" s="298">
        <f t="shared" si="5"/>
        <v>9.9</v>
      </c>
      <c r="AR82" s="130">
        <f t="shared" si="430"/>
        <v>2.56521739130433</v>
      </c>
      <c r="AS82" s="130">
        <f t="shared" si="431"/>
        <v>2.95652173913043</v>
      </c>
      <c r="AT82" s="130">
        <f t="shared" si="409"/>
        <v>1.95652173913043</v>
      </c>
      <c r="AU82" s="130">
        <f t="shared" si="410"/>
        <v>1.95652173913043</v>
      </c>
      <c r="AV82" s="130">
        <f t="shared" si="411"/>
        <v>1.95652173913043</v>
      </c>
      <c r="AW82" s="130">
        <f t="shared" si="412"/>
        <v>1.17391304347826</v>
      </c>
      <c r="AX82" s="130">
        <f t="shared" si="12"/>
        <v>12.5652173913043</v>
      </c>
      <c r="AY82" s="23" t="e">
        <f t="shared" si="13"/>
        <v>#REF!</v>
      </c>
      <c r="BB82" s="298" t="e">
        <f t="shared" si="14"/>
        <v>#REF!</v>
      </c>
      <c r="BC82">
        <f>VLOOKUP(C82,MOQ,3,false)</f>
      </c>
      <c r="BF82" s="130" t="e">
        <f t="shared" si="413"/>
        <v>#REF!</v>
      </c>
      <c r="BG82" s="130">
        <f t="shared" si="414"/>
        <v>2.56521739130433</v>
      </c>
      <c r="BI82" s="298" t="e">
        <f t="shared" si="415"/>
        <v>#REF!</v>
      </c>
      <c r="BJ82" s="298">
        <f t="shared" si="416"/>
        <v>2.95652173913043</v>
      </c>
      <c r="BK82" s="298"/>
      <c r="BL82" s="298" t="e">
        <f t="shared" si="417"/>
        <v>#REF!</v>
      </c>
      <c r="BM82" s="298">
        <f t="shared" si="418"/>
        <v>1.95652173913043</v>
      </c>
      <c r="BN82" s="298"/>
      <c r="BO82" s="298" t="e">
        <f t="shared" si="419"/>
        <v>#REF!</v>
      </c>
      <c r="BP82" s="298">
        <f t="shared" si="420"/>
        <v>1.95652173913043</v>
      </c>
      <c r="BQ82" s="298"/>
      <c r="BR82" s="298" t="e">
        <f t="shared" si="421"/>
        <v>#REF!</v>
      </c>
      <c r="BS82" s="298">
        <f t="shared" si="422"/>
        <v>1.95652173913043</v>
      </c>
      <c r="BT82" s="298"/>
      <c r="BU82" s="298" t="e">
        <f t="shared" si="423"/>
        <v>#REF!</v>
      </c>
      <c r="BV82" s="298">
        <f t="shared" si="424"/>
        <v>1.17391304347826</v>
      </c>
      <c r="BW82" s="298"/>
      <c r="BX82" s="298" t="e">
        <f t="shared" si="425"/>
        <v>#REF!</v>
      </c>
    </row>
    <row r="83" ht="17.0">
      <c r="A83" s="296" t="s">
        <v>32</v>
      </c>
      <c r="B83" s="296" t="s">
        <v>81</v>
      </c>
      <c r="C83" s="296" t="s">
        <v>102</v>
      </c>
      <c r="D83" s="297">
        <v>43203.0</v>
      </c>
      <c r="F83" s="296">
        <v>21.0</v>
      </c>
      <c r="G83" s="296">
        <v>37.0</v>
      </c>
      <c r="H83" s="296">
        <v>36.0</v>
      </c>
      <c r="I83" s="296">
        <v>9.0</v>
      </c>
      <c r="J83" s="296">
        <v>15.0</v>
      </c>
      <c r="K83" s="296">
        <v>21.0</v>
      </c>
      <c r="L83" s="296">
        <v>18.0</v>
      </c>
      <c r="M83" s="296">
        <v>21.0</v>
      </c>
      <c r="N83" s="296">
        <v>24.0</v>
      </c>
      <c r="O83" s="296">
        <v>6.0</v>
      </c>
      <c r="P83" s="296">
        <v>12.0</v>
      </c>
      <c r="Q83" s="296">
        <v>15.0</v>
      </c>
      <c r="R83" s="296">
        <v>30.0</v>
      </c>
      <c r="S83" s="296">
        <v>9.0</v>
      </c>
      <c r="T83" s="296">
        <v>21.0</v>
      </c>
      <c r="U83" s="296">
        <v>39.0</v>
      </c>
      <c r="V83" s="296">
        <v>6.0</v>
      </c>
      <c r="W83" s="296">
        <v>19.0</v>
      </c>
      <c r="X83" s="296">
        <v>33.0</v>
      </c>
      <c r="Y83" s="296">
        <v>12.0</v>
      </c>
      <c r="Z83" s="296">
        <v>33.0</v>
      </c>
      <c r="AA83" s="296">
        <v>24.0</v>
      </c>
      <c r="AB83" s="296">
        <v>12.0</v>
      </c>
      <c r="AC83" s="296">
        <v>3.0</v>
      </c>
      <c r="AD83" s="296">
        <v>6.0</v>
      </c>
      <c r="AE83" s="296">
        <v>24.0</v>
      </c>
      <c r="AF83" s="296">
        <v>21.0</v>
      </c>
      <c r="AG83" s="296">
        <v>15.0</v>
      </c>
      <c r="AH83" s="296">
        <v>15.0</v>
      </c>
      <c r="AI83" s="296">
        <v>21.0</v>
      </c>
      <c r="AJ83" s="296">
        <v>12.0</v>
      </c>
      <c r="AK83" s="296">
        <v>12.0</v>
      </c>
      <c r="AL83" s="296">
        <v>4.0</v>
      </c>
      <c r="AM83" s="296">
        <v>0.0</v>
      </c>
      <c r="AN83" s="296">
        <v>0.0</v>
      </c>
      <c r="AO83" s="298">
        <f t="shared" si="3"/>
        <v>133.0</v>
      </c>
      <c r="AP83" s="298">
        <f t="shared" si="4"/>
        <v>49.0</v>
      </c>
      <c r="AQ83" s="298">
        <f t="shared" si="5"/>
        <v>53.9</v>
      </c>
      <c r="AR83" s="130">
        <f t="shared" ref="AR83:AR84" si="432">AQ83*$AR$4/$AQ$4</f>
        <v>8.52173913043478</v>
      </c>
      <c r="AS83" s="130">
        <f t="shared" ref="AS83:AS84" si="433">AQ83*$AS$4/$AQ$4</f>
        <v>10.6521739130434</v>
      </c>
      <c r="AT83" s="130">
        <f t="shared" si="409"/>
        <v>10.6521739130434</v>
      </c>
      <c r="AU83" s="130">
        <f t="shared" si="410"/>
        <v>10.6521739130434</v>
      </c>
      <c r="AV83" s="130">
        <f t="shared" si="411"/>
        <v>10.6521739130434</v>
      </c>
      <c r="AW83" s="130">
        <f t="shared" si="412"/>
        <v>6.39130434782609</v>
      </c>
      <c r="AX83" s="130">
        <f t="shared" si="12"/>
        <v>57.5217391304344</v>
      </c>
      <c r="AY83" s="23" t="e">
        <f t="shared" si="13"/>
        <v>#REF!</v>
      </c>
      <c r="BB83" s="298" t="e">
        <f t="shared" si="14"/>
        <v>#REF!</v>
      </c>
      <c r="BC83">
        <f>VLOOKUP(C83,MOQ,3,false)</f>
      </c>
      <c r="BE83" s="130" t="s">
        <v>826</v>
      </c>
      <c r="BF83" s="130" t="e">
        <f t="shared" si="413"/>
        <v>#REF!</v>
      </c>
      <c r="BG83" s="130">
        <f t="shared" si="414"/>
        <v>8.52173913043478</v>
      </c>
      <c r="BI83" s="298" t="e">
        <f t="shared" si="415"/>
        <v>#REF!</v>
      </c>
      <c r="BJ83" s="298">
        <f t="shared" si="416"/>
        <v>10.6521739130434</v>
      </c>
      <c r="BK83" s="298"/>
      <c r="BL83" s="298" t="e">
        <f t="shared" si="417"/>
        <v>#REF!</v>
      </c>
      <c r="BM83" s="298">
        <f t="shared" si="418"/>
        <v>10.6521739130434</v>
      </c>
      <c r="BN83" s="298"/>
      <c r="BO83" s="298" t="e">
        <f t="shared" si="419"/>
        <v>#REF!</v>
      </c>
      <c r="BP83" s="298">
        <f t="shared" si="420"/>
        <v>10.6521739130434</v>
      </c>
      <c r="BQ83" s="298"/>
      <c r="BR83" s="298" t="e">
        <f t="shared" si="421"/>
        <v>#REF!</v>
      </c>
      <c r="BS83" s="298">
        <f t="shared" si="422"/>
        <v>10.6521739130434</v>
      </c>
      <c r="BT83" s="298"/>
      <c r="BU83" s="298" t="e">
        <f t="shared" si="423"/>
        <v>#REF!</v>
      </c>
      <c r="BV83" s="298">
        <f t="shared" si="424"/>
        <v>6.39130434782609</v>
      </c>
      <c r="BW83" s="298"/>
      <c r="BX83" s="298" t="e">
        <f t="shared" si="425"/>
        <v>#REF!</v>
      </c>
      <c r="BZ83" s="23" t="e">
        <f>BX83*-1</f>
        <v>#REF!</v>
      </c>
      <c r="CA83" s="300" t="e">
        <f>BZ83/6</f>
        <v>#REF!</v>
      </c>
      <c r="CB83" s="130" t="e">
        <f>ROUNDUP(CA83,0)</f>
        <v>#REF!</v>
      </c>
      <c r="CC83" s="23" t="e">
        <f>CB83*6</f>
        <v>#REF!</v>
      </c>
    </row>
    <row r="84" ht="17.0">
      <c r="A84" s="296" t="s">
        <v>32</v>
      </c>
      <c r="B84" s="296" t="s">
        <v>63</v>
      </c>
      <c r="C84" s="296" t="s">
        <v>66</v>
      </c>
      <c r="D84" s="297" t="s">
        <v>67</v>
      </c>
      <c r="F84" s="296">
        <v>3.0</v>
      </c>
      <c r="G84" s="296">
        <v>6.0</v>
      </c>
      <c r="H84" s="296">
        <v>2.0</v>
      </c>
      <c r="I84" s="296">
        <v>2.0</v>
      </c>
      <c r="J84" s="296">
        <v>0.0</v>
      </c>
      <c r="K84" s="296">
        <v>4.0</v>
      </c>
      <c r="L84" s="296">
        <v>4.0</v>
      </c>
      <c r="M84" s="296">
        <v>1.0</v>
      </c>
      <c r="N84" s="296">
        <v>7.0</v>
      </c>
      <c r="O84" s="296">
        <v>2.0</v>
      </c>
      <c r="P84" s="296">
        <v>0.0</v>
      </c>
      <c r="Q84" s="296">
        <v>1.0</v>
      </c>
      <c r="R84" s="296">
        <v>1.0</v>
      </c>
      <c r="S84" s="296">
        <v>3.0</v>
      </c>
      <c r="T84" s="296">
        <v>0.0</v>
      </c>
      <c r="U84" s="296">
        <v>0.0</v>
      </c>
      <c r="V84" s="296">
        <v>2.0</v>
      </c>
      <c r="W84" s="296">
        <v>1.0</v>
      </c>
      <c r="X84" s="296">
        <v>5.0</v>
      </c>
      <c r="Y84" s="296">
        <v>1.0</v>
      </c>
      <c r="Z84" s="296">
        <v>0.0</v>
      </c>
      <c r="AA84" s="296">
        <v>2.0</v>
      </c>
      <c r="AB84" s="296">
        <v>1.0</v>
      </c>
      <c r="AC84" s="296">
        <v>0.0</v>
      </c>
      <c r="AD84" s="296">
        <v>2.0</v>
      </c>
      <c r="AE84" s="296">
        <v>3.0</v>
      </c>
      <c r="AF84" s="296">
        <v>2.0</v>
      </c>
      <c r="AG84" s="296">
        <v>0.0</v>
      </c>
      <c r="AH84" s="296">
        <v>1.0</v>
      </c>
      <c r="AI84" s="296">
        <v>0.0</v>
      </c>
      <c r="AJ84" s="296">
        <v>1.0</v>
      </c>
      <c r="AK84" s="296">
        <v>0.0</v>
      </c>
      <c r="AL84" s="296">
        <v>2.0</v>
      </c>
      <c r="AM84" s="296">
        <v>1.0</v>
      </c>
      <c r="AN84" s="296">
        <v>3.0</v>
      </c>
      <c r="AO84" s="298">
        <f t="shared" si="3"/>
        <v>15.0</v>
      </c>
      <c r="AP84" s="298">
        <f t="shared" si="4"/>
        <v>7.0</v>
      </c>
      <c r="AQ84" s="298">
        <f t="shared" si="5"/>
        <v>7.7</v>
      </c>
      <c r="AR84" s="299">
        <f t="shared" si="432"/>
        <v>1.21739130434782</v>
      </c>
      <c r="AS84" s="299">
        <f t="shared" si="433"/>
        <v>1.52173913043478</v>
      </c>
      <c r="AT84" s="299">
        <f t="shared" si="409"/>
        <v>1.52173913043478</v>
      </c>
      <c r="AU84" s="299">
        <f t="shared" si="410"/>
        <v>1.52173913043478</v>
      </c>
      <c r="AV84" s="299">
        <f t="shared" si="411"/>
        <v>1.52173913043478</v>
      </c>
      <c r="AW84" s="299">
        <f t="shared" si="412"/>
        <v>0.91304347826087</v>
      </c>
      <c r="AX84" s="130">
        <f t="shared" si="12"/>
        <v>8.2173913043478</v>
      </c>
      <c r="AY84" s="23" t="e">
        <f t="shared" si="13"/>
        <v>#REF!</v>
      </c>
      <c r="BB84" s="298" t="e">
        <f t="shared" si="14"/>
        <v>#REF!</v>
      </c>
      <c r="BC84">
        <f>VLOOKUP(C84,MOQ,3,false)</f>
      </c>
      <c r="BI84" s="298"/>
      <c r="BJ84" s="298"/>
      <c r="BK84" s="298"/>
      <c r="BL84" s="298"/>
      <c r="BM84" s="298"/>
      <c r="BN84" s="298"/>
      <c r="BO84" s="298"/>
      <c r="BP84" s="298"/>
      <c r="BQ84" s="298"/>
      <c r="BR84" s="298"/>
      <c r="BS84" s="298"/>
      <c r="BT84" s="298"/>
      <c r="BU84" s="298"/>
      <c r="BV84" s="298"/>
      <c r="BW84" s="298"/>
      <c r="BX84" s="298"/>
    </row>
    <row r="85" ht="17.0">
      <c r="A85" s="296" t="s">
        <v>32</v>
      </c>
      <c r="B85" s="296" t="s">
        <v>63</v>
      </c>
      <c r="C85" s="296" t="s">
        <v>64</v>
      </c>
      <c r="D85" s="297" t="s">
        <v>65</v>
      </c>
      <c r="F85" s="296">
        <v>0.0</v>
      </c>
      <c r="G85" s="296">
        <v>0.0</v>
      </c>
      <c r="H85" s="296">
        <v>0.0</v>
      </c>
      <c r="I85" s="296">
        <v>2.0</v>
      </c>
      <c r="J85" s="296">
        <v>0.0</v>
      </c>
      <c r="K85" s="296">
        <v>0.0</v>
      </c>
      <c r="L85" s="296">
        <v>0.0</v>
      </c>
      <c r="M85" s="296">
        <v>0.0</v>
      </c>
      <c r="N85" s="296">
        <v>0.0</v>
      </c>
      <c r="O85" s="296">
        <v>0.0</v>
      </c>
      <c r="P85" s="296">
        <v>0.0</v>
      </c>
      <c r="Q85" s="296">
        <v>0.0</v>
      </c>
      <c r="R85" s="296">
        <v>1.0</v>
      </c>
      <c r="S85" s="296">
        <v>0.0</v>
      </c>
      <c r="T85" s="296">
        <v>0.0</v>
      </c>
      <c r="U85" s="296">
        <v>0.0</v>
      </c>
      <c r="V85" s="296">
        <v>0.0</v>
      </c>
      <c r="W85" s="296">
        <v>0.0</v>
      </c>
      <c r="X85" s="296">
        <v>0.0</v>
      </c>
      <c r="Y85" s="296">
        <v>1.0</v>
      </c>
      <c r="Z85" s="296">
        <v>0.0</v>
      </c>
      <c r="AA85" s="296">
        <v>0.0</v>
      </c>
      <c r="AB85" s="296">
        <v>0.0</v>
      </c>
      <c r="AC85" s="296">
        <v>0.0</v>
      </c>
      <c r="AD85" s="296">
        <v>0.0</v>
      </c>
      <c r="AE85" s="296">
        <v>0.0</v>
      </c>
      <c r="AF85" s="296">
        <v>0.0</v>
      </c>
      <c r="AG85" s="296">
        <v>0.0</v>
      </c>
      <c r="AH85" s="296">
        <v>0.0</v>
      </c>
      <c r="AI85" s="296">
        <v>0.0</v>
      </c>
      <c r="AJ85" s="296">
        <v>0.0</v>
      </c>
      <c r="AK85" s="296">
        <v>0.0</v>
      </c>
      <c r="AL85" s="296">
        <v>0.0</v>
      </c>
      <c r="AM85" s="296">
        <v>0.0</v>
      </c>
      <c r="AN85" s="296">
        <v>0.0</v>
      </c>
      <c r="AO85" s="298">
        <f t="shared" si="3"/>
        <v>0.0</v>
      </c>
      <c r="AP85" s="298">
        <f t="shared" si="4"/>
        <v>0.0</v>
      </c>
      <c r="AQ85" s="298">
        <f t="shared" si="5"/>
        <v>0.0</v>
      </c>
      <c r="AR85" s="130">
        <f>AR84</f>
        <v>1.21739130434782</v>
      </c>
      <c r="AS85" s="130">
        <f>AS84</f>
        <v>1.52173913043478</v>
      </c>
      <c r="AT85" s="130">
        <f>AT84</f>
        <v>1.52173913043478</v>
      </c>
      <c r="AU85" s="130">
        <f>AU84</f>
        <v>1.52173913043478</v>
      </c>
      <c r="AV85" s="130">
        <f>AV84</f>
        <v>1.52173913043478</v>
      </c>
      <c r="AW85" s="130">
        <f>AW84</f>
        <v>0.91304347826087</v>
      </c>
      <c r="AX85" s="130">
        <f t="shared" si="12"/>
        <v>8.2173913043478</v>
      </c>
      <c r="AY85" s="23" t="e">
        <f t="shared" si="13"/>
        <v>#REF!</v>
      </c>
      <c r="BB85" s="298" t="e">
        <f t="shared" si="14"/>
        <v>#REF!</v>
      </c>
      <c r="BC85">
        <f>VLOOKUP(C85,MOQ,3,false)</f>
      </c>
      <c r="BF85" s="130" t="e">
        <f t="shared" ref="BF85:BF94" si="444">AY85</f>
        <v>#REF!</v>
      </c>
      <c r="BG85" s="130">
        <f t="shared" ref="BG85:BG94" si="445">AR85</f>
        <v>1.21739130434782</v>
      </c>
      <c r="BI85" s="298" t="e">
        <f t="shared" ref="BI85:BI94" si="446">BF85+BH85-BG85</f>
        <v>#REF!</v>
      </c>
      <c r="BJ85" s="298">
        <f t="shared" ref="BJ85:BJ94" si="447">AS85</f>
        <v>1.52173913043478</v>
      </c>
      <c r="BK85" s="298"/>
      <c r="BL85" s="298" t="e">
        <f t="shared" ref="BL85:BL94" si="448">BI85+BK85-BJ85</f>
        <v>#REF!</v>
      </c>
      <c r="BM85" s="298">
        <f t="shared" ref="BM85:BM94" si="449">AT85</f>
        <v>1.52173913043478</v>
      </c>
      <c r="BN85" s="298"/>
      <c r="BO85" s="298" t="e">
        <f t="shared" ref="BO85:BO94" si="450">BL85+BN85-BM85</f>
        <v>#REF!</v>
      </c>
      <c r="BP85" s="298">
        <f t="shared" ref="BP85:BP94" si="451">AU85</f>
        <v>1.52173913043478</v>
      </c>
      <c r="BQ85" s="298"/>
      <c r="BR85" s="298" t="e">
        <f t="shared" ref="BR85:BR94" si="452">BO85+BQ85-BP85</f>
        <v>#REF!</v>
      </c>
      <c r="BS85" s="298">
        <f t="shared" ref="BS85:BS94" si="453">AV85</f>
        <v>1.52173913043478</v>
      </c>
      <c r="BT85" s="298"/>
      <c r="BU85" s="298" t="e">
        <f t="shared" ref="BU85:BU94" si="454">BR85+BT85-BS85</f>
        <v>#REF!</v>
      </c>
      <c r="BV85" s="298">
        <f t="shared" ref="BV85:BV94" si="455">AW85</f>
        <v>0.91304347826087</v>
      </c>
      <c r="BW85" s="298"/>
      <c r="BX85" s="298" t="e">
        <f t="shared" ref="BX85:BX94" si="456">BU85+BW85-BV85</f>
        <v>#REF!</v>
      </c>
    </row>
    <row r="86" ht="17.0">
      <c r="A86" s="296" t="s">
        <v>32</v>
      </c>
      <c r="B86" s="296" t="s">
        <v>63</v>
      </c>
      <c r="C86" s="296" t="s">
        <v>70</v>
      </c>
      <c r="D86" s="297">
        <v>41205.0</v>
      </c>
      <c r="F86" s="296">
        <v>0.0</v>
      </c>
      <c r="G86" s="296">
        <v>6.0</v>
      </c>
      <c r="H86" s="296">
        <v>10.0</v>
      </c>
      <c r="I86" s="296">
        <v>10.0</v>
      </c>
      <c r="J86" s="296">
        <v>1.0</v>
      </c>
      <c r="K86" s="296">
        <v>5.0</v>
      </c>
      <c r="L86" s="296">
        <v>11.0</v>
      </c>
      <c r="M86" s="296">
        <v>7.0</v>
      </c>
      <c r="N86" s="296">
        <v>1.0</v>
      </c>
      <c r="O86" s="296">
        <v>5.0</v>
      </c>
      <c r="P86" s="296">
        <v>10.0</v>
      </c>
      <c r="Q86" s="296">
        <v>4.0</v>
      </c>
      <c r="R86" s="296">
        <v>9.0</v>
      </c>
      <c r="S86" s="296">
        <v>6.0</v>
      </c>
      <c r="T86" s="296">
        <v>7.0</v>
      </c>
      <c r="U86" s="296">
        <v>15.0</v>
      </c>
      <c r="V86" s="296">
        <v>17.0</v>
      </c>
      <c r="W86" s="296">
        <v>7.0</v>
      </c>
      <c r="X86" s="296">
        <v>6.0</v>
      </c>
      <c r="Y86" s="296">
        <v>0.0</v>
      </c>
      <c r="Z86" s="296">
        <v>29.0</v>
      </c>
      <c r="AA86" s="296">
        <v>6.0</v>
      </c>
      <c r="AB86" s="296">
        <v>9.0</v>
      </c>
      <c r="AC86" s="296">
        <v>-6.0</v>
      </c>
      <c r="AD86" s="296">
        <v>6.0</v>
      </c>
      <c r="AE86" s="296">
        <v>0.0</v>
      </c>
      <c r="AF86" s="296">
        <v>12.0</v>
      </c>
      <c r="AG86" s="296">
        <v>6.0</v>
      </c>
      <c r="AH86" s="296">
        <v>7.0</v>
      </c>
      <c r="AI86" s="296">
        <v>0.0</v>
      </c>
      <c r="AJ86" s="296">
        <v>3.0</v>
      </c>
      <c r="AK86" s="296">
        <v>3.0</v>
      </c>
      <c r="AL86" s="296">
        <v>4.0</v>
      </c>
      <c r="AM86" s="296">
        <v>0.0</v>
      </c>
      <c r="AN86" s="296">
        <v>3.0</v>
      </c>
      <c r="AO86" s="298">
        <f t="shared" si="3"/>
        <v>38.0</v>
      </c>
      <c r="AP86" s="298">
        <f t="shared" si="4"/>
        <v>13.0</v>
      </c>
      <c r="AQ86" s="298">
        <f t="shared" si="5"/>
        <v>14.3</v>
      </c>
      <c r="AR86" s="130">
        <f t="shared" ref="AR86:AR87" si="457">AQ86*$AR$4/$AQ$4</f>
        <v>2.26086956521739</v>
      </c>
      <c r="AS86" s="130">
        <f t="shared" ref="AS86:AS87" si="458">AQ86*$AS$4/$AQ$4</f>
        <v>2.82608695652173</v>
      </c>
      <c r="AT86" s="130">
        <f t="shared" ref="AT86:AT87" si="459">AQ86*$AT$4/$AQ$4</f>
        <v>2.82608695652173</v>
      </c>
      <c r="AU86" s="130">
        <f t="shared" ref="AU86:AU87" si="460">AQ86*$AU$4/$AQ$4</f>
        <v>2.82608695652173</v>
      </c>
      <c r="AV86" s="130">
        <f t="shared" ref="AV86:AV87" si="461">AQ86*$AV$4/$AQ$4</f>
        <v>2.82608695652173</v>
      </c>
      <c r="AW86" s="130">
        <f t="shared" ref="AW86:AW87" si="462">AQ86*$AW$4/$AQ$4</f>
        <v>1.69565217391304</v>
      </c>
      <c r="AX86" s="130">
        <f t="shared" si="12"/>
        <v>15.2608695652173</v>
      </c>
      <c r="AY86" s="23" t="e">
        <f t="shared" si="13"/>
        <v>#REF!</v>
      </c>
      <c r="BB86" s="298" t="e">
        <f t="shared" si="14"/>
        <v>#REF!</v>
      </c>
      <c r="BC86">
        <f>VLOOKUP(C86,MOQ,3,false)</f>
      </c>
      <c r="BE86" s="130" t="s">
        <v>350</v>
      </c>
      <c r="BF86" s="130" t="e">
        <f t="shared" si="444"/>
        <v>#REF!</v>
      </c>
      <c r="BG86" s="130">
        <f t="shared" si="445"/>
        <v>2.26086956521739</v>
      </c>
      <c r="BI86" s="298" t="e">
        <f t="shared" si="446"/>
        <v>#REF!</v>
      </c>
      <c r="BJ86" s="298">
        <f t="shared" si="447"/>
        <v>2.82608695652173</v>
      </c>
      <c r="BK86" s="298"/>
      <c r="BL86" s="298" t="e">
        <f t="shared" si="448"/>
        <v>#REF!</v>
      </c>
      <c r="BM86" s="298">
        <f t="shared" si="449"/>
        <v>2.82608695652173</v>
      </c>
      <c r="BN86" s="298"/>
      <c r="BO86" s="298" t="e">
        <f t="shared" si="450"/>
        <v>#REF!</v>
      </c>
      <c r="BP86" s="298">
        <f t="shared" si="451"/>
        <v>2.82608695652173</v>
      </c>
      <c r="BQ86" s="298"/>
      <c r="BR86" s="298" t="e">
        <f t="shared" si="452"/>
        <v>#REF!</v>
      </c>
      <c r="BS86" s="298">
        <f t="shared" si="453"/>
        <v>2.82608695652173</v>
      </c>
      <c r="BT86" s="298"/>
      <c r="BU86" s="298" t="e">
        <f t="shared" si="454"/>
        <v>#REF!</v>
      </c>
      <c r="BV86" s="298">
        <f t="shared" si="455"/>
        <v>1.69565217391304</v>
      </c>
      <c r="BW86" s="298"/>
      <c r="BX86" s="298" t="e">
        <f t="shared" si="456"/>
        <v>#REF!</v>
      </c>
      <c r="BZ86" s="23" t="e">
        <f t="shared" ref="BZ86:BZ94" si="463">BX86*-1</f>
        <v>#REF!</v>
      </c>
      <c r="CA86" s="300" t="e">
        <f t="shared" ref="CA86:CA94" si="464">BZ86/6</f>
        <v>#REF!</v>
      </c>
      <c r="CB86" s="130" t="e">
        <f t="shared" ref="CB86:CB94" si="465">ROUNDUP(CA86,0)</f>
        <v>#REF!</v>
      </c>
      <c r="CC86" s="23" t="e">
        <f t="shared" ref="CC86:CC94" si="466">CB86*6</f>
        <v>#REF!</v>
      </c>
    </row>
    <row r="87" ht="17.0">
      <c r="A87" s="296" t="s">
        <v>32</v>
      </c>
      <c r="B87" s="296" t="s">
        <v>63</v>
      </c>
      <c r="C87" s="296" t="s">
        <v>72</v>
      </c>
      <c r="D87" s="297">
        <v>41234.0</v>
      </c>
      <c r="F87" s="296">
        <v>0.0</v>
      </c>
      <c r="G87" s="296">
        <v>0.0</v>
      </c>
      <c r="H87" s="296">
        <v>0.0</v>
      </c>
      <c r="I87" s="296">
        <v>0.0</v>
      </c>
      <c r="J87" s="296">
        <v>0.0</v>
      </c>
      <c r="K87" s="296">
        <v>9.0</v>
      </c>
      <c r="L87" s="296">
        <v>12.0</v>
      </c>
      <c r="M87" s="296">
        <v>0.0</v>
      </c>
      <c r="N87" s="296">
        <v>0.0</v>
      </c>
      <c r="O87" s="296">
        <v>6.0</v>
      </c>
      <c r="P87" s="296">
        <v>9.0</v>
      </c>
      <c r="Q87" s="296">
        <v>6.0</v>
      </c>
      <c r="R87" s="296">
        <v>3.0</v>
      </c>
      <c r="S87" s="296">
        <v>3.0</v>
      </c>
      <c r="T87" s="296">
        <v>0.0</v>
      </c>
      <c r="U87" s="296">
        <v>0.0</v>
      </c>
      <c r="V87" s="296">
        <v>0.0</v>
      </c>
      <c r="W87" s="296">
        <v>0.0</v>
      </c>
      <c r="X87" s="296">
        <v>0.0</v>
      </c>
      <c r="Y87" s="296">
        <v>3.0</v>
      </c>
      <c r="Z87" s="296">
        <v>4.0</v>
      </c>
      <c r="AA87" s="296">
        <v>0.0</v>
      </c>
      <c r="AB87" s="296">
        <v>0.0</v>
      </c>
      <c r="AC87" s="296">
        <v>0.0</v>
      </c>
      <c r="AD87" s="296">
        <v>0.0</v>
      </c>
      <c r="AE87" s="296">
        <v>0.0</v>
      </c>
      <c r="AF87" s="296">
        <v>0.0</v>
      </c>
      <c r="AG87" s="296">
        <v>0.0</v>
      </c>
      <c r="AH87" s="296">
        <v>3.0</v>
      </c>
      <c r="AI87" s="296">
        <v>0.0</v>
      </c>
      <c r="AJ87" s="296">
        <v>0.0</v>
      </c>
      <c r="AK87" s="296">
        <v>0.0</v>
      </c>
      <c r="AL87" s="296">
        <v>6.0</v>
      </c>
      <c r="AM87" s="296">
        <v>0.0</v>
      </c>
      <c r="AN87" s="296">
        <v>0.0</v>
      </c>
      <c r="AO87" s="298">
        <f t="shared" si="3"/>
        <v>9.0</v>
      </c>
      <c r="AP87" s="298">
        <f t="shared" si="4"/>
        <v>6.0</v>
      </c>
      <c r="AQ87" s="298">
        <f t="shared" si="5"/>
        <v>6.6</v>
      </c>
      <c r="AR87" s="130">
        <f t="shared" si="457"/>
        <v>1.04347826086957</v>
      </c>
      <c r="AS87" s="130">
        <f t="shared" si="458"/>
        <v>1.30434782608696</v>
      </c>
      <c r="AT87" s="130">
        <f t="shared" si="459"/>
        <v>1.30434782608696</v>
      </c>
      <c r="AU87" s="130">
        <f t="shared" si="460"/>
        <v>1.30434782608696</v>
      </c>
      <c r="AV87" s="130">
        <f t="shared" si="461"/>
        <v>1.30434782608696</v>
      </c>
      <c r="AW87" s="130">
        <f t="shared" si="462"/>
        <v>0.782608695652174</v>
      </c>
      <c r="AX87" s="130">
        <f t="shared" si="12"/>
        <v>7.04347826086958</v>
      </c>
      <c r="AY87" s="23" t="e">
        <f t="shared" si="13"/>
        <v>#REF!</v>
      </c>
      <c r="BB87" s="298" t="e">
        <f t="shared" si="14"/>
        <v>#REF!</v>
      </c>
      <c r="BC87">
        <f>VLOOKUP(C87,MOQ,3,false)</f>
      </c>
      <c r="BE87" s="130" t="s">
        <v>826</v>
      </c>
      <c r="BF87" s="130" t="e">
        <f t="shared" si="444"/>
        <v>#REF!</v>
      </c>
      <c r="BG87" s="130">
        <f t="shared" si="445"/>
        <v>1.04347826086957</v>
      </c>
      <c r="BI87" s="298" t="e">
        <f t="shared" si="446"/>
        <v>#REF!</v>
      </c>
      <c r="BJ87" s="298">
        <f t="shared" si="447"/>
        <v>1.30434782608696</v>
      </c>
      <c r="BK87" s="298"/>
      <c r="BL87" s="298" t="e">
        <f t="shared" si="448"/>
        <v>#REF!</v>
      </c>
      <c r="BM87" s="298">
        <f t="shared" si="449"/>
        <v>1.30434782608696</v>
      </c>
      <c r="BN87" s="298"/>
      <c r="BO87" s="298" t="e">
        <f t="shared" si="450"/>
        <v>#REF!</v>
      </c>
      <c r="BP87" s="298">
        <f t="shared" si="451"/>
        <v>1.30434782608696</v>
      </c>
      <c r="BQ87" s="298"/>
      <c r="BR87" s="298" t="e">
        <f t="shared" si="452"/>
        <v>#REF!</v>
      </c>
      <c r="BS87" s="298">
        <f t="shared" si="453"/>
        <v>1.30434782608696</v>
      </c>
      <c r="BT87" s="298"/>
      <c r="BU87" s="298" t="e">
        <f t="shared" si="454"/>
        <v>#REF!</v>
      </c>
      <c r="BV87" s="298">
        <f t="shared" si="455"/>
        <v>0.782608695652174</v>
      </c>
      <c r="BW87" s="298"/>
      <c r="BX87" s="298" t="e">
        <f t="shared" si="456"/>
        <v>#REF!</v>
      </c>
      <c r="BZ87" s="23" t="e">
        <f t="shared" si="463"/>
        <v>#REF!</v>
      </c>
      <c r="CA87" s="300" t="e">
        <f t="shared" si="464"/>
        <v>#REF!</v>
      </c>
      <c r="CB87" s="130" t="e">
        <f t="shared" si="465"/>
        <v>#REF!</v>
      </c>
      <c r="CC87" s="23" t="e">
        <f t="shared" si="466"/>
        <v>#REF!</v>
      </c>
    </row>
    <row r="88" ht="17.0">
      <c r="A88" s="296" t="s">
        <v>32</v>
      </c>
      <c r="B88" s="296" t="s">
        <v>63</v>
      </c>
      <c r="C88" s="305" t="s">
        <v>71</v>
      </c>
      <c r="D88" s="297">
        <v>41233.0</v>
      </c>
      <c r="F88" s="296">
        <v>0.0</v>
      </c>
      <c r="G88" s="296">
        <v>0.0</v>
      </c>
      <c r="H88" s="296">
        <v>0.0</v>
      </c>
      <c r="I88" s="296">
        <v>0.0</v>
      </c>
      <c r="J88" s="296">
        <v>0.0</v>
      </c>
      <c r="K88" s="296">
        <v>3.0</v>
      </c>
      <c r="L88" s="296">
        <v>9.0</v>
      </c>
      <c r="M88" s="296">
        <v>6.0</v>
      </c>
      <c r="N88" s="296">
        <v>6.0</v>
      </c>
      <c r="O88" s="296">
        <v>6.0</v>
      </c>
      <c r="P88" s="296">
        <v>15.0</v>
      </c>
      <c r="Q88" s="296">
        <v>6.0</v>
      </c>
      <c r="R88" s="296">
        <v>3.0</v>
      </c>
      <c r="S88" s="296">
        <v>6.0</v>
      </c>
      <c r="T88" s="296">
        <v>6.0</v>
      </c>
      <c r="U88" s="296">
        <v>36.0</v>
      </c>
      <c r="V88" s="296">
        <v>0.0</v>
      </c>
      <c r="W88" s="296">
        <v>21.0</v>
      </c>
      <c r="X88" s="296">
        <v>12.0</v>
      </c>
      <c r="Y88" s="296">
        <v>6.0</v>
      </c>
      <c r="Z88" s="296">
        <v>6.0</v>
      </c>
      <c r="AA88" s="296">
        <v>9.0</v>
      </c>
      <c r="AB88" s="296">
        <v>12.0</v>
      </c>
      <c r="AC88" s="296">
        <v>-3.0</v>
      </c>
      <c r="AD88" s="296">
        <v>9.0</v>
      </c>
      <c r="AE88" s="296">
        <v>6.0</v>
      </c>
      <c r="AF88" s="296">
        <v>12.0</v>
      </c>
      <c r="AG88" s="296">
        <v>3.0</v>
      </c>
      <c r="AH88" s="296">
        <v>6.0</v>
      </c>
      <c r="AI88" s="296">
        <v>3.0</v>
      </c>
      <c r="AJ88" s="296">
        <v>0.0</v>
      </c>
      <c r="AK88" s="296">
        <v>3.0</v>
      </c>
      <c r="AL88" s="296">
        <v>3.0</v>
      </c>
      <c r="AM88" s="296">
        <v>0.0</v>
      </c>
      <c r="AN88" s="296">
        <v>6.0</v>
      </c>
      <c r="AO88" s="298">
        <f t="shared" si="3"/>
        <v>48.0</v>
      </c>
      <c r="AP88" s="298">
        <f t="shared" si="4"/>
        <v>15.0</v>
      </c>
      <c r="AQ88" s="298">
        <f t="shared" si="5"/>
        <v>16.5</v>
      </c>
      <c r="AR88" s="130">
        <f>AQ88*$AR$4/$AQ$4+3*$AR$84</f>
        <v>6.2608695652173</v>
      </c>
      <c r="AS88" s="130">
        <f>AQ88*$AS$4/$AQ$4+3*$AS$84</f>
        <v>7.82608695652172</v>
      </c>
      <c r="AT88" s="130">
        <f>AQ88*$AT$4/$AQ$4+3*$AT$84</f>
        <v>7.82608695652172</v>
      </c>
      <c r="AU88" s="130">
        <f>AQ88*$AU$4/$AQ$4+3*$AU$84</f>
        <v>7.82608695652172</v>
      </c>
      <c r="AV88" s="130">
        <f>AQ88*$AV$4/$AQ$4+3*$AV$84</f>
        <v>7.82608695652172</v>
      </c>
      <c r="AW88" s="130">
        <f>AQ88*$AW$4/$AQ$4+3*$AW$84</f>
        <v>4.69565217391303</v>
      </c>
      <c r="AX88" s="130">
        <f t="shared" si="12"/>
        <v>42.2608695652172</v>
      </c>
      <c r="AY88" s="23" t="e">
        <f t="shared" si="13"/>
        <v>#REF!</v>
      </c>
      <c r="BB88" s="298" t="e">
        <f t="shared" si="14"/>
        <v>#REF!</v>
      </c>
      <c r="BC88">
        <f>VLOOKUP(C88,MOQ,3,false)</f>
      </c>
      <c r="BE88" s="130" t="s">
        <v>350</v>
      </c>
      <c r="BF88" s="130" t="e">
        <f t="shared" si="444"/>
        <v>#REF!</v>
      </c>
      <c r="BG88" s="130">
        <f t="shared" si="445"/>
        <v>6.2608695652173</v>
      </c>
      <c r="BI88" s="298" t="e">
        <f t="shared" si="446"/>
        <v>#REF!</v>
      </c>
      <c r="BJ88" s="298">
        <f t="shared" si="447"/>
        <v>7.82608695652172</v>
      </c>
      <c r="BK88" s="298"/>
      <c r="BL88" s="298" t="e">
        <f t="shared" si="448"/>
        <v>#REF!</v>
      </c>
      <c r="BM88" s="298">
        <f t="shared" si="449"/>
        <v>7.82608695652172</v>
      </c>
      <c r="BN88" s="298"/>
      <c r="BO88" s="298" t="e">
        <f t="shared" si="450"/>
        <v>#REF!</v>
      </c>
      <c r="BP88" s="298">
        <f t="shared" si="451"/>
        <v>7.82608695652172</v>
      </c>
      <c r="BQ88" s="298"/>
      <c r="BR88" s="298" t="e">
        <f t="shared" si="452"/>
        <v>#REF!</v>
      </c>
      <c r="BS88" s="298">
        <f t="shared" si="453"/>
        <v>7.82608695652172</v>
      </c>
      <c r="BT88" s="298"/>
      <c r="BU88" s="298" t="e">
        <f t="shared" si="454"/>
        <v>#REF!</v>
      </c>
      <c r="BV88" s="298">
        <f t="shared" si="455"/>
        <v>4.69565217391303</v>
      </c>
      <c r="BW88" s="298"/>
      <c r="BX88" s="298" t="e">
        <f t="shared" si="456"/>
        <v>#REF!</v>
      </c>
      <c r="BZ88" s="23" t="e">
        <f t="shared" si="463"/>
        <v>#REF!</v>
      </c>
      <c r="CA88" s="300" t="e">
        <f t="shared" si="464"/>
        <v>#REF!</v>
      </c>
      <c r="CB88" s="130" t="e">
        <f t="shared" si="465"/>
        <v>#REF!</v>
      </c>
      <c r="CC88" s="23" t="e">
        <f t="shared" si="466"/>
        <v>#REF!</v>
      </c>
    </row>
    <row r="89" ht="17.0">
      <c r="A89" s="296" t="s">
        <v>32</v>
      </c>
      <c r="B89" s="296" t="s">
        <v>63</v>
      </c>
      <c r="C89" s="305" t="s">
        <v>69</v>
      </c>
      <c r="D89" s="297">
        <v>41202.0</v>
      </c>
      <c r="F89" s="296">
        <v>10.0</v>
      </c>
      <c r="G89" s="296">
        <v>22.0</v>
      </c>
      <c r="H89" s="296">
        <v>21.0</v>
      </c>
      <c r="I89" s="296">
        <v>15.0</v>
      </c>
      <c r="J89" s="296">
        <v>12.0</v>
      </c>
      <c r="K89" s="296">
        <v>15.0</v>
      </c>
      <c r="L89" s="296">
        <v>15.0</v>
      </c>
      <c r="M89" s="296">
        <v>16.0</v>
      </c>
      <c r="N89" s="296">
        <v>10.0</v>
      </c>
      <c r="O89" s="296">
        <v>4.0</v>
      </c>
      <c r="P89" s="296">
        <v>4.0</v>
      </c>
      <c r="Q89" s="296">
        <v>12.0</v>
      </c>
      <c r="R89" s="296">
        <v>9.0</v>
      </c>
      <c r="S89" s="296">
        <v>7.0</v>
      </c>
      <c r="T89" s="296">
        <v>15.0</v>
      </c>
      <c r="U89" s="296">
        <v>31.0</v>
      </c>
      <c r="V89" s="296">
        <v>21.0</v>
      </c>
      <c r="W89" s="296">
        <v>18.0</v>
      </c>
      <c r="X89" s="296">
        <v>3.0</v>
      </c>
      <c r="Y89" s="296">
        <v>9.0</v>
      </c>
      <c r="Z89" s="296">
        <v>36.0</v>
      </c>
      <c r="AA89" s="296">
        <v>0.0</v>
      </c>
      <c r="AB89" s="296">
        <v>9.0</v>
      </c>
      <c r="AC89" s="296">
        <v>3.0</v>
      </c>
      <c r="AD89" s="296">
        <v>6.0</v>
      </c>
      <c r="AE89" s="296">
        <v>21.0</v>
      </c>
      <c r="AF89" s="296">
        <v>17.0</v>
      </c>
      <c r="AG89" s="296">
        <v>15.0</v>
      </c>
      <c r="AH89" s="296">
        <v>16.0</v>
      </c>
      <c r="AI89" s="296">
        <v>9.0</v>
      </c>
      <c r="AJ89" s="296">
        <v>9.0</v>
      </c>
      <c r="AK89" s="296">
        <v>3.0</v>
      </c>
      <c r="AL89" s="296">
        <v>6.0</v>
      </c>
      <c r="AM89" s="296">
        <v>0.0</v>
      </c>
      <c r="AN89" s="296">
        <v>9.0</v>
      </c>
      <c r="AO89" s="298">
        <f t="shared" si="3"/>
        <v>114.0</v>
      </c>
      <c r="AP89" s="298">
        <f t="shared" si="4"/>
        <v>36.0</v>
      </c>
      <c r="AQ89" s="298">
        <f t="shared" si="5"/>
        <v>39.6</v>
      </c>
      <c r="AR89" s="130">
        <f t="shared" ref="AR89:AR90" si="473">AQ89*$AR$4/$AQ$4+6*$AR$84</f>
        <v>13.5652173913043</v>
      </c>
      <c r="AS89" s="130">
        <f t="shared" ref="AS89:AS90" si="474">AQ89*$AS$4/$AQ$4+6*$AS$84</f>
        <v>16.9565217391304</v>
      </c>
      <c r="AT89" s="130">
        <f t="shared" ref="AT89:AT90" si="475">AQ89*$AT$4/$AQ$4+6*$AT$84</f>
        <v>16.9565217391304</v>
      </c>
      <c r="AU89" s="130">
        <f t="shared" ref="AU89:AU90" si="476">AQ89*$AU$4/$AQ$4+6*$AU$84</f>
        <v>16.9565217391304</v>
      </c>
      <c r="AV89" s="130">
        <f t="shared" ref="AV89:AV90" si="477">AQ89*$AV$4/$AQ$4+6*$AV$84</f>
        <v>16.9565217391304</v>
      </c>
      <c r="AW89" s="130">
        <f t="shared" ref="AW89:AW90" si="478">AQ89*$AW$4/$AQ$4+6*$AW$84</f>
        <v>10.1739130434782</v>
      </c>
      <c r="AX89" s="130">
        <f t="shared" si="12"/>
        <v>91.5652173913041</v>
      </c>
      <c r="AY89" s="23" t="e">
        <f t="shared" si="13"/>
        <v>#REF!</v>
      </c>
      <c r="BB89" s="298" t="e">
        <f t="shared" si="14"/>
        <v>#REF!</v>
      </c>
      <c r="BC89">
        <f>VLOOKUP(C89,MOQ,3,false)</f>
      </c>
      <c r="BE89" s="130" t="s">
        <v>355</v>
      </c>
      <c r="BF89" s="130" t="e">
        <f t="shared" si="444"/>
        <v>#REF!</v>
      </c>
      <c r="BG89" s="130">
        <f t="shared" si="445"/>
        <v>13.5652173913043</v>
      </c>
      <c r="BI89" s="298" t="e">
        <f t="shared" si="446"/>
        <v>#REF!</v>
      </c>
      <c r="BJ89" s="298">
        <f t="shared" si="447"/>
        <v>16.9565217391304</v>
      </c>
      <c r="BK89" s="298"/>
      <c r="BL89" s="298" t="e">
        <f t="shared" si="448"/>
        <v>#REF!</v>
      </c>
      <c r="BM89" s="298">
        <f t="shared" si="449"/>
        <v>16.9565217391304</v>
      </c>
      <c r="BN89" s="298"/>
      <c r="BO89" s="298" t="e">
        <f t="shared" si="450"/>
        <v>#REF!</v>
      </c>
      <c r="BP89" s="298">
        <f t="shared" si="451"/>
        <v>16.9565217391304</v>
      </c>
      <c r="BQ89" s="298"/>
      <c r="BR89" s="298" t="e">
        <f t="shared" si="452"/>
        <v>#REF!</v>
      </c>
      <c r="BS89" s="298">
        <f t="shared" si="453"/>
        <v>16.9565217391304</v>
      </c>
      <c r="BT89" s="298"/>
      <c r="BU89" s="298" t="e">
        <f t="shared" si="454"/>
        <v>#REF!</v>
      </c>
      <c r="BV89" s="298">
        <f t="shared" si="455"/>
        <v>10.1739130434782</v>
      </c>
      <c r="BW89" s="298"/>
      <c r="BX89" s="298" t="e">
        <f t="shared" si="456"/>
        <v>#REF!</v>
      </c>
      <c r="BZ89" s="23" t="e">
        <f t="shared" si="463"/>
        <v>#REF!</v>
      </c>
      <c r="CA89" s="300" t="e">
        <f t="shared" si="464"/>
        <v>#REF!</v>
      </c>
      <c r="CB89" s="130" t="e">
        <f t="shared" si="465"/>
        <v>#REF!</v>
      </c>
      <c r="CC89" s="23" t="e">
        <f t="shared" si="466"/>
        <v>#REF!</v>
      </c>
    </row>
    <row r="90" ht="17.0">
      <c r="A90" s="296" t="s">
        <v>32</v>
      </c>
      <c r="B90" s="296" t="s">
        <v>63</v>
      </c>
      <c r="C90" s="305" t="s">
        <v>68</v>
      </c>
      <c r="D90" s="297">
        <v>41201.0</v>
      </c>
      <c r="F90" s="296">
        <v>9.0</v>
      </c>
      <c r="G90" s="296">
        <v>24.0</v>
      </c>
      <c r="H90" s="296">
        <v>20.0</v>
      </c>
      <c r="I90" s="296">
        <v>34.0</v>
      </c>
      <c r="J90" s="296">
        <v>0.0</v>
      </c>
      <c r="K90" s="296">
        <v>13.0</v>
      </c>
      <c r="L90" s="296">
        <v>17.0</v>
      </c>
      <c r="M90" s="296">
        <v>8.0</v>
      </c>
      <c r="N90" s="296">
        <v>7.0</v>
      </c>
      <c r="O90" s="296">
        <v>10.0</v>
      </c>
      <c r="P90" s="296">
        <v>8.0</v>
      </c>
      <c r="Q90" s="296">
        <v>30.0</v>
      </c>
      <c r="R90" s="296">
        <v>15.0</v>
      </c>
      <c r="S90" s="296">
        <v>3.0</v>
      </c>
      <c r="T90" s="296">
        <v>15.0</v>
      </c>
      <c r="U90" s="296">
        <v>11.0</v>
      </c>
      <c r="V90" s="296">
        <v>39.0</v>
      </c>
      <c r="W90" s="296">
        <v>6.0</v>
      </c>
      <c r="X90" s="296">
        <v>15.0</v>
      </c>
      <c r="Y90" s="296">
        <v>9.0</v>
      </c>
      <c r="Z90" s="296">
        <v>51.0</v>
      </c>
      <c r="AA90" s="296">
        <v>9.0</v>
      </c>
      <c r="AB90" s="296">
        <v>6.0</v>
      </c>
      <c r="AC90" s="296">
        <v>3.0</v>
      </c>
      <c r="AD90" s="296">
        <v>9.0</v>
      </c>
      <c r="AE90" s="296">
        <v>15.0</v>
      </c>
      <c r="AF90" s="296">
        <v>24.0</v>
      </c>
      <c r="AG90" s="296">
        <v>28.0</v>
      </c>
      <c r="AH90" s="296">
        <v>18.0</v>
      </c>
      <c r="AI90" s="296">
        <v>9.0</v>
      </c>
      <c r="AJ90" s="296">
        <v>6.0</v>
      </c>
      <c r="AK90" s="296">
        <v>6.0</v>
      </c>
      <c r="AL90" s="296">
        <v>9.0</v>
      </c>
      <c r="AM90" s="296">
        <v>6.0</v>
      </c>
      <c r="AN90" s="296">
        <v>7.0</v>
      </c>
      <c r="AO90" s="298">
        <f t="shared" si="3"/>
        <v>140.0</v>
      </c>
      <c r="AP90" s="298">
        <f t="shared" si="4"/>
        <v>43.0</v>
      </c>
      <c r="AQ90" s="298">
        <f t="shared" si="5"/>
        <v>47.3</v>
      </c>
      <c r="AR90" s="130">
        <f t="shared" si="473"/>
        <v>14.7826086956521</v>
      </c>
      <c r="AS90" s="130">
        <f t="shared" si="474"/>
        <v>18.4782608695651</v>
      </c>
      <c r="AT90" s="130">
        <f t="shared" si="475"/>
        <v>18.4782608695651</v>
      </c>
      <c r="AU90" s="130">
        <f t="shared" si="476"/>
        <v>18.4782608695651</v>
      </c>
      <c r="AV90" s="130">
        <f t="shared" si="477"/>
        <v>18.4782608695651</v>
      </c>
      <c r="AW90" s="130">
        <f t="shared" si="478"/>
        <v>11.0869565217391</v>
      </c>
      <c r="AX90" s="130">
        <f t="shared" si="12"/>
        <v>99.7826086956516</v>
      </c>
      <c r="AY90" s="23" t="e">
        <f t="shared" si="13"/>
        <v>#REF!</v>
      </c>
      <c r="BB90" s="298" t="e">
        <f t="shared" si="14"/>
        <v>#REF!</v>
      </c>
      <c r="BC90" s="130">
        <f>VLOOKUP(C90,MOQ,3,false)</f>
      </c>
      <c r="BE90" s="130" t="s">
        <v>350</v>
      </c>
      <c r="BF90" s="130" t="e">
        <f t="shared" si="444"/>
        <v>#REF!</v>
      </c>
      <c r="BG90" s="130">
        <f t="shared" si="445"/>
        <v>14.7826086956521</v>
      </c>
      <c r="BI90" s="298" t="e">
        <f t="shared" si="446"/>
        <v>#REF!</v>
      </c>
      <c r="BJ90" s="298">
        <f t="shared" si="447"/>
        <v>18.4782608695651</v>
      </c>
      <c r="BK90" s="298"/>
      <c r="BL90" s="298" t="e">
        <f t="shared" si="448"/>
        <v>#REF!</v>
      </c>
      <c r="BM90" s="298">
        <f t="shared" si="449"/>
        <v>18.4782608695651</v>
      </c>
      <c r="BN90" s="298"/>
      <c r="BO90" s="298" t="e">
        <f t="shared" si="450"/>
        <v>#REF!</v>
      </c>
      <c r="BP90" s="298">
        <f t="shared" si="451"/>
        <v>18.4782608695651</v>
      </c>
      <c r="BQ90" s="298"/>
      <c r="BR90" s="298" t="e">
        <f t="shared" si="452"/>
        <v>#REF!</v>
      </c>
      <c r="BS90" s="298">
        <f t="shared" si="453"/>
        <v>18.4782608695651</v>
      </c>
      <c r="BT90" s="298"/>
      <c r="BU90" s="298" t="e">
        <f t="shared" si="454"/>
        <v>#REF!</v>
      </c>
      <c r="BV90" s="298">
        <f t="shared" si="455"/>
        <v>11.0869565217391</v>
      </c>
      <c r="BW90" s="298"/>
      <c r="BX90" s="298" t="e">
        <f t="shared" si="456"/>
        <v>#REF!</v>
      </c>
      <c r="BZ90" s="23" t="e">
        <f t="shared" si="463"/>
        <v>#REF!</v>
      </c>
      <c r="CA90" s="300" t="e">
        <f t="shared" si="464"/>
        <v>#REF!</v>
      </c>
      <c r="CB90" s="130" t="e">
        <f t="shared" si="465"/>
        <v>#REF!</v>
      </c>
      <c r="CC90" s="23" t="e">
        <f t="shared" si="466"/>
        <v>#REF!</v>
      </c>
    </row>
    <row r="91" ht="17.0">
      <c r="A91" s="296" t="s">
        <v>32</v>
      </c>
      <c r="B91" s="296" t="s">
        <v>74</v>
      </c>
      <c r="C91" s="296" t="s">
        <v>79</v>
      </c>
      <c r="D91" s="297">
        <v>43304.0</v>
      </c>
      <c r="F91" s="296">
        <v>15.0</v>
      </c>
      <c r="G91" s="296">
        <v>12.0</v>
      </c>
      <c r="H91" s="296">
        <v>30.0</v>
      </c>
      <c r="I91" s="296">
        <v>30.0</v>
      </c>
      <c r="J91" s="296">
        <v>0.0</v>
      </c>
      <c r="K91" s="296">
        <v>12.0</v>
      </c>
      <c r="L91" s="296">
        <v>8.0</v>
      </c>
      <c r="M91" s="296">
        <v>3.0</v>
      </c>
      <c r="N91" s="296">
        <v>4.0</v>
      </c>
      <c r="O91" s="296">
        <v>9.0</v>
      </c>
      <c r="P91" s="296">
        <v>6.0</v>
      </c>
      <c r="Q91" s="296">
        <v>9.0</v>
      </c>
      <c r="R91" s="296">
        <v>9.0</v>
      </c>
      <c r="S91" s="296">
        <v>3.0</v>
      </c>
      <c r="T91" s="296">
        <v>12.0</v>
      </c>
      <c r="U91" s="296">
        <v>12.0</v>
      </c>
      <c r="V91" s="296">
        <v>18.0</v>
      </c>
      <c r="W91" s="296">
        <v>6.0</v>
      </c>
      <c r="X91" s="296">
        <v>9.0</v>
      </c>
      <c r="Y91" s="296">
        <v>11.0</v>
      </c>
      <c r="Z91" s="296">
        <v>9.0</v>
      </c>
      <c r="AA91" s="296">
        <v>3.0</v>
      </c>
      <c r="AB91" s="296">
        <v>1.0</v>
      </c>
      <c r="AC91" s="296">
        <v>12.0</v>
      </c>
      <c r="AD91" s="296">
        <v>3.0</v>
      </c>
      <c r="AE91" s="296">
        <v>12.0</v>
      </c>
      <c r="AF91" s="296">
        <v>6.0</v>
      </c>
      <c r="AG91" s="296">
        <v>6.0</v>
      </c>
      <c r="AH91" s="296">
        <v>18.0</v>
      </c>
      <c r="AI91" s="296">
        <v>0.0</v>
      </c>
      <c r="AJ91" s="296">
        <v>6.0</v>
      </c>
      <c r="AK91" s="296">
        <v>3.0</v>
      </c>
      <c r="AL91" s="296">
        <v>6.0</v>
      </c>
      <c r="AM91" s="296">
        <v>3.0</v>
      </c>
      <c r="AN91" s="296">
        <v>9.0</v>
      </c>
      <c r="AO91" s="298">
        <f t="shared" si="3"/>
        <v>84.0</v>
      </c>
      <c r="AP91" s="298">
        <f t="shared" si="4"/>
        <v>27.0</v>
      </c>
      <c r="AQ91" s="298">
        <f t="shared" si="5"/>
        <v>29.7</v>
      </c>
      <c r="AR91" s="130">
        <f>AQ91*$AR$4/$AQ$4+1*$AR$95</f>
        <v>5.21739130434782</v>
      </c>
      <c r="AS91" s="130">
        <f>AQ91*$AS$4/$AQ$4+1*$AS$95</f>
        <v>6.52173913043478</v>
      </c>
      <c r="AT91" s="130">
        <f>AQ91*$AT$4/$AQ$4+1*$AT$95</f>
        <v>6.52173913043478</v>
      </c>
      <c r="AU91" s="130">
        <f>AQ91*$AU$4/$AQ$4+1*$AU$95</f>
        <v>6.52173913043478</v>
      </c>
      <c r="AV91" s="130">
        <f>AQ91*$AV$4/$AQ$4+1*$AV$95</f>
        <v>6.52173913043478</v>
      </c>
      <c r="AW91" s="130">
        <f>AQ91*$AW$4/$AQ$4+1*$AW$95</f>
        <v>3.91304347826087</v>
      </c>
      <c r="AX91" s="130">
        <f t="shared" si="12"/>
        <v>35.2173913043478</v>
      </c>
      <c r="AY91" s="23" t="e">
        <f t="shared" si="13"/>
        <v>#REF!</v>
      </c>
      <c r="BB91" s="298" t="e">
        <f t="shared" si="14"/>
        <v>#REF!</v>
      </c>
      <c r="BC91" s="130">
        <f>VLOOKUP(C91,MOQ,3,false)</f>
      </c>
      <c r="BE91" s="130" t="s">
        <v>255</v>
      </c>
      <c r="BF91" s="130" t="e">
        <f t="shared" si="444"/>
        <v>#REF!</v>
      </c>
      <c r="BG91" s="130">
        <f t="shared" si="445"/>
        <v>5.21739130434782</v>
      </c>
      <c r="BI91" s="298" t="e">
        <f t="shared" si="446"/>
        <v>#REF!</v>
      </c>
      <c r="BJ91" s="298">
        <f t="shared" si="447"/>
        <v>6.52173913043478</v>
      </c>
      <c r="BK91" s="298"/>
      <c r="BL91" s="298" t="e">
        <f t="shared" si="448"/>
        <v>#REF!</v>
      </c>
      <c r="BM91" s="298">
        <f t="shared" si="449"/>
        <v>6.52173913043478</v>
      </c>
      <c r="BN91" s="298"/>
      <c r="BO91" s="298" t="e">
        <f t="shared" si="450"/>
        <v>#REF!</v>
      </c>
      <c r="BP91" s="298">
        <f t="shared" si="451"/>
        <v>6.52173913043478</v>
      </c>
      <c r="BQ91" s="298"/>
      <c r="BR91" s="298" t="e">
        <f t="shared" si="452"/>
        <v>#REF!</v>
      </c>
      <c r="BS91" s="298">
        <f t="shared" si="453"/>
        <v>6.52173913043478</v>
      </c>
      <c r="BT91" s="298"/>
      <c r="BU91" s="298" t="e">
        <f t="shared" si="454"/>
        <v>#REF!</v>
      </c>
      <c r="BV91" s="298">
        <f t="shared" si="455"/>
        <v>3.91304347826087</v>
      </c>
      <c r="BW91" s="298"/>
      <c r="BX91" s="298" t="e">
        <f t="shared" si="456"/>
        <v>#REF!</v>
      </c>
      <c r="BZ91" s="23" t="e">
        <f t="shared" si="463"/>
        <v>#REF!</v>
      </c>
      <c r="CA91" s="300" t="e">
        <f t="shared" si="464"/>
        <v>#REF!</v>
      </c>
      <c r="CB91" s="130" t="e">
        <f t="shared" si="465"/>
        <v>#REF!</v>
      </c>
      <c r="CC91" s="23" t="e">
        <f t="shared" si="466"/>
        <v>#REF!</v>
      </c>
    </row>
    <row r="92" ht="17.0">
      <c r="A92" s="296" t="s">
        <v>32</v>
      </c>
      <c r="B92" s="296" t="s">
        <v>74</v>
      </c>
      <c r="C92" s="296" t="s">
        <v>78</v>
      </c>
      <c r="D92" s="297">
        <v>43302.0</v>
      </c>
      <c r="F92" s="296">
        <v>12.0</v>
      </c>
      <c r="G92" s="296">
        <v>12.0</v>
      </c>
      <c r="H92" s="296">
        <v>30.0</v>
      </c>
      <c r="I92" s="296">
        <v>24.0</v>
      </c>
      <c r="J92" s="296">
        <v>3.0</v>
      </c>
      <c r="K92" s="296">
        <v>6.0</v>
      </c>
      <c r="L92" s="296">
        <v>3.0</v>
      </c>
      <c r="M92" s="296">
        <v>0.0</v>
      </c>
      <c r="N92" s="296">
        <v>0.0</v>
      </c>
      <c r="O92" s="296">
        <v>12.0</v>
      </c>
      <c r="P92" s="296">
        <v>15.0</v>
      </c>
      <c r="Q92" s="296">
        <v>9.0</v>
      </c>
      <c r="R92" s="296">
        <v>6.0</v>
      </c>
      <c r="S92" s="296">
        <v>12.0</v>
      </c>
      <c r="T92" s="296">
        <v>6.0</v>
      </c>
      <c r="U92" s="296">
        <v>9.0</v>
      </c>
      <c r="V92" s="296">
        <v>9.0</v>
      </c>
      <c r="W92" s="296">
        <v>9.0</v>
      </c>
      <c r="X92" s="296">
        <v>3.0</v>
      </c>
      <c r="Y92" s="296">
        <v>9.0</v>
      </c>
      <c r="Z92" s="296">
        <v>9.0</v>
      </c>
      <c r="AA92" s="296">
        <v>0.0</v>
      </c>
      <c r="AB92" s="296">
        <v>10.0</v>
      </c>
      <c r="AC92" s="296">
        <v>3.0</v>
      </c>
      <c r="AD92" s="296">
        <v>18.0</v>
      </c>
      <c r="AE92" s="296">
        <v>15.0</v>
      </c>
      <c r="AF92" s="296">
        <v>3.0</v>
      </c>
      <c r="AG92" s="296">
        <v>9.0</v>
      </c>
      <c r="AH92" s="296">
        <v>6.0</v>
      </c>
      <c r="AI92" s="296">
        <v>0.0</v>
      </c>
      <c r="AJ92" s="296">
        <v>3.0</v>
      </c>
      <c r="AK92" s="296">
        <v>3.0</v>
      </c>
      <c r="AL92" s="296">
        <v>3.0</v>
      </c>
      <c r="AM92" s="296">
        <v>0.0</v>
      </c>
      <c r="AN92" s="296">
        <v>6.0</v>
      </c>
      <c r="AO92" s="298">
        <f t="shared" si="3"/>
        <v>69.0</v>
      </c>
      <c r="AP92" s="298">
        <f t="shared" si="4"/>
        <v>15.0</v>
      </c>
      <c r="AQ92" s="298">
        <f t="shared" si="5"/>
        <v>16.5</v>
      </c>
      <c r="AR92" s="130">
        <f t="shared" ref="AR92:AR95" si="485">AQ92*$AR$4/$AQ$4</f>
        <v>2.60869565217391</v>
      </c>
      <c r="AS92" s="130">
        <f t="shared" ref="AS92:AS95" si="486">AQ92*$AS$4/$AQ$4</f>
        <v>3.26086956521739</v>
      </c>
      <c r="AT92" s="130">
        <f t="shared" ref="AT92:AT95" si="487">AQ92*$AT$4/$AQ$4</f>
        <v>3.26086956521739</v>
      </c>
      <c r="AU92" s="130">
        <f t="shared" ref="AU92:AU95" si="488">AQ92*$AU$4/$AQ$4</f>
        <v>3.26086956521739</v>
      </c>
      <c r="AV92" s="130">
        <f t="shared" ref="AV92:AV95" si="489">AQ92*$AV$4/$AQ$4</f>
        <v>3.26086956521739</v>
      </c>
      <c r="AW92" s="130">
        <f t="shared" ref="AW92:AW95" si="490">AQ92*$AW$4/$AQ$4</f>
        <v>1.95652173913043</v>
      </c>
      <c r="AX92" s="130">
        <f t="shared" si="12"/>
        <v>17.6086956521739</v>
      </c>
      <c r="AY92" s="23" t="e">
        <f t="shared" si="13"/>
        <v>#REF!</v>
      </c>
      <c r="BB92" s="298" t="e">
        <f t="shared" si="14"/>
        <v>#REF!</v>
      </c>
      <c r="BC92">
        <f>VLOOKUP(C92,MOQ,3,false)</f>
      </c>
      <c r="BE92" s="130" t="s">
        <v>330</v>
      </c>
      <c r="BF92" s="130" t="e">
        <f t="shared" si="444"/>
        <v>#REF!</v>
      </c>
      <c r="BG92" s="130">
        <f t="shared" si="445"/>
        <v>2.60869565217391</v>
      </c>
      <c r="BI92" s="298" t="e">
        <f t="shared" si="446"/>
        <v>#REF!</v>
      </c>
      <c r="BJ92" s="298">
        <f t="shared" si="447"/>
        <v>3.26086956521739</v>
      </c>
      <c r="BK92" s="298"/>
      <c r="BL92" s="298" t="e">
        <f t="shared" si="448"/>
        <v>#REF!</v>
      </c>
      <c r="BM92" s="298">
        <f t="shared" si="449"/>
        <v>3.26086956521739</v>
      </c>
      <c r="BN92" s="298"/>
      <c r="BO92" s="298" t="e">
        <f t="shared" si="450"/>
        <v>#REF!</v>
      </c>
      <c r="BP92" s="298">
        <f t="shared" si="451"/>
        <v>3.26086956521739</v>
      </c>
      <c r="BQ92" s="298"/>
      <c r="BR92" s="298" t="e">
        <f t="shared" si="452"/>
        <v>#REF!</v>
      </c>
      <c r="BS92" s="298">
        <f t="shared" si="453"/>
        <v>3.26086956521739</v>
      </c>
      <c r="BT92" s="298"/>
      <c r="BU92" s="298" t="e">
        <f t="shared" si="454"/>
        <v>#REF!</v>
      </c>
      <c r="BV92" s="298">
        <f t="shared" si="455"/>
        <v>1.95652173913043</v>
      </c>
      <c r="BW92" s="298"/>
      <c r="BX92" s="298" t="e">
        <f t="shared" si="456"/>
        <v>#REF!</v>
      </c>
      <c r="BZ92" s="23" t="e">
        <f t="shared" si="463"/>
        <v>#REF!</v>
      </c>
      <c r="CA92" s="300" t="e">
        <f t="shared" si="464"/>
        <v>#REF!</v>
      </c>
      <c r="CB92" s="130" t="e">
        <f t="shared" si="465"/>
        <v>#REF!</v>
      </c>
      <c r="CC92" s="23" t="e">
        <f t="shared" si="466"/>
        <v>#REF!</v>
      </c>
    </row>
    <row r="93" ht="17.0">
      <c r="A93" s="296" t="s">
        <v>32</v>
      </c>
      <c r="B93" s="296" t="s">
        <v>74</v>
      </c>
      <c r="C93" s="296" t="s">
        <v>77</v>
      </c>
      <c r="D93" s="297">
        <v>43301.0</v>
      </c>
      <c r="F93" s="296">
        <v>18.0</v>
      </c>
      <c r="G93" s="296">
        <v>18.0</v>
      </c>
      <c r="H93" s="296">
        <v>21.0</v>
      </c>
      <c r="I93" s="296">
        <v>21.0</v>
      </c>
      <c r="J93" s="296">
        <v>12.0</v>
      </c>
      <c r="K93" s="296">
        <v>15.0</v>
      </c>
      <c r="L93" s="296">
        <v>15.0</v>
      </c>
      <c r="M93" s="296">
        <v>6.0</v>
      </c>
      <c r="N93" s="296">
        <v>12.0</v>
      </c>
      <c r="O93" s="296">
        <v>33.0</v>
      </c>
      <c r="P93" s="296">
        <v>30.0</v>
      </c>
      <c r="Q93" s="296">
        <v>66.0</v>
      </c>
      <c r="R93" s="296">
        <v>70.0</v>
      </c>
      <c r="S93" s="296">
        <v>21.0</v>
      </c>
      <c r="T93" s="296">
        <v>3.0</v>
      </c>
      <c r="U93" s="296">
        <v>2.0</v>
      </c>
      <c r="V93" s="296">
        <v>0.0</v>
      </c>
      <c r="W93" s="296">
        <v>153.0</v>
      </c>
      <c r="X93" s="296">
        <v>30.0</v>
      </c>
      <c r="Y93" s="296">
        <v>18.0</v>
      </c>
      <c r="Z93" s="296">
        <v>12.0</v>
      </c>
      <c r="AA93" s="296">
        <v>15.0</v>
      </c>
      <c r="AB93" s="296">
        <v>16.0</v>
      </c>
      <c r="AC93" s="296">
        <v>15.0</v>
      </c>
      <c r="AD93" s="296">
        <v>18.0</v>
      </c>
      <c r="AE93" s="296">
        <v>18.0</v>
      </c>
      <c r="AF93" s="296">
        <v>18.0</v>
      </c>
      <c r="AG93" s="296">
        <v>24.0</v>
      </c>
      <c r="AH93" s="296">
        <v>12.0</v>
      </c>
      <c r="AI93" s="296">
        <v>15.0</v>
      </c>
      <c r="AJ93" s="296">
        <v>15.0</v>
      </c>
      <c r="AK93" s="296">
        <v>9.0</v>
      </c>
      <c r="AL93" s="296">
        <v>3.0</v>
      </c>
      <c r="AM93" s="296">
        <v>0.0</v>
      </c>
      <c r="AN93" s="296">
        <v>12.0</v>
      </c>
      <c r="AO93" s="298">
        <f t="shared" si="3"/>
        <v>159.0</v>
      </c>
      <c r="AP93" s="298">
        <f t="shared" si="4"/>
        <v>54.0</v>
      </c>
      <c r="AQ93" s="298">
        <f t="shared" si="5"/>
        <v>59.4</v>
      </c>
      <c r="AR93" s="130">
        <f t="shared" si="485"/>
        <v>9.391304347826</v>
      </c>
      <c r="AS93" s="130">
        <f t="shared" si="486"/>
        <v>11.7391304347826</v>
      </c>
      <c r="AT93" s="130">
        <f t="shared" si="487"/>
        <v>11.7391304347826</v>
      </c>
      <c r="AU93" s="130">
        <f t="shared" si="488"/>
        <v>11.7391304347826</v>
      </c>
      <c r="AV93" s="130">
        <f t="shared" si="489"/>
        <v>11.7391304347826</v>
      </c>
      <c r="AW93" s="130">
        <f t="shared" si="490"/>
        <v>7.04347826086957</v>
      </c>
      <c r="AX93" s="130">
        <f t="shared" si="12"/>
        <v>63.391304347826</v>
      </c>
      <c r="AY93" s="23" t="e">
        <f t="shared" si="13"/>
        <v>#REF!</v>
      </c>
      <c r="BB93" s="298" t="e">
        <f t="shared" si="14"/>
        <v>#REF!</v>
      </c>
      <c r="BC93">
        <f>VLOOKUP(C93,MOQ,3,false)</f>
      </c>
      <c r="BE93" s="130" t="s">
        <v>330</v>
      </c>
      <c r="BF93" s="130" t="e">
        <f t="shared" si="444"/>
        <v>#REF!</v>
      </c>
      <c r="BG93" s="130">
        <f t="shared" si="445"/>
        <v>9.391304347826</v>
      </c>
      <c r="BI93" s="298" t="e">
        <f t="shared" si="446"/>
        <v>#REF!</v>
      </c>
      <c r="BJ93" s="298">
        <f t="shared" si="447"/>
        <v>11.7391304347826</v>
      </c>
      <c r="BK93" s="298"/>
      <c r="BL93" s="298" t="e">
        <f t="shared" si="448"/>
        <v>#REF!</v>
      </c>
      <c r="BM93" s="298">
        <f t="shared" si="449"/>
        <v>11.7391304347826</v>
      </c>
      <c r="BN93" s="298"/>
      <c r="BO93" s="298" t="e">
        <f t="shared" si="450"/>
        <v>#REF!</v>
      </c>
      <c r="BP93" s="298">
        <f t="shared" si="451"/>
        <v>11.7391304347826</v>
      </c>
      <c r="BQ93" s="298"/>
      <c r="BR93" s="298" t="e">
        <f t="shared" si="452"/>
        <v>#REF!</v>
      </c>
      <c r="BS93" s="298">
        <f t="shared" si="453"/>
        <v>11.7391304347826</v>
      </c>
      <c r="BT93" s="298"/>
      <c r="BU93" s="298" t="e">
        <f t="shared" si="454"/>
        <v>#REF!</v>
      </c>
      <c r="BV93" s="298">
        <f t="shared" si="455"/>
        <v>7.04347826086957</v>
      </c>
      <c r="BW93" s="298"/>
      <c r="BX93" s="298" t="e">
        <f t="shared" si="456"/>
        <v>#REF!</v>
      </c>
      <c r="BZ93" s="23" t="e">
        <f t="shared" si="463"/>
        <v>#REF!</v>
      </c>
      <c r="CA93" s="300" t="e">
        <f t="shared" si="464"/>
        <v>#REF!</v>
      </c>
      <c r="CB93" s="130" t="e">
        <f t="shared" si="465"/>
        <v>#REF!</v>
      </c>
      <c r="CC93" s="23" t="e">
        <f t="shared" si="466"/>
        <v>#REF!</v>
      </c>
    </row>
    <row r="94" ht="17.0">
      <c r="A94" s="296" t="s">
        <v>32</v>
      </c>
      <c r="B94" s="296" t="s">
        <v>74</v>
      </c>
      <c r="C94" s="296" t="s">
        <v>80</v>
      </c>
      <c r="D94" s="297">
        <v>43332.0</v>
      </c>
      <c r="F94" s="296">
        <v>0.0</v>
      </c>
      <c r="G94" s="296">
        <v>0.0</v>
      </c>
      <c r="H94" s="296">
        <v>0.0</v>
      </c>
      <c r="I94" s="296">
        <v>0.0</v>
      </c>
      <c r="J94" s="296">
        <v>0.0</v>
      </c>
      <c r="K94" s="296">
        <v>15.0</v>
      </c>
      <c r="L94" s="296">
        <v>9.0</v>
      </c>
      <c r="M94" s="296">
        <v>9.0</v>
      </c>
      <c r="N94" s="296">
        <v>0.0</v>
      </c>
      <c r="O94" s="296">
        <v>0.0</v>
      </c>
      <c r="P94" s="296">
        <v>0.0</v>
      </c>
      <c r="Q94" s="296">
        <v>0.0</v>
      </c>
      <c r="R94" s="296">
        <v>9.0</v>
      </c>
      <c r="S94" s="296">
        <v>15.0</v>
      </c>
      <c r="T94" s="296">
        <v>15.0</v>
      </c>
      <c r="U94" s="296">
        <v>24.0</v>
      </c>
      <c r="V94" s="296">
        <v>0.0</v>
      </c>
      <c r="W94" s="296">
        <v>9.0</v>
      </c>
      <c r="X94" s="296">
        <v>9.0</v>
      </c>
      <c r="Y94" s="296">
        <v>18.0</v>
      </c>
      <c r="Z94" s="296">
        <v>14.0</v>
      </c>
      <c r="AA94" s="296">
        <v>3.0</v>
      </c>
      <c r="AB94" s="296">
        <v>4.0</v>
      </c>
      <c r="AC94" s="296">
        <v>9.0</v>
      </c>
      <c r="AD94" s="296">
        <v>6.0</v>
      </c>
      <c r="AE94" s="296">
        <v>6.0</v>
      </c>
      <c r="AF94" s="296">
        <v>15.0</v>
      </c>
      <c r="AG94" s="296">
        <v>18.0</v>
      </c>
      <c r="AH94" s="296">
        <v>6.0</v>
      </c>
      <c r="AI94" s="296">
        <v>9.0</v>
      </c>
      <c r="AJ94" s="296">
        <v>9.0</v>
      </c>
      <c r="AK94" s="296">
        <v>6.0</v>
      </c>
      <c r="AL94" s="296">
        <v>3.0</v>
      </c>
      <c r="AM94" s="296">
        <v>3.0</v>
      </c>
      <c r="AN94" s="296">
        <v>6.0</v>
      </c>
      <c r="AO94" s="298">
        <f t="shared" si="3"/>
        <v>96.0</v>
      </c>
      <c r="AP94" s="298">
        <f t="shared" si="4"/>
        <v>36.0</v>
      </c>
      <c r="AQ94" s="298">
        <f t="shared" si="5"/>
        <v>39.6</v>
      </c>
      <c r="AR94" s="130">
        <f t="shared" si="485"/>
        <v>6.26086956521739</v>
      </c>
      <c r="AS94" s="130">
        <f t="shared" si="486"/>
        <v>7.82608695652173</v>
      </c>
      <c r="AT94" s="130">
        <f t="shared" si="487"/>
        <v>7.82608695652173</v>
      </c>
      <c r="AU94" s="130">
        <f t="shared" si="488"/>
        <v>7.82608695652173</v>
      </c>
      <c r="AV94" s="130">
        <f t="shared" si="489"/>
        <v>7.82608695652173</v>
      </c>
      <c r="AW94" s="130">
        <f t="shared" si="490"/>
        <v>4.69565217391304</v>
      </c>
      <c r="AX94" s="130">
        <f t="shared" si="12"/>
        <v>42.2608695652173</v>
      </c>
      <c r="AY94" s="23" t="e">
        <f t="shared" si="13"/>
        <v>#REF!</v>
      </c>
      <c r="BB94" s="298" t="e">
        <f t="shared" si="14"/>
        <v>#REF!</v>
      </c>
      <c r="BC94">
        <f>VLOOKUP(C94,MOQ,3,false)</f>
      </c>
      <c r="BE94" s="130" t="s">
        <v>330</v>
      </c>
      <c r="BF94" s="130" t="e">
        <f t="shared" si="444"/>
        <v>#REF!</v>
      </c>
      <c r="BG94" s="130">
        <f t="shared" si="445"/>
        <v>6.26086956521739</v>
      </c>
      <c r="BI94" s="298" t="e">
        <f t="shared" si="446"/>
        <v>#REF!</v>
      </c>
      <c r="BJ94" s="298">
        <f t="shared" si="447"/>
        <v>7.82608695652173</v>
      </c>
      <c r="BK94" s="298"/>
      <c r="BL94" s="298" t="e">
        <f t="shared" si="448"/>
        <v>#REF!</v>
      </c>
      <c r="BM94" s="298">
        <f t="shared" si="449"/>
        <v>7.82608695652173</v>
      </c>
      <c r="BN94" s="298"/>
      <c r="BO94" s="298" t="e">
        <f t="shared" si="450"/>
        <v>#REF!</v>
      </c>
      <c r="BP94" s="298">
        <f t="shared" si="451"/>
        <v>7.82608695652173</v>
      </c>
      <c r="BQ94" s="298"/>
      <c r="BR94" s="298" t="e">
        <f t="shared" si="452"/>
        <v>#REF!</v>
      </c>
      <c r="BS94" s="298">
        <f t="shared" si="453"/>
        <v>7.82608695652173</v>
      </c>
      <c r="BT94" s="298"/>
      <c r="BU94" s="298" t="e">
        <f t="shared" si="454"/>
        <v>#REF!</v>
      </c>
      <c r="BV94" s="298">
        <f t="shared" si="455"/>
        <v>4.69565217391304</v>
      </c>
      <c r="BW94" s="298"/>
      <c r="BX94" s="298" t="e">
        <f t="shared" si="456"/>
        <v>#REF!</v>
      </c>
      <c r="BZ94" s="23" t="e">
        <f t="shared" si="463"/>
        <v>#REF!</v>
      </c>
      <c r="CA94" s="300" t="e">
        <f t="shared" si="464"/>
        <v>#REF!</v>
      </c>
      <c r="CB94" s="130" t="e">
        <f t="shared" si="465"/>
        <v>#REF!</v>
      </c>
      <c r="CC94" s="23" t="e">
        <f t="shared" si="466"/>
        <v>#REF!</v>
      </c>
    </row>
    <row r="95" ht="17.0">
      <c r="A95" s="296" t="s">
        <v>32</v>
      </c>
      <c r="B95" s="296" t="s">
        <v>74</v>
      </c>
      <c r="C95" s="296" t="s">
        <v>75</v>
      </c>
      <c r="D95" s="297" t="s">
        <v>76</v>
      </c>
      <c r="F95" s="296">
        <v>4.0</v>
      </c>
      <c r="G95" s="296">
        <v>1.0</v>
      </c>
      <c r="H95" s="296">
        <v>1.0</v>
      </c>
      <c r="I95" s="296">
        <v>5.0</v>
      </c>
      <c r="J95" s="296">
        <v>0.0</v>
      </c>
      <c r="K95" s="296">
        <v>1.0</v>
      </c>
      <c r="L95" s="296">
        <v>3.0</v>
      </c>
      <c r="M95" s="296">
        <v>2.0</v>
      </c>
      <c r="N95" s="296">
        <v>1.0</v>
      </c>
      <c r="O95" s="296">
        <v>1.0</v>
      </c>
      <c r="P95" s="296">
        <v>3.0</v>
      </c>
      <c r="Q95" s="296">
        <v>1.0</v>
      </c>
      <c r="R95" s="296">
        <v>0.0</v>
      </c>
      <c r="S95" s="296">
        <v>2.0</v>
      </c>
      <c r="T95" s="296">
        <v>0.0</v>
      </c>
      <c r="U95" s="296">
        <v>1.0</v>
      </c>
      <c r="V95" s="296">
        <v>0.0</v>
      </c>
      <c r="W95" s="296">
        <v>1.0</v>
      </c>
      <c r="X95" s="296">
        <v>1.0</v>
      </c>
      <c r="Y95" s="296">
        <v>0.0</v>
      </c>
      <c r="Z95" s="296">
        <v>3.0</v>
      </c>
      <c r="AA95" s="296">
        <v>1.0</v>
      </c>
      <c r="AB95" s="296">
        <v>0.0</v>
      </c>
      <c r="AC95" s="296">
        <v>2.0</v>
      </c>
      <c r="AD95" s="296">
        <v>1.0</v>
      </c>
      <c r="AE95" s="296">
        <v>2.0</v>
      </c>
      <c r="AF95" s="296">
        <v>2.0</v>
      </c>
      <c r="AG95" s="296">
        <v>0.0</v>
      </c>
      <c r="AH95" s="296">
        <v>1.0</v>
      </c>
      <c r="AI95" s="296">
        <v>0.0</v>
      </c>
      <c r="AJ95" s="296">
        <v>1.0</v>
      </c>
      <c r="AK95" s="296">
        <v>0.0</v>
      </c>
      <c r="AL95" s="296">
        <v>2.0</v>
      </c>
      <c r="AM95" s="296">
        <v>0.0</v>
      </c>
      <c r="AN95" s="296">
        <v>0.0</v>
      </c>
      <c r="AO95" s="298">
        <f t="shared" si="3"/>
        <v>11.0</v>
      </c>
      <c r="AP95" s="298">
        <f t="shared" si="4"/>
        <v>3.0</v>
      </c>
      <c r="AQ95" s="298">
        <f t="shared" si="5"/>
        <v>3.3</v>
      </c>
      <c r="AR95" s="299">
        <f t="shared" si="485"/>
        <v>0.521739130434782</v>
      </c>
      <c r="AS95" s="299">
        <f t="shared" si="486"/>
        <v>0.652173913043478</v>
      </c>
      <c r="AT95" s="299">
        <f t="shared" si="487"/>
        <v>0.652173913043478</v>
      </c>
      <c r="AU95" s="299">
        <f t="shared" si="488"/>
        <v>0.652173913043478</v>
      </c>
      <c r="AV95" s="299">
        <f t="shared" si="489"/>
        <v>0.652173913043478</v>
      </c>
      <c r="AW95" s="299">
        <f t="shared" si="490"/>
        <v>0.391304347826087</v>
      </c>
      <c r="AX95" s="130">
        <f t="shared" si="12"/>
        <v>3.52173913043478</v>
      </c>
      <c r="AY95" s="23" t="e">
        <f t="shared" si="13"/>
        <v>#REF!</v>
      </c>
      <c r="BB95" s="298" t="e">
        <f t="shared" si="14"/>
        <v>#REF!</v>
      </c>
      <c r="BC95" s="130">
        <f>VLOOKUP(C95,MOQ,3,false)</f>
      </c>
      <c r="BI95" s="298"/>
      <c r="BJ95" s="298"/>
      <c r="BK95" s="298"/>
      <c r="BL95" s="298"/>
      <c r="BM95" s="298"/>
      <c r="BN95" s="298"/>
      <c r="BO95" s="298"/>
      <c r="BP95" s="298"/>
      <c r="BQ95" s="298"/>
      <c r="BR95" s="298"/>
      <c r="BS95" s="298"/>
      <c r="BT95" s="298"/>
      <c r="BU95" s="298"/>
      <c r="BV95" s="298"/>
      <c r="BW95" s="298"/>
      <c r="BX95" s="298"/>
    </row>
    <row r="96">
      <c r="CC96" s="23"/>
    </row>
    <row r="97">
      <c r="CC97" s="23"/>
    </row>
    <row r="98">
      <c r="CC98" s="23"/>
    </row>
    <row r="99">
      <c r="CC99" s="23"/>
    </row>
    <row r="100">
      <c r="CC100" s="23"/>
    </row>
    <row r="101">
      <c r="CC101" s="23"/>
    </row>
    <row r="262140">
      <c r="CC262140" s="23"/>
    </row>
    <row r="262141">
      <c r="CC262141" s="23"/>
    </row>
    <row r="262142">
      <c r="CC262142" s="23"/>
    </row>
  </sheetData>
  <mergeCells count="6">
    <mergeCell ref="BM5:BO5"/>
    <mergeCell ref="BP5:BR5"/>
    <mergeCell ref="BS5:BU5"/>
    <mergeCell ref="BV5:BX5"/>
    <mergeCell ref="BG5:BI5"/>
    <mergeCell ref="BJ5:BL5"/>
  </mergeCells>
  <conditionalFormatting sqref="C4:C6">
    <cfRule dxfId="1" operator="containsText" type="containsText" priority="1" text="set up">
      <formula>NOT(ISERROR(SEARCH("set up",C4)))</formula>
    </cfRule>
  </conditionalFormatting>
  <conditionalFormatting sqref="BB4:BB6">
    <cfRule dxfId="2" operator="lessThan" type="cellIs" priority="2">
      <formula>0</formula>
    </cfRule>
  </conditionalFormatting>
  <conditionalFormatting sqref="C4:C6">
    <cfRule dxfId="1" operator="containsText" type="containsText" priority="3" text="SET UP">
      <formula>NOT(ISERROR(SEARCH("SET UP",C4)))</formula>
    </cfRule>
  </conditionalFormatting>
  <conditionalFormatting sqref="C4:C6">
    <cfRule dxfId="1" operator="containsText" type="containsText" priority="4" text="starter pack">
      <formula>NOT(ISERROR(SEARCH("starter pack",C4)))</formula>
    </cfRule>
  </conditionalFormatting>
  <conditionalFormatting sqref="BD4:BD6">
    <cfRule dxfId="4" operator="greaterThan" type="cellIs" priority="5">
      <formula>0</formula>
    </cfRule>
  </conditionalFormatting>
  <conditionalFormatting sqref="C4:C6">
    <cfRule dxfId="5" operator="containsText" type="containsText" priority="6" text="CDU">
      <formula>NOT(ISERROR(SEARCH("CDU",C4)))</formula>
    </cfRule>
  </conditionalFormatting>
  <conditionalFormatting sqref="C4:C6">
    <cfRule dxfId="5" operator="containsText" type="containsText" priority="7" text="DISPLAY">
      <formula>NOT(ISERROR(SEARCH("DISPLAY",C4)))</formula>
    </cfRule>
  </conditionalFormatting>
  <conditionalFormatting sqref="C1:C6">
    <cfRule dxfId="1" operator="containsText" type="containsText" priority="8" text="STARTER PACK">
      <formula>NOT(ISERROR(SEARCH("STARTER PACK",C1)))</formula>
    </cfRule>
  </conditionalFormatting>
  <conditionalFormatting sqref="C1:C6">
    <cfRule dxfId="1" operator="containsText" type="containsText" priority="9" text="SET UP">
      <formula>NOT(ISERROR(SEARCH("SET UP",C1)))</formula>
    </cfRule>
  </conditionalFormatting>
  <conditionalFormatting sqref="C1:C6">
    <cfRule dxfId="9" operator="containsText" type="containsText" priority="10" text="CDU">
      <formula>NOT(ISERROR(SEARCH("CDU",C1)))</formula>
    </cfRule>
  </conditionalFormatting>
  <conditionalFormatting sqref="C1:C6">
    <cfRule dxfId="9" operator="containsText" type="containsText" priority="11" text="STAND">
      <formula>NOT(ISERROR(SEARCH("STAND",C1)))</formula>
    </cfRule>
  </conditionalFormatting>
  <conditionalFormatting sqref="F7:AN95">
    <cfRule dxfId="8" operator="lessThanOrEqual" type="cellIs" priority="12">
      <formula>0</formula>
    </cfRule>
  </conditionalFormatting>
  <conditionalFormatting sqref="C1:C262140">
    <cfRule dxfId="1" operator="containsText" type="containsText" priority="13" text="set up">
      <formula>NOT(ISERROR(SEARCH("set up",C1)))</formula>
    </cfRule>
  </conditionalFormatting>
  <conditionalFormatting sqref="C1:C262140">
    <cfRule dxfId="1" operator="containsText" type="containsText" priority="14" text="setup">
      <formula>NOT(ISERROR(SEARCH("setup",C1)))</formula>
    </cfRule>
  </conditionalFormatting>
  <conditionalFormatting sqref="C1:C262140">
    <cfRule dxfId="1" operator="containsText" type="containsText" priority="15" text="starter pack">
      <formula>NOT(ISERROR(SEARCH("starter pack",C1)))</formula>
    </cfRule>
  </conditionalFormatting>
  <conditionalFormatting sqref="C1:C262140">
    <cfRule dxfId="5" operator="containsText" type="containsText" priority="16" text="cdu">
      <formula>NOT(ISERROR(SEARCH("cdu",C1)))</formula>
    </cfRule>
  </conditionalFormatting>
  <conditionalFormatting sqref="C1:C262140">
    <cfRule dxfId="5" operator="containsText" type="containsText" priority="17" text="display">
      <formula>NOT(ISERROR(SEARCH("display",C1)))</formula>
    </cfRule>
  </conditionalFormatting>
  <conditionalFormatting sqref="BB7:BB95">
    <cfRule dxfId="6" operator="lessThanOrEqual" type="cellIs" priority="18">
      <formula>0</formula>
    </cfRule>
  </conditionalFormatting>
  <conditionalFormatting sqref="BF7:BX95">
    <cfRule dxfId="3" operator="lessThan" type="cellIs" priority="19">
      <formula>0</formula>
    </cfRule>
  </conditionalFormatting>
  <legacyDrawing r:id="rId2"/>
  <extLst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AE222"/>
  <sheetViews>
    <sheetView workbookViewId="0"/>
  </sheetViews>
  <sheetFormatPr defaultRowHeight="14.0" customHeight="1"/>
  <cols>
    <col min="1" max="1" style="47" width="4.23"/>
    <col min="2" max="2" style="47" width="24.64"/>
    <col min="3" max="3" style="47" width="16.03"/>
    <col min="4" max="4" style="47" width="47.3"/>
    <col min="5" max="5" style="185" width="9.14"/>
    <col min="6" max="6" style="47" width="13.24"/>
    <col min="7" max="7" style="64" width="12.58"/>
    <col min="8" max="8" style="306" width="12.45" outlineLevel="1"/>
    <col min="9" max="9" style="67" width="11.65" outlineLevel="1"/>
    <col min="10" max="10" style="185" width="16.69" outlineLevel="1"/>
    <col min="11" max="12" style="47" width="12.05" outlineLevel="1"/>
    <col min="13" max="13" style="47" width="13.24" outlineLevel="1"/>
    <col min="14" max="14" style="307" width="10.99" outlineLevel="1"/>
    <col min="15" max="15" style="47" width="10.33" outlineLevel="1"/>
    <col min="16" max="16" style="218" width="11.39"/>
    <col min="17" max="17" style="47" width="19.34"/>
    <col min="18" max="18" hidden="1" style="47" width="0.0" outlineLevel="1"/>
    <col min="19" max="19" hidden="1" style="47" width="0.0" outlineLevel="1"/>
    <col min="20" max="20" hidden="1" style="47" width="0.0" outlineLevel="1"/>
    <col min="21" max="21" hidden="1" style="47" width="0.0" outlineLevel="1"/>
    <col min="22" max="22" hidden="1" style="47" width="0.0" outlineLevel="1"/>
    <col min="23" max="23" hidden="1" style="47" width="0.0" outlineLevel="2"/>
    <col min="24" max="25" hidden="1" style="47" width="0.0" outlineLevel="2"/>
    <col min="26" max="28" hidden="1" style="47" width="0.0" outlineLevel="1"/>
    <col min="29" max="29" style="47" width="20.4" collapsed="1"/>
    <col min="30" max="30" style="47" width="14.83"/>
    <col min="31" max="1005" style="47" width="13.24"/>
    <col min="1006" max="2048" style="47" width="13.24"/>
  </cols>
  <sheetData>
    <row hidden="1" r="1" outlineLevel="1" customFormat="1" s="47">
      <c r="E1" s="185"/>
      <c r="G1" s="64"/>
      <c r="H1" s="308"/>
      <c r="I1" s="308"/>
      <c r="J1" s="185"/>
      <c r="N1" s="307"/>
      <c r="P1" s="218"/>
      <c r="Q1" s="66"/>
      <c r="AC1" s="194"/>
    </row>
    <row hidden="1" r="2" ht="14.0" outlineLevel="1" customFormat="1" s="47">
      <c r="B2" s="64" t="s">
        <v>827</v>
      </c>
      <c r="E2" s="185"/>
      <c r="G2" s="64"/>
      <c r="H2" s="308"/>
      <c r="I2" s="308"/>
      <c r="J2" s="185"/>
      <c r="N2" s="307"/>
      <c r="P2" s="218"/>
      <c r="Q2" s="66"/>
      <c r="AC2" s="194"/>
    </row>
    <row hidden="1" r="3" ht="43.0" outlineLevel="1" customFormat="1" s="47">
      <c r="B3" s="309" t="s">
        <v>12</v>
      </c>
      <c r="C3" s="309" t="s">
        <v>13</v>
      </c>
      <c r="D3" s="310" t="s">
        <v>828</v>
      </c>
      <c r="E3" s="311" t="s">
        <v>507</v>
      </c>
      <c r="F3" s="310" t="s">
        <v>829</v>
      </c>
      <c r="G3" s="310" t="s">
        <v>830</v>
      </c>
      <c r="H3" s="312" t="s">
        <v>527</v>
      </c>
      <c r="I3" s="312" t="s">
        <v>568</v>
      </c>
      <c r="J3" s="310" t="s">
        <v>831</v>
      </c>
      <c r="K3" s="313" t="s">
        <v>832</v>
      </c>
      <c r="L3" s="313" t="s">
        <v>833</v>
      </c>
      <c r="M3" s="310" t="s">
        <v>834</v>
      </c>
      <c r="N3" s="314" t="s">
        <v>835</v>
      </c>
      <c r="O3" s="315" t="s">
        <v>23</v>
      </c>
      <c r="P3" s="316" t="s">
        <v>836</v>
      </c>
      <c r="Q3" s="315" t="s">
        <v>837</v>
      </c>
      <c r="R3" s="317" t="s">
        <v>838</v>
      </c>
      <c r="S3" s="318"/>
      <c r="T3" s="319" t="s">
        <v>839</v>
      </c>
      <c r="U3" s="320" t="s">
        <v>840</v>
      </c>
      <c r="V3" s="321" t="s">
        <v>841</v>
      </c>
      <c r="W3" s="318"/>
      <c r="X3" s="318"/>
      <c r="Y3" s="318"/>
      <c r="Z3" s="318"/>
      <c r="AA3" s="318"/>
      <c r="AB3" s="318"/>
      <c r="AC3" s="312" t="s">
        <v>842</v>
      </c>
    </row>
    <row hidden="1" r="4" ht="14.0" outlineLevel="1" customFormat="1" s="84">
      <c r="B4" s="322" t="s">
        <v>32</v>
      </c>
      <c r="C4" s="322" t="s">
        <v>33</v>
      </c>
      <c r="D4" s="322" t="s">
        <v>38</v>
      </c>
      <c r="E4" s="323">
        <v>35801.0</v>
      </c>
      <c r="F4" s="324">
        <v>50.0</v>
      </c>
      <c r="G4" s="324">
        <v>15.0</v>
      </c>
      <c r="H4" s="325">
        <v>6.24</v>
      </c>
      <c r="I4" s="326">
        <v>93.5895</v>
      </c>
      <c r="J4" s="327" t="s">
        <v>518</v>
      </c>
      <c r="K4" s="328"/>
      <c r="L4" s="329"/>
      <c r="M4" s="329"/>
      <c r="N4" s="330">
        <v>-35.0</v>
      </c>
      <c r="O4" s="329"/>
      <c r="P4" s="331">
        <f t="shared" ref="P4:P17" si="0">N4*-1</f>
        <v>35.0</v>
      </c>
      <c r="Q4" s="332">
        <v>36.0</v>
      </c>
      <c r="R4" s="329"/>
      <c r="S4" s="329"/>
      <c r="T4" s="329"/>
      <c r="U4" s="329"/>
      <c r="V4" s="329"/>
      <c r="W4" s="329"/>
      <c r="X4" s="329"/>
      <c r="Y4" s="329"/>
      <c r="Z4" s="329"/>
      <c r="AA4" s="329"/>
      <c r="AB4" s="329"/>
      <c r="AC4" s="333">
        <f>Q4*H4</f>
        <v>224.64</v>
      </c>
    </row>
    <row hidden="1" r="5" ht="14.0" outlineLevel="1" customFormat="1" s="84">
      <c r="B5" s="322" t="s">
        <v>32</v>
      </c>
      <c r="C5" s="322" t="s">
        <v>33</v>
      </c>
      <c r="D5" s="334" t="s">
        <v>39</v>
      </c>
      <c r="E5" s="335">
        <v>35804.0</v>
      </c>
      <c r="F5" s="336">
        <v>49.0</v>
      </c>
      <c r="G5" s="336">
        <v>0.0</v>
      </c>
      <c r="H5" s="337"/>
      <c r="I5" s="338">
        <v>0.0</v>
      </c>
      <c r="J5" s="339" t="s">
        <v>73</v>
      </c>
      <c r="K5" s="328"/>
      <c r="L5" s="329"/>
      <c r="M5" s="329"/>
      <c r="N5" s="330">
        <v>-49.0</v>
      </c>
      <c r="O5" s="329"/>
      <c r="P5" s="331">
        <f t="shared" si="0"/>
        <v>49.0</v>
      </c>
      <c r="Q5" s="332">
        <v>54.0</v>
      </c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33">
        <f>Q5*6.24</f>
        <v>336.96</v>
      </c>
    </row>
    <row hidden="1" r="6" ht="14.0" outlineLevel="1" customFormat="1" s="84">
      <c r="B6" s="322" t="s">
        <v>32</v>
      </c>
      <c r="C6" s="322" t="s">
        <v>33</v>
      </c>
      <c r="D6" s="322" t="s">
        <v>49</v>
      </c>
      <c r="E6" s="323">
        <v>36803.0</v>
      </c>
      <c r="F6" s="324">
        <v>77.0</v>
      </c>
      <c r="G6" s="324">
        <v>63.0</v>
      </c>
      <c r="H6" s="325">
        <v>6.24</v>
      </c>
      <c r="I6" s="326">
        <v>392.8428</v>
      </c>
      <c r="J6" s="340" t="s">
        <v>520</v>
      </c>
      <c r="K6" s="328"/>
      <c r="L6" s="329"/>
      <c r="M6" s="329"/>
      <c r="N6" s="330">
        <v>-14.0</v>
      </c>
      <c r="O6" s="329"/>
      <c r="P6" s="331">
        <f t="shared" si="0"/>
        <v>14.0</v>
      </c>
      <c r="Q6" s="332">
        <v>18.0</v>
      </c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33">
        <f t="shared" ref="AC6:AC8" si="3">Q6*H6</f>
        <v>112.32</v>
      </c>
    </row>
    <row hidden="1" r="7" ht="14.0" outlineLevel="1" customFormat="1" s="84">
      <c r="B7" s="322" t="s">
        <v>32</v>
      </c>
      <c r="C7" s="322" t="s">
        <v>33</v>
      </c>
      <c r="D7" s="322" t="s">
        <v>50</v>
      </c>
      <c r="E7" s="323">
        <v>36804.0</v>
      </c>
      <c r="F7" s="324">
        <v>63.0</v>
      </c>
      <c r="G7" s="324">
        <v>48.0</v>
      </c>
      <c r="H7" s="325">
        <v>6.24</v>
      </c>
      <c r="I7" s="326">
        <v>299.2992</v>
      </c>
      <c r="J7" s="340" t="s">
        <v>520</v>
      </c>
      <c r="K7" s="328"/>
      <c r="L7" s="329"/>
      <c r="M7" s="329"/>
      <c r="N7" s="330">
        <v>-15.0</v>
      </c>
      <c r="O7" s="329"/>
      <c r="P7" s="331">
        <f t="shared" si="0"/>
        <v>15.0</v>
      </c>
      <c r="Q7" s="332">
        <v>18.0</v>
      </c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33">
        <f t="shared" si="3"/>
        <v>112.32</v>
      </c>
    </row>
    <row hidden="1" r="8" ht="14.0" outlineLevel="1" customFormat="1" s="84">
      <c r="B8" s="322" t="s">
        <v>32</v>
      </c>
      <c r="C8" s="322" t="s">
        <v>33</v>
      </c>
      <c r="D8" s="322" t="s">
        <v>52</v>
      </c>
      <c r="E8" s="323">
        <v>36806.0</v>
      </c>
      <c r="F8" s="324">
        <v>65.0</v>
      </c>
      <c r="G8" s="324">
        <v>48.0</v>
      </c>
      <c r="H8" s="325">
        <v>6.24</v>
      </c>
      <c r="I8" s="326">
        <v>299.2992</v>
      </c>
      <c r="J8" s="340" t="s">
        <v>520</v>
      </c>
      <c r="K8" s="328"/>
      <c r="L8" s="329"/>
      <c r="M8" s="329"/>
      <c r="N8" s="330">
        <v>-17.0</v>
      </c>
      <c r="O8" s="329"/>
      <c r="P8" s="331">
        <f t="shared" si="0"/>
        <v>17.0</v>
      </c>
      <c r="Q8" s="332">
        <v>18.0</v>
      </c>
      <c r="R8" s="329"/>
      <c r="S8" s="329"/>
      <c r="T8" s="329"/>
      <c r="U8" s="329"/>
      <c r="V8" s="329"/>
      <c r="W8" s="329"/>
      <c r="X8" s="329"/>
      <c r="Y8" s="329"/>
      <c r="Z8" s="329"/>
      <c r="AA8" s="329"/>
      <c r="AB8" s="329"/>
      <c r="AC8" s="333">
        <f t="shared" si="3"/>
        <v>112.32</v>
      </c>
    </row>
    <row hidden="1" r="9" ht="14.0" outlineLevel="1" customFormat="1" s="84">
      <c r="B9" s="322" t="s">
        <v>32</v>
      </c>
      <c r="C9" s="322" t="s">
        <v>81</v>
      </c>
      <c r="D9" s="334" t="s">
        <v>535</v>
      </c>
      <c r="E9" s="335">
        <v>37601.0</v>
      </c>
      <c r="F9" s="336">
        <v>273.0</v>
      </c>
      <c r="G9" s="336">
        <v>0.0</v>
      </c>
      <c r="H9" s="341"/>
      <c r="I9" s="338">
        <v>0.0</v>
      </c>
      <c r="J9" s="340" t="s">
        <v>73</v>
      </c>
      <c r="K9" s="328"/>
      <c r="L9" s="329"/>
      <c r="M9" s="329"/>
      <c r="N9" s="330">
        <v>-273.0</v>
      </c>
      <c r="O9" s="329"/>
      <c r="P9" s="331">
        <f t="shared" si="0"/>
        <v>273.0</v>
      </c>
      <c r="Q9" s="332">
        <v>276.0</v>
      </c>
      <c r="R9" s="329"/>
      <c r="S9" s="329"/>
      <c r="T9" s="329"/>
      <c r="U9" s="329"/>
      <c r="V9" s="329"/>
      <c r="W9" s="329"/>
      <c r="X9" s="329"/>
      <c r="Y9" s="329"/>
      <c r="Z9" s="329"/>
      <c r="AA9" s="329"/>
      <c r="AB9" s="329"/>
      <c r="AC9" s="333">
        <f>Q9*3.47</f>
        <v>957.72</v>
      </c>
    </row>
    <row hidden="1" r="10" ht="14.0" outlineLevel="1" customFormat="1" s="84">
      <c r="B10" s="322" t="s">
        <v>32</v>
      </c>
      <c r="C10" s="322" t="s">
        <v>81</v>
      </c>
      <c r="D10" s="322" t="s">
        <v>536</v>
      </c>
      <c r="E10" s="323">
        <v>37602.0</v>
      </c>
      <c r="F10" s="324">
        <v>459.0</v>
      </c>
      <c r="G10" s="324">
        <v>3.0</v>
      </c>
      <c r="H10" s="325">
        <v>3.47</v>
      </c>
      <c r="I10" s="326">
        <v>10.4</v>
      </c>
      <c r="J10" s="342" t="s">
        <v>518</v>
      </c>
      <c r="K10" s="328"/>
      <c r="L10" s="329"/>
      <c r="M10" s="329"/>
      <c r="N10" s="330">
        <v>-456.0</v>
      </c>
      <c r="O10" s="329"/>
      <c r="P10" s="331">
        <f t="shared" si="0"/>
        <v>456.0</v>
      </c>
      <c r="Q10" s="332">
        <v>456.0</v>
      </c>
      <c r="R10" s="329"/>
      <c r="S10" s="329"/>
      <c r="T10" s="329"/>
      <c r="U10" s="329"/>
      <c r="V10" s="329"/>
      <c r="W10" s="329"/>
      <c r="X10" s="329"/>
      <c r="Y10" s="329"/>
      <c r="Z10" s="329"/>
      <c r="AA10" s="329"/>
      <c r="AB10" s="329"/>
      <c r="AC10" s="333">
        <f t="shared" ref="AC10:AC17" si="5">Q10*H10</f>
        <v>1582.32</v>
      </c>
    </row>
    <row hidden="1" r="11" ht="14.0" outlineLevel="1" customFormat="1" s="84">
      <c r="B11" s="322" t="s">
        <v>32</v>
      </c>
      <c r="C11" s="322" t="s">
        <v>45</v>
      </c>
      <c r="D11" s="334" t="s">
        <v>118</v>
      </c>
      <c r="E11" s="335" t="s">
        <v>119</v>
      </c>
      <c r="F11" s="336">
        <v>2.0</v>
      </c>
      <c r="G11" s="336">
        <v>0.0</v>
      </c>
      <c r="H11" s="341"/>
      <c r="I11" s="338">
        <v>0.0</v>
      </c>
      <c r="J11" s="340" t="s">
        <v>73</v>
      </c>
      <c r="K11" s="328"/>
      <c r="L11" s="329"/>
      <c r="M11" s="329"/>
      <c r="N11" s="330">
        <v>-2.0</v>
      </c>
      <c r="O11" s="329"/>
      <c r="P11" s="331">
        <f t="shared" si="0"/>
        <v>2.0</v>
      </c>
      <c r="Q11" s="332">
        <v>6.0</v>
      </c>
      <c r="R11" s="329"/>
      <c r="S11" s="329"/>
      <c r="T11" s="329"/>
      <c r="U11" s="329"/>
      <c r="V11" s="329"/>
      <c r="W11" s="329"/>
      <c r="X11" s="329"/>
      <c r="Y11" s="329"/>
      <c r="Z11" s="329"/>
      <c r="AA11" s="329"/>
      <c r="AB11" s="329"/>
      <c r="AC11" s="333">
        <f t="shared" si="5"/>
        <v>0.0</v>
      </c>
    </row>
    <row hidden="1" r="12" ht="14.0" outlineLevel="1" customFormat="1" s="84">
      <c r="B12" s="322" t="s">
        <v>32</v>
      </c>
      <c r="C12" s="322" t="s">
        <v>110</v>
      </c>
      <c r="D12" s="322" t="s">
        <v>122</v>
      </c>
      <c r="E12" s="323">
        <v>43105.0</v>
      </c>
      <c r="F12" s="324">
        <v>109.0</v>
      </c>
      <c r="G12" s="324">
        <v>78.0</v>
      </c>
      <c r="H12" s="325">
        <v>2.67</v>
      </c>
      <c r="I12" s="326">
        <v>208.1664</v>
      </c>
      <c r="J12" s="340" t="s">
        <v>520</v>
      </c>
      <c r="K12" s="328"/>
      <c r="L12" s="329"/>
      <c r="M12" s="329"/>
      <c r="N12" s="330">
        <v>-31.0</v>
      </c>
      <c r="O12" s="329"/>
      <c r="P12" s="331">
        <f t="shared" si="0"/>
        <v>31.0</v>
      </c>
      <c r="Q12" s="332">
        <v>36.0</v>
      </c>
      <c r="R12" s="329"/>
      <c r="S12" s="329"/>
      <c r="T12" s="329"/>
      <c r="U12" s="329"/>
      <c r="V12" s="329"/>
      <c r="W12" s="329"/>
      <c r="X12" s="329"/>
      <c r="Y12" s="329"/>
      <c r="Z12" s="329"/>
      <c r="AA12" s="329"/>
      <c r="AB12" s="329"/>
      <c r="AC12" s="333">
        <f t="shared" si="5"/>
        <v>96.12</v>
      </c>
    </row>
    <row hidden="1" r="13" ht="14.0" outlineLevel="1" customFormat="1" s="84">
      <c r="B13" s="322" t="s">
        <v>32</v>
      </c>
      <c r="C13" s="322" t="s">
        <v>110</v>
      </c>
      <c r="D13" s="322" t="s">
        <v>123</v>
      </c>
      <c r="E13" s="323">
        <v>43106.0</v>
      </c>
      <c r="F13" s="324">
        <v>118.0</v>
      </c>
      <c r="G13" s="324">
        <v>39.0</v>
      </c>
      <c r="H13" s="325">
        <v>2.77</v>
      </c>
      <c r="I13" s="326">
        <v>108.1314</v>
      </c>
      <c r="J13" s="340" t="s">
        <v>519</v>
      </c>
      <c r="K13" s="328"/>
      <c r="L13" s="329"/>
      <c r="M13" s="329"/>
      <c r="N13" s="330">
        <v>-79.0</v>
      </c>
      <c r="O13" s="329"/>
      <c r="P13" s="331">
        <f t="shared" si="0"/>
        <v>79.0</v>
      </c>
      <c r="Q13" s="332">
        <v>84.0</v>
      </c>
      <c r="R13" s="329"/>
      <c r="S13" s="329"/>
      <c r="T13" s="329"/>
      <c r="U13" s="329"/>
      <c r="V13" s="329"/>
      <c r="W13" s="329"/>
      <c r="X13" s="329"/>
      <c r="Y13" s="329"/>
      <c r="Z13" s="329"/>
      <c r="AA13" s="329"/>
      <c r="AB13" s="329"/>
      <c r="AC13" s="333">
        <f t="shared" si="5"/>
        <v>232.68</v>
      </c>
    </row>
    <row hidden="1" r="14" ht="14.0" outlineLevel="1" customFormat="1" s="84">
      <c r="B14" s="322" t="s">
        <v>32</v>
      </c>
      <c r="C14" s="322" t="s">
        <v>110</v>
      </c>
      <c r="D14" s="322" t="s">
        <v>125</v>
      </c>
      <c r="E14" s="323">
        <v>43110.0</v>
      </c>
      <c r="F14" s="324">
        <v>107.0</v>
      </c>
      <c r="G14" s="324">
        <v>9.0</v>
      </c>
      <c r="H14" s="325">
        <v>2.63</v>
      </c>
      <c r="I14" s="326">
        <v>23.67</v>
      </c>
      <c r="J14" s="327" t="s">
        <v>518</v>
      </c>
      <c r="K14" s="328"/>
      <c r="L14" s="329"/>
      <c r="M14" s="329"/>
      <c r="N14" s="330">
        <v>-98.0</v>
      </c>
      <c r="O14" s="329"/>
      <c r="P14" s="331">
        <f t="shared" si="0"/>
        <v>98.0</v>
      </c>
      <c r="Q14" s="332">
        <v>102.0</v>
      </c>
      <c r="R14" s="329"/>
      <c r="S14" s="329"/>
      <c r="T14" s="329"/>
      <c r="U14" s="329"/>
      <c r="V14" s="329"/>
      <c r="W14" s="329"/>
      <c r="X14" s="329"/>
      <c r="Y14" s="329"/>
      <c r="Z14" s="329"/>
      <c r="AA14" s="329"/>
      <c r="AB14" s="329"/>
      <c r="AC14" s="333">
        <f t="shared" si="5"/>
        <v>268.26</v>
      </c>
    </row>
    <row hidden="1" r="15" ht="14.0" outlineLevel="1" customFormat="1" s="84">
      <c r="B15" s="322" t="s">
        <v>32</v>
      </c>
      <c r="C15" s="322" t="s">
        <v>110</v>
      </c>
      <c r="D15" s="322" t="s">
        <v>126</v>
      </c>
      <c r="E15" s="323">
        <v>43111.0</v>
      </c>
      <c r="F15" s="324">
        <v>89.0</v>
      </c>
      <c r="G15" s="324">
        <v>81.0</v>
      </c>
      <c r="H15" s="325">
        <v>2.77</v>
      </c>
      <c r="I15" s="326">
        <v>224.0784</v>
      </c>
      <c r="J15" s="340" t="s">
        <v>520</v>
      </c>
      <c r="K15" s="328"/>
      <c r="L15" s="329"/>
      <c r="M15" s="329"/>
      <c r="N15" s="330">
        <v>-8.0</v>
      </c>
      <c r="O15" s="329"/>
      <c r="P15" s="331">
        <f t="shared" si="0"/>
        <v>8.0</v>
      </c>
      <c r="Q15" s="332">
        <v>12.0</v>
      </c>
      <c r="R15" s="329"/>
      <c r="S15" s="329"/>
      <c r="T15" s="329"/>
      <c r="U15" s="329"/>
      <c r="V15" s="329"/>
      <c r="W15" s="329"/>
      <c r="X15" s="329"/>
      <c r="Y15" s="329"/>
      <c r="Z15" s="329"/>
      <c r="AA15" s="329"/>
      <c r="AB15" s="329"/>
      <c r="AC15" s="333">
        <f t="shared" si="5"/>
        <v>33.24</v>
      </c>
    </row>
    <row hidden="1" r="16" ht="14.0" outlineLevel="1" customFormat="1" s="84">
      <c r="B16" s="322" t="s">
        <v>32</v>
      </c>
      <c r="C16" s="322" t="s">
        <v>110</v>
      </c>
      <c r="D16" s="322" t="s">
        <v>130</v>
      </c>
      <c r="E16" s="323">
        <v>43134.0</v>
      </c>
      <c r="F16" s="324">
        <v>60.0</v>
      </c>
      <c r="G16" s="324">
        <v>45.0</v>
      </c>
      <c r="H16" s="325">
        <v>2.77</v>
      </c>
      <c r="I16" s="326">
        <v>124.7085</v>
      </c>
      <c r="J16" s="340" t="s">
        <v>520</v>
      </c>
      <c r="K16" s="328"/>
      <c r="L16" s="329"/>
      <c r="M16" s="329"/>
      <c r="N16" s="330">
        <v>-15.0</v>
      </c>
      <c r="O16" s="329"/>
      <c r="P16" s="331">
        <f t="shared" si="0"/>
        <v>15.0</v>
      </c>
      <c r="Q16" s="332">
        <v>18.0</v>
      </c>
      <c r="R16" s="329"/>
      <c r="S16" s="329"/>
      <c r="T16" s="329"/>
      <c r="U16" s="329"/>
      <c r="V16" s="329"/>
      <c r="W16" s="329"/>
      <c r="X16" s="329"/>
      <c r="Y16" s="329"/>
      <c r="Z16" s="329"/>
      <c r="AA16" s="329"/>
      <c r="AB16" s="329"/>
      <c r="AC16" s="333">
        <f t="shared" si="5"/>
        <v>49.86</v>
      </c>
    </row>
    <row hidden="1" r="17" ht="14.0" outlineLevel="1" customFormat="1" s="84">
      <c r="B17" s="343" t="s">
        <v>32</v>
      </c>
      <c r="C17" s="343" t="s">
        <v>110</v>
      </c>
      <c r="D17" s="343" t="s">
        <v>133</v>
      </c>
      <c r="E17" s="344">
        <v>43190.0</v>
      </c>
      <c r="F17" s="345">
        <v>37.0</v>
      </c>
      <c r="G17" s="345">
        <v>0.0</v>
      </c>
      <c r="H17" s="346"/>
      <c r="I17" s="347">
        <v>0.0</v>
      </c>
      <c r="J17" s="340" t="s">
        <v>73</v>
      </c>
      <c r="K17" s="348"/>
      <c r="L17" s="349"/>
      <c r="M17" s="349"/>
      <c r="N17" s="350">
        <v>-37.0</v>
      </c>
      <c r="O17" s="349"/>
      <c r="P17" s="351">
        <f t="shared" si="0"/>
        <v>37.0</v>
      </c>
      <c r="Q17" s="352">
        <v>42.0</v>
      </c>
      <c r="R17" s="349"/>
      <c r="S17" s="349"/>
      <c r="T17" s="349"/>
      <c r="U17" s="349"/>
      <c r="V17" s="349"/>
      <c r="W17" s="349"/>
      <c r="X17" s="349"/>
      <c r="Y17" s="349"/>
      <c r="Z17" s="349"/>
      <c r="AA17" s="349"/>
      <c r="AB17" s="349"/>
      <c r="AC17" s="353">
        <f t="shared" si="5"/>
        <v>0.0</v>
      </c>
      <c r="AD17" s="354" t="s">
        <v>843</v>
      </c>
    </row>
    <row hidden="1" r="18" ht="14.0" outlineLevel="1" customFormat="1" s="47">
      <c r="E18" s="185"/>
      <c r="G18" s="64"/>
      <c r="H18" s="308"/>
      <c r="I18" s="308"/>
      <c r="J18" s="185"/>
      <c r="N18" s="307"/>
      <c r="P18" s="218"/>
      <c r="Q18" s="66"/>
      <c r="AC18" s="201">
        <f>SUM(AC4:AC17)</f>
        <v>4118.76</v>
      </c>
    </row>
    <row hidden="1" r="19" ht="14.0" outlineLevel="1" customFormat="1" s="47">
      <c r="B19" s="64"/>
      <c r="E19" s="185"/>
      <c r="G19" s="64"/>
      <c r="H19" s="308"/>
      <c r="I19" s="308"/>
      <c r="J19" s="185"/>
      <c r="N19" s="307"/>
      <c r="P19" s="218"/>
      <c r="Q19" s="66"/>
      <c r="AC19" s="355" t="s">
        <v>844</v>
      </c>
      <c r="AD19" s="356">
        <v>1543.5</v>
      </c>
    </row>
    <row hidden="1" r="20" ht="14.0" outlineLevel="1" customFormat="1" s="47">
      <c r="B20" s="64"/>
      <c r="E20" s="185"/>
      <c r="G20" s="64"/>
      <c r="H20" s="308"/>
      <c r="I20" s="308"/>
      <c r="J20" s="185"/>
      <c r="N20" s="307"/>
      <c r="P20" s="218"/>
      <c r="Q20" s="66"/>
      <c r="AC20" s="355" t="s">
        <v>845</v>
      </c>
      <c r="AD20" s="357">
        <v>325.5</v>
      </c>
    </row>
    <row hidden="1" r="21" ht="14.0" outlineLevel="1" customFormat="1" s="47">
      <c r="E21" s="185"/>
      <c r="G21" s="64"/>
      <c r="H21" s="308"/>
      <c r="I21" s="308"/>
      <c r="J21" s="185"/>
      <c r="N21" s="307"/>
      <c r="P21" s="218"/>
      <c r="Q21" s="66" t="s">
        <v>523</v>
      </c>
      <c r="AC21" s="249" t="s">
        <v>846</v>
      </c>
      <c r="AD21" s="249">
        <f>AD20+AD19</f>
        <v>1869.0</v>
      </c>
    </row>
    <row hidden="1" r="22" ht="14.0" outlineLevel="1" customFormat="1" s="47">
      <c r="B22" s="64" t="s">
        <v>847</v>
      </c>
      <c r="J22" s="185"/>
    </row>
    <row hidden="1" r="23" ht="43.0" outlineLevel="1" customFormat="1" s="47">
      <c r="B23" s="358" t="s">
        <v>12</v>
      </c>
      <c r="C23" s="358" t="s">
        <v>13</v>
      </c>
      <c r="D23" s="359" t="s">
        <v>828</v>
      </c>
      <c r="E23" s="359" t="s">
        <v>507</v>
      </c>
      <c r="F23" s="359" t="s">
        <v>848</v>
      </c>
      <c r="G23" s="310" t="s">
        <v>830</v>
      </c>
      <c r="H23" s="360" t="s">
        <v>527</v>
      </c>
      <c r="I23" s="360" t="s">
        <v>568</v>
      </c>
      <c r="J23" s="359" t="s">
        <v>831</v>
      </c>
      <c r="K23" s="313" t="s">
        <v>832</v>
      </c>
      <c r="L23" s="313" t="s">
        <v>833</v>
      </c>
      <c r="M23" s="359" t="s">
        <v>834</v>
      </c>
      <c r="N23" s="361" t="s">
        <v>849</v>
      </c>
      <c r="O23" s="362" t="s">
        <v>23</v>
      </c>
      <c r="P23" s="363" t="s">
        <v>836</v>
      </c>
      <c r="Q23" s="315" t="s">
        <v>837</v>
      </c>
      <c r="R23" s="364" t="s">
        <v>838</v>
      </c>
      <c r="S23" s="365"/>
      <c r="T23" s="366" t="s">
        <v>839</v>
      </c>
      <c r="U23" s="367" t="s">
        <v>840</v>
      </c>
      <c r="V23" s="368" t="s">
        <v>841</v>
      </c>
      <c r="W23" s="365"/>
      <c r="X23" s="365"/>
      <c r="Y23" s="365"/>
      <c r="Z23" s="365"/>
      <c r="AA23" s="365"/>
      <c r="AB23" s="365"/>
      <c r="AC23" s="369" t="s">
        <v>842</v>
      </c>
    </row>
    <row hidden="1" r="24" ht="14.0" outlineLevel="1" customFormat="1" s="47">
      <c r="B24" s="365" t="s">
        <v>32</v>
      </c>
      <c r="C24" s="365" t="s">
        <v>33</v>
      </c>
      <c r="D24" s="365" t="s">
        <v>38</v>
      </c>
      <c r="E24" s="340">
        <v>35801.0</v>
      </c>
      <c r="F24" s="365">
        <v>61.0</v>
      </c>
      <c r="G24" s="370">
        <v>15.0</v>
      </c>
      <c r="H24" s="371">
        <v>6.24</v>
      </c>
      <c r="I24" s="372">
        <v>93.5895</v>
      </c>
      <c r="J24" s="327" t="s">
        <v>518</v>
      </c>
      <c r="K24" s="365"/>
      <c r="L24" s="365"/>
      <c r="M24" s="365"/>
      <c r="N24" s="373">
        <v>-45.93</v>
      </c>
      <c r="O24" s="365"/>
      <c r="P24" s="374">
        <f t="shared" ref="P24:P42" si="8">N24*-1</f>
        <v>45.93</v>
      </c>
      <c r="Q24" s="375">
        <v>48.0</v>
      </c>
      <c r="R24" s="376"/>
      <c r="S24" s="365"/>
      <c r="T24" s="365"/>
      <c r="U24" s="365"/>
      <c r="V24" s="365"/>
      <c r="W24" s="365"/>
      <c r="X24" s="365"/>
      <c r="Y24" s="365"/>
      <c r="Z24" s="365"/>
      <c r="AA24" s="365"/>
      <c r="AB24" s="365"/>
      <c r="AC24" s="333">
        <f>Q24*H24</f>
        <v>299.52</v>
      </c>
    </row>
    <row hidden="1" r="25" ht="14.0" outlineLevel="1" customFormat="1" s="47">
      <c r="B25" s="365" t="s">
        <v>32</v>
      </c>
      <c r="C25" s="365" t="s">
        <v>33</v>
      </c>
      <c r="D25" s="377" t="s">
        <v>39</v>
      </c>
      <c r="E25" s="339">
        <v>35804.0</v>
      </c>
      <c r="F25" s="377">
        <v>60.0</v>
      </c>
      <c r="G25" s="378">
        <v>0.0</v>
      </c>
      <c r="H25" s="379"/>
      <c r="I25" s="379">
        <v>0.0</v>
      </c>
      <c r="J25" s="339" t="s">
        <v>73</v>
      </c>
      <c r="K25" s="365"/>
      <c r="L25" s="365"/>
      <c r="M25" s="365"/>
      <c r="N25" s="373">
        <v>-60.27</v>
      </c>
      <c r="O25" s="365"/>
      <c r="P25" s="374">
        <f t="shared" si="8"/>
        <v>60.27</v>
      </c>
      <c r="Q25" s="375">
        <v>66.0</v>
      </c>
      <c r="R25" s="376"/>
      <c r="S25" s="365"/>
      <c r="T25" s="365"/>
      <c r="U25" s="365"/>
      <c r="V25" s="365"/>
      <c r="W25" s="365"/>
      <c r="X25" s="365"/>
      <c r="Y25" s="365"/>
      <c r="Z25" s="365"/>
      <c r="AA25" s="365"/>
      <c r="AB25" s="365"/>
      <c r="AC25" s="333">
        <f>Q25*6.24</f>
        <v>411.84</v>
      </c>
    </row>
    <row hidden="1" r="26" ht="14.0" outlineLevel="1" customFormat="1" s="47">
      <c r="B26" s="365" t="s">
        <v>32</v>
      </c>
      <c r="C26" s="365" t="s">
        <v>33</v>
      </c>
      <c r="D26" s="365" t="s">
        <v>49</v>
      </c>
      <c r="E26" s="340">
        <v>36803.0</v>
      </c>
      <c r="F26" s="365">
        <v>100.0</v>
      </c>
      <c r="G26" s="370">
        <v>63.0</v>
      </c>
      <c r="H26" s="371">
        <v>6.24</v>
      </c>
      <c r="I26" s="372">
        <v>392.8428</v>
      </c>
      <c r="J26" s="340" t="s">
        <v>520</v>
      </c>
      <c r="K26" s="365"/>
      <c r="L26" s="365"/>
      <c r="M26" s="365"/>
      <c r="N26" s="373">
        <v>-37.0</v>
      </c>
      <c r="O26" s="365"/>
      <c r="P26" s="374">
        <f t="shared" si="8"/>
        <v>37.0</v>
      </c>
      <c r="Q26" s="375">
        <v>42.0</v>
      </c>
      <c r="R26" s="376"/>
      <c r="S26" s="365"/>
      <c r="T26" s="365"/>
      <c r="U26" s="365"/>
      <c r="V26" s="365"/>
      <c r="W26" s="365"/>
      <c r="X26" s="365"/>
      <c r="Y26" s="365"/>
      <c r="Z26" s="365"/>
      <c r="AA26" s="365"/>
      <c r="AB26" s="365"/>
      <c r="AC26" s="333">
        <f t="shared" ref="AC26:AC29" si="11">Q26*H26</f>
        <v>262.08</v>
      </c>
    </row>
    <row hidden="1" r="27" ht="14.0" outlineLevel="1" customFormat="1" s="47">
      <c r="B27" s="365" t="s">
        <v>32</v>
      </c>
      <c r="C27" s="365" t="s">
        <v>33</v>
      </c>
      <c r="D27" s="365" t="s">
        <v>50</v>
      </c>
      <c r="E27" s="340">
        <v>36804.0</v>
      </c>
      <c r="F27" s="365">
        <v>82.0</v>
      </c>
      <c r="G27" s="370">
        <v>48.0</v>
      </c>
      <c r="H27" s="371">
        <v>6.24</v>
      </c>
      <c r="I27" s="372">
        <v>299.2992</v>
      </c>
      <c r="J27" s="340" t="s">
        <v>520</v>
      </c>
      <c r="K27" s="365"/>
      <c r="L27" s="365"/>
      <c r="M27" s="365"/>
      <c r="N27" s="373">
        <v>-34.0</v>
      </c>
      <c r="O27" s="365"/>
      <c r="P27" s="374">
        <f t="shared" si="8"/>
        <v>34.0</v>
      </c>
      <c r="Q27" s="375">
        <v>36.0</v>
      </c>
      <c r="R27" s="376"/>
      <c r="S27" s="365"/>
      <c r="T27" s="365"/>
      <c r="U27" s="365"/>
      <c r="V27" s="365"/>
      <c r="W27" s="365"/>
      <c r="X27" s="365"/>
      <c r="Y27" s="365"/>
      <c r="Z27" s="365"/>
      <c r="AA27" s="365"/>
      <c r="AB27" s="365"/>
      <c r="AC27" s="333">
        <f t="shared" si="11"/>
        <v>224.64</v>
      </c>
    </row>
    <row hidden="1" r="28" ht="14.0" outlineLevel="1" customFormat="1" s="47">
      <c r="B28" s="365" t="s">
        <v>32</v>
      </c>
      <c r="C28" s="365" t="s">
        <v>33</v>
      </c>
      <c r="D28" s="365" t="s">
        <v>51</v>
      </c>
      <c r="E28" s="340">
        <v>36805.0</v>
      </c>
      <c r="F28" s="365">
        <v>101.0</v>
      </c>
      <c r="G28" s="370">
        <v>87.0</v>
      </c>
      <c r="H28" s="371">
        <v>6.24</v>
      </c>
      <c r="I28" s="372">
        <v>542.5059</v>
      </c>
      <c r="J28" s="340" t="s">
        <v>4</v>
      </c>
      <c r="K28" s="365"/>
      <c r="L28" s="365"/>
      <c r="M28" s="365"/>
      <c r="N28" s="373">
        <v>-13.67</v>
      </c>
      <c r="O28" s="365"/>
      <c r="P28" s="374">
        <f t="shared" si="8"/>
        <v>13.67</v>
      </c>
      <c r="Q28" s="375">
        <v>18.0</v>
      </c>
      <c r="R28" s="376"/>
      <c r="S28" s="365"/>
      <c r="T28" s="365"/>
      <c r="U28" s="365"/>
      <c r="V28" s="365"/>
      <c r="W28" s="365"/>
      <c r="X28" s="365"/>
      <c r="Y28" s="365"/>
      <c r="Z28" s="365"/>
      <c r="AA28" s="365"/>
      <c r="AB28" s="365"/>
      <c r="AC28" s="333">
        <f t="shared" si="11"/>
        <v>112.32</v>
      </c>
    </row>
    <row hidden="1" r="29" ht="14.0" outlineLevel="1" customFormat="1" s="47">
      <c r="B29" s="365" t="s">
        <v>32</v>
      </c>
      <c r="C29" s="365" t="s">
        <v>33</v>
      </c>
      <c r="D29" s="365" t="s">
        <v>52</v>
      </c>
      <c r="E29" s="340">
        <v>36806.0</v>
      </c>
      <c r="F29" s="365">
        <v>84.0</v>
      </c>
      <c r="G29" s="370">
        <v>48.0</v>
      </c>
      <c r="H29" s="371">
        <v>6.24</v>
      </c>
      <c r="I29" s="372">
        <v>299.2992</v>
      </c>
      <c r="J29" s="340" t="s">
        <v>520</v>
      </c>
      <c r="K29" s="365"/>
      <c r="L29" s="365"/>
      <c r="M29" s="365"/>
      <c r="N29" s="373">
        <v>-35.73</v>
      </c>
      <c r="O29" s="365"/>
      <c r="P29" s="374">
        <f t="shared" si="8"/>
        <v>35.73</v>
      </c>
      <c r="Q29" s="375">
        <v>36.0</v>
      </c>
      <c r="R29" s="376"/>
      <c r="S29" s="365"/>
      <c r="T29" s="365"/>
      <c r="U29" s="365"/>
      <c r="V29" s="365"/>
      <c r="W29" s="365"/>
      <c r="X29" s="365"/>
      <c r="Y29" s="365"/>
      <c r="Z29" s="365"/>
      <c r="AA29" s="365"/>
      <c r="AB29" s="365"/>
      <c r="AC29" s="333">
        <f t="shared" si="11"/>
        <v>224.64</v>
      </c>
    </row>
    <row hidden="1" r="30" ht="14.0" outlineLevel="1" customFormat="1" s="47">
      <c r="B30" s="365" t="s">
        <v>32</v>
      </c>
      <c r="C30" s="365" t="s">
        <v>81</v>
      </c>
      <c r="D30" s="377" t="s">
        <v>535</v>
      </c>
      <c r="E30" s="339">
        <v>37601.0</v>
      </c>
      <c r="F30" s="377">
        <v>357.0</v>
      </c>
      <c r="G30" s="378">
        <v>0.0</v>
      </c>
      <c r="H30" s="380"/>
      <c r="I30" s="379">
        <v>0.0</v>
      </c>
      <c r="J30" s="340" t="s">
        <v>73</v>
      </c>
      <c r="K30" s="365"/>
      <c r="L30" s="365"/>
      <c r="M30" s="365"/>
      <c r="N30" s="373">
        <v>-356.73</v>
      </c>
      <c r="O30" s="365"/>
      <c r="P30" s="374">
        <f t="shared" si="8"/>
        <v>356.73</v>
      </c>
      <c r="Q30" s="375">
        <v>360.0</v>
      </c>
      <c r="R30" s="376"/>
      <c r="S30" s="365"/>
      <c r="T30" s="365"/>
      <c r="U30" s="365"/>
      <c r="V30" s="365"/>
      <c r="W30" s="365"/>
      <c r="X30" s="365"/>
      <c r="Y30" s="365"/>
      <c r="Z30" s="365"/>
      <c r="AA30" s="365"/>
      <c r="AB30" s="365"/>
      <c r="AC30" s="333">
        <f>Q30*3.47</f>
        <v>1249.2</v>
      </c>
    </row>
    <row hidden="1" r="31" ht="14.0" outlineLevel="1" customFormat="1" s="47">
      <c r="B31" s="365" t="s">
        <v>32</v>
      </c>
      <c r="C31" s="365" t="s">
        <v>81</v>
      </c>
      <c r="D31" s="365" t="s">
        <v>536</v>
      </c>
      <c r="E31" s="340">
        <v>37602.0</v>
      </c>
      <c r="F31" s="365">
        <v>598.0</v>
      </c>
      <c r="G31" s="370">
        <v>3.0</v>
      </c>
      <c r="H31" s="371">
        <v>3.47</v>
      </c>
      <c r="I31" s="372">
        <v>10.4</v>
      </c>
      <c r="J31" s="327" t="s">
        <v>518</v>
      </c>
      <c r="K31" s="365"/>
      <c r="L31" s="365"/>
      <c r="M31" s="365"/>
      <c r="N31" s="373">
        <v>-595.36</v>
      </c>
      <c r="O31" s="365"/>
      <c r="P31" s="374">
        <f t="shared" si="8"/>
        <v>595.36</v>
      </c>
      <c r="Q31" s="375">
        <v>600.0</v>
      </c>
      <c r="R31" s="376"/>
      <c r="S31" s="365"/>
      <c r="T31" s="365"/>
      <c r="U31" s="365"/>
      <c r="V31" s="365"/>
      <c r="W31" s="365"/>
      <c r="X31" s="365"/>
      <c r="Y31" s="365"/>
      <c r="Z31" s="365"/>
      <c r="AA31" s="365"/>
      <c r="AB31" s="365"/>
      <c r="AC31" s="333">
        <f t="shared" ref="AC31:AC42" si="13">Q31*H31</f>
        <v>2082.0</v>
      </c>
    </row>
    <row hidden="1" r="32" ht="14.0" outlineLevel="1" customFormat="1" s="47">
      <c r="B32" s="365" t="s">
        <v>32</v>
      </c>
      <c r="C32" s="365" t="s">
        <v>45</v>
      </c>
      <c r="D32" s="377" t="s">
        <v>118</v>
      </c>
      <c r="E32" s="339" t="s">
        <v>119</v>
      </c>
      <c r="F32" s="377">
        <v>3.0</v>
      </c>
      <c r="G32" s="378">
        <v>0.0</v>
      </c>
      <c r="H32" s="380"/>
      <c r="I32" s="379">
        <v>0.0</v>
      </c>
      <c r="J32" s="340" t="s">
        <v>73</v>
      </c>
      <c r="K32" s="365"/>
      <c r="L32" s="365"/>
      <c r="M32" s="365"/>
      <c r="N32" s="373">
        <v>-2.67</v>
      </c>
      <c r="O32" s="365"/>
      <c r="P32" s="374">
        <f t="shared" si="8"/>
        <v>2.67</v>
      </c>
      <c r="Q32" s="375">
        <v>6.0</v>
      </c>
      <c r="R32" s="376"/>
      <c r="S32" s="365"/>
      <c r="T32" s="365"/>
      <c r="U32" s="365"/>
      <c r="V32" s="365"/>
      <c r="W32" s="365"/>
      <c r="X32" s="365"/>
      <c r="Y32" s="365"/>
      <c r="Z32" s="365"/>
      <c r="AA32" s="365"/>
      <c r="AB32" s="365"/>
      <c r="AC32" s="333">
        <f t="shared" si="13"/>
        <v>0.0</v>
      </c>
    </row>
    <row hidden="1" r="33" ht="14.0" outlineLevel="1" customFormat="1" s="47">
      <c r="B33" s="365" t="s">
        <v>32</v>
      </c>
      <c r="C33" s="365" t="s">
        <v>110</v>
      </c>
      <c r="D33" s="365" t="s">
        <v>120</v>
      </c>
      <c r="E33" s="340">
        <v>43101.0</v>
      </c>
      <c r="F33" s="365">
        <v>111.0</v>
      </c>
      <c r="G33" s="370">
        <v>107.0</v>
      </c>
      <c r="H33" s="371">
        <v>2.77</v>
      </c>
      <c r="I33" s="372">
        <v>296.5291</v>
      </c>
      <c r="J33" s="340" t="s">
        <v>4</v>
      </c>
      <c r="K33" s="365"/>
      <c r="L33" s="365"/>
      <c r="M33" s="365"/>
      <c r="N33" s="373">
        <v>-3.67</v>
      </c>
      <c r="O33" s="365"/>
      <c r="P33" s="374">
        <f t="shared" si="8"/>
        <v>3.67</v>
      </c>
      <c r="Q33" s="375">
        <v>6.0</v>
      </c>
      <c r="R33" s="376"/>
      <c r="S33" s="365"/>
      <c r="T33" s="365"/>
      <c r="U33" s="365"/>
      <c r="V33" s="365"/>
      <c r="W33" s="365"/>
      <c r="X33" s="365"/>
      <c r="Y33" s="365"/>
      <c r="Z33" s="365"/>
      <c r="AA33" s="365"/>
      <c r="AB33" s="365"/>
      <c r="AC33" s="333">
        <f t="shared" si="13"/>
        <v>16.62</v>
      </c>
    </row>
    <row hidden="1" r="34" ht="14.0" outlineLevel="1" customFormat="1" s="47">
      <c r="B34" s="365" t="s">
        <v>32</v>
      </c>
      <c r="C34" s="365" t="s">
        <v>110</v>
      </c>
      <c r="D34" s="365" t="s">
        <v>121</v>
      </c>
      <c r="E34" s="340">
        <v>43104.0</v>
      </c>
      <c r="F34" s="365">
        <v>54.0</v>
      </c>
      <c r="G34" s="370">
        <v>42.0</v>
      </c>
      <c r="H34" s="371">
        <v>2.77</v>
      </c>
      <c r="I34" s="372">
        <v>116.4198</v>
      </c>
      <c r="J34" s="340" t="s">
        <v>4</v>
      </c>
      <c r="K34" s="365"/>
      <c r="L34" s="365"/>
      <c r="M34" s="365"/>
      <c r="N34" s="373">
        <v>-12.0</v>
      </c>
      <c r="O34" s="365"/>
      <c r="P34" s="374">
        <f t="shared" si="8"/>
        <v>12.0</v>
      </c>
      <c r="Q34" s="375">
        <v>12.0</v>
      </c>
      <c r="R34" s="376"/>
      <c r="S34" s="365"/>
      <c r="T34" s="365"/>
      <c r="U34" s="365"/>
      <c r="V34" s="365"/>
      <c r="W34" s="365"/>
      <c r="X34" s="365"/>
      <c r="Y34" s="365"/>
      <c r="Z34" s="365"/>
      <c r="AA34" s="365"/>
      <c r="AB34" s="365"/>
      <c r="AC34" s="333">
        <f t="shared" si="13"/>
        <v>33.24</v>
      </c>
    </row>
    <row hidden="1" r="35" ht="14.0" outlineLevel="1" customFormat="1" s="47">
      <c r="B35" s="365" t="s">
        <v>32</v>
      </c>
      <c r="C35" s="365" t="s">
        <v>110</v>
      </c>
      <c r="D35" s="365" t="s">
        <v>122</v>
      </c>
      <c r="E35" s="340">
        <v>43105.0</v>
      </c>
      <c r="F35" s="365">
        <v>143.0</v>
      </c>
      <c r="G35" s="370">
        <v>78.0</v>
      </c>
      <c r="H35" s="371">
        <v>2.67</v>
      </c>
      <c r="I35" s="372">
        <v>208.1664</v>
      </c>
      <c r="J35" s="340" t="s">
        <v>520</v>
      </c>
      <c r="K35" s="365"/>
      <c r="L35" s="365"/>
      <c r="M35" s="365"/>
      <c r="N35" s="373">
        <v>-64.67</v>
      </c>
      <c r="O35" s="365"/>
      <c r="P35" s="374">
        <f t="shared" si="8"/>
        <v>64.67</v>
      </c>
      <c r="Q35" s="375">
        <v>66.0</v>
      </c>
      <c r="R35" s="376"/>
      <c r="S35" s="365"/>
      <c r="T35" s="365"/>
      <c r="U35" s="365"/>
      <c r="V35" s="365"/>
      <c r="W35" s="365"/>
      <c r="X35" s="365"/>
      <c r="Y35" s="365"/>
      <c r="Z35" s="365"/>
      <c r="AA35" s="365"/>
      <c r="AB35" s="365"/>
      <c r="AC35" s="333">
        <f t="shared" si="13"/>
        <v>176.22</v>
      </c>
    </row>
    <row hidden="1" r="36" ht="14.0" outlineLevel="1" customFormat="1" s="47">
      <c r="B36" s="365" t="s">
        <v>32</v>
      </c>
      <c r="C36" s="365" t="s">
        <v>110</v>
      </c>
      <c r="D36" s="365" t="s">
        <v>123</v>
      </c>
      <c r="E36" s="340">
        <v>43106.0</v>
      </c>
      <c r="F36" s="365">
        <v>154.0</v>
      </c>
      <c r="G36" s="370">
        <v>39.0</v>
      </c>
      <c r="H36" s="371">
        <v>2.77</v>
      </c>
      <c r="I36" s="372">
        <v>108.1314</v>
      </c>
      <c r="J36" s="340" t="s">
        <v>519</v>
      </c>
      <c r="K36" s="365"/>
      <c r="L36" s="365"/>
      <c r="M36" s="365"/>
      <c r="N36" s="373">
        <v>-115.0</v>
      </c>
      <c r="O36" s="365"/>
      <c r="P36" s="374">
        <f t="shared" si="8"/>
        <v>115.0</v>
      </c>
      <c r="Q36" s="375">
        <v>120.0</v>
      </c>
      <c r="R36" s="376"/>
      <c r="S36" s="365"/>
      <c r="T36" s="365"/>
      <c r="U36" s="365"/>
      <c r="V36" s="365"/>
      <c r="W36" s="365"/>
      <c r="X36" s="365"/>
      <c r="Y36" s="365"/>
      <c r="Z36" s="365"/>
      <c r="AA36" s="365"/>
      <c r="AB36" s="365"/>
      <c r="AC36" s="333">
        <f t="shared" si="13"/>
        <v>332.4</v>
      </c>
    </row>
    <row hidden="1" r="37" ht="14.0" outlineLevel="1" customFormat="1" s="47">
      <c r="B37" s="365" t="s">
        <v>32</v>
      </c>
      <c r="C37" s="365" t="s">
        <v>110</v>
      </c>
      <c r="D37" s="365" t="s">
        <v>125</v>
      </c>
      <c r="E37" s="340">
        <v>43110.0</v>
      </c>
      <c r="F37" s="365">
        <v>140.0</v>
      </c>
      <c r="G37" s="370">
        <v>9.0</v>
      </c>
      <c r="H37" s="371">
        <v>2.63</v>
      </c>
      <c r="I37" s="372">
        <v>23.67</v>
      </c>
      <c r="J37" s="327" t="s">
        <v>518</v>
      </c>
      <c r="K37" s="365"/>
      <c r="L37" s="365"/>
      <c r="M37" s="365"/>
      <c r="N37" s="373">
        <v>-131.0</v>
      </c>
      <c r="O37" s="365"/>
      <c r="P37" s="374">
        <f t="shared" si="8"/>
        <v>131.0</v>
      </c>
      <c r="Q37" s="375">
        <v>132.0</v>
      </c>
      <c r="R37" s="376"/>
      <c r="S37" s="365"/>
      <c r="T37" s="365"/>
      <c r="U37" s="365"/>
      <c r="V37" s="365"/>
      <c r="W37" s="365"/>
      <c r="X37" s="365"/>
      <c r="Y37" s="365"/>
      <c r="Z37" s="365"/>
      <c r="AA37" s="365"/>
      <c r="AB37" s="365"/>
      <c r="AC37" s="333">
        <f t="shared" si="13"/>
        <v>347.16</v>
      </c>
    </row>
    <row hidden="1" r="38" ht="14.0" outlineLevel="1" customFormat="1" s="47">
      <c r="B38" s="365" t="s">
        <v>32</v>
      </c>
      <c r="C38" s="365" t="s">
        <v>110</v>
      </c>
      <c r="D38" s="365" t="s">
        <v>126</v>
      </c>
      <c r="E38" s="340">
        <v>43111.0</v>
      </c>
      <c r="F38" s="365">
        <v>117.0</v>
      </c>
      <c r="G38" s="370">
        <v>81.0</v>
      </c>
      <c r="H38" s="371">
        <v>2.77</v>
      </c>
      <c r="I38" s="372">
        <v>224.0784</v>
      </c>
      <c r="J38" s="340" t="s">
        <v>520</v>
      </c>
      <c r="K38" s="365"/>
      <c r="L38" s="365"/>
      <c r="M38" s="365"/>
      <c r="N38" s="373">
        <v>-35.67</v>
      </c>
      <c r="O38" s="365"/>
      <c r="P38" s="374">
        <f t="shared" si="8"/>
        <v>35.67</v>
      </c>
      <c r="Q38" s="375">
        <v>36.0</v>
      </c>
      <c r="R38" s="376"/>
      <c r="S38" s="365"/>
      <c r="T38" s="365"/>
      <c r="U38" s="365"/>
      <c r="V38" s="365"/>
      <c r="W38" s="365"/>
      <c r="X38" s="365"/>
      <c r="Y38" s="365"/>
      <c r="Z38" s="365"/>
      <c r="AA38" s="365"/>
      <c r="AB38" s="365"/>
      <c r="AC38" s="333">
        <f t="shared" si="13"/>
        <v>99.72</v>
      </c>
    </row>
    <row hidden="1" r="39" ht="14.0" outlineLevel="1" customFormat="1" s="47">
      <c r="B39" s="365" t="s">
        <v>32</v>
      </c>
      <c r="C39" s="365" t="s">
        <v>110</v>
      </c>
      <c r="D39" s="365" t="s">
        <v>127</v>
      </c>
      <c r="E39" s="340">
        <v>43112.0</v>
      </c>
      <c r="F39" s="365">
        <v>166.0</v>
      </c>
      <c r="G39" s="370">
        <v>164.0</v>
      </c>
      <c r="H39" s="371">
        <v>2.74</v>
      </c>
      <c r="I39" s="372">
        <v>449.3764</v>
      </c>
      <c r="J39" s="340" t="s">
        <v>4</v>
      </c>
      <c r="K39" s="365"/>
      <c r="L39" s="365"/>
      <c r="M39" s="365"/>
      <c r="N39" s="373">
        <v>-2.0</v>
      </c>
      <c r="O39" s="365"/>
      <c r="P39" s="374">
        <f t="shared" si="8"/>
        <v>2.0</v>
      </c>
      <c r="Q39" s="375">
        <v>6.0</v>
      </c>
      <c r="R39" s="376"/>
      <c r="S39" s="365"/>
      <c r="T39" s="365"/>
      <c r="U39" s="365"/>
      <c r="V39" s="365"/>
      <c r="W39" s="365"/>
      <c r="X39" s="365"/>
      <c r="Y39" s="365"/>
      <c r="Z39" s="365"/>
      <c r="AA39" s="365"/>
      <c r="AB39" s="365"/>
      <c r="AC39" s="333">
        <f t="shared" si="13"/>
        <v>16.44</v>
      </c>
    </row>
    <row hidden="1" r="40" ht="14.0" outlineLevel="1" customFormat="1" s="47">
      <c r="B40" s="318" t="s">
        <v>32</v>
      </c>
      <c r="C40" s="318" t="s">
        <v>110</v>
      </c>
      <c r="D40" s="318" t="s">
        <v>130</v>
      </c>
      <c r="E40" s="381">
        <v>43134.0</v>
      </c>
      <c r="F40" s="318">
        <v>78.0</v>
      </c>
      <c r="G40" s="382">
        <v>45.0</v>
      </c>
      <c r="H40" s="383">
        <v>2.77</v>
      </c>
      <c r="I40" s="384">
        <v>124.7085</v>
      </c>
      <c r="J40" s="381" t="s">
        <v>520</v>
      </c>
      <c r="K40" s="318"/>
      <c r="L40" s="318"/>
      <c r="M40" s="318"/>
      <c r="N40" s="385">
        <v>-33.0</v>
      </c>
      <c r="O40" s="318"/>
      <c r="P40" s="386">
        <f t="shared" si="8"/>
        <v>33.0</v>
      </c>
      <c r="Q40" s="387">
        <v>36.0</v>
      </c>
      <c r="R40" s="38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89">
        <f t="shared" si="13"/>
        <v>99.72</v>
      </c>
    </row>
    <row hidden="1" r="41" ht="14.0" outlineLevel="1" customFormat="1" s="47">
      <c r="B41" s="390" t="s">
        <v>32</v>
      </c>
      <c r="C41" s="390" t="s">
        <v>110</v>
      </c>
      <c r="D41" s="390" t="s">
        <v>133</v>
      </c>
      <c r="E41" s="391">
        <v>43190.0</v>
      </c>
      <c r="F41" s="390">
        <v>49.0</v>
      </c>
      <c r="G41" s="392">
        <v>0.0</v>
      </c>
      <c r="H41" s="393"/>
      <c r="I41" s="394">
        <v>0.0</v>
      </c>
      <c r="J41" s="391" t="s">
        <v>73</v>
      </c>
      <c r="K41" s="390"/>
      <c r="L41" s="390"/>
      <c r="M41" s="390"/>
      <c r="N41" s="395">
        <v>-48.67</v>
      </c>
      <c r="O41" s="390"/>
      <c r="P41" s="351">
        <f t="shared" si="8"/>
        <v>48.67</v>
      </c>
      <c r="Q41" s="392">
        <v>54.0</v>
      </c>
      <c r="R41" s="390"/>
      <c r="S41" s="390"/>
      <c r="T41" s="390"/>
      <c r="U41" s="390"/>
      <c r="V41" s="390"/>
      <c r="W41" s="390"/>
      <c r="X41" s="390"/>
      <c r="Y41" s="390"/>
      <c r="Z41" s="390"/>
      <c r="AA41" s="390"/>
      <c r="AB41" s="390"/>
      <c r="AC41" s="353">
        <f t="shared" si="13"/>
        <v>0.0</v>
      </c>
      <c r="AD41" s="354" t="s">
        <v>843</v>
      </c>
    </row>
    <row hidden="1" r="42" ht="14.0" outlineLevel="1" customFormat="1" s="47">
      <c r="B42" s="396" t="s">
        <v>32</v>
      </c>
      <c r="C42" s="396" t="s">
        <v>163</v>
      </c>
      <c r="D42" s="396" t="s">
        <v>169</v>
      </c>
      <c r="E42" s="397">
        <v>40409.0</v>
      </c>
      <c r="F42" s="396">
        <v>44.0</v>
      </c>
      <c r="G42" s="398">
        <v>39.0</v>
      </c>
      <c r="H42" s="399">
        <v>9.01</v>
      </c>
      <c r="I42" s="400">
        <v>351.3198</v>
      </c>
      <c r="J42" s="397" t="s">
        <v>4</v>
      </c>
      <c r="K42" s="396"/>
      <c r="L42" s="396"/>
      <c r="M42" s="396"/>
      <c r="N42" s="401">
        <v>-5.0</v>
      </c>
      <c r="O42" s="396"/>
      <c r="P42" s="402">
        <f t="shared" si="8"/>
        <v>5.0</v>
      </c>
      <c r="Q42" s="403">
        <v>6.0</v>
      </c>
      <c r="R42" s="404"/>
      <c r="S42" s="396"/>
      <c r="T42" s="396"/>
      <c r="U42" s="396"/>
      <c r="V42" s="396"/>
      <c r="W42" s="396"/>
      <c r="X42" s="396"/>
      <c r="Y42" s="396"/>
      <c r="Z42" s="396"/>
      <c r="AA42" s="396"/>
      <c r="AB42" s="396"/>
      <c r="AC42" s="405">
        <f t="shared" si="13"/>
        <v>54.06</v>
      </c>
    </row>
    <row hidden="1" r="43" ht="14.0" outlineLevel="1" customFormat="1" s="47">
      <c r="E43" s="185"/>
      <c r="G43" s="64"/>
      <c r="H43" s="308"/>
      <c r="I43" s="308"/>
      <c r="J43" s="185"/>
      <c r="N43" s="307"/>
      <c r="P43" s="218"/>
      <c r="Q43" s="66"/>
      <c r="AC43" s="201">
        <f>SUM(AC24:AC42)</f>
        <v>6041.82</v>
      </c>
    </row>
    <row hidden="1" r="44" ht="14.0" outlineLevel="1" customFormat="1" s="47">
      <c r="E44" s="185"/>
      <c r="G44" s="64"/>
      <c r="H44" s="308"/>
      <c r="I44" s="308"/>
      <c r="J44" s="185"/>
      <c r="N44" s="307"/>
      <c r="P44" s="218"/>
      <c r="Q44" s="66"/>
      <c r="AC44" s="355" t="s">
        <v>844</v>
      </c>
      <c r="AD44" s="356">
        <v>2254.5</v>
      </c>
    </row>
    <row hidden="1" r="45" ht="14.0" outlineLevel="1" customFormat="1" s="47">
      <c r="B45" s="64"/>
      <c r="E45" s="185"/>
      <c r="G45" s="64"/>
      <c r="H45" s="308"/>
      <c r="I45" s="308"/>
      <c r="J45" s="185"/>
      <c r="N45" s="307"/>
      <c r="P45" s="218"/>
      <c r="Q45" s="66"/>
      <c r="AC45" s="355" t="s">
        <v>845</v>
      </c>
      <c r="AD45" s="357">
        <v>325.5</v>
      </c>
    </row>
    <row hidden="1" r="46" ht="14.0" outlineLevel="1" customFormat="1" s="47">
      <c r="B46" s="64"/>
      <c r="E46" s="185"/>
      <c r="G46" s="64"/>
      <c r="H46" s="308"/>
      <c r="I46" s="308"/>
      <c r="J46" s="185"/>
      <c r="N46" s="307"/>
      <c r="P46" s="218"/>
      <c r="Q46" s="66" t="s">
        <v>524</v>
      </c>
      <c r="AC46" s="249" t="s">
        <v>846</v>
      </c>
      <c r="AD46" s="249">
        <f>AD45+AD44</f>
        <v>2580.0</v>
      </c>
    </row>
    <row r="47" ht="14.0" collapsed="1" customFormat="1" s="47">
      <c r="B47" s="64" t="s">
        <v>850</v>
      </c>
      <c r="E47" s="185"/>
      <c r="G47" s="64"/>
      <c r="H47" s="308"/>
      <c r="I47" s="308"/>
      <c r="J47" s="185"/>
      <c r="N47" s="307"/>
      <c r="P47" s="218"/>
      <c r="Q47" s="66"/>
    </row>
    <row r="48" ht="43.0" customFormat="1" s="47">
      <c r="B48" s="358" t="s">
        <v>12</v>
      </c>
      <c r="C48" s="358" t="s">
        <v>13</v>
      </c>
      <c r="D48" s="359" t="s">
        <v>828</v>
      </c>
      <c r="E48" s="359" t="s">
        <v>507</v>
      </c>
      <c r="F48" s="359" t="s">
        <v>851</v>
      </c>
      <c r="G48" s="359" t="s">
        <v>830</v>
      </c>
      <c r="H48" s="360" t="s">
        <v>527</v>
      </c>
      <c r="I48" s="360" t="s">
        <v>568</v>
      </c>
      <c r="J48" s="359" t="s">
        <v>831</v>
      </c>
      <c r="K48" s="406" t="s">
        <v>832</v>
      </c>
      <c r="L48" s="406" t="s">
        <v>833</v>
      </c>
      <c r="M48" s="359" t="s">
        <v>834</v>
      </c>
      <c r="N48" s="361" t="s">
        <v>852</v>
      </c>
      <c r="O48" s="362" t="s">
        <v>23</v>
      </c>
      <c r="P48" s="363" t="s">
        <v>836</v>
      </c>
      <c r="Q48" s="362" t="s">
        <v>837</v>
      </c>
      <c r="R48" s="364" t="s">
        <v>838</v>
      </c>
      <c r="S48" s="365"/>
      <c r="T48" s="366" t="s">
        <v>839</v>
      </c>
      <c r="U48" s="367" t="s">
        <v>840</v>
      </c>
      <c r="V48" s="368" t="s">
        <v>841</v>
      </c>
      <c r="W48" s="365"/>
      <c r="X48" s="365"/>
      <c r="Y48" s="365"/>
      <c r="Z48" s="365"/>
      <c r="AA48" s="365"/>
      <c r="AB48" s="407"/>
      <c r="AC48" s="360" t="s">
        <v>842</v>
      </c>
    </row>
    <row r="49" ht="14.0" customFormat="1" s="47">
      <c r="B49" s="365" t="s">
        <v>32</v>
      </c>
      <c r="C49" s="365" t="s">
        <v>33</v>
      </c>
      <c r="D49" s="365" t="s">
        <v>38</v>
      </c>
      <c r="E49" s="340">
        <v>35801.0</v>
      </c>
      <c r="F49" s="365">
        <v>72.0</v>
      </c>
      <c r="G49" s="370">
        <v>15.0</v>
      </c>
      <c r="H49" s="372">
        <v>6.24</v>
      </c>
      <c r="I49" s="372">
        <v>93.5895</v>
      </c>
      <c r="J49" s="327" t="s">
        <v>518</v>
      </c>
      <c r="K49" s="365"/>
      <c r="L49" s="365"/>
      <c r="M49" s="365"/>
      <c r="N49" s="408">
        <v>-57.29</v>
      </c>
      <c r="O49" s="365"/>
      <c r="P49" s="331">
        <f t="shared" ref="P49:P76" si="16">N49*-1</f>
        <v>57.29</v>
      </c>
      <c r="Q49" s="409">
        <v>60.0</v>
      </c>
      <c r="R49" s="365"/>
      <c r="S49" s="365"/>
      <c r="T49" s="365"/>
      <c r="U49" s="365"/>
      <c r="V49" s="365"/>
      <c r="W49" s="365"/>
      <c r="X49" s="365"/>
      <c r="Y49" s="365"/>
      <c r="Z49" s="365"/>
      <c r="AA49" s="365"/>
      <c r="AB49" s="365"/>
      <c r="AC49" s="405">
        <f>Q49*H49</f>
        <v>374.4</v>
      </c>
    </row>
    <row r="50" ht="14.0" customFormat="1" s="47">
      <c r="B50" s="365" t="s">
        <v>32</v>
      </c>
      <c r="C50" s="365" t="s">
        <v>33</v>
      </c>
      <c r="D50" s="377" t="s">
        <v>39</v>
      </c>
      <c r="E50" s="339">
        <v>35804.0</v>
      </c>
      <c r="F50" s="377">
        <v>71.0</v>
      </c>
      <c r="G50" s="378">
        <v>0.0</v>
      </c>
      <c r="H50" s="379"/>
      <c r="I50" s="379">
        <v>0.0</v>
      </c>
      <c r="J50" s="340" t="s">
        <v>73</v>
      </c>
      <c r="K50" s="365"/>
      <c r="L50" s="365"/>
      <c r="M50" s="365"/>
      <c r="N50" s="408">
        <v>-71.47</v>
      </c>
      <c r="O50" s="365"/>
      <c r="P50" s="331">
        <f t="shared" si="16"/>
        <v>71.47</v>
      </c>
      <c r="Q50" s="409">
        <v>72.0</v>
      </c>
      <c r="R50" s="365"/>
      <c r="S50" s="365"/>
      <c r="T50" s="365"/>
      <c r="U50" s="365"/>
      <c r="V50" s="365"/>
      <c r="W50" s="365"/>
      <c r="X50" s="365"/>
      <c r="Y50" s="365"/>
      <c r="Z50" s="365"/>
      <c r="AA50" s="365"/>
      <c r="AB50" s="365"/>
      <c r="AC50" s="333">
        <f>Q50*6.24</f>
        <v>449.28</v>
      </c>
    </row>
    <row r="51" ht="14.0" customFormat="1" s="47">
      <c r="B51" s="365" t="s">
        <v>32</v>
      </c>
      <c r="C51" s="365" t="s">
        <v>33</v>
      </c>
      <c r="D51" s="365" t="s">
        <v>48</v>
      </c>
      <c r="E51" s="340">
        <v>36801.0</v>
      </c>
      <c r="F51" s="365">
        <v>116.0</v>
      </c>
      <c r="G51" s="370">
        <v>112.0</v>
      </c>
      <c r="H51" s="372">
        <v>6.24</v>
      </c>
      <c r="I51" s="372">
        <v>698.4096</v>
      </c>
      <c r="J51" s="340" t="s">
        <v>5</v>
      </c>
      <c r="K51" s="365"/>
      <c r="L51" s="365"/>
      <c r="M51" s="365"/>
      <c r="N51" s="408">
        <v>-3.93</v>
      </c>
      <c r="O51" s="365"/>
      <c r="P51" s="331">
        <f t="shared" si="16"/>
        <v>3.93</v>
      </c>
      <c r="Q51" s="409">
        <v>6.0</v>
      </c>
      <c r="R51" s="365"/>
      <c r="S51" s="365"/>
      <c r="T51" s="365"/>
      <c r="U51" s="365"/>
      <c r="V51" s="365"/>
      <c r="W51" s="365"/>
      <c r="X51" s="365"/>
      <c r="Y51" s="365"/>
      <c r="Z51" s="365"/>
      <c r="AA51" s="365"/>
      <c r="AB51" s="365"/>
      <c r="AC51" s="333">
        <f t="shared" ref="AC51:AC56" si="19">Q51*H51</f>
        <v>37.44</v>
      </c>
    </row>
    <row r="52" ht="14.0" customFormat="1" s="47">
      <c r="B52" s="365" t="s">
        <v>32</v>
      </c>
      <c r="C52" s="365" t="s">
        <v>33</v>
      </c>
      <c r="D52" s="365" t="s">
        <v>49</v>
      </c>
      <c r="E52" s="340">
        <v>36803.0</v>
      </c>
      <c r="F52" s="365">
        <v>123.0</v>
      </c>
      <c r="G52" s="370">
        <v>63.0</v>
      </c>
      <c r="H52" s="372">
        <v>6.24</v>
      </c>
      <c r="I52" s="372">
        <v>392.8428</v>
      </c>
      <c r="J52" s="340" t="s">
        <v>520</v>
      </c>
      <c r="K52" s="365"/>
      <c r="L52" s="365"/>
      <c r="M52" s="365"/>
      <c r="N52" s="408">
        <v>-60.33</v>
      </c>
      <c r="O52" s="365"/>
      <c r="P52" s="331">
        <f t="shared" si="16"/>
        <v>60.33</v>
      </c>
      <c r="Q52" s="409">
        <v>66.0</v>
      </c>
      <c r="R52" s="365"/>
      <c r="S52" s="365"/>
      <c r="T52" s="365"/>
      <c r="U52" s="365"/>
      <c r="V52" s="365"/>
      <c r="W52" s="365"/>
      <c r="X52" s="365"/>
      <c r="Y52" s="365"/>
      <c r="Z52" s="365"/>
      <c r="AA52" s="365"/>
      <c r="AB52" s="365"/>
      <c r="AC52" s="333">
        <f t="shared" si="19"/>
        <v>411.84</v>
      </c>
    </row>
    <row r="53" ht="14.0" customFormat="1" s="47">
      <c r="B53" s="365" t="s">
        <v>32</v>
      </c>
      <c r="C53" s="365" t="s">
        <v>33</v>
      </c>
      <c r="D53" s="365" t="s">
        <v>50</v>
      </c>
      <c r="E53" s="340">
        <v>36804.0</v>
      </c>
      <c r="F53" s="365">
        <v>101.0</v>
      </c>
      <c r="G53" s="370">
        <v>48.0</v>
      </c>
      <c r="H53" s="372">
        <v>6.24</v>
      </c>
      <c r="I53" s="372">
        <v>299.2992</v>
      </c>
      <c r="J53" s="340" t="s">
        <v>520</v>
      </c>
      <c r="K53" s="365"/>
      <c r="L53" s="365"/>
      <c r="M53" s="365"/>
      <c r="N53" s="408">
        <v>-53.13</v>
      </c>
      <c r="O53" s="365"/>
      <c r="P53" s="331">
        <f t="shared" si="16"/>
        <v>53.13</v>
      </c>
      <c r="Q53" s="409">
        <v>54.0</v>
      </c>
      <c r="R53" s="365"/>
      <c r="S53" s="365"/>
      <c r="T53" s="365"/>
      <c r="U53" s="365"/>
      <c r="V53" s="365"/>
      <c r="W53" s="365"/>
      <c r="X53" s="365"/>
      <c r="Y53" s="365"/>
      <c r="Z53" s="365"/>
      <c r="AA53" s="365"/>
      <c r="AB53" s="365"/>
      <c r="AC53" s="333">
        <f t="shared" si="19"/>
        <v>336.96</v>
      </c>
    </row>
    <row r="54" ht="14.0" customFormat="1" s="47">
      <c r="B54" s="365" t="s">
        <v>32</v>
      </c>
      <c r="C54" s="365" t="s">
        <v>33</v>
      </c>
      <c r="D54" s="365" t="s">
        <v>51</v>
      </c>
      <c r="E54" s="340">
        <v>36805.0</v>
      </c>
      <c r="F54" s="365">
        <v>124.0</v>
      </c>
      <c r="G54" s="370">
        <v>87.0</v>
      </c>
      <c r="H54" s="372">
        <v>6.24</v>
      </c>
      <c r="I54" s="372">
        <v>542.5059</v>
      </c>
      <c r="J54" s="340" t="s">
        <v>4</v>
      </c>
      <c r="K54" s="365"/>
      <c r="L54" s="365"/>
      <c r="M54" s="365"/>
      <c r="N54" s="408">
        <v>-37.16</v>
      </c>
      <c r="O54" s="365"/>
      <c r="P54" s="331">
        <f t="shared" si="16"/>
        <v>37.16</v>
      </c>
      <c r="Q54" s="409">
        <v>42.0</v>
      </c>
      <c r="R54" s="365"/>
      <c r="S54" s="365"/>
      <c r="T54" s="365"/>
      <c r="U54" s="365"/>
      <c r="V54" s="365"/>
      <c r="W54" s="365"/>
      <c r="X54" s="365"/>
      <c r="Y54" s="365"/>
      <c r="Z54" s="365"/>
      <c r="AA54" s="365"/>
      <c r="AB54" s="365"/>
      <c r="AC54" s="333">
        <f t="shared" si="19"/>
        <v>262.08</v>
      </c>
    </row>
    <row r="55" ht="14.0" customFormat="1" s="47">
      <c r="B55" s="365" t="s">
        <v>32</v>
      </c>
      <c r="C55" s="365" t="s">
        <v>33</v>
      </c>
      <c r="D55" s="365" t="s">
        <v>52</v>
      </c>
      <c r="E55" s="340">
        <v>36806.0</v>
      </c>
      <c r="F55" s="365">
        <v>102.0</v>
      </c>
      <c r="G55" s="370">
        <v>48.0</v>
      </c>
      <c r="H55" s="372">
        <v>6.24</v>
      </c>
      <c r="I55" s="372">
        <v>299.2992</v>
      </c>
      <c r="J55" s="340" t="s">
        <v>520</v>
      </c>
      <c r="K55" s="365"/>
      <c r="L55" s="365"/>
      <c r="M55" s="365"/>
      <c r="N55" s="408">
        <v>-54.4</v>
      </c>
      <c r="O55" s="365"/>
      <c r="P55" s="331">
        <f t="shared" si="16"/>
        <v>54.4</v>
      </c>
      <c r="Q55" s="409">
        <v>60.0</v>
      </c>
      <c r="R55" s="365"/>
      <c r="S55" s="365"/>
      <c r="T55" s="365"/>
      <c r="U55" s="365"/>
      <c r="V55" s="365"/>
      <c r="W55" s="365"/>
      <c r="X55" s="365"/>
      <c r="Y55" s="365"/>
      <c r="Z55" s="365"/>
      <c r="AA55" s="365"/>
      <c r="AB55" s="365"/>
      <c r="AC55" s="333">
        <f t="shared" si="19"/>
        <v>374.4</v>
      </c>
    </row>
    <row r="56" ht="14.0" customFormat="1" s="47">
      <c r="B56" s="365" t="s">
        <v>32</v>
      </c>
      <c r="C56" s="365" t="s">
        <v>53</v>
      </c>
      <c r="D56" s="365" t="s">
        <v>58</v>
      </c>
      <c r="E56" s="340">
        <v>71101.0</v>
      </c>
      <c r="F56" s="365">
        <v>156.0</v>
      </c>
      <c r="G56" s="370">
        <v>127.0</v>
      </c>
      <c r="H56" s="372">
        <v>8.7</v>
      </c>
      <c r="I56" s="372">
        <v>1104.7349</v>
      </c>
      <c r="J56" s="340" t="s">
        <v>5</v>
      </c>
      <c r="K56" s="365"/>
      <c r="L56" s="365"/>
      <c r="M56" s="365"/>
      <c r="N56" s="408">
        <v>-29.22</v>
      </c>
      <c r="O56" s="365"/>
      <c r="P56" s="331">
        <f t="shared" si="16"/>
        <v>29.22</v>
      </c>
      <c r="Q56" s="409">
        <v>30.0</v>
      </c>
      <c r="R56" s="365"/>
      <c r="S56" s="365"/>
      <c r="T56" s="365"/>
      <c r="U56" s="365"/>
      <c r="V56" s="365"/>
      <c r="W56" s="365"/>
      <c r="X56" s="365"/>
      <c r="Y56" s="365"/>
      <c r="Z56" s="365"/>
      <c r="AA56" s="365"/>
      <c r="AB56" s="365"/>
      <c r="AC56" s="333">
        <f t="shared" si="19"/>
        <v>261.0</v>
      </c>
    </row>
    <row r="57" ht="14.0" customFormat="1" s="47">
      <c r="B57" s="365" t="s">
        <v>32</v>
      </c>
      <c r="C57" s="365" t="s">
        <v>81</v>
      </c>
      <c r="D57" s="377" t="s">
        <v>535</v>
      </c>
      <c r="E57" s="339">
        <v>37601.0</v>
      </c>
      <c r="F57" s="377">
        <v>440.0</v>
      </c>
      <c r="G57" s="378">
        <v>0.0</v>
      </c>
      <c r="H57" s="379"/>
      <c r="I57" s="379">
        <v>0.0</v>
      </c>
      <c r="J57" s="340" t="s">
        <v>73</v>
      </c>
      <c r="K57" s="365"/>
      <c r="L57" s="365"/>
      <c r="M57" s="365"/>
      <c r="N57" s="408">
        <v>-439.96</v>
      </c>
      <c r="O57" s="365"/>
      <c r="P57" s="331">
        <f t="shared" si="16"/>
        <v>439.96</v>
      </c>
      <c r="Q57" s="409">
        <v>444.0</v>
      </c>
      <c r="R57" s="365"/>
      <c r="S57" s="365"/>
      <c r="T57" s="365"/>
      <c r="U57" s="365"/>
      <c r="V57" s="365"/>
      <c r="W57" s="365"/>
      <c r="X57" s="365"/>
      <c r="Y57" s="365"/>
      <c r="Z57" s="365"/>
      <c r="AA57" s="365"/>
      <c r="AB57" s="365"/>
      <c r="AC57" s="333">
        <f>Q57*3.47</f>
        <v>1540.68</v>
      </c>
    </row>
    <row r="58" ht="14.0" customFormat="1" s="47">
      <c r="B58" s="365" t="s">
        <v>32</v>
      </c>
      <c r="C58" s="365" t="s">
        <v>81</v>
      </c>
      <c r="D58" s="365" t="s">
        <v>536</v>
      </c>
      <c r="E58" s="340">
        <v>37602.0</v>
      </c>
      <c r="F58" s="365">
        <v>738.0</v>
      </c>
      <c r="G58" s="370">
        <v>3.0</v>
      </c>
      <c r="H58" s="372">
        <v>3.47</v>
      </c>
      <c r="I58" s="372">
        <v>10.4</v>
      </c>
      <c r="J58" s="327" t="s">
        <v>518</v>
      </c>
      <c r="K58" s="365"/>
      <c r="L58" s="365"/>
      <c r="M58" s="365"/>
      <c r="N58" s="408">
        <v>-734.98</v>
      </c>
      <c r="O58" s="365"/>
      <c r="P58" s="331">
        <f t="shared" si="16"/>
        <v>734.98</v>
      </c>
      <c r="Q58" s="409">
        <v>738.0</v>
      </c>
      <c r="R58" s="365"/>
      <c r="S58" s="365"/>
      <c r="T58" s="365"/>
      <c r="U58" s="365"/>
      <c r="V58" s="365"/>
      <c r="W58" s="365"/>
      <c r="X58" s="365"/>
      <c r="Y58" s="365"/>
      <c r="Z58" s="365"/>
      <c r="AA58" s="365"/>
      <c r="AB58" s="365"/>
      <c r="AC58" s="333">
        <f t="shared" ref="AC58:AC76" si="21">Q58*H58</f>
        <v>2560.86</v>
      </c>
    </row>
    <row r="59" ht="14.0" customFormat="1" s="47">
      <c r="B59" s="365" t="s">
        <v>32</v>
      </c>
      <c r="C59" s="365" t="s">
        <v>45</v>
      </c>
      <c r="D59" s="377" t="s">
        <v>118</v>
      </c>
      <c r="E59" s="339" t="s">
        <v>119</v>
      </c>
      <c r="F59" s="377">
        <v>3.0</v>
      </c>
      <c r="G59" s="378">
        <v>0.0</v>
      </c>
      <c r="H59" s="379"/>
      <c r="I59" s="379">
        <v>0.0</v>
      </c>
      <c r="J59" s="340" t="s">
        <v>73</v>
      </c>
      <c r="K59" s="365"/>
      <c r="L59" s="365"/>
      <c r="M59" s="365"/>
      <c r="N59" s="408">
        <v>-3.29</v>
      </c>
      <c r="O59" s="365"/>
      <c r="P59" s="331">
        <f t="shared" si="16"/>
        <v>3.29</v>
      </c>
      <c r="Q59" s="409">
        <v>6.0</v>
      </c>
      <c r="R59" s="365"/>
      <c r="S59" s="365"/>
      <c r="T59" s="365"/>
      <c r="U59" s="365"/>
      <c r="V59" s="365"/>
      <c r="W59" s="365"/>
      <c r="X59" s="365"/>
      <c r="Y59" s="365"/>
      <c r="Z59" s="365"/>
      <c r="AA59" s="365"/>
      <c r="AB59" s="365"/>
      <c r="AC59" s="333">
        <f t="shared" si="21"/>
        <v>0.0</v>
      </c>
    </row>
    <row r="60" ht="14.0" customFormat="1" s="47">
      <c r="B60" s="365" t="s">
        <v>32</v>
      </c>
      <c r="C60" s="365" t="s">
        <v>110</v>
      </c>
      <c r="D60" s="365" t="s">
        <v>120</v>
      </c>
      <c r="E60" s="340">
        <v>43101.0</v>
      </c>
      <c r="F60" s="365">
        <v>136.0</v>
      </c>
      <c r="G60" s="370">
        <v>107.0</v>
      </c>
      <c r="H60" s="372">
        <v>2.77</v>
      </c>
      <c r="I60" s="372">
        <v>296.5291</v>
      </c>
      <c r="J60" s="340" t="s">
        <v>4</v>
      </c>
      <c r="K60" s="365"/>
      <c r="L60" s="365"/>
      <c r="M60" s="365"/>
      <c r="N60" s="408">
        <v>-29.49</v>
      </c>
      <c r="O60" s="365"/>
      <c r="P60" s="331">
        <f t="shared" si="16"/>
        <v>29.49</v>
      </c>
      <c r="Q60" s="409">
        <v>30.0</v>
      </c>
      <c r="R60" s="365"/>
      <c r="S60" s="365"/>
      <c r="T60" s="365"/>
      <c r="U60" s="365"/>
      <c r="V60" s="365"/>
      <c r="W60" s="365"/>
      <c r="X60" s="365"/>
      <c r="Y60" s="365"/>
      <c r="Z60" s="365"/>
      <c r="AA60" s="365"/>
      <c r="AB60" s="365"/>
      <c r="AC60" s="333">
        <f t="shared" si="21"/>
        <v>83.1</v>
      </c>
    </row>
    <row r="61" ht="14.0" customFormat="1" s="47">
      <c r="B61" s="365" t="s">
        <v>32</v>
      </c>
      <c r="C61" s="365" t="s">
        <v>110</v>
      </c>
      <c r="D61" s="365" t="s">
        <v>121</v>
      </c>
      <c r="E61" s="340">
        <v>43104.0</v>
      </c>
      <c r="F61" s="365">
        <v>67.0</v>
      </c>
      <c r="G61" s="370">
        <v>42.0</v>
      </c>
      <c r="H61" s="372">
        <v>2.77</v>
      </c>
      <c r="I61" s="372">
        <v>116.4198</v>
      </c>
      <c r="J61" s="340" t="s">
        <v>4</v>
      </c>
      <c r="K61" s="365"/>
      <c r="L61" s="365"/>
      <c r="M61" s="365"/>
      <c r="N61" s="408">
        <v>-24.6</v>
      </c>
      <c r="O61" s="365"/>
      <c r="P61" s="331">
        <f t="shared" si="16"/>
        <v>24.6</v>
      </c>
      <c r="Q61" s="409">
        <v>30.0</v>
      </c>
      <c r="R61" s="365"/>
      <c r="S61" s="365"/>
      <c r="T61" s="365"/>
      <c r="U61" s="365"/>
      <c r="V61" s="365"/>
      <c r="W61" s="365"/>
      <c r="X61" s="365"/>
      <c r="Y61" s="365"/>
      <c r="Z61" s="365"/>
      <c r="AA61" s="365"/>
      <c r="AB61" s="365"/>
      <c r="AC61" s="333">
        <f t="shared" si="21"/>
        <v>83.1</v>
      </c>
    </row>
    <row r="62" ht="14.0" customFormat="1" s="47">
      <c r="B62" s="365" t="s">
        <v>32</v>
      </c>
      <c r="C62" s="365" t="s">
        <v>110</v>
      </c>
      <c r="D62" s="365" t="s">
        <v>122</v>
      </c>
      <c r="E62" s="340">
        <v>43105.0</v>
      </c>
      <c r="F62" s="365">
        <v>176.0</v>
      </c>
      <c r="G62" s="370">
        <v>78.0</v>
      </c>
      <c r="H62" s="372">
        <v>2.67</v>
      </c>
      <c r="I62" s="372">
        <v>208.1664</v>
      </c>
      <c r="J62" s="340" t="s">
        <v>520</v>
      </c>
      <c r="K62" s="365"/>
      <c r="L62" s="365"/>
      <c r="M62" s="365"/>
      <c r="N62" s="408">
        <v>-97.96</v>
      </c>
      <c r="O62" s="365"/>
      <c r="P62" s="331">
        <f t="shared" si="16"/>
        <v>97.96</v>
      </c>
      <c r="Q62" s="409">
        <v>102.0</v>
      </c>
      <c r="R62" s="365"/>
      <c r="S62" s="365"/>
      <c r="T62" s="365"/>
      <c r="U62" s="365"/>
      <c r="V62" s="365"/>
      <c r="W62" s="365"/>
      <c r="X62" s="365"/>
      <c r="Y62" s="365"/>
      <c r="Z62" s="365"/>
      <c r="AA62" s="365"/>
      <c r="AB62" s="365"/>
      <c r="AC62" s="333">
        <f t="shared" si="21"/>
        <v>272.34</v>
      </c>
    </row>
    <row r="63" ht="14.0" customFormat="1" s="47">
      <c r="B63" s="365" t="s">
        <v>32</v>
      </c>
      <c r="C63" s="365" t="s">
        <v>110</v>
      </c>
      <c r="D63" s="365" t="s">
        <v>123</v>
      </c>
      <c r="E63" s="340">
        <v>43106.0</v>
      </c>
      <c r="F63" s="365">
        <v>190.0</v>
      </c>
      <c r="G63" s="370">
        <v>39.0</v>
      </c>
      <c r="H63" s="372">
        <v>2.77</v>
      </c>
      <c r="I63" s="372">
        <v>108.1314</v>
      </c>
      <c r="J63" s="340" t="s">
        <v>519</v>
      </c>
      <c r="K63" s="365"/>
      <c r="L63" s="365"/>
      <c r="M63" s="365"/>
      <c r="N63" s="408">
        <v>-150.93</v>
      </c>
      <c r="O63" s="365"/>
      <c r="P63" s="331">
        <f t="shared" si="16"/>
        <v>150.93</v>
      </c>
      <c r="Q63" s="409">
        <v>156.0</v>
      </c>
      <c r="R63" s="365"/>
      <c r="S63" s="365"/>
      <c r="T63" s="365"/>
      <c r="U63" s="365"/>
      <c r="V63" s="365"/>
      <c r="W63" s="365"/>
      <c r="X63" s="365"/>
      <c r="Y63" s="365"/>
      <c r="Z63" s="365"/>
      <c r="AA63" s="365"/>
      <c r="AB63" s="365"/>
      <c r="AC63" s="333">
        <f t="shared" si="21"/>
        <v>432.12</v>
      </c>
    </row>
    <row r="64" ht="14.0" customFormat="1" s="47">
      <c r="B64" s="365" t="s">
        <v>32</v>
      </c>
      <c r="C64" s="365" t="s">
        <v>110</v>
      </c>
      <c r="D64" s="365" t="s">
        <v>124</v>
      </c>
      <c r="E64" s="340">
        <v>43107.0</v>
      </c>
      <c r="F64" s="365">
        <v>116.0</v>
      </c>
      <c r="G64" s="370">
        <v>105.0</v>
      </c>
      <c r="H64" s="372">
        <v>2.74</v>
      </c>
      <c r="I64" s="372">
        <v>288.1515</v>
      </c>
      <c r="J64" s="340" t="s">
        <v>5</v>
      </c>
      <c r="K64" s="365"/>
      <c r="L64" s="365"/>
      <c r="M64" s="365"/>
      <c r="N64" s="408">
        <v>-10.93</v>
      </c>
      <c r="O64" s="365"/>
      <c r="P64" s="331">
        <f t="shared" si="16"/>
        <v>10.93</v>
      </c>
      <c r="Q64" s="409">
        <v>12.0</v>
      </c>
      <c r="R64" s="365"/>
      <c r="S64" s="365"/>
      <c r="T64" s="365"/>
      <c r="U64" s="365"/>
      <c r="V64" s="365"/>
      <c r="W64" s="365"/>
      <c r="X64" s="365"/>
      <c r="Y64" s="365"/>
      <c r="Z64" s="365"/>
      <c r="AA64" s="365"/>
      <c r="AB64" s="365"/>
      <c r="AC64" s="333">
        <f t="shared" si="21"/>
        <v>32.88</v>
      </c>
    </row>
    <row r="65" ht="14.0" customFormat="1" s="47">
      <c r="B65" s="365" t="s">
        <v>32</v>
      </c>
      <c r="C65" s="365" t="s">
        <v>110</v>
      </c>
      <c r="D65" s="365" t="s">
        <v>125</v>
      </c>
      <c r="E65" s="340">
        <v>43110.0</v>
      </c>
      <c r="F65" s="365">
        <v>173.0</v>
      </c>
      <c r="G65" s="370">
        <v>9.0</v>
      </c>
      <c r="H65" s="372">
        <v>2.63</v>
      </c>
      <c r="I65" s="372">
        <v>23.67</v>
      </c>
      <c r="J65" s="327" t="s">
        <v>518</v>
      </c>
      <c r="K65" s="365"/>
      <c r="L65" s="365"/>
      <c r="M65" s="365"/>
      <c r="N65" s="408">
        <v>-163.67</v>
      </c>
      <c r="O65" s="365"/>
      <c r="P65" s="331">
        <f t="shared" si="16"/>
        <v>163.67</v>
      </c>
      <c r="Q65" s="409">
        <v>168.0</v>
      </c>
      <c r="R65" s="365"/>
      <c r="S65" s="365"/>
      <c r="T65" s="365"/>
      <c r="U65" s="365"/>
      <c r="V65" s="365"/>
      <c r="W65" s="365"/>
      <c r="X65" s="365"/>
      <c r="Y65" s="365"/>
      <c r="Z65" s="365"/>
      <c r="AA65" s="365"/>
      <c r="AB65" s="365"/>
      <c r="AC65" s="333">
        <f t="shared" si="21"/>
        <v>441.84</v>
      </c>
    </row>
    <row r="66" ht="14.0" customFormat="1" s="47">
      <c r="B66" s="365" t="s">
        <v>32</v>
      </c>
      <c r="C66" s="365" t="s">
        <v>110</v>
      </c>
      <c r="D66" s="365" t="s">
        <v>126</v>
      </c>
      <c r="E66" s="340">
        <v>43111.0</v>
      </c>
      <c r="F66" s="365">
        <v>144.0</v>
      </c>
      <c r="G66" s="370">
        <v>81.0</v>
      </c>
      <c r="H66" s="372">
        <v>2.77</v>
      </c>
      <c r="I66" s="372">
        <v>224.0784</v>
      </c>
      <c r="J66" s="340" t="s">
        <v>520</v>
      </c>
      <c r="K66" s="365"/>
      <c r="L66" s="365"/>
      <c r="M66" s="365"/>
      <c r="N66" s="408">
        <v>-62.89</v>
      </c>
      <c r="O66" s="365"/>
      <c r="P66" s="331">
        <f t="shared" si="16"/>
        <v>62.89</v>
      </c>
      <c r="Q66" s="409">
        <v>66.0</v>
      </c>
      <c r="R66" s="365"/>
      <c r="S66" s="365"/>
      <c r="T66" s="365"/>
      <c r="U66" s="365"/>
      <c r="V66" s="365"/>
      <c r="W66" s="365"/>
      <c r="X66" s="365"/>
      <c r="Y66" s="365"/>
      <c r="Z66" s="365"/>
      <c r="AA66" s="365"/>
      <c r="AB66" s="365"/>
      <c r="AC66" s="333">
        <f t="shared" si="21"/>
        <v>182.82</v>
      </c>
    </row>
    <row r="67" ht="14.0" customFormat="1" s="47">
      <c r="B67" s="365" t="s">
        <v>32</v>
      </c>
      <c r="C67" s="365" t="s">
        <v>110</v>
      </c>
      <c r="D67" s="365" t="s">
        <v>127</v>
      </c>
      <c r="E67" s="340">
        <v>43112.0</v>
      </c>
      <c r="F67" s="365">
        <v>205.0</v>
      </c>
      <c r="G67" s="370">
        <v>164.0</v>
      </c>
      <c r="H67" s="372">
        <v>2.74</v>
      </c>
      <c r="I67" s="372">
        <v>449.3764</v>
      </c>
      <c r="J67" s="340" t="s">
        <v>4</v>
      </c>
      <c r="K67" s="365"/>
      <c r="L67" s="365"/>
      <c r="M67" s="365"/>
      <c r="N67" s="408">
        <v>-40.73</v>
      </c>
      <c r="O67" s="365"/>
      <c r="P67" s="331">
        <f t="shared" si="16"/>
        <v>40.73</v>
      </c>
      <c r="Q67" s="409">
        <v>42.0</v>
      </c>
      <c r="R67" s="365"/>
      <c r="S67" s="365"/>
      <c r="T67" s="365"/>
      <c r="U67" s="365"/>
      <c r="V67" s="365"/>
      <c r="W67" s="365"/>
      <c r="X67" s="365"/>
      <c r="Y67" s="365"/>
      <c r="Z67" s="365"/>
      <c r="AA67" s="365"/>
      <c r="AB67" s="365"/>
      <c r="AC67" s="333">
        <f t="shared" si="21"/>
        <v>115.08</v>
      </c>
    </row>
    <row r="68" ht="14.0" customFormat="1" s="47">
      <c r="B68" s="365" t="s">
        <v>32</v>
      </c>
      <c r="C68" s="365" t="s">
        <v>110</v>
      </c>
      <c r="D68" s="365" t="s">
        <v>130</v>
      </c>
      <c r="E68" s="340">
        <v>43134.0</v>
      </c>
      <c r="F68" s="365">
        <v>96.0</v>
      </c>
      <c r="G68" s="370">
        <v>45.0</v>
      </c>
      <c r="H68" s="372">
        <v>2.77</v>
      </c>
      <c r="I68" s="372">
        <v>124.7085</v>
      </c>
      <c r="J68" s="340" t="s">
        <v>520</v>
      </c>
      <c r="K68" s="365"/>
      <c r="L68" s="365"/>
      <c r="M68" s="365"/>
      <c r="N68" s="408">
        <v>-51.2</v>
      </c>
      <c r="O68" s="365"/>
      <c r="P68" s="331">
        <f t="shared" si="16"/>
        <v>51.2</v>
      </c>
      <c r="Q68" s="409">
        <v>54.0</v>
      </c>
      <c r="R68" s="365"/>
      <c r="S68" s="365"/>
      <c r="T68" s="365"/>
      <c r="U68" s="365"/>
      <c r="V68" s="365"/>
      <c r="W68" s="365"/>
      <c r="X68" s="365"/>
      <c r="Y68" s="365"/>
      <c r="Z68" s="365"/>
      <c r="AA68" s="365"/>
      <c r="AB68" s="365"/>
      <c r="AC68" s="333">
        <f t="shared" si="21"/>
        <v>149.58</v>
      </c>
    </row>
    <row r="69" ht="14.0" customFormat="1" s="47">
      <c r="B69" s="365" t="s">
        <v>32</v>
      </c>
      <c r="C69" s="365" t="s">
        <v>110</v>
      </c>
      <c r="D69" s="365" t="s">
        <v>131</v>
      </c>
      <c r="E69" s="340">
        <v>43145.0</v>
      </c>
      <c r="F69" s="365">
        <v>101.0</v>
      </c>
      <c r="G69" s="370">
        <v>94.0</v>
      </c>
      <c r="H69" s="372">
        <v>2.75</v>
      </c>
      <c r="I69" s="372">
        <v>258.3496</v>
      </c>
      <c r="J69" s="340" t="s">
        <v>5</v>
      </c>
      <c r="K69" s="365"/>
      <c r="L69" s="365"/>
      <c r="M69" s="365"/>
      <c r="N69" s="408">
        <v>-7.13</v>
      </c>
      <c r="O69" s="365"/>
      <c r="P69" s="331">
        <f t="shared" si="16"/>
        <v>7.13</v>
      </c>
      <c r="Q69" s="409">
        <v>12.0</v>
      </c>
      <c r="R69" s="365"/>
      <c r="S69" s="365"/>
      <c r="T69" s="365"/>
      <c r="U69" s="365"/>
      <c r="V69" s="365"/>
      <c r="W69" s="365"/>
      <c r="X69" s="365"/>
      <c r="Y69" s="365"/>
      <c r="Z69" s="365"/>
      <c r="AA69" s="365"/>
      <c r="AB69" s="365"/>
      <c r="AC69" s="333">
        <f t="shared" si="21"/>
        <v>33.0</v>
      </c>
    </row>
    <row r="70" ht="14.0" customFormat="1" s="47">
      <c r="B70" s="365" t="s">
        <v>32</v>
      </c>
      <c r="C70" s="365" t="s">
        <v>110</v>
      </c>
      <c r="D70" s="365" t="s">
        <v>132</v>
      </c>
      <c r="E70" s="340">
        <v>43150.0</v>
      </c>
      <c r="F70" s="365">
        <v>73.0</v>
      </c>
      <c r="G70" s="370">
        <v>66.0</v>
      </c>
      <c r="H70" s="372">
        <v>2.71</v>
      </c>
      <c r="I70" s="372">
        <v>178.9326</v>
      </c>
      <c r="J70" s="340" t="s">
        <v>5</v>
      </c>
      <c r="K70" s="365"/>
      <c r="L70" s="365"/>
      <c r="M70" s="365"/>
      <c r="N70" s="408">
        <v>-7.18</v>
      </c>
      <c r="O70" s="365"/>
      <c r="P70" s="331">
        <f t="shared" si="16"/>
        <v>7.18</v>
      </c>
      <c r="Q70" s="409">
        <v>12.0</v>
      </c>
      <c r="R70" s="365"/>
      <c r="S70" s="365"/>
      <c r="T70" s="365"/>
      <c r="U70" s="365"/>
      <c r="V70" s="365"/>
      <c r="W70" s="365"/>
      <c r="X70" s="365"/>
      <c r="Y70" s="365"/>
      <c r="Z70" s="365"/>
      <c r="AA70" s="365"/>
      <c r="AB70" s="365"/>
      <c r="AC70" s="333">
        <f t="shared" si="21"/>
        <v>32.52</v>
      </c>
    </row>
    <row r="71" ht="14.0" customFormat="1" s="47">
      <c r="B71" s="390" t="s">
        <v>32</v>
      </c>
      <c r="C71" s="390" t="s">
        <v>110</v>
      </c>
      <c r="D71" s="390" t="s">
        <v>133</v>
      </c>
      <c r="E71" s="391">
        <v>43190.0</v>
      </c>
      <c r="F71" s="390">
        <v>60.0</v>
      </c>
      <c r="G71" s="392">
        <v>0.0</v>
      </c>
      <c r="H71" s="394"/>
      <c r="I71" s="394">
        <v>0.0</v>
      </c>
      <c r="J71" s="391" t="s">
        <v>73</v>
      </c>
      <c r="K71" s="390"/>
      <c r="L71" s="390"/>
      <c r="M71" s="390"/>
      <c r="N71" s="410">
        <v>-60.02</v>
      </c>
      <c r="O71" s="390"/>
      <c r="P71" s="351">
        <f t="shared" si="16"/>
        <v>60.02</v>
      </c>
      <c r="Q71" s="411">
        <v>66.0</v>
      </c>
      <c r="R71" s="390"/>
      <c r="S71" s="390"/>
      <c r="T71" s="390"/>
      <c r="U71" s="390"/>
      <c r="V71" s="390"/>
      <c r="W71" s="390"/>
      <c r="X71" s="390"/>
      <c r="Y71" s="390"/>
      <c r="Z71" s="390"/>
      <c r="AA71" s="390"/>
      <c r="AB71" s="390"/>
      <c r="AC71" s="353">
        <f t="shared" si="21"/>
        <v>0.0</v>
      </c>
      <c r="AD71" s="354" t="s">
        <v>843</v>
      </c>
    </row>
    <row r="72" ht="14.0" customFormat="1" s="47">
      <c r="B72" s="365" t="s">
        <v>32</v>
      </c>
      <c r="C72" s="365" t="s">
        <v>163</v>
      </c>
      <c r="D72" s="365" t="s">
        <v>164</v>
      </c>
      <c r="E72" s="340">
        <v>40402.0</v>
      </c>
      <c r="F72" s="365">
        <v>76.0</v>
      </c>
      <c r="G72" s="370">
        <v>66.0</v>
      </c>
      <c r="H72" s="372">
        <v>8.93</v>
      </c>
      <c r="I72" s="372">
        <v>589.3272</v>
      </c>
      <c r="J72" s="340" t="s">
        <v>5</v>
      </c>
      <c r="K72" s="365"/>
      <c r="L72" s="365"/>
      <c r="M72" s="365"/>
      <c r="N72" s="408">
        <v>-10.47</v>
      </c>
      <c r="O72" s="365"/>
      <c r="P72" s="331">
        <f t="shared" si="16"/>
        <v>10.47</v>
      </c>
      <c r="Q72" s="409">
        <v>12.0</v>
      </c>
      <c r="R72" s="365"/>
      <c r="S72" s="365"/>
      <c r="T72" s="365"/>
      <c r="U72" s="365"/>
      <c r="V72" s="365"/>
      <c r="W72" s="365"/>
      <c r="X72" s="365"/>
      <c r="Y72" s="365"/>
      <c r="Z72" s="365"/>
      <c r="AA72" s="365"/>
      <c r="AB72" s="365"/>
      <c r="AC72" s="333">
        <f t="shared" si="21"/>
        <v>107.16</v>
      </c>
    </row>
    <row r="73" ht="14.0" customFormat="1" s="47">
      <c r="B73" s="365" t="s">
        <v>32</v>
      </c>
      <c r="C73" s="365" t="s">
        <v>163</v>
      </c>
      <c r="D73" s="365" t="s">
        <v>165</v>
      </c>
      <c r="E73" s="340">
        <v>40403.0</v>
      </c>
      <c r="F73" s="365">
        <v>101.0</v>
      </c>
      <c r="G73" s="370">
        <v>100.0</v>
      </c>
      <c r="H73" s="372">
        <v>8.78</v>
      </c>
      <c r="I73" s="372">
        <v>878.35</v>
      </c>
      <c r="J73" s="340" t="s">
        <v>5</v>
      </c>
      <c r="K73" s="365"/>
      <c r="L73" s="365"/>
      <c r="M73" s="365"/>
      <c r="N73" s="408">
        <v>-1.13</v>
      </c>
      <c r="O73" s="365"/>
      <c r="P73" s="331">
        <f t="shared" si="16"/>
        <v>1.13</v>
      </c>
      <c r="Q73" s="409">
        <v>6.0</v>
      </c>
      <c r="R73" s="365"/>
      <c r="S73" s="365"/>
      <c r="T73" s="365"/>
      <c r="U73" s="365"/>
      <c r="V73" s="365"/>
      <c r="W73" s="365"/>
      <c r="X73" s="365"/>
      <c r="Y73" s="365"/>
      <c r="Z73" s="365"/>
      <c r="AA73" s="365"/>
      <c r="AB73" s="365"/>
      <c r="AC73" s="333">
        <f t="shared" si="21"/>
        <v>52.68</v>
      </c>
    </row>
    <row r="74" ht="14.0" customFormat="1" s="47">
      <c r="B74" s="365" t="s">
        <v>32</v>
      </c>
      <c r="C74" s="365" t="s">
        <v>163</v>
      </c>
      <c r="D74" s="365" t="s">
        <v>166</v>
      </c>
      <c r="E74" s="340">
        <v>40404.0</v>
      </c>
      <c r="F74" s="365">
        <v>74.0</v>
      </c>
      <c r="G74" s="370">
        <v>61.0</v>
      </c>
      <c r="H74" s="372">
        <v>8.83</v>
      </c>
      <c r="I74" s="372">
        <v>538.6422</v>
      </c>
      <c r="J74" s="340" t="s">
        <v>5</v>
      </c>
      <c r="K74" s="365"/>
      <c r="L74" s="365"/>
      <c r="M74" s="365"/>
      <c r="N74" s="408">
        <v>-13.0</v>
      </c>
      <c r="O74" s="365"/>
      <c r="P74" s="331">
        <f t="shared" si="16"/>
        <v>13.0</v>
      </c>
      <c r="Q74" s="409">
        <v>18.0</v>
      </c>
      <c r="R74" s="365"/>
      <c r="S74" s="365"/>
      <c r="T74" s="365"/>
      <c r="U74" s="365"/>
      <c r="V74" s="365"/>
      <c r="W74" s="365"/>
      <c r="X74" s="365"/>
      <c r="Y74" s="365"/>
      <c r="Z74" s="365"/>
      <c r="AA74" s="365"/>
      <c r="AB74" s="365"/>
      <c r="AC74" s="333">
        <f t="shared" si="21"/>
        <v>158.94</v>
      </c>
    </row>
    <row r="75" ht="14.0" customFormat="1" s="47">
      <c r="B75" s="365" t="s">
        <v>32</v>
      </c>
      <c r="C75" s="365" t="s">
        <v>163</v>
      </c>
      <c r="D75" s="365" t="s">
        <v>167</v>
      </c>
      <c r="E75" s="340">
        <v>40407.0</v>
      </c>
      <c r="F75" s="365">
        <v>47.0</v>
      </c>
      <c r="G75" s="370">
        <v>45.0</v>
      </c>
      <c r="H75" s="372">
        <v>8.81</v>
      </c>
      <c r="I75" s="372">
        <v>396.288</v>
      </c>
      <c r="J75" s="340" t="s">
        <v>5</v>
      </c>
      <c r="K75" s="365"/>
      <c r="L75" s="365"/>
      <c r="M75" s="365"/>
      <c r="N75" s="408">
        <v>-1.87</v>
      </c>
      <c r="O75" s="365"/>
      <c r="P75" s="331">
        <f t="shared" si="16"/>
        <v>1.87</v>
      </c>
      <c r="Q75" s="409">
        <v>6.0</v>
      </c>
      <c r="R75" s="365"/>
      <c r="S75" s="365"/>
      <c r="T75" s="365"/>
      <c r="U75" s="365"/>
      <c r="V75" s="365"/>
      <c r="W75" s="365"/>
      <c r="X75" s="365"/>
      <c r="Y75" s="365"/>
      <c r="Z75" s="365"/>
      <c r="AA75" s="365"/>
      <c r="AB75" s="365"/>
      <c r="AC75" s="333">
        <f t="shared" si="21"/>
        <v>52.86</v>
      </c>
    </row>
    <row r="76" ht="14.0" customFormat="1" s="47">
      <c r="B76" s="365" t="s">
        <v>32</v>
      </c>
      <c r="C76" s="365" t="s">
        <v>163</v>
      </c>
      <c r="D76" s="365" t="s">
        <v>169</v>
      </c>
      <c r="E76" s="340">
        <v>40409.0</v>
      </c>
      <c r="F76" s="365">
        <v>54.0</v>
      </c>
      <c r="G76" s="370">
        <v>39.0</v>
      </c>
      <c r="H76" s="372">
        <v>9.01</v>
      </c>
      <c r="I76" s="372">
        <v>351.3198</v>
      </c>
      <c r="J76" s="340" t="s">
        <v>4</v>
      </c>
      <c r="K76" s="365"/>
      <c r="L76" s="365"/>
      <c r="M76" s="365"/>
      <c r="N76" s="408">
        <v>-15.27</v>
      </c>
      <c r="O76" s="365"/>
      <c r="P76" s="331">
        <f t="shared" si="16"/>
        <v>15.27</v>
      </c>
      <c r="Q76" s="409">
        <v>18.0</v>
      </c>
      <c r="R76" s="365"/>
      <c r="S76" s="365"/>
      <c r="T76" s="365"/>
      <c r="U76" s="365"/>
      <c r="V76" s="365"/>
      <c r="W76" s="365"/>
      <c r="X76" s="365"/>
      <c r="Y76" s="365"/>
      <c r="Z76" s="365"/>
      <c r="AA76" s="365"/>
      <c r="AB76" s="365"/>
      <c r="AC76" s="333">
        <f t="shared" si="21"/>
        <v>162.18</v>
      </c>
    </row>
    <row r="77" ht="14.0" customFormat="1" s="47">
      <c r="E77" s="185"/>
      <c r="G77" s="64"/>
      <c r="H77" s="308"/>
      <c r="I77" s="308"/>
      <c r="J77" s="185"/>
      <c r="N77" s="307"/>
      <c r="P77" s="218"/>
      <c r="Q77" s="66"/>
      <c r="AC77" s="201">
        <f>SUM(AC49:AC76)</f>
        <v>9001.14</v>
      </c>
    </row>
    <row r="78" ht="14.0" customFormat="1" s="47">
      <c r="E78" s="185"/>
      <c r="G78" s="64"/>
      <c r="H78" s="308"/>
      <c r="I78" s="308"/>
      <c r="J78" s="185"/>
      <c r="N78" s="307"/>
      <c r="P78" s="218"/>
      <c r="Q78" s="66" t="s">
        <v>525</v>
      </c>
      <c r="AC78" s="355" t="s">
        <v>844</v>
      </c>
      <c r="AD78" s="356">
        <v>3346.5</v>
      </c>
    </row>
    <row r="79" ht="14.0" customFormat="1" s="47">
      <c r="E79" s="185"/>
      <c r="G79" s="64"/>
      <c r="H79" s="308"/>
      <c r="I79" s="308"/>
      <c r="J79" s="185"/>
      <c r="N79" s="307"/>
      <c r="P79" s="218"/>
      <c r="Q79" s="66"/>
      <c r="AC79" s="355" t="s">
        <v>845</v>
      </c>
      <c r="AD79" s="357">
        <v>325.5</v>
      </c>
    </row>
    <row r="80" ht="14.0" customFormat="1" s="47">
      <c r="E80" s="185"/>
      <c r="G80" s="64"/>
      <c r="H80" s="308"/>
      <c r="I80" s="308"/>
      <c r="J80" s="185"/>
      <c r="N80" s="307"/>
      <c r="P80" s="218"/>
      <c r="Q80" s="66"/>
      <c r="AC80" s="249" t="s">
        <v>846</v>
      </c>
      <c r="AD80" s="249">
        <f>AD79+AD78</f>
        <v>3672.0</v>
      </c>
    </row>
    <row r="81" ht="14.0" outlineLevel="1" customFormat="1" s="47">
      <c r="B81" s="64" t="s">
        <v>853</v>
      </c>
      <c r="E81" s="185"/>
      <c r="G81" s="64"/>
      <c r="H81" s="308"/>
      <c r="I81" s="308"/>
      <c r="J81" s="185"/>
      <c r="N81" s="307"/>
      <c r="P81" s="218"/>
      <c r="Q81" s="66"/>
      <c r="AC81" s="194"/>
    </row>
    <row r="82" ht="43.0" outlineLevel="1" customFormat="1" s="47">
      <c r="B82" s="358" t="s">
        <v>12</v>
      </c>
      <c r="C82" s="358" t="s">
        <v>13</v>
      </c>
      <c r="D82" s="359" t="s">
        <v>828</v>
      </c>
      <c r="E82" s="359" t="s">
        <v>507</v>
      </c>
      <c r="F82" s="359" t="s">
        <v>854</v>
      </c>
      <c r="G82" s="359" t="s">
        <v>830</v>
      </c>
      <c r="H82" s="360" t="s">
        <v>527</v>
      </c>
      <c r="I82" s="360" t="s">
        <v>568</v>
      </c>
      <c r="J82" s="359" t="s">
        <v>831</v>
      </c>
      <c r="K82" s="406" t="s">
        <v>832</v>
      </c>
      <c r="L82" s="406" t="s">
        <v>833</v>
      </c>
      <c r="M82" s="359" t="s">
        <v>834</v>
      </c>
      <c r="N82" s="361" t="s">
        <v>855</v>
      </c>
      <c r="O82" s="362" t="s">
        <v>23</v>
      </c>
      <c r="P82" s="363" t="s">
        <v>836</v>
      </c>
      <c r="Q82" s="362" t="s">
        <v>837</v>
      </c>
      <c r="R82" s="364" t="s">
        <v>838</v>
      </c>
      <c r="S82" s="365"/>
      <c r="T82" s="366" t="s">
        <v>839</v>
      </c>
      <c r="U82" s="367" t="s">
        <v>840</v>
      </c>
      <c r="V82" s="368" t="s">
        <v>841</v>
      </c>
      <c r="W82" s="365"/>
      <c r="X82" s="365"/>
      <c r="Y82" s="365"/>
      <c r="Z82" s="365"/>
      <c r="AA82" s="365"/>
      <c r="AB82" s="365"/>
      <c r="AC82" s="360" t="s">
        <v>842</v>
      </c>
    </row>
    <row r="83" ht="14.0" outlineLevel="1" customFormat="1" s="47">
      <c r="B83" s="365" t="s">
        <v>32</v>
      </c>
      <c r="C83" s="365" t="s">
        <v>33</v>
      </c>
      <c r="D83" s="365" t="s">
        <v>38</v>
      </c>
      <c r="E83" s="340">
        <v>35801.0</v>
      </c>
      <c r="F83" s="365">
        <v>85.0</v>
      </c>
      <c r="G83" s="370">
        <v>15.0</v>
      </c>
      <c r="H83" s="412">
        <v>6.24</v>
      </c>
      <c r="I83" s="413">
        <v>93.5895</v>
      </c>
      <c r="J83" s="327" t="s">
        <v>518</v>
      </c>
      <c r="K83" s="365"/>
      <c r="L83" s="365"/>
      <c r="M83" s="365"/>
      <c r="N83" s="408">
        <v>-70.0</v>
      </c>
      <c r="O83" s="365"/>
      <c r="P83" s="414">
        <f t="shared" ref="P83:P115" si="24">N83*-1</f>
        <v>70.0</v>
      </c>
      <c r="Q83" s="365">
        <v>72.0</v>
      </c>
      <c r="R83" s="365"/>
      <c r="S83" s="365"/>
      <c r="T83" s="365"/>
      <c r="U83" s="365"/>
      <c r="V83" s="365"/>
      <c r="W83" s="365"/>
      <c r="X83" s="365"/>
      <c r="Y83" s="365"/>
      <c r="Z83" s="365"/>
      <c r="AA83" s="365"/>
      <c r="AB83" s="365"/>
      <c r="AC83" s="415">
        <f>Q83*H83</f>
        <v>449.28</v>
      </c>
      <c r="AD83" s="249" t="s">
        <v>856</v>
      </c>
    </row>
    <row r="84" ht="14.0" outlineLevel="1" customFormat="1" s="47">
      <c r="B84" s="365" t="s">
        <v>32</v>
      </c>
      <c r="C84" s="365" t="s">
        <v>33</v>
      </c>
      <c r="D84" s="365" t="s">
        <v>39</v>
      </c>
      <c r="E84" s="340">
        <v>35804.0</v>
      </c>
      <c r="F84" s="365">
        <v>84.0</v>
      </c>
      <c r="G84" s="370">
        <v>0.0</v>
      </c>
      <c r="H84" s="416"/>
      <c r="I84" s="413">
        <v>0.0</v>
      </c>
      <c r="J84" s="391" t="s">
        <v>73</v>
      </c>
      <c r="K84" s="365"/>
      <c r="L84" s="365"/>
      <c r="M84" s="365"/>
      <c r="N84" s="408">
        <v>-84.0</v>
      </c>
      <c r="O84" s="365"/>
      <c r="P84" s="414">
        <f t="shared" si="24"/>
        <v>84.0</v>
      </c>
      <c r="Q84" s="365">
        <v>84.0</v>
      </c>
      <c r="R84" s="365"/>
      <c r="S84" s="365"/>
      <c r="T84" s="365"/>
      <c r="U84" s="365"/>
      <c r="V84" s="365"/>
      <c r="W84" s="365"/>
      <c r="X84" s="365"/>
      <c r="Y84" s="365"/>
      <c r="Z84" s="365"/>
      <c r="AA84" s="365"/>
      <c r="AB84" s="365"/>
      <c r="AC84" s="415">
        <f>Q84*6.24</f>
        <v>524.16</v>
      </c>
    </row>
    <row r="85" ht="14.0" outlineLevel="1" customFormat="1" s="47">
      <c r="B85" s="365" t="s">
        <v>32</v>
      </c>
      <c r="C85" s="365" t="s">
        <v>33</v>
      </c>
      <c r="D85" s="365" t="s">
        <v>41</v>
      </c>
      <c r="E85" s="340">
        <v>35805.0</v>
      </c>
      <c r="F85" s="365">
        <v>65.0</v>
      </c>
      <c r="G85" s="370">
        <v>56.0</v>
      </c>
      <c r="H85" s="412">
        <v>6.24</v>
      </c>
      <c r="I85" s="413">
        <v>349.2328</v>
      </c>
      <c r="J85" s="342" t="s">
        <v>6</v>
      </c>
      <c r="K85" s="365"/>
      <c r="L85" s="365"/>
      <c r="M85" s="365"/>
      <c r="N85" s="408">
        <v>-9.0</v>
      </c>
      <c r="O85" s="365"/>
      <c r="P85" s="414">
        <f t="shared" si="24"/>
        <v>9.0</v>
      </c>
      <c r="Q85" s="365">
        <v>12.0</v>
      </c>
      <c r="R85" s="365"/>
      <c r="S85" s="365"/>
      <c r="T85" s="365"/>
      <c r="U85" s="365"/>
      <c r="V85" s="365"/>
      <c r="W85" s="365"/>
      <c r="X85" s="365"/>
      <c r="Y85" s="365"/>
      <c r="Z85" s="365"/>
      <c r="AA85" s="365"/>
      <c r="AB85" s="365"/>
      <c r="AC85" s="415">
        <f t="shared" ref="AC85:AC93" si="27">Q85*H85</f>
        <v>74.88</v>
      </c>
    </row>
    <row r="86" ht="14.0" outlineLevel="1" customFormat="1" s="47">
      <c r="B86" s="365" t="s">
        <v>32</v>
      </c>
      <c r="C86" s="365" t="s">
        <v>33</v>
      </c>
      <c r="D86" s="365" t="s">
        <v>48</v>
      </c>
      <c r="E86" s="340">
        <v>36801.0</v>
      </c>
      <c r="F86" s="365">
        <v>141.0</v>
      </c>
      <c r="G86" s="370">
        <v>112.0</v>
      </c>
      <c r="H86" s="412">
        <v>6.24</v>
      </c>
      <c r="I86" s="413">
        <v>698.4096</v>
      </c>
      <c r="J86" s="342" t="s">
        <v>5</v>
      </c>
      <c r="K86" s="365"/>
      <c r="L86" s="365"/>
      <c r="M86" s="365"/>
      <c r="N86" s="408">
        <v>-29.0</v>
      </c>
      <c r="O86" s="365"/>
      <c r="P86" s="414">
        <f t="shared" si="24"/>
        <v>29.0</v>
      </c>
      <c r="Q86" s="365">
        <v>30.0</v>
      </c>
      <c r="R86" s="365"/>
      <c r="S86" s="365"/>
      <c r="T86" s="365"/>
      <c r="U86" s="365"/>
      <c r="V86" s="365"/>
      <c r="W86" s="365"/>
      <c r="X86" s="365"/>
      <c r="Y86" s="365"/>
      <c r="Z86" s="365"/>
      <c r="AA86" s="365"/>
      <c r="AB86" s="365"/>
      <c r="AC86" s="415">
        <f t="shared" si="27"/>
        <v>187.2</v>
      </c>
    </row>
    <row r="87" ht="14.0" outlineLevel="1" customFormat="1" s="47">
      <c r="B87" s="365" t="s">
        <v>32</v>
      </c>
      <c r="C87" s="365" t="s">
        <v>33</v>
      </c>
      <c r="D87" s="365" t="s">
        <v>49</v>
      </c>
      <c r="E87" s="340">
        <v>36803.0</v>
      </c>
      <c r="F87" s="365">
        <v>150.0</v>
      </c>
      <c r="G87" s="370">
        <v>63.0</v>
      </c>
      <c r="H87" s="412">
        <v>6.24</v>
      </c>
      <c r="I87" s="413">
        <v>392.8428</v>
      </c>
      <c r="J87" s="342" t="s">
        <v>520</v>
      </c>
      <c r="K87" s="365"/>
      <c r="L87" s="365"/>
      <c r="M87" s="365"/>
      <c r="N87" s="408">
        <v>-87.0</v>
      </c>
      <c r="O87" s="365"/>
      <c r="P87" s="414">
        <f t="shared" si="24"/>
        <v>87.0</v>
      </c>
      <c r="Q87" s="365">
        <v>90.0</v>
      </c>
      <c r="R87" s="365"/>
      <c r="S87" s="365"/>
      <c r="T87" s="365"/>
      <c r="U87" s="365"/>
      <c r="V87" s="365"/>
      <c r="W87" s="365"/>
      <c r="X87" s="365"/>
      <c r="Y87" s="365"/>
      <c r="Z87" s="365"/>
      <c r="AA87" s="365"/>
      <c r="AB87" s="365"/>
      <c r="AC87" s="415">
        <f t="shared" si="27"/>
        <v>561.6</v>
      </c>
    </row>
    <row r="88" ht="14.0" outlineLevel="1" customFormat="1" s="47">
      <c r="B88" s="365" t="s">
        <v>32</v>
      </c>
      <c r="C88" s="365" t="s">
        <v>33</v>
      </c>
      <c r="D88" s="365" t="s">
        <v>50</v>
      </c>
      <c r="E88" s="340">
        <v>36804.0</v>
      </c>
      <c r="F88" s="365">
        <v>123.0</v>
      </c>
      <c r="G88" s="370">
        <v>48.0</v>
      </c>
      <c r="H88" s="412">
        <v>6.24</v>
      </c>
      <c r="I88" s="413">
        <v>299.2992</v>
      </c>
      <c r="J88" s="342" t="s">
        <v>520</v>
      </c>
      <c r="K88" s="365"/>
      <c r="L88" s="365"/>
      <c r="M88" s="365"/>
      <c r="N88" s="408">
        <v>-75.0</v>
      </c>
      <c r="O88" s="365"/>
      <c r="P88" s="414">
        <f t="shared" si="24"/>
        <v>75.0</v>
      </c>
      <c r="Q88" s="365">
        <v>78.0</v>
      </c>
      <c r="R88" s="365"/>
      <c r="S88" s="365"/>
      <c r="T88" s="365"/>
      <c r="U88" s="365"/>
      <c r="V88" s="365"/>
      <c r="W88" s="365"/>
      <c r="X88" s="365"/>
      <c r="Y88" s="365"/>
      <c r="Z88" s="365"/>
      <c r="AA88" s="365"/>
      <c r="AB88" s="365"/>
      <c r="AC88" s="415">
        <f t="shared" si="27"/>
        <v>486.72</v>
      </c>
    </row>
    <row r="89" ht="14.0" outlineLevel="1" customFormat="1" s="47">
      <c r="B89" s="365" t="s">
        <v>32</v>
      </c>
      <c r="C89" s="365" t="s">
        <v>33</v>
      </c>
      <c r="D89" s="365" t="s">
        <v>51</v>
      </c>
      <c r="E89" s="340">
        <v>36805.0</v>
      </c>
      <c r="F89" s="365">
        <v>151.0</v>
      </c>
      <c r="G89" s="370">
        <v>87.0</v>
      </c>
      <c r="H89" s="412">
        <v>6.24</v>
      </c>
      <c r="I89" s="413">
        <v>542.5059</v>
      </c>
      <c r="J89" s="342" t="s">
        <v>4</v>
      </c>
      <c r="K89" s="365"/>
      <c r="L89" s="365"/>
      <c r="M89" s="365"/>
      <c r="N89" s="408">
        <v>-64.0</v>
      </c>
      <c r="O89" s="365"/>
      <c r="P89" s="414">
        <f t="shared" si="24"/>
        <v>64.0</v>
      </c>
      <c r="Q89" s="365">
        <v>66.0</v>
      </c>
      <c r="R89" s="365"/>
      <c r="S89" s="365"/>
      <c r="T89" s="365"/>
      <c r="U89" s="365"/>
      <c r="V89" s="365"/>
      <c r="W89" s="365"/>
      <c r="X89" s="365"/>
      <c r="Y89" s="365"/>
      <c r="Z89" s="365"/>
      <c r="AA89" s="365"/>
      <c r="AB89" s="365"/>
      <c r="AC89" s="415">
        <f t="shared" si="27"/>
        <v>411.84</v>
      </c>
    </row>
    <row r="90" ht="14.0" outlineLevel="1" customFormat="1" s="47">
      <c r="B90" s="365" t="s">
        <v>32</v>
      </c>
      <c r="C90" s="365" t="s">
        <v>33</v>
      </c>
      <c r="D90" s="365" t="s">
        <v>52</v>
      </c>
      <c r="E90" s="340">
        <v>36806.0</v>
      </c>
      <c r="F90" s="365">
        <v>124.0</v>
      </c>
      <c r="G90" s="370">
        <v>48.0</v>
      </c>
      <c r="H90" s="412">
        <v>6.24</v>
      </c>
      <c r="I90" s="413">
        <v>299.2992</v>
      </c>
      <c r="J90" s="342" t="s">
        <v>520</v>
      </c>
      <c r="K90" s="365"/>
      <c r="L90" s="365"/>
      <c r="M90" s="365"/>
      <c r="N90" s="408">
        <v>-76.0</v>
      </c>
      <c r="O90" s="365"/>
      <c r="P90" s="414">
        <f t="shared" si="24"/>
        <v>76.0</v>
      </c>
      <c r="Q90" s="365">
        <v>78.0</v>
      </c>
      <c r="R90" s="365"/>
      <c r="S90" s="365"/>
      <c r="T90" s="365"/>
      <c r="U90" s="365"/>
      <c r="V90" s="365"/>
      <c r="W90" s="365"/>
      <c r="X90" s="365"/>
      <c r="Y90" s="365"/>
      <c r="Z90" s="365"/>
      <c r="AA90" s="365"/>
      <c r="AB90" s="365"/>
      <c r="AC90" s="415">
        <f t="shared" si="27"/>
        <v>486.72</v>
      </c>
    </row>
    <row r="91" ht="14.0" outlineLevel="1" customFormat="1" s="47">
      <c r="B91" s="365" t="s">
        <v>32</v>
      </c>
      <c r="C91" s="365" t="s">
        <v>53</v>
      </c>
      <c r="D91" s="365" t="s">
        <v>58</v>
      </c>
      <c r="E91" s="340">
        <v>71101.0</v>
      </c>
      <c r="F91" s="365">
        <v>190.0</v>
      </c>
      <c r="G91" s="370">
        <v>127.0</v>
      </c>
      <c r="H91" s="412">
        <v>8.7</v>
      </c>
      <c r="I91" s="413">
        <v>1104.7349</v>
      </c>
      <c r="J91" s="342" t="s">
        <v>5</v>
      </c>
      <c r="K91" s="365"/>
      <c r="L91" s="365"/>
      <c r="M91" s="365"/>
      <c r="N91" s="408">
        <v>-63.0</v>
      </c>
      <c r="O91" s="365"/>
      <c r="P91" s="414">
        <f t="shared" si="24"/>
        <v>63.0</v>
      </c>
      <c r="Q91" s="365">
        <v>66.0</v>
      </c>
      <c r="R91" s="365"/>
      <c r="S91" s="365"/>
      <c r="T91" s="365"/>
      <c r="U91" s="365"/>
      <c r="V91" s="365"/>
      <c r="W91" s="365"/>
      <c r="X91" s="365"/>
      <c r="Y91" s="365"/>
      <c r="Z91" s="365"/>
      <c r="AA91" s="365"/>
      <c r="AB91" s="365"/>
      <c r="AC91" s="415">
        <f t="shared" si="27"/>
        <v>574.2</v>
      </c>
    </row>
    <row r="92" ht="14.0" outlineLevel="1" customFormat="1" s="47">
      <c r="B92" s="365" t="s">
        <v>32</v>
      </c>
      <c r="C92" s="365" t="s">
        <v>53</v>
      </c>
      <c r="D92" s="365" t="s">
        <v>60</v>
      </c>
      <c r="E92" s="340">
        <v>71301.0</v>
      </c>
      <c r="F92" s="365">
        <v>75.0</v>
      </c>
      <c r="G92" s="370">
        <v>65.0</v>
      </c>
      <c r="H92" s="412">
        <v>8.81</v>
      </c>
      <c r="I92" s="413">
        <v>572.663</v>
      </c>
      <c r="J92" s="342" t="s">
        <v>6</v>
      </c>
      <c r="K92" s="365"/>
      <c r="L92" s="365"/>
      <c r="M92" s="365"/>
      <c r="N92" s="408">
        <v>-10.0</v>
      </c>
      <c r="O92" s="365"/>
      <c r="P92" s="414">
        <f t="shared" si="24"/>
        <v>10.0</v>
      </c>
      <c r="Q92" s="365">
        <v>12.0</v>
      </c>
      <c r="R92" s="365"/>
      <c r="S92" s="365"/>
      <c r="T92" s="365"/>
      <c r="U92" s="365"/>
      <c r="V92" s="365"/>
      <c r="W92" s="365"/>
      <c r="X92" s="365"/>
      <c r="Y92" s="365"/>
      <c r="Z92" s="365"/>
      <c r="AA92" s="365"/>
      <c r="AB92" s="365"/>
      <c r="AC92" s="415">
        <f t="shared" si="27"/>
        <v>105.72</v>
      </c>
    </row>
    <row r="93" ht="14.0" outlineLevel="1" customFormat="1" s="47">
      <c r="B93" s="365" t="s">
        <v>32</v>
      </c>
      <c r="C93" s="365" t="s">
        <v>53</v>
      </c>
      <c r="D93" s="365" t="s">
        <v>61</v>
      </c>
      <c r="E93" s="340">
        <v>71401.0</v>
      </c>
      <c r="F93" s="365">
        <v>96.0</v>
      </c>
      <c r="G93" s="370">
        <v>94.0</v>
      </c>
      <c r="H93" s="412">
        <v>9.15</v>
      </c>
      <c r="I93" s="413">
        <v>859.677</v>
      </c>
      <c r="J93" s="342" t="s">
        <v>6</v>
      </c>
      <c r="K93" s="365"/>
      <c r="L93" s="365"/>
      <c r="M93" s="365"/>
      <c r="N93" s="408">
        <v>-2.0</v>
      </c>
      <c r="O93" s="365"/>
      <c r="P93" s="414">
        <f t="shared" si="24"/>
        <v>2.0</v>
      </c>
      <c r="Q93" s="365">
        <v>6.0</v>
      </c>
      <c r="R93" s="365"/>
      <c r="S93" s="365"/>
      <c r="T93" s="365"/>
      <c r="U93" s="365"/>
      <c r="V93" s="365"/>
      <c r="W93" s="365"/>
      <c r="X93" s="365"/>
      <c r="Y93" s="365"/>
      <c r="Z93" s="365"/>
      <c r="AA93" s="365"/>
      <c r="AB93" s="365"/>
      <c r="AC93" s="415">
        <f t="shared" si="27"/>
        <v>54.9</v>
      </c>
    </row>
    <row r="94" ht="14.0" outlineLevel="1" customFormat="1" s="47">
      <c r="B94" s="365" t="s">
        <v>32</v>
      </c>
      <c r="C94" s="365" t="s">
        <v>81</v>
      </c>
      <c r="D94" s="365" t="s">
        <v>535</v>
      </c>
      <c r="E94" s="340">
        <v>37601.0</v>
      </c>
      <c r="F94" s="365">
        <v>535.0</v>
      </c>
      <c r="G94" s="370">
        <v>0.0</v>
      </c>
      <c r="H94" s="416"/>
      <c r="I94" s="413">
        <v>0.0</v>
      </c>
      <c r="J94" s="391" t="s">
        <v>73</v>
      </c>
      <c r="K94" s="365"/>
      <c r="L94" s="365"/>
      <c r="M94" s="365"/>
      <c r="N94" s="408">
        <v>-535.0</v>
      </c>
      <c r="O94" s="365"/>
      <c r="P94" s="414">
        <f t="shared" si="24"/>
        <v>535.0</v>
      </c>
      <c r="Q94" s="365">
        <v>540.0</v>
      </c>
      <c r="R94" s="365"/>
      <c r="S94" s="365"/>
      <c r="T94" s="365"/>
      <c r="U94" s="365"/>
      <c r="V94" s="365"/>
      <c r="W94" s="365"/>
      <c r="X94" s="365"/>
      <c r="Y94" s="365"/>
      <c r="Z94" s="365"/>
      <c r="AA94" s="365"/>
      <c r="AB94" s="365"/>
      <c r="AC94" s="415">
        <f>Q94*3.47</f>
        <v>1873.8</v>
      </c>
    </row>
    <row r="95" ht="14.0" outlineLevel="1" customFormat="1" s="47">
      <c r="B95" s="365" t="s">
        <v>32</v>
      </c>
      <c r="C95" s="365" t="s">
        <v>81</v>
      </c>
      <c r="D95" s="365" t="s">
        <v>536</v>
      </c>
      <c r="E95" s="340">
        <v>37602.0</v>
      </c>
      <c r="F95" s="365">
        <v>898.0</v>
      </c>
      <c r="G95" s="370">
        <v>3.0</v>
      </c>
      <c r="H95" s="412">
        <v>3.47</v>
      </c>
      <c r="I95" s="413">
        <v>10.4</v>
      </c>
      <c r="J95" s="327" t="s">
        <v>518</v>
      </c>
      <c r="K95" s="365"/>
      <c r="L95" s="365"/>
      <c r="M95" s="365"/>
      <c r="N95" s="408">
        <v>-895.0</v>
      </c>
      <c r="O95" s="365"/>
      <c r="P95" s="414">
        <f t="shared" si="24"/>
        <v>895.0</v>
      </c>
      <c r="Q95" s="365">
        <v>900.0</v>
      </c>
      <c r="R95" s="365"/>
      <c r="S95" s="365"/>
      <c r="T95" s="365"/>
      <c r="U95" s="365"/>
      <c r="V95" s="365"/>
      <c r="W95" s="365"/>
      <c r="X95" s="365"/>
      <c r="Y95" s="365"/>
      <c r="Z95" s="365"/>
      <c r="AA95" s="365"/>
      <c r="AB95" s="365"/>
      <c r="AC95" s="415">
        <f t="shared" ref="AC95:AC115" si="29">Q95*H95</f>
        <v>3123.0</v>
      </c>
    </row>
    <row r="96" ht="14.0" outlineLevel="1" customFormat="1" s="47">
      <c r="B96" s="365" t="s">
        <v>32</v>
      </c>
      <c r="C96" s="365" t="s">
        <v>539</v>
      </c>
      <c r="D96" s="365" t="s">
        <v>540</v>
      </c>
      <c r="E96" s="340" t="s">
        <v>541</v>
      </c>
      <c r="F96" s="365">
        <v>92.0</v>
      </c>
      <c r="G96" s="370">
        <v>77.0</v>
      </c>
      <c r="H96" s="412">
        <v>149.62</v>
      </c>
      <c r="I96" s="413">
        <v>11520.8093</v>
      </c>
      <c r="J96" s="342" t="s">
        <v>6</v>
      </c>
      <c r="K96" s="365"/>
      <c r="L96" s="365"/>
      <c r="M96" s="365"/>
      <c r="N96" s="408">
        <v>-15.0</v>
      </c>
      <c r="O96" s="365"/>
      <c r="P96" s="414">
        <f t="shared" si="24"/>
        <v>15.0</v>
      </c>
      <c r="Q96" s="365">
        <v>18.0</v>
      </c>
      <c r="R96" s="365"/>
      <c r="S96" s="365"/>
      <c r="T96" s="365"/>
      <c r="U96" s="365"/>
      <c r="V96" s="365"/>
      <c r="W96" s="365"/>
      <c r="X96" s="365"/>
      <c r="Y96" s="365"/>
      <c r="Z96" s="365"/>
      <c r="AA96" s="365"/>
      <c r="AB96" s="365"/>
      <c r="AC96" s="415">
        <f t="shared" si="29"/>
        <v>2693.16</v>
      </c>
    </row>
    <row r="97" ht="14.0" outlineLevel="1" customFormat="1" s="47">
      <c r="B97" s="365" t="s">
        <v>32</v>
      </c>
      <c r="C97" s="365" t="s">
        <v>45</v>
      </c>
      <c r="D97" s="365" t="s">
        <v>118</v>
      </c>
      <c r="E97" s="340" t="s">
        <v>119</v>
      </c>
      <c r="F97" s="365">
        <v>4.0</v>
      </c>
      <c r="G97" s="370">
        <v>0.0</v>
      </c>
      <c r="H97" s="416"/>
      <c r="I97" s="413">
        <v>0.0</v>
      </c>
      <c r="J97" s="391" t="s">
        <v>73</v>
      </c>
      <c r="K97" s="365"/>
      <c r="L97" s="365"/>
      <c r="M97" s="365"/>
      <c r="N97" s="408">
        <v>-4.0</v>
      </c>
      <c r="O97" s="365"/>
      <c r="P97" s="414">
        <f t="shared" si="24"/>
        <v>4.0</v>
      </c>
      <c r="Q97" s="365">
        <v>6.0</v>
      </c>
      <c r="R97" s="365"/>
      <c r="S97" s="365"/>
      <c r="T97" s="365"/>
      <c r="U97" s="365"/>
      <c r="V97" s="365"/>
      <c r="W97" s="365"/>
      <c r="X97" s="365"/>
      <c r="Y97" s="365"/>
      <c r="Z97" s="365"/>
      <c r="AA97" s="365"/>
      <c r="AB97" s="365"/>
      <c r="AC97" s="415">
        <f t="shared" si="29"/>
        <v>0.0</v>
      </c>
    </row>
    <row r="98" ht="14.0" outlineLevel="1" customFormat="1" s="47">
      <c r="B98" s="365" t="s">
        <v>32</v>
      </c>
      <c r="C98" s="365" t="s">
        <v>110</v>
      </c>
      <c r="D98" s="365" t="s">
        <v>120</v>
      </c>
      <c r="E98" s="340">
        <v>43101.0</v>
      </c>
      <c r="F98" s="365">
        <v>166.0</v>
      </c>
      <c r="G98" s="370">
        <v>107.0</v>
      </c>
      <c r="H98" s="412">
        <v>2.77</v>
      </c>
      <c r="I98" s="413">
        <v>296.5291</v>
      </c>
      <c r="J98" s="342" t="s">
        <v>4</v>
      </c>
      <c r="K98" s="365"/>
      <c r="L98" s="365"/>
      <c r="M98" s="365"/>
      <c r="N98" s="408">
        <v>-59.0</v>
      </c>
      <c r="O98" s="365"/>
      <c r="P98" s="414">
        <f t="shared" si="24"/>
        <v>59.0</v>
      </c>
      <c r="Q98" s="365">
        <v>60.0</v>
      </c>
      <c r="R98" s="365"/>
      <c r="S98" s="365"/>
      <c r="T98" s="365"/>
      <c r="U98" s="365"/>
      <c r="V98" s="365"/>
      <c r="W98" s="365"/>
      <c r="X98" s="365"/>
      <c r="Y98" s="365"/>
      <c r="Z98" s="365"/>
      <c r="AA98" s="365"/>
      <c r="AB98" s="365"/>
      <c r="AC98" s="415">
        <f t="shared" si="29"/>
        <v>166.2</v>
      </c>
    </row>
    <row r="99" ht="14.0" outlineLevel="1" customFormat="1" s="47">
      <c r="B99" s="365" t="s">
        <v>32</v>
      </c>
      <c r="C99" s="365" t="s">
        <v>110</v>
      </c>
      <c r="D99" s="365" t="s">
        <v>121</v>
      </c>
      <c r="E99" s="340">
        <v>43104.0</v>
      </c>
      <c r="F99" s="365">
        <v>81.0</v>
      </c>
      <c r="G99" s="370">
        <v>42.0</v>
      </c>
      <c r="H99" s="371">
        <v>2.77</v>
      </c>
      <c r="I99" s="372">
        <v>116.4198</v>
      </c>
      <c r="J99" s="342" t="s">
        <v>4</v>
      </c>
      <c r="K99" s="365"/>
      <c r="L99" s="365"/>
      <c r="M99" s="365"/>
      <c r="N99" s="408">
        <v>-39.0</v>
      </c>
      <c r="O99" s="365"/>
      <c r="P99" s="414">
        <f t="shared" si="24"/>
        <v>39.0</v>
      </c>
      <c r="Q99" s="365">
        <v>42.0</v>
      </c>
      <c r="R99" s="365"/>
      <c r="S99" s="365"/>
      <c r="T99" s="365"/>
      <c r="U99" s="365"/>
      <c r="V99" s="365"/>
      <c r="W99" s="365"/>
      <c r="X99" s="365"/>
      <c r="Y99" s="365"/>
      <c r="Z99" s="365"/>
      <c r="AA99" s="365"/>
      <c r="AB99" s="365"/>
      <c r="AC99" s="415">
        <f t="shared" si="29"/>
        <v>116.34</v>
      </c>
    </row>
    <row r="100" ht="14.0" outlineLevel="1" customFormat="1" s="47">
      <c r="B100" s="365" t="s">
        <v>32</v>
      </c>
      <c r="C100" s="365" t="s">
        <v>110</v>
      </c>
      <c r="D100" s="365" t="s">
        <v>122</v>
      </c>
      <c r="E100" s="340">
        <v>43105.0</v>
      </c>
      <c r="F100" s="365">
        <v>214.0</v>
      </c>
      <c r="G100" s="370">
        <v>78.0</v>
      </c>
      <c r="H100" s="371">
        <v>2.67</v>
      </c>
      <c r="I100" s="372">
        <v>208.1664</v>
      </c>
      <c r="J100" s="342" t="s">
        <v>520</v>
      </c>
      <c r="K100" s="365"/>
      <c r="L100" s="365"/>
      <c r="M100" s="365"/>
      <c r="N100" s="408">
        <v>-136.0</v>
      </c>
      <c r="O100" s="365"/>
      <c r="P100" s="414">
        <f t="shared" si="24"/>
        <v>136.0</v>
      </c>
      <c r="Q100" s="365">
        <v>138.0</v>
      </c>
      <c r="R100" s="365"/>
      <c r="S100" s="365"/>
      <c r="T100" s="365"/>
      <c r="U100" s="365"/>
      <c r="V100" s="365"/>
      <c r="W100" s="365"/>
      <c r="X100" s="365"/>
      <c r="Y100" s="365"/>
      <c r="Z100" s="365"/>
      <c r="AA100" s="365"/>
      <c r="AB100" s="365"/>
      <c r="AC100" s="415">
        <f t="shared" si="29"/>
        <v>368.46</v>
      </c>
    </row>
    <row r="101" ht="14.0" outlineLevel="1" customFormat="1" s="47">
      <c r="B101" s="365" t="s">
        <v>32</v>
      </c>
      <c r="C101" s="365" t="s">
        <v>110</v>
      </c>
      <c r="D101" s="365" t="s">
        <v>123</v>
      </c>
      <c r="E101" s="340">
        <v>43106.0</v>
      </c>
      <c r="F101" s="365">
        <v>231.0</v>
      </c>
      <c r="G101" s="370">
        <v>39.0</v>
      </c>
      <c r="H101" s="371">
        <v>2.77</v>
      </c>
      <c r="I101" s="372">
        <v>108.1314</v>
      </c>
      <c r="J101" s="342" t="s">
        <v>519</v>
      </c>
      <c r="K101" s="365"/>
      <c r="L101" s="365"/>
      <c r="M101" s="365"/>
      <c r="N101" s="408">
        <v>-192.0</v>
      </c>
      <c r="O101" s="365"/>
      <c r="P101" s="414">
        <f t="shared" si="24"/>
        <v>192.0</v>
      </c>
      <c r="Q101" s="365">
        <v>192.0</v>
      </c>
      <c r="R101" s="365"/>
      <c r="S101" s="365"/>
      <c r="T101" s="365"/>
      <c r="U101" s="365"/>
      <c r="V101" s="365"/>
      <c r="W101" s="365"/>
      <c r="X101" s="365"/>
      <c r="Y101" s="365"/>
      <c r="Z101" s="365"/>
      <c r="AA101" s="365"/>
      <c r="AB101" s="365"/>
      <c r="AC101" s="415">
        <f t="shared" si="29"/>
        <v>531.84</v>
      </c>
    </row>
    <row r="102" ht="14.0" outlineLevel="1" customFormat="1" s="47">
      <c r="B102" s="365" t="s">
        <v>32</v>
      </c>
      <c r="C102" s="365" t="s">
        <v>110</v>
      </c>
      <c r="D102" s="365" t="s">
        <v>124</v>
      </c>
      <c r="E102" s="340">
        <v>43107.0</v>
      </c>
      <c r="F102" s="365">
        <v>141.0</v>
      </c>
      <c r="G102" s="370">
        <v>105.0</v>
      </c>
      <c r="H102" s="371">
        <v>2.74</v>
      </c>
      <c r="I102" s="372">
        <v>288.1515</v>
      </c>
      <c r="J102" s="342" t="s">
        <v>5</v>
      </c>
      <c r="K102" s="365"/>
      <c r="L102" s="365"/>
      <c r="M102" s="365"/>
      <c r="N102" s="408">
        <v>-36.0</v>
      </c>
      <c r="O102" s="365"/>
      <c r="P102" s="414">
        <f t="shared" si="24"/>
        <v>36.0</v>
      </c>
      <c r="Q102" s="365">
        <v>36.0</v>
      </c>
      <c r="R102" s="365"/>
      <c r="S102" s="365"/>
      <c r="T102" s="365"/>
      <c r="U102" s="365"/>
      <c r="V102" s="365"/>
      <c r="W102" s="365"/>
      <c r="X102" s="365"/>
      <c r="Y102" s="365"/>
      <c r="Z102" s="365"/>
      <c r="AA102" s="365"/>
      <c r="AB102" s="365"/>
      <c r="AC102" s="415">
        <f t="shared" si="29"/>
        <v>98.64</v>
      </c>
    </row>
    <row r="103" ht="14.0" outlineLevel="1" customFormat="1" s="47">
      <c r="B103" s="365" t="s">
        <v>32</v>
      </c>
      <c r="C103" s="365" t="s">
        <v>110</v>
      </c>
      <c r="D103" s="365" t="s">
        <v>125</v>
      </c>
      <c r="E103" s="340">
        <v>43110.0</v>
      </c>
      <c r="F103" s="365">
        <v>210.0</v>
      </c>
      <c r="G103" s="370">
        <v>9.0</v>
      </c>
      <c r="H103" s="371">
        <v>2.63</v>
      </c>
      <c r="I103" s="372">
        <v>23.67</v>
      </c>
      <c r="J103" s="327" t="s">
        <v>518</v>
      </c>
      <c r="K103" s="365"/>
      <c r="L103" s="365"/>
      <c r="M103" s="365"/>
      <c r="N103" s="408">
        <v>-201.0</v>
      </c>
      <c r="O103" s="365"/>
      <c r="P103" s="414">
        <f t="shared" si="24"/>
        <v>201.0</v>
      </c>
      <c r="Q103" s="365">
        <v>204.0</v>
      </c>
      <c r="R103" s="365"/>
      <c r="S103" s="365"/>
      <c r="T103" s="365"/>
      <c r="U103" s="365"/>
      <c r="V103" s="365"/>
      <c r="W103" s="365"/>
      <c r="X103" s="365"/>
      <c r="Y103" s="365"/>
      <c r="Z103" s="365"/>
      <c r="AA103" s="365"/>
      <c r="AB103" s="365"/>
      <c r="AC103" s="415">
        <f t="shared" si="29"/>
        <v>536.52</v>
      </c>
    </row>
    <row r="104" ht="14.0" outlineLevel="1" customFormat="1" s="47">
      <c r="B104" s="365" t="s">
        <v>32</v>
      </c>
      <c r="C104" s="365" t="s">
        <v>110</v>
      </c>
      <c r="D104" s="365" t="s">
        <v>126</v>
      </c>
      <c r="E104" s="340">
        <v>43111.0</v>
      </c>
      <c r="F104" s="365">
        <v>175.0</v>
      </c>
      <c r="G104" s="370">
        <v>81.0</v>
      </c>
      <c r="H104" s="371">
        <v>2.77</v>
      </c>
      <c r="I104" s="372">
        <v>224.0784</v>
      </c>
      <c r="J104" s="342" t="s">
        <v>520</v>
      </c>
      <c r="K104" s="365"/>
      <c r="L104" s="365"/>
      <c r="M104" s="365"/>
      <c r="N104" s="408">
        <v>-94.0</v>
      </c>
      <c r="O104" s="365"/>
      <c r="P104" s="414">
        <f t="shared" si="24"/>
        <v>94.0</v>
      </c>
      <c r="Q104" s="365">
        <v>96.0</v>
      </c>
      <c r="R104" s="365"/>
      <c r="S104" s="365"/>
      <c r="T104" s="365"/>
      <c r="U104" s="365"/>
      <c r="V104" s="365"/>
      <c r="W104" s="365"/>
      <c r="X104" s="365"/>
      <c r="Y104" s="365"/>
      <c r="Z104" s="365"/>
      <c r="AA104" s="365"/>
      <c r="AB104" s="365"/>
      <c r="AC104" s="415">
        <f t="shared" si="29"/>
        <v>265.92</v>
      </c>
    </row>
    <row r="105" ht="14.0" outlineLevel="1" customFormat="1" s="47">
      <c r="B105" s="365" t="s">
        <v>32</v>
      </c>
      <c r="C105" s="365" t="s">
        <v>110</v>
      </c>
      <c r="D105" s="365" t="s">
        <v>127</v>
      </c>
      <c r="E105" s="340">
        <v>43112.0</v>
      </c>
      <c r="F105" s="365">
        <v>249.0</v>
      </c>
      <c r="G105" s="370">
        <v>164.0</v>
      </c>
      <c r="H105" s="371">
        <v>2.74</v>
      </c>
      <c r="I105" s="372">
        <v>449.3764</v>
      </c>
      <c r="J105" s="342" t="s">
        <v>4</v>
      </c>
      <c r="K105" s="365"/>
      <c r="L105" s="365"/>
      <c r="M105" s="365"/>
      <c r="N105" s="408">
        <v>-85.0</v>
      </c>
      <c r="O105" s="365"/>
      <c r="P105" s="414">
        <f t="shared" si="24"/>
        <v>85.0</v>
      </c>
      <c r="Q105" s="365">
        <v>90.0</v>
      </c>
      <c r="R105" s="365"/>
      <c r="S105" s="365"/>
      <c r="T105" s="365"/>
      <c r="U105" s="365"/>
      <c r="V105" s="365"/>
      <c r="W105" s="365"/>
      <c r="X105" s="365"/>
      <c r="Y105" s="365"/>
      <c r="Z105" s="365"/>
      <c r="AA105" s="365"/>
      <c r="AB105" s="365"/>
      <c r="AC105" s="415">
        <f t="shared" si="29"/>
        <v>246.6</v>
      </c>
    </row>
    <row r="106" ht="14.0" outlineLevel="1" customFormat="1" s="47">
      <c r="B106" s="365" t="s">
        <v>32</v>
      </c>
      <c r="C106" s="365" t="s">
        <v>110</v>
      </c>
      <c r="D106" s="365" t="s">
        <v>130</v>
      </c>
      <c r="E106" s="340">
        <v>43134.0</v>
      </c>
      <c r="F106" s="365">
        <v>117.0</v>
      </c>
      <c r="G106" s="370">
        <v>45.0</v>
      </c>
      <c r="H106" s="371">
        <v>2.77</v>
      </c>
      <c r="I106" s="372">
        <v>124.7085</v>
      </c>
      <c r="J106" s="342" t="s">
        <v>520</v>
      </c>
      <c r="K106" s="365"/>
      <c r="L106" s="365"/>
      <c r="M106" s="365"/>
      <c r="N106" s="408">
        <v>-72.0</v>
      </c>
      <c r="O106" s="365"/>
      <c r="P106" s="414">
        <f t="shared" si="24"/>
        <v>72.0</v>
      </c>
      <c r="Q106" s="365">
        <v>72.0</v>
      </c>
      <c r="R106" s="365"/>
      <c r="S106" s="365"/>
      <c r="T106" s="365"/>
      <c r="U106" s="365"/>
      <c r="V106" s="365"/>
      <c r="W106" s="365"/>
      <c r="X106" s="365"/>
      <c r="Y106" s="365"/>
      <c r="Z106" s="365"/>
      <c r="AA106" s="365"/>
      <c r="AB106" s="365"/>
      <c r="AC106" s="415">
        <f t="shared" si="29"/>
        <v>199.44</v>
      </c>
    </row>
    <row r="107" ht="14.0" outlineLevel="1" customFormat="1" s="47">
      <c r="B107" s="365" t="s">
        <v>32</v>
      </c>
      <c r="C107" s="365" t="s">
        <v>110</v>
      </c>
      <c r="D107" s="365" t="s">
        <v>131</v>
      </c>
      <c r="E107" s="340">
        <v>43145.0</v>
      </c>
      <c r="F107" s="365">
        <v>123.0</v>
      </c>
      <c r="G107" s="370">
        <v>94.0</v>
      </c>
      <c r="H107" s="371">
        <v>2.75</v>
      </c>
      <c r="I107" s="372">
        <v>258.3496</v>
      </c>
      <c r="J107" s="342" t="s">
        <v>5</v>
      </c>
      <c r="K107" s="365"/>
      <c r="L107" s="365"/>
      <c r="M107" s="365"/>
      <c r="N107" s="408">
        <v>-29.0</v>
      </c>
      <c r="O107" s="365"/>
      <c r="P107" s="414">
        <f t="shared" si="24"/>
        <v>29.0</v>
      </c>
      <c r="Q107" s="365">
        <v>30.0</v>
      </c>
      <c r="R107" s="365"/>
      <c r="S107" s="365"/>
      <c r="T107" s="365"/>
      <c r="U107" s="365"/>
      <c r="V107" s="365"/>
      <c r="W107" s="365"/>
      <c r="X107" s="365"/>
      <c r="Y107" s="365"/>
      <c r="Z107" s="365"/>
      <c r="AA107" s="365"/>
      <c r="AB107" s="365"/>
      <c r="AC107" s="415">
        <f t="shared" si="29"/>
        <v>82.5</v>
      </c>
    </row>
    <row r="108" ht="14.0" outlineLevel="1" customFormat="1" s="47">
      <c r="B108" s="365" t="s">
        <v>32</v>
      </c>
      <c r="C108" s="365" t="s">
        <v>110</v>
      </c>
      <c r="D108" s="365" t="s">
        <v>132</v>
      </c>
      <c r="E108" s="340">
        <v>43150.0</v>
      </c>
      <c r="F108" s="365">
        <v>89.0</v>
      </c>
      <c r="G108" s="370">
        <v>66.0</v>
      </c>
      <c r="H108" s="371">
        <v>2.71</v>
      </c>
      <c r="I108" s="372">
        <v>178.9326</v>
      </c>
      <c r="J108" s="342" t="s">
        <v>5</v>
      </c>
      <c r="K108" s="365"/>
      <c r="L108" s="365"/>
      <c r="M108" s="365"/>
      <c r="N108" s="408">
        <v>-23.0</v>
      </c>
      <c r="O108" s="365"/>
      <c r="P108" s="414">
        <f t="shared" si="24"/>
        <v>23.0</v>
      </c>
      <c r="Q108" s="365">
        <v>24.0</v>
      </c>
      <c r="R108" s="365"/>
      <c r="S108" s="365"/>
      <c r="T108" s="365"/>
      <c r="U108" s="365"/>
      <c r="V108" s="365"/>
      <c r="W108" s="365"/>
      <c r="X108" s="365"/>
      <c r="Y108" s="365"/>
      <c r="Z108" s="365"/>
      <c r="AA108" s="365"/>
      <c r="AB108" s="365"/>
      <c r="AC108" s="415">
        <f t="shared" si="29"/>
        <v>65.04</v>
      </c>
    </row>
    <row r="109" ht="14.0" outlineLevel="1" customFormat="1" s="47">
      <c r="B109" s="390" t="s">
        <v>32</v>
      </c>
      <c r="C109" s="390" t="s">
        <v>110</v>
      </c>
      <c r="D109" s="390" t="s">
        <v>133</v>
      </c>
      <c r="E109" s="391">
        <v>43190.0</v>
      </c>
      <c r="F109" s="390">
        <v>73.0</v>
      </c>
      <c r="G109" s="392">
        <v>0.0</v>
      </c>
      <c r="H109" s="394"/>
      <c r="I109" s="394">
        <v>0.0</v>
      </c>
      <c r="J109" s="391" t="s">
        <v>73</v>
      </c>
      <c r="K109" s="390"/>
      <c r="L109" s="390"/>
      <c r="M109" s="390"/>
      <c r="N109" s="410">
        <v>-73.0</v>
      </c>
      <c r="O109" s="390"/>
      <c r="P109" s="417">
        <f t="shared" si="24"/>
        <v>73.0</v>
      </c>
      <c r="Q109" s="390">
        <v>78.0</v>
      </c>
      <c r="R109" s="390"/>
      <c r="S109" s="390"/>
      <c r="T109" s="390"/>
      <c r="U109" s="390"/>
      <c r="V109" s="390"/>
      <c r="W109" s="390"/>
      <c r="X109" s="390"/>
      <c r="Y109" s="390"/>
      <c r="Z109" s="390"/>
      <c r="AA109" s="390"/>
      <c r="AB109" s="390"/>
      <c r="AC109" s="418">
        <f t="shared" si="29"/>
        <v>0.0</v>
      </c>
      <c r="AD109" s="354" t="s">
        <v>843</v>
      </c>
    </row>
    <row r="110" ht="14.0" outlineLevel="1" customFormat="1" s="47">
      <c r="B110" s="365" t="s">
        <v>32</v>
      </c>
      <c r="C110" s="365" t="s">
        <v>110</v>
      </c>
      <c r="D110" s="365" t="s">
        <v>115</v>
      </c>
      <c r="E110" s="340">
        <v>34101.0</v>
      </c>
      <c r="F110" s="365">
        <v>1877.0</v>
      </c>
      <c r="G110" s="370">
        <v>1828.0</v>
      </c>
      <c r="H110" s="371">
        <v>4.85</v>
      </c>
      <c r="I110" s="372">
        <v>8865.0688</v>
      </c>
      <c r="J110" s="342" t="s">
        <v>6</v>
      </c>
      <c r="K110" s="365"/>
      <c r="L110" s="365"/>
      <c r="M110" s="365"/>
      <c r="N110" s="408">
        <v>-49.0</v>
      </c>
      <c r="O110" s="365"/>
      <c r="P110" s="414">
        <f t="shared" si="24"/>
        <v>49.0</v>
      </c>
      <c r="Q110" s="365">
        <v>54.0</v>
      </c>
      <c r="R110" s="365"/>
      <c r="S110" s="365"/>
      <c r="T110" s="365"/>
      <c r="U110" s="365"/>
      <c r="V110" s="365"/>
      <c r="W110" s="365"/>
      <c r="X110" s="365"/>
      <c r="Y110" s="365"/>
      <c r="Z110" s="365"/>
      <c r="AA110" s="365"/>
      <c r="AB110" s="365"/>
      <c r="AC110" s="415">
        <f t="shared" si="29"/>
        <v>261.9</v>
      </c>
    </row>
    <row r="111" ht="14.0" outlineLevel="1" customFormat="1" s="47">
      <c r="B111" s="365" t="s">
        <v>32</v>
      </c>
      <c r="C111" s="365" t="s">
        <v>163</v>
      </c>
      <c r="D111" s="365" t="s">
        <v>164</v>
      </c>
      <c r="E111" s="340">
        <v>40402.0</v>
      </c>
      <c r="F111" s="365">
        <v>93.0</v>
      </c>
      <c r="G111" s="370">
        <v>66.0</v>
      </c>
      <c r="H111" s="371">
        <v>8.93</v>
      </c>
      <c r="I111" s="372">
        <v>589.3272</v>
      </c>
      <c r="J111" s="342" t="s">
        <v>5</v>
      </c>
      <c r="K111" s="365"/>
      <c r="L111" s="365"/>
      <c r="M111" s="365"/>
      <c r="N111" s="408">
        <v>-27.0</v>
      </c>
      <c r="O111" s="365"/>
      <c r="P111" s="414">
        <f t="shared" si="24"/>
        <v>27.0</v>
      </c>
      <c r="Q111" s="365">
        <v>30.0</v>
      </c>
      <c r="R111" s="365"/>
      <c r="S111" s="365"/>
      <c r="T111" s="365"/>
      <c r="U111" s="365"/>
      <c r="V111" s="365"/>
      <c r="W111" s="365"/>
      <c r="X111" s="365"/>
      <c r="Y111" s="365"/>
      <c r="Z111" s="365"/>
      <c r="AA111" s="365"/>
      <c r="AB111" s="365"/>
      <c r="AC111" s="415">
        <f t="shared" si="29"/>
        <v>267.9</v>
      </c>
    </row>
    <row r="112" ht="14.0" outlineLevel="1" customFormat="1" s="47">
      <c r="B112" s="365" t="s">
        <v>32</v>
      </c>
      <c r="C112" s="365" t="s">
        <v>163</v>
      </c>
      <c r="D112" s="365" t="s">
        <v>165</v>
      </c>
      <c r="E112" s="340">
        <v>40403.0</v>
      </c>
      <c r="F112" s="365">
        <v>123.0</v>
      </c>
      <c r="G112" s="370">
        <v>100.0</v>
      </c>
      <c r="H112" s="371">
        <v>8.78</v>
      </c>
      <c r="I112" s="372">
        <v>878.35</v>
      </c>
      <c r="J112" s="342" t="s">
        <v>5</v>
      </c>
      <c r="K112" s="365"/>
      <c r="L112" s="365"/>
      <c r="M112" s="365"/>
      <c r="N112" s="408">
        <v>-23.0</v>
      </c>
      <c r="O112" s="365"/>
      <c r="P112" s="414">
        <f t="shared" si="24"/>
        <v>23.0</v>
      </c>
      <c r="Q112" s="365">
        <v>24.0</v>
      </c>
      <c r="R112" s="365"/>
      <c r="S112" s="365"/>
      <c r="T112" s="365"/>
      <c r="U112" s="365"/>
      <c r="V112" s="365"/>
      <c r="W112" s="365"/>
      <c r="X112" s="365"/>
      <c r="Y112" s="365"/>
      <c r="Z112" s="365"/>
      <c r="AA112" s="365"/>
      <c r="AB112" s="365"/>
      <c r="AC112" s="415">
        <f t="shared" si="29"/>
        <v>210.72</v>
      </c>
    </row>
    <row r="113" ht="14.0" outlineLevel="1" customFormat="1" s="47">
      <c r="B113" s="365" t="s">
        <v>32</v>
      </c>
      <c r="C113" s="365" t="s">
        <v>163</v>
      </c>
      <c r="D113" s="365" t="s">
        <v>166</v>
      </c>
      <c r="E113" s="340">
        <v>40404.0</v>
      </c>
      <c r="F113" s="365">
        <v>90.0</v>
      </c>
      <c r="G113" s="370">
        <v>61.0</v>
      </c>
      <c r="H113" s="371">
        <v>8.83</v>
      </c>
      <c r="I113" s="372">
        <v>538.6422</v>
      </c>
      <c r="J113" s="342" t="s">
        <v>5</v>
      </c>
      <c r="K113" s="365"/>
      <c r="L113" s="365"/>
      <c r="M113" s="365"/>
      <c r="N113" s="408">
        <v>-29.0</v>
      </c>
      <c r="O113" s="365"/>
      <c r="P113" s="414">
        <f t="shared" si="24"/>
        <v>29.0</v>
      </c>
      <c r="Q113" s="365">
        <v>30.0</v>
      </c>
      <c r="R113" s="365"/>
      <c r="S113" s="365"/>
      <c r="T113" s="365"/>
      <c r="U113" s="365"/>
      <c r="V113" s="365"/>
      <c r="W113" s="365"/>
      <c r="X113" s="365"/>
      <c r="Y113" s="365"/>
      <c r="Z113" s="365"/>
      <c r="AA113" s="365"/>
      <c r="AB113" s="365"/>
      <c r="AC113" s="415">
        <f t="shared" si="29"/>
        <v>264.9</v>
      </c>
    </row>
    <row r="114" ht="14.0" outlineLevel="1" customFormat="1" s="47">
      <c r="B114" s="365" t="s">
        <v>32</v>
      </c>
      <c r="C114" s="365" t="s">
        <v>163</v>
      </c>
      <c r="D114" s="365" t="s">
        <v>167</v>
      </c>
      <c r="E114" s="340">
        <v>40407.0</v>
      </c>
      <c r="F114" s="365">
        <v>57.0</v>
      </c>
      <c r="G114" s="370">
        <v>45.0</v>
      </c>
      <c r="H114" s="371">
        <v>8.81</v>
      </c>
      <c r="I114" s="372">
        <v>396.288</v>
      </c>
      <c r="J114" s="342" t="s">
        <v>5</v>
      </c>
      <c r="K114" s="365"/>
      <c r="L114" s="365"/>
      <c r="M114" s="365"/>
      <c r="N114" s="408">
        <v>-12.0</v>
      </c>
      <c r="O114" s="365"/>
      <c r="P114" s="414">
        <f t="shared" si="24"/>
        <v>12.0</v>
      </c>
      <c r="Q114" s="365">
        <v>12.0</v>
      </c>
      <c r="R114" s="365"/>
      <c r="S114" s="365"/>
      <c r="T114" s="365"/>
      <c r="U114" s="365"/>
      <c r="V114" s="365"/>
      <c r="W114" s="365"/>
      <c r="X114" s="365"/>
      <c r="Y114" s="365"/>
      <c r="Z114" s="365"/>
      <c r="AA114" s="365"/>
      <c r="AB114" s="365"/>
      <c r="AC114" s="415">
        <f t="shared" si="29"/>
        <v>105.72</v>
      </c>
    </row>
    <row r="115" ht="14.0" outlineLevel="1" customFormat="1" s="47">
      <c r="B115" s="365" t="s">
        <v>32</v>
      </c>
      <c r="C115" s="365" t="s">
        <v>163</v>
      </c>
      <c r="D115" s="365" t="s">
        <v>169</v>
      </c>
      <c r="E115" s="340">
        <v>40409.0</v>
      </c>
      <c r="F115" s="365">
        <v>66.0</v>
      </c>
      <c r="G115" s="370">
        <v>39.0</v>
      </c>
      <c r="H115" s="371">
        <v>9.01</v>
      </c>
      <c r="I115" s="372">
        <v>351.3198</v>
      </c>
      <c r="J115" s="342" t="s">
        <v>4</v>
      </c>
      <c r="K115" s="365"/>
      <c r="L115" s="365"/>
      <c r="M115" s="365"/>
      <c r="N115" s="408">
        <v>-27.0</v>
      </c>
      <c r="O115" s="365"/>
      <c r="P115" s="414">
        <f t="shared" si="24"/>
        <v>27.0</v>
      </c>
      <c r="Q115" s="365">
        <v>30.0</v>
      </c>
      <c r="R115" s="365"/>
      <c r="S115" s="365"/>
      <c r="T115" s="365"/>
      <c r="U115" s="365"/>
      <c r="V115" s="365"/>
      <c r="W115" s="365"/>
      <c r="X115" s="365"/>
      <c r="Y115" s="365"/>
      <c r="Z115" s="365"/>
      <c r="AA115" s="365"/>
      <c r="AB115" s="365"/>
      <c r="AC115" s="415">
        <f t="shared" si="29"/>
        <v>270.3</v>
      </c>
    </row>
    <row r="116" ht="14.0" outlineLevel="1" customFormat="1" s="47">
      <c r="E116" s="185"/>
      <c r="G116" s="64"/>
      <c r="H116" s="308"/>
      <c r="I116" s="308"/>
      <c r="J116" s="185"/>
      <c r="N116" s="307"/>
      <c r="P116" s="218"/>
      <c r="Q116" s="66"/>
      <c r="AC116" s="201">
        <f>SUM(AC83:AC115)</f>
        <v>15666.12</v>
      </c>
    </row>
    <row r="117" ht="14.0" outlineLevel="1" customFormat="1" s="47">
      <c r="B117" s="50"/>
      <c r="E117" s="185"/>
      <c r="G117" s="64"/>
      <c r="H117" s="308"/>
      <c r="I117" s="308"/>
      <c r="J117" s="185"/>
      <c r="N117" s="307"/>
      <c r="P117" s="218"/>
      <c r="Q117" s="66" t="s">
        <v>857</v>
      </c>
      <c r="AC117" s="355" t="s">
        <v>844</v>
      </c>
      <c r="AD117" s="419">
        <v>6103.5</v>
      </c>
    </row>
    <row r="118" ht="14.0" outlineLevel="1" customFormat="1" s="47">
      <c r="B118" s="50"/>
      <c r="E118" s="185"/>
      <c r="G118" s="64"/>
      <c r="H118" s="308"/>
      <c r="I118" s="308"/>
      <c r="J118" s="185"/>
      <c r="N118" s="307"/>
      <c r="P118" s="218"/>
      <c r="Q118" s="66"/>
      <c r="AC118" s="355" t="s">
        <v>845</v>
      </c>
      <c r="AD118" s="357">
        <v>325.5</v>
      </c>
    </row>
    <row r="119" ht="14.0" outlineLevel="1" customFormat="1" s="47">
      <c r="B119" s="50"/>
      <c r="E119" s="185"/>
      <c r="G119" s="64"/>
      <c r="H119" s="308"/>
      <c r="I119" s="308"/>
      <c r="J119" s="185"/>
      <c r="N119" s="307"/>
      <c r="P119" s="218"/>
      <c r="Q119" s="66"/>
      <c r="AC119" s="249" t="s">
        <v>846</v>
      </c>
      <c r="AD119" s="249">
        <f>AD118+AD117</f>
        <v>6429.0</v>
      </c>
    </row>
    <row r="120" customHeight="1" ht="22.0" customFormat="1" s="47">
      <c r="B120" s="50"/>
      <c r="E120" s="185"/>
      <c r="G120" s="64"/>
      <c r="H120" s="308"/>
      <c r="I120" s="308"/>
      <c r="J120" s="185"/>
      <c r="N120" s="307"/>
      <c r="P120" s="218"/>
      <c r="Q120" s="66"/>
      <c r="AC120" s="194"/>
    </row>
    <row r="121" ht="43.0" customFormat="1" s="47">
      <c r="B121" s="309" t="s">
        <v>12</v>
      </c>
      <c r="C121" s="309" t="s">
        <v>13</v>
      </c>
      <c r="D121" s="310" t="s">
        <v>828</v>
      </c>
      <c r="E121" s="310" t="s">
        <v>507</v>
      </c>
      <c r="F121" s="310" t="s">
        <v>858</v>
      </c>
      <c r="G121" s="310" t="s">
        <v>830</v>
      </c>
      <c r="H121" s="312" t="s">
        <v>527</v>
      </c>
      <c r="I121" s="312" t="s">
        <v>568</v>
      </c>
      <c r="J121" s="310" t="s">
        <v>831</v>
      </c>
      <c r="K121" s="313" t="s">
        <v>832</v>
      </c>
      <c r="L121" s="313" t="s">
        <v>833</v>
      </c>
      <c r="M121" s="310" t="s">
        <v>834</v>
      </c>
      <c r="N121" s="314" t="s">
        <v>859</v>
      </c>
      <c r="O121" s="315" t="s">
        <v>23</v>
      </c>
      <c r="P121" s="315" t="s">
        <v>836</v>
      </c>
      <c r="Q121" s="315" t="s">
        <v>837</v>
      </c>
      <c r="R121" s="317" t="s">
        <v>838</v>
      </c>
      <c r="S121" s="318"/>
      <c r="T121" s="319" t="s">
        <v>839</v>
      </c>
      <c r="U121" s="320" t="s">
        <v>840</v>
      </c>
      <c r="V121" s="321" t="s">
        <v>841</v>
      </c>
      <c r="W121" s="318"/>
      <c r="X121" s="318"/>
      <c r="Y121" s="318"/>
      <c r="Z121" s="318"/>
      <c r="AA121" s="318"/>
      <c r="AB121" s="318"/>
      <c r="AC121" s="312" t="s">
        <v>842</v>
      </c>
      <c r="AD121" s="420" t="s">
        <v>860</v>
      </c>
      <c r="AE121" s="84"/>
      <c r="AF121" s="189"/>
    </row>
    <row r="122" ht="14.0" customFormat="1" s="47">
      <c r="B122" s="365" t="s">
        <v>430</v>
      </c>
      <c r="C122" s="365" t="s">
        <v>431</v>
      </c>
      <c r="D122" s="365" t="s">
        <v>432</v>
      </c>
      <c r="E122" s="340" t="s">
        <v>433</v>
      </c>
      <c r="F122" s="365">
        <v>77.0</v>
      </c>
      <c r="G122" s="421">
        <v>40.0</v>
      </c>
      <c r="H122" s="371">
        <v>6.31</v>
      </c>
      <c r="I122" s="371">
        <v>252.31</v>
      </c>
      <c r="J122" s="414" t="s">
        <v>4</v>
      </c>
      <c r="K122" s="365"/>
      <c r="L122" s="365"/>
      <c r="M122" s="365"/>
      <c r="N122" s="408">
        <v>-37.0</v>
      </c>
      <c r="O122" s="365"/>
      <c r="P122" s="414">
        <f t="shared" ref="P122:P138" si="32">N122*-1</f>
        <v>37.0</v>
      </c>
      <c r="Q122" s="365">
        <v>44.0</v>
      </c>
      <c r="R122" s="365"/>
      <c r="S122" s="365"/>
      <c r="T122" s="365"/>
      <c r="U122" s="365"/>
      <c r="V122" s="365"/>
      <c r="W122" s="365"/>
      <c r="X122" s="365"/>
      <c r="Y122" s="365"/>
      <c r="Z122" s="365"/>
      <c r="AA122" s="365"/>
      <c r="AB122" s="365"/>
      <c r="AC122" s="422">
        <f t="shared" ref="AC122:AC138" si="33">Q122*H122</f>
        <v>277.64</v>
      </c>
      <c r="AD122" s="47" t="s">
        <v>24</v>
      </c>
      <c r="AF122" s="189"/>
      <c r="AG122" s="423"/>
    </row>
    <row r="123" ht="14.0" customFormat="1" s="47">
      <c r="B123" s="365" t="s">
        <v>430</v>
      </c>
      <c r="C123" s="365" t="s">
        <v>438</v>
      </c>
      <c r="D123" s="365" t="s">
        <v>441</v>
      </c>
      <c r="E123" s="340" t="s">
        <v>442</v>
      </c>
      <c r="F123" s="365">
        <v>491.0</v>
      </c>
      <c r="G123" s="421">
        <v>436.0</v>
      </c>
      <c r="H123" s="371">
        <v>4.7</v>
      </c>
      <c r="I123" s="371">
        <v>2049.29</v>
      </c>
      <c r="J123" s="414" t="s">
        <v>6</v>
      </c>
      <c r="K123" s="365"/>
      <c r="L123" s="365"/>
      <c r="M123" s="365"/>
      <c r="N123" s="408">
        <v>-55.0</v>
      </c>
      <c r="O123" s="365"/>
      <c r="P123" s="414">
        <f t="shared" si="32"/>
        <v>55.0</v>
      </c>
      <c r="Q123" s="365">
        <v>88.0</v>
      </c>
      <c r="R123" s="365"/>
      <c r="S123" s="365"/>
      <c r="T123" s="365"/>
      <c r="U123" s="365"/>
      <c r="V123" s="365"/>
      <c r="W123" s="365"/>
      <c r="X123" s="365"/>
      <c r="Y123" s="365"/>
      <c r="Z123" s="365"/>
      <c r="AA123" s="365"/>
      <c r="AB123" s="365"/>
      <c r="AC123" s="422">
        <f t="shared" si="33"/>
        <v>413.6</v>
      </c>
      <c r="AF123" s="189"/>
      <c r="AG123" s="423"/>
    </row>
    <row r="124" ht="14.0" customFormat="1" s="47">
      <c r="B124" s="365" t="s">
        <v>430</v>
      </c>
      <c r="C124" s="365" t="s">
        <v>438</v>
      </c>
      <c r="D124" s="365" t="s">
        <v>443</v>
      </c>
      <c r="E124" s="340" t="s">
        <v>444</v>
      </c>
      <c r="F124" s="365">
        <v>375.0</v>
      </c>
      <c r="G124" s="421">
        <v>347.0</v>
      </c>
      <c r="H124" s="371">
        <v>4.73</v>
      </c>
      <c r="I124" s="371">
        <v>1640.51</v>
      </c>
      <c r="J124" s="414" t="s">
        <v>543</v>
      </c>
      <c r="K124" s="365"/>
      <c r="L124" s="365"/>
      <c r="M124" s="365"/>
      <c r="N124" s="408">
        <v>-28.0</v>
      </c>
      <c r="O124" s="365"/>
      <c r="P124" s="414">
        <f t="shared" si="32"/>
        <v>28.0</v>
      </c>
      <c r="Q124" s="365">
        <v>44.0</v>
      </c>
      <c r="R124" s="365"/>
      <c r="S124" s="365"/>
      <c r="T124" s="365"/>
      <c r="U124" s="365"/>
      <c r="V124" s="365"/>
      <c r="W124" s="365"/>
      <c r="X124" s="365"/>
      <c r="Y124" s="365"/>
      <c r="Z124" s="365"/>
      <c r="AA124" s="365"/>
      <c r="AB124" s="365"/>
      <c r="AC124" s="422">
        <f t="shared" si="33"/>
        <v>208.12</v>
      </c>
      <c r="AF124" s="189"/>
      <c r="AG124" s="423"/>
    </row>
    <row r="125" ht="14.0" customFormat="1" s="47">
      <c r="B125" s="365" t="s">
        <v>430</v>
      </c>
      <c r="C125" s="365" t="s">
        <v>438</v>
      </c>
      <c r="D125" s="365" t="s">
        <v>445</v>
      </c>
      <c r="E125" s="340" t="s">
        <v>446</v>
      </c>
      <c r="F125" s="365">
        <v>110.0</v>
      </c>
      <c r="G125" s="421">
        <v>81.0</v>
      </c>
      <c r="H125" s="371">
        <v>4.81</v>
      </c>
      <c r="I125" s="371">
        <v>389.34</v>
      </c>
      <c r="J125" s="414" t="s">
        <v>5</v>
      </c>
      <c r="K125" s="365"/>
      <c r="L125" s="365"/>
      <c r="M125" s="365"/>
      <c r="N125" s="408">
        <v>-29.0</v>
      </c>
      <c r="O125" s="365"/>
      <c r="P125" s="414">
        <f t="shared" si="32"/>
        <v>29.0</v>
      </c>
      <c r="Q125" s="365">
        <v>44.0</v>
      </c>
      <c r="R125" s="365"/>
      <c r="S125" s="365"/>
      <c r="T125" s="365"/>
      <c r="U125" s="365"/>
      <c r="V125" s="365"/>
      <c r="W125" s="365"/>
      <c r="X125" s="365"/>
      <c r="Y125" s="365"/>
      <c r="Z125" s="365"/>
      <c r="AA125" s="365"/>
      <c r="AB125" s="365"/>
      <c r="AC125" s="422">
        <f t="shared" si="33"/>
        <v>211.64</v>
      </c>
      <c r="AF125" s="189"/>
      <c r="AG125" s="423"/>
    </row>
    <row r="126" ht="14.0" customFormat="1" s="47">
      <c r="B126" s="365" t="s">
        <v>430</v>
      </c>
      <c r="C126" s="365" t="s">
        <v>438</v>
      </c>
      <c r="D126" s="365" t="s">
        <v>454</v>
      </c>
      <c r="E126" s="340" t="s">
        <v>455</v>
      </c>
      <c r="F126" s="365">
        <v>201.0</v>
      </c>
      <c r="G126" s="421">
        <v>152.0</v>
      </c>
      <c r="H126" s="371">
        <v>4.3</v>
      </c>
      <c r="I126" s="371">
        <v>653.25</v>
      </c>
      <c r="J126" s="414" t="s">
        <v>6</v>
      </c>
      <c r="K126" s="365"/>
      <c r="L126" s="365"/>
      <c r="M126" s="365"/>
      <c r="N126" s="408">
        <v>-49.0</v>
      </c>
      <c r="O126" s="365"/>
      <c r="P126" s="414">
        <f t="shared" si="32"/>
        <v>49.0</v>
      </c>
      <c r="Q126" s="365">
        <v>88.0</v>
      </c>
      <c r="R126" s="365"/>
      <c r="S126" s="365"/>
      <c r="T126" s="365"/>
      <c r="U126" s="365"/>
      <c r="V126" s="365"/>
      <c r="W126" s="365"/>
      <c r="X126" s="365"/>
      <c r="Y126" s="365"/>
      <c r="Z126" s="365"/>
      <c r="AA126" s="365"/>
      <c r="AB126" s="365"/>
      <c r="AC126" s="422">
        <f t="shared" si="33"/>
        <v>378.4</v>
      </c>
      <c r="AF126" s="189"/>
      <c r="AG126" s="423"/>
    </row>
    <row r="127" ht="14.0" customFormat="1" s="47">
      <c r="B127" s="365" t="s">
        <v>430</v>
      </c>
      <c r="C127" s="365" t="s">
        <v>53</v>
      </c>
      <c r="D127" s="365" t="s">
        <v>466</v>
      </c>
      <c r="E127" s="340" t="s">
        <v>467</v>
      </c>
      <c r="F127" s="365">
        <v>449.0</v>
      </c>
      <c r="G127" s="421">
        <v>447.0</v>
      </c>
      <c r="H127" s="371">
        <v>6.68</v>
      </c>
      <c r="I127" s="371">
        <v>2985.87</v>
      </c>
      <c r="J127" s="414" t="s">
        <v>543</v>
      </c>
      <c r="K127" s="365"/>
      <c r="L127" s="365"/>
      <c r="M127" s="365"/>
      <c r="N127" s="408">
        <v>-2.0</v>
      </c>
      <c r="O127" s="365"/>
      <c r="P127" s="414">
        <f t="shared" si="32"/>
        <v>2.0</v>
      </c>
      <c r="Q127" s="365">
        <v>36.0</v>
      </c>
      <c r="R127" s="365"/>
      <c r="S127" s="365"/>
      <c r="T127" s="365"/>
      <c r="U127" s="365"/>
      <c r="V127" s="365"/>
      <c r="W127" s="365"/>
      <c r="X127" s="365"/>
      <c r="Y127" s="365"/>
      <c r="Z127" s="365"/>
      <c r="AA127" s="365"/>
      <c r="AB127" s="365"/>
      <c r="AC127" s="422">
        <f t="shared" si="33"/>
        <v>240.48</v>
      </c>
      <c r="AF127" s="189"/>
      <c r="AG127" s="423"/>
    </row>
    <row r="128" ht="14.0" customFormat="1" s="47">
      <c r="B128" s="365" t="s">
        <v>430</v>
      </c>
      <c r="C128" s="365" t="s">
        <v>53</v>
      </c>
      <c r="D128" s="365" t="s">
        <v>468</v>
      </c>
      <c r="E128" s="340" t="s">
        <v>469</v>
      </c>
      <c r="F128" s="365">
        <v>589.0</v>
      </c>
      <c r="G128" s="421">
        <v>176.0</v>
      </c>
      <c r="H128" s="371">
        <v>6.8</v>
      </c>
      <c r="I128" s="371">
        <v>1197.01</v>
      </c>
      <c r="J128" s="414" t="s">
        <v>520</v>
      </c>
      <c r="K128" s="365"/>
      <c r="L128" s="365"/>
      <c r="M128" s="365"/>
      <c r="N128" s="408">
        <v>-413.0</v>
      </c>
      <c r="O128" s="365"/>
      <c r="P128" s="414">
        <f t="shared" si="32"/>
        <v>413.0</v>
      </c>
      <c r="Q128" s="365">
        <v>432.0</v>
      </c>
      <c r="R128" s="365"/>
      <c r="S128" s="365"/>
      <c r="T128" s="365"/>
      <c r="U128" s="365"/>
      <c r="V128" s="365"/>
      <c r="W128" s="365"/>
      <c r="X128" s="365"/>
      <c r="Y128" s="365"/>
      <c r="Z128" s="365"/>
      <c r="AA128" s="365"/>
      <c r="AB128" s="365"/>
      <c r="AC128" s="422">
        <f t="shared" si="33"/>
        <v>2937.6</v>
      </c>
      <c r="AF128" s="189"/>
      <c r="AG128" s="423"/>
    </row>
    <row r="129" ht="14.0" customFormat="1" s="47">
      <c r="B129" s="365" t="s">
        <v>430</v>
      </c>
      <c r="C129" s="365" t="s">
        <v>53</v>
      </c>
      <c r="D129" s="365" t="s">
        <v>470</v>
      </c>
      <c r="E129" s="340" t="s">
        <v>471</v>
      </c>
      <c r="F129" s="365">
        <v>315.0</v>
      </c>
      <c r="G129" s="421">
        <v>249.0</v>
      </c>
      <c r="H129" s="371">
        <v>6.68</v>
      </c>
      <c r="I129" s="371">
        <v>1663.27</v>
      </c>
      <c r="J129" s="414" t="s">
        <v>6</v>
      </c>
      <c r="K129" s="365"/>
      <c r="L129" s="365"/>
      <c r="M129" s="365"/>
      <c r="N129" s="408">
        <v>-66.0</v>
      </c>
      <c r="O129" s="365"/>
      <c r="P129" s="414">
        <f t="shared" si="32"/>
        <v>66.0</v>
      </c>
      <c r="Q129" s="365">
        <v>72.0</v>
      </c>
      <c r="R129" s="365"/>
      <c r="S129" s="365"/>
      <c r="T129" s="365"/>
      <c r="U129" s="365"/>
      <c r="V129" s="365"/>
      <c r="W129" s="365"/>
      <c r="X129" s="365"/>
      <c r="Y129" s="365"/>
      <c r="Z129" s="365"/>
      <c r="AA129" s="365"/>
      <c r="AB129" s="365"/>
      <c r="AC129" s="422">
        <f t="shared" si="33"/>
        <v>480.96</v>
      </c>
      <c r="AF129" s="189"/>
      <c r="AG129" s="423"/>
    </row>
    <row r="130" ht="14.0" customFormat="1" s="47">
      <c r="B130" s="365" t="s">
        <v>430</v>
      </c>
      <c r="C130" s="365" t="s">
        <v>53</v>
      </c>
      <c r="D130" s="365" t="s">
        <v>472</v>
      </c>
      <c r="E130" s="340" t="s">
        <v>473</v>
      </c>
      <c r="F130" s="365">
        <v>392.0</v>
      </c>
      <c r="G130" s="421">
        <v>317.0</v>
      </c>
      <c r="H130" s="371">
        <v>6.8</v>
      </c>
      <c r="I130" s="371">
        <v>2154.46</v>
      </c>
      <c r="J130" s="414" t="s">
        <v>6</v>
      </c>
      <c r="K130" s="365"/>
      <c r="L130" s="365"/>
      <c r="M130" s="365"/>
      <c r="N130" s="408">
        <v>-75.0</v>
      </c>
      <c r="O130" s="365"/>
      <c r="P130" s="414">
        <f t="shared" si="32"/>
        <v>75.0</v>
      </c>
      <c r="Q130" s="365">
        <v>108.0</v>
      </c>
      <c r="R130" s="365"/>
      <c r="S130" s="365"/>
      <c r="T130" s="365"/>
      <c r="U130" s="365"/>
      <c r="V130" s="365"/>
      <c r="W130" s="365"/>
      <c r="X130" s="365"/>
      <c r="Y130" s="365"/>
      <c r="Z130" s="365"/>
      <c r="AA130" s="365"/>
      <c r="AB130" s="365"/>
      <c r="AC130" s="422">
        <f t="shared" si="33"/>
        <v>734.4</v>
      </c>
      <c r="AF130" s="189"/>
      <c r="AG130" s="423"/>
    </row>
    <row r="131" ht="14.0" customFormat="1" s="47">
      <c r="B131" s="365" t="s">
        <v>430</v>
      </c>
      <c r="C131" s="365" t="s">
        <v>489</v>
      </c>
      <c r="D131" s="365" t="s">
        <v>492</v>
      </c>
      <c r="E131" s="340" t="s">
        <v>493</v>
      </c>
      <c r="F131" s="365">
        <v>470.0</v>
      </c>
      <c r="G131" s="421">
        <v>405.0</v>
      </c>
      <c r="H131" s="371">
        <v>4.43</v>
      </c>
      <c r="I131" s="371">
        <v>1795.12</v>
      </c>
      <c r="J131" s="414" t="s">
        <v>6</v>
      </c>
      <c r="K131" s="365"/>
      <c r="L131" s="365"/>
      <c r="M131" s="365"/>
      <c r="N131" s="408">
        <v>-65.0</v>
      </c>
      <c r="O131" s="365"/>
      <c r="P131" s="414">
        <f t="shared" si="32"/>
        <v>65.0</v>
      </c>
      <c r="Q131" s="365">
        <v>180.0</v>
      </c>
      <c r="R131" s="365"/>
      <c r="S131" s="365"/>
      <c r="T131" s="365"/>
      <c r="U131" s="365"/>
      <c r="V131" s="365"/>
      <c r="W131" s="365"/>
      <c r="X131" s="365"/>
      <c r="Y131" s="365"/>
      <c r="Z131" s="365"/>
      <c r="AA131" s="365"/>
      <c r="AB131" s="365"/>
      <c r="AC131" s="422">
        <f t="shared" si="33"/>
        <v>797.4</v>
      </c>
      <c r="AF131" s="189"/>
      <c r="AG131" s="423"/>
    </row>
    <row r="132" ht="14.0" customFormat="1" s="47">
      <c r="B132" s="365" t="s">
        <v>430</v>
      </c>
      <c r="C132" s="365" t="s">
        <v>489</v>
      </c>
      <c r="D132" s="365" t="s">
        <v>495</v>
      </c>
      <c r="E132" s="340" t="s">
        <v>496</v>
      </c>
      <c r="F132" s="365">
        <v>343.0</v>
      </c>
      <c r="G132" s="421">
        <v>342.0</v>
      </c>
      <c r="H132" s="371">
        <v>4.37</v>
      </c>
      <c r="I132" s="371">
        <v>1494.44</v>
      </c>
      <c r="J132" s="414" t="s">
        <v>543</v>
      </c>
      <c r="K132" s="365"/>
      <c r="L132" s="365"/>
      <c r="M132" s="365"/>
      <c r="N132" s="408">
        <v>-1.0</v>
      </c>
      <c r="O132" s="365"/>
      <c r="P132" s="414">
        <f t="shared" si="32"/>
        <v>1.0</v>
      </c>
      <c r="Q132" s="365">
        <v>180.0</v>
      </c>
      <c r="R132" s="365"/>
      <c r="S132" s="365"/>
      <c r="T132" s="365"/>
      <c r="U132" s="365"/>
      <c r="V132" s="365"/>
      <c r="W132" s="365"/>
      <c r="X132" s="365"/>
      <c r="Y132" s="365"/>
      <c r="Z132" s="365"/>
      <c r="AA132" s="365"/>
      <c r="AB132" s="365"/>
      <c r="AC132" s="422">
        <f t="shared" si="33"/>
        <v>786.6</v>
      </c>
      <c r="AF132" s="189"/>
      <c r="AG132" s="423"/>
    </row>
    <row r="133" ht="14.0" customFormat="1" s="47">
      <c r="B133" s="365" t="s">
        <v>430</v>
      </c>
      <c r="C133" s="365" t="s">
        <v>489</v>
      </c>
      <c r="D133" s="365" t="s">
        <v>497</v>
      </c>
      <c r="E133" s="340" t="s">
        <v>498</v>
      </c>
      <c r="F133" s="365">
        <v>323.0</v>
      </c>
      <c r="G133" s="421">
        <v>261.0</v>
      </c>
      <c r="H133" s="371">
        <v>4.22</v>
      </c>
      <c r="I133" s="371">
        <v>1102.2</v>
      </c>
      <c r="J133" s="414" t="s">
        <v>6</v>
      </c>
      <c r="K133" s="365"/>
      <c r="L133" s="365"/>
      <c r="M133" s="365"/>
      <c r="N133" s="408">
        <v>-62.0</v>
      </c>
      <c r="O133" s="365"/>
      <c r="P133" s="414">
        <f t="shared" si="32"/>
        <v>62.0</v>
      </c>
      <c r="Q133" s="365">
        <v>180.0</v>
      </c>
      <c r="R133" s="365"/>
      <c r="S133" s="365"/>
      <c r="T133" s="365"/>
      <c r="U133" s="365"/>
      <c r="V133" s="365"/>
      <c r="W133" s="365"/>
      <c r="X133" s="365"/>
      <c r="Y133" s="365"/>
      <c r="Z133" s="365"/>
      <c r="AA133" s="365"/>
      <c r="AB133" s="365"/>
      <c r="AC133" s="422">
        <f t="shared" si="33"/>
        <v>759.6</v>
      </c>
      <c r="AF133" s="189"/>
      <c r="AG133" s="423"/>
    </row>
    <row r="134" ht="14.0" customFormat="1" s="47">
      <c r="B134" s="365" t="s">
        <v>430</v>
      </c>
      <c r="C134" s="365" t="s">
        <v>489</v>
      </c>
      <c r="D134" s="365" t="s">
        <v>499</v>
      </c>
      <c r="E134" s="340" t="s">
        <v>500</v>
      </c>
      <c r="F134" s="365">
        <v>281.0</v>
      </c>
      <c r="G134" s="421">
        <v>200.0</v>
      </c>
      <c r="H134" s="371">
        <v>4.32</v>
      </c>
      <c r="I134" s="371">
        <v>864.76</v>
      </c>
      <c r="J134" s="414" t="s">
        <v>5</v>
      </c>
      <c r="K134" s="365"/>
      <c r="L134" s="365"/>
      <c r="M134" s="365"/>
      <c r="N134" s="408">
        <v>-81.0</v>
      </c>
      <c r="O134" s="365"/>
      <c r="P134" s="414">
        <f t="shared" si="32"/>
        <v>81.0</v>
      </c>
      <c r="Q134" s="365">
        <v>180.0</v>
      </c>
      <c r="R134" s="365"/>
      <c r="S134" s="365"/>
      <c r="T134" s="365"/>
      <c r="U134" s="365"/>
      <c r="V134" s="365"/>
      <c r="W134" s="365"/>
      <c r="X134" s="365"/>
      <c r="Y134" s="365"/>
      <c r="Z134" s="365"/>
      <c r="AA134" s="365"/>
      <c r="AB134" s="365"/>
      <c r="AC134" s="422">
        <f t="shared" si="33"/>
        <v>777.6</v>
      </c>
      <c r="AF134" s="189"/>
      <c r="AG134" s="423"/>
    </row>
    <row r="135" ht="14.0" customFormat="1" s="47">
      <c r="B135" s="365" t="s">
        <v>430</v>
      </c>
      <c r="C135" s="365" t="s">
        <v>489</v>
      </c>
      <c r="D135" s="365" t="s">
        <v>503</v>
      </c>
      <c r="E135" s="340" t="s">
        <v>504</v>
      </c>
      <c r="F135" s="365">
        <v>226.0</v>
      </c>
      <c r="G135" s="421">
        <v>177.0</v>
      </c>
      <c r="H135" s="371">
        <v>4.37</v>
      </c>
      <c r="I135" s="371">
        <v>773.44</v>
      </c>
      <c r="J135" s="414" t="s">
        <v>5</v>
      </c>
      <c r="K135" s="365"/>
      <c r="L135" s="365"/>
      <c r="M135" s="365"/>
      <c r="N135" s="408">
        <v>-49.0</v>
      </c>
      <c r="O135" s="365"/>
      <c r="P135" s="414">
        <f t="shared" si="32"/>
        <v>49.0</v>
      </c>
      <c r="Q135" s="365">
        <v>180.0</v>
      </c>
      <c r="R135" s="365"/>
      <c r="S135" s="365"/>
      <c r="T135" s="365"/>
      <c r="U135" s="365"/>
      <c r="V135" s="365"/>
      <c r="W135" s="365"/>
      <c r="X135" s="365"/>
      <c r="Y135" s="365"/>
      <c r="Z135" s="365"/>
      <c r="AA135" s="365"/>
      <c r="AB135" s="365"/>
      <c r="AC135" s="422">
        <f t="shared" si="33"/>
        <v>786.6</v>
      </c>
      <c r="AF135" s="189"/>
      <c r="AG135" s="423"/>
    </row>
    <row r="136" ht="14.0" customFormat="1" s="47">
      <c r="B136" s="365" t="s">
        <v>550</v>
      </c>
      <c r="C136" s="365" t="s">
        <v>53</v>
      </c>
      <c r="D136" s="365" t="s">
        <v>474</v>
      </c>
      <c r="E136" s="340" t="s">
        <v>475</v>
      </c>
      <c r="F136" s="424">
        <v>906.088659793814</v>
      </c>
      <c r="G136" s="421">
        <v>713.0</v>
      </c>
      <c r="H136" s="371">
        <v>6.45</v>
      </c>
      <c r="I136" s="371">
        <v>4595.57</v>
      </c>
      <c r="J136" s="414" t="s">
        <v>5</v>
      </c>
      <c r="K136" s="365"/>
      <c r="L136" s="365"/>
      <c r="M136" s="365"/>
      <c r="N136" s="408">
        <v>-193.0</v>
      </c>
      <c r="O136" s="365"/>
      <c r="P136" s="414">
        <f t="shared" si="32"/>
        <v>193.0</v>
      </c>
      <c r="Q136" s="365">
        <v>200.0</v>
      </c>
      <c r="R136" s="365"/>
      <c r="S136" s="365"/>
      <c r="T136" s="365"/>
      <c r="U136" s="365"/>
      <c r="V136" s="365"/>
      <c r="W136" s="365"/>
      <c r="X136" s="365"/>
      <c r="Y136" s="365"/>
      <c r="Z136" s="365"/>
      <c r="AA136" s="365"/>
      <c r="AB136" s="365"/>
      <c r="AC136" s="422">
        <f t="shared" si="33"/>
        <v>1290.0</v>
      </c>
      <c r="AD136" s="47" t="s">
        <v>861</v>
      </c>
      <c r="AF136" s="189"/>
      <c r="AG136" s="423"/>
    </row>
    <row r="137" ht="14.0" customFormat="1" s="47">
      <c r="B137" s="365" t="s">
        <v>550</v>
      </c>
      <c r="C137" s="365" t="s">
        <v>53</v>
      </c>
      <c r="D137" s="365" t="s">
        <v>476</v>
      </c>
      <c r="E137" s="340" t="s">
        <v>477</v>
      </c>
      <c r="F137" s="424">
        <v>550.570103092783</v>
      </c>
      <c r="G137" s="421">
        <v>370.0</v>
      </c>
      <c r="H137" s="371">
        <v>6.1</v>
      </c>
      <c r="I137" s="371">
        <v>2255.48</v>
      </c>
      <c r="J137" s="414" t="s">
        <v>6</v>
      </c>
      <c r="K137" s="365"/>
      <c r="L137" s="365"/>
      <c r="M137" s="365"/>
      <c r="N137" s="408">
        <v>-181.0</v>
      </c>
      <c r="O137" s="365"/>
      <c r="P137" s="414">
        <f t="shared" si="32"/>
        <v>181.0</v>
      </c>
      <c r="Q137" s="365">
        <v>200.0</v>
      </c>
      <c r="R137" s="365"/>
      <c r="S137" s="365"/>
      <c r="T137" s="365"/>
      <c r="U137" s="365"/>
      <c r="V137" s="365"/>
      <c r="W137" s="365"/>
      <c r="X137" s="365"/>
      <c r="Y137" s="365"/>
      <c r="Z137" s="365"/>
      <c r="AA137" s="365"/>
      <c r="AB137" s="365"/>
      <c r="AC137" s="422">
        <f t="shared" si="33"/>
        <v>1220.0</v>
      </c>
      <c r="AD137" s="47" t="s">
        <v>861</v>
      </c>
      <c r="AF137" s="189"/>
      <c r="AG137" s="423"/>
    </row>
    <row r="138" ht="14.0" customFormat="1" s="47">
      <c r="B138" s="365" t="s">
        <v>550</v>
      </c>
      <c r="C138" s="365" t="s">
        <v>53</v>
      </c>
      <c r="D138" s="365" t="s">
        <v>478</v>
      </c>
      <c r="E138" s="340" t="s">
        <v>479</v>
      </c>
      <c r="F138" s="424">
        <v>812.201030927833</v>
      </c>
      <c r="G138" s="421">
        <v>797.0</v>
      </c>
      <c r="H138" s="371">
        <v>6.3</v>
      </c>
      <c r="I138" s="371">
        <v>5024.53</v>
      </c>
      <c r="J138" s="414" t="s">
        <v>543</v>
      </c>
      <c r="K138" s="365"/>
      <c r="L138" s="365"/>
      <c r="M138" s="365"/>
      <c r="N138" s="408">
        <v>-15.0</v>
      </c>
      <c r="O138" s="365"/>
      <c r="P138" s="414">
        <f t="shared" si="32"/>
        <v>15.0</v>
      </c>
      <c r="Q138" s="365">
        <v>40.0</v>
      </c>
      <c r="R138" s="365"/>
      <c r="S138" s="365"/>
      <c r="T138" s="365"/>
      <c r="U138" s="365"/>
      <c r="V138" s="365"/>
      <c r="W138" s="365"/>
      <c r="X138" s="365"/>
      <c r="Y138" s="365"/>
      <c r="Z138" s="365"/>
      <c r="AA138" s="365"/>
      <c r="AB138" s="365"/>
      <c r="AC138" s="422">
        <f t="shared" si="33"/>
        <v>252.0</v>
      </c>
      <c r="AD138" s="47" t="s">
        <v>861</v>
      </c>
      <c r="AF138" s="189"/>
      <c r="AG138" s="423"/>
    </row>
    <row r="139" ht="14.0" customFormat="1" s="47">
      <c r="E139" s="185"/>
      <c r="G139" s="64"/>
      <c r="H139" s="308"/>
      <c r="I139" s="308"/>
      <c r="J139" s="185"/>
      <c r="N139" s="307"/>
      <c r="P139" s="218"/>
      <c r="Q139" s="66">
        <f>SUM(Q122:Q138)</f>
        <v>2296.0</v>
      </c>
      <c r="AC139" s="201">
        <f>SUM(AC122:AC138)</f>
        <v>12552.64</v>
      </c>
      <c r="AD139" s="64" t="s">
        <v>862</v>
      </c>
    </row>
    <row r="140" customFormat="1" s="47">
      <c r="E140" s="185"/>
      <c r="G140" s="64"/>
      <c r="H140" s="308"/>
      <c r="I140" s="308"/>
      <c r="J140" s="185"/>
      <c r="N140" s="307"/>
      <c r="P140" s="218"/>
      <c r="Q140" s="66"/>
      <c r="AC140" s="194"/>
    </row>
    <row r="141" ht="43.0" customFormat="1" s="47">
      <c r="B141" s="309" t="s">
        <v>12</v>
      </c>
      <c r="C141" s="309" t="s">
        <v>13</v>
      </c>
      <c r="D141" s="310" t="s">
        <v>828</v>
      </c>
      <c r="E141" s="310" t="s">
        <v>507</v>
      </c>
      <c r="F141" s="310" t="s">
        <v>854</v>
      </c>
      <c r="G141" s="310" t="s">
        <v>830</v>
      </c>
      <c r="H141" s="312" t="s">
        <v>527</v>
      </c>
      <c r="I141" s="312" t="s">
        <v>568</v>
      </c>
      <c r="J141" s="310" t="s">
        <v>831</v>
      </c>
      <c r="K141" s="313" t="s">
        <v>832</v>
      </c>
      <c r="L141" s="313" t="s">
        <v>833</v>
      </c>
      <c r="M141" s="310" t="s">
        <v>834</v>
      </c>
      <c r="N141" s="425" t="s">
        <v>855</v>
      </c>
      <c r="O141" s="315" t="s">
        <v>23</v>
      </c>
      <c r="P141" s="315" t="s">
        <v>836</v>
      </c>
      <c r="Q141" s="315" t="s">
        <v>863</v>
      </c>
      <c r="R141" s="318"/>
      <c r="S141" s="318"/>
      <c r="T141" s="318"/>
      <c r="U141" s="318"/>
      <c r="V141" s="318"/>
      <c r="W141" s="318"/>
      <c r="X141" s="318"/>
      <c r="Y141" s="318"/>
      <c r="Z141" s="318"/>
      <c r="AA141" s="318"/>
      <c r="AB141" s="318"/>
      <c r="AC141" s="312" t="s">
        <v>842</v>
      </c>
    </row>
    <row r="142" ht="14.0" customFormat="1" s="47">
      <c r="B142" s="426" t="s">
        <v>179</v>
      </c>
      <c r="C142" s="426" t="s">
        <v>180</v>
      </c>
      <c r="D142" s="426" t="s">
        <v>181</v>
      </c>
      <c r="E142" s="427" t="s">
        <v>182</v>
      </c>
      <c r="F142" s="426">
        <v>711.0</v>
      </c>
      <c r="G142" s="428">
        <v>0.0</v>
      </c>
      <c r="H142" s="429">
        <v>1.14</v>
      </c>
      <c r="I142" s="429" t="s">
        <v>864</v>
      </c>
      <c r="J142" s="427" t="s">
        <v>73</v>
      </c>
      <c r="K142" s="430"/>
      <c r="L142" s="430"/>
      <c r="M142" s="426"/>
      <c r="N142" s="431">
        <v>-711.0</v>
      </c>
      <c r="O142" s="432">
        <v>501.0</v>
      </c>
      <c r="P142" s="433"/>
      <c r="Q142" s="434" t="s">
        <v>576</v>
      </c>
      <c r="R142" s="426"/>
      <c r="S142" s="426"/>
      <c r="T142" s="426"/>
      <c r="U142" s="426"/>
      <c r="V142" s="426"/>
      <c r="W142" s="426"/>
      <c r="X142" s="426"/>
      <c r="Y142" s="426"/>
      <c r="Z142" s="426"/>
      <c r="AA142" s="426"/>
      <c r="AB142" s="426"/>
      <c r="AC142" s="435"/>
    </row>
    <row r="143" ht="14.0" customFormat="1" s="47">
      <c r="B143" s="426" t="s">
        <v>179</v>
      </c>
      <c r="C143" s="426" t="s">
        <v>180</v>
      </c>
      <c r="D143" s="426" t="s">
        <v>183</v>
      </c>
      <c r="E143" s="427" t="s">
        <v>184</v>
      </c>
      <c r="F143" s="426">
        <v>602.0</v>
      </c>
      <c r="G143" s="428">
        <v>421.0</v>
      </c>
      <c r="H143" s="429">
        <v>1.14</v>
      </c>
      <c r="I143" s="429">
        <v>481.03</v>
      </c>
      <c r="J143" s="427" t="s">
        <v>5</v>
      </c>
      <c r="K143" s="430"/>
      <c r="L143" s="430"/>
      <c r="M143" s="426"/>
      <c r="N143" s="431">
        <v>-181.0</v>
      </c>
      <c r="O143" s="432">
        <v>501.0</v>
      </c>
      <c r="P143" s="433"/>
      <c r="Q143" s="434" t="s">
        <v>576</v>
      </c>
      <c r="R143" s="426"/>
      <c r="S143" s="426"/>
      <c r="T143" s="426"/>
      <c r="U143" s="426"/>
      <c r="V143" s="426"/>
      <c r="W143" s="426"/>
      <c r="X143" s="426"/>
      <c r="Y143" s="426"/>
      <c r="Z143" s="426"/>
      <c r="AA143" s="426"/>
      <c r="AB143" s="426"/>
      <c r="AC143" s="435"/>
    </row>
    <row r="144" ht="14.0" customFormat="1" s="47">
      <c r="B144" s="426" t="s">
        <v>179</v>
      </c>
      <c r="C144" s="426" t="s">
        <v>180</v>
      </c>
      <c r="D144" s="426" t="s">
        <v>778</v>
      </c>
      <c r="E144" s="427" t="s">
        <v>779</v>
      </c>
      <c r="F144" s="426">
        <v>387.0</v>
      </c>
      <c r="G144" s="428">
        <v>220.0</v>
      </c>
      <c r="H144" s="429">
        <v>1.14</v>
      </c>
      <c r="I144" s="429">
        <v>250.58</v>
      </c>
      <c r="J144" s="427" t="s">
        <v>4</v>
      </c>
      <c r="K144" s="430"/>
      <c r="L144" s="430"/>
      <c r="M144" s="426"/>
      <c r="N144" s="431">
        <v>-167.0</v>
      </c>
      <c r="O144" s="432">
        <v>501.0</v>
      </c>
      <c r="P144" s="433"/>
      <c r="Q144" s="434" t="s">
        <v>576</v>
      </c>
      <c r="R144" s="426"/>
      <c r="S144" s="426"/>
      <c r="T144" s="426"/>
      <c r="U144" s="426"/>
      <c r="V144" s="426"/>
      <c r="W144" s="426"/>
      <c r="X144" s="426"/>
      <c r="Y144" s="426"/>
      <c r="Z144" s="426"/>
      <c r="AA144" s="426"/>
      <c r="AB144" s="426"/>
      <c r="AC144" s="435"/>
    </row>
    <row r="145" ht="14.0" customFormat="1" s="47">
      <c r="B145" s="365" t="s">
        <v>179</v>
      </c>
      <c r="C145" s="365" t="s">
        <v>63</v>
      </c>
      <c r="D145" s="365" t="s">
        <v>227</v>
      </c>
      <c r="E145" s="340" t="s">
        <v>228</v>
      </c>
      <c r="F145" s="365">
        <v>496.0</v>
      </c>
      <c r="G145" s="370">
        <v>258.0</v>
      </c>
      <c r="H145" s="372">
        <v>1.56</v>
      </c>
      <c r="I145" s="372">
        <v>401.5</v>
      </c>
      <c r="J145" s="340" t="s">
        <v>520</v>
      </c>
      <c r="K145" s="413"/>
      <c r="L145" s="413"/>
      <c r="M145" s="365"/>
      <c r="N145" s="436">
        <v>-238.0</v>
      </c>
      <c r="O145" s="414">
        <v>501.0</v>
      </c>
      <c r="P145" s="433">
        <v>501.0</v>
      </c>
      <c r="Q145" s="437" t="s">
        <v>865</v>
      </c>
      <c r="R145" s="365"/>
      <c r="S145" s="365"/>
      <c r="T145" s="365"/>
      <c r="U145" s="365"/>
      <c r="V145" s="365"/>
      <c r="W145" s="365"/>
      <c r="X145" s="365"/>
      <c r="Y145" s="365"/>
      <c r="Z145" s="365"/>
      <c r="AA145" s="365"/>
      <c r="AB145" s="365"/>
      <c r="AC145" s="422"/>
      <c r="AD145" s="47" t="s">
        <v>866</v>
      </c>
    </row>
    <row r="146" ht="14.0" customFormat="1" s="47">
      <c r="B146" s="365" t="s">
        <v>179</v>
      </c>
      <c r="C146" s="365" t="s">
        <v>63</v>
      </c>
      <c r="D146" s="365" t="s">
        <v>572</v>
      </c>
      <c r="E146" s="340" t="s">
        <v>573</v>
      </c>
      <c r="F146" s="365">
        <v>249.0</v>
      </c>
      <c r="G146" s="370">
        <v>179.0</v>
      </c>
      <c r="H146" s="372">
        <v>1.56</v>
      </c>
      <c r="I146" s="372">
        <v>278.52</v>
      </c>
      <c r="J146" s="340" t="s">
        <v>5</v>
      </c>
      <c r="K146" s="413"/>
      <c r="L146" s="413"/>
      <c r="M146" s="365"/>
      <c r="N146" s="436">
        <v>-70.0</v>
      </c>
      <c r="O146" s="414">
        <v>501.0</v>
      </c>
      <c r="P146" s="433">
        <v>501.0</v>
      </c>
      <c r="Q146" s="437" t="s">
        <v>865</v>
      </c>
      <c r="R146" s="365"/>
      <c r="S146" s="365"/>
      <c r="T146" s="365"/>
      <c r="U146" s="365"/>
      <c r="V146" s="365"/>
      <c r="W146" s="365"/>
      <c r="X146" s="365"/>
      <c r="Y146" s="365"/>
      <c r="Z146" s="365"/>
      <c r="AA146" s="365"/>
      <c r="AB146" s="365"/>
      <c r="AC146" s="422"/>
      <c r="AD146" s="47" t="s">
        <v>866</v>
      </c>
    </row>
    <row r="147" ht="14.0" customFormat="1" s="47">
      <c r="B147" s="365" t="s">
        <v>179</v>
      </c>
      <c r="C147" s="365" t="s">
        <v>63</v>
      </c>
      <c r="D147" s="365" t="s">
        <v>231</v>
      </c>
      <c r="E147" s="340" t="s">
        <v>232</v>
      </c>
      <c r="F147" s="365">
        <v>520.0</v>
      </c>
      <c r="G147" s="370">
        <v>0.0</v>
      </c>
      <c r="H147" s="372"/>
      <c r="I147" s="372" t="s">
        <v>864</v>
      </c>
      <c r="J147" s="340" t="s">
        <v>73</v>
      </c>
      <c r="K147" s="413"/>
      <c r="L147" s="413">
        <v>501.0</v>
      </c>
      <c r="M147" s="365"/>
      <c r="N147" s="436">
        <v>-19.0</v>
      </c>
      <c r="O147" s="414">
        <v>501.0</v>
      </c>
      <c r="P147" s="433">
        <v>501.0</v>
      </c>
      <c r="Q147" s="437" t="s">
        <v>865</v>
      </c>
      <c r="R147" s="365"/>
      <c r="S147" s="365"/>
      <c r="T147" s="365"/>
      <c r="U147" s="365"/>
      <c r="V147" s="365"/>
      <c r="W147" s="365"/>
      <c r="X147" s="365"/>
      <c r="Y147" s="365"/>
      <c r="Z147" s="365"/>
      <c r="AA147" s="365"/>
      <c r="AB147" s="365"/>
      <c r="AC147" s="422"/>
      <c r="AD147" s="47" t="s">
        <v>866</v>
      </c>
    </row>
    <row r="148" ht="14.0" customFormat="1" s="47">
      <c r="B148" s="365" t="s">
        <v>179</v>
      </c>
      <c r="C148" s="365" t="s">
        <v>63</v>
      </c>
      <c r="D148" s="365" t="s">
        <v>574</v>
      </c>
      <c r="E148" s="340" t="s">
        <v>575</v>
      </c>
      <c r="F148" s="365">
        <v>363.0</v>
      </c>
      <c r="G148" s="370">
        <v>39.0</v>
      </c>
      <c r="H148" s="372">
        <v>0.96</v>
      </c>
      <c r="I148" s="372">
        <v>37.39</v>
      </c>
      <c r="J148" s="340" t="s">
        <v>518</v>
      </c>
      <c r="K148" s="413"/>
      <c r="L148" s="413"/>
      <c r="M148" s="365"/>
      <c r="N148" s="436">
        <v>-324.0</v>
      </c>
      <c r="O148" s="414">
        <v>501.0</v>
      </c>
      <c r="P148" s="433">
        <v>501.0</v>
      </c>
      <c r="Q148" s="437" t="s">
        <v>865</v>
      </c>
      <c r="R148" s="365"/>
      <c r="S148" s="365"/>
      <c r="T148" s="365"/>
      <c r="U148" s="365"/>
      <c r="V148" s="365"/>
      <c r="W148" s="365"/>
      <c r="X148" s="365"/>
      <c r="Y148" s="365"/>
      <c r="Z148" s="365"/>
      <c r="AA148" s="365"/>
      <c r="AB148" s="365"/>
      <c r="AC148" s="422"/>
      <c r="AD148" s="47" t="s">
        <v>866</v>
      </c>
    </row>
    <row r="149" ht="14.0" customFormat="1" s="47">
      <c r="B149" s="365" t="s">
        <v>179</v>
      </c>
      <c r="C149" s="365" t="s">
        <v>63</v>
      </c>
      <c r="D149" s="365" t="s">
        <v>239</v>
      </c>
      <c r="E149" s="340" t="s">
        <v>240</v>
      </c>
      <c r="F149" s="365">
        <v>544.0</v>
      </c>
      <c r="G149" s="370">
        <v>162.0</v>
      </c>
      <c r="H149" s="372">
        <v>0.96</v>
      </c>
      <c r="I149" s="372">
        <v>155.83</v>
      </c>
      <c r="J149" s="340" t="s">
        <v>519</v>
      </c>
      <c r="K149" s="413"/>
      <c r="L149" s="413"/>
      <c r="M149" s="365"/>
      <c r="N149" s="436">
        <v>-382.0</v>
      </c>
      <c r="O149" s="414">
        <v>501.0</v>
      </c>
      <c r="P149" s="433">
        <v>501.0</v>
      </c>
      <c r="Q149" s="437" t="s">
        <v>865</v>
      </c>
      <c r="R149" s="365"/>
      <c r="S149" s="365"/>
      <c r="T149" s="365"/>
      <c r="U149" s="365"/>
      <c r="V149" s="365"/>
      <c r="W149" s="365"/>
      <c r="X149" s="365"/>
      <c r="Y149" s="365"/>
      <c r="Z149" s="365"/>
      <c r="AA149" s="365"/>
      <c r="AB149" s="365"/>
      <c r="AC149" s="422"/>
      <c r="AD149" s="47" t="s">
        <v>866</v>
      </c>
    </row>
    <row r="150" ht="14.0" customFormat="1" s="47">
      <c r="B150" s="426" t="s">
        <v>179</v>
      </c>
      <c r="C150" s="426" t="s">
        <v>241</v>
      </c>
      <c r="D150" s="426" t="s">
        <v>242</v>
      </c>
      <c r="E150" s="427" t="s">
        <v>243</v>
      </c>
      <c r="F150" s="426">
        <v>210.0</v>
      </c>
      <c r="G150" s="428">
        <v>0.0</v>
      </c>
      <c r="H150" s="429"/>
      <c r="I150" s="429" t="s">
        <v>864</v>
      </c>
      <c r="J150" s="427" t="s">
        <v>73</v>
      </c>
      <c r="K150" s="430"/>
      <c r="L150" s="430"/>
      <c r="M150" s="426"/>
      <c r="N150" s="431">
        <v>-210.0</v>
      </c>
      <c r="O150" s="432">
        <v>501.0</v>
      </c>
      <c r="P150" s="433"/>
      <c r="Q150" s="434" t="s">
        <v>576</v>
      </c>
      <c r="R150" s="426"/>
      <c r="S150" s="426"/>
      <c r="T150" s="426"/>
      <c r="U150" s="426"/>
      <c r="V150" s="426"/>
      <c r="W150" s="426"/>
      <c r="X150" s="426"/>
      <c r="Y150" s="426"/>
      <c r="Z150" s="426"/>
      <c r="AA150" s="426"/>
      <c r="AB150" s="426"/>
      <c r="AC150" s="435"/>
    </row>
    <row r="151" ht="14.0" customFormat="1" s="47">
      <c r="B151" s="426" t="s">
        <v>179</v>
      </c>
      <c r="C151" s="426" t="s">
        <v>252</v>
      </c>
      <c r="D151" s="426" t="s">
        <v>253</v>
      </c>
      <c r="E151" s="427" t="s">
        <v>254</v>
      </c>
      <c r="F151" s="426">
        <v>217.0</v>
      </c>
      <c r="G151" s="428">
        <v>70.0</v>
      </c>
      <c r="H151" s="429">
        <v>4.98</v>
      </c>
      <c r="I151" s="429">
        <v>348.52</v>
      </c>
      <c r="J151" s="427" t="s">
        <v>520</v>
      </c>
      <c r="K151" s="430"/>
      <c r="L151" s="430"/>
      <c r="M151" s="426"/>
      <c r="N151" s="431">
        <v>-147.0</v>
      </c>
      <c r="O151" s="432">
        <v>501.0</v>
      </c>
      <c r="P151" s="433"/>
      <c r="Q151" s="434" t="s">
        <v>576</v>
      </c>
      <c r="R151" s="426"/>
      <c r="S151" s="426"/>
      <c r="T151" s="426"/>
      <c r="U151" s="426"/>
      <c r="V151" s="426"/>
      <c r="W151" s="426"/>
      <c r="X151" s="426"/>
      <c r="Y151" s="426"/>
      <c r="Z151" s="426"/>
      <c r="AA151" s="426"/>
      <c r="AB151" s="426"/>
      <c r="AC151" s="435"/>
    </row>
    <row r="152" ht="14.0" customFormat="1" s="47">
      <c r="B152" s="426" t="s">
        <v>179</v>
      </c>
      <c r="C152" s="426" t="s">
        <v>273</v>
      </c>
      <c r="D152" s="426" t="s">
        <v>274</v>
      </c>
      <c r="E152" s="427" t="s">
        <v>275</v>
      </c>
      <c r="F152" s="426">
        <v>407.0</v>
      </c>
      <c r="G152" s="428">
        <v>304.0</v>
      </c>
      <c r="H152" s="429">
        <v>2.51</v>
      </c>
      <c r="I152" s="429">
        <v>761.55</v>
      </c>
      <c r="J152" s="427" t="s">
        <v>5</v>
      </c>
      <c r="K152" s="430"/>
      <c r="L152" s="430"/>
      <c r="M152" s="426"/>
      <c r="N152" s="431">
        <v>-103.0</v>
      </c>
      <c r="O152" s="432">
        <v>576.0</v>
      </c>
      <c r="P152" s="433">
        <v>576.0</v>
      </c>
      <c r="Q152" s="434" t="s">
        <v>867</v>
      </c>
      <c r="R152" s="426"/>
      <c r="S152" s="426"/>
      <c r="T152" s="426"/>
      <c r="U152" s="426"/>
      <c r="V152" s="426"/>
      <c r="W152" s="426"/>
      <c r="X152" s="426"/>
      <c r="Y152" s="426"/>
      <c r="Z152" s="426"/>
      <c r="AA152" s="426"/>
      <c r="AB152" s="426"/>
      <c r="AC152" s="435"/>
    </row>
    <row r="153" ht="14.0" customFormat="1" s="47">
      <c r="B153" s="365" t="s">
        <v>179</v>
      </c>
      <c r="C153" s="365" t="s">
        <v>278</v>
      </c>
      <c r="D153" s="365" t="s">
        <v>299</v>
      </c>
      <c r="E153" s="438" t="s">
        <v>300</v>
      </c>
      <c r="F153" s="365">
        <v>457.0</v>
      </c>
      <c r="G153" s="370">
        <v>48.0</v>
      </c>
      <c r="H153" s="372">
        <v>4.18</v>
      </c>
      <c r="I153" s="372">
        <v>200.6</v>
      </c>
      <c r="J153" s="439" t="s">
        <v>518</v>
      </c>
      <c r="K153" s="413"/>
      <c r="L153" s="413"/>
      <c r="M153" s="365"/>
      <c r="N153" s="436">
        <v>-409.0</v>
      </c>
      <c r="O153" s="414">
        <v>504.0</v>
      </c>
      <c r="P153" s="433">
        <v>504.0</v>
      </c>
      <c r="Q153" s="440" t="s">
        <v>813</v>
      </c>
      <c r="R153" s="365"/>
      <c r="S153" s="365"/>
      <c r="T153" s="365"/>
      <c r="U153" s="365"/>
      <c r="V153" s="365"/>
      <c r="W153" s="365"/>
      <c r="X153" s="365"/>
      <c r="Y153" s="365"/>
      <c r="Z153" s="365"/>
      <c r="AA153" s="365"/>
      <c r="AB153" s="365"/>
      <c r="AC153" s="422"/>
      <c r="AD153" s="249" t="s">
        <v>868</v>
      </c>
    </row>
    <row r="154" ht="14.0" customFormat="1" s="47">
      <c r="B154" s="365" t="s">
        <v>179</v>
      </c>
      <c r="C154" s="365" t="s">
        <v>278</v>
      </c>
      <c r="D154" s="365" t="s">
        <v>303</v>
      </c>
      <c r="E154" s="438" t="s">
        <v>304</v>
      </c>
      <c r="F154" s="365">
        <v>386.0</v>
      </c>
      <c r="G154" s="370">
        <v>278.0</v>
      </c>
      <c r="H154" s="372">
        <v>4.18</v>
      </c>
      <c r="I154" s="372">
        <v>1162.48</v>
      </c>
      <c r="J154" s="340" t="s">
        <v>5</v>
      </c>
      <c r="K154" s="413"/>
      <c r="L154" s="413"/>
      <c r="M154" s="365"/>
      <c r="N154" s="436">
        <v>-108.0</v>
      </c>
      <c r="O154" s="414">
        <v>504.0</v>
      </c>
      <c r="P154" s="433">
        <v>504.0</v>
      </c>
      <c r="Q154" s="440" t="s">
        <v>813</v>
      </c>
      <c r="R154" s="365"/>
      <c r="S154" s="365"/>
      <c r="T154" s="365"/>
      <c r="U154" s="365"/>
      <c r="V154" s="365"/>
      <c r="W154" s="365"/>
      <c r="X154" s="365"/>
      <c r="Y154" s="365"/>
      <c r="Z154" s="365"/>
      <c r="AA154" s="365"/>
      <c r="AB154" s="365"/>
      <c r="AC154" s="422"/>
      <c r="AD154" s="47" t="s">
        <v>869</v>
      </c>
      <c r="AE154" s="47" t="s">
        <v>870</v>
      </c>
    </row>
    <row r="155" ht="14.0" customFormat="1" s="47">
      <c r="B155" s="365" t="s">
        <v>179</v>
      </c>
      <c r="C155" s="365" t="s">
        <v>278</v>
      </c>
      <c r="D155" s="365" t="s">
        <v>784</v>
      </c>
      <c r="E155" s="340" t="s">
        <v>785</v>
      </c>
      <c r="F155" s="365">
        <v>337.0</v>
      </c>
      <c r="G155" s="370">
        <v>332.0</v>
      </c>
      <c r="H155" s="372">
        <v>4.56</v>
      </c>
      <c r="I155" s="372">
        <v>1513.75</v>
      </c>
      <c r="J155" s="340" t="s">
        <v>6</v>
      </c>
      <c r="K155" s="413"/>
      <c r="L155" s="413"/>
      <c r="M155" s="365"/>
      <c r="N155" s="436">
        <v>-5.0</v>
      </c>
      <c r="O155" s="414">
        <v>504.0</v>
      </c>
      <c r="P155" s="433">
        <v>504.0</v>
      </c>
      <c r="Q155" s="437"/>
      <c r="R155" s="365"/>
      <c r="S155" s="365"/>
      <c r="T155" s="365"/>
      <c r="U155" s="365"/>
      <c r="V155" s="365"/>
      <c r="W155" s="365"/>
      <c r="X155" s="365"/>
      <c r="Y155" s="365"/>
      <c r="Z155" s="365"/>
      <c r="AA155" s="365"/>
      <c r="AB155" s="365"/>
      <c r="AC155" s="422"/>
    </row>
    <row r="156" ht="14.0" customFormat="1" s="47">
      <c r="B156" s="365" t="s">
        <v>179</v>
      </c>
      <c r="C156" s="365" t="s">
        <v>278</v>
      </c>
      <c r="D156" s="365" t="s">
        <v>786</v>
      </c>
      <c r="E156" s="438" t="s">
        <v>787</v>
      </c>
      <c r="F156" s="365">
        <v>645.0</v>
      </c>
      <c r="G156" s="370">
        <v>205.0</v>
      </c>
      <c r="H156" s="372">
        <v>4.56</v>
      </c>
      <c r="I156" s="372">
        <v>934.64</v>
      </c>
      <c r="J156" s="439" t="s">
        <v>519</v>
      </c>
      <c r="K156" s="413"/>
      <c r="L156" s="413"/>
      <c r="M156" s="365"/>
      <c r="N156" s="436">
        <v>-440.0</v>
      </c>
      <c r="O156" s="414">
        <v>504.0</v>
      </c>
      <c r="P156" s="433">
        <v>504.0</v>
      </c>
      <c r="Q156" s="440" t="s">
        <v>813</v>
      </c>
      <c r="R156" s="365"/>
      <c r="S156" s="365"/>
      <c r="T156" s="365"/>
      <c r="U156" s="365"/>
      <c r="V156" s="365"/>
      <c r="W156" s="365"/>
      <c r="X156" s="365"/>
      <c r="Y156" s="365"/>
      <c r="Z156" s="365"/>
      <c r="AA156" s="365"/>
      <c r="AB156" s="365"/>
      <c r="AC156" s="422"/>
      <c r="AD156" s="47" t="s">
        <v>869</v>
      </c>
    </row>
    <row r="157" ht="14.0" customFormat="1" s="47">
      <c r="B157" s="365" t="s">
        <v>179</v>
      </c>
      <c r="C157" s="365" t="s">
        <v>110</v>
      </c>
      <c r="D157" s="365" t="s">
        <v>322</v>
      </c>
      <c r="E157" s="340" t="s">
        <v>323</v>
      </c>
      <c r="F157" s="365">
        <v>387.0</v>
      </c>
      <c r="G157" s="370">
        <v>89.0</v>
      </c>
      <c r="H157" s="372">
        <v>2.1</v>
      </c>
      <c r="I157" s="372">
        <v>187.34</v>
      </c>
      <c r="J157" s="439" t="s">
        <v>519</v>
      </c>
      <c r="K157" s="413"/>
      <c r="L157" s="413"/>
      <c r="M157" s="365"/>
      <c r="N157" s="436">
        <v>-298.0</v>
      </c>
      <c r="O157" s="414">
        <v>1002.0</v>
      </c>
      <c r="P157" s="433">
        <v>1002.0</v>
      </c>
      <c r="Q157" s="437" t="s">
        <v>871</v>
      </c>
      <c r="R157" s="365"/>
      <c r="S157" s="365"/>
      <c r="T157" s="365"/>
      <c r="U157" s="365"/>
      <c r="V157" s="365"/>
      <c r="W157" s="365"/>
      <c r="X157" s="365"/>
      <c r="Y157" s="365"/>
      <c r="Z157" s="365"/>
      <c r="AA157" s="365"/>
      <c r="AB157" s="365"/>
      <c r="AC157" s="441"/>
    </row>
    <row r="158" ht="14.0" customFormat="1" s="47">
      <c r="B158" s="365" t="s">
        <v>179</v>
      </c>
      <c r="C158" s="365" t="s">
        <v>110</v>
      </c>
      <c r="D158" s="365" t="s">
        <v>337</v>
      </c>
      <c r="E158" s="340" t="s">
        <v>338</v>
      </c>
      <c r="F158" s="365">
        <v>712.0</v>
      </c>
      <c r="G158" s="370">
        <v>402.0</v>
      </c>
      <c r="H158" s="372">
        <v>2.01</v>
      </c>
      <c r="I158" s="372">
        <v>808.46</v>
      </c>
      <c r="J158" s="340" t="s">
        <v>4</v>
      </c>
      <c r="K158" s="413"/>
      <c r="L158" s="413"/>
      <c r="M158" s="365"/>
      <c r="N158" s="436">
        <v>-310.0</v>
      </c>
      <c r="O158" s="414">
        <v>501.0</v>
      </c>
      <c r="P158" s="433">
        <v>501.0</v>
      </c>
      <c r="Q158" s="437" t="s">
        <v>871</v>
      </c>
      <c r="R158" s="365"/>
      <c r="S158" s="365"/>
      <c r="T158" s="365"/>
      <c r="U158" s="365"/>
      <c r="V158" s="365"/>
      <c r="W158" s="365"/>
      <c r="X158" s="365"/>
      <c r="Y158" s="365"/>
      <c r="Z158" s="365"/>
      <c r="AA158" s="365"/>
      <c r="AB158" s="365"/>
      <c r="AC158" s="422"/>
    </row>
    <row r="159" ht="14.0" customFormat="1" s="47">
      <c r="B159" s="426" t="s">
        <v>179</v>
      </c>
      <c r="C159" s="426" t="s">
        <v>361</v>
      </c>
      <c r="D159" s="442" t="s">
        <v>362</v>
      </c>
      <c r="E159" s="443" t="s">
        <v>363</v>
      </c>
      <c r="F159" s="426">
        <v>221.0</v>
      </c>
      <c r="G159" s="428">
        <v>120.0</v>
      </c>
      <c r="H159" s="429">
        <v>3.51</v>
      </c>
      <c r="I159" s="429">
        <v>421.42</v>
      </c>
      <c r="J159" s="427" t="s">
        <v>4</v>
      </c>
      <c r="K159" s="430"/>
      <c r="L159" s="430"/>
      <c r="M159" s="426"/>
      <c r="N159" s="431">
        <v>-101.0</v>
      </c>
      <c r="O159" s="432">
        <v>501.0</v>
      </c>
      <c r="P159" s="433"/>
      <c r="Q159" s="440" t="s">
        <v>24</v>
      </c>
      <c r="R159" s="426"/>
      <c r="S159" s="426"/>
      <c r="T159" s="426"/>
      <c r="U159" s="426"/>
      <c r="V159" s="426"/>
      <c r="W159" s="426"/>
      <c r="X159" s="426"/>
      <c r="Y159" s="426"/>
      <c r="Z159" s="426"/>
      <c r="AA159" s="426"/>
      <c r="AB159" s="426"/>
      <c r="AC159" s="435"/>
    </row>
    <row r="160" ht="14.0" customFormat="1" s="47">
      <c r="B160" s="426" t="s">
        <v>179</v>
      </c>
      <c r="C160" s="426" t="s">
        <v>361</v>
      </c>
      <c r="D160" s="442" t="s">
        <v>374</v>
      </c>
      <c r="E160" s="443" t="s">
        <v>375</v>
      </c>
      <c r="F160" s="426">
        <v>433.0</v>
      </c>
      <c r="G160" s="428">
        <v>111.0</v>
      </c>
      <c r="H160" s="429">
        <v>3.27</v>
      </c>
      <c r="I160" s="429">
        <v>363.25</v>
      </c>
      <c r="J160" s="444" t="s">
        <v>519</v>
      </c>
      <c r="K160" s="430"/>
      <c r="L160" s="430"/>
      <c r="M160" s="426"/>
      <c r="N160" s="431">
        <v>-322.0</v>
      </c>
      <c r="O160" s="432">
        <v>501.0</v>
      </c>
      <c r="P160" s="433"/>
      <c r="Q160" s="440" t="s">
        <v>24</v>
      </c>
      <c r="R160" s="426"/>
      <c r="S160" s="426"/>
      <c r="T160" s="426"/>
      <c r="U160" s="426"/>
      <c r="V160" s="426"/>
      <c r="W160" s="426"/>
      <c r="X160" s="426"/>
      <c r="Y160" s="426"/>
      <c r="Z160" s="426"/>
      <c r="AA160" s="426"/>
      <c r="AB160" s="426"/>
      <c r="AC160" s="435"/>
    </row>
    <row r="161" ht="14.0" customFormat="1" s="47">
      <c r="B161" s="426" t="s">
        <v>179</v>
      </c>
      <c r="C161" s="426" t="s">
        <v>361</v>
      </c>
      <c r="D161" s="426" t="s">
        <v>668</v>
      </c>
      <c r="E161" s="427" t="s">
        <v>669</v>
      </c>
      <c r="F161" s="426">
        <v>504.0</v>
      </c>
      <c r="G161" s="428">
        <v>293.0</v>
      </c>
      <c r="H161" s="429">
        <v>3.27</v>
      </c>
      <c r="I161" s="429">
        <v>957.96</v>
      </c>
      <c r="J161" s="427" t="s">
        <v>4</v>
      </c>
      <c r="K161" s="430"/>
      <c r="L161" s="430"/>
      <c r="M161" s="426"/>
      <c r="N161" s="431">
        <v>-211.0</v>
      </c>
      <c r="O161" s="432">
        <v>501.0</v>
      </c>
      <c r="P161" s="433"/>
      <c r="Q161" s="434" t="s">
        <v>576</v>
      </c>
      <c r="R161" s="426"/>
      <c r="S161" s="426"/>
      <c r="T161" s="426"/>
      <c r="U161" s="426"/>
      <c r="V161" s="426"/>
      <c r="W161" s="426"/>
      <c r="X161" s="426"/>
      <c r="Y161" s="426"/>
      <c r="Z161" s="426"/>
      <c r="AA161" s="426"/>
      <c r="AB161" s="426"/>
      <c r="AC161" s="435"/>
    </row>
    <row r="162" ht="14.0" customFormat="1" s="47">
      <c r="B162" s="365" t="s">
        <v>179</v>
      </c>
      <c r="C162" s="365" t="s">
        <v>397</v>
      </c>
      <c r="D162" s="365" t="s">
        <v>408</v>
      </c>
      <c r="E162" s="340" t="s">
        <v>409</v>
      </c>
      <c r="F162" s="365">
        <v>696.0</v>
      </c>
      <c r="G162" s="370">
        <v>295.0</v>
      </c>
      <c r="H162" s="372">
        <v>4.23</v>
      </c>
      <c r="I162" s="372">
        <v>1248.26</v>
      </c>
      <c r="J162" s="340" t="s">
        <v>520</v>
      </c>
      <c r="K162" s="413"/>
      <c r="L162" s="413"/>
      <c r="M162" s="365"/>
      <c r="N162" s="436">
        <v>-401.0</v>
      </c>
      <c r="O162" s="414">
        <v>501.0</v>
      </c>
      <c r="P162" s="433">
        <v>501.0</v>
      </c>
      <c r="Q162" s="437" t="s">
        <v>872</v>
      </c>
      <c r="R162" s="365"/>
      <c r="S162" s="365"/>
      <c r="T162" s="365"/>
      <c r="U162" s="365"/>
      <c r="V162" s="365"/>
      <c r="W162" s="365"/>
      <c r="X162" s="365"/>
      <c r="Y162" s="365"/>
      <c r="Z162" s="365"/>
      <c r="AA162" s="365"/>
      <c r="AB162" s="365"/>
      <c r="AC162" s="422"/>
    </row>
    <row r="163" ht="14.0" customFormat="1" s="47">
      <c r="B163" s="365" t="s">
        <v>179</v>
      </c>
      <c r="C163" s="365" t="s">
        <v>397</v>
      </c>
      <c r="D163" s="365" t="s">
        <v>588</v>
      </c>
      <c r="E163" s="340" t="s">
        <v>589</v>
      </c>
      <c r="F163" s="365">
        <v>252.0</v>
      </c>
      <c r="G163" s="370">
        <v>134.0</v>
      </c>
      <c r="H163" s="372">
        <v>4.23</v>
      </c>
      <c r="I163" s="372">
        <v>566.97</v>
      </c>
      <c r="J163" s="340" t="s">
        <v>4</v>
      </c>
      <c r="K163" s="413"/>
      <c r="L163" s="413"/>
      <c r="M163" s="365"/>
      <c r="N163" s="436">
        <v>-118.0</v>
      </c>
      <c r="O163" s="414">
        <v>501.0</v>
      </c>
      <c r="P163" s="433">
        <v>501.0</v>
      </c>
      <c r="Q163" s="437" t="s">
        <v>872</v>
      </c>
      <c r="R163" s="365"/>
      <c r="S163" s="365"/>
      <c r="T163" s="365"/>
      <c r="U163" s="365"/>
      <c r="V163" s="365"/>
      <c r="W163" s="365"/>
      <c r="X163" s="365"/>
      <c r="Y163" s="365"/>
      <c r="Z163" s="365"/>
      <c r="AA163" s="365"/>
      <c r="AB163" s="365"/>
      <c r="AC163" s="422"/>
    </row>
    <row r="164" ht="14.0" customFormat="1" s="47">
      <c r="B164" s="365" t="s">
        <v>179</v>
      </c>
      <c r="C164" s="365" t="s">
        <v>397</v>
      </c>
      <c r="D164" s="365" t="s">
        <v>596</v>
      </c>
      <c r="E164" s="340" t="s">
        <v>597</v>
      </c>
      <c r="F164" s="365">
        <v>636.0</v>
      </c>
      <c r="G164" s="370">
        <v>110.0</v>
      </c>
      <c r="H164" s="372">
        <v>4.77</v>
      </c>
      <c r="I164" s="372">
        <v>524.83</v>
      </c>
      <c r="J164" s="340"/>
      <c r="K164" s="413">
        <v>501.0</v>
      </c>
      <c r="L164" s="413"/>
      <c r="M164" s="340" t="s">
        <v>6</v>
      </c>
      <c r="N164" s="436">
        <v>-25.0</v>
      </c>
      <c r="O164" s="414">
        <v>501.0</v>
      </c>
      <c r="P164" s="433"/>
      <c r="Q164" s="437" t="s">
        <v>872</v>
      </c>
      <c r="R164" s="365"/>
      <c r="S164" s="365"/>
      <c r="T164" s="365"/>
      <c r="U164" s="365"/>
      <c r="V164" s="365"/>
      <c r="W164" s="365"/>
      <c r="X164" s="365"/>
      <c r="Y164" s="365"/>
      <c r="Z164" s="365"/>
      <c r="AA164" s="365"/>
      <c r="AB164" s="365"/>
      <c r="AC164" s="422"/>
    </row>
    <row r="165" ht="14.0" customFormat="1" s="47">
      <c r="B165" s="426" t="s">
        <v>179</v>
      </c>
      <c r="C165" s="426" t="s">
        <v>414</v>
      </c>
      <c r="D165" s="426" t="s">
        <v>616</v>
      </c>
      <c r="E165" s="427" t="s">
        <v>617</v>
      </c>
      <c r="F165" s="426">
        <v>215.0</v>
      </c>
      <c r="G165" s="428">
        <v>181.0</v>
      </c>
      <c r="H165" s="429">
        <v>8.98</v>
      </c>
      <c r="I165" s="429">
        <v>1625.47</v>
      </c>
      <c r="J165" s="427" t="s">
        <v>6</v>
      </c>
      <c r="K165" s="430"/>
      <c r="L165" s="430"/>
      <c r="M165" s="427"/>
      <c r="N165" s="431">
        <v>-34.0</v>
      </c>
      <c r="O165" s="432">
        <v>500.0</v>
      </c>
      <c r="P165" s="433">
        <v>500.0</v>
      </c>
      <c r="Q165" s="434" t="s">
        <v>576</v>
      </c>
      <c r="R165" s="426"/>
      <c r="S165" s="426"/>
      <c r="T165" s="426"/>
      <c r="U165" s="426"/>
      <c r="V165" s="426"/>
      <c r="W165" s="426"/>
      <c r="X165" s="426"/>
      <c r="Y165" s="426"/>
      <c r="Z165" s="426"/>
      <c r="AA165" s="426"/>
      <c r="AB165" s="426"/>
      <c r="AC165" s="435"/>
    </row>
    <row r="166" ht="14.0" customFormat="1" s="47">
      <c r="B166" s="365" t="s">
        <v>179</v>
      </c>
      <c r="C166" s="365" t="s">
        <v>630</v>
      </c>
      <c r="D166" s="365" t="s">
        <v>633</v>
      </c>
      <c r="E166" s="340" t="s">
        <v>634</v>
      </c>
      <c r="F166" s="365">
        <v>431.0</v>
      </c>
      <c r="G166" s="370">
        <v>82.0</v>
      </c>
      <c r="H166" s="372">
        <v>5.4</v>
      </c>
      <c r="I166" s="372">
        <v>443.01</v>
      </c>
      <c r="J166" s="439" t="s">
        <v>519</v>
      </c>
      <c r="K166" s="413"/>
      <c r="L166" s="413"/>
      <c r="M166" s="340"/>
      <c r="N166" s="436">
        <v>-349.0</v>
      </c>
      <c r="O166" s="414">
        <v>500.0</v>
      </c>
      <c r="P166" s="433">
        <v>500.0</v>
      </c>
      <c r="Q166" s="437" t="s">
        <v>872</v>
      </c>
      <c r="R166" s="365"/>
      <c r="S166" s="365"/>
      <c r="T166" s="365"/>
      <c r="U166" s="365"/>
      <c r="V166" s="365"/>
      <c r="W166" s="365"/>
      <c r="X166" s="365"/>
      <c r="Y166" s="365"/>
      <c r="Z166" s="365"/>
      <c r="AA166" s="365"/>
      <c r="AB166" s="365"/>
      <c r="AC166" s="422"/>
    </row>
    <row r="167" ht="14.0" customFormat="1" s="47">
      <c r="B167" s="365" t="s">
        <v>179</v>
      </c>
      <c r="C167" s="365" t="s">
        <v>630</v>
      </c>
      <c r="D167" s="365" t="s">
        <v>639</v>
      </c>
      <c r="E167" s="340" t="s">
        <v>640</v>
      </c>
      <c r="F167" s="365">
        <v>343.0</v>
      </c>
      <c r="G167" s="370">
        <v>208.0</v>
      </c>
      <c r="H167" s="372">
        <v>5.4</v>
      </c>
      <c r="I167" s="372">
        <v>1123.47</v>
      </c>
      <c r="J167" s="340" t="s">
        <v>4</v>
      </c>
      <c r="K167" s="413"/>
      <c r="L167" s="413"/>
      <c r="M167" s="340"/>
      <c r="N167" s="436">
        <v>-135.0</v>
      </c>
      <c r="O167" s="414">
        <v>500.0</v>
      </c>
      <c r="P167" s="433">
        <v>500.0</v>
      </c>
      <c r="Q167" s="437" t="s">
        <v>872</v>
      </c>
      <c r="R167" s="365"/>
      <c r="S167" s="365"/>
      <c r="T167" s="365"/>
      <c r="U167" s="365"/>
      <c r="V167" s="365"/>
      <c r="W167" s="365"/>
      <c r="X167" s="365"/>
      <c r="Y167" s="365"/>
      <c r="Z167" s="365"/>
      <c r="AA167" s="365"/>
      <c r="AB167" s="365"/>
      <c r="AC167" s="422"/>
    </row>
    <row r="168" ht="14.0" customFormat="1" s="47">
      <c r="B168" s="318" t="s">
        <v>179</v>
      </c>
      <c r="C168" s="318" t="s">
        <v>630</v>
      </c>
      <c r="D168" s="318" t="s">
        <v>641</v>
      </c>
      <c r="E168" s="381" t="s">
        <v>642</v>
      </c>
      <c r="F168" s="318">
        <v>766.0</v>
      </c>
      <c r="G168" s="445">
        <v>-12.0</v>
      </c>
      <c r="H168" s="384"/>
      <c r="I168" s="384" t="s">
        <v>864</v>
      </c>
      <c r="J168" s="381" t="s">
        <v>73</v>
      </c>
      <c r="K168" s="446">
        <v>300.0</v>
      </c>
      <c r="L168" s="446"/>
      <c r="M168" s="381" t="s">
        <v>520</v>
      </c>
      <c r="N168" s="447">
        <v>-478.0</v>
      </c>
      <c r="O168" s="448">
        <v>500.0</v>
      </c>
      <c r="P168" s="449">
        <v>500.0</v>
      </c>
      <c r="Q168" s="437" t="s">
        <v>872</v>
      </c>
      <c r="R168" s="318"/>
      <c r="S168" s="318"/>
      <c r="T168" s="318"/>
      <c r="U168" s="318"/>
      <c r="V168" s="318"/>
      <c r="W168" s="318"/>
      <c r="X168" s="318"/>
      <c r="Y168" s="318"/>
      <c r="Z168" s="318"/>
      <c r="AA168" s="318"/>
      <c r="AB168" s="318"/>
      <c r="AC168" s="450"/>
    </row>
    <row r="169" ht="14.0" customFormat="1" s="47">
      <c r="B169" s="318" t="s">
        <v>653</v>
      </c>
      <c r="C169" s="318" t="s">
        <v>650</v>
      </c>
      <c r="D169" s="318" t="s">
        <v>654</v>
      </c>
      <c r="E169" s="381" t="s">
        <v>655</v>
      </c>
      <c r="F169" s="318">
        <v>185.0</v>
      </c>
      <c r="G169" s="382">
        <v>144.0</v>
      </c>
      <c r="H169" s="384">
        <v>2.67</v>
      </c>
      <c r="I169" s="384">
        <v>166.16</v>
      </c>
      <c r="J169" s="381" t="s">
        <v>5</v>
      </c>
      <c r="K169" s="446"/>
      <c r="L169" s="446"/>
      <c r="M169" s="318"/>
      <c r="N169" s="447">
        <v>-41.0</v>
      </c>
      <c r="O169" s="448">
        <v>125.0</v>
      </c>
      <c r="P169" s="449">
        <v>125.0</v>
      </c>
      <c r="Q169" s="451" t="s">
        <v>872</v>
      </c>
      <c r="R169" s="318"/>
      <c r="S169" s="318"/>
      <c r="T169" s="318"/>
      <c r="U169" s="318"/>
      <c r="V169" s="318"/>
      <c r="W169" s="318"/>
      <c r="X169" s="318"/>
      <c r="Y169" s="318"/>
      <c r="Z169" s="318"/>
      <c r="AA169" s="318"/>
      <c r="AB169" s="318"/>
      <c r="AC169" s="450"/>
    </row>
    <row r="170" ht="14.0" customFormat="1" s="47">
      <c r="B170" s="365" t="s">
        <v>179</v>
      </c>
      <c r="C170" s="365" t="s">
        <v>712</v>
      </c>
      <c r="D170" s="365" t="s">
        <v>713</v>
      </c>
      <c r="E170" s="340" t="s">
        <v>714</v>
      </c>
      <c r="F170" s="365">
        <v>235.0</v>
      </c>
      <c r="G170" s="370">
        <v>205.0</v>
      </c>
      <c r="H170" s="372">
        <v>1.94</v>
      </c>
      <c r="I170" s="372">
        <v>396.76</v>
      </c>
      <c r="J170" s="340" t="s">
        <v>6</v>
      </c>
      <c r="K170" s="413"/>
      <c r="L170" s="413"/>
      <c r="M170" s="365"/>
      <c r="N170" s="436">
        <v>-30.0</v>
      </c>
      <c r="O170" s="414">
        <v>501.0</v>
      </c>
      <c r="P170" s="433">
        <v>501.0</v>
      </c>
      <c r="Q170" s="437" t="s">
        <v>873</v>
      </c>
      <c r="R170" s="365"/>
      <c r="S170" s="365"/>
      <c r="T170" s="365"/>
      <c r="U170" s="365"/>
      <c r="V170" s="365"/>
      <c r="W170" s="365"/>
      <c r="X170" s="365"/>
      <c r="Y170" s="365"/>
      <c r="Z170" s="365"/>
      <c r="AA170" s="365"/>
      <c r="AB170" s="365"/>
      <c r="AC170" s="422"/>
    </row>
    <row r="171" ht="14.0" customFormat="1" s="47">
      <c r="B171" s="365" t="s">
        <v>179</v>
      </c>
      <c r="C171" s="365" t="s">
        <v>712</v>
      </c>
      <c r="D171" s="365" t="s">
        <v>717</v>
      </c>
      <c r="E171" s="443" t="s">
        <v>718</v>
      </c>
      <c r="F171" s="365">
        <v>358.0</v>
      </c>
      <c r="G171" s="370">
        <v>29.0</v>
      </c>
      <c r="H171" s="372">
        <v>1.92</v>
      </c>
      <c r="I171" s="372">
        <v>55.77</v>
      </c>
      <c r="J171" s="439" t="s">
        <v>518</v>
      </c>
      <c r="K171" s="413"/>
      <c r="L171" s="413"/>
      <c r="M171" s="365"/>
      <c r="N171" s="436">
        <v>-329.0</v>
      </c>
      <c r="O171" s="414">
        <v>501.0</v>
      </c>
      <c r="P171" s="433">
        <v>501.0</v>
      </c>
      <c r="Q171" s="440" t="s">
        <v>24</v>
      </c>
      <c r="R171" s="365"/>
      <c r="S171" s="365"/>
      <c r="T171" s="365"/>
      <c r="U171" s="365"/>
      <c r="V171" s="365"/>
      <c r="W171" s="365"/>
      <c r="X171" s="365"/>
      <c r="Y171" s="365"/>
      <c r="Z171" s="365"/>
      <c r="AA171" s="365"/>
      <c r="AB171" s="365"/>
      <c r="AC171" s="422">
        <f t="shared" ref="AC171:AC179" si="36">P171*H171</f>
        <v>961.92</v>
      </c>
      <c r="AD171" s="249" t="s">
        <v>874</v>
      </c>
    </row>
    <row r="172" ht="14.0" customFormat="1" s="47">
      <c r="B172" s="365" t="s">
        <v>179</v>
      </c>
      <c r="C172" s="365" t="s">
        <v>712</v>
      </c>
      <c r="D172" s="365" t="s">
        <v>721</v>
      </c>
      <c r="E172" s="443" t="s">
        <v>722</v>
      </c>
      <c r="F172" s="365">
        <v>308.0</v>
      </c>
      <c r="G172" s="370">
        <v>93.0</v>
      </c>
      <c r="H172" s="372">
        <v>1.93</v>
      </c>
      <c r="I172" s="372">
        <v>179.65</v>
      </c>
      <c r="J172" s="439" t="s">
        <v>519</v>
      </c>
      <c r="K172" s="413"/>
      <c r="L172" s="413"/>
      <c r="M172" s="365"/>
      <c r="N172" s="436">
        <v>-215.0</v>
      </c>
      <c r="O172" s="414">
        <v>501.0</v>
      </c>
      <c r="P172" s="433">
        <v>501.0</v>
      </c>
      <c r="Q172" s="440" t="s">
        <v>24</v>
      </c>
      <c r="R172" s="365"/>
      <c r="S172" s="365"/>
      <c r="T172" s="365"/>
      <c r="U172" s="365"/>
      <c r="V172" s="365"/>
      <c r="W172" s="365"/>
      <c r="X172" s="365"/>
      <c r="Y172" s="365"/>
      <c r="Z172" s="365"/>
      <c r="AA172" s="365"/>
      <c r="AB172" s="365"/>
      <c r="AC172" s="422">
        <f t="shared" si="36"/>
        <v>966.93</v>
      </c>
    </row>
    <row r="173" ht="14.0" customFormat="1" s="47">
      <c r="B173" s="365" t="s">
        <v>179</v>
      </c>
      <c r="C173" s="365" t="s">
        <v>81</v>
      </c>
      <c r="D173" s="365" t="s">
        <v>796</v>
      </c>
      <c r="E173" s="443" t="s">
        <v>797</v>
      </c>
      <c r="F173" s="365">
        <v>366.0</v>
      </c>
      <c r="G173" s="370">
        <v>214.0</v>
      </c>
      <c r="H173" s="372">
        <v>5.16</v>
      </c>
      <c r="I173" s="372">
        <v>1103.19</v>
      </c>
      <c r="J173" s="340" t="s">
        <v>4</v>
      </c>
      <c r="K173" s="413"/>
      <c r="L173" s="413"/>
      <c r="M173" s="365"/>
      <c r="N173" s="436">
        <v>-152.0</v>
      </c>
      <c r="O173" s="414">
        <v>504.0</v>
      </c>
      <c r="P173" s="433">
        <v>504.0</v>
      </c>
      <c r="Q173" s="440" t="s">
        <v>24</v>
      </c>
      <c r="R173" s="365"/>
      <c r="S173" s="365"/>
      <c r="T173" s="365"/>
      <c r="U173" s="365"/>
      <c r="V173" s="365"/>
      <c r="W173" s="365"/>
      <c r="X173" s="365"/>
      <c r="Y173" s="365"/>
      <c r="Z173" s="365"/>
      <c r="AA173" s="365"/>
      <c r="AB173" s="365"/>
      <c r="AC173" s="422">
        <f t="shared" si="36"/>
        <v>2600.64</v>
      </c>
      <c r="AD173" s="249" t="s">
        <v>875</v>
      </c>
    </row>
    <row r="174" ht="14.0" customFormat="1" s="47">
      <c r="B174" s="365" t="s">
        <v>179</v>
      </c>
      <c r="C174" s="365" t="s">
        <v>81</v>
      </c>
      <c r="D174" s="365" t="s">
        <v>798</v>
      </c>
      <c r="E174" s="443" t="s">
        <v>799</v>
      </c>
      <c r="F174" s="365">
        <v>429.0</v>
      </c>
      <c r="G174" s="370">
        <v>178.0</v>
      </c>
      <c r="H174" s="372">
        <v>5.15</v>
      </c>
      <c r="I174" s="372">
        <v>917.57</v>
      </c>
      <c r="J174" s="340" t="s">
        <v>520</v>
      </c>
      <c r="K174" s="413"/>
      <c r="L174" s="413"/>
      <c r="M174" s="365"/>
      <c r="N174" s="436">
        <v>-251.0</v>
      </c>
      <c r="O174" s="414">
        <v>504.0</v>
      </c>
      <c r="P174" s="433">
        <v>504.0</v>
      </c>
      <c r="Q174" s="440" t="s">
        <v>24</v>
      </c>
      <c r="R174" s="365"/>
      <c r="S174" s="365"/>
      <c r="T174" s="365"/>
      <c r="U174" s="365"/>
      <c r="V174" s="365"/>
      <c r="W174" s="365"/>
      <c r="X174" s="365"/>
      <c r="Y174" s="365"/>
      <c r="Z174" s="365"/>
      <c r="AA174" s="365"/>
      <c r="AB174" s="365"/>
      <c r="AC174" s="422">
        <f t="shared" si="36"/>
        <v>2595.6</v>
      </c>
      <c r="AD174" s="47" t="s">
        <v>869</v>
      </c>
    </row>
    <row r="175" ht="14.0" customFormat="1" s="47">
      <c r="B175" s="365" t="s">
        <v>179</v>
      </c>
      <c r="C175" s="365" t="s">
        <v>81</v>
      </c>
      <c r="D175" s="365" t="s">
        <v>792</v>
      </c>
      <c r="E175" s="340" t="s">
        <v>793</v>
      </c>
      <c r="F175" s="365">
        <v>264.0</v>
      </c>
      <c r="G175" s="370">
        <v>228.0</v>
      </c>
      <c r="H175" s="372">
        <v>5.16</v>
      </c>
      <c r="I175" s="372">
        <v>1175.39</v>
      </c>
      <c r="J175" s="340" t="s">
        <v>6</v>
      </c>
      <c r="K175" s="413"/>
      <c r="L175" s="413"/>
      <c r="M175" s="365"/>
      <c r="N175" s="436">
        <v>-36.0</v>
      </c>
      <c r="O175" s="414">
        <v>504.0</v>
      </c>
      <c r="P175" s="433">
        <v>504.0</v>
      </c>
      <c r="Q175" s="437"/>
      <c r="R175" s="365"/>
      <c r="S175" s="365"/>
      <c r="T175" s="365"/>
      <c r="U175" s="365"/>
      <c r="V175" s="365"/>
      <c r="W175" s="365"/>
      <c r="X175" s="365"/>
      <c r="Y175" s="365"/>
      <c r="Z175" s="365"/>
      <c r="AA175" s="365"/>
      <c r="AB175" s="365"/>
      <c r="AC175" s="422">
        <f t="shared" si="36"/>
        <v>2600.64</v>
      </c>
    </row>
    <row r="176" ht="14.0" customFormat="1" s="47">
      <c r="B176" s="365" t="s">
        <v>179</v>
      </c>
      <c r="C176" s="365" t="s">
        <v>81</v>
      </c>
      <c r="D176" s="365" t="s">
        <v>802</v>
      </c>
      <c r="E176" s="443" t="s">
        <v>803</v>
      </c>
      <c r="F176" s="365">
        <v>389.0</v>
      </c>
      <c r="G176" s="370">
        <v>264.0</v>
      </c>
      <c r="H176" s="372">
        <v>5.16</v>
      </c>
      <c r="I176" s="372">
        <v>1360.95</v>
      </c>
      <c r="J176" s="340" t="s">
        <v>5</v>
      </c>
      <c r="K176" s="413"/>
      <c r="L176" s="413"/>
      <c r="M176" s="365"/>
      <c r="N176" s="436">
        <v>-125.0</v>
      </c>
      <c r="O176" s="414">
        <v>504.0</v>
      </c>
      <c r="P176" s="433">
        <v>504.0</v>
      </c>
      <c r="Q176" s="440" t="s">
        <v>24</v>
      </c>
      <c r="R176" s="365"/>
      <c r="S176" s="365"/>
      <c r="T176" s="365"/>
      <c r="U176" s="365"/>
      <c r="V176" s="365"/>
      <c r="W176" s="365"/>
      <c r="X176" s="365"/>
      <c r="Y176" s="365"/>
      <c r="Z176" s="365"/>
      <c r="AA176" s="365"/>
      <c r="AB176" s="365"/>
      <c r="AC176" s="422">
        <f t="shared" si="36"/>
        <v>2600.64</v>
      </c>
    </row>
    <row r="177" ht="14.0" customFormat="1" s="47">
      <c r="B177" s="365" t="s">
        <v>179</v>
      </c>
      <c r="C177" s="365" t="s">
        <v>81</v>
      </c>
      <c r="D177" s="365" t="s">
        <v>800</v>
      </c>
      <c r="E177" s="443" t="s">
        <v>801</v>
      </c>
      <c r="F177" s="365">
        <v>317.0</v>
      </c>
      <c r="G177" s="370">
        <v>134.0</v>
      </c>
      <c r="H177" s="372">
        <v>5.15</v>
      </c>
      <c r="I177" s="372">
        <v>690.76</v>
      </c>
      <c r="J177" s="340" t="s">
        <v>520</v>
      </c>
      <c r="K177" s="413"/>
      <c r="L177" s="413"/>
      <c r="M177" s="365"/>
      <c r="N177" s="436">
        <v>-183.0</v>
      </c>
      <c r="O177" s="414">
        <v>504.0</v>
      </c>
      <c r="P177" s="433">
        <v>504.0</v>
      </c>
      <c r="Q177" s="440" t="s">
        <v>24</v>
      </c>
      <c r="R177" s="365"/>
      <c r="S177" s="365"/>
      <c r="T177" s="365"/>
      <c r="U177" s="365"/>
      <c r="V177" s="365"/>
      <c r="W177" s="365"/>
      <c r="X177" s="365"/>
      <c r="Y177" s="365"/>
      <c r="Z177" s="365"/>
      <c r="AA177" s="365"/>
      <c r="AB177" s="365"/>
      <c r="AC177" s="422">
        <f t="shared" si="36"/>
        <v>2595.6</v>
      </c>
    </row>
    <row r="178" ht="14.0" customFormat="1" s="47">
      <c r="B178" s="365" t="s">
        <v>179</v>
      </c>
      <c r="C178" s="365" t="s">
        <v>81</v>
      </c>
      <c r="D178" s="365" t="s">
        <v>794</v>
      </c>
      <c r="E178" s="443" t="s">
        <v>795</v>
      </c>
      <c r="F178" s="365">
        <v>449.0</v>
      </c>
      <c r="G178" s="370">
        <v>169.0</v>
      </c>
      <c r="H178" s="372">
        <v>5.15</v>
      </c>
      <c r="I178" s="372">
        <v>871.16</v>
      </c>
      <c r="J178" s="340" t="s">
        <v>520</v>
      </c>
      <c r="K178" s="413"/>
      <c r="L178" s="413"/>
      <c r="M178" s="365"/>
      <c r="N178" s="436">
        <v>-280.0</v>
      </c>
      <c r="O178" s="414">
        <v>504.0</v>
      </c>
      <c r="P178" s="433">
        <v>504.0</v>
      </c>
      <c r="Q178" s="440" t="s">
        <v>24</v>
      </c>
      <c r="R178" s="365"/>
      <c r="S178" s="365"/>
      <c r="T178" s="365"/>
      <c r="U178" s="365"/>
      <c r="V178" s="365"/>
      <c r="W178" s="365"/>
      <c r="X178" s="365"/>
      <c r="Y178" s="365"/>
      <c r="Z178" s="365"/>
      <c r="AA178" s="365"/>
      <c r="AB178" s="365"/>
      <c r="AC178" s="422">
        <f t="shared" si="36"/>
        <v>2595.6</v>
      </c>
      <c r="AD178" s="47" t="s">
        <v>869</v>
      </c>
    </row>
    <row r="179" ht="14.0" customFormat="1" s="47">
      <c r="B179" s="365" t="s">
        <v>179</v>
      </c>
      <c r="C179" s="365" t="s">
        <v>81</v>
      </c>
      <c r="D179" s="365" t="s">
        <v>876</v>
      </c>
      <c r="E179" s="340" t="s">
        <v>684</v>
      </c>
      <c r="F179" s="365">
        <v>401.0</v>
      </c>
      <c r="G179" s="370">
        <v>0.0</v>
      </c>
      <c r="H179" s="372"/>
      <c r="I179" s="372" t="s">
        <v>864</v>
      </c>
      <c r="J179" s="340" t="s">
        <v>73</v>
      </c>
      <c r="K179" s="413"/>
      <c r="L179" s="413"/>
      <c r="M179" s="365"/>
      <c r="N179" s="436">
        <v>-401.0</v>
      </c>
      <c r="O179" s="414">
        <v>504.0</v>
      </c>
      <c r="P179" s="433">
        <v>504.0</v>
      </c>
      <c r="Q179" s="437" t="s">
        <v>873</v>
      </c>
      <c r="R179" s="365"/>
      <c r="S179" s="365"/>
      <c r="T179" s="365"/>
      <c r="U179" s="365"/>
      <c r="V179" s="365"/>
      <c r="W179" s="365"/>
      <c r="X179" s="365"/>
      <c r="Y179" s="365"/>
      <c r="Z179" s="365"/>
      <c r="AA179" s="365"/>
      <c r="AB179" s="365"/>
      <c r="AC179" s="422">
        <f t="shared" si="36"/>
        <v>0.0</v>
      </c>
      <c r="AD179" s="47" t="s">
        <v>877</v>
      </c>
    </row>
    <row r="180" ht="14.0" customFormat="1" s="47">
      <c r="B180" s="452" t="s">
        <v>179</v>
      </c>
      <c r="C180" s="452" t="s">
        <v>347</v>
      </c>
      <c r="D180" s="452" t="s">
        <v>626</v>
      </c>
      <c r="E180" s="453" t="s">
        <v>627</v>
      </c>
      <c r="F180" s="452">
        <v>249.0</v>
      </c>
      <c r="G180" s="454">
        <v>31.0</v>
      </c>
      <c r="H180" s="455">
        <v>1.01</v>
      </c>
      <c r="I180" s="455">
        <v>31.16</v>
      </c>
      <c r="J180" s="456" t="s">
        <v>519</v>
      </c>
      <c r="K180" s="457"/>
      <c r="L180" s="457"/>
      <c r="M180" s="452"/>
      <c r="N180" s="458">
        <v>-218.0</v>
      </c>
      <c r="O180" s="459">
        <v>501.0</v>
      </c>
      <c r="P180" s="459"/>
      <c r="Q180" s="460" t="s">
        <v>878</v>
      </c>
      <c r="R180" s="452"/>
      <c r="S180" s="452"/>
      <c r="T180" s="452"/>
      <c r="U180" s="452"/>
      <c r="V180" s="452"/>
      <c r="W180" s="452"/>
      <c r="X180" s="452"/>
      <c r="Y180" s="452"/>
      <c r="Z180" s="452"/>
      <c r="AA180" s="452"/>
      <c r="AB180" s="452"/>
      <c r="AC180" s="461"/>
      <c r="AD180" s="47" t="s">
        <v>879</v>
      </c>
    </row>
    <row r="181" ht="14.0" customFormat="1" s="47">
      <c r="B181" s="426" t="s">
        <v>179</v>
      </c>
      <c r="C181" s="426" t="s">
        <v>347</v>
      </c>
      <c r="D181" s="426" t="s">
        <v>742</v>
      </c>
      <c r="E181" s="427" t="s">
        <v>743</v>
      </c>
      <c r="F181" s="426">
        <v>150.0</v>
      </c>
      <c r="G181" s="428">
        <v>72.0</v>
      </c>
      <c r="H181" s="429">
        <v>1.01</v>
      </c>
      <c r="I181" s="429">
        <v>72.36</v>
      </c>
      <c r="J181" s="427" t="s">
        <v>520</v>
      </c>
      <c r="K181" s="430"/>
      <c r="L181" s="430"/>
      <c r="M181" s="426"/>
      <c r="N181" s="431">
        <v>-78.0</v>
      </c>
      <c r="O181" s="432">
        <v>501.0</v>
      </c>
      <c r="P181" s="432"/>
      <c r="Q181" s="462" t="s">
        <v>878</v>
      </c>
      <c r="R181" s="426"/>
      <c r="S181" s="426"/>
      <c r="T181" s="426"/>
      <c r="U181" s="426"/>
      <c r="V181" s="426"/>
      <c r="W181" s="426"/>
      <c r="X181" s="426"/>
      <c r="Y181" s="426"/>
      <c r="Z181" s="426"/>
      <c r="AA181" s="426"/>
      <c r="AB181" s="426"/>
      <c r="AC181" s="435"/>
    </row>
    <row r="182" ht="14.0" customFormat="1" s="47">
      <c r="B182" s="426" t="s">
        <v>179</v>
      </c>
      <c r="C182" s="426" t="s">
        <v>347</v>
      </c>
      <c r="D182" s="426" t="s">
        <v>744</v>
      </c>
      <c r="E182" s="427" t="s">
        <v>745</v>
      </c>
      <c r="F182" s="426">
        <v>135.0</v>
      </c>
      <c r="G182" s="428">
        <v>73.0</v>
      </c>
      <c r="H182" s="429">
        <v>1.01</v>
      </c>
      <c r="I182" s="429">
        <v>73.39</v>
      </c>
      <c r="J182" s="427" t="s">
        <v>4</v>
      </c>
      <c r="K182" s="430"/>
      <c r="L182" s="430"/>
      <c r="M182" s="426"/>
      <c r="N182" s="431">
        <v>-62.0</v>
      </c>
      <c r="O182" s="432">
        <v>501.0</v>
      </c>
      <c r="P182" s="432"/>
      <c r="Q182" s="462" t="s">
        <v>878</v>
      </c>
      <c r="R182" s="426"/>
      <c r="S182" s="426"/>
      <c r="T182" s="426"/>
      <c r="U182" s="426"/>
      <c r="V182" s="426"/>
      <c r="W182" s="426"/>
      <c r="X182" s="426"/>
      <c r="Y182" s="426"/>
      <c r="Z182" s="426"/>
      <c r="AA182" s="426"/>
      <c r="AB182" s="426"/>
      <c r="AC182" s="435"/>
    </row>
    <row r="183" ht="14.0" customFormat="1" s="47">
      <c r="B183" s="426" t="s">
        <v>179</v>
      </c>
      <c r="C183" s="426" t="s">
        <v>347</v>
      </c>
      <c r="D183" s="426" t="s">
        <v>746</v>
      </c>
      <c r="E183" s="427" t="s">
        <v>747</v>
      </c>
      <c r="F183" s="426">
        <v>213.0</v>
      </c>
      <c r="G183" s="428">
        <v>14.0</v>
      </c>
      <c r="H183" s="429">
        <v>1.01</v>
      </c>
      <c r="I183" s="429">
        <v>14.07</v>
      </c>
      <c r="J183" s="463" t="s">
        <v>518</v>
      </c>
      <c r="K183" s="430"/>
      <c r="L183" s="430"/>
      <c r="M183" s="430"/>
      <c r="N183" s="431">
        <v>-199.0</v>
      </c>
      <c r="O183" s="432">
        <v>501.0</v>
      </c>
      <c r="P183" s="432"/>
      <c r="Q183" s="462" t="s">
        <v>878</v>
      </c>
      <c r="R183" s="426"/>
      <c r="S183" s="426"/>
      <c r="T183" s="426"/>
      <c r="U183" s="426"/>
      <c r="V183" s="426"/>
      <c r="W183" s="426"/>
      <c r="X183" s="426"/>
      <c r="Y183" s="426"/>
      <c r="Z183" s="426"/>
      <c r="AA183" s="426"/>
      <c r="AB183" s="426"/>
      <c r="AC183" s="435"/>
    </row>
    <row r="184" ht="14.0" customFormat="1" s="47">
      <c r="B184" s="426" t="s">
        <v>179</v>
      </c>
      <c r="C184" s="464" t="s">
        <v>625</v>
      </c>
      <c r="D184" s="464" t="s">
        <v>880</v>
      </c>
      <c r="E184" s="465" t="s">
        <v>881</v>
      </c>
      <c r="F184" s="466">
        <v>3.0</v>
      </c>
      <c r="G184" s="466">
        <v>0.0</v>
      </c>
      <c r="H184" s="467"/>
      <c r="I184" s="467" t="s">
        <v>864</v>
      </c>
      <c r="J184" s="468" t="s">
        <v>73</v>
      </c>
      <c r="K184" s="464"/>
      <c r="L184" s="464"/>
      <c r="M184" s="464"/>
      <c r="N184" s="469">
        <v>-3.0</v>
      </c>
      <c r="O184" s="466">
        <v>100.0</v>
      </c>
      <c r="P184" s="466"/>
      <c r="Q184" s="462" t="s">
        <v>878</v>
      </c>
      <c r="R184" s="470"/>
      <c r="S184" s="426"/>
      <c r="T184" s="426"/>
      <c r="U184" s="426"/>
      <c r="V184" s="426"/>
      <c r="W184" s="426"/>
      <c r="X184" s="426"/>
      <c r="Y184" s="426"/>
      <c r="Z184" s="426"/>
      <c r="AA184" s="426"/>
      <c r="AB184" s="426"/>
      <c r="AC184" s="471"/>
    </row>
    <row r="185" ht="14.0" customFormat="1" s="47">
      <c r="B185" s="426" t="s">
        <v>179</v>
      </c>
      <c r="C185" s="426" t="s">
        <v>620</v>
      </c>
      <c r="D185" s="426" t="s">
        <v>764</v>
      </c>
      <c r="E185" s="427" t="s">
        <v>765</v>
      </c>
      <c r="F185" s="426">
        <v>144.0</v>
      </c>
      <c r="G185" s="428">
        <v>12.0</v>
      </c>
      <c r="H185" s="429">
        <v>1.01</v>
      </c>
      <c r="I185" s="429">
        <v>12.06</v>
      </c>
      <c r="J185" s="463" t="s">
        <v>518</v>
      </c>
      <c r="K185" s="430"/>
      <c r="L185" s="430"/>
      <c r="M185" s="430"/>
      <c r="N185" s="431">
        <v>-132.0</v>
      </c>
      <c r="O185" s="432">
        <v>501.0</v>
      </c>
      <c r="P185" s="432"/>
      <c r="Q185" s="462" t="s">
        <v>878</v>
      </c>
      <c r="R185" s="426"/>
      <c r="S185" s="426"/>
      <c r="T185" s="426"/>
      <c r="U185" s="426"/>
      <c r="V185" s="426"/>
      <c r="W185" s="426"/>
      <c r="X185" s="426"/>
      <c r="Y185" s="426"/>
      <c r="Z185" s="426"/>
      <c r="AA185" s="426"/>
      <c r="AB185" s="426"/>
      <c r="AC185" s="435"/>
    </row>
    <row r="186" ht="14.0" customFormat="1" s="47">
      <c r="B186" s="426" t="s">
        <v>179</v>
      </c>
      <c r="C186" s="426" t="s">
        <v>620</v>
      </c>
      <c r="D186" s="426" t="s">
        <v>766</v>
      </c>
      <c r="E186" s="427" t="s">
        <v>767</v>
      </c>
      <c r="F186" s="426">
        <v>125.0</v>
      </c>
      <c r="G186" s="428">
        <v>30.0</v>
      </c>
      <c r="H186" s="429">
        <v>1.01</v>
      </c>
      <c r="I186" s="429">
        <v>30.17</v>
      </c>
      <c r="J186" s="427" t="s">
        <v>519</v>
      </c>
      <c r="K186" s="430"/>
      <c r="L186" s="430"/>
      <c r="M186" s="426"/>
      <c r="N186" s="431">
        <v>-95.0</v>
      </c>
      <c r="O186" s="432">
        <v>501.0</v>
      </c>
      <c r="P186" s="432"/>
      <c r="Q186" s="462" t="s">
        <v>878</v>
      </c>
      <c r="R186" s="426"/>
      <c r="S186" s="426"/>
      <c r="T186" s="426"/>
      <c r="U186" s="426"/>
      <c r="V186" s="426"/>
      <c r="W186" s="426"/>
      <c r="X186" s="426"/>
      <c r="Y186" s="426"/>
      <c r="Z186" s="426"/>
      <c r="AA186" s="426"/>
      <c r="AB186" s="426"/>
      <c r="AC186" s="435"/>
    </row>
    <row r="187" ht="14.0" customFormat="1" s="47">
      <c r="B187" s="426" t="s">
        <v>179</v>
      </c>
      <c r="C187" s="426" t="s">
        <v>620</v>
      </c>
      <c r="D187" s="426" t="s">
        <v>768</v>
      </c>
      <c r="E187" s="427" t="s">
        <v>769</v>
      </c>
      <c r="F187" s="426">
        <v>190.0</v>
      </c>
      <c r="G187" s="428">
        <v>-36.0</v>
      </c>
      <c r="H187" s="429">
        <v>1.01</v>
      </c>
      <c r="I187" s="429" t="s">
        <v>882</v>
      </c>
      <c r="J187" s="427" t="s">
        <v>73</v>
      </c>
      <c r="K187" s="430"/>
      <c r="L187" s="430"/>
      <c r="M187" s="426"/>
      <c r="N187" s="431">
        <v>-226.0</v>
      </c>
      <c r="O187" s="432">
        <v>501.0</v>
      </c>
      <c r="P187" s="432"/>
      <c r="Q187" s="462" t="s">
        <v>878</v>
      </c>
      <c r="R187" s="426"/>
      <c r="S187" s="426"/>
      <c r="T187" s="426"/>
      <c r="U187" s="426"/>
      <c r="V187" s="426"/>
      <c r="W187" s="426"/>
      <c r="X187" s="426"/>
      <c r="Y187" s="426"/>
      <c r="Z187" s="426"/>
      <c r="AA187" s="426"/>
      <c r="AB187" s="426"/>
      <c r="AC187" s="435"/>
    </row>
    <row r="188" ht="14.0" customFormat="1" s="47">
      <c r="B188" s="426" t="s">
        <v>179</v>
      </c>
      <c r="C188" s="464" t="s">
        <v>620</v>
      </c>
      <c r="D188" s="464" t="s">
        <v>883</v>
      </c>
      <c r="E188" s="465" t="s">
        <v>884</v>
      </c>
      <c r="F188" s="466">
        <v>182.0</v>
      </c>
      <c r="G188" s="466">
        <v>6.0</v>
      </c>
      <c r="H188" s="472">
        <v>1.01</v>
      </c>
      <c r="I188" s="472">
        <v>6.03</v>
      </c>
      <c r="J188" s="473" t="s">
        <v>518</v>
      </c>
      <c r="K188" s="464"/>
      <c r="L188" s="464"/>
      <c r="M188" s="464"/>
      <c r="N188" s="469">
        <v>-176.0</v>
      </c>
      <c r="O188" s="466">
        <v>500.0</v>
      </c>
      <c r="P188" s="466"/>
      <c r="Q188" s="462" t="s">
        <v>878</v>
      </c>
      <c r="R188" s="470"/>
      <c r="S188" s="426"/>
      <c r="T188" s="426"/>
      <c r="U188" s="426"/>
      <c r="V188" s="426"/>
      <c r="W188" s="426"/>
      <c r="X188" s="426"/>
      <c r="Y188" s="426"/>
      <c r="Z188" s="426"/>
      <c r="AA188" s="426"/>
      <c r="AB188" s="426"/>
      <c r="AC188" s="471"/>
    </row>
    <row r="189" ht="14.0" customFormat="1" s="47">
      <c r="B189" s="426" t="s">
        <v>179</v>
      </c>
      <c r="C189" s="464" t="s">
        <v>620</v>
      </c>
      <c r="D189" s="464" t="s">
        <v>885</v>
      </c>
      <c r="E189" s="465" t="s">
        <v>886</v>
      </c>
      <c r="F189" s="466">
        <v>2.0</v>
      </c>
      <c r="G189" s="466">
        <v>0.0</v>
      </c>
      <c r="H189" s="467"/>
      <c r="I189" s="467" t="s">
        <v>864</v>
      </c>
      <c r="J189" s="468" t="s">
        <v>73</v>
      </c>
      <c r="K189" s="464"/>
      <c r="L189" s="464"/>
      <c r="M189" s="464"/>
      <c r="N189" s="469">
        <v>-2.0</v>
      </c>
      <c r="O189" s="466">
        <v>100.0</v>
      </c>
      <c r="P189" s="466"/>
      <c r="Q189" s="462" t="s">
        <v>878</v>
      </c>
      <c r="R189" s="470"/>
      <c r="S189" s="426"/>
      <c r="T189" s="426"/>
      <c r="U189" s="426"/>
      <c r="V189" s="426"/>
      <c r="W189" s="426"/>
      <c r="X189" s="426"/>
      <c r="Y189" s="426"/>
      <c r="Z189" s="426"/>
      <c r="AA189" s="426"/>
      <c r="AB189" s="426"/>
      <c r="AC189" s="471"/>
    </row>
    <row r="190" ht="14.0" customFormat="1" s="47">
      <c r="E190" s="185"/>
      <c r="G190" s="64"/>
      <c r="H190" s="308"/>
      <c r="I190" s="308"/>
      <c r="J190" s="185"/>
      <c r="N190" s="307"/>
      <c r="P190" s="218"/>
      <c r="Q190" s="66"/>
      <c r="AC190" s="201"/>
    </row>
    <row r="191" ht="14.0" customFormat="1" s="47">
      <c r="E191" s="185"/>
      <c r="G191" s="64"/>
      <c r="H191" s="308"/>
      <c r="I191" s="308">
        <f>SUM(I142:I179)</f>
        <v>21714.19</v>
      </c>
      <c r="J191" s="185"/>
      <c r="N191" s="307"/>
      <c r="P191" s="218"/>
      <c r="Q191" s="66"/>
      <c r="AC191" s="201">
        <f>SUM(AC171:AC179)</f>
        <v>17517.57</v>
      </c>
    </row>
    <row r="192" ht="14.0" customFormat="1" s="47">
      <c r="B192" s="50" t="s">
        <v>887</v>
      </c>
      <c r="E192" s="185"/>
      <c r="G192" s="64"/>
      <c r="H192" s="308"/>
      <c r="I192" s="308"/>
      <c r="J192" s="185"/>
      <c r="N192" s="307"/>
      <c r="P192" s="218"/>
      <c r="Q192" s="66"/>
      <c r="AC192" s="194"/>
    </row>
    <row r="193" ht="43.0" customFormat="1" s="47">
      <c r="B193" s="358" t="s">
        <v>12</v>
      </c>
      <c r="C193" s="358" t="s">
        <v>13</v>
      </c>
      <c r="D193" s="359" t="s">
        <v>828</v>
      </c>
      <c r="E193" s="359" t="s">
        <v>507</v>
      </c>
      <c r="F193" s="359" t="s">
        <v>854</v>
      </c>
      <c r="G193" s="359" t="s">
        <v>830</v>
      </c>
      <c r="H193" s="360" t="s">
        <v>527</v>
      </c>
      <c r="I193" s="360" t="s">
        <v>568</v>
      </c>
      <c r="J193" s="359" t="s">
        <v>831</v>
      </c>
      <c r="K193" s="406" t="s">
        <v>832</v>
      </c>
      <c r="L193" s="406" t="s">
        <v>833</v>
      </c>
      <c r="M193" s="359" t="s">
        <v>834</v>
      </c>
      <c r="N193" s="474" t="s">
        <v>855</v>
      </c>
      <c r="O193" s="362" t="s">
        <v>23</v>
      </c>
      <c r="P193" s="315" t="s">
        <v>837</v>
      </c>
      <c r="Q193" s="317" t="s">
        <v>838</v>
      </c>
      <c r="R193" s="318"/>
      <c r="S193" s="319" t="s">
        <v>839</v>
      </c>
      <c r="T193" s="320" t="s">
        <v>840</v>
      </c>
      <c r="U193" s="321" t="s">
        <v>841</v>
      </c>
      <c r="V193" s="318"/>
      <c r="W193" s="318"/>
      <c r="X193" s="318"/>
      <c r="Y193" s="318"/>
      <c r="Z193" s="318"/>
      <c r="AA193" s="318"/>
      <c r="AB193" s="312" t="s">
        <v>842</v>
      </c>
      <c r="AC193" s="312" t="s">
        <v>842</v>
      </c>
    </row>
    <row r="194" ht="14.0" customFormat="1" s="47">
      <c r="B194" s="365" t="s">
        <v>179</v>
      </c>
      <c r="C194" s="365" t="s">
        <v>81</v>
      </c>
      <c r="D194" s="365" t="s">
        <v>685</v>
      </c>
      <c r="E194" s="475" t="s">
        <v>686</v>
      </c>
      <c r="F194" s="365">
        <v>391.0</v>
      </c>
      <c r="G194" s="370">
        <v>21.0</v>
      </c>
      <c r="H194" s="372">
        <v>2.38</v>
      </c>
      <c r="I194" s="372">
        <v>50.01</v>
      </c>
      <c r="J194" s="340" t="s">
        <v>518</v>
      </c>
      <c r="K194" s="413"/>
      <c r="L194" s="413"/>
      <c r="M194" s="365"/>
      <c r="N194" s="436">
        <v>-370.0</v>
      </c>
      <c r="O194" s="414"/>
      <c r="P194" s="414"/>
      <c r="Q194" s="414"/>
      <c r="R194" s="365"/>
      <c r="S194" s="365"/>
      <c r="T194" s="365"/>
      <c r="U194" s="365"/>
      <c r="V194" s="365"/>
      <c r="W194" s="365"/>
      <c r="X194" s="365"/>
      <c r="Y194" s="365"/>
      <c r="Z194" s="365"/>
      <c r="AA194" s="365"/>
      <c r="AB194" s="365"/>
      <c r="AC194" s="194"/>
    </row>
    <row r="195" ht="14.0" customFormat="1" s="47">
      <c r="B195" s="365" t="s">
        <v>179</v>
      </c>
      <c r="C195" s="365" t="s">
        <v>81</v>
      </c>
      <c r="D195" s="365" t="s">
        <v>681</v>
      </c>
      <c r="E195" s="475" t="s">
        <v>682</v>
      </c>
      <c r="F195" s="365">
        <v>420.0</v>
      </c>
      <c r="G195" s="408">
        <v>-12.0</v>
      </c>
      <c r="H195" s="372">
        <v>2.4</v>
      </c>
      <c r="I195" s="372" t="s">
        <v>888</v>
      </c>
      <c r="J195" s="340" t="s">
        <v>73</v>
      </c>
      <c r="K195" s="413"/>
      <c r="L195" s="413"/>
      <c r="M195" s="365"/>
      <c r="N195" s="436">
        <v>-432.0</v>
      </c>
      <c r="O195" s="414"/>
      <c r="P195" s="414"/>
      <c r="Q195" s="414"/>
      <c r="R195" s="365"/>
      <c r="S195" s="365"/>
      <c r="T195" s="365"/>
      <c r="U195" s="365"/>
      <c r="V195" s="365"/>
      <c r="W195" s="365"/>
      <c r="X195" s="365"/>
      <c r="Y195" s="365"/>
      <c r="Z195" s="365"/>
      <c r="AA195" s="365"/>
      <c r="AB195" s="365"/>
      <c r="AC195" s="194"/>
    </row>
    <row r="196" ht="14.0" customFormat="1" s="47">
      <c r="B196" s="365" t="s">
        <v>179</v>
      </c>
      <c r="C196" s="365" t="s">
        <v>650</v>
      </c>
      <c r="D196" s="365" t="s">
        <v>660</v>
      </c>
      <c r="E196" s="475" t="s">
        <v>661</v>
      </c>
      <c r="F196" s="365">
        <v>365.0</v>
      </c>
      <c r="G196" s="370">
        <v>165.0</v>
      </c>
      <c r="H196" s="372">
        <v>1.4</v>
      </c>
      <c r="I196" s="372">
        <v>230.87</v>
      </c>
      <c r="J196" s="340" t="s">
        <v>6</v>
      </c>
      <c r="K196" s="365"/>
      <c r="L196" s="365"/>
      <c r="M196" s="365"/>
      <c r="N196" s="476">
        <v>-200.0</v>
      </c>
      <c r="O196" s="421"/>
      <c r="P196" s="477"/>
      <c r="Q196" s="414"/>
      <c r="AC196" s="194"/>
    </row>
    <row r="197" ht="14.0" customFormat="1" s="47">
      <c r="B197" s="365" t="s">
        <v>179</v>
      </c>
      <c r="C197" s="365" t="s">
        <v>650</v>
      </c>
      <c r="D197" s="365" t="s">
        <v>658</v>
      </c>
      <c r="E197" s="475" t="s">
        <v>659</v>
      </c>
      <c r="F197" s="365">
        <v>370.0</v>
      </c>
      <c r="G197" s="370">
        <v>189.0</v>
      </c>
      <c r="H197" s="372">
        <v>1.4</v>
      </c>
      <c r="I197" s="372">
        <v>264.45</v>
      </c>
      <c r="J197" s="340" t="s">
        <v>520</v>
      </c>
      <c r="K197" s="365"/>
      <c r="L197" s="365"/>
      <c r="M197" s="365"/>
      <c r="N197" s="476">
        <v>-181.0</v>
      </c>
      <c r="O197" s="421"/>
      <c r="P197" s="477"/>
      <c r="Q197" s="414"/>
      <c r="AC197" s="194"/>
    </row>
    <row r="198" ht="14.0" customFormat="1" s="47">
      <c r="B198" s="365" t="s">
        <v>179</v>
      </c>
      <c r="C198" s="365" t="s">
        <v>620</v>
      </c>
      <c r="D198" s="365" t="s">
        <v>621</v>
      </c>
      <c r="E198" s="475" t="s">
        <v>622</v>
      </c>
      <c r="F198" s="365">
        <v>145.0</v>
      </c>
      <c r="G198" s="370">
        <v>48.0</v>
      </c>
      <c r="H198" s="372">
        <v>1.01</v>
      </c>
      <c r="I198" s="372">
        <v>48.25</v>
      </c>
      <c r="J198" s="340" t="s">
        <v>5</v>
      </c>
      <c r="K198" s="365"/>
      <c r="L198" s="365"/>
      <c r="M198" s="365"/>
      <c r="N198" s="476">
        <v>-97.0</v>
      </c>
      <c r="O198" s="421"/>
      <c r="P198" s="477"/>
      <c r="Q198" s="414"/>
      <c r="AC198" s="194"/>
    </row>
    <row r="199" ht="14.0" customFormat="1" s="47">
      <c r="B199" s="365" t="s">
        <v>179</v>
      </c>
      <c r="C199" s="365" t="s">
        <v>620</v>
      </c>
      <c r="D199" s="365" t="s">
        <v>623</v>
      </c>
      <c r="E199" s="475" t="s">
        <v>624</v>
      </c>
      <c r="F199" s="365">
        <v>92.0</v>
      </c>
      <c r="G199" s="370">
        <v>72.0</v>
      </c>
      <c r="H199" s="372">
        <v>1.01</v>
      </c>
      <c r="I199" s="372">
        <v>72.39</v>
      </c>
      <c r="J199" s="340" t="s">
        <v>520</v>
      </c>
      <c r="K199" s="365"/>
      <c r="L199" s="365"/>
      <c r="M199" s="365"/>
      <c r="N199" s="476">
        <v>-20.0</v>
      </c>
      <c r="O199" s="421"/>
      <c r="P199" s="477"/>
      <c r="Q199" s="414"/>
      <c r="AC199" s="194"/>
    </row>
    <row r="200" ht="14.0" customFormat="1" s="47">
      <c r="B200" s="365" t="s">
        <v>179</v>
      </c>
      <c r="C200" s="365" t="s">
        <v>347</v>
      </c>
      <c r="D200" s="365" t="s">
        <v>628</v>
      </c>
      <c r="E200" s="475" t="s">
        <v>629</v>
      </c>
      <c r="F200" s="365">
        <v>241.0</v>
      </c>
      <c r="G200" s="370">
        <v>76.0</v>
      </c>
      <c r="H200" s="372">
        <v>1.01</v>
      </c>
      <c r="I200" s="372">
        <v>76.42</v>
      </c>
      <c r="J200" s="340" t="s">
        <v>518</v>
      </c>
      <c r="K200" s="365"/>
      <c r="L200" s="365"/>
      <c r="M200" s="365"/>
      <c r="N200" s="476">
        <v>-165.0</v>
      </c>
      <c r="O200" s="421"/>
      <c r="P200" s="477"/>
      <c r="Q200" s="414"/>
      <c r="AC200" s="194"/>
    </row>
    <row r="201" ht="14.0" customFormat="1" s="47">
      <c r="B201" s="365" t="s">
        <v>179</v>
      </c>
      <c r="C201" s="365" t="s">
        <v>347</v>
      </c>
      <c r="D201" s="365" t="s">
        <v>740</v>
      </c>
      <c r="E201" s="475" t="s">
        <v>741</v>
      </c>
      <c r="F201" s="365">
        <v>111.0</v>
      </c>
      <c r="G201" s="370">
        <v>97.0</v>
      </c>
      <c r="H201" s="372">
        <v>1.01</v>
      </c>
      <c r="I201" s="372">
        <v>97.51</v>
      </c>
      <c r="J201" s="340" t="s">
        <v>518</v>
      </c>
      <c r="K201" s="365"/>
      <c r="L201" s="365"/>
      <c r="M201" s="365"/>
      <c r="N201" s="476">
        <v>-14.0</v>
      </c>
      <c r="O201" s="421"/>
      <c r="P201" s="477"/>
      <c r="Q201" s="414"/>
      <c r="AC201" s="194"/>
    </row>
    <row r="202" ht="14.0" customFormat="1" s="47">
      <c r="B202" s="365" t="s">
        <v>179</v>
      </c>
      <c r="C202" s="365" t="s">
        <v>197</v>
      </c>
      <c r="D202" s="478" t="s">
        <v>198</v>
      </c>
      <c r="E202" s="475" t="s">
        <v>199</v>
      </c>
      <c r="F202" s="365">
        <v>192.0</v>
      </c>
      <c r="G202" s="370">
        <v>-3.0</v>
      </c>
      <c r="H202" s="372"/>
      <c r="I202" s="372" t="s">
        <v>864</v>
      </c>
      <c r="J202" s="340" t="s">
        <v>73</v>
      </c>
      <c r="K202" s="365"/>
      <c r="L202" s="365"/>
      <c r="M202" s="365"/>
      <c r="N202" s="408">
        <v>-195.0</v>
      </c>
      <c r="O202" s="365"/>
      <c r="P202" s="479"/>
      <c r="Q202" s="414"/>
      <c r="AC202" s="194"/>
    </row>
    <row r="203" ht="14.0" customFormat="1" s="47">
      <c r="B203" s="365" t="s">
        <v>179</v>
      </c>
      <c r="C203" s="365" t="s">
        <v>197</v>
      </c>
      <c r="D203" s="478" t="s">
        <v>200</v>
      </c>
      <c r="E203" s="475" t="s">
        <v>201</v>
      </c>
      <c r="F203" s="365">
        <v>242.0</v>
      </c>
      <c r="G203" s="370">
        <v>2.0</v>
      </c>
      <c r="H203" s="372">
        <v>5.23</v>
      </c>
      <c r="I203" s="372">
        <v>10.46</v>
      </c>
      <c r="J203" s="342" t="s">
        <v>518</v>
      </c>
      <c r="K203" s="365"/>
      <c r="L203" s="365"/>
      <c r="M203" s="365"/>
      <c r="N203" s="408">
        <v>-240.0</v>
      </c>
      <c r="O203" s="365"/>
      <c r="P203" s="479"/>
      <c r="Q203" s="414"/>
      <c r="AC203" s="194"/>
    </row>
    <row r="204" ht="14.0" customFormat="1" s="47">
      <c r="B204" s="365" t="s">
        <v>179</v>
      </c>
      <c r="C204" s="365" t="s">
        <v>197</v>
      </c>
      <c r="D204" s="478" t="s">
        <v>202</v>
      </c>
      <c r="E204" s="475" t="s">
        <v>203</v>
      </c>
      <c r="F204" s="365">
        <v>253.0</v>
      </c>
      <c r="G204" s="370">
        <v>63.0</v>
      </c>
      <c r="H204" s="372">
        <v>5.18</v>
      </c>
      <c r="I204" s="372">
        <v>326.51</v>
      </c>
      <c r="J204" s="342" t="s">
        <v>519</v>
      </c>
      <c r="K204" s="365"/>
      <c r="L204" s="365"/>
      <c r="M204" s="365"/>
      <c r="N204" s="408">
        <v>-190.0</v>
      </c>
      <c r="O204" s="365"/>
      <c r="P204" s="479"/>
      <c r="Q204" s="414"/>
      <c r="AC204" s="194"/>
    </row>
    <row r="205" ht="14.0" customFormat="1" s="47">
      <c r="B205" s="365" t="s">
        <v>179</v>
      </c>
      <c r="C205" s="365" t="s">
        <v>63</v>
      </c>
      <c r="D205" s="365" t="s">
        <v>233</v>
      </c>
      <c r="E205" s="475" t="s">
        <v>234</v>
      </c>
      <c r="F205" s="365">
        <v>444.0</v>
      </c>
      <c r="G205" s="370">
        <v>49.0</v>
      </c>
      <c r="H205" s="372">
        <v>0.97</v>
      </c>
      <c r="I205" s="372">
        <v>47.55</v>
      </c>
      <c r="J205" s="340" t="s">
        <v>73</v>
      </c>
      <c r="K205" s="365"/>
      <c r="L205" s="365"/>
      <c r="M205" s="365"/>
      <c r="N205" s="408">
        <v>-395.0</v>
      </c>
      <c r="O205" s="365"/>
      <c r="P205" s="479"/>
      <c r="Q205" s="414"/>
      <c r="AC205" s="194"/>
    </row>
    <row r="206" ht="14.0" customFormat="1" s="47">
      <c r="B206" s="365" t="s">
        <v>179</v>
      </c>
      <c r="C206" s="365" t="s">
        <v>63</v>
      </c>
      <c r="D206" s="365" t="s">
        <v>235</v>
      </c>
      <c r="E206" s="475" t="s">
        <v>236</v>
      </c>
      <c r="F206" s="365">
        <v>447.0</v>
      </c>
      <c r="G206" s="370">
        <v>0.0</v>
      </c>
      <c r="H206" s="372"/>
      <c r="I206" s="372" t="s">
        <v>864</v>
      </c>
      <c r="J206" s="340" t="s">
        <v>73</v>
      </c>
      <c r="K206" s="365"/>
      <c r="L206" s="365"/>
      <c r="M206" s="365"/>
      <c r="N206" s="408">
        <v>-447.0</v>
      </c>
      <c r="O206" s="365"/>
      <c r="P206" s="479"/>
      <c r="Q206" s="414"/>
      <c r="AC206" s="194"/>
    </row>
    <row r="207" ht="14.0" customFormat="1" s="47">
      <c r="B207" s="365" t="s">
        <v>179</v>
      </c>
      <c r="C207" s="365" t="s">
        <v>241</v>
      </c>
      <c r="D207" s="365" t="s">
        <v>245</v>
      </c>
      <c r="E207" s="475" t="s">
        <v>246</v>
      </c>
      <c r="F207" s="365">
        <v>156.0</v>
      </c>
      <c r="G207" s="370">
        <v>135.0</v>
      </c>
      <c r="H207" s="372">
        <v>5.4</v>
      </c>
      <c r="I207" s="372">
        <v>729.39</v>
      </c>
      <c r="J207" s="342" t="s">
        <v>6</v>
      </c>
      <c r="K207" s="365"/>
      <c r="L207" s="365"/>
      <c r="M207" s="365"/>
      <c r="N207" s="408">
        <v>-21.0</v>
      </c>
      <c r="O207" s="365"/>
      <c r="P207" s="479"/>
      <c r="Q207" s="414"/>
      <c r="AC207" s="194"/>
    </row>
    <row r="208" ht="14.0" customFormat="1" s="47">
      <c r="B208" s="365" t="s">
        <v>179</v>
      </c>
      <c r="C208" s="365" t="s">
        <v>241</v>
      </c>
      <c r="D208" s="365" t="s">
        <v>247</v>
      </c>
      <c r="E208" s="475" t="s">
        <v>248</v>
      </c>
      <c r="F208" s="365">
        <v>175.0</v>
      </c>
      <c r="G208" s="370">
        <v>52.0</v>
      </c>
      <c r="H208" s="372">
        <v>5.41</v>
      </c>
      <c r="I208" s="372">
        <v>281.13</v>
      </c>
      <c r="J208" s="342" t="s">
        <v>519</v>
      </c>
      <c r="K208" s="365"/>
      <c r="L208" s="365"/>
      <c r="M208" s="365"/>
      <c r="N208" s="408">
        <v>-123.0</v>
      </c>
      <c r="O208" s="365"/>
      <c r="P208" s="479"/>
      <c r="Q208" s="414"/>
      <c r="AC208" s="194"/>
    </row>
    <row r="209" ht="14.0" customFormat="1" s="47">
      <c r="B209" s="365" t="s">
        <v>179</v>
      </c>
      <c r="C209" s="365" t="s">
        <v>241</v>
      </c>
      <c r="D209" s="365" t="s">
        <v>250</v>
      </c>
      <c r="E209" s="475" t="s">
        <v>251</v>
      </c>
      <c r="F209" s="365">
        <v>229.0</v>
      </c>
      <c r="G209" s="370">
        <v>4.0</v>
      </c>
      <c r="H209" s="372">
        <v>5.43</v>
      </c>
      <c r="I209" s="372">
        <v>21.73</v>
      </c>
      <c r="J209" s="342" t="s">
        <v>518</v>
      </c>
      <c r="K209" s="365"/>
      <c r="L209" s="365"/>
      <c r="M209" s="365"/>
      <c r="N209" s="408">
        <v>-225.0</v>
      </c>
      <c r="O209" s="365"/>
      <c r="P209" s="479"/>
      <c r="Q209" s="414"/>
      <c r="AC209" s="194"/>
    </row>
    <row r="210" ht="14.0" customFormat="1" s="47">
      <c r="B210" s="365" t="s">
        <v>179</v>
      </c>
      <c r="C210" s="365" t="s">
        <v>278</v>
      </c>
      <c r="D210" s="365" t="s">
        <v>293</v>
      </c>
      <c r="E210" s="475" t="s">
        <v>294</v>
      </c>
      <c r="F210" s="365">
        <v>260.0</v>
      </c>
      <c r="G210" s="370">
        <v>0.0</v>
      </c>
      <c r="H210" s="372">
        <v>4.7</v>
      </c>
      <c r="I210" s="372" t="s">
        <v>864</v>
      </c>
      <c r="J210" s="340" t="s">
        <v>73</v>
      </c>
      <c r="K210" s="365"/>
      <c r="L210" s="365"/>
      <c r="M210" s="365"/>
      <c r="N210" s="408">
        <v>-260.0</v>
      </c>
      <c r="O210" s="365"/>
      <c r="P210" s="479"/>
      <c r="Q210" s="414"/>
      <c r="AC210" s="194"/>
    </row>
    <row r="211" ht="14.0" customFormat="1" s="47">
      <c r="B211" s="365" t="s">
        <v>179</v>
      </c>
      <c r="C211" s="365" t="s">
        <v>110</v>
      </c>
      <c r="D211" s="365" t="s">
        <v>328</v>
      </c>
      <c r="E211" s="475" t="s">
        <v>329</v>
      </c>
      <c r="F211" s="365">
        <v>201.0</v>
      </c>
      <c r="G211" s="370">
        <v>26.0</v>
      </c>
      <c r="H211" s="372">
        <v>2.0</v>
      </c>
      <c r="I211" s="372">
        <v>52.05</v>
      </c>
      <c r="J211" s="342" t="s">
        <v>518</v>
      </c>
      <c r="K211" s="365"/>
      <c r="L211" s="365"/>
      <c r="M211" s="365"/>
      <c r="N211" s="408">
        <v>-175.0</v>
      </c>
      <c r="O211" s="365"/>
      <c r="P211" s="479"/>
      <c r="Q211" s="414"/>
      <c r="AC211" s="194"/>
    </row>
    <row r="212" ht="14.0" customFormat="1" s="47">
      <c r="B212" s="365" t="s">
        <v>179</v>
      </c>
      <c r="C212" s="365" t="s">
        <v>110</v>
      </c>
      <c r="D212" s="365" t="s">
        <v>335</v>
      </c>
      <c r="E212" s="475" t="s">
        <v>336</v>
      </c>
      <c r="F212" s="365">
        <v>177.0</v>
      </c>
      <c r="G212" s="370">
        <v>74.0</v>
      </c>
      <c r="H212" s="372">
        <v>2.01</v>
      </c>
      <c r="I212" s="372">
        <v>149.07</v>
      </c>
      <c r="J212" s="342" t="s">
        <v>520</v>
      </c>
      <c r="K212" s="365"/>
      <c r="L212" s="365"/>
      <c r="M212" s="365"/>
      <c r="N212" s="408">
        <v>-103.0</v>
      </c>
      <c r="O212" s="365"/>
      <c r="P212" s="479"/>
      <c r="Q212" s="414"/>
      <c r="AC212" s="194"/>
    </row>
    <row r="213" ht="14.0" customFormat="1" s="47">
      <c r="B213" s="365" t="s">
        <v>179</v>
      </c>
      <c r="C213" s="365" t="s">
        <v>347</v>
      </c>
      <c r="D213" s="365" t="s">
        <v>348</v>
      </c>
      <c r="E213" s="475" t="s">
        <v>349</v>
      </c>
      <c r="F213" s="365">
        <v>43.0</v>
      </c>
      <c r="G213" s="370">
        <v>0.0</v>
      </c>
      <c r="H213" s="372"/>
      <c r="I213" s="372" t="s">
        <v>864</v>
      </c>
      <c r="J213" s="340" t="s">
        <v>73</v>
      </c>
      <c r="K213" s="365"/>
      <c r="L213" s="365"/>
      <c r="M213" s="365"/>
      <c r="N213" s="408">
        <v>-43.0</v>
      </c>
      <c r="O213" s="365"/>
      <c r="P213" s="479"/>
      <c r="Q213" s="414"/>
      <c r="AC213" s="194"/>
    </row>
    <row r="214" ht="14.0" customFormat="1" s="47">
      <c r="B214" s="365" t="s">
        <v>179</v>
      </c>
      <c r="C214" s="365" t="s">
        <v>347</v>
      </c>
      <c r="D214" s="365" t="s">
        <v>353</v>
      </c>
      <c r="E214" s="475" t="s">
        <v>354</v>
      </c>
      <c r="F214" s="365">
        <v>33.0</v>
      </c>
      <c r="G214" s="370">
        <v>0.0</v>
      </c>
      <c r="H214" s="372"/>
      <c r="I214" s="372" t="s">
        <v>864</v>
      </c>
      <c r="J214" s="340" t="s">
        <v>73</v>
      </c>
      <c r="K214" s="365"/>
      <c r="L214" s="365"/>
      <c r="M214" s="365"/>
      <c r="N214" s="408">
        <v>-33.0</v>
      </c>
      <c r="O214" s="365"/>
      <c r="P214" s="479"/>
      <c r="Q214" s="414"/>
      <c r="AC214" s="194"/>
    </row>
    <row r="215" ht="14.0" customFormat="1" s="47">
      <c r="B215" s="365" t="s">
        <v>179</v>
      </c>
      <c r="C215" s="365" t="s">
        <v>361</v>
      </c>
      <c r="D215" s="365" t="s">
        <v>366</v>
      </c>
      <c r="E215" s="475" t="s">
        <v>367</v>
      </c>
      <c r="F215" s="365">
        <v>99.0</v>
      </c>
      <c r="G215" s="370">
        <v>94.0</v>
      </c>
      <c r="H215" s="372">
        <v>3.31</v>
      </c>
      <c r="I215" s="372">
        <v>311.53</v>
      </c>
      <c r="J215" s="342" t="s">
        <v>6</v>
      </c>
      <c r="K215" s="365"/>
      <c r="L215" s="365"/>
      <c r="M215" s="365"/>
      <c r="N215" s="408">
        <v>-5.0</v>
      </c>
      <c r="O215" s="365"/>
      <c r="P215" s="479"/>
      <c r="Q215" s="414"/>
      <c r="AC215" s="194"/>
    </row>
    <row r="216" ht="14.0" customFormat="1" s="47">
      <c r="B216" s="365" t="s">
        <v>179</v>
      </c>
      <c r="C216" s="365" t="s">
        <v>378</v>
      </c>
      <c r="D216" s="365" t="s">
        <v>383</v>
      </c>
      <c r="E216" s="475" t="s">
        <v>384</v>
      </c>
      <c r="F216" s="365">
        <v>73.0</v>
      </c>
      <c r="G216" s="370">
        <v>44.0</v>
      </c>
      <c r="H216" s="372">
        <v>3.22</v>
      </c>
      <c r="I216" s="372">
        <v>141.71</v>
      </c>
      <c r="J216" s="342" t="s">
        <v>4</v>
      </c>
      <c r="K216" s="365"/>
      <c r="L216" s="365"/>
      <c r="M216" s="365"/>
      <c r="N216" s="408">
        <v>-29.0</v>
      </c>
      <c r="O216" s="365"/>
      <c r="P216" s="479"/>
      <c r="Q216" s="414"/>
      <c r="AC216" s="194"/>
    </row>
    <row r="217" ht="14.0" customFormat="1" s="47">
      <c r="B217" s="365" t="s">
        <v>179</v>
      </c>
      <c r="C217" s="365" t="s">
        <v>397</v>
      </c>
      <c r="D217" s="365" t="s">
        <v>398</v>
      </c>
      <c r="E217" s="475" t="s">
        <v>399</v>
      </c>
      <c r="F217" s="365">
        <v>185.0</v>
      </c>
      <c r="G217" s="370">
        <v>5.0</v>
      </c>
      <c r="H217" s="372">
        <v>4.4</v>
      </c>
      <c r="I217" s="372">
        <v>22.01</v>
      </c>
      <c r="J217" s="342" t="s">
        <v>518</v>
      </c>
      <c r="K217" s="365"/>
      <c r="L217" s="365"/>
      <c r="M217" s="365"/>
      <c r="N217" s="408">
        <v>-180.0</v>
      </c>
      <c r="O217" s="365"/>
      <c r="P217" s="479"/>
      <c r="Q217" s="414"/>
      <c r="AC217" s="194"/>
    </row>
    <row r="218" ht="14.0" customFormat="1" s="47">
      <c r="B218" s="365" t="s">
        <v>179</v>
      </c>
      <c r="C218" s="365" t="s">
        <v>397</v>
      </c>
      <c r="D218" s="365" t="s">
        <v>400</v>
      </c>
      <c r="E218" s="475" t="s">
        <v>401</v>
      </c>
      <c r="F218" s="365">
        <v>125.0</v>
      </c>
      <c r="G218" s="370">
        <v>0.0</v>
      </c>
      <c r="H218" s="372"/>
      <c r="I218" s="372" t="s">
        <v>864</v>
      </c>
      <c r="J218" s="340" t="s">
        <v>73</v>
      </c>
      <c r="K218" s="365"/>
      <c r="L218" s="365"/>
      <c r="M218" s="365"/>
      <c r="N218" s="408">
        <v>-125.0</v>
      </c>
      <c r="O218" s="365"/>
      <c r="P218" s="479"/>
      <c r="Q218" s="414"/>
      <c r="AC218" s="194"/>
    </row>
    <row r="219" ht="14.0" customFormat="1" s="47">
      <c r="B219" s="365" t="s">
        <v>179</v>
      </c>
      <c r="C219" s="365" t="s">
        <v>630</v>
      </c>
      <c r="D219" s="365" t="s">
        <v>635</v>
      </c>
      <c r="E219" s="475" t="s">
        <v>636</v>
      </c>
      <c r="F219" s="365">
        <v>246.0</v>
      </c>
      <c r="G219" s="370">
        <v>230.0</v>
      </c>
      <c r="H219" s="372">
        <v>5.4</v>
      </c>
      <c r="I219" s="372">
        <v>1242.28</v>
      </c>
      <c r="J219" s="342" t="s">
        <v>6</v>
      </c>
      <c r="K219" s="365"/>
      <c r="L219" s="365"/>
      <c r="M219" s="365"/>
      <c r="N219" s="408">
        <v>-16.0</v>
      </c>
      <c r="O219" s="365"/>
      <c r="P219" s="479"/>
      <c r="Q219" s="414"/>
      <c r="AC219" s="194"/>
    </row>
    <row r="220" ht="14.0" customFormat="1" s="47">
      <c r="B220" s="365" t="s">
        <v>179</v>
      </c>
      <c r="C220" s="365" t="s">
        <v>712</v>
      </c>
      <c r="D220" s="365" t="s">
        <v>715</v>
      </c>
      <c r="E220" s="475" t="s">
        <v>716</v>
      </c>
      <c r="F220" s="365">
        <v>306.0</v>
      </c>
      <c r="G220" s="370">
        <v>106.0</v>
      </c>
      <c r="H220" s="372">
        <v>1.93</v>
      </c>
      <c r="I220" s="372">
        <v>204.77</v>
      </c>
      <c r="J220" s="342" t="s">
        <v>520</v>
      </c>
      <c r="K220" s="365"/>
      <c r="L220" s="365"/>
      <c r="M220" s="365"/>
      <c r="N220" s="408">
        <v>-200.0</v>
      </c>
      <c r="O220" s="365"/>
      <c r="P220" s="479"/>
      <c r="Q220" s="414"/>
      <c r="AC220" s="194"/>
    </row>
    <row r="221" ht="14.0" customFormat="1" s="47">
      <c r="B221" s="365" t="s">
        <v>179</v>
      </c>
      <c r="C221" s="365" t="s">
        <v>712</v>
      </c>
      <c r="D221" s="365" t="s">
        <v>719</v>
      </c>
      <c r="E221" s="475" t="s">
        <v>720</v>
      </c>
      <c r="F221" s="365">
        <v>349.0</v>
      </c>
      <c r="G221" s="370">
        <v>61.0</v>
      </c>
      <c r="H221" s="372">
        <v>1.93</v>
      </c>
      <c r="I221" s="372">
        <v>117.48</v>
      </c>
      <c r="J221" s="342" t="s">
        <v>519</v>
      </c>
      <c r="K221" s="365"/>
      <c r="L221" s="365"/>
      <c r="M221" s="365"/>
      <c r="N221" s="408">
        <v>-288.0</v>
      </c>
      <c r="O221" s="365"/>
      <c r="P221" s="479"/>
      <c r="Q221" s="414"/>
      <c r="AC221" s="194"/>
    </row>
    <row r="222" ht="14.0" customFormat="1" s="47">
      <c r="E222" s="185"/>
      <c r="G222" s="64"/>
      <c r="H222" s="308"/>
      <c r="I222" s="308">
        <f>SUM(I194:I221)</f>
        <v>4497.57</v>
      </c>
      <c r="J222" s="185"/>
      <c r="N222" s="307"/>
      <c r="P222" s="218"/>
      <c r="Q222" s="66"/>
      <c r="AC222" s="194"/>
    </row>
    <row r="223" customFormat="1" s="47">
      <c r="E223" s="185"/>
      <c r="G223" s="64"/>
      <c r="H223" s="308"/>
      <c r="I223" s="308"/>
      <c r="J223" s="185"/>
      <c r="N223" s="307"/>
      <c r="P223" s="218"/>
      <c r="Q223" s="66"/>
      <c r="AC223" s="194"/>
    </row>
    <row r="224" customFormat="1" s="47">
      <c r="E224" s="185"/>
      <c r="G224" s="64"/>
      <c r="H224" s="308"/>
      <c r="I224" s="308"/>
      <c r="J224" s="185"/>
      <c r="N224" s="307"/>
      <c r="P224" s="218"/>
      <c r="Q224" s="66"/>
      <c r="AC224" s="194"/>
    </row>
    <row r="225" customFormat="1" s="47">
      <c r="E225" s="185"/>
      <c r="G225" s="64"/>
      <c r="H225" s="306"/>
      <c r="I225" s="67"/>
      <c r="J225" s="185"/>
      <c r="N225" s="307"/>
      <c r="P225" s="218"/>
    </row>
    <row r="226" customFormat="1" s="47">
      <c r="E226" s="185"/>
      <c r="G226" s="64"/>
      <c r="H226" s="308"/>
      <c r="I226" s="308"/>
      <c r="J226" s="185"/>
      <c r="N226" s="307"/>
      <c r="P226" s="218"/>
      <c r="Q226" s="66"/>
      <c r="AC226" s="194"/>
    </row>
    <row r="227" customFormat="1" s="47">
      <c r="E227" s="185"/>
      <c r="G227" s="64"/>
      <c r="H227" s="308"/>
      <c r="I227" s="308"/>
      <c r="J227" s="185"/>
      <c r="N227" s="307"/>
      <c r="P227" s="218"/>
      <c r="Q227" s="66"/>
      <c r="AC227" s="194"/>
    </row>
    <row r="228" customFormat="1" s="47">
      <c r="E228" s="185"/>
      <c r="G228" s="64"/>
      <c r="H228" s="308"/>
      <c r="I228" s="308"/>
      <c r="J228" s="185"/>
      <c r="N228" s="307"/>
      <c r="P228" s="218"/>
      <c r="Q228" s="66"/>
      <c r="AC228" s="194"/>
    </row>
    <row r="229" customFormat="1" s="47">
      <c r="E229" s="185"/>
      <c r="G229" s="64"/>
      <c r="H229" s="308"/>
      <c r="I229" s="308"/>
      <c r="J229" s="185"/>
      <c r="N229" s="307"/>
      <c r="P229" s="218"/>
      <c r="Q229" s="66"/>
      <c r="AC229" s="194"/>
    </row>
    <row r="230" customFormat="1" s="47">
      <c r="E230" s="185"/>
      <c r="G230" s="64"/>
      <c r="H230" s="308"/>
      <c r="I230" s="308"/>
      <c r="J230" s="185"/>
      <c r="N230" s="307"/>
      <c r="P230" s="218"/>
      <c r="Q230" s="66"/>
      <c r="AC230" s="194"/>
    </row>
    <row r="231" customFormat="1" s="47">
      <c r="E231" s="185"/>
      <c r="G231" s="64"/>
      <c r="H231" s="308"/>
      <c r="I231" s="308"/>
      <c r="J231" s="185"/>
      <c r="N231" s="307"/>
      <c r="P231" s="218"/>
      <c r="Q231" s="66"/>
      <c r="AC231" s="194"/>
    </row>
    <row r="232" customFormat="1" s="47">
      <c r="E232" s="185"/>
      <c r="G232" s="64"/>
      <c r="H232" s="308"/>
      <c r="I232" s="308"/>
      <c r="J232" s="185"/>
      <c r="N232" s="307"/>
      <c r="P232" s="218"/>
      <c r="Q232" s="66"/>
      <c r="AC232" s="194"/>
    </row>
    <row r="233" customFormat="1" s="47">
      <c r="E233" s="185"/>
      <c r="G233" s="64"/>
      <c r="H233" s="308"/>
      <c r="I233" s="308"/>
      <c r="J233" s="185"/>
      <c r="N233" s="307"/>
      <c r="P233" s="218"/>
      <c r="Q233" s="66"/>
      <c r="AC233" s="194"/>
    </row>
    <row r="234" customFormat="1" s="47">
      <c r="E234" s="185"/>
      <c r="G234" s="64"/>
      <c r="H234" s="308"/>
      <c r="I234" s="308"/>
      <c r="J234" s="185"/>
      <c r="N234" s="307"/>
      <c r="P234" s="218"/>
      <c r="Q234" s="66"/>
      <c r="AC234" s="194"/>
    </row>
    <row r="235" customFormat="1" s="47">
      <c r="E235" s="185"/>
      <c r="G235" s="64"/>
      <c r="H235" s="308"/>
      <c r="I235" s="308"/>
      <c r="J235" s="185"/>
      <c r="N235" s="307"/>
      <c r="P235" s="218"/>
      <c r="Q235" s="66"/>
      <c r="AC235" s="194"/>
    </row>
    <row r="236" customFormat="1" s="47">
      <c r="E236" s="185"/>
      <c r="G236" s="64"/>
      <c r="H236" s="308"/>
      <c r="I236" s="308"/>
      <c r="J236" s="185"/>
      <c r="N236" s="307"/>
      <c r="P236" s="218"/>
      <c r="Q236" s="66"/>
      <c r="AC236" s="194"/>
    </row>
    <row r="237" customFormat="1" s="47">
      <c r="E237" s="185"/>
      <c r="G237" s="64"/>
      <c r="H237" s="308"/>
      <c r="I237" s="308"/>
      <c r="J237" s="185"/>
      <c r="N237" s="307"/>
      <c r="P237" s="218"/>
      <c r="Q237" s="66"/>
      <c r="AC237" s="194"/>
    </row>
    <row r="238" customFormat="1" s="47">
      <c r="E238" s="185"/>
      <c r="G238" s="64"/>
      <c r="H238" s="308"/>
      <c r="I238" s="308"/>
      <c r="J238" s="185"/>
      <c r="N238" s="307"/>
      <c r="P238" s="218"/>
      <c r="Q238" s="66"/>
      <c r="AC238" s="194"/>
    </row>
    <row r="239" customFormat="1" s="47">
      <c r="E239" s="185"/>
      <c r="G239" s="64"/>
      <c r="H239" s="308"/>
      <c r="I239" s="308"/>
      <c r="J239" s="185"/>
      <c r="N239" s="307"/>
      <c r="P239" s="218"/>
      <c r="Q239" s="66"/>
      <c r="AC239" s="194"/>
    </row>
    <row r="240" customFormat="1" s="47">
      <c r="E240" s="185"/>
      <c r="G240" s="64"/>
      <c r="H240" s="308"/>
      <c r="I240" s="308"/>
      <c r="J240" s="185"/>
      <c r="N240" s="307"/>
      <c r="P240" s="218"/>
      <c r="Q240" s="66"/>
      <c r="AC240" s="194"/>
    </row>
    <row r="241" customFormat="1" s="47">
      <c r="E241" s="185"/>
      <c r="G241" s="64"/>
      <c r="H241" s="308"/>
      <c r="I241" s="308"/>
      <c r="J241" s="185"/>
      <c r="N241" s="307"/>
      <c r="P241" s="218"/>
      <c r="Q241" s="66"/>
      <c r="AC241" s="194"/>
    </row>
    <row r="242" customFormat="1" s="47">
      <c r="E242" s="185"/>
      <c r="G242" s="64"/>
      <c r="H242" s="308"/>
      <c r="I242" s="308"/>
      <c r="J242" s="185"/>
      <c r="N242" s="307"/>
      <c r="P242" s="218"/>
      <c r="Q242" s="66"/>
      <c r="AC242" s="194"/>
    </row>
    <row r="243" customFormat="1" s="47">
      <c r="E243" s="185"/>
      <c r="G243" s="64"/>
      <c r="H243" s="308"/>
      <c r="I243" s="308"/>
      <c r="J243" s="185"/>
      <c r="N243" s="307"/>
      <c r="P243" s="218"/>
      <c r="Q243" s="66"/>
      <c r="AC243" s="194"/>
    </row>
    <row r="244" customFormat="1" s="47">
      <c r="E244" s="185"/>
      <c r="G244" s="64"/>
      <c r="H244" s="308"/>
      <c r="I244" s="308"/>
      <c r="J244" s="185"/>
      <c r="N244" s="307"/>
      <c r="P244" s="218"/>
      <c r="Q244" s="66"/>
      <c r="AC244" s="194"/>
    </row>
    <row r="245" customFormat="1" s="47">
      <c r="E245" s="185"/>
      <c r="G245" s="64"/>
      <c r="H245" s="308"/>
      <c r="I245" s="308"/>
      <c r="J245" s="185"/>
      <c r="N245" s="307"/>
      <c r="P245" s="218"/>
      <c r="Q245" s="66"/>
      <c r="AC245" s="194"/>
    </row>
    <row r="246" customFormat="1" s="47">
      <c r="E246" s="185"/>
      <c r="G246" s="64"/>
      <c r="H246" s="308"/>
      <c r="I246" s="308"/>
      <c r="J246" s="185"/>
      <c r="N246" s="307"/>
      <c r="P246" s="218"/>
      <c r="Q246" s="66"/>
      <c r="AC246" s="194"/>
    </row>
    <row r="247" customFormat="1" s="47">
      <c r="E247" s="185"/>
      <c r="G247" s="64"/>
      <c r="H247" s="308"/>
      <c r="I247" s="308"/>
      <c r="J247" s="185"/>
      <c r="N247" s="307"/>
      <c r="P247" s="218"/>
      <c r="Q247" s="66"/>
      <c r="AC247" s="194"/>
    </row>
    <row r="248" customFormat="1" s="47">
      <c r="E248" s="185"/>
      <c r="G248" s="64"/>
      <c r="H248" s="308"/>
      <c r="I248" s="308"/>
      <c r="J248" s="185"/>
      <c r="N248" s="307"/>
      <c r="P248" s="218"/>
      <c r="Q248" s="66"/>
      <c r="AC248" s="194"/>
    </row>
    <row r="249" customFormat="1" s="47">
      <c r="E249" s="185"/>
      <c r="G249" s="64"/>
      <c r="H249" s="308"/>
      <c r="I249" s="308"/>
      <c r="J249" s="185"/>
      <c r="N249" s="307"/>
      <c r="P249" s="218"/>
      <c r="Q249" s="66"/>
      <c r="AC249" s="194"/>
    </row>
    <row r="250" customFormat="1" s="47">
      <c r="E250" s="185"/>
      <c r="G250" s="64"/>
      <c r="H250" s="308"/>
      <c r="I250" s="308"/>
      <c r="J250" s="185"/>
      <c r="N250" s="307"/>
      <c r="P250" s="218"/>
      <c r="Q250" s="66"/>
      <c r="AC250" s="194"/>
    </row>
    <row r="251" customFormat="1" s="47">
      <c r="E251" s="185"/>
      <c r="G251" s="64"/>
      <c r="H251" s="308"/>
      <c r="I251" s="308"/>
      <c r="J251" s="185"/>
      <c r="N251" s="307"/>
      <c r="P251" s="218"/>
      <c r="Q251" s="66"/>
      <c r="AC251" s="194"/>
    </row>
    <row r="252" customFormat="1" s="47">
      <c r="E252" s="185"/>
      <c r="G252" s="64"/>
      <c r="H252" s="308"/>
      <c r="I252" s="308"/>
      <c r="J252" s="185"/>
      <c r="N252" s="307"/>
      <c r="P252" s="218"/>
      <c r="Q252" s="66"/>
      <c r="AC252" s="194"/>
    </row>
    <row r="253" customFormat="1" s="47">
      <c r="E253" s="185"/>
      <c r="G253" s="64"/>
      <c r="H253" s="308"/>
      <c r="I253" s="308"/>
      <c r="J253" s="185"/>
      <c r="N253" s="307"/>
      <c r="P253" s="218"/>
      <c r="Q253" s="66"/>
      <c r="AC253" s="194"/>
    </row>
    <row r="254" customFormat="1" s="47">
      <c r="E254" s="185"/>
      <c r="G254" s="64"/>
      <c r="H254" s="308"/>
      <c r="I254" s="308"/>
      <c r="J254" s="185"/>
      <c r="N254" s="307"/>
      <c r="P254" s="218"/>
      <c r="Q254" s="66"/>
      <c r="AC254" s="194"/>
    </row>
    <row r="255" customFormat="1" s="47">
      <c r="E255" s="185"/>
      <c r="G255" s="64"/>
      <c r="H255" s="308"/>
      <c r="I255" s="308"/>
      <c r="J255" s="185"/>
      <c r="N255" s="307"/>
      <c r="P255" s="218"/>
      <c r="Q255" s="66"/>
      <c r="AC255" s="194"/>
    </row>
    <row r="256" customFormat="1" s="47">
      <c r="E256" s="185"/>
      <c r="G256" s="64"/>
      <c r="H256" s="308"/>
      <c r="I256" s="308"/>
      <c r="J256" s="185"/>
      <c r="N256" s="307"/>
      <c r="P256" s="218"/>
      <c r="Q256" s="66"/>
      <c r="AC256" s="194"/>
    </row>
    <row r="257" customFormat="1" s="47">
      <c r="E257" s="185"/>
      <c r="G257" s="64"/>
      <c r="H257" s="308"/>
      <c r="I257" s="308"/>
      <c r="J257" s="185"/>
      <c r="N257" s="307"/>
      <c r="P257" s="218"/>
      <c r="Q257" s="66"/>
      <c r="AC257" s="194"/>
    </row>
    <row r="258" customFormat="1" s="47">
      <c r="E258" s="185"/>
      <c r="G258" s="64"/>
      <c r="H258" s="308"/>
      <c r="I258" s="308"/>
      <c r="J258" s="185"/>
      <c r="N258" s="307"/>
      <c r="P258" s="218"/>
      <c r="Q258" s="66"/>
      <c r="AC258" s="194"/>
    </row>
    <row r="259" customFormat="1" s="47">
      <c r="E259" s="185"/>
      <c r="G259" s="64"/>
      <c r="H259" s="308"/>
      <c r="I259" s="308"/>
      <c r="J259" s="185"/>
      <c r="N259" s="307"/>
      <c r="P259" s="218"/>
      <c r="Q259" s="66"/>
      <c r="AC259" s="194"/>
    </row>
    <row r="260" customFormat="1" s="47">
      <c r="E260" s="185"/>
      <c r="G260" s="64"/>
      <c r="H260" s="308"/>
      <c r="I260" s="308"/>
      <c r="J260" s="185"/>
      <c r="N260" s="307"/>
      <c r="P260" s="218"/>
      <c r="Q260" s="66"/>
      <c r="AC260" s="194"/>
    </row>
    <row r="261" customFormat="1" s="47">
      <c r="E261" s="185"/>
      <c r="G261" s="64"/>
      <c r="H261" s="308"/>
      <c r="I261" s="308"/>
      <c r="J261" s="185"/>
      <c r="N261" s="307"/>
      <c r="P261" s="218"/>
      <c r="Q261" s="66"/>
      <c r="AC261" s="194"/>
    </row>
    <row r="262" customFormat="1" s="47">
      <c r="E262" s="185"/>
      <c r="G262" s="64"/>
      <c r="H262" s="308"/>
      <c r="I262" s="308"/>
      <c r="J262" s="185"/>
      <c r="N262" s="307"/>
      <c r="P262" s="218"/>
      <c r="Q262" s="66"/>
      <c r="AC262" s="194"/>
    </row>
    <row r="263" customFormat="1" s="47">
      <c r="E263" s="185"/>
      <c r="G263" s="64"/>
      <c r="H263" s="308"/>
      <c r="I263" s="308"/>
      <c r="J263" s="185"/>
      <c r="N263" s="307"/>
      <c r="P263" s="218"/>
      <c r="Q263" s="66"/>
      <c r="AC263" s="194"/>
    </row>
    <row r="261139" customFormat="1" s="47">
      <c r="E261139" s="185"/>
      <c r="G261139" s="64"/>
      <c r="H261139" s="480"/>
      <c r="I261139" s="308"/>
      <c r="J261139" s="185"/>
      <c r="N261139" s="307"/>
      <c r="P261139" s="218"/>
      <c r="Q261139" s="66"/>
      <c r="AC261139" s="194"/>
    </row>
    <row r="261140" customFormat="1" s="47">
      <c r="E261140" s="185"/>
      <c r="G261140" s="64"/>
      <c r="H261140" s="480"/>
      <c r="I261140" s="308"/>
      <c r="J261140" s="185"/>
      <c r="N261140" s="307"/>
      <c r="P261140" s="218"/>
      <c r="Q261140" s="66"/>
      <c r="AC261140" s="194"/>
    </row>
    <row r="261141" customFormat="1" s="47">
      <c r="E261141" s="185"/>
      <c r="G261141" s="64"/>
      <c r="H261141" s="480"/>
      <c r="I261141" s="308"/>
      <c r="J261141" s="185"/>
      <c r="N261141" s="307"/>
      <c r="P261141" s="218"/>
      <c r="Q261141" s="66"/>
      <c r="AC261141" s="194"/>
    </row>
    <row r="261142" customFormat="1" s="47">
      <c r="E261142" s="185"/>
      <c r="G261142" s="64"/>
      <c r="H261142" s="480"/>
      <c r="I261142" s="308"/>
      <c r="J261142" s="185"/>
      <c r="N261142" s="307"/>
      <c r="P261142" s="218"/>
      <c r="Q261142" s="66"/>
      <c r="AC261142" s="194"/>
    </row>
    <row r="261143" customFormat="1" s="47">
      <c r="E261143" s="185"/>
      <c r="G261143" s="64"/>
      <c r="H261143" s="480"/>
      <c r="I261143" s="308"/>
      <c r="J261143" s="185"/>
      <c r="N261143" s="307"/>
      <c r="P261143" s="218"/>
      <c r="Q261143" s="66"/>
      <c r="AC261143" s="194"/>
    </row>
    <row r="261144" customFormat="1" s="47">
      <c r="E261144" s="185"/>
      <c r="G261144" s="64"/>
      <c r="H261144" s="480"/>
      <c r="I261144" s="308"/>
      <c r="J261144" s="185"/>
      <c r="N261144" s="307"/>
      <c r="P261144" s="218"/>
      <c r="Q261144" s="66"/>
      <c r="AC261144" s="194"/>
    </row>
    <row r="261145" customFormat="1" s="47">
      <c r="E261145" s="185"/>
      <c r="G261145" s="64"/>
      <c r="H261145" s="480"/>
      <c r="I261145" s="308"/>
      <c r="J261145" s="185"/>
      <c r="N261145" s="307"/>
      <c r="P261145" s="218"/>
      <c r="Q261145" s="66"/>
      <c r="AC261145" s="194"/>
    </row>
    <row r="261146" customFormat="1" s="47">
      <c r="E261146" s="185"/>
      <c r="G261146" s="64"/>
      <c r="H261146" s="480"/>
      <c r="I261146" s="308"/>
      <c r="J261146" s="185"/>
      <c r="N261146" s="307"/>
      <c r="P261146" s="218"/>
      <c r="Q261146" s="66"/>
      <c r="AC261146" s="194"/>
    </row>
    <row r="261147" customFormat="1" s="47">
      <c r="E261147" s="185"/>
      <c r="G261147" s="64"/>
      <c r="H261147" s="480"/>
      <c r="I261147" s="308"/>
      <c r="J261147" s="185"/>
      <c r="N261147" s="307"/>
      <c r="P261147" s="218"/>
      <c r="Q261147" s="66"/>
      <c r="AC261147" s="194"/>
    </row>
    <row r="261148" customFormat="1" s="47">
      <c r="E261148" s="185"/>
      <c r="G261148" s="64"/>
      <c r="H261148" s="480"/>
      <c r="I261148" s="308"/>
      <c r="J261148" s="185"/>
      <c r="N261148" s="307"/>
      <c r="P261148" s="218"/>
      <c r="Q261148" s="66"/>
      <c r="AC261148" s="194"/>
    </row>
    <row r="261149" customFormat="1" s="47">
      <c r="E261149" s="185"/>
      <c r="G261149" s="64"/>
      <c r="H261149" s="308"/>
      <c r="I261149" s="308"/>
      <c r="J261149" s="185"/>
      <c r="N261149" s="307"/>
      <c r="P261149" s="218"/>
      <c r="Q261149" s="66"/>
      <c r="AC261149" s="194"/>
    </row>
    <row r="261150" customFormat="1" s="47">
      <c r="E261150" s="185"/>
      <c r="G261150" s="64"/>
      <c r="H261150" s="308"/>
      <c r="I261150" s="308"/>
      <c r="J261150" s="185"/>
      <c r="N261150" s="307"/>
      <c r="P261150" s="218"/>
      <c r="Q261150" s="66"/>
      <c r="AC261150" s="194"/>
    </row>
    <row r="261151" customFormat="1" s="47">
      <c r="E261151" s="185"/>
      <c r="G261151" s="64"/>
      <c r="H261151" s="308"/>
      <c r="I261151" s="308"/>
      <c r="J261151" s="185"/>
      <c r="N261151" s="307"/>
      <c r="P261151" s="218"/>
      <c r="Q261151" s="66"/>
      <c r="AC261151" s="194"/>
    </row>
    <row r="261152" customFormat="1" s="47">
      <c r="E261152" s="185"/>
      <c r="G261152" s="64"/>
      <c r="H261152" s="308"/>
      <c r="I261152" s="308"/>
      <c r="J261152" s="185"/>
      <c r="N261152" s="307"/>
      <c r="P261152" s="218"/>
      <c r="Q261152" s="66"/>
      <c r="AC261152" s="194"/>
    </row>
    <row r="261153" customFormat="1" s="47">
      <c r="E261153" s="185"/>
      <c r="G261153" s="64"/>
      <c r="H261153" s="308"/>
      <c r="I261153" s="308"/>
      <c r="J261153" s="185"/>
      <c r="N261153" s="307"/>
      <c r="P261153" s="218"/>
      <c r="Q261153" s="66"/>
      <c r="AC261153" s="194"/>
    </row>
    <row r="261154" customFormat="1" s="47">
      <c r="E261154" s="185"/>
      <c r="G261154" s="64"/>
      <c r="H261154" s="308"/>
      <c r="I261154" s="308"/>
      <c r="J261154" s="185"/>
      <c r="N261154" s="307"/>
      <c r="P261154" s="218"/>
      <c r="Q261154" s="66"/>
      <c r="AC261154" s="194"/>
    </row>
    <row r="261155" customFormat="1" s="47">
      <c r="E261155" s="185"/>
      <c r="G261155" s="64"/>
      <c r="H261155" s="308"/>
      <c r="I261155" s="308"/>
      <c r="J261155" s="185"/>
      <c r="N261155" s="307"/>
      <c r="P261155" s="218"/>
      <c r="Q261155" s="66"/>
      <c r="AC261155" s="194"/>
    </row>
    <row r="261156" customFormat="1" s="47">
      <c r="E261156" s="185"/>
      <c r="G261156" s="64"/>
      <c r="H261156" s="308"/>
      <c r="I261156" s="308"/>
      <c r="J261156" s="185"/>
      <c r="N261156" s="307"/>
      <c r="P261156" s="218"/>
      <c r="Q261156" s="66"/>
      <c r="AC261156" s="194"/>
    </row>
    <row r="261157" customFormat="1" s="47">
      <c r="E261157" s="185"/>
      <c r="G261157" s="64"/>
      <c r="H261157" s="308"/>
      <c r="I261157" s="308"/>
      <c r="J261157" s="185"/>
      <c r="N261157" s="307"/>
      <c r="P261157" s="218"/>
      <c r="Q261157" s="66"/>
      <c r="AC261157" s="194"/>
    </row>
    <row r="261158" customFormat="1" s="47">
      <c r="E261158" s="185"/>
      <c r="G261158" s="64"/>
      <c r="H261158" s="308"/>
      <c r="I261158" s="308"/>
      <c r="J261158" s="185"/>
      <c r="N261158" s="307"/>
      <c r="P261158" s="218"/>
      <c r="Q261158" s="66"/>
      <c r="AC261158" s="194"/>
    </row>
    <row r="261159" customFormat="1" s="47">
      <c r="E261159" s="185"/>
      <c r="G261159" s="64"/>
      <c r="H261159" s="308"/>
      <c r="I261159" s="308"/>
      <c r="J261159" s="185"/>
      <c r="N261159" s="307"/>
      <c r="P261159" s="218"/>
      <c r="Q261159" s="66"/>
      <c r="AC261159" s="194"/>
    </row>
    <row r="261160" customFormat="1" s="47">
      <c r="E261160" s="185"/>
      <c r="G261160" s="64"/>
      <c r="H261160" s="308"/>
      <c r="I261160" s="308"/>
      <c r="J261160" s="185"/>
      <c r="N261160" s="307"/>
      <c r="P261160" s="218"/>
      <c r="Q261160" s="66"/>
      <c r="AC261160" s="194"/>
    </row>
    <row r="261161" customFormat="1" s="47">
      <c r="E261161" s="185"/>
      <c r="G261161" s="64"/>
      <c r="H261161" s="308"/>
      <c r="I261161" s="308"/>
      <c r="J261161" s="185"/>
      <c r="N261161" s="307"/>
      <c r="P261161" s="218"/>
      <c r="Q261161" s="66"/>
      <c r="AC261161" s="194"/>
    </row>
    <row r="261162" customFormat="1" s="47">
      <c r="E261162" s="185"/>
      <c r="G261162" s="64"/>
      <c r="H261162" s="308"/>
      <c r="I261162" s="308"/>
      <c r="J261162" s="185"/>
      <c r="N261162" s="307"/>
      <c r="P261162" s="218"/>
      <c r="Q261162" s="66"/>
      <c r="AC261162" s="194"/>
    </row>
    <row r="261163" customFormat="1" s="47">
      <c r="E261163" s="185"/>
      <c r="G261163" s="64"/>
      <c r="H261163" s="308"/>
      <c r="I261163" s="308"/>
      <c r="J261163" s="185"/>
      <c r="N261163" s="307"/>
      <c r="P261163" s="218"/>
      <c r="Q261163" s="66"/>
      <c r="AC261163" s="194"/>
    </row>
    <row r="261164" customFormat="1" s="47">
      <c r="E261164" s="185"/>
      <c r="G261164" s="64"/>
      <c r="H261164" s="308"/>
      <c r="I261164" s="308"/>
      <c r="J261164" s="185"/>
      <c r="N261164" s="307"/>
      <c r="P261164" s="218"/>
      <c r="Q261164" s="66"/>
      <c r="AC261164" s="194"/>
    </row>
    <row r="261165" customFormat="1" s="47">
      <c r="E261165" s="185"/>
      <c r="G261165" s="64"/>
      <c r="H261165" s="308"/>
      <c r="I261165" s="308"/>
      <c r="J261165" s="185"/>
      <c r="N261165" s="307"/>
      <c r="P261165" s="218"/>
      <c r="Q261165" s="66"/>
      <c r="AC261165" s="194"/>
    </row>
    <row r="261166" customFormat="1" s="47">
      <c r="E261166" s="185"/>
      <c r="G261166" s="64"/>
      <c r="H261166" s="308"/>
      <c r="I261166" s="308"/>
      <c r="J261166" s="185"/>
      <c r="N261166" s="307"/>
      <c r="P261166" s="218"/>
      <c r="Q261166" s="66"/>
      <c r="AC261166" s="194"/>
    </row>
    <row r="261167" customFormat="1" s="47">
      <c r="E261167" s="185"/>
      <c r="G261167" s="64"/>
      <c r="H261167" s="308"/>
      <c r="I261167" s="308"/>
      <c r="J261167" s="185"/>
      <c r="N261167" s="307"/>
      <c r="P261167" s="218"/>
      <c r="Q261167" s="66"/>
      <c r="AC261167" s="194"/>
    </row>
    <row r="261168" customFormat="1" s="47">
      <c r="E261168" s="185"/>
      <c r="G261168" s="64"/>
      <c r="H261168" s="308"/>
      <c r="I261168" s="308"/>
      <c r="J261168" s="185"/>
      <c r="N261168" s="307"/>
      <c r="P261168" s="218"/>
      <c r="Q261168" s="66"/>
      <c r="AC261168" s="194"/>
    </row>
    <row r="261169" customFormat="1" s="47">
      <c r="E261169" s="185"/>
      <c r="G261169" s="64"/>
      <c r="H261169" s="308"/>
      <c r="I261169" s="308"/>
      <c r="J261169" s="185"/>
      <c r="N261169" s="307"/>
      <c r="P261169" s="218"/>
      <c r="Q261169" s="66"/>
      <c r="AC261169" s="194"/>
    </row>
    <row r="261170" customFormat="1" s="47">
      <c r="E261170" s="185"/>
      <c r="G261170" s="64"/>
      <c r="H261170" s="308"/>
      <c r="I261170" s="308"/>
      <c r="J261170" s="185"/>
      <c r="N261170" s="307"/>
      <c r="P261170" s="218"/>
      <c r="Q261170" s="66"/>
      <c r="AC261170" s="194"/>
    </row>
    <row r="261171" customFormat="1" s="47">
      <c r="E261171" s="185"/>
      <c r="G261171" s="64"/>
      <c r="H261171" s="308"/>
      <c r="I261171" s="308"/>
      <c r="J261171" s="185"/>
      <c r="N261171" s="307"/>
      <c r="P261171" s="218"/>
      <c r="Q261171" s="66"/>
      <c r="AC261171" s="194"/>
    </row>
    <row r="261172" customFormat="1" s="47">
      <c r="E261172" s="185"/>
      <c r="G261172" s="64"/>
      <c r="H261172" s="308"/>
      <c r="I261172" s="308"/>
      <c r="J261172" s="185"/>
      <c r="N261172" s="307"/>
      <c r="P261172" s="218"/>
      <c r="Q261172" s="66"/>
      <c r="AC261172" s="194"/>
    </row>
    <row r="261173" customFormat="1" s="47">
      <c r="E261173" s="185"/>
      <c r="G261173" s="64"/>
      <c r="H261173" s="308"/>
      <c r="I261173" s="308"/>
      <c r="J261173" s="185"/>
      <c r="N261173" s="307"/>
      <c r="P261173" s="218"/>
      <c r="Q261173" s="66"/>
      <c r="AC261173" s="194"/>
    </row>
    <row r="261174" customFormat="1" s="47">
      <c r="E261174" s="185"/>
      <c r="G261174" s="64"/>
      <c r="H261174" s="308"/>
      <c r="I261174" s="308"/>
      <c r="J261174" s="185"/>
      <c r="N261174" s="307"/>
      <c r="P261174" s="218"/>
      <c r="Q261174" s="66"/>
      <c r="AC261174" s="194"/>
    </row>
    <row r="261175" customFormat="1" s="47">
      <c r="E261175" s="185"/>
      <c r="G261175" s="64"/>
      <c r="H261175" s="308"/>
      <c r="I261175" s="308"/>
      <c r="J261175" s="185"/>
      <c r="N261175" s="307"/>
      <c r="P261175" s="218"/>
      <c r="Q261175" s="66"/>
      <c r="AC261175" s="194"/>
    </row>
    <row r="261176" customFormat="1" s="47">
      <c r="E261176" s="185"/>
      <c r="G261176" s="64"/>
      <c r="H261176" s="308"/>
      <c r="I261176" s="308"/>
      <c r="J261176" s="185"/>
      <c r="N261176" s="307"/>
      <c r="P261176" s="218"/>
      <c r="Q261176" s="66"/>
      <c r="AC261176" s="194"/>
    </row>
    <row r="261177" customFormat="1" s="47">
      <c r="E261177" s="185"/>
      <c r="G261177" s="64"/>
      <c r="H261177" s="308"/>
      <c r="I261177" s="308"/>
      <c r="J261177" s="185"/>
      <c r="N261177" s="307"/>
      <c r="P261177" s="218"/>
      <c r="Q261177" s="66"/>
      <c r="AC261177" s="194"/>
    </row>
    <row r="261178" customFormat="1" s="47">
      <c r="E261178" s="185"/>
      <c r="G261178" s="64"/>
      <c r="H261178" s="308"/>
      <c r="I261178" s="308"/>
      <c r="J261178" s="185"/>
      <c r="N261178" s="307"/>
      <c r="P261178" s="218"/>
      <c r="Q261178" s="66"/>
      <c r="AC261178" s="194"/>
    </row>
    <row r="261179" customFormat="1" s="47">
      <c r="E261179" s="185"/>
      <c r="G261179" s="64"/>
      <c r="H261179" s="308"/>
      <c r="I261179" s="308"/>
      <c r="J261179" s="185"/>
      <c r="N261179" s="307"/>
      <c r="P261179" s="218"/>
      <c r="Q261179" s="66"/>
      <c r="AC261179" s="194"/>
    </row>
    <row r="261180" customFormat="1" s="47">
      <c r="E261180" s="185"/>
      <c r="G261180" s="64"/>
      <c r="H261180" s="308"/>
      <c r="I261180" s="308"/>
      <c r="J261180" s="185"/>
      <c r="N261180" s="307"/>
      <c r="P261180" s="218"/>
      <c r="Q261180" s="66"/>
      <c r="AC261180" s="194"/>
    </row>
    <row r="261181" customFormat="1" s="47">
      <c r="E261181" s="185"/>
      <c r="G261181" s="64"/>
      <c r="H261181" s="308"/>
      <c r="I261181" s="308"/>
      <c r="J261181" s="185"/>
      <c r="N261181" s="307"/>
      <c r="P261181" s="218"/>
      <c r="Q261181" s="66"/>
      <c r="AC261181" s="194"/>
    </row>
    <row r="261182" customFormat="1" s="47">
      <c r="E261182" s="185"/>
      <c r="G261182" s="64"/>
      <c r="H261182" s="308"/>
      <c r="I261182" s="308"/>
      <c r="J261182" s="185"/>
      <c r="N261182" s="307"/>
      <c r="P261182" s="218"/>
      <c r="Q261182" s="66"/>
      <c r="AC261182" s="194"/>
    </row>
    <row r="261183" customFormat="1" s="47">
      <c r="E261183" s="185"/>
      <c r="G261183" s="64"/>
      <c r="H261183" s="308"/>
      <c r="I261183" s="308"/>
      <c r="J261183" s="185"/>
      <c r="N261183" s="307"/>
      <c r="P261183" s="218"/>
      <c r="Q261183" s="66"/>
      <c r="AC261183" s="194"/>
    </row>
    <row r="261184" customFormat="1" s="47">
      <c r="E261184" s="185"/>
      <c r="G261184" s="64"/>
      <c r="H261184" s="308"/>
      <c r="I261184" s="308"/>
      <c r="J261184" s="185"/>
      <c r="N261184" s="307"/>
      <c r="P261184" s="218"/>
      <c r="Q261184" s="66"/>
      <c r="AC261184" s="194"/>
    </row>
    <row r="261185" customFormat="1" s="47">
      <c r="E261185" s="185"/>
      <c r="G261185" s="64"/>
      <c r="H261185" s="308"/>
      <c r="I261185" s="308"/>
      <c r="J261185" s="185"/>
      <c r="N261185" s="307"/>
      <c r="P261185" s="218"/>
      <c r="Q261185" s="66"/>
      <c r="AC261185" s="194"/>
    </row>
    <row r="261186" customFormat="1" s="47">
      <c r="E261186" s="185"/>
      <c r="G261186" s="64"/>
      <c r="H261186" s="308"/>
      <c r="I261186" s="308"/>
      <c r="J261186" s="185"/>
      <c r="N261186" s="307"/>
      <c r="P261186" s="218"/>
      <c r="Q261186" s="66"/>
      <c r="AC261186" s="194"/>
    </row>
    <row r="261187" customFormat="1" s="47">
      <c r="E261187" s="185"/>
      <c r="G261187" s="64"/>
      <c r="H261187" s="308"/>
      <c r="I261187" s="308"/>
      <c r="J261187" s="185"/>
      <c r="N261187" s="307"/>
      <c r="P261187" s="218"/>
      <c r="Q261187" s="66"/>
      <c r="AC261187" s="194"/>
    </row>
    <row r="261188" customFormat="1" s="47">
      <c r="E261188" s="185"/>
      <c r="G261188" s="64"/>
      <c r="H261188" s="308"/>
      <c r="I261188" s="308"/>
      <c r="J261188" s="185"/>
      <c r="N261188" s="307"/>
      <c r="P261188" s="218"/>
      <c r="Q261188" s="66"/>
      <c r="AC261188" s="194"/>
    </row>
    <row r="261189" customFormat="1" s="47">
      <c r="E261189" s="185"/>
      <c r="G261189" s="64"/>
      <c r="H261189" s="308"/>
      <c r="I261189" s="308"/>
      <c r="J261189" s="185"/>
      <c r="N261189" s="307"/>
      <c r="P261189" s="218"/>
      <c r="Q261189" s="66"/>
      <c r="AC261189" s="194"/>
    </row>
    <row r="261190" customFormat="1" s="47">
      <c r="E261190" s="185"/>
      <c r="G261190" s="64"/>
      <c r="H261190" s="308"/>
      <c r="I261190" s="308"/>
      <c r="J261190" s="185"/>
      <c r="N261190" s="307"/>
      <c r="P261190" s="218"/>
      <c r="Q261190" s="66"/>
      <c r="AC261190" s="194"/>
    </row>
    <row r="261191" customFormat="1" s="47">
      <c r="E261191" s="185"/>
      <c r="G261191" s="64"/>
      <c r="H261191" s="308"/>
      <c r="I261191" s="308"/>
      <c r="J261191" s="185"/>
      <c r="N261191" s="307"/>
      <c r="P261191" s="218"/>
      <c r="Q261191" s="66"/>
      <c r="AC261191" s="194"/>
    </row>
    <row r="261192" customFormat="1" s="47">
      <c r="E261192" s="185"/>
      <c r="G261192" s="64"/>
      <c r="H261192" s="308"/>
      <c r="I261192" s="308"/>
      <c r="J261192" s="185"/>
      <c r="N261192" s="307"/>
      <c r="P261192" s="218"/>
      <c r="Q261192" s="66"/>
      <c r="AC261192" s="194"/>
    </row>
    <row r="261193" customFormat="1" s="47">
      <c r="E261193" s="185"/>
      <c r="G261193" s="64"/>
      <c r="H261193" s="308"/>
      <c r="I261193" s="308"/>
      <c r="J261193" s="185"/>
      <c r="N261193" s="307"/>
      <c r="P261193" s="218"/>
      <c r="Q261193" s="66"/>
      <c r="AC261193" s="194"/>
    </row>
    <row r="261194" customFormat="1" s="47">
      <c r="E261194" s="185"/>
      <c r="G261194" s="64"/>
      <c r="H261194" s="308"/>
      <c r="I261194" s="308"/>
      <c r="J261194" s="185"/>
      <c r="N261194" s="307"/>
      <c r="P261194" s="218"/>
      <c r="Q261194" s="66"/>
      <c r="AC261194" s="194"/>
    </row>
    <row r="261195" customFormat="1" s="47">
      <c r="E261195" s="185"/>
      <c r="G261195" s="64"/>
      <c r="H261195" s="308"/>
      <c r="I261195" s="308"/>
      <c r="J261195" s="185"/>
      <c r="N261195" s="307"/>
      <c r="P261195" s="218"/>
      <c r="Q261195" s="66"/>
      <c r="AC261195" s="194"/>
    </row>
    <row r="261196" customFormat="1" s="47">
      <c r="E261196" s="185"/>
      <c r="G261196" s="64"/>
      <c r="H261196" s="308"/>
      <c r="I261196" s="308"/>
      <c r="J261196" s="185"/>
      <c r="N261196" s="307"/>
      <c r="P261196" s="218"/>
      <c r="Q261196" s="66"/>
      <c r="AC261196" s="194"/>
    </row>
    <row r="261197" customFormat="1" s="47">
      <c r="E261197" s="185"/>
      <c r="G261197" s="64"/>
      <c r="H261197" s="308"/>
      <c r="I261197" s="308"/>
      <c r="J261197" s="185"/>
      <c r="N261197" s="307"/>
      <c r="P261197" s="218"/>
      <c r="Q261197" s="66"/>
      <c r="AC261197" s="194"/>
    </row>
    <row r="261198" customFormat="1" s="47">
      <c r="E261198" s="185"/>
      <c r="G261198" s="64"/>
      <c r="H261198" s="308"/>
      <c r="I261198" s="308"/>
      <c r="J261198" s="185"/>
      <c r="N261198" s="307"/>
      <c r="P261198" s="218"/>
      <c r="Q261198" s="66"/>
      <c r="AC261198" s="194"/>
    </row>
    <row r="261199" customFormat="1" s="47">
      <c r="E261199" s="185"/>
      <c r="G261199" s="64"/>
      <c r="H261199" s="308"/>
      <c r="I261199" s="308"/>
      <c r="J261199" s="185"/>
      <c r="N261199" s="307"/>
      <c r="P261199" s="218"/>
      <c r="Q261199" s="66"/>
      <c r="AC261199" s="194"/>
    </row>
    <row r="261200" customFormat="1" s="47">
      <c r="E261200" s="185"/>
      <c r="G261200" s="64"/>
      <c r="H261200" s="308"/>
      <c r="I261200" s="308"/>
      <c r="J261200" s="185"/>
      <c r="N261200" s="307"/>
      <c r="P261200" s="218"/>
      <c r="Q261200" s="66"/>
      <c r="AC261200" s="194"/>
    </row>
    <row r="261201" customFormat="1" s="47">
      <c r="E261201" s="185"/>
      <c r="G261201" s="64"/>
      <c r="H261201" s="308"/>
      <c r="I261201" s="308"/>
      <c r="J261201" s="185"/>
      <c r="N261201" s="307"/>
      <c r="P261201" s="218"/>
      <c r="Q261201" s="66"/>
      <c r="AC261201" s="194"/>
    </row>
    <row r="261202" customFormat="1" s="47">
      <c r="E261202" s="185"/>
      <c r="G261202" s="64"/>
      <c r="H261202" s="308"/>
      <c r="I261202" s="308"/>
      <c r="J261202" s="185"/>
      <c r="N261202" s="307"/>
      <c r="P261202" s="218"/>
      <c r="Q261202" s="66"/>
      <c r="AC261202" s="194"/>
    </row>
    <row r="261203" customFormat="1" s="47">
      <c r="E261203" s="185"/>
      <c r="G261203" s="64"/>
      <c r="H261203" s="308"/>
      <c r="I261203" s="308"/>
      <c r="J261203" s="185"/>
      <c r="N261203" s="307"/>
      <c r="P261203" s="218"/>
      <c r="Q261203" s="66"/>
      <c r="AC261203" s="194"/>
    </row>
    <row r="261204" customFormat="1" s="47">
      <c r="E261204" s="185"/>
      <c r="G261204" s="64"/>
      <c r="H261204" s="308"/>
      <c r="I261204" s="308"/>
      <c r="J261204" s="185"/>
      <c r="N261204" s="307"/>
      <c r="P261204" s="218"/>
      <c r="Q261204" s="66"/>
      <c r="AC261204" s="194"/>
    </row>
    <row r="261205" customFormat="1" s="47">
      <c r="E261205" s="185"/>
      <c r="G261205" s="64"/>
      <c r="H261205" s="308"/>
      <c r="I261205" s="308"/>
      <c r="J261205" s="185"/>
      <c r="N261205" s="307"/>
      <c r="P261205" s="218"/>
      <c r="Q261205" s="66"/>
      <c r="AC261205" s="194"/>
    </row>
    <row r="261206" customFormat="1" s="47">
      <c r="E261206" s="185"/>
      <c r="G261206" s="64"/>
      <c r="H261206" s="308"/>
      <c r="I261206" s="308"/>
      <c r="J261206" s="185"/>
      <c r="N261206" s="307"/>
      <c r="P261206" s="218"/>
      <c r="Q261206" s="66"/>
      <c r="AC261206" s="194"/>
    </row>
    <row r="261207" customFormat="1" s="47">
      <c r="E261207" s="185"/>
      <c r="G261207" s="64"/>
      <c r="H261207" s="308"/>
      <c r="I261207" s="308"/>
      <c r="J261207" s="185"/>
      <c r="N261207" s="307"/>
      <c r="P261207" s="218"/>
      <c r="Q261207" s="66"/>
      <c r="AC261207" s="194"/>
    </row>
    <row r="261208" customFormat="1" s="47">
      <c r="E261208" s="185"/>
      <c r="G261208" s="64"/>
      <c r="H261208" s="308"/>
      <c r="I261208" s="308"/>
      <c r="J261208" s="185"/>
      <c r="N261208" s="307"/>
      <c r="P261208" s="218"/>
      <c r="Q261208" s="66"/>
      <c r="AC261208" s="194"/>
    </row>
    <row r="261209" customFormat="1" s="47">
      <c r="E261209" s="185"/>
      <c r="G261209" s="64"/>
      <c r="H261209" s="308"/>
      <c r="I261209" s="308"/>
      <c r="J261209" s="185"/>
      <c r="N261209" s="307"/>
      <c r="P261209" s="218"/>
      <c r="Q261209" s="66"/>
      <c r="AC261209" s="194"/>
    </row>
    <row r="261210" customFormat="1" s="47">
      <c r="E261210" s="185"/>
      <c r="G261210" s="64"/>
      <c r="H261210" s="308"/>
      <c r="I261210" s="308"/>
      <c r="J261210" s="185"/>
      <c r="N261210" s="307"/>
      <c r="P261210" s="218"/>
      <c r="Q261210" s="66"/>
      <c r="AC261210" s="194"/>
    </row>
    <row r="261211" customFormat="1" s="47">
      <c r="E261211" s="185"/>
      <c r="G261211" s="64"/>
      <c r="H261211" s="308"/>
      <c r="I261211" s="308"/>
      <c r="J261211" s="185"/>
      <c r="N261211" s="307"/>
      <c r="P261211" s="218"/>
      <c r="Q261211" s="66"/>
      <c r="AC261211" s="194"/>
    </row>
    <row r="261212" customFormat="1" s="47">
      <c r="E261212" s="185"/>
      <c r="G261212" s="64"/>
      <c r="H261212" s="308"/>
      <c r="I261212" s="308"/>
      <c r="J261212" s="185"/>
      <c r="N261212" s="307"/>
      <c r="P261212" s="218"/>
      <c r="Q261212" s="66"/>
      <c r="AC261212" s="194"/>
    </row>
    <row r="261213" customFormat="1" s="47">
      <c r="E261213" s="185"/>
      <c r="G261213" s="64"/>
      <c r="H261213" s="308"/>
      <c r="I261213" s="308"/>
      <c r="J261213" s="185"/>
      <c r="N261213" s="307"/>
      <c r="P261213" s="218"/>
      <c r="Q261213" s="66"/>
      <c r="AC261213" s="194"/>
    </row>
    <row r="261214" customFormat="1" s="47">
      <c r="E261214" s="185"/>
      <c r="G261214" s="64"/>
      <c r="H261214" s="308"/>
      <c r="I261214" s="308"/>
      <c r="J261214" s="185"/>
      <c r="N261214" s="307"/>
      <c r="P261214" s="218"/>
      <c r="Q261214" s="66"/>
      <c r="AC261214" s="194"/>
    </row>
    <row r="261215" customFormat="1" s="47">
      <c r="E261215" s="185"/>
      <c r="G261215" s="64"/>
      <c r="H261215" s="308"/>
      <c r="I261215" s="308"/>
      <c r="J261215" s="185"/>
      <c r="N261215" s="307"/>
      <c r="P261215" s="218"/>
      <c r="Q261215" s="66"/>
      <c r="AC261215" s="194"/>
    </row>
    <row r="261216" customFormat="1" s="47">
      <c r="E261216" s="185"/>
      <c r="G261216" s="64"/>
      <c r="H261216" s="308"/>
      <c r="I261216" s="308"/>
      <c r="J261216" s="185"/>
      <c r="N261216" s="307"/>
      <c r="P261216" s="218"/>
      <c r="Q261216" s="66"/>
      <c r="AC261216" s="194"/>
    </row>
    <row r="261217" customFormat="1" s="47">
      <c r="E261217" s="185"/>
      <c r="G261217" s="64"/>
      <c r="H261217" s="308"/>
      <c r="I261217" s="308"/>
      <c r="J261217" s="185"/>
      <c r="N261217" s="307"/>
      <c r="P261217" s="218"/>
      <c r="Q261217" s="66"/>
      <c r="AC261217" s="194"/>
    </row>
    <row r="261218" customFormat="1" s="47">
      <c r="E261218" s="185"/>
      <c r="G261218" s="64"/>
      <c r="H261218" s="308"/>
      <c r="I261218" s="308"/>
      <c r="J261218" s="185"/>
      <c r="N261218" s="307"/>
      <c r="P261218" s="218"/>
      <c r="Q261218" s="66"/>
      <c r="AC261218" s="194"/>
    </row>
    <row r="261219" customFormat="1" s="47">
      <c r="E261219" s="185"/>
      <c r="G261219" s="64"/>
      <c r="H261219" s="308"/>
      <c r="I261219" s="308"/>
      <c r="J261219" s="185"/>
      <c r="N261219" s="307"/>
      <c r="P261219" s="218"/>
      <c r="Q261219" s="66"/>
      <c r="AC261219" s="194"/>
    </row>
    <row r="261220" customFormat="1" s="47">
      <c r="E261220" s="185"/>
      <c r="G261220" s="64"/>
      <c r="H261220" s="308"/>
      <c r="I261220" s="308"/>
      <c r="J261220" s="185"/>
      <c r="N261220" s="307"/>
      <c r="P261220" s="218"/>
      <c r="Q261220" s="66"/>
      <c r="AC261220" s="194"/>
    </row>
    <row r="261221" customFormat="1" s="47">
      <c r="E261221" s="185"/>
      <c r="G261221" s="64"/>
      <c r="H261221" s="308"/>
      <c r="I261221" s="308"/>
      <c r="J261221" s="185"/>
      <c r="N261221" s="307"/>
      <c r="P261221" s="218"/>
      <c r="Q261221" s="66"/>
      <c r="AC261221" s="194"/>
    </row>
    <row r="261222" customFormat="1" s="47">
      <c r="E261222" s="185"/>
      <c r="G261222" s="64"/>
      <c r="H261222" s="308"/>
      <c r="I261222" s="308"/>
      <c r="J261222" s="185"/>
      <c r="N261222" s="307"/>
      <c r="P261222" s="218"/>
      <c r="Q261222" s="66"/>
      <c r="AC261222" s="194"/>
    </row>
    <row r="261223" customFormat="1" s="47">
      <c r="E261223" s="185"/>
      <c r="G261223" s="64"/>
      <c r="H261223" s="308"/>
      <c r="I261223" s="308"/>
      <c r="J261223" s="185"/>
      <c r="N261223" s="307"/>
      <c r="P261223" s="218"/>
      <c r="Q261223" s="66"/>
      <c r="AC261223" s="194"/>
    </row>
    <row r="261224" customFormat="1" s="47">
      <c r="E261224" s="185"/>
      <c r="G261224" s="64"/>
      <c r="H261224" s="308"/>
      <c r="I261224" s="308"/>
      <c r="J261224" s="185"/>
      <c r="N261224" s="307"/>
      <c r="P261224" s="218"/>
      <c r="Q261224" s="66"/>
      <c r="AC261224" s="194"/>
    </row>
    <row r="261225" customFormat="1" s="47">
      <c r="E261225" s="185"/>
      <c r="G261225" s="64"/>
      <c r="H261225" s="308"/>
      <c r="I261225" s="308"/>
      <c r="J261225" s="185"/>
      <c r="N261225" s="307"/>
      <c r="P261225" s="218"/>
      <c r="Q261225" s="66"/>
      <c r="AC261225" s="194"/>
    </row>
    <row r="261226" customFormat="1" s="47">
      <c r="E261226" s="185"/>
      <c r="G261226" s="64"/>
      <c r="H261226" s="308"/>
      <c r="I261226" s="308"/>
      <c r="J261226" s="185"/>
      <c r="N261226" s="307"/>
      <c r="P261226" s="218"/>
      <c r="Q261226" s="66"/>
      <c r="AC261226" s="194"/>
    </row>
    <row r="261227" customFormat="1" s="47">
      <c r="E261227" s="185"/>
      <c r="G261227" s="64"/>
      <c r="H261227" s="308"/>
      <c r="I261227" s="308"/>
      <c r="J261227" s="185"/>
      <c r="N261227" s="307"/>
      <c r="P261227" s="218"/>
      <c r="Q261227" s="66"/>
      <c r="AC261227" s="194"/>
    </row>
    <row r="261228" customFormat="1" s="47">
      <c r="E261228" s="185"/>
      <c r="G261228" s="64"/>
      <c r="H261228" s="308"/>
      <c r="I261228" s="308"/>
      <c r="J261228" s="185"/>
      <c r="N261228" s="307"/>
      <c r="P261228" s="218"/>
      <c r="Q261228" s="66"/>
      <c r="AC261228" s="194"/>
    </row>
    <row r="261229" customFormat="1" s="47">
      <c r="E261229" s="185"/>
      <c r="G261229" s="64"/>
      <c r="H261229" s="308"/>
      <c r="I261229" s="308"/>
      <c r="J261229" s="185"/>
      <c r="N261229" s="307"/>
      <c r="P261229" s="218"/>
      <c r="Q261229" s="66"/>
      <c r="AC261229" s="194"/>
    </row>
    <row r="261230" customFormat="1" s="47">
      <c r="E261230" s="185"/>
      <c r="G261230" s="64"/>
      <c r="H261230" s="308"/>
      <c r="I261230" s="308"/>
      <c r="J261230" s="185"/>
      <c r="N261230" s="307"/>
      <c r="P261230" s="218"/>
      <c r="Q261230" s="66"/>
      <c r="AC261230" s="194"/>
    </row>
    <row r="261231" customFormat="1" s="47">
      <c r="E261231" s="185"/>
      <c r="G261231" s="64"/>
      <c r="H261231" s="308"/>
      <c r="I261231" s="308"/>
      <c r="J261231" s="185"/>
      <c r="N261231" s="307"/>
      <c r="P261231" s="218"/>
      <c r="Q261231" s="66"/>
      <c r="AC261231" s="194"/>
    </row>
    <row r="261232" customFormat="1" s="47">
      <c r="E261232" s="185"/>
      <c r="G261232" s="64"/>
      <c r="H261232" s="308"/>
      <c r="I261232" s="308"/>
      <c r="J261232" s="185"/>
      <c r="N261232" s="307"/>
      <c r="P261232" s="218"/>
      <c r="Q261232" s="66"/>
      <c r="AC261232" s="194"/>
    </row>
    <row r="261233" customFormat="1" s="47">
      <c r="E261233" s="185"/>
      <c r="G261233" s="64"/>
      <c r="H261233" s="308"/>
      <c r="I261233" s="308"/>
      <c r="J261233" s="185"/>
      <c r="N261233" s="307"/>
      <c r="P261233" s="218"/>
      <c r="Q261233" s="66"/>
      <c r="AC261233" s="194"/>
    </row>
    <row r="261234" customFormat="1" s="47">
      <c r="E261234" s="185"/>
      <c r="G261234" s="64"/>
      <c r="H261234" s="308"/>
      <c r="I261234" s="308"/>
      <c r="J261234" s="185"/>
      <c r="N261234" s="307"/>
      <c r="P261234" s="218"/>
      <c r="Q261234" s="66"/>
      <c r="AC261234" s="194"/>
    </row>
    <row r="261235" customFormat="1" s="47">
      <c r="E261235" s="185"/>
      <c r="G261235" s="64"/>
      <c r="H261235" s="308"/>
      <c r="I261235" s="308"/>
      <c r="J261235" s="185"/>
      <c r="N261235" s="307"/>
      <c r="P261235" s="218"/>
      <c r="Q261235" s="66"/>
      <c r="AC261235" s="194"/>
    </row>
    <row r="261236" customFormat="1" s="47">
      <c r="E261236" s="185"/>
      <c r="G261236" s="64"/>
      <c r="H261236" s="308"/>
      <c r="I261236" s="308"/>
      <c r="J261236" s="185"/>
      <c r="N261236" s="307"/>
      <c r="P261236" s="218"/>
      <c r="Q261236" s="66"/>
      <c r="AC261236" s="194"/>
    </row>
    <row r="261237" customFormat="1" s="47">
      <c r="E261237" s="185"/>
      <c r="G261237" s="64"/>
      <c r="H261237" s="308"/>
      <c r="I261237" s="308"/>
      <c r="J261237" s="185"/>
      <c r="N261237" s="307"/>
      <c r="P261237" s="218"/>
      <c r="Q261237" s="66"/>
      <c r="AC261237" s="194"/>
    </row>
    <row r="261238" customFormat="1" s="47">
      <c r="E261238" s="185"/>
      <c r="G261238" s="64"/>
      <c r="H261238" s="308"/>
      <c r="I261238" s="308"/>
      <c r="J261238" s="185"/>
      <c r="N261238" s="307"/>
      <c r="P261238" s="218"/>
      <c r="Q261238" s="66"/>
      <c r="AC261238" s="194"/>
    </row>
    <row r="261239" customFormat="1" s="47">
      <c r="E261239" s="185"/>
      <c r="G261239" s="64"/>
      <c r="H261239" s="308"/>
      <c r="I261239" s="308"/>
      <c r="J261239" s="185"/>
      <c r="N261239" s="307"/>
      <c r="P261239" s="218"/>
      <c r="Q261239" s="66"/>
      <c r="AC261239" s="194"/>
    </row>
    <row r="261240" customFormat="1" s="47">
      <c r="E261240" s="185"/>
      <c r="G261240" s="64"/>
      <c r="H261240" s="308"/>
      <c r="I261240" s="308"/>
      <c r="J261240" s="185"/>
      <c r="N261240" s="307"/>
      <c r="P261240" s="218"/>
      <c r="Q261240" s="66"/>
      <c r="AC261240" s="194"/>
    </row>
    <row r="261241" customFormat="1" s="47">
      <c r="E261241" s="185"/>
      <c r="G261241" s="64"/>
      <c r="H261241" s="308"/>
      <c r="I261241" s="308"/>
      <c r="J261241" s="185"/>
      <c r="N261241" s="307"/>
      <c r="P261241" s="218"/>
      <c r="Q261241" s="66"/>
      <c r="AC261241" s="194"/>
    </row>
    <row r="261242" customFormat="1" s="47">
      <c r="E261242" s="185"/>
      <c r="G261242" s="64"/>
      <c r="H261242" s="308"/>
      <c r="I261242" s="308"/>
      <c r="J261242" s="185"/>
      <c r="N261242" s="307"/>
      <c r="P261242" s="218"/>
      <c r="Q261242" s="66"/>
      <c r="AC261242" s="194"/>
    </row>
    <row r="261243" customFormat="1" s="47">
      <c r="E261243" s="185"/>
      <c r="G261243" s="64"/>
      <c r="H261243" s="308"/>
      <c r="I261243" s="308"/>
      <c r="J261243" s="185"/>
      <c r="N261243" s="307"/>
      <c r="P261243" s="218"/>
      <c r="Q261243" s="66"/>
      <c r="AC261243" s="194"/>
    </row>
    <row r="261244" customFormat="1" s="47">
      <c r="E261244" s="185"/>
      <c r="G261244" s="64"/>
      <c r="H261244" s="308"/>
      <c r="I261244" s="308"/>
      <c r="J261244" s="185"/>
      <c r="N261244" s="307"/>
      <c r="P261244" s="218"/>
      <c r="Q261244" s="66"/>
      <c r="AC261244" s="194"/>
    </row>
    <row r="261245" customFormat="1" s="47">
      <c r="E261245" s="185"/>
      <c r="G261245" s="64"/>
      <c r="H261245" s="308"/>
      <c r="I261245" s="308"/>
      <c r="J261245" s="185"/>
      <c r="N261245" s="307"/>
      <c r="P261245" s="218"/>
      <c r="Q261245" s="66"/>
      <c r="AC261245" s="194"/>
    </row>
    <row r="261246" customFormat="1" s="47">
      <c r="E261246" s="185"/>
      <c r="G261246" s="64"/>
      <c r="H261246" s="308"/>
      <c r="I261246" s="308"/>
      <c r="J261246" s="185"/>
      <c r="N261246" s="307"/>
      <c r="P261246" s="218"/>
      <c r="Q261246" s="66"/>
      <c r="AC261246" s="194"/>
    </row>
    <row r="261247" customFormat="1" s="47">
      <c r="E261247" s="185"/>
      <c r="G261247" s="64"/>
      <c r="H261247" s="308"/>
      <c r="I261247" s="308"/>
      <c r="J261247" s="185"/>
      <c r="N261247" s="307"/>
      <c r="P261247" s="218"/>
      <c r="Q261247" s="66"/>
      <c r="AC261247" s="194"/>
    </row>
    <row r="261248" customFormat="1" s="47">
      <c r="E261248" s="185"/>
      <c r="G261248" s="64"/>
      <c r="H261248" s="308"/>
      <c r="I261248" s="308"/>
      <c r="J261248" s="185"/>
      <c r="N261248" s="307"/>
      <c r="P261248" s="218"/>
      <c r="Q261248" s="66"/>
      <c r="AC261248" s="194"/>
    </row>
    <row r="261249" customFormat="1" s="47">
      <c r="E261249" s="185"/>
      <c r="G261249" s="64"/>
      <c r="H261249" s="308"/>
      <c r="I261249" s="308"/>
      <c r="J261249" s="185"/>
      <c r="N261249" s="307"/>
      <c r="P261249" s="218"/>
      <c r="Q261249" s="66"/>
      <c r="AC261249" s="194"/>
    </row>
    <row r="261250" customFormat="1" s="47">
      <c r="E261250" s="185"/>
      <c r="G261250" s="64"/>
      <c r="H261250" s="308"/>
      <c r="I261250" s="308"/>
      <c r="J261250" s="185"/>
      <c r="N261250" s="307"/>
      <c r="P261250" s="218"/>
      <c r="Q261250" s="66"/>
      <c r="AC261250" s="194"/>
    </row>
    <row r="261251" customFormat="1" s="47">
      <c r="E261251" s="185"/>
      <c r="G261251" s="64"/>
      <c r="H261251" s="308"/>
      <c r="I261251" s="308"/>
      <c r="J261251" s="185"/>
      <c r="N261251" s="307"/>
      <c r="P261251" s="218"/>
      <c r="Q261251" s="66"/>
      <c r="AC261251" s="194"/>
    </row>
    <row r="261252" customFormat="1" s="47">
      <c r="E261252" s="185"/>
      <c r="G261252" s="64"/>
      <c r="H261252" s="308"/>
      <c r="I261252" s="308"/>
      <c r="J261252" s="185"/>
      <c r="N261252" s="307"/>
      <c r="P261252" s="218"/>
      <c r="Q261252" s="66"/>
      <c r="AC261252" s="194"/>
    </row>
    <row r="261253" customFormat="1" s="47">
      <c r="E261253" s="185"/>
      <c r="G261253" s="64"/>
      <c r="H261253" s="308"/>
      <c r="I261253" s="308"/>
      <c r="J261253" s="185"/>
      <c r="N261253" s="307"/>
      <c r="P261253" s="218"/>
      <c r="Q261253" s="66"/>
      <c r="AC261253" s="194"/>
    </row>
    <row r="261254" customFormat="1" s="47">
      <c r="E261254" s="185"/>
      <c r="G261254" s="64"/>
      <c r="H261254" s="308"/>
      <c r="I261254" s="308"/>
      <c r="J261254" s="185"/>
      <c r="N261254" s="307"/>
      <c r="P261254" s="218"/>
      <c r="Q261254" s="66"/>
      <c r="AC261254" s="194"/>
    </row>
    <row r="261255" customFormat="1" s="47">
      <c r="E261255" s="185"/>
      <c r="G261255" s="64"/>
      <c r="H261255" s="308"/>
      <c r="I261255" s="308"/>
      <c r="J261255" s="185"/>
      <c r="N261255" s="307"/>
      <c r="P261255" s="218"/>
      <c r="Q261255" s="66"/>
      <c r="AC261255" s="194"/>
    </row>
    <row r="261256" customFormat="1" s="47">
      <c r="E261256" s="185"/>
      <c r="G261256" s="64"/>
      <c r="H261256" s="308"/>
      <c r="I261256" s="308"/>
      <c r="J261256" s="185"/>
      <c r="N261256" s="307"/>
      <c r="P261256" s="218"/>
      <c r="Q261256" s="66"/>
      <c r="AC261256" s="194"/>
    </row>
    <row r="261257" customFormat="1" s="47">
      <c r="E261257" s="185"/>
      <c r="G261257" s="64"/>
      <c r="H261257" s="308"/>
      <c r="I261257" s="308"/>
      <c r="J261257" s="185"/>
      <c r="N261257" s="307"/>
      <c r="P261257" s="218"/>
      <c r="Q261257" s="66"/>
      <c r="AC261257" s="194"/>
    </row>
    <row r="261258" customFormat="1" s="47">
      <c r="E261258" s="185"/>
      <c r="G261258" s="64"/>
      <c r="H261258" s="308"/>
      <c r="I261258" s="308"/>
      <c r="J261258" s="185"/>
      <c r="N261258" s="307"/>
      <c r="P261258" s="218"/>
      <c r="Q261258" s="66"/>
      <c r="AC261258" s="194"/>
    </row>
    <row r="261259" customFormat="1" s="47">
      <c r="E261259" s="185"/>
      <c r="G261259" s="64"/>
      <c r="H261259" s="308"/>
      <c r="I261259" s="308"/>
      <c r="J261259" s="185"/>
      <c r="N261259" s="307"/>
      <c r="P261259" s="218"/>
      <c r="Q261259" s="66"/>
      <c r="AC261259" s="194"/>
    </row>
    <row r="261260" customFormat="1" s="47">
      <c r="E261260" s="185"/>
      <c r="G261260" s="64"/>
      <c r="H261260" s="308"/>
      <c r="I261260" s="308"/>
      <c r="J261260" s="185"/>
      <c r="N261260" s="307"/>
      <c r="P261260" s="218"/>
      <c r="Q261260" s="66"/>
      <c r="AC261260" s="194"/>
    </row>
    <row r="261261" customFormat="1" s="47">
      <c r="E261261" s="185"/>
      <c r="G261261" s="64"/>
      <c r="H261261" s="308"/>
      <c r="I261261" s="308"/>
      <c r="J261261" s="185"/>
      <c r="N261261" s="307"/>
      <c r="P261261" s="218"/>
      <c r="Q261261" s="66"/>
      <c r="AC261261" s="194"/>
    </row>
    <row r="261262" customFormat="1" s="47">
      <c r="E261262" s="185"/>
      <c r="G261262" s="64"/>
      <c r="H261262" s="308"/>
      <c r="I261262" s="308"/>
      <c r="J261262" s="185"/>
      <c r="N261262" s="307"/>
      <c r="P261262" s="218"/>
      <c r="Q261262" s="66"/>
      <c r="AC261262" s="194"/>
    </row>
    <row r="261263" customFormat="1" s="47">
      <c r="E261263" s="185"/>
      <c r="G261263" s="64"/>
      <c r="H261263" s="308"/>
      <c r="I261263" s="308"/>
      <c r="J261263" s="185"/>
      <c r="N261263" s="307"/>
      <c r="P261263" s="218"/>
      <c r="Q261263" s="66"/>
      <c r="AC261263" s="194"/>
    </row>
    <row r="261264" customFormat="1" s="47">
      <c r="E261264" s="185"/>
      <c r="G261264" s="64"/>
      <c r="H261264" s="308"/>
      <c r="I261264" s="308"/>
      <c r="J261264" s="185"/>
      <c r="N261264" s="307"/>
      <c r="P261264" s="218"/>
      <c r="Q261264" s="66"/>
      <c r="AC261264" s="194"/>
    </row>
    <row r="261265" customFormat="1" s="47">
      <c r="E261265" s="185"/>
      <c r="G261265" s="64"/>
      <c r="H261265" s="308"/>
      <c r="I261265" s="308"/>
      <c r="J261265" s="185"/>
      <c r="N261265" s="307"/>
      <c r="P261265" s="218"/>
      <c r="Q261265" s="66"/>
      <c r="AC261265" s="194"/>
    </row>
    <row r="261266" customFormat="1" s="47">
      <c r="E261266" s="185"/>
      <c r="G261266" s="64"/>
      <c r="H261266" s="308"/>
      <c r="I261266" s="308"/>
      <c r="J261266" s="185"/>
      <c r="N261266" s="307"/>
      <c r="P261266" s="218"/>
      <c r="Q261266" s="66"/>
      <c r="AC261266" s="194"/>
    </row>
    <row r="261267" customFormat="1" s="47">
      <c r="E261267" s="185"/>
      <c r="G261267" s="64"/>
      <c r="H261267" s="308"/>
      <c r="I261267" s="308"/>
      <c r="J261267" s="185"/>
      <c r="N261267" s="307"/>
      <c r="P261267" s="218"/>
      <c r="Q261267" s="66"/>
      <c r="AC261267" s="194"/>
    </row>
    <row r="261268" customFormat="1" s="47">
      <c r="E261268" s="185"/>
      <c r="G261268" s="64"/>
      <c r="H261268" s="308"/>
      <c r="I261268" s="308"/>
      <c r="J261268" s="185"/>
      <c r="N261268" s="307"/>
      <c r="P261268" s="218"/>
      <c r="Q261268" s="66"/>
      <c r="AC261268" s="194"/>
    </row>
    <row r="261269" customFormat="1" s="47">
      <c r="E261269" s="185"/>
      <c r="G261269" s="64"/>
      <c r="H261269" s="308"/>
      <c r="I261269" s="308"/>
      <c r="J261269" s="185"/>
      <c r="N261269" s="307"/>
      <c r="P261269" s="218"/>
      <c r="Q261269" s="66"/>
      <c r="AC261269" s="194"/>
    </row>
    <row r="261270" customFormat="1" s="47">
      <c r="E261270" s="185"/>
      <c r="G261270" s="64"/>
      <c r="H261270" s="308"/>
      <c r="I261270" s="308"/>
      <c r="J261270" s="185"/>
      <c r="N261270" s="307"/>
      <c r="P261270" s="218"/>
      <c r="Q261270" s="66"/>
      <c r="AC261270" s="194"/>
    </row>
    <row r="261271" customFormat="1" s="47">
      <c r="E261271" s="185"/>
      <c r="G261271" s="64"/>
      <c r="H261271" s="308"/>
      <c r="I261271" s="308"/>
      <c r="J261271" s="185"/>
      <c r="N261271" s="307"/>
      <c r="P261271" s="218"/>
      <c r="Q261271" s="66"/>
      <c r="AC261271" s="194"/>
    </row>
    <row r="261272" customFormat="1" s="47">
      <c r="E261272" s="185"/>
      <c r="G261272" s="64"/>
      <c r="H261272" s="308"/>
      <c r="I261272" s="308"/>
      <c r="J261272" s="185"/>
      <c r="N261272" s="307"/>
      <c r="P261272" s="218"/>
      <c r="Q261272" s="66"/>
      <c r="AC261272" s="194"/>
    </row>
    <row r="261273" customFormat="1" s="47">
      <c r="E261273" s="185"/>
      <c r="G261273" s="64"/>
      <c r="H261273" s="308"/>
      <c r="I261273" s="308"/>
      <c r="J261273" s="185"/>
      <c r="N261273" s="307"/>
      <c r="P261273" s="218"/>
      <c r="Q261273" s="66"/>
      <c r="AC261273" s="194"/>
    </row>
    <row r="261274" customFormat="1" s="47">
      <c r="E261274" s="185"/>
      <c r="G261274" s="64"/>
      <c r="H261274" s="308"/>
      <c r="I261274" s="308"/>
      <c r="J261274" s="185"/>
      <c r="N261274" s="307"/>
      <c r="P261274" s="218"/>
      <c r="Q261274" s="66"/>
      <c r="AC261274" s="194"/>
    </row>
    <row r="261275" customFormat="1" s="47">
      <c r="E261275" s="185"/>
      <c r="G261275" s="64"/>
      <c r="H261275" s="308"/>
      <c r="I261275" s="308"/>
      <c r="J261275" s="185"/>
      <c r="N261275" s="307"/>
      <c r="P261275" s="218"/>
      <c r="Q261275" s="66"/>
      <c r="AC261275" s="194"/>
    </row>
    <row r="261276" customFormat="1" s="47">
      <c r="E261276" s="185"/>
      <c r="G261276" s="64"/>
      <c r="H261276" s="308"/>
      <c r="I261276" s="308"/>
      <c r="J261276" s="185"/>
      <c r="N261276" s="307"/>
      <c r="P261276" s="218"/>
      <c r="Q261276" s="66"/>
      <c r="AC261276" s="194"/>
    </row>
    <row r="261277" customFormat="1" s="47">
      <c r="E261277" s="185"/>
      <c r="G261277" s="64"/>
      <c r="H261277" s="308"/>
      <c r="I261277" s="308"/>
      <c r="J261277" s="185"/>
      <c r="N261277" s="307"/>
      <c r="P261277" s="218"/>
      <c r="Q261277" s="66"/>
      <c r="AC261277" s="194"/>
    </row>
    <row r="261278" customFormat="1" s="47">
      <c r="E261278" s="185"/>
      <c r="G261278" s="64"/>
      <c r="H261278" s="308"/>
      <c r="I261278" s="308"/>
      <c r="J261278" s="185"/>
      <c r="N261278" s="307"/>
      <c r="P261278" s="218"/>
      <c r="Q261278" s="66"/>
      <c r="AC261278" s="194"/>
    </row>
    <row r="261279" customFormat="1" s="47">
      <c r="E261279" s="185"/>
      <c r="G261279" s="64"/>
      <c r="H261279" s="308"/>
      <c r="I261279" s="308"/>
      <c r="J261279" s="185"/>
      <c r="N261279" s="307"/>
      <c r="P261279" s="218"/>
      <c r="Q261279" s="66"/>
      <c r="AC261279" s="194"/>
    </row>
    <row r="261280" customFormat="1" s="47">
      <c r="E261280" s="185"/>
      <c r="G261280" s="64"/>
      <c r="H261280" s="308"/>
      <c r="I261280" s="308"/>
      <c r="J261280" s="185"/>
      <c r="N261280" s="307"/>
      <c r="P261280" s="218"/>
      <c r="Q261280" s="66"/>
      <c r="AC261280" s="194"/>
    </row>
    <row r="261281" customFormat="1" s="47">
      <c r="E261281" s="185"/>
      <c r="G261281" s="64"/>
      <c r="H261281" s="308"/>
      <c r="I261281" s="308"/>
      <c r="J261281" s="185"/>
      <c r="N261281" s="307"/>
      <c r="P261281" s="218"/>
      <c r="Q261281" s="66"/>
      <c r="AC261281" s="194"/>
    </row>
    <row r="261282" customFormat="1" s="47">
      <c r="E261282" s="185"/>
      <c r="G261282" s="64"/>
      <c r="H261282" s="308"/>
      <c r="I261282" s="308"/>
      <c r="J261282" s="185"/>
      <c r="N261282" s="307"/>
      <c r="P261282" s="218"/>
      <c r="Q261282" s="66"/>
      <c r="AC261282" s="194"/>
    </row>
    <row r="261283" customFormat="1" s="47">
      <c r="E261283" s="185"/>
      <c r="G261283" s="64"/>
      <c r="H261283" s="308"/>
      <c r="I261283" s="308"/>
      <c r="J261283" s="185"/>
      <c r="N261283" s="307"/>
      <c r="P261283" s="218"/>
      <c r="Q261283" s="66"/>
      <c r="AC261283" s="194"/>
    </row>
    <row r="261284" customFormat="1" s="47">
      <c r="E261284" s="185"/>
      <c r="G261284" s="64"/>
      <c r="H261284" s="308"/>
      <c r="I261284" s="308"/>
      <c r="J261284" s="185"/>
      <c r="N261284" s="307"/>
      <c r="P261284" s="218"/>
      <c r="Q261284" s="66"/>
      <c r="AC261284" s="194"/>
    </row>
    <row r="261285" customFormat="1" s="47">
      <c r="E261285" s="185"/>
      <c r="G261285" s="64"/>
      <c r="H261285" s="308"/>
      <c r="I261285" s="308"/>
      <c r="J261285" s="185"/>
      <c r="N261285" s="307"/>
      <c r="P261285" s="218"/>
      <c r="Q261285" s="66"/>
      <c r="AC261285" s="194"/>
    </row>
    <row r="261286" customFormat="1" s="47">
      <c r="E261286" s="185"/>
      <c r="G261286" s="64"/>
      <c r="H261286" s="308"/>
      <c r="I261286" s="308"/>
      <c r="J261286" s="185"/>
      <c r="N261286" s="307"/>
      <c r="P261286" s="218"/>
      <c r="Q261286" s="66"/>
      <c r="AC261286" s="194"/>
    </row>
    <row r="261287" customFormat="1" s="47">
      <c r="E261287" s="185"/>
      <c r="G261287" s="64"/>
      <c r="H261287" s="308"/>
      <c r="I261287" s="308"/>
      <c r="J261287" s="185"/>
      <c r="N261287" s="307"/>
      <c r="P261287" s="218"/>
      <c r="Q261287" s="66"/>
      <c r="AC261287" s="194"/>
    </row>
    <row r="261288" customFormat="1" s="47">
      <c r="E261288" s="185"/>
      <c r="G261288" s="64"/>
      <c r="H261288" s="308"/>
      <c r="I261288" s="308"/>
      <c r="J261288" s="185"/>
      <c r="N261288" s="307"/>
      <c r="P261288" s="218"/>
      <c r="Q261288" s="66"/>
      <c r="AC261288" s="194"/>
    </row>
    <row r="261289" customFormat="1" s="47">
      <c r="E261289" s="185"/>
      <c r="G261289" s="64"/>
      <c r="H261289" s="308"/>
      <c r="I261289" s="308"/>
      <c r="J261289" s="185"/>
      <c r="N261289" s="307"/>
      <c r="P261289" s="218"/>
      <c r="Q261289" s="66"/>
      <c r="AC261289" s="194"/>
    </row>
    <row r="261290" customFormat="1" s="47">
      <c r="E261290" s="185"/>
      <c r="G261290" s="64"/>
      <c r="H261290" s="308"/>
      <c r="I261290" s="308"/>
      <c r="J261290" s="185"/>
      <c r="N261290" s="307"/>
      <c r="P261290" s="218"/>
      <c r="Q261290" s="66"/>
      <c r="AC261290" s="194"/>
    </row>
    <row r="261291" customFormat="1" s="47">
      <c r="E261291" s="185"/>
      <c r="G261291" s="64"/>
      <c r="H261291" s="308"/>
      <c r="I261291" s="308"/>
      <c r="J261291" s="185"/>
      <c r="N261291" s="307"/>
      <c r="P261291" s="218"/>
      <c r="Q261291" s="66"/>
      <c r="AC261291" s="194"/>
    </row>
    <row r="261292" customFormat="1" s="47">
      <c r="E261292" s="185"/>
      <c r="G261292" s="64"/>
      <c r="H261292" s="308"/>
      <c r="I261292" s="308"/>
      <c r="J261292" s="185"/>
      <c r="N261292" s="307"/>
      <c r="P261292" s="218"/>
      <c r="Q261292" s="66"/>
      <c r="AC261292" s="194"/>
    </row>
    <row r="261293" customFormat="1" s="47">
      <c r="E261293" s="185"/>
      <c r="G261293" s="64"/>
      <c r="H261293" s="308"/>
      <c r="I261293" s="308"/>
      <c r="J261293" s="185"/>
      <c r="N261293" s="307"/>
      <c r="P261293" s="218"/>
      <c r="Q261293" s="66"/>
      <c r="AC261293" s="194"/>
    </row>
    <row r="261294" customFormat="1" s="47">
      <c r="E261294" s="185"/>
      <c r="G261294" s="64"/>
      <c r="H261294" s="308"/>
      <c r="I261294" s="308"/>
      <c r="J261294" s="185"/>
      <c r="N261294" s="307"/>
      <c r="P261294" s="218"/>
      <c r="Q261294" s="66"/>
      <c r="AC261294" s="194"/>
    </row>
    <row r="261295" customFormat="1" s="47">
      <c r="E261295" s="185"/>
      <c r="G261295" s="64"/>
      <c r="H261295" s="308"/>
      <c r="I261295" s="308"/>
      <c r="J261295" s="185"/>
      <c r="N261295" s="307"/>
      <c r="P261295" s="218"/>
      <c r="Q261295" s="66"/>
      <c r="AC261295" s="194"/>
    </row>
    <row r="261296" customFormat="1" s="47">
      <c r="E261296" s="185"/>
      <c r="G261296" s="64"/>
      <c r="H261296" s="308"/>
      <c r="I261296" s="308"/>
      <c r="J261296" s="185"/>
      <c r="N261296" s="307"/>
      <c r="P261296" s="218"/>
      <c r="Q261296" s="66"/>
      <c r="AC261296" s="194"/>
    </row>
    <row r="261297" customFormat="1" s="47">
      <c r="E261297" s="185"/>
      <c r="G261297" s="64"/>
      <c r="H261297" s="308"/>
      <c r="I261297" s="308"/>
      <c r="J261297" s="185"/>
      <c r="N261297" s="307"/>
      <c r="P261297" s="218"/>
      <c r="Q261297" s="66"/>
      <c r="AC261297" s="194"/>
    </row>
    <row r="261298" customFormat="1" s="47">
      <c r="E261298" s="185"/>
      <c r="G261298" s="64"/>
      <c r="H261298" s="308"/>
      <c r="I261298" s="308"/>
      <c r="J261298" s="185"/>
      <c r="N261298" s="307"/>
      <c r="P261298" s="218"/>
      <c r="Q261298" s="66"/>
      <c r="AC261298" s="194"/>
    </row>
    <row r="261299" customFormat="1" s="47">
      <c r="E261299" s="185"/>
      <c r="G261299" s="64"/>
      <c r="H261299" s="308"/>
      <c r="I261299" s="308"/>
      <c r="J261299" s="185"/>
      <c r="N261299" s="307"/>
      <c r="P261299" s="218"/>
      <c r="Q261299" s="66"/>
      <c r="AC261299" s="194"/>
    </row>
    <row r="261300" customFormat="1" s="47">
      <c r="E261300" s="185"/>
      <c r="G261300" s="64"/>
      <c r="H261300" s="308"/>
      <c r="I261300" s="308"/>
      <c r="J261300" s="185"/>
      <c r="N261300" s="307"/>
      <c r="P261300" s="218"/>
      <c r="Q261300" s="66"/>
      <c r="AC261300" s="194"/>
    </row>
    <row r="261301" customFormat="1" s="47">
      <c r="E261301" s="185"/>
      <c r="G261301" s="64"/>
      <c r="H261301" s="308"/>
      <c r="I261301" s="308"/>
      <c r="J261301" s="185"/>
      <c r="N261301" s="307"/>
      <c r="P261301" s="218"/>
      <c r="Q261301" s="66"/>
      <c r="AC261301" s="194"/>
    </row>
    <row r="261302" customFormat="1" s="47">
      <c r="E261302" s="185"/>
      <c r="G261302" s="64"/>
      <c r="H261302" s="308"/>
      <c r="I261302" s="308"/>
      <c r="J261302" s="185"/>
      <c r="N261302" s="307"/>
      <c r="P261302" s="218"/>
      <c r="Q261302" s="66"/>
      <c r="AC261302" s="194"/>
    </row>
    <row r="261303" customFormat="1" s="47">
      <c r="E261303" s="185"/>
      <c r="G261303" s="64"/>
      <c r="H261303" s="308"/>
      <c r="I261303" s="308"/>
      <c r="J261303" s="185"/>
      <c r="N261303" s="307"/>
      <c r="P261303" s="218"/>
      <c r="Q261303" s="66"/>
      <c r="AC261303" s="194"/>
    </row>
    <row r="261304" customFormat="1" s="47">
      <c r="E261304" s="185"/>
      <c r="G261304" s="64"/>
      <c r="H261304" s="308"/>
      <c r="I261304" s="308"/>
      <c r="J261304" s="185"/>
      <c r="N261304" s="307"/>
      <c r="P261304" s="218"/>
      <c r="Q261304" s="66"/>
      <c r="AC261304" s="194"/>
    </row>
    <row r="261305" customFormat="1" s="47">
      <c r="E261305" s="185"/>
      <c r="G261305" s="64"/>
      <c r="H261305" s="308"/>
      <c r="I261305" s="308"/>
      <c r="J261305" s="185"/>
      <c r="N261305" s="307"/>
      <c r="P261305" s="218"/>
      <c r="Q261305" s="66"/>
      <c r="AC261305" s="194"/>
    </row>
    <row r="261306" customFormat="1" s="47">
      <c r="E261306" s="185"/>
      <c r="G261306" s="64"/>
      <c r="H261306" s="308"/>
      <c r="I261306" s="308"/>
      <c r="J261306" s="185"/>
      <c r="N261306" s="307"/>
      <c r="P261306" s="218"/>
      <c r="Q261306" s="66"/>
      <c r="AC261306" s="194"/>
    </row>
    <row r="261307" customFormat="1" s="47">
      <c r="E261307" s="185"/>
      <c r="G261307" s="64"/>
      <c r="H261307" s="308"/>
      <c r="I261307" s="308"/>
      <c r="J261307" s="185"/>
      <c r="N261307" s="307"/>
      <c r="P261307" s="218"/>
      <c r="Q261307" s="66"/>
      <c r="AC261307" s="194"/>
    </row>
    <row r="261308" customFormat="1" s="47">
      <c r="E261308" s="185"/>
      <c r="G261308" s="64"/>
      <c r="H261308" s="308"/>
      <c r="I261308" s="308"/>
      <c r="J261308" s="185"/>
      <c r="N261308" s="307"/>
      <c r="P261308" s="218"/>
      <c r="Q261308" s="66"/>
      <c r="AC261308" s="194"/>
    </row>
    <row r="261309" customFormat="1" s="47">
      <c r="E261309" s="185"/>
      <c r="G261309" s="64"/>
      <c r="H261309" s="308"/>
      <c r="I261309" s="308"/>
      <c r="J261309" s="185"/>
      <c r="N261309" s="307"/>
      <c r="P261309" s="218"/>
      <c r="Q261309" s="66"/>
      <c r="AC261309" s="194"/>
    </row>
    <row r="261310" customFormat="1" s="47">
      <c r="E261310" s="185"/>
      <c r="G261310" s="64"/>
      <c r="H261310" s="308"/>
      <c r="I261310" s="308"/>
      <c r="J261310" s="185"/>
      <c r="N261310" s="307"/>
      <c r="P261310" s="218"/>
      <c r="Q261310" s="66"/>
      <c r="AC261310" s="194"/>
    </row>
    <row r="261311" customFormat="1" s="47">
      <c r="E261311" s="185"/>
      <c r="G261311" s="64"/>
      <c r="H261311" s="308"/>
      <c r="I261311" s="308"/>
      <c r="J261311" s="185"/>
      <c r="N261311" s="307"/>
      <c r="P261311" s="218"/>
      <c r="Q261311" s="66"/>
      <c r="AC261311" s="194"/>
    </row>
    <row r="261312" customFormat="1" s="47">
      <c r="E261312" s="185"/>
      <c r="G261312" s="64"/>
      <c r="H261312" s="308"/>
      <c r="I261312" s="308"/>
      <c r="J261312" s="185"/>
      <c r="N261312" s="307"/>
      <c r="P261312" s="218"/>
      <c r="Q261312" s="66"/>
      <c r="AC261312" s="194"/>
    </row>
    <row r="261313" customFormat="1" s="47">
      <c r="E261313" s="185"/>
      <c r="G261313" s="64"/>
      <c r="H261313" s="308"/>
      <c r="I261313" s="308"/>
      <c r="J261313" s="185"/>
      <c r="N261313" s="307"/>
      <c r="P261313" s="218"/>
      <c r="Q261313" s="66"/>
      <c r="AC261313" s="194"/>
    </row>
    <row r="261314" customFormat="1" s="47">
      <c r="E261314" s="185"/>
      <c r="G261314" s="64"/>
      <c r="H261314" s="308"/>
      <c r="I261314" s="308"/>
      <c r="J261314" s="185"/>
      <c r="N261314" s="307"/>
      <c r="P261314" s="218"/>
      <c r="Q261314" s="66"/>
      <c r="AC261314" s="194"/>
    </row>
    <row r="261315" customFormat="1" s="47">
      <c r="E261315" s="185"/>
      <c r="G261315" s="64"/>
      <c r="H261315" s="308"/>
      <c r="I261315" s="308"/>
      <c r="J261315" s="185"/>
      <c r="N261315" s="307"/>
      <c r="P261315" s="218"/>
      <c r="Q261315" s="66"/>
      <c r="AC261315" s="194"/>
    </row>
    <row r="261316" customFormat="1" s="47">
      <c r="E261316" s="185"/>
      <c r="G261316" s="64"/>
      <c r="H261316" s="308"/>
      <c r="I261316" s="308"/>
      <c r="J261316" s="185"/>
      <c r="N261316" s="307"/>
      <c r="P261316" s="218"/>
      <c r="Q261316" s="66"/>
      <c r="AC261316" s="194"/>
    </row>
    <row r="261317" customFormat="1" s="47">
      <c r="E261317" s="185"/>
      <c r="G261317" s="64"/>
      <c r="H261317" s="308"/>
      <c r="I261317" s="308"/>
      <c r="J261317" s="185"/>
      <c r="N261317" s="307"/>
      <c r="P261317" s="218"/>
      <c r="Q261317" s="66"/>
      <c r="AC261317" s="194"/>
    </row>
    <row r="261318" customFormat="1" s="47">
      <c r="E261318" s="185"/>
      <c r="G261318" s="64"/>
      <c r="H261318" s="308"/>
      <c r="I261318" s="308"/>
      <c r="J261318" s="185"/>
      <c r="N261318" s="307"/>
      <c r="P261318" s="218"/>
      <c r="Q261318" s="66"/>
      <c r="AC261318" s="194"/>
    </row>
    <row r="261319" customFormat="1" s="47">
      <c r="E261319" s="185"/>
      <c r="G261319" s="64"/>
      <c r="H261319" s="308"/>
      <c r="I261319" s="308"/>
      <c r="J261319" s="185"/>
      <c r="N261319" s="307"/>
      <c r="P261319" s="218"/>
      <c r="Q261319" s="66"/>
      <c r="AC261319" s="194"/>
    </row>
    <row r="261320" customFormat="1" s="47">
      <c r="E261320" s="185"/>
      <c r="G261320" s="64"/>
      <c r="H261320" s="308"/>
      <c r="I261320" s="308"/>
      <c r="J261320" s="185"/>
      <c r="N261320" s="307"/>
      <c r="P261320" s="218"/>
      <c r="Q261320" s="66"/>
      <c r="AC261320" s="194"/>
    </row>
    <row r="261321" customFormat="1" s="47">
      <c r="E261321" s="185"/>
      <c r="G261321" s="64"/>
      <c r="H261321" s="308"/>
      <c r="I261321" s="308"/>
      <c r="J261321" s="185"/>
      <c r="N261321" s="307"/>
      <c r="P261321" s="218"/>
      <c r="Q261321" s="66"/>
      <c r="AC261321" s="194"/>
    </row>
    <row r="261322" customFormat="1" s="47">
      <c r="E261322" s="185"/>
      <c r="G261322" s="64"/>
      <c r="H261322" s="308"/>
      <c r="I261322" s="308"/>
      <c r="J261322" s="185"/>
      <c r="N261322" s="307"/>
      <c r="P261322" s="218"/>
      <c r="Q261322" s="66"/>
      <c r="AC261322" s="194"/>
    </row>
    <row r="261323" customFormat="1" s="47">
      <c r="E261323" s="185"/>
      <c r="G261323" s="64"/>
      <c r="H261323" s="308"/>
      <c r="I261323" s="308"/>
      <c r="J261323" s="185"/>
      <c r="N261323" s="307"/>
      <c r="P261323" s="218"/>
      <c r="Q261323" s="66"/>
      <c r="AC261323" s="194"/>
    </row>
    <row r="261324" customFormat="1" s="47">
      <c r="E261324" s="185"/>
      <c r="G261324" s="64"/>
      <c r="H261324" s="308"/>
      <c r="I261324" s="308"/>
      <c r="J261324" s="185"/>
      <c r="N261324" s="307"/>
      <c r="P261324" s="218"/>
      <c r="Q261324" s="66"/>
      <c r="AC261324" s="194"/>
    </row>
    <row r="261325" customFormat="1" s="47">
      <c r="E261325" s="185"/>
      <c r="G261325" s="64"/>
      <c r="H261325" s="308"/>
      <c r="I261325" s="308"/>
      <c r="J261325" s="185"/>
      <c r="N261325" s="307"/>
      <c r="P261325" s="218"/>
      <c r="Q261325" s="66"/>
      <c r="AC261325" s="194"/>
    </row>
    <row r="261326" customFormat="1" s="47">
      <c r="E261326" s="185"/>
      <c r="G261326" s="64"/>
      <c r="H261326" s="308"/>
      <c r="I261326" s="308"/>
      <c r="J261326" s="185"/>
      <c r="N261326" s="307"/>
      <c r="P261326" s="218"/>
      <c r="Q261326" s="66"/>
      <c r="AC261326" s="194"/>
    </row>
    <row r="261327" customFormat="1" s="47">
      <c r="E261327" s="185"/>
      <c r="G261327" s="64"/>
      <c r="H261327" s="308"/>
      <c r="I261327" s="308"/>
      <c r="J261327" s="185"/>
      <c r="N261327" s="307"/>
      <c r="P261327" s="218"/>
      <c r="Q261327" s="66"/>
      <c r="AC261327" s="194"/>
    </row>
    <row r="261328" customFormat="1" s="47">
      <c r="E261328" s="185"/>
      <c r="G261328" s="64"/>
      <c r="H261328" s="308"/>
      <c r="I261328" s="308"/>
      <c r="J261328" s="185"/>
      <c r="N261328" s="307"/>
      <c r="P261328" s="218"/>
      <c r="Q261328" s="66"/>
      <c r="AC261328" s="194"/>
    </row>
    <row r="261329" customFormat="1" s="47">
      <c r="E261329" s="185"/>
      <c r="G261329" s="64"/>
      <c r="H261329" s="308"/>
      <c r="I261329" s="308"/>
      <c r="J261329" s="185"/>
      <c r="N261329" s="307"/>
      <c r="P261329" s="218"/>
      <c r="Q261329" s="66"/>
      <c r="AC261329" s="194"/>
    </row>
    <row r="261330" customFormat="1" s="47">
      <c r="E261330" s="185"/>
      <c r="G261330" s="64"/>
      <c r="H261330" s="308"/>
      <c r="I261330" s="308"/>
      <c r="J261330" s="185"/>
      <c r="N261330" s="307"/>
      <c r="P261330" s="218"/>
      <c r="Q261330" s="66"/>
      <c r="AC261330" s="194"/>
    </row>
    <row r="261331" customFormat="1" s="47">
      <c r="E261331" s="185"/>
      <c r="G261331" s="64"/>
      <c r="H261331" s="308"/>
      <c r="I261331" s="308"/>
      <c r="J261331" s="185"/>
      <c r="N261331" s="307"/>
      <c r="P261331" s="218"/>
      <c r="Q261331" s="66"/>
      <c r="AC261331" s="194"/>
    </row>
    <row r="261332" customFormat="1" s="47">
      <c r="E261332" s="185"/>
      <c r="G261332" s="64"/>
      <c r="H261332" s="308"/>
      <c r="I261332" s="308"/>
      <c r="J261332" s="185"/>
      <c r="N261332" s="307"/>
      <c r="P261332" s="218"/>
      <c r="Q261332" s="66"/>
      <c r="AC261332" s="194"/>
    </row>
    <row r="261333" customFormat="1" s="47">
      <c r="E261333" s="185"/>
      <c r="G261333" s="64"/>
      <c r="H261333" s="308"/>
      <c r="I261333" s="308"/>
      <c r="J261333" s="185"/>
      <c r="N261333" s="307"/>
      <c r="P261333" s="218"/>
      <c r="Q261333" s="66"/>
      <c r="AC261333" s="194"/>
    </row>
    <row r="261334" customFormat="1" s="47">
      <c r="E261334" s="185"/>
      <c r="G261334" s="64"/>
      <c r="H261334" s="308"/>
      <c r="I261334" s="308"/>
      <c r="J261334" s="185"/>
      <c r="N261334" s="307"/>
      <c r="P261334" s="218"/>
      <c r="Q261334" s="66"/>
      <c r="AC261334" s="194"/>
    </row>
    <row r="261335" customFormat="1" s="47">
      <c r="E261335" s="185"/>
      <c r="G261335" s="64"/>
      <c r="H261335" s="308"/>
      <c r="I261335" s="308"/>
      <c r="J261335" s="185"/>
      <c r="N261335" s="307"/>
      <c r="P261335" s="218"/>
      <c r="Q261335" s="66"/>
      <c r="AC261335" s="194"/>
    </row>
    <row r="261336" customFormat="1" s="47">
      <c r="E261336" s="185"/>
      <c r="G261336" s="64"/>
      <c r="H261336" s="308"/>
      <c r="I261336" s="308"/>
      <c r="J261336" s="185"/>
      <c r="N261336" s="307"/>
      <c r="P261336" s="218"/>
      <c r="Q261336" s="66"/>
      <c r="AC261336" s="194"/>
    </row>
    <row r="261337" customFormat="1" s="47">
      <c r="E261337" s="185"/>
      <c r="G261337" s="64"/>
      <c r="H261337" s="308"/>
      <c r="I261337" s="308"/>
      <c r="J261337" s="185"/>
      <c r="N261337" s="307"/>
      <c r="P261337" s="218"/>
      <c r="Q261337" s="66"/>
      <c r="AC261337" s="194"/>
    </row>
    <row r="261338" customFormat="1" s="47">
      <c r="E261338" s="185"/>
      <c r="G261338" s="64"/>
      <c r="H261338" s="308"/>
      <c r="I261338" s="308"/>
      <c r="J261338" s="185"/>
      <c r="N261338" s="307"/>
      <c r="P261338" s="218"/>
      <c r="Q261338" s="66"/>
      <c r="AC261338" s="194"/>
    </row>
    <row r="261339" customFormat="1" s="47">
      <c r="E261339" s="185"/>
      <c r="G261339" s="64"/>
      <c r="H261339" s="308"/>
      <c r="I261339" s="308"/>
      <c r="J261339" s="185"/>
      <c r="N261339" s="307"/>
      <c r="P261339" s="218"/>
      <c r="Q261339" s="66"/>
      <c r="AC261339" s="194"/>
    </row>
    <row r="261340" customFormat="1" s="47">
      <c r="E261340" s="185"/>
      <c r="G261340" s="64"/>
      <c r="H261340" s="308"/>
      <c r="I261340" s="308"/>
      <c r="J261340" s="185"/>
      <c r="N261340" s="307"/>
      <c r="P261340" s="218"/>
      <c r="Q261340" s="66"/>
      <c r="AC261340" s="194"/>
    </row>
    <row r="261341" customFormat="1" s="47">
      <c r="E261341" s="185"/>
      <c r="G261341" s="64"/>
      <c r="H261341" s="308"/>
      <c r="I261341" s="308"/>
      <c r="J261341" s="185"/>
      <c r="N261341" s="307"/>
      <c r="P261341" s="218"/>
      <c r="Q261341" s="66"/>
      <c r="AC261341" s="194"/>
    </row>
    <row r="261342" customFormat="1" s="47">
      <c r="E261342" s="185"/>
      <c r="G261342" s="64"/>
      <c r="H261342" s="308"/>
      <c r="I261342" s="308"/>
      <c r="J261342" s="185"/>
      <c r="N261342" s="307"/>
      <c r="P261342" s="218"/>
      <c r="Q261342" s="66"/>
      <c r="AC261342" s="194"/>
    </row>
    <row r="261343" customFormat="1" s="47">
      <c r="E261343" s="185"/>
      <c r="G261343" s="64"/>
      <c r="H261343" s="308"/>
      <c r="I261343" s="308"/>
      <c r="J261343" s="185"/>
      <c r="N261343" s="307"/>
      <c r="P261343" s="218"/>
      <c r="Q261343" s="66"/>
      <c r="AC261343" s="194"/>
    </row>
    <row r="261344" customFormat="1" s="47">
      <c r="E261344" s="185"/>
      <c r="G261344" s="64"/>
      <c r="H261344" s="308"/>
      <c r="I261344" s="308"/>
      <c r="J261344" s="185"/>
      <c r="N261344" s="307"/>
      <c r="P261344" s="218"/>
      <c r="Q261344" s="66"/>
      <c r="AC261344" s="194"/>
    </row>
    <row r="261345" customFormat="1" s="47">
      <c r="E261345" s="185"/>
      <c r="G261345" s="64"/>
      <c r="H261345" s="308"/>
      <c r="I261345" s="308"/>
      <c r="J261345" s="185"/>
      <c r="N261345" s="307"/>
      <c r="P261345" s="218"/>
      <c r="Q261345" s="66"/>
      <c r="AC261345" s="194"/>
    </row>
    <row r="261346" customFormat="1" s="47">
      <c r="E261346" s="185"/>
      <c r="G261346" s="64"/>
      <c r="H261346" s="308"/>
      <c r="I261346" s="308"/>
      <c r="J261346" s="185"/>
      <c r="N261346" s="307"/>
      <c r="P261346" s="218"/>
      <c r="Q261346" s="66"/>
      <c r="AC261346" s="194"/>
    </row>
    <row r="261347" customFormat="1" s="47">
      <c r="E261347" s="185"/>
      <c r="G261347" s="64"/>
      <c r="H261347" s="308"/>
      <c r="I261347" s="308"/>
      <c r="J261347" s="185"/>
      <c r="N261347" s="307"/>
      <c r="P261347" s="218"/>
      <c r="Q261347" s="66"/>
      <c r="AC261347" s="194"/>
    </row>
    <row r="261348" customFormat="1" s="47">
      <c r="E261348" s="185"/>
      <c r="G261348" s="64"/>
      <c r="H261348" s="308"/>
      <c r="I261348" s="308"/>
      <c r="J261348" s="185"/>
      <c r="N261348" s="307"/>
      <c r="P261348" s="218"/>
      <c r="Q261348" s="66"/>
      <c r="AC261348" s="194"/>
    </row>
    <row r="261349" customFormat="1" s="47">
      <c r="E261349" s="185"/>
      <c r="G261349" s="64"/>
      <c r="H261349" s="308"/>
      <c r="I261349" s="308"/>
      <c r="J261349" s="185"/>
      <c r="N261349" s="307"/>
      <c r="P261349" s="218"/>
      <c r="Q261349" s="66"/>
      <c r="AC261349" s="194"/>
    </row>
    <row r="261350" customFormat="1" s="47">
      <c r="E261350" s="185"/>
      <c r="G261350" s="64"/>
      <c r="H261350" s="308"/>
      <c r="I261350" s="308"/>
      <c r="J261350" s="185"/>
      <c r="N261350" s="307"/>
      <c r="P261350" s="218"/>
      <c r="Q261350" s="66"/>
      <c r="AC261350" s="194"/>
    </row>
    <row r="261351" customFormat="1" s="47">
      <c r="E261351" s="185"/>
      <c r="G261351" s="64"/>
      <c r="H261351" s="308"/>
      <c r="I261351" s="308"/>
      <c r="J261351" s="185"/>
      <c r="N261351" s="307"/>
      <c r="P261351" s="218"/>
      <c r="Q261351" s="66"/>
      <c r="AC261351" s="194"/>
    </row>
    <row r="261352" customFormat="1" s="47">
      <c r="E261352" s="185"/>
      <c r="G261352" s="64"/>
      <c r="H261352" s="308"/>
      <c r="I261352" s="308"/>
      <c r="J261352" s="185"/>
      <c r="N261352" s="307"/>
      <c r="P261352" s="218"/>
      <c r="Q261352" s="66"/>
      <c r="AC261352" s="194"/>
    </row>
    <row r="261353" customFormat="1" s="47">
      <c r="E261353" s="185"/>
      <c r="G261353" s="64"/>
      <c r="H261353" s="308"/>
      <c r="I261353" s="308"/>
      <c r="J261353" s="185"/>
      <c r="N261353" s="307"/>
      <c r="P261353" s="218"/>
      <c r="Q261353" s="66"/>
      <c r="AC261353" s="194"/>
    </row>
    <row r="261354" customFormat="1" s="47">
      <c r="E261354" s="185"/>
      <c r="G261354" s="64"/>
      <c r="H261354" s="308"/>
      <c r="I261354" s="308"/>
      <c r="J261354" s="185"/>
      <c r="N261354" s="307"/>
      <c r="P261354" s="218"/>
      <c r="Q261354" s="66"/>
      <c r="AC261354" s="194"/>
    </row>
    <row r="261355" customFormat="1" s="47">
      <c r="E261355" s="185"/>
      <c r="G261355" s="64"/>
      <c r="H261355" s="308"/>
      <c r="I261355" s="308"/>
      <c r="J261355" s="185"/>
      <c r="N261355" s="307"/>
      <c r="P261355" s="218"/>
      <c r="Q261355" s="66"/>
      <c r="AC261355" s="194"/>
    </row>
    <row r="261356" customFormat="1" s="47">
      <c r="E261356" s="185"/>
      <c r="G261356" s="64"/>
      <c r="H261356" s="308"/>
      <c r="I261356" s="308"/>
      <c r="J261356" s="185"/>
      <c r="N261356" s="307"/>
      <c r="P261356" s="218"/>
      <c r="Q261356" s="66"/>
      <c r="AC261356" s="194"/>
    </row>
    <row r="261357" customFormat="1" s="47">
      <c r="E261357" s="185"/>
      <c r="G261357" s="64"/>
      <c r="H261357" s="308"/>
      <c r="I261357" s="308"/>
      <c r="J261357" s="185"/>
      <c r="N261357" s="307"/>
      <c r="P261357" s="218"/>
      <c r="Q261357" s="66"/>
      <c r="AC261357" s="194"/>
    </row>
    <row r="261358" customFormat="1" s="47">
      <c r="E261358" s="185"/>
      <c r="G261358" s="64"/>
      <c r="H261358" s="308"/>
      <c r="I261358" s="308"/>
      <c r="J261358" s="185"/>
      <c r="N261358" s="307"/>
      <c r="P261358" s="218"/>
      <c r="Q261358" s="66"/>
      <c r="AC261358" s="194"/>
    </row>
    <row r="261359" customFormat="1" s="47">
      <c r="E261359" s="185"/>
      <c r="G261359" s="64"/>
      <c r="H261359" s="308"/>
      <c r="I261359" s="308"/>
      <c r="J261359" s="185"/>
      <c r="N261359" s="307"/>
      <c r="P261359" s="218"/>
      <c r="Q261359" s="66"/>
      <c r="AC261359" s="194"/>
    </row>
    <row r="261360" customFormat="1" s="47">
      <c r="E261360" s="185"/>
      <c r="G261360" s="64"/>
      <c r="H261360" s="308"/>
      <c r="I261360" s="308"/>
      <c r="J261360" s="185"/>
      <c r="N261360" s="307"/>
      <c r="P261360" s="218"/>
      <c r="Q261360" s="66"/>
      <c r="AC261360" s="194"/>
    </row>
    <row r="261361" customFormat="1" s="47">
      <c r="E261361" s="185"/>
      <c r="G261361" s="64"/>
      <c r="H261361" s="308"/>
      <c r="I261361" s="308"/>
      <c r="J261361" s="185"/>
      <c r="N261361" s="307"/>
      <c r="P261361" s="218"/>
      <c r="Q261361" s="66"/>
      <c r="AC261361" s="194"/>
    </row>
    <row r="261362" customFormat="1" s="47">
      <c r="E261362" s="185"/>
      <c r="G261362" s="64"/>
      <c r="H261362" s="308"/>
      <c r="I261362" s="308"/>
      <c r="J261362" s="185"/>
      <c r="N261362" s="307"/>
      <c r="P261362" s="218"/>
      <c r="Q261362" s="66"/>
      <c r="AC261362" s="194"/>
    </row>
    <row r="261363" customFormat="1" s="47">
      <c r="E261363" s="185"/>
      <c r="G261363" s="64"/>
      <c r="H261363" s="308"/>
      <c r="I261363" s="308"/>
      <c r="J261363" s="185"/>
      <c r="N261363" s="307"/>
      <c r="P261363" s="218"/>
      <c r="Q261363" s="66"/>
      <c r="AC261363" s="194"/>
    </row>
    <row r="261364" customFormat="1" s="47">
      <c r="E261364" s="185"/>
      <c r="G261364" s="64"/>
      <c r="H261364" s="308"/>
      <c r="I261364" s="308"/>
      <c r="J261364" s="185"/>
      <c r="N261364" s="307"/>
      <c r="P261364" s="218"/>
      <c r="Q261364" s="66"/>
      <c r="AC261364" s="194"/>
    </row>
    <row r="261365" customFormat="1" s="47">
      <c r="E261365" s="185"/>
      <c r="G261365" s="64"/>
      <c r="H261365" s="308"/>
      <c r="I261365" s="308"/>
      <c r="J261365" s="185"/>
      <c r="N261365" s="307"/>
      <c r="P261365" s="218"/>
      <c r="Q261365" s="66"/>
      <c r="AC261365" s="194"/>
    </row>
    <row r="261366" customFormat="1" s="47">
      <c r="E261366" s="185"/>
      <c r="G261366" s="64"/>
      <c r="H261366" s="308"/>
      <c r="I261366" s="308"/>
      <c r="J261366" s="185"/>
      <c r="N261366" s="307"/>
      <c r="P261366" s="218"/>
      <c r="Q261366" s="66"/>
      <c r="AC261366" s="194"/>
    </row>
    <row r="261367" customFormat="1" s="47">
      <c r="E261367" s="185"/>
      <c r="G261367" s="64"/>
      <c r="H261367" s="308"/>
      <c r="I261367" s="308"/>
      <c r="J261367" s="185"/>
      <c r="N261367" s="307"/>
      <c r="P261367" s="218"/>
      <c r="Q261367" s="66"/>
      <c r="AC261367" s="194"/>
    </row>
    <row r="261368" customFormat="1" s="47">
      <c r="E261368" s="185"/>
      <c r="G261368" s="64"/>
      <c r="H261368" s="308"/>
      <c r="I261368" s="308"/>
      <c r="J261368" s="185"/>
      <c r="N261368" s="307"/>
      <c r="P261368" s="218"/>
      <c r="Q261368" s="66"/>
      <c r="AC261368" s="194"/>
    </row>
    <row r="261369" customFormat="1" s="47">
      <c r="E261369" s="185"/>
      <c r="G261369" s="64"/>
      <c r="H261369" s="308"/>
      <c r="I261369" s="308"/>
      <c r="J261369" s="185"/>
      <c r="N261369" s="307"/>
      <c r="P261369" s="218"/>
      <c r="Q261369" s="66"/>
      <c r="AC261369" s="194"/>
    </row>
    <row r="261370" customFormat="1" s="47">
      <c r="E261370" s="185"/>
      <c r="G261370" s="64"/>
      <c r="H261370" s="308"/>
      <c r="I261370" s="308"/>
      <c r="J261370" s="185"/>
      <c r="N261370" s="307"/>
      <c r="P261370" s="218"/>
      <c r="Q261370" s="66"/>
      <c r="AC261370" s="194"/>
    </row>
    <row r="261371" customFormat="1" s="47">
      <c r="E261371" s="185"/>
      <c r="G261371" s="64"/>
      <c r="H261371" s="308"/>
      <c r="I261371" s="308"/>
      <c r="J261371" s="185"/>
      <c r="N261371" s="307"/>
      <c r="P261371" s="218"/>
      <c r="Q261371" s="66"/>
      <c r="AC261371" s="194"/>
    </row>
    <row r="261372" customFormat="1" s="47">
      <c r="E261372" s="185"/>
      <c r="G261372" s="64"/>
      <c r="H261372" s="308"/>
      <c r="I261372" s="308"/>
      <c r="J261372" s="185"/>
      <c r="N261372" s="307"/>
      <c r="P261372" s="218"/>
      <c r="Q261372" s="66"/>
      <c r="AC261372" s="194"/>
    </row>
    <row r="261373" customFormat="1" s="47">
      <c r="E261373" s="185"/>
      <c r="G261373" s="64"/>
      <c r="H261373" s="308"/>
      <c r="I261373" s="308"/>
      <c r="J261373" s="185"/>
      <c r="N261373" s="307"/>
      <c r="P261373" s="218"/>
      <c r="Q261373" s="66"/>
      <c r="AC261373" s="194"/>
    </row>
    <row r="261374" customFormat="1" s="47">
      <c r="E261374" s="185"/>
      <c r="G261374" s="64"/>
      <c r="H261374" s="308"/>
      <c r="I261374" s="308"/>
      <c r="J261374" s="185"/>
      <c r="N261374" s="307"/>
      <c r="P261374" s="218"/>
      <c r="Q261374" s="66"/>
      <c r="AC261374" s="194"/>
    </row>
    <row r="261375" customFormat="1" s="47">
      <c r="E261375" s="185"/>
      <c r="G261375" s="64"/>
      <c r="H261375" s="308"/>
      <c r="I261375" s="308"/>
      <c r="J261375" s="185"/>
      <c r="N261375" s="307"/>
      <c r="P261375" s="218"/>
      <c r="Q261375" s="66"/>
      <c r="AC261375" s="194"/>
    </row>
    <row r="261376" customFormat="1" s="47">
      <c r="E261376" s="185"/>
      <c r="G261376" s="64"/>
      <c r="H261376" s="308"/>
      <c r="I261376" s="308"/>
      <c r="J261376" s="185"/>
      <c r="N261376" s="307"/>
      <c r="P261376" s="218"/>
      <c r="Q261376" s="66"/>
      <c r="AC261376" s="194"/>
    </row>
    <row r="261377" customFormat="1" s="47">
      <c r="E261377" s="185"/>
      <c r="G261377" s="64"/>
      <c r="H261377" s="308"/>
      <c r="I261377" s="308"/>
      <c r="J261377" s="185"/>
      <c r="N261377" s="307"/>
      <c r="P261377" s="218"/>
      <c r="Q261377" s="66"/>
      <c r="AC261377" s="194"/>
    </row>
    <row r="261378" customFormat="1" s="47">
      <c r="E261378" s="185"/>
      <c r="G261378" s="64"/>
      <c r="H261378" s="308"/>
      <c r="I261378" s="308"/>
      <c r="J261378" s="185"/>
      <c r="N261378" s="307"/>
      <c r="P261378" s="218"/>
      <c r="Q261378" s="66"/>
      <c r="AC261378" s="194"/>
    </row>
    <row r="261379" customFormat="1" s="47">
      <c r="E261379" s="185"/>
      <c r="G261379" s="64"/>
      <c r="H261379" s="308"/>
      <c r="I261379" s="308"/>
      <c r="J261379" s="185"/>
      <c r="N261379" s="307"/>
      <c r="P261379" s="218"/>
      <c r="Q261379" s="66"/>
      <c r="AC261379" s="194"/>
    </row>
    <row r="261380" customFormat="1" s="47">
      <c r="E261380" s="185"/>
      <c r="G261380" s="64"/>
      <c r="H261380" s="308"/>
      <c r="I261380" s="308"/>
      <c r="J261380" s="185"/>
      <c r="N261380" s="307"/>
      <c r="P261380" s="218"/>
      <c r="Q261380" s="66"/>
      <c r="AC261380" s="194"/>
    </row>
    <row r="261381" customFormat="1" s="47">
      <c r="E261381" s="185"/>
      <c r="G261381" s="64"/>
      <c r="H261381" s="308"/>
      <c r="I261381" s="308"/>
      <c r="J261381" s="185"/>
      <c r="N261381" s="307"/>
      <c r="P261381" s="218"/>
      <c r="Q261381" s="66"/>
      <c r="AC261381" s="194"/>
    </row>
    <row r="261382" customFormat="1" s="47">
      <c r="E261382" s="185"/>
      <c r="G261382" s="64"/>
      <c r="H261382" s="308"/>
      <c r="I261382" s="308"/>
      <c r="J261382" s="185"/>
      <c r="N261382" s="307"/>
      <c r="P261382" s="218"/>
      <c r="Q261382" s="66"/>
      <c r="AC261382" s="194"/>
    </row>
    <row r="261383" customFormat="1" s="47">
      <c r="E261383" s="185"/>
      <c r="G261383" s="64"/>
      <c r="H261383" s="308"/>
      <c r="I261383" s="308"/>
      <c r="J261383" s="185"/>
      <c r="N261383" s="307"/>
      <c r="P261383" s="218"/>
      <c r="Q261383" s="66"/>
      <c r="AC261383" s="194"/>
    </row>
    <row r="261384" customFormat="1" s="47">
      <c r="E261384" s="185"/>
      <c r="G261384" s="64"/>
      <c r="H261384" s="308"/>
      <c r="I261384" s="308"/>
      <c r="J261384" s="185"/>
      <c r="N261384" s="307"/>
      <c r="P261384" s="218"/>
      <c r="Q261384" s="66"/>
      <c r="AC261384" s="194"/>
    </row>
    <row r="261385" customFormat="1" s="47">
      <c r="E261385" s="185"/>
      <c r="G261385" s="64"/>
      <c r="H261385" s="308"/>
      <c r="I261385" s="308"/>
      <c r="J261385" s="185"/>
      <c r="N261385" s="307"/>
      <c r="P261385" s="218"/>
      <c r="Q261385" s="66"/>
      <c r="AC261385" s="194"/>
    </row>
    <row r="261386" customFormat="1" s="47">
      <c r="E261386" s="185"/>
      <c r="G261386" s="64"/>
      <c r="H261386" s="308"/>
      <c r="I261386" s="308"/>
      <c r="J261386" s="185"/>
      <c r="N261386" s="307"/>
      <c r="P261386" s="218"/>
      <c r="Q261386" s="66"/>
      <c r="AC261386" s="194"/>
    </row>
    <row r="261387" customFormat="1" s="47">
      <c r="E261387" s="185"/>
      <c r="G261387" s="64"/>
      <c r="H261387" s="308"/>
      <c r="I261387" s="308"/>
      <c r="J261387" s="185"/>
      <c r="N261387" s="307"/>
      <c r="P261387" s="218"/>
      <c r="Q261387" s="66"/>
      <c r="AC261387" s="194"/>
    </row>
    <row r="261388" customFormat="1" s="47">
      <c r="E261388" s="185"/>
      <c r="G261388" s="64"/>
      <c r="H261388" s="308"/>
      <c r="I261388" s="308"/>
      <c r="J261388" s="185"/>
      <c r="N261388" s="307"/>
      <c r="P261388" s="218"/>
      <c r="Q261388" s="66"/>
      <c r="AC261388" s="194"/>
    </row>
    <row r="261389" customFormat="1" s="47">
      <c r="E261389" s="185"/>
      <c r="G261389" s="64"/>
      <c r="H261389" s="308"/>
      <c r="I261389" s="308"/>
      <c r="J261389" s="185"/>
      <c r="N261389" s="307"/>
      <c r="P261389" s="218"/>
      <c r="Q261389" s="66"/>
      <c r="AC261389" s="194"/>
    </row>
    <row r="261390" customFormat="1" s="47">
      <c r="E261390" s="185"/>
      <c r="G261390" s="64"/>
      <c r="H261390" s="308"/>
      <c r="I261390" s="308"/>
      <c r="J261390" s="185"/>
      <c r="N261390" s="307"/>
      <c r="P261390" s="218"/>
      <c r="Q261390" s="66"/>
      <c r="AC261390" s="194"/>
    </row>
    <row r="261391" customFormat="1" s="47">
      <c r="E261391" s="185"/>
      <c r="G261391" s="64"/>
      <c r="H261391" s="308"/>
      <c r="I261391" s="308"/>
      <c r="J261391" s="185"/>
      <c r="N261391" s="307"/>
      <c r="P261391" s="218"/>
      <c r="Q261391" s="66"/>
      <c r="AC261391" s="194"/>
    </row>
    <row r="261392" customFormat="1" s="47">
      <c r="E261392" s="185"/>
      <c r="G261392" s="64"/>
      <c r="H261392" s="308"/>
      <c r="I261392" s="308"/>
      <c r="J261392" s="185"/>
      <c r="N261392" s="307"/>
      <c r="P261392" s="218"/>
      <c r="Q261392" s="66"/>
      <c r="AC261392" s="194"/>
    </row>
    <row r="261393" customFormat="1" s="47">
      <c r="E261393" s="185"/>
      <c r="G261393" s="64"/>
      <c r="H261393" s="308"/>
      <c r="I261393" s="308"/>
      <c r="J261393" s="185"/>
      <c r="N261393" s="307"/>
      <c r="P261393" s="218"/>
      <c r="Q261393" s="66"/>
      <c r="AC261393" s="194"/>
    </row>
    <row r="261394" customFormat="1" s="47">
      <c r="E261394" s="185"/>
      <c r="G261394" s="64"/>
      <c r="H261394" s="308"/>
      <c r="I261394" s="308"/>
      <c r="J261394" s="185"/>
      <c r="N261394" s="307"/>
      <c r="P261394" s="218"/>
      <c r="Q261394" s="66"/>
      <c r="AC261394" s="194"/>
    </row>
    <row r="261395" customFormat="1" s="47">
      <c r="E261395" s="185"/>
      <c r="G261395" s="64"/>
      <c r="H261395" s="308"/>
      <c r="I261395" s="308"/>
      <c r="J261395" s="185"/>
      <c r="N261395" s="307"/>
      <c r="P261395" s="218"/>
      <c r="Q261395" s="66"/>
      <c r="AC261395" s="194"/>
    </row>
    <row r="261396" customFormat="1" s="47">
      <c r="E261396" s="185"/>
      <c r="G261396" s="64"/>
      <c r="H261396" s="308"/>
      <c r="I261396" s="308"/>
      <c r="J261396" s="185"/>
      <c r="N261396" s="307"/>
      <c r="P261396" s="218"/>
      <c r="Q261396" s="66"/>
      <c r="AC261396" s="194"/>
    </row>
    <row r="261397" customFormat="1" s="47">
      <c r="E261397" s="185"/>
      <c r="G261397" s="64"/>
      <c r="H261397" s="308"/>
      <c r="I261397" s="308"/>
      <c r="J261397" s="185"/>
      <c r="N261397" s="307"/>
      <c r="P261397" s="218"/>
      <c r="Q261397" s="66"/>
      <c r="AC261397" s="194"/>
    </row>
    <row r="261398" customFormat="1" s="47">
      <c r="E261398" s="185"/>
      <c r="G261398" s="64"/>
      <c r="H261398" s="308"/>
      <c r="I261398" s="308"/>
      <c r="J261398" s="185"/>
      <c r="N261398" s="307"/>
      <c r="P261398" s="218"/>
      <c r="Q261398" s="66"/>
      <c r="AC261398" s="194"/>
    </row>
    <row r="261399" customFormat="1" s="47">
      <c r="E261399" s="185"/>
      <c r="G261399" s="64"/>
      <c r="H261399" s="308"/>
      <c r="I261399" s="308"/>
      <c r="J261399" s="185"/>
      <c r="N261399" s="307"/>
      <c r="P261399" s="218"/>
      <c r="Q261399" s="66"/>
      <c r="AC261399" s="194"/>
    </row>
    <row r="261400" customFormat="1" s="47">
      <c r="E261400" s="185"/>
      <c r="G261400" s="64"/>
      <c r="H261400" s="308"/>
      <c r="I261400" s="308"/>
      <c r="J261400" s="185"/>
      <c r="N261400" s="307"/>
      <c r="P261400" s="218"/>
      <c r="Q261400" s="66"/>
      <c r="AC261400" s="194"/>
    </row>
    <row r="261401" customFormat="1" s="47">
      <c r="E261401" s="185"/>
      <c r="G261401" s="64"/>
      <c r="H261401" s="308"/>
      <c r="I261401" s="308"/>
      <c r="J261401" s="185"/>
      <c r="N261401" s="307"/>
      <c r="P261401" s="218"/>
      <c r="Q261401" s="66"/>
      <c r="AC261401" s="194"/>
    </row>
    <row r="261402" customFormat="1" s="47">
      <c r="E261402" s="185"/>
      <c r="G261402" s="64"/>
      <c r="H261402" s="308"/>
      <c r="I261402" s="308"/>
      <c r="J261402" s="185"/>
      <c r="N261402" s="307"/>
      <c r="P261402" s="218"/>
      <c r="Q261402" s="66"/>
      <c r="AC261402" s="194"/>
    </row>
    <row r="261403" customFormat="1" s="47">
      <c r="E261403" s="185"/>
      <c r="G261403" s="64"/>
      <c r="H261403" s="308"/>
      <c r="I261403" s="308"/>
      <c r="J261403" s="185"/>
      <c r="N261403" s="307"/>
      <c r="P261403" s="218"/>
      <c r="Q261403" s="66"/>
      <c r="AC261403" s="194"/>
    </row>
    <row r="261404" customFormat="1" s="47">
      <c r="E261404" s="185"/>
      <c r="G261404" s="64"/>
      <c r="H261404" s="308"/>
      <c r="I261404" s="308"/>
      <c r="J261404" s="185"/>
      <c r="N261404" s="307"/>
      <c r="P261404" s="218"/>
      <c r="Q261404" s="66"/>
      <c r="AC261404" s="194"/>
    </row>
    <row r="261405" customFormat="1" s="47">
      <c r="E261405" s="185"/>
      <c r="G261405" s="64"/>
      <c r="H261405" s="308"/>
      <c r="I261405" s="308"/>
      <c r="J261405" s="185"/>
      <c r="N261405" s="307"/>
      <c r="P261405" s="218"/>
      <c r="Q261405" s="66"/>
      <c r="AC261405" s="194"/>
    </row>
    <row r="261406" customFormat="1" s="47">
      <c r="E261406" s="185"/>
      <c r="G261406" s="64"/>
      <c r="H261406" s="308"/>
      <c r="I261406" s="308"/>
      <c r="J261406" s="185"/>
      <c r="N261406" s="307"/>
      <c r="P261406" s="218"/>
      <c r="Q261406" s="66"/>
      <c r="AC261406" s="194"/>
    </row>
    <row r="261407" customFormat="1" s="47">
      <c r="E261407" s="185"/>
      <c r="G261407" s="64"/>
      <c r="H261407" s="308"/>
      <c r="I261407" s="308"/>
      <c r="J261407" s="185"/>
      <c r="N261407" s="307"/>
      <c r="P261407" s="218"/>
      <c r="Q261407" s="66"/>
      <c r="AC261407" s="194"/>
    </row>
    <row r="261408" customFormat="1" s="47">
      <c r="E261408" s="185"/>
      <c r="G261408" s="64"/>
      <c r="H261408" s="308"/>
      <c r="I261408" s="308"/>
      <c r="J261408" s="185"/>
      <c r="N261408" s="307"/>
      <c r="P261408" s="218"/>
      <c r="Q261408" s="66"/>
      <c r="AC261408" s="194"/>
    </row>
    <row r="261409" customFormat="1" s="47">
      <c r="E261409" s="185"/>
      <c r="G261409" s="64"/>
      <c r="H261409" s="308"/>
      <c r="I261409" s="308"/>
      <c r="J261409" s="185"/>
      <c r="N261409" s="307"/>
      <c r="P261409" s="218"/>
      <c r="Q261409" s="66"/>
      <c r="AC261409" s="194"/>
    </row>
    <row r="261410" customFormat="1" s="47">
      <c r="E261410" s="185"/>
      <c r="G261410" s="64"/>
      <c r="H261410" s="308"/>
      <c r="I261410" s="308"/>
      <c r="J261410" s="185"/>
      <c r="N261410" s="307"/>
      <c r="P261410" s="218"/>
      <c r="Q261410" s="66"/>
      <c r="AC261410" s="194"/>
    </row>
    <row r="261411" customFormat="1" s="47">
      <c r="E261411" s="185"/>
      <c r="G261411" s="64"/>
      <c r="H261411" s="308"/>
      <c r="I261411" s="308"/>
      <c r="J261411" s="185"/>
      <c r="N261411" s="307"/>
      <c r="P261411" s="218"/>
      <c r="Q261411" s="66"/>
      <c r="AC261411" s="194"/>
    </row>
    <row r="261412" customFormat="1" s="47">
      <c r="E261412" s="185"/>
      <c r="G261412" s="64"/>
      <c r="H261412" s="308"/>
      <c r="I261412" s="308"/>
      <c r="J261412" s="185"/>
      <c r="N261412" s="307"/>
      <c r="P261412" s="218"/>
      <c r="Q261412" s="66"/>
      <c r="AC261412" s="194"/>
    </row>
    <row r="261413" customFormat="1" s="47">
      <c r="E261413" s="185"/>
      <c r="G261413" s="64"/>
      <c r="H261413" s="308"/>
      <c r="I261413" s="308"/>
      <c r="J261413" s="185"/>
      <c r="N261413" s="307"/>
      <c r="P261413" s="218"/>
      <c r="Q261413" s="66"/>
      <c r="AC261413" s="194"/>
    </row>
    <row r="261414" customFormat="1" s="47">
      <c r="E261414" s="185"/>
      <c r="G261414" s="64"/>
      <c r="H261414" s="308"/>
      <c r="I261414" s="308"/>
      <c r="J261414" s="185"/>
      <c r="N261414" s="307"/>
      <c r="P261414" s="218"/>
      <c r="Q261414" s="66"/>
      <c r="AC261414" s="194"/>
    </row>
    <row r="261415" customFormat="1" s="47">
      <c r="E261415" s="185"/>
      <c r="G261415" s="64"/>
      <c r="H261415" s="308"/>
      <c r="I261415" s="308"/>
      <c r="J261415" s="185"/>
      <c r="N261415" s="307"/>
      <c r="P261415" s="218"/>
      <c r="Q261415" s="66"/>
      <c r="AC261415" s="194"/>
    </row>
    <row r="261416" customFormat="1" s="47">
      <c r="E261416" s="185"/>
      <c r="G261416" s="64"/>
      <c r="H261416" s="308"/>
      <c r="I261416" s="308"/>
      <c r="J261416" s="185"/>
      <c r="N261416" s="307"/>
      <c r="P261416" s="218"/>
      <c r="Q261416" s="66"/>
      <c r="AC261416" s="194"/>
    </row>
    <row r="261417" customFormat="1" s="47">
      <c r="E261417" s="185"/>
      <c r="G261417" s="64"/>
      <c r="H261417" s="308"/>
      <c r="I261417" s="308"/>
      <c r="J261417" s="185"/>
      <c r="N261417" s="307"/>
      <c r="P261417" s="218"/>
      <c r="Q261417" s="66"/>
      <c r="AC261417" s="194"/>
    </row>
    <row r="261418" customFormat="1" s="47">
      <c r="E261418" s="185"/>
      <c r="G261418" s="64"/>
      <c r="H261418" s="308"/>
      <c r="I261418" s="308"/>
      <c r="J261418" s="185"/>
      <c r="N261418" s="307"/>
      <c r="P261418" s="218"/>
      <c r="Q261418" s="66"/>
      <c r="AC261418" s="194"/>
    </row>
    <row r="261419" customFormat="1" s="47">
      <c r="E261419" s="185"/>
      <c r="G261419" s="64"/>
      <c r="H261419" s="308"/>
      <c r="I261419" s="308"/>
      <c r="J261419" s="185"/>
      <c r="N261419" s="307"/>
      <c r="P261419" s="218"/>
      <c r="Q261419" s="66"/>
      <c r="AC261419" s="194"/>
    </row>
    <row r="261420" customFormat="1" s="47">
      <c r="E261420" s="185"/>
      <c r="G261420" s="64"/>
      <c r="H261420" s="308"/>
      <c r="I261420" s="308"/>
      <c r="J261420" s="185"/>
      <c r="N261420" s="307"/>
      <c r="P261420" s="218"/>
      <c r="Q261420" s="66"/>
      <c r="AC261420" s="194"/>
    </row>
    <row r="261421" customFormat="1" s="47">
      <c r="E261421" s="185"/>
      <c r="G261421" s="64"/>
      <c r="H261421" s="308"/>
      <c r="I261421" s="308"/>
      <c r="J261421" s="185"/>
      <c r="N261421" s="307"/>
      <c r="P261421" s="218"/>
      <c r="Q261421" s="66"/>
      <c r="AC261421" s="194"/>
    </row>
    <row r="261422" customFormat="1" s="47">
      <c r="E261422" s="185"/>
      <c r="G261422" s="64"/>
      <c r="H261422" s="308"/>
      <c r="I261422" s="308"/>
      <c r="J261422" s="185"/>
      <c r="N261422" s="307"/>
      <c r="P261422" s="218"/>
      <c r="Q261422" s="66"/>
      <c r="AC261422" s="194"/>
    </row>
    <row r="261423" customFormat="1" s="47">
      <c r="E261423" s="185"/>
      <c r="G261423" s="64"/>
      <c r="H261423" s="308"/>
      <c r="I261423" s="308"/>
      <c r="J261423" s="185"/>
      <c r="N261423" s="307"/>
      <c r="P261423" s="218"/>
      <c r="Q261423" s="66"/>
      <c r="AC261423" s="194"/>
    </row>
    <row r="261424" customFormat="1" s="47">
      <c r="E261424" s="185"/>
      <c r="G261424" s="64"/>
      <c r="H261424" s="308"/>
      <c r="I261424" s="308"/>
      <c r="J261424" s="185"/>
      <c r="N261424" s="307"/>
      <c r="P261424" s="218"/>
      <c r="Q261424" s="66"/>
      <c r="AC261424" s="194"/>
    </row>
    <row r="261425" customFormat="1" s="47">
      <c r="E261425" s="185"/>
      <c r="G261425" s="64"/>
      <c r="H261425" s="308"/>
      <c r="I261425" s="308"/>
      <c r="J261425" s="185"/>
      <c r="N261425" s="307"/>
      <c r="P261425" s="218"/>
      <c r="Q261425" s="66"/>
      <c r="AC261425" s="194"/>
    </row>
    <row r="261426" customFormat="1" s="47">
      <c r="E261426" s="185"/>
      <c r="G261426" s="64"/>
      <c r="H261426" s="308"/>
      <c r="I261426" s="308"/>
      <c r="J261426" s="185"/>
      <c r="N261426" s="307"/>
      <c r="P261426" s="218"/>
      <c r="Q261426" s="66"/>
      <c r="AC261426" s="194"/>
    </row>
    <row r="261427" customFormat="1" s="47">
      <c r="E261427" s="185"/>
      <c r="G261427" s="64"/>
      <c r="H261427" s="308"/>
      <c r="I261427" s="308"/>
      <c r="J261427" s="185"/>
      <c r="N261427" s="307"/>
      <c r="P261427" s="218"/>
      <c r="Q261427" s="66"/>
      <c r="AC261427" s="194"/>
    </row>
    <row r="261428" customFormat="1" s="47">
      <c r="E261428" s="185"/>
      <c r="G261428" s="64"/>
      <c r="H261428" s="308"/>
      <c r="I261428" s="308"/>
      <c r="J261428" s="185"/>
      <c r="N261428" s="307"/>
      <c r="P261428" s="218"/>
      <c r="Q261428" s="66"/>
      <c r="AC261428" s="194"/>
    </row>
    <row r="261429" customFormat="1" s="47">
      <c r="E261429" s="185"/>
      <c r="G261429" s="64"/>
      <c r="H261429" s="308"/>
      <c r="I261429" s="308"/>
      <c r="J261429" s="185"/>
      <c r="N261429" s="307"/>
      <c r="P261429" s="218"/>
      <c r="Q261429" s="66"/>
      <c r="AC261429" s="194"/>
    </row>
    <row r="261430" customFormat="1" s="47">
      <c r="E261430" s="185"/>
      <c r="G261430" s="64"/>
      <c r="H261430" s="308"/>
      <c r="I261430" s="308"/>
      <c r="J261430" s="185"/>
      <c r="N261430" s="307"/>
      <c r="P261430" s="218"/>
      <c r="Q261430" s="66"/>
      <c r="AC261430" s="194"/>
    </row>
    <row r="261431" customFormat="1" s="47">
      <c r="E261431" s="185"/>
      <c r="G261431" s="64"/>
      <c r="H261431" s="308"/>
      <c r="I261431" s="308"/>
      <c r="J261431" s="185"/>
      <c r="N261431" s="307"/>
      <c r="P261431" s="218"/>
      <c r="Q261431" s="66"/>
      <c r="AC261431" s="194"/>
    </row>
    <row r="261432" customFormat="1" s="47">
      <c r="E261432" s="185"/>
      <c r="G261432" s="64"/>
      <c r="H261432" s="308"/>
      <c r="I261432" s="308"/>
      <c r="J261432" s="185"/>
      <c r="N261432" s="307"/>
      <c r="P261432" s="218"/>
      <c r="Q261432" s="66"/>
      <c r="AC261432" s="194"/>
    </row>
    <row r="261433" customFormat="1" s="47">
      <c r="E261433" s="185"/>
      <c r="G261433" s="64"/>
      <c r="H261433" s="308"/>
      <c r="I261433" s="308"/>
      <c r="J261433" s="185"/>
      <c r="N261433" s="307"/>
      <c r="P261433" s="218"/>
      <c r="Q261433" s="66"/>
      <c r="AC261433" s="194"/>
    </row>
    <row r="261434" customFormat="1" s="47">
      <c r="E261434" s="185"/>
      <c r="G261434" s="64"/>
      <c r="H261434" s="308"/>
      <c r="I261434" s="308"/>
      <c r="J261434" s="185"/>
      <c r="N261434" s="307"/>
      <c r="P261434" s="218"/>
      <c r="Q261434" s="66"/>
      <c r="AC261434" s="194"/>
    </row>
    <row r="261435" customFormat="1" s="47">
      <c r="E261435" s="185"/>
      <c r="G261435" s="64"/>
      <c r="H261435" s="308"/>
      <c r="I261435" s="308"/>
      <c r="J261435" s="185"/>
      <c r="N261435" s="307"/>
      <c r="P261435" s="218"/>
      <c r="Q261435" s="66"/>
      <c r="AC261435" s="194"/>
    </row>
    <row r="261436" customFormat="1" s="47">
      <c r="E261436" s="185"/>
      <c r="G261436" s="64"/>
      <c r="H261436" s="308"/>
      <c r="I261436" s="308"/>
      <c r="J261436" s="185"/>
      <c r="N261436" s="307"/>
      <c r="P261436" s="218"/>
      <c r="Q261436" s="66"/>
      <c r="AC261436" s="194"/>
    </row>
    <row r="261437" customFormat="1" s="47">
      <c r="E261437" s="185"/>
      <c r="G261437" s="64"/>
      <c r="H261437" s="308"/>
      <c r="I261437" s="308"/>
      <c r="J261437" s="185"/>
      <c r="N261437" s="307"/>
      <c r="P261437" s="218"/>
      <c r="Q261437" s="66"/>
      <c r="AC261437" s="194"/>
    </row>
    <row r="261438" customFormat="1" s="47">
      <c r="E261438" s="185"/>
      <c r="G261438" s="64"/>
      <c r="H261438" s="308"/>
      <c r="I261438" s="308"/>
      <c r="J261438" s="185"/>
      <c r="N261438" s="307"/>
      <c r="P261438" s="218"/>
      <c r="Q261438" s="66"/>
      <c r="AC261438" s="194"/>
    </row>
    <row r="261439" customFormat="1" s="47">
      <c r="E261439" s="185"/>
      <c r="G261439" s="64"/>
      <c r="H261439" s="308"/>
      <c r="I261439" s="308"/>
      <c r="J261439" s="185"/>
      <c r="N261439" s="307"/>
      <c r="P261439" s="218"/>
      <c r="Q261439" s="66"/>
      <c r="AC261439" s="194"/>
    </row>
    <row r="261440" customFormat="1" s="47">
      <c r="E261440" s="185"/>
      <c r="G261440" s="64"/>
      <c r="H261440" s="308"/>
      <c r="I261440" s="308"/>
      <c r="J261440" s="185"/>
      <c r="N261440" s="307"/>
      <c r="P261440" s="218"/>
      <c r="Q261440" s="66"/>
      <c r="AC261440" s="194"/>
    </row>
    <row r="261441" customFormat="1" s="47">
      <c r="E261441" s="185"/>
      <c r="G261441" s="64"/>
      <c r="H261441" s="308"/>
      <c r="I261441" s="308"/>
      <c r="J261441" s="185"/>
      <c r="N261441" s="307"/>
      <c r="P261441" s="218"/>
      <c r="Q261441" s="66"/>
      <c r="AC261441" s="194"/>
    </row>
    <row r="261442" customFormat="1" s="47">
      <c r="E261442" s="185"/>
      <c r="G261442" s="64"/>
      <c r="H261442" s="308"/>
      <c r="I261442" s="308"/>
      <c r="J261442" s="185"/>
      <c r="N261442" s="307"/>
      <c r="P261442" s="218"/>
      <c r="Q261442" s="66"/>
      <c r="AC261442" s="194"/>
    </row>
    <row r="261443" customFormat="1" s="47">
      <c r="E261443" s="185"/>
      <c r="G261443" s="64"/>
      <c r="H261443" s="308"/>
      <c r="I261443" s="308"/>
      <c r="J261443" s="185"/>
      <c r="N261443" s="307"/>
      <c r="P261443" s="218"/>
      <c r="Q261443" s="66"/>
      <c r="AC261443" s="194"/>
    </row>
    <row r="261444" customFormat="1" s="47">
      <c r="E261444" s="185"/>
      <c r="G261444" s="64"/>
      <c r="H261444" s="308"/>
      <c r="I261444" s="308"/>
      <c r="J261444" s="185"/>
      <c r="N261444" s="307"/>
      <c r="P261444" s="218"/>
      <c r="Q261444" s="66"/>
      <c r="AC261444" s="194"/>
    </row>
    <row r="261445" customFormat="1" s="47">
      <c r="E261445" s="185"/>
      <c r="G261445" s="64"/>
      <c r="H261445" s="308"/>
      <c r="I261445" s="308"/>
      <c r="J261445" s="185"/>
      <c r="N261445" s="307"/>
      <c r="P261445" s="218"/>
      <c r="Q261445" s="66"/>
      <c r="AC261445" s="194"/>
    </row>
    <row r="261446" customFormat="1" s="47">
      <c r="E261446" s="185"/>
      <c r="G261446" s="64"/>
      <c r="H261446" s="308"/>
      <c r="I261446" s="308"/>
      <c r="J261446" s="185"/>
      <c r="N261446" s="307"/>
      <c r="P261446" s="218"/>
      <c r="Q261446" s="66"/>
      <c r="AC261446" s="194"/>
    </row>
    <row r="261447" customFormat="1" s="47">
      <c r="E261447" s="185"/>
      <c r="G261447" s="64"/>
      <c r="H261447" s="308"/>
      <c r="I261447" s="308"/>
      <c r="J261447" s="185"/>
      <c r="N261447" s="307"/>
      <c r="P261447" s="218"/>
      <c r="Q261447" s="66"/>
      <c r="AC261447" s="194"/>
    </row>
    <row r="261448" customFormat="1" s="47">
      <c r="E261448" s="185"/>
      <c r="G261448" s="64"/>
      <c r="H261448" s="308"/>
      <c r="I261448" s="308"/>
      <c r="J261448" s="185"/>
      <c r="N261448" s="307"/>
      <c r="P261448" s="218"/>
      <c r="Q261448" s="66"/>
      <c r="AC261448" s="194"/>
    </row>
    <row r="261449" customFormat="1" s="47">
      <c r="E261449" s="185"/>
      <c r="G261449" s="64"/>
      <c r="H261449" s="308"/>
      <c r="I261449" s="308"/>
      <c r="J261449" s="185"/>
      <c r="N261449" s="307"/>
      <c r="P261449" s="218"/>
      <c r="Q261449" s="66"/>
      <c r="AC261449" s="194"/>
    </row>
    <row r="261450" customFormat="1" s="47">
      <c r="E261450" s="185"/>
      <c r="G261450" s="64"/>
      <c r="H261450" s="308"/>
      <c r="I261450" s="308"/>
      <c r="J261450" s="185"/>
      <c r="N261450" s="307"/>
      <c r="P261450" s="218"/>
      <c r="Q261450" s="66"/>
      <c r="AC261450" s="194"/>
    </row>
    <row r="261451" customFormat="1" s="47">
      <c r="E261451" s="185"/>
      <c r="G261451" s="64"/>
      <c r="H261451" s="308"/>
      <c r="I261451" s="308"/>
      <c r="J261451" s="185"/>
      <c r="N261451" s="307"/>
      <c r="P261451" s="218"/>
      <c r="Q261451" s="66"/>
      <c r="AC261451" s="194"/>
    </row>
    <row r="261452" customFormat="1" s="47">
      <c r="E261452" s="185"/>
      <c r="G261452" s="64"/>
      <c r="H261452" s="308"/>
      <c r="I261452" s="308"/>
      <c r="J261452" s="185"/>
      <c r="N261452" s="307"/>
      <c r="P261452" s="218"/>
      <c r="Q261452" s="66"/>
      <c r="AC261452" s="194"/>
    </row>
    <row r="261453" customFormat="1" s="47">
      <c r="E261453" s="185"/>
      <c r="G261453" s="64"/>
      <c r="H261453" s="308"/>
      <c r="I261453" s="308"/>
      <c r="J261453" s="185"/>
      <c r="N261453" s="307"/>
      <c r="P261453" s="218"/>
      <c r="Q261453" s="66"/>
      <c r="AC261453" s="194"/>
    </row>
    <row r="261454" customFormat="1" s="47">
      <c r="E261454" s="185"/>
      <c r="G261454" s="64"/>
      <c r="H261454" s="308"/>
      <c r="I261454" s="308"/>
      <c r="J261454" s="185"/>
      <c r="N261454" s="307"/>
      <c r="P261454" s="218"/>
      <c r="Q261454" s="66"/>
      <c r="AC261454" s="194"/>
    </row>
    <row r="261455" customFormat="1" s="47">
      <c r="E261455" s="185"/>
      <c r="G261455" s="64"/>
      <c r="H261455" s="308"/>
      <c r="I261455" s="308"/>
      <c r="J261455" s="185"/>
      <c r="N261455" s="307"/>
      <c r="P261455" s="218"/>
      <c r="Q261455" s="66"/>
      <c r="AC261455" s="194"/>
    </row>
    <row r="261456" customFormat="1" s="47">
      <c r="E261456" s="185"/>
      <c r="G261456" s="64"/>
      <c r="H261456" s="308"/>
      <c r="I261456" s="308"/>
      <c r="J261456" s="185"/>
      <c r="N261456" s="307"/>
      <c r="P261456" s="218"/>
      <c r="Q261456" s="66"/>
      <c r="AC261456" s="194"/>
    </row>
    <row r="261457" customFormat="1" s="47">
      <c r="E261457" s="185"/>
      <c r="G261457" s="64"/>
      <c r="H261457" s="308"/>
      <c r="I261457" s="308"/>
      <c r="J261457" s="185"/>
      <c r="N261457" s="307"/>
      <c r="P261457" s="218"/>
      <c r="Q261457" s="66"/>
      <c r="AC261457" s="194"/>
    </row>
    <row r="261458" customFormat="1" s="47">
      <c r="E261458" s="185"/>
      <c r="G261458" s="64"/>
      <c r="H261458" s="308"/>
      <c r="I261458" s="308"/>
      <c r="J261458" s="185"/>
      <c r="N261458" s="307"/>
      <c r="P261458" s="218"/>
      <c r="Q261458" s="66"/>
      <c r="AC261458" s="194"/>
    </row>
    <row r="261459" customFormat="1" s="47">
      <c r="E261459" s="185"/>
      <c r="G261459" s="64"/>
      <c r="H261459" s="308"/>
      <c r="I261459" s="308"/>
      <c r="J261459" s="185"/>
      <c r="N261459" s="307"/>
      <c r="P261459" s="218"/>
      <c r="Q261459" s="66"/>
      <c r="AC261459" s="194"/>
    </row>
    <row r="261460" customFormat="1" s="47">
      <c r="E261460" s="185"/>
      <c r="G261460" s="64"/>
      <c r="H261460" s="308"/>
      <c r="I261460" s="308"/>
      <c r="J261460" s="185"/>
      <c r="N261460" s="307"/>
      <c r="P261460" s="218"/>
      <c r="Q261460" s="66"/>
      <c r="AC261460" s="194"/>
    </row>
    <row r="261461" customFormat="1" s="47">
      <c r="E261461" s="185"/>
      <c r="G261461" s="64"/>
      <c r="H261461" s="308"/>
      <c r="I261461" s="308"/>
      <c r="J261461" s="185"/>
      <c r="N261461" s="307"/>
      <c r="P261461" s="218"/>
      <c r="Q261461" s="66"/>
      <c r="AC261461" s="194"/>
    </row>
    <row r="261462" customFormat="1" s="47">
      <c r="E261462" s="185"/>
      <c r="G261462" s="64"/>
      <c r="H261462" s="308"/>
      <c r="I261462" s="308"/>
      <c r="J261462" s="185"/>
      <c r="N261462" s="307"/>
      <c r="P261462" s="218"/>
      <c r="Q261462" s="66"/>
      <c r="AC261462" s="194"/>
    </row>
    <row r="261463" customFormat="1" s="47">
      <c r="E261463" s="185"/>
      <c r="G261463" s="64"/>
      <c r="H261463" s="308"/>
      <c r="I261463" s="308"/>
      <c r="J261463" s="185"/>
      <c r="N261463" s="307"/>
      <c r="P261463" s="218"/>
      <c r="Q261463" s="66"/>
      <c r="AC261463" s="194"/>
    </row>
    <row r="261464" customFormat="1" s="47">
      <c r="E261464" s="185"/>
      <c r="G261464" s="64"/>
      <c r="H261464" s="308"/>
      <c r="I261464" s="308"/>
      <c r="J261464" s="185"/>
      <c r="N261464" s="307"/>
      <c r="P261464" s="218"/>
      <c r="Q261464" s="66"/>
      <c r="AC261464" s="194"/>
    </row>
    <row r="261465" customFormat="1" s="47">
      <c r="E261465" s="185"/>
      <c r="G261465" s="64"/>
      <c r="H261465" s="308"/>
      <c r="I261465" s="308"/>
      <c r="J261465" s="185"/>
      <c r="N261465" s="307"/>
      <c r="P261465" s="218"/>
      <c r="Q261465" s="66"/>
      <c r="AC261465" s="194"/>
    </row>
    <row r="261466" customFormat="1" s="47">
      <c r="E261466" s="185"/>
      <c r="G261466" s="64"/>
      <c r="H261466" s="308"/>
      <c r="I261466" s="308"/>
      <c r="J261466" s="185"/>
      <c r="N261466" s="307"/>
      <c r="P261466" s="218"/>
      <c r="Q261466" s="66"/>
      <c r="AC261466" s="194"/>
    </row>
    <row r="261467" customFormat="1" s="47">
      <c r="E261467" s="185"/>
      <c r="G261467" s="64"/>
      <c r="H261467" s="308"/>
      <c r="I261467" s="308"/>
      <c r="J261467" s="185"/>
      <c r="N261467" s="307"/>
      <c r="P261467" s="218"/>
      <c r="Q261467" s="66"/>
      <c r="AC261467" s="194"/>
    </row>
    <row r="261468" customFormat="1" s="47">
      <c r="E261468" s="185"/>
      <c r="G261468" s="64"/>
      <c r="H261468" s="308"/>
      <c r="I261468" s="308"/>
      <c r="J261468" s="185"/>
      <c r="N261468" s="307"/>
      <c r="P261468" s="218"/>
      <c r="Q261468" s="66"/>
      <c r="AC261468" s="194"/>
    </row>
    <row r="261469" customFormat="1" s="47">
      <c r="E261469" s="185"/>
      <c r="G261469" s="64"/>
      <c r="H261469" s="308"/>
      <c r="I261469" s="308"/>
      <c r="J261469" s="185"/>
      <c r="N261469" s="307"/>
      <c r="P261469" s="218"/>
      <c r="Q261469" s="66"/>
      <c r="AC261469" s="194"/>
    </row>
    <row r="261470" customFormat="1" s="47">
      <c r="E261470" s="185"/>
      <c r="G261470" s="64"/>
      <c r="H261470" s="308"/>
      <c r="I261470" s="308"/>
      <c r="J261470" s="185"/>
      <c r="N261470" s="307"/>
      <c r="P261470" s="218"/>
      <c r="Q261470" s="66"/>
      <c r="AC261470" s="194"/>
    </row>
    <row r="261471" customFormat="1" s="47">
      <c r="E261471" s="185"/>
      <c r="G261471" s="64"/>
      <c r="H261471" s="308"/>
      <c r="I261471" s="308"/>
      <c r="J261471" s="185"/>
      <c r="N261471" s="307"/>
      <c r="P261471" s="218"/>
      <c r="Q261471" s="66"/>
      <c r="AC261471" s="194"/>
    </row>
    <row r="261472" customFormat="1" s="47">
      <c r="E261472" s="185"/>
      <c r="G261472" s="64"/>
      <c r="H261472" s="308"/>
      <c r="I261472" s="308"/>
      <c r="J261472" s="185"/>
      <c r="N261472" s="307"/>
      <c r="P261472" s="218"/>
      <c r="Q261472" s="66"/>
      <c r="AC261472" s="194"/>
    </row>
    <row r="261473" customFormat="1" s="47">
      <c r="E261473" s="185"/>
      <c r="G261473" s="64"/>
      <c r="H261473" s="308"/>
      <c r="I261473" s="308"/>
      <c r="J261473" s="185"/>
      <c r="N261473" s="307"/>
      <c r="P261473" s="218"/>
      <c r="Q261473" s="66"/>
      <c r="AC261473" s="194"/>
    </row>
    <row r="261474" customFormat="1" s="47">
      <c r="E261474" s="185"/>
      <c r="G261474" s="64"/>
      <c r="H261474" s="308"/>
      <c r="I261474" s="308"/>
      <c r="J261474" s="185"/>
      <c r="N261474" s="307"/>
      <c r="P261474" s="218"/>
      <c r="Q261474" s="66"/>
      <c r="AC261474" s="194"/>
    </row>
    <row r="261475" customFormat="1" s="47">
      <c r="E261475" s="185"/>
      <c r="G261475" s="64"/>
      <c r="H261475" s="308"/>
      <c r="I261475" s="308"/>
      <c r="J261475" s="185"/>
      <c r="N261475" s="307"/>
      <c r="P261475" s="218"/>
      <c r="Q261475" s="66"/>
      <c r="AC261475" s="194"/>
    </row>
    <row r="261476" customFormat="1" s="47">
      <c r="E261476" s="185"/>
      <c r="G261476" s="64"/>
      <c r="H261476" s="308"/>
      <c r="I261476" s="308"/>
      <c r="J261476" s="185"/>
      <c r="N261476" s="307"/>
      <c r="P261476" s="218"/>
      <c r="Q261476" s="66"/>
      <c r="AC261476" s="194"/>
    </row>
    <row r="261477" customFormat="1" s="47">
      <c r="E261477" s="185"/>
      <c r="G261477" s="64"/>
      <c r="H261477" s="308"/>
      <c r="I261477" s="308"/>
      <c r="J261477" s="185"/>
      <c r="N261477" s="307"/>
      <c r="P261477" s="218"/>
      <c r="Q261477" s="66"/>
      <c r="AC261477" s="194"/>
    </row>
    <row r="261478" customFormat="1" s="47">
      <c r="E261478" s="185"/>
      <c r="G261478" s="64"/>
      <c r="H261478" s="308"/>
      <c r="I261478" s="308"/>
      <c r="J261478" s="185"/>
      <c r="N261478" s="307"/>
      <c r="P261478" s="218"/>
      <c r="Q261478" s="66"/>
      <c r="AC261478" s="194"/>
    </row>
    <row r="261479" customFormat="1" s="47">
      <c r="E261479" s="185"/>
      <c r="G261479" s="64"/>
      <c r="H261479" s="308"/>
      <c r="I261479" s="308"/>
      <c r="J261479" s="185"/>
      <c r="N261479" s="307"/>
      <c r="P261479" s="218"/>
      <c r="Q261479" s="66"/>
      <c r="AC261479" s="194"/>
    </row>
    <row r="261480" customFormat="1" s="47">
      <c r="E261480" s="185"/>
      <c r="G261480" s="64"/>
      <c r="H261480" s="308"/>
      <c r="I261480" s="308"/>
      <c r="J261480" s="185"/>
      <c r="N261480" s="307"/>
      <c r="P261480" s="218"/>
      <c r="Q261480" s="66"/>
      <c r="AC261480" s="194"/>
    </row>
    <row r="261481" customFormat="1" s="47">
      <c r="E261481" s="185"/>
      <c r="G261481" s="64"/>
      <c r="H261481" s="308"/>
      <c r="I261481" s="308"/>
      <c r="J261481" s="185"/>
      <c r="N261481" s="307"/>
      <c r="P261481" s="218"/>
      <c r="Q261481" s="66"/>
      <c r="AC261481" s="194"/>
    </row>
    <row r="261482" customFormat="1" s="47">
      <c r="E261482" s="185"/>
      <c r="G261482" s="64"/>
      <c r="H261482" s="308"/>
      <c r="I261482" s="308"/>
      <c r="J261482" s="185"/>
      <c r="N261482" s="307"/>
      <c r="P261482" s="218"/>
      <c r="Q261482" s="66"/>
      <c r="AC261482" s="194"/>
    </row>
    <row r="261483" customFormat="1" s="47">
      <c r="E261483" s="185"/>
      <c r="G261483" s="64"/>
      <c r="H261483" s="308"/>
      <c r="I261483" s="308"/>
      <c r="J261483" s="185"/>
      <c r="N261483" s="307"/>
      <c r="P261483" s="218"/>
      <c r="Q261483" s="66"/>
      <c r="AC261483" s="194"/>
    </row>
    <row r="261484" customFormat="1" s="47">
      <c r="E261484" s="185"/>
      <c r="G261484" s="64"/>
      <c r="H261484" s="308"/>
      <c r="I261484" s="308"/>
      <c r="J261484" s="185"/>
      <c r="N261484" s="307"/>
      <c r="P261484" s="218"/>
      <c r="Q261484" s="66"/>
      <c r="AC261484" s="194"/>
    </row>
    <row r="261485" customFormat="1" s="47">
      <c r="E261485" s="185"/>
      <c r="G261485" s="64"/>
      <c r="H261485" s="308"/>
      <c r="I261485" s="308"/>
      <c r="J261485" s="185"/>
      <c r="N261485" s="307"/>
      <c r="P261485" s="218"/>
      <c r="Q261485" s="66"/>
      <c r="AC261485" s="194"/>
    </row>
    <row r="261486" customFormat="1" s="47">
      <c r="E261486" s="185"/>
      <c r="G261486" s="64"/>
      <c r="H261486" s="308"/>
      <c r="I261486" s="308"/>
      <c r="J261486" s="185"/>
      <c r="N261486" s="307"/>
      <c r="P261486" s="218"/>
      <c r="Q261486" s="66"/>
      <c r="AC261486" s="194"/>
    </row>
    <row r="261487" customFormat="1" s="47">
      <c r="E261487" s="185"/>
      <c r="G261487" s="64"/>
      <c r="H261487" s="308"/>
      <c r="I261487" s="308"/>
      <c r="J261487" s="185"/>
      <c r="N261487" s="307"/>
      <c r="P261487" s="218"/>
      <c r="Q261487" s="66"/>
      <c r="AC261487" s="194"/>
    </row>
    <row r="261488" customFormat="1" s="47">
      <c r="E261488" s="185"/>
      <c r="G261488" s="64"/>
      <c r="H261488" s="308"/>
      <c r="I261488" s="308"/>
      <c r="J261488" s="185"/>
      <c r="N261488" s="307"/>
      <c r="P261488" s="218"/>
      <c r="Q261488" s="66"/>
      <c r="AC261488" s="194"/>
    </row>
    <row r="261489" customFormat="1" s="47">
      <c r="E261489" s="185"/>
      <c r="G261489" s="64"/>
      <c r="H261489" s="308"/>
      <c r="I261489" s="308"/>
      <c r="J261489" s="185"/>
      <c r="N261489" s="307"/>
      <c r="P261489" s="218"/>
      <c r="Q261489" s="66"/>
      <c r="AC261489" s="194"/>
    </row>
    <row r="261490" customFormat="1" s="47">
      <c r="E261490" s="185"/>
      <c r="G261490" s="64"/>
      <c r="H261490" s="308"/>
      <c r="I261490" s="308"/>
      <c r="J261490" s="185"/>
      <c r="N261490" s="307"/>
      <c r="P261490" s="218"/>
      <c r="Q261490" s="66"/>
      <c r="AC261490" s="194"/>
    </row>
    <row r="261491" customFormat="1" s="47">
      <c r="E261491" s="185"/>
      <c r="G261491" s="64"/>
      <c r="H261491" s="308"/>
      <c r="I261491" s="308"/>
      <c r="J261491" s="185"/>
      <c r="N261491" s="307"/>
      <c r="P261491" s="218"/>
      <c r="Q261491" s="66"/>
      <c r="AC261491" s="194"/>
    </row>
    <row r="261492" customFormat="1" s="47">
      <c r="E261492" s="185"/>
      <c r="G261492" s="64"/>
      <c r="H261492" s="308"/>
      <c r="I261492" s="308"/>
      <c r="J261492" s="185"/>
      <c r="N261492" s="307"/>
      <c r="P261492" s="218"/>
      <c r="Q261492" s="66"/>
      <c r="AC261492" s="194"/>
    </row>
    <row r="261493" customFormat="1" s="47">
      <c r="E261493" s="185"/>
      <c r="G261493" s="64"/>
      <c r="H261493" s="308"/>
      <c r="I261493" s="308"/>
      <c r="J261493" s="185"/>
      <c r="N261493" s="307"/>
      <c r="P261493" s="218"/>
      <c r="Q261493" s="66"/>
      <c r="AC261493" s="194"/>
    </row>
    <row r="261494" customFormat="1" s="47">
      <c r="E261494" s="185"/>
      <c r="G261494" s="64"/>
      <c r="H261494" s="308"/>
      <c r="I261494" s="308"/>
      <c r="J261494" s="185"/>
      <c r="N261494" s="307"/>
      <c r="P261494" s="218"/>
      <c r="Q261494" s="66"/>
      <c r="AC261494" s="194"/>
    </row>
    <row r="261495" customFormat="1" s="47">
      <c r="E261495" s="185"/>
      <c r="G261495" s="64"/>
      <c r="H261495" s="308"/>
      <c r="I261495" s="308"/>
      <c r="J261495" s="185"/>
      <c r="N261495" s="307"/>
      <c r="P261495" s="218"/>
      <c r="Q261495" s="66"/>
      <c r="AC261495" s="194"/>
    </row>
    <row r="261496" customFormat="1" s="47">
      <c r="E261496" s="185"/>
      <c r="G261496" s="64"/>
      <c r="H261496" s="308"/>
      <c r="I261496" s="308"/>
      <c r="J261496" s="185"/>
      <c r="N261496" s="307"/>
      <c r="P261496" s="218"/>
      <c r="Q261496" s="66"/>
      <c r="AC261496" s="194"/>
    </row>
    <row r="261497" customFormat="1" s="47">
      <c r="E261497" s="185"/>
      <c r="G261497" s="64"/>
      <c r="H261497" s="308"/>
      <c r="I261497" s="308"/>
      <c r="J261497" s="185"/>
      <c r="N261497" s="307"/>
      <c r="P261497" s="218"/>
      <c r="Q261497" s="66"/>
      <c r="AC261497" s="194"/>
    </row>
    <row r="261498" customFormat="1" s="47">
      <c r="E261498" s="185"/>
      <c r="G261498" s="64"/>
      <c r="H261498" s="308"/>
      <c r="I261498" s="308"/>
      <c r="J261498" s="185"/>
      <c r="N261498" s="307"/>
      <c r="P261498" s="218"/>
      <c r="Q261498" s="66"/>
      <c r="AC261498" s="194"/>
    </row>
    <row r="261499" customFormat="1" s="47">
      <c r="E261499" s="185"/>
      <c r="G261499" s="64"/>
      <c r="H261499" s="308"/>
      <c r="I261499" s="308"/>
      <c r="J261499" s="185"/>
      <c r="N261499" s="307"/>
      <c r="P261499" s="218"/>
      <c r="Q261499" s="66"/>
      <c r="AC261499" s="194"/>
    </row>
    <row r="261500" customFormat="1" s="47">
      <c r="E261500" s="185"/>
      <c r="G261500" s="64"/>
      <c r="H261500" s="308"/>
      <c r="I261500" s="308"/>
      <c r="J261500" s="185"/>
      <c r="N261500" s="307"/>
      <c r="P261500" s="218"/>
      <c r="Q261500" s="66"/>
      <c r="AC261500" s="194"/>
    </row>
    <row r="261501" customFormat="1" s="47">
      <c r="E261501" s="185"/>
      <c r="G261501" s="64"/>
      <c r="H261501" s="308"/>
      <c r="I261501" s="308"/>
      <c r="J261501" s="185"/>
      <c r="N261501" s="307"/>
      <c r="P261501" s="218"/>
      <c r="Q261501" s="66"/>
      <c r="AC261501" s="194"/>
    </row>
    <row r="261502" customFormat="1" s="47">
      <c r="E261502" s="185"/>
      <c r="G261502" s="64"/>
      <c r="H261502" s="308"/>
      <c r="I261502" s="308"/>
      <c r="J261502" s="185"/>
      <c r="N261502" s="307"/>
      <c r="P261502" s="218"/>
      <c r="Q261502" s="66"/>
      <c r="AC261502" s="194"/>
    </row>
    <row r="261503" customFormat="1" s="47">
      <c r="E261503" s="185"/>
      <c r="G261503" s="64"/>
      <c r="H261503" s="308"/>
      <c r="I261503" s="308"/>
      <c r="J261503" s="185"/>
      <c r="N261503" s="307"/>
      <c r="P261503" s="218"/>
      <c r="Q261503" s="66"/>
      <c r="AC261503" s="194"/>
    </row>
    <row r="261504" customFormat="1" s="47">
      <c r="E261504" s="185"/>
      <c r="G261504" s="64"/>
      <c r="H261504" s="308"/>
      <c r="I261504" s="308"/>
      <c r="J261504" s="185"/>
      <c r="N261504" s="307"/>
      <c r="P261504" s="218"/>
      <c r="Q261504" s="66"/>
      <c r="AC261504" s="194"/>
    </row>
    <row r="261505" customFormat="1" s="47">
      <c r="E261505" s="185"/>
      <c r="G261505" s="64"/>
      <c r="H261505" s="308"/>
      <c r="I261505" s="308"/>
      <c r="J261505" s="185"/>
      <c r="N261505" s="307"/>
      <c r="P261505" s="218"/>
      <c r="Q261505" s="66"/>
      <c r="AC261505" s="194"/>
    </row>
    <row r="261506" customFormat="1" s="47">
      <c r="E261506" s="185"/>
      <c r="G261506" s="64"/>
      <c r="H261506" s="308"/>
      <c r="I261506" s="308"/>
      <c r="J261506" s="185"/>
      <c r="N261506" s="307"/>
      <c r="P261506" s="218"/>
      <c r="Q261506" s="66"/>
      <c r="AC261506" s="194"/>
    </row>
    <row r="261507" customFormat="1" s="47">
      <c r="E261507" s="185"/>
      <c r="G261507" s="64"/>
      <c r="H261507" s="308"/>
      <c r="I261507" s="308"/>
      <c r="J261507" s="185"/>
      <c r="N261507" s="307"/>
      <c r="P261507" s="218"/>
      <c r="Q261507" s="66"/>
      <c r="AC261507" s="194"/>
    </row>
    <row r="261508" customFormat="1" s="47">
      <c r="E261508" s="185"/>
      <c r="G261508" s="64"/>
      <c r="H261508" s="308"/>
      <c r="I261508" s="308"/>
      <c r="J261508" s="185"/>
      <c r="N261508" s="307"/>
      <c r="P261508" s="218"/>
      <c r="Q261508" s="66"/>
      <c r="AC261508" s="194"/>
    </row>
    <row r="261509" customFormat="1" s="47">
      <c r="E261509" s="185"/>
      <c r="G261509" s="64"/>
      <c r="H261509" s="308"/>
      <c r="I261509" s="308"/>
      <c r="J261509" s="185"/>
      <c r="N261509" s="307"/>
      <c r="P261509" s="218"/>
      <c r="Q261509" s="66"/>
      <c r="AC261509" s="194"/>
    </row>
    <row r="261510" customFormat="1" s="47">
      <c r="E261510" s="185"/>
      <c r="G261510" s="64"/>
      <c r="H261510" s="308"/>
      <c r="I261510" s="308"/>
      <c r="J261510" s="185"/>
      <c r="N261510" s="307"/>
      <c r="P261510" s="218"/>
      <c r="Q261510" s="66"/>
      <c r="AC261510" s="194"/>
    </row>
    <row r="261511" customFormat="1" s="47">
      <c r="E261511" s="185"/>
      <c r="G261511" s="64"/>
      <c r="H261511" s="308"/>
      <c r="I261511" s="308"/>
      <c r="J261511" s="185"/>
      <c r="N261511" s="307"/>
      <c r="P261511" s="218"/>
      <c r="Q261511" s="66"/>
      <c r="AC261511" s="194"/>
    </row>
    <row r="261512" customFormat="1" s="47">
      <c r="E261512" s="185"/>
      <c r="G261512" s="64"/>
      <c r="H261512" s="308"/>
      <c r="I261512" s="308"/>
      <c r="J261512" s="185"/>
      <c r="N261512" s="307"/>
      <c r="P261512" s="218"/>
      <c r="Q261512" s="66"/>
      <c r="AC261512" s="194"/>
    </row>
    <row r="261513" customFormat="1" s="47">
      <c r="E261513" s="185"/>
      <c r="G261513" s="64"/>
      <c r="H261513" s="308"/>
      <c r="I261513" s="308"/>
      <c r="J261513" s="185"/>
      <c r="N261513" s="307"/>
      <c r="P261513" s="218"/>
      <c r="Q261513" s="66"/>
      <c r="AC261513" s="194"/>
    </row>
    <row r="261514" customFormat="1" s="47">
      <c r="E261514" s="185"/>
      <c r="G261514" s="64"/>
      <c r="H261514" s="308"/>
      <c r="I261514" s="308"/>
      <c r="J261514" s="185"/>
      <c r="N261514" s="307"/>
      <c r="P261514" s="218"/>
      <c r="Q261514" s="66"/>
      <c r="AC261514" s="194"/>
    </row>
    <row r="261515" customFormat="1" s="47">
      <c r="E261515" s="185"/>
      <c r="G261515" s="64"/>
      <c r="H261515" s="308"/>
      <c r="I261515" s="308"/>
      <c r="J261515" s="185"/>
      <c r="N261515" s="307"/>
      <c r="P261515" s="218"/>
      <c r="Q261515" s="66"/>
      <c r="AC261515" s="194"/>
    </row>
    <row r="261516" customFormat="1" s="47">
      <c r="E261516" s="185"/>
      <c r="G261516" s="64"/>
      <c r="H261516" s="308"/>
      <c r="I261516" s="308"/>
      <c r="J261516" s="185"/>
      <c r="N261516" s="307"/>
      <c r="P261516" s="218"/>
      <c r="Q261516" s="66"/>
      <c r="AC261516" s="194"/>
    </row>
    <row r="261517" customFormat="1" s="47">
      <c r="E261517" s="185"/>
      <c r="G261517" s="64"/>
      <c r="H261517" s="308"/>
      <c r="I261517" s="308"/>
      <c r="J261517" s="185"/>
      <c r="N261517" s="307"/>
      <c r="P261517" s="218"/>
      <c r="Q261517" s="66"/>
      <c r="AC261517" s="194"/>
    </row>
    <row r="261518" customFormat="1" s="47">
      <c r="E261518" s="185"/>
      <c r="G261518" s="64"/>
      <c r="H261518" s="308"/>
      <c r="I261518" s="308"/>
      <c r="J261518" s="185"/>
      <c r="N261518" s="307"/>
      <c r="P261518" s="218"/>
      <c r="Q261518" s="66"/>
      <c r="AC261518" s="194"/>
    </row>
    <row r="261519" customFormat="1" s="47">
      <c r="E261519" s="185"/>
      <c r="G261519" s="64"/>
      <c r="H261519" s="308"/>
      <c r="I261519" s="308"/>
      <c r="J261519" s="185"/>
      <c r="N261519" s="307"/>
      <c r="P261519" s="218"/>
      <c r="Q261519" s="66"/>
      <c r="AC261519" s="194"/>
    </row>
    <row r="261520" customFormat="1" s="47">
      <c r="E261520" s="185"/>
      <c r="G261520" s="64"/>
      <c r="H261520" s="308"/>
      <c r="I261520" s="308"/>
      <c r="J261520" s="185"/>
      <c r="N261520" s="307"/>
      <c r="P261520" s="218"/>
      <c r="Q261520" s="66"/>
      <c r="AC261520" s="194"/>
    </row>
    <row r="261521" customFormat="1" s="47">
      <c r="E261521" s="185"/>
      <c r="G261521" s="64"/>
      <c r="H261521" s="308"/>
      <c r="I261521" s="308"/>
      <c r="J261521" s="185"/>
      <c r="N261521" s="307"/>
      <c r="P261521" s="218"/>
      <c r="Q261521" s="66"/>
      <c r="AC261521" s="194"/>
    </row>
    <row r="261522" customFormat="1" s="47">
      <c r="E261522" s="185"/>
      <c r="G261522" s="64"/>
      <c r="H261522" s="308"/>
      <c r="I261522" s="308"/>
      <c r="J261522" s="185"/>
      <c r="N261522" s="307"/>
      <c r="P261522" s="218"/>
      <c r="Q261522" s="66"/>
      <c r="AC261522" s="194"/>
    </row>
    <row r="261523" customFormat="1" s="47">
      <c r="E261523" s="185"/>
      <c r="G261523" s="64"/>
      <c r="H261523" s="308"/>
      <c r="I261523" s="308"/>
      <c r="J261523" s="185"/>
      <c r="N261523" s="307"/>
      <c r="P261523" s="218"/>
      <c r="Q261523" s="66"/>
      <c r="AC261523" s="194"/>
    </row>
    <row r="261524" customFormat="1" s="47">
      <c r="E261524" s="185"/>
      <c r="G261524" s="64"/>
      <c r="H261524" s="308"/>
      <c r="I261524" s="308"/>
      <c r="J261524" s="185"/>
      <c r="N261524" s="307"/>
      <c r="P261524" s="218"/>
      <c r="Q261524" s="66"/>
      <c r="AC261524" s="194"/>
    </row>
    <row r="261525" customFormat="1" s="47">
      <c r="E261525" s="185"/>
      <c r="G261525" s="64"/>
      <c r="H261525" s="308"/>
      <c r="I261525" s="308"/>
      <c r="J261525" s="185"/>
      <c r="N261525" s="307"/>
      <c r="P261525" s="218"/>
      <c r="Q261525" s="66"/>
      <c r="AC261525" s="194"/>
    </row>
    <row r="261526" customFormat="1" s="47">
      <c r="E261526" s="185"/>
      <c r="G261526" s="64"/>
      <c r="H261526" s="308"/>
      <c r="I261526" s="308"/>
      <c r="J261526" s="185"/>
      <c r="N261526" s="307"/>
      <c r="P261526" s="218"/>
      <c r="Q261526" s="66"/>
      <c r="AC261526" s="194"/>
    </row>
    <row r="261527" customFormat="1" s="47">
      <c r="E261527" s="185"/>
      <c r="G261527" s="64"/>
      <c r="H261527" s="308"/>
      <c r="I261527" s="308"/>
      <c r="J261527" s="185"/>
      <c r="N261527" s="307"/>
      <c r="P261527" s="218"/>
      <c r="Q261527" s="66"/>
      <c r="AC261527" s="194"/>
    </row>
    <row r="261528" customFormat="1" s="47">
      <c r="E261528" s="185"/>
      <c r="G261528" s="64"/>
      <c r="H261528" s="308"/>
      <c r="I261528" s="308"/>
      <c r="J261528" s="185"/>
      <c r="N261528" s="307"/>
      <c r="P261528" s="218"/>
      <c r="Q261528" s="66"/>
      <c r="AC261528" s="194"/>
    </row>
    <row r="261529" customFormat="1" s="47">
      <c r="E261529" s="185"/>
      <c r="G261529" s="64"/>
      <c r="H261529" s="308"/>
      <c r="I261529" s="308"/>
      <c r="J261529" s="185"/>
      <c r="N261529" s="307"/>
      <c r="P261529" s="218"/>
      <c r="Q261529" s="66"/>
      <c r="AC261529" s="194"/>
    </row>
    <row r="261530" customFormat="1" s="47">
      <c r="E261530" s="185"/>
      <c r="G261530" s="64"/>
      <c r="H261530" s="308"/>
      <c r="I261530" s="308"/>
      <c r="J261530" s="185"/>
      <c r="N261530" s="307"/>
      <c r="P261530" s="218"/>
      <c r="Q261530" s="66"/>
      <c r="AC261530" s="194"/>
    </row>
    <row r="261531" customFormat="1" s="47">
      <c r="E261531" s="185"/>
      <c r="G261531" s="64"/>
      <c r="H261531" s="308"/>
      <c r="I261531" s="308"/>
      <c r="J261531" s="185"/>
      <c r="N261531" s="307"/>
      <c r="P261531" s="218"/>
      <c r="Q261531" s="66"/>
      <c r="AC261531" s="194"/>
    </row>
    <row r="261532" customFormat="1" s="47">
      <c r="E261532" s="185"/>
      <c r="G261532" s="64"/>
      <c r="H261532" s="308"/>
      <c r="I261532" s="308"/>
      <c r="J261532" s="185"/>
      <c r="N261532" s="307"/>
      <c r="P261532" s="218"/>
      <c r="Q261532" s="66"/>
      <c r="AC261532" s="194"/>
    </row>
    <row r="261533" customFormat="1" s="47">
      <c r="E261533" s="185"/>
      <c r="G261533" s="64"/>
      <c r="H261533" s="308"/>
      <c r="I261533" s="308"/>
      <c r="J261533" s="185"/>
      <c r="N261533" s="307"/>
      <c r="P261533" s="218"/>
      <c r="Q261533" s="66"/>
      <c r="AC261533" s="194"/>
    </row>
    <row r="261534" customFormat="1" s="47">
      <c r="E261534" s="185"/>
      <c r="G261534" s="64"/>
      <c r="H261534" s="308"/>
      <c r="I261534" s="308"/>
      <c r="J261534" s="185"/>
      <c r="N261534" s="307"/>
      <c r="P261534" s="218"/>
      <c r="Q261534" s="66"/>
      <c r="AC261534" s="194"/>
    </row>
    <row r="261535" customFormat="1" s="47">
      <c r="E261535" s="185"/>
      <c r="G261535" s="64"/>
      <c r="H261535" s="308"/>
      <c r="I261535" s="308"/>
      <c r="J261535" s="185"/>
      <c r="N261535" s="307"/>
      <c r="P261535" s="218"/>
      <c r="Q261535" s="66"/>
      <c r="AC261535" s="194"/>
    </row>
    <row r="261536" customFormat="1" s="47">
      <c r="E261536" s="185"/>
      <c r="G261536" s="64"/>
      <c r="H261536" s="308"/>
      <c r="I261536" s="308"/>
      <c r="J261536" s="185"/>
      <c r="N261536" s="307"/>
      <c r="P261536" s="218"/>
      <c r="Q261536" s="66"/>
      <c r="AC261536" s="194"/>
    </row>
    <row r="261537" customFormat="1" s="47">
      <c r="E261537" s="185"/>
      <c r="G261537" s="64"/>
      <c r="H261537" s="308"/>
      <c r="I261537" s="308"/>
      <c r="J261537" s="185"/>
      <c r="N261537" s="307"/>
      <c r="P261537" s="218"/>
      <c r="Q261537" s="66"/>
      <c r="AC261537" s="194"/>
    </row>
    <row r="261538" customFormat="1" s="47">
      <c r="E261538" s="185"/>
      <c r="G261538" s="64"/>
      <c r="H261538" s="308"/>
      <c r="I261538" s="308"/>
      <c r="J261538" s="185"/>
      <c r="N261538" s="307"/>
      <c r="P261538" s="218"/>
      <c r="Q261538" s="66"/>
      <c r="AC261538" s="194"/>
    </row>
    <row r="261539" customFormat="1" s="47">
      <c r="E261539" s="185"/>
      <c r="G261539" s="64"/>
      <c r="H261539" s="308"/>
      <c r="I261539" s="308"/>
      <c r="J261539" s="185"/>
      <c r="N261539" s="307"/>
      <c r="P261539" s="218"/>
      <c r="Q261539" s="66"/>
      <c r="AC261539" s="194"/>
    </row>
    <row r="261540" customFormat="1" s="47">
      <c r="E261540" s="185"/>
      <c r="G261540" s="64"/>
      <c r="H261540" s="308"/>
      <c r="I261540" s="308"/>
      <c r="J261540" s="185"/>
      <c r="N261540" s="307"/>
      <c r="P261540" s="218"/>
      <c r="Q261540" s="66"/>
      <c r="AC261540" s="194"/>
    </row>
    <row r="261541" customFormat="1" s="47">
      <c r="E261541" s="185"/>
      <c r="G261541" s="64"/>
      <c r="H261541" s="308"/>
      <c r="I261541" s="308"/>
      <c r="J261541" s="185"/>
      <c r="N261541" s="307"/>
      <c r="P261541" s="218"/>
      <c r="Q261541" s="66"/>
      <c r="AC261541" s="194"/>
    </row>
    <row r="261542" customFormat="1" s="47">
      <c r="E261542" s="185"/>
      <c r="G261542" s="64"/>
      <c r="H261542" s="308"/>
      <c r="I261542" s="308"/>
      <c r="J261542" s="185"/>
      <c r="N261542" s="307"/>
      <c r="P261542" s="218"/>
      <c r="Q261542" s="66"/>
      <c r="AC261542" s="194"/>
    </row>
    <row r="261543" customFormat="1" s="47">
      <c r="E261543" s="185"/>
      <c r="G261543" s="64"/>
      <c r="H261543" s="308"/>
      <c r="I261543" s="308"/>
      <c r="J261543" s="185"/>
      <c r="N261543" s="307"/>
      <c r="P261543" s="218"/>
      <c r="Q261543" s="66"/>
      <c r="AC261543" s="194"/>
    </row>
    <row r="261544" customFormat="1" s="47">
      <c r="E261544" s="185"/>
      <c r="G261544" s="64"/>
      <c r="H261544" s="308"/>
      <c r="I261544" s="308"/>
      <c r="J261544" s="185"/>
      <c r="N261544" s="307"/>
      <c r="P261544" s="218"/>
      <c r="Q261544" s="66"/>
      <c r="AC261544" s="194"/>
    </row>
    <row r="261545" customFormat="1" s="47">
      <c r="E261545" s="185"/>
      <c r="G261545" s="64"/>
      <c r="H261545" s="308"/>
      <c r="I261545" s="308"/>
      <c r="J261545" s="185"/>
      <c r="N261545" s="307"/>
      <c r="P261545" s="218"/>
      <c r="Q261545" s="66"/>
      <c r="AC261545" s="194"/>
    </row>
    <row r="261546" customFormat="1" s="47">
      <c r="E261546" s="185"/>
      <c r="G261546" s="64"/>
      <c r="H261546" s="308"/>
      <c r="I261546" s="308"/>
      <c r="J261546" s="185"/>
      <c r="N261546" s="307"/>
      <c r="P261546" s="218"/>
      <c r="Q261546" s="66"/>
      <c r="AC261546" s="194"/>
    </row>
    <row r="261547" customFormat="1" s="47">
      <c r="E261547" s="185"/>
      <c r="G261547" s="64"/>
      <c r="H261547" s="308"/>
      <c r="I261547" s="308"/>
      <c r="J261547" s="185"/>
      <c r="N261547" s="307"/>
      <c r="P261547" s="218"/>
      <c r="Q261547" s="66"/>
      <c r="AC261547" s="194"/>
    </row>
    <row r="261548" customFormat="1" s="47">
      <c r="E261548" s="185"/>
      <c r="G261548" s="64"/>
      <c r="H261548" s="308"/>
      <c r="I261548" s="308"/>
      <c r="J261548" s="185"/>
      <c r="N261548" s="307"/>
      <c r="P261548" s="218"/>
      <c r="Q261548" s="66"/>
      <c r="AC261548" s="194"/>
    </row>
    <row r="261549" customFormat="1" s="47">
      <c r="E261549" s="185"/>
      <c r="G261549" s="64"/>
      <c r="H261549" s="308"/>
      <c r="I261549" s="308"/>
      <c r="J261549" s="185"/>
      <c r="N261549" s="307"/>
      <c r="P261549" s="218"/>
      <c r="Q261549" s="66"/>
      <c r="AC261549" s="194"/>
    </row>
    <row r="261550" customFormat="1" s="47">
      <c r="E261550" s="185"/>
      <c r="G261550" s="64"/>
      <c r="H261550" s="308"/>
      <c r="I261550" s="308"/>
      <c r="J261550" s="185"/>
      <c r="N261550" s="307"/>
      <c r="P261550" s="218"/>
      <c r="Q261550" s="66"/>
      <c r="AC261550" s="194"/>
    </row>
    <row r="261551" customFormat="1" s="47">
      <c r="E261551" s="185"/>
      <c r="G261551" s="64"/>
      <c r="H261551" s="308"/>
      <c r="I261551" s="308"/>
      <c r="J261551" s="185"/>
      <c r="N261551" s="307"/>
      <c r="P261551" s="218"/>
      <c r="Q261551" s="66"/>
      <c r="AC261551" s="194"/>
    </row>
    <row r="261552" customFormat="1" s="47">
      <c r="E261552" s="185"/>
      <c r="G261552" s="64"/>
      <c r="H261552" s="308"/>
      <c r="I261552" s="308"/>
      <c r="J261552" s="185"/>
      <c r="N261552" s="307"/>
      <c r="P261552" s="218"/>
      <c r="Q261552" s="66"/>
      <c r="AC261552" s="194"/>
    </row>
    <row r="261553" customFormat="1" s="47">
      <c r="E261553" s="185"/>
      <c r="G261553" s="64"/>
      <c r="H261553" s="308"/>
      <c r="I261553" s="308"/>
      <c r="J261553" s="185"/>
      <c r="N261553" s="307"/>
      <c r="P261553" s="218"/>
      <c r="Q261553" s="66"/>
      <c r="AC261553" s="194"/>
    </row>
    <row r="261554" customFormat="1" s="47">
      <c r="E261554" s="185"/>
      <c r="G261554" s="64"/>
      <c r="H261554" s="308"/>
      <c r="I261554" s="308"/>
      <c r="J261554" s="185"/>
      <c r="N261554" s="307"/>
      <c r="P261554" s="218"/>
      <c r="Q261554" s="66"/>
      <c r="AC261554" s="194"/>
    </row>
    <row r="261555" customFormat="1" s="47">
      <c r="E261555" s="185"/>
      <c r="G261555" s="64"/>
      <c r="H261555" s="308"/>
      <c r="I261555" s="308"/>
      <c r="J261555" s="185"/>
      <c r="N261555" s="307"/>
      <c r="P261555" s="218"/>
      <c r="Q261555" s="66"/>
      <c r="AC261555" s="194"/>
    </row>
    <row r="261556" customFormat="1" s="47">
      <c r="E261556" s="185"/>
      <c r="G261556" s="64"/>
      <c r="H261556" s="308"/>
      <c r="I261556" s="308"/>
      <c r="J261556" s="185"/>
      <c r="N261556" s="307"/>
      <c r="P261556" s="218"/>
      <c r="Q261556" s="66"/>
      <c r="AC261556" s="194"/>
    </row>
    <row r="261557" customFormat="1" s="47">
      <c r="E261557" s="185"/>
      <c r="G261557" s="64"/>
      <c r="H261557" s="308"/>
      <c r="I261557" s="308"/>
      <c r="J261557" s="185"/>
      <c r="N261557" s="307"/>
      <c r="P261557" s="218"/>
      <c r="Q261557" s="66"/>
      <c r="AC261557" s="194"/>
    </row>
    <row r="261558" customFormat="1" s="47">
      <c r="E261558" s="185"/>
      <c r="G261558" s="64"/>
      <c r="H261558" s="308"/>
      <c r="I261558" s="308"/>
      <c r="J261558" s="185"/>
      <c r="N261558" s="307"/>
      <c r="P261558" s="218"/>
      <c r="Q261558" s="66"/>
      <c r="AC261558" s="194"/>
    </row>
    <row r="261559" customFormat="1" s="47">
      <c r="E261559" s="185"/>
      <c r="G261559" s="64"/>
      <c r="H261559" s="308"/>
      <c r="I261559" s="308"/>
      <c r="J261559" s="185"/>
      <c r="N261559" s="307"/>
      <c r="P261559" s="218"/>
      <c r="Q261559" s="66"/>
      <c r="AC261559" s="194"/>
    </row>
    <row r="261560" customFormat="1" s="47">
      <c r="E261560" s="185"/>
      <c r="G261560" s="64"/>
      <c r="H261560" s="308"/>
      <c r="I261560" s="308"/>
      <c r="J261560" s="185"/>
      <c r="N261560" s="307"/>
      <c r="P261560" s="218"/>
      <c r="Q261560" s="66"/>
      <c r="AC261560" s="194"/>
    </row>
    <row r="261561" customFormat="1" s="47">
      <c r="E261561" s="185"/>
      <c r="G261561" s="64"/>
      <c r="H261561" s="308"/>
      <c r="I261561" s="308"/>
      <c r="J261561" s="185"/>
      <c r="N261561" s="307"/>
      <c r="P261561" s="218"/>
      <c r="Q261561" s="66"/>
      <c r="AC261561" s="194"/>
    </row>
    <row r="261562" customFormat="1" s="47">
      <c r="E261562" s="185"/>
      <c r="G261562" s="64"/>
      <c r="H261562" s="308"/>
      <c r="I261562" s="308"/>
      <c r="J261562" s="185"/>
      <c r="N261562" s="307"/>
      <c r="P261562" s="218"/>
      <c r="Q261562" s="66"/>
      <c r="AC261562" s="194"/>
    </row>
    <row r="261563" customFormat="1" s="47">
      <c r="E261563" s="185"/>
      <c r="G261563" s="64"/>
      <c r="H261563" s="308"/>
      <c r="I261563" s="308"/>
      <c r="J261563" s="185"/>
      <c r="N261563" s="307"/>
      <c r="P261563" s="218"/>
      <c r="Q261563" s="66"/>
      <c r="AC261563" s="194"/>
    </row>
    <row r="261564" customFormat="1" s="47">
      <c r="E261564" s="185"/>
      <c r="G261564" s="64"/>
      <c r="H261564" s="308"/>
      <c r="I261564" s="308"/>
      <c r="J261564" s="185"/>
      <c r="N261564" s="307"/>
      <c r="P261564" s="218"/>
      <c r="Q261564" s="66"/>
      <c r="AC261564" s="194"/>
    </row>
    <row r="261565" customFormat="1" s="47">
      <c r="E261565" s="185"/>
      <c r="G261565" s="64"/>
      <c r="H261565" s="308"/>
      <c r="I261565" s="308"/>
      <c r="J261565" s="185"/>
      <c r="N261565" s="307"/>
      <c r="P261565" s="218"/>
      <c r="Q261565" s="66"/>
      <c r="AC261565" s="194"/>
    </row>
    <row r="261566" customFormat="1" s="47">
      <c r="E261566" s="185"/>
      <c r="G261566" s="64"/>
      <c r="H261566" s="308"/>
      <c r="I261566" s="308"/>
      <c r="J261566" s="185"/>
      <c r="N261566" s="307"/>
      <c r="P261566" s="218"/>
      <c r="Q261566" s="66"/>
      <c r="AC261566" s="194"/>
    </row>
    <row r="261567" customFormat="1" s="47">
      <c r="E261567" s="185"/>
      <c r="G261567" s="64"/>
      <c r="H261567" s="308"/>
      <c r="I261567" s="308"/>
      <c r="J261567" s="185"/>
      <c r="N261567" s="307"/>
      <c r="P261567" s="218"/>
      <c r="Q261567" s="66"/>
      <c r="AC261567" s="194"/>
    </row>
    <row r="261568" customFormat="1" s="47">
      <c r="E261568" s="185"/>
      <c r="G261568" s="64"/>
      <c r="H261568" s="308"/>
      <c r="I261568" s="308"/>
      <c r="J261568" s="185"/>
      <c r="N261568" s="307"/>
      <c r="P261568" s="218"/>
      <c r="Q261568" s="66"/>
      <c r="AC261568" s="194"/>
    </row>
    <row r="261569" customFormat="1" s="47">
      <c r="E261569" s="185"/>
      <c r="G261569" s="64"/>
      <c r="H261569" s="308"/>
      <c r="I261569" s="308"/>
      <c r="J261569" s="185"/>
      <c r="N261569" s="307"/>
      <c r="P261569" s="218"/>
      <c r="Q261569" s="66"/>
      <c r="AC261569" s="194"/>
    </row>
    <row r="261570" customFormat="1" s="47">
      <c r="E261570" s="185"/>
      <c r="G261570" s="64"/>
      <c r="H261570" s="308"/>
      <c r="I261570" s="308"/>
      <c r="J261570" s="185"/>
      <c r="N261570" s="307"/>
      <c r="P261570" s="218"/>
      <c r="Q261570" s="66"/>
      <c r="AC261570" s="194"/>
    </row>
    <row r="261571" customFormat="1" s="47">
      <c r="E261571" s="185"/>
      <c r="G261571" s="64"/>
      <c r="H261571" s="308"/>
      <c r="I261571" s="308"/>
      <c r="J261571" s="185"/>
      <c r="N261571" s="307"/>
      <c r="P261571" s="218"/>
      <c r="Q261571" s="66"/>
      <c r="AC261571" s="194"/>
    </row>
    <row r="261572" customFormat="1" s="47">
      <c r="E261572" s="185"/>
      <c r="G261572" s="64"/>
      <c r="H261572" s="308"/>
      <c r="I261572" s="308"/>
      <c r="J261572" s="185"/>
      <c r="N261572" s="307"/>
      <c r="P261572" s="218"/>
      <c r="Q261572" s="66"/>
      <c r="AC261572" s="194"/>
    </row>
    <row r="261573" customFormat="1" s="47">
      <c r="E261573" s="185"/>
      <c r="G261573" s="64"/>
      <c r="H261573" s="308"/>
      <c r="I261573" s="308"/>
      <c r="J261573" s="185"/>
      <c r="N261573" s="307"/>
      <c r="P261573" s="218"/>
      <c r="Q261573" s="66"/>
      <c r="AC261573" s="194"/>
    </row>
    <row r="261574" customFormat="1" s="47">
      <c r="E261574" s="185"/>
      <c r="G261574" s="64"/>
      <c r="H261574" s="308"/>
      <c r="I261574" s="308"/>
      <c r="J261574" s="185"/>
      <c r="N261574" s="307"/>
      <c r="P261574" s="218"/>
      <c r="Q261574" s="66"/>
      <c r="AC261574" s="194"/>
    </row>
    <row r="261575" customFormat="1" s="47">
      <c r="E261575" s="185"/>
      <c r="G261575" s="64"/>
      <c r="H261575" s="308"/>
      <c r="I261575" s="308"/>
      <c r="J261575" s="185"/>
      <c r="N261575" s="307"/>
      <c r="P261575" s="218"/>
      <c r="Q261575" s="66"/>
      <c r="AC261575" s="194"/>
    </row>
    <row r="261576" customFormat="1" s="47">
      <c r="E261576" s="185"/>
      <c r="G261576" s="64"/>
      <c r="H261576" s="308"/>
      <c r="I261576" s="308"/>
      <c r="J261576" s="185"/>
      <c r="N261576" s="307"/>
      <c r="P261576" s="218"/>
      <c r="Q261576" s="66"/>
      <c r="AC261576" s="194"/>
    </row>
    <row r="261577" customFormat="1" s="47">
      <c r="E261577" s="185"/>
      <c r="G261577" s="64"/>
      <c r="H261577" s="308"/>
      <c r="I261577" s="308"/>
      <c r="J261577" s="185"/>
      <c r="N261577" s="307"/>
      <c r="P261577" s="218"/>
      <c r="Q261577" s="66"/>
      <c r="AC261577" s="194"/>
    </row>
    <row r="261578" customFormat="1" s="47">
      <c r="E261578" s="185"/>
      <c r="G261578" s="64"/>
      <c r="H261578" s="308"/>
      <c r="I261578" s="308"/>
      <c r="J261578" s="185"/>
      <c r="N261578" s="307"/>
      <c r="P261578" s="218"/>
      <c r="Q261578" s="66"/>
      <c r="AC261578" s="194"/>
    </row>
    <row r="261579" customFormat="1" s="47">
      <c r="E261579" s="185"/>
      <c r="G261579" s="64"/>
      <c r="H261579" s="308"/>
      <c r="I261579" s="308"/>
      <c r="J261579" s="185"/>
      <c r="N261579" s="307"/>
      <c r="P261579" s="218"/>
      <c r="Q261579" s="66"/>
      <c r="AC261579" s="194"/>
    </row>
    <row r="261580" customFormat="1" s="47">
      <c r="E261580" s="185"/>
      <c r="G261580" s="64"/>
      <c r="H261580" s="308"/>
      <c r="I261580" s="308"/>
      <c r="J261580" s="185"/>
      <c r="N261580" s="307"/>
      <c r="P261580" s="218"/>
      <c r="Q261580" s="66"/>
      <c r="AC261580" s="194"/>
    </row>
    <row r="261581" customFormat="1" s="47">
      <c r="E261581" s="185"/>
      <c r="G261581" s="64"/>
      <c r="H261581" s="308"/>
      <c r="I261581" s="308"/>
      <c r="J261581" s="185"/>
      <c r="N261581" s="307"/>
      <c r="P261581" s="218"/>
      <c r="Q261581" s="66"/>
      <c r="AC261581" s="194"/>
    </row>
    <row r="261582" customFormat="1" s="47">
      <c r="E261582" s="185"/>
      <c r="G261582" s="64"/>
      <c r="H261582" s="308"/>
      <c r="I261582" s="308"/>
      <c r="J261582" s="185"/>
      <c r="N261582" s="307"/>
      <c r="P261582" s="218"/>
      <c r="Q261582" s="66"/>
      <c r="AC261582" s="194"/>
    </row>
    <row r="261583" customFormat="1" s="47">
      <c r="E261583" s="185"/>
      <c r="G261583" s="64"/>
      <c r="H261583" s="308"/>
      <c r="I261583" s="308"/>
      <c r="J261583" s="185"/>
      <c r="N261583" s="307"/>
      <c r="P261583" s="218"/>
      <c r="Q261583" s="66"/>
      <c r="AC261583" s="194"/>
    </row>
    <row r="261584" customFormat="1" s="47">
      <c r="E261584" s="185"/>
      <c r="G261584" s="64"/>
      <c r="H261584" s="308"/>
      <c r="I261584" s="308"/>
      <c r="J261584" s="185"/>
      <c r="N261584" s="307"/>
      <c r="P261584" s="218"/>
      <c r="Q261584" s="66"/>
      <c r="AC261584" s="194"/>
    </row>
    <row r="261585" customFormat="1" s="47">
      <c r="E261585" s="185"/>
      <c r="G261585" s="64"/>
      <c r="H261585" s="308"/>
      <c r="I261585" s="308"/>
      <c r="J261585" s="185"/>
      <c r="N261585" s="307"/>
      <c r="P261585" s="218"/>
      <c r="Q261585" s="66"/>
      <c r="AC261585" s="194"/>
    </row>
    <row r="261586" customFormat="1" s="47">
      <c r="E261586" s="185"/>
      <c r="G261586" s="64"/>
      <c r="H261586" s="308"/>
      <c r="I261586" s="308"/>
      <c r="J261586" s="185"/>
      <c r="N261586" s="307"/>
      <c r="P261586" s="218"/>
      <c r="Q261586" s="66"/>
      <c r="AC261586" s="194"/>
    </row>
    <row r="261587" customFormat="1" s="47">
      <c r="E261587" s="185"/>
      <c r="G261587" s="64"/>
      <c r="H261587" s="308"/>
      <c r="I261587" s="308"/>
      <c r="J261587" s="185"/>
      <c r="N261587" s="307"/>
      <c r="P261587" s="218"/>
      <c r="Q261587" s="66"/>
      <c r="AC261587" s="194"/>
    </row>
    <row r="261588" customFormat="1" s="47">
      <c r="E261588" s="185"/>
      <c r="G261588" s="64"/>
      <c r="H261588" s="308"/>
      <c r="I261588" s="308"/>
      <c r="J261588" s="185"/>
      <c r="N261588" s="307"/>
      <c r="P261588" s="218"/>
      <c r="Q261588" s="66"/>
      <c r="AC261588" s="194"/>
    </row>
    <row r="261589" customFormat="1" s="47">
      <c r="E261589" s="185"/>
      <c r="G261589" s="64"/>
      <c r="H261589" s="308"/>
      <c r="I261589" s="308"/>
      <c r="J261589" s="185"/>
      <c r="N261589" s="307"/>
      <c r="P261589" s="218"/>
      <c r="Q261589" s="66"/>
      <c r="AC261589" s="194"/>
    </row>
    <row r="261590" customFormat="1" s="47">
      <c r="E261590" s="185"/>
      <c r="G261590" s="64"/>
      <c r="H261590" s="308"/>
      <c r="I261590" s="308"/>
      <c r="J261590" s="185"/>
      <c r="N261590" s="307"/>
      <c r="P261590" s="218"/>
      <c r="Q261590" s="66"/>
      <c r="AC261590" s="194"/>
    </row>
    <row r="261591" customFormat="1" s="47">
      <c r="E261591" s="185"/>
      <c r="G261591" s="64"/>
      <c r="H261591" s="308"/>
      <c r="I261591" s="308"/>
      <c r="J261591" s="185"/>
      <c r="N261591" s="307"/>
      <c r="P261591" s="218"/>
      <c r="Q261591" s="66"/>
      <c r="AC261591" s="194"/>
    </row>
    <row r="261592" customFormat="1" s="47">
      <c r="E261592" s="185"/>
      <c r="G261592" s="64"/>
      <c r="H261592" s="308"/>
      <c r="I261592" s="308"/>
      <c r="J261592" s="185"/>
      <c r="N261592" s="307"/>
      <c r="P261592" s="218"/>
      <c r="Q261592" s="66"/>
      <c r="AC261592" s="194"/>
    </row>
    <row r="261593" customFormat="1" s="47">
      <c r="E261593" s="185"/>
      <c r="G261593" s="64"/>
      <c r="H261593" s="308"/>
      <c r="I261593" s="308"/>
      <c r="J261593" s="185"/>
      <c r="N261593" s="307"/>
      <c r="P261593" s="218"/>
      <c r="Q261593" s="66"/>
      <c r="AC261593" s="194"/>
    </row>
    <row r="261594" customFormat="1" s="47">
      <c r="E261594" s="185"/>
      <c r="G261594" s="64"/>
      <c r="H261594" s="308"/>
      <c r="I261594" s="308"/>
      <c r="J261594" s="185"/>
      <c r="N261594" s="307"/>
      <c r="P261594" s="218"/>
      <c r="Q261594" s="66"/>
      <c r="AC261594" s="194"/>
    </row>
    <row r="261595" customFormat="1" s="47">
      <c r="E261595" s="185"/>
      <c r="G261595" s="64"/>
      <c r="H261595" s="308"/>
      <c r="I261595" s="308"/>
      <c r="J261595" s="185"/>
      <c r="N261595" s="307"/>
      <c r="P261595" s="218"/>
      <c r="Q261595" s="66"/>
      <c r="AC261595" s="194"/>
    </row>
    <row r="261596" customFormat="1" s="47">
      <c r="E261596" s="185"/>
      <c r="G261596" s="64"/>
      <c r="H261596" s="308"/>
      <c r="I261596" s="308"/>
      <c r="J261596" s="185"/>
      <c r="N261596" s="307"/>
      <c r="P261596" s="218"/>
      <c r="Q261596" s="66"/>
      <c r="AC261596" s="194"/>
    </row>
    <row r="261597" customFormat="1" s="47">
      <c r="E261597" s="185"/>
      <c r="G261597" s="64"/>
      <c r="H261597" s="308"/>
      <c r="I261597" s="308"/>
      <c r="J261597" s="185"/>
      <c r="N261597" s="307"/>
      <c r="P261597" s="218"/>
      <c r="Q261597" s="66"/>
      <c r="AC261597" s="194"/>
    </row>
    <row r="261598" customFormat="1" s="47">
      <c r="E261598" s="185"/>
      <c r="G261598" s="64"/>
      <c r="H261598" s="308"/>
      <c r="I261598" s="308"/>
      <c r="J261598" s="185"/>
      <c r="N261598" s="307"/>
      <c r="P261598" s="218"/>
      <c r="Q261598" s="66"/>
      <c r="AC261598" s="194"/>
    </row>
    <row r="261599" customFormat="1" s="47">
      <c r="E261599" s="185"/>
      <c r="G261599" s="64"/>
      <c r="H261599" s="308"/>
      <c r="I261599" s="308"/>
      <c r="J261599" s="185"/>
      <c r="N261599" s="307"/>
      <c r="P261599" s="218"/>
      <c r="Q261599" s="66"/>
      <c r="AC261599" s="194"/>
    </row>
    <row r="261600" customFormat="1" s="47">
      <c r="E261600" s="185"/>
      <c r="G261600" s="64"/>
      <c r="H261600" s="308"/>
      <c r="I261600" s="308"/>
      <c r="J261600" s="185"/>
      <c r="N261600" s="307"/>
      <c r="P261600" s="218"/>
      <c r="Q261600" s="66"/>
      <c r="AC261600" s="194"/>
    </row>
    <row r="261601" customFormat="1" s="47">
      <c r="E261601" s="185"/>
      <c r="G261601" s="64"/>
      <c r="H261601" s="308"/>
      <c r="I261601" s="308"/>
      <c r="J261601" s="185"/>
      <c r="N261601" s="307"/>
      <c r="P261601" s="218"/>
      <c r="Q261601" s="66"/>
      <c r="AC261601" s="194"/>
    </row>
    <row r="261602" customFormat="1" s="47">
      <c r="E261602" s="185"/>
      <c r="G261602" s="64"/>
      <c r="H261602" s="308"/>
      <c r="I261602" s="308"/>
      <c r="J261602" s="185"/>
      <c r="N261602" s="307"/>
      <c r="P261602" s="218"/>
      <c r="Q261602" s="66"/>
      <c r="AC261602" s="194"/>
    </row>
    <row r="261603" customFormat="1" s="47">
      <c r="E261603" s="185"/>
      <c r="G261603" s="64"/>
      <c r="H261603" s="308"/>
      <c r="I261603" s="308"/>
      <c r="J261603" s="185"/>
      <c r="N261603" s="307"/>
      <c r="P261603" s="218"/>
      <c r="Q261603" s="66"/>
      <c r="AC261603" s="194"/>
    </row>
    <row r="261604" customFormat="1" s="47">
      <c r="E261604" s="185"/>
      <c r="G261604" s="64"/>
      <c r="H261604" s="308"/>
      <c r="I261604" s="308"/>
      <c r="J261604" s="185"/>
      <c r="N261604" s="307"/>
      <c r="P261604" s="218"/>
      <c r="Q261604" s="66"/>
      <c r="AC261604" s="194"/>
    </row>
    <row r="261605" customFormat="1" s="47">
      <c r="E261605" s="185"/>
      <c r="G261605" s="64"/>
      <c r="H261605" s="308"/>
      <c r="I261605" s="308"/>
      <c r="J261605" s="185"/>
      <c r="N261605" s="307"/>
      <c r="P261605" s="218"/>
      <c r="Q261605" s="66"/>
      <c r="AC261605" s="194"/>
    </row>
    <row r="261606" customFormat="1" s="47">
      <c r="E261606" s="185"/>
      <c r="G261606" s="64"/>
      <c r="H261606" s="308"/>
      <c r="I261606" s="308"/>
      <c r="J261606" s="185"/>
      <c r="N261606" s="307"/>
      <c r="P261606" s="218"/>
      <c r="Q261606" s="66"/>
      <c r="AC261606" s="194"/>
    </row>
    <row r="261607" customFormat="1" s="47">
      <c r="E261607" s="185"/>
      <c r="G261607" s="64"/>
      <c r="H261607" s="308"/>
      <c r="I261607" s="308"/>
      <c r="J261607" s="185"/>
      <c r="N261607" s="307"/>
      <c r="P261607" s="218"/>
      <c r="Q261607" s="66"/>
      <c r="AC261607" s="194"/>
    </row>
    <row r="261608" customFormat="1" s="47">
      <c r="E261608" s="185"/>
      <c r="G261608" s="64"/>
      <c r="H261608" s="308"/>
      <c r="I261608" s="308"/>
      <c r="J261608" s="185"/>
      <c r="N261608" s="307"/>
      <c r="P261608" s="218"/>
      <c r="Q261608" s="66"/>
      <c r="AC261608" s="194"/>
    </row>
    <row r="261609" customFormat="1" s="47">
      <c r="E261609" s="185"/>
      <c r="G261609" s="64"/>
      <c r="H261609" s="308"/>
      <c r="I261609" s="308"/>
      <c r="J261609" s="185"/>
      <c r="N261609" s="307"/>
      <c r="P261609" s="218"/>
      <c r="Q261609" s="66"/>
      <c r="AC261609" s="194"/>
    </row>
    <row r="261610" customFormat="1" s="47">
      <c r="E261610" s="185"/>
      <c r="G261610" s="64"/>
      <c r="H261610" s="308"/>
      <c r="I261610" s="308"/>
      <c r="J261610" s="185"/>
      <c r="N261610" s="307"/>
      <c r="P261610" s="218"/>
      <c r="Q261610" s="66"/>
      <c r="AC261610" s="194"/>
    </row>
    <row r="261611" customFormat="1" s="47">
      <c r="E261611" s="185"/>
      <c r="G261611" s="64"/>
      <c r="H261611" s="308"/>
      <c r="I261611" s="308"/>
      <c r="J261611" s="185"/>
      <c r="N261611" s="307"/>
      <c r="P261611" s="218"/>
      <c r="Q261611" s="66"/>
      <c r="AC261611" s="194"/>
    </row>
    <row r="261612" customFormat="1" s="47">
      <c r="E261612" s="185"/>
      <c r="G261612" s="64"/>
      <c r="H261612" s="308"/>
      <c r="I261612" s="308"/>
      <c r="J261612" s="185"/>
      <c r="N261612" s="307"/>
      <c r="P261612" s="218"/>
      <c r="Q261612" s="66"/>
      <c r="AC261612" s="194"/>
    </row>
    <row r="261613" customFormat="1" s="47">
      <c r="E261613" s="185"/>
      <c r="G261613" s="64"/>
      <c r="H261613" s="308"/>
      <c r="I261613" s="308"/>
      <c r="J261613" s="185"/>
      <c r="N261613" s="307"/>
      <c r="P261613" s="218"/>
      <c r="Q261613" s="66"/>
      <c r="AC261613" s="194"/>
    </row>
    <row r="261614" customFormat="1" s="47">
      <c r="E261614" s="185"/>
      <c r="G261614" s="64"/>
      <c r="H261614" s="308"/>
      <c r="I261614" s="308"/>
      <c r="J261614" s="185"/>
      <c r="N261614" s="307"/>
      <c r="P261614" s="218"/>
      <c r="Q261614" s="66"/>
      <c r="AC261614" s="194"/>
    </row>
    <row r="261615" customFormat="1" s="47">
      <c r="E261615" s="185"/>
      <c r="G261615" s="64"/>
      <c r="H261615" s="308"/>
      <c r="I261615" s="308"/>
      <c r="J261615" s="185"/>
      <c r="N261615" s="307"/>
      <c r="P261615" s="218"/>
      <c r="Q261615" s="66"/>
      <c r="AC261615" s="194"/>
    </row>
    <row r="261616" customFormat="1" s="47">
      <c r="E261616" s="185"/>
      <c r="G261616" s="64"/>
      <c r="H261616" s="308"/>
      <c r="I261616" s="308"/>
      <c r="J261616" s="185"/>
      <c r="N261616" s="307"/>
      <c r="P261616" s="218"/>
      <c r="Q261616" s="66"/>
      <c r="AC261616" s="194"/>
    </row>
    <row r="261617" customFormat="1" s="47">
      <c r="E261617" s="185"/>
      <c r="G261617" s="64"/>
      <c r="H261617" s="308"/>
      <c r="I261617" s="308"/>
      <c r="J261617" s="185"/>
      <c r="N261617" s="307"/>
      <c r="P261617" s="218"/>
      <c r="Q261617" s="66"/>
      <c r="AC261617" s="194"/>
    </row>
    <row r="261618" customFormat="1" s="47">
      <c r="E261618" s="185"/>
      <c r="G261618" s="64"/>
      <c r="H261618" s="308"/>
      <c r="I261618" s="308"/>
      <c r="J261618" s="185"/>
      <c r="N261618" s="307"/>
      <c r="P261618" s="218"/>
      <c r="Q261618" s="66"/>
      <c r="AC261618" s="194"/>
    </row>
    <row r="261619" customFormat="1" s="47">
      <c r="E261619" s="185"/>
      <c r="G261619" s="64"/>
      <c r="H261619" s="308"/>
      <c r="I261619" s="308"/>
      <c r="J261619" s="185"/>
      <c r="N261619" s="307"/>
      <c r="P261619" s="218"/>
      <c r="Q261619" s="66"/>
      <c r="AC261619" s="194"/>
    </row>
    <row r="261620" customFormat="1" s="47">
      <c r="E261620" s="185"/>
      <c r="G261620" s="64"/>
      <c r="H261620" s="308"/>
      <c r="I261620" s="308"/>
      <c r="J261620" s="185"/>
      <c r="N261620" s="307"/>
      <c r="P261620" s="218"/>
      <c r="Q261620" s="66"/>
      <c r="AC261620" s="194"/>
    </row>
    <row r="261621" customFormat="1" s="47">
      <c r="E261621" s="185"/>
      <c r="G261621" s="64"/>
      <c r="H261621" s="308"/>
      <c r="I261621" s="308"/>
      <c r="J261621" s="185"/>
      <c r="N261621" s="307"/>
      <c r="P261621" s="218"/>
      <c r="Q261621" s="66"/>
      <c r="AC261621" s="194"/>
    </row>
    <row r="261622" customFormat="1" s="47">
      <c r="E261622" s="185"/>
      <c r="G261622" s="64"/>
      <c r="H261622" s="308"/>
      <c r="I261622" s="308"/>
      <c r="J261622" s="185"/>
      <c r="N261622" s="307"/>
      <c r="P261622" s="218"/>
      <c r="Q261622" s="66"/>
      <c r="AC261622" s="194"/>
    </row>
    <row r="261623" customFormat="1" s="47">
      <c r="E261623" s="185"/>
      <c r="G261623" s="64"/>
      <c r="H261623" s="308"/>
      <c r="I261623" s="308"/>
      <c r="J261623" s="185"/>
      <c r="N261623" s="307"/>
      <c r="P261623" s="218"/>
      <c r="Q261623" s="66"/>
      <c r="AC261623" s="194"/>
    </row>
    <row r="261624" customFormat="1" s="47">
      <c r="E261624" s="185"/>
      <c r="G261624" s="64"/>
      <c r="H261624" s="308"/>
      <c r="I261624" s="308"/>
      <c r="J261624" s="185"/>
      <c r="N261624" s="307"/>
      <c r="P261624" s="218"/>
      <c r="Q261624" s="66"/>
      <c r="AC261624" s="194"/>
    </row>
    <row r="261625" customFormat="1" s="47">
      <c r="E261625" s="185"/>
      <c r="G261625" s="64"/>
      <c r="H261625" s="308"/>
      <c r="I261625" s="308"/>
      <c r="J261625" s="185"/>
      <c r="N261625" s="307"/>
      <c r="P261625" s="218"/>
      <c r="Q261625" s="66"/>
      <c r="AC261625" s="194"/>
    </row>
    <row r="261626" customFormat="1" s="47">
      <c r="E261626" s="185"/>
      <c r="G261626" s="64"/>
      <c r="H261626" s="308"/>
      <c r="I261626" s="308"/>
      <c r="J261626" s="185"/>
      <c r="N261626" s="307"/>
      <c r="P261626" s="218"/>
      <c r="Q261626" s="66"/>
      <c r="AC261626" s="194"/>
    </row>
    <row r="261627" customFormat="1" s="47">
      <c r="E261627" s="185"/>
      <c r="G261627" s="64"/>
      <c r="H261627" s="308"/>
      <c r="I261627" s="308"/>
      <c r="J261627" s="185"/>
      <c r="N261627" s="307"/>
      <c r="P261627" s="218"/>
      <c r="Q261627" s="66"/>
      <c r="AC261627" s="194"/>
    </row>
    <row r="261628" customFormat="1" s="47">
      <c r="E261628" s="185"/>
      <c r="G261628" s="64"/>
      <c r="H261628" s="308"/>
      <c r="I261628" s="308"/>
      <c r="J261628" s="185"/>
      <c r="N261628" s="307"/>
      <c r="P261628" s="218"/>
      <c r="Q261628" s="66"/>
      <c r="AC261628" s="194"/>
    </row>
    <row r="261629" customFormat="1" s="47">
      <c r="E261629" s="185"/>
      <c r="G261629" s="64"/>
      <c r="H261629" s="308"/>
      <c r="I261629" s="308"/>
      <c r="J261629" s="185"/>
      <c r="N261629" s="307"/>
      <c r="P261629" s="218"/>
      <c r="Q261629" s="66"/>
      <c r="AC261629" s="194"/>
    </row>
    <row r="261630" customFormat="1" s="47">
      <c r="E261630" s="185"/>
      <c r="G261630" s="64"/>
      <c r="H261630" s="308"/>
      <c r="I261630" s="308"/>
      <c r="J261630" s="185"/>
      <c r="N261630" s="307"/>
      <c r="P261630" s="218"/>
      <c r="Q261630" s="66"/>
      <c r="AC261630" s="194"/>
    </row>
    <row r="261631" customFormat="1" s="47">
      <c r="E261631" s="185"/>
      <c r="G261631" s="64"/>
      <c r="H261631" s="308"/>
      <c r="I261631" s="308"/>
      <c r="J261631" s="185"/>
      <c r="N261631" s="307"/>
      <c r="P261631" s="218"/>
      <c r="Q261631" s="66"/>
      <c r="AC261631" s="194"/>
    </row>
    <row r="261632" customFormat="1" s="47">
      <c r="E261632" s="185"/>
      <c r="G261632" s="64"/>
      <c r="H261632" s="308"/>
      <c r="I261632" s="308"/>
      <c r="J261632" s="185"/>
      <c r="N261632" s="307"/>
      <c r="P261632" s="218"/>
      <c r="Q261632" s="66"/>
      <c r="AC261632" s="194"/>
    </row>
    <row r="261633" customFormat="1" s="47">
      <c r="E261633" s="185"/>
      <c r="G261633" s="64"/>
      <c r="H261633" s="308"/>
      <c r="I261633" s="308"/>
      <c r="J261633" s="185"/>
      <c r="N261633" s="307"/>
      <c r="P261633" s="218"/>
      <c r="Q261633" s="66"/>
      <c r="AC261633" s="194"/>
    </row>
    <row r="261634" customFormat="1" s="47">
      <c r="E261634" s="185"/>
      <c r="G261634" s="64"/>
      <c r="H261634" s="308"/>
      <c r="I261634" s="308"/>
      <c r="J261634" s="185"/>
      <c r="N261634" s="307"/>
      <c r="P261634" s="218"/>
      <c r="Q261634" s="66"/>
      <c r="AC261634" s="194"/>
    </row>
    <row r="261635" customFormat="1" s="47">
      <c r="E261635" s="185"/>
      <c r="G261635" s="64"/>
      <c r="H261635" s="308"/>
      <c r="I261635" s="308"/>
      <c r="J261635" s="185"/>
      <c r="N261635" s="307"/>
      <c r="P261635" s="218"/>
      <c r="Q261635" s="66"/>
      <c r="AC261635" s="194"/>
    </row>
    <row r="261636" customFormat="1" s="47">
      <c r="E261636" s="185"/>
      <c r="G261636" s="64"/>
      <c r="H261636" s="308"/>
      <c r="I261636" s="308"/>
      <c r="J261636" s="185"/>
      <c r="N261636" s="307"/>
      <c r="P261636" s="218"/>
      <c r="Q261636" s="66"/>
      <c r="AC261636" s="194"/>
    </row>
    <row r="261637" customFormat="1" s="47">
      <c r="E261637" s="185"/>
      <c r="G261637" s="64"/>
      <c r="H261637" s="308"/>
      <c r="I261637" s="308"/>
      <c r="J261637" s="185"/>
      <c r="N261637" s="307"/>
      <c r="P261637" s="218"/>
      <c r="Q261637" s="66"/>
      <c r="AC261637" s="194"/>
    </row>
    <row r="261638" customFormat="1" s="47">
      <c r="E261638" s="185"/>
      <c r="G261638" s="64"/>
      <c r="H261638" s="308"/>
      <c r="I261638" s="308"/>
      <c r="J261638" s="185"/>
      <c r="N261638" s="307"/>
      <c r="P261638" s="218"/>
      <c r="Q261638" s="66"/>
      <c r="AC261638" s="194"/>
    </row>
    <row r="261639" customFormat="1" s="47">
      <c r="E261639" s="185"/>
      <c r="G261639" s="64"/>
      <c r="H261639" s="308"/>
      <c r="I261639" s="308"/>
      <c r="J261639" s="185"/>
      <c r="N261639" s="307"/>
      <c r="P261639" s="218"/>
      <c r="Q261639" s="66"/>
      <c r="AC261639" s="194"/>
    </row>
    <row r="261640" customFormat="1" s="47">
      <c r="E261640" s="185"/>
      <c r="G261640" s="64"/>
      <c r="H261640" s="308"/>
      <c r="I261640" s="308"/>
      <c r="J261640" s="185"/>
      <c r="N261640" s="307"/>
      <c r="P261640" s="218"/>
      <c r="Q261640" s="66"/>
      <c r="AC261640" s="194"/>
    </row>
    <row r="261641" customFormat="1" s="47">
      <c r="E261641" s="185"/>
      <c r="G261641" s="64"/>
      <c r="H261641" s="308"/>
      <c r="I261641" s="308"/>
      <c r="J261641" s="185"/>
      <c r="N261641" s="307"/>
      <c r="P261641" s="218"/>
      <c r="Q261641" s="66"/>
      <c r="AC261641" s="194"/>
    </row>
    <row r="261642" customFormat="1" s="47">
      <c r="E261642" s="185"/>
      <c r="G261642" s="64"/>
      <c r="H261642" s="308"/>
      <c r="I261642" s="308"/>
      <c r="J261642" s="185"/>
      <c r="N261642" s="307"/>
      <c r="P261642" s="218"/>
      <c r="Q261642" s="66"/>
      <c r="AC261642" s="194"/>
    </row>
    <row r="261643" customFormat="1" s="47">
      <c r="E261643" s="185"/>
      <c r="G261643" s="64"/>
      <c r="H261643" s="308"/>
      <c r="I261643" s="308"/>
      <c r="J261643" s="185"/>
      <c r="N261643" s="307"/>
      <c r="P261643" s="218"/>
      <c r="Q261643" s="66"/>
      <c r="AC261643" s="194"/>
    </row>
    <row r="261644" customFormat="1" s="47">
      <c r="E261644" s="185"/>
      <c r="G261644" s="64"/>
      <c r="H261644" s="308"/>
      <c r="I261644" s="308"/>
      <c r="J261644" s="185"/>
      <c r="N261644" s="307"/>
      <c r="P261644" s="218"/>
      <c r="Q261644" s="66"/>
      <c r="AC261644" s="194"/>
    </row>
    <row r="261645" customFormat="1" s="47">
      <c r="E261645" s="185"/>
      <c r="G261645" s="64"/>
      <c r="H261645" s="308"/>
      <c r="I261645" s="308"/>
      <c r="J261645" s="185"/>
      <c r="N261645" s="307"/>
      <c r="P261645" s="218"/>
      <c r="Q261645" s="66"/>
      <c r="AC261645" s="194"/>
    </row>
    <row r="261646" customFormat="1" s="47">
      <c r="E261646" s="185"/>
      <c r="G261646" s="64"/>
      <c r="H261646" s="308"/>
      <c r="I261646" s="308"/>
      <c r="J261646" s="185"/>
      <c r="N261646" s="307"/>
      <c r="P261646" s="218"/>
      <c r="Q261646" s="66"/>
      <c r="AC261646" s="194"/>
    </row>
    <row r="261647" customFormat="1" s="47">
      <c r="E261647" s="185"/>
      <c r="G261647" s="64"/>
      <c r="H261647" s="308"/>
      <c r="I261647" s="308"/>
      <c r="J261647" s="185"/>
      <c r="N261647" s="307"/>
      <c r="P261647" s="218"/>
      <c r="Q261647" s="66"/>
      <c r="AC261647" s="194"/>
    </row>
    <row r="261648" customFormat="1" s="47">
      <c r="E261648" s="185"/>
      <c r="G261648" s="64"/>
      <c r="H261648" s="308"/>
      <c r="I261648" s="308"/>
      <c r="J261648" s="185"/>
      <c r="N261648" s="307"/>
      <c r="P261648" s="218"/>
      <c r="Q261648" s="66"/>
      <c r="AC261648" s="194"/>
    </row>
    <row r="261649" customFormat="1" s="47">
      <c r="E261649" s="185"/>
      <c r="G261649" s="64"/>
      <c r="H261649" s="308"/>
      <c r="I261649" s="308"/>
      <c r="J261649" s="185"/>
      <c r="N261649" s="307"/>
      <c r="P261649" s="218"/>
      <c r="Q261649" s="66"/>
      <c r="AC261649" s="194"/>
    </row>
    <row r="261650" customFormat="1" s="47">
      <c r="E261650" s="185"/>
      <c r="G261650" s="64"/>
      <c r="H261650" s="308"/>
      <c r="I261650" s="308"/>
      <c r="J261650" s="185"/>
      <c r="N261650" s="307"/>
      <c r="P261650" s="218"/>
      <c r="Q261650" s="66"/>
      <c r="AC261650" s="194"/>
    </row>
    <row r="261651" customFormat="1" s="47">
      <c r="E261651" s="185"/>
      <c r="G261651" s="64"/>
      <c r="H261651" s="308"/>
      <c r="I261651" s="308"/>
      <c r="J261651" s="185"/>
      <c r="N261651" s="307"/>
      <c r="P261651" s="218"/>
      <c r="Q261651" s="66"/>
      <c r="AC261651" s="194"/>
    </row>
    <row r="261652" customFormat="1" s="47">
      <c r="E261652" s="185"/>
      <c r="G261652" s="64"/>
      <c r="H261652" s="308"/>
      <c r="I261652" s="308"/>
      <c r="J261652" s="185"/>
      <c r="N261652" s="307"/>
      <c r="P261652" s="218"/>
      <c r="Q261652" s="66"/>
      <c r="AC261652" s="194"/>
    </row>
    <row r="261653" customFormat="1" s="47">
      <c r="E261653" s="185"/>
      <c r="G261653" s="64"/>
      <c r="H261653" s="308"/>
      <c r="I261653" s="308"/>
      <c r="J261653" s="185"/>
      <c r="N261653" s="307"/>
      <c r="P261653" s="218"/>
      <c r="Q261653" s="66"/>
      <c r="AC261653" s="194"/>
    </row>
    <row r="261654" customFormat="1" s="47">
      <c r="E261654" s="185"/>
      <c r="G261654" s="64"/>
      <c r="H261654" s="308"/>
      <c r="I261654" s="308"/>
      <c r="J261654" s="185"/>
      <c r="N261654" s="307"/>
      <c r="P261654" s="218"/>
      <c r="Q261654" s="66"/>
      <c r="AC261654" s="194"/>
    </row>
    <row r="261655" customFormat="1" s="47">
      <c r="E261655" s="185"/>
      <c r="G261655" s="64"/>
      <c r="H261655" s="308"/>
      <c r="I261655" s="308"/>
      <c r="J261655" s="185"/>
      <c r="N261655" s="307"/>
      <c r="P261655" s="218"/>
      <c r="Q261655" s="66"/>
      <c r="AC261655" s="194"/>
    </row>
    <row r="261656" customFormat="1" s="47">
      <c r="E261656" s="185"/>
      <c r="G261656" s="64"/>
      <c r="H261656" s="308"/>
      <c r="I261656" s="308"/>
      <c r="J261656" s="185"/>
      <c r="N261656" s="307"/>
      <c r="P261656" s="218"/>
      <c r="Q261656" s="66"/>
      <c r="AC261656" s="194"/>
    </row>
    <row r="261657" customFormat="1" s="47">
      <c r="E261657" s="185"/>
      <c r="G261657" s="64"/>
      <c r="H261657" s="308"/>
      <c r="I261657" s="308"/>
      <c r="J261657" s="185"/>
      <c r="N261657" s="307"/>
      <c r="P261657" s="218"/>
      <c r="Q261657" s="66"/>
      <c r="AC261657" s="194"/>
    </row>
    <row r="261658" customFormat="1" s="47">
      <c r="E261658" s="185"/>
      <c r="G261658" s="64"/>
      <c r="H261658" s="308"/>
      <c r="I261658" s="308"/>
      <c r="J261658" s="185"/>
      <c r="N261658" s="307"/>
      <c r="P261658" s="218"/>
      <c r="Q261658" s="66"/>
      <c r="AC261658" s="194"/>
    </row>
    <row r="261659" customFormat="1" s="47">
      <c r="E261659" s="185"/>
      <c r="G261659" s="64"/>
      <c r="H261659" s="308"/>
      <c r="I261659" s="308"/>
      <c r="J261659" s="185"/>
      <c r="N261659" s="307"/>
      <c r="P261659" s="218"/>
      <c r="Q261659" s="66"/>
      <c r="AC261659" s="194"/>
    </row>
    <row r="261660" customFormat="1" s="47">
      <c r="E261660" s="185"/>
      <c r="G261660" s="64"/>
      <c r="H261660" s="308"/>
      <c r="I261660" s="308"/>
      <c r="J261660" s="185"/>
      <c r="N261660" s="307"/>
      <c r="P261660" s="218"/>
      <c r="Q261660" s="66"/>
      <c r="AC261660" s="194"/>
    </row>
    <row r="261661" customFormat="1" s="47">
      <c r="E261661" s="185"/>
      <c r="G261661" s="64"/>
      <c r="H261661" s="308"/>
      <c r="I261661" s="308"/>
      <c r="J261661" s="185"/>
      <c r="N261661" s="307"/>
      <c r="P261661" s="218"/>
      <c r="Q261661" s="66"/>
      <c r="AC261661" s="194"/>
    </row>
    <row r="261662" customFormat="1" s="47">
      <c r="E261662" s="185"/>
      <c r="G261662" s="64"/>
      <c r="H261662" s="308"/>
      <c r="I261662" s="308"/>
      <c r="J261662" s="185"/>
      <c r="N261662" s="307"/>
      <c r="P261662" s="218"/>
      <c r="Q261662" s="66"/>
      <c r="AC261662" s="194"/>
    </row>
    <row r="261663" customFormat="1" s="47">
      <c r="E261663" s="185"/>
      <c r="G261663" s="64"/>
      <c r="H261663" s="308"/>
      <c r="I261663" s="308"/>
      <c r="J261663" s="185"/>
      <c r="N261663" s="307"/>
      <c r="P261663" s="218"/>
      <c r="Q261663" s="66"/>
      <c r="AC261663" s="194"/>
    </row>
    <row r="261664" customFormat="1" s="47">
      <c r="E261664" s="185"/>
      <c r="G261664" s="64"/>
      <c r="H261664" s="308"/>
      <c r="I261664" s="308"/>
      <c r="J261664" s="185"/>
      <c r="N261664" s="307"/>
      <c r="P261664" s="218"/>
      <c r="Q261664" s="66"/>
      <c r="AC261664" s="194"/>
    </row>
    <row r="261665" customFormat="1" s="47">
      <c r="E261665" s="185"/>
      <c r="G261665" s="64"/>
      <c r="H261665" s="308"/>
      <c r="I261665" s="308"/>
      <c r="J261665" s="185"/>
      <c r="N261665" s="307"/>
      <c r="P261665" s="218"/>
      <c r="Q261665" s="66"/>
      <c r="AC261665" s="194"/>
    </row>
    <row r="261666" customFormat="1" s="47">
      <c r="E261666" s="185"/>
      <c r="G261666" s="64"/>
      <c r="H261666" s="308"/>
      <c r="I261666" s="308"/>
      <c r="J261666" s="185"/>
      <c r="N261666" s="307"/>
      <c r="P261666" s="218"/>
      <c r="Q261666" s="66"/>
      <c r="AC261666" s="194"/>
    </row>
    <row r="261667" customFormat="1" s="47">
      <c r="E261667" s="185"/>
      <c r="G261667" s="64"/>
      <c r="H261667" s="308"/>
      <c r="I261667" s="308"/>
      <c r="J261667" s="185"/>
      <c r="N261667" s="307"/>
      <c r="P261667" s="218"/>
      <c r="Q261667" s="66"/>
      <c r="AC261667" s="194"/>
    </row>
    <row r="261668" customFormat="1" s="47">
      <c r="E261668" s="185"/>
      <c r="G261668" s="64"/>
      <c r="H261668" s="308"/>
      <c r="I261668" s="308"/>
      <c r="J261668" s="185"/>
      <c r="N261668" s="307"/>
      <c r="P261668" s="218"/>
      <c r="Q261668" s="66"/>
      <c r="AC261668" s="194"/>
    </row>
    <row r="261669" customFormat="1" s="47">
      <c r="E261669" s="185"/>
      <c r="G261669" s="64"/>
      <c r="H261669" s="308"/>
      <c r="I261669" s="308"/>
      <c r="J261669" s="185"/>
      <c r="N261669" s="307"/>
      <c r="P261669" s="218"/>
      <c r="Q261669" s="66"/>
      <c r="AC261669" s="194"/>
    </row>
    <row r="261670" customFormat="1" s="47">
      <c r="E261670" s="185"/>
      <c r="G261670" s="64"/>
      <c r="H261670" s="308"/>
      <c r="I261670" s="308"/>
      <c r="J261670" s="185"/>
      <c r="N261670" s="307"/>
      <c r="P261670" s="218"/>
      <c r="Q261670" s="66"/>
      <c r="AC261670" s="194"/>
    </row>
    <row r="261671" customFormat="1" s="47">
      <c r="E261671" s="185"/>
      <c r="G261671" s="64"/>
      <c r="H261671" s="308"/>
      <c r="I261671" s="308"/>
      <c r="J261671" s="185"/>
      <c r="N261671" s="307"/>
      <c r="P261671" s="218"/>
      <c r="Q261671" s="66"/>
      <c r="AC261671" s="194"/>
    </row>
    <row r="261672" customFormat="1" s="47">
      <c r="E261672" s="185"/>
      <c r="G261672" s="64"/>
      <c r="H261672" s="308"/>
      <c r="I261672" s="308"/>
      <c r="J261672" s="185"/>
      <c r="N261672" s="307"/>
      <c r="P261672" s="218"/>
      <c r="Q261672" s="66"/>
      <c r="AC261672" s="194"/>
    </row>
    <row r="261673" customFormat="1" s="47">
      <c r="E261673" s="185"/>
      <c r="G261673" s="64"/>
      <c r="H261673" s="308"/>
      <c r="I261673" s="308"/>
      <c r="J261673" s="185"/>
      <c r="N261673" s="307"/>
      <c r="P261673" s="218"/>
      <c r="Q261673" s="66"/>
      <c r="AC261673" s="194"/>
    </row>
    <row r="261674" customFormat="1" s="47">
      <c r="E261674" s="185"/>
      <c r="G261674" s="64"/>
      <c r="H261674" s="308"/>
      <c r="I261674" s="308"/>
      <c r="J261674" s="185"/>
      <c r="N261674" s="307"/>
      <c r="P261674" s="218"/>
      <c r="Q261674" s="66"/>
      <c r="AC261674" s="194"/>
    </row>
    <row r="261675" customFormat="1" s="47">
      <c r="E261675" s="185"/>
      <c r="G261675" s="64"/>
      <c r="H261675" s="308"/>
      <c r="I261675" s="481"/>
      <c r="J261675" s="185"/>
      <c r="N261675" s="307"/>
      <c r="P261675" s="218"/>
      <c r="Q261675" s="67"/>
    </row>
    <row r="261676" customFormat="1" s="47">
      <c r="E261676" s="185"/>
      <c r="G261676" s="64"/>
      <c r="H261676" s="308"/>
      <c r="I261676" s="481"/>
      <c r="J261676" s="185"/>
      <c r="N261676" s="307"/>
      <c r="P261676" s="218"/>
      <c r="Q261676" s="67"/>
    </row>
    <row r="261677" customFormat="1" s="47">
      <c r="E261677" s="185"/>
      <c r="G261677" s="64"/>
      <c r="H261677" s="308"/>
      <c r="I261677" s="481"/>
      <c r="J261677" s="185"/>
      <c r="N261677" s="307"/>
      <c r="P261677" s="218"/>
      <c r="Q261677" s="67"/>
    </row>
    <row r="261678" customFormat="1" s="47">
      <c r="E261678" s="185"/>
      <c r="G261678" s="64"/>
      <c r="H261678" s="308"/>
      <c r="I261678" s="481"/>
      <c r="J261678" s="185"/>
      <c r="N261678" s="307"/>
      <c r="P261678" s="218"/>
      <c r="Q261678" s="67"/>
    </row>
    <row r="261679" customFormat="1" s="47">
      <c r="E261679" s="185"/>
      <c r="G261679" s="64"/>
      <c r="H261679" s="308"/>
      <c r="I261679" s="481"/>
      <c r="J261679" s="185"/>
      <c r="N261679" s="307"/>
      <c r="P261679" s="218"/>
      <c r="Q261679" s="67"/>
    </row>
    <row r="261680" customFormat="1" s="47">
      <c r="E261680" s="185"/>
      <c r="G261680" s="64"/>
      <c r="H261680" s="308"/>
      <c r="I261680" s="481"/>
      <c r="J261680" s="185"/>
      <c r="N261680" s="307"/>
      <c r="P261680" s="218"/>
      <c r="Q261680" s="67"/>
    </row>
    <row r="261681" customFormat="1" s="47">
      <c r="E261681" s="185"/>
      <c r="G261681" s="64"/>
      <c r="H261681" s="308"/>
      <c r="I261681" s="481"/>
      <c r="J261681" s="185"/>
      <c r="N261681" s="307"/>
      <c r="P261681" s="218"/>
      <c r="Q261681" s="67"/>
    </row>
    <row r="261682" customFormat="1" s="47">
      <c r="E261682" s="185"/>
      <c r="G261682" s="64"/>
      <c r="H261682" s="308"/>
      <c r="I261682" s="481"/>
      <c r="J261682" s="185"/>
      <c r="N261682" s="307"/>
      <c r="P261682" s="218"/>
      <c r="Q261682" s="67"/>
    </row>
    <row r="261683" customFormat="1" s="47">
      <c r="E261683" s="185"/>
      <c r="G261683" s="64"/>
      <c r="H261683" s="308"/>
      <c r="I261683" s="481"/>
      <c r="J261683" s="185"/>
      <c r="N261683" s="307"/>
      <c r="P261683" s="218"/>
      <c r="Q261683" s="67"/>
    </row>
    <row r="261684" customFormat="1" s="47">
      <c r="E261684" s="185"/>
      <c r="G261684" s="64"/>
      <c r="H261684" s="308"/>
      <c r="I261684" s="481"/>
      <c r="J261684" s="185"/>
      <c r="N261684" s="307"/>
      <c r="P261684" s="218"/>
      <c r="Q261684" s="67"/>
    </row>
    <row r="261685" customFormat="1" s="47">
      <c r="E261685" s="185"/>
      <c r="G261685" s="64"/>
      <c r="H261685" s="308"/>
      <c r="I261685" s="481"/>
      <c r="J261685" s="185"/>
      <c r="N261685" s="307"/>
      <c r="P261685" s="218"/>
      <c r="Q261685" s="67"/>
    </row>
    <row r="261686" customFormat="1" s="47">
      <c r="E261686" s="185"/>
      <c r="G261686" s="64"/>
      <c r="H261686" s="308"/>
      <c r="I261686" s="481"/>
      <c r="J261686" s="185"/>
      <c r="N261686" s="307"/>
      <c r="P261686" s="218"/>
      <c r="Q261686" s="67"/>
    </row>
  </sheetData>
  <autoFilter ref="A2:N263"/>
  <conditionalFormatting sqref="I99:I116 J116:J116 I1:J2 I4:I18 I19:J21 J18:J18 I49:J81 I24:J47 J222:J224 I202:I224 I194:J201 I139:J140 I142:J192 I226:J261674 I122:I138 I117:J120">
    <cfRule dxfId="3" operator="containsText" type="containsText" priority="1" text="NO STOCK">
      <formula>NOT(ISERROR(SEARCH("NO STOCK",I99)))</formula>
    </cfRule>
  </conditionalFormatting>
  <conditionalFormatting sqref="I99:I116 J116:J116 I1:J2 I4:I18 I19:J21 J18:J18 I49:J81 I24:J47 J222:J224 I202:I224 I194:J201 I139:J140 I142:J192 I226:J261674 I122:I138 I117:J120">
    <cfRule dxfId="3" operator="containsText" type="containsText" priority="2" text="NOVEMBER">
      <formula>NOT(ISERROR(SEARCH("NOVEMBER",I99)))</formula>
    </cfRule>
  </conditionalFormatting>
  <conditionalFormatting sqref="I99:I116 J116:J116 I1:J2 I4:I18 I19:J21 J18:J18 I49:J81 I24:J47 J222:J224 I202:I224 I194:J201 I139:J140 I142:J192 I226:J261674 I122:I138 I117:J120">
    <cfRule dxfId="3" operator="containsText" type="containsText" priority="3" text="DECEMBER">
      <formula>NOT(ISERROR(SEARCH("DECEMBER",I99)))</formula>
    </cfRule>
  </conditionalFormatting>
  <conditionalFormatting sqref="D4:D17">
    <cfRule dxfId="1" operator="containsText" type="containsText" priority="4" text="STARTER PACK">
      <formula>NOT(ISERROR(SEARCH("STARTER PACK",D4)))</formula>
    </cfRule>
  </conditionalFormatting>
  <conditionalFormatting sqref="D4:D17">
    <cfRule dxfId="1" operator="containsText" type="containsText" priority="5" text="SET UP">
      <formula>NOT(ISERROR(SEARCH("SET UP",D4)))</formula>
    </cfRule>
  </conditionalFormatting>
  <conditionalFormatting sqref="D4:D17">
    <cfRule dxfId="5" operator="containsText" type="containsText" priority="6" text="DISPLAY">
      <formula>NOT(ISERROR(SEARCH("DISPLAY",D4)))</formula>
    </cfRule>
  </conditionalFormatting>
  <conditionalFormatting sqref="D4:D17">
    <cfRule dxfId="5" operator="containsText" type="containsText" priority="7" text="CDU">
      <formula>NOT(ISERROR(SEARCH("CDU",D4)))</formula>
    </cfRule>
  </conditionalFormatting>
  <conditionalFormatting sqref="I3:I3">
    <cfRule dxfId="3" operator="containsText" type="containsText" priority="8" text="NO STOCK">
      <formula>NOT(ISERROR(SEARCH("NO STOCK",I3)))</formula>
    </cfRule>
  </conditionalFormatting>
  <conditionalFormatting sqref="I3:I3">
    <cfRule dxfId="3" operator="containsText" type="containsText" priority="9" text="NOVEMBER">
      <formula>NOT(ISERROR(SEARCH("NOVEMBER",I3)))</formula>
    </cfRule>
  </conditionalFormatting>
  <conditionalFormatting sqref="I3:I3">
    <cfRule dxfId="3" operator="containsText" type="containsText" priority="10" text="DECEMBER">
      <formula>NOT(ISERROR(SEARCH("DECEMBER",I3)))</formula>
    </cfRule>
  </conditionalFormatting>
  <conditionalFormatting sqref="AC3:AC3">
    <cfRule dxfId="3" operator="containsText" type="containsText" priority="11" text="NO STOCK">
      <formula>NOT(ISERROR(SEARCH("NO STOCK",AC3)))</formula>
    </cfRule>
  </conditionalFormatting>
  <conditionalFormatting sqref="AC3:AC3">
    <cfRule dxfId="3" operator="containsText" type="containsText" priority="12" text="NOVEMBER">
      <formula>NOT(ISERROR(SEARCH("NOVEMBER",AC3)))</formula>
    </cfRule>
  </conditionalFormatting>
  <conditionalFormatting sqref="AC3:AC3">
    <cfRule dxfId="3" operator="containsText" type="containsText" priority="13" text="DECEMBER">
      <formula>NOT(ISERROR(SEARCH("DECEMBER",AC3)))</formula>
    </cfRule>
  </conditionalFormatting>
  <conditionalFormatting sqref="I23:I23">
    <cfRule dxfId="3" operator="containsText" type="containsText" priority="14" text="NO STOCK">
      <formula>NOT(ISERROR(SEARCH("NO STOCK",I23)))</formula>
    </cfRule>
  </conditionalFormatting>
  <conditionalFormatting sqref="I23:I23">
    <cfRule dxfId="3" operator="containsText" type="containsText" priority="15" text="NOVEMBER">
      <formula>NOT(ISERROR(SEARCH("NOVEMBER",I23)))</formula>
    </cfRule>
  </conditionalFormatting>
  <conditionalFormatting sqref="I23:I23">
    <cfRule dxfId="3" operator="containsText" type="containsText" priority="16" text="DECEMBER">
      <formula>NOT(ISERROR(SEARCH("DECEMBER",I23)))</formula>
    </cfRule>
  </conditionalFormatting>
  <conditionalFormatting sqref="AC23:AC23">
    <cfRule dxfId="3" operator="containsText" type="containsText" priority="17" text="NO STOCK">
      <formula>NOT(ISERROR(SEARCH("NO STOCK",AC23)))</formula>
    </cfRule>
  </conditionalFormatting>
  <conditionalFormatting sqref="AC23:AC23">
    <cfRule dxfId="3" operator="containsText" type="containsText" priority="18" text="NOVEMBER">
      <formula>NOT(ISERROR(SEARCH("NOVEMBER",AC23)))</formula>
    </cfRule>
  </conditionalFormatting>
  <conditionalFormatting sqref="AC23:AC23">
    <cfRule dxfId="3" operator="containsText" type="containsText" priority="19" text="DECEMBER">
      <formula>NOT(ISERROR(SEARCH("DECEMBER",AC23)))</formula>
    </cfRule>
  </conditionalFormatting>
  <conditionalFormatting sqref="J17:J17">
    <cfRule dxfId="3" operator="containsText" type="containsText" priority="20" text="NO STOCK">
      <formula>NOT(ISERROR(SEARCH("NO STOCK",J17)))</formula>
    </cfRule>
  </conditionalFormatting>
  <conditionalFormatting sqref="J17:J17">
    <cfRule dxfId="3" operator="containsText" type="containsText" priority="21" text="NOVEMBER">
      <formula>NOT(ISERROR(SEARCH("NOVEMBER",J17)))</formula>
    </cfRule>
  </conditionalFormatting>
  <conditionalFormatting sqref="J17:J17">
    <cfRule dxfId="3" operator="containsText" type="containsText" priority="22" text="DECEMBER">
      <formula>NOT(ISERROR(SEARCH("DECEMBER",J17)))</formula>
    </cfRule>
  </conditionalFormatting>
  <conditionalFormatting sqref="J11:J11">
    <cfRule dxfId="3" operator="containsText" type="containsText" priority="23" text="NO STOCK">
      <formula>NOT(ISERROR(SEARCH("NO STOCK",J11)))</formula>
    </cfRule>
  </conditionalFormatting>
  <conditionalFormatting sqref="J11:J11">
    <cfRule dxfId="3" operator="containsText" type="containsText" priority="24" text="NOVEMBER">
      <formula>NOT(ISERROR(SEARCH("NOVEMBER",J11)))</formula>
    </cfRule>
  </conditionalFormatting>
  <conditionalFormatting sqref="J11:J11">
    <cfRule dxfId="3" operator="containsText" type="containsText" priority="25" text="DECEMBER">
      <formula>NOT(ISERROR(SEARCH("DECEMBER",J11)))</formula>
    </cfRule>
  </conditionalFormatting>
  <conditionalFormatting sqref="J9:J9">
    <cfRule dxfId="3" operator="containsText" type="containsText" priority="26" text="NO STOCK">
      <formula>NOT(ISERROR(SEARCH("NO STOCK",J9)))</formula>
    </cfRule>
  </conditionalFormatting>
  <conditionalFormatting sqref="J9:J9">
    <cfRule dxfId="3" operator="containsText" type="containsText" priority="27" text="NOVEMBER">
      <formula>NOT(ISERROR(SEARCH("NOVEMBER",J9)))</formula>
    </cfRule>
  </conditionalFormatting>
  <conditionalFormatting sqref="J9:J9">
    <cfRule dxfId="3" operator="containsText" type="containsText" priority="28" text="DECEMBER">
      <formula>NOT(ISERROR(SEARCH("DECEMBER",J9)))</formula>
    </cfRule>
  </conditionalFormatting>
  <conditionalFormatting sqref="J5:J5">
    <cfRule dxfId="3" operator="containsText" type="containsText" priority="29" text="NO STOCK">
      <formula>NOT(ISERROR(SEARCH("NO STOCK",J5)))</formula>
    </cfRule>
  </conditionalFormatting>
  <conditionalFormatting sqref="J5:J5">
    <cfRule dxfId="3" operator="containsText" type="containsText" priority="30" text="NOVEMBER">
      <formula>NOT(ISERROR(SEARCH("NOVEMBER",J5)))</formula>
    </cfRule>
  </conditionalFormatting>
  <conditionalFormatting sqref="J5:J5">
    <cfRule dxfId="3" operator="containsText" type="containsText" priority="31" text="DECEMBER">
      <formula>NOT(ISERROR(SEARCH("DECEMBER",J5)))</formula>
    </cfRule>
  </conditionalFormatting>
  <conditionalFormatting sqref="J14:J14">
    <cfRule dxfId="3" operator="containsText" type="containsText" priority="32" text="NO STOCK">
      <formula>NOT(ISERROR(SEARCH("NO STOCK",J14)))</formula>
    </cfRule>
  </conditionalFormatting>
  <conditionalFormatting sqref="J14:J14">
    <cfRule dxfId="3" operator="containsText" type="containsText" priority="33" text="NOVEMBER">
      <formula>NOT(ISERROR(SEARCH("NOVEMBER",J14)))</formula>
    </cfRule>
  </conditionalFormatting>
  <conditionalFormatting sqref="J14:J14">
    <cfRule dxfId="3" operator="containsText" type="containsText" priority="34" text="DECEMBER">
      <formula>NOT(ISERROR(SEARCH("DECEMBER",J14)))</formula>
    </cfRule>
  </conditionalFormatting>
  <conditionalFormatting sqref="J4:J4">
    <cfRule dxfId="3" operator="containsText" type="containsText" priority="35" text="NO STOCK">
      <formula>NOT(ISERROR(SEARCH("NO STOCK",J4)))</formula>
    </cfRule>
  </conditionalFormatting>
  <conditionalFormatting sqref="J4:J4">
    <cfRule dxfId="3" operator="containsText" type="containsText" priority="36" text="NOVEMBER">
      <formula>NOT(ISERROR(SEARCH("NOVEMBER",J4)))</formula>
    </cfRule>
  </conditionalFormatting>
  <conditionalFormatting sqref="J4:J4">
    <cfRule dxfId="3" operator="containsText" type="containsText" priority="37" text="DECEMBER">
      <formula>NOT(ISERROR(SEARCH("DECEMBER",J4)))</formula>
    </cfRule>
  </conditionalFormatting>
  <conditionalFormatting sqref="I48:I48">
    <cfRule dxfId="3" operator="containsText" type="containsText" priority="38" text="NO STOCK">
      <formula>NOT(ISERROR(SEARCH("NO STOCK",I48)))</formula>
    </cfRule>
  </conditionalFormatting>
  <conditionalFormatting sqref="I48:I48">
    <cfRule dxfId="3" operator="containsText" type="containsText" priority="39" text="NOVEMBER">
      <formula>NOT(ISERROR(SEARCH("NOVEMBER",I48)))</formula>
    </cfRule>
  </conditionalFormatting>
  <conditionalFormatting sqref="I48:I48">
    <cfRule dxfId="3" operator="containsText" type="containsText" priority="40" text="DECEMBER">
      <formula>NOT(ISERROR(SEARCH("DECEMBER",I48)))</formula>
    </cfRule>
  </conditionalFormatting>
  <conditionalFormatting sqref="AC48:AC48">
    <cfRule dxfId="3" operator="containsText" type="containsText" priority="41" text="NO STOCK">
      <formula>NOT(ISERROR(SEARCH("NO STOCK",AC48)))</formula>
    </cfRule>
  </conditionalFormatting>
  <conditionalFormatting sqref="AC48:AC48">
    <cfRule dxfId="3" operator="containsText" type="containsText" priority="42" text="NOVEMBER">
      <formula>NOT(ISERROR(SEARCH("NOVEMBER",AC48)))</formula>
    </cfRule>
  </conditionalFormatting>
  <conditionalFormatting sqref="AC48:AC48">
    <cfRule dxfId="3" operator="containsText" type="containsText" priority="43" text="DECEMBER">
      <formula>NOT(ISERROR(SEARCH("DECEMBER",AC48)))</formula>
    </cfRule>
  </conditionalFormatting>
  <conditionalFormatting sqref="I141:I141">
    <cfRule dxfId="3" operator="containsText" type="containsText" priority="44" text="NO STOCK">
      <formula>NOT(ISERROR(SEARCH("NO STOCK",I141)))</formula>
    </cfRule>
  </conditionalFormatting>
  <conditionalFormatting sqref="I141:I141">
    <cfRule dxfId="3" operator="containsText" type="containsText" priority="45" text="NOVEMBER">
      <formula>NOT(ISERROR(SEARCH("NOVEMBER",I141)))</formula>
    </cfRule>
  </conditionalFormatting>
  <conditionalFormatting sqref="I141:I141">
    <cfRule dxfId="3" operator="containsText" type="containsText" priority="46" text="DECEMBER">
      <formula>NOT(ISERROR(SEARCH("DECEMBER",I141)))</formula>
    </cfRule>
  </conditionalFormatting>
  <conditionalFormatting sqref="AC141:AC141">
    <cfRule dxfId="3" operator="containsText" type="containsText" priority="47" text="NO STOCK">
      <formula>NOT(ISERROR(SEARCH("NO STOCK",AC141)))</formula>
    </cfRule>
  </conditionalFormatting>
  <conditionalFormatting sqref="AC141:AC141">
    <cfRule dxfId="3" operator="containsText" type="containsText" priority="48" text="NOVEMBER">
      <formula>NOT(ISERROR(SEARCH("NOVEMBER",AC141)))</formula>
    </cfRule>
  </conditionalFormatting>
  <conditionalFormatting sqref="AC141:AC141">
    <cfRule dxfId="3" operator="containsText" type="containsText" priority="49" text="DECEMBER">
      <formula>NOT(ISERROR(SEARCH("DECEMBER",AC141)))</formula>
    </cfRule>
  </conditionalFormatting>
  <conditionalFormatting sqref="I193:I193">
    <cfRule dxfId="3" operator="containsText" type="containsText" priority="50" text="NO STOCK">
      <formula>NOT(ISERROR(SEARCH("NO STOCK",I193)))</formula>
    </cfRule>
  </conditionalFormatting>
  <conditionalFormatting sqref="I193:I193">
    <cfRule dxfId="3" operator="containsText" type="containsText" priority="51" text="NOVEMBER">
      <formula>NOT(ISERROR(SEARCH("NOVEMBER",I193)))</formula>
    </cfRule>
  </conditionalFormatting>
  <conditionalFormatting sqref="I193:I193">
    <cfRule dxfId="3" operator="containsText" type="containsText" priority="52" text="DECEMBER">
      <formula>NOT(ISERROR(SEARCH("DECEMBER",I193)))</formula>
    </cfRule>
  </conditionalFormatting>
  <conditionalFormatting sqref="N156:N156">
    <cfRule dxfId="3" operator="containsText" type="containsText" priority="53" text="NO STOCK">
      <formula>NOT(ISERROR(SEARCH("NO STOCK",N156)))</formula>
    </cfRule>
  </conditionalFormatting>
  <conditionalFormatting sqref="N156:N156">
    <cfRule dxfId="3" operator="containsText" type="containsText" priority="54" text="NOVEMBER">
      <formula>NOT(ISERROR(SEARCH("NOVEMBER",N156)))</formula>
    </cfRule>
  </conditionalFormatting>
  <conditionalFormatting sqref="N156:N156">
    <cfRule dxfId="3" operator="containsText" type="containsText" priority="55" text="DECEMBER">
      <formula>NOT(ISERROR(SEARCH("DECEMBER",N156)))</formula>
    </cfRule>
  </conditionalFormatting>
  <conditionalFormatting sqref="N174:N174">
    <cfRule dxfId="3" operator="containsText" type="containsText" priority="56" text="NO STOCK">
      <formula>NOT(ISERROR(SEARCH("NO STOCK",N174)))</formula>
    </cfRule>
  </conditionalFormatting>
  <conditionalFormatting sqref="N174:N174">
    <cfRule dxfId="3" operator="containsText" type="containsText" priority="57" text="NOVEMBER">
      <formula>NOT(ISERROR(SEARCH("NOVEMBER",N174)))</formula>
    </cfRule>
  </conditionalFormatting>
  <conditionalFormatting sqref="N174:N174">
    <cfRule dxfId="3" operator="containsText" type="containsText" priority="58" text="DECEMBER">
      <formula>NOT(ISERROR(SEARCH("DECEMBER",N174)))</formula>
    </cfRule>
  </conditionalFormatting>
  <conditionalFormatting sqref="N151:N151">
    <cfRule dxfId="3" operator="containsText" type="containsText" priority="59" text="NO STOCK">
      <formula>NOT(ISERROR(SEARCH("NO STOCK",N151)))</formula>
    </cfRule>
  </conditionalFormatting>
  <conditionalFormatting sqref="N151:N151">
    <cfRule dxfId="3" operator="containsText" type="containsText" priority="60" text="NOVEMBER">
      <formula>NOT(ISERROR(SEARCH("NOVEMBER",N151)))</formula>
    </cfRule>
  </conditionalFormatting>
  <conditionalFormatting sqref="N151:N151">
    <cfRule dxfId="3" operator="containsText" type="containsText" priority="61" text="DECEMBER">
      <formula>NOT(ISERROR(SEARCH("DECEMBER",N151)))</formula>
    </cfRule>
  </conditionalFormatting>
  <conditionalFormatting sqref="M164:M164">
    <cfRule dxfId="3" operator="containsText" type="containsText" priority="62" text="NO STOCK">
      <formula>NOT(ISERROR(SEARCH("NO STOCK",M164)))</formula>
    </cfRule>
  </conditionalFormatting>
  <conditionalFormatting sqref="M164:M164">
    <cfRule dxfId="3" operator="containsText" type="containsText" priority="63" text="NOVEMBER">
      <formula>NOT(ISERROR(SEARCH("NOVEMBER",M164)))</formula>
    </cfRule>
  </conditionalFormatting>
  <conditionalFormatting sqref="M164:M164">
    <cfRule dxfId="3" operator="containsText" type="containsText" priority="64" text="DECEMBER">
      <formula>NOT(ISERROR(SEARCH("DECEMBER",M164)))</formula>
    </cfRule>
  </conditionalFormatting>
  <conditionalFormatting sqref="J185:J187 J142:J183">
    <cfRule dxfId="12" operator="containsText" type="containsText" priority="65" text="may">
      <formula>NOT(ISERROR(SEARCH("may",J185)))</formula>
    </cfRule>
  </conditionalFormatting>
  <conditionalFormatting sqref="J202:J202">
    <cfRule dxfId="3" operator="containsText" type="containsText" priority="66" text="NO STOCK">
      <formula>NOT(ISERROR(SEARCH("NO STOCK",J202)))</formula>
    </cfRule>
  </conditionalFormatting>
  <conditionalFormatting sqref="J202:J202">
    <cfRule dxfId="3" operator="containsText" type="containsText" priority="67" text="NOVEMBER">
      <formula>NOT(ISERROR(SEARCH("NOVEMBER",J202)))</formula>
    </cfRule>
  </conditionalFormatting>
  <conditionalFormatting sqref="J202:J202">
    <cfRule dxfId="3" operator="containsText" type="containsText" priority="68" text="DECEMBER">
      <formula>NOT(ISERROR(SEARCH("DECEMBER",J202)))</formula>
    </cfRule>
  </conditionalFormatting>
  <conditionalFormatting sqref="J205:J205">
    <cfRule dxfId="3" operator="containsText" type="containsText" priority="69" text="NO STOCK">
      <formula>NOT(ISERROR(SEARCH("NO STOCK",J205)))</formula>
    </cfRule>
  </conditionalFormatting>
  <conditionalFormatting sqref="J205:J205">
    <cfRule dxfId="3" operator="containsText" type="containsText" priority="70" text="NOVEMBER">
      <formula>NOT(ISERROR(SEARCH("NOVEMBER",J205)))</formula>
    </cfRule>
  </conditionalFormatting>
  <conditionalFormatting sqref="J205:J205">
    <cfRule dxfId="3" operator="containsText" type="containsText" priority="71" text="DECEMBER">
      <formula>NOT(ISERROR(SEARCH("DECEMBER",J205)))</formula>
    </cfRule>
  </conditionalFormatting>
  <conditionalFormatting sqref="J206:J206">
    <cfRule dxfId="3" operator="containsText" type="containsText" priority="72" text="NO STOCK">
      <formula>NOT(ISERROR(SEARCH("NO STOCK",J206)))</formula>
    </cfRule>
  </conditionalFormatting>
  <conditionalFormatting sqref="J206:J206">
    <cfRule dxfId="3" operator="containsText" type="containsText" priority="73" text="NOVEMBER">
      <formula>NOT(ISERROR(SEARCH("NOVEMBER",J206)))</formula>
    </cfRule>
  </conditionalFormatting>
  <conditionalFormatting sqref="J206:J206">
    <cfRule dxfId="3" operator="containsText" type="containsText" priority="74" text="DECEMBER">
      <formula>NOT(ISERROR(SEARCH("DECEMBER",J206)))</formula>
    </cfRule>
  </conditionalFormatting>
  <conditionalFormatting sqref="J210:J210">
    <cfRule dxfId="3" operator="containsText" type="containsText" priority="75" text="NO STOCK">
      <formula>NOT(ISERROR(SEARCH("NO STOCK",J210)))</formula>
    </cfRule>
  </conditionalFormatting>
  <conditionalFormatting sqref="J210:J210">
    <cfRule dxfId="3" operator="containsText" type="containsText" priority="76" text="NOVEMBER">
      <formula>NOT(ISERROR(SEARCH("NOVEMBER",J210)))</formula>
    </cfRule>
  </conditionalFormatting>
  <conditionalFormatting sqref="J210:J210">
    <cfRule dxfId="3" operator="containsText" type="containsText" priority="77" text="DECEMBER">
      <formula>NOT(ISERROR(SEARCH("DECEMBER",J210)))</formula>
    </cfRule>
  </conditionalFormatting>
  <conditionalFormatting sqref="J213:J214">
    <cfRule dxfId="3" operator="containsText" type="containsText" priority="78" text="NO STOCK">
      <formula>NOT(ISERROR(SEARCH("NO STOCK",J213)))</formula>
    </cfRule>
  </conditionalFormatting>
  <conditionalFormatting sqref="J213:J214">
    <cfRule dxfId="3" operator="containsText" type="containsText" priority="79" text="NOVEMBER">
      <formula>NOT(ISERROR(SEARCH("NOVEMBER",J213)))</formula>
    </cfRule>
  </conditionalFormatting>
  <conditionalFormatting sqref="J213:J214">
    <cfRule dxfId="3" operator="containsText" type="containsText" priority="80" text="DECEMBER">
      <formula>NOT(ISERROR(SEARCH("DECEMBER",J213)))</formula>
    </cfRule>
  </conditionalFormatting>
  <conditionalFormatting sqref="J218:J218">
    <cfRule dxfId="3" operator="containsText" type="containsText" priority="81" text="NO STOCK">
      <formula>NOT(ISERROR(SEARCH("NO STOCK",J218)))</formula>
    </cfRule>
  </conditionalFormatting>
  <conditionalFormatting sqref="J218:J218">
    <cfRule dxfId="3" operator="containsText" type="containsText" priority="82" text="NOVEMBER">
      <formula>NOT(ISERROR(SEARCH("NOVEMBER",J218)))</formula>
    </cfRule>
  </conditionalFormatting>
  <conditionalFormatting sqref="J218:J218">
    <cfRule dxfId="3" operator="containsText" type="containsText" priority="83" text="DECEMBER">
      <formula>NOT(ISERROR(SEARCH("DECEMBER",J218)))</formula>
    </cfRule>
  </conditionalFormatting>
  <conditionalFormatting sqref="J194:J221">
    <cfRule dxfId="12" operator="containsText" type="containsText" priority="84" text="MARCH">
      <formula>NOT(ISERROR(SEARCH("MARCH",J194)))</formula>
    </cfRule>
  </conditionalFormatting>
  <conditionalFormatting sqref="J194:J221">
    <cfRule dxfId="12" operator="containsText" type="containsText" priority="85" text="APRIL">
      <formula>NOT(ISERROR(SEARCH("APRIL",J194)))</formula>
    </cfRule>
  </conditionalFormatting>
  <conditionalFormatting sqref="J194:J221">
    <cfRule dxfId="12" operator="containsText" type="containsText" priority="86" text="MAY">
      <formula>NOT(ISERROR(SEARCH("MAY",J194)))</formula>
    </cfRule>
  </conditionalFormatting>
  <conditionalFormatting sqref="I121:I121">
    <cfRule dxfId="3" operator="containsText" type="containsText" priority="87" text="NO STOCK">
      <formula>NOT(ISERROR(SEARCH("NO STOCK",I121)))</formula>
    </cfRule>
  </conditionalFormatting>
  <conditionalFormatting sqref="I121:I121">
    <cfRule dxfId="3" operator="containsText" type="containsText" priority="88" text="NOVEMBER">
      <formula>NOT(ISERROR(SEARCH("NOVEMBER",I121)))</formula>
    </cfRule>
  </conditionalFormatting>
  <conditionalFormatting sqref="I121:I121">
    <cfRule dxfId="3" operator="containsText" type="containsText" priority="89" text="DECEMBER">
      <formula>NOT(ISERROR(SEARCH("DECEMBER",I121)))</formula>
    </cfRule>
  </conditionalFormatting>
  <conditionalFormatting sqref="AC121:AC121">
    <cfRule dxfId="3" operator="containsText" type="containsText" priority="90" text="NO STOCK">
      <formula>NOT(ISERROR(SEARCH("NO STOCK",AC121)))</formula>
    </cfRule>
  </conditionalFormatting>
  <conditionalFormatting sqref="AC121:AC121">
    <cfRule dxfId="3" operator="containsText" type="containsText" priority="91" text="NOVEMBER">
      <formula>NOT(ISERROR(SEARCH("NOVEMBER",AC121)))</formula>
    </cfRule>
  </conditionalFormatting>
  <conditionalFormatting sqref="AC121:AC121">
    <cfRule dxfId="3" operator="containsText" type="containsText" priority="92" text="DECEMBER">
      <formula>NOT(ISERROR(SEARCH("DECEMBER",AC121)))</formula>
    </cfRule>
  </conditionalFormatting>
  <conditionalFormatting sqref="AB193:AB193">
    <cfRule dxfId="3" operator="containsText" type="containsText" priority="93" text="NO STOCK">
      <formula>NOT(ISERROR(SEARCH("NO STOCK",AB193)))</formula>
    </cfRule>
  </conditionalFormatting>
  <conditionalFormatting sqref="AB193:AB193">
    <cfRule dxfId="3" operator="containsText" type="containsText" priority="94" text="NOVEMBER">
      <formula>NOT(ISERROR(SEARCH("NOVEMBER",AB193)))</formula>
    </cfRule>
  </conditionalFormatting>
  <conditionalFormatting sqref="AB193:AB193">
    <cfRule dxfId="3" operator="containsText" type="containsText" priority="95" text="DECEMBER">
      <formula>NOT(ISERROR(SEARCH("DECEMBER",AB193)))</formula>
    </cfRule>
  </conditionalFormatting>
  <conditionalFormatting sqref="AC193:AC193">
    <cfRule dxfId="3" operator="containsText" type="containsText" priority="96" text="NO STOCK">
      <formula>NOT(ISERROR(SEARCH("NO STOCK",AC193)))</formula>
    </cfRule>
  </conditionalFormatting>
  <conditionalFormatting sqref="AC193:AC193">
    <cfRule dxfId="3" operator="containsText" type="containsText" priority="97" text="NOVEMBER">
      <formula>NOT(ISERROR(SEARCH("NOVEMBER",AC193)))</formula>
    </cfRule>
  </conditionalFormatting>
  <conditionalFormatting sqref="AC193:AC193">
    <cfRule dxfId="3" operator="containsText" type="containsText" priority="98" text="DECEMBER">
      <formula>NOT(ISERROR(SEARCH("DECEMBER",AC193)))</formula>
    </cfRule>
  </conditionalFormatting>
  <conditionalFormatting sqref="I82:I82">
    <cfRule dxfId="3" operator="containsText" type="containsText" priority="99" text="NO STOCK">
      <formula>NOT(ISERROR(SEARCH("NO STOCK",I82)))</formula>
    </cfRule>
  </conditionalFormatting>
  <conditionalFormatting sqref="I82:I82">
    <cfRule dxfId="3" operator="containsText" type="containsText" priority="100" text="NOVEMBER">
      <formula>NOT(ISERROR(SEARCH("NOVEMBER",I82)))</formula>
    </cfRule>
  </conditionalFormatting>
  <conditionalFormatting sqref="I82:I82">
    <cfRule dxfId="3" operator="containsText" type="containsText" priority="101" text="DECEMBER">
      <formula>NOT(ISERROR(SEARCH("DECEMBER",I82)))</formula>
    </cfRule>
  </conditionalFormatting>
  <conditionalFormatting sqref="AC82:AC82">
    <cfRule dxfId="3" operator="containsText" type="containsText" priority="102" text="NO STOCK">
      <formula>NOT(ISERROR(SEARCH("NO STOCK",AC82)))</formula>
    </cfRule>
  </conditionalFormatting>
  <conditionalFormatting sqref="AC82:AC82">
    <cfRule dxfId="3" operator="containsText" type="containsText" priority="103" text="NOVEMBER">
      <formula>NOT(ISERROR(SEARCH("NOVEMBER",AC82)))</formula>
    </cfRule>
  </conditionalFormatting>
  <conditionalFormatting sqref="AC82:AC82">
    <cfRule dxfId="3" operator="containsText" type="containsText" priority="104" text="DECEMBER">
      <formula>NOT(ISERROR(SEARCH("DECEMBER",AC82)))</formula>
    </cfRule>
  </conditionalFormatting>
  <conditionalFormatting sqref="J84:J84">
    <cfRule dxfId="3" operator="containsText" type="containsText" priority="105" text="NO STOCK">
      <formula>NOT(ISERROR(SEARCH("NO STOCK",J84)))</formula>
    </cfRule>
  </conditionalFormatting>
  <conditionalFormatting sqref="J84:J84">
    <cfRule dxfId="3" operator="containsText" type="containsText" priority="106" text="NOVEMBER">
      <formula>NOT(ISERROR(SEARCH("NOVEMBER",J84)))</formula>
    </cfRule>
  </conditionalFormatting>
  <conditionalFormatting sqref="J84:J84">
    <cfRule dxfId="3" operator="containsText" type="containsText" priority="107" text="DECEMBER">
      <formula>NOT(ISERROR(SEARCH("DECEMBER",J84)))</formula>
    </cfRule>
  </conditionalFormatting>
  <conditionalFormatting sqref="J94:J94">
    <cfRule dxfId="3" operator="containsText" type="containsText" priority="108" text="NO STOCK">
      <formula>NOT(ISERROR(SEARCH("NO STOCK",J94)))</formula>
    </cfRule>
  </conditionalFormatting>
  <conditionalFormatting sqref="J94:J94">
    <cfRule dxfId="3" operator="containsText" type="containsText" priority="109" text="NOVEMBER">
      <formula>NOT(ISERROR(SEARCH("NOVEMBER",J94)))</formula>
    </cfRule>
  </conditionalFormatting>
  <conditionalFormatting sqref="J94:J94">
    <cfRule dxfId="3" operator="containsText" type="containsText" priority="110" text="DECEMBER">
      <formula>NOT(ISERROR(SEARCH("DECEMBER",J94)))</formula>
    </cfRule>
  </conditionalFormatting>
  <conditionalFormatting sqref="J97:J97">
    <cfRule dxfId="3" operator="containsText" type="containsText" priority="111" text="NO STOCK">
      <formula>NOT(ISERROR(SEARCH("NO STOCK",J97)))</formula>
    </cfRule>
  </conditionalFormatting>
  <conditionalFormatting sqref="J97:J97">
    <cfRule dxfId="3" operator="containsText" type="containsText" priority="112" text="NOVEMBER">
      <formula>NOT(ISERROR(SEARCH("NOVEMBER",J97)))</formula>
    </cfRule>
  </conditionalFormatting>
  <conditionalFormatting sqref="J97:J97">
    <cfRule dxfId="3" operator="containsText" type="containsText" priority="113" text="DECEMBER">
      <formula>NOT(ISERROR(SEARCH("DECEMBER",J97)))</formula>
    </cfRule>
  </conditionalFormatting>
  <conditionalFormatting sqref="J109:J109">
    <cfRule dxfId="3" operator="containsText" type="containsText" priority="114" text="NO STOCK">
      <formula>NOT(ISERROR(SEARCH("NO STOCK",J109)))</formula>
    </cfRule>
  </conditionalFormatting>
  <conditionalFormatting sqref="J109:J109">
    <cfRule dxfId="3" operator="containsText" type="containsText" priority="115" text="NOVEMBER">
      <formula>NOT(ISERROR(SEARCH("NOVEMBER",J109)))</formula>
    </cfRule>
  </conditionalFormatting>
  <conditionalFormatting sqref="J109:J109">
    <cfRule dxfId="3" operator="containsText" type="containsText" priority="116" text="DECEMBER">
      <formula>NOT(ISERROR(SEARCH("DECEMBER",J109)))</formula>
    </cfRule>
  </conditionalFormatting>
  <conditionalFormatting sqref="J83:J83">
    <cfRule dxfId="3" operator="containsText" type="containsText" priority="117" text="NO STOCK">
      <formula>NOT(ISERROR(SEARCH("NO STOCK",J83)))</formula>
    </cfRule>
  </conditionalFormatting>
  <conditionalFormatting sqref="J83:J83">
    <cfRule dxfId="3" operator="containsText" type="containsText" priority="118" text="NOVEMBER">
      <formula>NOT(ISERROR(SEARCH("NOVEMBER",J83)))</formula>
    </cfRule>
  </conditionalFormatting>
  <conditionalFormatting sqref="J83:J83">
    <cfRule dxfId="3" operator="containsText" type="containsText" priority="119" text="DECEMBER">
      <formula>NOT(ISERROR(SEARCH("DECEMBER",J83)))</formula>
    </cfRule>
  </conditionalFormatting>
  <conditionalFormatting sqref="J95:J95">
    <cfRule dxfId="3" operator="containsText" type="containsText" priority="120" text="NO STOCK">
      <formula>NOT(ISERROR(SEARCH("NO STOCK",J95)))</formula>
    </cfRule>
  </conditionalFormatting>
  <conditionalFormatting sqref="J95:J95">
    <cfRule dxfId="3" operator="containsText" type="containsText" priority="121" text="NOVEMBER">
      <formula>NOT(ISERROR(SEARCH("NOVEMBER",J95)))</formula>
    </cfRule>
  </conditionalFormatting>
  <conditionalFormatting sqref="J95:J95">
    <cfRule dxfId="3" operator="containsText" type="containsText" priority="122" text="DECEMBER">
      <formula>NOT(ISERROR(SEARCH("DECEMBER",J95)))</formula>
    </cfRule>
  </conditionalFormatting>
  <conditionalFormatting sqref="J103:J103">
    <cfRule dxfId="3" operator="containsText" type="containsText" priority="123" text="NO STOCK">
      <formula>NOT(ISERROR(SEARCH("NO STOCK",J103)))</formula>
    </cfRule>
  </conditionalFormatting>
  <conditionalFormatting sqref="J103:J103">
    <cfRule dxfId="3" operator="containsText" type="containsText" priority="124" text="NOVEMBER">
      <formula>NOT(ISERROR(SEARCH("NOVEMBER",J103)))</formula>
    </cfRule>
  </conditionalFormatting>
  <conditionalFormatting sqref="J103:J103">
    <cfRule dxfId="3" operator="containsText" type="containsText" priority="125" text="DECEMBER">
      <formula>NOT(ISERROR(SEARCH("DECEMBER",J103)))</formula>
    </cfRule>
  </conditionalFormatting>
  <extLst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3937"/>
  <sheetViews>
    <sheetView workbookViewId="0"/>
  </sheetViews>
  <sheetFormatPr defaultRowHeight="14.0" customHeight="1"/>
  <cols>
    <col min="1" max="1" style="482" width="23.45"/>
    <col min="2" max="2" style="482" width="82.41"/>
    <col min="3" max="3" style="482" width="22.52"/>
    <col min="4" max="4" style="482" width="7.41"/>
    <col min="5" max="5" style="482" width="6.49"/>
    <col min="6" max="2048" style="36" width="13.24"/>
  </cols>
  <sheetData>
    <row r="1">
      <c r="A1" s="483" t="s">
        <v>15</v>
      </c>
      <c r="B1" s="483" t="s">
        <v>14</v>
      </c>
      <c r="C1" s="484" t="s">
        <v>889</v>
      </c>
      <c r="D1" s="484" t="s">
        <v>890</v>
      </c>
      <c r="E1" s="484" t="s">
        <v>891</v>
      </c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</row>
    <row r="2" customFormat="1" s="36">
      <c r="A2" s="485">
        <v>91716.0</v>
      </c>
      <c r="B2" s="485" t="s">
        <v>892</v>
      </c>
      <c r="C2" s="482">
        <v>0.0</v>
      </c>
      <c r="D2" s="482" t="s">
        <v>893</v>
      </c>
      <c r="E2" s="482" t="s">
        <v>894</v>
      </c>
    </row>
    <row r="3" customFormat="1" s="36">
      <c r="A3" s="485">
        <v>91751.0</v>
      </c>
      <c r="B3" s="485" t="s">
        <v>895</v>
      </c>
      <c r="C3" s="482">
        <v>0.0</v>
      </c>
      <c r="D3" s="482" t="s">
        <v>893</v>
      </c>
      <c r="E3" s="482" t="s">
        <v>894</v>
      </c>
    </row>
    <row r="4" customFormat="1" s="36">
      <c r="A4" s="485">
        <v>91726.0</v>
      </c>
      <c r="B4" s="485" t="s">
        <v>896</v>
      </c>
      <c r="C4" s="482">
        <v>0.0</v>
      </c>
      <c r="D4" s="482" t="s">
        <v>893</v>
      </c>
      <c r="E4" s="482" t="s">
        <v>894</v>
      </c>
    </row>
    <row r="5" customFormat="1" s="36">
      <c r="A5" s="485">
        <v>91736.0</v>
      </c>
      <c r="B5" s="485" t="s">
        <v>897</v>
      </c>
      <c r="C5" s="482">
        <v>0.0</v>
      </c>
      <c r="D5" s="482" t="s">
        <v>893</v>
      </c>
      <c r="E5" s="482" t="s">
        <v>894</v>
      </c>
    </row>
    <row r="6" customFormat="1" s="36">
      <c r="A6" s="485">
        <v>91746.0</v>
      </c>
      <c r="B6" s="485" t="s">
        <v>898</v>
      </c>
      <c r="C6" s="482">
        <v>0.0</v>
      </c>
      <c r="D6" s="482" t="s">
        <v>893</v>
      </c>
      <c r="E6" s="482" t="s">
        <v>894</v>
      </c>
    </row>
    <row r="7" customFormat="1" s="36">
      <c r="A7" s="485">
        <v>91741.0</v>
      </c>
      <c r="B7" s="485" t="s">
        <v>899</v>
      </c>
      <c r="C7" s="482">
        <v>0.0</v>
      </c>
      <c r="D7" s="482" t="s">
        <v>893</v>
      </c>
      <c r="E7" s="482" t="s">
        <v>894</v>
      </c>
    </row>
    <row r="8" customFormat="1" s="36">
      <c r="A8" s="485">
        <v>91717.0</v>
      </c>
      <c r="B8" s="485" t="s">
        <v>900</v>
      </c>
      <c r="C8" s="482">
        <v>0.0</v>
      </c>
      <c r="D8" s="482" t="s">
        <v>893</v>
      </c>
      <c r="E8" s="482" t="s">
        <v>894</v>
      </c>
    </row>
    <row r="9" customFormat="1" s="36">
      <c r="A9" s="485">
        <v>91727.0</v>
      </c>
      <c r="B9" s="485" t="s">
        <v>901</v>
      </c>
      <c r="C9" s="482">
        <v>0.0</v>
      </c>
      <c r="D9" s="482" t="s">
        <v>893</v>
      </c>
      <c r="E9" s="482" t="s">
        <v>894</v>
      </c>
    </row>
    <row r="10" customFormat="1" s="36">
      <c r="A10" s="485">
        <v>91737.0</v>
      </c>
      <c r="B10" s="485" t="s">
        <v>902</v>
      </c>
      <c r="C10" s="482">
        <v>0.0</v>
      </c>
      <c r="D10" s="482" t="s">
        <v>893</v>
      </c>
      <c r="E10" s="482" t="s">
        <v>894</v>
      </c>
    </row>
    <row r="11" customFormat="1" s="36">
      <c r="A11" s="485">
        <v>91747.0</v>
      </c>
      <c r="B11" s="485" t="s">
        <v>903</v>
      </c>
      <c r="C11" s="482">
        <v>0.0</v>
      </c>
      <c r="D11" s="482" t="s">
        <v>893</v>
      </c>
      <c r="E11" s="482" t="s">
        <v>894</v>
      </c>
    </row>
    <row r="12" customFormat="1" s="36">
      <c r="A12" s="485">
        <v>91742.0</v>
      </c>
      <c r="B12" s="485" t="s">
        <v>904</v>
      </c>
      <c r="C12" s="482">
        <v>0.0</v>
      </c>
      <c r="D12" s="482" t="s">
        <v>893</v>
      </c>
      <c r="E12" s="482" t="s">
        <v>894</v>
      </c>
    </row>
    <row r="13" customFormat="1" s="36">
      <c r="A13" s="485" t="s">
        <v>905</v>
      </c>
      <c r="B13" s="485" t="s">
        <v>906</v>
      </c>
      <c r="C13" s="482">
        <v>0.0</v>
      </c>
      <c r="D13" s="482" t="s">
        <v>893</v>
      </c>
      <c r="E13" s="482" t="s">
        <v>894</v>
      </c>
    </row>
    <row r="14" customFormat="1" s="36">
      <c r="A14" s="485" t="s">
        <v>907</v>
      </c>
      <c r="B14" s="485" t="s">
        <v>908</v>
      </c>
      <c r="C14" s="482">
        <v>0.0</v>
      </c>
      <c r="D14" s="482" t="s">
        <v>893</v>
      </c>
      <c r="E14" s="482" t="s">
        <v>894</v>
      </c>
    </row>
    <row r="15" customFormat="1" s="36">
      <c r="A15" s="485" t="s">
        <v>909</v>
      </c>
      <c r="B15" s="485" t="s">
        <v>910</v>
      </c>
      <c r="C15" s="482">
        <v>0.0</v>
      </c>
      <c r="D15" s="482" t="s">
        <v>893</v>
      </c>
      <c r="E15" s="482" t="s">
        <v>894</v>
      </c>
    </row>
    <row r="16" customFormat="1" s="36">
      <c r="A16" s="485" t="s">
        <v>911</v>
      </c>
      <c r="B16" s="485" t="s">
        <v>912</v>
      </c>
      <c r="C16" s="482">
        <v>192.0</v>
      </c>
      <c r="D16" s="482" t="s">
        <v>913</v>
      </c>
      <c r="E16" s="482" t="s">
        <v>894</v>
      </c>
    </row>
    <row r="17" customFormat="1" s="36">
      <c r="A17" s="485" t="s">
        <v>914</v>
      </c>
      <c r="B17" s="485" t="s">
        <v>915</v>
      </c>
      <c r="C17" s="482">
        <v>378.0</v>
      </c>
      <c r="D17" s="482" t="s">
        <v>913</v>
      </c>
      <c r="E17" s="482" t="s">
        <v>894</v>
      </c>
    </row>
    <row r="18" customFormat="1" s="36">
      <c r="A18" s="485" t="s">
        <v>916</v>
      </c>
      <c r="B18" s="485" t="s">
        <v>917</v>
      </c>
      <c r="C18" s="482">
        <v>354.0</v>
      </c>
      <c r="D18" s="482" t="s">
        <v>913</v>
      </c>
      <c r="E18" s="482" t="s">
        <v>894</v>
      </c>
    </row>
    <row r="19" customFormat="1" s="36">
      <c r="A19" s="485" t="s">
        <v>918</v>
      </c>
      <c r="B19" s="485" t="s">
        <v>919</v>
      </c>
      <c r="C19" s="482">
        <v>392.0</v>
      </c>
      <c r="D19" s="482" t="s">
        <v>913</v>
      </c>
      <c r="E19" s="482" t="s">
        <v>894</v>
      </c>
    </row>
    <row r="20" customFormat="1" s="36">
      <c r="A20" s="485" t="s">
        <v>920</v>
      </c>
      <c r="B20" s="485" t="s">
        <v>921</v>
      </c>
      <c r="C20" s="482">
        <v>199.0</v>
      </c>
      <c r="D20" s="482" t="s">
        <v>913</v>
      </c>
      <c r="E20" s="482" t="s">
        <v>894</v>
      </c>
    </row>
    <row r="21" customFormat="1" s="36">
      <c r="A21" s="485" t="s">
        <v>922</v>
      </c>
      <c r="B21" s="485" t="s">
        <v>923</v>
      </c>
      <c r="C21" s="482">
        <v>253.0</v>
      </c>
      <c r="D21" s="482" t="s">
        <v>913</v>
      </c>
      <c r="E21" s="482" t="s">
        <v>894</v>
      </c>
    </row>
    <row r="22" customFormat="1" s="36">
      <c r="A22" s="485" t="s">
        <v>924</v>
      </c>
      <c r="B22" s="485" t="s">
        <v>925</v>
      </c>
      <c r="C22" s="482">
        <v>0.0</v>
      </c>
      <c r="D22" s="482" t="s">
        <v>893</v>
      </c>
      <c r="E22" s="482" t="s">
        <v>894</v>
      </c>
    </row>
    <row r="23" customFormat="1" s="36">
      <c r="A23" s="485" t="s">
        <v>926</v>
      </c>
      <c r="B23" s="485" t="s">
        <v>927</v>
      </c>
      <c r="C23" s="482">
        <v>1000.0</v>
      </c>
      <c r="D23" s="482" t="s">
        <v>913</v>
      </c>
      <c r="E23" s="482" t="s">
        <v>894</v>
      </c>
    </row>
    <row r="24" customFormat="1" s="36">
      <c r="A24" s="485" t="s">
        <v>928</v>
      </c>
      <c r="B24" s="485" t="s">
        <v>929</v>
      </c>
      <c r="C24" s="482">
        <v>0.0</v>
      </c>
      <c r="D24" s="482" t="s">
        <v>893</v>
      </c>
      <c r="E24" s="482" t="s">
        <v>894</v>
      </c>
    </row>
    <row r="25" customFormat="1" s="36">
      <c r="A25" s="485" t="s">
        <v>930</v>
      </c>
      <c r="B25" s="485" t="s">
        <v>931</v>
      </c>
      <c r="C25" s="482">
        <v>0.0</v>
      </c>
      <c r="D25" s="482" t="s">
        <v>893</v>
      </c>
      <c r="E25" s="482" t="s">
        <v>894</v>
      </c>
    </row>
    <row r="26" customFormat="1" s="36">
      <c r="A26" s="485" t="s">
        <v>932</v>
      </c>
      <c r="B26" s="485" t="s">
        <v>933</v>
      </c>
      <c r="C26" s="482">
        <v>0.0</v>
      </c>
      <c r="D26" s="482" t="s">
        <v>893</v>
      </c>
      <c r="E26" s="482" t="s">
        <v>894</v>
      </c>
    </row>
    <row r="27" customFormat="1" s="36">
      <c r="A27" s="485" t="s">
        <v>934</v>
      </c>
      <c r="B27" s="485" t="s">
        <v>935</v>
      </c>
      <c r="C27" s="482">
        <v>0.0</v>
      </c>
      <c r="D27" s="482" t="s">
        <v>893</v>
      </c>
      <c r="E27" s="482" t="s">
        <v>894</v>
      </c>
    </row>
    <row r="28" customFormat="1" s="36">
      <c r="A28" s="485">
        <v>91718.0</v>
      </c>
      <c r="B28" s="485" t="s">
        <v>936</v>
      </c>
      <c r="C28" s="482">
        <v>0.0</v>
      </c>
      <c r="D28" s="482" t="s">
        <v>893</v>
      </c>
      <c r="E28" s="482" t="s">
        <v>894</v>
      </c>
    </row>
    <row r="29" customFormat="1" s="36">
      <c r="A29" s="485">
        <v>91753.0</v>
      </c>
      <c r="B29" s="485" t="s">
        <v>937</v>
      </c>
      <c r="C29" s="482">
        <v>0.0</v>
      </c>
      <c r="D29" s="482" t="s">
        <v>893</v>
      </c>
      <c r="E29" s="482" t="s">
        <v>894</v>
      </c>
    </row>
    <row r="30" customFormat="1" s="36">
      <c r="A30" s="485">
        <v>91728.0</v>
      </c>
      <c r="B30" s="485" t="s">
        <v>938</v>
      </c>
      <c r="C30" s="482">
        <v>0.0</v>
      </c>
      <c r="D30" s="482" t="s">
        <v>893</v>
      </c>
      <c r="E30" s="482" t="s">
        <v>894</v>
      </c>
    </row>
    <row r="31" customFormat="1" s="36">
      <c r="A31" s="485">
        <v>91738.0</v>
      </c>
      <c r="B31" s="485" t="s">
        <v>939</v>
      </c>
      <c r="C31" s="482">
        <v>0.0</v>
      </c>
      <c r="D31" s="482" t="s">
        <v>893</v>
      </c>
      <c r="E31" s="482" t="s">
        <v>894</v>
      </c>
    </row>
    <row r="32" customFormat="1" s="36">
      <c r="A32" s="485">
        <v>91748.0</v>
      </c>
      <c r="B32" s="485" t="s">
        <v>940</v>
      </c>
      <c r="C32" s="482">
        <v>0.0</v>
      </c>
      <c r="D32" s="482" t="s">
        <v>893</v>
      </c>
      <c r="E32" s="482" t="s">
        <v>894</v>
      </c>
    </row>
    <row r="33" customFormat="1" s="36">
      <c r="A33" s="485">
        <v>91743.0</v>
      </c>
      <c r="B33" s="485" t="s">
        <v>941</v>
      </c>
      <c r="C33" s="482">
        <v>0.0</v>
      </c>
      <c r="D33" s="482" t="s">
        <v>893</v>
      </c>
      <c r="E33" s="482" t="s">
        <v>894</v>
      </c>
    </row>
    <row r="34" customFormat="1" s="36">
      <c r="A34" s="485" t="s">
        <v>942</v>
      </c>
      <c r="B34" s="485" t="s">
        <v>943</v>
      </c>
      <c r="C34" s="482">
        <v>0.0</v>
      </c>
      <c r="D34" s="482" t="s">
        <v>893</v>
      </c>
      <c r="E34" s="482" t="s">
        <v>894</v>
      </c>
    </row>
    <row r="35" customFormat="1" s="36">
      <c r="A35" s="485" t="s">
        <v>944</v>
      </c>
      <c r="B35" s="485" t="s">
        <v>945</v>
      </c>
      <c r="C35" s="482">
        <v>0.0</v>
      </c>
      <c r="D35" s="482" t="s">
        <v>893</v>
      </c>
      <c r="E35" s="482" t="s">
        <v>894</v>
      </c>
    </row>
    <row r="36" customFormat="1" s="36">
      <c r="A36" s="485" t="s">
        <v>946</v>
      </c>
      <c r="B36" s="485" t="s">
        <v>947</v>
      </c>
      <c r="C36" s="482">
        <v>0.0</v>
      </c>
      <c r="D36" s="482" t="s">
        <v>893</v>
      </c>
      <c r="E36" s="482" t="s">
        <v>894</v>
      </c>
    </row>
    <row r="37" customFormat="1" s="36">
      <c r="A37" s="485" t="s">
        <v>342</v>
      </c>
      <c r="B37" s="485" t="s">
        <v>341</v>
      </c>
      <c r="C37" s="482">
        <v>808.0</v>
      </c>
      <c r="D37" s="482" t="s">
        <v>913</v>
      </c>
      <c r="E37" s="482" t="s">
        <v>894</v>
      </c>
    </row>
    <row r="38" customFormat="1" s="36">
      <c r="A38" s="485" t="s">
        <v>344</v>
      </c>
      <c r="B38" s="485" t="s">
        <v>343</v>
      </c>
      <c r="C38" s="482">
        <v>886.0</v>
      </c>
      <c r="D38" s="482" t="s">
        <v>913</v>
      </c>
      <c r="E38" s="482" t="s">
        <v>894</v>
      </c>
    </row>
    <row r="39" customFormat="1" s="36">
      <c r="A39" s="485">
        <v>91719.0</v>
      </c>
      <c r="B39" s="485" t="s">
        <v>948</v>
      </c>
      <c r="C39" s="482">
        <v>0.0</v>
      </c>
      <c r="D39" s="482" t="s">
        <v>893</v>
      </c>
      <c r="E39" s="482" t="s">
        <v>894</v>
      </c>
    </row>
    <row r="40" customFormat="1" s="36">
      <c r="A40" s="485">
        <v>91754.0</v>
      </c>
      <c r="B40" s="485" t="s">
        <v>949</v>
      </c>
      <c r="C40" s="482">
        <v>0.0</v>
      </c>
      <c r="D40" s="482" t="s">
        <v>893</v>
      </c>
      <c r="E40" s="482" t="s">
        <v>894</v>
      </c>
    </row>
    <row r="41" customFormat="1" s="36">
      <c r="A41" s="485">
        <v>91729.0</v>
      </c>
      <c r="B41" s="485" t="s">
        <v>950</v>
      </c>
      <c r="C41" s="482">
        <v>0.0</v>
      </c>
      <c r="D41" s="482" t="s">
        <v>893</v>
      </c>
      <c r="E41" s="482" t="s">
        <v>894</v>
      </c>
    </row>
    <row r="42" customFormat="1" s="36">
      <c r="A42" s="485">
        <v>91739.0</v>
      </c>
      <c r="B42" s="485" t="s">
        <v>951</v>
      </c>
      <c r="C42" s="482">
        <v>0.0</v>
      </c>
      <c r="D42" s="482" t="s">
        <v>893</v>
      </c>
      <c r="E42" s="482" t="s">
        <v>894</v>
      </c>
    </row>
    <row r="43" customFormat="1" s="36">
      <c r="A43" s="485">
        <v>91749.0</v>
      </c>
      <c r="B43" s="485" t="s">
        <v>952</v>
      </c>
      <c r="C43" s="482">
        <v>0.0</v>
      </c>
      <c r="D43" s="482" t="s">
        <v>893</v>
      </c>
      <c r="E43" s="482" t="s">
        <v>894</v>
      </c>
    </row>
    <row r="44" customFormat="1" s="36">
      <c r="A44" s="485">
        <v>91744.0</v>
      </c>
      <c r="B44" s="485" t="s">
        <v>953</v>
      </c>
      <c r="C44" s="482">
        <v>0.0</v>
      </c>
      <c r="D44" s="482" t="s">
        <v>893</v>
      </c>
      <c r="E44" s="482" t="s">
        <v>894</v>
      </c>
    </row>
    <row r="45" customFormat="1" s="36">
      <c r="A45" s="485" t="s">
        <v>954</v>
      </c>
      <c r="B45" s="485" t="s">
        <v>955</v>
      </c>
      <c r="C45" s="482">
        <v>0.0</v>
      </c>
      <c r="D45" s="482" t="s">
        <v>893</v>
      </c>
      <c r="E45" s="482" t="s">
        <v>894</v>
      </c>
    </row>
    <row r="46" customFormat="1" s="36">
      <c r="A46" s="485" t="s">
        <v>956</v>
      </c>
      <c r="B46" s="485" t="s">
        <v>957</v>
      </c>
      <c r="C46" s="482">
        <v>0.0</v>
      </c>
      <c r="D46" s="482" t="s">
        <v>893</v>
      </c>
      <c r="E46" s="482" t="s">
        <v>894</v>
      </c>
    </row>
    <row r="47" customFormat="1" s="36">
      <c r="A47" s="485" t="s">
        <v>958</v>
      </c>
      <c r="B47" s="485" t="s">
        <v>959</v>
      </c>
      <c r="C47" s="482">
        <v>0.0</v>
      </c>
      <c r="D47" s="482" t="s">
        <v>893</v>
      </c>
      <c r="E47" s="482" t="s">
        <v>894</v>
      </c>
    </row>
    <row r="48" customFormat="1" s="36">
      <c r="A48" s="485" t="s">
        <v>960</v>
      </c>
      <c r="B48" s="485" t="s">
        <v>961</v>
      </c>
      <c r="C48" s="482">
        <v>0.0</v>
      </c>
      <c r="D48" s="482" t="s">
        <v>893</v>
      </c>
      <c r="E48" s="482" t="s">
        <v>894</v>
      </c>
    </row>
    <row r="49" customFormat="1" s="36">
      <c r="A49" s="485" t="s">
        <v>962</v>
      </c>
      <c r="B49" s="485" t="s">
        <v>963</v>
      </c>
      <c r="C49" s="482">
        <v>0.0</v>
      </c>
      <c r="D49" s="482" t="s">
        <v>893</v>
      </c>
      <c r="E49" s="482" t="s">
        <v>894</v>
      </c>
    </row>
    <row r="50" customFormat="1" s="36">
      <c r="A50" s="485" t="s">
        <v>964</v>
      </c>
      <c r="B50" s="485" t="s">
        <v>965</v>
      </c>
      <c r="C50" s="482">
        <v>0.0</v>
      </c>
      <c r="D50" s="482" t="s">
        <v>893</v>
      </c>
      <c r="E50" s="482" t="s">
        <v>894</v>
      </c>
    </row>
    <row r="51" customFormat="1" s="36">
      <c r="A51" s="485" t="s">
        <v>966</v>
      </c>
      <c r="B51" s="485" t="s">
        <v>967</v>
      </c>
      <c r="C51" s="482">
        <v>0.0</v>
      </c>
      <c r="D51" s="482" t="s">
        <v>893</v>
      </c>
      <c r="E51" s="482" t="s">
        <v>894</v>
      </c>
    </row>
    <row r="52" customFormat="1" s="36">
      <c r="A52" s="485" t="s">
        <v>968</v>
      </c>
      <c r="B52" s="485" t="s">
        <v>969</v>
      </c>
      <c r="C52" s="482">
        <v>0.0</v>
      </c>
      <c r="D52" s="482" t="s">
        <v>893</v>
      </c>
      <c r="E52" s="482" t="s">
        <v>894</v>
      </c>
    </row>
    <row r="53" customFormat="1" s="36">
      <c r="A53" s="485" t="s">
        <v>970</v>
      </c>
      <c r="B53" s="485" t="s">
        <v>971</v>
      </c>
      <c r="C53" s="482">
        <v>0.0</v>
      </c>
      <c r="D53" s="482" t="s">
        <v>893</v>
      </c>
      <c r="E53" s="482" t="s">
        <v>894</v>
      </c>
    </row>
    <row r="54" customFormat="1" s="36">
      <c r="A54" s="485" t="s">
        <v>972</v>
      </c>
      <c r="B54" s="485" t="s">
        <v>973</v>
      </c>
      <c r="C54" s="482">
        <v>0.0</v>
      </c>
      <c r="D54" s="482" t="s">
        <v>893</v>
      </c>
      <c r="E54" s="482" t="s">
        <v>894</v>
      </c>
    </row>
    <row r="55" customFormat="1" s="36">
      <c r="A55" s="485" t="s">
        <v>974</v>
      </c>
      <c r="B55" s="485" t="s">
        <v>975</v>
      </c>
      <c r="C55" s="482">
        <v>0.0</v>
      </c>
      <c r="D55" s="482" t="s">
        <v>893</v>
      </c>
      <c r="E55" s="482" t="s">
        <v>894</v>
      </c>
    </row>
    <row r="56" customFormat="1" s="36">
      <c r="A56" s="485" t="s">
        <v>976</v>
      </c>
      <c r="B56" s="485" t="s">
        <v>977</v>
      </c>
      <c r="C56" s="482">
        <v>0.0</v>
      </c>
      <c r="D56" s="482" t="s">
        <v>893</v>
      </c>
      <c r="E56" s="482" t="s">
        <v>894</v>
      </c>
    </row>
    <row r="57" customFormat="1" s="36">
      <c r="A57" s="485" t="s">
        <v>978</v>
      </c>
      <c r="B57" s="485" t="s">
        <v>979</v>
      </c>
      <c r="C57" s="482">
        <v>0.0</v>
      </c>
      <c r="D57" s="482" t="s">
        <v>893</v>
      </c>
      <c r="E57" s="482" t="s">
        <v>894</v>
      </c>
    </row>
    <row r="58" customFormat="1" s="36">
      <c r="A58" s="485" t="s">
        <v>980</v>
      </c>
      <c r="B58" s="485" t="s">
        <v>981</v>
      </c>
      <c r="C58" s="482">
        <v>0.0</v>
      </c>
      <c r="D58" s="482" t="s">
        <v>893</v>
      </c>
      <c r="E58" s="482" t="s">
        <v>894</v>
      </c>
    </row>
    <row r="59" customFormat="1" s="36">
      <c r="A59" s="485" t="s">
        <v>982</v>
      </c>
      <c r="B59" s="485" t="s">
        <v>983</v>
      </c>
      <c r="C59" s="482">
        <v>0.0</v>
      </c>
      <c r="D59" s="482" t="s">
        <v>893</v>
      </c>
      <c r="E59" s="482" t="s">
        <v>894</v>
      </c>
    </row>
    <row r="60" customFormat="1" s="36">
      <c r="A60" s="485" t="s">
        <v>984</v>
      </c>
      <c r="B60" s="485" t="s">
        <v>985</v>
      </c>
      <c r="C60" s="482">
        <v>0.0</v>
      </c>
      <c r="D60" s="482" t="s">
        <v>893</v>
      </c>
      <c r="E60" s="482" t="s">
        <v>894</v>
      </c>
    </row>
    <row r="61" customFormat="1" s="36">
      <c r="A61" s="485" t="s">
        <v>986</v>
      </c>
      <c r="B61" s="485" t="s">
        <v>987</v>
      </c>
      <c r="C61" s="482">
        <v>0.0</v>
      </c>
      <c r="D61" s="482" t="s">
        <v>893</v>
      </c>
      <c r="E61" s="482" t="s">
        <v>894</v>
      </c>
    </row>
    <row r="62" customFormat="1" s="36">
      <c r="A62" s="485" t="s">
        <v>988</v>
      </c>
      <c r="B62" s="485" t="s">
        <v>989</v>
      </c>
      <c r="C62" s="482">
        <v>0.0</v>
      </c>
      <c r="D62" s="482" t="s">
        <v>893</v>
      </c>
      <c r="E62" s="482" t="s">
        <v>894</v>
      </c>
    </row>
    <row r="63" customFormat="1" s="36">
      <c r="A63" s="485" t="s">
        <v>990</v>
      </c>
      <c r="B63" s="485" t="s">
        <v>991</v>
      </c>
      <c r="C63" s="482">
        <v>0.0</v>
      </c>
      <c r="D63" s="482" t="s">
        <v>893</v>
      </c>
      <c r="E63" s="482" t="s">
        <v>894</v>
      </c>
    </row>
    <row r="64" customFormat="1" s="36">
      <c r="A64" s="485" t="s">
        <v>992</v>
      </c>
      <c r="B64" s="485" t="s">
        <v>993</v>
      </c>
      <c r="C64" s="482">
        <v>0.0</v>
      </c>
      <c r="D64" s="482" t="s">
        <v>893</v>
      </c>
      <c r="E64" s="482" t="s">
        <v>894</v>
      </c>
    </row>
    <row r="65" customFormat="1" s="36">
      <c r="A65" s="485" t="s">
        <v>994</v>
      </c>
      <c r="B65" s="485" t="s">
        <v>995</v>
      </c>
      <c r="C65" s="482">
        <v>0.0</v>
      </c>
      <c r="D65" s="482" t="s">
        <v>893</v>
      </c>
      <c r="E65" s="482" t="s">
        <v>894</v>
      </c>
    </row>
    <row r="66" customFormat="1" s="36">
      <c r="A66" s="485" t="s">
        <v>996</v>
      </c>
      <c r="B66" s="485" t="s">
        <v>997</v>
      </c>
      <c r="C66" s="482">
        <v>0.0</v>
      </c>
      <c r="D66" s="482" t="s">
        <v>893</v>
      </c>
      <c r="E66" s="482" t="s">
        <v>894</v>
      </c>
    </row>
    <row r="67" customFormat="1" s="36">
      <c r="A67" s="485" t="s">
        <v>998</v>
      </c>
      <c r="B67" s="485" t="s">
        <v>999</v>
      </c>
      <c r="C67" s="482">
        <v>0.0</v>
      </c>
      <c r="D67" s="482" t="s">
        <v>893</v>
      </c>
      <c r="E67" s="482" t="s">
        <v>894</v>
      </c>
    </row>
    <row r="68" customFormat="1" s="36">
      <c r="A68" s="485" t="s">
        <v>1000</v>
      </c>
      <c r="B68" s="485" t="s">
        <v>1001</v>
      </c>
      <c r="C68" s="482">
        <v>0.0</v>
      </c>
      <c r="D68" s="482" t="s">
        <v>893</v>
      </c>
      <c r="E68" s="482" t="s">
        <v>894</v>
      </c>
    </row>
    <row r="69" customFormat="1" s="36">
      <c r="A69" s="485" t="s">
        <v>1002</v>
      </c>
      <c r="B69" s="485" t="s">
        <v>1003</v>
      </c>
      <c r="C69" s="482">
        <v>0.0</v>
      </c>
      <c r="D69" s="482" t="s">
        <v>893</v>
      </c>
      <c r="E69" s="482" t="s">
        <v>894</v>
      </c>
    </row>
    <row r="70" customFormat="1" s="36">
      <c r="A70" s="485" t="s">
        <v>1004</v>
      </c>
      <c r="B70" s="485" t="s">
        <v>1005</v>
      </c>
      <c r="C70" s="482">
        <v>0.0</v>
      </c>
      <c r="D70" s="482" t="s">
        <v>893</v>
      </c>
      <c r="E70" s="482" t="s">
        <v>894</v>
      </c>
    </row>
    <row r="71" customFormat="1" s="36">
      <c r="A71" s="485" t="s">
        <v>1006</v>
      </c>
      <c r="B71" s="485" t="s">
        <v>1007</v>
      </c>
      <c r="C71" s="482">
        <v>0.0</v>
      </c>
      <c r="D71" s="482" t="s">
        <v>893</v>
      </c>
      <c r="E71" s="482" t="s">
        <v>894</v>
      </c>
    </row>
    <row r="72" customFormat="1" s="36">
      <c r="A72" s="485" t="s">
        <v>1008</v>
      </c>
      <c r="B72" s="485" t="s">
        <v>1009</v>
      </c>
      <c r="C72" s="482">
        <v>0.0</v>
      </c>
      <c r="D72" s="482" t="s">
        <v>893</v>
      </c>
      <c r="E72" s="482" t="s">
        <v>894</v>
      </c>
    </row>
    <row r="73" customFormat="1" s="36">
      <c r="A73" s="485" t="s">
        <v>1010</v>
      </c>
      <c r="B73" s="485" t="s">
        <v>1011</v>
      </c>
      <c r="C73" s="482">
        <v>0.0</v>
      </c>
      <c r="D73" s="482" t="s">
        <v>893</v>
      </c>
      <c r="E73" s="482" t="s">
        <v>894</v>
      </c>
    </row>
    <row r="74" customFormat="1" s="36">
      <c r="A74" s="485" t="s">
        <v>1012</v>
      </c>
      <c r="B74" s="485" t="s">
        <v>1013</v>
      </c>
      <c r="C74" s="482">
        <v>0.0</v>
      </c>
      <c r="D74" s="482" t="s">
        <v>893</v>
      </c>
      <c r="E74" s="482" t="s">
        <v>894</v>
      </c>
    </row>
    <row r="75" customFormat="1" s="36">
      <c r="A75" s="485" t="s">
        <v>1014</v>
      </c>
      <c r="B75" s="485" t="s">
        <v>1015</v>
      </c>
      <c r="C75" s="482">
        <v>0.0</v>
      </c>
      <c r="D75" s="482" t="s">
        <v>893</v>
      </c>
      <c r="E75" s="482" t="s">
        <v>894</v>
      </c>
    </row>
    <row r="76" customFormat="1" s="36">
      <c r="A76" s="485" t="s">
        <v>1016</v>
      </c>
      <c r="B76" s="485" t="s">
        <v>1017</v>
      </c>
      <c r="C76" s="482">
        <v>0.0</v>
      </c>
      <c r="D76" s="482" t="s">
        <v>893</v>
      </c>
      <c r="E76" s="482" t="s">
        <v>894</v>
      </c>
    </row>
    <row r="77" customFormat="1" s="36">
      <c r="A77" s="485" t="s">
        <v>1018</v>
      </c>
      <c r="B77" s="485" t="s">
        <v>1019</v>
      </c>
      <c r="C77" s="482">
        <v>0.0</v>
      </c>
      <c r="D77" s="482" t="s">
        <v>893</v>
      </c>
      <c r="E77" s="482" t="s">
        <v>894</v>
      </c>
    </row>
    <row r="78" customFormat="1" s="36">
      <c r="A78" s="485" t="s">
        <v>1020</v>
      </c>
      <c r="B78" s="485" t="s">
        <v>1021</v>
      </c>
      <c r="C78" s="482">
        <v>2.0</v>
      </c>
      <c r="D78" s="482" t="s">
        <v>913</v>
      </c>
      <c r="E78" s="482" t="s">
        <v>894</v>
      </c>
    </row>
    <row r="79" customFormat="1" s="36">
      <c r="A79" s="485" t="s">
        <v>1022</v>
      </c>
      <c r="B79" s="485" t="s">
        <v>1023</v>
      </c>
      <c r="C79" s="482">
        <v>0.0</v>
      </c>
      <c r="D79" s="482" t="s">
        <v>893</v>
      </c>
      <c r="E79" s="482" t="s">
        <v>894</v>
      </c>
    </row>
    <row r="80" customFormat="1" s="36">
      <c r="A80" s="485" t="s">
        <v>1024</v>
      </c>
      <c r="B80" s="485" t="s">
        <v>1025</v>
      </c>
      <c r="C80" s="482">
        <v>246.0</v>
      </c>
      <c r="D80" s="482" t="s">
        <v>913</v>
      </c>
      <c r="E80" s="482" t="s">
        <v>894</v>
      </c>
    </row>
    <row r="81" customFormat="1" s="36">
      <c r="A81" s="485" t="s">
        <v>1026</v>
      </c>
      <c r="B81" s="485" t="s">
        <v>1027</v>
      </c>
      <c r="C81" s="482">
        <v>0.0</v>
      </c>
      <c r="D81" s="482" t="s">
        <v>893</v>
      </c>
      <c r="E81" s="482" t="s">
        <v>894</v>
      </c>
    </row>
    <row r="82" customFormat="1" s="36">
      <c r="A82" s="485" t="s">
        <v>1028</v>
      </c>
      <c r="B82" s="485" t="s">
        <v>1029</v>
      </c>
      <c r="C82" s="482">
        <v>0.0</v>
      </c>
      <c r="D82" s="482" t="s">
        <v>893</v>
      </c>
      <c r="E82" s="482" t="s">
        <v>894</v>
      </c>
    </row>
    <row r="83" customFormat="1" s="36">
      <c r="A83" s="485" t="s">
        <v>1030</v>
      </c>
      <c r="B83" s="485" t="s">
        <v>1031</v>
      </c>
      <c r="C83" s="482">
        <v>438.0</v>
      </c>
      <c r="D83" s="482" t="s">
        <v>913</v>
      </c>
      <c r="E83" s="482" t="s">
        <v>894</v>
      </c>
    </row>
    <row r="84" customFormat="1" s="36">
      <c r="A84" s="485" t="s">
        <v>1032</v>
      </c>
      <c r="B84" s="485" t="s">
        <v>1033</v>
      </c>
      <c r="C84" s="482">
        <v>249.0</v>
      </c>
      <c r="D84" s="482" t="s">
        <v>913</v>
      </c>
      <c r="E84" s="482" t="s">
        <v>894</v>
      </c>
    </row>
    <row r="85" customFormat="1" s="36">
      <c r="A85" s="485" t="s">
        <v>1034</v>
      </c>
      <c r="B85" s="485" t="s">
        <v>1035</v>
      </c>
      <c r="C85" s="482">
        <v>875.0</v>
      </c>
      <c r="D85" s="482" t="s">
        <v>913</v>
      </c>
      <c r="E85" s="482" t="s">
        <v>894</v>
      </c>
    </row>
    <row r="86" customFormat="1" s="36">
      <c r="A86" s="485" t="s">
        <v>1036</v>
      </c>
      <c r="B86" s="485" t="s">
        <v>1037</v>
      </c>
      <c r="C86" s="482">
        <v>0.0</v>
      </c>
      <c r="D86" s="482" t="s">
        <v>893</v>
      </c>
      <c r="E86" s="482" t="s">
        <v>894</v>
      </c>
    </row>
    <row r="87" customFormat="1" s="36">
      <c r="A87" s="485" t="s">
        <v>1038</v>
      </c>
      <c r="B87" s="485" t="s">
        <v>1039</v>
      </c>
      <c r="C87" s="482">
        <v>582.0</v>
      </c>
      <c r="D87" s="482" t="s">
        <v>913</v>
      </c>
      <c r="E87" s="482" t="s">
        <v>894</v>
      </c>
    </row>
    <row r="88" customFormat="1" s="36">
      <c r="A88" s="485" t="s">
        <v>1040</v>
      </c>
      <c r="B88" s="485" t="s">
        <v>1041</v>
      </c>
      <c r="C88" s="482">
        <v>597.0</v>
      </c>
      <c r="D88" s="482" t="s">
        <v>913</v>
      </c>
      <c r="E88" s="482" t="s">
        <v>894</v>
      </c>
    </row>
    <row r="89" customFormat="1" s="36">
      <c r="A89" s="485" t="s">
        <v>1042</v>
      </c>
      <c r="B89" s="485" t="s">
        <v>1043</v>
      </c>
      <c r="C89" s="482">
        <v>264.0</v>
      </c>
      <c r="D89" s="482" t="s">
        <v>913</v>
      </c>
      <c r="E89" s="482" t="s">
        <v>894</v>
      </c>
    </row>
    <row r="90" customFormat="1" s="36">
      <c r="A90" s="485" t="s">
        <v>1044</v>
      </c>
      <c r="B90" s="485" t="s">
        <v>1045</v>
      </c>
      <c r="C90" s="482">
        <v>0.0</v>
      </c>
      <c r="D90" s="482" t="s">
        <v>893</v>
      </c>
      <c r="E90" s="482" t="s">
        <v>894</v>
      </c>
    </row>
    <row r="91" customFormat="1" s="36">
      <c r="A91" s="485" t="s">
        <v>1046</v>
      </c>
      <c r="B91" s="485" t="s">
        <v>1047</v>
      </c>
      <c r="C91" s="482">
        <v>570.0</v>
      </c>
      <c r="D91" s="482" t="s">
        <v>913</v>
      </c>
      <c r="E91" s="482" t="s">
        <v>894</v>
      </c>
    </row>
    <row r="92" customFormat="1" s="36">
      <c r="A92" s="485" t="s">
        <v>1048</v>
      </c>
      <c r="B92" s="485" t="s">
        <v>1049</v>
      </c>
      <c r="C92" s="482">
        <v>0.0</v>
      </c>
      <c r="D92" s="482" t="s">
        <v>893</v>
      </c>
      <c r="E92" s="482" t="s">
        <v>894</v>
      </c>
    </row>
    <row r="93" customFormat="1" s="36">
      <c r="A93" s="485" t="s">
        <v>1050</v>
      </c>
      <c r="B93" s="485" t="s">
        <v>1051</v>
      </c>
      <c r="C93" s="482">
        <v>462.0</v>
      </c>
      <c r="D93" s="482" t="s">
        <v>913</v>
      </c>
      <c r="E93" s="482" t="s">
        <v>894</v>
      </c>
    </row>
    <row r="94" customFormat="1" s="36">
      <c r="A94" s="485" t="s">
        <v>1052</v>
      </c>
      <c r="B94" s="485" t="s">
        <v>1053</v>
      </c>
      <c r="C94" s="482">
        <v>0.0</v>
      </c>
      <c r="D94" s="482" t="s">
        <v>893</v>
      </c>
      <c r="E94" s="482" t="s">
        <v>894</v>
      </c>
    </row>
    <row r="95" customFormat="1" s="36">
      <c r="A95" s="485" t="s">
        <v>1054</v>
      </c>
      <c r="B95" s="485" t="s">
        <v>1055</v>
      </c>
      <c r="C95" s="482">
        <v>773.0</v>
      </c>
      <c r="D95" s="482" t="s">
        <v>913</v>
      </c>
      <c r="E95" s="482" t="s">
        <v>894</v>
      </c>
    </row>
    <row r="96" customFormat="1" s="36">
      <c r="A96" s="485" t="s">
        <v>1056</v>
      </c>
      <c r="B96" s="485" t="s">
        <v>1057</v>
      </c>
      <c r="C96" s="482">
        <v>654.0</v>
      </c>
      <c r="D96" s="482" t="s">
        <v>913</v>
      </c>
      <c r="E96" s="482" t="s">
        <v>894</v>
      </c>
    </row>
    <row r="97" customFormat="1" s="36">
      <c r="A97" s="485" t="s">
        <v>1058</v>
      </c>
      <c r="B97" s="485" t="s">
        <v>1059</v>
      </c>
      <c r="C97" s="482">
        <v>990.0</v>
      </c>
      <c r="D97" s="482" t="s">
        <v>913</v>
      </c>
      <c r="E97" s="482" t="s">
        <v>894</v>
      </c>
    </row>
    <row r="98" customFormat="1" s="36">
      <c r="A98" s="485" t="s">
        <v>1060</v>
      </c>
      <c r="B98" s="485" t="s">
        <v>1061</v>
      </c>
      <c r="C98" s="482">
        <v>0.0</v>
      </c>
      <c r="D98" s="482" t="s">
        <v>893</v>
      </c>
      <c r="E98" s="482" t="s">
        <v>894</v>
      </c>
    </row>
    <row r="99" customFormat="1" s="36">
      <c r="A99" s="485" t="s">
        <v>1062</v>
      </c>
      <c r="B99" s="485" t="s">
        <v>1063</v>
      </c>
      <c r="C99" s="482">
        <v>636.0</v>
      </c>
      <c r="D99" s="482" t="s">
        <v>913</v>
      </c>
      <c r="E99" s="482" t="s">
        <v>894</v>
      </c>
    </row>
    <row r="100" customFormat="1" s="36">
      <c r="A100" s="485" t="s">
        <v>1064</v>
      </c>
      <c r="B100" s="485" t="s">
        <v>1065</v>
      </c>
      <c r="C100" s="482">
        <v>0.0</v>
      </c>
      <c r="D100" s="482" t="s">
        <v>893</v>
      </c>
      <c r="E100" s="482" t="s">
        <v>894</v>
      </c>
    </row>
    <row r="101" customFormat="1" s="36">
      <c r="A101" s="485" t="s">
        <v>1066</v>
      </c>
      <c r="B101" s="485" t="s">
        <v>1067</v>
      </c>
      <c r="C101" s="482">
        <v>0.0</v>
      </c>
      <c r="D101" s="482" t="s">
        <v>913</v>
      </c>
      <c r="E101" s="482" t="s">
        <v>894</v>
      </c>
    </row>
    <row r="102" customFormat="1" s="36">
      <c r="A102" s="485" t="s">
        <v>1068</v>
      </c>
      <c r="B102" s="485" t="s">
        <v>1069</v>
      </c>
      <c r="C102" s="482">
        <v>0.0</v>
      </c>
      <c r="D102" s="482" t="s">
        <v>913</v>
      </c>
      <c r="E102" s="482" t="s">
        <v>894</v>
      </c>
    </row>
    <row r="103" customFormat="1" s="36">
      <c r="A103" s="485" t="s">
        <v>1070</v>
      </c>
      <c r="B103" s="485" t="s">
        <v>1071</v>
      </c>
      <c r="C103" s="482">
        <v>0.0</v>
      </c>
      <c r="D103" s="482" t="s">
        <v>913</v>
      </c>
      <c r="E103" s="482" t="s">
        <v>894</v>
      </c>
    </row>
    <row r="104" customFormat="1" s="36">
      <c r="A104" s="485" t="s">
        <v>1072</v>
      </c>
      <c r="B104" s="485" t="s">
        <v>1073</v>
      </c>
      <c r="C104" s="482">
        <v>201.0</v>
      </c>
      <c r="D104" s="482" t="s">
        <v>913</v>
      </c>
      <c r="E104" s="482" t="s">
        <v>894</v>
      </c>
    </row>
    <row r="105" customFormat="1" s="36">
      <c r="A105" s="485" t="s">
        <v>1074</v>
      </c>
      <c r="B105" s="485" t="s">
        <v>1075</v>
      </c>
      <c r="C105" s="482">
        <v>70.0</v>
      </c>
      <c r="D105" s="482" t="s">
        <v>913</v>
      </c>
      <c r="E105" s="482" t="s">
        <v>894</v>
      </c>
    </row>
    <row r="106" customFormat="1" s="36">
      <c r="A106" s="485" t="s">
        <v>1076</v>
      </c>
      <c r="B106" s="485" t="s">
        <v>1077</v>
      </c>
      <c r="C106" s="482">
        <v>0.0</v>
      </c>
      <c r="D106" s="482" t="s">
        <v>893</v>
      </c>
      <c r="E106" s="482" t="s">
        <v>894</v>
      </c>
    </row>
    <row r="107" customFormat="1" s="36">
      <c r="A107" s="485" t="s">
        <v>1078</v>
      </c>
      <c r="B107" s="485" t="s">
        <v>1079</v>
      </c>
      <c r="C107" s="482">
        <v>821.0</v>
      </c>
      <c r="D107" s="482" t="s">
        <v>913</v>
      </c>
      <c r="E107" s="482" t="s">
        <v>894</v>
      </c>
    </row>
    <row r="108" customFormat="1" s="36">
      <c r="A108" s="485" t="s">
        <v>1080</v>
      </c>
      <c r="B108" s="485" t="s">
        <v>1081</v>
      </c>
      <c r="C108" s="482">
        <v>12.0</v>
      </c>
      <c r="D108" s="482" t="s">
        <v>913</v>
      </c>
      <c r="E108" s="482" t="s">
        <v>894</v>
      </c>
    </row>
    <row r="109" customFormat="1" s="36">
      <c r="A109" s="485" t="s">
        <v>1082</v>
      </c>
      <c r="B109" s="485" t="s">
        <v>1083</v>
      </c>
      <c r="C109" s="482">
        <v>666.0</v>
      </c>
      <c r="D109" s="482" t="s">
        <v>913</v>
      </c>
      <c r="E109" s="482" t="s">
        <v>894</v>
      </c>
    </row>
    <row r="110" customFormat="1" s="36">
      <c r="A110" s="485" t="s">
        <v>1084</v>
      </c>
      <c r="B110" s="485" t="s">
        <v>1085</v>
      </c>
      <c r="C110" s="482">
        <v>809.0</v>
      </c>
      <c r="D110" s="482" t="s">
        <v>913</v>
      </c>
      <c r="E110" s="482" t="s">
        <v>894</v>
      </c>
    </row>
    <row r="111" customFormat="1" s="36">
      <c r="A111" s="485" t="s">
        <v>1086</v>
      </c>
      <c r="B111" s="485" t="s">
        <v>1087</v>
      </c>
      <c r="C111" s="482">
        <v>648.0</v>
      </c>
      <c r="D111" s="482" t="s">
        <v>913</v>
      </c>
      <c r="E111" s="482" t="s">
        <v>894</v>
      </c>
    </row>
    <row r="112" customFormat="1" s="36">
      <c r="A112" s="485" t="s">
        <v>1088</v>
      </c>
      <c r="B112" s="485" t="s">
        <v>1089</v>
      </c>
      <c r="C112" s="482">
        <v>0.0</v>
      </c>
      <c r="D112" s="482" t="s">
        <v>893</v>
      </c>
      <c r="E112" s="482" t="s">
        <v>894</v>
      </c>
    </row>
    <row r="113" customFormat="1" s="36">
      <c r="A113" s="485" t="s">
        <v>1090</v>
      </c>
      <c r="B113" s="485" t="s">
        <v>1091</v>
      </c>
      <c r="C113" s="482">
        <v>0.0</v>
      </c>
      <c r="D113" s="482" t="s">
        <v>893</v>
      </c>
      <c r="E113" s="482" t="s">
        <v>894</v>
      </c>
    </row>
    <row r="114" customFormat="1" s="36">
      <c r="A114" s="485" t="s">
        <v>1092</v>
      </c>
      <c r="B114" s="485" t="s">
        <v>1093</v>
      </c>
      <c r="C114" s="482">
        <v>0.0</v>
      </c>
      <c r="D114" s="482" t="s">
        <v>913</v>
      </c>
      <c r="E114" s="482" t="s">
        <v>894</v>
      </c>
    </row>
    <row r="115" customFormat="1" s="36">
      <c r="A115" s="485" t="s">
        <v>1094</v>
      </c>
      <c r="B115" s="485" t="s">
        <v>1095</v>
      </c>
      <c r="C115" s="482">
        <v>461.0</v>
      </c>
      <c r="D115" s="482" t="s">
        <v>913</v>
      </c>
      <c r="E115" s="482" t="s">
        <v>894</v>
      </c>
    </row>
    <row r="116" customFormat="1" s="36">
      <c r="A116" s="485" t="s">
        <v>1096</v>
      </c>
      <c r="B116" s="485" t="s">
        <v>1097</v>
      </c>
      <c r="C116" s="482">
        <v>186.0</v>
      </c>
      <c r="D116" s="482" t="s">
        <v>913</v>
      </c>
      <c r="E116" s="482" t="s">
        <v>894</v>
      </c>
    </row>
    <row r="117" customFormat="1" s="36">
      <c r="A117" s="485" t="s">
        <v>1098</v>
      </c>
      <c r="B117" s="485" t="s">
        <v>1099</v>
      </c>
      <c r="C117" s="482">
        <v>84.0</v>
      </c>
      <c r="D117" s="482" t="s">
        <v>913</v>
      </c>
      <c r="E117" s="482" t="s">
        <v>894</v>
      </c>
    </row>
    <row r="118" customFormat="1" s="36">
      <c r="A118" s="485" t="s">
        <v>1100</v>
      </c>
      <c r="B118" s="485" t="s">
        <v>1101</v>
      </c>
      <c r="C118" s="482">
        <v>120.0</v>
      </c>
      <c r="D118" s="482" t="s">
        <v>913</v>
      </c>
      <c r="E118" s="482" t="s">
        <v>894</v>
      </c>
    </row>
    <row r="119" customFormat="1" s="36">
      <c r="A119" s="485" t="s">
        <v>1102</v>
      </c>
      <c r="B119" s="485" t="s">
        <v>1103</v>
      </c>
      <c r="C119" s="482">
        <v>0.0</v>
      </c>
      <c r="D119" s="482" t="s">
        <v>893</v>
      </c>
      <c r="E119" s="482" t="s">
        <v>894</v>
      </c>
    </row>
    <row r="120" customFormat="1" s="36">
      <c r="A120" s="485">
        <v>94319.0</v>
      </c>
      <c r="B120" s="485" t="s">
        <v>1104</v>
      </c>
      <c r="C120" s="482">
        <v>0.0</v>
      </c>
      <c r="D120" s="482" t="s">
        <v>893</v>
      </c>
      <c r="E120" s="482" t="s">
        <v>894</v>
      </c>
    </row>
    <row r="121" customFormat="1" s="36">
      <c r="A121" s="485">
        <v>94317.0</v>
      </c>
      <c r="B121" s="485" t="s">
        <v>1105</v>
      </c>
      <c r="C121" s="482">
        <v>0.0</v>
      </c>
      <c r="D121" s="482" t="s">
        <v>893</v>
      </c>
      <c r="E121" s="482" t="s">
        <v>894</v>
      </c>
    </row>
    <row r="122" customFormat="1" s="36">
      <c r="A122" s="485">
        <v>94318.0</v>
      </c>
      <c r="B122" s="485" t="s">
        <v>1106</v>
      </c>
      <c r="C122" s="482">
        <v>0.0</v>
      </c>
      <c r="D122" s="482" t="s">
        <v>893</v>
      </c>
      <c r="E122" s="482" t="s">
        <v>894</v>
      </c>
    </row>
    <row r="123" customFormat="1" s="36">
      <c r="A123" s="485" t="s">
        <v>1107</v>
      </c>
      <c r="B123" s="485" t="s">
        <v>1108</v>
      </c>
      <c r="C123" s="482">
        <v>0.0</v>
      </c>
      <c r="D123" s="482" t="s">
        <v>893</v>
      </c>
      <c r="E123" s="482" t="s">
        <v>894</v>
      </c>
    </row>
    <row r="124" customFormat="1" s="36">
      <c r="A124" s="485" t="s">
        <v>1109</v>
      </c>
      <c r="B124" s="485" t="s">
        <v>1110</v>
      </c>
      <c r="C124" s="482">
        <v>0.0</v>
      </c>
      <c r="D124" s="482" t="s">
        <v>893</v>
      </c>
      <c r="E124" s="482" t="s">
        <v>894</v>
      </c>
    </row>
    <row r="125" customFormat="1" s="36">
      <c r="A125" s="485" t="s">
        <v>1111</v>
      </c>
      <c r="B125" s="485" t="s">
        <v>1112</v>
      </c>
      <c r="C125" s="482">
        <v>0.0</v>
      </c>
      <c r="D125" s="482" t="s">
        <v>893</v>
      </c>
      <c r="E125" s="482" t="s">
        <v>894</v>
      </c>
    </row>
    <row r="126" customFormat="1" s="36">
      <c r="A126" s="485" t="s">
        <v>1113</v>
      </c>
      <c r="B126" s="485" t="s">
        <v>1114</v>
      </c>
      <c r="C126" s="482">
        <v>0.0</v>
      </c>
      <c r="D126" s="482" t="s">
        <v>893</v>
      </c>
      <c r="E126" s="482" t="s">
        <v>894</v>
      </c>
    </row>
    <row r="127" customFormat="1" s="36">
      <c r="A127" s="485" t="s">
        <v>1115</v>
      </c>
      <c r="B127" s="485" t="s">
        <v>1116</v>
      </c>
      <c r="C127" s="482">
        <v>0.0</v>
      </c>
      <c r="D127" s="482" t="s">
        <v>893</v>
      </c>
      <c r="E127" s="482" t="s">
        <v>894</v>
      </c>
    </row>
    <row r="128" customFormat="1" s="36">
      <c r="A128" s="485" t="s">
        <v>1117</v>
      </c>
      <c r="B128" s="485" t="s">
        <v>1118</v>
      </c>
      <c r="C128" s="482">
        <v>0.0</v>
      </c>
      <c r="D128" s="482" t="s">
        <v>893</v>
      </c>
      <c r="E128" s="482" t="s">
        <v>894</v>
      </c>
    </row>
    <row r="129" customFormat="1" s="36">
      <c r="A129" s="485" t="s">
        <v>1119</v>
      </c>
      <c r="B129" s="485" t="s">
        <v>1120</v>
      </c>
      <c r="C129" s="482">
        <v>0.0</v>
      </c>
      <c r="D129" s="482" t="s">
        <v>893</v>
      </c>
      <c r="E129" s="482" t="s">
        <v>894</v>
      </c>
    </row>
    <row r="130" customFormat="1" s="36">
      <c r="A130" s="485" t="s">
        <v>1121</v>
      </c>
      <c r="B130" s="485" t="s">
        <v>1122</v>
      </c>
      <c r="C130" s="482">
        <v>0.0</v>
      </c>
      <c r="D130" s="482" t="s">
        <v>893</v>
      </c>
      <c r="E130" s="482" t="s">
        <v>894</v>
      </c>
    </row>
    <row r="131" customFormat="1" s="36">
      <c r="A131" s="485" t="s">
        <v>1123</v>
      </c>
      <c r="B131" s="485" t="s">
        <v>1124</v>
      </c>
      <c r="C131" s="482">
        <v>0.0</v>
      </c>
      <c r="D131" s="482" t="s">
        <v>893</v>
      </c>
      <c r="E131" s="482" t="s">
        <v>894</v>
      </c>
    </row>
    <row r="132" customFormat="1" s="36">
      <c r="A132" s="485" t="s">
        <v>1125</v>
      </c>
      <c r="B132" s="485" t="s">
        <v>1126</v>
      </c>
      <c r="C132" s="482">
        <v>0.0</v>
      </c>
      <c r="D132" s="482" t="s">
        <v>893</v>
      </c>
      <c r="E132" s="482" t="s">
        <v>894</v>
      </c>
    </row>
    <row r="133" customFormat="1" s="36">
      <c r="A133" s="485" t="s">
        <v>1127</v>
      </c>
      <c r="B133" s="485" t="s">
        <v>1128</v>
      </c>
      <c r="C133" s="482">
        <v>0.0</v>
      </c>
      <c r="D133" s="482" t="s">
        <v>893</v>
      </c>
      <c r="E133" s="482" t="s">
        <v>894</v>
      </c>
    </row>
    <row r="134" customFormat="1" s="36">
      <c r="A134" s="485" t="s">
        <v>463</v>
      </c>
      <c r="B134" s="485" t="s">
        <v>462</v>
      </c>
      <c r="C134" s="482">
        <v>184.0</v>
      </c>
      <c r="D134" s="482" t="s">
        <v>913</v>
      </c>
      <c r="E134" s="482" t="s">
        <v>1129</v>
      </c>
    </row>
    <row r="135" customFormat="1" s="36">
      <c r="A135" s="485" t="s">
        <v>1130</v>
      </c>
      <c r="B135" s="485" t="s">
        <v>1131</v>
      </c>
      <c r="C135" s="482">
        <v>0.0</v>
      </c>
      <c r="D135" s="482" t="s">
        <v>893</v>
      </c>
      <c r="E135" s="482" t="s">
        <v>894</v>
      </c>
    </row>
    <row r="136" customFormat="1" s="36">
      <c r="A136" s="485" t="s">
        <v>1132</v>
      </c>
      <c r="B136" s="485" t="s">
        <v>1133</v>
      </c>
      <c r="C136" s="482">
        <v>1.0</v>
      </c>
      <c r="D136" s="482" t="s">
        <v>913</v>
      </c>
      <c r="E136" s="482" t="s">
        <v>894</v>
      </c>
    </row>
    <row r="137" customFormat="1" s="36">
      <c r="A137" s="485" t="s">
        <v>1134</v>
      </c>
      <c r="B137" s="485" t="s">
        <v>1135</v>
      </c>
      <c r="C137" s="482">
        <v>0.0</v>
      </c>
      <c r="D137" s="482" t="s">
        <v>893</v>
      </c>
      <c r="E137" s="482" t="s">
        <v>894</v>
      </c>
    </row>
    <row r="138" customFormat="1" s="36">
      <c r="A138" s="485" t="s">
        <v>805</v>
      </c>
      <c r="B138" s="485" t="s">
        <v>804</v>
      </c>
      <c r="C138" s="482">
        <v>3.0</v>
      </c>
      <c r="D138" s="482" t="s">
        <v>913</v>
      </c>
      <c r="E138" s="482" t="s">
        <v>894</v>
      </c>
    </row>
    <row r="139" customFormat="1" s="36">
      <c r="A139" s="485" t="s">
        <v>1136</v>
      </c>
      <c r="B139" s="485" t="s">
        <v>1137</v>
      </c>
      <c r="C139" s="482">
        <v>0.0</v>
      </c>
      <c r="D139" s="482" t="s">
        <v>913</v>
      </c>
      <c r="E139" s="482" t="s">
        <v>894</v>
      </c>
    </row>
    <row r="140" customFormat="1" s="36">
      <c r="A140" s="485" t="s">
        <v>1138</v>
      </c>
      <c r="B140" s="485" t="s">
        <v>1139</v>
      </c>
      <c r="C140" s="482">
        <v>5.0</v>
      </c>
      <c r="D140" s="482" t="s">
        <v>913</v>
      </c>
      <c r="E140" s="482" t="s">
        <v>1140</v>
      </c>
    </row>
    <row r="141" customFormat="1" s="36">
      <c r="A141" s="485" t="s">
        <v>1141</v>
      </c>
      <c r="B141" s="485" t="s">
        <v>1142</v>
      </c>
      <c r="C141" s="482">
        <v>0.0</v>
      </c>
      <c r="D141" s="482" t="s">
        <v>893</v>
      </c>
      <c r="E141" s="482" t="s">
        <v>894</v>
      </c>
    </row>
    <row r="142" customFormat="1" s="36">
      <c r="A142" s="485" t="s">
        <v>1143</v>
      </c>
      <c r="B142" s="485" t="s">
        <v>1144</v>
      </c>
      <c r="C142" s="482">
        <v>0.0</v>
      </c>
      <c r="D142" s="482" t="s">
        <v>893</v>
      </c>
      <c r="E142" s="482" t="s">
        <v>894</v>
      </c>
    </row>
    <row r="143" customFormat="1" s="36">
      <c r="A143" s="485" t="s">
        <v>1145</v>
      </c>
      <c r="B143" s="485" t="s">
        <v>1146</v>
      </c>
      <c r="C143" s="482">
        <v>0.0</v>
      </c>
      <c r="D143" s="482" t="s">
        <v>893</v>
      </c>
      <c r="E143" s="482" t="s">
        <v>894</v>
      </c>
    </row>
    <row r="144" customFormat="1" s="36">
      <c r="A144" s="485" t="s">
        <v>1147</v>
      </c>
      <c r="B144" s="485" t="s">
        <v>1148</v>
      </c>
      <c r="C144" s="482">
        <v>0.0</v>
      </c>
      <c r="D144" s="482" t="s">
        <v>893</v>
      </c>
      <c r="E144" s="482" t="s">
        <v>894</v>
      </c>
    </row>
    <row r="145" customFormat="1" s="36">
      <c r="A145" s="485" t="s">
        <v>1149</v>
      </c>
      <c r="B145" s="485" t="s">
        <v>1150</v>
      </c>
      <c r="C145" s="482">
        <v>0.0</v>
      </c>
      <c r="D145" s="482" t="s">
        <v>893</v>
      </c>
      <c r="E145" s="482" t="s">
        <v>894</v>
      </c>
    </row>
    <row r="146" customFormat="1" s="36">
      <c r="A146" s="485" t="s">
        <v>1151</v>
      </c>
      <c r="B146" s="485" t="s">
        <v>1152</v>
      </c>
      <c r="C146" s="482">
        <v>0.0</v>
      </c>
      <c r="D146" s="482" t="s">
        <v>893</v>
      </c>
      <c r="E146" s="482" t="s">
        <v>894</v>
      </c>
    </row>
    <row r="147" customFormat="1" s="36">
      <c r="A147" s="485" t="s">
        <v>1153</v>
      </c>
      <c r="B147" s="485" t="s">
        <v>1154</v>
      </c>
      <c r="C147" s="482">
        <v>0.0</v>
      </c>
      <c r="D147" s="482" t="s">
        <v>893</v>
      </c>
      <c r="E147" s="482" t="s">
        <v>894</v>
      </c>
    </row>
    <row r="148" customFormat="1" s="36">
      <c r="A148" s="485" t="s">
        <v>1155</v>
      </c>
      <c r="B148" s="485" t="s">
        <v>1156</v>
      </c>
      <c r="C148" s="482">
        <v>0.0</v>
      </c>
      <c r="D148" s="482" t="s">
        <v>893</v>
      </c>
      <c r="E148" s="482" t="s">
        <v>894</v>
      </c>
    </row>
    <row r="149" customFormat="1" s="36">
      <c r="A149" s="485" t="s">
        <v>1157</v>
      </c>
      <c r="B149" s="485" t="s">
        <v>1158</v>
      </c>
      <c r="C149" s="482">
        <v>0.0</v>
      </c>
      <c r="D149" s="482" t="s">
        <v>893</v>
      </c>
      <c r="E149" s="482" t="s">
        <v>894</v>
      </c>
    </row>
    <row r="150" customFormat="1" s="36">
      <c r="A150" s="485" t="s">
        <v>1159</v>
      </c>
      <c r="B150" s="485" t="s">
        <v>1160</v>
      </c>
      <c r="C150" s="482">
        <v>0.0</v>
      </c>
      <c r="D150" s="482" t="s">
        <v>893</v>
      </c>
      <c r="E150" s="482" t="s">
        <v>894</v>
      </c>
    </row>
    <row r="151" customFormat="1" s="36">
      <c r="A151" s="485" t="s">
        <v>1161</v>
      </c>
      <c r="B151" s="485" t="s">
        <v>1162</v>
      </c>
      <c r="C151" s="482">
        <v>0.0</v>
      </c>
      <c r="D151" s="482" t="s">
        <v>893</v>
      </c>
      <c r="E151" s="482" t="s">
        <v>894</v>
      </c>
    </row>
    <row r="152" customFormat="1" s="36">
      <c r="A152" s="485" t="s">
        <v>1163</v>
      </c>
      <c r="B152" s="485" t="s">
        <v>1164</v>
      </c>
      <c r="C152" s="482">
        <v>0.0</v>
      </c>
      <c r="D152" s="482" t="s">
        <v>893</v>
      </c>
      <c r="E152" s="482" t="s">
        <v>894</v>
      </c>
    </row>
    <row r="153" customFormat="1" s="36">
      <c r="A153" s="485" t="s">
        <v>1165</v>
      </c>
      <c r="B153" s="485" t="s">
        <v>1166</v>
      </c>
      <c r="C153" s="482">
        <v>0.0</v>
      </c>
      <c r="D153" s="482" t="s">
        <v>893</v>
      </c>
      <c r="E153" s="482" t="s">
        <v>894</v>
      </c>
    </row>
    <row r="154" customFormat="1" s="36">
      <c r="A154" s="485" t="s">
        <v>1167</v>
      </c>
      <c r="B154" s="485" t="s">
        <v>1168</v>
      </c>
      <c r="C154" s="482">
        <v>0.0</v>
      </c>
      <c r="D154" s="482" t="s">
        <v>893</v>
      </c>
      <c r="E154" s="482" t="s">
        <v>894</v>
      </c>
    </row>
    <row r="155" customFormat="1" s="36">
      <c r="A155" s="485" t="s">
        <v>1169</v>
      </c>
      <c r="B155" s="485" t="s">
        <v>1170</v>
      </c>
      <c r="C155" s="482">
        <v>0.0</v>
      </c>
      <c r="D155" s="482" t="s">
        <v>893</v>
      </c>
      <c r="E155" s="482" t="s">
        <v>894</v>
      </c>
    </row>
    <row r="156" customFormat="1" s="36">
      <c r="A156" s="485" t="s">
        <v>1171</v>
      </c>
      <c r="B156" s="485" t="s">
        <v>1172</v>
      </c>
      <c r="C156" s="482">
        <v>0.0</v>
      </c>
      <c r="D156" s="482" t="s">
        <v>893</v>
      </c>
      <c r="E156" s="482" t="s">
        <v>894</v>
      </c>
    </row>
    <row r="157" customFormat="1" s="36">
      <c r="A157" s="485" t="s">
        <v>1173</v>
      </c>
      <c r="B157" s="485" t="s">
        <v>1174</v>
      </c>
      <c r="C157" s="482">
        <v>0.0</v>
      </c>
      <c r="D157" s="482" t="s">
        <v>893</v>
      </c>
      <c r="E157" s="482" t="s">
        <v>894</v>
      </c>
    </row>
    <row r="158" customFormat="1" s="36">
      <c r="A158" s="485" t="s">
        <v>1175</v>
      </c>
      <c r="B158" s="485" t="s">
        <v>1176</v>
      </c>
      <c r="C158" s="482">
        <v>0.0</v>
      </c>
      <c r="D158" s="482" t="s">
        <v>893</v>
      </c>
      <c r="E158" s="482" t="s">
        <v>894</v>
      </c>
    </row>
    <row r="159" customFormat="1" s="36">
      <c r="A159" s="485" t="s">
        <v>1177</v>
      </c>
      <c r="B159" s="485" t="s">
        <v>1178</v>
      </c>
      <c r="C159" s="482">
        <v>2.0</v>
      </c>
      <c r="D159" s="482" t="s">
        <v>913</v>
      </c>
      <c r="E159" s="482" t="s">
        <v>894</v>
      </c>
    </row>
    <row r="160" customFormat="1" s="36">
      <c r="A160" s="485" t="s">
        <v>1179</v>
      </c>
      <c r="B160" s="485" t="s">
        <v>1180</v>
      </c>
      <c r="C160" s="482">
        <v>17.0</v>
      </c>
      <c r="D160" s="482" t="s">
        <v>913</v>
      </c>
      <c r="E160" s="482" t="s">
        <v>1140</v>
      </c>
    </row>
    <row r="161" customFormat="1" s="36">
      <c r="A161" s="485" t="s">
        <v>1181</v>
      </c>
      <c r="B161" s="485" t="s">
        <v>1182</v>
      </c>
      <c r="C161" s="482">
        <v>0.0</v>
      </c>
      <c r="D161" s="482" t="s">
        <v>893</v>
      </c>
      <c r="E161" s="482" t="s">
        <v>894</v>
      </c>
    </row>
    <row r="162" customFormat="1" s="36">
      <c r="A162" s="485" t="s">
        <v>1183</v>
      </c>
      <c r="B162" s="485" t="s">
        <v>1184</v>
      </c>
      <c r="C162" s="482">
        <v>0.0</v>
      </c>
      <c r="D162" s="482" t="s">
        <v>893</v>
      </c>
      <c r="E162" s="482" t="s">
        <v>894</v>
      </c>
    </row>
    <row r="163" customFormat="1" s="36">
      <c r="A163" s="485" t="s">
        <v>1185</v>
      </c>
      <c r="B163" s="485" t="s">
        <v>1186</v>
      </c>
      <c r="C163" s="482">
        <v>0.0</v>
      </c>
      <c r="D163" s="482" t="s">
        <v>893</v>
      </c>
      <c r="E163" s="482" t="s">
        <v>894</v>
      </c>
    </row>
    <row r="164" customFormat="1" s="36">
      <c r="A164" s="485" t="s">
        <v>1187</v>
      </c>
      <c r="B164" s="485" t="s">
        <v>1188</v>
      </c>
      <c r="C164" s="482">
        <v>0.0</v>
      </c>
      <c r="D164" s="482" t="s">
        <v>893</v>
      </c>
      <c r="E164" s="482" t="s">
        <v>894</v>
      </c>
    </row>
    <row r="165" customFormat="1" s="36">
      <c r="A165" s="485" t="s">
        <v>1189</v>
      </c>
      <c r="B165" s="485" t="s">
        <v>1190</v>
      </c>
      <c r="C165" s="482">
        <v>0.0</v>
      </c>
      <c r="D165" s="482" t="s">
        <v>893</v>
      </c>
      <c r="E165" s="482" t="s">
        <v>894</v>
      </c>
    </row>
    <row r="166" customFormat="1" s="36">
      <c r="A166" s="485" t="s">
        <v>1191</v>
      </c>
      <c r="B166" s="485" t="s">
        <v>1192</v>
      </c>
      <c r="C166" s="482">
        <v>0.0</v>
      </c>
      <c r="D166" s="482" t="s">
        <v>893</v>
      </c>
      <c r="E166" s="482" t="s">
        <v>894</v>
      </c>
    </row>
    <row r="167" customFormat="1" s="36">
      <c r="A167" s="485" t="s">
        <v>1193</v>
      </c>
      <c r="B167" s="485" t="s">
        <v>1194</v>
      </c>
      <c r="C167" s="482">
        <v>0.0</v>
      </c>
      <c r="D167" s="482" t="s">
        <v>893</v>
      </c>
      <c r="E167" s="482" t="s">
        <v>894</v>
      </c>
    </row>
    <row r="168" customFormat="1" s="36">
      <c r="A168" s="485" t="s">
        <v>1195</v>
      </c>
      <c r="B168" s="485" t="s">
        <v>1196</v>
      </c>
      <c r="C168" s="482">
        <v>0.0</v>
      </c>
      <c r="D168" s="482" t="s">
        <v>893</v>
      </c>
      <c r="E168" s="482" t="s">
        <v>894</v>
      </c>
    </row>
    <row r="169" customFormat="1" s="36">
      <c r="A169" s="485" t="s">
        <v>1197</v>
      </c>
      <c r="B169" s="485" t="s">
        <v>1198</v>
      </c>
      <c r="C169" s="482">
        <v>0.0</v>
      </c>
      <c r="D169" s="482" t="s">
        <v>893</v>
      </c>
      <c r="E169" s="482" t="s">
        <v>894</v>
      </c>
    </row>
    <row r="170" customFormat="1" s="36">
      <c r="A170" s="485" t="s">
        <v>1199</v>
      </c>
      <c r="B170" s="485" t="s">
        <v>1200</v>
      </c>
      <c r="C170" s="482">
        <v>0.0</v>
      </c>
      <c r="D170" s="482" t="s">
        <v>893</v>
      </c>
      <c r="E170" s="482" t="s">
        <v>894</v>
      </c>
    </row>
    <row r="171" customFormat="1" s="36">
      <c r="A171" s="485" t="s">
        <v>1201</v>
      </c>
      <c r="B171" s="485" t="s">
        <v>1202</v>
      </c>
      <c r="C171" s="482">
        <v>0.0</v>
      </c>
      <c r="D171" s="482" t="s">
        <v>893</v>
      </c>
      <c r="E171" s="482" t="s">
        <v>894</v>
      </c>
    </row>
    <row r="172" customFormat="1" s="36">
      <c r="A172" s="485" t="s">
        <v>1203</v>
      </c>
      <c r="B172" s="485" t="s">
        <v>1204</v>
      </c>
      <c r="C172" s="482">
        <v>0.0</v>
      </c>
      <c r="D172" s="482" t="s">
        <v>893</v>
      </c>
      <c r="E172" s="482" t="s">
        <v>894</v>
      </c>
    </row>
    <row r="173" customFormat="1" s="36">
      <c r="A173" s="485" t="s">
        <v>1205</v>
      </c>
      <c r="B173" s="485" t="s">
        <v>1206</v>
      </c>
      <c r="C173" s="482">
        <v>0.0</v>
      </c>
      <c r="D173" s="482" t="s">
        <v>893</v>
      </c>
      <c r="E173" s="482" t="s">
        <v>894</v>
      </c>
    </row>
    <row r="174" customFormat="1" s="36">
      <c r="A174" s="485" t="s">
        <v>1207</v>
      </c>
      <c r="B174" s="485" t="s">
        <v>1208</v>
      </c>
      <c r="C174" s="482">
        <v>0.0</v>
      </c>
      <c r="D174" s="482" t="s">
        <v>893</v>
      </c>
      <c r="E174" s="482" t="s">
        <v>894</v>
      </c>
    </row>
    <row r="175" customFormat="1" s="36">
      <c r="A175" s="485" t="s">
        <v>1209</v>
      </c>
      <c r="B175" s="485" t="s">
        <v>1210</v>
      </c>
      <c r="C175" s="482">
        <v>0.0</v>
      </c>
      <c r="D175" s="482" t="s">
        <v>893</v>
      </c>
      <c r="E175" s="482" t="s">
        <v>894</v>
      </c>
    </row>
    <row r="176" customFormat="1" s="36">
      <c r="A176" s="485" t="s">
        <v>1211</v>
      </c>
      <c r="B176" s="485" t="s">
        <v>1212</v>
      </c>
      <c r="C176" s="482">
        <v>0.0</v>
      </c>
      <c r="D176" s="482" t="s">
        <v>893</v>
      </c>
      <c r="E176" s="482" t="s">
        <v>894</v>
      </c>
    </row>
    <row r="177" customFormat="1" s="36">
      <c r="A177" s="485" t="s">
        <v>1213</v>
      </c>
      <c r="B177" s="485" t="s">
        <v>1214</v>
      </c>
      <c r="C177" s="482">
        <v>0.0</v>
      </c>
      <c r="D177" s="482" t="s">
        <v>893</v>
      </c>
      <c r="E177" s="482" t="s">
        <v>894</v>
      </c>
    </row>
    <row r="178" customFormat="1" s="36">
      <c r="A178" s="485" t="s">
        <v>1215</v>
      </c>
      <c r="B178" s="485" t="s">
        <v>1216</v>
      </c>
      <c r="C178" s="482">
        <v>0.0</v>
      </c>
      <c r="D178" s="482" t="s">
        <v>893</v>
      </c>
      <c r="E178" s="482" t="s">
        <v>894</v>
      </c>
    </row>
    <row r="179" customFormat="1" s="36">
      <c r="A179" s="485" t="s">
        <v>1217</v>
      </c>
      <c r="B179" s="485" t="s">
        <v>1218</v>
      </c>
      <c r="C179" s="482">
        <v>0.0</v>
      </c>
      <c r="D179" s="482" t="s">
        <v>893</v>
      </c>
      <c r="E179" s="482" t="s">
        <v>894</v>
      </c>
    </row>
    <row r="180" customFormat="1" s="36">
      <c r="A180" s="485" t="s">
        <v>1219</v>
      </c>
      <c r="B180" s="485" t="s">
        <v>1220</v>
      </c>
      <c r="C180" s="482">
        <v>0.0</v>
      </c>
      <c r="D180" s="482" t="s">
        <v>893</v>
      </c>
      <c r="E180" s="482" t="s">
        <v>894</v>
      </c>
    </row>
    <row r="181" customFormat="1" s="36">
      <c r="A181" s="485" t="s">
        <v>1221</v>
      </c>
      <c r="B181" s="485" t="s">
        <v>1222</v>
      </c>
      <c r="C181" s="482">
        <v>0.0</v>
      </c>
      <c r="D181" s="482" t="s">
        <v>893</v>
      </c>
      <c r="E181" s="482" t="s">
        <v>894</v>
      </c>
    </row>
    <row r="182" customFormat="1" s="36">
      <c r="A182" s="485" t="s">
        <v>1223</v>
      </c>
      <c r="B182" s="485" t="s">
        <v>1224</v>
      </c>
      <c r="C182" s="482">
        <v>0.0</v>
      </c>
      <c r="D182" s="482" t="s">
        <v>893</v>
      </c>
      <c r="E182" s="482" t="s">
        <v>894</v>
      </c>
    </row>
    <row r="183" customFormat="1" s="36">
      <c r="A183" s="485" t="s">
        <v>1225</v>
      </c>
      <c r="B183" s="485" t="s">
        <v>1226</v>
      </c>
      <c r="C183" s="482">
        <v>0.0</v>
      </c>
      <c r="D183" s="482" t="s">
        <v>893</v>
      </c>
      <c r="E183" s="482" t="s">
        <v>894</v>
      </c>
    </row>
    <row r="184" customFormat="1" s="36">
      <c r="A184" s="485" t="s">
        <v>1227</v>
      </c>
      <c r="B184" s="485" t="s">
        <v>1228</v>
      </c>
      <c r="C184" s="482">
        <v>0.0</v>
      </c>
      <c r="D184" s="482" t="s">
        <v>893</v>
      </c>
      <c r="E184" s="482" t="s">
        <v>894</v>
      </c>
    </row>
    <row r="185" customFormat="1" s="36">
      <c r="A185" s="485" t="s">
        <v>1229</v>
      </c>
      <c r="B185" s="485" t="s">
        <v>1230</v>
      </c>
      <c r="C185" s="482">
        <v>0.0</v>
      </c>
      <c r="D185" s="482" t="s">
        <v>893</v>
      </c>
      <c r="E185" s="482" t="s">
        <v>894</v>
      </c>
    </row>
    <row r="186" customFormat="1" s="36">
      <c r="A186" s="485" t="s">
        <v>1231</v>
      </c>
      <c r="B186" s="485" t="s">
        <v>1232</v>
      </c>
      <c r="C186" s="482">
        <v>0.0</v>
      </c>
      <c r="D186" s="482" t="s">
        <v>893</v>
      </c>
      <c r="E186" s="482" t="s">
        <v>894</v>
      </c>
    </row>
    <row r="187" customFormat="1" s="36">
      <c r="A187" s="485" t="s">
        <v>1233</v>
      </c>
      <c r="B187" s="485" t="s">
        <v>1234</v>
      </c>
      <c r="C187" s="482">
        <v>0.0</v>
      </c>
      <c r="D187" s="482" t="s">
        <v>893</v>
      </c>
      <c r="E187" s="482" t="s">
        <v>894</v>
      </c>
    </row>
    <row r="188" customFormat="1" s="36">
      <c r="A188" s="485" t="s">
        <v>1235</v>
      </c>
      <c r="B188" s="485" t="s">
        <v>1236</v>
      </c>
      <c r="C188" s="482">
        <v>0.0</v>
      </c>
      <c r="D188" s="482" t="s">
        <v>893</v>
      </c>
      <c r="E188" s="482" t="s">
        <v>894</v>
      </c>
    </row>
    <row r="189" customFormat="1" s="36">
      <c r="A189" s="485" t="s">
        <v>1237</v>
      </c>
      <c r="B189" s="485" t="s">
        <v>1238</v>
      </c>
      <c r="C189" s="482">
        <v>0.0</v>
      </c>
      <c r="D189" s="482" t="s">
        <v>893</v>
      </c>
      <c r="E189" s="482" t="s">
        <v>894</v>
      </c>
    </row>
    <row r="190" customFormat="1" s="36">
      <c r="A190" s="485" t="s">
        <v>1239</v>
      </c>
      <c r="B190" s="485" t="s">
        <v>1240</v>
      </c>
      <c r="C190" s="482">
        <v>0.0</v>
      </c>
      <c r="D190" s="482" t="s">
        <v>893</v>
      </c>
      <c r="E190" s="482" t="s">
        <v>894</v>
      </c>
    </row>
    <row r="191" customFormat="1" s="36">
      <c r="A191" s="485" t="s">
        <v>1241</v>
      </c>
      <c r="B191" s="485" t="s">
        <v>1242</v>
      </c>
      <c r="C191" s="482">
        <v>0.0</v>
      </c>
      <c r="D191" s="482" t="s">
        <v>893</v>
      </c>
      <c r="E191" s="482" t="s">
        <v>894</v>
      </c>
    </row>
    <row r="192" customFormat="1" s="36">
      <c r="A192" s="485" t="s">
        <v>1243</v>
      </c>
      <c r="B192" s="485" t="s">
        <v>1244</v>
      </c>
      <c r="C192" s="482">
        <v>0.0</v>
      </c>
      <c r="D192" s="482" t="s">
        <v>893</v>
      </c>
      <c r="E192" s="482" t="s">
        <v>894</v>
      </c>
    </row>
    <row r="193" customFormat="1" s="36">
      <c r="A193" s="485" t="s">
        <v>1245</v>
      </c>
      <c r="B193" s="485" t="s">
        <v>1246</v>
      </c>
      <c r="C193" s="482">
        <v>0.0</v>
      </c>
      <c r="D193" s="482" t="s">
        <v>893</v>
      </c>
      <c r="E193" s="482" t="s">
        <v>894</v>
      </c>
    </row>
    <row r="194" customFormat="1" s="36">
      <c r="A194" s="485" t="s">
        <v>694</v>
      </c>
      <c r="B194" s="485" t="s">
        <v>693</v>
      </c>
      <c r="C194" s="482">
        <v>2.0</v>
      </c>
      <c r="D194" s="482" t="s">
        <v>913</v>
      </c>
      <c r="E194" s="482" t="s">
        <v>894</v>
      </c>
    </row>
    <row r="195" customFormat="1" s="36">
      <c r="A195" s="485" t="s">
        <v>1247</v>
      </c>
      <c r="B195" s="485" t="s">
        <v>1248</v>
      </c>
      <c r="C195" s="482">
        <v>0.0</v>
      </c>
      <c r="D195" s="482" t="s">
        <v>893</v>
      </c>
      <c r="E195" s="482" t="s">
        <v>894</v>
      </c>
    </row>
    <row r="196" customFormat="1" s="36">
      <c r="A196" s="485" t="s">
        <v>1249</v>
      </c>
      <c r="B196" s="485" t="s">
        <v>1250</v>
      </c>
      <c r="C196" s="482">
        <v>0.0</v>
      </c>
      <c r="D196" s="482" t="s">
        <v>893</v>
      </c>
      <c r="E196" s="482" t="s">
        <v>894</v>
      </c>
    </row>
    <row r="197" customFormat="1" s="36">
      <c r="A197" s="485" t="s">
        <v>1251</v>
      </c>
      <c r="B197" s="485" t="s">
        <v>1252</v>
      </c>
      <c r="C197" s="482">
        <v>0.0</v>
      </c>
      <c r="D197" s="482" t="s">
        <v>893</v>
      </c>
      <c r="E197" s="482" t="s">
        <v>894</v>
      </c>
    </row>
    <row r="198" customFormat="1" s="36">
      <c r="A198" s="485" t="s">
        <v>1253</v>
      </c>
      <c r="B198" s="485" t="s">
        <v>1254</v>
      </c>
      <c r="C198" s="482">
        <v>0.0</v>
      </c>
      <c r="D198" s="482" t="s">
        <v>893</v>
      </c>
      <c r="E198" s="482" t="s">
        <v>894</v>
      </c>
    </row>
    <row r="199" customFormat="1" s="36">
      <c r="A199" s="485" t="s">
        <v>1255</v>
      </c>
      <c r="B199" s="485" t="s">
        <v>1256</v>
      </c>
      <c r="C199" s="482">
        <v>0.0</v>
      </c>
      <c r="D199" s="482" t="s">
        <v>893</v>
      </c>
      <c r="E199" s="482" t="s">
        <v>894</v>
      </c>
    </row>
    <row r="200" customFormat="1" s="36">
      <c r="A200" s="485" t="s">
        <v>1257</v>
      </c>
      <c r="B200" s="485" t="s">
        <v>1258</v>
      </c>
      <c r="C200" s="482">
        <v>0.0</v>
      </c>
      <c r="D200" s="482" t="s">
        <v>893</v>
      </c>
      <c r="E200" s="482" t="s">
        <v>894</v>
      </c>
    </row>
    <row r="201" customFormat="1" s="36">
      <c r="A201" s="485" t="s">
        <v>1259</v>
      </c>
      <c r="B201" s="485" t="s">
        <v>1260</v>
      </c>
      <c r="C201" s="482">
        <v>0.0</v>
      </c>
      <c r="D201" s="482" t="s">
        <v>893</v>
      </c>
      <c r="E201" s="482" t="s">
        <v>894</v>
      </c>
    </row>
    <row r="202" customFormat="1" s="36">
      <c r="A202" s="485" t="s">
        <v>1261</v>
      </c>
      <c r="B202" s="485" t="s">
        <v>1262</v>
      </c>
      <c r="C202" s="482">
        <v>0.0</v>
      </c>
      <c r="D202" s="482" t="s">
        <v>893</v>
      </c>
      <c r="E202" s="482" t="s">
        <v>894</v>
      </c>
    </row>
    <row r="203" customFormat="1" s="36">
      <c r="A203" s="485" t="s">
        <v>1263</v>
      </c>
      <c r="B203" s="485" t="s">
        <v>1264</v>
      </c>
      <c r="C203" s="482">
        <v>0.0</v>
      </c>
      <c r="D203" s="482" t="s">
        <v>893</v>
      </c>
      <c r="E203" s="482" t="s">
        <v>894</v>
      </c>
    </row>
    <row r="204" customFormat="1" s="36">
      <c r="A204" s="485" t="s">
        <v>1265</v>
      </c>
      <c r="B204" s="485" t="s">
        <v>1266</v>
      </c>
      <c r="C204" s="482">
        <v>0.0</v>
      </c>
      <c r="D204" s="482" t="s">
        <v>893</v>
      </c>
      <c r="E204" s="482" t="s">
        <v>894</v>
      </c>
    </row>
    <row r="205" customFormat="1" s="36">
      <c r="A205" s="485" t="s">
        <v>1267</v>
      </c>
      <c r="B205" s="485" t="s">
        <v>1268</v>
      </c>
      <c r="C205" s="482">
        <v>0.0</v>
      </c>
      <c r="D205" s="482" t="s">
        <v>893</v>
      </c>
      <c r="E205" s="482" t="s">
        <v>894</v>
      </c>
    </row>
    <row r="206" customFormat="1" s="36">
      <c r="A206" s="485" t="s">
        <v>1269</v>
      </c>
      <c r="B206" s="485" t="s">
        <v>1270</v>
      </c>
      <c r="C206" s="482">
        <v>0.0</v>
      </c>
      <c r="D206" s="482" t="s">
        <v>893</v>
      </c>
      <c r="E206" s="482" t="s">
        <v>894</v>
      </c>
    </row>
    <row r="207" customFormat="1" s="36">
      <c r="A207" s="485" t="s">
        <v>1271</v>
      </c>
      <c r="B207" s="485" t="s">
        <v>1272</v>
      </c>
      <c r="C207" s="482">
        <v>0.0</v>
      </c>
      <c r="D207" s="482" t="s">
        <v>893</v>
      </c>
      <c r="E207" s="482" t="s">
        <v>894</v>
      </c>
    </row>
    <row r="208" customFormat="1" s="36">
      <c r="A208" s="485" t="s">
        <v>1273</v>
      </c>
      <c r="B208" s="485" t="s">
        <v>1274</v>
      </c>
      <c r="C208" s="482">
        <v>0.0</v>
      </c>
      <c r="D208" s="482" t="s">
        <v>893</v>
      </c>
      <c r="E208" s="482" t="s">
        <v>894</v>
      </c>
    </row>
    <row r="209" customFormat="1" s="36">
      <c r="A209" s="485" t="s">
        <v>1275</v>
      </c>
      <c r="B209" s="485" t="s">
        <v>1276</v>
      </c>
      <c r="C209" s="482">
        <v>0.0</v>
      </c>
      <c r="D209" s="482" t="s">
        <v>893</v>
      </c>
      <c r="E209" s="482" t="s">
        <v>894</v>
      </c>
    </row>
    <row r="210" customFormat="1" s="36">
      <c r="A210" s="485" t="s">
        <v>1277</v>
      </c>
      <c r="B210" s="485" t="s">
        <v>1278</v>
      </c>
      <c r="C210" s="482">
        <v>0.0</v>
      </c>
      <c r="D210" s="482" t="s">
        <v>893</v>
      </c>
      <c r="E210" s="482" t="s">
        <v>894</v>
      </c>
    </row>
    <row r="211" customFormat="1" s="36">
      <c r="A211" s="485" t="s">
        <v>1279</v>
      </c>
      <c r="B211" s="485" t="s">
        <v>1280</v>
      </c>
      <c r="C211" s="482">
        <v>0.0</v>
      </c>
      <c r="D211" s="482" t="s">
        <v>893</v>
      </c>
      <c r="E211" s="482" t="s">
        <v>894</v>
      </c>
    </row>
    <row r="212" customFormat="1" s="36">
      <c r="A212" s="485" t="s">
        <v>1281</v>
      </c>
      <c r="B212" s="485" t="s">
        <v>1282</v>
      </c>
      <c r="C212" s="482">
        <v>0.0</v>
      </c>
      <c r="D212" s="482" t="s">
        <v>893</v>
      </c>
      <c r="E212" s="482" t="s">
        <v>894</v>
      </c>
    </row>
    <row r="213" customFormat="1" s="36">
      <c r="A213" s="485" t="s">
        <v>1283</v>
      </c>
      <c r="B213" s="485" t="s">
        <v>1284</v>
      </c>
      <c r="C213" s="482">
        <v>0.0</v>
      </c>
      <c r="D213" s="482" t="s">
        <v>893</v>
      </c>
      <c r="E213" s="482" t="s">
        <v>894</v>
      </c>
    </row>
    <row r="214" customFormat="1" s="36">
      <c r="A214" s="485" t="s">
        <v>1285</v>
      </c>
      <c r="B214" s="485" t="s">
        <v>1286</v>
      </c>
      <c r="C214" s="482">
        <v>0.0</v>
      </c>
      <c r="D214" s="482" t="s">
        <v>893</v>
      </c>
      <c r="E214" s="482" t="s">
        <v>894</v>
      </c>
    </row>
    <row r="215" customFormat="1" s="36">
      <c r="A215" s="485" t="s">
        <v>1287</v>
      </c>
      <c r="B215" s="485" t="s">
        <v>1288</v>
      </c>
      <c r="C215" s="482">
        <v>0.0</v>
      </c>
      <c r="D215" s="482" t="s">
        <v>893</v>
      </c>
      <c r="E215" s="482" t="s">
        <v>894</v>
      </c>
    </row>
    <row r="216" customFormat="1" s="36">
      <c r="A216" s="485" t="s">
        <v>1289</v>
      </c>
      <c r="B216" s="485" t="s">
        <v>1290</v>
      </c>
      <c r="C216" s="482">
        <v>0.0</v>
      </c>
      <c r="D216" s="482" t="s">
        <v>893</v>
      </c>
      <c r="E216" s="482" t="s">
        <v>894</v>
      </c>
    </row>
    <row r="217" customFormat="1" s="36">
      <c r="A217" s="485" t="s">
        <v>1291</v>
      </c>
      <c r="B217" s="485" t="s">
        <v>1292</v>
      </c>
      <c r="C217" s="482">
        <v>0.0</v>
      </c>
      <c r="D217" s="482" t="s">
        <v>893</v>
      </c>
      <c r="E217" s="482" t="s">
        <v>894</v>
      </c>
    </row>
    <row r="218" customFormat="1" s="36">
      <c r="A218" s="485" t="s">
        <v>1293</v>
      </c>
      <c r="B218" s="485" t="s">
        <v>1294</v>
      </c>
      <c r="C218" s="482">
        <v>0.0</v>
      </c>
      <c r="D218" s="482" t="s">
        <v>893</v>
      </c>
      <c r="E218" s="482" t="s">
        <v>894</v>
      </c>
    </row>
    <row r="219" customFormat="1" s="36">
      <c r="A219" s="485" t="s">
        <v>1295</v>
      </c>
      <c r="B219" s="485" t="s">
        <v>1296</v>
      </c>
      <c r="C219" s="482">
        <v>0.0</v>
      </c>
      <c r="D219" s="482" t="s">
        <v>893</v>
      </c>
      <c r="E219" s="482" t="s">
        <v>894</v>
      </c>
    </row>
    <row r="220" customFormat="1" s="36">
      <c r="A220" s="485" t="s">
        <v>1297</v>
      </c>
      <c r="B220" s="485" t="s">
        <v>1298</v>
      </c>
      <c r="C220" s="482">
        <v>0.0</v>
      </c>
      <c r="D220" s="482" t="s">
        <v>893</v>
      </c>
      <c r="E220" s="482" t="s">
        <v>894</v>
      </c>
    </row>
    <row r="221" customFormat="1" s="36">
      <c r="A221" s="485" t="s">
        <v>1299</v>
      </c>
      <c r="B221" s="485" t="s">
        <v>1300</v>
      </c>
      <c r="C221" s="482">
        <v>0.0</v>
      </c>
      <c r="D221" s="482" t="s">
        <v>893</v>
      </c>
      <c r="E221" s="482" t="s">
        <v>894</v>
      </c>
    </row>
    <row r="222" customFormat="1" s="36">
      <c r="A222" s="485" t="s">
        <v>1301</v>
      </c>
      <c r="B222" s="485" t="s">
        <v>1302</v>
      </c>
      <c r="C222" s="482">
        <v>0.0</v>
      </c>
      <c r="D222" s="482" t="s">
        <v>893</v>
      </c>
      <c r="E222" s="482" t="s">
        <v>894</v>
      </c>
    </row>
    <row r="223" customFormat="1" s="36">
      <c r="A223" s="485" t="s">
        <v>1303</v>
      </c>
      <c r="B223" s="485" t="s">
        <v>1304</v>
      </c>
      <c r="C223" s="482">
        <v>0.0</v>
      </c>
      <c r="D223" s="482" t="s">
        <v>893</v>
      </c>
      <c r="E223" s="482" t="s">
        <v>894</v>
      </c>
    </row>
    <row r="224" customFormat="1" s="36">
      <c r="A224" s="485" t="s">
        <v>1305</v>
      </c>
      <c r="B224" s="485" t="s">
        <v>1306</v>
      </c>
      <c r="C224" s="482">
        <v>0.0</v>
      </c>
      <c r="D224" s="482" t="s">
        <v>893</v>
      </c>
      <c r="E224" s="482" t="s">
        <v>894</v>
      </c>
    </row>
    <row r="225" customFormat="1" s="36">
      <c r="A225" s="485" t="s">
        <v>1307</v>
      </c>
      <c r="B225" s="485" t="s">
        <v>1308</v>
      </c>
      <c r="C225" s="482">
        <v>0.0</v>
      </c>
      <c r="D225" s="482" t="s">
        <v>893</v>
      </c>
      <c r="E225" s="482" t="s">
        <v>894</v>
      </c>
    </row>
    <row r="226" customFormat="1" s="36">
      <c r="A226" s="485" t="s">
        <v>1309</v>
      </c>
      <c r="B226" s="485" t="s">
        <v>1310</v>
      </c>
      <c r="C226" s="482">
        <v>0.0</v>
      </c>
      <c r="D226" s="482" t="s">
        <v>893</v>
      </c>
      <c r="E226" s="482" t="s">
        <v>894</v>
      </c>
    </row>
    <row r="227" customFormat="1" s="36">
      <c r="A227" s="485" t="s">
        <v>1311</v>
      </c>
      <c r="B227" s="485" t="s">
        <v>1312</v>
      </c>
      <c r="C227" s="482">
        <v>0.0</v>
      </c>
      <c r="D227" s="482" t="s">
        <v>893</v>
      </c>
      <c r="E227" s="482" t="s">
        <v>894</v>
      </c>
    </row>
    <row r="228" customFormat="1" s="36">
      <c r="A228" s="485" t="s">
        <v>1313</v>
      </c>
      <c r="B228" s="485" t="s">
        <v>1314</v>
      </c>
      <c r="C228" s="482">
        <v>0.0</v>
      </c>
      <c r="D228" s="482" t="s">
        <v>893</v>
      </c>
      <c r="E228" s="482" t="s">
        <v>894</v>
      </c>
    </row>
    <row r="229" customFormat="1" s="36">
      <c r="A229" s="485" t="s">
        <v>1315</v>
      </c>
      <c r="B229" s="485" t="s">
        <v>1316</v>
      </c>
      <c r="C229" s="482">
        <v>0.0</v>
      </c>
      <c r="D229" s="482" t="s">
        <v>893</v>
      </c>
      <c r="E229" s="482" t="s">
        <v>894</v>
      </c>
    </row>
    <row r="230" customFormat="1" s="36">
      <c r="A230" s="485" t="s">
        <v>1317</v>
      </c>
      <c r="B230" s="485" t="s">
        <v>1318</v>
      </c>
      <c r="C230" s="482">
        <v>0.0</v>
      </c>
      <c r="D230" s="482" t="s">
        <v>893</v>
      </c>
      <c r="E230" s="482" t="s">
        <v>894</v>
      </c>
    </row>
    <row r="231" customFormat="1" s="36">
      <c r="A231" s="485" t="s">
        <v>1319</v>
      </c>
      <c r="B231" s="485" t="s">
        <v>1320</v>
      </c>
      <c r="C231" s="482">
        <v>0.0</v>
      </c>
      <c r="D231" s="482" t="s">
        <v>893</v>
      </c>
      <c r="E231" s="482" t="s">
        <v>894</v>
      </c>
    </row>
    <row r="232" customFormat="1" s="36">
      <c r="A232" s="485" t="s">
        <v>1321</v>
      </c>
      <c r="B232" s="485" t="s">
        <v>1322</v>
      </c>
      <c r="C232" s="482">
        <v>0.0</v>
      </c>
      <c r="D232" s="482" t="s">
        <v>893</v>
      </c>
      <c r="E232" s="482" t="s">
        <v>894</v>
      </c>
    </row>
    <row r="233" customFormat="1" s="36">
      <c r="A233" s="485" t="s">
        <v>1323</v>
      </c>
      <c r="B233" s="485" t="s">
        <v>1324</v>
      </c>
      <c r="C233" s="482">
        <v>0.0</v>
      </c>
      <c r="D233" s="482" t="s">
        <v>893</v>
      </c>
      <c r="E233" s="482" t="s">
        <v>894</v>
      </c>
    </row>
    <row r="234" customFormat="1" s="36">
      <c r="A234" s="485" t="s">
        <v>1325</v>
      </c>
      <c r="B234" s="485" t="s">
        <v>1326</v>
      </c>
      <c r="C234" s="482">
        <v>0.0</v>
      </c>
      <c r="D234" s="482" t="s">
        <v>893</v>
      </c>
      <c r="E234" s="482" t="s">
        <v>894</v>
      </c>
    </row>
    <row r="235" customFormat="1" s="36">
      <c r="A235" s="485" t="s">
        <v>1327</v>
      </c>
      <c r="B235" s="485" t="s">
        <v>1328</v>
      </c>
      <c r="C235" s="482">
        <v>0.0</v>
      </c>
      <c r="D235" s="482" t="s">
        <v>893</v>
      </c>
      <c r="E235" s="482" t="s">
        <v>894</v>
      </c>
    </row>
    <row r="236" customFormat="1" s="36">
      <c r="A236" s="485" t="s">
        <v>1329</v>
      </c>
      <c r="B236" s="485" t="s">
        <v>1330</v>
      </c>
      <c r="C236" s="482">
        <v>0.0</v>
      </c>
      <c r="D236" s="482" t="s">
        <v>893</v>
      </c>
      <c r="E236" s="482" t="s">
        <v>894</v>
      </c>
    </row>
    <row r="237" customFormat="1" s="36">
      <c r="A237" s="485" t="s">
        <v>1331</v>
      </c>
      <c r="B237" s="485" t="s">
        <v>1332</v>
      </c>
      <c r="C237" s="482">
        <v>0.0</v>
      </c>
      <c r="D237" s="482" t="s">
        <v>893</v>
      </c>
      <c r="E237" s="482" t="s">
        <v>894</v>
      </c>
    </row>
    <row r="238" customFormat="1" s="36">
      <c r="A238" s="485" t="s">
        <v>1333</v>
      </c>
      <c r="B238" s="485" t="s">
        <v>1334</v>
      </c>
      <c r="C238" s="482">
        <v>0.0</v>
      </c>
      <c r="D238" s="482" t="s">
        <v>893</v>
      </c>
      <c r="E238" s="482" t="s">
        <v>894</v>
      </c>
    </row>
    <row r="239" customFormat="1" s="36">
      <c r="A239" s="485" t="s">
        <v>1335</v>
      </c>
      <c r="B239" s="485" t="s">
        <v>1336</v>
      </c>
      <c r="C239" s="482">
        <v>0.0</v>
      </c>
      <c r="D239" s="482" t="s">
        <v>893</v>
      </c>
      <c r="E239" s="482" t="s">
        <v>894</v>
      </c>
    </row>
    <row r="240" customFormat="1" s="36">
      <c r="A240" s="485" t="s">
        <v>1337</v>
      </c>
      <c r="B240" s="485" t="s">
        <v>1338</v>
      </c>
      <c r="C240" s="482">
        <v>0.0</v>
      </c>
      <c r="D240" s="482" t="s">
        <v>893</v>
      </c>
      <c r="E240" s="482" t="s">
        <v>894</v>
      </c>
    </row>
    <row r="241" customFormat="1" s="36">
      <c r="A241" s="485" t="s">
        <v>1339</v>
      </c>
      <c r="B241" s="485" t="s">
        <v>1340</v>
      </c>
      <c r="C241" s="482">
        <v>0.0</v>
      </c>
      <c r="D241" s="482" t="s">
        <v>893</v>
      </c>
      <c r="E241" s="482" t="s">
        <v>894</v>
      </c>
    </row>
    <row r="242" customFormat="1" s="36">
      <c r="A242" s="485" t="s">
        <v>1341</v>
      </c>
      <c r="B242" s="485" t="s">
        <v>1342</v>
      </c>
      <c r="C242" s="482">
        <v>0.0</v>
      </c>
      <c r="D242" s="482" t="s">
        <v>893</v>
      </c>
      <c r="E242" s="482" t="s">
        <v>894</v>
      </c>
    </row>
    <row r="243" customFormat="1" s="36">
      <c r="A243" s="485" t="s">
        <v>1343</v>
      </c>
      <c r="B243" s="485" t="s">
        <v>1344</v>
      </c>
      <c r="C243" s="482">
        <v>0.0</v>
      </c>
      <c r="D243" s="482" t="s">
        <v>893</v>
      </c>
      <c r="E243" s="482" t="s">
        <v>894</v>
      </c>
    </row>
    <row r="244" customFormat="1" s="36">
      <c r="A244" s="485" t="s">
        <v>1345</v>
      </c>
      <c r="B244" s="485" t="s">
        <v>1346</v>
      </c>
      <c r="C244" s="482">
        <v>0.0</v>
      </c>
      <c r="D244" s="482" t="s">
        <v>893</v>
      </c>
      <c r="E244" s="482" t="s">
        <v>894</v>
      </c>
    </row>
    <row r="245" customFormat="1" s="36">
      <c r="A245" s="485" t="s">
        <v>1347</v>
      </c>
      <c r="B245" s="485" t="s">
        <v>1348</v>
      </c>
      <c r="C245" s="482">
        <v>0.0</v>
      </c>
      <c r="D245" s="482" t="s">
        <v>893</v>
      </c>
      <c r="E245" s="482" t="s">
        <v>894</v>
      </c>
    </row>
    <row r="246" customFormat="1" s="36">
      <c r="A246" s="485" t="s">
        <v>1349</v>
      </c>
      <c r="B246" s="485" t="s">
        <v>1350</v>
      </c>
      <c r="C246" s="482">
        <v>0.0</v>
      </c>
      <c r="D246" s="482" t="s">
        <v>893</v>
      </c>
      <c r="E246" s="482" t="s">
        <v>894</v>
      </c>
    </row>
    <row r="247" customFormat="1" s="36">
      <c r="A247" s="485" t="s">
        <v>1351</v>
      </c>
      <c r="B247" s="485" t="s">
        <v>1352</v>
      </c>
      <c r="C247" s="482">
        <v>0.0</v>
      </c>
      <c r="D247" s="482" t="s">
        <v>893</v>
      </c>
      <c r="E247" s="482" t="s">
        <v>894</v>
      </c>
    </row>
    <row r="248" customFormat="1" s="36">
      <c r="A248" s="485" t="s">
        <v>1353</v>
      </c>
      <c r="B248" s="485" t="s">
        <v>1354</v>
      </c>
      <c r="C248" s="482">
        <v>0.0</v>
      </c>
      <c r="D248" s="482" t="s">
        <v>893</v>
      </c>
      <c r="E248" s="482" t="s">
        <v>894</v>
      </c>
    </row>
    <row r="249" customFormat="1" s="36">
      <c r="A249" s="485" t="s">
        <v>1355</v>
      </c>
      <c r="B249" s="485" t="s">
        <v>1356</v>
      </c>
      <c r="C249" s="482">
        <v>0.0</v>
      </c>
      <c r="D249" s="482" t="s">
        <v>893</v>
      </c>
      <c r="E249" s="482" t="s">
        <v>894</v>
      </c>
    </row>
    <row r="250" customFormat="1" s="36">
      <c r="A250" s="485" t="s">
        <v>1357</v>
      </c>
      <c r="B250" s="485" t="s">
        <v>1358</v>
      </c>
      <c r="C250" s="482">
        <v>0.0</v>
      </c>
      <c r="D250" s="482" t="s">
        <v>893</v>
      </c>
      <c r="E250" s="482" t="s">
        <v>894</v>
      </c>
    </row>
    <row r="251" customFormat="1" s="36">
      <c r="A251" s="485" t="s">
        <v>1359</v>
      </c>
      <c r="B251" s="485" t="s">
        <v>1360</v>
      </c>
      <c r="C251" s="482">
        <v>0.0</v>
      </c>
      <c r="D251" s="482" t="s">
        <v>893</v>
      </c>
      <c r="E251" s="482" t="s">
        <v>894</v>
      </c>
    </row>
    <row r="252" customFormat="1" s="36">
      <c r="A252" s="485" t="s">
        <v>1361</v>
      </c>
      <c r="B252" s="485" t="s">
        <v>1362</v>
      </c>
      <c r="C252" s="482">
        <v>0.0</v>
      </c>
      <c r="D252" s="482" t="s">
        <v>893</v>
      </c>
      <c r="E252" s="482" t="s">
        <v>894</v>
      </c>
    </row>
    <row r="253" customFormat="1" s="36">
      <c r="A253" s="485" t="s">
        <v>1363</v>
      </c>
      <c r="B253" s="485" t="s">
        <v>1364</v>
      </c>
      <c r="C253" s="482">
        <v>8.0</v>
      </c>
      <c r="D253" s="482" t="s">
        <v>913</v>
      </c>
      <c r="E253" s="482" t="s">
        <v>1140</v>
      </c>
    </row>
    <row r="254" customFormat="1" s="36">
      <c r="A254" s="485" t="s">
        <v>1365</v>
      </c>
      <c r="B254" s="485" t="s">
        <v>1366</v>
      </c>
      <c r="C254" s="482">
        <v>0.0</v>
      </c>
      <c r="D254" s="482" t="s">
        <v>913</v>
      </c>
      <c r="E254" s="482" t="s">
        <v>1140</v>
      </c>
    </row>
    <row r="255" customFormat="1" s="36">
      <c r="A255" s="485" t="s">
        <v>1367</v>
      </c>
      <c r="B255" s="485" t="s">
        <v>1368</v>
      </c>
      <c r="C255" s="482">
        <v>0.0</v>
      </c>
      <c r="D255" s="482" t="s">
        <v>893</v>
      </c>
      <c r="E255" s="482" t="s">
        <v>894</v>
      </c>
    </row>
    <row r="256" customFormat="1" s="36">
      <c r="A256" s="485" t="s">
        <v>1369</v>
      </c>
      <c r="B256" s="485" t="s">
        <v>1370</v>
      </c>
      <c r="C256" s="482">
        <v>0.0</v>
      </c>
      <c r="D256" s="482" t="s">
        <v>893</v>
      </c>
      <c r="E256" s="482" t="s">
        <v>894</v>
      </c>
    </row>
    <row r="257" customFormat="1" s="36">
      <c r="A257" s="485" t="s">
        <v>1371</v>
      </c>
      <c r="B257" s="485" t="s">
        <v>1372</v>
      </c>
      <c r="C257" s="482">
        <v>0.0</v>
      </c>
      <c r="D257" s="482" t="s">
        <v>893</v>
      </c>
      <c r="E257" s="482" t="s">
        <v>894</v>
      </c>
    </row>
    <row r="258" customFormat="1" s="36">
      <c r="A258" s="485" t="s">
        <v>1373</v>
      </c>
      <c r="B258" s="485" t="s">
        <v>1374</v>
      </c>
      <c r="C258" s="482">
        <v>0.0</v>
      </c>
      <c r="D258" s="482" t="s">
        <v>893</v>
      </c>
      <c r="E258" s="482" t="s">
        <v>894</v>
      </c>
    </row>
    <row r="259" customFormat="1" s="36">
      <c r="A259" s="485">
        <v>37301.0</v>
      </c>
      <c r="B259" s="485" t="s">
        <v>1375</v>
      </c>
      <c r="C259" s="482">
        <v>0.0</v>
      </c>
      <c r="D259" s="482" t="s">
        <v>893</v>
      </c>
      <c r="E259" s="482" t="s">
        <v>894</v>
      </c>
    </row>
    <row r="260" customFormat="1" s="36">
      <c r="A260" s="485">
        <v>37327.0</v>
      </c>
      <c r="B260" s="485" t="s">
        <v>1376</v>
      </c>
      <c r="C260" s="482">
        <v>38.0</v>
      </c>
      <c r="D260" s="482" t="s">
        <v>913</v>
      </c>
      <c r="E260" s="482" t="s">
        <v>894</v>
      </c>
    </row>
    <row r="261" customFormat="1" s="36">
      <c r="A261" s="485">
        <v>37302.0</v>
      </c>
      <c r="B261" s="485" t="s">
        <v>1377</v>
      </c>
      <c r="C261" s="482">
        <v>19.0</v>
      </c>
      <c r="D261" s="482" t="s">
        <v>913</v>
      </c>
      <c r="E261" s="482" t="s">
        <v>894</v>
      </c>
    </row>
    <row r="262" customFormat="1" s="36">
      <c r="A262" s="485">
        <v>37303.0</v>
      </c>
      <c r="B262" s="485" t="s">
        <v>1378</v>
      </c>
      <c r="C262" s="482">
        <v>0.0</v>
      </c>
      <c r="D262" s="482" t="s">
        <v>893</v>
      </c>
      <c r="E262" s="482" t="s">
        <v>894</v>
      </c>
    </row>
    <row r="263" customFormat="1" s="36">
      <c r="A263" s="485">
        <v>37304.0</v>
      </c>
      <c r="B263" s="485" t="s">
        <v>1379</v>
      </c>
      <c r="C263" s="482">
        <v>0.0</v>
      </c>
      <c r="D263" s="482" t="s">
        <v>893</v>
      </c>
      <c r="E263" s="482" t="s">
        <v>894</v>
      </c>
    </row>
    <row r="264" customFormat="1" s="36">
      <c r="A264" s="485">
        <v>37305.0</v>
      </c>
      <c r="B264" s="485" t="s">
        <v>1380</v>
      </c>
      <c r="C264" s="482">
        <v>0.0</v>
      </c>
      <c r="D264" s="482" t="s">
        <v>893</v>
      </c>
      <c r="E264" s="482" t="s">
        <v>894</v>
      </c>
    </row>
    <row r="265" customFormat="1" s="36">
      <c r="A265" s="485">
        <v>37306.0</v>
      </c>
      <c r="B265" s="485" t="s">
        <v>1381</v>
      </c>
      <c r="C265" s="482">
        <v>0.0</v>
      </c>
      <c r="D265" s="482" t="s">
        <v>893</v>
      </c>
      <c r="E265" s="482" t="s">
        <v>894</v>
      </c>
    </row>
    <row r="266" customFormat="1" s="36">
      <c r="A266" s="485">
        <v>37307.0</v>
      </c>
      <c r="B266" s="485" t="s">
        <v>1382</v>
      </c>
      <c r="C266" s="482">
        <v>23.0</v>
      </c>
      <c r="D266" s="482" t="s">
        <v>913</v>
      </c>
      <c r="E266" s="482" t="s">
        <v>894</v>
      </c>
    </row>
    <row r="267" customFormat="1" s="36">
      <c r="A267" s="485">
        <v>37308.0</v>
      </c>
      <c r="B267" s="485" t="s">
        <v>1383</v>
      </c>
      <c r="C267" s="482">
        <v>0.0</v>
      </c>
      <c r="D267" s="482" t="s">
        <v>893</v>
      </c>
      <c r="E267" s="482" t="s">
        <v>894</v>
      </c>
    </row>
    <row r="268" customFormat="1" s="36">
      <c r="A268" s="485">
        <v>37309.0</v>
      </c>
      <c r="B268" s="485" t="s">
        <v>1384</v>
      </c>
      <c r="C268" s="482">
        <v>0.0</v>
      </c>
      <c r="D268" s="482" t="s">
        <v>893</v>
      </c>
      <c r="E268" s="482" t="s">
        <v>894</v>
      </c>
    </row>
    <row r="269" customFormat="1" s="36">
      <c r="A269" s="485">
        <v>37310.0</v>
      </c>
      <c r="B269" s="485" t="s">
        <v>1385</v>
      </c>
      <c r="C269" s="482">
        <v>9.0</v>
      </c>
      <c r="D269" s="482" t="s">
        <v>913</v>
      </c>
      <c r="E269" s="482" t="s">
        <v>894</v>
      </c>
    </row>
    <row r="270" customFormat="1" s="36">
      <c r="A270" s="485">
        <v>37311.0</v>
      </c>
      <c r="B270" s="485" t="s">
        <v>1386</v>
      </c>
      <c r="C270" s="482">
        <v>0.0</v>
      </c>
      <c r="D270" s="482" t="s">
        <v>893</v>
      </c>
      <c r="E270" s="482" t="s">
        <v>894</v>
      </c>
    </row>
    <row r="271" customFormat="1" s="36">
      <c r="A271" s="485">
        <v>37312.0</v>
      </c>
      <c r="B271" s="485" t="s">
        <v>1387</v>
      </c>
      <c r="C271" s="482">
        <v>4.0</v>
      </c>
      <c r="D271" s="482" t="s">
        <v>913</v>
      </c>
      <c r="E271" s="482" t="s">
        <v>894</v>
      </c>
    </row>
    <row r="272" customFormat="1" s="36">
      <c r="A272" s="485">
        <v>37313.0</v>
      </c>
      <c r="B272" s="485" t="s">
        <v>1388</v>
      </c>
      <c r="C272" s="482">
        <v>0.0</v>
      </c>
      <c r="D272" s="482" t="s">
        <v>893</v>
      </c>
      <c r="E272" s="482" t="s">
        <v>894</v>
      </c>
    </row>
    <row r="273" customFormat="1" s="36">
      <c r="A273" s="485">
        <v>37314.0</v>
      </c>
      <c r="B273" s="485" t="s">
        <v>1389</v>
      </c>
      <c r="C273" s="482">
        <v>14.0</v>
      </c>
      <c r="D273" s="482" t="s">
        <v>913</v>
      </c>
      <c r="E273" s="482" t="s">
        <v>894</v>
      </c>
    </row>
    <row r="274" customFormat="1" s="36">
      <c r="A274" s="485">
        <v>37315.0</v>
      </c>
      <c r="B274" s="485" t="s">
        <v>1390</v>
      </c>
      <c r="C274" s="482">
        <v>0.0</v>
      </c>
      <c r="D274" s="482" t="s">
        <v>893</v>
      </c>
      <c r="E274" s="482" t="s">
        <v>894</v>
      </c>
    </row>
    <row r="275" customFormat="1" s="36">
      <c r="A275" s="485">
        <v>37316.0</v>
      </c>
      <c r="B275" s="485" t="s">
        <v>1391</v>
      </c>
      <c r="C275" s="482">
        <v>0.0</v>
      </c>
      <c r="D275" s="482" t="s">
        <v>893</v>
      </c>
      <c r="E275" s="482" t="s">
        <v>894</v>
      </c>
    </row>
    <row r="276" customFormat="1" s="36">
      <c r="A276" s="485">
        <v>37317.0</v>
      </c>
      <c r="B276" s="485" t="s">
        <v>1392</v>
      </c>
      <c r="C276" s="482">
        <v>3.0</v>
      </c>
      <c r="D276" s="482" t="s">
        <v>913</v>
      </c>
      <c r="E276" s="482" t="s">
        <v>894</v>
      </c>
    </row>
    <row r="277" customFormat="1" s="36">
      <c r="A277" s="485">
        <v>37318.0</v>
      </c>
      <c r="B277" s="485" t="s">
        <v>1393</v>
      </c>
      <c r="C277" s="482">
        <v>13.0</v>
      </c>
      <c r="D277" s="482" t="s">
        <v>913</v>
      </c>
      <c r="E277" s="482" t="s">
        <v>894</v>
      </c>
    </row>
    <row r="278" customFormat="1" s="36">
      <c r="A278" s="485">
        <v>37319.0</v>
      </c>
      <c r="B278" s="485" t="s">
        <v>1394</v>
      </c>
      <c r="C278" s="482">
        <v>0.0</v>
      </c>
      <c r="D278" s="482" t="s">
        <v>893</v>
      </c>
      <c r="E278" s="482" t="s">
        <v>894</v>
      </c>
    </row>
    <row r="279" customFormat="1" s="36">
      <c r="A279" s="485">
        <v>37320.0</v>
      </c>
      <c r="B279" s="485" t="s">
        <v>1395</v>
      </c>
      <c r="C279" s="482">
        <v>0.0</v>
      </c>
      <c r="D279" s="482" t="s">
        <v>893</v>
      </c>
      <c r="E279" s="482" t="s">
        <v>894</v>
      </c>
    </row>
    <row r="280" customFormat="1" s="36">
      <c r="A280" s="485">
        <v>37321.0</v>
      </c>
      <c r="B280" s="485" t="s">
        <v>1396</v>
      </c>
      <c r="C280" s="482">
        <v>43.0</v>
      </c>
      <c r="D280" s="482" t="s">
        <v>913</v>
      </c>
      <c r="E280" s="482" t="s">
        <v>894</v>
      </c>
    </row>
    <row r="281" customFormat="1" s="36">
      <c r="A281" s="485">
        <v>37322.0</v>
      </c>
      <c r="B281" s="485" t="s">
        <v>1397</v>
      </c>
      <c r="C281" s="482">
        <v>0.0</v>
      </c>
      <c r="D281" s="482" t="s">
        <v>893</v>
      </c>
      <c r="E281" s="482" t="s">
        <v>894</v>
      </c>
    </row>
    <row r="282" customFormat="1" s="36">
      <c r="A282" s="485">
        <v>37323.0</v>
      </c>
      <c r="B282" s="485" t="s">
        <v>1398</v>
      </c>
      <c r="C282" s="482">
        <v>0.0</v>
      </c>
      <c r="D282" s="482" t="s">
        <v>893</v>
      </c>
      <c r="E282" s="482" t="s">
        <v>894</v>
      </c>
    </row>
    <row r="283" customFormat="1" s="36">
      <c r="A283" s="485">
        <v>37324.0</v>
      </c>
      <c r="B283" s="485" t="s">
        <v>1399</v>
      </c>
      <c r="C283" s="482">
        <v>0.0</v>
      </c>
      <c r="D283" s="482" t="s">
        <v>893</v>
      </c>
      <c r="E283" s="482" t="s">
        <v>894</v>
      </c>
    </row>
    <row r="284" customFormat="1" s="36">
      <c r="A284" s="485">
        <v>37325.0</v>
      </c>
      <c r="B284" s="485" t="s">
        <v>1400</v>
      </c>
      <c r="C284" s="482">
        <v>0.0</v>
      </c>
      <c r="D284" s="482" t="s">
        <v>893</v>
      </c>
      <c r="E284" s="482" t="s">
        <v>894</v>
      </c>
    </row>
    <row r="285" customFormat="1" s="36">
      <c r="A285" s="485">
        <v>37326.0</v>
      </c>
      <c r="B285" s="485" t="s">
        <v>1401</v>
      </c>
      <c r="C285" s="482">
        <v>0.0</v>
      </c>
      <c r="D285" s="482" t="s">
        <v>893</v>
      </c>
      <c r="E285" s="482" t="s">
        <v>894</v>
      </c>
    </row>
    <row r="286" customFormat="1" s="36">
      <c r="A286" s="485" t="s">
        <v>1402</v>
      </c>
      <c r="B286" s="485" t="s">
        <v>1403</v>
      </c>
      <c r="C286" s="482">
        <v>0.0</v>
      </c>
      <c r="D286" s="482" t="s">
        <v>893</v>
      </c>
      <c r="E286" s="482" t="s">
        <v>894</v>
      </c>
    </row>
    <row r="287" customFormat="1" s="36">
      <c r="A287" s="485" t="s">
        <v>1404</v>
      </c>
      <c r="B287" s="485" t="s">
        <v>1405</v>
      </c>
      <c r="C287" s="482">
        <v>54.0</v>
      </c>
      <c r="D287" s="482" t="s">
        <v>913</v>
      </c>
      <c r="E287" s="482" t="s">
        <v>894</v>
      </c>
    </row>
    <row r="288" customFormat="1" s="36">
      <c r="A288" s="485" t="s">
        <v>1406</v>
      </c>
      <c r="B288" s="485" t="s">
        <v>1407</v>
      </c>
      <c r="C288" s="482">
        <v>332.0</v>
      </c>
      <c r="D288" s="482" t="s">
        <v>913</v>
      </c>
      <c r="E288" s="482" t="s">
        <v>894</v>
      </c>
    </row>
    <row r="289" customFormat="1" s="36">
      <c r="A289" s="485" t="s">
        <v>1408</v>
      </c>
      <c r="B289" s="485" t="s">
        <v>1409</v>
      </c>
      <c r="C289" s="482">
        <v>0.0</v>
      </c>
      <c r="D289" s="482" t="s">
        <v>893</v>
      </c>
      <c r="E289" s="482" t="s">
        <v>894</v>
      </c>
    </row>
    <row r="290" customFormat="1" s="36">
      <c r="A290" s="485" t="s">
        <v>1410</v>
      </c>
      <c r="B290" s="485" t="s">
        <v>1411</v>
      </c>
      <c r="C290" s="482">
        <v>6152.0</v>
      </c>
      <c r="D290" s="482" t="s">
        <v>913</v>
      </c>
      <c r="E290" s="482" t="s">
        <v>894</v>
      </c>
    </row>
    <row r="291" customFormat="1" s="36">
      <c r="A291" s="485" t="s">
        <v>1412</v>
      </c>
      <c r="B291" s="485" t="s">
        <v>1413</v>
      </c>
      <c r="C291" s="482">
        <v>3780.0</v>
      </c>
      <c r="D291" s="482" t="s">
        <v>913</v>
      </c>
      <c r="E291" s="482" t="s">
        <v>894</v>
      </c>
    </row>
    <row r="292" customFormat="1" s="36">
      <c r="A292" s="485" t="s">
        <v>1414</v>
      </c>
      <c r="B292" s="485" t="s">
        <v>1415</v>
      </c>
      <c r="C292" s="482">
        <v>2062.0</v>
      </c>
      <c r="D292" s="482" t="s">
        <v>913</v>
      </c>
      <c r="E292" s="482" t="s">
        <v>894</v>
      </c>
    </row>
    <row r="293" customFormat="1" s="36">
      <c r="A293" s="485" t="s">
        <v>1416</v>
      </c>
      <c r="B293" s="485" t="s">
        <v>1417</v>
      </c>
      <c r="C293" s="482">
        <v>5354.0</v>
      </c>
      <c r="D293" s="482" t="s">
        <v>913</v>
      </c>
      <c r="E293" s="482" t="s">
        <v>894</v>
      </c>
    </row>
    <row r="294" customFormat="1" s="36">
      <c r="A294" s="485" t="s">
        <v>1418</v>
      </c>
      <c r="B294" s="485" t="s">
        <v>1419</v>
      </c>
      <c r="C294" s="482">
        <v>1.0</v>
      </c>
      <c r="D294" s="482" t="s">
        <v>893</v>
      </c>
      <c r="E294" s="482" t="s">
        <v>894</v>
      </c>
    </row>
    <row r="295" customFormat="1" s="36">
      <c r="A295" s="485" t="s">
        <v>1420</v>
      </c>
      <c r="B295" s="485" t="s">
        <v>1421</v>
      </c>
      <c r="C295" s="482">
        <v>5655.0</v>
      </c>
      <c r="D295" s="482" t="s">
        <v>913</v>
      </c>
      <c r="E295" s="482" t="s">
        <v>894</v>
      </c>
    </row>
    <row r="296" customFormat="1" s="36">
      <c r="A296" s="485" t="s">
        <v>1422</v>
      </c>
      <c r="B296" s="485" t="s">
        <v>1423</v>
      </c>
      <c r="C296" s="482">
        <v>5.0</v>
      </c>
      <c r="D296" s="482" t="s">
        <v>913</v>
      </c>
      <c r="E296" s="482" t="s">
        <v>894</v>
      </c>
    </row>
    <row r="297" customFormat="1" s="36">
      <c r="A297" s="485" t="s">
        <v>1424</v>
      </c>
      <c r="B297" s="485" t="s">
        <v>1425</v>
      </c>
      <c r="C297" s="482">
        <v>0.0</v>
      </c>
      <c r="D297" s="482" t="s">
        <v>913</v>
      </c>
      <c r="E297" s="482" t="s">
        <v>894</v>
      </c>
    </row>
    <row r="298" customFormat="1" s="36">
      <c r="A298" s="485" t="s">
        <v>1426</v>
      </c>
      <c r="B298" s="485" t="s">
        <v>1427</v>
      </c>
      <c r="C298" s="482">
        <v>0.0</v>
      </c>
      <c r="D298" s="482" t="s">
        <v>893</v>
      </c>
      <c r="E298" s="482" t="s">
        <v>894</v>
      </c>
    </row>
    <row r="299" customFormat="1" s="36">
      <c r="A299" s="485" t="s">
        <v>1428</v>
      </c>
      <c r="B299" s="485" t="s">
        <v>1429</v>
      </c>
      <c r="C299" s="482">
        <v>0.0</v>
      </c>
      <c r="D299" s="482" t="s">
        <v>913</v>
      </c>
      <c r="E299" s="482" t="s">
        <v>894</v>
      </c>
    </row>
    <row r="300" customFormat="1" s="36">
      <c r="A300" s="485" t="s">
        <v>1430</v>
      </c>
      <c r="B300" s="485" t="s">
        <v>1431</v>
      </c>
      <c r="C300" s="482">
        <v>0.0</v>
      </c>
      <c r="D300" s="482" t="s">
        <v>913</v>
      </c>
      <c r="E300" s="482" t="s">
        <v>894</v>
      </c>
    </row>
    <row r="301" customFormat="1" s="36">
      <c r="A301" s="485" t="s">
        <v>1432</v>
      </c>
      <c r="B301" s="485" t="s">
        <v>1433</v>
      </c>
      <c r="C301" s="482">
        <v>0.0</v>
      </c>
      <c r="D301" s="482" t="s">
        <v>893</v>
      </c>
      <c r="E301" s="482" t="s">
        <v>894</v>
      </c>
    </row>
    <row r="302" customFormat="1" s="36">
      <c r="A302" s="485" t="s">
        <v>1434</v>
      </c>
      <c r="B302" s="485" t="s">
        <v>1435</v>
      </c>
      <c r="C302" s="482">
        <v>879.0</v>
      </c>
      <c r="D302" s="482" t="s">
        <v>913</v>
      </c>
      <c r="E302" s="482" t="s">
        <v>894</v>
      </c>
    </row>
    <row r="303" customFormat="1" s="36">
      <c r="A303" s="485" t="s">
        <v>1436</v>
      </c>
      <c r="B303" s="485" t="s">
        <v>1437</v>
      </c>
      <c r="C303" s="482">
        <v>666.0</v>
      </c>
      <c r="D303" s="482" t="s">
        <v>913</v>
      </c>
      <c r="E303" s="482" t="s">
        <v>894</v>
      </c>
    </row>
    <row r="304" customFormat="1" s="36">
      <c r="A304" s="485" t="s">
        <v>1438</v>
      </c>
      <c r="B304" s="485" t="s">
        <v>1439</v>
      </c>
      <c r="C304" s="482">
        <v>0.0</v>
      </c>
      <c r="D304" s="482" t="s">
        <v>893</v>
      </c>
      <c r="E304" s="482" t="s">
        <v>894</v>
      </c>
    </row>
    <row r="305" customFormat="1" s="36">
      <c r="A305" s="485" t="s">
        <v>1440</v>
      </c>
      <c r="B305" s="485" t="s">
        <v>1441</v>
      </c>
      <c r="C305" s="482">
        <v>769.0</v>
      </c>
      <c r="D305" s="482" t="s">
        <v>913</v>
      </c>
      <c r="E305" s="482" t="s">
        <v>894</v>
      </c>
    </row>
    <row r="306" customFormat="1" s="36">
      <c r="A306" s="485" t="s">
        <v>1442</v>
      </c>
      <c r="B306" s="485" t="s">
        <v>1443</v>
      </c>
      <c r="C306" s="482">
        <v>1250.0</v>
      </c>
      <c r="D306" s="482" t="s">
        <v>913</v>
      </c>
      <c r="E306" s="482" t="s">
        <v>894</v>
      </c>
    </row>
    <row r="307" customFormat="1" s="36">
      <c r="A307" s="485" t="s">
        <v>1444</v>
      </c>
      <c r="B307" s="485" t="s">
        <v>1445</v>
      </c>
      <c r="C307" s="482">
        <v>0.0</v>
      </c>
      <c r="D307" s="482" t="s">
        <v>893</v>
      </c>
      <c r="E307" s="482" t="s">
        <v>894</v>
      </c>
    </row>
    <row r="308" customFormat="1" s="36">
      <c r="A308" s="485" t="s">
        <v>1446</v>
      </c>
      <c r="B308" s="485" t="s">
        <v>1447</v>
      </c>
      <c r="C308" s="482">
        <v>2.0</v>
      </c>
      <c r="D308" s="482" t="s">
        <v>913</v>
      </c>
      <c r="E308" s="482" t="s">
        <v>894</v>
      </c>
    </row>
    <row r="309" customFormat="1" s="36">
      <c r="A309" s="485" t="s">
        <v>1448</v>
      </c>
      <c r="B309" s="485" t="s">
        <v>1449</v>
      </c>
      <c r="C309" s="482">
        <v>0.0</v>
      </c>
      <c r="D309" s="482" t="s">
        <v>893</v>
      </c>
      <c r="E309" s="482" t="s">
        <v>894</v>
      </c>
    </row>
    <row r="310" customFormat="1" s="36">
      <c r="A310" s="485" t="s">
        <v>1450</v>
      </c>
      <c r="B310" s="485" t="s">
        <v>1451</v>
      </c>
      <c r="C310" s="482">
        <v>294.0</v>
      </c>
      <c r="D310" s="482" t="s">
        <v>913</v>
      </c>
      <c r="E310" s="482" t="s">
        <v>894</v>
      </c>
    </row>
    <row r="311" customFormat="1" s="36">
      <c r="A311" s="485" t="s">
        <v>1452</v>
      </c>
      <c r="B311" s="485" t="s">
        <v>1453</v>
      </c>
      <c r="C311" s="482">
        <v>0.0</v>
      </c>
      <c r="D311" s="482" t="s">
        <v>913</v>
      </c>
      <c r="E311" s="482" t="s">
        <v>894</v>
      </c>
    </row>
    <row r="312" customFormat="1" s="36">
      <c r="A312" s="485" t="s">
        <v>1454</v>
      </c>
      <c r="B312" s="485" t="s">
        <v>1455</v>
      </c>
      <c r="C312" s="482">
        <v>0.0</v>
      </c>
      <c r="D312" s="482" t="s">
        <v>913</v>
      </c>
      <c r="E312" s="482" t="s">
        <v>894</v>
      </c>
    </row>
    <row r="313" customFormat="1" s="36">
      <c r="A313" s="485" t="s">
        <v>1456</v>
      </c>
      <c r="B313" s="485" t="s">
        <v>1457</v>
      </c>
      <c r="C313" s="482">
        <v>1.0</v>
      </c>
      <c r="D313" s="482" t="s">
        <v>913</v>
      </c>
      <c r="E313" s="482" t="s">
        <v>894</v>
      </c>
    </row>
    <row r="314" customFormat="1" s="36">
      <c r="A314" s="485" t="s">
        <v>1458</v>
      </c>
      <c r="B314" s="485" t="s">
        <v>1459</v>
      </c>
      <c r="C314" s="482">
        <v>0.0</v>
      </c>
      <c r="D314" s="482" t="s">
        <v>913</v>
      </c>
      <c r="E314" s="482" t="s">
        <v>894</v>
      </c>
    </row>
    <row r="315" customFormat="1" s="36">
      <c r="A315" s="485" t="s">
        <v>711</v>
      </c>
      <c r="B315" s="485" t="s">
        <v>710</v>
      </c>
      <c r="C315" s="482">
        <v>288.0</v>
      </c>
      <c r="D315" s="482" t="s">
        <v>913</v>
      </c>
      <c r="E315" s="482" t="s">
        <v>894</v>
      </c>
    </row>
    <row r="316" customFormat="1" s="36">
      <c r="A316" s="485" t="s">
        <v>1460</v>
      </c>
      <c r="B316" s="485" t="s">
        <v>1461</v>
      </c>
      <c r="C316" s="482">
        <v>0.0</v>
      </c>
      <c r="D316" s="482" t="s">
        <v>893</v>
      </c>
      <c r="E316" s="482" t="s">
        <v>894</v>
      </c>
    </row>
    <row r="317" customFormat="1" s="36">
      <c r="A317" s="485" t="s">
        <v>1462</v>
      </c>
      <c r="B317" s="485" t="s">
        <v>1463</v>
      </c>
      <c r="C317" s="482">
        <v>0.0</v>
      </c>
      <c r="D317" s="482" t="s">
        <v>893</v>
      </c>
      <c r="E317" s="482" t="s">
        <v>894</v>
      </c>
    </row>
    <row r="318" customFormat="1" s="36">
      <c r="A318" s="485" t="s">
        <v>1464</v>
      </c>
      <c r="B318" s="485" t="s">
        <v>1465</v>
      </c>
      <c r="C318" s="482">
        <v>0.0</v>
      </c>
      <c r="D318" s="482" t="s">
        <v>893</v>
      </c>
      <c r="E318" s="482" t="s">
        <v>894</v>
      </c>
    </row>
    <row r="319" customFormat="1" s="36">
      <c r="A319" s="485" t="s">
        <v>709</v>
      </c>
      <c r="B319" s="485" t="s">
        <v>708</v>
      </c>
      <c r="C319" s="482">
        <v>396.0</v>
      </c>
      <c r="D319" s="482" t="s">
        <v>913</v>
      </c>
      <c r="E319" s="482" t="s">
        <v>894</v>
      </c>
    </row>
    <row r="320" customFormat="1" s="36">
      <c r="A320" s="485" t="s">
        <v>1466</v>
      </c>
      <c r="B320" s="485" t="s">
        <v>1467</v>
      </c>
      <c r="C320" s="482">
        <v>0.0</v>
      </c>
      <c r="D320" s="482" t="s">
        <v>893</v>
      </c>
      <c r="E320" s="482" t="s">
        <v>894</v>
      </c>
    </row>
    <row r="321" customFormat="1" s="36">
      <c r="A321" s="485" t="s">
        <v>1468</v>
      </c>
      <c r="B321" s="485" t="s">
        <v>1469</v>
      </c>
      <c r="C321" s="482">
        <v>0.0</v>
      </c>
      <c r="D321" s="482" t="s">
        <v>893</v>
      </c>
      <c r="E321" s="482" t="s">
        <v>894</v>
      </c>
    </row>
    <row r="322" customFormat="1" s="36">
      <c r="A322" s="485" t="s">
        <v>1470</v>
      </c>
      <c r="B322" s="485" t="s">
        <v>1471</v>
      </c>
      <c r="C322" s="482">
        <v>0.0</v>
      </c>
      <c r="D322" s="482" t="s">
        <v>893</v>
      </c>
      <c r="E322" s="482" t="s">
        <v>894</v>
      </c>
    </row>
    <row r="323" customFormat="1" s="36">
      <c r="A323" s="485" t="s">
        <v>1472</v>
      </c>
      <c r="B323" s="485" t="s">
        <v>1473</v>
      </c>
      <c r="C323" s="482">
        <v>0.0</v>
      </c>
      <c r="D323" s="482" t="s">
        <v>893</v>
      </c>
      <c r="E323" s="482" t="s">
        <v>894</v>
      </c>
    </row>
    <row r="324" customFormat="1" s="36">
      <c r="A324" s="485" t="s">
        <v>1474</v>
      </c>
      <c r="B324" s="485" t="s">
        <v>1475</v>
      </c>
      <c r="C324" s="482">
        <v>0.0</v>
      </c>
      <c r="D324" s="482" t="s">
        <v>893</v>
      </c>
      <c r="E324" s="482" t="s">
        <v>894</v>
      </c>
    </row>
    <row r="325" customFormat="1" s="36">
      <c r="A325" s="485" t="s">
        <v>1476</v>
      </c>
      <c r="B325" s="485" t="s">
        <v>1477</v>
      </c>
      <c r="C325" s="482">
        <v>0.0</v>
      </c>
      <c r="D325" s="482" t="s">
        <v>893</v>
      </c>
      <c r="E325" s="482" t="s">
        <v>894</v>
      </c>
    </row>
    <row r="326" customFormat="1" s="36">
      <c r="A326" s="485" t="s">
        <v>707</v>
      </c>
      <c r="B326" s="485" t="s">
        <v>706</v>
      </c>
      <c r="C326" s="482">
        <v>448.0</v>
      </c>
      <c r="D326" s="482" t="s">
        <v>913</v>
      </c>
      <c r="E326" s="482" t="s">
        <v>894</v>
      </c>
    </row>
    <row r="327" customFormat="1" s="36">
      <c r="A327" s="485" t="s">
        <v>1478</v>
      </c>
      <c r="B327" s="485" t="s">
        <v>1479</v>
      </c>
      <c r="C327" s="482">
        <v>0.0</v>
      </c>
      <c r="D327" s="482" t="s">
        <v>893</v>
      </c>
      <c r="E327" s="482" t="s">
        <v>894</v>
      </c>
    </row>
    <row r="328" customFormat="1" s="36">
      <c r="A328" s="485" t="s">
        <v>1480</v>
      </c>
      <c r="B328" s="485" t="s">
        <v>1481</v>
      </c>
      <c r="C328" s="482">
        <v>0.0</v>
      </c>
      <c r="D328" s="482" t="s">
        <v>893</v>
      </c>
      <c r="E328" s="482" t="s">
        <v>894</v>
      </c>
    </row>
    <row r="329" customFormat="1" s="36">
      <c r="A329" s="485" t="s">
        <v>1482</v>
      </c>
      <c r="B329" s="485" t="s">
        <v>1483</v>
      </c>
      <c r="C329" s="482">
        <v>0.0</v>
      </c>
      <c r="D329" s="482" t="s">
        <v>893</v>
      </c>
      <c r="E329" s="482" t="s">
        <v>894</v>
      </c>
    </row>
    <row r="330" customFormat="1" s="36">
      <c r="A330" s="485" t="s">
        <v>705</v>
      </c>
      <c r="B330" s="485" t="s">
        <v>704</v>
      </c>
      <c r="C330" s="482">
        <v>381.0</v>
      </c>
      <c r="D330" s="482" t="s">
        <v>913</v>
      </c>
      <c r="E330" s="482" t="s">
        <v>894</v>
      </c>
    </row>
    <row r="331" customFormat="1" s="36">
      <c r="A331" s="485" t="s">
        <v>703</v>
      </c>
      <c r="B331" s="485" t="s">
        <v>702</v>
      </c>
      <c r="C331" s="482">
        <v>405.0</v>
      </c>
      <c r="D331" s="482" t="s">
        <v>913</v>
      </c>
      <c r="E331" s="482" t="s">
        <v>894</v>
      </c>
    </row>
    <row r="332" customFormat="1" s="36">
      <c r="A332" s="485" t="s">
        <v>701</v>
      </c>
      <c r="B332" s="485" t="s">
        <v>700</v>
      </c>
      <c r="C332" s="482">
        <v>392.0</v>
      </c>
      <c r="D332" s="482" t="s">
        <v>913</v>
      </c>
      <c r="E332" s="482" t="s">
        <v>894</v>
      </c>
    </row>
    <row r="333" customFormat="1" s="36">
      <c r="A333" s="485" t="s">
        <v>1484</v>
      </c>
      <c r="B333" s="485" t="s">
        <v>1485</v>
      </c>
      <c r="C333" s="482">
        <v>36.0</v>
      </c>
      <c r="D333" s="482" t="s">
        <v>913</v>
      </c>
      <c r="E333" s="482" t="s">
        <v>894</v>
      </c>
    </row>
    <row r="334" customFormat="1" s="36">
      <c r="A334" s="485" t="s">
        <v>1486</v>
      </c>
      <c r="B334" s="485" t="s">
        <v>1487</v>
      </c>
      <c r="C334" s="482">
        <v>723.0</v>
      </c>
      <c r="D334" s="482" t="s">
        <v>913</v>
      </c>
      <c r="E334" s="482" t="s">
        <v>894</v>
      </c>
    </row>
    <row r="335" customFormat="1" s="36">
      <c r="A335" s="485" t="s">
        <v>1488</v>
      </c>
      <c r="B335" s="485" t="s">
        <v>1489</v>
      </c>
      <c r="C335" s="482">
        <v>3.0</v>
      </c>
      <c r="D335" s="482" t="s">
        <v>913</v>
      </c>
      <c r="E335" s="482" t="s">
        <v>894</v>
      </c>
    </row>
    <row r="336" customFormat="1" s="36">
      <c r="A336" s="485" t="s">
        <v>1490</v>
      </c>
      <c r="B336" s="485" t="s">
        <v>1491</v>
      </c>
      <c r="C336" s="482">
        <v>0.0</v>
      </c>
      <c r="D336" s="482" t="s">
        <v>913</v>
      </c>
      <c r="E336" s="482" t="s">
        <v>894</v>
      </c>
    </row>
    <row r="337" customFormat="1" s="36">
      <c r="A337" s="485" t="s">
        <v>1492</v>
      </c>
      <c r="B337" s="485" t="s">
        <v>1493</v>
      </c>
      <c r="C337" s="482">
        <v>351.0</v>
      </c>
      <c r="D337" s="482" t="s">
        <v>913</v>
      </c>
      <c r="E337" s="482" t="s">
        <v>894</v>
      </c>
    </row>
    <row r="338" customFormat="1" s="36">
      <c r="A338" s="485" t="s">
        <v>1494</v>
      </c>
      <c r="B338" s="485" t="s">
        <v>1495</v>
      </c>
      <c r="C338" s="482">
        <v>674.0</v>
      </c>
      <c r="D338" s="482" t="s">
        <v>913</v>
      </c>
      <c r="E338" s="482" t="s">
        <v>894</v>
      </c>
    </row>
    <row r="339" customFormat="1" s="36">
      <c r="A339" s="485" t="s">
        <v>1496</v>
      </c>
      <c r="B339" s="485" t="s">
        <v>1497</v>
      </c>
      <c r="C339" s="482">
        <v>144.0</v>
      </c>
      <c r="D339" s="482" t="s">
        <v>913</v>
      </c>
      <c r="E339" s="482" t="s">
        <v>894</v>
      </c>
    </row>
    <row r="340" customFormat="1" s="36">
      <c r="A340" s="485" t="s">
        <v>1498</v>
      </c>
      <c r="B340" s="485" t="s">
        <v>1499</v>
      </c>
      <c r="C340" s="482">
        <v>1033.0</v>
      </c>
      <c r="D340" s="482" t="s">
        <v>913</v>
      </c>
      <c r="E340" s="482" t="s">
        <v>894</v>
      </c>
    </row>
    <row r="341" customFormat="1" s="36">
      <c r="A341" s="485" t="s">
        <v>1500</v>
      </c>
      <c r="B341" s="485" t="s">
        <v>1501</v>
      </c>
      <c r="C341" s="482">
        <v>0.0</v>
      </c>
      <c r="D341" s="482" t="s">
        <v>913</v>
      </c>
      <c r="E341" s="482" t="s">
        <v>894</v>
      </c>
    </row>
    <row r="342" customFormat="1" s="36">
      <c r="A342" s="485" t="s">
        <v>1502</v>
      </c>
      <c r="B342" s="485" t="s">
        <v>1503</v>
      </c>
      <c r="C342" s="482">
        <v>67.0</v>
      </c>
      <c r="D342" s="482" t="s">
        <v>913</v>
      </c>
      <c r="E342" s="482" t="s">
        <v>894</v>
      </c>
    </row>
    <row r="343" customFormat="1" s="36">
      <c r="A343" s="485" t="s">
        <v>1504</v>
      </c>
      <c r="B343" s="485" t="s">
        <v>1505</v>
      </c>
      <c r="C343" s="482">
        <v>0.0</v>
      </c>
      <c r="D343" s="482" t="s">
        <v>913</v>
      </c>
      <c r="E343" s="482" t="s">
        <v>1140</v>
      </c>
    </row>
    <row r="344" customFormat="1" s="36">
      <c r="A344" s="485" t="s">
        <v>1506</v>
      </c>
      <c r="B344" s="485" t="s">
        <v>1507</v>
      </c>
      <c r="C344" s="482">
        <v>0.0</v>
      </c>
      <c r="D344" s="482" t="s">
        <v>893</v>
      </c>
      <c r="E344" s="482" t="s">
        <v>894</v>
      </c>
    </row>
    <row r="345" customFormat="1" s="36">
      <c r="A345" s="485" t="s">
        <v>1508</v>
      </c>
      <c r="B345" s="485" t="s">
        <v>1509</v>
      </c>
      <c r="C345" s="482">
        <v>0.0</v>
      </c>
      <c r="D345" s="482" t="s">
        <v>893</v>
      </c>
      <c r="E345" s="482" t="s">
        <v>894</v>
      </c>
    </row>
    <row r="346" customFormat="1" s="36">
      <c r="A346" s="485" t="s">
        <v>1510</v>
      </c>
      <c r="B346" s="485" t="s">
        <v>1511</v>
      </c>
      <c r="C346" s="482">
        <v>0.0</v>
      </c>
      <c r="D346" s="482" t="s">
        <v>893</v>
      </c>
      <c r="E346" s="482" t="s">
        <v>894</v>
      </c>
    </row>
    <row r="347" customFormat="1" s="36">
      <c r="A347" s="485" t="s">
        <v>1512</v>
      </c>
      <c r="B347" s="485" t="s">
        <v>1513</v>
      </c>
      <c r="C347" s="482">
        <v>0.0</v>
      </c>
      <c r="D347" s="482" t="s">
        <v>893</v>
      </c>
      <c r="E347" s="482" t="s">
        <v>894</v>
      </c>
    </row>
    <row r="348" customFormat="1" s="36">
      <c r="A348" s="485" t="s">
        <v>1514</v>
      </c>
      <c r="B348" s="485" t="s">
        <v>1515</v>
      </c>
      <c r="C348" s="482">
        <v>60.0</v>
      </c>
      <c r="D348" s="482" t="s">
        <v>913</v>
      </c>
      <c r="E348" s="482" t="s">
        <v>894</v>
      </c>
    </row>
    <row r="349" customFormat="1" s="36">
      <c r="A349" s="485" t="s">
        <v>1516</v>
      </c>
      <c r="B349" s="485" t="s">
        <v>1517</v>
      </c>
      <c r="C349" s="482">
        <v>475.0</v>
      </c>
      <c r="D349" s="482" t="s">
        <v>913</v>
      </c>
      <c r="E349" s="482" t="s">
        <v>894</v>
      </c>
    </row>
    <row r="350" customFormat="1" s="36">
      <c r="A350" s="485" t="s">
        <v>1518</v>
      </c>
      <c r="B350" s="485" t="s">
        <v>1519</v>
      </c>
      <c r="C350" s="482">
        <v>200.0</v>
      </c>
      <c r="D350" s="482" t="s">
        <v>913</v>
      </c>
      <c r="E350" s="482" t="s">
        <v>894</v>
      </c>
    </row>
    <row r="351" customFormat="1" s="36">
      <c r="A351" s="485" t="s">
        <v>1520</v>
      </c>
      <c r="B351" s="485" t="s">
        <v>1521</v>
      </c>
      <c r="C351" s="482">
        <v>461.0</v>
      </c>
      <c r="D351" s="482" t="s">
        <v>913</v>
      </c>
      <c r="E351" s="482" t="s">
        <v>894</v>
      </c>
    </row>
    <row r="352" customFormat="1" s="36">
      <c r="A352" s="485" t="s">
        <v>1522</v>
      </c>
      <c r="B352" s="485" t="s">
        <v>1523</v>
      </c>
      <c r="C352" s="482">
        <v>0.0</v>
      </c>
      <c r="D352" s="482" t="s">
        <v>913</v>
      </c>
      <c r="E352" s="482" t="s">
        <v>894</v>
      </c>
    </row>
    <row r="353" customFormat="1" s="36">
      <c r="A353" s="485" t="s">
        <v>1524</v>
      </c>
      <c r="B353" s="485" t="s">
        <v>1525</v>
      </c>
      <c r="C353" s="482">
        <v>0.0</v>
      </c>
      <c r="D353" s="482" t="s">
        <v>913</v>
      </c>
      <c r="E353" s="482" t="s">
        <v>894</v>
      </c>
    </row>
    <row r="354" customFormat="1" s="36">
      <c r="A354" s="485" t="s">
        <v>1526</v>
      </c>
      <c r="B354" s="485" t="s">
        <v>1527</v>
      </c>
      <c r="C354" s="482">
        <v>0.0</v>
      </c>
      <c r="D354" s="482" t="s">
        <v>913</v>
      </c>
      <c r="E354" s="482" t="s">
        <v>894</v>
      </c>
    </row>
    <row r="355" customFormat="1" s="36">
      <c r="A355" s="485" t="s">
        <v>1528</v>
      </c>
      <c r="B355" s="485" t="s">
        <v>1529</v>
      </c>
      <c r="C355" s="482">
        <v>0.0</v>
      </c>
      <c r="D355" s="482" t="s">
        <v>913</v>
      </c>
      <c r="E355" s="482" t="s">
        <v>894</v>
      </c>
    </row>
    <row r="356" customFormat="1" s="36">
      <c r="A356" s="485" t="s">
        <v>1530</v>
      </c>
      <c r="B356" s="485" t="s">
        <v>1531</v>
      </c>
      <c r="C356" s="482">
        <v>0.0</v>
      </c>
      <c r="D356" s="482" t="s">
        <v>913</v>
      </c>
      <c r="E356" s="482" t="s">
        <v>894</v>
      </c>
    </row>
    <row r="357" customFormat="1" s="36">
      <c r="A357" s="485" t="s">
        <v>1532</v>
      </c>
      <c r="B357" s="485" t="s">
        <v>1533</v>
      </c>
      <c r="C357" s="482">
        <v>0.0</v>
      </c>
      <c r="D357" s="482" t="s">
        <v>913</v>
      </c>
      <c r="E357" s="482" t="s">
        <v>894</v>
      </c>
    </row>
    <row r="358" customFormat="1" s="36">
      <c r="A358" s="485" t="s">
        <v>1534</v>
      </c>
      <c r="B358" s="485" t="s">
        <v>1535</v>
      </c>
      <c r="C358" s="482">
        <v>0.0</v>
      </c>
      <c r="D358" s="482" t="s">
        <v>913</v>
      </c>
      <c r="E358" s="482" t="s">
        <v>894</v>
      </c>
    </row>
    <row r="359" customFormat="1" s="36">
      <c r="A359" s="485" t="s">
        <v>1536</v>
      </c>
      <c r="B359" s="485" t="s">
        <v>1537</v>
      </c>
      <c r="C359" s="482">
        <v>0.0</v>
      </c>
      <c r="D359" s="482" t="s">
        <v>913</v>
      </c>
      <c r="E359" s="482" t="s">
        <v>894</v>
      </c>
    </row>
    <row r="360" customFormat="1" s="36">
      <c r="A360" s="485" t="s">
        <v>1538</v>
      </c>
      <c r="B360" s="485" t="s">
        <v>1539</v>
      </c>
      <c r="C360" s="482">
        <v>462.0</v>
      </c>
      <c r="D360" s="482" t="s">
        <v>913</v>
      </c>
      <c r="E360" s="482" t="s">
        <v>894</v>
      </c>
    </row>
    <row r="361" customFormat="1" s="36">
      <c r="A361" s="485" t="s">
        <v>1540</v>
      </c>
      <c r="B361" s="485" t="s">
        <v>1541</v>
      </c>
      <c r="C361" s="482">
        <v>336.0</v>
      </c>
      <c r="D361" s="482" t="s">
        <v>913</v>
      </c>
      <c r="E361" s="482" t="s">
        <v>894</v>
      </c>
    </row>
    <row r="362" customFormat="1" s="36">
      <c r="A362" s="485" t="s">
        <v>1542</v>
      </c>
      <c r="B362" s="485" t="s">
        <v>1543</v>
      </c>
      <c r="C362" s="482">
        <v>204.0</v>
      </c>
      <c r="D362" s="482" t="s">
        <v>913</v>
      </c>
      <c r="E362" s="482" t="s">
        <v>894</v>
      </c>
    </row>
    <row r="363" customFormat="1" s="36">
      <c r="A363" s="485" t="s">
        <v>1544</v>
      </c>
      <c r="B363" s="485" t="s">
        <v>1545</v>
      </c>
      <c r="C363" s="482">
        <v>500.0</v>
      </c>
      <c r="D363" s="482" t="s">
        <v>913</v>
      </c>
      <c r="E363" s="482" t="s">
        <v>894</v>
      </c>
    </row>
    <row r="364" customFormat="1" s="36">
      <c r="A364" s="485" t="s">
        <v>1546</v>
      </c>
      <c r="B364" s="485" t="s">
        <v>1547</v>
      </c>
      <c r="C364" s="482">
        <v>60.0</v>
      </c>
      <c r="D364" s="482" t="s">
        <v>913</v>
      </c>
      <c r="E364" s="482" t="s">
        <v>894</v>
      </c>
    </row>
    <row r="365" customFormat="1" s="36">
      <c r="A365" s="485" t="s">
        <v>1548</v>
      </c>
      <c r="B365" s="485" t="s">
        <v>1549</v>
      </c>
      <c r="C365" s="482">
        <v>316.0</v>
      </c>
      <c r="D365" s="482" t="s">
        <v>913</v>
      </c>
      <c r="E365" s="482" t="s">
        <v>894</v>
      </c>
    </row>
    <row r="366" customFormat="1" s="36">
      <c r="A366" s="485" t="s">
        <v>1550</v>
      </c>
      <c r="B366" s="485" t="s">
        <v>1551</v>
      </c>
      <c r="C366" s="482">
        <v>60.0</v>
      </c>
      <c r="D366" s="482" t="s">
        <v>913</v>
      </c>
      <c r="E366" s="482" t="s">
        <v>894</v>
      </c>
    </row>
    <row r="367" customFormat="1" s="36">
      <c r="A367" s="485" t="s">
        <v>1552</v>
      </c>
      <c r="B367" s="485" t="s">
        <v>1553</v>
      </c>
      <c r="C367" s="482">
        <v>209.0</v>
      </c>
      <c r="D367" s="482" t="s">
        <v>913</v>
      </c>
      <c r="E367" s="482" t="s">
        <v>894</v>
      </c>
    </row>
    <row r="368" customFormat="1" s="36">
      <c r="A368" s="485" t="s">
        <v>1554</v>
      </c>
      <c r="B368" s="485" t="s">
        <v>1555</v>
      </c>
      <c r="C368" s="482">
        <v>316.0</v>
      </c>
      <c r="D368" s="482" t="s">
        <v>913</v>
      </c>
      <c r="E368" s="482" t="s">
        <v>894</v>
      </c>
    </row>
    <row r="369" customFormat="1" s="36">
      <c r="A369" s="485" t="s">
        <v>1556</v>
      </c>
      <c r="B369" s="485" t="s">
        <v>1557</v>
      </c>
      <c r="C369" s="482">
        <v>651.0</v>
      </c>
      <c r="D369" s="482" t="s">
        <v>913</v>
      </c>
      <c r="E369" s="482" t="s">
        <v>894</v>
      </c>
    </row>
    <row r="370" customFormat="1" s="36">
      <c r="A370" s="485" t="s">
        <v>1558</v>
      </c>
      <c r="B370" s="485" t="s">
        <v>1559</v>
      </c>
      <c r="C370" s="482">
        <v>64.0</v>
      </c>
      <c r="D370" s="482" t="s">
        <v>913</v>
      </c>
      <c r="E370" s="482" t="s">
        <v>894</v>
      </c>
    </row>
    <row r="371" customFormat="1" s="36">
      <c r="A371" s="485" t="s">
        <v>1560</v>
      </c>
      <c r="B371" s="485" t="s">
        <v>1561</v>
      </c>
      <c r="C371" s="482">
        <v>480.0</v>
      </c>
      <c r="D371" s="482" t="s">
        <v>913</v>
      </c>
      <c r="E371" s="482" t="s">
        <v>894</v>
      </c>
    </row>
    <row r="372" customFormat="1" s="36">
      <c r="A372" s="485" t="s">
        <v>1562</v>
      </c>
      <c r="B372" s="485" t="s">
        <v>1563</v>
      </c>
      <c r="C372" s="482">
        <v>1359.0</v>
      </c>
      <c r="D372" s="482" t="s">
        <v>913</v>
      </c>
      <c r="E372" s="482" t="s">
        <v>894</v>
      </c>
    </row>
    <row r="373" customFormat="1" s="36">
      <c r="A373" s="485" t="s">
        <v>1564</v>
      </c>
      <c r="B373" s="485" t="s">
        <v>1565</v>
      </c>
      <c r="C373" s="482">
        <v>102.0</v>
      </c>
      <c r="D373" s="482" t="s">
        <v>913</v>
      </c>
      <c r="E373" s="482" t="s">
        <v>894</v>
      </c>
    </row>
    <row r="374" customFormat="1" s="36">
      <c r="A374" s="485" t="s">
        <v>1566</v>
      </c>
      <c r="B374" s="485" t="s">
        <v>1567</v>
      </c>
      <c r="C374" s="482">
        <v>451.0</v>
      </c>
      <c r="D374" s="482" t="s">
        <v>913</v>
      </c>
      <c r="E374" s="482" t="s">
        <v>894</v>
      </c>
    </row>
    <row r="375" customFormat="1" s="36">
      <c r="A375" s="485" t="s">
        <v>1568</v>
      </c>
      <c r="B375" s="485" t="s">
        <v>1569</v>
      </c>
      <c r="C375" s="482">
        <v>558.0</v>
      </c>
      <c r="D375" s="482" t="s">
        <v>913</v>
      </c>
      <c r="E375" s="482" t="s">
        <v>894</v>
      </c>
    </row>
    <row r="376" customFormat="1" s="36">
      <c r="A376" s="485" t="s">
        <v>1570</v>
      </c>
      <c r="B376" s="485" t="s">
        <v>1571</v>
      </c>
      <c r="C376" s="482">
        <v>120.0</v>
      </c>
      <c r="D376" s="482" t="s">
        <v>913</v>
      </c>
      <c r="E376" s="482" t="s">
        <v>894</v>
      </c>
    </row>
    <row r="377" customFormat="1" s="36">
      <c r="A377" s="485" t="s">
        <v>1572</v>
      </c>
      <c r="B377" s="485" t="s">
        <v>1573</v>
      </c>
      <c r="C377" s="482">
        <v>167.0</v>
      </c>
      <c r="D377" s="482" t="s">
        <v>913</v>
      </c>
      <c r="E377" s="482" t="s">
        <v>894</v>
      </c>
    </row>
    <row r="378" customFormat="1" s="36">
      <c r="A378" s="485" t="s">
        <v>1574</v>
      </c>
      <c r="B378" s="485" t="s">
        <v>1575</v>
      </c>
      <c r="C378" s="482">
        <v>706.0</v>
      </c>
      <c r="D378" s="482" t="s">
        <v>913</v>
      </c>
      <c r="E378" s="482" t="s">
        <v>894</v>
      </c>
    </row>
    <row r="379" customFormat="1" s="36">
      <c r="A379" s="485" t="s">
        <v>1576</v>
      </c>
      <c r="B379" s="485" t="s">
        <v>1577</v>
      </c>
      <c r="C379" s="482">
        <v>454.0</v>
      </c>
      <c r="D379" s="482" t="s">
        <v>913</v>
      </c>
      <c r="E379" s="482" t="s">
        <v>894</v>
      </c>
    </row>
    <row r="380" customFormat="1" s="36">
      <c r="A380" s="485" t="s">
        <v>1578</v>
      </c>
      <c r="B380" s="485" t="s">
        <v>1579</v>
      </c>
      <c r="C380" s="482">
        <v>60.0</v>
      </c>
      <c r="D380" s="482" t="s">
        <v>913</v>
      </c>
      <c r="E380" s="482" t="s">
        <v>894</v>
      </c>
    </row>
    <row r="381" customFormat="1" s="36">
      <c r="A381" s="485" t="s">
        <v>1580</v>
      </c>
      <c r="B381" s="485" t="s">
        <v>1581</v>
      </c>
      <c r="C381" s="482">
        <v>350.0</v>
      </c>
      <c r="D381" s="482" t="s">
        <v>913</v>
      </c>
      <c r="E381" s="482" t="s">
        <v>894</v>
      </c>
    </row>
    <row r="382" customFormat="1" s="36">
      <c r="A382" s="485" t="s">
        <v>1582</v>
      </c>
      <c r="B382" s="485" t="s">
        <v>1583</v>
      </c>
      <c r="C382" s="482">
        <v>529.0</v>
      </c>
      <c r="D382" s="482" t="s">
        <v>913</v>
      </c>
      <c r="E382" s="482" t="s">
        <v>894</v>
      </c>
    </row>
    <row r="383" customFormat="1" s="36">
      <c r="A383" s="485" t="s">
        <v>1584</v>
      </c>
      <c r="B383" s="485" t="s">
        <v>1585</v>
      </c>
      <c r="C383" s="482">
        <v>129.0</v>
      </c>
      <c r="D383" s="482" t="s">
        <v>913</v>
      </c>
      <c r="E383" s="482" t="s">
        <v>894</v>
      </c>
    </row>
    <row r="384" customFormat="1" s="36">
      <c r="A384" s="485" t="s">
        <v>1586</v>
      </c>
      <c r="B384" s="485" t="s">
        <v>1587</v>
      </c>
      <c r="C384" s="482">
        <v>159.0</v>
      </c>
      <c r="D384" s="482" t="s">
        <v>913</v>
      </c>
      <c r="E384" s="482" t="s">
        <v>894</v>
      </c>
    </row>
    <row r="385" customFormat="1" s="36">
      <c r="A385" s="485" t="s">
        <v>1588</v>
      </c>
      <c r="B385" s="485" t="s">
        <v>1589</v>
      </c>
      <c r="C385" s="482">
        <v>480.0</v>
      </c>
      <c r="D385" s="482" t="s">
        <v>913</v>
      </c>
      <c r="E385" s="482" t="s">
        <v>894</v>
      </c>
    </row>
    <row r="386" customFormat="1" s="36">
      <c r="A386" s="485" t="s">
        <v>1590</v>
      </c>
      <c r="B386" s="485" t="s">
        <v>1591</v>
      </c>
      <c r="C386" s="482">
        <v>302.0</v>
      </c>
      <c r="D386" s="482" t="s">
        <v>913</v>
      </c>
      <c r="E386" s="482" t="s">
        <v>894</v>
      </c>
    </row>
    <row r="387" customFormat="1" s="36">
      <c r="A387" s="485" t="s">
        <v>1592</v>
      </c>
      <c r="B387" s="485" t="s">
        <v>1593</v>
      </c>
      <c r="C387" s="482">
        <v>330.0</v>
      </c>
      <c r="D387" s="482" t="s">
        <v>913</v>
      </c>
      <c r="E387" s="482" t="s">
        <v>894</v>
      </c>
    </row>
    <row r="388" customFormat="1" s="36">
      <c r="A388" s="485" t="s">
        <v>1594</v>
      </c>
      <c r="B388" s="485" t="s">
        <v>1595</v>
      </c>
      <c r="C388" s="482">
        <v>58.0</v>
      </c>
      <c r="D388" s="482" t="s">
        <v>913</v>
      </c>
      <c r="E388" s="482" t="s">
        <v>894</v>
      </c>
    </row>
    <row r="389" customFormat="1" s="36">
      <c r="A389" s="485" t="s">
        <v>1596</v>
      </c>
      <c r="B389" s="485" t="s">
        <v>1597</v>
      </c>
      <c r="C389" s="482">
        <v>161.0</v>
      </c>
      <c r="D389" s="482" t="s">
        <v>913</v>
      </c>
      <c r="E389" s="482" t="s">
        <v>894</v>
      </c>
    </row>
    <row r="390" customFormat="1" s="36">
      <c r="A390" s="485" t="s">
        <v>1598</v>
      </c>
      <c r="B390" s="485" t="s">
        <v>1599</v>
      </c>
      <c r="C390" s="482">
        <v>544.0</v>
      </c>
      <c r="D390" s="482" t="s">
        <v>913</v>
      </c>
      <c r="E390" s="482" t="s">
        <v>894</v>
      </c>
    </row>
    <row r="391" customFormat="1" s="36">
      <c r="A391" s="485" t="s">
        <v>1600</v>
      </c>
      <c r="B391" s="485" t="s">
        <v>1601</v>
      </c>
      <c r="C391" s="482">
        <v>187.0</v>
      </c>
      <c r="D391" s="482" t="s">
        <v>913</v>
      </c>
      <c r="E391" s="482" t="s">
        <v>894</v>
      </c>
    </row>
    <row r="392" customFormat="1" s="36">
      <c r="A392" s="485" t="s">
        <v>1602</v>
      </c>
      <c r="B392" s="485" t="s">
        <v>1603</v>
      </c>
      <c r="C392" s="482">
        <v>482.0</v>
      </c>
      <c r="D392" s="482" t="s">
        <v>913</v>
      </c>
      <c r="E392" s="482" t="s">
        <v>894</v>
      </c>
    </row>
    <row r="393" customFormat="1" s="36">
      <c r="A393" s="485" t="s">
        <v>1604</v>
      </c>
      <c r="B393" s="485" t="s">
        <v>1605</v>
      </c>
      <c r="C393" s="482">
        <v>459.0</v>
      </c>
      <c r="D393" s="482" t="s">
        <v>913</v>
      </c>
      <c r="E393" s="482" t="s">
        <v>894</v>
      </c>
    </row>
    <row r="394" customFormat="1" s="36">
      <c r="A394" s="485" t="s">
        <v>1606</v>
      </c>
      <c r="B394" s="485" t="s">
        <v>1607</v>
      </c>
      <c r="C394" s="482">
        <v>309.0</v>
      </c>
      <c r="D394" s="482" t="s">
        <v>913</v>
      </c>
      <c r="E394" s="482" t="s">
        <v>894</v>
      </c>
    </row>
    <row r="395" customFormat="1" s="36">
      <c r="A395" s="485" t="s">
        <v>1608</v>
      </c>
      <c r="B395" s="485" t="s">
        <v>1609</v>
      </c>
      <c r="C395" s="482">
        <v>625.0</v>
      </c>
      <c r="D395" s="482" t="s">
        <v>913</v>
      </c>
      <c r="E395" s="482" t="s">
        <v>894</v>
      </c>
    </row>
    <row r="396" customFormat="1" s="36">
      <c r="A396" s="485" t="s">
        <v>1610</v>
      </c>
      <c r="B396" s="485" t="s">
        <v>1611</v>
      </c>
      <c r="C396" s="482">
        <v>300.0</v>
      </c>
      <c r="D396" s="482" t="s">
        <v>913</v>
      </c>
      <c r="E396" s="482" t="s">
        <v>894</v>
      </c>
    </row>
    <row r="397" customFormat="1" s="36">
      <c r="A397" s="485" t="s">
        <v>1612</v>
      </c>
      <c r="B397" s="485" t="s">
        <v>1613</v>
      </c>
      <c r="C397" s="482">
        <v>488.0</v>
      </c>
      <c r="D397" s="482" t="s">
        <v>913</v>
      </c>
      <c r="E397" s="482" t="s">
        <v>894</v>
      </c>
    </row>
    <row r="398" customFormat="1" s="36">
      <c r="A398" s="485" t="s">
        <v>1614</v>
      </c>
      <c r="B398" s="485" t="s">
        <v>1615</v>
      </c>
      <c r="C398" s="482">
        <v>149.0</v>
      </c>
      <c r="D398" s="482" t="s">
        <v>913</v>
      </c>
      <c r="E398" s="482" t="s">
        <v>894</v>
      </c>
    </row>
    <row r="399" customFormat="1" s="36">
      <c r="A399" s="485" t="s">
        <v>1616</v>
      </c>
      <c r="B399" s="485" t="s">
        <v>1617</v>
      </c>
      <c r="C399" s="482">
        <v>541.0</v>
      </c>
      <c r="D399" s="482" t="s">
        <v>913</v>
      </c>
      <c r="E399" s="482" t="s">
        <v>894</v>
      </c>
    </row>
    <row r="400" customFormat="1" s="36">
      <c r="A400" s="485" t="s">
        <v>1618</v>
      </c>
      <c r="B400" s="485" t="s">
        <v>1619</v>
      </c>
      <c r="C400" s="482">
        <v>399.0</v>
      </c>
      <c r="D400" s="482" t="s">
        <v>913</v>
      </c>
      <c r="E400" s="482" t="s">
        <v>894</v>
      </c>
    </row>
    <row r="401" customFormat="1" s="36">
      <c r="A401" s="485" t="s">
        <v>1620</v>
      </c>
      <c r="B401" s="485" t="s">
        <v>1621</v>
      </c>
      <c r="C401" s="482">
        <v>390.0</v>
      </c>
      <c r="D401" s="482" t="s">
        <v>913</v>
      </c>
      <c r="E401" s="482" t="s">
        <v>894</v>
      </c>
    </row>
    <row r="402" customFormat="1" s="36">
      <c r="A402" s="485" t="s">
        <v>1622</v>
      </c>
      <c r="B402" s="485" t="s">
        <v>1623</v>
      </c>
      <c r="C402" s="482">
        <v>529.0</v>
      </c>
      <c r="D402" s="482" t="s">
        <v>913</v>
      </c>
      <c r="E402" s="482" t="s">
        <v>894</v>
      </c>
    </row>
    <row r="403" customFormat="1" s="36">
      <c r="A403" s="485" t="s">
        <v>1624</v>
      </c>
      <c r="B403" s="485" t="s">
        <v>1625</v>
      </c>
      <c r="C403" s="482">
        <v>240.0</v>
      </c>
      <c r="D403" s="482" t="s">
        <v>913</v>
      </c>
      <c r="E403" s="482" t="s">
        <v>894</v>
      </c>
    </row>
    <row r="404" customFormat="1" s="36">
      <c r="A404" s="485" t="s">
        <v>1626</v>
      </c>
      <c r="B404" s="485" t="s">
        <v>1627</v>
      </c>
      <c r="C404" s="482">
        <v>0.0</v>
      </c>
      <c r="D404" s="482" t="s">
        <v>893</v>
      </c>
      <c r="E404" s="482" t="s">
        <v>894</v>
      </c>
    </row>
    <row r="405" customFormat="1" s="36">
      <c r="A405" s="485" t="s">
        <v>1628</v>
      </c>
      <c r="B405" s="485" t="s">
        <v>1629</v>
      </c>
      <c r="C405" s="482">
        <v>3.0</v>
      </c>
      <c r="D405" s="482" t="s">
        <v>893</v>
      </c>
      <c r="E405" s="482" t="s">
        <v>894</v>
      </c>
    </row>
    <row r="406" customFormat="1" s="36">
      <c r="A406" s="485" t="s">
        <v>1630</v>
      </c>
      <c r="B406" s="485" t="s">
        <v>1631</v>
      </c>
      <c r="C406" s="482">
        <v>0.0</v>
      </c>
      <c r="D406" s="482" t="s">
        <v>893</v>
      </c>
      <c r="E406" s="482" t="s">
        <v>894</v>
      </c>
    </row>
    <row r="407" customFormat="1" s="36">
      <c r="A407" s="485" t="s">
        <v>1632</v>
      </c>
      <c r="B407" s="485" t="s">
        <v>1633</v>
      </c>
      <c r="C407" s="482">
        <v>0.0</v>
      </c>
      <c r="D407" s="482" t="s">
        <v>893</v>
      </c>
      <c r="E407" s="482" t="s">
        <v>894</v>
      </c>
    </row>
    <row r="408" customFormat="1" s="36">
      <c r="A408" s="485" t="s">
        <v>1634</v>
      </c>
      <c r="B408" s="485" t="s">
        <v>1635</v>
      </c>
      <c r="C408" s="482">
        <v>0.0</v>
      </c>
      <c r="D408" s="482" t="s">
        <v>893</v>
      </c>
      <c r="E408" s="482" t="s">
        <v>894</v>
      </c>
    </row>
    <row r="409" customFormat="1" s="36">
      <c r="A409" s="485" t="s">
        <v>1636</v>
      </c>
      <c r="B409" s="485" t="s">
        <v>1637</v>
      </c>
      <c r="C409" s="482">
        <v>0.0</v>
      </c>
      <c r="D409" s="482" t="s">
        <v>893</v>
      </c>
      <c r="E409" s="482" t="s">
        <v>894</v>
      </c>
    </row>
    <row r="410" customFormat="1" s="36">
      <c r="A410" s="485" t="s">
        <v>1638</v>
      </c>
      <c r="B410" s="485" t="s">
        <v>1639</v>
      </c>
      <c r="C410" s="482">
        <v>0.0</v>
      </c>
      <c r="D410" s="482" t="s">
        <v>893</v>
      </c>
      <c r="E410" s="482" t="s">
        <v>894</v>
      </c>
    </row>
    <row r="411" customFormat="1" s="36">
      <c r="A411" s="485" t="s">
        <v>1640</v>
      </c>
      <c r="B411" s="485" t="s">
        <v>1641</v>
      </c>
      <c r="C411" s="482">
        <v>0.0</v>
      </c>
      <c r="D411" s="482" t="s">
        <v>893</v>
      </c>
      <c r="E411" s="482" t="s">
        <v>894</v>
      </c>
    </row>
    <row r="412" customFormat="1" s="36">
      <c r="A412" s="485" t="s">
        <v>1642</v>
      </c>
      <c r="B412" s="485" t="s">
        <v>1643</v>
      </c>
      <c r="C412" s="482">
        <v>0.0</v>
      </c>
      <c r="D412" s="482" t="s">
        <v>893</v>
      </c>
      <c r="E412" s="482" t="s">
        <v>894</v>
      </c>
    </row>
    <row r="413" customFormat="1" s="36">
      <c r="A413" s="485" t="s">
        <v>1644</v>
      </c>
      <c r="B413" s="485" t="s">
        <v>1645</v>
      </c>
      <c r="C413" s="482">
        <v>0.0</v>
      </c>
      <c r="D413" s="482" t="s">
        <v>893</v>
      </c>
      <c r="E413" s="482" t="s">
        <v>894</v>
      </c>
    </row>
    <row r="414" customFormat="1" s="36">
      <c r="A414" s="485" t="s">
        <v>1646</v>
      </c>
      <c r="B414" s="485" t="s">
        <v>1647</v>
      </c>
      <c r="C414" s="482">
        <v>0.0</v>
      </c>
      <c r="D414" s="482" t="s">
        <v>893</v>
      </c>
      <c r="E414" s="482" t="s">
        <v>894</v>
      </c>
    </row>
    <row r="415" customFormat="1" s="36">
      <c r="A415" s="485" t="s">
        <v>1648</v>
      </c>
      <c r="B415" s="485" t="s">
        <v>1649</v>
      </c>
      <c r="C415" s="482">
        <v>0.0</v>
      </c>
      <c r="D415" s="482" t="s">
        <v>893</v>
      </c>
      <c r="E415" s="482" t="s">
        <v>894</v>
      </c>
    </row>
    <row r="416" customFormat="1" s="36">
      <c r="A416" s="485" t="s">
        <v>1650</v>
      </c>
      <c r="B416" s="485" t="s">
        <v>1651</v>
      </c>
      <c r="C416" s="482">
        <v>0.0</v>
      </c>
      <c r="D416" s="482" t="s">
        <v>893</v>
      </c>
      <c r="E416" s="482" t="s">
        <v>894</v>
      </c>
    </row>
    <row r="417" customFormat="1" s="36">
      <c r="A417" s="485" t="s">
        <v>1652</v>
      </c>
      <c r="B417" s="485" t="s">
        <v>1653</v>
      </c>
      <c r="C417" s="482">
        <v>-48.0</v>
      </c>
      <c r="D417" s="482" t="s">
        <v>913</v>
      </c>
      <c r="E417" s="482" t="s">
        <v>894</v>
      </c>
    </row>
    <row r="418" customFormat="1" s="36">
      <c r="A418" s="485" t="s">
        <v>1654</v>
      </c>
      <c r="B418" s="485" t="s">
        <v>1655</v>
      </c>
      <c r="C418" s="482">
        <v>54.0</v>
      </c>
      <c r="D418" s="482" t="s">
        <v>913</v>
      </c>
      <c r="E418" s="482" t="s">
        <v>894</v>
      </c>
    </row>
    <row r="419" customFormat="1" s="36">
      <c r="A419" s="485" t="s">
        <v>1656</v>
      </c>
      <c r="B419" s="485" t="s">
        <v>1657</v>
      </c>
      <c r="C419" s="482">
        <v>48.0</v>
      </c>
      <c r="D419" s="482" t="s">
        <v>913</v>
      </c>
      <c r="E419" s="482" t="s">
        <v>894</v>
      </c>
    </row>
    <row r="420" customFormat="1" s="36">
      <c r="A420" s="485" t="s">
        <v>1658</v>
      </c>
      <c r="B420" s="485" t="s">
        <v>1659</v>
      </c>
      <c r="C420" s="482">
        <v>132.0</v>
      </c>
      <c r="D420" s="482" t="s">
        <v>913</v>
      </c>
      <c r="E420" s="482" t="s">
        <v>894</v>
      </c>
    </row>
    <row r="421" customFormat="1" s="36">
      <c r="A421" s="485" t="s">
        <v>1660</v>
      </c>
      <c r="B421" s="485" t="s">
        <v>1661</v>
      </c>
      <c r="C421" s="482">
        <v>129.0</v>
      </c>
      <c r="D421" s="482" t="s">
        <v>913</v>
      </c>
      <c r="E421" s="482" t="s">
        <v>894</v>
      </c>
    </row>
    <row r="422" customFormat="1" s="36">
      <c r="A422" s="485" t="s">
        <v>1662</v>
      </c>
      <c r="B422" s="485" t="s">
        <v>1663</v>
      </c>
      <c r="C422" s="482">
        <v>180.0</v>
      </c>
      <c r="D422" s="482" t="s">
        <v>913</v>
      </c>
      <c r="E422" s="482" t="s">
        <v>894</v>
      </c>
    </row>
    <row r="423" customFormat="1" s="36">
      <c r="A423" s="485" t="s">
        <v>1664</v>
      </c>
      <c r="B423" s="485" t="s">
        <v>1665</v>
      </c>
      <c r="C423" s="482">
        <v>29.0</v>
      </c>
      <c r="D423" s="482" t="s">
        <v>913</v>
      </c>
      <c r="E423" s="482" t="s">
        <v>894</v>
      </c>
    </row>
    <row r="424" customFormat="1" s="36">
      <c r="A424" s="485" t="s">
        <v>1666</v>
      </c>
      <c r="B424" s="485" t="s">
        <v>1667</v>
      </c>
      <c r="C424" s="482">
        <v>96.0</v>
      </c>
      <c r="D424" s="482" t="s">
        <v>913</v>
      </c>
      <c r="E424" s="482" t="s">
        <v>894</v>
      </c>
    </row>
    <row r="425" customFormat="1" s="36">
      <c r="A425" s="485" t="s">
        <v>1668</v>
      </c>
      <c r="B425" s="485" t="s">
        <v>1669</v>
      </c>
      <c r="C425" s="482">
        <v>54.0</v>
      </c>
      <c r="D425" s="482" t="s">
        <v>913</v>
      </c>
      <c r="E425" s="482" t="s">
        <v>894</v>
      </c>
    </row>
    <row r="426" customFormat="1" s="36">
      <c r="A426" s="485" t="s">
        <v>1670</v>
      </c>
      <c r="B426" s="485" t="s">
        <v>1671</v>
      </c>
      <c r="C426" s="482">
        <v>-12.0</v>
      </c>
      <c r="D426" s="482" t="s">
        <v>913</v>
      </c>
      <c r="E426" s="482" t="s">
        <v>894</v>
      </c>
    </row>
    <row r="427" customFormat="1" s="36">
      <c r="A427" s="485" t="s">
        <v>1672</v>
      </c>
      <c r="B427" s="485" t="s">
        <v>1673</v>
      </c>
      <c r="C427" s="482">
        <v>114.0</v>
      </c>
      <c r="D427" s="482" t="s">
        <v>913</v>
      </c>
      <c r="E427" s="482" t="s">
        <v>894</v>
      </c>
    </row>
    <row r="428" customFormat="1" s="36">
      <c r="A428" s="485" t="s">
        <v>1674</v>
      </c>
      <c r="B428" s="485" t="s">
        <v>1675</v>
      </c>
      <c r="C428" s="482">
        <v>48.0</v>
      </c>
      <c r="D428" s="482" t="s">
        <v>913</v>
      </c>
      <c r="E428" s="482" t="s">
        <v>894</v>
      </c>
    </row>
    <row r="429" customFormat="1" s="36">
      <c r="A429" s="485" t="s">
        <v>1676</v>
      </c>
      <c r="B429" s="485" t="s">
        <v>1677</v>
      </c>
      <c r="C429" s="482">
        <v>214.0</v>
      </c>
      <c r="D429" s="482" t="s">
        <v>913</v>
      </c>
      <c r="E429" s="482" t="s">
        <v>894</v>
      </c>
    </row>
    <row r="430" customFormat="1" s="36">
      <c r="A430" s="485" t="s">
        <v>1678</v>
      </c>
      <c r="B430" s="485" t="s">
        <v>1679</v>
      </c>
      <c r="C430" s="482">
        <v>228.0</v>
      </c>
      <c r="D430" s="482" t="s">
        <v>913</v>
      </c>
      <c r="E430" s="482" t="s">
        <v>894</v>
      </c>
    </row>
    <row r="431" customFormat="1" s="36">
      <c r="A431" s="485" t="s">
        <v>1680</v>
      </c>
      <c r="B431" s="485" t="s">
        <v>1681</v>
      </c>
      <c r="C431" s="482">
        <v>258.0</v>
      </c>
      <c r="D431" s="482" t="s">
        <v>913</v>
      </c>
      <c r="E431" s="482" t="s">
        <v>894</v>
      </c>
    </row>
    <row r="432" customFormat="1" s="36">
      <c r="A432" s="485" t="s">
        <v>1682</v>
      </c>
      <c r="B432" s="485" t="s">
        <v>1683</v>
      </c>
      <c r="C432" s="482">
        <v>111.0</v>
      </c>
      <c r="D432" s="482" t="s">
        <v>913</v>
      </c>
      <c r="E432" s="482" t="s">
        <v>894</v>
      </c>
    </row>
    <row r="433" customFormat="1" s="36">
      <c r="A433" s="485" t="s">
        <v>1684</v>
      </c>
      <c r="B433" s="485" t="s">
        <v>1685</v>
      </c>
      <c r="C433" s="482">
        <v>119.0</v>
      </c>
      <c r="D433" s="482" t="s">
        <v>913</v>
      </c>
      <c r="E433" s="482" t="s">
        <v>894</v>
      </c>
    </row>
    <row r="434" customFormat="1" s="36">
      <c r="A434" s="485" t="s">
        <v>1686</v>
      </c>
      <c r="B434" s="485" t="s">
        <v>1687</v>
      </c>
      <c r="C434" s="482">
        <v>0.0</v>
      </c>
      <c r="D434" s="482" t="s">
        <v>913</v>
      </c>
      <c r="E434" s="482" t="s">
        <v>894</v>
      </c>
    </row>
    <row r="435" customFormat="1" s="36">
      <c r="A435" s="485" t="s">
        <v>1688</v>
      </c>
      <c r="B435" s="485" t="s">
        <v>1689</v>
      </c>
      <c r="C435" s="482">
        <v>0.0</v>
      </c>
      <c r="D435" s="482" t="s">
        <v>913</v>
      </c>
      <c r="E435" s="482" t="s">
        <v>894</v>
      </c>
    </row>
    <row r="436" customFormat="1" s="36">
      <c r="A436" s="485" t="s">
        <v>1690</v>
      </c>
      <c r="B436" s="485" t="s">
        <v>1691</v>
      </c>
      <c r="C436" s="482">
        <v>0.0</v>
      </c>
      <c r="D436" s="482" t="s">
        <v>913</v>
      </c>
      <c r="E436" s="482" t="s">
        <v>894</v>
      </c>
    </row>
    <row r="437" customFormat="1" s="36">
      <c r="A437" s="485" t="s">
        <v>1692</v>
      </c>
      <c r="B437" s="485" t="s">
        <v>1693</v>
      </c>
      <c r="C437" s="482">
        <v>153.0</v>
      </c>
      <c r="D437" s="482" t="s">
        <v>913</v>
      </c>
      <c r="E437" s="482" t="s">
        <v>894</v>
      </c>
    </row>
    <row r="438" customFormat="1" s="36">
      <c r="A438" s="485" t="s">
        <v>1694</v>
      </c>
      <c r="B438" s="485" t="s">
        <v>1695</v>
      </c>
      <c r="C438" s="482">
        <v>51.0</v>
      </c>
      <c r="D438" s="482" t="s">
        <v>913</v>
      </c>
      <c r="E438" s="482" t="s">
        <v>894</v>
      </c>
    </row>
    <row r="439" customFormat="1" s="36">
      <c r="A439" s="485" t="s">
        <v>1696</v>
      </c>
      <c r="B439" s="485" t="s">
        <v>1697</v>
      </c>
      <c r="C439" s="482">
        <v>0.0</v>
      </c>
      <c r="D439" s="482" t="s">
        <v>913</v>
      </c>
      <c r="E439" s="482" t="s">
        <v>894</v>
      </c>
    </row>
    <row r="440" customFormat="1" s="36">
      <c r="A440" s="485" t="s">
        <v>1698</v>
      </c>
      <c r="B440" s="485" t="s">
        <v>1699</v>
      </c>
      <c r="C440" s="482">
        <v>144.0</v>
      </c>
      <c r="D440" s="482" t="s">
        <v>913</v>
      </c>
      <c r="E440" s="482" t="s">
        <v>894</v>
      </c>
    </row>
    <row r="441" customFormat="1" s="36">
      <c r="A441" s="485" t="s">
        <v>1700</v>
      </c>
      <c r="B441" s="485" t="s">
        <v>1701</v>
      </c>
      <c r="C441" s="482">
        <v>0.0</v>
      </c>
      <c r="D441" s="482" t="s">
        <v>913</v>
      </c>
      <c r="E441" s="482" t="s">
        <v>894</v>
      </c>
    </row>
    <row r="442" customFormat="1" s="36">
      <c r="A442" s="485" t="s">
        <v>1702</v>
      </c>
      <c r="B442" s="485" t="s">
        <v>1703</v>
      </c>
      <c r="C442" s="482">
        <v>0.0</v>
      </c>
      <c r="D442" s="482" t="s">
        <v>913</v>
      </c>
      <c r="E442" s="482" t="s">
        <v>894</v>
      </c>
    </row>
    <row r="443" customFormat="1" s="36">
      <c r="A443" s="485" t="s">
        <v>1704</v>
      </c>
      <c r="B443" s="485" t="s">
        <v>1705</v>
      </c>
      <c r="C443" s="482">
        <v>0.0</v>
      </c>
      <c r="D443" s="482" t="s">
        <v>913</v>
      </c>
      <c r="E443" s="482" t="s">
        <v>894</v>
      </c>
    </row>
    <row r="444" customFormat="1" s="36">
      <c r="A444" s="485" t="s">
        <v>1706</v>
      </c>
      <c r="B444" s="485" t="s">
        <v>1707</v>
      </c>
      <c r="C444" s="482">
        <v>0.0</v>
      </c>
      <c r="D444" s="482" t="s">
        <v>913</v>
      </c>
      <c r="E444" s="482" t="s">
        <v>894</v>
      </c>
    </row>
    <row r="445" customFormat="1" s="36">
      <c r="A445" s="485" t="s">
        <v>1708</v>
      </c>
      <c r="B445" s="485" t="s">
        <v>1709</v>
      </c>
      <c r="C445" s="482">
        <v>0.0</v>
      </c>
      <c r="D445" s="482" t="s">
        <v>913</v>
      </c>
      <c r="E445" s="482" t="s">
        <v>894</v>
      </c>
    </row>
    <row r="446" customFormat="1" s="36">
      <c r="A446" s="485" t="s">
        <v>1710</v>
      </c>
      <c r="B446" s="485" t="s">
        <v>1711</v>
      </c>
      <c r="C446" s="482">
        <v>167.0</v>
      </c>
      <c r="D446" s="482" t="s">
        <v>913</v>
      </c>
      <c r="E446" s="482" t="s">
        <v>894</v>
      </c>
    </row>
    <row r="447" customFormat="1" s="36">
      <c r="A447" s="485" t="s">
        <v>1712</v>
      </c>
      <c r="B447" s="485" t="s">
        <v>1713</v>
      </c>
      <c r="C447" s="482">
        <v>60.0</v>
      </c>
      <c r="D447" s="482" t="s">
        <v>913</v>
      </c>
      <c r="E447" s="482" t="s">
        <v>894</v>
      </c>
    </row>
    <row r="448" customFormat="1" s="36">
      <c r="A448" s="485" t="s">
        <v>1714</v>
      </c>
      <c r="B448" s="485" t="s">
        <v>1715</v>
      </c>
      <c r="C448" s="482">
        <v>-21.0</v>
      </c>
      <c r="D448" s="482" t="s">
        <v>913</v>
      </c>
      <c r="E448" s="482" t="s">
        <v>894</v>
      </c>
    </row>
    <row r="449" customFormat="1" s="36">
      <c r="A449" s="485" t="s">
        <v>1716</v>
      </c>
      <c r="B449" s="485" t="s">
        <v>1717</v>
      </c>
      <c r="C449" s="482">
        <v>0.0</v>
      </c>
      <c r="D449" s="482" t="s">
        <v>913</v>
      </c>
      <c r="E449" s="482" t="s">
        <v>894</v>
      </c>
    </row>
    <row r="450" customFormat="1" s="36">
      <c r="A450" s="485" t="s">
        <v>1718</v>
      </c>
      <c r="B450" s="485" t="s">
        <v>1719</v>
      </c>
      <c r="C450" s="482">
        <v>0.0</v>
      </c>
      <c r="D450" s="482" t="s">
        <v>913</v>
      </c>
      <c r="E450" s="482" t="s">
        <v>894</v>
      </c>
    </row>
    <row r="451" customFormat="1" s="36">
      <c r="A451" s="485" t="s">
        <v>1720</v>
      </c>
      <c r="B451" s="485" t="s">
        <v>1721</v>
      </c>
      <c r="C451" s="482">
        <v>61.0</v>
      </c>
      <c r="D451" s="482" t="s">
        <v>913</v>
      </c>
      <c r="E451" s="482" t="s">
        <v>894</v>
      </c>
    </row>
    <row r="452" customFormat="1" s="36">
      <c r="A452" s="485" t="s">
        <v>1722</v>
      </c>
      <c r="B452" s="485" t="s">
        <v>1723</v>
      </c>
      <c r="C452" s="482">
        <v>-1.0</v>
      </c>
      <c r="D452" s="482" t="s">
        <v>913</v>
      </c>
      <c r="E452" s="482" t="s">
        <v>894</v>
      </c>
    </row>
    <row r="453" customFormat="1" s="36">
      <c r="A453" s="485" t="s">
        <v>1724</v>
      </c>
      <c r="B453" s="485" t="s">
        <v>1725</v>
      </c>
      <c r="C453" s="482">
        <v>52.0</v>
      </c>
      <c r="D453" s="482" t="s">
        <v>913</v>
      </c>
      <c r="E453" s="482" t="s">
        <v>1140</v>
      </c>
    </row>
    <row r="454" customFormat="1" s="36">
      <c r="A454" s="485" t="s">
        <v>1726</v>
      </c>
      <c r="B454" s="485" t="s">
        <v>1727</v>
      </c>
      <c r="C454" s="482">
        <v>6.0</v>
      </c>
      <c r="D454" s="482" t="s">
        <v>913</v>
      </c>
      <c r="E454" s="482" t="s">
        <v>1140</v>
      </c>
    </row>
    <row r="455" customFormat="1" s="36">
      <c r="A455" s="485" t="s">
        <v>1728</v>
      </c>
      <c r="B455" s="485" t="s">
        <v>1729</v>
      </c>
      <c r="C455" s="482">
        <v>0.0</v>
      </c>
      <c r="D455" s="482" t="s">
        <v>913</v>
      </c>
      <c r="E455" s="482" t="s">
        <v>1140</v>
      </c>
    </row>
    <row r="456" customFormat="1" s="36">
      <c r="A456" s="485" t="s">
        <v>1730</v>
      </c>
      <c r="B456" s="485" t="s">
        <v>1731</v>
      </c>
      <c r="C456" s="482">
        <v>4.0</v>
      </c>
      <c r="D456" s="482" t="s">
        <v>913</v>
      </c>
      <c r="E456" s="482" t="s">
        <v>1140</v>
      </c>
    </row>
    <row r="457" customFormat="1" s="36">
      <c r="A457" s="485" t="s">
        <v>1732</v>
      </c>
      <c r="B457" s="485" t="s">
        <v>1733</v>
      </c>
      <c r="C457" s="482">
        <v>180.0</v>
      </c>
      <c r="D457" s="482" t="s">
        <v>913</v>
      </c>
      <c r="E457" s="482" t="s">
        <v>1140</v>
      </c>
    </row>
    <row r="458" customFormat="1" s="36">
      <c r="A458" s="485" t="s">
        <v>1734</v>
      </c>
      <c r="B458" s="485" t="s">
        <v>1735</v>
      </c>
      <c r="C458" s="482">
        <v>78.0</v>
      </c>
      <c r="D458" s="482" t="s">
        <v>913</v>
      </c>
      <c r="E458" s="482" t="s">
        <v>1140</v>
      </c>
    </row>
    <row r="459" customFormat="1" s="36">
      <c r="A459" s="485" t="s">
        <v>1736</v>
      </c>
      <c r="B459" s="485" t="s">
        <v>1737</v>
      </c>
      <c r="C459" s="482">
        <v>5.0</v>
      </c>
      <c r="D459" s="482" t="s">
        <v>913</v>
      </c>
      <c r="E459" s="482" t="s">
        <v>1140</v>
      </c>
    </row>
    <row r="460" customFormat="1" s="36">
      <c r="A460" s="485" t="s">
        <v>1738</v>
      </c>
      <c r="B460" s="485" t="s">
        <v>1739</v>
      </c>
      <c r="C460" s="482">
        <v>192.0</v>
      </c>
      <c r="D460" s="482" t="s">
        <v>913</v>
      </c>
      <c r="E460" s="482" t="s">
        <v>1140</v>
      </c>
    </row>
    <row r="461" customFormat="1" s="36">
      <c r="A461" s="485" t="s">
        <v>1740</v>
      </c>
      <c r="B461" s="485" t="s">
        <v>1741</v>
      </c>
      <c r="C461" s="482">
        <v>6.0</v>
      </c>
      <c r="D461" s="482" t="s">
        <v>913</v>
      </c>
      <c r="E461" s="482" t="s">
        <v>1140</v>
      </c>
    </row>
    <row r="462" customFormat="1" s="36">
      <c r="A462" s="485" t="s">
        <v>1742</v>
      </c>
      <c r="B462" s="485" t="s">
        <v>1743</v>
      </c>
      <c r="C462" s="482">
        <v>0.0</v>
      </c>
      <c r="D462" s="482" t="s">
        <v>913</v>
      </c>
      <c r="E462" s="482" t="s">
        <v>1140</v>
      </c>
    </row>
    <row r="463" customFormat="1" s="36">
      <c r="A463" s="485" t="s">
        <v>1744</v>
      </c>
      <c r="B463" s="485" t="s">
        <v>1745</v>
      </c>
      <c r="C463" s="482">
        <v>30.0</v>
      </c>
      <c r="D463" s="482" t="s">
        <v>913</v>
      </c>
      <c r="E463" s="482" t="s">
        <v>1140</v>
      </c>
    </row>
    <row r="464" customFormat="1" s="36">
      <c r="A464" s="485" t="s">
        <v>1746</v>
      </c>
      <c r="B464" s="485" t="s">
        <v>1747</v>
      </c>
      <c r="C464" s="482">
        <v>78.0</v>
      </c>
      <c r="D464" s="482" t="s">
        <v>913</v>
      </c>
      <c r="E464" s="482" t="s">
        <v>1140</v>
      </c>
    </row>
    <row r="465" customFormat="1" s="36">
      <c r="A465" s="485" t="s">
        <v>1748</v>
      </c>
      <c r="B465" s="485" t="s">
        <v>1749</v>
      </c>
      <c r="C465" s="482">
        <v>0.0</v>
      </c>
      <c r="D465" s="482" t="s">
        <v>913</v>
      </c>
      <c r="E465" s="482" t="s">
        <v>1140</v>
      </c>
    </row>
    <row r="466" customFormat="1" s="36">
      <c r="A466" s="485" t="s">
        <v>1750</v>
      </c>
      <c r="B466" s="485" t="s">
        <v>1751</v>
      </c>
      <c r="C466" s="482">
        <v>0.0</v>
      </c>
      <c r="D466" s="482" t="s">
        <v>913</v>
      </c>
      <c r="E466" s="482" t="s">
        <v>1140</v>
      </c>
    </row>
    <row r="467" customFormat="1" s="36">
      <c r="A467" s="485" t="s">
        <v>1752</v>
      </c>
      <c r="B467" s="485" t="s">
        <v>1753</v>
      </c>
      <c r="C467" s="482">
        <v>0.0</v>
      </c>
      <c r="D467" s="482" t="s">
        <v>913</v>
      </c>
      <c r="E467" s="482" t="s">
        <v>1140</v>
      </c>
    </row>
    <row r="468" customFormat="1" s="36">
      <c r="A468" s="485" t="s">
        <v>1754</v>
      </c>
      <c r="B468" s="485" t="s">
        <v>1755</v>
      </c>
      <c r="C468" s="482">
        <v>36.0</v>
      </c>
      <c r="D468" s="482" t="s">
        <v>913</v>
      </c>
      <c r="E468" s="482" t="s">
        <v>1140</v>
      </c>
    </row>
    <row r="469" customFormat="1" s="36">
      <c r="A469" s="485" t="s">
        <v>1756</v>
      </c>
      <c r="B469" s="485" t="s">
        <v>1757</v>
      </c>
      <c r="C469" s="482">
        <v>22.0</v>
      </c>
      <c r="D469" s="482" t="s">
        <v>913</v>
      </c>
      <c r="E469" s="482" t="s">
        <v>1140</v>
      </c>
    </row>
    <row r="470" customFormat="1" s="36">
      <c r="A470" s="485" t="s">
        <v>1758</v>
      </c>
      <c r="B470" s="485" t="s">
        <v>1759</v>
      </c>
      <c r="C470" s="482">
        <v>12.0</v>
      </c>
      <c r="D470" s="482" t="s">
        <v>913</v>
      </c>
      <c r="E470" s="482" t="s">
        <v>1140</v>
      </c>
    </row>
    <row r="471" customFormat="1" s="36">
      <c r="A471" s="485" t="s">
        <v>1760</v>
      </c>
      <c r="B471" s="485" t="s">
        <v>1761</v>
      </c>
      <c r="C471" s="482">
        <v>216.0</v>
      </c>
      <c r="D471" s="482" t="s">
        <v>913</v>
      </c>
      <c r="E471" s="482" t="s">
        <v>1140</v>
      </c>
    </row>
    <row r="472" customFormat="1" s="36">
      <c r="A472" s="485" t="s">
        <v>1762</v>
      </c>
      <c r="B472" s="485" t="s">
        <v>1763</v>
      </c>
      <c r="C472" s="482">
        <v>144.0</v>
      </c>
      <c r="D472" s="482" t="s">
        <v>913</v>
      </c>
      <c r="E472" s="482" t="s">
        <v>1140</v>
      </c>
    </row>
    <row r="473" customFormat="1" s="36">
      <c r="A473" s="485" t="s">
        <v>1764</v>
      </c>
      <c r="B473" s="485" t="s">
        <v>1765</v>
      </c>
      <c r="C473" s="482">
        <v>312.0</v>
      </c>
      <c r="D473" s="482" t="s">
        <v>913</v>
      </c>
      <c r="E473" s="482" t="s">
        <v>1140</v>
      </c>
    </row>
    <row r="474" customFormat="1" s="36">
      <c r="A474" s="485" t="s">
        <v>1766</v>
      </c>
      <c r="B474" s="485" t="s">
        <v>1767</v>
      </c>
      <c r="C474" s="482">
        <v>222.0</v>
      </c>
      <c r="D474" s="482" t="s">
        <v>913</v>
      </c>
      <c r="E474" s="482" t="s">
        <v>1140</v>
      </c>
    </row>
    <row r="475" customFormat="1" s="36">
      <c r="A475" s="485" t="s">
        <v>1768</v>
      </c>
      <c r="B475" s="485" t="s">
        <v>1769</v>
      </c>
      <c r="C475" s="482">
        <v>96.0</v>
      </c>
      <c r="D475" s="482" t="s">
        <v>913</v>
      </c>
      <c r="E475" s="482" t="s">
        <v>1140</v>
      </c>
    </row>
    <row r="476" customFormat="1" s="36">
      <c r="A476" s="485" t="s">
        <v>1770</v>
      </c>
      <c r="B476" s="485" t="s">
        <v>1771</v>
      </c>
      <c r="C476" s="482">
        <v>22.0</v>
      </c>
      <c r="D476" s="482" t="s">
        <v>913</v>
      </c>
      <c r="E476" s="482" t="s">
        <v>1140</v>
      </c>
    </row>
    <row r="477" customFormat="1" s="36">
      <c r="A477" s="485" t="s">
        <v>1772</v>
      </c>
      <c r="B477" s="485" t="s">
        <v>1773</v>
      </c>
      <c r="C477" s="482">
        <v>192.0</v>
      </c>
      <c r="D477" s="482" t="s">
        <v>913</v>
      </c>
      <c r="E477" s="482" t="s">
        <v>1140</v>
      </c>
    </row>
    <row r="478" customFormat="1" s="36">
      <c r="A478" s="485" t="s">
        <v>1774</v>
      </c>
      <c r="B478" s="485" t="s">
        <v>1775</v>
      </c>
      <c r="C478" s="482">
        <v>168.0</v>
      </c>
      <c r="D478" s="482" t="s">
        <v>913</v>
      </c>
      <c r="E478" s="482" t="s">
        <v>1140</v>
      </c>
    </row>
    <row r="479" customFormat="1" s="36">
      <c r="A479" s="485" t="s">
        <v>1776</v>
      </c>
      <c r="B479" s="485" t="s">
        <v>1777</v>
      </c>
      <c r="C479" s="482">
        <v>156.0</v>
      </c>
      <c r="D479" s="482" t="s">
        <v>913</v>
      </c>
      <c r="E479" s="482" t="s">
        <v>1140</v>
      </c>
    </row>
    <row r="480" customFormat="1" s="36">
      <c r="A480" s="485" t="s">
        <v>1778</v>
      </c>
      <c r="B480" s="485" t="s">
        <v>1779</v>
      </c>
      <c r="C480" s="482">
        <v>83.0</v>
      </c>
      <c r="D480" s="482" t="s">
        <v>913</v>
      </c>
      <c r="E480" s="482" t="s">
        <v>1140</v>
      </c>
    </row>
    <row r="481" customFormat="1" s="36">
      <c r="A481" s="485" t="s">
        <v>1780</v>
      </c>
      <c r="B481" s="485" t="s">
        <v>1781</v>
      </c>
      <c r="C481" s="482">
        <v>72.0</v>
      </c>
      <c r="D481" s="482" t="s">
        <v>913</v>
      </c>
      <c r="E481" s="482" t="s">
        <v>1140</v>
      </c>
    </row>
    <row r="482" customFormat="1" s="36">
      <c r="A482" s="485" t="s">
        <v>1782</v>
      </c>
      <c r="B482" s="485" t="s">
        <v>1783</v>
      </c>
      <c r="C482" s="482">
        <v>270.0</v>
      </c>
      <c r="D482" s="482" t="s">
        <v>913</v>
      </c>
      <c r="E482" s="482" t="s">
        <v>1140</v>
      </c>
    </row>
    <row r="483" customFormat="1" s="36">
      <c r="A483" s="485" t="s">
        <v>1784</v>
      </c>
      <c r="B483" s="485" t="s">
        <v>1785</v>
      </c>
      <c r="C483" s="482">
        <v>120.0</v>
      </c>
      <c r="D483" s="482" t="s">
        <v>913</v>
      </c>
      <c r="E483" s="482" t="s">
        <v>1140</v>
      </c>
    </row>
    <row r="484" customFormat="1" s="36">
      <c r="A484" s="485" t="s">
        <v>1786</v>
      </c>
      <c r="B484" s="485" t="s">
        <v>1787</v>
      </c>
      <c r="C484" s="482">
        <v>24.0</v>
      </c>
      <c r="D484" s="482" t="s">
        <v>913</v>
      </c>
      <c r="E484" s="482" t="s">
        <v>1140</v>
      </c>
    </row>
    <row r="485" customFormat="1" s="36">
      <c r="A485" s="485" t="s">
        <v>1788</v>
      </c>
      <c r="B485" s="485" t="s">
        <v>1789</v>
      </c>
      <c r="C485" s="482">
        <v>240.0</v>
      </c>
      <c r="D485" s="482" t="s">
        <v>913</v>
      </c>
      <c r="E485" s="482" t="s">
        <v>1140</v>
      </c>
    </row>
    <row r="486" customFormat="1" s="36">
      <c r="A486" s="485" t="s">
        <v>1790</v>
      </c>
      <c r="B486" s="485" t="s">
        <v>1791</v>
      </c>
      <c r="C486" s="482">
        <v>276.0</v>
      </c>
      <c r="D486" s="482" t="s">
        <v>913</v>
      </c>
      <c r="E486" s="482" t="s">
        <v>1140</v>
      </c>
    </row>
    <row r="487" customFormat="1" s="36">
      <c r="A487" s="485" t="s">
        <v>1792</v>
      </c>
      <c r="B487" s="485" t="s">
        <v>1793</v>
      </c>
      <c r="C487" s="482">
        <v>107.0</v>
      </c>
      <c r="D487" s="482" t="s">
        <v>913</v>
      </c>
      <c r="E487" s="482" t="s">
        <v>1140</v>
      </c>
    </row>
    <row r="488" customFormat="1" s="36">
      <c r="A488" s="485" t="s">
        <v>1794</v>
      </c>
      <c r="B488" s="485" t="s">
        <v>1795</v>
      </c>
      <c r="C488" s="482">
        <v>0.0</v>
      </c>
      <c r="D488" s="482" t="s">
        <v>913</v>
      </c>
      <c r="E488" s="482" t="s">
        <v>894</v>
      </c>
    </row>
    <row r="489" customFormat="1" s="36">
      <c r="A489" s="485" t="s">
        <v>1796</v>
      </c>
      <c r="B489" s="485" t="s">
        <v>1797</v>
      </c>
      <c r="C489" s="482">
        <v>0.0</v>
      </c>
      <c r="D489" s="482" t="s">
        <v>913</v>
      </c>
      <c r="E489" s="482" t="s">
        <v>1140</v>
      </c>
    </row>
    <row r="490" customFormat="1" s="36">
      <c r="A490" s="485"/>
      <c r="B490" s="485" t="s">
        <v>1798</v>
      </c>
      <c r="C490" s="482">
        <v>0.0</v>
      </c>
      <c r="D490" s="482" t="s">
        <v>893</v>
      </c>
      <c r="E490" s="482" t="s">
        <v>1799</v>
      </c>
    </row>
    <row r="491" customFormat="1" s="36">
      <c r="A491" s="485" t="s">
        <v>1800</v>
      </c>
      <c r="B491" s="485" t="s">
        <v>1801</v>
      </c>
      <c r="C491" s="482">
        <v>2.0</v>
      </c>
      <c r="D491" s="482" t="s">
        <v>913</v>
      </c>
      <c r="E491" s="482" t="s">
        <v>894</v>
      </c>
    </row>
    <row r="492" customFormat="1" s="36">
      <c r="A492" s="485" t="s">
        <v>1802</v>
      </c>
      <c r="B492" s="485" t="s">
        <v>1803</v>
      </c>
      <c r="C492" s="482">
        <v>1.0</v>
      </c>
      <c r="D492" s="482" t="s">
        <v>913</v>
      </c>
      <c r="E492" s="482" t="s">
        <v>894</v>
      </c>
    </row>
    <row r="493" customFormat="1" s="36">
      <c r="A493" s="485" t="s">
        <v>1804</v>
      </c>
      <c r="B493" s="485" t="s">
        <v>1805</v>
      </c>
      <c r="C493" s="482">
        <v>126.0</v>
      </c>
      <c r="D493" s="482" t="s">
        <v>913</v>
      </c>
      <c r="E493" s="482" t="s">
        <v>894</v>
      </c>
    </row>
    <row r="494" customFormat="1" s="36">
      <c r="A494" s="485" t="s">
        <v>1806</v>
      </c>
      <c r="B494" s="485" t="s">
        <v>1807</v>
      </c>
      <c r="C494" s="482">
        <v>89.0</v>
      </c>
      <c r="D494" s="482" t="s">
        <v>913</v>
      </c>
      <c r="E494" s="482" t="s">
        <v>894</v>
      </c>
    </row>
    <row r="495" customFormat="1" s="36">
      <c r="A495" s="485" t="s">
        <v>1808</v>
      </c>
      <c r="B495" s="485" t="s">
        <v>1809</v>
      </c>
      <c r="C495" s="482">
        <v>185.0</v>
      </c>
      <c r="D495" s="482" t="s">
        <v>913</v>
      </c>
      <c r="E495" s="482" t="s">
        <v>894</v>
      </c>
    </row>
    <row r="496" customFormat="1" s="36">
      <c r="A496" s="485" t="s">
        <v>1810</v>
      </c>
      <c r="B496" s="485" t="s">
        <v>1811</v>
      </c>
      <c r="C496" s="482">
        <v>1110.0</v>
      </c>
      <c r="D496" s="482" t="s">
        <v>913</v>
      </c>
      <c r="E496" s="482" t="s">
        <v>894</v>
      </c>
    </row>
    <row r="497" customFormat="1" s="36">
      <c r="A497" s="485" t="s">
        <v>1812</v>
      </c>
      <c r="B497" s="485" t="s">
        <v>1813</v>
      </c>
      <c r="C497" s="482">
        <v>245.0</v>
      </c>
      <c r="D497" s="482" t="s">
        <v>913</v>
      </c>
      <c r="E497" s="482" t="s">
        <v>894</v>
      </c>
    </row>
    <row r="498" customFormat="1" s="36">
      <c r="A498" s="485" t="s">
        <v>1814</v>
      </c>
      <c r="B498" s="485" t="s">
        <v>1815</v>
      </c>
      <c r="C498" s="482">
        <v>62.0</v>
      </c>
      <c r="D498" s="482" t="s">
        <v>913</v>
      </c>
      <c r="E498" s="482" t="s">
        <v>894</v>
      </c>
    </row>
    <row r="499" customFormat="1" s="36">
      <c r="A499" s="485" t="s">
        <v>1816</v>
      </c>
      <c r="B499" s="485" t="s">
        <v>1817</v>
      </c>
      <c r="C499" s="482">
        <v>113.0</v>
      </c>
      <c r="D499" s="482" t="s">
        <v>913</v>
      </c>
      <c r="E499" s="482" t="s">
        <v>894</v>
      </c>
    </row>
    <row r="500" customFormat="1" s="36">
      <c r="A500" s="485" t="s">
        <v>1818</v>
      </c>
      <c r="B500" s="485" t="s">
        <v>1819</v>
      </c>
      <c r="C500" s="482">
        <v>144.0</v>
      </c>
      <c r="D500" s="482" t="s">
        <v>913</v>
      </c>
      <c r="E500" s="482" t="s">
        <v>894</v>
      </c>
    </row>
    <row r="501" customFormat="1" s="36">
      <c r="A501" s="485" t="s">
        <v>1820</v>
      </c>
      <c r="B501" s="485" t="s">
        <v>1821</v>
      </c>
      <c r="C501" s="482">
        <v>200.0</v>
      </c>
      <c r="D501" s="482" t="s">
        <v>913</v>
      </c>
      <c r="E501" s="482" t="s">
        <v>894</v>
      </c>
    </row>
    <row r="502" customFormat="1" s="36">
      <c r="A502" s="485" t="s">
        <v>1822</v>
      </c>
      <c r="B502" s="485" t="s">
        <v>1823</v>
      </c>
      <c r="C502" s="482">
        <v>292.0</v>
      </c>
      <c r="D502" s="482" t="s">
        <v>913</v>
      </c>
      <c r="E502" s="482" t="s">
        <v>894</v>
      </c>
    </row>
    <row r="503" customFormat="1" s="36">
      <c r="A503" s="485" t="s">
        <v>1824</v>
      </c>
      <c r="B503" s="485" t="s">
        <v>1825</v>
      </c>
      <c r="C503" s="482">
        <v>220.0</v>
      </c>
      <c r="D503" s="482" t="s">
        <v>913</v>
      </c>
      <c r="E503" s="482" t="s">
        <v>894</v>
      </c>
    </row>
    <row r="504" customFormat="1" s="36">
      <c r="A504" s="485" t="s">
        <v>1826</v>
      </c>
      <c r="B504" s="485" t="s">
        <v>1827</v>
      </c>
      <c r="C504" s="482">
        <v>121.0</v>
      </c>
      <c r="D504" s="482" t="s">
        <v>913</v>
      </c>
      <c r="E504" s="482" t="s">
        <v>894</v>
      </c>
    </row>
    <row r="505" customFormat="1" s="36">
      <c r="A505" s="485" t="s">
        <v>1828</v>
      </c>
      <c r="B505" s="485" t="s">
        <v>1829</v>
      </c>
      <c r="C505" s="482">
        <v>150.0</v>
      </c>
      <c r="D505" s="482" t="s">
        <v>913</v>
      </c>
      <c r="E505" s="482" t="s">
        <v>894</v>
      </c>
    </row>
    <row r="506" customFormat="1" s="36">
      <c r="A506" s="485" t="s">
        <v>1830</v>
      </c>
      <c r="B506" s="485" t="s">
        <v>1831</v>
      </c>
      <c r="C506" s="482">
        <v>92.0</v>
      </c>
      <c r="D506" s="482" t="s">
        <v>913</v>
      </c>
      <c r="E506" s="482" t="s">
        <v>894</v>
      </c>
    </row>
    <row r="507" customFormat="1" s="36">
      <c r="A507" s="485" t="s">
        <v>1832</v>
      </c>
      <c r="B507" s="485" t="s">
        <v>1833</v>
      </c>
      <c r="C507" s="482">
        <v>182.0</v>
      </c>
      <c r="D507" s="482" t="s">
        <v>913</v>
      </c>
      <c r="E507" s="482" t="s">
        <v>894</v>
      </c>
    </row>
    <row r="508" customFormat="1" s="36">
      <c r="A508" s="485" t="s">
        <v>1834</v>
      </c>
      <c r="B508" s="485" t="s">
        <v>1835</v>
      </c>
      <c r="C508" s="482">
        <v>113.0</v>
      </c>
      <c r="D508" s="482" t="s">
        <v>913</v>
      </c>
      <c r="E508" s="482" t="s">
        <v>894</v>
      </c>
    </row>
    <row r="509" customFormat="1" s="36">
      <c r="A509" s="485" t="s">
        <v>1836</v>
      </c>
      <c r="B509" s="485" t="s">
        <v>1837</v>
      </c>
      <c r="C509" s="482">
        <v>158.0</v>
      </c>
      <c r="D509" s="482" t="s">
        <v>913</v>
      </c>
      <c r="E509" s="482" t="s">
        <v>894</v>
      </c>
    </row>
    <row r="510" customFormat="1" s="36">
      <c r="A510" s="485" t="s">
        <v>1838</v>
      </c>
      <c r="B510" s="485" t="s">
        <v>1839</v>
      </c>
      <c r="C510" s="482">
        <v>158.0</v>
      </c>
      <c r="D510" s="482" t="s">
        <v>913</v>
      </c>
      <c r="E510" s="482" t="s">
        <v>894</v>
      </c>
    </row>
    <row r="511" customFormat="1" s="36">
      <c r="A511" s="485" t="s">
        <v>1840</v>
      </c>
      <c r="B511" s="485" t="s">
        <v>1841</v>
      </c>
      <c r="C511" s="482">
        <v>99.0</v>
      </c>
      <c r="D511" s="482" t="s">
        <v>913</v>
      </c>
      <c r="E511" s="482" t="s">
        <v>894</v>
      </c>
    </row>
    <row r="512" customFormat="1" s="36">
      <c r="A512" s="485" t="s">
        <v>1842</v>
      </c>
      <c r="B512" s="485" t="s">
        <v>1843</v>
      </c>
      <c r="C512" s="482">
        <v>214.0</v>
      </c>
      <c r="D512" s="482" t="s">
        <v>913</v>
      </c>
      <c r="E512" s="482" t="s">
        <v>894</v>
      </c>
    </row>
    <row r="513" customFormat="1" s="36">
      <c r="A513" s="485" t="s">
        <v>1844</v>
      </c>
      <c r="B513" s="485" t="s">
        <v>1845</v>
      </c>
      <c r="C513" s="482">
        <v>119.0</v>
      </c>
      <c r="D513" s="482" t="s">
        <v>913</v>
      </c>
      <c r="E513" s="482" t="s">
        <v>894</v>
      </c>
    </row>
    <row r="514" customFormat="1" s="36">
      <c r="A514" s="485" t="s">
        <v>1846</v>
      </c>
      <c r="B514" s="485" t="s">
        <v>1847</v>
      </c>
      <c r="C514" s="482">
        <v>1103.0</v>
      </c>
      <c r="D514" s="482" t="s">
        <v>913</v>
      </c>
      <c r="E514" s="482" t="s">
        <v>894</v>
      </c>
    </row>
    <row r="515" customFormat="1" s="36">
      <c r="A515" s="485" t="s">
        <v>1848</v>
      </c>
      <c r="B515" s="485" t="s">
        <v>1849</v>
      </c>
      <c r="C515" s="482">
        <v>101.0</v>
      </c>
      <c r="D515" s="482" t="s">
        <v>913</v>
      </c>
      <c r="E515" s="482" t="s">
        <v>894</v>
      </c>
    </row>
    <row r="516" customFormat="1" s="36">
      <c r="A516" s="485" t="s">
        <v>1850</v>
      </c>
      <c r="B516" s="485" t="s">
        <v>1851</v>
      </c>
      <c r="C516" s="482">
        <v>218.0</v>
      </c>
      <c r="D516" s="482" t="s">
        <v>913</v>
      </c>
      <c r="E516" s="482" t="s">
        <v>894</v>
      </c>
    </row>
    <row r="517" customFormat="1" s="36">
      <c r="A517" s="485" t="s">
        <v>1852</v>
      </c>
      <c r="B517" s="485" t="s">
        <v>1853</v>
      </c>
      <c r="C517" s="482">
        <v>19.0</v>
      </c>
      <c r="D517" s="482" t="s">
        <v>913</v>
      </c>
      <c r="E517" s="482" t="s">
        <v>894</v>
      </c>
    </row>
    <row r="518" customFormat="1" s="36">
      <c r="A518" s="485" t="s">
        <v>1854</v>
      </c>
      <c r="B518" s="485" t="s">
        <v>1855</v>
      </c>
      <c r="C518" s="482">
        <v>193.0</v>
      </c>
      <c r="D518" s="482" t="s">
        <v>913</v>
      </c>
      <c r="E518" s="482" t="s">
        <v>894</v>
      </c>
    </row>
    <row r="519" customFormat="1" s="36">
      <c r="A519" s="485" t="s">
        <v>1856</v>
      </c>
      <c r="B519" s="485" t="s">
        <v>1857</v>
      </c>
      <c r="C519" s="482">
        <v>155.0</v>
      </c>
      <c r="D519" s="482" t="s">
        <v>913</v>
      </c>
      <c r="E519" s="482" t="s">
        <v>894</v>
      </c>
    </row>
    <row r="520" customFormat="1" s="36">
      <c r="A520" s="485" t="s">
        <v>1798</v>
      </c>
      <c r="B520" s="485" t="s">
        <v>1858</v>
      </c>
      <c r="C520" s="482">
        <v>93.0</v>
      </c>
      <c r="D520" s="482" t="s">
        <v>913</v>
      </c>
      <c r="E520" s="482" t="s">
        <v>894</v>
      </c>
    </row>
    <row r="521" customFormat="1" s="36">
      <c r="A521" s="485" t="s">
        <v>1859</v>
      </c>
      <c r="B521" s="485" t="s">
        <v>1860</v>
      </c>
      <c r="C521" s="482">
        <v>233.0</v>
      </c>
      <c r="D521" s="482" t="s">
        <v>913</v>
      </c>
      <c r="E521" s="482" t="s">
        <v>894</v>
      </c>
    </row>
    <row r="522" customFormat="1" s="36">
      <c r="A522" s="485" t="s">
        <v>1861</v>
      </c>
      <c r="B522" s="485" t="s">
        <v>1862</v>
      </c>
      <c r="C522" s="482">
        <v>263.0</v>
      </c>
      <c r="D522" s="482" t="s">
        <v>913</v>
      </c>
      <c r="E522" s="482" t="s">
        <v>894</v>
      </c>
    </row>
    <row r="523" customFormat="1" s="36">
      <c r="A523" s="485" t="s">
        <v>1863</v>
      </c>
      <c r="B523" s="485" t="s">
        <v>1864</v>
      </c>
      <c r="C523" s="482">
        <v>1074.0</v>
      </c>
      <c r="D523" s="482" t="s">
        <v>913</v>
      </c>
      <c r="E523" s="482" t="s">
        <v>894</v>
      </c>
    </row>
    <row r="524" customFormat="1" s="36">
      <c r="A524" s="485" t="s">
        <v>1865</v>
      </c>
      <c r="B524" s="485" t="s">
        <v>1866</v>
      </c>
      <c r="C524" s="482">
        <v>292.0</v>
      </c>
      <c r="D524" s="482" t="s">
        <v>913</v>
      </c>
      <c r="E524" s="482" t="s">
        <v>894</v>
      </c>
    </row>
    <row r="525" customFormat="1" s="36">
      <c r="A525" s="485" t="s">
        <v>1867</v>
      </c>
      <c r="B525" s="485" t="s">
        <v>1868</v>
      </c>
      <c r="C525" s="482">
        <v>180.0</v>
      </c>
      <c r="D525" s="482" t="s">
        <v>913</v>
      </c>
      <c r="E525" s="482" t="s">
        <v>894</v>
      </c>
    </row>
    <row r="526" customFormat="1" s="36">
      <c r="A526" s="485" t="s">
        <v>1869</v>
      </c>
      <c r="B526" s="485" t="s">
        <v>1870</v>
      </c>
      <c r="C526" s="482">
        <v>201.0</v>
      </c>
      <c r="D526" s="482" t="s">
        <v>913</v>
      </c>
      <c r="E526" s="482" t="s">
        <v>894</v>
      </c>
    </row>
    <row r="527" customFormat="1" s="36">
      <c r="A527" s="485" t="s">
        <v>1871</v>
      </c>
      <c r="B527" s="485" t="s">
        <v>1872</v>
      </c>
      <c r="C527" s="482">
        <v>175.0</v>
      </c>
      <c r="D527" s="482" t="s">
        <v>913</v>
      </c>
      <c r="E527" s="482" t="s">
        <v>894</v>
      </c>
    </row>
    <row r="528" customFormat="1" s="36">
      <c r="A528" s="485" t="s">
        <v>1873</v>
      </c>
      <c r="B528" s="485" t="s">
        <v>1874</v>
      </c>
      <c r="C528" s="482">
        <v>165.0</v>
      </c>
      <c r="D528" s="482" t="s">
        <v>913</v>
      </c>
      <c r="E528" s="482" t="s">
        <v>894</v>
      </c>
    </row>
    <row r="529" customFormat="1" s="36">
      <c r="A529" s="485" t="s">
        <v>1875</v>
      </c>
      <c r="B529" s="485" t="s">
        <v>1876</v>
      </c>
      <c r="C529" s="482">
        <v>205.0</v>
      </c>
      <c r="D529" s="482" t="s">
        <v>913</v>
      </c>
      <c r="E529" s="482" t="s">
        <v>894</v>
      </c>
    </row>
    <row r="530" customFormat="1" s="36">
      <c r="A530" s="485" t="s">
        <v>1877</v>
      </c>
      <c r="B530" s="485" t="s">
        <v>1878</v>
      </c>
      <c r="C530" s="482">
        <v>49.0</v>
      </c>
      <c r="D530" s="482" t="s">
        <v>913</v>
      </c>
      <c r="E530" s="482" t="s">
        <v>894</v>
      </c>
    </row>
    <row r="531" customFormat="1" s="36">
      <c r="A531" s="485" t="s">
        <v>440</v>
      </c>
      <c r="B531" s="485" t="s">
        <v>439</v>
      </c>
      <c r="C531" s="482">
        <v>-3.0</v>
      </c>
      <c r="D531" s="482" t="s">
        <v>913</v>
      </c>
      <c r="E531" s="482" t="s">
        <v>894</v>
      </c>
    </row>
    <row r="532" customFormat="1" s="36">
      <c r="A532" s="485" t="s">
        <v>546</v>
      </c>
      <c r="B532" s="485" t="s">
        <v>1879</v>
      </c>
      <c r="C532" s="482">
        <v>-1.0</v>
      </c>
      <c r="D532" s="482" t="s">
        <v>913</v>
      </c>
      <c r="E532" s="482" t="s">
        <v>894</v>
      </c>
    </row>
    <row r="533" customFormat="1" s="36">
      <c r="A533" s="485" t="s">
        <v>1880</v>
      </c>
      <c r="B533" s="485" t="s">
        <v>1881</v>
      </c>
      <c r="C533" s="482">
        <v>0.0</v>
      </c>
      <c r="D533" s="482" t="s">
        <v>893</v>
      </c>
      <c r="E533" s="482" t="s">
        <v>894</v>
      </c>
    </row>
    <row r="534" customFormat="1" s="36">
      <c r="A534" s="485" t="s">
        <v>1882</v>
      </c>
      <c r="B534" s="485" t="s">
        <v>1883</v>
      </c>
      <c r="C534" s="482">
        <v>0.0</v>
      </c>
      <c r="D534" s="482" t="s">
        <v>893</v>
      </c>
      <c r="E534" s="482" t="s">
        <v>894</v>
      </c>
    </row>
    <row r="535" customFormat="1" s="36">
      <c r="A535" s="485" t="s">
        <v>1884</v>
      </c>
      <c r="B535" s="485" t="s">
        <v>1885</v>
      </c>
      <c r="C535" s="482">
        <v>147.0</v>
      </c>
      <c r="D535" s="482" t="s">
        <v>913</v>
      </c>
      <c r="E535" s="482" t="s">
        <v>894</v>
      </c>
    </row>
    <row r="536" customFormat="1" s="36">
      <c r="A536" s="485" t="s">
        <v>1886</v>
      </c>
      <c r="B536" s="485" t="s">
        <v>1887</v>
      </c>
      <c r="C536" s="482">
        <v>306.0</v>
      </c>
      <c r="D536" s="482" t="s">
        <v>913</v>
      </c>
      <c r="E536" s="482" t="s">
        <v>894</v>
      </c>
    </row>
    <row r="537" customFormat="1" s="36">
      <c r="A537" s="485" t="s">
        <v>1888</v>
      </c>
      <c r="B537" s="485" t="s">
        <v>1889</v>
      </c>
      <c r="C537" s="482">
        <v>322.0</v>
      </c>
      <c r="D537" s="482" t="s">
        <v>913</v>
      </c>
      <c r="E537" s="482" t="s">
        <v>894</v>
      </c>
    </row>
    <row r="538" customFormat="1" s="36">
      <c r="A538" s="485" t="s">
        <v>1890</v>
      </c>
      <c r="B538" s="485" t="s">
        <v>1891</v>
      </c>
      <c r="C538" s="482">
        <v>0.0</v>
      </c>
      <c r="D538" s="482" t="s">
        <v>893</v>
      </c>
      <c r="E538" s="482" t="s">
        <v>894</v>
      </c>
    </row>
    <row r="539" customFormat="1" s="36">
      <c r="A539" s="485" t="s">
        <v>1892</v>
      </c>
      <c r="B539" s="485" t="s">
        <v>1893</v>
      </c>
      <c r="C539" s="482">
        <v>12.0</v>
      </c>
      <c r="D539" s="482" t="s">
        <v>913</v>
      </c>
      <c r="E539" s="482" t="s">
        <v>894</v>
      </c>
    </row>
    <row r="540" customFormat="1" s="36">
      <c r="A540" s="485" t="s">
        <v>1894</v>
      </c>
      <c r="B540" s="485" t="s">
        <v>1895</v>
      </c>
      <c r="C540" s="482">
        <v>0.0</v>
      </c>
      <c r="D540" s="482" t="s">
        <v>893</v>
      </c>
      <c r="E540" s="482" t="s">
        <v>894</v>
      </c>
    </row>
    <row r="541" customFormat="1" s="36">
      <c r="A541" s="485" t="s">
        <v>1896</v>
      </c>
      <c r="B541" s="485" t="s">
        <v>1897</v>
      </c>
      <c r="C541" s="482">
        <v>0.0</v>
      </c>
      <c r="D541" s="482" t="s">
        <v>893</v>
      </c>
      <c r="E541" s="482" t="s">
        <v>894</v>
      </c>
    </row>
    <row r="542" customFormat="1" s="36">
      <c r="A542" s="485" t="s">
        <v>1898</v>
      </c>
      <c r="B542" s="485" t="s">
        <v>1899</v>
      </c>
      <c r="C542" s="482">
        <v>0.0</v>
      </c>
      <c r="D542" s="482" t="s">
        <v>893</v>
      </c>
      <c r="E542" s="482" t="s">
        <v>894</v>
      </c>
    </row>
    <row r="543" customFormat="1" s="36">
      <c r="A543" s="485" t="s">
        <v>1900</v>
      </c>
      <c r="B543" s="485" t="s">
        <v>1901</v>
      </c>
      <c r="C543" s="482">
        <v>66.0</v>
      </c>
      <c r="D543" s="482" t="s">
        <v>913</v>
      </c>
      <c r="E543" s="482" t="s">
        <v>894</v>
      </c>
    </row>
    <row r="544" customFormat="1" s="36">
      <c r="A544" s="485" t="s">
        <v>1902</v>
      </c>
      <c r="B544" s="485" t="s">
        <v>1903</v>
      </c>
      <c r="C544" s="482">
        <v>200.0</v>
      </c>
      <c r="D544" s="482" t="s">
        <v>913</v>
      </c>
      <c r="E544" s="482" t="s">
        <v>894</v>
      </c>
    </row>
    <row r="545" customFormat="1" s="36">
      <c r="A545" s="485" t="s">
        <v>1904</v>
      </c>
      <c r="B545" s="485" t="s">
        <v>1905</v>
      </c>
      <c r="C545" s="482">
        <v>0.0</v>
      </c>
      <c r="D545" s="482" t="s">
        <v>893</v>
      </c>
      <c r="E545" s="482" t="s">
        <v>894</v>
      </c>
    </row>
    <row r="546" customFormat="1" s="36">
      <c r="A546" s="485" t="s">
        <v>1906</v>
      </c>
      <c r="B546" s="485" t="s">
        <v>1907</v>
      </c>
      <c r="C546" s="482">
        <v>0.0</v>
      </c>
      <c r="D546" s="482" t="s">
        <v>913</v>
      </c>
      <c r="E546" s="482" t="s">
        <v>894</v>
      </c>
    </row>
    <row r="547" customFormat="1" s="36">
      <c r="A547" s="485" t="s">
        <v>1908</v>
      </c>
      <c r="B547" s="485" t="s">
        <v>1909</v>
      </c>
      <c r="C547" s="482">
        <v>369.0</v>
      </c>
      <c r="D547" s="482" t="s">
        <v>913</v>
      </c>
      <c r="E547" s="482" t="s">
        <v>894</v>
      </c>
    </row>
    <row r="548" customFormat="1" s="36">
      <c r="A548" s="485" t="s">
        <v>1910</v>
      </c>
      <c r="B548" s="485" t="s">
        <v>1911</v>
      </c>
      <c r="C548" s="482">
        <v>746.0</v>
      </c>
      <c r="D548" s="482" t="s">
        <v>913</v>
      </c>
      <c r="E548" s="482" t="s">
        <v>894</v>
      </c>
    </row>
    <row r="549" customFormat="1" s="36">
      <c r="A549" s="485" t="s">
        <v>1912</v>
      </c>
      <c r="B549" s="485" t="s">
        <v>1913</v>
      </c>
      <c r="C549" s="482">
        <v>749.0</v>
      </c>
      <c r="D549" s="482" t="s">
        <v>913</v>
      </c>
      <c r="E549" s="482" t="s">
        <v>894</v>
      </c>
    </row>
    <row r="550" customFormat="1" s="36">
      <c r="A550" s="485" t="s">
        <v>1914</v>
      </c>
      <c r="B550" s="485" t="s">
        <v>1915</v>
      </c>
      <c r="C550" s="482">
        <v>688.0</v>
      </c>
      <c r="D550" s="482" t="s">
        <v>913</v>
      </c>
      <c r="E550" s="482" t="s">
        <v>894</v>
      </c>
    </row>
    <row r="551" customFormat="1" s="36">
      <c r="A551" s="485" t="s">
        <v>1916</v>
      </c>
      <c r="B551" s="485" t="s">
        <v>1917</v>
      </c>
      <c r="C551" s="482">
        <v>406.0</v>
      </c>
      <c r="D551" s="482" t="s">
        <v>913</v>
      </c>
      <c r="E551" s="482" t="s">
        <v>894</v>
      </c>
    </row>
    <row r="552" customFormat="1" s="36">
      <c r="A552" s="485" t="s">
        <v>1918</v>
      </c>
      <c r="B552" s="485" t="s">
        <v>1919</v>
      </c>
      <c r="C552" s="482">
        <v>541.0</v>
      </c>
      <c r="D552" s="482" t="s">
        <v>913</v>
      </c>
      <c r="E552" s="482" t="s">
        <v>894</v>
      </c>
    </row>
    <row r="553" customFormat="1" s="36">
      <c r="A553" s="485" t="s">
        <v>1920</v>
      </c>
      <c r="B553" s="485" t="s">
        <v>1921</v>
      </c>
      <c r="C553" s="482">
        <v>6.0</v>
      </c>
      <c r="D553" s="482" t="s">
        <v>893</v>
      </c>
      <c r="E553" s="482" t="s">
        <v>894</v>
      </c>
    </row>
    <row r="554" customFormat="1" s="36">
      <c r="A554" s="485" t="s">
        <v>1922</v>
      </c>
      <c r="B554" s="485" t="s">
        <v>1923</v>
      </c>
      <c r="C554" s="482">
        <v>102.0</v>
      </c>
      <c r="D554" s="482" t="s">
        <v>913</v>
      </c>
      <c r="E554" s="482" t="s">
        <v>894</v>
      </c>
    </row>
    <row r="555" customFormat="1" s="36">
      <c r="A555" s="485" t="s">
        <v>1924</v>
      </c>
      <c r="B555" s="485" t="s">
        <v>1925</v>
      </c>
      <c r="C555" s="482">
        <v>0.0</v>
      </c>
      <c r="D555" s="482" t="s">
        <v>913</v>
      </c>
      <c r="E555" s="482" t="s">
        <v>894</v>
      </c>
    </row>
    <row r="556" customFormat="1" s="36">
      <c r="A556" s="485" t="s">
        <v>1926</v>
      </c>
      <c r="B556" s="485" t="s">
        <v>1927</v>
      </c>
      <c r="C556" s="482">
        <v>71.0</v>
      </c>
      <c r="D556" s="482" t="s">
        <v>913</v>
      </c>
      <c r="E556" s="482" t="s">
        <v>894</v>
      </c>
    </row>
    <row r="557" customFormat="1" s="36">
      <c r="A557" s="485" t="s">
        <v>1928</v>
      </c>
      <c r="B557" s="485" t="s">
        <v>1929</v>
      </c>
      <c r="C557" s="482">
        <v>0.0</v>
      </c>
      <c r="D557" s="482" t="s">
        <v>893</v>
      </c>
      <c r="E557" s="482" t="s">
        <v>894</v>
      </c>
    </row>
    <row r="558" customFormat="1" s="36">
      <c r="A558" s="485" t="s">
        <v>1930</v>
      </c>
      <c r="B558" s="485" t="s">
        <v>1931</v>
      </c>
      <c r="C558" s="482">
        <v>6.0</v>
      </c>
      <c r="D558" s="482" t="s">
        <v>893</v>
      </c>
      <c r="E558" s="482" t="s">
        <v>894</v>
      </c>
    </row>
    <row r="559" customFormat="1" s="36">
      <c r="A559" s="485" t="s">
        <v>1932</v>
      </c>
      <c r="B559" s="485" t="s">
        <v>1933</v>
      </c>
      <c r="C559" s="482">
        <v>0.0</v>
      </c>
      <c r="D559" s="482" t="s">
        <v>893</v>
      </c>
      <c r="E559" s="482" t="s">
        <v>894</v>
      </c>
    </row>
    <row r="560" customFormat="1" s="36">
      <c r="A560" s="485" t="s">
        <v>1934</v>
      </c>
      <c r="B560" s="485" t="s">
        <v>1935</v>
      </c>
      <c r="C560" s="482">
        <v>6.0</v>
      </c>
      <c r="D560" s="482" t="s">
        <v>893</v>
      </c>
      <c r="E560" s="482" t="s">
        <v>894</v>
      </c>
    </row>
    <row r="561" customFormat="1" s="36">
      <c r="A561" s="485" t="s">
        <v>1936</v>
      </c>
      <c r="B561" s="485" t="s">
        <v>1937</v>
      </c>
      <c r="C561" s="482">
        <v>3.0</v>
      </c>
      <c r="D561" s="482" t="s">
        <v>913</v>
      </c>
      <c r="E561" s="482" t="s">
        <v>894</v>
      </c>
    </row>
    <row r="562" customFormat="1" s="36">
      <c r="A562" s="485" t="s">
        <v>1938</v>
      </c>
      <c r="B562" s="485" t="s">
        <v>1939</v>
      </c>
      <c r="C562" s="482">
        <v>0.0</v>
      </c>
      <c r="D562" s="482" t="s">
        <v>893</v>
      </c>
      <c r="E562" s="482" t="s">
        <v>894</v>
      </c>
    </row>
    <row r="563" customFormat="1" s="36">
      <c r="A563" s="485" t="s">
        <v>1940</v>
      </c>
      <c r="B563" s="485" t="s">
        <v>1941</v>
      </c>
      <c r="C563" s="482">
        <v>0.0</v>
      </c>
      <c r="D563" s="482" t="s">
        <v>893</v>
      </c>
      <c r="E563" s="482" t="s">
        <v>894</v>
      </c>
    </row>
    <row r="564" customFormat="1" s="36">
      <c r="A564" s="485" t="s">
        <v>182</v>
      </c>
      <c r="B564" s="485" t="s">
        <v>181</v>
      </c>
      <c r="C564" s="482">
        <v>0.0</v>
      </c>
      <c r="D564" s="482" t="s">
        <v>913</v>
      </c>
      <c r="E564" s="482" t="s">
        <v>894</v>
      </c>
    </row>
    <row r="565" customFormat="1" s="36">
      <c r="A565" s="485" t="s">
        <v>1942</v>
      </c>
      <c r="B565" s="485" t="s">
        <v>1943</v>
      </c>
      <c r="C565" s="482">
        <v>0.0</v>
      </c>
      <c r="D565" s="482" t="s">
        <v>893</v>
      </c>
      <c r="E565" s="482" t="s">
        <v>894</v>
      </c>
    </row>
    <row r="566" customFormat="1" s="36">
      <c r="A566" s="485" t="s">
        <v>1944</v>
      </c>
      <c r="B566" s="485" t="s">
        <v>1945</v>
      </c>
      <c r="C566" s="482">
        <v>446.0</v>
      </c>
      <c r="D566" s="482" t="s">
        <v>913</v>
      </c>
      <c r="E566" s="482" t="s">
        <v>894</v>
      </c>
    </row>
    <row r="567" customFormat="1" s="36">
      <c r="A567" s="485" t="s">
        <v>184</v>
      </c>
      <c r="B567" s="485" t="s">
        <v>183</v>
      </c>
      <c r="C567" s="482">
        <v>421.0</v>
      </c>
      <c r="D567" s="482" t="s">
        <v>913</v>
      </c>
      <c r="E567" s="482" t="s">
        <v>894</v>
      </c>
    </row>
    <row r="568" customFormat="1" s="36">
      <c r="A568" s="485" t="s">
        <v>1946</v>
      </c>
      <c r="B568" s="485" t="s">
        <v>1947</v>
      </c>
      <c r="C568" s="482">
        <v>475.0</v>
      </c>
      <c r="D568" s="482" t="s">
        <v>913</v>
      </c>
      <c r="E568" s="482" t="s">
        <v>894</v>
      </c>
    </row>
    <row r="569" customFormat="1" s="36">
      <c r="A569" s="485" t="s">
        <v>1948</v>
      </c>
      <c r="B569" s="485" t="s">
        <v>1949</v>
      </c>
      <c r="C569" s="482">
        <v>0.0</v>
      </c>
      <c r="D569" s="482" t="s">
        <v>913</v>
      </c>
      <c r="E569" s="482" t="s">
        <v>894</v>
      </c>
    </row>
    <row r="570" customFormat="1" s="36">
      <c r="A570" s="485" t="s">
        <v>1950</v>
      </c>
      <c r="B570" s="485" t="s">
        <v>1951</v>
      </c>
      <c r="C570" s="482">
        <v>18.0</v>
      </c>
      <c r="D570" s="482" t="s">
        <v>913</v>
      </c>
      <c r="E570" s="482" t="s">
        <v>894</v>
      </c>
    </row>
    <row r="571" customFormat="1" s="36">
      <c r="A571" s="485" t="s">
        <v>1952</v>
      </c>
      <c r="B571" s="485" t="s">
        <v>1953</v>
      </c>
      <c r="C571" s="482">
        <v>515.0</v>
      </c>
      <c r="D571" s="482" t="s">
        <v>913</v>
      </c>
      <c r="E571" s="482" t="s">
        <v>894</v>
      </c>
    </row>
    <row r="572" customFormat="1" s="36">
      <c r="A572" s="485" t="s">
        <v>1954</v>
      </c>
      <c r="B572" s="485" t="s">
        <v>1955</v>
      </c>
      <c r="C572" s="482">
        <v>0.0</v>
      </c>
      <c r="D572" s="482" t="s">
        <v>893</v>
      </c>
      <c r="E572" s="482" t="s">
        <v>894</v>
      </c>
    </row>
    <row r="573" customFormat="1" s="36">
      <c r="A573" s="485" t="s">
        <v>1956</v>
      </c>
      <c r="B573" s="485" t="s">
        <v>1957</v>
      </c>
      <c r="C573" s="482">
        <v>0.0</v>
      </c>
      <c r="D573" s="482" t="s">
        <v>913</v>
      </c>
      <c r="E573" s="482" t="s">
        <v>894</v>
      </c>
    </row>
    <row r="574" customFormat="1" s="36">
      <c r="A574" s="485" t="s">
        <v>1958</v>
      </c>
      <c r="B574" s="485" t="s">
        <v>1959</v>
      </c>
      <c r="C574" s="482">
        <v>145.0</v>
      </c>
      <c r="D574" s="482" t="s">
        <v>913</v>
      </c>
      <c r="E574" s="482" t="s">
        <v>894</v>
      </c>
    </row>
    <row r="575" customFormat="1" s="36">
      <c r="A575" s="485" t="s">
        <v>779</v>
      </c>
      <c r="B575" s="485" t="s">
        <v>778</v>
      </c>
      <c r="C575" s="482">
        <v>220.0</v>
      </c>
      <c r="D575" s="482" t="s">
        <v>913</v>
      </c>
      <c r="E575" s="482" t="s">
        <v>894</v>
      </c>
    </row>
    <row r="576" customFormat="1" s="36">
      <c r="A576" s="485" t="s">
        <v>1960</v>
      </c>
      <c r="B576" s="485" t="s">
        <v>1961</v>
      </c>
      <c r="C576" s="482">
        <v>449.0</v>
      </c>
      <c r="D576" s="482" t="s">
        <v>913</v>
      </c>
      <c r="E576" s="482" t="s">
        <v>894</v>
      </c>
    </row>
    <row r="577" customFormat="1" s="36">
      <c r="A577" s="485" t="s">
        <v>1962</v>
      </c>
      <c r="B577" s="485" t="s">
        <v>1963</v>
      </c>
      <c r="C577" s="482">
        <v>0.0</v>
      </c>
      <c r="D577" s="482" t="s">
        <v>913</v>
      </c>
      <c r="E577" s="482" t="s">
        <v>894</v>
      </c>
    </row>
    <row r="578" customFormat="1" s="36">
      <c r="A578" s="485" t="s">
        <v>1964</v>
      </c>
      <c r="B578" s="485" t="s">
        <v>1965</v>
      </c>
      <c r="C578" s="482">
        <v>0.0</v>
      </c>
      <c r="D578" s="482" t="s">
        <v>893</v>
      </c>
      <c r="E578" s="482" t="s">
        <v>894</v>
      </c>
    </row>
    <row r="579" customFormat="1" s="36">
      <c r="A579" s="485" t="s">
        <v>1966</v>
      </c>
      <c r="B579" s="485" t="s">
        <v>1967</v>
      </c>
      <c r="C579" s="482">
        <v>0.0</v>
      </c>
      <c r="D579" s="482" t="s">
        <v>893</v>
      </c>
      <c r="E579" s="482" t="s">
        <v>894</v>
      </c>
    </row>
    <row r="580" customFormat="1" s="36">
      <c r="A580" s="485"/>
      <c r="B580" s="485" t="s">
        <v>1968</v>
      </c>
      <c r="C580" s="482">
        <v>0.0</v>
      </c>
      <c r="D580" s="482" t="s">
        <v>893</v>
      </c>
      <c r="E580" s="482" t="s">
        <v>1799</v>
      </c>
    </row>
    <row r="581" customFormat="1" s="36">
      <c r="A581" s="485" t="s">
        <v>1969</v>
      </c>
      <c r="B581" s="485" t="s">
        <v>1970</v>
      </c>
      <c r="C581" s="482">
        <v>0.0</v>
      </c>
      <c r="D581" s="482" t="s">
        <v>893</v>
      </c>
      <c r="E581" s="482" t="s">
        <v>894</v>
      </c>
    </row>
    <row r="582" customFormat="1" s="36">
      <c r="A582" s="485" t="s">
        <v>1971</v>
      </c>
      <c r="B582" s="485" t="s">
        <v>1972</v>
      </c>
      <c r="C582" s="482">
        <v>0.0</v>
      </c>
      <c r="D582" s="482" t="s">
        <v>913</v>
      </c>
      <c r="E582" s="482" t="s">
        <v>894</v>
      </c>
    </row>
    <row r="583" customFormat="1" s="36">
      <c r="A583" s="485" t="s">
        <v>1973</v>
      </c>
      <c r="B583" s="485" t="s">
        <v>1974</v>
      </c>
      <c r="C583" s="482">
        <v>2.0</v>
      </c>
      <c r="D583" s="482" t="s">
        <v>913</v>
      </c>
      <c r="E583" s="482" t="s">
        <v>894</v>
      </c>
    </row>
    <row r="584" customFormat="1" s="36">
      <c r="A584" s="485" t="s">
        <v>1975</v>
      </c>
      <c r="B584" s="485" t="s">
        <v>1976</v>
      </c>
      <c r="C584" s="482">
        <v>0.0</v>
      </c>
      <c r="D584" s="482" t="s">
        <v>913</v>
      </c>
      <c r="E584" s="482" t="s">
        <v>894</v>
      </c>
    </row>
    <row r="585" customFormat="1" s="36">
      <c r="A585" s="485" t="s">
        <v>1977</v>
      </c>
      <c r="B585" s="485" t="s">
        <v>1978</v>
      </c>
      <c r="C585" s="482">
        <v>32.0</v>
      </c>
      <c r="D585" s="482" t="s">
        <v>913</v>
      </c>
      <c r="E585" s="482" t="s">
        <v>894</v>
      </c>
    </row>
    <row r="586" customFormat="1" s="36">
      <c r="A586" s="485" t="s">
        <v>1979</v>
      </c>
      <c r="B586" s="485" t="s">
        <v>1980</v>
      </c>
      <c r="C586" s="482">
        <v>1.0</v>
      </c>
      <c r="D586" s="482" t="s">
        <v>913</v>
      </c>
      <c r="E586" s="482" t="s">
        <v>1140</v>
      </c>
    </row>
    <row r="587" customFormat="1" s="36">
      <c r="A587" s="485" t="s">
        <v>1981</v>
      </c>
      <c r="B587" s="485" t="s">
        <v>1982</v>
      </c>
      <c r="C587" s="482">
        <v>0.0</v>
      </c>
      <c r="D587" s="482" t="s">
        <v>893</v>
      </c>
      <c r="E587" s="482" t="s">
        <v>894</v>
      </c>
    </row>
    <row r="588" customFormat="1" s="36">
      <c r="A588" s="485" t="s">
        <v>1983</v>
      </c>
      <c r="B588" s="485" t="s">
        <v>1984</v>
      </c>
      <c r="C588" s="482">
        <v>564.0</v>
      </c>
      <c r="D588" s="482" t="s">
        <v>913</v>
      </c>
      <c r="E588" s="482" t="s">
        <v>1140</v>
      </c>
    </row>
    <row r="589" customFormat="1" s="36">
      <c r="A589" s="485" t="s">
        <v>1985</v>
      </c>
      <c r="B589" s="485" t="s">
        <v>1986</v>
      </c>
      <c r="C589" s="482">
        <v>252.0</v>
      </c>
      <c r="D589" s="482" t="s">
        <v>913</v>
      </c>
      <c r="E589" s="482" t="s">
        <v>1140</v>
      </c>
    </row>
    <row r="590" customFormat="1" s="36">
      <c r="A590" s="485" t="s">
        <v>1987</v>
      </c>
      <c r="B590" s="485" t="s">
        <v>1988</v>
      </c>
      <c r="C590" s="482">
        <v>0.0</v>
      </c>
      <c r="D590" s="482" t="s">
        <v>893</v>
      </c>
      <c r="E590" s="482" t="s">
        <v>894</v>
      </c>
    </row>
    <row r="591" customFormat="1" s="36">
      <c r="A591" s="485" t="s">
        <v>1989</v>
      </c>
      <c r="B591" s="485" t="s">
        <v>1990</v>
      </c>
      <c r="C591" s="482">
        <v>0.0</v>
      </c>
      <c r="D591" s="482" t="s">
        <v>893</v>
      </c>
      <c r="E591" s="482" t="s">
        <v>894</v>
      </c>
    </row>
    <row r="592" customFormat="1" s="36">
      <c r="A592" s="485" t="s">
        <v>1991</v>
      </c>
      <c r="B592" s="485" t="s">
        <v>1992</v>
      </c>
      <c r="C592" s="482">
        <v>854.0</v>
      </c>
      <c r="D592" s="482" t="s">
        <v>913</v>
      </c>
      <c r="E592" s="482" t="s">
        <v>894</v>
      </c>
    </row>
    <row r="593" customFormat="1" s="36">
      <c r="A593" s="485" t="s">
        <v>1993</v>
      </c>
      <c r="B593" s="485" t="s">
        <v>1994</v>
      </c>
      <c r="C593" s="482">
        <v>800.0</v>
      </c>
      <c r="D593" s="482" t="s">
        <v>913</v>
      </c>
      <c r="E593" s="482" t="s">
        <v>894</v>
      </c>
    </row>
    <row r="594" customFormat="1" s="36">
      <c r="A594" s="485" t="s">
        <v>1995</v>
      </c>
      <c r="B594" s="485" t="s">
        <v>1996</v>
      </c>
      <c r="C594" s="482">
        <v>22.232</v>
      </c>
      <c r="D594" s="482" t="s">
        <v>913</v>
      </c>
      <c r="E594" s="482" t="s">
        <v>894</v>
      </c>
    </row>
    <row r="595" customFormat="1" s="36">
      <c r="A595" s="485" t="s">
        <v>1997</v>
      </c>
      <c r="B595" s="485" t="s">
        <v>1998</v>
      </c>
      <c r="C595" s="482">
        <v>0.0</v>
      </c>
      <c r="D595" s="482" t="s">
        <v>913</v>
      </c>
      <c r="E595" s="482" t="s">
        <v>894</v>
      </c>
    </row>
    <row r="596" customFormat="1" s="36">
      <c r="A596" s="485" t="s">
        <v>1999</v>
      </c>
      <c r="B596" s="485" t="s">
        <v>2000</v>
      </c>
      <c r="C596" s="482">
        <v>300.0</v>
      </c>
      <c r="D596" s="482" t="s">
        <v>913</v>
      </c>
      <c r="E596" s="482" t="s">
        <v>894</v>
      </c>
    </row>
    <row r="597" customFormat="1" s="36">
      <c r="A597" s="485" t="s">
        <v>2001</v>
      </c>
      <c r="B597" s="485" t="s">
        <v>2002</v>
      </c>
      <c r="C597" s="482">
        <v>728.97</v>
      </c>
      <c r="D597" s="482" t="s">
        <v>913</v>
      </c>
      <c r="E597" s="482" t="s">
        <v>894</v>
      </c>
    </row>
    <row r="598" customFormat="1" s="36">
      <c r="A598" s="485" t="s">
        <v>2003</v>
      </c>
      <c r="B598" s="485" t="s">
        <v>2004</v>
      </c>
      <c r="C598" s="482">
        <v>277.97</v>
      </c>
      <c r="D598" s="482" t="s">
        <v>913</v>
      </c>
      <c r="E598" s="482" t="s">
        <v>894</v>
      </c>
    </row>
    <row r="599" customFormat="1" s="36">
      <c r="A599" s="485" t="s">
        <v>2005</v>
      </c>
      <c r="B599" s="485" t="s">
        <v>2006</v>
      </c>
      <c r="C599" s="482">
        <v>0.0</v>
      </c>
      <c r="D599" s="482" t="s">
        <v>913</v>
      </c>
      <c r="E599" s="482" t="s">
        <v>894</v>
      </c>
    </row>
    <row r="600" customFormat="1" s="36">
      <c r="A600" s="485" t="s">
        <v>2007</v>
      </c>
      <c r="B600" s="485" t="s">
        <v>2008</v>
      </c>
      <c r="C600" s="482">
        <v>401.233</v>
      </c>
      <c r="D600" s="482" t="s">
        <v>913</v>
      </c>
      <c r="E600" s="482" t="s">
        <v>894</v>
      </c>
    </row>
    <row r="601" customFormat="1" s="36">
      <c r="A601" s="485" t="s">
        <v>2009</v>
      </c>
      <c r="B601" s="485" t="s">
        <v>2010</v>
      </c>
      <c r="C601" s="482">
        <v>292.728</v>
      </c>
      <c r="D601" s="482" t="s">
        <v>913</v>
      </c>
      <c r="E601" s="482" t="s">
        <v>894</v>
      </c>
    </row>
    <row r="602" customFormat="1" s="36">
      <c r="A602" s="485" t="s">
        <v>2011</v>
      </c>
      <c r="B602" s="485" t="s">
        <v>2012</v>
      </c>
      <c r="C602" s="482">
        <v>0.0</v>
      </c>
      <c r="D602" s="482" t="s">
        <v>913</v>
      </c>
      <c r="E602" s="482" t="s">
        <v>894</v>
      </c>
    </row>
    <row r="603" customFormat="1" s="36">
      <c r="A603" s="485" t="s">
        <v>2013</v>
      </c>
      <c r="B603" s="485" t="s">
        <v>2014</v>
      </c>
      <c r="C603" s="482">
        <v>0.0</v>
      </c>
      <c r="D603" s="482" t="s">
        <v>913</v>
      </c>
      <c r="E603" s="482" t="s">
        <v>894</v>
      </c>
    </row>
    <row r="604" customFormat="1" s="36">
      <c r="A604" s="485" t="s">
        <v>2015</v>
      </c>
      <c r="B604" s="485" t="s">
        <v>2016</v>
      </c>
      <c r="C604" s="482">
        <v>400.0</v>
      </c>
      <c r="D604" s="482" t="s">
        <v>913</v>
      </c>
      <c r="E604" s="482" t="s">
        <v>894</v>
      </c>
    </row>
    <row r="605" customFormat="1" s="36">
      <c r="A605" s="485" t="s">
        <v>2017</v>
      </c>
      <c r="B605" s="485" t="s">
        <v>2018</v>
      </c>
      <c r="C605" s="482">
        <v>275.0</v>
      </c>
      <c r="D605" s="482" t="s">
        <v>913</v>
      </c>
      <c r="E605" s="482" t="s">
        <v>894</v>
      </c>
    </row>
    <row r="606" customFormat="1" s="36">
      <c r="A606" s="485" t="s">
        <v>2019</v>
      </c>
      <c r="B606" s="485" t="s">
        <v>2020</v>
      </c>
      <c r="C606" s="482">
        <v>200.0</v>
      </c>
      <c r="D606" s="482" t="s">
        <v>913</v>
      </c>
      <c r="E606" s="482" t="s">
        <v>894</v>
      </c>
    </row>
    <row r="607" customFormat="1" s="36">
      <c r="A607" s="485" t="s">
        <v>2021</v>
      </c>
      <c r="B607" s="485" t="s">
        <v>2022</v>
      </c>
      <c r="C607" s="482">
        <v>0.0</v>
      </c>
      <c r="D607" s="482" t="s">
        <v>893</v>
      </c>
      <c r="E607" s="482" t="s">
        <v>894</v>
      </c>
    </row>
    <row r="608" customFormat="1" s="36">
      <c r="A608" s="485" t="s">
        <v>2023</v>
      </c>
      <c r="B608" s="485" t="s">
        <v>2024</v>
      </c>
      <c r="C608" s="482">
        <v>0.0</v>
      </c>
      <c r="D608" s="482" t="s">
        <v>893</v>
      </c>
      <c r="E608" s="482" t="s">
        <v>894</v>
      </c>
    </row>
    <row r="609" customFormat="1" s="36">
      <c r="A609" s="485" t="s">
        <v>2025</v>
      </c>
      <c r="B609" s="485" t="s">
        <v>2026</v>
      </c>
      <c r="C609" s="482">
        <v>0.0</v>
      </c>
      <c r="D609" s="482" t="s">
        <v>893</v>
      </c>
      <c r="E609" s="482" t="s">
        <v>894</v>
      </c>
    </row>
    <row r="610" customFormat="1" s="36">
      <c r="A610" s="485" t="s">
        <v>777</v>
      </c>
      <c r="B610" s="485" t="s">
        <v>776</v>
      </c>
      <c r="C610" s="482">
        <v>787.0</v>
      </c>
      <c r="D610" s="482" t="s">
        <v>913</v>
      </c>
      <c r="E610" s="482" t="s">
        <v>894</v>
      </c>
    </row>
    <row r="611" customFormat="1" s="36">
      <c r="A611" s="485" t="s">
        <v>2027</v>
      </c>
      <c r="B611" s="485" t="s">
        <v>2028</v>
      </c>
      <c r="C611" s="482">
        <v>646.0</v>
      </c>
      <c r="D611" s="482" t="s">
        <v>913</v>
      </c>
      <c r="E611" s="482" t="s">
        <v>894</v>
      </c>
    </row>
    <row r="612" customFormat="1" s="36">
      <c r="A612" s="485" t="s">
        <v>775</v>
      </c>
      <c r="B612" s="485" t="s">
        <v>774</v>
      </c>
      <c r="C612" s="482">
        <v>904.0</v>
      </c>
      <c r="D612" s="482" t="s">
        <v>913</v>
      </c>
      <c r="E612" s="482" t="s">
        <v>894</v>
      </c>
    </row>
    <row r="613" customFormat="1" s="36">
      <c r="A613" s="485" t="s">
        <v>2029</v>
      </c>
      <c r="B613" s="485" t="s">
        <v>2030</v>
      </c>
      <c r="C613" s="482">
        <v>567.0</v>
      </c>
      <c r="D613" s="482" t="s">
        <v>913</v>
      </c>
      <c r="E613" s="482" t="s">
        <v>894</v>
      </c>
    </row>
    <row r="614" customFormat="1" s="36">
      <c r="A614" s="485" t="s">
        <v>2031</v>
      </c>
      <c r="B614" s="485" t="s">
        <v>2032</v>
      </c>
      <c r="C614" s="482">
        <v>445.0</v>
      </c>
      <c r="D614" s="482" t="s">
        <v>913</v>
      </c>
      <c r="E614" s="482" t="s">
        <v>894</v>
      </c>
    </row>
    <row r="615" customFormat="1" s="36">
      <c r="A615" s="485" t="s">
        <v>773</v>
      </c>
      <c r="B615" s="485" t="s">
        <v>772</v>
      </c>
      <c r="C615" s="482">
        <v>964.0</v>
      </c>
      <c r="D615" s="482" t="s">
        <v>913</v>
      </c>
      <c r="E615" s="482" t="s">
        <v>894</v>
      </c>
    </row>
    <row r="616" customFormat="1" s="36">
      <c r="A616" s="485" t="s">
        <v>2033</v>
      </c>
      <c r="B616" s="485" t="s">
        <v>2034</v>
      </c>
      <c r="C616" s="482">
        <v>574.0</v>
      </c>
      <c r="D616" s="482" t="s">
        <v>913</v>
      </c>
      <c r="E616" s="482" t="s">
        <v>894</v>
      </c>
    </row>
    <row r="617" customFormat="1" s="36">
      <c r="A617" s="485" t="s">
        <v>2035</v>
      </c>
      <c r="B617" s="485" t="s">
        <v>2036</v>
      </c>
      <c r="C617" s="482">
        <v>0.0</v>
      </c>
      <c r="D617" s="482" t="s">
        <v>893</v>
      </c>
      <c r="E617" s="482" t="s">
        <v>894</v>
      </c>
    </row>
    <row r="618" customFormat="1" s="36">
      <c r="A618" s="485" t="s">
        <v>192</v>
      </c>
      <c r="B618" s="485" t="s">
        <v>191</v>
      </c>
      <c r="C618" s="482">
        <v>377.0</v>
      </c>
      <c r="D618" s="482" t="s">
        <v>913</v>
      </c>
      <c r="E618" s="482" t="s">
        <v>894</v>
      </c>
    </row>
    <row r="619" customFormat="1" s="36">
      <c r="A619" s="485" t="s">
        <v>2037</v>
      </c>
      <c r="B619" s="485" t="s">
        <v>2038</v>
      </c>
      <c r="C619" s="482">
        <v>0.0</v>
      </c>
      <c r="D619" s="482" t="s">
        <v>893</v>
      </c>
      <c r="E619" s="482" t="s">
        <v>894</v>
      </c>
    </row>
    <row r="620" customFormat="1" s="36">
      <c r="A620" s="485" t="s">
        <v>194</v>
      </c>
      <c r="B620" s="485" t="s">
        <v>193</v>
      </c>
      <c r="C620" s="482">
        <v>357.0</v>
      </c>
      <c r="D620" s="482" t="s">
        <v>913</v>
      </c>
      <c r="E620" s="482" t="s">
        <v>894</v>
      </c>
    </row>
    <row r="621" customFormat="1" s="36">
      <c r="A621" s="485" t="s">
        <v>186</v>
      </c>
      <c r="B621" s="485" t="s">
        <v>185</v>
      </c>
      <c r="C621" s="482">
        <v>94.0</v>
      </c>
      <c r="D621" s="482" t="s">
        <v>913</v>
      </c>
      <c r="E621" s="482" t="s">
        <v>894</v>
      </c>
    </row>
    <row r="622" customFormat="1" s="36">
      <c r="A622" s="485" t="s">
        <v>196</v>
      </c>
      <c r="B622" s="485" t="s">
        <v>195</v>
      </c>
      <c r="C622" s="482">
        <v>1.0</v>
      </c>
      <c r="D622" s="482" t="s">
        <v>913</v>
      </c>
      <c r="E622" s="482" t="s">
        <v>894</v>
      </c>
    </row>
    <row r="623" customFormat="1" s="36">
      <c r="A623" s="485" t="s">
        <v>188</v>
      </c>
      <c r="B623" s="485" t="s">
        <v>187</v>
      </c>
      <c r="C623" s="482">
        <v>261.0</v>
      </c>
      <c r="D623" s="482" t="s">
        <v>913</v>
      </c>
      <c r="E623" s="482" t="s">
        <v>894</v>
      </c>
    </row>
    <row r="624" customFormat="1" s="36">
      <c r="A624" s="485" t="s">
        <v>2039</v>
      </c>
      <c r="B624" s="485" t="s">
        <v>2040</v>
      </c>
      <c r="C624" s="482">
        <v>0.0</v>
      </c>
      <c r="D624" s="482" t="s">
        <v>893</v>
      </c>
      <c r="E624" s="482" t="s">
        <v>894</v>
      </c>
    </row>
    <row r="625" customFormat="1" s="36">
      <c r="A625" s="485" t="s">
        <v>190</v>
      </c>
      <c r="B625" s="485" t="s">
        <v>189</v>
      </c>
      <c r="C625" s="482">
        <v>311.0</v>
      </c>
      <c r="D625" s="482" t="s">
        <v>913</v>
      </c>
      <c r="E625" s="482" t="s">
        <v>894</v>
      </c>
    </row>
    <row r="626" customFormat="1" s="36">
      <c r="A626" s="485" t="s">
        <v>2041</v>
      </c>
      <c r="B626" s="485" t="s">
        <v>2042</v>
      </c>
      <c r="C626" s="482">
        <v>1.0</v>
      </c>
      <c r="D626" s="482" t="s">
        <v>913</v>
      </c>
      <c r="E626" s="482" t="s">
        <v>894</v>
      </c>
    </row>
    <row r="627" customFormat="1" s="36">
      <c r="A627" s="485" t="s">
        <v>2043</v>
      </c>
      <c r="B627" s="485" t="s">
        <v>2044</v>
      </c>
      <c r="C627" s="482">
        <v>0.0</v>
      </c>
      <c r="D627" s="482" t="s">
        <v>893</v>
      </c>
      <c r="E627" s="482" t="s">
        <v>894</v>
      </c>
    </row>
    <row r="628" customFormat="1" s="36">
      <c r="A628" s="485" t="s">
        <v>2045</v>
      </c>
      <c r="B628" s="485" t="s">
        <v>2046</v>
      </c>
      <c r="C628" s="482">
        <v>0.0</v>
      </c>
      <c r="D628" s="482" t="s">
        <v>893</v>
      </c>
      <c r="E628" s="482" t="s">
        <v>894</v>
      </c>
    </row>
    <row r="629" customFormat="1" s="36">
      <c r="A629" s="485" t="s">
        <v>2047</v>
      </c>
      <c r="B629" s="485" t="s">
        <v>2048</v>
      </c>
      <c r="C629" s="482">
        <v>0.0</v>
      </c>
      <c r="D629" s="482" t="s">
        <v>893</v>
      </c>
      <c r="E629" s="482" t="s">
        <v>894</v>
      </c>
    </row>
    <row r="630" customFormat="1" s="36">
      <c r="A630" s="485" t="s">
        <v>2049</v>
      </c>
      <c r="B630" s="485" t="s">
        <v>2050</v>
      </c>
      <c r="C630" s="482">
        <v>0.0</v>
      </c>
      <c r="D630" s="482" t="s">
        <v>893</v>
      </c>
      <c r="E630" s="482" t="s">
        <v>894</v>
      </c>
    </row>
    <row r="631" customFormat="1" s="36">
      <c r="A631" s="485" t="s">
        <v>2051</v>
      </c>
      <c r="B631" s="485" t="s">
        <v>2052</v>
      </c>
      <c r="C631" s="482">
        <v>0.0</v>
      </c>
      <c r="D631" s="482" t="s">
        <v>893</v>
      </c>
      <c r="E631" s="482" t="s">
        <v>894</v>
      </c>
    </row>
    <row r="632" customFormat="1" s="36">
      <c r="A632" s="485" t="s">
        <v>2053</v>
      </c>
      <c r="B632" s="485" t="s">
        <v>2054</v>
      </c>
      <c r="C632" s="482">
        <v>0.0</v>
      </c>
      <c r="D632" s="482" t="s">
        <v>893</v>
      </c>
      <c r="E632" s="482" t="s">
        <v>894</v>
      </c>
    </row>
    <row r="633" customFormat="1" s="36">
      <c r="A633" s="485" t="s">
        <v>2055</v>
      </c>
      <c r="B633" s="485" t="s">
        <v>2056</v>
      </c>
      <c r="C633" s="482">
        <v>0.0</v>
      </c>
      <c r="D633" s="482" t="s">
        <v>893</v>
      </c>
      <c r="E633" s="482" t="s">
        <v>894</v>
      </c>
    </row>
    <row r="634" customFormat="1" s="36">
      <c r="A634" s="485" t="s">
        <v>2057</v>
      </c>
      <c r="B634" s="485" t="s">
        <v>2058</v>
      </c>
      <c r="C634" s="482">
        <v>0.0</v>
      </c>
      <c r="D634" s="482" t="s">
        <v>893</v>
      </c>
      <c r="E634" s="482" t="s">
        <v>894</v>
      </c>
    </row>
    <row r="635" customFormat="1" s="36">
      <c r="A635" s="485" t="s">
        <v>2059</v>
      </c>
      <c r="B635" s="485" t="s">
        <v>2060</v>
      </c>
      <c r="C635" s="482">
        <v>0.0</v>
      </c>
      <c r="D635" s="482" t="s">
        <v>893</v>
      </c>
      <c r="E635" s="482" t="s">
        <v>894</v>
      </c>
    </row>
    <row r="636" customFormat="1" s="36">
      <c r="A636" s="485" t="s">
        <v>2061</v>
      </c>
      <c r="B636" s="485" t="s">
        <v>2062</v>
      </c>
      <c r="C636" s="482">
        <v>0.0</v>
      </c>
      <c r="D636" s="482" t="s">
        <v>913</v>
      </c>
      <c r="E636" s="482" t="s">
        <v>894</v>
      </c>
    </row>
    <row r="637" customFormat="1" s="36">
      <c r="A637" s="485" t="s">
        <v>2063</v>
      </c>
      <c r="B637" s="485" t="s">
        <v>2064</v>
      </c>
      <c r="C637" s="482">
        <v>0.0</v>
      </c>
      <c r="D637" s="482" t="s">
        <v>893</v>
      </c>
      <c r="E637" s="482" t="s">
        <v>894</v>
      </c>
    </row>
    <row r="638" customFormat="1" s="36">
      <c r="A638" s="485" t="s">
        <v>2065</v>
      </c>
      <c r="B638" s="485" t="s">
        <v>2066</v>
      </c>
      <c r="C638" s="482">
        <v>12.0</v>
      </c>
      <c r="D638" s="482" t="s">
        <v>913</v>
      </c>
      <c r="E638" s="482" t="s">
        <v>1140</v>
      </c>
    </row>
    <row r="639" customFormat="1" s="36">
      <c r="A639" s="485" t="s">
        <v>2067</v>
      </c>
      <c r="B639" s="485" t="s">
        <v>2068</v>
      </c>
      <c r="C639" s="482">
        <v>108.0</v>
      </c>
      <c r="D639" s="482" t="s">
        <v>913</v>
      </c>
      <c r="E639" s="482" t="s">
        <v>1140</v>
      </c>
    </row>
    <row r="640" customFormat="1" s="36">
      <c r="A640" s="485" t="s">
        <v>2069</v>
      </c>
      <c r="B640" s="485" t="s">
        <v>2070</v>
      </c>
      <c r="C640" s="482">
        <v>930.0</v>
      </c>
      <c r="D640" s="482" t="s">
        <v>913</v>
      </c>
      <c r="E640" s="482" t="s">
        <v>894</v>
      </c>
    </row>
    <row r="641" customFormat="1" s="36">
      <c r="A641" s="485" t="s">
        <v>2071</v>
      </c>
      <c r="B641" s="485" t="s">
        <v>2072</v>
      </c>
      <c r="C641" s="482">
        <v>0.0</v>
      </c>
      <c r="D641" s="482" t="s">
        <v>893</v>
      </c>
      <c r="E641" s="482" t="s">
        <v>894</v>
      </c>
    </row>
    <row r="642" customFormat="1" s="36">
      <c r="A642" s="485" t="s">
        <v>2073</v>
      </c>
      <c r="B642" s="485" t="s">
        <v>2074</v>
      </c>
      <c r="C642" s="482">
        <v>0.0</v>
      </c>
      <c r="D642" s="482" t="s">
        <v>893</v>
      </c>
      <c r="E642" s="482" t="s">
        <v>894</v>
      </c>
    </row>
    <row r="643" customFormat="1" s="36">
      <c r="A643" s="485" t="s">
        <v>2075</v>
      </c>
      <c r="B643" s="485" t="s">
        <v>2076</v>
      </c>
      <c r="C643" s="482">
        <v>0.0</v>
      </c>
      <c r="D643" s="482" t="s">
        <v>893</v>
      </c>
      <c r="E643" s="482" t="s">
        <v>894</v>
      </c>
    </row>
    <row r="644" customFormat="1" s="36">
      <c r="A644" s="485" t="s">
        <v>2077</v>
      </c>
      <c r="B644" s="485" t="s">
        <v>2078</v>
      </c>
      <c r="C644" s="482">
        <v>0.0</v>
      </c>
      <c r="D644" s="482" t="s">
        <v>893</v>
      </c>
      <c r="E644" s="482" t="s">
        <v>894</v>
      </c>
    </row>
    <row r="645" customFormat="1" s="36">
      <c r="A645" s="485" t="s">
        <v>2079</v>
      </c>
      <c r="B645" s="485" t="s">
        <v>2080</v>
      </c>
      <c r="C645" s="482">
        <v>0.0</v>
      </c>
      <c r="D645" s="482" t="s">
        <v>893</v>
      </c>
      <c r="E645" s="482" t="s">
        <v>894</v>
      </c>
    </row>
    <row r="646" customFormat="1" s="36">
      <c r="A646" s="485" t="s">
        <v>2081</v>
      </c>
      <c r="B646" s="485" t="s">
        <v>2082</v>
      </c>
      <c r="C646" s="482">
        <v>0.0</v>
      </c>
      <c r="D646" s="482" t="s">
        <v>893</v>
      </c>
      <c r="E646" s="482" t="s">
        <v>894</v>
      </c>
    </row>
    <row r="647" customFormat="1" s="36">
      <c r="A647" s="485" t="s">
        <v>2083</v>
      </c>
      <c r="B647" s="485" t="s">
        <v>2084</v>
      </c>
      <c r="C647" s="482">
        <v>0.0</v>
      </c>
      <c r="D647" s="482" t="s">
        <v>893</v>
      </c>
      <c r="E647" s="482" t="s">
        <v>894</v>
      </c>
    </row>
    <row r="648" customFormat="1" s="36">
      <c r="A648" s="485" t="s">
        <v>2085</v>
      </c>
      <c r="B648" s="485" t="s">
        <v>2086</v>
      </c>
      <c r="C648" s="482">
        <v>0.0</v>
      </c>
      <c r="D648" s="482" t="s">
        <v>893</v>
      </c>
      <c r="E648" s="482" t="s">
        <v>894</v>
      </c>
    </row>
    <row r="649" customFormat="1" s="36">
      <c r="A649" s="485" t="s">
        <v>2087</v>
      </c>
      <c r="B649" s="485" t="s">
        <v>2088</v>
      </c>
      <c r="C649" s="482">
        <v>0.0</v>
      </c>
      <c r="D649" s="482" t="s">
        <v>893</v>
      </c>
      <c r="E649" s="482" t="s">
        <v>894</v>
      </c>
    </row>
    <row r="650" customFormat="1" s="36">
      <c r="A650" s="485" t="s">
        <v>2089</v>
      </c>
      <c r="B650" s="485" t="s">
        <v>2090</v>
      </c>
      <c r="C650" s="482">
        <v>0.0</v>
      </c>
      <c r="D650" s="482" t="s">
        <v>893</v>
      </c>
      <c r="E650" s="482" t="s">
        <v>894</v>
      </c>
    </row>
    <row r="651" customFormat="1" s="36">
      <c r="A651" s="485" t="s">
        <v>2091</v>
      </c>
      <c r="B651" s="485" t="s">
        <v>2092</v>
      </c>
      <c r="C651" s="482">
        <v>0.0</v>
      </c>
      <c r="D651" s="482" t="s">
        <v>893</v>
      </c>
      <c r="E651" s="482" t="s">
        <v>894</v>
      </c>
    </row>
    <row r="652" customFormat="1" s="36">
      <c r="A652" s="485" t="s">
        <v>2093</v>
      </c>
      <c r="B652" s="485" t="s">
        <v>2094</v>
      </c>
      <c r="C652" s="482">
        <v>0.0</v>
      </c>
      <c r="D652" s="482" t="s">
        <v>893</v>
      </c>
      <c r="E652" s="482" t="s">
        <v>894</v>
      </c>
    </row>
    <row r="653" customFormat="1" s="36">
      <c r="A653" s="485" t="s">
        <v>2095</v>
      </c>
      <c r="B653" s="485" t="s">
        <v>2096</v>
      </c>
      <c r="C653" s="482">
        <v>0.0</v>
      </c>
      <c r="D653" s="482" t="s">
        <v>893</v>
      </c>
      <c r="E653" s="482" t="s">
        <v>894</v>
      </c>
    </row>
    <row r="654" customFormat="1" s="36">
      <c r="A654" s="485" t="s">
        <v>2097</v>
      </c>
      <c r="B654" s="485" t="s">
        <v>2098</v>
      </c>
      <c r="C654" s="482">
        <v>0.0</v>
      </c>
      <c r="D654" s="482" t="s">
        <v>893</v>
      </c>
      <c r="E654" s="482" t="s">
        <v>894</v>
      </c>
    </row>
    <row r="655" customFormat="1" s="36">
      <c r="A655" s="485" t="s">
        <v>2099</v>
      </c>
      <c r="B655" s="485" t="s">
        <v>2100</v>
      </c>
      <c r="C655" s="482">
        <v>0.0</v>
      </c>
      <c r="D655" s="482" t="s">
        <v>893</v>
      </c>
      <c r="E655" s="482" t="s">
        <v>894</v>
      </c>
    </row>
    <row r="656" customFormat="1" s="36">
      <c r="A656" s="485" t="s">
        <v>2101</v>
      </c>
      <c r="B656" s="485" t="s">
        <v>2102</v>
      </c>
      <c r="C656" s="482">
        <v>0.0</v>
      </c>
      <c r="D656" s="482" t="s">
        <v>893</v>
      </c>
      <c r="E656" s="482" t="s">
        <v>894</v>
      </c>
    </row>
    <row r="657" customFormat="1" s="36">
      <c r="A657" s="485" t="s">
        <v>2103</v>
      </c>
      <c r="B657" s="485" t="s">
        <v>2104</v>
      </c>
      <c r="C657" s="482">
        <v>0.0</v>
      </c>
      <c r="D657" s="482" t="s">
        <v>893</v>
      </c>
      <c r="E657" s="482" t="s">
        <v>894</v>
      </c>
    </row>
    <row r="658" customFormat="1" s="36">
      <c r="A658" s="485" t="s">
        <v>2105</v>
      </c>
      <c r="B658" s="485" t="s">
        <v>2106</v>
      </c>
      <c r="C658" s="482">
        <v>0.0</v>
      </c>
      <c r="D658" s="482" t="s">
        <v>893</v>
      </c>
      <c r="E658" s="482" t="s">
        <v>894</v>
      </c>
    </row>
    <row r="659" customFormat="1" s="36">
      <c r="A659" s="485" t="s">
        <v>2107</v>
      </c>
      <c r="B659" s="485" t="s">
        <v>2108</v>
      </c>
      <c r="C659" s="482">
        <v>0.0</v>
      </c>
      <c r="D659" s="482" t="s">
        <v>893</v>
      </c>
      <c r="E659" s="482" t="s">
        <v>894</v>
      </c>
    </row>
    <row r="660" customFormat="1" s="36">
      <c r="A660" s="485" t="s">
        <v>2109</v>
      </c>
      <c r="B660" s="485" t="s">
        <v>2110</v>
      </c>
      <c r="C660" s="482">
        <v>0.0</v>
      </c>
      <c r="D660" s="482" t="s">
        <v>893</v>
      </c>
      <c r="E660" s="482" t="s">
        <v>894</v>
      </c>
    </row>
    <row r="661" customFormat="1" s="36">
      <c r="A661" s="485" t="s">
        <v>2111</v>
      </c>
      <c r="B661" s="485" t="s">
        <v>2112</v>
      </c>
      <c r="C661" s="482">
        <v>0.0</v>
      </c>
      <c r="D661" s="482" t="s">
        <v>893</v>
      </c>
      <c r="E661" s="482" t="s">
        <v>894</v>
      </c>
    </row>
    <row r="662" customFormat="1" s="36">
      <c r="A662" s="485" t="s">
        <v>2113</v>
      </c>
      <c r="B662" s="485" t="s">
        <v>2114</v>
      </c>
      <c r="C662" s="482">
        <v>0.0</v>
      </c>
      <c r="D662" s="482" t="s">
        <v>893</v>
      </c>
      <c r="E662" s="482" t="s">
        <v>894</v>
      </c>
    </row>
    <row r="663" customFormat="1" s="36">
      <c r="A663" s="485" t="s">
        <v>2115</v>
      </c>
      <c r="B663" s="485" t="s">
        <v>2116</v>
      </c>
      <c r="C663" s="482">
        <v>0.0</v>
      </c>
      <c r="D663" s="482" t="s">
        <v>893</v>
      </c>
      <c r="E663" s="482" t="s">
        <v>894</v>
      </c>
    </row>
    <row r="664" customFormat="1" s="36">
      <c r="A664" s="485" t="s">
        <v>2117</v>
      </c>
      <c r="B664" s="485" t="s">
        <v>2118</v>
      </c>
      <c r="C664" s="482">
        <v>0.0</v>
      </c>
      <c r="D664" s="482" t="s">
        <v>893</v>
      </c>
      <c r="E664" s="482" t="s">
        <v>894</v>
      </c>
    </row>
    <row r="665" customFormat="1" s="36">
      <c r="A665" s="485" t="s">
        <v>2119</v>
      </c>
      <c r="B665" s="485" t="s">
        <v>2120</v>
      </c>
      <c r="C665" s="482">
        <v>0.0</v>
      </c>
      <c r="D665" s="482" t="s">
        <v>893</v>
      </c>
      <c r="E665" s="482" t="s">
        <v>894</v>
      </c>
    </row>
    <row r="666" customFormat="1" s="36">
      <c r="A666" s="485" t="s">
        <v>2121</v>
      </c>
      <c r="B666" s="485" t="s">
        <v>2122</v>
      </c>
      <c r="C666" s="482">
        <v>0.0</v>
      </c>
      <c r="D666" s="482" t="s">
        <v>893</v>
      </c>
      <c r="E666" s="482" t="s">
        <v>894</v>
      </c>
    </row>
    <row r="667" customFormat="1" s="36">
      <c r="A667" s="485" t="s">
        <v>2123</v>
      </c>
      <c r="B667" s="485" t="s">
        <v>2124</v>
      </c>
      <c r="C667" s="482">
        <v>0.0</v>
      </c>
      <c r="D667" s="482" t="s">
        <v>893</v>
      </c>
      <c r="E667" s="482" t="s">
        <v>894</v>
      </c>
    </row>
    <row r="668" customFormat="1" s="36">
      <c r="A668" s="485" t="s">
        <v>2125</v>
      </c>
      <c r="B668" s="485" t="s">
        <v>2126</v>
      </c>
      <c r="C668" s="482">
        <v>0.0</v>
      </c>
      <c r="D668" s="482" t="s">
        <v>893</v>
      </c>
      <c r="E668" s="482" t="s">
        <v>894</v>
      </c>
    </row>
    <row r="669" customFormat="1" s="36">
      <c r="A669" s="485" t="s">
        <v>2127</v>
      </c>
      <c r="B669" s="485" t="s">
        <v>2128</v>
      </c>
      <c r="C669" s="482">
        <v>0.0</v>
      </c>
      <c r="D669" s="482" t="s">
        <v>893</v>
      </c>
      <c r="E669" s="482" t="s">
        <v>894</v>
      </c>
    </row>
    <row r="670" customFormat="1" s="36">
      <c r="A670" s="485" t="s">
        <v>2129</v>
      </c>
      <c r="B670" s="485" t="s">
        <v>2130</v>
      </c>
      <c r="C670" s="482">
        <v>0.0</v>
      </c>
      <c r="D670" s="482" t="s">
        <v>893</v>
      </c>
      <c r="E670" s="482" t="s">
        <v>894</v>
      </c>
    </row>
    <row r="671" customFormat="1" s="36">
      <c r="A671" s="485" t="s">
        <v>2131</v>
      </c>
      <c r="B671" s="485" t="s">
        <v>2132</v>
      </c>
      <c r="C671" s="482">
        <v>0.0</v>
      </c>
      <c r="D671" s="482" t="s">
        <v>893</v>
      </c>
      <c r="E671" s="482" t="s">
        <v>894</v>
      </c>
    </row>
    <row r="672" customFormat="1" s="36">
      <c r="A672" s="485" t="s">
        <v>2133</v>
      </c>
      <c r="B672" s="485" t="s">
        <v>2134</v>
      </c>
      <c r="C672" s="482">
        <v>0.0</v>
      </c>
      <c r="D672" s="482" t="s">
        <v>893</v>
      </c>
      <c r="E672" s="482" t="s">
        <v>894</v>
      </c>
    </row>
    <row r="673" customFormat="1" s="36">
      <c r="A673" s="485" t="s">
        <v>2135</v>
      </c>
      <c r="B673" s="485" t="s">
        <v>2136</v>
      </c>
      <c r="C673" s="482">
        <v>0.0</v>
      </c>
      <c r="D673" s="482" t="s">
        <v>893</v>
      </c>
      <c r="E673" s="482" t="s">
        <v>894</v>
      </c>
    </row>
    <row r="674" customFormat="1" s="36">
      <c r="A674" s="485" t="s">
        <v>2137</v>
      </c>
      <c r="B674" s="485" t="s">
        <v>2138</v>
      </c>
      <c r="C674" s="482">
        <v>0.0</v>
      </c>
      <c r="D674" s="482" t="s">
        <v>893</v>
      </c>
      <c r="E674" s="482" t="s">
        <v>894</v>
      </c>
    </row>
    <row r="675" customFormat="1" s="36">
      <c r="A675" s="485" t="s">
        <v>2139</v>
      </c>
      <c r="B675" s="485" t="s">
        <v>2140</v>
      </c>
      <c r="C675" s="482">
        <v>0.0</v>
      </c>
      <c r="D675" s="482" t="s">
        <v>893</v>
      </c>
      <c r="E675" s="482" t="s">
        <v>894</v>
      </c>
    </row>
    <row r="676" customFormat="1" s="36">
      <c r="A676" s="485" t="s">
        <v>2141</v>
      </c>
      <c r="B676" s="485" t="s">
        <v>2142</v>
      </c>
      <c r="C676" s="482">
        <v>0.0</v>
      </c>
      <c r="D676" s="482" t="s">
        <v>893</v>
      </c>
      <c r="E676" s="482" t="s">
        <v>894</v>
      </c>
    </row>
    <row r="677" customFormat="1" s="36">
      <c r="A677" s="485" t="s">
        <v>2143</v>
      </c>
      <c r="B677" s="485" t="s">
        <v>2144</v>
      </c>
      <c r="C677" s="482">
        <v>0.0</v>
      </c>
      <c r="D677" s="482" t="s">
        <v>893</v>
      </c>
      <c r="E677" s="482" t="s">
        <v>894</v>
      </c>
    </row>
    <row r="678" customFormat="1" s="36">
      <c r="A678" s="485" t="s">
        <v>2145</v>
      </c>
      <c r="B678" s="485" t="s">
        <v>2146</v>
      </c>
      <c r="C678" s="482">
        <v>0.0</v>
      </c>
      <c r="D678" s="482" t="s">
        <v>893</v>
      </c>
      <c r="E678" s="482" t="s">
        <v>894</v>
      </c>
    </row>
    <row r="679" customFormat="1" s="36">
      <c r="A679" s="485" t="s">
        <v>2147</v>
      </c>
      <c r="B679" s="485" t="s">
        <v>2148</v>
      </c>
      <c r="C679" s="482">
        <v>0.0</v>
      </c>
      <c r="D679" s="482" t="s">
        <v>893</v>
      </c>
      <c r="E679" s="482" t="s">
        <v>894</v>
      </c>
    </row>
    <row r="680" customFormat="1" s="36">
      <c r="A680" s="485" t="s">
        <v>2149</v>
      </c>
      <c r="B680" s="485" t="s">
        <v>2150</v>
      </c>
      <c r="C680" s="482">
        <v>0.0</v>
      </c>
      <c r="D680" s="482" t="s">
        <v>893</v>
      </c>
      <c r="E680" s="482" t="s">
        <v>894</v>
      </c>
    </row>
    <row r="681" customFormat="1" s="36">
      <c r="A681" s="485" t="s">
        <v>2151</v>
      </c>
      <c r="B681" s="485" t="s">
        <v>2152</v>
      </c>
      <c r="C681" s="482">
        <v>0.0</v>
      </c>
      <c r="D681" s="482" t="s">
        <v>893</v>
      </c>
      <c r="E681" s="482" t="s">
        <v>894</v>
      </c>
    </row>
    <row r="682" customFormat="1" s="36">
      <c r="A682" s="485" t="s">
        <v>2153</v>
      </c>
      <c r="B682" s="485" t="s">
        <v>2154</v>
      </c>
      <c r="C682" s="482">
        <v>0.0</v>
      </c>
      <c r="D682" s="482" t="s">
        <v>893</v>
      </c>
      <c r="E682" s="482" t="s">
        <v>894</v>
      </c>
    </row>
    <row r="683" customFormat="1" s="36">
      <c r="A683" s="485" t="s">
        <v>2155</v>
      </c>
      <c r="B683" s="485" t="s">
        <v>2156</v>
      </c>
      <c r="C683" s="482">
        <v>0.0</v>
      </c>
      <c r="D683" s="482" t="s">
        <v>893</v>
      </c>
      <c r="E683" s="482" t="s">
        <v>894</v>
      </c>
    </row>
    <row r="684" customFormat="1" s="36">
      <c r="A684" s="485" t="s">
        <v>2157</v>
      </c>
      <c r="B684" s="485" t="s">
        <v>2158</v>
      </c>
      <c r="C684" s="482">
        <v>0.0</v>
      </c>
      <c r="D684" s="482" t="s">
        <v>893</v>
      </c>
      <c r="E684" s="482" t="s">
        <v>894</v>
      </c>
    </row>
    <row r="685" customFormat="1" s="36">
      <c r="A685" s="485" t="s">
        <v>2159</v>
      </c>
      <c r="B685" s="485" t="s">
        <v>2160</v>
      </c>
      <c r="C685" s="482">
        <v>0.0</v>
      </c>
      <c r="D685" s="482" t="s">
        <v>893</v>
      </c>
      <c r="E685" s="482" t="s">
        <v>894</v>
      </c>
    </row>
    <row r="686" customFormat="1" s="36">
      <c r="A686" s="485" t="s">
        <v>2161</v>
      </c>
      <c r="B686" s="485" t="s">
        <v>2162</v>
      </c>
      <c r="C686" s="482">
        <v>0.0</v>
      </c>
      <c r="D686" s="482" t="s">
        <v>893</v>
      </c>
      <c r="E686" s="482" t="s">
        <v>894</v>
      </c>
    </row>
    <row r="687" customFormat="1" s="36">
      <c r="A687" s="485" t="s">
        <v>2163</v>
      </c>
      <c r="B687" s="485" t="s">
        <v>2164</v>
      </c>
      <c r="C687" s="482">
        <v>0.0</v>
      </c>
      <c r="D687" s="482" t="s">
        <v>893</v>
      </c>
      <c r="E687" s="482" t="s">
        <v>894</v>
      </c>
    </row>
    <row r="688" customFormat="1" s="36">
      <c r="A688" s="485" t="s">
        <v>2165</v>
      </c>
      <c r="B688" s="485" t="s">
        <v>2166</v>
      </c>
      <c r="C688" s="482">
        <v>0.0</v>
      </c>
      <c r="D688" s="482" t="s">
        <v>893</v>
      </c>
      <c r="E688" s="482" t="s">
        <v>894</v>
      </c>
    </row>
    <row r="689" customFormat="1" s="36">
      <c r="A689" s="485" t="s">
        <v>2167</v>
      </c>
      <c r="B689" s="485" t="s">
        <v>2168</v>
      </c>
      <c r="C689" s="482">
        <v>0.0</v>
      </c>
      <c r="D689" s="482" t="s">
        <v>893</v>
      </c>
      <c r="E689" s="482" t="s">
        <v>894</v>
      </c>
    </row>
    <row r="690" customFormat="1" s="36">
      <c r="A690" s="485" t="s">
        <v>2169</v>
      </c>
      <c r="B690" s="485" t="s">
        <v>2170</v>
      </c>
      <c r="C690" s="482">
        <v>0.0</v>
      </c>
      <c r="D690" s="482" t="s">
        <v>893</v>
      </c>
      <c r="E690" s="482" t="s">
        <v>894</v>
      </c>
    </row>
    <row r="691" customFormat="1" s="36">
      <c r="A691" s="485" t="s">
        <v>2171</v>
      </c>
      <c r="B691" s="485" t="s">
        <v>2172</v>
      </c>
      <c r="C691" s="482">
        <v>0.0</v>
      </c>
      <c r="D691" s="482" t="s">
        <v>893</v>
      </c>
      <c r="E691" s="482" t="s">
        <v>894</v>
      </c>
    </row>
    <row r="692" customFormat="1" s="36">
      <c r="A692" s="485" t="s">
        <v>2173</v>
      </c>
      <c r="B692" s="485" t="s">
        <v>2174</v>
      </c>
      <c r="C692" s="482">
        <v>0.0</v>
      </c>
      <c r="D692" s="482" t="s">
        <v>893</v>
      </c>
      <c r="E692" s="482" t="s">
        <v>894</v>
      </c>
    </row>
    <row r="693" customFormat="1" s="36">
      <c r="A693" s="485" t="s">
        <v>2175</v>
      </c>
      <c r="B693" s="485" t="s">
        <v>2176</v>
      </c>
      <c r="C693" s="482">
        <v>0.0</v>
      </c>
      <c r="D693" s="482" t="s">
        <v>893</v>
      </c>
      <c r="E693" s="482" t="s">
        <v>894</v>
      </c>
    </row>
    <row r="694" customFormat="1" s="36">
      <c r="A694" s="485" t="s">
        <v>2177</v>
      </c>
      <c r="B694" s="485" t="s">
        <v>2178</v>
      </c>
      <c r="C694" s="482">
        <v>0.0</v>
      </c>
      <c r="D694" s="482" t="s">
        <v>893</v>
      </c>
      <c r="E694" s="482" t="s">
        <v>894</v>
      </c>
    </row>
    <row r="695" customFormat="1" s="36">
      <c r="A695" s="485" t="s">
        <v>2179</v>
      </c>
      <c r="B695" s="485" t="s">
        <v>2180</v>
      </c>
      <c r="C695" s="482">
        <v>0.0</v>
      </c>
      <c r="D695" s="482" t="s">
        <v>893</v>
      </c>
      <c r="E695" s="482" t="s">
        <v>894</v>
      </c>
    </row>
    <row r="696" customFormat="1" s="36">
      <c r="A696" s="485" t="s">
        <v>2181</v>
      </c>
      <c r="B696" s="485" t="s">
        <v>2182</v>
      </c>
      <c r="C696" s="482">
        <v>0.0</v>
      </c>
      <c r="D696" s="482" t="s">
        <v>893</v>
      </c>
      <c r="E696" s="482" t="s">
        <v>894</v>
      </c>
    </row>
    <row r="697" customFormat="1" s="36">
      <c r="A697" s="485" t="s">
        <v>2183</v>
      </c>
      <c r="B697" s="485" t="s">
        <v>2184</v>
      </c>
      <c r="C697" s="482">
        <v>0.0</v>
      </c>
      <c r="D697" s="482" t="s">
        <v>893</v>
      </c>
      <c r="E697" s="482" t="s">
        <v>894</v>
      </c>
    </row>
    <row r="698" customFormat="1" s="36">
      <c r="A698" s="485" t="s">
        <v>2185</v>
      </c>
      <c r="B698" s="485" t="s">
        <v>2186</v>
      </c>
      <c r="C698" s="482">
        <v>0.0</v>
      </c>
      <c r="D698" s="482" t="s">
        <v>893</v>
      </c>
      <c r="E698" s="482" t="s">
        <v>894</v>
      </c>
    </row>
    <row r="699" customFormat="1" s="36">
      <c r="A699" s="485" t="s">
        <v>2187</v>
      </c>
      <c r="B699" s="485" t="s">
        <v>2188</v>
      </c>
      <c r="C699" s="482">
        <v>0.0</v>
      </c>
      <c r="D699" s="482" t="s">
        <v>893</v>
      </c>
      <c r="E699" s="482" t="s">
        <v>894</v>
      </c>
    </row>
    <row r="700" customFormat="1" s="36">
      <c r="A700" s="485" t="s">
        <v>2189</v>
      </c>
      <c r="B700" s="485" t="s">
        <v>2190</v>
      </c>
      <c r="C700" s="482">
        <v>0.0</v>
      </c>
      <c r="D700" s="482" t="s">
        <v>893</v>
      </c>
      <c r="E700" s="482" t="s">
        <v>894</v>
      </c>
    </row>
    <row r="701" customFormat="1" s="36">
      <c r="A701" s="485" t="s">
        <v>2191</v>
      </c>
      <c r="B701" s="485" t="s">
        <v>2192</v>
      </c>
      <c r="C701" s="482">
        <v>0.0</v>
      </c>
      <c r="D701" s="482" t="s">
        <v>893</v>
      </c>
      <c r="E701" s="482" t="s">
        <v>894</v>
      </c>
    </row>
    <row r="702" customFormat="1" s="36">
      <c r="A702" s="485" t="s">
        <v>2193</v>
      </c>
      <c r="B702" s="485" t="s">
        <v>2194</v>
      </c>
      <c r="C702" s="482">
        <v>0.0</v>
      </c>
      <c r="D702" s="482" t="s">
        <v>893</v>
      </c>
      <c r="E702" s="482" t="s">
        <v>894</v>
      </c>
    </row>
    <row r="703" customFormat="1" s="36">
      <c r="A703" s="485" t="s">
        <v>2195</v>
      </c>
      <c r="B703" s="485" t="s">
        <v>2196</v>
      </c>
      <c r="C703" s="482">
        <v>0.0</v>
      </c>
      <c r="D703" s="482" t="s">
        <v>893</v>
      </c>
      <c r="E703" s="482" t="s">
        <v>894</v>
      </c>
    </row>
    <row r="704" customFormat="1" s="36">
      <c r="A704" s="485" t="s">
        <v>2197</v>
      </c>
      <c r="B704" s="485" t="s">
        <v>2198</v>
      </c>
      <c r="C704" s="482">
        <v>0.0</v>
      </c>
      <c r="D704" s="482" t="s">
        <v>893</v>
      </c>
      <c r="E704" s="482" t="s">
        <v>894</v>
      </c>
    </row>
    <row r="705" customFormat="1" s="36">
      <c r="A705" s="485" t="s">
        <v>2199</v>
      </c>
      <c r="B705" s="485" t="s">
        <v>2200</v>
      </c>
      <c r="C705" s="482">
        <v>0.0</v>
      </c>
      <c r="D705" s="482" t="s">
        <v>893</v>
      </c>
      <c r="E705" s="482" t="s">
        <v>894</v>
      </c>
    </row>
    <row r="706" customFormat="1" s="36">
      <c r="A706" s="485" t="s">
        <v>2201</v>
      </c>
      <c r="B706" s="485" t="s">
        <v>2202</v>
      </c>
      <c r="C706" s="482">
        <v>0.0</v>
      </c>
      <c r="D706" s="482" t="s">
        <v>893</v>
      </c>
      <c r="E706" s="482" t="s">
        <v>894</v>
      </c>
    </row>
    <row r="707" customFormat="1" s="36">
      <c r="A707" s="485" t="s">
        <v>2203</v>
      </c>
      <c r="B707" s="485" t="s">
        <v>2204</v>
      </c>
      <c r="C707" s="482">
        <v>0.0</v>
      </c>
      <c r="D707" s="482" t="s">
        <v>893</v>
      </c>
      <c r="E707" s="482" t="s">
        <v>894</v>
      </c>
    </row>
    <row r="708" customFormat="1" s="36">
      <c r="A708" s="485" t="s">
        <v>2205</v>
      </c>
      <c r="B708" s="485" t="s">
        <v>2206</v>
      </c>
      <c r="C708" s="482">
        <v>0.0</v>
      </c>
      <c r="D708" s="482" t="s">
        <v>893</v>
      </c>
      <c r="E708" s="482" t="s">
        <v>894</v>
      </c>
    </row>
    <row r="709" customFormat="1" s="36">
      <c r="A709" s="485" t="s">
        <v>2207</v>
      </c>
      <c r="B709" s="485" t="s">
        <v>2208</v>
      </c>
      <c r="C709" s="482">
        <v>0.0</v>
      </c>
      <c r="D709" s="482" t="s">
        <v>893</v>
      </c>
      <c r="E709" s="482" t="s">
        <v>894</v>
      </c>
    </row>
    <row r="710" customFormat="1" s="36">
      <c r="A710" s="485" t="s">
        <v>2209</v>
      </c>
      <c r="B710" s="485" t="s">
        <v>2210</v>
      </c>
      <c r="C710" s="482">
        <v>0.0</v>
      </c>
      <c r="D710" s="482" t="s">
        <v>893</v>
      </c>
      <c r="E710" s="482" t="s">
        <v>894</v>
      </c>
    </row>
    <row r="711" customFormat="1" s="36">
      <c r="A711" s="485" t="s">
        <v>2211</v>
      </c>
      <c r="B711" s="485" t="s">
        <v>2212</v>
      </c>
      <c r="C711" s="482">
        <v>0.0</v>
      </c>
      <c r="D711" s="482" t="s">
        <v>893</v>
      </c>
      <c r="E711" s="482" t="s">
        <v>894</v>
      </c>
    </row>
    <row r="712" customFormat="1" s="36">
      <c r="A712" s="485" t="s">
        <v>2213</v>
      </c>
      <c r="B712" s="485" t="s">
        <v>2214</v>
      </c>
      <c r="C712" s="482">
        <v>0.0</v>
      </c>
      <c r="D712" s="482" t="s">
        <v>893</v>
      </c>
      <c r="E712" s="482" t="s">
        <v>894</v>
      </c>
    </row>
    <row r="713" customFormat="1" s="36">
      <c r="A713" s="485" t="s">
        <v>2215</v>
      </c>
      <c r="B713" s="485" t="s">
        <v>2216</v>
      </c>
      <c r="C713" s="482">
        <v>0.0</v>
      </c>
      <c r="D713" s="482" t="s">
        <v>893</v>
      </c>
      <c r="E713" s="482" t="s">
        <v>894</v>
      </c>
    </row>
    <row r="714" customFormat="1" s="36">
      <c r="A714" s="485" t="s">
        <v>2217</v>
      </c>
      <c r="B714" s="485" t="s">
        <v>2218</v>
      </c>
      <c r="C714" s="482">
        <v>0.0</v>
      </c>
      <c r="D714" s="482" t="s">
        <v>893</v>
      </c>
      <c r="E714" s="482" t="s">
        <v>894</v>
      </c>
    </row>
    <row r="715" customFormat="1" s="36">
      <c r="A715" s="485" t="s">
        <v>2219</v>
      </c>
      <c r="B715" s="485" t="s">
        <v>2220</v>
      </c>
      <c r="C715" s="482">
        <v>0.0</v>
      </c>
      <c r="D715" s="482" t="s">
        <v>893</v>
      </c>
      <c r="E715" s="482" t="s">
        <v>894</v>
      </c>
    </row>
    <row r="716" customFormat="1" s="36">
      <c r="A716" s="485" t="s">
        <v>2221</v>
      </c>
      <c r="B716" s="485" t="s">
        <v>2222</v>
      </c>
      <c r="C716" s="482">
        <v>0.0</v>
      </c>
      <c r="D716" s="482" t="s">
        <v>893</v>
      </c>
      <c r="E716" s="482" t="s">
        <v>894</v>
      </c>
    </row>
    <row r="717" customFormat="1" s="36">
      <c r="A717" s="485" t="s">
        <v>2223</v>
      </c>
      <c r="B717" s="485" t="s">
        <v>2224</v>
      </c>
      <c r="C717" s="482">
        <v>0.0</v>
      </c>
      <c r="D717" s="482" t="s">
        <v>893</v>
      </c>
      <c r="E717" s="482" t="s">
        <v>894</v>
      </c>
    </row>
    <row r="718" customFormat="1" s="36">
      <c r="A718" s="485" t="s">
        <v>2225</v>
      </c>
      <c r="B718" s="485" t="s">
        <v>2226</v>
      </c>
      <c r="C718" s="482">
        <v>0.0</v>
      </c>
      <c r="D718" s="482" t="s">
        <v>893</v>
      </c>
      <c r="E718" s="482" t="s">
        <v>894</v>
      </c>
    </row>
    <row r="719" customFormat="1" s="36">
      <c r="A719" s="485" t="s">
        <v>771</v>
      </c>
      <c r="B719" s="485" t="s">
        <v>770</v>
      </c>
      <c r="C719" s="482">
        <v>88.0</v>
      </c>
      <c r="D719" s="482" t="s">
        <v>913</v>
      </c>
      <c r="E719" s="482" t="s">
        <v>894</v>
      </c>
    </row>
    <row r="720" customFormat="1" s="36">
      <c r="A720" s="485" t="s">
        <v>2227</v>
      </c>
      <c r="B720" s="485" t="s">
        <v>2228</v>
      </c>
      <c r="C720" s="482">
        <v>0.0</v>
      </c>
      <c r="D720" s="482" t="s">
        <v>913</v>
      </c>
      <c r="E720" s="482" t="s">
        <v>894</v>
      </c>
    </row>
    <row r="721" customFormat="1" s="36">
      <c r="A721" s="485" t="s">
        <v>2229</v>
      </c>
      <c r="B721" s="485" t="s">
        <v>2230</v>
      </c>
      <c r="C721" s="482">
        <v>0.0</v>
      </c>
      <c r="D721" s="482" t="s">
        <v>893</v>
      </c>
      <c r="E721" s="482" t="s">
        <v>894</v>
      </c>
    </row>
    <row r="722" customFormat="1" s="36">
      <c r="A722" s="485" t="s">
        <v>2231</v>
      </c>
      <c r="B722" s="485" t="s">
        <v>2232</v>
      </c>
      <c r="C722" s="482">
        <v>0.0</v>
      </c>
      <c r="D722" s="482" t="s">
        <v>893</v>
      </c>
      <c r="E722" s="482" t="s">
        <v>894</v>
      </c>
    </row>
    <row r="723" customFormat="1" s="36">
      <c r="A723" s="485" t="s">
        <v>2233</v>
      </c>
      <c r="B723" s="485" t="s">
        <v>2234</v>
      </c>
      <c r="C723" s="482">
        <v>0.0</v>
      </c>
      <c r="D723" s="482" t="s">
        <v>893</v>
      </c>
      <c r="E723" s="482" t="s">
        <v>894</v>
      </c>
    </row>
    <row r="724" customFormat="1" s="36">
      <c r="A724" s="485" t="s">
        <v>2235</v>
      </c>
      <c r="B724" s="485" t="s">
        <v>2236</v>
      </c>
      <c r="C724" s="482">
        <v>0.0</v>
      </c>
      <c r="D724" s="482" t="s">
        <v>893</v>
      </c>
      <c r="E724" s="482" t="s">
        <v>894</v>
      </c>
    </row>
    <row r="725" customFormat="1" s="36">
      <c r="A725" s="485">
        <v>35306.0</v>
      </c>
      <c r="B725" s="485" t="s">
        <v>2237</v>
      </c>
      <c r="C725" s="482">
        <v>0.0</v>
      </c>
      <c r="D725" s="482" t="s">
        <v>893</v>
      </c>
      <c r="E725" s="482" t="s">
        <v>894</v>
      </c>
    </row>
    <row r="726" customFormat="1" s="36">
      <c r="A726" s="485">
        <v>35302.0</v>
      </c>
      <c r="B726" s="485" t="s">
        <v>2238</v>
      </c>
      <c r="C726" s="482">
        <v>0.0</v>
      </c>
      <c r="D726" s="482" t="s">
        <v>893</v>
      </c>
      <c r="E726" s="482" t="s">
        <v>894</v>
      </c>
    </row>
    <row r="727" customFormat="1" s="36">
      <c r="A727" s="485">
        <v>35301.0</v>
      </c>
      <c r="B727" s="485" t="s">
        <v>2239</v>
      </c>
      <c r="C727" s="482">
        <v>0.0</v>
      </c>
      <c r="D727" s="482" t="s">
        <v>893</v>
      </c>
      <c r="E727" s="482" t="s">
        <v>894</v>
      </c>
    </row>
    <row r="728" customFormat="1" s="36">
      <c r="A728" s="485">
        <v>35305.0</v>
      </c>
      <c r="B728" s="485" t="s">
        <v>2240</v>
      </c>
      <c r="C728" s="482">
        <v>0.0</v>
      </c>
      <c r="D728" s="482" t="s">
        <v>893</v>
      </c>
      <c r="E728" s="482" t="s">
        <v>894</v>
      </c>
    </row>
    <row r="729" customFormat="1" s="36">
      <c r="A729" s="485">
        <v>35304.0</v>
      </c>
      <c r="B729" s="485" t="s">
        <v>2241</v>
      </c>
      <c r="C729" s="482">
        <v>0.0</v>
      </c>
      <c r="D729" s="482" t="s">
        <v>893</v>
      </c>
      <c r="E729" s="482" t="s">
        <v>894</v>
      </c>
    </row>
    <row r="730" customFormat="1" s="36">
      <c r="A730" s="485">
        <v>35303.0</v>
      </c>
      <c r="B730" s="485" t="s">
        <v>2242</v>
      </c>
      <c r="C730" s="482">
        <v>0.0</v>
      </c>
      <c r="D730" s="482" t="s">
        <v>893</v>
      </c>
      <c r="E730" s="482" t="s">
        <v>894</v>
      </c>
    </row>
    <row r="731" customFormat="1" s="36">
      <c r="A731" s="485" t="s">
        <v>2243</v>
      </c>
      <c r="B731" s="485" t="s">
        <v>2244</v>
      </c>
      <c r="C731" s="482">
        <v>0.0</v>
      </c>
      <c r="D731" s="482" t="s">
        <v>893</v>
      </c>
      <c r="E731" s="482" t="s">
        <v>894</v>
      </c>
    </row>
    <row r="732" customFormat="1" s="36">
      <c r="A732" s="485" t="s">
        <v>2245</v>
      </c>
      <c r="B732" s="485" t="s">
        <v>2246</v>
      </c>
      <c r="C732" s="482">
        <v>317.0</v>
      </c>
      <c r="D732" s="482" t="s">
        <v>913</v>
      </c>
      <c r="E732" s="482" t="s">
        <v>894</v>
      </c>
    </row>
    <row r="733" customFormat="1" s="36">
      <c r="A733" s="485" t="s">
        <v>2247</v>
      </c>
      <c r="B733" s="485" t="s">
        <v>2248</v>
      </c>
      <c r="C733" s="482">
        <v>603.0</v>
      </c>
      <c r="D733" s="482" t="s">
        <v>913</v>
      </c>
      <c r="E733" s="482" t="s">
        <v>894</v>
      </c>
    </row>
    <row r="734" customFormat="1" s="36">
      <c r="A734" s="485" t="s">
        <v>2249</v>
      </c>
      <c r="B734" s="485" t="s">
        <v>2250</v>
      </c>
      <c r="C734" s="482">
        <v>112.0</v>
      </c>
      <c r="D734" s="482" t="s">
        <v>913</v>
      </c>
      <c r="E734" s="482" t="s">
        <v>894</v>
      </c>
    </row>
    <row r="735" customFormat="1" s="36">
      <c r="A735" s="485" t="s">
        <v>2251</v>
      </c>
      <c r="B735" s="485" t="s">
        <v>2252</v>
      </c>
      <c r="C735" s="482">
        <v>0.0</v>
      </c>
      <c r="D735" s="482" t="s">
        <v>893</v>
      </c>
      <c r="E735" s="482" t="s">
        <v>894</v>
      </c>
    </row>
    <row r="736" customFormat="1" s="36">
      <c r="A736" s="485" t="s">
        <v>2253</v>
      </c>
      <c r="B736" s="485" t="s">
        <v>2254</v>
      </c>
      <c r="C736" s="482">
        <v>0.0</v>
      </c>
      <c r="D736" s="482" t="s">
        <v>893</v>
      </c>
      <c r="E736" s="482" t="s">
        <v>894</v>
      </c>
    </row>
    <row r="737" customFormat="1" s="36">
      <c r="A737" s="485" t="s">
        <v>2255</v>
      </c>
      <c r="B737" s="485" t="s">
        <v>2256</v>
      </c>
      <c r="C737" s="482">
        <v>172.0</v>
      </c>
      <c r="D737" s="482" t="s">
        <v>913</v>
      </c>
      <c r="E737" s="482" t="s">
        <v>894</v>
      </c>
    </row>
    <row r="738" customFormat="1" s="36">
      <c r="A738" s="485" t="s">
        <v>2257</v>
      </c>
      <c r="B738" s="485" t="s">
        <v>2258</v>
      </c>
      <c r="C738" s="482">
        <v>169.0</v>
      </c>
      <c r="D738" s="482" t="s">
        <v>913</v>
      </c>
      <c r="E738" s="482" t="s">
        <v>894</v>
      </c>
    </row>
    <row r="739" customFormat="1" s="36">
      <c r="A739" s="485" t="s">
        <v>2259</v>
      </c>
      <c r="B739" s="485" t="s">
        <v>2260</v>
      </c>
      <c r="C739" s="482">
        <v>455.0</v>
      </c>
      <c r="D739" s="482" t="s">
        <v>913</v>
      </c>
      <c r="E739" s="482" t="s">
        <v>894</v>
      </c>
    </row>
    <row r="740" customFormat="1" s="36">
      <c r="A740" s="485" t="s">
        <v>2261</v>
      </c>
      <c r="B740" s="485" t="s">
        <v>2262</v>
      </c>
      <c r="C740" s="482">
        <v>224.0</v>
      </c>
      <c r="D740" s="482" t="s">
        <v>913</v>
      </c>
      <c r="E740" s="482" t="s">
        <v>894</v>
      </c>
    </row>
    <row r="741" customFormat="1" s="36">
      <c r="A741" s="485" t="s">
        <v>2263</v>
      </c>
      <c r="B741" s="485" t="s">
        <v>2264</v>
      </c>
      <c r="C741" s="482">
        <v>280.0</v>
      </c>
      <c r="D741" s="482" t="s">
        <v>913</v>
      </c>
      <c r="E741" s="482" t="s">
        <v>894</v>
      </c>
    </row>
    <row r="742" customFormat="1" s="36">
      <c r="A742" s="485" t="s">
        <v>2265</v>
      </c>
      <c r="B742" s="485" t="s">
        <v>2266</v>
      </c>
      <c r="C742" s="482">
        <v>390.0</v>
      </c>
      <c r="D742" s="482" t="s">
        <v>913</v>
      </c>
      <c r="E742" s="482" t="s">
        <v>894</v>
      </c>
    </row>
    <row r="743" customFormat="1" s="36">
      <c r="A743" s="485" t="s">
        <v>2267</v>
      </c>
      <c r="B743" s="485" t="s">
        <v>2268</v>
      </c>
      <c r="C743" s="482">
        <v>125.0</v>
      </c>
      <c r="D743" s="482" t="s">
        <v>913</v>
      </c>
      <c r="E743" s="482" t="s">
        <v>894</v>
      </c>
    </row>
    <row r="744" customFormat="1" s="36">
      <c r="A744" s="485" t="s">
        <v>2269</v>
      </c>
      <c r="B744" s="485" t="s">
        <v>2270</v>
      </c>
      <c r="C744" s="482">
        <v>74.0</v>
      </c>
      <c r="D744" s="482" t="s">
        <v>913</v>
      </c>
      <c r="E744" s="482" t="s">
        <v>894</v>
      </c>
    </row>
    <row r="745" customFormat="1" s="36">
      <c r="A745" s="485" t="s">
        <v>2271</v>
      </c>
      <c r="B745" s="485" t="s">
        <v>2272</v>
      </c>
      <c r="C745" s="482">
        <v>63.0</v>
      </c>
      <c r="D745" s="482" t="s">
        <v>913</v>
      </c>
      <c r="E745" s="482" t="s">
        <v>894</v>
      </c>
    </row>
    <row r="746" customFormat="1" s="36">
      <c r="A746" s="485" t="s">
        <v>2273</v>
      </c>
      <c r="B746" s="485" t="s">
        <v>2274</v>
      </c>
      <c r="C746" s="482">
        <v>0.0</v>
      </c>
      <c r="D746" s="482" t="s">
        <v>913</v>
      </c>
      <c r="E746" s="482" t="s">
        <v>894</v>
      </c>
    </row>
    <row r="747" customFormat="1" s="36">
      <c r="A747" s="485" t="s">
        <v>2275</v>
      </c>
      <c r="B747" s="485" t="s">
        <v>2276</v>
      </c>
      <c r="C747" s="482">
        <v>0.0</v>
      </c>
      <c r="D747" s="482" t="s">
        <v>893</v>
      </c>
      <c r="E747" s="482" t="s">
        <v>894</v>
      </c>
    </row>
    <row r="748" customFormat="1" s="36">
      <c r="A748" s="485" t="s">
        <v>2277</v>
      </c>
      <c r="B748" s="485" t="s">
        <v>2278</v>
      </c>
      <c r="C748" s="482">
        <v>148.0</v>
      </c>
      <c r="D748" s="482" t="s">
        <v>913</v>
      </c>
      <c r="E748" s="482" t="s">
        <v>894</v>
      </c>
    </row>
    <row r="749" customFormat="1" s="36">
      <c r="A749" s="485" t="s">
        <v>2279</v>
      </c>
      <c r="B749" s="485" t="s">
        <v>2280</v>
      </c>
      <c r="C749" s="482">
        <v>423.0</v>
      </c>
      <c r="D749" s="482" t="s">
        <v>913</v>
      </c>
      <c r="E749" s="482" t="s">
        <v>894</v>
      </c>
    </row>
    <row r="750" customFormat="1" s="36">
      <c r="A750" s="485" t="s">
        <v>2281</v>
      </c>
      <c r="B750" s="485" t="s">
        <v>2282</v>
      </c>
      <c r="C750" s="482">
        <v>0.0</v>
      </c>
      <c r="D750" s="482" t="s">
        <v>893</v>
      </c>
      <c r="E750" s="482" t="s">
        <v>894</v>
      </c>
    </row>
    <row r="751" customFormat="1" s="36">
      <c r="A751" s="485" t="s">
        <v>2283</v>
      </c>
      <c r="B751" s="485" t="s">
        <v>2284</v>
      </c>
      <c r="C751" s="482">
        <v>0.0</v>
      </c>
      <c r="D751" s="482" t="s">
        <v>893</v>
      </c>
      <c r="E751" s="482" t="s">
        <v>894</v>
      </c>
    </row>
    <row r="752" customFormat="1" s="36">
      <c r="A752" s="485" t="s">
        <v>2285</v>
      </c>
      <c r="B752" s="485" t="s">
        <v>2286</v>
      </c>
      <c r="C752" s="482">
        <v>0.0</v>
      </c>
      <c r="D752" s="482" t="s">
        <v>893</v>
      </c>
      <c r="E752" s="482" t="s">
        <v>894</v>
      </c>
    </row>
    <row r="753" customFormat="1" s="36">
      <c r="A753" s="485" t="s">
        <v>2287</v>
      </c>
      <c r="B753" s="485" t="s">
        <v>2288</v>
      </c>
      <c r="C753" s="482">
        <v>15.0</v>
      </c>
      <c r="D753" s="482" t="s">
        <v>913</v>
      </c>
      <c r="E753" s="482" t="s">
        <v>894</v>
      </c>
    </row>
    <row r="754" customFormat="1" s="36">
      <c r="A754" s="485" t="s">
        <v>2289</v>
      </c>
      <c r="B754" s="485" t="s">
        <v>2290</v>
      </c>
      <c r="C754" s="482">
        <v>0.0</v>
      </c>
      <c r="D754" s="482" t="s">
        <v>893</v>
      </c>
      <c r="E754" s="482" t="s">
        <v>894</v>
      </c>
    </row>
    <row r="755" customFormat="1" s="36">
      <c r="A755" s="485" t="s">
        <v>2291</v>
      </c>
      <c r="B755" s="485" t="s">
        <v>2292</v>
      </c>
      <c r="C755" s="482">
        <v>0.0</v>
      </c>
      <c r="D755" s="482" t="s">
        <v>893</v>
      </c>
      <c r="E755" s="482" t="s">
        <v>894</v>
      </c>
    </row>
    <row r="756" customFormat="1" s="36">
      <c r="A756" s="485" t="s">
        <v>2293</v>
      </c>
      <c r="B756" s="485" t="s">
        <v>2294</v>
      </c>
      <c r="C756" s="482">
        <v>129.0</v>
      </c>
      <c r="D756" s="482" t="s">
        <v>913</v>
      </c>
      <c r="E756" s="482" t="s">
        <v>894</v>
      </c>
    </row>
    <row r="757" customFormat="1" s="36">
      <c r="A757" s="485" t="s">
        <v>2295</v>
      </c>
      <c r="B757" s="485" t="s">
        <v>2296</v>
      </c>
      <c r="C757" s="482">
        <v>0.0</v>
      </c>
      <c r="D757" s="482" t="s">
        <v>893</v>
      </c>
      <c r="E757" s="482" t="s">
        <v>894</v>
      </c>
    </row>
    <row r="758" customFormat="1" s="36">
      <c r="A758" s="485" t="s">
        <v>2297</v>
      </c>
      <c r="B758" s="485" t="s">
        <v>2298</v>
      </c>
      <c r="C758" s="482">
        <v>0.0</v>
      </c>
      <c r="D758" s="482" t="s">
        <v>893</v>
      </c>
      <c r="E758" s="482" t="s">
        <v>894</v>
      </c>
    </row>
    <row r="759" customFormat="1" s="36">
      <c r="A759" s="485" t="s">
        <v>2299</v>
      </c>
      <c r="B759" s="485" t="s">
        <v>2300</v>
      </c>
      <c r="C759" s="482">
        <v>0.0</v>
      </c>
      <c r="D759" s="482" t="s">
        <v>893</v>
      </c>
      <c r="E759" s="482" t="s">
        <v>894</v>
      </c>
    </row>
    <row r="760" customFormat="1" s="36">
      <c r="A760" s="485" t="s">
        <v>2301</v>
      </c>
      <c r="B760" s="485" t="s">
        <v>2302</v>
      </c>
      <c r="C760" s="482">
        <v>448.0</v>
      </c>
      <c r="D760" s="482" t="s">
        <v>913</v>
      </c>
      <c r="E760" s="482" t="s">
        <v>894</v>
      </c>
    </row>
    <row r="761" customFormat="1" s="36">
      <c r="A761" s="485" t="s">
        <v>2303</v>
      </c>
      <c r="B761" s="485" t="s">
        <v>2304</v>
      </c>
      <c r="C761" s="482">
        <v>0.0</v>
      </c>
      <c r="D761" s="482" t="s">
        <v>893</v>
      </c>
      <c r="E761" s="482" t="s">
        <v>894</v>
      </c>
    </row>
    <row r="762" customFormat="1" s="36">
      <c r="A762" s="485" t="s">
        <v>2305</v>
      </c>
      <c r="B762" s="485" t="s">
        <v>2306</v>
      </c>
      <c r="C762" s="482">
        <v>288.0</v>
      </c>
      <c r="D762" s="482" t="s">
        <v>913</v>
      </c>
      <c r="E762" s="482" t="s">
        <v>894</v>
      </c>
    </row>
    <row r="763" customFormat="1" s="36">
      <c r="A763" s="485" t="s">
        <v>2307</v>
      </c>
      <c r="B763" s="485" t="s">
        <v>2308</v>
      </c>
      <c r="C763" s="482">
        <v>188.0</v>
      </c>
      <c r="D763" s="482" t="s">
        <v>913</v>
      </c>
      <c r="E763" s="482" t="s">
        <v>894</v>
      </c>
    </row>
    <row r="764" customFormat="1" s="36">
      <c r="A764" s="485" t="s">
        <v>2309</v>
      </c>
      <c r="B764" s="485" t="s">
        <v>2310</v>
      </c>
      <c r="C764" s="482">
        <v>0.0</v>
      </c>
      <c r="D764" s="482" t="s">
        <v>893</v>
      </c>
      <c r="E764" s="482" t="s">
        <v>894</v>
      </c>
    </row>
    <row r="765" customFormat="1" s="36">
      <c r="A765" s="485" t="s">
        <v>2311</v>
      </c>
      <c r="B765" s="485" t="s">
        <v>2312</v>
      </c>
      <c r="C765" s="482">
        <v>0.0</v>
      </c>
      <c r="D765" s="482" t="s">
        <v>893</v>
      </c>
      <c r="E765" s="482" t="s">
        <v>894</v>
      </c>
    </row>
    <row r="766" customFormat="1" s="36">
      <c r="A766" s="485" t="s">
        <v>2313</v>
      </c>
      <c r="B766" s="485" t="s">
        <v>2314</v>
      </c>
      <c r="C766" s="482">
        <v>205.0</v>
      </c>
      <c r="D766" s="482" t="s">
        <v>913</v>
      </c>
      <c r="E766" s="482" t="s">
        <v>894</v>
      </c>
    </row>
    <row r="767" customFormat="1" s="36">
      <c r="A767" s="485" t="s">
        <v>2315</v>
      </c>
      <c r="B767" s="485" t="s">
        <v>2316</v>
      </c>
      <c r="C767" s="482">
        <v>138.0</v>
      </c>
      <c r="D767" s="482" t="s">
        <v>913</v>
      </c>
      <c r="E767" s="482" t="s">
        <v>894</v>
      </c>
    </row>
    <row r="768" customFormat="1" s="36">
      <c r="A768" s="485" t="s">
        <v>2317</v>
      </c>
      <c r="B768" s="485" t="s">
        <v>2318</v>
      </c>
      <c r="C768" s="482">
        <v>540.0</v>
      </c>
      <c r="D768" s="482" t="s">
        <v>913</v>
      </c>
      <c r="E768" s="482" t="s">
        <v>894</v>
      </c>
    </row>
    <row r="769" customFormat="1" s="36">
      <c r="A769" s="485" t="s">
        <v>2319</v>
      </c>
      <c r="B769" s="485" t="s">
        <v>2320</v>
      </c>
      <c r="C769" s="482">
        <v>288.0</v>
      </c>
      <c r="D769" s="482" t="s">
        <v>913</v>
      </c>
      <c r="E769" s="482" t="s">
        <v>894</v>
      </c>
    </row>
    <row r="770" customFormat="1" s="36">
      <c r="A770" s="485" t="s">
        <v>2321</v>
      </c>
      <c r="B770" s="485" t="s">
        <v>2322</v>
      </c>
      <c r="C770" s="482">
        <v>0.0</v>
      </c>
      <c r="D770" s="482" t="s">
        <v>893</v>
      </c>
      <c r="E770" s="482" t="s">
        <v>894</v>
      </c>
    </row>
    <row r="771" customFormat="1" s="36">
      <c r="A771" s="485" t="s">
        <v>2323</v>
      </c>
      <c r="B771" s="485" t="s">
        <v>2324</v>
      </c>
      <c r="C771" s="482">
        <v>0.0</v>
      </c>
      <c r="D771" s="482" t="s">
        <v>893</v>
      </c>
      <c r="E771" s="482" t="s">
        <v>894</v>
      </c>
    </row>
    <row r="772" customFormat="1" s="36">
      <c r="A772" s="485" t="s">
        <v>2325</v>
      </c>
      <c r="B772" s="485" t="s">
        <v>2326</v>
      </c>
      <c r="C772" s="482">
        <v>322.0</v>
      </c>
      <c r="D772" s="482" t="s">
        <v>913</v>
      </c>
      <c r="E772" s="482" t="s">
        <v>894</v>
      </c>
    </row>
    <row r="773" customFormat="1" s="36">
      <c r="A773" s="485" t="s">
        <v>2327</v>
      </c>
      <c r="B773" s="485" t="s">
        <v>2328</v>
      </c>
      <c r="C773" s="482">
        <v>7.0</v>
      </c>
      <c r="D773" s="482" t="s">
        <v>913</v>
      </c>
      <c r="E773" s="482" t="s">
        <v>894</v>
      </c>
    </row>
    <row r="774" customFormat="1" s="36">
      <c r="A774" s="485" t="s">
        <v>2329</v>
      </c>
      <c r="B774" s="485" t="s">
        <v>2330</v>
      </c>
      <c r="C774" s="482">
        <v>0.0</v>
      </c>
      <c r="D774" s="482" t="s">
        <v>893</v>
      </c>
      <c r="E774" s="482" t="s">
        <v>894</v>
      </c>
    </row>
    <row r="775" customFormat="1" s="36">
      <c r="A775" s="485" t="s">
        <v>2331</v>
      </c>
      <c r="B775" s="485" t="s">
        <v>2332</v>
      </c>
      <c r="C775" s="482">
        <v>0.0</v>
      </c>
      <c r="D775" s="482" t="s">
        <v>893</v>
      </c>
      <c r="E775" s="482" t="s">
        <v>894</v>
      </c>
    </row>
    <row r="776" customFormat="1" s="36">
      <c r="A776" s="485" t="s">
        <v>2333</v>
      </c>
      <c r="B776" s="485" t="s">
        <v>2334</v>
      </c>
      <c r="C776" s="482">
        <v>0.0</v>
      </c>
      <c r="D776" s="482" t="s">
        <v>893</v>
      </c>
      <c r="E776" s="482" t="s">
        <v>894</v>
      </c>
    </row>
    <row r="777" customFormat="1" s="36">
      <c r="A777" s="485" t="s">
        <v>2335</v>
      </c>
      <c r="B777" s="485" t="s">
        <v>2336</v>
      </c>
      <c r="C777" s="482">
        <v>0.0</v>
      </c>
      <c r="D777" s="482" t="s">
        <v>893</v>
      </c>
      <c r="E777" s="482" t="s">
        <v>894</v>
      </c>
    </row>
    <row r="778" customFormat="1" s="36">
      <c r="A778" s="485" t="s">
        <v>2337</v>
      </c>
      <c r="B778" s="485" t="s">
        <v>2338</v>
      </c>
      <c r="C778" s="482">
        <v>0.0</v>
      </c>
      <c r="D778" s="482" t="s">
        <v>893</v>
      </c>
      <c r="E778" s="482" t="s">
        <v>894</v>
      </c>
    </row>
    <row r="779" customFormat="1" s="36">
      <c r="A779" s="485" t="s">
        <v>2339</v>
      </c>
      <c r="B779" s="485" t="s">
        <v>2340</v>
      </c>
      <c r="C779" s="482">
        <v>18.0</v>
      </c>
      <c r="D779" s="482" t="s">
        <v>913</v>
      </c>
      <c r="E779" s="482" t="s">
        <v>894</v>
      </c>
    </row>
    <row r="780" customFormat="1" s="36">
      <c r="A780" s="485" t="s">
        <v>2341</v>
      </c>
      <c r="B780" s="485" t="s">
        <v>2342</v>
      </c>
      <c r="C780" s="482">
        <v>0.0</v>
      </c>
      <c r="D780" s="482" t="s">
        <v>893</v>
      </c>
      <c r="E780" s="482" t="s">
        <v>894</v>
      </c>
    </row>
    <row r="781" customFormat="1" s="36">
      <c r="A781" s="485" t="s">
        <v>2343</v>
      </c>
      <c r="B781" s="485" t="s">
        <v>2344</v>
      </c>
      <c r="C781" s="482">
        <v>0.0</v>
      </c>
      <c r="D781" s="482" t="s">
        <v>893</v>
      </c>
      <c r="E781" s="482" t="s">
        <v>894</v>
      </c>
    </row>
    <row r="782" customFormat="1" s="36">
      <c r="A782" s="485" t="s">
        <v>2345</v>
      </c>
      <c r="B782" s="485" t="s">
        <v>2346</v>
      </c>
      <c r="C782" s="482">
        <v>0.0</v>
      </c>
      <c r="D782" s="482" t="s">
        <v>893</v>
      </c>
      <c r="E782" s="482" t="s">
        <v>894</v>
      </c>
    </row>
    <row r="783" customFormat="1" s="36">
      <c r="A783" s="485" t="s">
        <v>2347</v>
      </c>
      <c r="B783" s="485" t="s">
        <v>2348</v>
      </c>
      <c r="C783" s="482">
        <v>0.0</v>
      </c>
      <c r="D783" s="482" t="s">
        <v>893</v>
      </c>
      <c r="E783" s="482" t="s">
        <v>894</v>
      </c>
    </row>
    <row r="784" customFormat="1" s="36">
      <c r="A784" s="485" t="s">
        <v>2349</v>
      </c>
      <c r="B784" s="485" t="s">
        <v>2350</v>
      </c>
      <c r="C784" s="482">
        <v>0.0</v>
      </c>
      <c r="D784" s="482" t="s">
        <v>893</v>
      </c>
      <c r="E784" s="482" t="s">
        <v>894</v>
      </c>
    </row>
    <row r="785" customFormat="1" s="36">
      <c r="A785" s="485" t="s">
        <v>2351</v>
      </c>
      <c r="B785" s="485" t="s">
        <v>2352</v>
      </c>
      <c r="C785" s="482">
        <v>0.0</v>
      </c>
      <c r="D785" s="482" t="s">
        <v>893</v>
      </c>
      <c r="E785" s="482" t="s">
        <v>894</v>
      </c>
    </row>
    <row r="786" customFormat="1" s="36">
      <c r="A786" s="485" t="s">
        <v>2353</v>
      </c>
      <c r="B786" s="485" t="s">
        <v>2354</v>
      </c>
      <c r="C786" s="482">
        <v>0.0</v>
      </c>
      <c r="D786" s="482" t="s">
        <v>893</v>
      </c>
      <c r="E786" s="482" t="s">
        <v>894</v>
      </c>
    </row>
    <row r="787" customFormat="1" s="36">
      <c r="A787" s="485" t="s">
        <v>2355</v>
      </c>
      <c r="B787" s="485" t="s">
        <v>2356</v>
      </c>
      <c r="C787" s="482">
        <v>0.0</v>
      </c>
      <c r="D787" s="482" t="s">
        <v>893</v>
      </c>
      <c r="E787" s="482" t="s">
        <v>894</v>
      </c>
    </row>
    <row r="788" customFormat="1" s="36">
      <c r="A788" s="485" t="s">
        <v>2357</v>
      </c>
      <c r="B788" s="485" t="s">
        <v>2358</v>
      </c>
      <c r="C788" s="482">
        <v>0.0</v>
      </c>
      <c r="D788" s="482" t="s">
        <v>893</v>
      </c>
      <c r="E788" s="482" t="s">
        <v>894</v>
      </c>
    </row>
    <row r="789" customFormat="1" s="36">
      <c r="A789" s="485" t="s">
        <v>2359</v>
      </c>
      <c r="B789" s="485" t="s">
        <v>2360</v>
      </c>
      <c r="C789" s="482">
        <v>0.0</v>
      </c>
      <c r="D789" s="482" t="s">
        <v>893</v>
      </c>
      <c r="E789" s="482" t="s">
        <v>894</v>
      </c>
    </row>
    <row r="790" customFormat="1" s="36">
      <c r="A790" s="485" t="s">
        <v>2361</v>
      </c>
      <c r="B790" s="485" t="s">
        <v>2362</v>
      </c>
      <c r="C790" s="482">
        <v>0.0</v>
      </c>
      <c r="D790" s="482" t="s">
        <v>913</v>
      </c>
      <c r="E790" s="482" t="s">
        <v>1140</v>
      </c>
    </row>
    <row r="791" customFormat="1" s="36">
      <c r="A791" s="485" t="s">
        <v>2363</v>
      </c>
      <c r="B791" s="485" t="s">
        <v>2364</v>
      </c>
      <c r="C791" s="482">
        <v>0.0</v>
      </c>
      <c r="D791" s="482" t="s">
        <v>913</v>
      </c>
      <c r="E791" s="482" t="s">
        <v>1140</v>
      </c>
    </row>
    <row r="792" customFormat="1" s="36">
      <c r="A792" s="485" t="s">
        <v>2365</v>
      </c>
      <c r="B792" s="485" t="s">
        <v>2366</v>
      </c>
      <c r="C792" s="482">
        <v>0.0</v>
      </c>
      <c r="D792" s="482" t="s">
        <v>913</v>
      </c>
      <c r="E792" s="482" t="s">
        <v>1140</v>
      </c>
    </row>
    <row r="793" customFormat="1" s="36">
      <c r="A793" s="485" t="s">
        <v>2367</v>
      </c>
      <c r="B793" s="485" t="s">
        <v>2368</v>
      </c>
      <c r="C793" s="482">
        <v>0.0</v>
      </c>
      <c r="D793" s="482" t="s">
        <v>913</v>
      </c>
      <c r="E793" s="482" t="s">
        <v>1140</v>
      </c>
    </row>
    <row r="794" customFormat="1" s="36">
      <c r="A794" s="485" t="s">
        <v>2369</v>
      </c>
      <c r="B794" s="485" t="s">
        <v>2370</v>
      </c>
      <c r="C794" s="482">
        <v>0.0</v>
      </c>
      <c r="D794" s="482" t="s">
        <v>913</v>
      </c>
      <c r="E794" s="482" t="s">
        <v>1140</v>
      </c>
    </row>
    <row r="795" customFormat="1" s="36">
      <c r="A795" s="485" t="s">
        <v>2371</v>
      </c>
      <c r="B795" s="485" t="s">
        <v>2372</v>
      </c>
      <c r="C795" s="482">
        <v>0.0</v>
      </c>
      <c r="D795" s="482" t="s">
        <v>913</v>
      </c>
      <c r="E795" s="482" t="s">
        <v>1140</v>
      </c>
    </row>
    <row r="796" customFormat="1" s="36">
      <c r="A796" s="485" t="s">
        <v>2373</v>
      </c>
      <c r="B796" s="485" t="s">
        <v>2374</v>
      </c>
      <c r="C796" s="482">
        <v>0.0</v>
      </c>
      <c r="D796" s="482" t="s">
        <v>913</v>
      </c>
      <c r="E796" s="482" t="s">
        <v>1140</v>
      </c>
    </row>
    <row r="797" customFormat="1" s="36">
      <c r="A797" s="485" t="s">
        <v>2375</v>
      </c>
      <c r="B797" s="485" t="s">
        <v>2376</v>
      </c>
      <c r="C797" s="482">
        <v>0.0</v>
      </c>
      <c r="D797" s="482" t="s">
        <v>893</v>
      </c>
      <c r="E797" s="482" t="s">
        <v>894</v>
      </c>
    </row>
    <row r="798" customFormat="1" s="36">
      <c r="A798" s="485" t="s">
        <v>2377</v>
      </c>
      <c r="B798" s="485" t="s">
        <v>2378</v>
      </c>
      <c r="C798" s="482">
        <v>0.0</v>
      </c>
      <c r="D798" s="482" t="s">
        <v>893</v>
      </c>
      <c r="E798" s="482" t="s">
        <v>894</v>
      </c>
    </row>
    <row r="799" customFormat="1" s="36">
      <c r="A799" s="485" t="s">
        <v>2379</v>
      </c>
      <c r="B799" s="485" t="s">
        <v>2380</v>
      </c>
      <c r="C799" s="482">
        <v>0.0</v>
      </c>
      <c r="D799" s="482" t="s">
        <v>893</v>
      </c>
      <c r="E799" s="482" t="s">
        <v>894</v>
      </c>
    </row>
    <row r="800" customFormat="1" s="36">
      <c r="A800" s="485" t="s">
        <v>2381</v>
      </c>
      <c r="B800" s="485" t="s">
        <v>2382</v>
      </c>
      <c r="C800" s="482">
        <v>0.0</v>
      </c>
      <c r="D800" s="482" t="s">
        <v>893</v>
      </c>
      <c r="E800" s="482" t="s">
        <v>894</v>
      </c>
    </row>
    <row r="801" customFormat="1" s="36">
      <c r="A801" s="485">
        <v>34801.0</v>
      </c>
      <c r="B801" s="485" t="s">
        <v>2383</v>
      </c>
      <c r="C801" s="482">
        <v>0.0</v>
      </c>
      <c r="D801" s="482" t="s">
        <v>893</v>
      </c>
      <c r="E801" s="482" t="s">
        <v>894</v>
      </c>
    </row>
    <row r="802" customFormat="1" s="36">
      <c r="A802" s="485">
        <v>34802.0</v>
      </c>
      <c r="B802" s="485" t="s">
        <v>2384</v>
      </c>
      <c r="C802" s="482">
        <v>0.0</v>
      </c>
      <c r="D802" s="482" t="s">
        <v>893</v>
      </c>
      <c r="E802" s="482" t="s">
        <v>894</v>
      </c>
    </row>
    <row r="803" customFormat="1" s="36">
      <c r="A803" s="485">
        <v>34803.0</v>
      </c>
      <c r="B803" s="485" t="s">
        <v>2385</v>
      </c>
      <c r="C803" s="482">
        <v>0.0</v>
      </c>
      <c r="D803" s="482" t="s">
        <v>893</v>
      </c>
      <c r="E803" s="482" t="s">
        <v>894</v>
      </c>
    </row>
    <row r="804" customFormat="1" s="36">
      <c r="A804" s="485">
        <v>34804.0</v>
      </c>
      <c r="B804" s="485" t="s">
        <v>2386</v>
      </c>
      <c r="C804" s="482">
        <v>0.0</v>
      </c>
      <c r="D804" s="482" t="s">
        <v>893</v>
      </c>
      <c r="E804" s="482" t="s">
        <v>894</v>
      </c>
    </row>
    <row r="805" customFormat="1" s="36">
      <c r="A805" s="485" t="s">
        <v>2387</v>
      </c>
      <c r="B805" s="485" t="s">
        <v>2388</v>
      </c>
      <c r="C805" s="482">
        <v>181.0</v>
      </c>
      <c r="D805" s="482" t="s">
        <v>893</v>
      </c>
      <c r="E805" s="482" t="s">
        <v>894</v>
      </c>
    </row>
    <row r="806" customFormat="1" s="36">
      <c r="A806" s="485" t="s">
        <v>2389</v>
      </c>
      <c r="B806" s="485" t="s">
        <v>2390</v>
      </c>
      <c r="C806" s="482">
        <v>0.0</v>
      </c>
      <c r="D806" s="482" t="s">
        <v>893</v>
      </c>
      <c r="E806" s="482" t="s">
        <v>1799</v>
      </c>
    </row>
    <row r="807" customFormat="1" s="36">
      <c r="A807" s="485">
        <v>92601.0</v>
      </c>
      <c r="B807" s="485" t="s">
        <v>2391</v>
      </c>
      <c r="C807" s="482">
        <v>0.0</v>
      </c>
      <c r="D807" s="482" t="s">
        <v>893</v>
      </c>
      <c r="E807" s="482" t="s">
        <v>894</v>
      </c>
    </row>
    <row r="808" customFormat="1" s="36">
      <c r="A808" s="485">
        <v>92602.0</v>
      </c>
      <c r="B808" s="485" t="s">
        <v>2392</v>
      </c>
      <c r="C808" s="482">
        <v>0.0</v>
      </c>
      <c r="D808" s="482" t="s">
        <v>893</v>
      </c>
      <c r="E808" s="482" t="s">
        <v>894</v>
      </c>
    </row>
    <row r="809" customFormat="1" s="36">
      <c r="A809" s="485">
        <v>92603.0</v>
      </c>
      <c r="B809" s="485" t="s">
        <v>2393</v>
      </c>
      <c r="C809" s="482">
        <v>0.0</v>
      </c>
      <c r="D809" s="482" t="s">
        <v>893</v>
      </c>
      <c r="E809" s="482" t="s">
        <v>894</v>
      </c>
    </row>
    <row r="810" customFormat="1" s="36">
      <c r="A810" s="485">
        <v>92604.0</v>
      </c>
      <c r="B810" s="485" t="s">
        <v>2394</v>
      </c>
      <c r="C810" s="482">
        <v>0.0</v>
      </c>
      <c r="D810" s="482" t="s">
        <v>893</v>
      </c>
      <c r="E810" s="482" t="s">
        <v>894</v>
      </c>
    </row>
    <row r="811" customFormat="1" s="36">
      <c r="A811" s="485">
        <v>92605.0</v>
      </c>
      <c r="B811" s="485" t="s">
        <v>2395</v>
      </c>
      <c r="C811" s="482">
        <v>0.0</v>
      </c>
      <c r="D811" s="482" t="s">
        <v>893</v>
      </c>
      <c r="E811" s="482" t="s">
        <v>894</v>
      </c>
    </row>
    <row r="812" customFormat="1" s="36">
      <c r="A812" s="485">
        <v>92606.0</v>
      </c>
      <c r="B812" s="485" t="s">
        <v>2396</v>
      </c>
      <c r="C812" s="482">
        <v>0.0</v>
      </c>
      <c r="D812" s="482" t="s">
        <v>893</v>
      </c>
      <c r="E812" s="482" t="s">
        <v>894</v>
      </c>
    </row>
    <row r="813" customFormat="1" s="36">
      <c r="A813" s="485">
        <v>92607.0</v>
      </c>
      <c r="B813" s="485" t="s">
        <v>2397</v>
      </c>
      <c r="C813" s="482">
        <v>0.0</v>
      </c>
      <c r="D813" s="482" t="s">
        <v>893</v>
      </c>
      <c r="E813" s="482" t="s">
        <v>894</v>
      </c>
    </row>
    <row r="814" customFormat="1" s="36">
      <c r="A814" s="485">
        <v>92608.0</v>
      </c>
      <c r="B814" s="485" t="s">
        <v>2398</v>
      </c>
      <c r="C814" s="482">
        <v>0.0</v>
      </c>
      <c r="D814" s="482" t="s">
        <v>893</v>
      </c>
      <c r="E814" s="482" t="s">
        <v>894</v>
      </c>
    </row>
    <row r="815" customFormat="1" s="36">
      <c r="A815" s="485">
        <v>92609.0</v>
      </c>
      <c r="B815" s="485" t="s">
        <v>2399</v>
      </c>
      <c r="C815" s="482">
        <v>0.0</v>
      </c>
      <c r="D815" s="482" t="s">
        <v>893</v>
      </c>
      <c r="E815" s="482" t="s">
        <v>894</v>
      </c>
    </row>
    <row r="816" customFormat="1" s="36">
      <c r="A816" s="485">
        <v>92610.0</v>
      </c>
      <c r="B816" s="485" t="s">
        <v>2400</v>
      </c>
      <c r="C816" s="482">
        <v>0.0</v>
      </c>
      <c r="D816" s="482" t="s">
        <v>893</v>
      </c>
      <c r="E816" s="482" t="s">
        <v>894</v>
      </c>
    </row>
    <row r="817" customFormat="1" s="36">
      <c r="A817" s="485">
        <v>92611.0</v>
      </c>
      <c r="B817" s="485" t="s">
        <v>2401</v>
      </c>
      <c r="C817" s="482">
        <v>0.0</v>
      </c>
      <c r="D817" s="482" t="s">
        <v>893</v>
      </c>
      <c r="E817" s="482" t="s">
        <v>894</v>
      </c>
    </row>
    <row r="818" customFormat="1" s="36">
      <c r="A818" s="485">
        <v>92612.0</v>
      </c>
      <c r="B818" s="485" t="s">
        <v>2402</v>
      </c>
      <c r="C818" s="482">
        <v>0.0</v>
      </c>
      <c r="D818" s="482" t="s">
        <v>893</v>
      </c>
      <c r="E818" s="482" t="s">
        <v>894</v>
      </c>
    </row>
    <row r="819" customFormat="1" s="36">
      <c r="A819" s="485">
        <v>92613.0</v>
      </c>
      <c r="B819" s="485" t="s">
        <v>2403</v>
      </c>
      <c r="C819" s="482">
        <v>0.0</v>
      </c>
      <c r="D819" s="482" t="s">
        <v>893</v>
      </c>
      <c r="E819" s="482" t="s">
        <v>894</v>
      </c>
    </row>
    <row r="820" customFormat="1" s="36">
      <c r="A820" s="485">
        <v>92614.0</v>
      </c>
      <c r="B820" s="485" t="s">
        <v>2404</v>
      </c>
      <c r="C820" s="482">
        <v>0.0</v>
      </c>
      <c r="D820" s="482" t="s">
        <v>893</v>
      </c>
      <c r="E820" s="482" t="s">
        <v>894</v>
      </c>
    </row>
    <row r="821" customFormat="1" s="36">
      <c r="A821" s="485">
        <v>92615.0</v>
      </c>
      <c r="B821" s="485" t="s">
        <v>2405</v>
      </c>
      <c r="C821" s="482">
        <v>0.0</v>
      </c>
      <c r="D821" s="482" t="s">
        <v>893</v>
      </c>
      <c r="E821" s="482" t="s">
        <v>894</v>
      </c>
    </row>
    <row r="822" customFormat="1" s="36">
      <c r="A822" s="485">
        <v>92616.0</v>
      </c>
      <c r="B822" s="485" t="s">
        <v>2406</v>
      </c>
      <c r="C822" s="482">
        <v>0.0</v>
      </c>
      <c r="D822" s="482" t="s">
        <v>893</v>
      </c>
      <c r="E822" s="482" t="s">
        <v>894</v>
      </c>
    </row>
    <row r="823" customFormat="1" s="36">
      <c r="A823" s="485">
        <v>92618.0</v>
      </c>
      <c r="B823" s="485" t="s">
        <v>2407</v>
      </c>
      <c r="C823" s="482">
        <v>0.0</v>
      </c>
      <c r="D823" s="482" t="s">
        <v>893</v>
      </c>
      <c r="E823" s="482" t="s">
        <v>894</v>
      </c>
    </row>
    <row r="824" customFormat="1" s="36">
      <c r="A824" s="485">
        <v>92619.0</v>
      </c>
      <c r="B824" s="485" t="s">
        <v>2408</v>
      </c>
      <c r="C824" s="482">
        <v>0.0</v>
      </c>
      <c r="D824" s="482" t="s">
        <v>893</v>
      </c>
      <c r="E824" s="482" t="s">
        <v>894</v>
      </c>
    </row>
    <row r="825" customFormat="1" s="36">
      <c r="A825" s="485">
        <v>92620.0</v>
      </c>
      <c r="B825" s="485" t="s">
        <v>2409</v>
      </c>
      <c r="C825" s="482">
        <v>0.0</v>
      </c>
      <c r="D825" s="482" t="s">
        <v>893</v>
      </c>
      <c r="E825" s="482" t="s">
        <v>894</v>
      </c>
    </row>
    <row r="826" customFormat="1" s="36">
      <c r="A826" s="485">
        <v>92621.0</v>
      </c>
      <c r="B826" s="485" t="s">
        <v>2410</v>
      </c>
      <c r="C826" s="482">
        <v>0.0</v>
      </c>
      <c r="D826" s="482" t="s">
        <v>893</v>
      </c>
      <c r="E826" s="482" t="s">
        <v>894</v>
      </c>
    </row>
    <row r="827" customFormat="1" s="36">
      <c r="A827" s="485">
        <v>92622.0</v>
      </c>
      <c r="B827" s="485" t="s">
        <v>2411</v>
      </c>
      <c r="C827" s="482">
        <v>0.0</v>
      </c>
      <c r="D827" s="482" t="s">
        <v>893</v>
      </c>
      <c r="E827" s="482" t="s">
        <v>894</v>
      </c>
    </row>
    <row r="828" customFormat="1" s="36">
      <c r="A828" s="485">
        <v>92623.0</v>
      </c>
      <c r="B828" s="485" t="s">
        <v>2412</v>
      </c>
      <c r="C828" s="482">
        <v>0.0</v>
      </c>
      <c r="D828" s="482" t="s">
        <v>893</v>
      </c>
      <c r="E828" s="482" t="s">
        <v>894</v>
      </c>
    </row>
    <row r="829" customFormat="1" s="36">
      <c r="A829" s="485">
        <v>92625.0</v>
      </c>
      <c r="B829" s="485" t="s">
        <v>2413</v>
      </c>
      <c r="C829" s="482">
        <v>0.0</v>
      </c>
      <c r="D829" s="482" t="s">
        <v>893</v>
      </c>
      <c r="E829" s="482" t="s">
        <v>894</v>
      </c>
    </row>
    <row r="830" customFormat="1" s="36">
      <c r="A830" s="485">
        <v>92626.0</v>
      </c>
      <c r="B830" s="485" t="s">
        <v>2414</v>
      </c>
      <c r="C830" s="482">
        <v>0.0</v>
      </c>
      <c r="D830" s="482" t="s">
        <v>893</v>
      </c>
      <c r="E830" s="482" t="s">
        <v>894</v>
      </c>
    </row>
    <row r="831" customFormat="1" s="36">
      <c r="A831" s="485" t="s">
        <v>2415</v>
      </c>
      <c r="B831" s="485" t="s">
        <v>2416</v>
      </c>
      <c r="C831" s="482">
        <v>0.0</v>
      </c>
      <c r="D831" s="482" t="s">
        <v>893</v>
      </c>
      <c r="E831" s="482" t="s">
        <v>894</v>
      </c>
    </row>
    <row r="832" customFormat="1" s="36">
      <c r="A832" s="485" t="s">
        <v>2417</v>
      </c>
      <c r="B832" s="485" t="s">
        <v>2418</v>
      </c>
      <c r="C832" s="482">
        <v>465.0</v>
      </c>
      <c r="D832" s="482" t="s">
        <v>913</v>
      </c>
      <c r="E832" s="482" t="s">
        <v>894</v>
      </c>
    </row>
    <row r="833" customFormat="1" s="36">
      <c r="A833" s="485" t="s">
        <v>2419</v>
      </c>
      <c r="B833" s="485" t="s">
        <v>2420</v>
      </c>
      <c r="C833" s="482">
        <v>354.0</v>
      </c>
      <c r="D833" s="482" t="s">
        <v>913</v>
      </c>
      <c r="E833" s="482" t="s">
        <v>894</v>
      </c>
    </row>
    <row r="834" customFormat="1" s="36">
      <c r="A834" s="485" t="s">
        <v>2421</v>
      </c>
      <c r="B834" s="485" t="s">
        <v>2422</v>
      </c>
      <c r="C834" s="482">
        <v>204.0</v>
      </c>
      <c r="D834" s="482" t="s">
        <v>913</v>
      </c>
      <c r="E834" s="482" t="s">
        <v>894</v>
      </c>
    </row>
    <row r="835" customFormat="1" s="36">
      <c r="A835" s="485" t="s">
        <v>2423</v>
      </c>
      <c r="B835" s="485" t="s">
        <v>2424</v>
      </c>
      <c r="C835" s="482">
        <v>360.0</v>
      </c>
      <c r="D835" s="482" t="s">
        <v>913</v>
      </c>
      <c r="E835" s="482" t="s">
        <v>894</v>
      </c>
    </row>
    <row r="836" customFormat="1" s="36">
      <c r="A836" s="485" t="s">
        <v>2425</v>
      </c>
      <c r="B836" s="485" t="s">
        <v>2426</v>
      </c>
      <c r="C836" s="482">
        <v>192.0</v>
      </c>
      <c r="D836" s="482" t="s">
        <v>913</v>
      </c>
      <c r="E836" s="482" t="s">
        <v>894</v>
      </c>
    </row>
    <row r="837" customFormat="1" s="36">
      <c r="A837" s="485" t="s">
        <v>2427</v>
      </c>
      <c r="B837" s="485" t="s">
        <v>2428</v>
      </c>
      <c r="C837" s="482">
        <v>90.0</v>
      </c>
      <c r="D837" s="482" t="s">
        <v>913</v>
      </c>
      <c r="E837" s="482" t="s">
        <v>894</v>
      </c>
    </row>
    <row r="838" customFormat="1" s="36">
      <c r="A838" s="485" t="s">
        <v>2429</v>
      </c>
      <c r="B838" s="485" t="s">
        <v>2430</v>
      </c>
      <c r="C838" s="482">
        <v>0.0</v>
      </c>
      <c r="D838" s="482" t="s">
        <v>893</v>
      </c>
      <c r="E838" s="482" t="s">
        <v>894</v>
      </c>
    </row>
    <row r="839" customFormat="1" s="36">
      <c r="A839" s="485" t="s">
        <v>2431</v>
      </c>
      <c r="B839" s="485" t="s">
        <v>2432</v>
      </c>
      <c r="C839" s="482">
        <v>0.0</v>
      </c>
      <c r="D839" s="482" t="s">
        <v>893</v>
      </c>
      <c r="E839" s="482" t="s">
        <v>894</v>
      </c>
    </row>
    <row r="840" customFormat="1" s="36">
      <c r="A840" s="485" t="s">
        <v>2433</v>
      </c>
      <c r="B840" s="485" t="s">
        <v>2434</v>
      </c>
      <c r="C840" s="482">
        <v>204.0</v>
      </c>
      <c r="D840" s="482" t="s">
        <v>913</v>
      </c>
      <c r="E840" s="482" t="s">
        <v>894</v>
      </c>
    </row>
    <row r="841" customFormat="1" s="36">
      <c r="A841" s="485" t="s">
        <v>2435</v>
      </c>
      <c r="B841" s="485" t="s">
        <v>2436</v>
      </c>
      <c r="C841" s="482">
        <v>0.0</v>
      </c>
      <c r="D841" s="482" t="s">
        <v>893</v>
      </c>
      <c r="E841" s="482" t="s">
        <v>894</v>
      </c>
    </row>
    <row r="842" customFormat="1" s="36">
      <c r="A842" s="485" t="s">
        <v>2437</v>
      </c>
      <c r="B842" s="485" t="s">
        <v>2438</v>
      </c>
      <c r="C842" s="482">
        <v>0.0</v>
      </c>
      <c r="D842" s="482" t="s">
        <v>893</v>
      </c>
      <c r="E842" s="482" t="s">
        <v>894</v>
      </c>
    </row>
    <row r="843" customFormat="1" s="36">
      <c r="A843" s="485" t="s">
        <v>2439</v>
      </c>
      <c r="B843" s="485" t="s">
        <v>2440</v>
      </c>
      <c r="C843" s="482">
        <v>276.0</v>
      </c>
      <c r="D843" s="482" t="s">
        <v>913</v>
      </c>
      <c r="E843" s="482" t="s">
        <v>894</v>
      </c>
    </row>
    <row r="844" customFormat="1" s="36">
      <c r="A844" s="485" t="s">
        <v>2441</v>
      </c>
      <c r="B844" s="485" t="s">
        <v>2442</v>
      </c>
      <c r="C844" s="482">
        <v>0.0</v>
      </c>
      <c r="D844" s="482" t="s">
        <v>893</v>
      </c>
      <c r="E844" s="482" t="s">
        <v>894</v>
      </c>
    </row>
    <row r="845" customFormat="1" s="36">
      <c r="A845" s="485" t="s">
        <v>2443</v>
      </c>
      <c r="B845" s="485" t="s">
        <v>2444</v>
      </c>
      <c r="C845" s="482">
        <v>0.0</v>
      </c>
      <c r="D845" s="482" t="s">
        <v>893</v>
      </c>
      <c r="E845" s="482" t="s">
        <v>894</v>
      </c>
    </row>
    <row r="846" customFormat="1" s="36">
      <c r="A846" s="485" t="s">
        <v>2445</v>
      </c>
      <c r="B846" s="485" t="s">
        <v>2446</v>
      </c>
      <c r="C846" s="482">
        <v>-1.0</v>
      </c>
      <c r="D846" s="482" t="s">
        <v>913</v>
      </c>
      <c r="E846" s="482" t="s">
        <v>894</v>
      </c>
    </row>
    <row r="847" customFormat="1" s="36">
      <c r="A847" s="485">
        <v>4301.0</v>
      </c>
      <c r="B847" s="485" t="s">
        <v>2447</v>
      </c>
      <c r="C847" s="482">
        <v>0.0</v>
      </c>
      <c r="D847" s="482" t="s">
        <v>893</v>
      </c>
      <c r="E847" s="482" t="s">
        <v>894</v>
      </c>
    </row>
    <row r="848" customFormat="1" s="36">
      <c r="A848" s="485">
        <v>4302.0</v>
      </c>
      <c r="B848" s="485" t="s">
        <v>2448</v>
      </c>
      <c r="C848" s="482">
        <v>0.0</v>
      </c>
      <c r="D848" s="482" t="s">
        <v>893</v>
      </c>
      <c r="E848" s="482" t="s">
        <v>894</v>
      </c>
    </row>
    <row r="849" customFormat="1" s="36">
      <c r="A849" s="485">
        <v>4303.0</v>
      </c>
      <c r="B849" s="485" t="s">
        <v>2449</v>
      </c>
      <c r="C849" s="482">
        <v>0.0</v>
      </c>
      <c r="D849" s="482" t="s">
        <v>893</v>
      </c>
      <c r="E849" s="482" t="s">
        <v>894</v>
      </c>
    </row>
    <row r="850" customFormat="1" s="36">
      <c r="A850" s="485">
        <v>4305.0</v>
      </c>
      <c r="B850" s="485" t="s">
        <v>2450</v>
      </c>
      <c r="C850" s="482">
        <v>0.0</v>
      </c>
      <c r="D850" s="482" t="s">
        <v>893</v>
      </c>
      <c r="E850" s="482" t="s">
        <v>894</v>
      </c>
    </row>
    <row r="851" customFormat="1" s="36">
      <c r="A851" s="485">
        <v>4304.0</v>
      </c>
      <c r="B851" s="485" t="s">
        <v>2451</v>
      </c>
      <c r="C851" s="482">
        <v>0.0</v>
      </c>
      <c r="D851" s="482" t="s">
        <v>893</v>
      </c>
      <c r="E851" s="482" t="s">
        <v>894</v>
      </c>
    </row>
    <row r="852" customFormat="1" s="36">
      <c r="A852" s="485">
        <v>4306.0</v>
      </c>
      <c r="B852" s="485" t="s">
        <v>2452</v>
      </c>
      <c r="C852" s="482">
        <v>0.0</v>
      </c>
      <c r="D852" s="482" t="s">
        <v>893</v>
      </c>
      <c r="E852" s="482" t="s">
        <v>894</v>
      </c>
    </row>
    <row r="853" customFormat="1" s="36">
      <c r="A853" s="485" t="s">
        <v>2453</v>
      </c>
      <c r="B853" s="485" t="s">
        <v>2454</v>
      </c>
      <c r="C853" s="482">
        <v>0.0</v>
      </c>
      <c r="D853" s="482" t="s">
        <v>893</v>
      </c>
      <c r="E853" s="482" t="s">
        <v>894</v>
      </c>
    </row>
    <row r="854" customFormat="1" s="36">
      <c r="A854" s="485" t="s">
        <v>2455</v>
      </c>
      <c r="B854" s="485" t="s">
        <v>2456</v>
      </c>
      <c r="C854" s="482">
        <v>0.0</v>
      </c>
      <c r="D854" s="482" t="s">
        <v>893</v>
      </c>
      <c r="E854" s="482" t="s">
        <v>894</v>
      </c>
    </row>
    <row r="855" customFormat="1" s="36">
      <c r="A855" s="485">
        <v>96801.0</v>
      </c>
      <c r="B855" s="485" t="s">
        <v>2457</v>
      </c>
      <c r="C855" s="482">
        <v>0.0</v>
      </c>
      <c r="D855" s="482" t="s">
        <v>893</v>
      </c>
      <c r="E855" s="482" t="s">
        <v>894</v>
      </c>
    </row>
    <row r="856" customFormat="1" s="36">
      <c r="A856" s="485">
        <v>96803.0</v>
      </c>
      <c r="B856" s="485" t="s">
        <v>2458</v>
      </c>
      <c r="C856" s="482">
        <v>0.0</v>
      </c>
      <c r="D856" s="482" t="s">
        <v>893</v>
      </c>
      <c r="E856" s="482" t="s">
        <v>894</v>
      </c>
    </row>
    <row r="857" customFormat="1" s="36">
      <c r="A857" s="485">
        <v>96802.0</v>
      </c>
      <c r="B857" s="485" t="s">
        <v>2459</v>
      </c>
      <c r="C857" s="482">
        <v>0.0</v>
      </c>
      <c r="D857" s="482" t="s">
        <v>893</v>
      </c>
      <c r="E857" s="482" t="s">
        <v>894</v>
      </c>
    </row>
    <row r="858" customFormat="1" s="36">
      <c r="A858" s="485">
        <v>96805.0</v>
      </c>
      <c r="B858" s="485" t="s">
        <v>2460</v>
      </c>
      <c r="C858" s="482">
        <v>0.0</v>
      </c>
      <c r="D858" s="482" t="s">
        <v>893</v>
      </c>
      <c r="E858" s="482" t="s">
        <v>894</v>
      </c>
    </row>
    <row r="859" customFormat="1" s="36">
      <c r="A859" s="485">
        <v>96804.0</v>
      </c>
      <c r="B859" s="485" t="s">
        <v>2461</v>
      </c>
      <c r="C859" s="482">
        <v>0.0</v>
      </c>
      <c r="D859" s="482" t="s">
        <v>893</v>
      </c>
      <c r="E859" s="482" t="s">
        <v>894</v>
      </c>
    </row>
    <row r="860" customFormat="1" s="36">
      <c r="A860" s="485">
        <v>96806.0</v>
      </c>
      <c r="B860" s="485" t="s">
        <v>2462</v>
      </c>
      <c r="C860" s="482">
        <v>0.0</v>
      </c>
      <c r="D860" s="482" t="s">
        <v>893</v>
      </c>
      <c r="E860" s="482" t="s">
        <v>894</v>
      </c>
    </row>
    <row r="861" customFormat="1" s="36">
      <c r="A861" s="485" t="s">
        <v>2463</v>
      </c>
      <c r="B861" s="485" t="s">
        <v>2464</v>
      </c>
      <c r="C861" s="482">
        <v>0.0</v>
      </c>
      <c r="D861" s="482" t="s">
        <v>893</v>
      </c>
      <c r="E861" s="482" t="s">
        <v>894</v>
      </c>
    </row>
    <row r="862" customFormat="1" s="36">
      <c r="A862" s="485" t="s">
        <v>2465</v>
      </c>
      <c r="B862" s="485" t="s">
        <v>2466</v>
      </c>
      <c r="C862" s="482">
        <v>0.0</v>
      </c>
      <c r="D862" s="482" t="s">
        <v>893</v>
      </c>
      <c r="E862" s="482" t="s">
        <v>894</v>
      </c>
    </row>
    <row r="863" customFormat="1" s="36">
      <c r="A863" s="485" t="s">
        <v>98</v>
      </c>
      <c r="B863" s="485" t="s">
        <v>2467</v>
      </c>
      <c r="C863" s="482">
        <v>0.0</v>
      </c>
      <c r="D863" s="482" t="s">
        <v>893</v>
      </c>
      <c r="E863" s="482" t="s">
        <v>894</v>
      </c>
    </row>
    <row r="864" customFormat="1" s="36">
      <c r="A864" s="485" t="s">
        <v>76</v>
      </c>
      <c r="B864" s="485" t="s">
        <v>2468</v>
      </c>
      <c r="C864" s="482">
        <v>0.0</v>
      </c>
      <c r="D864" s="482" t="s">
        <v>913</v>
      </c>
      <c r="E864" s="482" t="s">
        <v>894</v>
      </c>
    </row>
    <row r="865" customFormat="1" s="36">
      <c r="A865" s="485"/>
      <c r="B865" s="485" t="s">
        <v>2469</v>
      </c>
      <c r="C865" s="482">
        <v>0.0</v>
      </c>
      <c r="D865" s="482" t="s">
        <v>893</v>
      </c>
      <c r="E865" s="482" t="s">
        <v>1799</v>
      </c>
    </row>
    <row r="866" customFormat="1" s="36">
      <c r="A866" s="485">
        <v>43332.0</v>
      </c>
      <c r="B866" s="485" t="s">
        <v>80</v>
      </c>
      <c r="C866" s="482">
        <v>0.0</v>
      </c>
      <c r="D866" s="482" t="s">
        <v>913</v>
      </c>
      <c r="E866" s="482" t="s">
        <v>894</v>
      </c>
    </row>
    <row r="867" customFormat="1" s="36">
      <c r="A867" s="485">
        <v>43301.0</v>
      </c>
      <c r="B867" s="485" t="s">
        <v>77</v>
      </c>
      <c r="C867" s="482">
        <v>0.0</v>
      </c>
      <c r="D867" s="482" t="s">
        <v>913</v>
      </c>
      <c r="E867" s="482" t="s">
        <v>894</v>
      </c>
    </row>
    <row r="868" customFormat="1" s="36">
      <c r="A868" s="485">
        <v>43302.0</v>
      </c>
      <c r="B868" s="485" t="s">
        <v>78</v>
      </c>
      <c r="C868" s="482">
        <v>0.0</v>
      </c>
      <c r="D868" s="482" t="s">
        <v>913</v>
      </c>
      <c r="E868" s="482" t="s">
        <v>894</v>
      </c>
    </row>
    <row r="869" customFormat="1" s="36">
      <c r="A869" s="485">
        <v>43303.0</v>
      </c>
      <c r="B869" s="485" t="s">
        <v>2470</v>
      </c>
      <c r="C869" s="482">
        <v>0.0</v>
      </c>
      <c r="D869" s="482" t="s">
        <v>893</v>
      </c>
      <c r="E869" s="482" t="s">
        <v>894</v>
      </c>
    </row>
    <row r="870" customFormat="1" s="36">
      <c r="A870" s="485">
        <v>43304.0</v>
      </c>
      <c r="B870" s="485" t="s">
        <v>79</v>
      </c>
      <c r="C870" s="482">
        <v>0.0</v>
      </c>
      <c r="D870" s="482" t="s">
        <v>893</v>
      </c>
      <c r="E870" s="482" t="s">
        <v>894</v>
      </c>
    </row>
    <row r="871" customFormat="1" s="36">
      <c r="A871" s="485">
        <v>992432.0</v>
      </c>
      <c r="B871" s="485" t="s">
        <v>109</v>
      </c>
      <c r="C871" s="482">
        <v>297.0</v>
      </c>
      <c r="D871" s="482" t="s">
        <v>913</v>
      </c>
      <c r="E871" s="482" t="s">
        <v>894</v>
      </c>
    </row>
    <row r="872" customFormat="1" s="36">
      <c r="A872" s="485">
        <v>992431.0</v>
      </c>
      <c r="B872" s="485" t="s">
        <v>2471</v>
      </c>
      <c r="C872" s="482">
        <v>335.0</v>
      </c>
      <c r="D872" s="482" t="s">
        <v>913</v>
      </c>
      <c r="E872" s="482" t="s">
        <v>894</v>
      </c>
    </row>
    <row r="873" customFormat="1" s="36">
      <c r="A873" s="485">
        <v>41201.0</v>
      </c>
      <c r="B873" s="485" t="s">
        <v>68</v>
      </c>
      <c r="C873" s="482">
        <v>0.0</v>
      </c>
      <c r="D873" s="482" t="s">
        <v>913</v>
      </c>
      <c r="E873" s="482" t="s">
        <v>894</v>
      </c>
    </row>
    <row r="874" customFormat="1" s="36">
      <c r="A874" s="485">
        <v>41202.0</v>
      </c>
      <c r="B874" s="485" t="s">
        <v>69</v>
      </c>
      <c r="C874" s="482">
        <v>0.0</v>
      </c>
      <c r="D874" s="482" t="s">
        <v>913</v>
      </c>
      <c r="E874" s="482" t="s">
        <v>894</v>
      </c>
    </row>
    <row r="875" customFormat="1" s="36">
      <c r="A875" s="485">
        <v>41233.0</v>
      </c>
      <c r="B875" s="485" t="s">
        <v>71</v>
      </c>
      <c r="C875" s="482">
        <v>0.0</v>
      </c>
      <c r="D875" s="482" t="s">
        <v>913</v>
      </c>
      <c r="E875" s="482" t="s">
        <v>894</v>
      </c>
    </row>
    <row r="876" customFormat="1" s="36">
      <c r="A876" s="485">
        <v>41234.0</v>
      </c>
      <c r="B876" s="485" t="s">
        <v>72</v>
      </c>
      <c r="C876" s="482">
        <v>0.0</v>
      </c>
      <c r="D876" s="482" t="s">
        <v>913</v>
      </c>
      <c r="E876" s="482" t="s">
        <v>894</v>
      </c>
    </row>
    <row r="877" customFormat="1" s="36">
      <c r="A877" s="485">
        <v>41205.0</v>
      </c>
      <c r="B877" s="485" t="s">
        <v>70</v>
      </c>
      <c r="C877" s="482">
        <v>0.0</v>
      </c>
      <c r="D877" s="482" t="s">
        <v>913</v>
      </c>
      <c r="E877" s="482" t="s">
        <v>894</v>
      </c>
    </row>
    <row r="878" customFormat="1" s="36">
      <c r="A878" s="485">
        <v>41203.0</v>
      </c>
      <c r="B878" s="485" t="s">
        <v>2472</v>
      </c>
      <c r="C878" s="482">
        <v>0.0</v>
      </c>
      <c r="D878" s="482" t="s">
        <v>893</v>
      </c>
      <c r="E878" s="482" t="s">
        <v>894</v>
      </c>
    </row>
    <row r="879" customFormat="1" s="36">
      <c r="A879" s="485">
        <v>41204.0</v>
      </c>
      <c r="B879" s="485" t="s">
        <v>2473</v>
      </c>
      <c r="C879" s="482">
        <v>0.0</v>
      </c>
      <c r="D879" s="482" t="s">
        <v>893</v>
      </c>
      <c r="E879" s="482" t="s">
        <v>894</v>
      </c>
    </row>
    <row r="880" customFormat="1" s="36">
      <c r="A880" s="485" t="s">
        <v>65</v>
      </c>
      <c r="B880" s="485" t="s">
        <v>64</v>
      </c>
      <c r="C880" s="482">
        <v>0.0</v>
      </c>
      <c r="D880" s="482" t="s">
        <v>893</v>
      </c>
      <c r="E880" s="482" t="s">
        <v>894</v>
      </c>
    </row>
    <row r="881" customFormat="1" s="36">
      <c r="A881" s="485" t="s">
        <v>67</v>
      </c>
      <c r="B881" s="485" t="s">
        <v>66</v>
      </c>
      <c r="C881" s="482">
        <v>0.0</v>
      </c>
      <c r="D881" s="482" t="s">
        <v>893</v>
      </c>
      <c r="E881" s="482" t="s">
        <v>894</v>
      </c>
    </row>
    <row r="882" customFormat="1" s="36">
      <c r="A882" s="485">
        <v>79602.0</v>
      </c>
      <c r="B882" s="485" t="s">
        <v>148</v>
      </c>
      <c r="C882" s="482">
        <v>96.0</v>
      </c>
      <c r="D882" s="482" t="s">
        <v>913</v>
      </c>
      <c r="E882" s="482" t="s">
        <v>894</v>
      </c>
    </row>
    <row r="883" customFormat="1" s="36">
      <c r="A883" s="485">
        <v>79605.0</v>
      </c>
      <c r="B883" s="485" t="s">
        <v>151</v>
      </c>
      <c r="C883" s="482">
        <v>93.0</v>
      </c>
      <c r="D883" s="482" t="s">
        <v>913</v>
      </c>
      <c r="E883" s="482" t="s">
        <v>894</v>
      </c>
    </row>
    <row r="884" customFormat="1" s="36">
      <c r="A884" s="485">
        <v>79603.0</v>
      </c>
      <c r="B884" s="485" t="s">
        <v>149</v>
      </c>
      <c r="C884" s="482">
        <v>95.0</v>
      </c>
      <c r="D884" s="482" t="s">
        <v>913</v>
      </c>
      <c r="E884" s="482" t="s">
        <v>894</v>
      </c>
    </row>
    <row r="885" customFormat="1" s="36">
      <c r="A885" s="485">
        <v>79604.0</v>
      </c>
      <c r="B885" s="485" t="s">
        <v>150</v>
      </c>
      <c r="C885" s="482">
        <v>0.0</v>
      </c>
      <c r="D885" s="482" t="s">
        <v>913</v>
      </c>
      <c r="E885" s="482" t="s">
        <v>894</v>
      </c>
    </row>
    <row r="886" customFormat="1" s="36">
      <c r="A886" s="485">
        <v>79606.0</v>
      </c>
      <c r="B886" s="485" t="s">
        <v>152</v>
      </c>
      <c r="C886" s="482">
        <v>100.0</v>
      </c>
      <c r="D886" s="482" t="s">
        <v>913</v>
      </c>
      <c r="E886" s="482" t="s">
        <v>894</v>
      </c>
    </row>
    <row r="887" customFormat="1" s="36">
      <c r="A887" s="485">
        <v>79601.0</v>
      </c>
      <c r="B887" s="485" t="s">
        <v>147</v>
      </c>
      <c r="C887" s="482">
        <v>124.0</v>
      </c>
      <c r="D887" s="482" t="s">
        <v>913</v>
      </c>
      <c r="E887" s="482" t="s">
        <v>894</v>
      </c>
    </row>
    <row r="888" customFormat="1" s="36">
      <c r="A888" s="485" t="s">
        <v>2474</v>
      </c>
      <c r="B888" s="485" t="s">
        <v>2475</v>
      </c>
      <c r="C888" s="482">
        <v>125.0</v>
      </c>
      <c r="D888" s="482" t="s">
        <v>913</v>
      </c>
      <c r="E888" s="482" t="s">
        <v>894</v>
      </c>
    </row>
    <row r="889" customFormat="1" s="36">
      <c r="A889" s="485" t="s">
        <v>146</v>
      </c>
      <c r="B889" s="485" t="s">
        <v>145</v>
      </c>
      <c r="C889" s="482">
        <v>1.0</v>
      </c>
      <c r="D889" s="482" t="s">
        <v>913</v>
      </c>
      <c r="E889" s="482" t="s">
        <v>1140</v>
      </c>
    </row>
    <row r="890" customFormat="1" s="36">
      <c r="A890" s="485">
        <v>40601.0</v>
      </c>
      <c r="B890" s="485" t="s">
        <v>2476</v>
      </c>
      <c r="C890" s="482">
        <v>0.0</v>
      </c>
      <c r="D890" s="482" t="s">
        <v>893</v>
      </c>
      <c r="E890" s="482" t="s">
        <v>894</v>
      </c>
    </row>
    <row r="891" customFormat="1" s="36">
      <c r="A891" s="485">
        <v>40602.0</v>
      </c>
      <c r="B891" s="485" t="s">
        <v>2477</v>
      </c>
      <c r="C891" s="482">
        <v>0.0</v>
      </c>
      <c r="D891" s="482" t="s">
        <v>893</v>
      </c>
      <c r="E891" s="482" t="s">
        <v>894</v>
      </c>
    </row>
    <row r="892" customFormat="1" s="36">
      <c r="A892" s="485">
        <v>40603.0</v>
      </c>
      <c r="B892" s="485" t="s">
        <v>2478</v>
      </c>
      <c r="C892" s="482">
        <v>0.0</v>
      </c>
      <c r="D892" s="482" t="s">
        <v>893</v>
      </c>
      <c r="E892" s="482" t="s">
        <v>894</v>
      </c>
    </row>
    <row r="893" customFormat="1" s="36">
      <c r="A893" s="485">
        <v>40604.0</v>
      </c>
      <c r="B893" s="485" t="s">
        <v>2479</v>
      </c>
      <c r="C893" s="482">
        <v>0.0</v>
      </c>
      <c r="D893" s="482" t="s">
        <v>893</v>
      </c>
      <c r="E893" s="482" t="s">
        <v>894</v>
      </c>
    </row>
    <row r="894" customFormat="1" s="36">
      <c r="A894" s="485" t="s">
        <v>2480</v>
      </c>
      <c r="B894" s="485" t="s">
        <v>2481</v>
      </c>
      <c r="C894" s="482">
        <v>0.0</v>
      </c>
      <c r="D894" s="482" t="s">
        <v>893</v>
      </c>
      <c r="E894" s="482" t="s">
        <v>894</v>
      </c>
    </row>
    <row r="895" customFormat="1" s="36">
      <c r="A895" s="485" t="s">
        <v>2482</v>
      </c>
      <c r="B895" s="485" t="s">
        <v>2483</v>
      </c>
      <c r="C895" s="482">
        <v>0.0</v>
      </c>
      <c r="D895" s="482" t="s">
        <v>893</v>
      </c>
      <c r="E895" s="482" t="s">
        <v>894</v>
      </c>
    </row>
    <row r="896" customFormat="1" s="36">
      <c r="A896" s="485">
        <v>43203.0</v>
      </c>
      <c r="B896" s="485" t="s">
        <v>102</v>
      </c>
      <c r="C896" s="482">
        <v>0.0</v>
      </c>
      <c r="D896" s="482" t="s">
        <v>913</v>
      </c>
      <c r="E896" s="482" t="s">
        <v>894</v>
      </c>
    </row>
    <row r="897" customFormat="1" s="36">
      <c r="A897" s="485">
        <v>43232.0</v>
      </c>
      <c r="B897" s="485" t="s">
        <v>108</v>
      </c>
      <c r="C897" s="482">
        <v>27.0</v>
      </c>
      <c r="D897" s="482" t="s">
        <v>913</v>
      </c>
      <c r="E897" s="482" t="s">
        <v>894</v>
      </c>
    </row>
    <row r="898" customFormat="1" s="36">
      <c r="A898" s="485">
        <v>43206.0</v>
      </c>
      <c r="B898" s="485" t="s">
        <v>106</v>
      </c>
      <c r="C898" s="482">
        <v>0.0</v>
      </c>
      <c r="D898" s="482" t="s">
        <v>893</v>
      </c>
      <c r="E898" s="482" t="s">
        <v>894</v>
      </c>
    </row>
    <row r="899" customFormat="1" s="36">
      <c r="A899" s="485">
        <v>43234.0</v>
      </c>
      <c r="B899" s="485" t="s">
        <v>2484</v>
      </c>
      <c r="C899" s="482">
        <v>0.0</v>
      </c>
      <c r="D899" s="482" t="s">
        <v>893</v>
      </c>
      <c r="E899" s="482" t="s">
        <v>894</v>
      </c>
    </row>
    <row r="900" customFormat="1" s="36">
      <c r="A900" s="485">
        <v>43215.0</v>
      </c>
      <c r="B900" s="485" t="s">
        <v>107</v>
      </c>
      <c r="C900" s="482">
        <v>0.0</v>
      </c>
      <c r="D900" s="482" t="s">
        <v>893</v>
      </c>
      <c r="E900" s="482" t="s">
        <v>894</v>
      </c>
    </row>
    <row r="901" customFormat="1" s="36">
      <c r="A901" s="485">
        <v>43213.0</v>
      </c>
      <c r="B901" s="485" t="s">
        <v>103</v>
      </c>
      <c r="C901" s="482">
        <v>45.0</v>
      </c>
      <c r="D901" s="482" t="s">
        <v>913</v>
      </c>
      <c r="E901" s="482" t="s">
        <v>894</v>
      </c>
    </row>
    <row r="902" customFormat="1" s="36">
      <c r="A902" s="485">
        <v>43212.0</v>
      </c>
      <c r="B902" s="485" t="s">
        <v>2485</v>
      </c>
      <c r="C902" s="482">
        <v>0.0</v>
      </c>
      <c r="D902" s="482" t="s">
        <v>893</v>
      </c>
      <c r="E902" s="482" t="s">
        <v>894</v>
      </c>
    </row>
    <row r="903" customFormat="1" s="36">
      <c r="A903" s="485">
        <v>43245.0</v>
      </c>
      <c r="B903" s="485" t="s">
        <v>104</v>
      </c>
      <c r="C903" s="482">
        <v>0.0</v>
      </c>
      <c r="D903" s="482" t="s">
        <v>893</v>
      </c>
      <c r="E903" s="482" t="s">
        <v>894</v>
      </c>
    </row>
    <row r="904" customFormat="1" s="36">
      <c r="A904" s="485">
        <v>43205.0</v>
      </c>
      <c r="B904" s="485" t="s">
        <v>2486</v>
      </c>
      <c r="C904" s="482">
        <v>0.0</v>
      </c>
      <c r="D904" s="482" t="s">
        <v>893</v>
      </c>
      <c r="E904" s="482" t="s">
        <v>894</v>
      </c>
    </row>
    <row r="905" customFormat="1" s="36">
      <c r="A905" s="485">
        <v>43204.0</v>
      </c>
      <c r="B905" s="485" t="s">
        <v>105</v>
      </c>
      <c r="C905" s="482">
        <v>58.0</v>
      </c>
      <c r="D905" s="482" t="s">
        <v>913</v>
      </c>
      <c r="E905" s="482" t="s">
        <v>894</v>
      </c>
    </row>
    <row r="906" customFormat="1" s="36">
      <c r="A906" s="485">
        <v>43201.0</v>
      </c>
      <c r="B906" s="485" t="s">
        <v>101</v>
      </c>
      <c r="C906" s="482">
        <v>0.0</v>
      </c>
      <c r="D906" s="482" t="s">
        <v>913</v>
      </c>
      <c r="E906" s="482" t="s">
        <v>894</v>
      </c>
    </row>
    <row r="907" customFormat="1" s="36">
      <c r="A907" s="485" t="s">
        <v>100</v>
      </c>
      <c r="B907" s="485" t="s">
        <v>99</v>
      </c>
      <c r="C907" s="482">
        <v>0.0</v>
      </c>
      <c r="D907" s="482" t="s">
        <v>893</v>
      </c>
      <c r="E907" s="482" t="s">
        <v>894</v>
      </c>
    </row>
    <row r="908" customFormat="1" s="36">
      <c r="A908" s="485">
        <v>40902.0</v>
      </c>
      <c r="B908" s="485" t="s">
        <v>2487</v>
      </c>
      <c r="C908" s="482">
        <v>0.0</v>
      </c>
      <c r="D908" s="482" t="s">
        <v>893</v>
      </c>
      <c r="E908" s="482" t="s">
        <v>894</v>
      </c>
    </row>
    <row r="909" customFormat="1" s="36">
      <c r="A909" s="485">
        <v>40904.0</v>
      </c>
      <c r="B909" s="485" t="s">
        <v>2488</v>
      </c>
      <c r="C909" s="482">
        <v>6.0</v>
      </c>
      <c r="D909" s="482" t="s">
        <v>913</v>
      </c>
      <c r="E909" s="482" t="s">
        <v>894</v>
      </c>
    </row>
    <row r="910" customFormat="1" s="36">
      <c r="A910" s="485">
        <v>40903.0</v>
      </c>
      <c r="B910" s="485" t="s">
        <v>2489</v>
      </c>
      <c r="C910" s="482">
        <v>0.0</v>
      </c>
      <c r="D910" s="482" t="s">
        <v>893</v>
      </c>
      <c r="E910" s="482" t="s">
        <v>894</v>
      </c>
    </row>
    <row r="911" customFormat="1" s="36">
      <c r="A911" s="485">
        <v>40901.0</v>
      </c>
      <c r="B911" s="485" t="s">
        <v>2490</v>
      </c>
      <c r="C911" s="482">
        <v>0.0</v>
      </c>
      <c r="D911" s="482" t="s">
        <v>893</v>
      </c>
      <c r="E911" s="482" t="s">
        <v>894</v>
      </c>
    </row>
    <row r="912" customFormat="1" s="36">
      <c r="A912" s="485">
        <v>40905.0</v>
      </c>
      <c r="B912" s="485" t="s">
        <v>2491</v>
      </c>
      <c r="C912" s="482">
        <v>0.0</v>
      </c>
      <c r="D912" s="482" t="s">
        <v>893</v>
      </c>
      <c r="E912" s="482" t="s">
        <v>894</v>
      </c>
    </row>
    <row r="913" customFormat="1" s="36">
      <c r="A913" s="485" t="s">
        <v>2492</v>
      </c>
      <c r="B913" s="485" t="s">
        <v>2493</v>
      </c>
      <c r="C913" s="482">
        <v>0.0</v>
      </c>
      <c r="D913" s="482" t="s">
        <v>893</v>
      </c>
      <c r="E913" s="482" t="s">
        <v>894</v>
      </c>
    </row>
    <row r="914" customFormat="1" s="36">
      <c r="A914" s="485" t="s">
        <v>2494</v>
      </c>
      <c r="B914" s="485" t="s">
        <v>2495</v>
      </c>
      <c r="C914" s="482">
        <v>0.0</v>
      </c>
      <c r="D914" s="482" t="s">
        <v>893</v>
      </c>
      <c r="E914" s="482" t="s">
        <v>894</v>
      </c>
    </row>
    <row r="915" customFormat="1" s="36">
      <c r="A915" s="485">
        <v>43110.0</v>
      </c>
      <c r="B915" s="485" t="s">
        <v>125</v>
      </c>
      <c r="C915" s="482">
        <v>6.0</v>
      </c>
      <c r="D915" s="482" t="s">
        <v>913</v>
      </c>
      <c r="E915" s="482" t="s">
        <v>894</v>
      </c>
    </row>
    <row r="916" customFormat="1" s="36">
      <c r="A916" s="485">
        <v>43133.0</v>
      </c>
      <c r="B916" s="485" t="s">
        <v>128</v>
      </c>
      <c r="C916" s="482">
        <v>42.0</v>
      </c>
      <c r="D916" s="482" t="s">
        <v>913</v>
      </c>
      <c r="E916" s="482" t="s">
        <v>894</v>
      </c>
    </row>
    <row r="917" customFormat="1" s="36">
      <c r="A917" s="485">
        <v>43150.0</v>
      </c>
      <c r="B917" s="485" t="s">
        <v>132</v>
      </c>
      <c r="C917" s="482">
        <v>66.0</v>
      </c>
      <c r="D917" s="482" t="s">
        <v>913</v>
      </c>
      <c r="E917" s="482" t="s">
        <v>894</v>
      </c>
    </row>
    <row r="918" customFormat="1" s="36">
      <c r="A918" s="485">
        <v>43134.0</v>
      </c>
      <c r="B918" s="485" t="s">
        <v>130</v>
      </c>
      <c r="C918" s="482">
        <v>45.0</v>
      </c>
      <c r="D918" s="482" t="s">
        <v>913</v>
      </c>
      <c r="E918" s="482" t="s">
        <v>894</v>
      </c>
    </row>
    <row r="919" customFormat="1" s="36">
      <c r="A919" s="485">
        <v>43145.0</v>
      </c>
      <c r="B919" s="485" t="s">
        <v>131</v>
      </c>
      <c r="C919" s="482">
        <v>91.0</v>
      </c>
      <c r="D919" s="482" t="s">
        <v>913</v>
      </c>
      <c r="E919" s="482" t="s">
        <v>894</v>
      </c>
    </row>
    <row r="920" customFormat="1" s="36">
      <c r="A920" s="485">
        <v>43108.0</v>
      </c>
      <c r="B920" s="485" t="s">
        <v>2496</v>
      </c>
      <c r="C920" s="482">
        <v>0.0</v>
      </c>
      <c r="D920" s="482" t="s">
        <v>893</v>
      </c>
      <c r="E920" s="482" t="s">
        <v>894</v>
      </c>
    </row>
    <row r="921" customFormat="1" s="36">
      <c r="A921" s="485">
        <v>43111.0</v>
      </c>
      <c r="B921" s="485" t="s">
        <v>126</v>
      </c>
      <c r="C921" s="482">
        <v>81.0</v>
      </c>
      <c r="D921" s="482" t="s">
        <v>913</v>
      </c>
      <c r="E921" s="482" t="s">
        <v>894</v>
      </c>
    </row>
    <row r="922" customFormat="1" s="36">
      <c r="A922" s="485">
        <v>43101.0</v>
      </c>
      <c r="B922" s="485" t="s">
        <v>120</v>
      </c>
      <c r="C922" s="482">
        <v>104.0</v>
      </c>
      <c r="D922" s="482" t="s">
        <v>913</v>
      </c>
      <c r="E922" s="482" t="s">
        <v>894</v>
      </c>
    </row>
    <row r="923" customFormat="1" s="36">
      <c r="A923" s="485">
        <v>43103.0</v>
      </c>
      <c r="B923" s="485" t="s">
        <v>2497</v>
      </c>
      <c r="C923" s="482">
        <v>0.0</v>
      </c>
      <c r="D923" s="482" t="s">
        <v>893</v>
      </c>
      <c r="E923" s="482" t="s">
        <v>894</v>
      </c>
    </row>
    <row r="924" customFormat="1" s="36">
      <c r="A924" s="485">
        <v>43106.0</v>
      </c>
      <c r="B924" s="485" t="s">
        <v>123</v>
      </c>
      <c r="C924" s="482">
        <v>36.0</v>
      </c>
      <c r="D924" s="482" t="s">
        <v>913</v>
      </c>
      <c r="E924" s="482" t="s">
        <v>894</v>
      </c>
    </row>
    <row r="925" customFormat="1" s="36">
      <c r="A925" s="485">
        <v>43105.0</v>
      </c>
      <c r="B925" s="485" t="s">
        <v>122</v>
      </c>
      <c r="C925" s="482">
        <v>78.0</v>
      </c>
      <c r="D925" s="482" t="s">
        <v>913</v>
      </c>
      <c r="E925" s="482" t="s">
        <v>894</v>
      </c>
    </row>
    <row r="926" customFormat="1" s="36">
      <c r="A926" s="485">
        <v>43104.0</v>
      </c>
      <c r="B926" s="485" t="s">
        <v>121</v>
      </c>
      <c r="C926" s="482">
        <v>42.0</v>
      </c>
      <c r="D926" s="482" t="s">
        <v>913</v>
      </c>
      <c r="E926" s="482" t="s">
        <v>894</v>
      </c>
    </row>
    <row r="927" customFormat="1" s="36">
      <c r="A927" s="485">
        <v>43112.0</v>
      </c>
      <c r="B927" s="485" t="s">
        <v>127</v>
      </c>
      <c r="C927" s="482">
        <v>161.0</v>
      </c>
      <c r="D927" s="482" t="s">
        <v>913</v>
      </c>
      <c r="E927" s="482" t="s">
        <v>894</v>
      </c>
    </row>
    <row r="928" customFormat="1" s="36">
      <c r="A928" s="485">
        <v>43107.0</v>
      </c>
      <c r="B928" s="485" t="s">
        <v>124</v>
      </c>
      <c r="C928" s="482">
        <v>105.0</v>
      </c>
      <c r="D928" s="482" t="s">
        <v>913</v>
      </c>
      <c r="E928" s="482" t="s">
        <v>894</v>
      </c>
    </row>
    <row r="929" customFormat="1" s="36">
      <c r="A929" s="485" t="s">
        <v>119</v>
      </c>
      <c r="B929" s="485" t="s">
        <v>118</v>
      </c>
      <c r="C929" s="482">
        <v>0.0</v>
      </c>
      <c r="D929" s="482" t="s">
        <v>893</v>
      </c>
      <c r="E929" s="482" t="s">
        <v>894</v>
      </c>
    </row>
    <row r="930" customFormat="1" s="36">
      <c r="A930" s="485">
        <v>40701.0</v>
      </c>
      <c r="B930" s="485" t="s">
        <v>139</v>
      </c>
      <c r="C930" s="482">
        <v>0.0</v>
      </c>
      <c r="D930" s="482" t="s">
        <v>913</v>
      </c>
      <c r="E930" s="482" t="s">
        <v>894</v>
      </c>
    </row>
    <row r="931" customFormat="1" s="36">
      <c r="A931" s="485">
        <v>40732.0</v>
      </c>
      <c r="B931" s="485" t="s">
        <v>141</v>
      </c>
      <c r="C931" s="482">
        <v>0.0</v>
      </c>
      <c r="D931" s="482" t="s">
        <v>893</v>
      </c>
      <c r="E931" s="482" t="s">
        <v>894</v>
      </c>
    </row>
    <row r="932" customFormat="1" s="36">
      <c r="A932" s="485">
        <v>40702.0</v>
      </c>
      <c r="B932" s="485" t="s">
        <v>140</v>
      </c>
      <c r="C932" s="482">
        <v>0.0</v>
      </c>
      <c r="D932" s="482" t="s">
        <v>913</v>
      </c>
      <c r="E932" s="482" t="s">
        <v>894</v>
      </c>
    </row>
    <row r="933" customFormat="1" s="36">
      <c r="A933" s="485">
        <v>40734.0</v>
      </c>
      <c r="B933" s="485" t="s">
        <v>142</v>
      </c>
      <c r="C933" s="482">
        <v>0.0</v>
      </c>
      <c r="D933" s="482" t="s">
        <v>893</v>
      </c>
      <c r="E933" s="482" t="s">
        <v>894</v>
      </c>
    </row>
    <row r="934" customFormat="1" s="36">
      <c r="A934" s="485">
        <v>40735.0</v>
      </c>
      <c r="B934" s="485" t="s">
        <v>2498</v>
      </c>
      <c r="C934" s="482">
        <v>0.0</v>
      </c>
      <c r="D934" s="482" t="s">
        <v>893</v>
      </c>
      <c r="E934" s="482" t="s">
        <v>894</v>
      </c>
    </row>
    <row r="935" customFormat="1" s="36">
      <c r="A935" s="485">
        <v>40706.0</v>
      </c>
      <c r="B935" s="485" t="s">
        <v>2499</v>
      </c>
      <c r="C935" s="482">
        <v>0.0</v>
      </c>
      <c r="D935" s="482" t="s">
        <v>893</v>
      </c>
      <c r="E935" s="482" t="s">
        <v>894</v>
      </c>
    </row>
    <row r="936" customFormat="1" s="36">
      <c r="A936" s="485">
        <v>40708.0</v>
      </c>
      <c r="B936" s="485" t="s">
        <v>2500</v>
      </c>
      <c r="C936" s="482">
        <v>0.0</v>
      </c>
      <c r="D936" s="482" t="s">
        <v>893</v>
      </c>
      <c r="E936" s="482" t="s">
        <v>894</v>
      </c>
    </row>
    <row r="937" customFormat="1" s="36">
      <c r="A937" s="485">
        <v>40746.0</v>
      </c>
      <c r="B937" s="485" t="s">
        <v>143</v>
      </c>
      <c r="C937" s="482">
        <v>0.0</v>
      </c>
      <c r="D937" s="482" t="s">
        <v>893</v>
      </c>
      <c r="E937" s="482" t="s">
        <v>894</v>
      </c>
    </row>
    <row r="938" customFormat="1" s="36">
      <c r="A938" s="485">
        <v>40703.0</v>
      </c>
      <c r="B938" s="485" t="s">
        <v>2501</v>
      </c>
      <c r="C938" s="482">
        <v>0.0</v>
      </c>
      <c r="D938" s="482" t="s">
        <v>893</v>
      </c>
      <c r="E938" s="482" t="s">
        <v>894</v>
      </c>
    </row>
    <row r="939" customFormat="1" s="36">
      <c r="A939" s="485">
        <v>40704.0</v>
      </c>
      <c r="B939" s="485" t="s">
        <v>2502</v>
      </c>
      <c r="C939" s="482">
        <v>0.0</v>
      </c>
      <c r="D939" s="482" t="s">
        <v>893</v>
      </c>
      <c r="E939" s="482" t="s">
        <v>894</v>
      </c>
    </row>
    <row r="940" customFormat="1" s="36">
      <c r="A940" s="485">
        <v>40707.0</v>
      </c>
      <c r="B940" s="485" t="s">
        <v>2503</v>
      </c>
      <c r="C940" s="482">
        <v>0.0</v>
      </c>
      <c r="D940" s="482" t="s">
        <v>893</v>
      </c>
      <c r="E940" s="482" t="s">
        <v>894</v>
      </c>
    </row>
    <row r="941" customFormat="1" s="36">
      <c r="A941" s="485">
        <v>40705.0</v>
      </c>
      <c r="B941" s="485" t="s">
        <v>2504</v>
      </c>
      <c r="C941" s="482">
        <v>0.0</v>
      </c>
      <c r="D941" s="482" t="s">
        <v>893</v>
      </c>
      <c r="E941" s="482" t="s">
        <v>894</v>
      </c>
    </row>
    <row r="942" customFormat="1" s="36">
      <c r="A942" s="485" t="s">
        <v>138</v>
      </c>
      <c r="B942" s="485" t="s">
        <v>137</v>
      </c>
      <c r="C942" s="482">
        <v>0.0</v>
      </c>
      <c r="D942" s="482" t="s">
        <v>893</v>
      </c>
      <c r="E942" s="482" t="s">
        <v>894</v>
      </c>
    </row>
    <row r="943" customFormat="1" s="36">
      <c r="A943" s="485" t="s">
        <v>136</v>
      </c>
      <c r="B943" s="485" t="s">
        <v>135</v>
      </c>
      <c r="C943" s="482">
        <v>0.0</v>
      </c>
      <c r="D943" s="482" t="s">
        <v>893</v>
      </c>
      <c r="E943" s="482" t="s">
        <v>894</v>
      </c>
    </row>
    <row r="944" customFormat="1" s="36">
      <c r="A944" s="485">
        <v>43190.0</v>
      </c>
      <c r="B944" s="485" t="s">
        <v>133</v>
      </c>
      <c r="C944" s="482">
        <v>0.0</v>
      </c>
      <c r="D944" s="482" t="s">
        <v>913</v>
      </c>
      <c r="E944" s="482" t="s">
        <v>894</v>
      </c>
    </row>
    <row r="945" customFormat="1" s="36">
      <c r="A945" s="485" t="s">
        <v>117</v>
      </c>
      <c r="B945" s="485" t="s">
        <v>2505</v>
      </c>
      <c r="C945" s="482">
        <v>0.0</v>
      </c>
      <c r="D945" s="482" t="s">
        <v>913</v>
      </c>
      <c r="E945" s="482" t="s">
        <v>894</v>
      </c>
    </row>
    <row r="946" customFormat="1" s="36">
      <c r="A946" s="485">
        <v>53822.0</v>
      </c>
      <c r="B946" s="485" t="s">
        <v>2506</v>
      </c>
      <c r="C946" s="482">
        <v>0.0</v>
      </c>
      <c r="D946" s="482" t="s">
        <v>893</v>
      </c>
      <c r="E946" s="482" t="s">
        <v>894</v>
      </c>
    </row>
    <row r="947" customFormat="1" s="36">
      <c r="A947" s="485">
        <v>53833.0</v>
      </c>
      <c r="B947" s="485" t="s">
        <v>2507</v>
      </c>
      <c r="C947" s="482">
        <v>21.0</v>
      </c>
      <c r="D947" s="482" t="s">
        <v>913</v>
      </c>
      <c r="E947" s="482" t="s">
        <v>894</v>
      </c>
    </row>
    <row r="948" customFormat="1" s="36">
      <c r="A948" s="485">
        <v>53834.0</v>
      </c>
      <c r="B948" s="485" t="s">
        <v>2508</v>
      </c>
      <c r="C948" s="482">
        <v>65.0</v>
      </c>
      <c r="D948" s="482" t="s">
        <v>913</v>
      </c>
      <c r="E948" s="482" t="s">
        <v>894</v>
      </c>
    </row>
    <row r="949" customFormat="1" s="36">
      <c r="A949" s="485">
        <v>53845.0</v>
      </c>
      <c r="B949" s="485" t="s">
        <v>2509</v>
      </c>
      <c r="C949" s="482">
        <v>87.0</v>
      </c>
      <c r="D949" s="482" t="s">
        <v>913</v>
      </c>
      <c r="E949" s="482" t="s">
        <v>894</v>
      </c>
    </row>
    <row r="950" customFormat="1" s="36">
      <c r="A950" s="485">
        <v>53852.0</v>
      </c>
      <c r="B950" s="485" t="s">
        <v>2510</v>
      </c>
      <c r="C950" s="482">
        <v>6.0</v>
      </c>
      <c r="D950" s="482" t="s">
        <v>913</v>
      </c>
      <c r="E950" s="482" t="s">
        <v>894</v>
      </c>
    </row>
    <row r="951" customFormat="1" s="36">
      <c r="A951" s="485" t="s">
        <v>2511</v>
      </c>
      <c r="B951" s="485" t="s">
        <v>2512</v>
      </c>
      <c r="C951" s="482">
        <v>1.0</v>
      </c>
      <c r="D951" s="482" t="s">
        <v>913</v>
      </c>
      <c r="E951" s="482" t="s">
        <v>894</v>
      </c>
    </row>
    <row r="952" customFormat="1" s="36">
      <c r="A952" s="485">
        <v>40501.0</v>
      </c>
      <c r="B952" s="485" t="s">
        <v>158</v>
      </c>
      <c r="C952" s="482">
        <v>0.0</v>
      </c>
      <c r="D952" s="482" t="s">
        <v>913</v>
      </c>
      <c r="E952" s="482" t="s">
        <v>894</v>
      </c>
    </row>
    <row r="953" customFormat="1" s="36">
      <c r="A953" s="485">
        <v>40502.0</v>
      </c>
      <c r="B953" s="485" t="s">
        <v>159</v>
      </c>
      <c r="C953" s="482">
        <v>0.0</v>
      </c>
      <c r="D953" s="482" t="s">
        <v>913</v>
      </c>
      <c r="E953" s="482" t="s">
        <v>894</v>
      </c>
    </row>
    <row r="954" customFormat="1" s="36">
      <c r="A954" s="485">
        <v>40533.0</v>
      </c>
      <c r="B954" s="485" t="s">
        <v>161</v>
      </c>
      <c r="C954" s="482">
        <v>10.0</v>
      </c>
      <c r="D954" s="482" t="s">
        <v>913</v>
      </c>
      <c r="E954" s="482" t="s">
        <v>894</v>
      </c>
    </row>
    <row r="955" customFormat="1" s="36">
      <c r="A955" s="485">
        <v>40534.0</v>
      </c>
      <c r="B955" s="485" t="s">
        <v>162</v>
      </c>
      <c r="C955" s="482">
        <v>0.0</v>
      </c>
      <c r="D955" s="482" t="s">
        <v>913</v>
      </c>
      <c r="E955" s="482" t="s">
        <v>894</v>
      </c>
    </row>
    <row r="956" customFormat="1" s="36">
      <c r="A956" s="485">
        <v>40523.0</v>
      </c>
      <c r="B956" s="485" t="s">
        <v>160</v>
      </c>
      <c r="C956" s="482">
        <v>0.0</v>
      </c>
      <c r="D956" s="482" t="s">
        <v>913</v>
      </c>
      <c r="E956" s="482" t="s">
        <v>894</v>
      </c>
    </row>
    <row r="957" customFormat="1" s="36">
      <c r="A957" s="485">
        <v>40504.0</v>
      </c>
      <c r="B957" s="485" t="s">
        <v>2513</v>
      </c>
      <c r="C957" s="482">
        <v>0.0</v>
      </c>
      <c r="D957" s="482" t="s">
        <v>893</v>
      </c>
      <c r="E957" s="482" t="s">
        <v>894</v>
      </c>
    </row>
    <row r="958" customFormat="1" s="36">
      <c r="A958" s="485">
        <v>40503.0</v>
      </c>
      <c r="B958" s="485" t="s">
        <v>2514</v>
      </c>
      <c r="C958" s="482">
        <v>0.0</v>
      </c>
      <c r="D958" s="482" t="s">
        <v>893</v>
      </c>
      <c r="E958" s="482" t="s">
        <v>894</v>
      </c>
    </row>
    <row r="959" customFormat="1" s="36">
      <c r="A959" s="485" t="s">
        <v>157</v>
      </c>
      <c r="B959" s="485" t="s">
        <v>156</v>
      </c>
      <c r="C959" s="482">
        <v>0.0</v>
      </c>
      <c r="D959" s="482" t="s">
        <v>893</v>
      </c>
      <c r="E959" s="482" t="s">
        <v>894</v>
      </c>
    </row>
    <row r="960" customFormat="1" s="36">
      <c r="A960" s="485" t="s">
        <v>155</v>
      </c>
      <c r="B960" s="485" t="s">
        <v>154</v>
      </c>
      <c r="C960" s="482">
        <v>1.0</v>
      </c>
      <c r="D960" s="482" t="s">
        <v>913</v>
      </c>
      <c r="E960" s="482" t="s">
        <v>894</v>
      </c>
    </row>
    <row r="961" customFormat="1" s="36">
      <c r="A961" s="485">
        <v>43010.0</v>
      </c>
      <c r="B961" s="485" t="s">
        <v>91</v>
      </c>
      <c r="C961" s="482">
        <v>0.0</v>
      </c>
      <c r="D961" s="482" t="s">
        <v>913</v>
      </c>
      <c r="E961" s="482" t="s">
        <v>894</v>
      </c>
    </row>
    <row r="962" customFormat="1" s="36">
      <c r="A962" s="485">
        <v>43032.0</v>
      </c>
      <c r="B962" s="485" t="s">
        <v>94</v>
      </c>
      <c r="C962" s="482">
        <v>127.0</v>
      </c>
      <c r="D962" s="482" t="s">
        <v>913</v>
      </c>
      <c r="E962" s="482" t="s">
        <v>894</v>
      </c>
    </row>
    <row r="963" customFormat="1" s="36">
      <c r="A963" s="485">
        <v>43011.0</v>
      </c>
      <c r="B963" s="485" t="s">
        <v>92</v>
      </c>
      <c r="C963" s="482">
        <v>0.0</v>
      </c>
      <c r="D963" s="482" t="s">
        <v>893</v>
      </c>
      <c r="E963" s="482" t="s">
        <v>894</v>
      </c>
    </row>
    <row r="964" customFormat="1" s="36">
      <c r="A964" s="485">
        <v>43033.0</v>
      </c>
      <c r="B964" s="485" t="s">
        <v>95</v>
      </c>
      <c r="C964" s="482">
        <v>133.0</v>
      </c>
      <c r="D964" s="482" t="s">
        <v>913</v>
      </c>
      <c r="E964" s="482" t="s">
        <v>894</v>
      </c>
    </row>
    <row r="965" customFormat="1" s="36">
      <c r="A965" s="485">
        <v>43034.0</v>
      </c>
      <c r="B965" s="485" t="s">
        <v>96</v>
      </c>
      <c r="C965" s="482">
        <v>145.0</v>
      </c>
      <c r="D965" s="482" t="s">
        <v>913</v>
      </c>
      <c r="E965" s="482" t="s">
        <v>894</v>
      </c>
    </row>
    <row r="966" customFormat="1" s="36">
      <c r="A966" s="485">
        <v>43008.0</v>
      </c>
      <c r="B966" s="485" t="s">
        <v>2515</v>
      </c>
      <c r="C966" s="482">
        <v>0.0</v>
      </c>
      <c r="D966" s="482" t="s">
        <v>893</v>
      </c>
      <c r="E966" s="482" t="s">
        <v>894</v>
      </c>
    </row>
    <row r="967" customFormat="1" s="36">
      <c r="A967" s="485">
        <v>43001.0</v>
      </c>
      <c r="B967" s="485" t="s">
        <v>86</v>
      </c>
      <c r="C967" s="482">
        <v>1.0</v>
      </c>
      <c r="D967" s="482" t="s">
        <v>913</v>
      </c>
      <c r="E967" s="482" t="s">
        <v>894</v>
      </c>
    </row>
    <row r="968" customFormat="1" s="36">
      <c r="A968" s="485">
        <v>43003.0</v>
      </c>
      <c r="B968" s="485" t="s">
        <v>88</v>
      </c>
      <c r="C968" s="482">
        <v>143.0</v>
      </c>
      <c r="D968" s="482" t="s">
        <v>913</v>
      </c>
      <c r="E968" s="482" t="s">
        <v>894</v>
      </c>
    </row>
    <row r="969" customFormat="1" s="36">
      <c r="A969" s="485">
        <v>43006.0</v>
      </c>
      <c r="B969" s="485" t="s">
        <v>90</v>
      </c>
      <c r="C969" s="482">
        <v>0.0</v>
      </c>
      <c r="D969" s="482" t="s">
        <v>893</v>
      </c>
      <c r="E969" s="482" t="s">
        <v>894</v>
      </c>
    </row>
    <row r="970" customFormat="1" s="36">
      <c r="A970" s="485">
        <v>43004.0</v>
      </c>
      <c r="B970" s="485" t="s">
        <v>89</v>
      </c>
      <c r="C970" s="482">
        <v>148.0</v>
      </c>
      <c r="D970" s="482" t="s">
        <v>913</v>
      </c>
      <c r="E970" s="482" t="s">
        <v>894</v>
      </c>
    </row>
    <row r="971" customFormat="1" s="36">
      <c r="A971" s="485">
        <v>43012.0</v>
      </c>
      <c r="B971" s="485" t="s">
        <v>93</v>
      </c>
      <c r="C971" s="482">
        <v>36.0</v>
      </c>
      <c r="D971" s="482" t="s">
        <v>913</v>
      </c>
      <c r="E971" s="482" t="s">
        <v>894</v>
      </c>
    </row>
    <row r="972" customFormat="1" s="36">
      <c r="A972" s="485" t="s">
        <v>85</v>
      </c>
      <c r="B972" s="485" t="s">
        <v>84</v>
      </c>
      <c r="C972" s="482">
        <v>0.0</v>
      </c>
      <c r="D972" s="482" t="s">
        <v>913</v>
      </c>
      <c r="E972" s="482" t="s">
        <v>894</v>
      </c>
    </row>
    <row r="973" customFormat="1" s="36">
      <c r="A973" s="485" t="s">
        <v>83</v>
      </c>
      <c r="B973" s="485" t="s">
        <v>82</v>
      </c>
      <c r="C973" s="482">
        <v>0.0</v>
      </c>
      <c r="D973" s="482" t="s">
        <v>913</v>
      </c>
      <c r="E973" s="482" t="s">
        <v>894</v>
      </c>
    </row>
    <row r="974" customFormat="1" s="36">
      <c r="A974" s="485">
        <v>992412.0</v>
      </c>
      <c r="B974" s="485" t="s">
        <v>2516</v>
      </c>
      <c r="C974" s="482">
        <v>40.0</v>
      </c>
      <c r="D974" s="482" t="s">
        <v>893</v>
      </c>
      <c r="E974" s="482" t="s">
        <v>894</v>
      </c>
    </row>
    <row r="975" customFormat="1" s="36">
      <c r="A975" s="485">
        <v>992401.0</v>
      </c>
      <c r="B975" s="485" t="s">
        <v>2517</v>
      </c>
      <c r="C975" s="482">
        <v>160.0</v>
      </c>
      <c r="D975" s="482" t="s">
        <v>893</v>
      </c>
      <c r="E975" s="482" t="s">
        <v>894</v>
      </c>
    </row>
    <row r="976" customFormat="1" s="36">
      <c r="A976" s="485">
        <v>41101.0</v>
      </c>
      <c r="B976" s="485" t="s">
        <v>2518</v>
      </c>
      <c r="C976" s="482">
        <v>0.0</v>
      </c>
      <c r="D976" s="482" t="s">
        <v>893</v>
      </c>
      <c r="E976" s="482" t="s">
        <v>894</v>
      </c>
    </row>
    <row r="977" customFormat="1" s="36">
      <c r="A977" s="485">
        <v>41103.0</v>
      </c>
      <c r="B977" s="485" t="s">
        <v>2519</v>
      </c>
      <c r="C977" s="482">
        <v>99.0</v>
      </c>
      <c r="D977" s="482" t="s">
        <v>913</v>
      </c>
      <c r="E977" s="482" t="s">
        <v>894</v>
      </c>
    </row>
    <row r="978" customFormat="1" s="36">
      <c r="A978" s="485">
        <v>41102.0</v>
      </c>
      <c r="B978" s="485" t="s">
        <v>2520</v>
      </c>
      <c r="C978" s="482">
        <v>60.0</v>
      </c>
      <c r="D978" s="482" t="s">
        <v>913</v>
      </c>
      <c r="E978" s="482" t="s">
        <v>894</v>
      </c>
    </row>
    <row r="979" customFormat="1" s="36">
      <c r="A979" s="485">
        <v>41104.0</v>
      </c>
      <c r="B979" s="485" t="s">
        <v>2521</v>
      </c>
      <c r="C979" s="482">
        <v>0.0</v>
      </c>
      <c r="D979" s="482" t="s">
        <v>893</v>
      </c>
      <c r="E979" s="482" t="s">
        <v>894</v>
      </c>
    </row>
    <row r="980" customFormat="1" s="36">
      <c r="A980" s="485" t="s">
        <v>2522</v>
      </c>
      <c r="B980" s="485" t="s">
        <v>2523</v>
      </c>
      <c r="C980" s="482">
        <v>48.0</v>
      </c>
      <c r="D980" s="482" t="s">
        <v>913</v>
      </c>
      <c r="E980" s="482" t="s">
        <v>894</v>
      </c>
    </row>
    <row r="981" customFormat="1" s="36">
      <c r="A981" s="485" t="s">
        <v>2524</v>
      </c>
      <c r="B981" s="485" t="s">
        <v>2525</v>
      </c>
      <c r="C981" s="482">
        <v>0.0</v>
      </c>
      <c r="D981" s="482" t="s">
        <v>913</v>
      </c>
      <c r="E981" s="482" t="s">
        <v>894</v>
      </c>
    </row>
    <row r="982" customFormat="1" s="36">
      <c r="A982" s="485">
        <v>41001.0</v>
      </c>
      <c r="B982" s="485" t="s">
        <v>171</v>
      </c>
      <c r="C982" s="482">
        <v>24.0</v>
      </c>
      <c r="D982" s="482" t="s">
        <v>913</v>
      </c>
      <c r="E982" s="482" t="s">
        <v>894</v>
      </c>
    </row>
    <row r="983" customFormat="1" s="36">
      <c r="A983" s="485">
        <v>41002.0</v>
      </c>
      <c r="B983" s="485" t="s">
        <v>172</v>
      </c>
      <c r="C983" s="482">
        <v>5.0</v>
      </c>
      <c r="D983" s="482" t="s">
        <v>913</v>
      </c>
      <c r="E983" s="482" t="s">
        <v>894</v>
      </c>
    </row>
    <row r="984" customFormat="1" s="36">
      <c r="A984" s="485">
        <v>41005.0</v>
      </c>
      <c r="B984" s="485" t="s">
        <v>2526</v>
      </c>
      <c r="C984" s="482">
        <v>0.0</v>
      </c>
      <c r="D984" s="482" t="s">
        <v>893</v>
      </c>
      <c r="E984" s="482" t="s">
        <v>894</v>
      </c>
    </row>
    <row r="985" customFormat="1" s="36">
      <c r="A985" s="485">
        <v>41034.0</v>
      </c>
      <c r="B985" s="485" t="s">
        <v>174</v>
      </c>
      <c r="C985" s="482">
        <v>53.0</v>
      </c>
      <c r="D985" s="482" t="s">
        <v>913</v>
      </c>
      <c r="E985" s="482" t="s">
        <v>894</v>
      </c>
    </row>
    <row r="986" customFormat="1" s="36">
      <c r="A986" s="485">
        <v>41023.0</v>
      </c>
      <c r="B986" s="485" t="s">
        <v>173</v>
      </c>
      <c r="C986" s="482">
        <v>8.0</v>
      </c>
      <c r="D986" s="482" t="s">
        <v>913</v>
      </c>
      <c r="E986" s="482" t="s">
        <v>894</v>
      </c>
    </row>
    <row r="987" customFormat="1" s="36">
      <c r="A987" s="485">
        <v>41004.0</v>
      </c>
      <c r="B987" s="485" t="s">
        <v>2527</v>
      </c>
      <c r="C987" s="482">
        <v>0.0</v>
      </c>
      <c r="D987" s="482" t="s">
        <v>893</v>
      </c>
      <c r="E987" s="482" t="s">
        <v>894</v>
      </c>
    </row>
    <row r="988" customFormat="1" s="36">
      <c r="A988" s="485">
        <v>41003.0</v>
      </c>
      <c r="B988" s="485" t="s">
        <v>2528</v>
      </c>
      <c r="C988" s="482">
        <v>0.0</v>
      </c>
      <c r="D988" s="482" t="s">
        <v>893</v>
      </c>
      <c r="E988" s="482" t="s">
        <v>894</v>
      </c>
    </row>
    <row r="989" customFormat="1" s="36">
      <c r="A989" s="485" t="s">
        <v>2529</v>
      </c>
      <c r="B989" s="485" t="s">
        <v>2530</v>
      </c>
      <c r="C989" s="482">
        <v>0.0</v>
      </c>
      <c r="D989" s="482" t="s">
        <v>893</v>
      </c>
      <c r="E989" s="482" t="s">
        <v>894</v>
      </c>
    </row>
    <row r="990" customFormat="1" s="36">
      <c r="A990" s="485" t="s">
        <v>2531</v>
      </c>
      <c r="B990" s="485" t="s">
        <v>2532</v>
      </c>
      <c r="C990" s="482">
        <v>21.0</v>
      </c>
      <c r="D990" s="482" t="s">
        <v>893</v>
      </c>
      <c r="E990" s="482" t="s">
        <v>894</v>
      </c>
    </row>
    <row r="991" customFormat="1" s="36">
      <c r="A991" s="485" t="s">
        <v>2533</v>
      </c>
      <c r="B991" s="485" t="s">
        <v>2534</v>
      </c>
      <c r="C991" s="482">
        <v>0.0</v>
      </c>
      <c r="D991" s="482" t="s">
        <v>913</v>
      </c>
      <c r="E991" s="482" t="s">
        <v>894</v>
      </c>
    </row>
    <row r="992" customFormat="1" s="36">
      <c r="A992" s="485" t="s">
        <v>2535</v>
      </c>
      <c r="B992" s="485" t="s">
        <v>2536</v>
      </c>
      <c r="C992" s="482">
        <v>0.0</v>
      </c>
      <c r="D992" s="482" t="s">
        <v>913</v>
      </c>
      <c r="E992" s="482" t="s">
        <v>894</v>
      </c>
    </row>
    <row r="993" customFormat="1" s="36">
      <c r="A993" s="485" t="s">
        <v>2537</v>
      </c>
      <c r="B993" s="485" t="s">
        <v>2538</v>
      </c>
      <c r="C993" s="482">
        <v>29.0</v>
      </c>
      <c r="D993" s="482" t="s">
        <v>913</v>
      </c>
      <c r="E993" s="482" t="s">
        <v>894</v>
      </c>
    </row>
    <row r="994" customFormat="1" s="36">
      <c r="A994" s="485" t="s">
        <v>2539</v>
      </c>
      <c r="B994" s="485" t="s">
        <v>2540</v>
      </c>
      <c r="C994" s="482">
        <v>162.0</v>
      </c>
      <c r="D994" s="482" t="s">
        <v>913</v>
      </c>
      <c r="E994" s="482" t="s">
        <v>894</v>
      </c>
    </row>
    <row r="995" customFormat="1" s="36">
      <c r="A995" s="485" t="s">
        <v>2541</v>
      </c>
      <c r="B995" s="485" t="s">
        <v>2542</v>
      </c>
      <c r="C995" s="482">
        <v>0.0</v>
      </c>
      <c r="D995" s="482" t="s">
        <v>913</v>
      </c>
      <c r="E995" s="482" t="s">
        <v>894</v>
      </c>
    </row>
    <row r="996" customFormat="1" s="36">
      <c r="A996" s="485" t="s">
        <v>2543</v>
      </c>
      <c r="B996" s="485" t="s">
        <v>2544</v>
      </c>
      <c r="C996" s="482">
        <v>22.0</v>
      </c>
      <c r="D996" s="482" t="s">
        <v>913</v>
      </c>
      <c r="E996" s="482" t="s">
        <v>894</v>
      </c>
    </row>
    <row r="997" customFormat="1" s="36">
      <c r="A997" s="485" t="s">
        <v>2545</v>
      </c>
      <c r="B997" s="485" t="s">
        <v>2546</v>
      </c>
      <c r="C997" s="482">
        <v>947.0</v>
      </c>
      <c r="D997" s="482" t="s">
        <v>913</v>
      </c>
      <c r="E997" s="482" t="s">
        <v>894</v>
      </c>
    </row>
    <row r="998" customFormat="1" s="36">
      <c r="A998" s="485" t="s">
        <v>2547</v>
      </c>
      <c r="B998" s="485" t="s">
        <v>2548</v>
      </c>
      <c r="C998" s="482">
        <v>114.0</v>
      </c>
      <c r="D998" s="482" t="s">
        <v>913</v>
      </c>
      <c r="E998" s="482" t="s">
        <v>1140</v>
      </c>
    </row>
    <row r="999" customFormat="1" s="36">
      <c r="A999" s="485" t="s">
        <v>2549</v>
      </c>
      <c r="B999" s="485" t="s">
        <v>2550</v>
      </c>
      <c r="C999" s="482">
        <v>0.0</v>
      </c>
      <c r="D999" s="482" t="s">
        <v>893</v>
      </c>
      <c r="E999" s="482" t="s">
        <v>894</v>
      </c>
    </row>
    <row r="1000" customFormat="1" s="36">
      <c r="A1000" s="485" t="s">
        <v>2551</v>
      </c>
      <c r="B1000" s="485" t="s">
        <v>2552</v>
      </c>
      <c r="C1000" s="482">
        <v>0.0</v>
      </c>
      <c r="D1000" s="482" t="s">
        <v>893</v>
      </c>
      <c r="E1000" s="482" t="s">
        <v>894</v>
      </c>
    </row>
    <row r="1001" customFormat="1" s="36">
      <c r="A1001" s="485" t="s">
        <v>2553</v>
      </c>
      <c r="B1001" s="485" t="s">
        <v>2554</v>
      </c>
      <c r="C1001" s="482">
        <v>0.0</v>
      </c>
      <c r="D1001" s="482" t="s">
        <v>893</v>
      </c>
      <c r="E1001" s="482" t="s">
        <v>894</v>
      </c>
    </row>
    <row r="1002" customFormat="1" s="36">
      <c r="A1002" s="485" t="s">
        <v>2555</v>
      </c>
      <c r="B1002" s="485" t="s">
        <v>2556</v>
      </c>
      <c r="C1002" s="482">
        <v>588.0</v>
      </c>
      <c r="D1002" s="482" t="s">
        <v>913</v>
      </c>
      <c r="E1002" s="482" t="s">
        <v>1140</v>
      </c>
    </row>
    <row r="1003" customFormat="1" s="36">
      <c r="A1003" s="485" t="s">
        <v>2557</v>
      </c>
      <c r="B1003" s="485" t="s">
        <v>2558</v>
      </c>
      <c r="C1003" s="482">
        <v>344.0</v>
      </c>
      <c r="D1003" s="482" t="s">
        <v>913</v>
      </c>
      <c r="E1003" s="482" t="s">
        <v>1140</v>
      </c>
    </row>
    <row r="1004" customFormat="1" s="36">
      <c r="A1004" s="485">
        <v>78360.0</v>
      </c>
      <c r="B1004" s="485" t="s">
        <v>2559</v>
      </c>
      <c r="C1004" s="482">
        <v>0.0</v>
      </c>
      <c r="D1004" s="482" t="s">
        <v>893</v>
      </c>
      <c r="E1004" s="482" t="s">
        <v>894</v>
      </c>
    </row>
    <row r="1005" customFormat="1" s="36">
      <c r="A1005" s="485">
        <v>78798.0</v>
      </c>
      <c r="B1005" s="485" t="s">
        <v>2560</v>
      </c>
      <c r="C1005" s="482">
        <v>0.0</v>
      </c>
      <c r="D1005" s="482" t="s">
        <v>893</v>
      </c>
      <c r="E1005" s="482" t="s">
        <v>894</v>
      </c>
    </row>
    <row r="1006" customFormat="1" s="36">
      <c r="A1006" s="485" t="s">
        <v>2561</v>
      </c>
      <c r="B1006" s="485" t="s">
        <v>2562</v>
      </c>
      <c r="C1006" s="482">
        <v>0.0</v>
      </c>
      <c r="D1006" s="482" t="s">
        <v>913</v>
      </c>
      <c r="E1006" s="482" t="s">
        <v>894</v>
      </c>
    </row>
    <row r="1007" customFormat="1" s="36">
      <c r="A1007" s="485" t="s">
        <v>2563</v>
      </c>
      <c r="B1007" s="485" t="s">
        <v>2564</v>
      </c>
      <c r="C1007" s="482">
        <v>1000.0</v>
      </c>
      <c r="D1007" s="482" t="s">
        <v>913</v>
      </c>
      <c r="E1007" s="482" t="s">
        <v>894</v>
      </c>
    </row>
    <row r="1008" customFormat="1" s="36">
      <c r="A1008" s="485" t="s">
        <v>2565</v>
      </c>
      <c r="B1008" s="485" t="s">
        <v>2566</v>
      </c>
      <c r="C1008" s="482">
        <v>2000.0</v>
      </c>
      <c r="D1008" s="482" t="s">
        <v>913</v>
      </c>
      <c r="E1008" s="482" t="s">
        <v>894</v>
      </c>
    </row>
    <row r="1009" customFormat="1" s="36">
      <c r="A1009" s="485" t="s">
        <v>2567</v>
      </c>
      <c r="B1009" s="485" t="s">
        <v>2568</v>
      </c>
      <c r="C1009" s="482">
        <v>0.0</v>
      </c>
      <c r="D1009" s="482" t="s">
        <v>913</v>
      </c>
      <c r="E1009" s="482" t="s">
        <v>894</v>
      </c>
    </row>
    <row r="1010" customFormat="1" s="36">
      <c r="A1010" s="485" t="s">
        <v>2569</v>
      </c>
      <c r="B1010" s="485" t="s">
        <v>2570</v>
      </c>
      <c r="C1010" s="482">
        <v>0.0</v>
      </c>
      <c r="D1010" s="482" t="s">
        <v>893</v>
      </c>
      <c r="E1010" s="482" t="s">
        <v>894</v>
      </c>
    </row>
    <row r="1011" customFormat="1" s="36">
      <c r="A1011" s="485" t="s">
        <v>2571</v>
      </c>
      <c r="B1011" s="485" t="s">
        <v>2572</v>
      </c>
      <c r="C1011" s="482">
        <v>0.0</v>
      </c>
      <c r="D1011" s="482" t="s">
        <v>893</v>
      </c>
      <c r="E1011" s="482" t="s">
        <v>894</v>
      </c>
    </row>
    <row r="1012" customFormat="1" s="36">
      <c r="A1012" s="485" t="s">
        <v>2573</v>
      </c>
      <c r="B1012" s="485" t="s">
        <v>2574</v>
      </c>
      <c r="C1012" s="482">
        <v>0.0</v>
      </c>
      <c r="D1012" s="482" t="s">
        <v>893</v>
      </c>
      <c r="E1012" s="482" t="s">
        <v>894</v>
      </c>
    </row>
    <row r="1013" customFormat="1" s="36">
      <c r="A1013" s="485" t="s">
        <v>2575</v>
      </c>
      <c r="B1013" s="485" t="s">
        <v>2576</v>
      </c>
      <c r="C1013" s="482">
        <v>0.0</v>
      </c>
      <c r="D1013" s="482" t="s">
        <v>893</v>
      </c>
      <c r="E1013" s="482" t="s">
        <v>894</v>
      </c>
    </row>
    <row r="1014" customFormat="1" s="36">
      <c r="A1014" s="485" t="s">
        <v>2577</v>
      </c>
      <c r="B1014" s="485" t="s">
        <v>2578</v>
      </c>
      <c r="C1014" s="482">
        <v>0.0</v>
      </c>
      <c r="D1014" s="482" t="s">
        <v>893</v>
      </c>
      <c r="E1014" s="482" t="s">
        <v>894</v>
      </c>
    </row>
    <row r="1015" customFormat="1" s="36">
      <c r="A1015" s="485" t="s">
        <v>2579</v>
      </c>
      <c r="B1015" s="485" t="s">
        <v>2580</v>
      </c>
      <c r="C1015" s="482">
        <v>0.0</v>
      </c>
      <c r="D1015" s="482" t="s">
        <v>893</v>
      </c>
      <c r="E1015" s="482" t="s">
        <v>894</v>
      </c>
    </row>
    <row r="1016" customFormat="1" s="36">
      <c r="A1016" s="485" t="s">
        <v>2581</v>
      </c>
      <c r="B1016" s="485" t="s">
        <v>2582</v>
      </c>
      <c r="C1016" s="482">
        <v>336.0</v>
      </c>
      <c r="D1016" s="482" t="s">
        <v>913</v>
      </c>
      <c r="E1016" s="482" t="s">
        <v>1140</v>
      </c>
    </row>
    <row r="1017" customFormat="1" s="36">
      <c r="A1017" s="485">
        <v>96001.0</v>
      </c>
      <c r="B1017" s="485" t="s">
        <v>2583</v>
      </c>
      <c r="C1017" s="482">
        <v>0.0</v>
      </c>
      <c r="D1017" s="482" t="s">
        <v>893</v>
      </c>
      <c r="E1017" s="482" t="s">
        <v>894</v>
      </c>
    </row>
    <row r="1018" customFormat="1" s="36">
      <c r="A1018" s="485">
        <v>96002.0</v>
      </c>
      <c r="B1018" s="485" t="s">
        <v>2584</v>
      </c>
      <c r="C1018" s="482">
        <v>0.0</v>
      </c>
      <c r="D1018" s="482" t="s">
        <v>893</v>
      </c>
      <c r="E1018" s="482" t="s">
        <v>894</v>
      </c>
    </row>
    <row r="1019" customFormat="1" s="36">
      <c r="A1019" s="485">
        <v>96005.0</v>
      </c>
      <c r="B1019" s="485" t="s">
        <v>2585</v>
      </c>
      <c r="C1019" s="482">
        <v>0.0</v>
      </c>
      <c r="D1019" s="482" t="s">
        <v>893</v>
      </c>
      <c r="E1019" s="482" t="s">
        <v>894</v>
      </c>
    </row>
    <row r="1020" customFormat="1" s="36">
      <c r="A1020" s="485" t="s">
        <v>2586</v>
      </c>
      <c r="B1020" s="485" t="s">
        <v>2587</v>
      </c>
      <c r="C1020" s="482">
        <v>0.0</v>
      </c>
      <c r="D1020" s="482" t="s">
        <v>893</v>
      </c>
      <c r="E1020" s="482" t="s">
        <v>894</v>
      </c>
    </row>
    <row r="1021" customFormat="1" s="36">
      <c r="A1021" s="485">
        <v>96003.0</v>
      </c>
      <c r="B1021" s="485" t="s">
        <v>2588</v>
      </c>
      <c r="C1021" s="482">
        <v>0.0</v>
      </c>
      <c r="D1021" s="482" t="s">
        <v>893</v>
      </c>
      <c r="E1021" s="482" t="s">
        <v>894</v>
      </c>
    </row>
    <row r="1022" customFormat="1" s="36">
      <c r="A1022" s="485">
        <v>96004.0</v>
      </c>
      <c r="B1022" s="485" t="s">
        <v>2589</v>
      </c>
      <c r="C1022" s="482">
        <v>0.0</v>
      </c>
      <c r="D1022" s="482" t="s">
        <v>893</v>
      </c>
      <c r="E1022" s="482" t="s">
        <v>894</v>
      </c>
    </row>
    <row r="1023" customFormat="1" s="36">
      <c r="A1023" s="485" t="s">
        <v>2590</v>
      </c>
      <c r="B1023" s="485" t="s">
        <v>2591</v>
      </c>
      <c r="C1023" s="482">
        <v>0.0</v>
      </c>
      <c r="D1023" s="482" t="s">
        <v>893</v>
      </c>
      <c r="E1023" s="482" t="s">
        <v>894</v>
      </c>
    </row>
    <row r="1024" customFormat="1" s="36">
      <c r="A1024" s="485" t="s">
        <v>435</v>
      </c>
      <c r="B1024" s="485" t="s">
        <v>434</v>
      </c>
      <c r="C1024" s="482">
        <v>875.0</v>
      </c>
      <c r="D1024" s="482" t="s">
        <v>913</v>
      </c>
      <c r="E1024" s="482" t="s">
        <v>894</v>
      </c>
    </row>
    <row r="1025" customFormat="1" s="36">
      <c r="A1025" s="485" t="s">
        <v>2592</v>
      </c>
      <c r="B1025" s="485" t="s">
        <v>2593</v>
      </c>
      <c r="C1025" s="482">
        <v>920.0</v>
      </c>
      <c r="D1025" s="482" t="s">
        <v>913</v>
      </c>
      <c r="E1025" s="482" t="s">
        <v>894</v>
      </c>
    </row>
    <row r="1026" customFormat="1" s="36">
      <c r="A1026" s="485" t="s">
        <v>2594</v>
      </c>
      <c r="B1026" s="485" t="s">
        <v>2595</v>
      </c>
      <c r="C1026" s="482">
        <v>0.0</v>
      </c>
      <c r="D1026" s="482" t="s">
        <v>913</v>
      </c>
      <c r="E1026" s="482" t="s">
        <v>894</v>
      </c>
    </row>
    <row r="1027" customFormat="1" s="36">
      <c r="A1027" s="485" t="s">
        <v>2596</v>
      </c>
      <c r="B1027" s="485" t="s">
        <v>2597</v>
      </c>
      <c r="C1027" s="482">
        <v>0.0</v>
      </c>
      <c r="D1027" s="482" t="s">
        <v>913</v>
      </c>
      <c r="E1027" s="482" t="s">
        <v>894</v>
      </c>
    </row>
    <row r="1028" customFormat="1" s="36">
      <c r="A1028" s="485" t="s">
        <v>2598</v>
      </c>
      <c r="B1028" s="485" t="s">
        <v>2599</v>
      </c>
      <c r="C1028" s="482">
        <v>0.0</v>
      </c>
      <c r="D1028" s="482" t="s">
        <v>893</v>
      </c>
      <c r="E1028" s="482" t="s">
        <v>894</v>
      </c>
    </row>
    <row r="1029" customFormat="1" s="36">
      <c r="A1029" s="485" t="s">
        <v>2600</v>
      </c>
      <c r="B1029" s="485" t="s">
        <v>2601</v>
      </c>
      <c r="C1029" s="482">
        <v>582.0</v>
      </c>
      <c r="D1029" s="482" t="s">
        <v>913</v>
      </c>
      <c r="E1029" s="482" t="s">
        <v>1140</v>
      </c>
    </row>
    <row r="1030" customFormat="1" s="36">
      <c r="A1030" s="485" t="s">
        <v>2602</v>
      </c>
      <c r="B1030" s="485" t="s">
        <v>2603</v>
      </c>
      <c r="C1030" s="482">
        <v>570.0</v>
      </c>
      <c r="D1030" s="482" t="s">
        <v>913</v>
      </c>
      <c r="E1030" s="482" t="s">
        <v>1140</v>
      </c>
    </row>
    <row r="1031" customFormat="1" s="36">
      <c r="A1031" s="485" t="s">
        <v>2604</v>
      </c>
      <c r="B1031" s="485" t="s">
        <v>2605</v>
      </c>
      <c r="C1031" s="482">
        <v>0.0</v>
      </c>
      <c r="D1031" s="482" t="s">
        <v>893</v>
      </c>
      <c r="E1031" s="482" t="s">
        <v>894</v>
      </c>
    </row>
    <row r="1032" customFormat="1" s="36">
      <c r="A1032" s="485" t="s">
        <v>2606</v>
      </c>
      <c r="B1032" s="485" t="s">
        <v>2607</v>
      </c>
      <c r="C1032" s="482">
        <v>396.0</v>
      </c>
      <c r="D1032" s="482" t="s">
        <v>913</v>
      </c>
      <c r="E1032" s="482" t="s">
        <v>894</v>
      </c>
    </row>
    <row r="1033" customFormat="1" s="36">
      <c r="A1033" s="485" t="s">
        <v>2608</v>
      </c>
      <c r="B1033" s="485" t="s">
        <v>2609</v>
      </c>
      <c r="C1033" s="482">
        <v>350.0</v>
      </c>
      <c r="D1033" s="482" t="s">
        <v>913</v>
      </c>
      <c r="E1033" s="482" t="s">
        <v>894</v>
      </c>
    </row>
    <row r="1034" customFormat="1" s="36">
      <c r="A1034" s="485" t="s">
        <v>2610</v>
      </c>
      <c r="B1034" s="485" t="s">
        <v>2611</v>
      </c>
      <c r="C1034" s="482">
        <v>0.0</v>
      </c>
      <c r="D1034" s="482" t="s">
        <v>893</v>
      </c>
      <c r="E1034" s="482" t="s">
        <v>894</v>
      </c>
    </row>
    <row r="1035" customFormat="1" s="36">
      <c r="A1035" s="485" t="s">
        <v>2612</v>
      </c>
      <c r="B1035" s="485" t="s">
        <v>2613</v>
      </c>
      <c r="C1035" s="482">
        <v>0.0</v>
      </c>
      <c r="D1035" s="482" t="s">
        <v>893</v>
      </c>
      <c r="E1035" s="482" t="s">
        <v>894</v>
      </c>
    </row>
    <row r="1036" customFormat="1" s="36">
      <c r="A1036" s="485" t="s">
        <v>2614</v>
      </c>
      <c r="B1036" s="485" t="s">
        <v>2615</v>
      </c>
      <c r="C1036" s="482">
        <v>0.0</v>
      </c>
      <c r="D1036" s="482" t="s">
        <v>893</v>
      </c>
      <c r="E1036" s="482" t="s">
        <v>894</v>
      </c>
    </row>
    <row r="1037" customFormat="1" s="36">
      <c r="A1037" s="485" t="s">
        <v>2616</v>
      </c>
      <c r="B1037" s="485" t="s">
        <v>2617</v>
      </c>
      <c r="C1037" s="482">
        <v>0.0</v>
      </c>
      <c r="D1037" s="482" t="s">
        <v>913</v>
      </c>
      <c r="E1037" s="482" t="s">
        <v>894</v>
      </c>
    </row>
    <row r="1038" customFormat="1" s="36">
      <c r="A1038" s="485" t="s">
        <v>2618</v>
      </c>
      <c r="B1038" s="485" t="s">
        <v>2619</v>
      </c>
      <c r="C1038" s="482">
        <v>0.0</v>
      </c>
      <c r="D1038" s="482" t="s">
        <v>893</v>
      </c>
      <c r="E1038" s="482" t="s">
        <v>894</v>
      </c>
    </row>
    <row r="1039" customFormat="1" s="36">
      <c r="A1039" s="485" t="s">
        <v>2620</v>
      </c>
      <c r="B1039" s="485" t="s">
        <v>2621</v>
      </c>
      <c r="C1039" s="482">
        <v>0.0</v>
      </c>
      <c r="D1039" s="482" t="s">
        <v>893</v>
      </c>
      <c r="E1039" s="482" t="s">
        <v>894</v>
      </c>
    </row>
    <row r="1040" customFormat="1" s="36">
      <c r="A1040" s="485" t="s">
        <v>2622</v>
      </c>
      <c r="B1040" s="485" t="s">
        <v>2623</v>
      </c>
      <c r="C1040" s="482">
        <v>0.0</v>
      </c>
      <c r="D1040" s="482" t="s">
        <v>893</v>
      </c>
      <c r="E1040" s="482" t="s">
        <v>894</v>
      </c>
    </row>
    <row r="1041" customFormat="1" s="36">
      <c r="A1041" s="485" t="s">
        <v>2624</v>
      </c>
      <c r="B1041" s="485" t="s">
        <v>2625</v>
      </c>
      <c r="C1041" s="482">
        <v>0.0</v>
      </c>
      <c r="D1041" s="482" t="s">
        <v>893</v>
      </c>
      <c r="E1041" s="482" t="s">
        <v>894</v>
      </c>
    </row>
    <row r="1042" customFormat="1" s="36">
      <c r="A1042" s="485" t="s">
        <v>2626</v>
      </c>
      <c r="B1042" s="485" t="s">
        <v>2627</v>
      </c>
      <c r="C1042" s="482">
        <v>3937.0</v>
      </c>
      <c r="D1042" s="482" t="s">
        <v>913</v>
      </c>
      <c r="E1042" s="482" t="s">
        <v>894</v>
      </c>
    </row>
    <row r="1043" customFormat="1" s="36">
      <c r="A1043" s="485" t="s">
        <v>2628</v>
      </c>
      <c r="B1043" s="485" t="s">
        <v>2629</v>
      </c>
      <c r="C1043" s="482">
        <v>1620.0</v>
      </c>
      <c r="D1043" s="482" t="s">
        <v>913</v>
      </c>
      <c r="E1043" s="482" t="s">
        <v>894</v>
      </c>
    </row>
    <row r="1044" customFormat="1" s="36">
      <c r="A1044" s="485" t="s">
        <v>199</v>
      </c>
      <c r="B1044" s="485" t="s">
        <v>198</v>
      </c>
      <c r="C1044" s="482">
        <v>-3.0</v>
      </c>
      <c r="D1044" s="482" t="s">
        <v>913</v>
      </c>
      <c r="E1044" s="482" t="s">
        <v>894</v>
      </c>
    </row>
    <row r="1045" customFormat="1" s="36">
      <c r="A1045" s="485" t="s">
        <v>201</v>
      </c>
      <c r="B1045" s="485" t="s">
        <v>200</v>
      </c>
      <c r="C1045" s="482">
        <v>2.0</v>
      </c>
      <c r="D1045" s="482" t="s">
        <v>913</v>
      </c>
      <c r="E1045" s="482" t="s">
        <v>894</v>
      </c>
    </row>
    <row r="1046" customFormat="1" s="36">
      <c r="A1046" s="485" t="s">
        <v>205</v>
      </c>
      <c r="B1046" s="485" t="s">
        <v>204</v>
      </c>
      <c r="C1046" s="482">
        <v>276.0</v>
      </c>
      <c r="D1046" s="482" t="s">
        <v>913</v>
      </c>
      <c r="E1046" s="482" t="s">
        <v>894</v>
      </c>
    </row>
    <row r="1047" customFormat="1" s="36">
      <c r="A1047" s="485" t="s">
        <v>203</v>
      </c>
      <c r="B1047" s="485" t="s">
        <v>202</v>
      </c>
      <c r="C1047" s="482">
        <v>63.0</v>
      </c>
      <c r="D1047" s="482" t="s">
        <v>913</v>
      </c>
      <c r="E1047" s="482" t="s">
        <v>894</v>
      </c>
    </row>
    <row r="1048" customFormat="1" s="36">
      <c r="A1048" s="485" t="s">
        <v>2630</v>
      </c>
      <c r="B1048" s="485" t="s">
        <v>2631</v>
      </c>
      <c r="C1048" s="482">
        <v>0.0</v>
      </c>
      <c r="D1048" s="482" t="s">
        <v>893</v>
      </c>
      <c r="E1048" s="482" t="s">
        <v>894</v>
      </c>
    </row>
    <row r="1049" customFormat="1" s="36">
      <c r="A1049" s="485" t="s">
        <v>207</v>
      </c>
      <c r="B1049" s="485" t="s">
        <v>206</v>
      </c>
      <c r="C1049" s="482">
        <v>276.0</v>
      </c>
      <c r="D1049" s="482" t="s">
        <v>913</v>
      </c>
      <c r="E1049" s="482" t="s">
        <v>894</v>
      </c>
    </row>
    <row r="1050" customFormat="1" s="36">
      <c r="A1050" s="485" t="s">
        <v>2632</v>
      </c>
      <c r="B1050" s="485" t="s">
        <v>2633</v>
      </c>
      <c r="C1050" s="482">
        <v>568.0</v>
      </c>
      <c r="D1050" s="482" t="s">
        <v>913</v>
      </c>
      <c r="E1050" s="482" t="s">
        <v>1140</v>
      </c>
    </row>
    <row r="1051" customFormat="1" s="36">
      <c r="A1051" s="485" t="s">
        <v>2634</v>
      </c>
      <c r="B1051" s="485" t="s">
        <v>2635</v>
      </c>
      <c r="C1051" s="482">
        <v>512.0</v>
      </c>
      <c r="D1051" s="482" t="s">
        <v>913</v>
      </c>
      <c r="E1051" s="482" t="s">
        <v>1140</v>
      </c>
    </row>
    <row r="1052" customFormat="1" s="36">
      <c r="A1052" s="485" t="s">
        <v>2636</v>
      </c>
      <c r="B1052" s="485" t="s">
        <v>2637</v>
      </c>
      <c r="C1052" s="482">
        <v>0.0</v>
      </c>
      <c r="D1052" s="482" t="s">
        <v>913</v>
      </c>
      <c r="E1052" s="482" t="s">
        <v>894</v>
      </c>
    </row>
    <row r="1053" customFormat="1" s="36">
      <c r="A1053" s="485" t="s">
        <v>2638</v>
      </c>
      <c r="B1053" s="485" t="s">
        <v>2639</v>
      </c>
      <c r="C1053" s="482">
        <v>348.0</v>
      </c>
      <c r="D1053" s="482" t="s">
        <v>913</v>
      </c>
      <c r="E1053" s="482" t="s">
        <v>1140</v>
      </c>
    </row>
    <row r="1054" customFormat="1" s="36">
      <c r="A1054" s="485" t="s">
        <v>2640</v>
      </c>
      <c r="B1054" s="485" t="s">
        <v>2641</v>
      </c>
      <c r="C1054" s="482">
        <v>630.0</v>
      </c>
      <c r="D1054" s="482" t="s">
        <v>913</v>
      </c>
      <c r="E1054" s="482" t="s">
        <v>1140</v>
      </c>
    </row>
    <row r="1055" customFormat="1" s="36">
      <c r="A1055" s="485" t="s">
        <v>2642</v>
      </c>
      <c r="B1055" s="485" t="s">
        <v>2643</v>
      </c>
      <c r="C1055" s="482">
        <v>168.0</v>
      </c>
      <c r="D1055" s="482" t="s">
        <v>913</v>
      </c>
      <c r="E1055" s="482" t="s">
        <v>1140</v>
      </c>
    </row>
    <row r="1056" customFormat="1" s="36">
      <c r="A1056" s="485" t="s">
        <v>2644</v>
      </c>
      <c r="B1056" s="485" t="s">
        <v>2645</v>
      </c>
      <c r="C1056" s="482">
        <v>0.0</v>
      </c>
      <c r="D1056" s="482" t="s">
        <v>893</v>
      </c>
      <c r="E1056" s="482" t="s">
        <v>894</v>
      </c>
    </row>
    <row r="1057" customFormat="1" s="36">
      <c r="A1057" s="485" t="s">
        <v>2646</v>
      </c>
      <c r="B1057" s="485" t="s">
        <v>2647</v>
      </c>
      <c r="C1057" s="482">
        <v>0.0</v>
      </c>
      <c r="D1057" s="482" t="s">
        <v>893</v>
      </c>
      <c r="E1057" s="482" t="s">
        <v>894</v>
      </c>
    </row>
    <row r="1058" customFormat="1" s="36">
      <c r="A1058" s="485" t="s">
        <v>2648</v>
      </c>
      <c r="B1058" s="485" t="s">
        <v>2649</v>
      </c>
      <c r="C1058" s="482">
        <v>0.0</v>
      </c>
      <c r="D1058" s="482" t="s">
        <v>893</v>
      </c>
      <c r="E1058" s="482" t="s">
        <v>894</v>
      </c>
    </row>
    <row r="1059" customFormat="1" s="36">
      <c r="A1059" s="485" t="s">
        <v>2650</v>
      </c>
      <c r="B1059" s="485" t="s">
        <v>2651</v>
      </c>
      <c r="C1059" s="482">
        <v>0.0</v>
      </c>
      <c r="D1059" s="482" t="s">
        <v>893</v>
      </c>
      <c r="E1059" s="482" t="s">
        <v>894</v>
      </c>
    </row>
    <row r="1060" customFormat="1" s="36">
      <c r="A1060" s="485" t="s">
        <v>2652</v>
      </c>
      <c r="B1060" s="485" t="s">
        <v>2653</v>
      </c>
      <c r="C1060" s="482">
        <v>0.0</v>
      </c>
      <c r="D1060" s="482" t="s">
        <v>893</v>
      </c>
      <c r="E1060" s="482" t="s">
        <v>894</v>
      </c>
    </row>
    <row r="1061" customFormat="1" s="36">
      <c r="A1061" s="485" t="s">
        <v>2654</v>
      </c>
      <c r="B1061" s="485" t="s">
        <v>2655</v>
      </c>
      <c r="C1061" s="482">
        <v>0.0</v>
      </c>
      <c r="D1061" s="482" t="s">
        <v>893</v>
      </c>
      <c r="E1061" s="482" t="s">
        <v>894</v>
      </c>
    </row>
    <row r="1062" customFormat="1" s="36">
      <c r="A1062" s="485" t="s">
        <v>2656</v>
      </c>
      <c r="B1062" s="485" t="s">
        <v>2657</v>
      </c>
      <c r="C1062" s="482">
        <v>0.0</v>
      </c>
      <c r="D1062" s="482" t="s">
        <v>893</v>
      </c>
      <c r="E1062" s="482" t="s">
        <v>894</v>
      </c>
    </row>
    <row r="1063" customFormat="1" s="36">
      <c r="A1063" s="485" t="s">
        <v>2658</v>
      </c>
      <c r="B1063" s="485" t="s">
        <v>2659</v>
      </c>
      <c r="C1063" s="482">
        <v>-1.0</v>
      </c>
      <c r="D1063" s="482" t="s">
        <v>893</v>
      </c>
      <c r="E1063" s="482" t="s">
        <v>894</v>
      </c>
    </row>
    <row r="1064" customFormat="1" s="36">
      <c r="A1064" s="485" t="s">
        <v>2660</v>
      </c>
      <c r="B1064" s="485" t="s">
        <v>2661</v>
      </c>
      <c r="C1064" s="482">
        <v>0.0</v>
      </c>
      <c r="D1064" s="482" t="s">
        <v>893</v>
      </c>
      <c r="E1064" s="482" t="s">
        <v>894</v>
      </c>
    </row>
    <row r="1065" customFormat="1" s="36">
      <c r="A1065" s="485" t="s">
        <v>2662</v>
      </c>
      <c r="B1065" s="485" t="s">
        <v>2663</v>
      </c>
      <c r="C1065" s="482">
        <v>0.0</v>
      </c>
      <c r="D1065" s="482" t="s">
        <v>893</v>
      </c>
      <c r="E1065" s="482" t="s">
        <v>894</v>
      </c>
    </row>
    <row r="1066" customFormat="1" s="36">
      <c r="A1066" s="485" t="s">
        <v>2664</v>
      </c>
      <c r="B1066" s="485" t="s">
        <v>2665</v>
      </c>
      <c r="C1066" s="482">
        <v>0.0</v>
      </c>
      <c r="D1066" s="482" t="s">
        <v>893</v>
      </c>
      <c r="E1066" s="482" t="s">
        <v>894</v>
      </c>
    </row>
    <row r="1067" customFormat="1" s="36">
      <c r="A1067" s="485" t="s">
        <v>2666</v>
      </c>
      <c r="B1067" s="485" t="s">
        <v>2667</v>
      </c>
      <c r="C1067" s="482">
        <v>0.0</v>
      </c>
      <c r="D1067" s="482" t="s">
        <v>893</v>
      </c>
      <c r="E1067" s="482" t="s">
        <v>894</v>
      </c>
    </row>
    <row r="1068" customFormat="1" s="36">
      <c r="A1068" s="485" t="s">
        <v>2668</v>
      </c>
      <c r="B1068" s="485" t="s">
        <v>2669</v>
      </c>
      <c r="C1068" s="482">
        <v>0.0</v>
      </c>
      <c r="D1068" s="482" t="s">
        <v>893</v>
      </c>
      <c r="E1068" s="482" t="s">
        <v>894</v>
      </c>
    </row>
    <row r="1069" customFormat="1" s="36">
      <c r="A1069" s="485" t="s">
        <v>2670</v>
      </c>
      <c r="B1069" s="485" t="s">
        <v>2671</v>
      </c>
      <c r="C1069" s="482">
        <v>0.0</v>
      </c>
      <c r="D1069" s="482" t="s">
        <v>893</v>
      </c>
      <c r="E1069" s="482" t="s">
        <v>894</v>
      </c>
    </row>
    <row r="1070" customFormat="1" s="36">
      <c r="A1070" s="485" t="s">
        <v>2672</v>
      </c>
      <c r="B1070" s="485" t="s">
        <v>2673</v>
      </c>
      <c r="C1070" s="482">
        <v>1.0</v>
      </c>
      <c r="D1070" s="482" t="s">
        <v>913</v>
      </c>
      <c r="E1070" s="482" t="s">
        <v>894</v>
      </c>
    </row>
    <row r="1071" customFormat="1" s="36">
      <c r="A1071" s="485" t="s">
        <v>2674</v>
      </c>
      <c r="B1071" s="485" t="s">
        <v>2675</v>
      </c>
      <c r="C1071" s="482">
        <v>24.0</v>
      </c>
      <c r="D1071" s="482" t="s">
        <v>913</v>
      </c>
      <c r="E1071" s="482" t="s">
        <v>894</v>
      </c>
    </row>
    <row r="1072" customFormat="1" s="36">
      <c r="A1072" s="485" t="s">
        <v>2676</v>
      </c>
      <c r="B1072" s="485" t="s">
        <v>2677</v>
      </c>
      <c r="C1072" s="482">
        <v>0.0</v>
      </c>
      <c r="D1072" s="482" t="s">
        <v>893</v>
      </c>
      <c r="E1072" s="482" t="s">
        <v>894</v>
      </c>
    </row>
    <row r="1073" customFormat="1" s="36">
      <c r="A1073" s="485" t="s">
        <v>2678</v>
      </c>
      <c r="B1073" s="485" t="s">
        <v>2679</v>
      </c>
      <c r="C1073" s="482">
        <v>0.0</v>
      </c>
      <c r="D1073" s="482" t="s">
        <v>893</v>
      </c>
      <c r="E1073" s="482" t="s">
        <v>894</v>
      </c>
    </row>
    <row r="1074" customFormat="1" s="36">
      <c r="A1074" s="485" t="s">
        <v>2680</v>
      </c>
      <c r="B1074" s="485" t="s">
        <v>2681</v>
      </c>
      <c r="C1074" s="482">
        <v>0.0</v>
      </c>
      <c r="D1074" s="482" t="s">
        <v>893</v>
      </c>
      <c r="E1074" s="482" t="s">
        <v>894</v>
      </c>
    </row>
    <row r="1075" customFormat="1" s="36">
      <c r="A1075" s="485" t="s">
        <v>2682</v>
      </c>
      <c r="B1075" s="485" t="s">
        <v>2683</v>
      </c>
      <c r="C1075" s="482">
        <v>0.0</v>
      </c>
      <c r="D1075" s="482" t="s">
        <v>893</v>
      </c>
      <c r="E1075" s="482" t="s">
        <v>894</v>
      </c>
    </row>
    <row r="1076" customFormat="1" s="36">
      <c r="A1076" s="485" t="s">
        <v>2684</v>
      </c>
      <c r="B1076" s="485" t="s">
        <v>2685</v>
      </c>
      <c r="C1076" s="482">
        <v>0.0</v>
      </c>
      <c r="D1076" s="482" t="s">
        <v>893</v>
      </c>
      <c r="E1076" s="482" t="s">
        <v>894</v>
      </c>
    </row>
    <row r="1077" customFormat="1" s="36">
      <c r="A1077" s="485" t="s">
        <v>2686</v>
      </c>
      <c r="B1077" s="485" t="s">
        <v>2687</v>
      </c>
      <c r="C1077" s="482">
        <v>0.0</v>
      </c>
      <c r="D1077" s="482" t="s">
        <v>893</v>
      </c>
      <c r="E1077" s="482" t="s">
        <v>894</v>
      </c>
    </row>
    <row r="1078" customFormat="1" s="36">
      <c r="A1078" s="485" t="s">
        <v>2688</v>
      </c>
      <c r="B1078" s="485" t="s">
        <v>2689</v>
      </c>
      <c r="C1078" s="482">
        <v>0.0</v>
      </c>
      <c r="D1078" s="482" t="s">
        <v>893</v>
      </c>
      <c r="E1078" s="482" t="s">
        <v>894</v>
      </c>
    </row>
    <row r="1079" customFormat="1" s="36">
      <c r="A1079" s="485" t="s">
        <v>2690</v>
      </c>
      <c r="B1079" s="485" t="s">
        <v>2691</v>
      </c>
      <c r="C1079" s="482">
        <v>0.0</v>
      </c>
      <c r="D1079" s="482" t="s">
        <v>893</v>
      </c>
      <c r="E1079" s="482" t="s">
        <v>894</v>
      </c>
    </row>
    <row r="1080" customFormat="1" s="36">
      <c r="A1080" s="485" t="s">
        <v>2692</v>
      </c>
      <c r="B1080" s="485" t="s">
        <v>2693</v>
      </c>
      <c r="C1080" s="482">
        <v>9.0</v>
      </c>
      <c r="D1080" s="482" t="s">
        <v>913</v>
      </c>
      <c r="E1080" s="482" t="s">
        <v>894</v>
      </c>
    </row>
    <row r="1081" customFormat="1" s="36">
      <c r="A1081" s="485" t="s">
        <v>2694</v>
      </c>
      <c r="B1081" s="485" t="s">
        <v>2695</v>
      </c>
      <c r="C1081" s="482">
        <v>18.0</v>
      </c>
      <c r="D1081" s="482" t="s">
        <v>913</v>
      </c>
      <c r="E1081" s="482" t="s">
        <v>894</v>
      </c>
    </row>
    <row r="1082" customFormat="1" s="36">
      <c r="A1082" s="485" t="s">
        <v>2696</v>
      </c>
      <c r="B1082" s="485" t="s">
        <v>2697</v>
      </c>
      <c r="C1082" s="482">
        <v>0.0</v>
      </c>
      <c r="D1082" s="482" t="s">
        <v>893</v>
      </c>
      <c r="E1082" s="482" t="s">
        <v>894</v>
      </c>
    </row>
    <row r="1083" customFormat="1" s="36">
      <c r="A1083" s="485" t="s">
        <v>2698</v>
      </c>
      <c r="B1083" s="485" t="s">
        <v>2699</v>
      </c>
      <c r="C1083" s="482">
        <v>0.0</v>
      </c>
      <c r="D1083" s="482" t="s">
        <v>893</v>
      </c>
      <c r="E1083" s="482" t="s">
        <v>894</v>
      </c>
    </row>
    <row r="1084" customFormat="1" s="36">
      <c r="A1084" s="485" t="s">
        <v>2700</v>
      </c>
      <c r="B1084" s="485" t="s">
        <v>2701</v>
      </c>
      <c r="C1084" s="482">
        <v>0.0</v>
      </c>
      <c r="D1084" s="482" t="s">
        <v>893</v>
      </c>
      <c r="E1084" s="482" t="s">
        <v>894</v>
      </c>
    </row>
    <row r="1085" customFormat="1" s="36">
      <c r="A1085" s="485" t="s">
        <v>2702</v>
      </c>
      <c r="B1085" s="485" t="s">
        <v>2703</v>
      </c>
      <c r="C1085" s="482">
        <v>0.0</v>
      </c>
      <c r="D1085" s="482" t="s">
        <v>893</v>
      </c>
      <c r="E1085" s="482" t="s">
        <v>894</v>
      </c>
    </row>
    <row r="1086" customFormat="1" s="36">
      <c r="A1086" s="485" t="s">
        <v>2704</v>
      </c>
      <c r="B1086" s="485" t="s">
        <v>2705</v>
      </c>
      <c r="C1086" s="482">
        <v>0.0</v>
      </c>
      <c r="D1086" s="482" t="s">
        <v>893</v>
      </c>
      <c r="E1086" s="482" t="s">
        <v>894</v>
      </c>
    </row>
    <row r="1087" customFormat="1" s="36">
      <c r="A1087" s="485" t="s">
        <v>2706</v>
      </c>
      <c r="B1087" s="485" t="s">
        <v>2707</v>
      </c>
      <c r="C1087" s="482">
        <v>5.0</v>
      </c>
      <c r="D1087" s="482" t="s">
        <v>913</v>
      </c>
      <c r="E1087" s="482" t="s">
        <v>894</v>
      </c>
    </row>
    <row r="1088" customFormat="1" s="36">
      <c r="A1088" s="485" t="s">
        <v>2708</v>
      </c>
      <c r="B1088" s="485" t="s">
        <v>2709</v>
      </c>
      <c r="C1088" s="482">
        <v>3.0</v>
      </c>
      <c r="D1088" s="482" t="s">
        <v>913</v>
      </c>
      <c r="E1088" s="482" t="s">
        <v>894</v>
      </c>
    </row>
    <row r="1089" customFormat="1" s="36">
      <c r="A1089" s="485" t="s">
        <v>2710</v>
      </c>
      <c r="B1089" s="485" t="s">
        <v>2711</v>
      </c>
      <c r="C1089" s="482">
        <v>0.0</v>
      </c>
      <c r="D1089" s="482" t="s">
        <v>893</v>
      </c>
      <c r="E1089" s="482" t="s">
        <v>894</v>
      </c>
    </row>
    <row r="1090" customFormat="1" s="36">
      <c r="A1090" s="485" t="s">
        <v>2712</v>
      </c>
      <c r="B1090" s="485" t="s">
        <v>2713</v>
      </c>
      <c r="C1090" s="482">
        <v>0.0</v>
      </c>
      <c r="D1090" s="482" t="s">
        <v>893</v>
      </c>
      <c r="E1090" s="482" t="s">
        <v>894</v>
      </c>
    </row>
    <row r="1091" customFormat="1" s="36">
      <c r="A1091" s="485" t="s">
        <v>2714</v>
      </c>
      <c r="B1091" s="485" t="s">
        <v>2715</v>
      </c>
      <c r="C1091" s="482">
        <v>37.0</v>
      </c>
      <c r="D1091" s="482" t="s">
        <v>913</v>
      </c>
      <c r="E1091" s="482" t="s">
        <v>894</v>
      </c>
    </row>
    <row r="1092" customFormat="1" s="36">
      <c r="A1092" s="485" t="s">
        <v>2716</v>
      </c>
      <c r="B1092" s="485" t="s">
        <v>2717</v>
      </c>
      <c r="C1092" s="482">
        <v>0.0</v>
      </c>
      <c r="D1092" s="482" t="s">
        <v>893</v>
      </c>
      <c r="E1092" s="482" t="s">
        <v>894</v>
      </c>
    </row>
    <row r="1093" customFormat="1" s="36">
      <c r="A1093" s="485" t="s">
        <v>2718</v>
      </c>
      <c r="B1093" s="485" t="s">
        <v>2719</v>
      </c>
      <c r="C1093" s="482">
        <v>0.0</v>
      </c>
      <c r="D1093" s="482" t="s">
        <v>893</v>
      </c>
      <c r="E1093" s="482" t="s">
        <v>894</v>
      </c>
    </row>
    <row r="1094" customFormat="1" s="36">
      <c r="A1094" s="485" t="s">
        <v>2720</v>
      </c>
      <c r="B1094" s="485" t="s">
        <v>2721</v>
      </c>
      <c r="C1094" s="482">
        <v>0.0</v>
      </c>
      <c r="D1094" s="482" t="s">
        <v>893</v>
      </c>
      <c r="E1094" s="482" t="s">
        <v>894</v>
      </c>
    </row>
    <row r="1095" customFormat="1" s="36">
      <c r="A1095" s="485" t="s">
        <v>2722</v>
      </c>
      <c r="B1095" s="485" t="s">
        <v>2723</v>
      </c>
      <c r="C1095" s="482">
        <v>0.0</v>
      </c>
      <c r="D1095" s="482" t="s">
        <v>893</v>
      </c>
      <c r="E1095" s="482" t="s">
        <v>894</v>
      </c>
    </row>
    <row r="1096" customFormat="1" s="36">
      <c r="A1096" s="485" t="s">
        <v>2724</v>
      </c>
      <c r="B1096" s="485" t="s">
        <v>2725</v>
      </c>
      <c r="C1096" s="482">
        <v>0.0</v>
      </c>
      <c r="D1096" s="482" t="s">
        <v>893</v>
      </c>
      <c r="E1096" s="482" t="s">
        <v>894</v>
      </c>
    </row>
    <row r="1097" customFormat="1" s="36">
      <c r="A1097" s="485" t="s">
        <v>2726</v>
      </c>
      <c r="B1097" s="485" t="s">
        <v>2727</v>
      </c>
      <c r="C1097" s="482">
        <v>4.0</v>
      </c>
      <c r="D1097" s="482" t="s">
        <v>913</v>
      </c>
      <c r="E1097" s="482" t="s">
        <v>894</v>
      </c>
    </row>
    <row r="1098" customFormat="1" s="36">
      <c r="A1098" s="485" t="s">
        <v>2728</v>
      </c>
      <c r="B1098" s="485" t="s">
        <v>2729</v>
      </c>
      <c r="C1098" s="482">
        <v>1.0</v>
      </c>
      <c r="D1098" s="482" t="s">
        <v>913</v>
      </c>
      <c r="E1098" s="482" t="s">
        <v>894</v>
      </c>
    </row>
    <row r="1099" customFormat="1" s="36">
      <c r="A1099" s="485" t="s">
        <v>2730</v>
      </c>
      <c r="B1099" s="485" t="s">
        <v>2731</v>
      </c>
      <c r="C1099" s="482">
        <v>0.0</v>
      </c>
      <c r="D1099" s="482" t="s">
        <v>893</v>
      </c>
      <c r="E1099" s="482" t="s">
        <v>894</v>
      </c>
    </row>
    <row r="1100" customFormat="1" s="36">
      <c r="A1100" s="485" t="s">
        <v>2732</v>
      </c>
      <c r="B1100" s="485" t="s">
        <v>2733</v>
      </c>
      <c r="C1100" s="482">
        <v>26.0</v>
      </c>
      <c r="D1100" s="482" t="s">
        <v>913</v>
      </c>
      <c r="E1100" s="482" t="s">
        <v>894</v>
      </c>
    </row>
    <row r="1101" customFormat="1" s="36">
      <c r="A1101" s="485" t="s">
        <v>2734</v>
      </c>
      <c r="B1101" s="485" t="s">
        <v>2735</v>
      </c>
      <c r="C1101" s="482">
        <v>17.0</v>
      </c>
      <c r="D1101" s="482" t="s">
        <v>913</v>
      </c>
      <c r="E1101" s="482" t="s">
        <v>894</v>
      </c>
    </row>
    <row r="1102" customFormat="1" s="36">
      <c r="A1102" s="485" t="s">
        <v>2736</v>
      </c>
      <c r="B1102" s="485" t="s">
        <v>2737</v>
      </c>
      <c r="C1102" s="482">
        <v>0.0</v>
      </c>
      <c r="D1102" s="482" t="s">
        <v>893</v>
      </c>
      <c r="E1102" s="482" t="s">
        <v>894</v>
      </c>
    </row>
    <row r="1103" customFormat="1" s="36">
      <c r="A1103" s="485" t="s">
        <v>2738</v>
      </c>
      <c r="B1103" s="485" t="s">
        <v>2739</v>
      </c>
      <c r="C1103" s="482">
        <v>0.0</v>
      </c>
      <c r="D1103" s="482" t="s">
        <v>893</v>
      </c>
      <c r="E1103" s="482" t="s">
        <v>894</v>
      </c>
    </row>
    <row r="1104" customFormat="1" s="36">
      <c r="A1104" s="485" t="s">
        <v>2740</v>
      </c>
      <c r="B1104" s="485" t="s">
        <v>2741</v>
      </c>
      <c r="C1104" s="482">
        <v>2.0</v>
      </c>
      <c r="D1104" s="482" t="s">
        <v>913</v>
      </c>
      <c r="E1104" s="482" t="s">
        <v>894</v>
      </c>
    </row>
    <row r="1105" customFormat="1" s="36">
      <c r="A1105" s="485" t="s">
        <v>2742</v>
      </c>
      <c r="B1105" s="485" t="s">
        <v>2743</v>
      </c>
      <c r="C1105" s="482">
        <v>0.0</v>
      </c>
      <c r="D1105" s="482" t="s">
        <v>893</v>
      </c>
      <c r="E1105" s="482" t="s">
        <v>894</v>
      </c>
    </row>
    <row r="1106" customFormat="1" s="36">
      <c r="A1106" s="485" t="s">
        <v>2744</v>
      </c>
      <c r="B1106" s="485" t="s">
        <v>2745</v>
      </c>
      <c r="C1106" s="482">
        <v>0.0</v>
      </c>
      <c r="D1106" s="482" t="s">
        <v>893</v>
      </c>
      <c r="E1106" s="482" t="s">
        <v>894</v>
      </c>
    </row>
    <row r="1107" customFormat="1" s="36">
      <c r="A1107" s="485" t="s">
        <v>2746</v>
      </c>
      <c r="B1107" s="485" t="s">
        <v>2747</v>
      </c>
      <c r="C1107" s="482">
        <v>0.0</v>
      </c>
      <c r="D1107" s="482" t="s">
        <v>893</v>
      </c>
      <c r="E1107" s="482" t="s">
        <v>894</v>
      </c>
    </row>
    <row r="1108" customFormat="1" s="36">
      <c r="A1108" s="485" t="s">
        <v>2748</v>
      </c>
      <c r="B1108" s="485" t="s">
        <v>2749</v>
      </c>
      <c r="C1108" s="482">
        <v>0.0</v>
      </c>
      <c r="D1108" s="482" t="s">
        <v>893</v>
      </c>
      <c r="E1108" s="482" t="s">
        <v>894</v>
      </c>
    </row>
    <row r="1109" customFormat="1" s="36">
      <c r="A1109" s="485" t="s">
        <v>2750</v>
      </c>
      <c r="B1109" s="485" t="s">
        <v>2751</v>
      </c>
      <c r="C1109" s="482">
        <v>0.0</v>
      </c>
      <c r="D1109" s="482" t="s">
        <v>893</v>
      </c>
      <c r="E1109" s="482" t="s">
        <v>894</v>
      </c>
    </row>
    <row r="1110" customFormat="1" s="36">
      <c r="A1110" s="485" t="s">
        <v>2752</v>
      </c>
      <c r="B1110" s="485" t="s">
        <v>2753</v>
      </c>
      <c r="C1110" s="482">
        <v>3.0</v>
      </c>
      <c r="D1110" s="482" t="s">
        <v>913</v>
      </c>
      <c r="E1110" s="482" t="s">
        <v>894</v>
      </c>
    </row>
    <row r="1111" customFormat="1" s="36">
      <c r="A1111" s="485" t="s">
        <v>2754</v>
      </c>
      <c r="B1111" s="485" t="s">
        <v>2755</v>
      </c>
      <c r="C1111" s="482">
        <v>2.0</v>
      </c>
      <c r="D1111" s="482" t="s">
        <v>913</v>
      </c>
      <c r="E1111" s="482" t="s">
        <v>894</v>
      </c>
    </row>
    <row r="1112" customFormat="1" s="36">
      <c r="A1112" s="485" t="s">
        <v>2756</v>
      </c>
      <c r="B1112" s="485" t="s">
        <v>2757</v>
      </c>
      <c r="C1112" s="482">
        <v>0.0</v>
      </c>
      <c r="D1112" s="482" t="s">
        <v>893</v>
      </c>
      <c r="E1112" s="482" t="s">
        <v>894</v>
      </c>
    </row>
    <row r="1113" customFormat="1" s="36">
      <c r="A1113" s="485" t="s">
        <v>2758</v>
      </c>
      <c r="B1113" s="485" t="s">
        <v>2759</v>
      </c>
      <c r="C1113" s="482">
        <v>0.0</v>
      </c>
      <c r="D1113" s="482" t="s">
        <v>893</v>
      </c>
      <c r="E1113" s="482" t="s">
        <v>894</v>
      </c>
    </row>
    <row r="1114" customFormat="1" s="36">
      <c r="A1114" s="485" t="s">
        <v>2760</v>
      </c>
      <c r="B1114" s="485" t="s">
        <v>2761</v>
      </c>
      <c r="C1114" s="482">
        <v>0.0</v>
      </c>
      <c r="D1114" s="482" t="s">
        <v>893</v>
      </c>
      <c r="E1114" s="482" t="s">
        <v>894</v>
      </c>
    </row>
    <row r="1115" customFormat="1" s="36">
      <c r="A1115" s="485" t="s">
        <v>2762</v>
      </c>
      <c r="B1115" s="485" t="s">
        <v>2763</v>
      </c>
      <c r="C1115" s="482">
        <v>1.0</v>
      </c>
      <c r="D1115" s="482" t="s">
        <v>913</v>
      </c>
      <c r="E1115" s="482" t="s">
        <v>894</v>
      </c>
    </row>
    <row r="1116" customFormat="1" s="36">
      <c r="A1116" s="485" t="s">
        <v>2764</v>
      </c>
      <c r="B1116" s="485" t="s">
        <v>2765</v>
      </c>
      <c r="C1116" s="482">
        <v>0.0</v>
      </c>
      <c r="D1116" s="482" t="s">
        <v>893</v>
      </c>
      <c r="E1116" s="482" t="s">
        <v>894</v>
      </c>
    </row>
    <row r="1117" customFormat="1" s="36">
      <c r="A1117" s="485" t="s">
        <v>2766</v>
      </c>
      <c r="B1117" s="485" t="s">
        <v>2767</v>
      </c>
      <c r="C1117" s="482">
        <v>0.0</v>
      </c>
      <c r="D1117" s="482" t="s">
        <v>893</v>
      </c>
      <c r="E1117" s="482" t="s">
        <v>894</v>
      </c>
    </row>
    <row r="1118" customFormat="1" s="36">
      <c r="A1118" s="485" t="s">
        <v>2768</v>
      </c>
      <c r="B1118" s="485" t="s">
        <v>2769</v>
      </c>
      <c r="C1118" s="482">
        <v>0.0</v>
      </c>
      <c r="D1118" s="482" t="s">
        <v>893</v>
      </c>
      <c r="E1118" s="482" t="s">
        <v>894</v>
      </c>
    </row>
    <row r="1119" customFormat="1" s="36">
      <c r="A1119" s="485" t="s">
        <v>2770</v>
      </c>
      <c r="B1119" s="485" t="s">
        <v>2771</v>
      </c>
      <c r="C1119" s="482">
        <v>2.0</v>
      </c>
      <c r="D1119" s="482" t="s">
        <v>913</v>
      </c>
      <c r="E1119" s="482" t="s">
        <v>894</v>
      </c>
    </row>
    <row r="1120" customFormat="1" s="36">
      <c r="A1120" s="485" t="s">
        <v>2772</v>
      </c>
      <c r="B1120" s="485" t="s">
        <v>2773</v>
      </c>
      <c r="C1120" s="482">
        <v>9.0</v>
      </c>
      <c r="D1120" s="482" t="s">
        <v>913</v>
      </c>
      <c r="E1120" s="482" t="s">
        <v>894</v>
      </c>
    </row>
    <row r="1121" customFormat="1" s="36">
      <c r="A1121" s="485" t="s">
        <v>2774</v>
      </c>
      <c r="B1121" s="485" t="s">
        <v>2775</v>
      </c>
      <c r="C1121" s="482">
        <v>6.0</v>
      </c>
      <c r="D1121" s="482" t="s">
        <v>913</v>
      </c>
      <c r="E1121" s="482" t="s">
        <v>894</v>
      </c>
    </row>
    <row r="1122" customFormat="1" s="36">
      <c r="A1122" s="485" t="s">
        <v>2776</v>
      </c>
      <c r="B1122" s="485" t="s">
        <v>2777</v>
      </c>
      <c r="C1122" s="482">
        <v>0.0</v>
      </c>
      <c r="D1122" s="482" t="s">
        <v>893</v>
      </c>
      <c r="E1122" s="482" t="s">
        <v>894</v>
      </c>
    </row>
    <row r="1123" customFormat="1" s="36">
      <c r="A1123" s="485" t="s">
        <v>2778</v>
      </c>
      <c r="B1123" s="485" t="s">
        <v>2779</v>
      </c>
      <c r="C1123" s="482">
        <v>0.0</v>
      </c>
      <c r="D1123" s="482" t="s">
        <v>893</v>
      </c>
      <c r="E1123" s="482" t="s">
        <v>894</v>
      </c>
    </row>
    <row r="1124" customFormat="1" s="36">
      <c r="A1124" s="485" t="s">
        <v>2780</v>
      </c>
      <c r="B1124" s="485" t="s">
        <v>2781</v>
      </c>
      <c r="C1124" s="482">
        <v>0.0</v>
      </c>
      <c r="D1124" s="482" t="s">
        <v>893</v>
      </c>
      <c r="E1124" s="482" t="s">
        <v>894</v>
      </c>
    </row>
    <row r="1125" customFormat="1" s="36">
      <c r="A1125" s="485" t="s">
        <v>2782</v>
      </c>
      <c r="B1125" s="485" t="s">
        <v>2783</v>
      </c>
      <c r="C1125" s="482">
        <v>0.0</v>
      </c>
      <c r="D1125" s="482" t="s">
        <v>893</v>
      </c>
      <c r="E1125" s="482" t="s">
        <v>894</v>
      </c>
    </row>
    <row r="1126" customFormat="1" s="36">
      <c r="A1126" s="485" t="s">
        <v>2784</v>
      </c>
      <c r="B1126" s="485" t="s">
        <v>2785</v>
      </c>
      <c r="C1126" s="482">
        <v>0.0</v>
      </c>
      <c r="D1126" s="482" t="s">
        <v>893</v>
      </c>
      <c r="E1126" s="482" t="s">
        <v>894</v>
      </c>
    </row>
    <row r="1127" customFormat="1" s="36">
      <c r="A1127" s="485" t="s">
        <v>2786</v>
      </c>
      <c r="B1127" s="485" t="s">
        <v>2787</v>
      </c>
      <c r="C1127" s="482">
        <v>2.0</v>
      </c>
      <c r="D1127" s="482" t="s">
        <v>913</v>
      </c>
      <c r="E1127" s="482" t="s">
        <v>894</v>
      </c>
    </row>
    <row r="1128" customFormat="1" s="36">
      <c r="A1128" s="485" t="s">
        <v>2788</v>
      </c>
      <c r="B1128" s="485" t="s">
        <v>2789</v>
      </c>
      <c r="C1128" s="482">
        <v>4.0</v>
      </c>
      <c r="D1128" s="482" t="s">
        <v>913</v>
      </c>
      <c r="E1128" s="482" t="s">
        <v>894</v>
      </c>
    </row>
    <row r="1129" customFormat="1" s="36">
      <c r="A1129" s="485" t="s">
        <v>2790</v>
      </c>
      <c r="B1129" s="485" t="s">
        <v>2791</v>
      </c>
      <c r="C1129" s="482">
        <v>6.0</v>
      </c>
      <c r="D1129" s="482" t="s">
        <v>913</v>
      </c>
      <c r="E1129" s="482" t="s">
        <v>894</v>
      </c>
    </row>
    <row r="1130" customFormat="1" s="36">
      <c r="A1130" s="485" t="s">
        <v>2792</v>
      </c>
      <c r="B1130" s="485" t="s">
        <v>2793</v>
      </c>
      <c r="C1130" s="482">
        <v>9.0</v>
      </c>
      <c r="D1130" s="482" t="s">
        <v>913</v>
      </c>
      <c r="E1130" s="482" t="s">
        <v>894</v>
      </c>
    </row>
    <row r="1131" customFormat="1" s="36">
      <c r="A1131" s="485" t="s">
        <v>2794</v>
      </c>
      <c r="B1131" s="485" t="s">
        <v>2795</v>
      </c>
      <c r="C1131" s="482">
        <v>0.0</v>
      </c>
      <c r="D1131" s="482" t="s">
        <v>893</v>
      </c>
      <c r="E1131" s="482" t="s">
        <v>894</v>
      </c>
    </row>
    <row r="1132" customFormat="1" s="36">
      <c r="A1132" s="485" t="s">
        <v>2796</v>
      </c>
      <c r="B1132" s="485" t="s">
        <v>2797</v>
      </c>
      <c r="C1132" s="482">
        <v>0.0</v>
      </c>
      <c r="D1132" s="482" t="s">
        <v>893</v>
      </c>
      <c r="E1132" s="482" t="s">
        <v>894</v>
      </c>
    </row>
    <row r="1133" customFormat="1" s="36">
      <c r="A1133" s="485" t="s">
        <v>2798</v>
      </c>
      <c r="B1133" s="485" t="s">
        <v>2799</v>
      </c>
      <c r="C1133" s="482">
        <v>0.0</v>
      </c>
      <c r="D1133" s="482" t="s">
        <v>893</v>
      </c>
      <c r="E1133" s="482" t="s">
        <v>894</v>
      </c>
    </row>
    <row r="1134" customFormat="1" s="36">
      <c r="A1134" s="485" t="s">
        <v>2800</v>
      </c>
      <c r="B1134" s="485" t="s">
        <v>2801</v>
      </c>
      <c r="C1134" s="482">
        <v>0.0</v>
      </c>
      <c r="D1134" s="482" t="s">
        <v>893</v>
      </c>
      <c r="E1134" s="482" t="s">
        <v>894</v>
      </c>
    </row>
    <row r="1135" customFormat="1" s="36">
      <c r="A1135" s="485" t="s">
        <v>2802</v>
      </c>
      <c r="B1135" s="485" t="s">
        <v>2803</v>
      </c>
      <c r="C1135" s="482">
        <v>0.0</v>
      </c>
      <c r="D1135" s="482" t="s">
        <v>893</v>
      </c>
      <c r="E1135" s="482" t="s">
        <v>894</v>
      </c>
    </row>
    <row r="1136" customFormat="1" s="36">
      <c r="A1136" s="485" t="s">
        <v>2804</v>
      </c>
      <c r="B1136" s="485" t="s">
        <v>2805</v>
      </c>
      <c r="C1136" s="482">
        <v>0.0</v>
      </c>
      <c r="D1136" s="482" t="s">
        <v>893</v>
      </c>
      <c r="E1136" s="482" t="s">
        <v>894</v>
      </c>
    </row>
    <row r="1137" customFormat="1" s="36">
      <c r="A1137" s="485" t="s">
        <v>2806</v>
      </c>
      <c r="B1137" s="485" t="s">
        <v>2807</v>
      </c>
      <c r="C1137" s="482">
        <v>0.0</v>
      </c>
      <c r="D1137" s="482" t="s">
        <v>893</v>
      </c>
      <c r="E1137" s="482" t="s">
        <v>894</v>
      </c>
    </row>
    <row r="1138" customFormat="1" s="36">
      <c r="A1138" s="485" t="s">
        <v>2808</v>
      </c>
      <c r="B1138" s="485" t="s">
        <v>2809</v>
      </c>
      <c r="C1138" s="482">
        <v>36.0</v>
      </c>
      <c r="D1138" s="482" t="s">
        <v>913</v>
      </c>
      <c r="E1138" s="482" t="s">
        <v>1140</v>
      </c>
    </row>
    <row r="1139" customFormat="1" s="36">
      <c r="A1139" s="485" t="s">
        <v>2810</v>
      </c>
      <c r="B1139" s="485" t="s">
        <v>2811</v>
      </c>
      <c r="C1139" s="482">
        <v>1089.0</v>
      </c>
      <c r="D1139" s="482" t="s">
        <v>893</v>
      </c>
      <c r="E1139" s="482" t="s">
        <v>894</v>
      </c>
    </row>
    <row r="1140" customFormat="1" s="36">
      <c r="A1140" s="485" t="s">
        <v>2812</v>
      </c>
      <c r="B1140" s="485" t="s">
        <v>2813</v>
      </c>
      <c r="C1140" s="482">
        <v>64.0</v>
      </c>
      <c r="D1140" s="482" t="s">
        <v>913</v>
      </c>
      <c r="E1140" s="482" t="s">
        <v>1140</v>
      </c>
    </row>
    <row r="1141" customFormat="1" s="36">
      <c r="A1141" s="485" t="s">
        <v>2814</v>
      </c>
      <c r="B1141" s="485" t="s">
        <v>2815</v>
      </c>
      <c r="C1141" s="482">
        <v>0.0</v>
      </c>
      <c r="D1141" s="482" t="s">
        <v>893</v>
      </c>
      <c r="E1141" s="482" t="s">
        <v>894</v>
      </c>
    </row>
    <row r="1142" customFormat="1" s="36">
      <c r="A1142" s="485" t="s">
        <v>2816</v>
      </c>
      <c r="B1142" s="485" t="s">
        <v>2817</v>
      </c>
      <c r="C1142" s="482">
        <v>0.0</v>
      </c>
      <c r="D1142" s="482" t="s">
        <v>893</v>
      </c>
      <c r="E1142" s="482" t="s">
        <v>894</v>
      </c>
    </row>
    <row r="1143" customFormat="1" s="36">
      <c r="A1143" s="485" t="s">
        <v>2818</v>
      </c>
      <c r="B1143" s="485" t="s">
        <v>2819</v>
      </c>
      <c r="C1143" s="482">
        <v>228.0</v>
      </c>
      <c r="D1143" s="482" t="s">
        <v>913</v>
      </c>
      <c r="E1143" s="482" t="s">
        <v>894</v>
      </c>
    </row>
    <row r="1144" customFormat="1" s="36">
      <c r="A1144" s="485" t="s">
        <v>2820</v>
      </c>
      <c r="B1144" s="485" t="s">
        <v>2821</v>
      </c>
      <c r="C1144" s="482">
        <v>60.0</v>
      </c>
      <c r="D1144" s="482" t="s">
        <v>913</v>
      </c>
      <c r="E1144" s="482" t="s">
        <v>894</v>
      </c>
    </row>
    <row r="1145" customFormat="1" s="36">
      <c r="A1145" s="485" t="s">
        <v>2822</v>
      </c>
      <c r="B1145" s="485" t="s">
        <v>2823</v>
      </c>
      <c r="C1145" s="482">
        <v>0.0</v>
      </c>
      <c r="D1145" s="482" t="s">
        <v>893</v>
      </c>
      <c r="E1145" s="482" t="s">
        <v>894</v>
      </c>
    </row>
    <row r="1146" customFormat="1" s="36">
      <c r="A1146" s="485" t="s">
        <v>2824</v>
      </c>
      <c r="B1146" s="485" t="s">
        <v>2825</v>
      </c>
      <c r="C1146" s="482">
        <v>90.0</v>
      </c>
      <c r="D1146" s="482" t="s">
        <v>913</v>
      </c>
      <c r="E1146" s="482" t="s">
        <v>894</v>
      </c>
    </row>
    <row r="1147" customFormat="1" s="36">
      <c r="A1147" s="485" t="s">
        <v>2826</v>
      </c>
      <c r="B1147" s="485" t="s">
        <v>2827</v>
      </c>
      <c r="C1147" s="482">
        <v>0.0</v>
      </c>
      <c r="D1147" s="482" t="s">
        <v>893</v>
      </c>
      <c r="E1147" s="482" t="s">
        <v>894</v>
      </c>
    </row>
    <row r="1148" customFormat="1" s="36">
      <c r="A1148" s="485" t="s">
        <v>2828</v>
      </c>
      <c r="B1148" s="485" t="s">
        <v>2829</v>
      </c>
      <c r="C1148" s="482">
        <v>330.0</v>
      </c>
      <c r="D1148" s="482" t="s">
        <v>913</v>
      </c>
      <c r="E1148" s="482" t="s">
        <v>894</v>
      </c>
    </row>
    <row r="1149" customFormat="1" s="36">
      <c r="A1149" s="485" t="s">
        <v>2830</v>
      </c>
      <c r="B1149" s="485" t="s">
        <v>2831</v>
      </c>
      <c r="C1149" s="482">
        <v>30.0</v>
      </c>
      <c r="D1149" s="482" t="s">
        <v>913</v>
      </c>
      <c r="E1149" s="482" t="s">
        <v>894</v>
      </c>
    </row>
    <row r="1150" customFormat="1" s="36">
      <c r="A1150" s="485" t="s">
        <v>2832</v>
      </c>
      <c r="B1150" s="485" t="s">
        <v>2833</v>
      </c>
      <c r="C1150" s="482">
        <v>1.0</v>
      </c>
      <c r="D1150" s="482" t="s">
        <v>893</v>
      </c>
      <c r="E1150" s="482" t="s">
        <v>894</v>
      </c>
    </row>
    <row r="1151" customFormat="1" s="36">
      <c r="A1151" s="485" t="s">
        <v>2834</v>
      </c>
      <c r="B1151" s="485" t="s">
        <v>2835</v>
      </c>
      <c r="C1151" s="482">
        <v>835.0</v>
      </c>
      <c r="D1151" s="482" t="s">
        <v>913</v>
      </c>
      <c r="E1151" s="482" t="s">
        <v>894</v>
      </c>
    </row>
    <row r="1152" customFormat="1" s="36">
      <c r="A1152" s="485" t="s">
        <v>2836</v>
      </c>
      <c r="B1152" s="485" t="s">
        <v>2837</v>
      </c>
      <c r="C1152" s="482">
        <v>840.0</v>
      </c>
      <c r="D1152" s="482" t="s">
        <v>913</v>
      </c>
      <c r="E1152" s="482" t="s">
        <v>894</v>
      </c>
    </row>
    <row r="1153" customFormat="1" s="36">
      <c r="A1153" s="485" t="s">
        <v>2838</v>
      </c>
      <c r="B1153" s="485" t="s">
        <v>2839</v>
      </c>
      <c r="C1153" s="482">
        <v>785.0</v>
      </c>
      <c r="D1153" s="482" t="s">
        <v>913</v>
      </c>
      <c r="E1153" s="482" t="s">
        <v>894</v>
      </c>
    </row>
    <row r="1154" customFormat="1" s="36">
      <c r="A1154" s="485" t="s">
        <v>2840</v>
      </c>
      <c r="B1154" s="485" t="s">
        <v>2841</v>
      </c>
      <c r="C1154" s="482">
        <v>799.0</v>
      </c>
      <c r="D1154" s="482" t="s">
        <v>913</v>
      </c>
      <c r="E1154" s="482" t="s">
        <v>894</v>
      </c>
    </row>
    <row r="1155" customFormat="1" s="36">
      <c r="A1155" s="485" t="s">
        <v>2842</v>
      </c>
      <c r="B1155" s="485" t="s">
        <v>2843</v>
      </c>
      <c r="C1155" s="482">
        <v>821.0</v>
      </c>
      <c r="D1155" s="482" t="s">
        <v>913</v>
      </c>
      <c r="E1155" s="482" t="s">
        <v>894</v>
      </c>
    </row>
    <row r="1156" customFormat="1" s="36">
      <c r="A1156" s="485" t="s">
        <v>2844</v>
      </c>
      <c r="B1156" s="485" t="s">
        <v>2845</v>
      </c>
      <c r="C1156" s="482">
        <v>845.0</v>
      </c>
      <c r="D1156" s="482" t="s">
        <v>913</v>
      </c>
      <c r="E1156" s="482" t="s">
        <v>894</v>
      </c>
    </row>
    <row r="1157" customFormat="1" s="36">
      <c r="A1157" s="485" t="s">
        <v>2846</v>
      </c>
      <c r="B1157" s="485" t="s">
        <v>2847</v>
      </c>
      <c r="C1157" s="482">
        <v>927.0</v>
      </c>
      <c r="D1157" s="482" t="s">
        <v>913</v>
      </c>
      <c r="E1157" s="482" t="s">
        <v>894</v>
      </c>
    </row>
    <row r="1158" customFormat="1" s="36">
      <c r="A1158" s="485" t="s">
        <v>2848</v>
      </c>
      <c r="B1158" s="485" t="s">
        <v>2849</v>
      </c>
      <c r="C1158" s="482">
        <v>17.0</v>
      </c>
      <c r="D1158" s="482" t="s">
        <v>913</v>
      </c>
      <c r="E1158" s="482" t="s">
        <v>1140</v>
      </c>
    </row>
    <row r="1159" customFormat="1" s="36">
      <c r="A1159" s="485" t="s">
        <v>2850</v>
      </c>
      <c r="B1159" s="485" t="s">
        <v>2851</v>
      </c>
      <c r="C1159" s="482">
        <v>3.0</v>
      </c>
      <c r="D1159" s="482" t="s">
        <v>913</v>
      </c>
      <c r="E1159" s="482" t="s">
        <v>894</v>
      </c>
    </row>
    <row r="1160" customFormat="1" s="36">
      <c r="A1160" s="485" t="s">
        <v>2852</v>
      </c>
      <c r="B1160" s="485" t="s">
        <v>2853</v>
      </c>
      <c r="C1160" s="482">
        <v>162.0</v>
      </c>
      <c r="D1160" s="482" t="s">
        <v>913</v>
      </c>
      <c r="E1160" s="482" t="s">
        <v>894</v>
      </c>
    </row>
    <row r="1161" customFormat="1" s="36">
      <c r="A1161" s="485" t="s">
        <v>2854</v>
      </c>
      <c r="B1161" s="485" t="s">
        <v>2855</v>
      </c>
      <c r="C1161" s="482">
        <v>0.0</v>
      </c>
      <c r="D1161" s="482" t="s">
        <v>913</v>
      </c>
      <c r="E1161" s="482" t="s">
        <v>894</v>
      </c>
    </row>
    <row r="1162" customFormat="1" s="36">
      <c r="A1162" s="485">
        <v>26414.0</v>
      </c>
      <c r="B1162" s="485" t="s">
        <v>2856</v>
      </c>
      <c r="C1162" s="482">
        <v>0.0</v>
      </c>
      <c r="D1162" s="482" t="s">
        <v>893</v>
      </c>
      <c r="E1162" s="482" t="s">
        <v>894</v>
      </c>
    </row>
    <row r="1163" customFormat="1" s="36">
      <c r="A1163" s="485">
        <v>30049.0</v>
      </c>
      <c r="B1163" s="485" t="s">
        <v>2857</v>
      </c>
      <c r="C1163" s="482">
        <v>0.0</v>
      </c>
      <c r="D1163" s="482" t="s">
        <v>893</v>
      </c>
      <c r="E1163" s="482" t="s">
        <v>894</v>
      </c>
    </row>
    <row r="1164" customFormat="1" s="36">
      <c r="A1164" s="485" t="s">
        <v>2858</v>
      </c>
      <c r="B1164" s="485" t="s">
        <v>2859</v>
      </c>
      <c r="C1164" s="482">
        <v>0.0</v>
      </c>
      <c r="D1164" s="482" t="s">
        <v>893</v>
      </c>
      <c r="E1164" s="482" t="s">
        <v>894</v>
      </c>
    </row>
    <row r="1165" customFormat="1" s="36">
      <c r="A1165" s="485" t="s">
        <v>2860</v>
      </c>
      <c r="B1165" s="485" t="s">
        <v>2861</v>
      </c>
      <c r="C1165" s="482">
        <v>0.0</v>
      </c>
      <c r="D1165" s="482" t="s">
        <v>893</v>
      </c>
      <c r="E1165" s="482" t="s">
        <v>894</v>
      </c>
    </row>
    <row r="1166" customFormat="1" s="36">
      <c r="A1166" s="485" t="s">
        <v>2862</v>
      </c>
      <c r="B1166" s="485" t="s">
        <v>2863</v>
      </c>
      <c r="C1166" s="482">
        <v>0.0</v>
      </c>
      <c r="D1166" s="482" t="s">
        <v>893</v>
      </c>
      <c r="E1166" s="482" t="s">
        <v>894</v>
      </c>
    </row>
    <row r="1167" customFormat="1" s="36">
      <c r="A1167" s="485" t="s">
        <v>2864</v>
      </c>
      <c r="B1167" s="485" t="s">
        <v>2865</v>
      </c>
      <c r="C1167" s="482">
        <v>0.0</v>
      </c>
      <c r="D1167" s="482" t="s">
        <v>893</v>
      </c>
      <c r="E1167" s="482" t="s">
        <v>894</v>
      </c>
    </row>
    <row r="1168" customFormat="1" s="36">
      <c r="A1168" s="485" t="s">
        <v>2866</v>
      </c>
      <c r="B1168" s="485" t="s">
        <v>2867</v>
      </c>
      <c r="C1168" s="482">
        <v>0.0</v>
      </c>
      <c r="D1168" s="482" t="s">
        <v>893</v>
      </c>
      <c r="E1168" s="482" t="s">
        <v>894</v>
      </c>
    </row>
    <row r="1169" customFormat="1" s="36">
      <c r="A1169" s="485" t="s">
        <v>2868</v>
      </c>
      <c r="B1169" s="485" t="s">
        <v>2869</v>
      </c>
      <c r="C1169" s="482">
        <v>0.0</v>
      </c>
      <c r="D1169" s="482" t="s">
        <v>893</v>
      </c>
      <c r="E1169" s="482" t="s">
        <v>894</v>
      </c>
    </row>
    <row r="1170" customFormat="1" s="36">
      <c r="A1170" s="485" t="s">
        <v>2870</v>
      </c>
      <c r="B1170" s="485" t="s">
        <v>2871</v>
      </c>
      <c r="C1170" s="482">
        <v>0.0</v>
      </c>
      <c r="D1170" s="482" t="s">
        <v>893</v>
      </c>
      <c r="E1170" s="482" t="s">
        <v>894</v>
      </c>
    </row>
    <row r="1171" customFormat="1" s="36">
      <c r="A1171" s="485" t="s">
        <v>2872</v>
      </c>
      <c r="B1171" s="485" t="s">
        <v>2873</v>
      </c>
      <c r="C1171" s="482">
        <v>0.0</v>
      </c>
      <c r="D1171" s="482" t="s">
        <v>893</v>
      </c>
      <c r="E1171" s="482" t="s">
        <v>894</v>
      </c>
    </row>
    <row r="1172" customFormat="1" s="36">
      <c r="A1172" s="485" t="s">
        <v>2874</v>
      </c>
      <c r="B1172" s="485" t="s">
        <v>2875</v>
      </c>
      <c r="C1172" s="482">
        <v>0.0</v>
      </c>
      <c r="D1172" s="482" t="s">
        <v>893</v>
      </c>
      <c r="E1172" s="482" t="s">
        <v>894</v>
      </c>
    </row>
    <row r="1173" customFormat="1" s="36">
      <c r="A1173" s="485" t="s">
        <v>2876</v>
      </c>
      <c r="B1173" s="485" t="s">
        <v>2877</v>
      </c>
      <c r="C1173" s="482">
        <v>0.0</v>
      </c>
      <c r="D1173" s="482" t="s">
        <v>893</v>
      </c>
      <c r="E1173" s="482" t="s">
        <v>894</v>
      </c>
    </row>
    <row r="1174" customFormat="1" s="36">
      <c r="A1174" s="485" t="s">
        <v>2878</v>
      </c>
      <c r="B1174" s="485" t="s">
        <v>2879</v>
      </c>
      <c r="C1174" s="482">
        <v>0.0</v>
      </c>
      <c r="D1174" s="482" t="s">
        <v>893</v>
      </c>
      <c r="E1174" s="482" t="s">
        <v>894</v>
      </c>
    </row>
    <row r="1175" customFormat="1" s="36">
      <c r="A1175" s="485" t="s">
        <v>2880</v>
      </c>
      <c r="B1175" s="485" t="s">
        <v>2881</v>
      </c>
      <c r="C1175" s="482">
        <v>0.0</v>
      </c>
      <c r="D1175" s="482" t="s">
        <v>893</v>
      </c>
      <c r="E1175" s="482" t="s">
        <v>894</v>
      </c>
    </row>
    <row r="1176" customFormat="1" s="36">
      <c r="A1176" s="485" t="s">
        <v>2882</v>
      </c>
      <c r="B1176" s="485" t="s">
        <v>2883</v>
      </c>
      <c r="C1176" s="482">
        <v>0.0</v>
      </c>
      <c r="D1176" s="482" t="s">
        <v>893</v>
      </c>
      <c r="E1176" s="482" t="s">
        <v>894</v>
      </c>
    </row>
    <row r="1177" customFormat="1" s="36">
      <c r="A1177" s="485" t="s">
        <v>2884</v>
      </c>
      <c r="B1177" s="485" t="s">
        <v>2885</v>
      </c>
      <c r="C1177" s="482">
        <v>0.0</v>
      </c>
      <c r="D1177" s="482" t="s">
        <v>893</v>
      </c>
      <c r="E1177" s="482" t="s">
        <v>894</v>
      </c>
    </row>
    <row r="1178" customFormat="1" s="36">
      <c r="A1178" s="485" t="s">
        <v>2886</v>
      </c>
      <c r="B1178" s="485" t="s">
        <v>2887</v>
      </c>
      <c r="C1178" s="482">
        <v>0.0</v>
      </c>
      <c r="D1178" s="482" t="s">
        <v>893</v>
      </c>
      <c r="E1178" s="482" t="s">
        <v>894</v>
      </c>
    </row>
    <row r="1179" customFormat="1" s="36">
      <c r="A1179" s="485">
        <v>9992.0</v>
      </c>
      <c r="B1179" s="485" t="s">
        <v>2888</v>
      </c>
      <c r="C1179" s="482">
        <v>0.0</v>
      </c>
      <c r="D1179" s="482" t="s">
        <v>893</v>
      </c>
      <c r="E1179" s="482" t="s">
        <v>894</v>
      </c>
    </row>
    <row r="1180" customFormat="1" s="36">
      <c r="A1180" s="485" t="s">
        <v>2889</v>
      </c>
      <c r="B1180" s="485" t="s">
        <v>2890</v>
      </c>
      <c r="C1180" s="482">
        <v>0.0</v>
      </c>
      <c r="D1180" s="482" t="s">
        <v>893</v>
      </c>
      <c r="E1180" s="482" t="s">
        <v>894</v>
      </c>
    </row>
    <row r="1181" customFormat="1" s="36">
      <c r="A1181" s="485" t="s">
        <v>2891</v>
      </c>
      <c r="B1181" s="485" t="s">
        <v>2892</v>
      </c>
      <c r="C1181" s="482">
        <v>0.0</v>
      </c>
      <c r="D1181" s="482" t="s">
        <v>893</v>
      </c>
      <c r="E1181" s="482" t="s">
        <v>894</v>
      </c>
    </row>
    <row r="1182" customFormat="1" s="36">
      <c r="A1182" s="485" t="s">
        <v>2893</v>
      </c>
      <c r="B1182" s="485" t="s">
        <v>2894</v>
      </c>
      <c r="C1182" s="482">
        <v>0.0</v>
      </c>
      <c r="D1182" s="482" t="s">
        <v>893</v>
      </c>
      <c r="E1182" s="482" t="s">
        <v>894</v>
      </c>
    </row>
    <row r="1183" customFormat="1" s="36">
      <c r="A1183" s="485" t="s">
        <v>2895</v>
      </c>
      <c r="B1183" s="485" t="s">
        <v>2896</v>
      </c>
      <c r="C1183" s="482">
        <v>0.0</v>
      </c>
      <c r="D1183" s="482" t="s">
        <v>893</v>
      </c>
      <c r="E1183" s="482" t="s">
        <v>894</v>
      </c>
    </row>
    <row r="1184" customFormat="1" s="36">
      <c r="A1184" s="485" t="s">
        <v>2897</v>
      </c>
      <c r="B1184" s="485" t="s">
        <v>2898</v>
      </c>
      <c r="C1184" s="482">
        <v>0.0</v>
      </c>
      <c r="D1184" s="482" t="s">
        <v>893</v>
      </c>
      <c r="E1184" s="482" t="s">
        <v>894</v>
      </c>
    </row>
    <row r="1185" customFormat="1" s="36">
      <c r="A1185" s="485" t="s">
        <v>2899</v>
      </c>
      <c r="B1185" s="485" t="s">
        <v>2900</v>
      </c>
      <c r="C1185" s="482">
        <v>78.0</v>
      </c>
      <c r="D1185" s="482" t="s">
        <v>913</v>
      </c>
      <c r="E1185" s="482" t="s">
        <v>894</v>
      </c>
    </row>
    <row r="1186" customFormat="1" s="36">
      <c r="A1186" s="485" t="s">
        <v>2901</v>
      </c>
      <c r="B1186" s="485" t="s">
        <v>2902</v>
      </c>
      <c r="C1186" s="482">
        <v>0.0</v>
      </c>
      <c r="D1186" s="482" t="s">
        <v>893</v>
      </c>
      <c r="E1186" s="482" t="s">
        <v>894</v>
      </c>
    </row>
    <row r="1187" customFormat="1" s="36">
      <c r="A1187" s="485" t="s">
        <v>2903</v>
      </c>
      <c r="B1187" s="485" t="s">
        <v>2904</v>
      </c>
      <c r="C1187" s="482">
        <v>0.0</v>
      </c>
      <c r="D1187" s="482" t="s">
        <v>893</v>
      </c>
      <c r="E1187" s="482" t="s">
        <v>894</v>
      </c>
    </row>
    <row r="1188" customFormat="1" s="36">
      <c r="A1188" s="485" t="s">
        <v>2905</v>
      </c>
      <c r="B1188" s="485" t="s">
        <v>2906</v>
      </c>
      <c r="C1188" s="482">
        <v>0.0</v>
      </c>
      <c r="D1188" s="482" t="s">
        <v>893</v>
      </c>
      <c r="E1188" s="482" t="s">
        <v>894</v>
      </c>
    </row>
    <row r="1189" customFormat="1" s="36">
      <c r="A1189" s="485" t="s">
        <v>2907</v>
      </c>
      <c r="B1189" s="485" t="s">
        <v>2908</v>
      </c>
      <c r="C1189" s="482">
        <v>0.0</v>
      </c>
      <c r="D1189" s="482" t="s">
        <v>893</v>
      </c>
      <c r="E1189" s="482" t="s">
        <v>894</v>
      </c>
    </row>
    <row r="1190" customFormat="1" s="36">
      <c r="A1190" s="485" t="s">
        <v>2909</v>
      </c>
      <c r="B1190" s="485" t="s">
        <v>2910</v>
      </c>
      <c r="C1190" s="482">
        <v>0.0</v>
      </c>
      <c r="D1190" s="482" t="s">
        <v>893</v>
      </c>
      <c r="E1190" s="482" t="s">
        <v>894</v>
      </c>
    </row>
    <row r="1191" customFormat="1" s="36">
      <c r="A1191" s="485" t="s">
        <v>2911</v>
      </c>
      <c r="B1191" s="485" t="s">
        <v>2912</v>
      </c>
      <c r="C1191" s="482">
        <v>0.0</v>
      </c>
      <c r="D1191" s="482" t="s">
        <v>893</v>
      </c>
      <c r="E1191" s="482" t="s">
        <v>894</v>
      </c>
    </row>
    <row r="1192" customFormat="1" s="36">
      <c r="A1192" s="485" t="s">
        <v>2913</v>
      </c>
      <c r="B1192" s="485" t="s">
        <v>2914</v>
      </c>
      <c r="C1192" s="482">
        <v>0.0</v>
      </c>
      <c r="D1192" s="482" t="s">
        <v>893</v>
      </c>
      <c r="E1192" s="482" t="s">
        <v>894</v>
      </c>
    </row>
    <row r="1193" customFormat="1" s="36">
      <c r="A1193" s="485" t="s">
        <v>2915</v>
      </c>
      <c r="B1193" s="485" t="s">
        <v>2916</v>
      </c>
      <c r="C1193" s="482">
        <v>0.0</v>
      </c>
      <c r="D1193" s="482" t="s">
        <v>893</v>
      </c>
      <c r="E1193" s="482" t="s">
        <v>894</v>
      </c>
    </row>
    <row r="1194" customFormat="1" s="36">
      <c r="A1194" s="485" t="s">
        <v>2917</v>
      </c>
      <c r="B1194" s="485" t="s">
        <v>2918</v>
      </c>
      <c r="C1194" s="482">
        <v>0.0</v>
      </c>
      <c r="D1194" s="482" t="s">
        <v>893</v>
      </c>
      <c r="E1194" s="482" t="s">
        <v>894</v>
      </c>
    </row>
    <row r="1195" customFormat="1" s="36">
      <c r="A1195" s="485" t="s">
        <v>2919</v>
      </c>
      <c r="B1195" s="485" t="s">
        <v>2920</v>
      </c>
      <c r="C1195" s="482">
        <v>0.0</v>
      </c>
      <c r="D1195" s="482" t="s">
        <v>893</v>
      </c>
      <c r="E1195" s="482" t="s">
        <v>894</v>
      </c>
    </row>
    <row r="1196" customFormat="1" s="36">
      <c r="A1196" s="485" t="s">
        <v>2921</v>
      </c>
      <c r="B1196" s="485" t="s">
        <v>2922</v>
      </c>
      <c r="C1196" s="482">
        <v>0.0</v>
      </c>
      <c r="D1196" s="482" t="s">
        <v>893</v>
      </c>
      <c r="E1196" s="482" t="s">
        <v>894</v>
      </c>
    </row>
    <row r="1197" customFormat="1" s="36">
      <c r="A1197" s="485" t="s">
        <v>2923</v>
      </c>
      <c r="B1197" s="485" t="s">
        <v>2924</v>
      </c>
      <c r="C1197" s="482">
        <v>0.0</v>
      </c>
      <c r="D1197" s="482" t="s">
        <v>893</v>
      </c>
      <c r="E1197" s="482" t="s">
        <v>894</v>
      </c>
    </row>
    <row r="1198" customFormat="1" s="36">
      <c r="A1198" s="485" t="s">
        <v>2925</v>
      </c>
      <c r="B1198" s="485" t="s">
        <v>2926</v>
      </c>
      <c r="C1198" s="482">
        <v>0.0</v>
      </c>
      <c r="D1198" s="482" t="s">
        <v>893</v>
      </c>
      <c r="E1198" s="482" t="s">
        <v>894</v>
      </c>
    </row>
    <row r="1199" customFormat="1" s="36">
      <c r="A1199" s="485" t="s">
        <v>2927</v>
      </c>
      <c r="B1199" s="485" t="s">
        <v>2928</v>
      </c>
      <c r="C1199" s="482">
        <v>0.0</v>
      </c>
      <c r="D1199" s="482" t="s">
        <v>893</v>
      </c>
      <c r="E1199" s="482" t="s">
        <v>894</v>
      </c>
    </row>
    <row r="1200" customFormat="1" s="36">
      <c r="A1200" s="485" t="s">
        <v>2929</v>
      </c>
      <c r="B1200" s="485" t="s">
        <v>2930</v>
      </c>
      <c r="C1200" s="482">
        <v>0.0</v>
      </c>
      <c r="D1200" s="482" t="s">
        <v>893</v>
      </c>
      <c r="E1200" s="482" t="s">
        <v>894</v>
      </c>
    </row>
    <row r="1201" customFormat="1" s="36">
      <c r="A1201" s="485" t="s">
        <v>2931</v>
      </c>
      <c r="B1201" s="485" t="s">
        <v>2932</v>
      </c>
      <c r="C1201" s="482">
        <v>408.0</v>
      </c>
      <c r="D1201" s="482" t="s">
        <v>913</v>
      </c>
      <c r="E1201" s="482" t="s">
        <v>894</v>
      </c>
    </row>
    <row r="1202" customFormat="1" s="36">
      <c r="A1202" s="485" t="s">
        <v>2933</v>
      </c>
      <c r="B1202" s="485" t="s">
        <v>2934</v>
      </c>
      <c r="C1202" s="482">
        <v>0.0</v>
      </c>
      <c r="D1202" s="482" t="s">
        <v>893</v>
      </c>
      <c r="E1202" s="482" t="s">
        <v>894</v>
      </c>
    </row>
    <row r="1203" customFormat="1" s="36">
      <c r="A1203" s="485" t="s">
        <v>2935</v>
      </c>
      <c r="B1203" s="485" t="s">
        <v>2936</v>
      </c>
      <c r="C1203" s="482">
        <v>0.0</v>
      </c>
      <c r="D1203" s="482" t="s">
        <v>893</v>
      </c>
      <c r="E1203" s="482" t="s">
        <v>894</v>
      </c>
    </row>
    <row r="1204" customFormat="1" s="36">
      <c r="A1204" s="485" t="s">
        <v>2937</v>
      </c>
      <c r="B1204" s="485" t="s">
        <v>2938</v>
      </c>
      <c r="C1204" s="482">
        <v>0.0</v>
      </c>
      <c r="D1204" s="482" t="s">
        <v>893</v>
      </c>
      <c r="E1204" s="482" t="s">
        <v>894</v>
      </c>
    </row>
    <row r="1205" customFormat="1" s="36">
      <c r="A1205" s="485" t="s">
        <v>2939</v>
      </c>
      <c r="B1205" s="485" t="s">
        <v>2940</v>
      </c>
      <c r="C1205" s="482">
        <v>0.0</v>
      </c>
      <c r="D1205" s="482" t="s">
        <v>893</v>
      </c>
      <c r="E1205" s="482" t="s">
        <v>894</v>
      </c>
    </row>
    <row r="1206" customFormat="1" s="36">
      <c r="A1206" s="485" t="s">
        <v>2941</v>
      </c>
      <c r="B1206" s="485" t="s">
        <v>2942</v>
      </c>
      <c r="C1206" s="482">
        <v>0.0</v>
      </c>
      <c r="D1206" s="482" t="s">
        <v>893</v>
      </c>
      <c r="E1206" s="482" t="s">
        <v>894</v>
      </c>
    </row>
    <row r="1207" customFormat="1" s="36">
      <c r="A1207" s="485" t="s">
        <v>2943</v>
      </c>
      <c r="B1207" s="485" t="s">
        <v>2944</v>
      </c>
      <c r="C1207" s="482">
        <v>174.0</v>
      </c>
      <c r="D1207" s="482" t="s">
        <v>913</v>
      </c>
      <c r="E1207" s="482" t="s">
        <v>894</v>
      </c>
    </row>
    <row r="1208" customFormat="1" s="36">
      <c r="A1208" s="485" t="s">
        <v>2945</v>
      </c>
      <c r="B1208" s="485" t="s">
        <v>2946</v>
      </c>
      <c r="C1208" s="482">
        <v>0.0</v>
      </c>
      <c r="D1208" s="482" t="s">
        <v>893</v>
      </c>
      <c r="E1208" s="482" t="s">
        <v>894</v>
      </c>
    </row>
    <row r="1209" customFormat="1" s="36">
      <c r="A1209" s="485" t="s">
        <v>2947</v>
      </c>
      <c r="B1209" s="485" t="s">
        <v>2948</v>
      </c>
      <c r="C1209" s="482">
        <v>0.0</v>
      </c>
      <c r="D1209" s="482" t="s">
        <v>893</v>
      </c>
      <c r="E1209" s="482" t="s">
        <v>894</v>
      </c>
    </row>
    <row r="1210" customFormat="1" s="36">
      <c r="A1210" s="485" t="s">
        <v>2949</v>
      </c>
      <c r="B1210" s="485" t="s">
        <v>2950</v>
      </c>
      <c r="C1210" s="482">
        <v>0.0</v>
      </c>
      <c r="D1210" s="482" t="s">
        <v>893</v>
      </c>
      <c r="E1210" s="482" t="s">
        <v>894</v>
      </c>
    </row>
    <row r="1211" customFormat="1" s="36">
      <c r="A1211" s="485" t="s">
        <v>2951</v>
      </c>
      <c r="B1211" s="485" t="s">
        <v>2952</v>
      </c>
      <c r="C1211" s="482">
        <v>0.0</v>
      </c>
      <c r="D1211" s="482" t="s">
        <v>893</v>
      </c>
      <c r="E1211" s="482" t="s">
        <v>894</v>
      </c>
    </row>
    <row r="1212" customFormat="1" s="36">
      <c r="A1212" s="485" t="s">
        <v>2953</v>
      </c>
      <c r="B1212" s="485" t="s">
        <v>2954</v>
      </c>
      <c r="C1212" s="482">
        <v>0.0</v>
      </c>
      <c r="D1212" s="482" t="s">
        <v>893</v>
      </c>
      <c r="E1212" s="482" t="s">
        <v>894</v>
      </c>
    </row>
    <row r="1213" customFormat="1" s="36">
      <c r="A1213" s="485" t="s">
        <v>2955</v>
      </c>
      <c r="B1213" s="485" t="s">
        <v>2956</v>
      </c>
      <c r="C1213" s="482">
        <v>0.0</v>
      </c>
      <c r="D1213" s="482" t="s">
        <v>893</v>
      </c>
      <c r="E1213" s="482" t="s">
        <v>894</v>
      </c>
    </row>
    <row r="1214" customFormat="1" s="36">
      <c r="A1214" s="485" t="s">
        <v>2957</v>
      </c>
      <c r="B1214" s="485" t="s">
        <v>2958</v>
      </c>
      <c r="C1214" s="482">
        <v>0.0</v>
      </c>
      <c r="D1214" s="482" t="s">
        <v>893</v>
      </c>
      <c r="E1214" s="482" t="s">
        <v>894</v>
      </c>
    </row>
    <row r="1215" customFormat="1" s="36">
      <c r="A1215" s="485" t="s">
        <v>2959</v>
      </c>
      <c r="B1215" s="485" t="s">
        <v>2960</v>
      </c>
      <c r="C1215" s="482">
        <v>0.0</v>
      </c>
      <c r="D1215" s="482" t="s">
        <v>893</v>
      </c>
      <c r="E1215" s="482" t="s">
        <v>894</v>
      </c>
    </row>
    <row r="1216" customFormat="1" s="36">
      <c r="A1216" s="485" t="s">
        <v>2961</v>
      </c>
      <c r="B1216" s="485" t="s">
        <v>2962</v>
      </c>
      <c r="C1216" s="482">
        <v>0.0</v>
      </c>
      <c r="D1216" s="482" t="s">
        <v>893</v>
      </c>
      <c r="E1216" s="482" t="s">
        <v>894</v>
      </c>
    </row>
    <row r="1217" customFormat="1" s="36">
      <c r="A1217" s="485" t="s">
        <v>2963</v>
      </c>
      <c r="B1217" s="485" t="s">
        <v>2964</v>
      </c>
      <c r="C1217" s="482">
        <v>0.0</v>
      </c>
      <c r="D1217" s="482" t="s">
        <v>893</v>
      </c>
      <c r="E1217" s="482" t="s">
        <v>894</v>
      </c>
    </row>
    <row r="1218" customFormat="1" s="36">
      <c r="A1218" s="485" t="s">
        <v>2965</v>
      </c>
      <c r="B1218" s="485" t="s">
        <v>2966</v>
      </c>
      <c r="C1218" s="482">
        <v>0.0</v>
      </c>
      <c r="D1218" s="482" t="s">
        <v>893</v>
      </c>
      <c r="E1218" s="482" t="s">
        <v>894</v>
      </c>
    </row>
    <row r="1219" customFormat="1" s="36">
      <c r="A1219" s="485" t="s">
        <v>2967</v>
      </c>
      <c r="B1219" s="485" t="s">
        <v>2968</v>
      </c>
      <c r="C1219" s="482">
        <v>0.0</v>
      </c>
      <c r="D1219" s="482" t="s">
        <v>893</v>
      </c>
      <c r="E1219" s="482" t="s">
        <v>894</v>
      </c>
    </row>
    <row r="1220" customFormat="1" s="36">
      <c r="A1220" s="485" t="s">
        <v>2969</v>
      </c>
      <c r="B1220" s="485" t="s">
        <v>2970</v>
      </c>
      <c r="C1220" s="482">
        <v>0.0</v>
      </c>
      <c r="D1220" s="482" t="s">
        <v>893</v>
      </c>
      <c r="E1220" s="482" t="s">
        <v>894</v>
      </c>
    </row>
    <row r="1221" customFormat="1" s="36">
      <c r="A1221" s="485" t="s">
        <v>2971</v>
      </c>
      <c r="B1221" s="485" t="s">
        <v>2972</v>
      </c>
      <c r="C1221" s="482">
        <v>0.0</v>
      </c>
      <c r="D1221" s="482" t="s">
        <v>893</v>
      </c>
      <c r="E1221" s="482" t="s">
        <v>894</v>
      </c>
    </row>
    <row r="1222" customFormat="1" s="36">
      <c r="A1222" s="485" t="s">
        <v>2973</v>
      </c>
      <c r="B1222" s="485" t="s">
        <v>2974</v>
      </c>
      <c r="C1222" s="482">
        <v>0.0</v>
      </c>
      <c r="D1222" s="482" t="s">
        <v>893</v>
      </c>
      <c r="E1222" s="482" t="s">
        <v>894</v>
      </c>
    </row>
    <row r="1223" customFormat="1" s="36">
      <c r="A1223" s="485" t="s">
        <v>2975</v>
      </c>
      <c r="B1223" s="485" t="s">
        <v>2976</v>
      </c>
      <c r="C1223" s="482">
        <v>0.0</v>
      </c>
      <c r="D1223" s="482" t="s">
        <v>893</v>
      </c>
      <c r="E1223" s="482" t="s">
        <v>894</v>
      </c>
    </row>
    <row r="1224" customFormat="1" s="36">
      <c r="A1224" s="485" t="s">
        <v>2977</v>
      </c>
      <c r="B1224" s="485" t="s">
        <v>2978</v>
      </c>
      <c r="C1224" s="482">
        <v>6.0</v>
      </c>
      <c r="D1224" s="482" t="s">
        <v>893</v>
      </c>
      <c r="E1224" s="482" t="s">
        <v>894</v>
      </c>
    </row>
    <row r="1225" customFormat="1" s="36">
      <c r="A1225" s="485" t="s">
        <v>2979</v>
      </c>
      <c r="B1225" s="485" t="s">
        <v>2980</v>
      </c>
      <c r="C1225" s="482">
        <v>0.0</v>
      </c>
      <c r="D1225" s="482" t="s">
        <v>893</v>
      </c>
      <c r="E1225" s="482" t="s">
        <v>894</v>
      </c>
    </row>
    <row r="1226" customFormat="1" s="36">
      <c r="A1226" s="485" t="s">
        <v>2981</v>
      </c>
      <c r="B1226" s="485" t="s">
        <v>2982</v>
      </c>
      <c r="C1226" s="482">
        <v>0.0</v>
      </c>
      <c r="D1226" s="482" t="s">
        <v>893</v>
      </c>
      <c r="E1226" s="482" t="s">
        <v>894</v>
      </c>
    </row>
    <row r="1227" customFormat="1" s="36">
      <c r="A1227" s="485" t="s">
        <v>2983</v>
      </c>
      <c r="B1227" s="485" t="s">
        <v>2984</v>
      </c>
      <c r="C1227" s="482">
        <v>0.0</v>
      </c>
      <c r="D1227" s="482" t="s">
        <v>893</v>
      </c>
      <c r="E1227" s="482" t="s">
        <v>894</v>
      </c>
    </row>
    <row r="1228" customFormat="1" s="36">
      <c r="A1228" s="485" t="s">
        <v>2985</v>
      </c>
      <c r="B1228" s="485" t="s">
        <v>2986</v>
      </c>
      <c r="C1228" s="482">
        <v>0.0</v>
      </c>
      <c r="D1228" s="482" t="s">
        <v>893</v>
      </c>
      <c r="E1228" s="482" t="s">
        <v>894</v>
      </c>
    </row>
    <row r="1229" customFormat="1" s="36">
      <c r="A1229" s="485" t="s">
        <v>2987</v>
      </c>
      <c r="B1229" s="485" t="s">
        <v>2988</v>
      </c>
      <c r="C1229" s="482">
        <v>360.0</v>
      </c>
      <c r="D1229" s="482" t="s">
        <v>913</v>
      </c>
      <c r="E1229" s="482" t="s">
        <v>894</v>
      </c>
    </row>
    <row r="1230" customFormat="1" s="36">
      <c r="A1230" s="485" t="s">
        <v>2989</v>
      </c>
      <c r="B1230" s="485" t="s">
        <v>2990</v>
      </c>
      <c r="C1230" s="482">
        <v>0.0</v>
      </c>
      <c r="D1230" s="482" t="s">
        <v>893</v>
      </c>
      <c r="E1230" s="482" t="s">
        <v>894</v>
      </c>
    </row>
    <row r="1231" customFormat="1" s="36">
      <c r="A1231" s="485" t="s">
        <v>2991</v>
      </c>
      <c r="B1231" s="485" t="s">
        <v>2992</v>
      </c>
      <c r="C1231" s="482">
        <v>0.0</v>
      </c>
      <c r="D1231" s="482" t="s">
        <v>893</v>
      </c>
      <c r="E1231" s="482" t="s">
        <v>894</v>
      </c>
    </row>
    <row r="1232" customFormat="1" s="36">
      <c r="A1232" s="485" t="s">
        <v>2993</v>
      </c>
      <c r="B1232" s="485" t="s">
        <v>2994</v>
      </c>
      <c r="C1232" s="482">
        <v>0.0</v>
      </c>
      <c r="D1232" s="482" t="s">
        <v>893</v>
      </c>
      <c r="E1232" s="482" t="s">
        <v>894</v>
      </c>
    </row>
    <row r="1233" customFormat="1" s="36">
      <c r="A1233" s="485" t="s">
        <v>2995</v>
      </c>
      <c r="B1233" s="485" t="s">
        <v>2996</v>
      </c>
      <c r="C1233" s="482">
        <v>0.0</v>
      </c>
      <c r="D1233" s="482" t="s">
        <v>893</v>
      </c>
      <c r="E1233" s="482" t="s">
        <v>894</v>
      </c>
    </row>
    <row r="1234" customFormat="1" s="36">
      <c r="A1234" s="485" t="s">
        <v>2997</v>
      </c>
      <c r="B1234" s="485" t="s">
        <v>2998</v>
      </c>
      <c r="C1234" s="482">
        <v>0.0</v>
      </c>
      <c r="D1234" s="482" t="s">
        <v>893</v>
      </c>
      <c r="E1234" s="482" t="s">
        <v>894</v>
      </c>
    </row>
    <row r="1235" customFormat="1" s="36">
      <c r="A1235" s="485" t="s">
        <v>2999</v>
      </c>
      <c r="B1235" s="485" t="s">
        <v>3000</v>
      </c>
      <c r="C1235" s="482">
        <v>0.0</v>
      </c>
      <c r="D1235" s="482" t="s">
        <v>893</v>
      </c>
      <c r="E1235" s="482" t="s">
        <v>894</v>
      </c>
    </row>
    <row r="1236" customFormat="1" s="36">
      <c r="A1236" s="485" t="s">
        <v>3001</v>
      </c>
      <c r="B1236" s="485" t="s">
        <v>3002</v>
      </c>
      <c r="C1236" s="482">
        <v>0.0</v>
      </c>
      <c r="D1236" s="482" t="s">
        <v>913</v>
      </c>
      <c r="E1236" s="482" t="s">
        <v>894</v>
      </c>
    </row>
    <row r="1237" customFormat="1" s="36">
      <c r="A1237" s="485" t="s">
        <v>3003</v>
      </c>
      <c r="B1237" s="485" t="s">
        <v>3004</v>
      </c>
      <c r="C1237" s="482">
        <v>0.0</v>
      </c>
      <c r="D1237" s="482" t="s">
        <v>893</v>
      </c>
      <c r="E1237" s="482" t="s">
        <v>894</v>
      </c>
    </row>
    <row r="1238" customFormat="1" s="36">
      <c r="A1238" s="485" t="s">
        <v>3005</v>
      </c>
      <c r="B1238" s="485" t="s">
        <v>3006</v>
      </c>
      <c r="C1238" s="482">
        <v>0.0</v>
      </c>
      <c r="D1238" s="482" t="s">
        <v>893</v>
      </c>
      <c r="E1238" s="482" t="s">
        <v>894</v>
      </c>
    </row>
    <row r="1239" customFormat="1" s="36">
      <c r="A1239" s="485" t="s">
        <v>3007</v>
      </c>
      <c r="B1239" s="485" t="s">
        <v>3008</v>
      </c>
      <c r="C1239" s="482">
        <v>0.0</v>
      </c>
      <c r="D1239" s="482" t="s">
        <v>893</v>
      </c>
      <c r="E1239" s="482" t="s">
        <v>894</v>
      </c>
    </row>
    <row r="1240" customFormat="1" s="36">
      <c r="A1240" s="485" t="s">
        <v>3009</v>
      </c>
      <c r="B1240" s="485" t="s">
        <v>3010</v>
      </c>
      <c r="C1240" s="482">
        <v>0.0</v>
      </c>
      <c r="D1240" s="482" t="s">
        <v>893</v>
      </c>
      <c r="E1240" s="482" t="s">
        <v>894</v>
      </c>
    </row>
    <row r="1241" customFormat="1" s="36">
      <c r="A1241" s="485" t="s">
        <v>3011</v>
      </c>
      <c r="B1241" s="485" t="s">
        <v>3012</v>
      </c>
      <c r="C1241" s="482">
        <v>0.0</v>
      </c>
      <c r="D1241" s="482" t="s">
        <v>893</v>
      </c>
      <c r="E1241" s="482" t="s">
        <v>894</v>
      </c>
    </row>
    <row r="1242" customFormat="1" s="36">
      <c r="A1242" s="485" t="s">
        <v>3013</v>
      </c>
      <c r="B1242" s="485" t="s">
        <v>3014</v>
      </c>
      <c r="C1242" s="482">
        <v>0.0</v>
      </c>
      <c r="D1242" s="482" t="s">
        <v>893</v>
      </c>
      <c r="E1242" s="482" t="s">
        <v>894</v>
      </c>
    </row>
    <row r="1243" customFormat="1" s="36">
      <c r="A1243" s="485" t="s">
        <v>3015</v>
      </c>
      <c r="B1243" s="485" t="s">
        <v>3016</v>
      </c>
      <c r="C1243" s="482">
        <v>0.0</v>
      </c>
      <c r="D1243" s="482" t="s">
        <v>893</v>
      </c>
      <c r="E1243" s="482" t="s">
        <v>894</v>
      </c>
    </row>
    <row r="1244" customFormat="1" s="36">
      <c r="A1244" s="485" t="s">
        <v>3017</v>
      </c>
      <c r="B1244" s="485" t="s">
        <v>3018</v>
      </c>
      <c r="C1244" s="482">
        <v>0.0</v>
      </c>
      <c r="D1244" s="482" t="s">
        <v>893</v>
      </c>
      <c r="E1244" s="482" t="s">
        <v>894</v>
      </c>
    </row>
    <row r="1245" customFormat="1" s="36">
      <c r="A1245" s="485" t="s">
        <v>3019</v>
      </c>
      <c r="B1245" s="485" t="s">
        <v>3020</v>
      </c>
      <c r="C1245" s="482">
        <v>0.0</v>
      </c>
      <c r="D1245" s="482" t="s">
        <v>893</v>
      </c>
      <c r="E1245" s="482" t="s">
        <v>894</v>
      </c>
    </row>
    <row r="1246" customFormat="1" s="36">
      <c r="A1246" s="485" t="s">
        <v>3021</v>
      </c>
      <c r="B1246" s="485" t="s">
        <v>3022</v>
      </c>
      <c r="C1246" s="482">
        <v>0.0</v>
      </c>
      <c r="D1246" s="482" t="s">
        <v>893</v>
      </c>
      <c r="E1246" s="482" t="s">
        <v>894</v>
      </c>
    </row>
    <row r="1247" customFormat="1" s="36">
      <c r="A1247" s="485" t="s">
        <v>3023</v>
      </c>
      <c r="B1247" s="485" t="s">
        <v>3024</v>
      </c>
      <c r="C1247" s="482">
        <v>0.0</v>
      </c>
      <c r="D1247" s="482" t="s">
        <v>893</v>
      </c>
      <c r="E1247" s="482" t="s">
        <v>894</v>
      </c>
    </row>
    <row r="1248" customFormat="1" s="36">
      <c r="A1248" s="485" t="s">
        <v>3025</v>
      </c>
      <c r="B1248" s="485" t="s">
        <v>3026</v>
      </c>
      <c r="C1248" s="482">
        <v>0.0</v>
      </c>
      <c r="D1248" s="482" t="s">
        <v>893</v>
      </c>
      <c r="E1248" s="482" t="s">
        <v>894</v>
      </c>
    </row>
    <row r="1249" customFormat="1" s="36">
      <c r="A1249" s="485" t="s">
        <v>3027</v>
      </c>
      <c r="B1249" s="485" t="s">
        <v>3028</v>
      </c>
      <c r="C1249" s="482">
        <v>0.0</v>
      </c>
      <c r="D1249" s="482" t="s">
        <v>893</v>
      </c>
      <c r="E1249" s="482" t="s">
        <v>894</v>
      </c>
    </row>
    <row r="1250" customFormat="1" s="36">
      <c r="A1250" s="485" t="s">
        <v>3029</v>
      </c>
      <c r="B1250" s="485" t="s">
        <v>3030</v>
      </c>
      <c r="C1250" s="482">
        <v>0.0</v>
      </c>
      <c r="D1250" s="482" t="s">
        <v>893</v>
      </c>
      <c r="E1250" s="482" t="s">
        <v>894</v>
      </c>
    </row>
    <row r="1251" customFormat="1" s="36">
      <c r="A1251" s="485" t="s">
        <v>3031</v>
      </c>
      <c r="B1251" s="485" t="s">
        <v>3032</v>
      </c>
      <c r="C1251" s="482">
        <v>0.0</v>
      </c>
      <c r="D1251" s="482" t="s">
        <v>893</v>
      </c>
      <c r="E1251" s="482" t="s">
        <v>894</v>
      </c>
    </row>
    <row r="1252" customFormat="1" s="36">
      <c r="A1252" s="485" t="s">
        <v>3033</v>
      </c>
      <c r="B1252" s="485" t="s">
        <v>3034</v>
      </c>
      <c r="C1252" s="482">
        <v>189.0</v>
      </c>
      <c r="D1252" s="482" t="s">
        <v>913</v>
      </c>
      <c r="E1252" s="482" t="s">
        <v>1140</v>
      </c>
    </row>
    <row r="1253" customFormat="1" s="36">
      <c r="A1253" s="485" t="s">
        <v>3035</v>
      </c>
      <c r="B1253" s="485" t="s">
        <v>3036</v>
      </c>
      <c r="C1253" s="482">
        <v>474.0</v>
      </c>
      <c r="D1253" s="482" t="s">
        <v>913</v>
      </c>
      <c r="E1253" s="482" t="s">
        <v>1140</v>
      </c>
    </row>
    <row r="1254" customFormat="1" s="36">
      <c r="A1254" s="485" t="s">
        <v>3037</v>
      </c>
      <c r="B1254" s="485" t="s">
        <v>3038</v>
      </c>
      <c r="C1254" s="482">
        <v>24.0</v>
      </c>
      <c r="D1254" s="482" t="s">
        <v>913</v>
      </c>
      <c r="E1254" s="482" t="s">
        <v>1140</v>
      </c>
    </row>
    <row r="1255" customFormat="1" s="36">
      <c r="A1255" s="485" t="s">
        <v>3039</v>
      </c>
      <c r="B1255" s="485" t="s">
        <v>3040</v>
      </c>
      <c r="C1255" s="482">
        <v>0.0</v>
      </c>
      <c r="D1255" s="482" t="s">
        <v>893</v>
      </c>
      <c r="E1255" s="482" t="s">
        <v>894</v>
      </c>
    </row>
    <row r="1256" customFormat="1" s="36">
      <c r="A1256" s="485" t="s">
        <v>3041</v>
      </c>
      <c r="B1256" s="485" t="s">
        <v>3042</v>
      </c>
      <c r="C1256" s="482">
        <v>0.0</v>
      </c>
      <c r="D1256" s="482" t="s">
        <v>893</v>
      </c>
      <c r="E1256" s="482" t="s">
        <v>894</v>
      </c>
    </row>
    <row r="1257" customFormat="1" s="36">
      <c r="A1257" s="485" t="s">
        <v>3043</v>
      </c>
      <c r="B1257" s="485" t="s">
        <v>3044</v>
      </c>
      <c r="C1257" s="482">
        <v>0.0</v>
      </c>
      <c r="D1257" s="482" t="s">
        <v>893</v>
      </c>
      <c r="E1257" s="482" t="s">
        <v>894</v>
      </c>
    </row>
    <row r="1258" customFormat="1" s="36">
      <c r="A1258" s="485" t="s">
        <v>3045</v>
      </c>
      <c r="B1258" s="485" t="s">
        <v>3046</v>
      </c>
      <c r="C1258" s="482">
        <v>0.0</v>
      </c>
      <c r="D1258" s="482" t="s">
        <v>893</v>
      </c>
      <c r="E1258" s="482" t="s">
        <v>894</v>
      </c>
    </row>
    <row r="1259" customFormat="1" s="36">
      <c r="A1259" s="485" t="s">
        <v>3047</v>
      </c>
      <c r="B1259" s="485" t="s">
        <v>3048</v>
      </c>
      <c r="C1259" s="482">
        <v>0.0</v>
      </c>
      <c r="D1259" s="482" t="s">
        <v>893</v>
      </c>
      <c r="E1259" s="482" t="s">
        <v>894</v>
      </c>
    </row>
    <row r="1260" customFormat="1" s="36">
      <c r="A1260" s="485" t="s">
        <v>3049</v>
      </c>
      <c r="B1260" s="485" t="s">
        <v>3050</v>
      </c>
      <c r="C1260" s="482">
        <v>0.0</v>
      </c>
      <c r="D1260" s="482" t="s">
        <v>893</v>
      </c>
      <c r="E1260" s="482" t="s">
        <v>894</v>
      </c>
    </row>
    <row r="1261" customFormat="1" s="36">
      <c r="A1261" s="485" t="s">
        <v>3051</v>
      </c>
      <c r="B1261" s="485" t="s">
        <v>3052</v>
      </c>
      <c r="C1261" s="482">
        <v>0.0</v>
      </c>
      <c r="D1261" s="482" t="s">
        <v>893</v>
      </c>
      <c r="E1261" s="482" t="s">
        <v>894</v>
      </c>
    </row>
    <row r="1262" customFormat="1" s="36">
      <c r="A1262" s="485" t="s">
        <v>3053</v>
      </c>
      <c r="B1262" s="485" t="s">
        <v>3054</v>
      </c>
      <c r="C1262" s="482">
        <v>0.0</v>
      </c>
      <c r="D1262" s="482" t="s">
        <v>893</v>
      </c>
      <c r="E1262" s="482" t="s">
        <v>894</v>
      </c>
    </row>
    <row r="1263" customFormat="1" s="36">
      <c r="A1263" s="485" t="s">
        <v>769</v>
      </c>
      <c r="B1263" s="485" t="s">
        <v>768</v>
      </c>
      <c r="C1263" s="482">
        <v>-36.0</v>
      </c>
      <c r="D1263" s="482" t="s">
        <v>913</v>
      </c>
      <c r="E1263" s="482" t="s">
        <v>894</v>
      </c>
    </row>
    <row r="1264" customFormat="1" s="36">
      <c r="A1264" s="485" t="s">
        <v>767</v>
      </c>
      <c r="B1264" s="485" t="s">
        <v>766</v>
      </c>
      <c r="C1264" s="482">
        <v>30.0</v>
      </c>
      <c r="D1264" s="482" t="s">
        <v>913</v>
      </c>
      <c r="E1264" s="482" t="s">
        <v>894</v>
      </c>
    </row>
    <row r="1265" customFormat="1" s="36">
      <c r="A1265" s="485" t="s">
        <v>884</v>
      </c>
      <c r="B1265" s="485" t="s">
        <v>883</v>
      </c>
      <c r="C1265" s="482">
        <v>-24.0</v>
      </c>
      <c r="D1265" s="482" t="s">
        <v>913</v>
      </c>
      <c r="E1265" s="482" t="s">
        <v>894</v>
      </c>
    </row>
    <row r="1266" customFormat="1" s="36">
      <c r="A1266" s="485" t="s">
        <v>622</v>
      </c>
      <c r="B1266" s="485" t="s">
        <v>621</v>
      </c>
      <c r="C1266" s="482">
        <v>48.0</v>
      </c>
      <c r="D1266" s="482" t="s">
        <v>913</v>
      </c>
      <c r="E1266" s="482" t="s">
        <v>894</v>
      </c>
    </row>
    <row r="1267" customFormat="1" s="36">
      <c r="A1267" s="485" t="s">
        <v>765</v>
      </c>
      <c r="B1267" s="485" t="s">
        <v>764</v>
      </c>
      <c r="C1267" s="482">
        <v>12.0</v>
      </c>
      <c r="D1267" s="482" t="s">
        <v>913</v>
      </c>
      <c r="E1267" s="482" t="s">
        <v>894</v>
      </c>
    </row>
    <row r="1268" customFormat="1" s="36">
      <c r="A1268" s="485" t="s">
        <v>624</v>
      </c>
      <c r="B1268" s="485" t="s">
        <v>623</v>
      </c>
      <c r="C1268" s="482">
        <v>72.0</v>
      </c>
      <c r="D1268" s="482" t="s">
        <v>913</v>
      </c>
      <c r="E1268" s="482" t="s">
        <v>894</v>
      </c>
    </row>
    <row r="1269" customFormat="1" s="36">
      <c r="A1269" s="485" t="s">
        <v>886</v>
      </c>
      <c r="B1269" s="485" t="s">
        <v>885</v>
      </c>
      <c r="C1269" s="482">
        <v>0.0</v>
      </c>
      <c r="D1269" s="482" t="s">
        <v>913</v>
      </c>
      <c r="E1269" s="482" t="s">
        <v>894</v>
      </c>
    </row>
    <row r="1270" customFormat="1" s="36">
      <c r="A1270" s="485" t="s">
        <v>3055</v>
      </c>
      <c r="B1270" s="485" t="s">
        <v>3056</v>
      </c>
      <c r="C1270" s="482">
        <v>0.0</v>
      </c>
      <c r="D1270" s="482" t="s">
        <v>893</v>
      </c>
      <c r="E1270" s="482" t="s">
        <v>894</v>
      </c>
    </row>
    <row r="1271" customFormat="1" s="36">
      <c r="A1271" s="485" t="s">
        <v>3057</v>
      </c>
      <c r="B1271" s="485" t="s">
        <v>3058</v>
      </c>
      <c r="C1271" s="482">
        <v>0.0</v>
      </c>
      <c r="D1271" s="482" t="s">
        <v>893</v>
      </c>
      <c r="E1271" s="482" t="s">
        <v>894</v>
      </c>
    </row>
    <row r="1272" customFormat="1" s="36">
      <c r="A1272" s="485" t="s">
        <v>3059</v>
      </c>
      <c r="B1272" s="485" t="s">
        <v>3060</v>
      </c>
      <c r="C1272" s="482">
        <v>0.0</v>
      </c>
      <c r="D1272" s="482" t="s">
        <v>893</v>
      </c>
      <c r="E1272" s="482" t="s">
        <v>894</v>
      </c>
    </row>
    <row r="1273" customFormat="1" s="36">
      <c r="A1273" s="485" t="s">
        <v>763</v>
      </c>
      <c r="B1273" s="485" t="s">
        <v>762</v>
      </c>
      <c r="C1273" s="482">
        <v>37.0</v>
      </c>
      <c r="D1273" s="482" t="s">
        <v>913</v>
      </c>
      <c r="E1273" s="482" t="s">
        <v>894</v>
      </c>
    </row>
    <row r="1274" customFormat="1" s="36">
      <c r="A1274" s="485" t="s">
        <v>3061</v>
      </c>
      <c r="B1274" s="485" t="s">
        <v>3062</v>
      </c>
      <c r="C1274" s="482">
        <v>0.0</v>
      </c>
      <c r="D1274" s="482" t="s">
        <v>893</v>
      </c>
      <c r="E1274" s="482" t="s">
        <v>894</v>
      </c>
    </row>
    <row r="1275" customFormat="1" s="36">
      <c r="A1275" s="485" t="s">
        <v>349</v>
      </c>
      <c r="B1275" s="485" t="s">
        <v>348</v>
      </c>
      <c r="C1275" s="482">
        <v>0.0</v>
      </c>
      <c r="D1275" s="482" t="s">
        <v>893</v>
      </c>
      <c r="E1275" s="482" t="s">
        <v>894</v>
      </c>
    </row>
    <row r="1276" customFormat="1" s="36">
      <c r="A1276" s="485" t="s">
        <v>352</v>
      </c>
      <c r="B1276" s="485" t="s">
        <v>351</v>
      </c>
      <c r="C1276" s="482">
        <v>60.0</v>
      </c>
      <c r="D1276" s="482" t="s">
        <v>913</v>
      </c>
      <c r="E1276" s="482" t="s">
        <v>894</v>
      </c>
    </row>
    <row r="1277" customFormat="1" s="36">
      <c r="A1277" s="485" t="s">
        <v>354</v>
      </c>
      <c r="B1277" s="485" t="s">
        <v>353</v>
      </c>
      <c r="C1277" s="482">
        <v>0.0</v>
      </c>
      <c r="D1277" s="482" t="s">
        <v>893</v>
      </c>
      <c r="E1277" s="482" t="s">
        <v>894</v>
      </c>
    </row>
    <row r="1278" customFormat="1" s="36">
      <c r="A1278" s="485" t="s">
        <v>3063</v>
      </c>
      <c r="B1278" s="485" t="s">
        <v>3064</v>
      </c>
      <c r="C1278" s="482">
        <v>0.0</v>
      </c>
      <c r="D1278" s="482" t="s">
        <v>893</v>
      </c>
      <c r="E1278" s="482" t="s">
        <v>894</v>
      </c>
    </row>
    <row r="1279" customFormat="1" s="36">
      <c r="A1279" s="485" t="s">
        <v>3065</v>
      </c>
      <c r="B1279" s="485" t="s">
        <v>3066</v>
      </c>
      <c r="C1279" s="482">
        <v>0.0</v>
      </c>
      <c r="D1279" s="482" t="s">
        <v>913</v>
      </c>
      <c r="E1279" s="482" t="s">
        <v>894</v>
      </c>
    </row>
    <row r="1280" customFormat="1" s="36">
      <c r="A1280" s="485" t="s">
        <v>3067</v>
      </c>
      <c r="B1280" s="485" t="s">
        <v>3068</v>
      </c>
      <c r="C1280" s="482">
        <v>0.0</v>
      </c>
      <c r="D1280" s="482" t="s">
        <v>893</v>
      </c>
      <c r="E1280" s="482" t="s">
        <v>894</v>
      </c>
    </row>
    <row r="1281" customFormat="1" s="36">
      <c r="A1281" s="485" t="s">
        <v>3069</v>
      </c>
      <c r="B1281" s="485" t="s">
        <v>3070</v>
      </c>
      <c r="C1281" s="482">
        <v>0.0</v>
      </c>
      <c r="D1281" s="482" t="s">
        <v>913</v>
      </c>
      <c r="E1281" s="482" t="s">
        <v>894</v>
      </c>
    </row>
    <row r="1282" customFormat="1" s="36">
      <c r="A1282" s="485" t="s">
        <v>3071</v>
      </c>
      <c r="B1282" s="485" t="s">
        <v>3072</v>
      </c>
      <c r="C1282" s="482">
        <v>0.0</v>
      </c>
      <c r="D1282" s="482" t="s">
        <v>913</v>
      </c>
      <c r="E1282" s="482" t="s">
        <v>894</v>
      </c>
    </row>
    <row r="1283" customFormat="1" s="36">
      <c r="A1283" s="485" t="s">
        <v>3073</v>
      </c>
      <c r="B1283" s="485" t="s">
        <v>3074</v>
      </c>
      <c r="C1283" s="482">
        <v>0.0</v>
      </c>
      <c r="D1283" s="482" t="s">
        <v>913</v>
      </c>
      <c r="E1283" s="482" t="s">
        <v>894</v>
      </c>
    </row>
    <row r="1284" customFormat="1" s="36">
      <c r="A1284" s="485" t="s">
        <v>3075</v>
      </c>
      <c r="B1284" s="485" t="s">
        <v>3076</v>
      </c>
      <c r="C1284" s="482">
        <v>0.0</v>
      </c>
      <c r="D1284" s="482" t="s">
        <v>893</v>
      </c>
      <c r="E1284" s="482" t="s">
        <v>894</v>
      </c>
    </row>
    <row r="1285" customFormat="1" s="36">
      <c r="A1285" s="485" t="s">
        <v>3077</v>
      </c>
      <c r="B1285" s="485" t="s">
        <v>3078</v>
      </c>
      <c r="C1285" s="482">
        <v>0.0</v>
      </c>
      <c r="D1285" s="482" t="s">
        <v>893</v>
      </c>
      <c r="E1285" s="482" t="s">
        <v>894</v>
      </c>
    </row>
    <row r="1286" customFormat="1" s="36">
      <c r="A1286" s="485" t="s">
        <v>3079</v>
      </c>
      <c r="B1286" s="485" t="s">
        <v>3080</v>
      </c>
      <c r="C1286" s="482">
        <v>0.0</v>
      </c>
      <c r="D1286" s="482" t="s">
        <v>913</v>
      </c>
      <c r="E1286" s="482" t="s">
        <v>894</v>
      </c>
    </row>
    <row r="1287" customFormat="1" s="36">
      <c r="A1287" s="485" t="s">
        <v>3081</v>
      </c>
      <c r="B1287" s="485" t="s">
        <v>3082</v>
      </c>
      <c r="C1287" s="482">
        <v>0.0</v>
      </c>
      <c r="D1287" s="482" t="s">
        <v>913</v>
      </c>
      <c r="E1287" s="482" t="s">
        <v>894</v>
      </c>
    </row>
    <row r="1288" customFormat="1" s="36">
      <c r="A1288" s="485" t="s">
        <v>3083</v>
      </c>
      <c r="B1288" s="485" t="s">
        <v>3084</v>
      </c>
      <c r="C1288" s="482">
        <v>0.0</v>
      </c>
      <c r="D1288" s="482" t="s">
        <v>913</v>
      </c>
      <c r="E1288" s="482" t="s">
        <v>894</v>
      </c>
    </row>
    <row r="1289" customFormat="1" s="36">
      <c r="A1289" s="485" t="s">
        <v>3085</v>
      </c>
      <c r="B1289" s="485" t="s">
        <v>3086</v>
      </c>
      <c r="C1289" s="482">
        <v>0.0</v>
      </c>
      <c r="D1289" s="482" t="s">
        <v>893</v>
      </c>
      <c r="E1289" s="482" t="s">
        <v>894</v>
      </c>
    </row>
    <row r="1290" customFormat="1" s="36">
      <c r="A1290" s="485" t="s">
        <v>3087</v>
      </c>
      <c r="B1290" s="485" t="s">
        <v>3088</v>
      </c>
      <c r="C1290" s="482">
        <v>0.0</v>
      </c>
      <c r="D1290" s="482" t="s">
        <v>893</v>
      </c>
      <c r="E1290" s="482" t="s">
        <v>894</v>
      </c>
    </row>
    <row r="1291" customFormat="1" s="36">
      <c r="A1291" s="485" t="s">
        <v>3089</v>
      </c>
      <c r="B1291" s="485" t="s">
        <v>3090</v>
      </c>
      <c r="C1291" s="482">
        <v>0.0</v>
      </c>
      <c r="D1291" s="482" t="s">
        <v>893</v>
      </c>
      <c r="E1291" s="482" t="s">
        <v>894</v>
      </c>
    </row>
    <row r="1292" customFormat="1" s="36">
      <c r="A1292" s="485" t="s">
        <v>3091</v>
      </c>
      <c r="B1292" s="485" t="s">
        <v>3092</v>
      </c>
      <c r="C1292" s="482">
        <v>0.0</v>
      </c>
      <c r="D1292" s="482" t="s">
        <v>893</v>
      </c>
      <c r="E1292" s="482" t="s">
        <v>894</v>
      </c>
    </row>
    <row r="1293" customFormat="1" s="36">
      <c r="A1293" s="485" t="s">
        <v>3093</v>
      </c>
      <c r="B1293" s="485" t="s">
        <v>3094</v>
      </c>
      <c r="C1293" s="482">
        <v>0.0</v>
      </c>
      <c r="D1293" s="482" t="s">
        <v>913</v>
      </c>
      <c r="E1293" s="482" t="s">
        <v>894</v>
      </c>
    </row>
    <row r="1294" customFormat="1" s="36">
      <c r="A1294" s="485" t="s">
        <v>3095</v>
      </c>
      <c r="B1294" s="485" t="s">
        <v>3096</v>
      </c>
      <c r="C1294" s="482">
        <v>0.0</v>
      </c>
      <c r="D1294" s="482" t="s">
        <v>893</v>
      </c>
      <c r="E1294" s="482" t="s">
        <v>894</v>
      </c>
    </row>
    <row r="1295" customFormat="1" s="36">
      <c r="A1295" s="485" t="s">
        <v>3097</v>
      </c>
      <c r="B1295" s="485" t="s">
        <v>3098</v>
      </c>
      <c r="C1295" s="482">
        <v>0.0</v>
      </c>
      <c r="D1295" s="482" t="s">
        <v>913</v>
      </c>
      <c r="E1295" s="482" t="s">
        <v>894</v>
      </c>
    </row>
    <row r="1296" customFormat="1" s="36">
      <c r="A1296" s="485" t="s">
        <v>3099</v>
      </c>
      <c r="B1296" s="485" t="s">
        <v>3100</v>
      </c>
      <c r="C1296" s="482">
        <v>0.0</v>
      </c>
      <c r="D1296" s="482" t="s">
        <v>893</v>
      </c>
      <c r="E1296" s="482" t="s">
        <v>894</v>
      </c>
    </row>
    <row r="1297" customFormat="1" s="36">
      <c r="A1297" s="485" t="s">
        <v>3101</v>
      </c>
      <c r="B1297" s="485" t="s">
        <v>3102</v>
      </c>
      <c r="C1297" s="482">
        <v>0.0</v>
      </c>
      <c r="D1297" s="482" t="s">
        <v>893</v>
      </c>
      <c r="E1297" s="482" t="s">
        <v>894</v>
      </c>
    </row>
    <row r="1298" customFormat="1" s="36">
      <c r="A1298" s="485" t="s">
        <v>3103</v>
      </c>
      <c r="B1298" s="485" t="s">
        <v>3104</v>
      </c>
      <c r="C1298" s="482">
        <v>0.0</v>
      </c>
      <c r="D1298" s="482" t="s">
        <v>913</v>
      </c>
      <c r="E1298" s="482" t="s">
        <v>894</v>
      </c>
    </row>
    <row r="1299" customFormat="1" s="36">
      <c r="A1299" s="485" t="s">
        <v>3105</v>
      </c>
      <c r="B1299" s="485" t="s">
        <v>3106</v>
      </c>
      <c r="C1299" s="482">
        <v>0.0</v>
      </c>
      <c r="D1299" s="482" t="s">
        <v>893</v>
      </c>
      <c r="E1299" s="482" t="s">
        <v>894</v>
      </c>
    </row>
    <row r="1300" customFormat="1" s="36">
      <c r="A1300" s="485" t="s">
        <v>3107</v>
      </c>
      <c r="B1300" s="485" t="s">
        <v>3108</v>
      </c>
      <c r="C1300" s="482">
        <v>0.0</v>
      </c>
      <c r="D1300" s="482" t="s">
        <v>893</v>
      </c>
      <c r="E1300" s="482" t="s">
        <v>894</v>
      </c>
    </row>
    <row r="1301" customFormat="1" s="36">
      <c r="A1301" s="485" t="s">
        <v>3109</v>
      </c>
      <c r="B1301" s="485" t="s">
        <v>3110</v>
      </c>
      <c r="C1301" s="482">
        <v>0.0</v>
      </c>
      <c r="D1301" s="482" t="s">
        <v>893</v>
      </c>
      <c r="E1301" s="482" t="s">
        <v>894</v>
      </c>
    </row>
    <row r="1302" customFormat="1" s="36">
      <c r="A1302" s="485" t="s">
        <v>3111</v>
      </c>
      <c r="B1302" s="485" t="s">
        <v>3112</v>
      </c>
      <c r="C1302" s="482">
        <v>0.0</v>
      </c>
      <c r="D1302" s="482" t="s">
        <v>893</v>
      </c>
      <c r="E1302" s="482" t="s">
        <v>894</v>
      </c>
    </row>
    <row r="1303" customFormat="1" s="36">
      <c r="A1303" s="485" t="s">
        <v>3113</v>
      </c>
      <c r="B1303" s="485" t="s">
        <v>3114</v>
      </c>
      <c r="C1303" s="482">
        <v>0.0</v>
      </c>
      <c r="D1303" s="482" t="s">
        <v>893</v>
      </c>
      <c r="E1303" s="482" t="s">
        <v>894</v>
      </c>
    </row>
    <row r="1304" customFormat="1" s="36">
      <c r="A1304" s="485" t="s">
        <v>3115</v>
      </c>
      <c r="B1304" s="485" t="s">
        <v>3116</v>
      </c>
      <c r="C1304" s="482">
        <v>0.0</v>
      </c>
      <c r="D1304" s="482" t="s">
        <v>893</v>
      </c>
      <c r="E1304" s="482" t="s">
        <v>894</v>
      </c>
    </row>
    <row r="1305" customFormat="1" s="36">
      <c r="A1305" s="485" t="s">
        <v>3117</v>
      </c>
      <c r="B1305" s="485" t="s">
        <v>3118</v>
      </c>
      <c r="C1305" s="482">
        <v>0.0</v>
      </c>
      <c r="D1305" s="482" t="s">
        <v>893</v>
      </c>
      <c r="E1305" s="482" t="s">
        <v>894</v>
      </c>
    </row>
    <row r="1306" customFormat="1" s="36">
      <c r="A1306" s="485" t="s">
        <v>3119</v>
      </c>
      <c r="B1306" s="485" t="s">
        <v>3120</v>
      </c>
      <c r="C1306" s="482">
        <v>0.0</v>
      </c>
      <c r="D1306" s="482" t="s">
        <v>893</v>
      </c>
      <c r="E1306" s="482" t="s">
        <v>894</v>
      </c>
    </row>
    <row r="1307" customFormat="1" s="36">
      <c r="A1307" s="485" t="s">
        <v>3121</v>
      </c>
      <c r="B1307" s="485" t="s">
        <v>3122</v>
      </c>
      <c r="C1307" s="482">
        <v>0.0</v>
      </c>
      <c r="D1307" s="482" t="s">
        <v>893</v>
      </c>
      <c r="E1307" s="482" t="s">
        <v>894</v>
      </c>
    </row>
    <row r="1308" customFormat="1" s="36">
      <c r="A1308" s="485" t="s">
        <v>3123</v>
      </c>
      <c r="B1308" s="485" t="s">
        <v>3124</v>
      </c>
      <c r="C1308" s="482">
        <v>0.0</v>
      </c>
      <c r="D1308" s="482" t="s">
        <v>893</v>
      </c>
      <c r="E1308" s="482" t="s">
        <v>894</v>
      </c>
    </row>
    <row r="1309" customFormat="1" s="36">
      <c r="A1309" s="485" t="s">
        <v>3125</v>
      </c>
      <c r="B1309" s="485" t="s">
        <v>3126</v>
      </c>
      <c r="C1309" s="482">
        <v>0.0</v>
      </c>
      <c r="D1309" s="482" t="s">
        <v>913</v>
      </c>
      <c r="E1309" s="482" t="s">
        <v>894</v>
      </c>
    </row>
    <row r="1310" customFormat="1" s="36">
      <c r="A1310" s="485" t="s">
        <v>3127</v>
      </c>
      <c r="B1310" s="485" t="s">
        <v>3128</v>
      </c>
      <c r="C1310" s="482">
        <v>0.0</v>
      </c>
      <c r="D1310" s="482" t="s">
        <v>893</v>
      </c>
      <c r="E1310" s="482" t="s">
        <v>894</v>
      </c>
    </row>
    <row r="1311" customFormat="1" s="36">
      <c r="A1311" s="485" t="s">
        <v>3129</v>
      </c>
      <c r="B1311" s="485" t="s">
        <v>3130</v>
      </c>
      <c r="C1311" s="482">
        <v>0.0</v>
      </c>
      <c r="D1311" s="482" t="s">
        <v>893</v>
      </c>
      <c r="E1311" s="482" t="s">
        <v>894</v>
      </c>
    </row>
    <row r="1312" customFormat="1" s="36">
      <c r="A1312" s="485" t="s">
        <v>3131</v>
      </c>
      <c r="B1312" s="485" t="s">
        <v>3132</v>
      </c>
      <c r="C1312" s="482">
        <v>0.0</v>
      </c>
      <c r="D1312" s="482" t="s">
        <v>893</v>
      </c>
      <c r="E1312" s="482" t="s">
        <v>894</v>
      </c>
    </row>
    <row r="1313" customFormat="1" s="36">
      <c r="A1313" s="485" t="s">
        <v>3133</v>
      </c>
      <c r="B1313" s="485" t="s">
        <v>3134</v>
      </c>
      <c r="C1313" s="482">
        <v>0.0</v>
      </c>
      <c r="D1313" s="482" t="s">
        <v>913</v>
      </c>
      <c r="E1313" s="482" t="s">
        <v>894</v>
      </c>
    </row>
    <row r="1314" customFormat="1" s="36">
      <c r="A1314" s="485" t="s">
        <v>3135</v>
      </c>
      <c r="B1314" s="485" t="s">
        <v>3136</v>
      </c>
      <c r="C1314" s="482">
        <v>0.0</v>
      </c>
      <c r="D1314" s="482" t="s">
        <v>893</v>
      </c>
      <c r="E1314" s="482" t="s">
        <v>894</v>
      </c>
    </row>
    <row r="1315" customFormat="1" s="36">
      <c r="A1315" s="485">
        <v>78797.0</v>
      </c>
      <c r="B1315" s="485" t="s">
        <v>3137</v>
      </c>
      <c r="C1315" s="482">
        <v>0.0</v>
      </c>
      <c r="D1315" s="482" t="s">
        <v>893</v>
      </c>
      <c r="E1315" s="482" t="s">
        <v>894</v>
      </c>
    </row>
    <row r="1316" customFormat="1" s="36">
      <c r="A1316" s="485" t="s">
        <v>222</v>
      </c>
      <c r="B1316" s="485" t="s">
        <v>221</v>
      </c>
      <c r="C1316" s="482">
        <v>303.0</v>
      </c>
      <c r="D1316" s="482" t="s">
        <v>913</v>
      </c>
      <c r="E1316" s="482" t="s">
        <v>894</v>
      </c>
    </row>
    <row r="1317" customFormat="1" s="36">
      <c r="A1317" s="485" t="s">
        <v>3138</v>
      </c>
      <c r="B1317" s="485" t="s">
        <v>3139</v>
      </c>
      <c r="C1317" s="482">
        <v>0.0</v>
      </c>
      <c r="D1317" s="482" t="s">
        <v>913</v>
      </c>
      <c r="E1317" s="482" t="s">
        <v>894</v>
      </c>
    </row>
    <row r="1318" customFormat="1" s="36">
      <c r="A1318" s="485" t="s">
        <v>212</v>
      </c>
      <c r="B1318" s="485" t="s">
        <v>211</v>
      </c>
      <c r="C1318" s="482">
        <v>252.0</v>
      </c>
      <c r="D1318" s="482" t="s">
        <v>913</v>
      </c>
      <c r="E1318" s="482" t="s">
        <v>894</v>
      </c>
    </row>
    <row r="1319" customFormat="1" s="36">
      <c r="A1319" s="485" t="s">
        <v>224</v>
      </c>
      <c r="B1319" s="485" t="s">
        <v>223</v>
      </c>
      <c r="C1319" s="482">
        <v>634.0</v>
      </c>
      <c r="D1319" s="482" t="s">
        <v>913</v>
      </c>
      <c r="E1319" s="482" t="s">
        <v>894</v>
      </c>
    </row>
    <row r="1320" customFormat="1" s="36">
      <c r="A1320" s="485" t="s">
        <v>216</v>
      </c>
      <c r="B1320" s="485" t="s">
        <v>215</v>
      </c>
      <c r="C1320" s="482">
        <v>327.0</v>
      </c>
      <c r="D1320" s="482" t="s">
        <v>913</v>
      </c>
      <c r="E1320" s="482" t="s">
        <v>894</v>
      </c>
    </row>
    <row r="1321" customFormat="1" s="36">
      <c r="A1321" s="485" t="s">
        <v>214</v>
      </c>
      <c r="B1321" s="485" t="s">
        <v>213</v>
      </c>
      <c r="C1321" s="482">
        <v>183.0</v>
      </c>
      <c r="D1321" s="482" t="s">
        <v>913</v>
      </c>
      <c r="E1321" s="482" t="s">
        <v>894</v>
      </c>
    </row>
    <row r="1322" customFormat="1" s="36">
      <c r="A1322" s="485" t="s">
        <v>3140</v>
      </c>
      <c r="B1322" s="485" t="s">
        <v>3141</v>
      </c>
      <c r="C1322" s="482">
        <v>0.0</v>
      </c>
      <c r="D1322" s="482" t="s">
        <v>893</v>
      </c>
      <c r="E1322" s="482" t="s">
        <v>894</v>
      </c>
    </row>
    <row r="1323" customFormat="1" s="36">
      <c r="A1323" s="485" t="s">
        <v>3142</v>
      </c>
      <c r="B1323" s="485" t="s">
        <v>3143</v>
      </c>
      <c r="C1323" s="482">
        <v>0.0</v>
      </c>
      <c r="D1323" s="482" t="s">
        <v>913</v>
      </c>
      <c r="E1323" s="482" t="s">
        <v>894</v>
      </c>
    </row>
    <row r="1324" customFormat="1" s="36">
      <c r="A1324" s="485" t="s">
        <v>3144</v>
      </c>
      <c r="B1324" s="485" t="s">
        <v>3145</v>
      </c>
      <c r="C1324" s="482">
        <v>0.0</v>
      </c>
      <c r="D1324" s="482" t="s">
        <v>893</v>
      </c>
      <c r="E1324" s="482" t="s">
        <v>894</v>
      </c>
    </row>
    <row r="1325" customFormat="1" s="36">
      <c r="A1325" s="485" t="s">
        <v>3146</v>
      </c>
      <c r="B1325" s="485" t="s">
        <v>3147</v>
      </c>
      <c r="C1325" s="482">
        <v>0.0</v>
      </c>
      <c r="D1325" s="482" t="s">
        <v>893</v>
      </c>
      <c r="E1325" s="482" t="s">
        <v>894</v>
      </c>
    </row>
    <row r="1326" customFormat="1" s="36">
      <c r="A1326" s="485" t="s">
        <v>210</v>
      </c>
      <c r="B1326" s="485" t="s">
        <v>209</v>
      </c>
      <c r="C1326" s="482">
        <v>346.0</v>
      </c>
      <c r="D1326" s="482" t="s">
        <v>913</v>
      </c>
      <c r="E1326" s="482" t="s">
        <v>894</v>
      </c>
    </row>
    <row r="1327" customFormat="1" s="36">
      <c r="A1327" s="485" t="s">
        <v>218</v>
      </c>
      <c r="B1327" s="485" t="s">
        <v>217</v>
      </c>
      <c r="C1327" s="482">
        <v>495.0</v>
      </c>
      <c r="D1327" s="482" t="s">
        <v>913</v>
      </c>
      <c r="E1327" s="482" t="s">
        <v>894</v>
      </c>
    </row>
    <row r="1328" customFormat="1" s="36">
      <c r="A1328" s="485" t="s">
        <v>571</v>
      </c>
      <c r="B1328" s="485" t="s">
        <v>570</v>
      </c>
      <c r="C1328" s="482">
        <v>423.0</v>
      </c>
      <c r="D1328" s="482" t="s">
        <v>913</v>
      </c>
      <c r="E1328" s="482" t="s">
        <v>894</v>
      </c>
    </row>
    <row r="1329" customFormat="1" s="36">
      <c r="A1329" s="485" t="s">
        <v>220</v>
      </c>
      <c r="B1329" s="485" t="s">
        <v>219</v>
      </c>
      <c r="C1329" s="482">
        <v>520.0</v>
      </c>
      <c r="D1329" s="482" t="s">
        <v>913</v>
      </c>
      <c r="E1329" s="482" t="s">
        <v>894</v>
      </c>
    </row>
    <row r="1330" customFormat="1" s="36">
      <c r="A1330" s="485" t="s">
        <v>3148</v>
      </c>
      <c r="B1330" s="485" t="s">
        <v>3149</v>
      </c>
      <c r="C1330" s="482">
        <v>0.0</v>
      </c>
      <c r="D1330" s="482" t="s">
        <v>893</v>
      </c>
      <c r="E1330" s="482" t="s">
        <v>894</v>
      </c>
    </row>
    <row r="1331" customFormat="1" s="36">
      <c r="A1331" s="485" t="s">
        <v>3150</v>
      </c>
      <c r="B1331" s="485" t="s">
        <v>3151</v>
      </c>
      <c r="C1331" s="482">
        <v>158.0</v>
      </c>
      <c r="D1331" s="482" t="s">
        <v>913</v>
      </c>
      <c r="E1331" s="482" t="s">
        <v>894</v>
      </c>
    </row>
    <row r="1332" customFormat="1" s="36">
      <c r="A1332" s="485" t="s">
        <v>3152</v>
      </c>
      <c r="B1332" s="485" t="s">
        <v>3153</v>
      </c>
      <c r="C1332" s="482">
        <v>0.0</v>
      </c>
      <c r="D1332" s="482" t="s">
        <v>893</v>
      </c>
      <c r="E1332" s="482" t="s">
        <v>894</v>
      </c>
    </row>
    <row r="1333" customFormat="1" s="36">
      <c r="A1333" s="485" t="s">
        <v>3154</v>
      </c>
      <c r="B1333" s="485" t="s">
        <v>3155</v>
      </c>
      <c r="C1333" s="482">
        <v>0.0</v>
      </c>
      <c r="D1333" s="482" t="s">
        <v>893</v>
      </c>
      <c r="E1333" s="482" t="s">
        <v>894</v>
      </c>
    </row>
    <row r="1334" customFormat="1" s="36">
      <c r="A1334" s="485" t="s">
        <v>3156</v>
      </c>
      <c r="B1334" s="485" t="s">
        <v>3157</v>
      </c>
      <c r="C1334" s="482">
        <v>0.0</v>
      </c>
      <c r="D1334" s="482" t="s">
        <v>913</v>
      </c>
      <c r="E1334" s="482" t="s">
        <v>894</v>
      </c>
    </row>
    <row r="1335" customFormat="1" s="36">
      <c r="A1335" s="485" t="s">
        <v>3158</v>
      </c>
      <c r="B1335" s="485" t="s">
        <v>3159</v>
      </c>
      <c r="C1335" s="482">
        <v>0.0</v>
      </c>
      <c r="D1335" s="482" t="s">
        <v>893</v>
      </c>
      <c r="E1335" s="482" t="s">
        <v>894</v>
      </c>
    </row>
    <row r="1336" customFormat="1" s="36">
      <c r="A1336" s="485" t="s">
        <v>3160</v>
      </c>
      <c r="B1336" s="485" t="s">
        <v>3161</v>
      </c>
      <c r="C1336" s="482">
        <v>0.0</v>
      </c>
      <c r="D1336" s="482" t="s">
        <v>893</v>
      </c>
      <c r="E1336" s="482" t="s">
        <v>894</v>
      </c>
    </row>
    <row r="1337" customFormat="1" s="36">
      <c r="A1337" s="485" t="s">
        <v>3162</v>
      </c>
      <c r="B1337" s="485" t="s">
        <v>3163</v>
      </c>
      <c r="C1337" s="482">
        <v>0.0</v>
      </c>
      <c r="D1337" s="482" t="s">
        <v>893</v>
      </c>
      <c r="E1337" s="482" t="s">
        <v>894</v>
      </c>
    </row>
    <row r="1338" customFormat="1" s="36">
      <c r="A1338" s="485" t="s">
        <v>3164</v>
      </c>
      <c r="B1338" s="485" t="s">
        <v>3165</v>
      </c>
      <c r="C1338" s="482">
        <v>0.0</v>
      </c>
      <c r="D1338" s="482" t="s">
        <v>893</v>
      </c>
      <c r="E1338" s="482" t="s">
        <v>894</v>
      </c>
    </row>
    <row r="1339" customFormat="1" s="36">
      <c r="A1339" s="485" t="s">
        <v>3166</v>
      </c>
      <c r="B1339" s="485" t="s">
        <v>3167</v>
      </c>
      <c r="C1339" s="482">
        <v>491.0</v>
      </c>
      <c r="D1339" s="482" t="s">
        <v>913</v>
      </c>
      <c r="E1339" s="482" t="s">
        <v>894</v>
      </c>
    </row>
    <row r="1340" customFormat="1" s="36">
      <c r="A1340" s="485" t="s">
        <v>3168</v>
      </c>
      <c r="B1340" s="485" t="s">
        <v>3169</v>
      </c>
      <c r="C1340" s="482">
        <v>188.0</v>
      </c>
      <c r="D1340" s="482" t="s">
        <v>913</v>
      </c>
      <c r="E1340" s="482" t="s">
        <v>894</v>
      </c>
    </row>
    <row r="1341" customFormat="1" s="36">
      <c r="A1341" s="485" t="s">
        <v>3170</v>
      </c>
      <c r="B1341" s="485" t="s">
        <v>3171</v>
      </c>
      <c r="C1341" s="482">
        <v>593.0</v>
      </c>
      <c r="D1341" s="482" t="s">
        <v>913</v>
      </c>
      <c r="E1341" s="482" t="s">
        <v>894</v>
      </c>
    </row>
    <row r="1342" customFormat="1" s="36">
      <c r="A1342" s="485" t="s">
        <v>3172</v>
      </c>
      <c r="B1342" s="485" t="s">
        <v>3173</v>
      </c>
      <c r="C1342" s="482">
        <v>248.0</v>
      </c>
      <c r="D1342" s="482" t="s">
        <v>913</v>
      </c>
      <c r="E1342" s="482" t="s">
        <v>894</v>
      </c>
    </row>
    <row r="1343" customFormat="1" s="36">
      <c r="A1343" s="485" t="s">
        <v>3174</v>
      </c>
      <c r="B1343" s="485" t="s">
        <v>3175</v>
      </c>
      <c r="C1343" s="482">
        <v>0.0</v>
      </c>
      <c r="D1343" s="482" t="s">
        <v>913</v>
      </c>
      <c r="E1343" s="482" t="s">
        <v>894</v>
      </c>
    </row>
    <row r="1344" customFormat="1" s="36">
      <c r="A1344" s="485" t="s">
        <v>3176</v>
      </c>
      <c r="B1344" s="485" t="s">
        <v>3177</v>
      </c>
      <c r="C1344" s="482">
        <v>728.0</v>
      </c>
      <c r="D1344" s="482" t="s">
        <v>913</v>
      </c>
      <c r="E1344" s="482" t="s">
        <v>894</v>
      </c>
    </row>
    <row r="1345" customFormat="1" s="36">
      <c r="A1345" s="485" t="s">
        <v>3178</v>
      </c>
      <c r="B1345" s="485" t="s">
        <v>3179</v>
      </c>
      <c r="C1345" s="482">
        <v>0.0</v>
      </c>
      <c r="D1345" s="482" t="s">
        <v>893</v>
      </c>
      <c r="E1345" s="482" t="s">
        <v>894</v>
      </c>
    </row>
    <row r="1346" customFormat="1" s="36">
      <c r="A1346" s="485" t="s">
        <v>3180</v>
      </c>
      <c r="B1346" s="485" t="s">
        <v>3181</v>
      </c>
      <c r="C1346" s="482">
        <v>0.0</v>
      </c>
      <c r="D1346" s="482" t="s">
        <v>893</v>
      </c>
      <c r="E1346" s="482" t="s">
        <v>894</v>
      </c>
    </row>
    <row r="1347" customFormat="1" s="36">
      <c r="A1347" s="485" t="s">
        <v>3182</v>
      </c>
      <c r="B1347" s="485" t="s">
        <v>3183</v>
      </c>
      <c r="C1347" s="482">
        <v>1.0</v>
      </c>
      <c r="D1347" s="482" t="s">
        <v>913</v>
      </c>
      <c r="E1347" s="482" t="s">
        <v>894</v>
      </c>
    </row>
    <row r="1348" customFormat="1" s="36">
      <c r="A1348" s="485">
        <v>5211.0</v>
      </c>
      <c r="B1348" s="485" t="s">
        <v>3184</v>
      </c>
      <c r="C1348" s="482">
        <v>0.0</v>
      </c>
      <c r="D1348" s="482" t="s">
        <v>893</v>
      </c>
      <c r="E1348" s="482" t="s">
        <v>894</v>
      </c>
    </row>
    <row r="1349" customFormat="1" s="36">
      <c r="A1349" s="485" t="s">
        <v>3185</v>
      </c>
      <c r="B1349" s="485" t="s">
        <v>3186</v>
      </c>
      <c r="C1349" s="482">
        <v>0.0</v>
      </c>
      <c r="D1349" s="482" t="s">
        <v>893</v>
      </c>
      <c r="E1349" s="482" t="s">
        <v>894</v>
      </c>
    </row>
    <row r="1350" customFormat="1" s="36">
      <c r="A1350" s="485" t="s">
        <v>3187</v>
      </c>
      <c r="B1350" s="485" t="s">
        <v>3188</v>
      </c>
      <c r="C1350" s="482">
        <v>0.0</v>
      </c>
      <c r="D1350" s="482" t="s">
        <v>893</v>
      </c>
      <c r="E1350" s="482" t="s">
        <v>894</v>
      </c>
    </row>
    <row r="1351" customFormat="1" s="36">
      <c r="A1351" s="485" t="s">
        <v>3189</v>
      </c>
      <c r="B1351" s="485" t="s">
        <v>3190</v>
      </c>
      <c r="C1351" s="482">
        <v>0.0</v>
      </c>
      <c r="D1351" s="482" t="s">
        <v>893</v>
      </c>
      <c r="E1351" s="482" t="s">
        <v>894</v>
      </c>
    </row>
    <row r="1352" customFormat="1" s="36">
      <c r="A1352" s="485" t="s">
        <v>3191</v>
      </c>
      <c r="B1352" s="485" t="s">
        <v>3192</v>
      </c>
      <c r="C1352" s="482">
        <v>0.0</v>
      </c>
      <c r="D1352" s="482" t="s">
        <v>893</v>
      </c>
      <c r="E1352" s="482" t="s">
        <v>894</v>
      </c>
    </row>
    <row r="1353" customFormat="1" s="36">
      <c r="A1353" s="485" t="s">
        <v>3193</v>
      </c>
      <c r="B1353" s="485" t="s">
        <v>3194</v>
      </c>
      <c r="C1353" s="482">
        <v>7.0</v>
      </c>
      <c r="D1353" s="482" t="s">
        <v>913</v>
      </c>
      <c r="E1353" s="482" t="s">
        <v>894</v>
      </c>
    </row>
    <row r="1354" customFormat="1" s="36">
      <c r="A1354" s="485" t="s">
        <v>3195</v>
      </c>
      <c r="B1354" s="485" t="s">
        <v>3196</v>
      </c>
      <c r="C1354" s="482">
        <v>678.0</v>
      </c>
      <c r="D1354" s="482" t="s">
        <v>913</v>
      </c>
      <c r="E1354" s="482" t="s">
        <v>894</v>
      </c>
    </row>
    <row r="1355" customFormat="1" s="36">
      <c r="A1355" s="485" t="s">
        <v>3197</v>
      </c>
      <c r="B1355" s="485" t="s">
        <v>3198</v>
      </c>
      <c r="C1355" s="482">
        <v>649.0</v>
      </c>
      <c r="D1355" s="482" t="s">
        <v>913</v>
      </c>
      <c r="E1355" s="482" t="s">
        <v>894</v>
      </c>
    </row>
    <row r="1356" customFormat="1" s="36">
      <c r="A1356" s="485" t="s">
        <v>3199</v>
      </c>
      <c r="B1356" s="485" t="s">
        <v>3200</v>
      </c>
      <c r="C1356" s="482">
        <v>42.0</v>
      </c>
      <c r="D1356" s="482" t="s">
        <v>913</v>
      </c>
      <c r="E1356" s="482" t="s">
        <v>894</v>
      </c>
    </row>
    <row r="1357" customFormat="1" s="36">
      <c r="A1357" s="485" t="s">
        <v>3201</v>
      </c>
      <c r="B1357" s="485" t="s">
        <v>3202</v>
      </c>
      <c r="C1357" s="482">
        <v>198.0</v>
      </c>
      <c r="D1357" s="482" t="s">
        <v>913</v>
      </c>
      <c r="E1357" s="482" t="s">
        <v>894</v>
      </c>
    </row>
    <row r="1358" customFormat="1" s="36">
      <c r="A1358" s="485" t="s">
        <v>3203</v>
      </c>
      <c r="B1358" s="485" t="s">
        <v>3204</v>
      </c>
      <c r="C1358" s="482">
        <v>354.0</v>
      </c>
      <c r="D1358" s="482" t="s">
        <v>913</v>
      </c>
      <c r="E1358" s="482" t="s">
        <v>894</v>
      </c>
    </row>
    <row r="1359" customFormat="1" s="36">
      <c r="A1359" s="485" t="s">
        <v>3205</v>
      </c>
      <c r="B1359" s="485" t="s">
        <v>3206</v>
      </c>
      <c r="C1359" s="482">
        <v>46.0</v>
      </c>
      <c r="D1359" s="482" t="s">
        <v>913</v>
      </c>
      <c r="E1359" s="482" t="s">
        <v>894</v>
      </c>
    </row>
    <row r="1360" customFormat="1" s="36">
      <c r="A1360" s="485" t="s">
        <v>3207</v>
      </c>
      <c r="B1360" s="485" t="s">
        <v>3208</v>
      </c>
      <c r="C1360" s="482">
        <v>3.0</v>
      </c>
      <c r="D1360" s="482" t="s">
        <v>913</v>
      </c>
      <c r="E1360" s="482" t="s">
        <v>894</v>
      </c>
    </row>
    <row r="1361" customFormat="1" s="36">
      <c r="A1361" s="485" t="s">
        <v>3209</v>
      </c>
      <c r="B1361" s="485" t="s">
        <v>3210</v>
      </c>
      <c r="C1361" s="482">
        <v>0.0</v>
      </c>
      <c r="D1361" s="482" t="s">
        <v>893</v>
      </c>
      <c r="E1361" s="482" t="s">
        <v>894</v>
      </c>
    </row>
    <row r="1362" customFormat="1" s="36">
      <c r="A1362" s="485" t="s">
        <v>3211</v>
      </c>
      <c r="B1362" s="485" t="s">
        <v>3212</v>
      </c>
      <c r="C1362" s="482">
        <v>0.0</v>
      </c>
      <c r="D1362" s="482" t="s">
        <v>893</v>
      </c>
      <c r="E1362" s="482" t="s">
        <v>894</v>
      </c>
    </row>
    <row r="1363" customFormat="1" s="36">
      <c r="A1363" s="485" t="s">
        <v>3213</v>
      </c>
      <c r="B1363" s="485" t="s">
        <v>3214</v>
      </c>
      <c r="C1363" s="482">
        <v>0.0</v>
      </c>
      <c r="D1363" s="482" t="s">
        <v>893</v>
      </c>
      <c r="E1363" s="482" t="s">
        <v>894</v>
      </c>
    </row>
    <row r="1364" customFormat="1" s="36">
      <c r="A1364" s="485" t="s">
        <v>3215</v>
      </c>
      <c r="B1364" s="485" t="s">
        <v>3216</v>
      </c>
      <c r="C1364" s="482">
        <v>0.0</v>
      </c>
      <c r="D1364" s="482" t="s">
        <v>893</v>
      </c>
      <c r="E1364" s="482" t="s">
        <v>894</v>
      </c>
    </row>
    <row r="1365" customFormat="1" s="36">
      <c r="A1365" s="485" t="s">
        <v>3217</v>
      </c>
      <c r="B1365" s="485" t="s">
        <v>3218</v>
      </c>
      <c r="C1365" s="482">
        <v>0.0</v>
      </c>
      <c r="D1365" s="482" t="s">
        <v>893</v>
      </c>
      <c r="E1365" s="482" t="s">
        <v>894</v>
      </c>
    </row>
    <row r="1366" customFormat="1" s="36">
      <c r="A1366" s="485" t="s">
        <v>3219</v>
      </c>
      <c r="B1366" s="485" t="s">
        <v>3220</v>
      </c>
      <c r="C1366" s="482">
        <v>0.0</v>
      </c>
      <c r="D1366" s="482" t="s">
        <v>893</v>
      </c>
      <c r="E1366" s="482" t="s">
        <v>894</v>
      </c>
    </row>
    <row r="1367" customFormat="1" s="36">
      <c r="A1367" s="485" t="s">
        <v>3221</v>
      </c>
      <c r="B1367" s="485" t="s">
        <v>3222</v>
      </c>
      <c r="C1367" s="482">
        <v>0.0</v>
      </c>
      <c r="D1367" s="482" t="s">
        <v>893</v>
      </c>
      <c r="E1367" s="482" t="s">
        <v>894</v>
      </c>
    </row>
    <row r="1368" customFormat="1" s="36">
      <c r="A1368" s="485" t="s">
        <v>3223</v>
      </c>
      <c r="B1368" s="485" t="s">
        <v>3224</v>
      </c>
      <c r="C1368" s="482">
        <v>0.0</v>
      </c>
      <c r="D1368" s="482" t="s">
        <v>893</v>
      </c>
      <c r="E1368" s="482" t="s">
        <v>894</v>
      </c>
    </row>
    <row r="1369" customFormat="1" s="36">
      <c r="A1369" s="485" t="s">
        <v>3225</v>
      </c>
      <c r="B1369" s="485" t="s">
        <v>3226</v>
      </c>
      <c r="C1369" s="482">
        <v>1.0</v>
      </c>
      <c r="D1369" s="482" t="s">
        <v>913</v>
      </c>
      <c r="E1369" s="482" t="s">
        <v>894</v>
      </c>
    </row>
    <row r="1370" customFormat="1" s="36">
      <c r="A1370" s="485" t="s">
        <v>3227</v>
      </c>
      <c r="B1370" s="485" t="s">
        <v>3228</v>
      </c>
      <c r="C1370" s="482">
        <v>0.0</v>
      </c>
      <c r="D1370" s="482" t="s">
        <v>893</v>
      </c>
      <c r="E1370" s="482" t="s">
        <v>894</v>
      </c>
    </row>
    <row r="1371" customFormat="1" s="36">
      <c r="A1371" s="485" t="s">
        <v>3229</v>
      </c>
      <c r="B1371" s="485" t="s">
        <v>3230</v>
      </c>
      <c r="C1371" s="482">
        <v>0.0</v>
      </c>
      <c r="D1371" s="482" t="s">
        <v>893</v>
      </c>
      <c r="E1371" s="482" t="s">
        <v>894</v>
      </c>
    </row>
    <row r="1372" customFormat="1" s="36">
      <c r="A1372" s="485" t="s">
        <v>3231</v>
      </c>
      <c r="B1372" s="485" t="s">
        <v>3232</v>
      </c>
      <c r="C1372" s="482">
        <v>0.0</v>
      </c>
      <c r="D1372" s="482" t="s">
        <v>893</v>
      </c>
      <c r="E1372" s="482" t="s">
        <v>894</v>
      </c>
    </row>
    <row r="1373" customFormat="1" s="36">
      <c r="A1373" s="485" t="s">
        <v>3233</v>
      </c>
      <c r="B1373" s="485" t="s">
        <v>3234</v>
      </c>
      <c r="C1373" s="482">
        <v>0.0</v>
      </c>
      <c r="D1373" s="482" t="s">
        <v>893</v>
      </c>
      <c r="E1373" s="482" t="s">
        <v>894</v>
      </c>
    </row>
    <row r="1374" customFormat="1" s="36">
      <c r="A1374" s="485" t="s">
        <v>3235</v>
      </c>
      <c r="B1374" s="485" t="s">
        <v>3236</v>
      </c>
      <c r="C1374" s="482">
        <v>0.0</v>
      </c>
      <c r="D1374" s="482" t="s">
        <v>893</v>
      </c>
      <c r="E1374" s="482" t="s">
        <v>894</v>
      </c>
    </row>
    <row r="1375" customFormat="1" s="36">
      <c r="A1375" s="485" t="s">
        <v>475</v>
      </c>
      <c r="B1375" s="485" t="s">
        <v>474</v>
      </c>
      <c r="C1375" s="482">
        <v>713.0</v>
      </c>
      <c r="D1375" s="482" t="s">
        <v>913</v>
      </c>
      <c r="E1375" s="482" t="s">
        <v>894</v>
      </c>
    </row>
    <row r="1376" customFormat="1" s="36">
      <c r="A1376" s="485" t="s">
        <v>3237</v>
      </c>
      <c r="B1376" s="485" t="s">
        <v>3238</v>
      </c>
      <c r="C1376" s="482">
        <v>0.0</v>
      </c>
      <c r="D1376" s="482" t="s">
        <v>893</v>
      </c>
      <c r="E1376" s="482" t="s">
        <v>894</v>
      </c>
    </row>
    <row r="1377" customFormat="1" s="36">
      <c r="A1377" s="485" t="s">
        <v>457</v>
      </c>
      <c r="B1377" s="485" t="s">
        <v>456</v>
      </c>
      <c r="C1377" s="482">
        <v>275.0</v>
      </c>
      <c r="D1377" s="482" t="s">
        <v>913</v>
      </c>
      <c r="E1377" s="482" t="s">
        <v>1129</v>
      </c>
    </row>
    <row r="1378" customFormat="1" s="36">
      <c r="A1378" s="485" t="s">
        <v>461</v>
      </c>
      <c r="B1378" s="485" t="s">
        <v>460</v>
      </c>
      <c r="C1378" s="482">
        <v>316.0</v>
      </c>
      <c r="D1378" s="482" t="s">
        <v>913</v>
      </c>
      <c r="E1378" s="482" t="s">
        <v>1129</v>
      </c>
    </row>
    <row r="1379" customFormat="1" s="36">
      <c r="A1379" s="485" t="s">
        <v>3239</v>
      </c>
      <c r="B1379" s="485" t="s">
        <v>3240</v>
      </c>
      <c r="C1379" s="482">
        <v>0.0</v>
      </c>
      <c r="D1379" s="482" t="s">
        <v>893</v>
      </c>
      <c r="E1379" s="482" t="s">
        <v>894</v>
      </c>
    </row>
    <row r="1380" customFormat="1" s="36">
      <c r="A1380" s="485" t="s">
        <v>477</v>
      </c>
      <c r="B1380" s="485" t="s">
        <v>476</v>
      </c>
      <c r="C1380" s="482">
        <v>370.0</v>
      </c>
      <c r="D1380" s="482" t="s">
        <v>913</v>
      </c>
      <c r="E1380" s="482" t="s">
        <v>894</v>
      </c>
    </row>
    <row r="1381" customFormat="1" s="36">
      <c r="A1381" s="485" t="s">
        <v>3241</v>
      </c>
      <c r="B1381" s="485" t="s">
        <v>3242</v>
      </c>
      <c r="C1381" s="482">
        <v>0.0</v>
      </c>
      <c r="D1381" s="482" t="s">
        <v>893</v>
      </c>
      <c r="E1381" s="482" t="s">
        <v>894</v>
      </c>
    </row>
    <row r="1382" customFormat="1" s="36">
      <c r="A1382" s="485" t="s">
        <v>479</v>
      </c>
      <c r="B1382" s="485" t="s">
        <v>478</v>
      </c>
      <c r="C1382" s="482">
        <v>797.0</v>
      </c>
      <c r="D1382" s="482" t="s">
        <v>913</v>
      </c>
      <c r="E1382" s="482" t="s">
        <v>894</v>
      </c>
    </row>
    <row r="1383" customFormat="1" s="36">
      <c r="A1383" s="485" t="s">
        <v>3243</v>
      </c>
      <c r="B1383" s="485" t="s">
        <v>3244</v>
      </c>
      <c r="C1383" s="482">
        <v>0.0</v>
      </c>
      <c r="D1383" s="482" t="s">
        <v>893</v>
      </c>
      <c r="E1383" s="482" t="s">
        <v>894</v>
      </c>
    </row>
    <row r="1384" customFormat="1" s="36">
      <c r="A1384" s="485" t="s">
        <v>482</v>
      </c>
      <c r="B1384" s="485" t="s">
        <v>481</v>
      </c>
      <c r="C1384" s="482">
        <v>918.0</v>
      </c>
      <c r="D1384" s="482" t="s">
        <v>913</v>
      </c>
      <c r="E1384" s="482" t="s">
        <v>894</v>
      </c>
    </row>
    <row r="1385" customFormat="1" s="36">
      <c r="A1385" s="485" t="s">
        <v>3245</v>
      </c>
      <c r="B1385" s="485" t="s">
        <v>3246</v>
      </c>
      <c r="C1385" s="482">
        <v>0.0</v>
      </c>
      <c r="D1385" s="482" t="s">
        <v>893</v>
      </c>
      <c r="E1385" s="482" t="s">
        <v>894</v>
      </c>
    </row>
    <row r="1386" customFormat="1" s="36">
      <c r="A1386" s="485" t="s">
        <v>455</v>
      </c>
      <c r="B1386" s="485" t="s">
        <v>454</v>
      </c>
      <c r="C1386" s="482">
        <v>152.0</v>
      </c>
      <c r="D1386" s="482" t="s">
        <v>913</v>
      </c>
      <c r="E1386" s="482" t="s">
        <v>1129</v>
      </c>
    </row>
    <row r="1387" customFormat="1" s="36">
      <c r="A1387" s="485" t="s">
        <v>459</v>
      </c>
      <c r="B1387" s="485" t="s">
        <v>458</v>
      </c>
      <c r="C1387" s="482">
        <v>276.0</v>
      </c>
      <c r="D1387" s="482" t="s">
        <v>913</v>
      </c>
      <c r="E1387" s="482" t="s">
        <v>1129</v>
      </c>
    </row>
    <row r="1388" customFormat="1" s="36">
      <c r="A1388" s="485" t="s">
        <v>3247</v>
      </c>
      <c r="B1388" s="485" t="s">
        <v>3248</v>
      </c>
      <c r="C1388" s="482">
        <v>0.0</v>
      </c>
      <c r="D1388" s="482" t="s">
        <v>893</v>
      </c>
      <c r="E1388" s="482" t="s">
        <v>894</v>
      </c>
    </row>
    <row r="1389" customFormat="1" s="36">
      <c r="A1389" s="485" t="s">
        <v>3249</v>
      </c>
      <c r="B1389" s="485" t="s">
        <v>3250</v>
      </c>
      <c r="C1389" s="482">
        <v>0.0</v>
      </c>
      <c r="D1389" s="482" t="s">
        <v>893</v>
      </c>
      <c r="E1389" s="482" t="s">
        <v>894</v>
      </c>
    </row>
    <row r="1390" customFormat="1" s="36">
      <c r="A1390" s="485" t="s">
        <v>3251</v>
      </c>
      <c r="B1390" s="485" t="s">
        <v>3252</v>
      </c>
      <c r="C1390" s="482">
        <v>0.0</v>
      </c>
      <c r="D1390" s="482" t="s">
        <v>893</v>
      </c>
      <c r="E1390" s="482" t="s">
        <v>1129</v>
      </c>
    </row>
    <row r="1391" customFormat="1" s="36">
      <c r="A1391" s="485" t="s">
        <v>3253</v>
      </c>
      <c r="B1391" s="485" t="s">
        <v>3254</v>
      </c>
      <c r="C1391" s="482">
        <v>0.0</v>
      </c>
      <c r="D1391" s="482" t="s">
        <v>893</v>
      </c>
      <c r="E1391" s="482" t="s">
        <v>894</v>
      </c>
    </row>
    <row r="1392" customFormat="1" s="36">
      <c r="A1392" s="485" t="s">
        <v>3255</v>
      </c>
      <c r="B1392" s="485" t="s">
        <v>3256</v>
      </c>
      <c r="C1392" s="482">
        <v>0.0</v>
      </c>
      <c r="D1392" s="482" t="s">
        <v>893</v>
      </c>
      <c r="E1392" s="482" t="s">
        <v>894</v>
      </c>
    </row>
    <row r="1393" customFormat="1" s="36">
      <c r="A1393" s="485" t="s">
        <v>3257</v>
      </c>
      <c r="B1393" s="485" t="s">
        <v>3258</v>
      </c>
      <c r="C1393" s="482">
        <v>0.0</v>
      </c>
      <c r="D1393" s="482" t="s">
        <v>893</v>
      </c>
      <c r="E1393" s="482" t="s">
        <v>894</v>
      </c>
    </row>
    <row r="1394" customFormat="1" s="36">
      <c r="A1394" s="485" t="s">
        <v>3259</v>
      </c>
      <c r="B1394" s="485" t="s">
        <v>3260</v>
      </c>
      <c r="C1394" s="482">
        <v>0.0</v>
      </c>
      <c r="D1394" s="482" t="s">
        <v>893</v>
      </c>
      <c r="E1394" s="482" t="s">
        <v>894</v>
      </c>
    </row>
    <row r="1395" customFormat="1" s="36">
      <c r="A1395" s="485" t="s">
        <v>3261</v>
      </c>
      <c r="B1395" s="485" t="s">
        <v>3262</v>
      </c>
      <c r="C1395" s="482">
        <v>856.0</v>
      </c>
      <c r="D1395" s="482" t="s">
        <v>913</v>
      </c>
      <c r="E1395" s="482" t="s">
        <v>894</v>
      </c>
    </row>
    <row r="1396" customFormat="1" s="36">
      <c r="A1396" s="485">
        <v>1001.0</v>
      </c>
      <c r="B1396" s="485" t="s">
        <v>3263</v>
      </c>
      <c r="C1396" s="482">
        <v>0.0</v>
      </c>
      <c r="D1396" s="482" t="s">
        <v>913</v>
      </c>
      <c r="E1396" s="482" t="s">
        <v>894</v>
      </c>
    </row>
    <row r="1397" customFormat="1" s="36">
      <c r="A1397" s="485" t="s">
        <v>3264</v>
      </c>
      <c r="B1397" s="485" t="s">
        <v>3265</v>
      </c>
      <c r="C1397" s="482">
        <v>0.0</v>
      </c>
      <c r="D1397" s="482" t="s">
        <v>893</v>
      </c>
      <c r="E1397" s="482" t="s">
        <v>894</v>
      </c>
    </row>
    <row r="1398" customFormat="1" s="36">
      <c r="A1398" s="485" t="s">
        <v>3266</v>
      </c>
      <c r="B1398" s="485" t="s">
        <v>3267</v>
      </c>
      <c r="C1398" s="482">
        <v>0.0</v>
      </c>
      <c r="D1398" s="482" t="s">
        <v>893</v>
      </c>
      <c r="E1398" s="482" t="s">
        <v>894</v>
      </c>
    </row>
    <row r="1399" customFormat="1" s="36">
      <c r="A1399" s="485">
        <v>37406.0</v>
      </c>
      <c r="B1399" s="485" t="s">
        <v>3268</v>
      </c>
      <c r="C1399" s="482">
        <v>0.0</v>
      </c>
      <c r="D1399" s="482" t="s">
        <v>893</v>
      </c>
      <c r="E1399" s="482" t="s">
        <v>894</v>
      </c>
    </row>
    <row r="1400" customFormat="1" s="36">
      <c r="A1400" s="485">
        <v>37404.0</v>
      </c>
      <c r="B1400" s="485" t="s">
        <v>3269</v>
      </c>
      <c r="C1400" s="482">
        <v>0.0</v>
      </c>
      <c r="D1400" s="482" t="s">
        <v>893</v>
      </c>
      <c r="E1400" s="482" t="s">
        <v>894</v>
      </c>
    </row>
    <row r="1401" customFormat="1" s="36">
      <c r="A1401" s="485">
        <v>37403.0</v>
      </c>
      <c r="B1401" s="485" t="s">
        <v>3270</v>
      </c>
      <c r="C1401" s="482">
        <v>0.0</v>
      </c>
      <c r="D1401" s="482" t="s">
        <v>893</v>
      </c>
      <c r="E1401" s="482" t="s">
        <v>894</v>
      </c>
    </row>
    <row r="1402" customFormat="1" s="36">
      <c r="A1402" s="485">
        <v>37401.0</v>
      </c>
      <c r="B1402" s="485" t="s">
        <v>3271</v>
      </c>
      <c r="C1402" s="482">
        <v>0.0</v>
      </c>
      <c r="D1402" s="482" t="s">
        <v>893</v>
      </c>
      <c r="E1402" s="482" t="s">
        <v>894</v>
      </c>
    </row>
    <row r="1403" customFormat="1" s="36">
      <c r="A1403" s="485">
        <v>37402.0</v>
      </c>
      <c r="B1403" s="485" t="s">
        <v>3272</v>
      </c>
      <c r="C1403" s="482">
        <v>0.0</v>
      </c>
      <c r="D1403" s="482" t="s">
        <v>893</v>
      </c>
      <c r="E1403" s="482" t="s">
        <v>894</v>
      </c>
    </row>
    <row r="1404" customFormat="1" s="36">
      <c r="A1404" s="485">
        <v>37405.0</v>
      </c>
      <c r="B1404" s="485" t="s">
        <v>3273</v>
      </c>
      <c r="C1404" s="482">
        <v>0.0</v>
      </c>
      <c r="D1404" s="482" t="s">
        <v>893</v>
      </c>
      <c r="E1404" s="482" t="s">
        <v>894</v>
      </c>
    </row>
    <row r="1405" customFormat="1" s="36">
      <c r="A1405" s="485" t="s">
        <v>3274</v>
      </c>
      <c r="B1405" s="485" t="s">
        <v>3275</v>
      </c>
      <c r="C1405" s="482">
        <v>0.0</v>
      </c>
      <c r="D1405" s="482" t="s">
        <v>893</v>
      </c>
      <c r="E1405" s="482" t="s">
        <v>894</v>
      </c>
    </row>
    <row r="1406" customFormat="1" s="36">
      <c r="A1406" s="485" t="s">
        <v>3276</v>
      </c>
      <c r="B1406" s="485" t="s">
        <v>3277</v>
      </c>
      <c r="C1406" s="482">
        <v>0.0</v>
      </c>
      <c r="D1406" s="482" t="s">
        <v>893</v>
      </c>
      <c r="E1406" s="482" t="s">
        <v>894</v>
      </c>
    </row>
    <row r="1407" customFormat="1" s="36">
      <c r="A1407" s="485" t="s">
        <v>3278</v>
      </c>
      <c r="B1407" s="485" t="s">
        <v>3279</v>
      </c>
      <c r="C1407" s="482">
        <v>1.0</v>
      </c>
      <c r="D1407" s="482" t="s">
        <v>913</v>
      </c>
      <c r="E1407" s="482" t="s">
        <v>1140</v>
      </c>
    </row>
    <row r="1408" customFormat="1" s="36">
      <c r="A1408" s="485" t="s">
        <v>3280</v>
      </c>
      <c r="B1408" s="485" t="s">
        <v>3281</v>
      </c>
      <c r="C1408" s="482">
        <v>0.0</v>
      </c>
      <c r="D1408" s="482" t="s">
        <v>893</v>
      </c>
      <c r="E1408" s="482" t="s">
        <v>894</v>
      </c>
    </row>
    <row r="1409" customFormat="1" s="36">
      <c r="A1409" s="485" t="s">
        <v>3282</v>
      </c>
      <c r="B1409" s="485" t="s">
        <v>3283</v>
      </c>
      <c r="C1409" s="482">
        <v>30.0</v>
      </c>
      <c r="D1409" s="482" t="s">
        <v>913</v>
      </c>
      <c r="E1409" s="482" t="s">
        <v>894</v>
      </c>
    </row>
    <row r="1410" customFormat="1" s="36">
      <c r="A1410" s="485" t="s">
        <v>3284</v>
      </c>
      <c r="B1410" s="485" t="s">
        <v>3285</v>
      </c>
      <c r="C1410" s="482">
        <v>20.0</v>
      </c>
      <c r="D1410" s="482" t="s">
        <v>913</v>
      </c>
      <c r="E1410" s="482" t="s">
        <v>894</v>
      </c>
    </row>
    <row r="1411" customFormat="1" s="36">
      <c r="A1411" s="485" t="s">
        <v>3286</v>
      </c>
      <c r="B1411" s="485" t="s">
        <v>3287</v>
      </c>
      <c r="C1411" s="482">
        <v>5.0</v>
      </c>
      <c r="D1411" s="482" t="s">
        <v>913</v>
      </c>
      <c r="E1411" s="482" t="s">
        <v>894</v>
      </c>
    </row>
    <row r="1412" customFormat="1" s="36">
      <c r="A1412" s="485" t="s">
        <v>3288</v>
      </c>
      <c r="B1412" s="485" t="s">
        <v>3289</v>
      </c>
      <c r="C1412" s="482">
        <v>5.0</v>
      </c>
      <c r="D1412" s="482" t="s">
        <v>913</v>
      </c>
      <c r="E1412" s="482" t="s">
        <v>894</v>
      </c>
    </row>
    <row r="1413" customFormat="1" s="36">
      <c r="A1413" s="485" t="s">
        <v>3290</v>
      </c>
      <c r="B1413" s="485" t="s">
        <v>3291</v>
      </c>
      <c r="C1413" s="482">
        <v>5.0</v>
      </c>
      <c r="D1413" s="482" t="s">
        <v>913</v>
      </c>
      <c r="E1413" s="482" t="s">
        <v>894</v>
      </c>
    </row>
    <row r="1414" customFormat="1" s="36">
      <c r="A1414" s="485" t="s">
        <v>3292</v>
      </c>
      <c r="B1414" s="485" t="s">
        <v>3293</v>
      </c>
      <c r="C1414" s="482">
        <v>20.0</v>
      </c>
      <c r="D1414" s="482" t="s">
        <v>913</v>
      </c>
      <c r="E1414" s="482" t="s">
        <v>894</v>
      </c>
    </row>
    <row r="1415" customFormat="1" s="36">
      <c r="A1415" s="485" t="s">
        <v>3294</v>
      </c>
      <c r="B1415" s="485" t="s">
        <v>3295</v>
      </c>
      <c r="C1415" s="482">
        <v>5.0</v>
      </c>
      <c r="D1415" s="482" t="s">
        <v>913</v>
      </c>
      <c r="E1415" s="482" t="s">
        <v>894</v>
      </c>
    </row>
    <row r="1416" customFormat="1" s="36">
      <c r="A1416" s="485" t="s">
        <v>3296</v>
      </c>
      <c r="B1416" s="485" t="s">
        <v>3297</v>
      </c>
      <c r="C1416" s="482">
        <v>0.0</v>
      </c>
      <c r="D1416" s="482" t="s">
        <v>893</v>
      </c>
      <c r="E1416" s="482" t="s">
        <v>894</v>
      </c>
    </row>
    <row r="1417" customFormat="1" s="36">
      <c r="A1417" s="485" t="s">
        <v>3298</v>
      </c>
      <c r="B1417" s="485" t="s">
        <v>3299</v>
      </c>
      <c r="C1417" s="482">
        <v>0.0</v>
      </c>
      <c r="D1417" s="482" t="s">
        <v>893</v>
      </c>
      <c r="E1417" s="482" t="s">
        <v>894</v>
      </c>
    </row>
    <row r="1418" customFormat="1" s="36">
      <c r="A1418" s="485" t="s">
        <v>3300</v>
      </c>
      <c r="B1418" s="485" t="s">
        <v>3301</v>
      </c>
      <c r="C1418" s="482">
        <v>0.0</v>
      </c>
      <c r="D1418" s="482" t="s">
        <v>893</v>
      </c>
      <c r="E1418" s="482" t="s">
        <v>894</v>
      </c>
    </row>
    <row r="1419" customFormat="1" s="36">
      <c r="A1419" s="485" t="s">
        <v>3302</v>
      </c>
      <c r="B1419" s="485" t="s">
        <v>3303</v>
      </c>
      <c r="C1419" s="482">
        <v>0.0</v>
      </c>
      <c r="D1419" s="482" t="s">
        <v>893</v>
      </c>
      <c r="E1419" s="482" t="s">
        <v>894</v>
      </c>
    </row>
    <row r="1420" customFormat="1" s="36">
      <c r="A1420" s="485" t="s">
        <v>3304</v>
      </c>
      <c r="B1420" s="485" t="s">
        <v>3305</v>
      </c>
      <c r="C1420" s="482">
        <v>0.0</v>
      </c>
      <c r="D1420" s="482" t="s">
        <v>893</v>
      </c>
      <c r="E1420" s="482" t="s">
        <v>894</v>
      </c>
    </row>
    <row r="1421" customFormat="1" s="36">
      <c r="A1421" s="485" t="s">
        <v>3306</v>
      </c>
      <c r="B1421" s="485" t="s">
        <v>3307</v>
      </c>
      <c r="C1421" s="482">
        <v>0.0</v>
      </c>
      <c r="D1421" s="482" t="s">
        <v>893</v>
      </c>
      <c r="E1421" s="482" t="s">
        <v>894</v>
      </c>
    </row>
    <row r="1422" customFormat="1" s="36">
      <c r="A1422" s="485" t="s">
        <v>3308</v>
      </c>
      <c r="B1422" s="485" t="s">
        <v>3309</v>
      </c>
      <c r="C1422" s="482">
        <v>0.0</v>
      </c>
      <c r="D1422" s="482" t="s">
        <v>893</v>
      </c>
      <c r="E1422" s="482" t="s">
        <v>894</v>
      </c>
    </row>
    <row r="1423" customFormat="1" s="36">
      <c r="A1423" s="485" t="s">
        <v>3310</v>
      </c>
      <c r="B1423" s="485" t="s">
        <v>3311</v>
      </c>
      <c r="C1423" s="482">
        <v>0.0</v>
      </c>
      <c r="D1423" s="482" t="s">
        <v>893</v>
      </c>
      <c r="E1423" s="482" t="s">
        <v>894</v>
      </c>
    </row>
    <row r="1424" customFormat="1" s="36">
      <c r="A1424" s="485" t="s">
        <v>3312</v>
      </c>
      <c r="B1424" s="485" t="s">
        <v>3313</v>
      </c>
      <c r="C1424" s="482">
        <v>0.0</v>
      </c>
      <c r="D1424" s="482" t="s">
        <v>893</v>
      </c>
      <c r="E1424" s="482" t="s">
        <v>894</v>
      </c>
    </row>
    <row r="1425" customFormat="1" s="36">
      <c r="A1425" s="485" t="s">
        <v>3314</v>
      </c>
      <c r="B1425" s="485" t="s">
        <v>3315</v>
      </c>
      <c r="C1425" s="482">
        <v>0.0</v>
      </c>
      <c r="D1425" s="482" t="s">
        <v>893</v>
      </c>
      <c r="E1425" s="482" t="s">
        <v>894</v>
      </c>
    </row>
    <row r="1426" customFormat="1" s="36">
      <c r="A1426" s="485" t="s">
        <v>3316</v>
      </c>
      <c r="B1426" s="485" t="s">
        <v>3317</v>
      </c>
      <c r="C1426" s="482">
        <v>0.0</v>
      </c>
      <c r="D1426" s="482" t="s">
        <v>893</v>
      </c>
      <c r="E1426" s="482" t="s">
        <v>894</v>
      </c>
    </row>
    <row r="1427" customFormat="1" s="36">
      <c r="A1427" s="485" t="s">
        <v>3318</v>
      </c>
      <c r="B1427" s="485" t="s">
        <v>3319</v>
      </c>
      <c r="C1427" s="482">
        <v>0.0</v>
      </c>
      <c r="D1427" s="482" t="s">
        <v>893</v>
      </c>
      <c r="E1427" s="482" t="s">
        <v>894</v>
      </c>
    </row>
    <row r="1428" customFormat="1" s="36">
      <c r="A1428" s="485" t="s">
        <v>3320</v>
      </c>
      <c r="B1428" s="485" t="s">
        <v>3321</v>
      </c>
      <c r="C1428" s="482">
        <v>0.0</v>
      </c>
      <c r="D1428" s="482" t="s">
        <v>893</v>
      </c>
      <c r="E1428" s="482" t="s">
        <v>894</v>
      </c>
    </row>
    <row r="1429" customFormat="1" s="36">
      <c r="A1429" s="485" t="s">
        <v>3322</v>
      </c>
      <c r="B1429" s="485" t="s">
        <v>3323</v>
      </c>
      <c r="C1429" s="482">
        <v>0.0</v>
      </c>
      <c r="D1429" s="482" t="s">
        <v>893</v>
      </c>
      <c r="E1429" s="482" t="s">
        <v>894</v>
      </c>
    </row>
    <row r="1430" customFormat="1" s="36">
      <c r="A1430" s="485" t="s">
        <v>3324</v>
      </c>
      <c r="B1430" s="485" t="s">
        <v>3325</v>
      </c>
      <c r="C1430" s="482">
        <v>0.0</v>
      </c>
      <c r="D1430" s="482" t="s">
        <v>893</v>
      </c>
      <c r="E1430" s="482" t="s">
        <v>894</v>
      </c>
    </row>
    <row r="1431" customFormat="1" s="36">
      <c r="A1431" s="485" t="s">
        <v>3326</v>
      </c>
      <c r="B1431" s="485" t="s">
        <v>3327</v>
      </c>
      <c r="C1431" s="482">
        <v>0.0</v>
      </c>
      <c r="D1431" s="482" t="s">
        <v>893</v>
      </c>
      <c r="E1431" s="482" t="s">
        <v>894</v>
      </c>
    </row>
    <row r="1432" customFormat="1" s="36">
      <c r="A1432" s="485" t="s">
        <v>3328</v>
      </c>
      <c r="B1432" s="485" t="s">
        <v>3329</v>
      </c>
      <c r="C1432" s="482">
        <v>9.0</v>
      </c>
      <c r="D1432" s="482" t="s">
        <v>913</v>
      </c>
      <c r="E1432" s="482" t="s">
        <v>894</v>
      </c>
    </row>
    <row r="1433" customFormat="1" s="36">
      <c r="A1433" s="485" t="s">
        <v>3330</v>
      </c>
      <c r="B1433" s="485" t="s">
        <v>3331</v>
      </c>
      <c r="C1433" s="482">
        <v>23.0</v>
      </c>
      <c r="D1433" s="482" t="s">
        <v>913</v>
      </c>
      <c r="E1433" s="482" t="s">
        <v>894</v>
      </c>
    </row>
    <row r="1434" customFormat="1" s="36">
      <c r="A1434" s="485" t="s">
        <v>3332</v>
      </c>
      <c r="B1434" s="485" t="s">
        <v>3333</v>
      </c>
      <c r="C1434" s="482">
        <v>0.0</v>
      </c>
      <c r="D1434" s="482" t="s">
        <v>893</v>
      </c>
      <c r="E1434" s="482" t="s">
        <v>894</v>
      </c>
    </row>
    <row r="1435" customFormat="1" s="36">
      <c r="A1435" s="485" t="s">
        <v>3334</v>
      </c>
      <c r="B1435" s="485" t="s">
        <v>3335</v>
      </c>
      <c r="C1435" s="482">
        <v>4.0</v>
      </c>
      <c r="D1435" s="482" t="s">
        <v>913</v>
      </c>
      <c r="E1435" s="482" t="s">
        <v>894</v>
      </c>
    </row>
    <row r="1436" customFormat="1" s="36">
      <c r="A1436" s="485" t="s">
        <v>3336</v>
      </c>
      <c r="B1436" s="485" t="s">
        <v>3337</v>
      </c>
      <c r="C1436" s="482">
        <v>0.0</v>
      </c>
      <c r="D1436" s="482" t="s">
        <v>893</v>
      </c>
      <c r="E1436" s="482" t="s">
        <v>894</v>
      </c>
    </row>
    <row r="1437" customFormat="1" s="36">
      <c r="A1437" s="485" t="s">
        <v>3338</v>
      </c>
      <c r="B1437" s="485" t="s">
        <v>3339</v>
      </c>
      <c r="C1437" s="482">
        <v>2.0</v>
      </c>
      <c r="D1437" s="482" t="s">
        <v>913</v>
      </c>
      <c r="E1437" s="482" t="s">
        <v>894</v>
      </c>
    </row>
    <row r="1438" customFormat="1" s="36">
      <c r="A1438" s="485" t="s">
        <v>3340</v>
      </c>
      <c r="B1438" s="485" t="s">
        <v>3341</v>
      </c>
      <c r="C1438" s="482">
        <v>9.0</v>
      </c>
      <c r="D1438" s="482" t="s">
        <v>913</v>
      </c>
      <c r="E1438" s="482" t="s">
        <v>894</v>
      </c>
    </row>
    <row r="1439" customFormat="1" s="36">
      <c r="A1439" s="485" t="s">
        <v>3342</v>
      </c>
      <c r="B1439" s="485" t="s">
        <v>3343</v>
      </c>
      <c r="C1439" s="482">
        <v>2.0</v>
      </c>
      <c r="D1439" s="482" t="s">
        <v>913</v>
      </c>
      <c r="E1439" s="482" t="s">
        <v>894</v>
      </c>
    </row>
    <row r="1440" customFormat="1" s="36">
      <c r="A1440" s="485" t="s">
        <v>3344</v>
      </c>
      <c r="B1440" s="485" t="s">
        <v>3345</v>
      </c>
      <c r="C1440" s="482">
        <v>7.0</v>
      </c>
      <c r="D1440" s="482" t="s">
        <v>913</v>
      </c>
      <c r="E1440" s="482" t="s">
        <v>894</v>
      </c>
    </row>
    <row r="1441" customFormat="1" s="36">
      <c r="A1441" s="485" t="s">
        <v>3346</v>
      </c>
      <c r="B1441" s="485" t="s">
        <v>3347</v>
      </c>
      <c r="C1441" s="482">
        <v>1.0</v>
      </c>
      <c r="D1441" s="482" t="s">
        <v>913</v>
      </c>
      <c r="E1441" s="482" t="s">
        <v>894</v>
      </c>
    </row>
    <row r="1442" customFormat="1" s="36">
      <c r="A1442" s="485" t="s">
        <v>3348</v>
      </c>
      <c r="B1442" s="485" t="s">
        <v>3349</v>
      </c>
      <c r="C1442" s="482">
        <v>30.0</v>
      </c>
      <c r="D1442" s="482" t="s">
        <v>913</v>
      </c>
      <c r="E1442" s="482" t="s">
        <v>894</v>
      </c>
    </row>
    <row r="1443" customFormat="1" s="36">
      <c r="A1443" s="485" t="s">
        <v>3350</v>
      </c>
      <c r="B1443" s="485" t="s">
        <v>3351</v>
      </c>
      <c r="C1443" s="482">
        <v>19.0</v>
      </c>
      <c r="D1443" s="482" t="s">
        <v>913</v>
      </c>
      <c r="E1443" s="482" t="s">
        <v>894</v>
      </c>
    </row>
    <row r="1444" customFormat="1" s="36">
      <c r="A1444" s="485" t="s">
        <v>3352</v>
      </c>
      <c r="B1444" s="485" t="s">
        <v>3353</v>
      </c>
      <c r="C1444" s="482">
        <v>0.0</v>
      </c>
      <c r="D1444" s="482" t="s">
        <v>893</v>
      </c>
      <c r="E1444" s="482" t="s">
        <v>894</v>
      </c>
    </row>
    <row r="1445" customFormat="1" s="36">
      <c r="A1445" s="485" t="s">
        <v>3354</v>
      </c>
      <c r="B1445" s="485" t="s">
        <v>3355</v>
      </c>
      <c r="C1445" s="482">
        <v>5.0</v>
      </c>
      <c r="D1445" s="482" t="s">
        <v>913</v>
      </c>
      <c r="E1445" s="482" t="s">
        <v>894</v>
      </c>
    </row>
    <row r="1446" customFormat="1" s="36">
      <c r="A1446" s="485" t="s">
        <v>3356</v>
      </c>
      <c r="B1446" s="485" t="s">
        <v>3357</v>
      </c>
      <c r="C1446" s="482">
        <v>4.0</v>
      </c>
      <c r="D1446" s="482" t="s">
        <v>913</v>
      </c>
      <c r="E1446" s="482" t="s">
        <v>894</v>
      </c>
    </row>
    <row r="1447" customFormat="1" s="36">
      <c r="A1447" s="485" t="s">
        <v>3358</v>
      </c>
      <c r="B1447" s="485" t="s">
        <v>3359</v>
      </c>
      <c r="C1447" s="482">
        <v>4.0</v>
      </c>
      <c r="D1447" s="482" t="s">
        <v>913</v>
      </c>
      <c r="E1447" s="482" t="s">
        <v>894</v>
      </c>
    </row>
    <row r="1448" customFormat="1" s="36">
      <c r="A1448" s="485" t="s">
        <v>3360</v>
      </c>
      <c r="B1448" s="485" t="s">
        <v>3361</v>
      </c>
      <c r="C1448" s="482">
        <v>7.0</v>
      </c>
      <c r="D1448" s="482" t="s">
        <v>913</v>
      </c>
      <c r="E1448" s="482" t="s">
        <v>894</v>
      </c>
    </row>
    <row r="1449" customFormat="1" s="36">
      <c r="A1449" s="485" t="s">
        <v>3362</v>
      </c>
      <c r="B1449" s="485" t="s">
        <v>3363</v>
      </c>
      <c r="C1449" s="482">
        <v>4.0</v>
      </c>
      <c r="D1449" s="482" t="s">
        <v>913</v>
      </c>
      <c r="E1449" s="482" t="s">
        <v>894</v>
      </c>
    </row>
    <row r="1450" customFormat="1" s="36">
      <c r="A1450" s="485" t="s">
        <v>3364</v>
      </c>
      <c r="B1450" s="485" t="s">
        <v>3365</v>
      </c>
      <c r="C1450" s="482">
        <v>8.0</v>
      </c>
      <c r="D1450" s="482" t="s">
        <v>913</v>
      </c>
      <c r="E1450" s="482" t="s">
        <v>894</v>
      </c>
    </row>
    <row r="1451" customFormat="1" s="36">
      <c r="A1451" s="485" t="s">
        <v>3366</v>
      </c>
      <c r="B1451" s="485" t="s">
        <v>3367</v>
      </c>
      <c r="C1451" s="482">
        <v>7.0</v>
      </c>
      <c r="D1451" s="482" t="s">
        <v>913</v>
      </c>
      <c r="E1451" s="482" t="s">
        <v>894</v>
      </c>
    </row>
    <row r="1452" customFormat="1" s="36">
      <c r="A1452" s="485" t="s">
        <v>3368</v>
      </c>
      <c r="B1452" s="485" t="s">
        <v>3369</v>
      </c>
      <c r="C1452" s="482">
        <v>15.0</v>
      </c>
      <c r="D1452" s="482" t="s">
        <v>913</v>
      </c>
      <c r="E1452" s="482" t="s">
        <v>894</v>
      </c>
    </row>
    <row r="1453" customFormat="1" s="36">
      <c r="A1453" s="485" t="s">
        <v>3370</v>
      </c>
      <c r="B1453" s="485" t="s">
        <v>3371</v>
      </c>
      <c r="C1453" s="482">
        <v>20.0</v>
      </c>
      <c r="D1453" s="482" t="s">
        <v>913</v>
      </c>
      <c r="E1453" s="482" t="s">
        <v>894</v>
      </c>
    </row>
    <row r="1454" customFormat="1" s="36">
      <c r="A1454" s="485" t="s">
        <v>3372</v>
      </c>
      <c r="B1454" s="485" t="s">
        <v>3373</v>
      </c>
      <c r="C1454" s="482">
        <v>0.0</v>
      </c>
      <c r="D1454" s="482" t="s">
        <v>893</v>
      </c>
      <c r="E1454" s="482" t="s">
        <v>894</v>
      </c>
    </row>
    <row r="1455" customFormat="1" s="36">
      <c r="A1455" s="485" t="s">
        <v>3374</v>
      </c>
      <c r="B1455" s="485" t="s">
        <v>3375</v>
      </c>
      <c r="C1455" s="482">
        <v>1.0</v>
      </c>
      <c r="D1455" s="482" t="s">
        <v>913</v>
      </c>
      <c r="E1455" s="482" t="s">
        <v>894</v>
      </c>
    </row>
    <row r="1456" customFormat="1" s="36">
      <c r="A1456" s="485" t="s">
        <v>3376</v>
      </c>
      <c r="B1456" s="485" t="s">
        <v>3377</v>
      </c>
      <c r="C1456" s="482">
        <v>5.0</v>
      </c>
      <c r="D1456" s="482" t="s">
        <v>913</v>
      </c>
      <c r="E1456" s="482" t="s">
        <v>894</v>
      </c>
    </row>
    <row r="1457" customFormat="1" s="36">
      <c r="A1457" s="485" t="s">
        <v>3378</v>
      </c>
      <c r="B1457" s="485" t="s">
        <v>3379</v>
      </c>
      <c r="C1457" s="482">
        <v>3.0</v>
      </c>
      <c r="D1457" s="482" t="s">
        <v>913</v>
      </c>
      <c r="E1457" s="482" t="s">
        <v>894</v>
      </c>
    </row>
    <row r="1458" customFormat="1" s="36">
      <c r="A1458" s="485" t="s">
        <v>3380</v>
      </c>
      <c r="B1458" s="485" t="s">
        <v>3381</v>
      </c>
      <c r="C1458" s="482">
        <v>0.0</v>
      </c>
      <c r="D1458" s="482" t="s">
        <v>893</v>
      </c>
      <c r="E1458" s="482" t="s">
        <v>894</v>
      </c>
    </row>
    <row r="1459" customFormat="1" s="36">
      <c r="A1459" s="485" t="s">
        <v>3382</v>
      </c>
      <c r="B1459" s="485" t="s">
        <v>3383</v>
      </c>
      <c r="C1459" s="482">
        <v>9.0</v>
      </c>
      <c r="D1459" s="482" t="s">
        <v>913</v>
      </c>
      <c r="E1459" s="482" t="s">
        <v>894</v>
      </c>
    </row>
    <row r="1460" customFormat="1" s="36">
      <c r="A1460" s="485" t="s">
        <v>3384</v>
      </c>
      <c r="B1460" s="485" t="s">
        <v>3385</v>
      </c>
      <c r="C1460" s="482">
        <v>5.0</v>
      </c>
      <c r="D1460" s="482" t="s">
        <v>913</v>
      </c>
      <c r="E1460" s="482" t="s">
        <v>894</v>
      </c>
    </row>
    <row r="1461" customFormat="1" s="36">
      <c r="A1461" s="485" t="s">
        <v>3386</v>
      </c>
      <c r="B1461" s="485" t="s">
        <v>3387</v>
      </c>
      <c r="C1461" s="482">
        <v>6.0</v>
      </c>
      <c r="D1461" s="482" t="s">
        <v>913</v>
      </c>
      <c r="E1461" s="482" t="s">
        <v>894</v>
      </c>
    </row>
    <row r="1462" customFormat="1" s="36">
      <c r="A1462" s="485" t="s">
        <v>3388</v>
      </c>
      <c r="B1462" s="485" t="s">
        <v>3389</v>
      </c>
      <c r="C1462" s="482">
        <v>49.0</v>
      </c>
      <c r="D1462" s="482" t="s">
        <v>913</v>
      </c>
      <c r="E1462" s="482" t="s">
        <v>894</v>
      </c>
    </row>
    <row r="1463" customFormat="1" s="36">
      <c r="A1463" s="485" t="s">
        <v>3390</v>
      </c>
      <c r="B1463" s="485" t="s">
        <v>3391</v>
      </c>
      <c r="C1463" s="482">
        <v>13.0</v>
      </c>
      <c r="D1463" s="482" t="s">
        <v>913</v>
      </c>
      <c r="E1463" s="482" t="s">
        <v>894</v>
      </c>
    </row>
    <row r="1464" customFormat="1" s="36">
      <c r="A1464" s="485" t="s">
        <v>3392</v>
      </c>
      <c r="B1464" s="485" t="s">
        <v>3393</v>
      </c>
      <c r="C1464" s="482">
        <v>0.0</v>
      </c>
      <c r="D1464" s="482" t="s">
        <v>893</v>
      </c>
      <c r="E1464" s="482" t="s">
        <v>894</v>
      </c>
    </row>
    <row r="1465" customFormat="1" s="36">
      <c r="A1465" s="485" t="s">
        <v>3394</v>
      </c>
      <c r="B1465" s="485" t="s">
        <v>3395</v>
      </c>
      <c r="C1465" s="482">
        <v>0.0</v>
      </c>
      <c r="D1465" s="482" t="s">
        <v>913</v>
      </c>
      <c r="E1465" s="482" t="s">
        <v>894</v>
      </c>
    </row>
    <row r="1466" customFormat="1" s="36">
      <c r="A1466" s="485" t="s">
        <v>3396</v>
      </c>
      <c r="B1466" s="485" t="s">
        <v>3397</v>
      </c>
      <c r="C1466" s="482">
        <v>3.0</v>
      </c>
      <c r="D1466" s="482" t="s">
        <v>913</v>
      </c>
      <c r="E1466" s="482" t="s">
        <v>894</v>
      </c>
    </row>
    <row r="1467" customFormat="1" s="36">
      <c r="A1467" s="485" t="s">
        <v>3398</v>
      </c>
      <c r="B1467" s="485" t="s">
        <v>3399</v>
      </c>
      <c r="C1467" s="482">
        <v>7.0</v>
      </c>
      <c r="D1467" s="482" t="s">
        <v>913</v>
      </c>
      <c r="E1467" s="482" t="s">
        <v>894</v>
      </c>
    </row>
    <row r="1468" customFormat="1" s="36">
      <c r="A1468" s="485" t="s">
        <v>3400</v>
      </c>
      <c r="B1468" s="485" t="s">
        <v>3401</v>
      </c>
      <c r="C1468" s="482">
        <v>5.0</v>
      </c>
      <c r="D1468" s="482" t="s">
        <v>913</v>
      </c>
      <c r="E1468" s="482" t="s">
        <v>894</v>
      </c>
    </row>
    <row r="1469" customFormat="1" s="36">
      <c r="A1469" s="485" t="s">
        <v>3402</v>
      </c>
      <c r="B1469" s="485" t="s">
        <v>3403</v>
      </c>
      <c r="C1469" s="482">
        <v>11.0</v>
      </c>
      <c r="D1469" s="482" t="s">
        <v>913</v>
      </c>
      <c r="E1469" s="482" t="s">
        <v>894</v>
      </c>
    </row>
    <row r="1470" customFormat="1" s="36">
      <c r="A1470" s="485" t="s">
        <v>3404</v>
      </c>
      <c r="B1470" s="485" t="s">
        <v>3405</v>
      </c>
      <c r="C1470" s="482">
        <v>11.0</v>
      </c>
      <c r="D1470" s="482" t="s">
        <v>913</v>
      </c>
      <c r="E1470" s="482" t="s">
        <v>894</v>
      </c>
    </row>
    <row r="1471" customFormat="1" s="36">
      <c r="A1471" s="485" t="s">
        <v>3406</v>
      </c>
      <c r="B1471" s="485" t="s">
        <v>3407</v>
      </c>
      <c r="C1471" s="482">
        <v>10.0</v>
      </c>
      <c r="D1471" s="482" t="s">
        <v>913</v>
      </c>
      <c r="E1471" s="482" t="s">
        <v>894</v>
      </c>
    </row>
    <row r="1472" customFormat="1" s="36">
      <c r="A1472" s="485" t="s">
        <v>3408</v>
      </c>
      <c r="B1472" s="485" t="s">
        <v>3409</v>
      </c>
      <c r="C1472" s="482">
        <v>20.0</v>
      </c>
      <c r="D1472" s="482" t="s">
        <v>913</v>
      </c>
      <c r="E1472" s="482" t="s">
        <v>894</v>
      </c>
    </row>
    <row r="1473" customFormat="1" s="36">
      <c r="A1473" s="485" t="s">
        <v>3410</v>
      </c>
      <c r="B1473" s="485" t="s">
        <v>3411</v>
      </c>
      <c r="C1473" s="482">
        <v>12.0</v>
      </c>
      <c r="D1473" s="482" t="s">
        <v>913</v>
      </c>
      <c r="E1473" s="482" t="s">
        <v>894</v>
      </c>
    </row>
    <row r="1474" customFormat="1" s="36">
      <c r="A1474" s="485" t="s">
        <v>3412</v>
      </c>
      <c r="B1474" s="485" t="s">
        <v>3413</v>
      </c>
      <c r="C1474" s="482">
        <v>0.0</v>
      </c>
      <c r="D1474" s="482" t="s">
        <v>893</v>
      </c>
      <c r="E1474" s="482" t="s">
        <v>894</v>
      </c>
    </row>
    <row r="1475" customFormat="1" s="36">
      <c r="A1475" s="485" t="s">
        <v>3414</v>
      </c>
      <c r="B1475" s="485" t="s">
        <v>3415</v>
      </c>
      <c r="C1475" s="482">
        <v>7.0</v>
      </c>
      <c r="D1475" s="482" t="s">
        <v>913</v>
      </c>
      <c r="E1475" s="482" t="s">
        <v>894</v>
      </c>
    </row>
    <row r="1476" customFormat="1" s="36">
      <c r="A1476" s="485" t="s">
        <v>3416</v>
      </c>
      <c r="B1476" s="485" t="s">
        <v>3417</v>
      </c>
      <c r="C1476" s="482">
        <v>3.0</v>
      </c>
      <c r="D1476" s="482" t="s">
        <v>913</v>
      </c>
      <c r="E1476" s="482" t="s">
        <v>894</v>
      </c>
    </row>
    <row r="1477" customFormat="1" s="36">
      <c r="A1477" s="485" t="s">
        <v>3418</v>
      </c>
      <c r="B1477" s="485" t="s">
        <v>3419</v>
      </c>
      <c r="C1477" s="482">
        <v>5.0</v>
      </c>
      <c r="D1477" s="482" t="s">
        <v>913</v>
      </c>
      <c r="E1477" s="482" t="s">
        <v>894</v>
      </c>
    </row>
    <row r="1478" customFormat="1" s="36">
      <c r="A1478" s="485" t="s">
        <v>3420</v>
      </c>
      <c r="B1478" s="485" t="s">
        <v>3421</v>
      </c>
      <c r="C1478" s="482">
        <v>3.0</v>
      </c>
      <c r="D1478" s="482" t="s">
        <v>913</v>
      </c>
      <c r="E1478" s="482" t="s">
        <v>894</v>
      </c>
    </row>
    <row r="1479" customFormat="1" s="36">
      <c r="A1479" s="485" t="s">
        <v>3422</v>
      </c>
      <c r="B1479" s="485" t="s">
        <v>3423</v>
      </c>
      <c r="C1479" s="482">
        <v>3.0</v>
      </c>
      <c r="D1479" s="482" t="s">
        <v>913</v>
      </c>
      <c r="E1479" s="482" t="s">
        <v>894</v>
      </c>
    </row>
    <row r="1480" customFormat="1" s="36">
      <c r="A1480" s="485" t="s">
        <v>3424</v>
      </c>
      <c r="B1480" s="485" t="s">
        <v>3425</v>
      </c>
      <c r="C1480" s="482">
        <v>0.0</v>
      </c>
      <c r="D1480" s="482" t="s">
        <v>893</v>
      </c>
      <c r="E1480" s="482" t="s">
        <v>894</v>
      </c>
    </row>
    <row r="1481" customFormat="1" s="36">
      <c r="A1481" s="485" t="s">
        <v>3426</v>
      </c>
      <c r="B1481" s="485" t="s">
        <v>3427</v>
      </c>
      <c r="C1481" s="482">
        <v>5.0</v>
      </c>
      <c r="D1481" s="482" t="s">
        <v>913</v>
      </c>
      <c r="E1481" s="482" t="s">
        <v>894</v>
      </c>
    </row>
    <row r="1482" customFormat="1" s="36">
      <c r="A1482" s="485" t="s">
        <v>3428</v>
      </c>
      <c r="B1482" s="485" t="s">
        <v>3429</v>
      </c>
      <c r="C1482" s="482">
        <v>19.0</v>
      </c>
      <c r="D1482" s="482" t="s">
        <v>913</v>
      </c>
      <c r="E1482" s="482" t="s">
        <v>894</v>
      </c>
    </row>
    <row r="1483" customFormat="1" s="36">
      <c r="A1483" s="485" t="s">
        <v>3430</v>
      </c>
      <c r="B1483" s="485" t="s">
        <v>3431</v>
      </c>
      <c r="C1483" s="482">
        <v>23.0</v>
      </c>
      <c r="D1483" s="482" t="s">
        <v>913</v>
      </c>
      <c r="E1483" s="482" t="s">
        <v>894</v>
      </c>
    </row>
    <row r="1484" customFormat="1" s="36">
      <c r="A1484" s="485" t="s">
        <v>3432</v>
      </c>
      <c r="B1484" s="485" t="s">
        <v>3433</v>
      </c>
      <c r="C1484" s="482">
        <v>0.0</v>
      </c>
      <c r="D1484" s="482" t="s">
        <v>893</v>
      </c>
      <c r="E1484" s="482" t="s">
        <v>894</v>
      </c>
    </row>
    <row r="1485" customFormat="1" s="36">
      <c r="A1485" s="485" t="s">
        <v>3434</v>
      </c>
      <c r="B1485" s="485" t="s">
        <v>3435</v>
      </c>
      <c r="C1485" s="482">
        <v>0.0</v>
      </c>
      <c r="D1485" s="482" t="s">
        <v>893</v>
      </c>
      <c r="E1485" s="482" t="s">
        <v>894</v>
      </c>
    </row>
    <row r="1486" customFormat="1" s="36">
      <c r="A1486" s="485" t="s">
        <v>3436</v>
      </c>
      <c r="B1486" s="485" t="s">
        <v>3437</v>
      </c>
      <c r="C1486" s="482">
        <v>0.0</v>
      </c>
      <c r="D1486" s="482" t="s">
        <v>893</v>
      </c>
      <c r="E1486" s="482" t="s">
        <v>894</v>
      </c>
    </row>
    <row r="1487" customFormat="1" s="36">
      <c r="A1487" s="485" t="s">
        <v>3438</v>
      </c>
      <c r="B1487" s="485" t="s">
        <v>3439</v>
      </c>
      <c r="C1487" s="482">
        <v>0.0</v>
      </c>
      <c r="D1487" s="482" t="s">
        <v>893</v>
      </c>
      <c r="E1487" s="482" t="s">
        <v>894</v>
      </c>
    </row>
    <row r="1488" customFormat="1" s="36">
      <c r="A1488" s="485" t="s">
        <v>3440</v>
      </c>
      <c r="B1488" s="485" t="s">
        <v>3441</v>
      </c>
      <c r="C1488" s="482">
        <v>0.0</v>
      </c>
      <c r="D1488" s="482" t="s">
        <v>893</v>
      </c>
      <c r="E1488" s="482" t="s">
        <v>894</v>
      </c>
    </row>
    <row r="1489" customFormat="1" s="36">
      <c r="A1489" s="485" t="s">
        <v>3442</v>
      </c>
      <c r="B1489" s="485" t="s">
        <v>3443</v>
      </c>
      <c r="C1489" s="482">
        <v>0.0</v>
      </c>
      <c r="D1489" s="482" t="s">
        <v>893</v>
      </c>
      <c r="E1489" s="482" t="s">
        <v>894</v>
      </c>
    </row>
    <row r="1490" customFormat="1" s="36">
      <c r="A1490" s="485" t="s">
        <v>433</v>
      </c>
      <c r="B1490" s="485" t="s">
        <v>432</v>
      </c>
      <c r="C1490" s="482">
        <v>40.0</v>
      </c>
      <c r="D1490" s="482" t="s">
        <v>913</v>
      </c>
      <c r="E1490" s="482" t="s">
        <v>894</v>
      </c>
    </row>
    <row r="1491" customFormat="1" s="36">
      <c r="A1491" s="485" t="s">
        <v>3444</v>
      </c>
      <c r="B1491" s="485" t="s">
        <v>3445</v>
      </c>
      <c r="C1491" s="482">
        <v>0.0</v>
      </c>
      <c r="D1491" s="482" t="s">
        <v>893</v>
      </c>
      <c r="E1491" s="482" t="s">
        <v>894</v>
      </c>
    </row>
    <row r="1492" customFormat="1" s="36">
      <c r="A1492" s="485" t="s">
        <v>3446</v>
      </c>
      <c r="B1492" s="485" t="s">
        <v>3447</v>
      </c>
      <c r="C1492" s="482">
        <v>912.0</v>
      </c>
      <c r="D1492" s="482" t="s">
        <v>913</v>
      </c>
      <c r="E1492" s="482" t="s">
        <v>1140</v>
      </c>
    </row>
    <row r="1493" customFormat="1" s="36">
      <c r="A1493" s="485" t="s">
        <v>3448</v>
      </c>
      <c r="B1493" s="485" t="s">
        <v>3449</v>
      </c>
      <c r="C1493" s="482">
        <v>318.0</v>
      </c>
      <c r="D1493" s="482" t="s">
        <v>913</v>
      </c>
      <c r="E1493" s="482" t="s">
        <v>1140</v>
      </c>
    </row>
    <row r="1494" customFormat="1" s="36">
      <c r="A1494" s="485" t="s">
        <v>3450</v>
      </c>
      <c r="B1494" s="485" t="s">
        <v>3451</v>
      </c>
      <c r="C1494" s="482">
        <v>36.0</v>
      </c>
      <c r="D1494" s="482" t="s">
        <v>913</v>
      </c>
      <c r="E1494" s="482" t="s">
        <v>1140</v>
      </c>
    </row>
    <row r="1495" customFormat="1" s="36">
      <c r="A1495" s="485" t="s">
        <v>541</v>
      </c>
      <c r="B1495" s="485" t="s">
        <v>540</v>
      </c>
      <c r="C1495" s="482">
        <v>72.0</v>
      </c>
      <c r="D1495" s="482" t="s">
        <v>913</v>
      </c>
      <c r="E1495" s="482" t="s">
        <v>1140</v>
      </c>
    </row>
    <row r="1496" customFormat="1" s="36">
      <c r="A1496" s="485" t="s">
        <v>534</v>
      </c>
      <c r="B1496" s="485" t="s">
        <v>3452</v>
      </c>
      <c r="C1496" s="482">
        <v>61.0</v>
      </c>
      <c r="D1496" s="482" t="s">
        <v>913</v>
      </c>
      <c r="E1496" s="482" t="s">
        <v>894</v>
      </c>
    </row>
    <row r="1497" customFormat="1" s="36">
      <c r="A1497" s="485">
        <v>37601.0</v>
      </c>
      <c r="B1497" s="485" t="s">
        <v>3453</v>
      </c>
      <c r="C1497" s="482">
        <v>0.0</v>
      </c>
      <c r="D1497" s="482" t="s">
        <v>913</v>
      </c>
      <c r="E1497" s="482" t="s">
        <v>894</v>
      </c>
    </row>
    <row r="1498" customFormat="1" s="36">
      <c r="A1498" s="485">
        <v>37602.0</v>
      </c>
      <c r="B1498" s="485" t="s">
        <v>3454</v>
      </c>
      <c r="C1498" s="482">
        <v>3.0</v>
      </c>
      <c r="D1498" s="482" t="s">
        <v>913</v>
      </c>
      <c r="E1498" s="482" t="s">
        <v>894</v>
      </c>
    </row>
    <row r="1499" customFormat="1" s="36">
      <c r="A1499" s="485">
        <v>37603.0</v>
      </c>
      <c r="B1499" s="485" t="s">
        <v>537</v>
      </c>
      <c r="C1499" s="482">
        <v>425.0</v>
      </c>
      <c r="D1499" s="482" t="s">
        <v>913</v>
      </c>
      <c r="E1499" s="482" t="s">
        <v>894</v>
      </c>
    </row>
    <row r="1500" customFormat="1" s="36">
      <c r="A1500" s="485">
        <v>37604.0</v>
      </c>
      <c r="B1500" s="485" t="s">
        <v>538</v>
      </c>
      <c r="C1500" s="482">
        <v>485.0</v>
      </c>
      <c r="D1500" s="482" t="s">
        <v>913</v>
      </c>
      <c r="E1500" s="482" t="s">
        <v>894</v>
      </c>
    </row>
    <row r="1501" customFormat="1" s="36">
      <c r="A1501" s="485" t="s">
        <v>532</v>
      </c>
      <c r="B1501" s="485" t="s">
        <v>531</v>
      </c>
      <c r="C1501" s="482">
        <v>0.0</v>
      </c>
      <c r="D1501" s="482" t="s">
        <v>913</v>
      </c>
      <c r="E1501" s="482" t="s">
        <v>1140</v>
      </c>
    </row>
    <row r="1502" customFormat="1" s="36">
      <c r="A1502" s="485" t="s">
        <v>3455</v>
      </c>
      <c r="B1502" s="485" t="s">
        <v>3456</v>
      </c>
      <c r="C1502" s="482">
        <v>0.0</v>
      </c>
      <c r="D1502" s="482" t="s">
        <v>893</v>
      </c>
      <c r="E1502" s="482" t="s">
        <v>894</v>
      </c>
    </row>
    <row r="1503" customFormat="1" s="36">
      <c r="A1503" s="485" t="s">
        <v>3457</v>
      </c>
      <c r="B1503" s="485" t="s">
        <v>3458</v>
      </c>
      <c r="C1503" s="482">
        <v>0.0</v>
      </c>
      <c r="D1503" s="482" t="s">
        <v>893</v>
      </c>
      <c r="E1503" s="482" t="s">
        <v>894</v>
      </c>
    </row>
    <row r="1504" customFormat="1" s="36">
      <c r="A1504" s="485">
        <v>45202.0</v>
      </c>
      <c r="B1504" s="485" t="s">
        <v>3459</v>
      </c>
      <c r="C1504" s="482">
        <v>0.0</v>
      </c>
      <c r="D1504" s="482" t="s">
        <v>893</v>
      </c>
      <c r="E1504" s="482" t="s">
        <v>894</v>
      </c>
    </row>
    <row r="1505" customFormat="1" s="36">
      <c r="A1505" s="485">
        <v>45203.0</v>
      </c>
      <c r="B1505" s="485" t="s">
        <v>3460</v>
      </c>
      <c r="C1505" s="482">
        <v>0.0</v>
      </c>
      <c r="D1505" s="482" t="s">
        <v>893</v>
      </c>
      <c r="E1505" s="482" t="s">
        <v>894</v>
      </c>
    </row>
    <row r="1506" customFormat="1" s="36">
      <c r="A1506" s="485">
        <v>45201.0</v>
      </c>
      <c r="B1506" s="485" t="s">
        <v>3461</v>
      </c>
      <c r="C1506" s="482">
        <v>0.0</v>
      </c>
      <c r="D1506" s="482" t="s">
        <v>893</v>
      </c>
      <c r="E1506" s="482" t="s">
        <v>894</v>
      </c>
    </row>
    <row r="1507" customFormat="1" s="36">
      <c r="A1507" s="485">
        <v>90702.0</v>
      </c>
      <c r="B1507" s="485" t="s">
        <v>3462</v>
      </c>
      <c r="C1507" s="482">
        <v>0.0</v>
      </c>
      <c r="D1507" s="482" t="s">
        <v>893</v>
      </c>
      <c r="E1507" s="482" t="s">
        <v>894</v>
      </c>
    </row>
    <row r="1508" customFormat="1" s="36">
      <c r="A1508" s="485">
        <v>90701.0</v>
      </c>
      <c r="B1508" s="485" t="s">
        <v>3463</v>
      </c>
      <c r="C1508" s="482">
        <v>0.0</v>
      </c>
      <c r="D1508" s="482" t="s">
        <v>893</v>
      </c>
      <c r="E1508" s="482" t="s">
        <v>894</v>
      </c>
    </row>
    <row r="1509" customFormat="1" s="36">
      <c r="A1509" s="485">
        <v>31201.0</v>
      </c>
      <c r="B1509" s="485" t="s">
        <v>3464</v>
      </c>
      <c r="C1509" s="482">
        <v>0.0</v>
      </c>
      <c r="D1509" s="482" t="s">
        <v>893</v>
      </c>
      <c r="E1509" s="482" t="s">
        <v>894</v>
      </c>
    </row>
    <row r="1510" customFormat="1" s="36">
      <c r="A1510" s="485">
        <v>30201.0</v>
      </c>
      <c r="B1510" s="485" t="s">
        <v>3465</v>
      </c>
      <c r="C1510" s="482">
        <v>0.0</v>
      </c>
      <c r="D1510" s="482" t="s">
        <v>893</v>
      </c>
      <c r="E1510" s="482" t="s">
        <v>894</v>
      </c>
    </row>
    <row r="1511" customFormat="1" s="36">
      <c r="A1511" s="485">
        <v>30401.0</v>
      </c>
      <c r="B1511" s="485" t="s">
        <v>3466</v>
      </c>
      <c r="C1511" s="482">
        <v>0.0</v>
      </c>
      <c r="D1511" s="482" t="s">
        <v>893</v>
      </c>
      <c r="E1511" s="482" t="s">
        <v>894</v>
      </c>
    </row>
    <row r="1512" customFormat="1" s="36">
      <c r="A1512" s="485">
        <v>30301.0</v>
      </c>
      <c r="B1512" s="485" t="s">
        <v>3467</v>
      </c>
      <c r="C1512" s="482">
        <v>0.0</v>
      </c>
      <c r="D1512" s="482" t="s">
        <v>893</v>
      </c>
      <c r="E1512" s="482" t="s">
        <v>894</v>
      </c>
    </row>
    <row r="1513" customFormat="1" s="36">
      <c r="A1513" s="485">
        <v>30501.0</v>
      </c>
      <c r="B1513" s="485" t="s">
        <v>3468</v>
      </c>
      <c r="C1513" s="482">
        <v>0.0</v>
      </c>
      <c r="D1513" s="482" t="s">
        <v>893</v>
      </c>
      <c r="E1513" s="482" t="s">
        <v>894</v>
      </c>
    </row>
    <row r="1514" customFormat="1" s="36">
      <c r="A1514" s="485" t="s">
        <v>3469</v>
      </c>
      <c r="B1514" s="485" t="s">
        <v>3470</v>
      </c>
      <c r="C1514" s="482">
        <v>0.0</v>
      </c>
      <c r="D1514" s="482" t="s">
        <v>893</v>
      </c>
      <c r="E1514" s="482" t="s">
        <v>894</v>
      </c>
    </row>
    <row r="1515" customFormat="1" s="36">
      <c r="A1515" s="485">
        <v>90703.0</v>
      </c>
      <c r="B1515" s="485" t="s">
        <v>3471</v>
      </c>
      <c r="C1515" s="482">
        <v>0.0</v>
      </c>
      <c r="D1515" s="482" t="s">
        <v>893</v>
      </c>
      <c r="E1515" s="482" t="s">
        <v>894</v>
      </c>
    </row>
    <row r="1516" customFormat="1" s="36">
      <c r="A1516" s="485" t="s">
        <v>3472</v>
      </c>
      <c r="B1516" s="485" t="s">
        <v>3473</v>
      </c>
      <c r="C1516" s="482">
        <v>300.0</v>
      </c>
      <c r="D1516" s="482" t="s">
        <v>913</v>
      </c>
      <c r="E1516" s="482" t="s">
        <v>1140</v>
      </c>
    </row>
    <row r="1517" customFormat="1" s="36">
      <c r="A1517" s="485" t="s">
        <v>3474</v>
      </c>
      <c r="B1517" s="485" t="s">
        <v>3475</v>
      </c>
      <c r="C1517" s="482">
        <v>664.0</v>
      </c>
      <c r="D1517" s="482" t="s">
        <v>913</v>
      </c>
      <c r="E1517" s="482" t="s">
        <v>1140</v>
      </c>
    </row>
    <row r="1518" customFormat="1" s="36">
      <c r="A1518" s="485" t="s">
        <v>3476</v>
      </c>
      <c r="B1518" s="485" t="s">
        <v>3477</v>
      </c>
      <c r="C1518" s="482">
        <v>270.0</v>
      </c>
      <c r="D1518" s="482" t="s">
        <v>913</v>
      </c>
      <c r="E1518" s="482" t="s">
        <v>1140</v>
      </c>
    </row>
    <row r="1519" customFormat="1" s="36">
      <c r="A1519" s="485" t="s">
        <v>3478</v>
      </c>
      <c r="B1519" s="485" t="s">
        <v>3479</v>
      </c>
      <c r="C1519" s="482">
        <v>0.0</v>
      </c>
      <c r="D1519" s="482" t="s">
        <v>893</v>
      </c>
      <c r="E1519" s="482" t="s">
        <v>894</v>
      </c>
    </row>
    <row r="1520" customFormat="1" s="36">
      <c r="A1520" s="485" t="s">
        <v>452</v>
      </c>
      <c r="B1520" s="485" t="s">
        <v>451</v>
      </c>
      <c r="C1520" s="482">
        <v>185.0</v>
      </c>
      <c r="D1520" s="482" t="s">
        <v>913</v>
      </c>
      <c r="E1520" s="482" t="s">
        <v>1129</v>
      </c>
    </row>
    <row r="1521" customFormat="1" s="36">
      <c r="A1521" s="485" t="s">
        <v>3480</v>
      </c>
      <c r="B1521" s="485" t="s">
        <v>3481</v>
      </c>
      <c r="C1521" s="482">
        <v>0.0</v>
      </c>
      <c r="D1521" s="482" t="s">
        <v>893</v>
      </c>
      <c r="E1521" s="482" t="s">
        <v>894</v>
      </c>
    </row>
    <row r="1522" customFormat="1" s="36">
      <c r="A1522" s="485" t="s">
        <v>3482</v>
      </c>
      <c r="B1522" s="485" t="s">
        <v>3483</v>
      </c>
      <c r="C1522" s="482">
        <v>0.0</v>
      </c>
      <c r="D1522" s="482" t="s">
        <v>893</v>
      </c>
      <c r="E1522" s="482" t="s">
        <v>894</v>
      </c>
    </row>
    <row r="1523" customFormat="1" s="36">
      <c r="A1523" s="485" t="s">
        <v>3484</v>
      </c>
      <c r="B1523" s="485" t="s">
        <v>3485</v>
      </c>
      <c r="C1523" s="482">
        <v>0.0</v>
      </c>
      <c r="D1523" s="482" t="s">
        <v>893</v>
      </c>
      <c r="E1523" s="482" t="s">
        <v>894</v>
      </c>
    </row>
    <row r="1524" customFormat="1" s="36">
      <c r="A1524" s="485" t="s">
        <v>3486</v>
      </c>
      <c r="B1524" s="485" t="s">
        <v>3487</v>
      </c>
      <c r="C1524" s="482">
        <v>0.0</v>
      </c>
      <c r="D1524" s="482" t="s">
        <v>893</v>
      </c>
      <c r="E1524" s="482" t="s">
        <v>894</v>
      </c>
    </row>
    <row r="1525" customFormat="1" s="36">
      <c r="A1525" s="485" t="s">
        <v>3488</v>
      </c>
      <c r="B1525" s="485" t="s">
        <v>3489</v>
      </c>
      <c r="C1525" s="482">
        <v>0.0</v>
      </c>
      <c r="D1525" s="482" t="s">
        <v>893</v>
      </c>
      <c r="E1525" s="482" t="s">
        <v>894</v>
      </c>
    </row>
    <row r="1526" customFormat="1" s="36">
      <c r="A1526" s="485" t="s">
        <v>3490</v>
      </c>
      <c r="B1526" s="485" t="s">
        <v>3491</v>
      </c>
      <c r="C1526" s="482">
        <v>0.0</v>
      </c>
      <c r="D1526" s="482" t="s">
        <v>893</v>
      </c>
      <c r="E1526" s="482" t="s">
        <v>894</v>
      </c>
    </row>
    <row r="1527" customFormat="1" s="36">
      <c r="A1527" s="485" t="s">
        <v>3492</v>
      </c>
      <c r="B1527" s="485" t="s">
        <v>3493</v>
      </c>
      <c r="C1527" s="482">
        <v>0.0</v>
      </c>
      <c r="D1527" s="482" t="s">
        <v>893</v>
      </c>
      <c r="E1527" s="482" t="s">
        <v>894</v>
      </c>
    </row>
    <row r="1528" customFormat="1" s="36">
      <c r="A1528" s="485" t="s">
        <v>3494</v>
      </c>
      <c r="B1528" s="485" t="s">
        <v>3495</v>
      </c>
      <c r="C1528" s="482">
        <v>0.0</v>
      </c>
      <c r="D1528" s="482" t="s">
        <v>913</v>
      </c>
      <c r="E1528" s="482" t="s">
        <v>894</v>
      </c>
    </row>
    <row r="1529" customFormat="1" s="36">
      <c r="A1529" s="485" t="s">
        <v>257</v>
      </c>
      <c r="B1529" s="485" t="s">
        <v>256</v>
      </c>
      <c r="C1529" s="482">
        <v>310.0</v>
      </c>
      <c r="D1529" s="482" t="s">
        <v>913</v>
      </c>
      <c r="E1529" s="482" t="s">
        <v>894</v>
      </c>
    </row>
    <row r="1530" customFormat="1" s="36">
      <c r="A1530" s="485" t="s">
        <v>3496</v>
      </c>
      <c r="B1530" s="485" t="s">
        <v>3497</v>
      </c>
      <c r="C1530" s="482">
        <v>0.0</v>
      </c>
      <c r="D1530" s="482" t="s">
        <v>913</v>
      </c>
      <c r="E1530" s="482" t="s">
        <v>894</v>
      </c>
    </row>
    <row r="1531" customFormat="1" s="36">
      <c r="A1531" s="485" t="s">
        <v>261</v>
      </c>
      <c r="B1531" s="485" t="s">
        <v>260</v>
      </c>
      <c r="C1531" s="482">
        <v>242.0</v>
      </c>
      <c r="D1531" s="482" t="s">
        <v>913</v>
      </c>
      <c r="E1531" s="482" t="s">
        <v>894</v>
      </c>
    </row>
    <row r="1532" customFormat="1" s="36">
      <c r="A1532" s="485" t="s">
        <v>254</v>
      </c>
      <c r="B1532" s="485" t="s">
        <v>253</v>
      </c>
      <c r="C1532" s="482">
        <v>70.0</v>
      </c>
      <c r="D1532" s="482" t="s">
        <v>913</v>
      </c>
      <c r="E1532" s="482" t="s">
        <v>894</v>
      </c>
    </row>
    <row r="1533" customFormat="1" s="36">
      <c r="A1533" s="485" t="s">
        <v>259</v>
      </c>
      <c r="B1533" s="485" t="s">
        <v>258</v>
      </c>
      <c r="C1533" s="482">
        <v>227.0</v>
      </c>
      <c r="D1533" s="482" t="s">
        <v>913</v>
      </c>
      <c r="E1533" s="482" t="s">
        <v>894</v>
      </c>
    </row>
    <row r="1534" customFormat="1" s="36">
      <c r="A1534" s="485" t="s">
        <v>3498</v>
      </c>
      <c r="B1534" s="485" t="s">
        <v>3499</v>
      </c>
      <c r="C1534" s="482">
        <v>0.0</v>
      </c>
      <c r="D1534" s="482" t="s">
        <v>913</v>
      </c>
      <c r="E1534" s="482" t="s">
        <v>894</v>
      </c>
    </row>
    <row r="1535" customFormat="1" s="36">
      <c r="A1535" s="485" t="s">
        <v>3500</v>
      </c>
      <c r="B1535" s="485" t="s">
        <v>3501</v>
      </c>
      <c r="C1535" s="482">
        <v>3.0</v>
      </c>
      <c r="D1535" s="482" t="s">
        <v>913</v>
      </c>
      <c r="E1535" s="482" t="s">
        <v>1140</v>
      </c>
    </row>
    <row r="1536" customFormat="1" s="36">
      <c r="A1536" s="485" t="s">
        <v>3502</v>
      </c>
      <c r="B1536" s="485" t="s">
        <v>3503</v>
      </c>
      <c r="C1536" s="482">
        <v>5.0</v>
      </c>
      <c r="D1536" s="482" t="s">
        <v>913</v>
      </c>
      <c r="E1536" s="482" t="s">
        <v>1140</v>
      </c>
    </row>
    <row r="1537" customFormat="1" s="36">
      <c r="A1537" s="485" t="s">
        <v>3504</v>
      </c>
      <c r="B1537" s="485" t="s">
        <v>3505</v>
      </c>
      <c r="C1537" s="482">
        <v>0.0</v>
      </c>
      <c r="D1537" s="482" t="s">
        <v>893</v>
      </c>
      <c r="E1537" s="482" t="s">
        <v>894</v>
      </c>
    </row>
    <row r="1538" customFormat="1" s="36">
      <c r="A1538" s="485" t="s">
        <v>3506</v>
      </c>
      <c r="B1538" s="485" t="s">
        <v>3507</v>
      </c>
      <c r="C1538" s="482">
        <v>0.0</v>
      </c>
      <c r="D1538" s="482" t="s">
        <v>893</v>
      </c>
      <c r="E1538" s="482" t="s">
        <v>894</v>
      </c>
    </row>
    <row r="1539" customFormat="1" s="36">
      <c r="A1539" s="485" t="s">
        <v>3508</v>
      </c>
      <c r="B1539" s="485" t="s">
        <v>3509</v>
      </c>
      <c r="C1539" s="482">
        <v>0.0</v>
      </c>
      <c r="D1539" s="482" t="s">
        <v>913</v>
      </c>
      <c r="E1539" s="482" t="s">
        <v>894</v>
      </c>
    </row>
    <row r="1540" customFormat="1" s="36">
      <c r="A1540" s="485" t="s">
        <v>3510</v>
      </c>
      <c r="B1540" s="485" t="s">
        <v>3511</v>
      </c>
      <c r="C1540" s="482">
        <v>0.0</v>
      </c>
      <c r="D1540" s="482" t="s">
        <v>913</v>
      </c>
      <c r="E1540" s="482" t="s">
        <v>894</v>
      </c>
    </row>
    <row r="1541" customFormat="1" s="36">
      <c r="A1541" s="485" t="s">
        <v>3512</v>
      </c>
      <c r="B1541" s="485" t="s">
        <v>3513</v>
      </c>
      <c r="C1541" s="482">
        <v>0.0</v>
      </c>
      <c r="D1541" s="482" t="s">
        <v>893</v>
      </c>
      <c r="E1541" s="482" t="s">
        <v>894</v>
      </c>
    </row>
    <row r="1542" customFormat="1" s="36">
      <c r="A1542" s="485" t="s">
        <v>3514</v>
      </c>
      <c r="B1542" s="485" t="s">
        <v>3515</v>
      </c>
      <c r="C1542" s="482">
        <v>0.0</v>
      </c>
      <c r="D1542" s="482" t="s">
        <v>893</v>
      </c>
      <c r="E1542" s="482" t="s">
        <v>894</v>
      </c>
    </row>
    <row r="1543" customFormat="1" s="36">
      <c r="A1543" s="485" t="s">
        <v>114</v>
      </c>
      <c r="B1543" s="485" t="s">
        <v>113</v>
      </c>
      <c r="C1543" s="482">
        <v>71.0</v>
      </c>
      <c r="D1543" s="482" t="s">
        <v>913</v>
      </c>
      <c r="E1543" s="482" t="s">
        <v>894</v>
      </c>
    </row>
    <row r="1544" customFormat="1" s="36">
      <c r="A1544" s="485" t="s">
        <v>3516</v>
      </c>
      <c r="B1544" s="485" t="s">
        <v>3517</v>
      </c>
      <c r="C1544" s="482">
        <v>2.0</v>
      </c>
      <c r="D1544" s="482" t="s">
        <v>913</v>
      </c>
      <c r="E1544" s="482" t="s">
        <v>894</v>
      </c>
    </row>
    <row r="1545" customFormat="1" s="36">
      <c r="A1545" s="485">
        <v>34101.0</v>
      </c>
      <c r="B1545" s="485" t="s">
        <v>115</v>
      </c>
      <c r="C1545" s="482">
        <v>1804.0</v>
      </c>
      <c r="D1545" s="482" t="s">
        <v>913</v>
      </c>
      <c r="E1545" s="482" t="s">
        <v>894</v>
      </c>
    </row>
    <row r="1546" customFormat="1" s="36">
      <c r="A1546" s="485" t="s">
        <v>112</v>
      </c>
      <c r="B1546" s="485" t="s">
        <v>111</v>
      </c>
      <c r="C1546" s="482">
        <v>0.0</v>
      </c>
      <c r="D1546" s="482" t="s">
        <v>913</v>
      </c>
      <c r="E1546" s="482" t="s">
        <v>894</v>
      </c>
    </row>
    <row r="1547" customFormat="1" s="36">
      <c r="A1547" s="485" t="s">
        <v>3518</v>
      </c>
      <c r="B1547" s="485" t="s">
        <v>3519</v>
      </c>
      <c r="C1547" s="482">
        <v>0.0</v>
      </c>
      <c r="D1547" s="482" t="s">
        <v>893</v>
      </c>
      <c r="E1547" s="482" t="s">
        <v>894</v>
      </c>
    </row>
    <row r="1548" customFormat="1" s="36">
      <c r="A1548" s="485" t="s">
        <v>3520</v>
      </c>
      <c r="B1548" s="485" t="s">
        <v>3521</v>
      </c>
      <c r="C1548" s="482">
        <v>0.0</v>
      </c>
      <c r="D1548" s="482" t="s">
        <v>893</v>
      </c>
      <c r="E1548" s="482" t="s">
        <v>894</v>
      </c>
    </row>
    <row r="1549" customFormat="1" s="36">
      <c r="A1549" s="485" t="s">
        <v>3522</v>
      </c>
      <c r="B1549" s="485" t="s">
        <v>3523</v>
      </c>
      <c r="C1549" s="482">
        <v>906.0</v>
      </c>
      <c r="D1549" s="482" t="s">
        <v>913</v>
      </c>
      <c r="E1549" s="482" t="s">
        <v>894</v>
      </c>
    </row>
    <row r="1550" customFormat="1" s="36">
      <c r="A1550" s="485" t="s">
        <v>3524</v>
      </c>
      <c r="B1550" s="485" t="s">
        <v>3525</v>
      </c>
      <c r="C1550" s="482">
        <v>270.0</v>
      </c>
      <c r="D1550" s="482" t="s">
        <v>913</v>
      </c>
      <c r="E1550" s="482" t="s">
        <v>1140</v>
      </c>
    </row>
    <row r="1551" customFormat="1" s="36">
      <c r="A1551" s="485" t="s">
        <v>3526</v>
      </c>
      <c r="B1551" s="485" t="s">
        <v>3527</v>
      </c>
      <c r="C1551" s="482">
        <v>474.0</v>
      </c>
      <c r="D1551" s="482" t="s">
        <v>913</v>
      </c>
      <c r="E1551" s="482" t="s">
        <v>1140</v>
      </c>
    </row>
    <row r="1552" customFormat="1" s="36">
      <c r="A1552" s="485" t="s">
        <v>3528</v>
      </c>
      <c r="B1552" s="485" t="s">
        <v>3529</v>
      </c>
      <c r="C1552" s="482">
        <v>0.0</v>
      </c>
      <c r="D1552" s="482" t="s">
        <v>913</v>
      </c>
      <c r="E1552" s="482" t="s">
        <v>1140</v>
      </c>
    </row>
    <row r="1553" customFormat="1" s="36">
      <c r="A1553" s="485" t="s">
        <v>3530</v>
      </c>
      <c r="B1553" s="485" t="s">
        <v>3531</v>
      </c>
      <c r="C1553" s="482">
        <v>0.0</v>
      </c>
      <c r="D1553" s="482" t="s">
        <v>913</v>
      </c>
      <c r="E1553" s="482" t="s">
        <v>894</v>
      </c>
    </row>
    <row r="1554" customFormat="1" s="36">
      <c r="A1554" s="485" t="s">
        <v>3532</v>
      </c>
      <c r="B1554" s="485" t="s">
        <v>3533</v>
      </c>
      <c r="C1554" s="482">
        <v>0.0</v>
      </c>
      <c r="D1554" s="482" t="s">
        <v>913</v>
      </c>
      <c r="E1554" s="482" t="s">
        <v>894</v>
      </c>
    </row>
    <row r="1555" customFormat="1" s="36">
      <c r="A1555" s="485" t="s">
        <v>3534</v>
      </c>
      <c r="B1555" s="485" t="s">
        <v>3535</v>
      </c>
      <c r="C1555" s="482">
        <v>0.0</v>
      </c>
      <c r="D1555" s="482" t="s">
        <v>913</v>
      </c>
      <c r="E1555" s="482" t="s">
        <v>894</v>
      </c>
    </row>
    <row r="1556" customFormat="1" s="36">
      <c r="A1556" s="485" t="s">
        <v>3536</v>
      </c>
      <c r="B1556" s="485" t="s">
        <v>3537</v>
      </c>
      <c r="C1556" s="482">
        <v>0.0</v>
      </c>
      <c r="D1556" s="482" t="s">
        <v>913</v>
      </c>
      <c r="E1556" s="482" t="s">
        <v>894</v>
      </c>
    </row>
    <row r="1557" customFormat="1" s="36">
      <c r="A1557" s="485" t="s">
        <v>3538</v>
      </c>
      <c r="B1557" s="485" t="s">
        <v>3539</v>
      </c>
      <c r="C1557" s="482">
        <v>0.0</v>
      </c>
      <c r="D1557" s="482" t="s">
        <v>893</v>
      </c>
      <c r="E1557" s="482" t="s">
        <v>894</v>
      </c>
    </row>
    <row r="1558" customFormat="1" s="36">
      <c r="A1558" s="485" t="s">
        <v>3540</v>
      </c>
      <c r="B1558" s="485" t="s">
        <v>3541</v>
      </c>
      <c r="C1558" s="482">
        <v>3.0</v>
      </c>
      <c r="D1558" s="482" t="s">
        <v>913</v>
      </c>
      <c r="E1558" s="482" t="s">
        <v>894</v>
      </c>
    </row>
    <row r="1559" customFormat="1" s="36">
      <c r="A1559" s="485" t="s">
        <v>3542</v>
      </c>
      <c r="B1559" s="485" t="s">
        <v>3543</v>
      </c>
      <c r="C1559" s="482">
        <v>-1.0</v>
      </c>
      <c r="D1559" s="482" t="s">
        <v>913</v>
      </c>
      <c r="E1559" s="482" t="s">
        <v>894</v>
      </c>
    </row>
    <row r="1560" customFormat="1" s="36">
      <c r="A1560" s="485" t="s">
        <v>3544</v>
      </c>
      <c r="B1560" s="485" t="s">
        <v>3545</v>
      </c>
      <c r="C1560" s="482">
        <v>2.0</v>
      </c>
      <c r="D1560" s="482" t="s">
        <v>913</v>
      </c>
      <c r="E1560" s="482" t="s">
        <v>894</v>
      </c>
    </row>
    <row r="1561" customFormat="1" s="36">
      <c r="A1561" s="485" t="s">
        <v>3546</v>
      </c>
      <c r="B1561" s="485" t="s">
        <v>3547</v>
      </c>
      <c r="C1561" s="482">
        <v>2.0</v>
      </c>
      <c r="D1561" s="482" t="s">
        <v>913</v>
      </c>
      <c r="E1561" s="482" t="s">
        <v>894</v>
      </c>
    </row>
    <row r="1562" customFormat="1" s="36">
      <c r="A1562" s="485" t="s">
        <v>3548</v>
      </c>
      <c r="B1562" s="485" t="s">
        <v>3549</v>
      </c>
      <c r="C1562" s="482">
        <v>0.0</v>
      </c>
      <c r="D1562" s="482" t="s">
        <v>913</v>
      </c>
      <c r="E1562" s="482" t="s">
        <v>894</v>
      </c>
    </row>
    <row r="1563" customFormat="1" s="36">
      <c r="A1563" s="485" t="s">
        <v>3550</v>
      </c>
      <c r="B1563" s="485" t="s">
        <v>3551</v>
      </c>
      <c r="C1563" s="482">
        <v>0.0</v>
      </c>
      <c r="D1563" s="482" t="s">
        <v>913</v>
      </c>
      <c r="E1563" s="482" t="s">
        <v>894</v>
      </c>
    </row>
    <row r="1564" customFormat="1" s="36">
      <c r="A1564" s="485" t="s">
        <v>3552</v>
      </c>
      <c r="B1564" s="485" t="s">
        <v>3553</v>
      </c>
      <c r="C1564" s="482">
        <v>0.0</v>
      </c>
      <c r="D1564" s="482" t="s">
        <v>913</v>
      </c>
      <c r="E1564" s="482" t="s">
        <v>894</v>
      </c>
    </row>
    <row r="1565" customFormat="1" s="36">
      <c r="A1565" s="485" t="s">
        <v>3554</v>
      </c>
      <c r="B1565" s="485" t="s">
        <v>3555</v>
      </c>
      <c r="C1565" s="482">
        <v>-1.0</v>
      </c>
      <c r="D1565" s="482" t="s">
        <v>913</v>
      </c>
      <c r="E1565" s="482" t="s">
        <v>894</v>
      </c>
    </row>
    <row r="1566" customFormat="1" s="36">
      <c r="A1566" s="485" t="s">
        <v>3556</v>
      </c>
      <c r="B1566" s="485" t="s">
        <v>3557</v>
      </c>
      <c r="C1566" s="482">
        <v>0.0</v>
      </c>
      <c r="D1566" s="482" t="s">
        <v>893</v>
      </c>
      <c r="E1566" s="482" t="s">
        <v>894</v>
      </c>
    </row>
    <row r="1567" customFormat="1" s="36">
      <c r="A1567" s="485" t="s">
        <v>3558</v>
      </c>
      <c r="B1567" s="485" t="s">
        <v>3559</v>
      </c>
      <c r="C1567" s="482">
        <v>0.0</v>
      </c>
      <c r="D1567" s="482" t="s">
        <v>893</v>
      </c>
      <c r="E1567" s="482" t="s">
        <v>894</v>
      </c>
    </row>
    <row r="1568" customFormat="1" s="36">
      <c r="A1568" s="485" t="s">
        <v>3560</v>
      </c>
      <c r="B1568" s="485" t="s">
        <v>3561</v>
      </c>
      <c r="C1568" s="482">
        <v>0.0</v>
      </c>
      <c r="D1568" s="482" t="s">
        <v>893</v>
      </c>
      <c r="E1568" s="482" t="s">
        <v>894</v>
      </c>
    </row>
    <row r="1569" customFormat="1" s="36">
      <c r="A1569" s="485" t="s">
        <v>3562</v>
      </c>
      <c r="B1569" s="485" t="s">
        <v>3563</v>
      </c>
      <c r="C1569" s="482">
        <v>0.0</v>
      </c>
      <c r="D1569" s="482" t="s">
        <v>893</v>
      </c>
      <c r="E1569" s="482" t="s">
        <v>894</v>
      </c>
    </row>
    <row r="1570" customFormat="1" s="36">
      <c r="A1570" s="485" t="s">
        <v>3564</v>
      </c>
      <c r="B1570" s="485" t="s">
        <v>3565</v>
      </c>
      <c r="C1570" s="482">
        <v>0.0</v>
      </c>
      <c r="D1570" s="482" t="s">
        <v>893</v>
      </c>
      <c r="E1570" s="482" t="s">
        <v>894</v>
      </c>
    </row>
    <row r="1571" customFormat="1" s="36">
      <c r="A1571" s="485" t="s">
        <v>3566</v>
      </c>
      <c r="B1571" s="485" t="s">
        <v>3567</v>
      </c>
      <c r="C1571" s="482">
        <v>5.0</v>
      </c>
      <c r="D1571" s="482" t="s">
        <v>913</v>
      </c>
      <c r="E1571" s="482" t="s">
        <v>1140</v>
      </c>
    </row>
    <row r="1572" customFormat="1" s="36">
      <c r="A1572" s="485" t="s">
        <v>3568</v>
      </c>
      <c r="B1572" s="485" t="s">
        <v>3569</v>
      </c>
      <c r="C1572" s="482">
        <v>2.0</v>
      </c>
      <c r="D1572" s="482" t="s">
        <v>913</v>
      </c>
      <c r="E1572" s="482" t="s">
        <v>894</v>
      </c>
    </row>
    <row r="1573" customFormat="1" s="36">
      <c r="A1573" s="485" t="s">
        <v>3570</v>
      </c>
      <c r="B1573" s="485" t="s">
        <v>3571</v>
      </c>
      <c r="C1573" s="482">
        <v>595.0</v>
      </c>
      <c r="D1573" s="482" t="s">
        <v>913</v>
      </c>
      <c r="E1573" s="482" t="s">
        <v>894</v>
      </c>
    </row>
    <row r="1574" customFormat="1" s="36">
      <c r="A1574" s="485" t="s">
        <v>3572</v>
      </c>
      <c r="B1574" s="485" t="s">
        <v>3573</v>
      </c>
      <c r="C1574" s="482">
        <v>1081.0</v>
      </c>
      <c r="D1574" s="482" t="s">
        <v>913</v>
      </c>
      <c r="E1574" s="482" t="s">
        <v>894</v>
      </c>
    </row>
    <row r="1575" customFormat="1" s="36">
      <c r="A1575" s="485" t="s">
        <v>3574</v>
      </c>
      <c r="B1575" s="485" t="s">
        <v>3575</v>
      </c>
      <c r="C1575" s="482">
        <v>1292.0</v>
      </c>
      <c r="D1575" s="482" t="s">
        <v>913</v>
      </c>
      <c r="E1575" s="482" t="s">
        <v>894</v>
      </c>
    </row>
    <row r="1576" customFormat="1" s="36">
      <c r="A1576" s="485" t="s">
        <v>3576</v>
      </c>
      <c r="B1576" s="485" t="s">
        <v>3577</v>
      </c>
      <c r="C1576" s="482">
        <v>648.0</v>
      </c>
      <c r="D1576" s="482" t="s">
        <v>913</v>
      </c>
      <c r="E1576" s="482" t="s">
        <v>894</v>
      </c>
    </row>
    <row r="1577" customFormat="1" s="36">
      <c r="A1577" s="485" t="s">
        <v>3578</v>
      </c>
      <c r="B1577" s="485" t="s">
        <v>3579</v>
      </c>
      <c r="C1577" s="482">
        <v>836.0</v>
      </c>
      <c r="D1577" s="482" t="s">
        <v>913</v>
      </c>
      <c r="E1577" s="482" t="s">
        <v>894</v>
      </c>
    </row>
    <row r="1578" customFormat="1" s="36">
      <c r="A1578" s="485" t="s">
        <v>3580</v>
      </c>
      <c r="B1578" s="485" t="s">
        <v>3581</v>
      </c>
      <c r="C1578" s="482">
        <v>1062.0</v>
      </c>
      <c r="D1578" s="482" t="s">
        <v>913</v>
      </c>
      <c r="E1578" s="482" t="s">
        <v>894</v>
      </c>
    </row>
    <row r="1579" customFormat="1" s="36">
      <c r="A1579" s="485" t="s">
        <v>3582</v>
      </c>
      <c r="B1579" s="485" t="s">
        <v>3583</v>
      </c>
      <c r="C1579" s="482">
        <v>951.0</v>
      </c>
      <c r="D1579" s="482" t="s">
        <v>913</v>
      </c>
      <c r="E1579" s="482" t="s">
        <v>894</v>
      </c>
    </row>
    <row r="1580" customFormat="1" s="36">
      <c r="A1580" s="485" t="s">
        <v>3584</v>
      </c>
      <c r="B1580" s="485" t="s">
        <v>3585</v>
      </c>
      <c r="C1580" s="482">
        <v>1281.0</v>
      </c>
      <c r="D1580" s="482" t="s">
        <v>913</v>
      </c>
      <c r="E1580" s="482" t="s">
        <v>894</v>
      </c>
    </row>
    <row r="1581" customFormat="1" s="36">
      <c r="A1581" s="485" t="s">
        <v>3586</v>
      </c>
      <c r="B1581" s="485" t="s">
        <v>3587</v>
      </c>
      <c r="C1581" s="482">
        <v>1458.0</v>
      </c>
      <c r="D1581" s="482" t="s">
        <v>913</v>
      </c>
      <c r="E1581" s="482" t="s">
        <v>894</v>
      </c>
    </row>
    <row r="1582" customFormat="1" s="36">
      <c r="A1582" s="485" t="s">
        <v>3588</v>
      </c>
      <c r="B1582" s="485" t="s">
        <v>3589</v>
      </c>
      <c r="C1582" s="482">
        <v>0.0</v>
      </c>
      <c r="D1582" s="482" t="s">
        <v>913</v>
      </c>
      <c r="E1582" s="482" t="s">
        <v>1140</v>
      </c>
    </row>
    <row r="1583" customFormat="1" s="36">
      <c r="A1583" s="485" t="s">
        <v>3590</v>
      </c>
      <c r="B1583" s="485" t="s">
        <v>3591</v>
      </c>
      <c r="C1583" s="482">
        <v>95.0</v>
      </c>
      <c r="D1583" s="482" t="s">
        <v>913</v>
      </c>
      <c r="E1583" s="482" t="s">
        <v>894</v>
      </c>
    </row>
    <row r="1584" customFormat="1" s="36">
      <c r="A1584" s="485" t="s">
        <v>3592</v>
      </c>
      <c r="B1584" s="485" t="s">
        <v>3593</v>
      </c>
      <c r="C1584" s="482">
        <v>812.0</v>
      </c>
      <c r="D1584" s="482" t="s">
        <v>913</v>
      </c>
      <c r="E1584" s="482" t="s">
        <v>894</v>
      </c>
    </row>
    <row r="1585" customFormat="1" s="36">
      <c r="A1585" s="485" t="s">
        <v>3594</v>
      </c>
      <c r="B1585" s="485" t="s">
        <v>3595</v>
      </c>
      <c r="C1585" s="482">
        <v>0.0</v>
      </c>
      <c r="D1585" s="482" t="s">
        <v>913</v>
      </c>
      <c r="E1585" s="482" t="s">
        <v>894</v>
      </c>
    </row>
    <row r="1586" customFormat="1" s="36">
      <c r="A1586" s="485" t="s">
        <v>3596</v>
      </c>
      <c r="B1586" s="485" t="s">
        <v>3597</v>
      </c>
      <c r="C1586" s="482">
        <v>0.0</v>
      </c>
      <c r="D1586" s="482" t="s">
        <v>913</v>
      </c>
      <c r="E1586" s="482" t="s">
        <v>894</v>
      </c>
    </row>
    <row r="1587" customFormat="1" s="36">
      <c r="A1587" s="485" t="s">
        <v>3598</v>
      </c>
      <c r="B1587" s="485" t="s">
        <v>3599</v>
      </c>
      <c r="C1587" s="482">
        <v>2.0</v>
      </c>
      <c r="D1587" s="482" t="s">
        <v>913</v>
      </c>
      <c r="E1587" s="482" t="s">
        <v>894</v>
      </c>
    </row>
    <row r="1588" customFormat="1" s="36">
      <c r="A1588" s="485" t="s">
        <v>3600</v>
      </c>
      <c r="B1588" s="485" t="s">
        <v>3601</v>
      </c>
      <c r="C1588" s="482">
        <v>1.0</v>
      </c>
      <c r="D1588" s="482" t="s">
        <v>913</v>
      </c>
      <c r="E1588" s="482" t="s">
        <v>894</v>
      </c>
    </row>
    <row r="1589" customFormat="1" s="36">
      <c r="A1589" s="485" t="s">
        <v>3602</v>
      </c>
      <c r="B1589" s="485" t="s">
        <v>3603</v>
      </c>
      <c r="C1589" s="482">
        <v>0.0</v>
      </c>
      <c r="D1589" s="482" t="s">
        <v>913</v>
      </c>
      <c r="E1589" s="482" t="s">
        <v>894</v>
      </c>
    </row>
    <row r="1590" customFormat="1" s="36">
      <c r="A1590" s="485" t="s">
        <v>3604</v>
      </c>
      <c r="B1590" s="485" t="s">
        <v>3605</v>
      </c>
      <c r="C1590" s="482">
        <v>-1.0</v>
      </c>
      <c r="D1590" s="482" t="s">
        <v>913</v>
      </c>
      <c r="E1590" s="482" t="s">
        <v>894</v>
      </c>
    </row>
    <row r="1591" customFormat="1" s="36">
      <c r="A1591" s="485" t="s">
        <v>3606</v>
      </c>
      <c r="B1591" s="485" t="s">
        <v>3607</v>
      </c>
      <c r="C1591" s="482">
        <v>1.0</v>
      </c>
      <c r="D1591" s="482" t="s">
        <v>913</v>
      </c>
      <c r="E1591" s="482" t="s">
        <v>894</v>
      </c>
    </row>
    <row r="1592" customFormat="1" s="36">
      <c r="A1592" s="485" t="s">
        <v>3608</v>
      </c>
      <c r="B1592" s="485" t="s">
        <v>3609</v>
      </c>
      <c r="C1592" s="482">
        <v>0.0</v>
      </c>
      <c r="D1592" s="482" t="s">
        <v>913</v>
      </c>
      <c r="E1592" s="482" t="s">
        <v>894</v>
      </c>
    </row>
    <row r="1593" customFormat="1" s="36">
      <c r="A1593" s="485" t="s">
        <v>3610</v>
      </c>
      <c r="B1593" s="485" t="s">
        <v>3611</v>
      </c>
      <c r="C1593" s="482">
        <v>1.0</v>
      </c>
      <c r="D1593" s="482" t="s">
        <v>913</v>
      </c>
      <c r="E1593" s="482" t="s">
        <v>894</v>
      </c>
    </row>
    <row r="1594" customFormat="1" s="36">
      <c r="A1594" s="485" t="s">
        <v>3612</v>
      </c>
      <c r="B1594" s="485" t="s">
        <v>3613</v>
      </c>
      <c r="C1594" s="482">
        <v>1.0</v>
      </c>
      <c r="D1594" s="482" t="s">
        <v>913</v>
      </c>
      <c r="E1594" s="482" t="s">
        <v>894</v>
      </c>
    </row>
    <row r="1595" customFormat="1" s="36">
      <c r="A1595" s="485" t="s">
        <v>3614</v>
      </c>
      <c r="B1595" s="485" t="s">
        <v>3615</v>
      </c>
      <c r="C1595" s="482">
        <v>201.0</v>
      </c>
      <c r="D1595" s="482" t="s">
        <v>913</v>
      </c>
      <c r="E1595" s="482" t="s">
        <v>894</v>
      </c>
    </row>
    <row r="1596" customFormat="1" s="36">
      <c r="A1596" s="485" t="s">
        <v>3616</v>
      </c>
      <c r="B1596" s="485" t="s">
        <v>3617</v>
      </c>
      <c r="C1596" s="482">
        <v>277.0</v>
      </c>
      <c r="D1596" s="482" t="s">
        <v>913</v>
      </c>
      <c r="E1596" s="482" t="s">
        <v>894</v>
      </c>
    </row>
    <row r="1597" customFormat="1" s="36">
      <c r="A1597" s="485" t="s">
        <v>3618</v>
      </c>
      <c r="B1597" s="485" t="s">
        <v>3619</v>
      </c>
      <c r="C1597" s="482">
        <v>280.0</v>
      </c>
      <c r="D1597" s="482" t="s">
        <v>913</v>
      </c>
      <c r="E1597" s="482" t="s">
        <v>894</v>
      </c>
    </row>
    <row r="1598" customFormat="1" s="36">
      <c r="A1598" s="485" t="s">
        <v>3620</v>
      </c>
      <c r="B1598" s="485" t="s">
        <v>3621</v>
      </c>
      <c r="C1598" s="482">
        <v>239.0</v>
      </c>
      <c r="D1598" s="482" t="s">
        <v>913</v>
      </c>
      <c r="E1598" s="482" t="s">
        <v>894</v>
      </c>
    </row>
    <row r="1599" customFormat="1" s="36">
      <c r="A1599" s="485" t="s">
        <v>3622</v>
      </c>
      <c r="B1599" s="485" t="s">
        <v>3623</v>
      </c>
      <c r="C1599" s="482">
        <v>0.0</v>
      </c>
      <c r="D1599" s="482" t="s">
        <v>893</v>
      </c>
      <c r="E1599" s="482" t="s">
        <v>894</v>
      </c>
    </row>
    <row r="1600" customFormat="1" s="36">
      <c r="A1600" s="485" t="s">
        <v>3624</v>
      </c>
      <c r="B1600" s="485" t="s">
        <v>3625</v>
      </c>
      <c r="C1600" s="482">
        <v>0.0</v>
      </c>
      <c r="D1600" s="482" t="s">
        <v>893</v>
      </c>
      <c r="E1600" s="482" t="s">
        <v>894</v>
      </c>
    </row>
    <row r="1601" customFormat="1" s="36">
      <c r="A1601" s="485" t="s">
        <v>3626</v>
      </c>
      <c r="B1601" s="485" t="s">
        <v>3627</v>
      </c>
      <c r="C1601" s="482">
        <v>0.0</v>
      </c>
      <c r="D1601" s="482" t="s">
        <v>893</v>
      </c>
      <c r="E1601" s="482" t="s">
        <v>894</v>
      </c>
    </row>
    <row r="1602" customFormat="1" s="36">
      <c r="A1602" s="485" t="s">
        <v>3628</v>
      </c>
      <c r="B1602" s="485" t="s">
        <v>3629</v>
      </c>
      <c r="C1602" s="482">
        <v>4.0</v>
      </c>
      <c r="D1602" s="482" t="s">
        <v>913</v>
      </c>
      <c r="E1602" s="482" t="s">
        <v>894</v>
      </c>
    </row>
    <row r="1603" customFormat="1" s="36">
      <c r="A1603" s="485" t="s">
        <v>3630</v>
      </c>
      <c r="B1603" s="485" t="s">
        <v>3631</v>
      </c>
      <c r="C1603" s="482">
        <v>0.0</v>
      </c>
      <c r="D1603" s="482" t="s">
        <v>913</v>
      </c>
      <c r="E1603" s="482" t="s">
        <v>894</v>
      </c>
    </row>
    <row r="1604" customFormat="1" s="36">
      <c r="A1604" s="485" t="s">
        <v>3632</v>
      </c>
      <c r="B1604" s="485" t="s">
        <v>3633</v>
      </c>
      <c r="C1604" s="482">
        <v>0.0</v>
      </c>
      <c r="D1604" s="482" t="s">
        <v>893</v>
      </c>
      <c r="E1604" s="482" t="s">
        <v>894</v>
      </c>
    </row>
    <row r="1605" customFormat="1" s="36">
      <c r="A1605" s="485" t="s">
        <v>3634</v>
      </c>
      <c r="B1605" s="485" t="s">
        <v>3635</v>
      </c>
      <c r="C1605" s="482">
        <v>180.0</v>
      </c>
      <c r="D1605" s="482" t="s">
        <v>913</v>
      </c>
      <c r="E1605" s="482" t="s">
        <v>1140</v>
      </c>
    </row>
    <row r="1606" customFormat="1" s="36">
      <c r="A1606" s="485" t="s">
        <v>3636</v>
      </c>
      <c r="B1606" s="485" t="s">
        <v>3637</v>
      </c>
      <c r="C1606" s="482">
        <v>451.0</v>
      </c>
      <c r="D1606" s="482" t="s">
        <v>913</v>
      </c>
      <c r="E1606" s="482" t="s">
        <v>1140</v>
      </c>
    </row>
    <row r="1607" customFormat="1" s="36">
      <c r="A1607" s="485" t="s">
        <v>3638</v>
      </c>
      <c r="B1607" s="485" t="s">
        <v>3639</v>
      </c>
      <c r="C1607" s="482">
        <v>0.0</v>
      </c>
      <c r="D1607" s="482" t="s">
        <v>913</v>
      </c>
      <c r="E1607" s="482" t="s">
        <v>1140</v>
      </c>
    </row>
    <row r="1608" customFormat="1" s="36">
      <c r="A1608" s="485" t="s">
        <v>3640</v>
      </c>
      <c r="B1608" s="485" t="s">
        <v>3641</v>
      </c>
      <c r="C1608" s="482">
        <v>0.0</v>
      </c>
      <c r="D1608" s="482" t="s">
        <v>893</v>
      </c>
      <c r="E1608" s="482" t="s">
        <v>894</v>
      </c>
    </row>
    <row r="1609" customFormat="1" s="36">
      <c r="A1609" s="485" t="s">
        <v>3642</v>
      </c>
      <c r="B1609" s="485" t="s">
        <v>3643</v>
      </c>
      <c r="C1609" s="482">
        <v>0.0</v>
      </c>
      <c r="D1609" s="482" t="s">
        <v>893</v>
      </c>
      <c r="E1609" s="482" t="s">
        <v>894</v>
      </c>
    </row>
    <row r="1610" customFormat="1" s="36">
      <c r="A1610" s="485" t="s">
        <v>3644</v>
      </c>
      <c r="B1610" s="485" t="s">
        <v>3645</v>
      </c>
      <c r="C1610" s="482">
        <v>0.0</v>
      </c>
      <c r="D1610" s="482" t="s">
        <v>893</v>
      </c>
      <c r="E1610" s="482" t="s">
        <v>894</v>
      </c>
    </row>
    <row r="1611" customFormat="1" s="36">
      <c r="A1611" s="485">
        <v>92401.0</v>
      </c>
      <c r="B1611" s="485" t="s">
        <v>3646</v>
      </c>
      <c r="C1611" s="482">
        <v>0.0</v>
      </c>
      <c r="D1611" s="482" t="s">
        <v>893</v>
      </c>
      <c r="E1611" s="482" t="s">
        <v>894</v>
      </c>
    </row>
    <row r="1612" customFormat="1" s="36">
      <c r="A1612" s="485">
        <v>92402.0</v>
      </c>
      <c r="B1612" s="485" t="s">
        <v>3647</v>
      </c>
      <c r="C1612" s="482">
        <v>0.0</v>
      </c>
      <c r="D1612" s="482" t="s">
        <v>893</v>
      </c>
      <c r="E1612" s="482" t="s">
        <v>894</v>
      </c>
    </row>
    <row r="1613" customFormat="1" s="36">
      <c r="A1613" s="485">
        <v>92403.0</v>
      </c>
      <c r="B1613" s="485" t="s">
        <v>3648</v>
      </c>
      <c r="C1613" s="482">
        <v>0.0</v>
      </c>
      <c r="D1613" s="482" t="s">
        <v>893</v>
      </c>
      <c r="E1613" s="482" t="s">
        <v>894</v>
      </c>
    </row>
    <row r="1614" customFormat="1" s="36">
      <c r="A1614" s="485">
        <v>92404.0</v>
      </c>
      <c r="B1614" s="485" t="s">
        <v>3649</v>
      </c>
      <c r="C1614" s="482">
        <v>0.0</v>
      </c>
      <c r="D1614" s="482" t="s">
        <v>893</v>
      </c>
      <c r="E1614" s="482" t="s">
        <v>894</v>
      </c>
    </row>
    <row r="1615" customFormat="1" s="36">
      <c r="A1615" s="485">
        <v>92405.0</v>
      </c>
      <c r="B1615" s="485" t="s">
        <v>3650</v>
      </c>
      <c r="C1615" s="482">
        <v>0.0</v>
      </c>
      <c r="D1615" s="482" t="s">
        <v>893</v>
      </c>
      <c r="E1615" s="482" t="s">
        <v>894</v>
      </c>
    </row>
    <row r="1616" customFormat="1" s="36">
      <c r="A1616" s="485">
        <v>92406.0</v>
      </c>
      <c r="B1616" s="485" t="s">
        <v>3651</v>
      </c>
      <c r="C1616" s="482">
        <v>0.0</v>
      </c>
      <c r="D1616" s="482" t="s">
        <v>893</v>
      </c>
      <c r="E1616" s="482" t="s">
        <v>894</v>
      </c>
    </row>
    <row r="1617" customFormat="1" s="36">
      <c r="A1617" s="485">
        <v>92407.0</v>
      </c>
      <c r="B1617" s="485" t="s">
        <v>3652</v>
      </c>
      <c r="C1617" s="482">
        <v>0.0</v>
      </c>
      <c r="D1617" s="482" t="s">
        <v>893</v>
      </c>
      <c r="E1617" s="482" t="s">
        <v>894</v>
      </c>
    </row>
    <row r="1618" customFormat="1" s="36">
      <c r="A1618" s="485">
        <v>92408.0</v>
      </c>
      <c r="B1618" s="485" t="s">
        <v>3653</v>
      </c>
      <c r="C1618" s="482">
        <v>0.0</v>
      </c>
      <c r="D1618" s="482" t="s">
        <v>893</v>
      </c>
      <c r="E1618" s="482" t="s">
        <v>894</v>
      </c>
    </row>
    <row r="1619" customFormat="1" s="36">
      <c r="A1619" s="485">
        <v>92409.0</v>
      </c>
      <c r="B1619" s="485" t="s">
        <v>3654</v>
      </c>
      <c r="C1619" s="482">
        <v>0.0</v>
      </c>
      <c r="D1619" s="482" t="s">
        <v>893</v>
      </c>
      <c r="E1619" s="482" t="s">
        <v>894</v>
      </c>
    </row>
    <row r="1620" customFormat="1" s="36">
      <c r="A1620" s="485">
        <v>92410.0</v>
      </c>
      <c r="B1620" s="485" t="s">
        <v>3655</v>
      </c>
      <c r="C1620" s="482">
        <v>0.0</v>
      </c>
      <c r="D1620" s="482" t="s">
        <v>893</v>
      </c>
      <c r="E1620" s="482" t="s">
        <v>894</v>
      </c>
    </row>
    <row r="1621" customFormat="1" s="36">
      <c r="A1621" s="485">
        <v>92411.0</v>
      </c>
      <c r="B1621" s="485" t="s">
        <v>3656</v>
      </c>
      <c r="C1621" s="482">
        <v>0.0</v>
      </c>
      <c r="D1621" s="482" t="s">
        <v>893</v>
      </c>
      <c r="E1621" s="482" t="s">
        <v>894</v>
      </c>
    </row>
    <row r="1622" customFormat="1" s="36">
      <c r="A1622" s="485">
        <v>92412.0</v>
      </c>
      <c r="B1622" s="485" t="s">
        <v>3657</v>
      </c>
      <c r="C1622" s="482">
        <v>0.0</v>
      </c>
      <c r="D1622" s="482" t="s">
        <v>893</v>
      </c>
      <c r="E1622" s="482" t="s">
        <v>894</v>
      </c>
    </row>
    <row r="1623" customFormat="1" s="36">
      <c r="A1623" s="485" t="s">
        <v>3658</v>
      </c>
      <c r="B1623" s="485" t="s">
        <v>3659</v>
      </c>
      <c r="C1623" s="482">
        <v>0.0</v>
      </c>
      <c r="D1623" s="482" t="s">
        <v>893</v>
      </c>
      <c r="E1623" s="482" t="s">
        <v>894</v>
      </c>
    </row>
    <row r="1624" customFormat="1" s="36">
      <c r="A1624" s="485" t="s">
        <v>3660</v>
      </c>
      <c r="B1624" s="485" t="s">
        <v>3661</v>
      </c>
      <c r="C1624" s="482">
        <v>0.0</v>
      </c>
      <c r="D1624" s="482" t="s">
        <v>893</v>
      </c>
      <c r="E1624" s="482" t="s">
        <v>894</v>
      </c>
    </row>
    <row r="1625" customFormat="1" s="36">
      <c r="A1625" s="485" t="s">
        <v>3662</v>
      </c>
      <c r="B1625" s="485" t="s">
        <v>3663</v>
      </c>
      <c r="C1625" s="482">
        <v>0.0</v>
      </c>
      <c r="D1625" s="482" t="s">
        <v>893</v>
      </c>
      <c r="E1625" s="482" t="s">
        <v>894</v>
      </c>
    </row>
    <row r="1626" customFormat="1" s="36">
      <c r="A1626" s="485" t="s">
        <v>3664</v>
      </c>
      <c r="B1626" s="485" t="s">
        <v>3665</v>
      </c>
      <c r="C1626" s="482">
        <v>0.0</v>
      </c>
      <c r="D1626" s="482" t="s">
        <v>893</v>
      </c>
      <c r="E1626" s="482" t="s">
        <v>894</v>
      </c>
    </row>
    <row r="1627" customFormat="1" s="36">
      <c r="A1627" s="485" t="s">
        <v>3666</v>
      </c>
      <c r="B1627" s="485" t="s">
        <v>3667</v>
      </c>
      <c r="C1627" s="482">
        <v>0.0</v>
      </c>
      <c r="D1627" s="482" t="s">
        <v>893</v>
      </c>
      <c r="E1627" s="482" t="s">
        <v>894</v>
      </c>
    </row>
    <row r="1628" customFormat="1" s="36">
      <c r="A1628" s="485" t="s">
        <v>3668</v>
      </c>
      <c r="B1628" s="485" t="s">
        <v>3669</v>
      </c>
      <c r="C1628" s="482">
        <v>0.0</v>
      </c>
      <c r="D1628" s="482" t="s">
        <v>893</v>
      </c>
      <c r="E1628" s="482" t="s">
        <v>894</v>
      </c>
    </row>
    <row r="1629" customFormat="1" s="36">
      <c r="A1629" s="485" t="s">
        <v>3670</v>
      </c>
      <c r="B1629" s="485" t="s">
        <v>3671</v>
      </c>
      <c r="C1629" s="482">
        <v>0.0</v>
      </c>
      <c r="D1629" s="482" t="s">
        <v>893</v>
      </c>
      <c r="E1629" s="482" t="s">
        <v>894</v>
      </c>
    </row>
    <row r="1630" customFormat="1" s="36">
      <c r="A1630" s="485" t="s">
        <v>3672</v>
      </c>
      <c r="B1630" s="485" t="s">
        <v>3673</v>
      </c>
      <c r="C1630" s="482">
        <v>0.0</v>
      </c>
      <c r="D1630" s="482" t="s">
        <v>893</v>
      </c>
      <c r="E1630" s="482" t="s">
        <v>894</v>
      </c>
    </row>
    <row r="1631" customFormat="1" s="36">
      <c r="A1631" s="485" t="s">
        <v>3674</v>
      </c>
      <c r="B1631" s="485" t="s">
        <v>3675</v>
      </c>
      <c r="C1631" s="482">
        <v>0.0</v>
      </c>
      <c r="D1631" s="482" t="s">
        <v>893</v>
      </c>
      <c r="E1631" s="482" t="s">
        <v>894</v>
      </c>
    </row>
    <row r="1632" customFormat="1" s="36">
      <c r="A1632" s="485" t="s">
        <v>3676</v>
      </c>
      <c r="B1632" s="485" t="s">
        <v>3677</v>
      </c>
      <c r="C1632" s="482">
        <v>0.0</v>
      </c>
      <c r="D1632" s="482" t="s">
        <v>893</v>
      </c>
      <c r="E1632" s="482" t="s">
        <v>894</v>
      </c>
    </row>
    <row r="1633" customFormat="1" s="36">
      <c r="A1633" s="485" t="s">
        <v>3678</v>
      </c>
      <c r="B1633" s="485" t="s">
        <v>3679</v>
      </c>
      <c r="C1633" s="482">
        <v>0.0</v>
      </c>
      <c r="D1633" s="482" t="s">
        <v>893</v>
      </c>
      <c r="E1633" s="482" t="s">
        <v>894</v>
      </c>
    </row>
    <row r="1634" customFormat="1" s="36">
      <c r="A1634" s="485" t="s">
        <v>3680</v>
      </c>
      <c r="B1634" s="485" t="s">
        <v>3681</v>
      </c>
      <c r="C1634" s="482">
        <v>0.0</v>
      </c>
      <c r="D1634" s="482" t="s">
        <v>893</v>
      </c>
      <c r="E1634" s="482" t="s">
        <v>894</v>
      </c>
    </row>
    <row r="1635" customFormat="1" s="36">
      <c r="A1635" s="485" t="s">
        <v>3682</v>
      </c>
      <c r="B1635" s="485" t="s">
        <v>3683</v>
      </c>
      <c r="C1635" s="482">
        <v>0.0</v>
      </c>
      <c r="D1635" s="482" t="s">
        <v>893</v>
      </c>
      <c r="E1635" s="482" t="s">
        <v>894</v>
      </c>
    </row>
    <row r="1636" customFormat="1" s="36">
      <c r="A1636" s="485" t="s">
        <v>3684</v>
      </c>
      <c r="B1636" s="485" t="s">
        <v>3685</v>
      </c>
      <c r="C1636" s="482">
        <v>0.0</v>
      </c>
      <c r="D1636" s="482" t="s">
        <v>893</v>
      </c>
      <c r="E1636" s="482" t="s">
        <v>894</v>
      </c>
    </row>
    <row r="1637" customFormat="1" s="36">
      <c r="A1637" s="485" t="s">
        <v>3686</v>
      </c>
      <c r="B1637" s="485" t="s">
        <v>3687</v>
      </c>
      <c r="C1637" s="482">
        <v>0.0</v>
      </c>
      <c r="D1637" s="482" t="s">
        <v>893</v>
      </c>
      <c r="E1637" s="482" t="s">
        <v>894</v>
      </c>
    </row>
    <row r="1638" customFormat="1" s="36">
      <c r="A1638" s="485" t="s">
        <v>3688</v>
      </c>
      <c r="B1638" s="485" t="s">
        <v>3689</v>
      </c>
      <c r="C1638" s="482">
        <v>0.0</v>
      </c>
      <c r="D1638" s="482" t="s">
        <v>893</v>
      </c>
      <c r="E1638" s="482" t="s">
        <v>894</v>
      </c>
    </row>
    <row r="1639" customFormat="1" s="36">
      <c r="A1639" s="485" t="s">
        <v>3690</v>
      </c>
      <c r="B1639" s="485" t="s">
        <v>3691</v>
      </c>
      <c r="C1639" s="482">
        <v>0.0</v>
      </c>
      <c r="D1639" s="482" t="s">
        <v>893</v>
      </c>
      <c r="E1639" s="482" t="s">
        <v>894</v>
      </c>
    </row>
    <row r="1640" customFormat="1" s="36">
      <c r="A1640" s="485" t="s">
        <v>3692</v>
      </c>
      <c r="B1640" s="485" t="s">
        <v>3693</v>
      </c>
      <c r="C1640" s="482">
        <v>0.0</v>
      </c>
      <c r="D1640" s="482" t="s">
        <v>893</v>
      </c>
      <c r="E1640" s="482" t="s">
        <v>894</v>
      </c>
    </row>
    <row r="1641" customFormat="1" s="36">
      <c r="A1641" s="485" t="s">
        <v>3694</v>
      </c>
      <c r="B1641" s="485" t="s">
        <v>3695</v>
      </c>
      <c r="C1641" s="482">
        <v>0.0</v>
      </c>
      <c r="D1641" s="482" t="s">
        <v>893</v>
      </c>
      <c r="E1641" s="482" t="s">
        <v>894</v>
      </c>
    </row>
    <row r="1642" customFormat="1" s="36">
      <c r="A1642" s="485" t="s">
        <v>3696</v>
      </c>
      <c r="B1642" s="485" t="s">
        <v>3697</v>
      </c>
      <c r="C1642" s="482">
        <v>0.0</v>
      </c>
      <c r="D1642" s="482" t="s">
        <v>893</v>
      </c>
      <c r="E1642" s="482" t="s">
        <v>894</v>
      </c>
    </row>
    <row r="1643" customFormat="1" s="36">
      <c r="A1643" s="485" t="s">
        <v>3698</v>
      </c>
      <c r="B1643" s="485" t="s">
        <v>3699</v>
      </c>
      <c r="C1643" s="482">
        <v>0.0</v>
      </c>
      <c r="D1643" s="482" t="s">
        <v>893</v>
      </c>
      <c r="E1643" s="482" t="s">
        <v>894</v>
      </c>
    </row>
    <row r="1644" customFormat="1" s="36">
      <c r="A1644" s="485" t="s">
        <v>3700</v>
      </c>
      <c r="B1644" s="485" t="s">
        <v>3701</v>
      </c>
      <c r="C1644" s="482">
        <v>0.0</v>
      </c>
      <c r="D1644" s="482" t="s">
        <v>893</v>
      </c>
      <c r="E1644" s="482" t="s">
        <v>894</v>
      </c>
    </row>
    <row r="1645" customFormat="1" s="36">
      <c r="A1645" s="485" t="s">
        <v>3702</v>
      </c>
      <c r="B1645" s="485" t="s">
        <v>3703</v>
      </c>
      <c r="C1645" s="482">
        <v>0.0</v>
      </c>
      <c r="D1645" s="482" t="s">
        <v>893</v>
      </c>
      <c r="E1645" s="482" t="s">
        <v>894</v>
      </c>
    </row>
    <row r="1646" customFormat="1" s="36">
      <c r="A1646" s="485" t="s">
        <v>3704</v>
      </c>
      <c r="B1646" s="485" t="s">
        <v>3705</v>
      </c>
      <c r="C1646" s="482">
        <v>0.0</v>
      </c>
      <c r="D1646" s="482" t="s">
        <v>893</v>
      </c>
      <c r="E1646" s="482" t="s">
        <v>894</v>
      </c>
    </row>
    <row r="1647" customFormat="1" s="36">
      <c r="A1647" s="485" t="s">
        <v>3706</v>
      </c>
      <c r="B1647" s="485" t="s">
        <v>3707</v>
      </c>
      <c r="C1647" s="482">
        <v>0.0</v>
      </c>
      <c r="D1647" s="482" t="s">
        <v>893</v>
      </c>
      <c r="E1647" s="482" t="s">
        <v>894</v>
      </c>
    </row>
    <row r="1648" customFormat="1" s="36">
      <c r="A1648" s="485" t="s">
        <v>3708</v>
      </c>
      <c r="B1648" s="485" t="s">
        <v>3709</v>
      </c>
      <c r="C1648" s="482">
        <v>0.0</v>
      </c>
      <c r="D1648" s="482" t="s">
        <v>893</v>
      </c>
      <c r="E1648" s="482" t="s">
        <v>894</v>
      </c>
    </row>
    <row r="1649" customFormat="1" s="36">
      <c r="A1649" s="485" t="s">
        <v>3710</v>
      </c>
      <c r="B1649" s="485" t="s">
        <v>3711</v>
      </c>
      <c r="C1649" s="482">
        <v>0.0</v>
      </c>
      <c r="D1649" s="482" t="s">
        <v>893</v>
      </c>
      <c r="E1649" s="482" t="s">
        <v>894</v>
      </c>
    </row>
    <row r="1650" customFormat="1" s="36">
      <c r="A1650" s="485" t="s">
        <v>3712</v>
      </c>
      <c r="B1650" s="485" t="s">
        <v>3713</v>
      </c>
      <c r="C1650" s="482">
        <v>-5.0</v>
      </c>
      <c r="D1650" s="482" t="s">
        <v>913</v>
      </c>
      <c r="E1650" s="482" t="s">
        <v>1140</v>
      </c>
    </row>
    <row r="1651" customFormat="1" s="36">
      <c r="A1651" s="485" t="s">
        <v>3714</v>
      </c>
      <c r="B1651" s="485" t="s">
        <v>3715</v>
      </c>
      <c r="C1651" s="482">
        <v>0.0</v>
      </c>
      <c r="D1651" s="482" t="s">
        <v>893</v>
      </c>
      <c r="E1651" s="482" t="s">
        <v>894</v>
      </c>
    </row>
    <row r="1652" customFormat="1" s="36">
      <c r="A1652" s="485" t="s">
        <v>3716</v>
      </c>
      <c r="B1652" s="485" t="s">
        <v>3717</v>
      </c>
      <c r="C1652" s="482">
        <v>0.0</v>
      </c>
      <c r="D1652" s="482" t="s">
        <v>893</v>
      </c>
      <c r="E1652" s="482" t="s">
        <v>894</v>
      </c>
    </row>
    <row r="1653" customFormat="1" s="36">
      <c r="A1653" s="485" t="s">
        <v>3718</v>
      </c>
      <c r="B1653" s="485" t="s">
        <v>3719</v>
      </c>
      <c r="C1653" s="482">
        <v>0.0</v>
      </c>
      <c r="D1653" s="482" t="s">
        <v>893</v>
      </c>
      <c r="E1653" s="482" t="s">
        <v>894</v>
      </c>
    </row>
    <row r="1654" customFormat="1" s="36">
      <c r="A1654" s="485" t="s">
        <v>3720</v>
      </c>
      <c r="B1654" s="485" t="s">
        <v>3721</v>
      </c>
      <c r="C1654" s="482">
        <v>0.0</v>
      </c>
      <c r="D1654" s="482" t="s">
        <v>893</v>
      </c>
      <c r="E1654" s="482" t="s">
        <v>894</v>
      </c>
    </row>
    <row r="1655" customFormat="1" s="36">
      <c r="A1655" s="485" t="s">
        <v>3722</v>
      </c>
      <c r="B1655" s="485" t="s">
        <v>3723</v>
      </c>
      <c r="C1655" s="482">
        <v>0.0</v>
      </c>
      <c r="D1655" s="482" t="s">
        <v>893</v>
      </c>
      <c r="E1655" s="482" t="s">
        <v>894</v>
      </c>
    </row>
    <row r="1656" customFormat="1" s="36">
      <c r="A1656" s="485" t="s">
        <v>3724</v>
      </c>
      <c r="B1656" s="485" t="s">
        <v>3725</v>
      </c>
      <c r="C1656" s="482">
        <v>0.0</v>
      </c>
      <c r="D1656" s="482" t="s">
        <v>893</v>
      </c>
      <c r="E1656" s="482" t="s">
        <v>894</v>
      </c>
    </row>
    <row r="1657" customFormat="1" s="36">
      <c r="A1657" s="485" t="s">
        <v>3726</v>
      </c>
      <c r="B1657" s="485" t="s">
        <v>3727</v>
      </c>
      <c r="C1657" s="482">
        <v>84.0</v>
      </c>
      <c r="D1657" s="482" t="s">
        <v>913</v>
      </c>
      <c r="E1657" s="482" t="s">
        <v>894</v>
      </c>
    </row>
    <row r="1658" customFormat="1" s="36">
      <c r="A1658" s="485" t="s">
        <v>3728</v>
      </c>
      <c r="B1658" s="485" t="s">
        <v>3729</v>
      </c>
      <c r="C1658" s="482">
        <v>0.0</v>
      </c>
      <c r="D1658" s="482" t="s">
        <v>893</v>
      </c>
      <c r="E1658" s="482" t="s">
        <v>894</v>
      </c>
    </row>
    <row r="1659" customFormat="1" s="36">
      <c r="A1659" s="485" t="s">
        <v>3730</v>
      </c>
      <c r="B1659" s="485" t="s">
        <v>3731</v>
      </c>
      <c r="C1659" s="482">
        <v>0.0</v>
      </c>
      <c r="D1659" s="482" t="s">
        <v>893</v>
      </c>
      <c r="E1659" s="482" t="s">
        <v>894</v>
      </c>
    </row>
    <row r="1660" customFormat="1" s="36">
      <c r="A1660" s="485" t="s">
        <v>3732</v>
      </c>
      <c r="B1660" s="485" t="s">
        <v>3733</v>
      </c>
      <c r="C1660" s="482">
        <v>0.0</v>
      </c>
      <c r="D1660" s="482" t="s">
        <v>893</v>
      </c>
      <c r="E1660" s="482" t="s">
        <v>894</v>
      </c>
    </row>
    <row r="1661" customFormat="1" s="36">
      <c r="A1661" s="485" t="s">
        <v>3734</v>
      </c>
      <c r="B1661" s="485" t="s">
        <v>3735</v>
      </c>
      <c r="C1661" s="482">
        <v>0.0</v>
      </c>
      <c r="D1661" s="482" t="s">
        <v>893</v>
      </c>
      <c r="E1661" s="482" t="s">
        <v>894</v>
      </c>
    </row>
    <row r="1662" customFormat="1" s="36">
      <c r="A1662" s="485">
        <v>36804.0</v>
      </c>
      <c r="B1662" s="485" t="s">
        <v>50</v>
      </c>
      <c r="C1662" s="482">
        <v>48.0</v>
      </c>
      <c r="D1662" s="482" t="s">
        <v>913</v>
      </c>
      <c r="E1662" s="482" t="s">
        <v>894</v>
      </c>
    </row>
    <row r="1663" customFormat="1" s="36">
      <c r="A1663" s="485">
        <v>36806.0</v>
      </c>
      <c r="B1663" s="485" t="s">
        <v>52</v>
      </c>
      <c r="C1663" s="482">
        <v>48.0</v>
      </c>
      <c r="D1663" s="482" t="s">
        <v>913</v>
      </c>
      <c r="E1663" s="482" t="s">
        <v>894</v>
      </c>
    </row>
    <row r="1664" customFormat="1" s="36">
      <c r="A1664" s="485">
        <v>36805.0</v>
      </c>
      <c r="B1664" s="485" t="s">
        <v>51</v>
      </c>
      <c r="C1664" s="482">
        <v>84.0</v>
      </c>
      <c r="D1664" s="482" t="s">
        <v>913</v>
      </c>
      <c r="E1664" s="482" t="s">
        <v>894</v>
      </c>
    </row>
    <row r="1665" customFormat="1" s="36">
      <c r="A1665" s="485">
        <v>36801.0</v>
      </c>
      <c r="B1665" s="485" t="s">
        <v>48</v>
      </c>
      <c r="C1665" s="482">
        <v>112.0</v>
      </c>
      <c r="D1665" s="482" t="s">
        <v>913</v>
      </c>
      <c r="E1665" s="482" t="s">
        <v>894</v>
      </c>
    </row>
    <row r="1666" customFormat="1" s="36">
      <c r="A1666" s="485">
        <v>36803.0</v>
      </c>
      <c r="B1666" s="485" t="s">
        <v>49</v>
      </c>
      <c r="C1666" s="482">
        <v>63.0</v>
      </c>
      <c r="D1666" s="482" t="s">
        <v>913</v>
      </c>
      <c r="E1666" s="482" t="s">
        <v>894</v>
      </c>
    </row>
    <row r="1667" customFormat="1" s="36">
      <c r="A1667" s="485">
        <v>36802.0</v>
      </c>
      <c r="B1667" s="485" t="s">
        <v>3736</v>
      </c>
      <c r="C1667" s="482">
        <v>0.0</v>
      </c>
      <c r="D1667" s="482" t="s">
        <v>893</v>
      </c>
      <c r="E1667" s="482" t="s">
        <v>894</v>
      </c>
    </row>
    <row r="1668" customFormat="1" s="36">
      <c r="A1668" s="485" t="s">
        <v>47</v>
      </c>
      <c r="B1668" s="485" t="s">
        <v>46</v>
      </c>
      <c r="C1668" s="482">
        <v>32.0</v>
      </c>
      <c r="D1668" s="482" t="s">
        <v>913</v>
      </c>
      <c r="E1668" s="482" t="s">
        <v>894</v>
      </c>
    </row>
    <row r="1669" customFormat="1" s="36">
      <c r="A1669" s="485" t="s">
        <v>44</v>
      </c>
      <c r="B1669" s="485" t="s">
        <v>43</v>
      </c>
      <c r="C1669" s="482">
        <v>3.0</v>
      </c>
      <c r="D1669" s="482" t="s">
        <v>913</v>
      </c>
      <c r="E1669" s="482" t="s">
        <v>894</v>
      </c>
    </row>
    <row r="1670" customFormat="1" s="36">
      <c r="A1670" s="485">
        <v>90403.0</v>
      </c>
      <c r="B1670" s="485" t="s">
        <v>3737</v>
      </c>
      <c r="C1670" s="482">
        <v>0.0</v>
      </c>
      <c r="D1670" s="482" t="s">
        <v>893</v>
      </c>
      <c r="E1670" s="482" t="s">
        <v>894</v>
      </c>
    </row>
    <row r="1671" customFormat="1" s="36">
      <c r="A1671" s="485">
        <v>87307.0</v>
      </c>
      <c r="B1671" s="485" t="s">
        <v>3738</v>
      </c>
      <c r="C1671" s="482">
        <v>0.0</v>
      </c>
      <c r="D1671" s="482" t="s">
        <v>893</v>
      </c>
      <c r="E1671" s="482" t="s">
        <v>894</v>
      </c>
    </row>
    <row r="1672" customFormat="1" s="36">
      <c r="A1672" s="485" t="s">
        <v>226</v>
      </c>
      <c r="B1672" s="485" t="s">
        <v>225</v>
      </c>
      <c r="C1672" s="482">
        <v>-3.0</v>
      </c>
      <c r="D1672" s="482" t="s">
        <v>913</v>
      </c>
      <c r="E1672" s="482" t="s">
        <v>894</v>
      </c>
    </row>
    <row r="1673" customFormat="1" s="36">
      <c r="A1673" s="485" t="s">
        <v>3739</v>
      </c>
      <c r="B1673" s="485" t="s">
        <v>3740</v>
      </c>
      <c r="C1673" s="482">
        <v>0.0</v>
      </c>
      <c r="D1673" s="482" t="s">
        <v>913</v>
      </c>
      <c r="E1673" s="482" t="s">
        <v>894</v>
      </c>
    </row>
    <row r="1674" customFormat="1" s="36">
      <c r="A1674" s="485" t="s">
        <v>3741</v>
      </c>
      <c r="B1674" s="485" t="s">
        <v>3742</v>
      </c>
      <c r="C1674" s="482">
        <v>-1.0</v>
      </c>
      <c r="D1674" s="482" t="s">
        <v>913</v>
      </c>
      <c r="E1674" s="482" t="s">
        <v>894</v>
      </c>
    </row>
    <row r="1675" customFormat="1" s="36">
      <c r="A1675" s="485" t="s">
        <v>3743</v>
      </c>
      <c r="B1675" s="485" t="s">
        <v>3744</v>
      </c>
      <c r="C1675" s="482">
        <v>226.0</v>
      </c>
      <c r="D1675" s="482" t="s">
        <v>913</v>
      </c>
      <c r="E1675" s="482" t="s">
        <v>894</v>
      </c>
    </row>
    <row r="1676" customFormat="1" s="36">
      <c r="A1676" s="485" t="s">
        <v>228</v>
      </c>
      <c r="B1676" s="485" t="s">
        <v>227</v>
      </c>
      <c r="C1676" s="482">
        <v>258.0</v>
      </c>
      <c r="D1676" s="482" t="s">
        <v>913</v>
      </c>
      <c r="E1676" s="482" t="s">
        <v>894</v>
      </c>
    </row>
    <row r="1677" customFormat="1" s="36">
      <c r="A1677" s="485" t="s">
        <v>3745</v>
      </c>
      <c r="B1677" s="485" t="s">
        <v>3746</v>
      </c>
      <c r="C1677" s="482">
        <v>445.0</v>
      </c>
      <c r="D1677" s="482" t="s">
        <v>913</v>
      </c>
      <c r="E1677" s="482" t="s">
        <v>894</v>
      </c>
    </row>
    <row r="1678" customFormat="1" s="36">
      <c r="A1678" s="485" t="s">
        <v>3747</v>
      </c>
      <c r="B1678" s="485" t="s">
        <v>3748</v>
      </c>
      <c r="C1678" s="482">
        <v>0.0</v>
      </c>
      <c r="D1678" s="482" t="s">
        <v>893</v>
      </c>
      <c r="E1678" s="482" t="s">
        <v>894</v>
      </c>
    </row>
    <row r="1679" customFormat="1" s="36">
      <c r="A1679" s="485" t="s">
        <v>3749</v>
      </c>
      <c r="B1679" s="485" t="s">
        <v>3750</v>
      </c>
      <c r="C1679" s="482">
        <v>3.0</v>
      </c>
      <c r="D1679" s="482" t="s">
        <v>913</v>
      </c>
      <c r="E1679" s="482" t="s">
        <v>894</v>
      </c>
    </row>
    <row r="1680" customFormat="1" s="36">
      <c r="A1680" s="485" t="s">
        <v>3751</v>
      </c>
      <c r="B1680" s="485" t="s">
        <v>3752</v>
      </c>
      <c r="C1680" s="482">
        <v>0.0</v>
      </c>
      <c r="D1680" s="482" t="s">
        <v>893</v>
      </c>
      <c r="E1680" s="482" t="s">
        <v>894</v>
      </c>
    </row>
    <row r="1681" customFormat="1" s="36">
      <c r="A1681" s="485" t="s">
        <v>3753</v>
      </c>
      <c r="B1681" s="485" t="s">
        <v>3754</v>
      </c>
      <c r="C1681" s="482">
        <v>0.0</v>
      </c>
      <c r="D1681" s="482" t="s">
        <v>913</v>
      </c>
      <c r="E1681" s="482" t="s">
        <v>894</v>
      </c>
    </row>
    <row r="1682" customFormat="1" s="36">
      <c r="A1682" s="485" t="s">
        <v>3755</v>
      </c>
      <c r="B1682" s="485" t="s">
        <v>3756</v>
      </c>
      <c r="C1682" s="482">
        <v>0.0</v>
      </c>
      <c r="D1682" s="482" t="s">
        <v>913</v>
      </c>
      <c r="E1682" s="482" t="s">
        <v>894</v>
      </c>
    </row>
    <row r="1683" customFormat="1" s="36">
      <c r="A1683" s="485" t="s">
        <v>3757</v>
      </c>
      <c r="B1683" s="485" t="s">
        <v>3758</v>
      </c>
      <c r="C1683" s="482">
        <v>0.0</v>
      </c>
      <c r="D1683" s="482" t="s">
        <v>893</v>
      </c>
      <c r="E1683" s="482" t="s">
        <v>894</v>
      </c>
    </row>
    <row r="1684" customFormat="1" s="36">
      <c r="A1684" s="485" t="s">
        <v>3759</v>
      </c>
      <c r="B1684" s="485" t="s">
        <v>3760</v>
      </c>
      <c r="C1684" s="482">
        <v>0.0</v>
      </c>
      <c r="D1684" s="482" t="s">
        <v>893</v>
      </c>
      <c r="E1684" s="482" t="s">
        <v>894</v>
      </c>
    </row>
    <row r="1685" customFormat="1" s="36">
      <c r="A1685" s="485" t="s">
        <v>3761</v>
      </c>
      <c r="B1685" s="485" t="s">
        <v>3762</v>
      </c>
      <c r="C1685" s="482">
        <v>0.0</v>
      </c>
      <c r="D1685" s="482" t="s">
        <v>913</v>
      </c>
      <c r="E1685" s="482" t="s">
        <v>894</v>
      </c>
    </row>
    <row r="1686" customFormat="1" s="36">
      <c r="A1686" s="485" t="s">
        <v>3763</v>
      </c>
      <c r="B1686" s="485" t="s">
        <v>3764</v>
      </c>
      <c r="C1686" s="482">
        <v>0.0</v>
      </c>
      <c r="D1686" s="482" t="s">
        <v>893</v>
      </c>
      <c r="E1686" s="482" t="s">
        <v>894</v>
      </c>
    </row>
    <row r="1687" customFormat="1" s="36">
      <c r="A1687" s="485" t="s">
        <v>3765</v>
      </c>
      <c r="B1687" s="485" t="s">
        <v>3766</v>
      </c>
      <c r="C1687" s="482">
        <v>0.0</v>
      </c>
      <c r="D1687" s="482" t="s">
        <v>913</v>
      </c>
      <c r="E1687" s="482" t="s">
        <v>894</v>
      </c>
    </row>
    <row r="1688" customFormat="1" s="36">
      <c r="A1688" s="485" t="s">
        <v>573</v>
      </c>
      <c r="B1688" s="485" t="s">
        <v>572</v>
      </c>
      <c r="C1688" s="482">
        <v>179.0</v>
      </c>
      <c r="D1688" s="482" t="s">
        <v>913</v>
      </c>
      <c r="E1688" s="482" t="s">
        <v>894</v>
      </c>
    </row>
    <row r="1689" customFormat="1" s="36">
      <c r="A1689" s="485" t="s">
        <v>3767</v>
      </c>
      <c r="B1689" s="485" t="s">
        <v>3768</v>
      </c>
      <c r="C1689" s="482">
        <v>-3.0</v>
      </c>
      <c r="D1689" s="482" t="s">
        <v>913</v>
      </c>
      <c r="E1689" s="482" t="s">
        <v>894</v>
      </c>
    </row>
    <row r="1690" customFormat="1" s="36">
      <c r="A1690" s="485" t="s">
        <v>3769</v>
      </c>
      <c r="B1690" s="485" t="s">
        <v>3770</v>
      </c>
      <c r="C1690" s="482">
        <v>0.0</v>
      </c>
      <c r="D1690" s="482" t="s">
        <v>893</v>
      </c>
      <c r="E1690" s="482" t="s">
        <v>894</v>
      </c>
    </row>
    <row r="1691" customFormat="1" s="36">
      <c r="A1691" s="485" t="s">
        <v>3771</v>
      </c>
      <c r="B1691" s="485" t="s">
        <v>3772</v>
      </c>
      <c r="C1691" s="482">
        <v>0.0</v>
      </c>
      <c r="D1691" s="482" t="s">
        <v>893</v>
      </c>
      <c r="E1691" s="482" t="s">
        <v>894</v>
      </c>
    </row>
    <row r="1692" customFormat="1" s="36">
      <c r="A1692" s="485" t="s">
        <v>3773</v>
      </c>
      <c r="B1692" s="485" t="s">
        <v>3774</v>
      </c>
      <c r="C1692" s="482">
        <v>0.0</v>
      </c>
      <c r="D1692" s="482" t="s">
        <v>893</v>
      </c>
      <c r="E1692" s="482" t="s">
        <v>894</v>
      </c>
    </row>
    <row r="1693" customFormat="1" s="36">
      <c r="A1693" s="485" t="s">
        <v>3775</v>
      </c>
      <c r="B1693" s="485" t="s">
        <v>3776</v>
      </c>
      <c r="C1693" s="482">
        <v>0.0</v>
      </c>
      <c r="D1693" s="482" t="s">
        <v>913</v>
      </c>
      <c r="E1693" s="482" t="s">
        <v>894</v>
      </c>
    </row>
    <row r="1694" customFormat="1" s="36">
      <c r="A1694" s="485" t="s">
        <v>3777</v>
      </c>
      <c r="B1694" s="485" t="s">
        <v>3778</v>
      </c>
      <c r="C1694" s="482">
        <v>7.0</v>
      </c>
      <c r="D1694" s="482" t="s">
        <v>913</v>
      </c>
      <c r="E1694" s="482" t="s">
        <v>1140</v>
      </c>
    </row>
    <row r="1695" customFormat="1" s="36">
      <c r="A1695" s="485" t="s">
        <v>3779</v>
      </c>
      <c r="B1695" s="485" t="s">
        <v>3780</v>
      </c>
      <c r="C1695" s="482">
        <v>50.0</v>
      </c>
      <c r="D1695" s="482" t="s">
        <v>913</v>
      </c>
      <c r="E1695" s="482" t="s">
        <v>894</v>
      </c>
    </row>
    <row r="1696" customFormat="1" s="36">
      <c r="A1696" s="485" t="s">
        <v>3781</v>
      </c>
      <c r="B1696" s="485" t="s">
        <v>3782</v>
      </c>
      <c r="C1696" s="482">
        <v>0.0</v>
      </c>
      <c r="D1696" s="482" t="s">
        <v>893</v>
      </c>
      <c r="E1696" s="482" t="s">
        <v>894</v>
      </c>
    </row>
    <row r="1697" customFormat="1" s="36">
      <c r="A1697" s="485" t="s">
        <v>3783</v>
      </c>
      <c r="B1697" s="485" t="s">
        <v>3784</v>
      </c>
      <c r="C1697" s="482">
        <v>55.0</v>
      </c>
      <c r="D1697" s="482" t="s">
        <v>913</v>
      </c>
      <c r="E1697" s="482" t="s">
        <v>894</v>
      </c>
    </row>
    <row r="1698" customFormat="1" s="36">
      <c r="A1698" s="485" t="s">
        <v>3785</v>
      </c>
      <c r="B1698" s="485" t="s">
        <v>3786</v>
      </c>
      <c r="C1698" s="482">
        <v>1.0</v>
      </c>
      <c r="D1698" s="482" t="s">
        <v>913</v>
      </c>
      <c r="E1698" s="482" t="s">
        <v>894</v>
      </c>
    </row>
    <row r="1699" customFormat="1" s="36">
      <c r="A1699" s="485" t="s">
        <v>3787</v>
      </c>
      <c r="B1699" s="485" t="s">
        <v>3788</v>
      </c>
      <c r="C1699" s="482">
        <v>50.0</v>
      </c>
      <c r="D1699" s="482" t="s">
        <v>913</v>
      </c>
      <c r="E1699" s="482" t="s">
        <v>894</v>
      </c>
    </row>
    <row r="1700" customFormat="1" s="36">
      <c r="A1700" s="485" t="s">
        <v>3789</v>
      </c>
      <c r="B1700" s="485" t="s">
        <v>3790</v>
      </c>
      <c r="C1700" s="482">
        <v>0.0</v>
      </c>
      <c r="D1700" s="482" t="s">
        <v>913</v>
      </c>
      <c r="E1700" s="482" t="s">
        <v>894</v>
      </c>
    </row>
    <row r="1701" customFormat="1" s="36">
      <c r="A1701" s="485" t="s">
        <v>3791</v>
      </c>
      <c r="B1701" s="485" t="s">
        <v>3792</v>
      </c>
      <c r="C1701" s="482">
        <v>50.0</v>
      </c>
      <c r="D1701" s="482" t="s">
        <v>913</v>
      </c>
      <c r="E1701" s="482" t="s">
        <v>894</v>
      </c>
    </row>
    <row r="1702" customFormat="1" s="36">
      <c r="A1702" s="485" t="s">
        <v>3793</v>
      </c>
      <c r="B1702" s="485" t="s">
        <v>3794</v>
      </c>
      <c r="C1702" s="482">
        <v>0.0</v>
      </c>
      <c r="D1702" s="482" t="s">
        <v>893</v>
      </c>
      <c r="E1702" s="482" t="s">
        <v>894</v>
      </c>
    </row>
    <row r="1703" customFormat="1" s="36">
      <c r="A1703" s="485" t="s">
        <v>3795</v>
      </c>
      <c r="B1703" s="485" t="s">
        <v>3796</v>
      </c>
      <c r="C1703" s="482">
        <v>50.0</v>
      </c>
      <c r="D1703" s="482" t="s">
        <v>913</v>
      </c>
      <c r="E1703" s="482" t="s">
        <v>894</v>
      </c>
    </row>
    <row r="1704" customFormat="1" s="36">
      <c r="A1704" s="485" t="s">
        <v>3797</v>
      </c>
      <c r="B1704" s="485" t="s">
        <v>3798</v>
      </c>
      <c r="C1704" s="482">
        <v>0.0</v>
      </c>
      <c r="D1704" s="482" t="s">
        <v>913</v>
      </c>
      <c r="E1704" s="482" t="s">
        <v>894</v>
      </c>
    </row>
    <row r="1705" customFormat="1" s="36">
      <c r="A1705" s="485" t="s">
        <v>3799</v>
      </c>
      <c r="B1705" s="485" t="s">
        <v>3800</v>
      </c>
      <c r="C1705" s="482">
        <v>0.0</v>
      </c>
      <c r="D1705" s="482" t="s">
        <v>893</v>
      </c>
      <c r="E1705" s="482" t="s">
        <v>894</v>
      </c>
    </row>
    <row r="1706" customFormat="1" s="36">
      <c r="A1706" s="485" t="s">
        <v>3801</v>
      </c>
      <c r="B1706" s="485" t="s">
        <v>3802</v>
      </c>
      <c r="C1706" s="482">
        <v>43.0</v>
      </c>
      <c r="D1706" s="482" t="s">
        <v>913</v>
      </c>
      <c r="E1706" s="482" t="s">
        <v>894</v>
      </c>
    </row>
    <row r="1707" customFormat="1" s="36">
      <c r="A1707" s="485" t="s">
        <v>3803</v>
      </c>
      <c r="B1707" s="485" t="s">
        <v>3804</v>
      </c>
      <c r="C1707" s="482">
        <v>0.0</v>
      </c>
      <c r="D1707" s="482" t="s">
        <v>893</v>
      </c>
      <c r="E1707" s="482" t="s">
        <v>894</v>
      </c>
    </row>
    <row r="1708" customFormat="1" s="36">
      <c r="A1708" s="485" t="s">
        <v>3805</v>
      </c>
      <c r="B1708" s="485" t="s">
        <v>3806</v>
      </c>
      <c r="C1708" s="482">
        <v>0.0</v>
      </c>
      <c r="D1708" s="482" t="s">
        <v>893</v>
      </c>
      <c r="E1708" s="482" t="s">
        <v>894</v>
      </c>
    </row>
    <row r="1709" customFormat="1" s="36">
      <c r="A1709" s="485" t="s">
        <v>3807</v>
      </c>
      <c r="B1709" s="485" t="s">
        <v>3808</v>
      </c>
      <c r="C1709" s="482">
        <v>50.0</v>
      </c>
      <c r="D1709" s="482" t="s">
        <v>913</v>
      </c>
      <c r="E1709" s="482" t="s">
        <v>894</v>
      </c>
    </row>
    <row r="1710" customFormat="1" s="36">
      <c r="A1710" s="485" t="s">
        <v>3809</v>
      </c>
      <c r="B1710" s="485" t="s">
        <v>3810</v>
      </c>
      <c r="C1710" s="482">
        <v>0.0</v>
      </c>
      <c r="D1710" s="482" t="s">
        <v>893</v>
      </c>
      <c r="E1710" s="482" t="s">
        <v>894</v>
      </c>
    </row>
    <row r="1711" customFormat="1" s="36">
      <c r="A1711" s="485" t="s">
        <v>3811</v>
      </c>
      <c r="B1711" s="485" t="s">
        <v>3812</v>
      </c>
      <c r="C1711" s="482">
        <v>0.0</v>
      </c>
      <c r="D1711" s="482" t="s">
        <v>893</v>
      </c>
      <c r="E1711" s="482" t="s">
        <v>894</v>
      </c>
    </row>
    <row r="1712" customFormat="1" s="36">
      <c r="A1712" s="485" t="s">
        <v>3813</v>
      </c>
      <c r="B1712" s="485" t="s">
        <v>3814</v>
      </c>
      <c r="C1712" s="482">
        <v>0.0</v>
      </c>
      <c r="D1712" s="482" t="s">
        <v>893</v>
      </c>
      <c r="E1712" s="482" t="s">
        <v>894</v>
      </c>
    </row>
    <row r="1713" customFormat="1" s="36">
      <c r="A1713" s="485" t="s">
        <v>3815</v>
      </c>
      <c r="B1713" s="485" t="s">
        <v>3816</v>
      </c>
      <c r="C1713" s="482">
        <v>23310.0</v>
      </c>
      <c r="D1713" s="482" t="s">
        <v>913</v>
      </c>
      <c r="E1713" s="482" t="s">
        <v>894</v>
      </c>
    </row>
    <row r="1714" customFormat="1" s="36">
      <c r="A1714" s="485" t="s">
        <v>3817</v>
      </c>
      <c r="B1714" s="485" t="s">
        <v>3818</v>
      </c>
      <c r="C1714" s="482">
        <v>528.0</v>
      </c>
      <c r="D1714" s="482" t="s">
        <v>913</v>
      </c>
      <c r="E1714" s="482" t="s">
        <v>1140</v>
      </c>
    </row>
    <row r="1715" customFormat="1" s="36">
      <c r="A1715" s="485" t="s">
        <v>3819</v>
      </c>
      <c r="B1715" s="485" t="s">
        <v>3820</v>
      </c>
      <c r="C1715" s="482">
        <v>420.0</v>
      </c>
      <c r="D1715" s="482" t="s">
        <v>913</v>
      </c>
      <c r="E1715" s="482" t="s">
        <v>1140</v>
      </c>
    </row>
    <row r="1716" customFormat="1" s="36">
      <c r="A1716" s="485" t="s">
        <v>3821</v>
      </c>
      <c r="B1716" s="485" t="s">
        <v>3822</v>
      </c>
      <c r="C1716" s="482">
        <v>0.0</v>
      </c>
      <c r="D1716" s="482" t="s">
        <v>893</v>
      </c>
      <c r="E1716" s="482" t="s">
        <v>894</v>
      </c>
    </row>
    <row r="1717" customFormat="1" s="36">
      <c r="A1717" s="485" t="s">
        <v>3823</v>
      </c>
      <c r="B1717" s="485" t="s">
        <v>3824</v>
      </c>
      <c r="C1717" s="482">
        <v>0.0</v>
      </c>
      <c r="D1717" s="482" t="s">
        <v>893</v>
      </c>
      <c r="E1717" s="482" t="s">
        <v>894</v>
      </c>
    </row>
    <row r="1718" customFormat="1" s="36">
      <c r="A1718" s="485" t="s">
        <v>3825</v>
      </c>
      <c r="B1718" s="485" t="s">
        <v>3826</v>
      </c>
      <c r="C1718" s="482">
        <v>0.0</v>
      </c>
      <c r="D1718" s="482" t="s">
        <v>893</v>
      </c>
      <c r="E1718" s="482" t="s">
        <v>894</v>
      </c>
    </row>
    <row r="1719" customFormat="1" s="36">
      <c r="A1719" s="485" t="s">
        <v>3827</v>
      </c>
      <c r="B1719" s="485" t="s">
        <v>3828</v>
      </c>
      <c r="C1719" s="482">
        <v>0.0</v>
      </c>
      <c r="D1719" s="482" t="s">
        <v>913</v>
      </c>
      <c r="E1719" s="482" t="s">
        <v>1140</v>
      </c>
    </row>
    <row r="1720" customFormat="1" s="36">
      <c r="A1720" s="485" t="s">
        <v>3829</v>
      </c>
      <c r="B1720" s="485" t="s">
        <v>3830</v>
      </c>
      <c r="C1720" s="482">
        <v>-7.0</v>
      </c>
      <c r="D1720" s="482" t="s">
        <v>913</v>
      </c>
      <c r="E1720" s="482" t="s">
        <v>1140</v>
      </c>
    </row>
    <row r="1721" customFormat="1" s="36">
      <c r="A1721" s="485" t="s">
        <v>3831</v>
      </c>
      <c r="B1721" s="485" t="s">
        <v>3832</v>
      </c>
      <c r="C1721" s="482">
        <v>24.0</v>
      </c>
      <c r="D1721" s="482" t="s">
        <v>913</v>
      </c>
      <c r="E1721" s="482" t="s">
        <v>894</v>
      </c>
    </row>
    <row r="1722" customFormat="1" s="36">
      <c r="A1722" s="485" t="s">
        <v>3833</v>
      </c>
      <c r="B1722" s="485" t="s">
        <v>3834</v>
      </c>
      <c r="C1722" s="482">
        <v>30.0</v>
      </c>
      <c r="D1722" s="482" t="s">
        <v>913</v>
      </c>
      <c r="E1722" s="482" t="s">
        <v>894</v>
      </c>
    </row>
    <row r="1723" customFormat="1" s="36">
      <c r="A1723" s="485" t="s">
        <v>3835</v>
      </c>
      <c r="B1723" s="485" t="s">
        <v>3836</v>
      </c>
      <c r="C1723" s="482">
        <v>18.0</v>
      </c>
      <c r="D1723" s="482" t="s">
        <v>913</v>
      </c>
      <c r="E1723" s="482" t="s">
        <v>894</v>
      </c>
    </row>
    <row r="1724" customFormat="1" s="36">
      <c r="A1724" s="485" t="s">
        <v>3837</v>
      </c>
      <c r="B1724" s="485" t="s">
        <v>3838</v>
      </c>
      <c r="C1724" s="482">
        <v>30.0</v>
      </c>
      <c r="D1724" s="482" t="s">
        <v>913</v>
      </c>
      <c r="E1724" s="482" t="s">
        <v>894</v>
      </c>
    </row>
    <row r="1725" customFormat="1" s="36">
      <c r="A1725" s="485" t="s">
        <v>3839</v>
      </c>
      <c r="B1725" s="485" t="s">
        <v>3840</v>
      </c>
      <c r="C1725" s="482">
        <v>30.0</v>
      </c>
      <c r="D1725" s="482" t="s">
        <v>913</v>
      </c>
      <c r="E1725" s="482" t="s">
        <v>894</v>
      </c>
    </row>
    <row r="1726" customFormat="1" s="36">
      <c r="A1726" s="485" t="s">
        <v>3841</v>
      </c>
      <c r="B1726" s="485" t="s">
        <v>3842</v>
      </c>
      <c r="C1726" s="482">
        <v>150.0</v>
      </c>
      <c r="D1726" s="482" t="s">
        <v>913</v>
      </c>
      <c r="E1726" s="482" t="s">
        <v>894</v>
      </c>
    </row>
    <row r="1727" customFormat="1" s="36">
      <c r="A1727" s="485" t="s">
        <v>3843</v>
      </c>
      <c r="B1727" s="485" t="s">
        <v>3844</v>
      </c>
      <c r="C1727" s="482">
        <v>0.0</v>
      </c>
      <c r="D1727" s="482" t="s">
        <v>893</v>
      </c>
      <c r="E1727" s="482" t="s">
        <v>894</v>
      </c>
    </row>
    <row r="1728" customFormat="1" s="36">
      <c r="A1728" s="485" t="s">
        <v>3845</v>
      </c>
      <c r="B1728" s="485" t="s">
        <v>3846</v>
      </c>
      <c r="C1728" s="482">
        <v>0.0</v>
      </c>
      <c r="D1728" s="482" t="s">
        <v>893</v>
      </c>
      <c r="E1728" s="482" t="s">
        <v>894</v>
      </c>
    </row>
    <row r="1729" customFormat="1" s="36">
      <c r="A1729" s="485" t="s">
        <v>3847</v>
      </c>
      <c r="B1729" s="485" t="s">
        <v>3848</v>
      </c>
      <c r="C1729" s="482">
        <v>0.0</v>
      </c>
      <c r="D1729" s="482" t="s">
        <v>893</v>
      </c>
      <c r="E1729" s="482" t="s">
        <v>894</v>
      </c>
    </row>
    <row r="1730" customFormat="1" s="36">
      <c r="A1730" s="485" t="s">
        <v>3849</v>
      </c>
      <c r="B1730" s="485" t="s">
        <v>3850</v>
      </c>
      <c r="C1730" s="482">
        <v>0.0</v>
      </c>
      <c r="D1730" s="482" t="s">
        <v>893</v>
      </c>
      <c r="E1730" s="482" t="s">
        <v>894</v>
      </c>
    </row>
    <row r="1731" customFormat="1" s="36">
      <c r="A1731" s="485">
        <v>3142.0</v>
      </c>
      <c r="B1731" s="485" t="s">
        <v>3851</v>
      </c>
      <c r="C1731" s="482">
        <v>0.0</v>
      </c>
      <c r="D1731" s="482" t="s">
        <v>893</v>
      </c>
      <c r="E1731" s="482" t="s">
        <v>894</v>
      </c>
    </row>
    <row r="1732" customFormat="1" s="36">
      <c r="A1732" s="485">
        <v>94901.0</v>
      </c>
      <c r="B1732" s="485" t="s">
        <v>3852</v>
      </c>
      <c r="C1732" s="482">
        <v>0.0</v>
      </c>
      <c r="D1732" s="482" t="s">
        <v>893</v>
      </c>
      <c r="E1732" s="482" t="s">
        <v>894</v>
      </c>
    </row>
    <row r="1733" customFormat="1" s="36">
      <c r="A1733" s="485" t="s">
        <v>3853</v>
      </c>
      <c r="B1733" s="485" t="s">
        <v>3854</v>
      </c>
      <c r="C1733" s="482">
        <v>340.0</v>
      </c>
      <c r="D1733" s="482" t="s">
        <v>913</v>
      </c>
      <c r="E1733" s="482" t="s">
        <v>894</v>
      </c>
    </row>
    <row r="1734" customFormat="1" s="36">
      <c r="A1734" s="485" t="s">
        <v>3855</v>
      </c>
      <c r="B1734" s="485" t="s">
        <v>3856</v>
      </c>
      <c r="C1734" s="482">
        <v>320.0</v>
      </c>
      <c r="D1734" s="482" t="s">
        <v>913</v>
      </c>
      <c r="E1734" s="482" t="s">
        <v>894</v>
      </c>
    </row>
    <row r="1735" customFormat="1" s="36">
      <c r="A1735" s="485" t="s">
        <v>3857</v>
      </c>
      <c r="B1735" s="485" t="s">
        <v>3858</v>
      </c>
      <c r="C1735" s="482">
        <v>124.0</v>
      </c>
      <c r="D1735" s="482" t="s">
        <v>913</v>
      </c>
      <c r="E1735" s="482" t="s">
        <v>894</v>
      </c>
    </row>
    <row r="1736" customFormat="1" s="36">
      <c r="A1736" s="485" t="s">
        <v>3859</v>
      </c>
      <c r="B1736" s="485" t="s">
        <v>3860</v>
      </c>
      <c r="C1736" s="482">
        <v>56.0</v>
      </c>
      <c r="D1736" s="482" t="s">
        <v>913</v>
      </c>
      <c r="E1736" s="482" t="s">
        <v>894</v>
      </c>
    </row>
    <row r="1737" customFormat="1" s="36">
      <c r="A1737" s="485" t="s">
        <v>3861</v>
      </c>
      <c r="B1737" s="485" t="s">
        <v>3862</v>
      </c>
      <c r="C1737" s="482">
        <v>79.0</v>
      </c>
      <c r="D1737" s="482" t="s">
        <v>913</v>
      </c>
      <c r="E1737" s="482" t="s">
        <v>894</v>
      </c>
    </row>
    <row r="1738" customFormat="1" s="36">
      <c r="A1738" s="485" t="s">
        <v>3863</v>
      </c>
      <c r="B1738" s="485" t="s">
        <v>3864</v>
      </c>
      <c r="C1738" s="482">
        <v>351.0</v>
      </c>
      <c r="D1738" s="482" t="s">
        <v>913</v>
      </c>
      <c r="E1738" s="482" t="s">
        <v>894</v>
      </c>
    </row>
    <row r="1739" customFormat="1" s="36">
      <c r="A1739" s="485" t="s">
        <v>3865</v>
      </c>
      <c r="B1739" s="485" t="s">
        <v>3866</v>
      </c>
      <c r="C1739" s="482">
        <v>7.0</v>
      </c>
      <c r="D1739" s="482" t="s">
        <v>913</v>
      </c>
      <c r="E1739" s="482" t="s">
        <v>894</v>
      </c>
    </row>
    <row r="1740" customFormat="1" s="36">
      <c r="A1740" s="485" t="s">
        <v>3867</v>
      </c>
      <c r="B1740" s="485" t="s">
        <v>3868</v>
      </c>
      <c r="C1740" s="482">
        <v>347.0</v>
      </c>
      <c r="D1740" s="482" t="s">
        <v>913</v>
      </c>
      <c r="E1740" s="482" t="s">
        <v>894</v>
      </c>
    </row>
    <row r="1741" customFormat="1" s="36">
      <c r="A1741" s="485" t="s">
        <v>3869</v>
      </c>
      <c r="B1741" s="485" t="s">
        <v>3870</v>
      </c>
      <c r="C1741" s="482">
        <v>170.0</v>
      </c>
      <c r="D1741" s="482" t="s">
        <v>913</v>
      </c>
      <c r="E1741" s="482" t="s">
        <v>894</v>
      </c>
    </row>
    <row r="1742" customFormat="1" s="36">
      <c r="A1742" s="485" t="s">
        <v>3871</v>
      </c>
      <c r="B1742" s="485" t="s">
        <v>3872</v>
      </c>
      <c r="C1742" s="482">
        <v>0.0</v>
      </c>
      <c r="D1742" s="482" t="s">
        <v>893</v>
      </c>
      <c r="E1742" s="482" t="s">
        <v>894</v>
      </c>
    </row>
    <row r="1743" customFormat="1" s="36">
      <c r="A1743" s="485" t="s">
        <v>3873</v>
      </c>
      <c r="B1743" s="485" t="s">
        <v>3874</v>
      </c>
      <c r="C1743" s="482">
        <v>0.0</v>
      </c>
      <c r="D1743" s="482" t="s">
        <v>893</v>
      </c>
      <c r="E1743" s="482" t="s">
        <v>1140</v>
      </c>
    </row>
    <row r="1744" customFormat="1" s="36">
      <c r="A1744" s="485" t="s">
        <v>761</v>
      </c>
      <c r="B1744" s="485" t="s">
        <v>760</v>
      </c>
      <c r="C1744" s="482">
        <v>1004.0</v>
      </c>
      <c r="D1744" s="482" t="s">
        <v>913</v>
      </c>
      <c r="E1744" s="482" t="s">
        <v>894</v>
      </c>
    </row>
    <row r="1745" customFormat="1" s="36">
      <c r="A1745" s="485" t="s">
        <v>3875</v>
      </c>
      <c r="B1745" s="485" t="s">
        <v>3876</v>
      </c>
      <c r="C1745" s="482">
        <v>-68.0</v>
      </c>
      <c r="D1745" s="482" t="s">
        <v>913</v>
      </c>
      <c r="E1745" s="482" t="s">
        <v>894</v>
      </c>
    </row>
    <row r="1746" customFormat="1" s="36">
      <c r="A1746" s="485" t="s">
        <v>3877</v>
      </c>
      <c r="B1746" s="485" t="s">
        <v>3878</v>
      </c>
      <c r="C1746" s="482">
        <v>4.0</v>
      </c>
      <c r="D1746" s="482" t="s">
        <v>913</v>
      </c>
      <c r="E1746" s="482" t="s">
        <v>894</v>
      </c>
    </row>
    <row r="1747" customFormat="1" s="36">
      <c r="A1747" s="485" t="s">
        <v>759</v>
      </c>
      <c r="B1747" s="485" t="s">
        <v>758</v>
      </c>
      <c r="C1747" s="482">
        <v>1388.0</v>
      </c>
      <c r="D1747" s="482" t="s">
        <v>913</v>
      </c>
      <c r="E1747" s="482" t="s">
        <v>894</v>
      </c>
    </row>
    <row r="1748" customFormat="1" s="36">
      <c r="A1748" s="485" t="s">
        <v>3879</v>
      </c>
      <c r="B1748" s="485" t="s">
        <v>3880</v>
      </c>
      <c r="C1748" s="482">
        <v>0.0</v>
      </c>
      <c r="D1748" s="482" t="s">
        <v>893</v>
      </c>
      <c r="E1748" s="482" t="s">
        <v>894</v>
      </c>
    </row>
    <row r="1749" customFormat="1" s="36">
      <c r="A1749" s="485" t="s">
        <v>3881</v>
      </c>
      <c r="B1749" s="485" t="s">
        <v>3882</v>
      </c>
      <c r="C1749" s="482">
        <v>957.0</v>
      </c>
      <c r="D1749" s="482" t="s">
        <v>913</v>
      </c>
      <c r="E1749" s="482" t="s">
        <v>894</v>
      </c>
    </row>
    <row r="1750" customFormat="1" s="36">
      <c r="A1750" s="485" t="s">
        <v>3883</v>
      </c>
      <c r="B1750" s="485" t="s">
        <v>3884</v>
      </c>
      <c r="C1750" s="482">
        <v>0.0</v>
      </c>
      <c r="D1750" s="482" t="s">
        <v>893</v>
      </c>
      <c r="E1750" s="482" t="s">
        <v>894</v>
      </c>
    </row>
    <row r="1751" customFormat="1" s="36">
      <c r="A1751" s="485" t="s">
        <v>3885</v>
      </c>
      <c r="B1751" s="485" t="s">
        <v>3886</v>
      </c>
      <c r="C1751" s="482">
        <v>-120.0</v>
      </c>
      <c r="D1751" s="482" t="s">
        <v>913</v>
      </c>
      <c r="E1751" s="482" t="s">
        <v>894</v>
      </c>
    </row>
    <row r="1752" customFormat="1" s="36">
      <c r="A1752" s="485" t="s">
        <v>3887</v>
      </c>
      <c r="B1752" s="485" t="s">
        <v>3888</v>
      </c>
      <c r="C1752" s="482">
        <v>-5.0</v>
      </c>
      <c r="D1752" s="482" t="s">
        <v>913</v>
      </c>
      <c r="E1752" s="482" t="s">
        <v>894</v>
      </c>
    </row>
    <row r="1753" customFormat="1" s="36">
      <c r="A1753" s="485" t="s">
        <v>757</v>
      </c>
      <c r="B1753" s="485" t="s">
        <v>756</v>
      </c>
      <c r="C1753" s="482">
        <v>1583.0</v>
      </c>
      <c r="D1753" s="482" t="s">
        <v>913</v>
      </c>
      <c r="E1753" s="482" t="s">
        <v>894</v>
      </c>
    </row>
    <row r="1754" customFormat="1" s="36">
      <c r="A1754" s="485" t="s">
        <v>3889</v>
      </c>
      <c r="B1754" s="485" t="s">
        <v>3890</v>
      </c>
      <c r="C1754" s="482">
        <v>845.0</v>
      </c>
      <c r="D1754" s="482" t="s">
        <v>913</v>
      </c>
      <c r="E1754" s="482" t="s">
        <v>894</v>
      </c>
    </row>
    <row r="1755" customFormat="1" s="36">
      <c r="A1755" s="485" t="s">
        <v>3891</v>
      </c>
      <c r="B1755" s="485" t="s">
        <v>3892</v>
      </c>
      <c r="C1755" s="482">
        <v>0.0</v>
      </c>
      <c r="D1755" s="482" t="s">
        <v>913</v>
      </c>
      <c r="E1755" s="482" t="s">
        <v>894</v>
      </c>
    </row>
    <row r="1756" customFormat="1" s="36">
      <c r="A1756" s="485" t="s">
        <v>3893</v>
      </c>
      <c r="B1756" s="485" t="s">
        <v>3894</v>
      </c>
      <c r="C1756" s="482">
        <v>0.0</v>
      </c>
      <c r="D1756" s="482" t="s">
        <v>913</v>
      </c>
      <c r="E1756" s="482" t="s">
        <v>894</v>
      </c>
    </row>
    <row r="1757" customFormat="1" s="36">
      <c r="A1757" s="485" t="s">
        <v>3895</v>
      </c>
      <c r="B1757" s="485" t="s">
        <v>3896</v>
      </c>
      <c r="C1757" s="482">
        <v>0.0</v>
      </c>
      <c r="D1757" s="482" t="s">
        <v>913</v>
      </c>
      <c r="E1757" s="482" t="s">
        <v>894</v>
      </c>
    </row>
    <row r="1758" customFormat="1" s="36">
      <c r="A1758" s="485" t="s">
        <v>3897</v>
      </c>
      <c r="B1758" s="485" t="s">
        <v>3898</v>
      </c>
      <c r="C1758" s="482">
        <v>0.0</v>
      </c>
      <c r="D1758" s="482" t="s">
        <v>913</v>
      </c>
      <c r="E1758" s="482" t="s">
        <v>894</v>
      </c>
    </row>
    <row r="1759" customFormat="1" s="36">
      <c r="A1759" s="485" t="s">
        <v>3899</v>
      </c>
      <c r="B1759" s="485" t="s">
        <v>3900</v>
      </c>
      <c r="C1759" s="482">
        <v>0.0</v>
      </c>
      <c r="D1759" s="482" t="s">
        <v>913</v>
      </c>
      <c r="E1759" s="482" t="s">
        <v>894</v>
      </c>
    </row>
    <row r="1760" customFormat="1" s="36">
      <c r="A1760" s="485" t="s">
        <v>3901</v>
      </c>
      <c r="B1760" s="485" t="s">
        <v>3902</v>
      </c>
      <c r="C1760" s="482">
        <v>0.0</v>
      </c>
      <c r="D1760" s="482" t="s">
        <v>913</v>
      </c>
      <c r="E1760" s="482" t="s">
        <v>894</v>
      </c>
    </row>
    <row r="1761" customFormat="1" s="36">
      <c r="A1761" s="485" t="s">
        <v>3903</v>
      </c>
      <c r="B1761" s="485" t="s">
        <v>3904</v>
      </c>
      <c r="C1761" s="482">
        <v>0.0</v>
      </c>
      <c r="D1761" s="482" t="s">
        <v>913</v>
      </c>
      <c r="E1761" s="482" t="s">
        <v>894</v>
      </c>
    </row>
    <row r="1762" customFormat="1" s="36">
      <c r="A1762" s="485" t="s">
        <v>3905</v>
      </c>
      <c r="B1762" s="485" t="s">
        <v>3906</v>
      </c>
      <c r="C1762" s="482">
        <v>0.0</v>
      </c>
      <c r="D1762" s="482" t="s">
        <v>913</v>
      </c>
      <c r="E1762" s="482" t="s">
        <v>894</v>
      </c>
    </row>
    <row r="1763" customFormat="1" s="36">
      <c r="A1763" s="485" t="s">
        <v>3907</v>
      </c>
      <c r="B1763" s="485" t="s">
        <v>3908</v>
      </c>
      <c r="C1763" s="482">
        <v>0.0</v>
      </c>
      <c r="D1763" s="482" t="s">
        <v>913</v>
      </c>
      <c r="E1763" s="482" t="s">
        <v>894</v>
      </c>
    </row>
    <row r="1764" customFormat="1" s="36">
      <c r="A1764" s="485" t="s">
        <v>3909</v>
      </c>
      <c r="B1764" s="485" t="s">
        <v>3910</v>
      </c>
      <c r="C1764" s="482">
        <v>0.0</v>
      </c>
      <c r="D1764" s="482" t="s">
        <v>893</v>
      </c>
      <c r="E1764" s="482" t="s">
        <v>894</v>
      </c>
    </row>
    <row r="1765" customFormat="1" s="36">
      <c r="A1765" s="485" t="s">
        <v>3911</v>
      </c>
      <c r="B1765" s="485" t="s">
        <v>3912</v>
      </c>
      <c r="C1765" s="482">
        <v>0.0</v>
      </c>
      <c r="D1765" s="482" t="s">
        <v>893</v>
      </c>
      <c r="E1765" s="482" t="s">
        <v>894</v>
      </c>
    </row>
    <row r="1766" customFormat="1" s="36">
      <c r="A1766" s="485" t="s">
        <v>3913</v>
      </c>
      <c r="B1766" s="485" t="s">
        <v>3914</v>
      </c>
      <c r="C1766" s="482">
        <v>0.0</v>
      </c>
      <c r="D1766" s="482" t="s">
        <v>893</v>
      </c>
      <c r="E1766" s="482" t="s">
        <v>894</v>
      </c>
    </row>
    <row r="1767" customFormat="1" s="36">
      <c r="A1767" s="485" t="s">
        <v>3915</v>
      </c>
      <c r="B1767" s="485" t="s">
        <v>3916</v>
      </c>
      <c r="C1767" s="482">
        <v>0.0</v>
      </c>
      <c r="D1767" s="482" t="s">
        <v>893</v>
      </c>
      <c r="E1767" s="482" t="s">
        <v>894</v>
      </c>
    </row>
    <row r="1768" customFormat="1" s="36">
      <c r="A1768" s="485" t="s">
        <v>3917</v>
      </c>
      <c r="B1768" s="485" t="s">
        <v>3918</v>
      </c>
      <c r="C1768" s="482">
        <v>0.0</v>
      </c>
      <c r="D1768" s="482" t="s">
        <v>893</v>
      </c>
      <c r="E1768" s="482" t="s">
        <v>894</v>
      </c>
    </row>
    <row r="1769" customFormat="1" s="36">
      <c r="A1769" s="485" t="s">
        <v>3919</v>
      </c>
      <c r="B1769" s="485" t="s">
        <v>3920</v>
      </c>
      <c r="C1769" s="482">
        <v>0.0</v>
      </c>
      <c r="D1769" s="482" t="s">
        <v>893</v>
      </c>
      <c r="E1769" s="482" t="s">
        <v>894</v>
      </c>
    </row>
    <row r="1770" customFormat="1" s="36">
      <c r="A1770" s="485" t="s">
        <v>3921</v>
      </c>
      <c r="B1770" s="485" t="s">
        <v>3922</v>
      </c>
      <c r="C1770" s="482">
        <v>325.0</v>
      </c>
      <c r="D1770" s="482" t="s">
        <v>913</v>
      </c>
      <c r="E1770" s="482" t="s">
        <v>894</v>
      </c>
    </row>
    <row r="1771" customFormat="1" s="36">
      <c r="A1771" s="485" t="s">
        <v>3923</v>
      </c>
      <c r="B1771" s="485" t="s">
        <v>3924</v>
      </c>
      <c r="C1771" s="482">
        <v>0.0</v>
      </c>
      <c r="D1771" s="482" t="s">
        <v>893</v>
      </c>
      <c r="E1771" s="482" t="s">
        <v>894</v>
      </c>
    </row>
    <row r="1772" customFormat="1" s="36">
      <c r="A1772" s="485" t="s">
        <v>3925</v>
      </c>
      <c r="B1772" s="485" t="s">
        <v>3926</v>
      </c>
      <c r="C1772" s="482">
        <v>50.0</v>
      </c>
      <c r="D1772" s="482" t="s">
        <v>913</v>
      </c>
      <c r="E1772" s="482" t="s">
        <v>894</v>
      </c>
    </row>
    <row r="1773" customFormat="1" s="36">
      <c r="A1773" s="485" t="s">
        <v>3927</v>
      </c>
      <c r="B1773" s="485" t="s">
        <v>3928</v>
      </c>
      <c r="C1773" s="482">
        <v>0.0</v>
      </c>
      <c r="D1773" s="482" t="s">
        <v>893</v>
      </c>
      <c r="E1773" s="482" t="s">
        <v>894</v>
      </c>
    </row>
    <row r="1774" customFormat="1" s="36">
      <c r="A1774" s="485" t="s">
        <v>3929</v>
      </c>
      <c r="B1774" s="485" t="s">
        <v>3930</v>
      </c>
      <c r="C1774" s="482">
        <v>684.0</v>
      </c>
      <c r="D1774" s="482" t="s">
        <v>913</v>
      </c>
      <c r="E1774" s="482" t="s">
        <v>894</v>
      </c>
    </row>
    <row r="1775" customFormat="1" s="36">
      <c r="A1775" s="485" t="s">
        <v>3931</v>
      </c>
      <c r="B1775" s="485" t="s">
        <v>3932</v>
      </c>
      <c r="C1775" s="482">
        <v>150.0</v>
      </c>
      <c r="D1775" s="482" t="s">
        <v>913</v>
      </c>
      <c r="E1775" s="482" t="s">
        <v>894</v>
      </c>
    </row>
    <row r="1776" customFormat="1" s="36">
      <c r="A1776" s="485" t="s">
        <v>3933</v>
      </c>
      <c r="B1776" s="485" t="s">
        <v>3934</v>
      </c>
      <c r="C1776" s="482">
        <v>102.0</v>
      </c>
      <c r="D1776" s="482" t="s">
        <v>913</v>
      </c>
      <c r="E1776" s="482" t="s">
        <v>894</v>
      </c>
    </row>
    <row r="1777" customFormat="1" s="36">
      <c r="A1777" s="485" t="s">
        <v>3935</v>
      </c>
      <c r="B1777" s="485" t="s">
        <v>3936</v>
      </c>
      <c r="C1777" s="482">
        <v>0.0</v>
      </c>
      <c r="D1777" s="482" t="s">
        <v>893</v>
      </c>
      <c r="E1777" s="482" t="s">
        <v>894</v>
      </c>
    </row>
    <row r="1778" customFormat="1" s="36">
      <c r="A1778" s="485" t="s">
        <v>3937</v>
      </c>
      <c r="B1778" s="485" t="s">
        <v>3938</v>
      </c>
      <c r="C1778" s="482">
        <v>238.0</v>
      </c>
      <c r="D1778" s="482" t="s">
        <v>913</v>
      </c>
      <c r="E1778" s="482" t="s">
        <v>894</v>
      </c>
    </row>
    <row r="1779" customFormat="1" s="36">
      <c r="A1779" s="485" t="s">
        <v>3939</v>
      </c>
      <c r="B1779" s="485" t="s">
        <v>3940</v>
      </c>
      <c r="C1779" s="482">
        <v>0.0</v>
      </c>
      <c r="D1779" s="482" t="s">
        <v>893</v>
      </c>
      <c r="E1779" s="482" t="s">
        <v>894</v>
      </c>
    </row>
    <row r="1780" customFormat="1" s="36">
      <c r="A1780" s="485" t="s">
        <v>3941</v>
      </c>
      <c r="B1780" s="485" t="s">
        <v>3942</v>
      </c>
      <c r="C1780" s="482">
        <v>302.0</v>
      </c>
      <c r="D1780" s="482" t="s">
        <v>913</v>
      </c>
      <c r="E1780" s="482" t="s">
        <v>894</v>
      </c>
    </row>
    <row r="1781" customFormat="1" s="36">
      <c r="A1781" s="485" t="s">
        <v>3943</v>
      </c>
      <c r="B1781" s="485" t="s">
        <v>3944</v>
      </c>
      <c r="C1781" s="482">
        <v>757.0</v>
      </c>
      <c r="D1781" s="482" t="s">
        <v>913</v>
      </c>
      <c r="E1781" s="482" t="s">
        <v>894</v>
      </c>
    </row>
    <row r="1782" customFormat="1" s="36">
      <c r="A1782" s="485" t="s">
        <v>3945</v>
      </c>
      <c r="B1782" s="485" t="s">
        <v>3946</v>
      </c>
      <c r="C1782" s="482">
        <v>761.0</v>
      </c>
      <c r="D1782" s="482" t="s">
        <v>913</v>
      </c>
      <c r="E1782" s="482" t="s">
        <v>894</v>
      </c>
    </row>
    <row r="1783" customFormat="1" s="36">
      <c r="A1783" s="485" t="s">
        <v>3947</v>
      </c>
      <c r="B1783" s="485" t="s">
        <v>3948</v>
      </c>
      <c r="C1783" s="482">
        <v>44.0</v>
      </c>
      <c r="D1783" s="482" t="s">
        <v>913</v>
      </c>
      <c r="E1783" s="482" t="s">
        <v>894</v>
      </c>
    </row>
    <row r="1784" customFormat="1" s="36">
      <c r="A1784" s="485" t="s">
        <v>3949</v>
      </c>
      <c r="B1784" s="485" t="s">
        <v>3950</v>
      </c>
      <c r="C1784" s="482">
        <v>877.0</v>
      </c>
      <c r="D1784" s="482" t="s">
        <v>913</v>
      </c>
      <c r="E1784" s="482" t="s">
        <v>894</v>
      </c>
    </row>
    <row r="1785" customFormat="1" s="36">
      <c r="A1785" s="485" t="s">
        <v>3951</v>
      </c>
      <c r="B1785" s="485" t="s">
        <v>3952</v>
      </c>
      <c r="C1785" s="482">
        <v>126.0</v>
      </c>
      <c r="D1785" s="482" t="s">
        <v>913</v>
      </c>
      <c r="E1785" s="482" t="s">
        <v>894</v>
      </c>
    </row>
    <row r="1786" customFormat="1" s="36">
      <c r="A1786" s="485" t="s">
        <v>3953</v>
      </c>
      <c r="B1786" s="485" t="s">
        <v>3954</v>
      </c>
      <c r="C1786" s="482">
        <v>527.0</v>
      </c>
      <c r="D1786" s="482" t="s">
        <v>913</v>
      </c>
      <c r="E1786" s="482" t="s">
        <v>894</v>
      </c>
    </row>
    <row r="1787" customFormat="1" s="36">
      <c r="A1787" s="485" t="s">
        <v>3955</v>
      </c>
      <c r="B1787" s="485" t="s">
        <v>3956</v>
      </c>
      <c r="C1787" s="482">
        <v>859.0</v>
      </c>
      <c r="D1787" s="482" t="s">
        <v>913</v>
      </c>
      <c r="E1787" s="482" t="s">
        <v>894</v>
      </c>
    </row>
    <row r="1788" customFormat="1" s="36">
      <c r="A1788" s="485" t="s">
        <v>3957</v>
      </c>
      <c r="B1788" s="485" t="s">
        <v>3958</v>
      </c>
      <c r="C1788" s="482">
        <v>583.0</v>
      </c>
      <c r="D1788" s="482" t="s">
        <v>913</v>
      </c>
      <c r="E1788" s="482" t="s">
        <v>894</v>
      </c>
    </row>
    <row r="1789" customFormat="1" s="36">
      <c r="A1789" s="485" t="s">
        <v>3959</v>
      </c>
      <c r="B1789" s="485" t="s">
        <v>3960</v>
      </c>
      <c r="C1789" s="482">
        <v>0.0</v>
      </c>
      <c r="D1789" s="482" t="s">
        <v>893</v>
      </c>
      <c r="E1789" s="482" t="s">
        <v>894</v>
      </c>
    </row>
    <row r="1790" customFormat="1" s="36">
      <c r="A1790" s="485" t="s">
        <v>3961</v>
      </c>
      <c r="B1790" s="485" t="s">
        <v>3962</v>
      </c>
      <c r="C1790" s="482">
        <v>383.0</v>
      </c>
      <c r="D1790" s="482" t="s">
        <v>913</v>
      </c>
      <c r="E1790" s="482" t="s">
        <v>894</v>
      </c>
    </row>
    <row r="1791" customFormat="1" s="36">
      <c r="A1791" s="485" t="s">
        <v>3963</v>
      </c>
      <c r="B1791" s="485" t="s">
        <v>3964</v>
      </c>
      <c r="C1791" s="482">
        <v>439.0</v>
      </c>
      <c r="D1791" s="482" t="s">
        <v>913</v>
      </c>
      <c r="E1791" s="482" t="s">
        <v>894</v>
      </c>
    </row>
    <row r="1792" customFormat="1" s="36">
      <c r="A1792" s="485" t="s">
        <v>3965</v>
      </c>
      <c r="B1792" s="485" t="s">
        <v>3966</v>
      </c>
      <c r="C1792" s="482">
        <v>0.0</v>
      </c>
      <c r="D1792" s="482" t="s">
        <v>893</v>
      </c>
      <c r="E1792" s="482" t="s">
        <v>894</v>
      </c>
    </row>
    <row r="1793" customFormat="1" s="36">
      <c r="A1793" s="485" t="s">
        <v>3967</v>
      </c>
      <c r="B1793" s="485" t="s">
        <v>3968</v>
      </c>
      <c r="C1793" s="482">
        <v>50.0</v>
      </c>
      <c r="D1793" s="482" t="s">
        <v>913</v>
      </c>
      <c r="E1793" s="482" t="s">
        <v>894</v>
      </c>
    </row>
    <row r="1794" customFormat="1" s="36">
      <c r="A1794" s="485" t="s">
        <v>3969</v>
      </c>
      <c r="B1794" s="485" t="s">
        <v>3970</v>
      </c>
      <c r="C1794" s="482">
        <v>0.0</v>
      </c>
      <c r="D1794" s="482" t="s">
        <v>913</v>
      </c>
      <c r="E1794" s="482" t="s">
        <v>894</v>
      </c>
    </row>
    <row r="1795" customFormat="1" s="36">
      <c r="A1795" s="485" t="s">
        <v>3971</v>
      </c>
      <c r="B1795" s="485" t="s">
        <v>3972</v>
      </c>
      <c r="C1795" s="482">
        <v>195.0</v>
      </c>
      <c r="D1795" s="482" t="s">
        <v>913</v>
      </c>
      <c r="E1795" s="482" t="s">
        <v>894</v>
      </c>
    </row>
    <row r="1796" customFormat="1" s="36">
      <c r="A1796" s="485" t="s">
        <v>3973</v>
      </c>
      <c r="B1796" s="485" t="s">
        <v>3974</v>
      </c>
      <c r="C1796" s="482">
        <v>0.0</v>
      </c>
      <c r="D1796" s="482" t="s">
        <v>893</v>
      </c>
      <c r="E1796" s="482" t="s">
        <v>894</v>
      </c>
    </row>
    <row r="1797" customFormat="1" s="36">
      <c r="A1797" s="485" t="s">
        <v>3975</v>
      </c>
      <c r="B1797" s="485" t="s">
        <v>3976</v>
      </c>
      <c r="C1797" s="482">
        <v>0.0</v>
      </c>
      <c r="D1797" s="482" t="s">
        <v>893</v>
      </c>
      <c r="E1797" s="482" t="s">
        <v>894</v>
      </c>
    </row>
    <row r="1798" customFormat="1" s="36">
      <c r="A1798" s="485" t="s">
        <v>3977</v>
      </c>
      <c r="B1798" s="485" t="s">
        <v>3978</v>
      </c>
      <c r="C1798" s="482">
        <v>0.0</v>
      </c>
      <c r="D1798" s="482" t="s">
        <v>893</v>
      </c>
      <c r="E1798" s="482" t="s">
        <v>894</v>
      </c>
    </row>
    <row r="1799" customFormat="1" s="36">
      <c r="A1799" s="485" t="s">
        <v>3979</v>
      </c>
      <c r="B1799" s="485" t="s">
        <v>3980</v>
      </c>
      <c r="C1799" s="482">
        <v>0.0</v>
      </c>
      <c r="D1799" s="482" t="s">
        <v>893</v>
      </c>
      <c r="E1799" s="482" t="s">
        <v>894</v>
      </c>
    </row>
    <row r="1800" customFormat="1" s="36">
      <c r="A1800" s="485" t="s">
        <v>3981</v>
      </c>
      <c r="B1800" s="485" t="s">
        <v>3982</v>
      </c>
      <c r="C1800" s="482">
        <v>0.0</v>
      </c>
      <c r="D1800" s="482" t="s">
        <v>893</v>
      </c>
      <c r="E1800" s="482" t="s">
        <v>894</v>
      </c>
    </row>
    <row r="1801" customFormat="1" s="36">
      <c r="A1801" s="485" t="s">
        <v>3983</v>
      </c>
      <c r="B1801" s="485" t="s">
        <v>3984</v>
      </c>
      <c r="C1801" s="482">
        <v>708.0</v>
      </c>
      <c r="D1801" s="482" t="s">
        <v>913</v>
      </c>
      <c r="E1801" s="482" t="s">
        <v>894</v>
      </c>
    </row>
    <row r="1802" customFormat="1" s="36">
      <c r="A1802" s="485" t="s">
        <v>3985</v>
      </c>
      <c r="B1802" s="485" t="s">
        <v>3986</v>
      </c>
      <c r="C1802" s="482">
        <v>1.0</v>
      </c>
      <c r="D1802" s="482" t="s">
        <v>913</v>
      </c>
      <c r="E1802" s="482" t="s">
        <v>1140</v>
      </c>
    </row>
    <row r="1803" customFormat="1" s="36">
      <c r="A1803" s="485" t="s">
        <v>3987</v>
      </c>
      <c r="B1803" s="485" t="s">
        <v>3988</v>
      </c>
      <c r="C1803" s="482">
        <v>0.0</v>
      </c>
      <c r="D1803" s="482" t="s">
        <v>893</v>
      </c>
      <c r="E1803" s="482" t="s">
        <v>1140</v>
      </c>
    </row>
    <row r="1804" customFormat="1" s="36">
      <c r="A1804" s="485" t="s">
        <v>3989</v>
      </c>
      <c r="B1804" s="485" t="s">
        <v>3990</v>
      </c>
      <c r="C1804" s="482">
        <v>6.0</v>
      </c>
      <c r="D1804" s="482" t="s">
        <v>913</v>
      </c>
      <c r="E1804" s="482" t="s">
        <v>1140</v>
      </c>
    </row>
    <row r="1805" customFormat="1" s="36">
      <c r="A1805" s="485" t="s">
        <v>3991</v>
      </c>
      <c r="B1805" s="485" t="s">
        <v>3992</v>
      </c>
      <c r="C1805" s="482">
        <v>0.0</v>
      </c>
      <c r="D1805" s="482" t="s">
        <v>893</v>
      </c>
      <c r="E1805" s="482" t="s">
        <v>894</v>
      </c>
    </row>
    <row r="1806" customFormat="1" s="36">
      <c r="A1806" s="485" t="s">
        <v>3993</v>
      </c>
      <c r="B1806" s="485" t="s">
        <v>3994</v>
      </c>
      <c r="C1806" s="482">
        <v>0.0</v>
      </c>
      <c r="D1806" s="482" t="s">
        <v>893</v>
      </c>
      <c r="E1806" s="482" t="s">
        <v>894</v>
      </c>
    </row>
    <row r="1807" customFormat="1" s="36">
      <c r="A1807" s="485" t="s">
        <v>3995</v>
      </c>
      <c r="B1807" s="485" t="s">
        <v>3996</v>
      </c>
      <c r="C1807" s="482">
        <v>0.0</v>
      </c>
      <c r="D1807" s="482" t="s">
        <v>893</v>
      </c>
      <c r="E1807" s="482" t="s">
        <v>1799</v>
      </c>
    </row>
    <row r="1808" customFormat="1" s="36">
      <c r="A1808" s="485" t="s">
        <v>3997</v>
      </c>
      <c r="B1808" s="485" t="s">
        <v>3998</v>
      </c>
      <c r="C1808" s="482">
        <v>0.0</v>
      </c>
      <c r="D1808" s="482" t="s">
        <v>893</v>
      </c>
      <c r="E1808" s="482" t="s">
        <v>1799</v>
      </c>
    </row>
    <row r="1809" customFormat="1" s="36">
      <c r="A1809" s="485">
        <v>92901.0</v>
      </c>
      <c r="B1809" s="485" t="s">
        <v>3999</v>
      </c>
      <c r="C1809" s="482">
        <v>0.0</v>
      </c>
      <c r="D1809" s="482" t="s">
        <v>893</v>
      </c>
      <c r="E1809" s="482" t="s">
        <v>894</v>
      </c>
    </row>
    <row r="1810" customFormat="1" s="36">
      <c r="A1810" s="485">
        <v>92902.0</v>
      </c>
      <c r="B1810" s="485" t="s">
        <v>4000</v>
      </c>
      <c r="C1810" s="482">
        <v>0.0</v>
      </c>
      <c r="D1810" s="482" t="s">
        <v>893</v>
      </c>
      <c r="E1810" s="482" t="s">
        <v>894</v>
      </c>
    </row>
    <row r="1811" customFormat="1" s="36">
      <c r="A1811" s="485">
        <v>92903.0</v>
      </c>
      <c r="B1811" s="485" t="s">
        <v>4001</v>
      </c>
      <c r="C1811" s="482">
        <v>0.0</v>
      </c>
      <c r="D1811" s="482" t="s">
        <v>893</v>
      </c>
      <c r="E1811" s="482" t="s">
        <v>894</v>
      </c>
    </row>
    <row r="1812" customFormat="1" s="36">
      <c r="A1812" s="485">
        <v>92904.0</v>
      </c>
      <c r="B1812" s="485" t="s">
        <v>4002</v>
      </c>
      <c r="C1812" s="482">
        <v>0.0</v>
      </c>
      <c r="D1812" s="482" t="s">
        <v>893</v>
      </c>
      <c r="E1812" s="482" t="s">
        <v>894</v>
      </c>
    </row>
    <row r="1813" customFormat="1" s="36">
      <c r="A1813" s="485">
        <v>92905.0</v>
      </c>
      <c r="B1813" s="485" t="s">
        <v>4003</v>
      </c>
      <c r="C1813" s="482">
        <v>0.0</v>
      </c>
      <c r="D1813" s="482" t="s">
        <v>893</v>
      </c>
      <c r="E1813" s="482" t="s">
        <v>894</v>
      </c>
    </row>
    <row r="1814" customFormat="1" s="36">
      <c r="A1814" s="485">
        <v>92906.0</v>
      </c>
      <c r="B1814" s="485" t="s">
        <v>4004</v>
      </c>
      <c r="C1814" s="482">
        <v>0.0</v>
      </c>
      <c r="D1814" s="482" t="s">
        <v>893</v>
      </c>
      <c r="E1814" s="482" t="s">
        <v>894</v>
      </c>
    </row>
    <row r="1815" customFormat="1" s="36">
      <c r="A1815" s="485">
        <v>92907.0</v>
      </c>
      <c r="B1815" s="485" t="s">
        <v>4005</v>
      </c>
      <c r="C1815" s="482">
        <v>0.0</v>
      </c>
      <c r="D1815" s="482" t="s">
        <v>893</v>
      </c>
      <c r="E1815" s="482" t="s">
        <v>894</v>
      </c>
    </row>
    <row r="1816" customFormat="1" s="36">
      <c r="A1816" s="485">
        <v>92908.0</v>
      </c>
      <c r="B1816" s="485" t="s">
        <v>4006</v>
      </c>
      <c r="C1816" s="482">
        <v>0.0</v>
      </c>
      <c r="D1816" s="482" t="s">
        <v>893</v>
      </c>
      <c r="E1816" s="482" t="s">
        <v>894</v>
      </c>
    </row>
    <row r="1817" customFormat="1" s="36">
      <c r="A1817" s="485">
        <v>92909.0</v>
      </c>
      <c r="B1817" s="485" t="s">
        <v>4007</v>
      </c>
      <c r="C1817" s="482">
        <v>0.0</v>
      </c>
      <c r="D1817" s="482" t="s">
        <v>893</v>
      </c>
      <c r="E1817" s="482" t="s">
        <v>894</v>
      </c>
    </row>
    <row r="1818" customFormat="1" s="36">
      <c r="A1818" s="485">
        <v>92910.0</v>
      </c>
      <c r="B1818" s="485" t="s">
        <v>4008</v>
      </c>
      <c r="C1818" s="482">
        <v>0.0</v>
      </c>
      <c r="D1818" s="482" t="s">
        <v>893</v>
      </c>
      <c r="E1818" s="482" t="s">
        <v>894</v>
      </c>
    </row>
    <row r="1819" customFormat="1" s="36">
      <c r="A1819" s="485">
        <v>92911.0</v>
      </c>
      <c r="B1819" s="485" t="s">
        <v>4009</v>
      </c>
      <c r="C1819" s="482">
        <v>0.0</v>
      </c>
      <c r="D1819" s="482" t="s">
        <v>893</v>
      </c>
      <c r="E1819" s="482" t="s">
        <v>894</v>
      </c>
    </row>
    <row r="1820" customFormat="1" s="36">
      <c r="A1820" s="485">
        <v>92912.0</v>
      </c>
      <c r="B1820" s="485" t="s">
        <v>4010</v>
      </c>
      <c r="C1820" s="482">
        <v>0.0</v>
      </c>
      <c r="D1820" s="482" t="s">
        <v>893</v>
      </c>
      <c r="E1820" s="482" t="s">
        <v>894</v>
      </c>
    </row>
    <row r="1821" customFormat="1" s="36">
      <c r="A1821" s="485">
        <v>92913.0</v>
      </c>
      <c r="B1821" s="485" t="s">
        <v>4011</v>
      </c>
      <c r="C1821" s="482">
        <v>0.0</v>
      </c>
      <c r="D1821" s="482" t="s">
        <v>893</v>
      </c>
      <c r="E1821" s="482" t="s">
        <v>894</v>
      </c>
    </row>
    <row r="1822" customFormat="1" s="36">
      <c r="A1822" s="485">
        <v>92914.0</v>
      </c>
      <c r="B1822" s="485" t="s">
        <v>4012</v>
      </c>
      <c r="C1822" s="482">
        <v>0.0</v>
      </c>
      <c r="D1822" s="482" t="s">
        <v>893</v>
      </c>
      <c r="E1822" s="482" t="s">
        <v>894</v>
      </c>
    </row>
    <row r="1823" customFormat="1" s="36">
      <c r="A1823" s="485">
        <v>92915.0</v>
      </c>
      <c r="B1823" s="485" t="s">
        <v>4013</v>
      </c>
      <c r="C1823" s="482">
        <v>0.0</v>
      </c>
      <c r="D1823" s="482" t="s">
        <v>893</v>
      </c>
      <c r="E1823" s="482" t="s">
        <v>894</v>
      </c>
    </row>
    <row r="1824" customFormat="1" s="36">
      <c r="A1824" s="485">
        <v>92916.0</v>
      </c>
      <c r="B1824" s="485" t="s">
        <v>4014</v>
      </c>
      <c r="C1824" s="482">
        <v>0.0</v>
      </c>
      <c r="D1824" s="482" t="s">
        <v>893</v>
      </c>
      <c r="E1824" s="482" t="s">
        <v>894</v>
      </c>
    </row>
    <row r="1825" customFormat="1" s="36">
      <c r="A1825" s="485">
        <v>92918.0</v>
      </c>
      <c r="B1825" s="485" t="s">
        <v>4015</v>
      </c>
      <c r="C1825" s="482">
        <v>0.0</v>
      </c>
      <c r="D1825" s="482" t="s">
        <v>893</v>
      </c>
      <c r="E1825" s="482" t="s">
        <v>894</v>
      </c>
    </row>
    <row r="1826" customFormat="1" s="36">
      <c r="A1826" s="485">
        <v>92919.0</v>
      </c>
      <c r="B1826" s="485" t="s">
        <v>4016</v>
      </c>
      <c r="C1826" s="482">
        <v>0.0</v>
      </c>
      <c r="D1826" s="482" t="s">
        <v>893</v>
      </c>
      <c r="E1826" s="482" t="s">
        <v>894</v>
      </c>
    </row>
    <row r="1827" customFormat="1" s="36">
      <c r="A1827" s="485" t="s">
        <v>4017</v>
      </c>
      <c r="B1827" s="485" t="s">
        <v>4018</v>
      </c>
      <c r="C1827" s="482">
        <v>0.0</v>
      </c>
      <c r="D1827" s="482" t="s">
        <v>893</v>
      </c>
      <c r="E1827" s="482" t="s">
        <v>894</v>
      </c>
    </row>
    <row r="1828" customFormat="1" s="36">
      <c r="A1828" s="485">
        <v>92920.0</v>
      </c>
      <c r="B1828" s="485" t="s">
        <v>4019</v>
      </c>
      <c r="C1828" s="482">
        <v>0.0</v>
      </c>
      <c r="D1828" s="482" t="s">
        <v>893</v>
      </c>
      <c r="E1828" s="482" t="s">
        <v>894</v>
      </c>
    </row>
    <row r="1829" customFormat="1" s="36">
      <c r="A1829" s="485">
        <v>92921.0</v>
      </c>
      <c r="B1829" s="485" t="s">
        <v>4020</v>
      </c>
      <c r="C1829" s="482">
        <v>0.0</v>
      </c>
      <c r="D1829" s="482" t="s">
        <v>893</v>
      </c>
      <c r="E1829" s="482" t="s">
        <v>894</v>
      </c>
    </row>
    <row r="1830" customFormat="1" s="36">
      <c r="A1830" s="485">
        <v>92922.0</v>
      </c>
      <c r="B1830" s="485" t="s">
        <v>4021</v>
      </c>
      <c r="C1830" s="482">
        <v>0.0</v>
      </c>
      <c r="D1830" s="482" t="s">
        <v>893</v>
      </c>
      <c r="E1830" s="482" t="s">
        <v>894</v>
      </c>
    </row>
    <row r="1831" customFormat="1" s="36">
      <c r="A1831" s="485">
        <v>92923.0</v>
      </c>
      <c r="B1831" s="485" t="s">
        <v>4022</v>
      </c>
      <c r="C1831" s="482">
        <v>0.0</v>
      </c>
      <c r="D1831" s="482" t="s">
        <v>893</v>
      </c>
      <c r="E1831" s="482" t="s">
        <v>894</v>
      </c>
    </row>
    <row r="1832" customFormat="1" s="36">
      <c r="A1832" s="485">
        <v>92925.0</v>
      </c>
      <c r="B1832" s="485" t="s">
        <v>4023</v>
      </c>
      <c r="C1832" s="482">
        <v>0.0</v>
      </c>
      <c r="D1832" s="482" t="s">
        <v>893</v>
      </c>
      <c r="E1832" s="482" t="s">
        <v>894</v>
      </c>
    </row>
    <row r="1833" customFormat="1" s="36">
      <c r="A1833" s="485">
        <v>92926.0</v>
      </c>
      <c r="B1833" s="485" t="s">
        <v>4024</v>
      </c>
      <c r="C1833" s="482">
        <v>0.0</v>
      </c>
      <c r="D1833" s="482" t="s">
        <v>893</v>
      </c>
      <c r="E1833" s="482" t="s">
        <v>894</v>
      </c>
    </row>
    <row r="1834" customFormat="1" s="36">
      <c r="A1834" s="485">
        <v>94102.0</v>
      </c>
      <c r="B1834" s="485" t="s">
        <v>4025</v>
      </c>
      <c r="C1834" s="482">
        <v>0.0</v>
      </c>
      <c r="D1834" s="482" t="s">
        <v>893</v>
      </c>
      <c r="E1834" s="482" t="s">
        <v>894</v>
      </c>
    </row>
    <row r="1835" customFormat="1" s="36">
      <c r="A1835" s="485" t="s">
        <v>4026</v>
      </c>
      <c r="B1835" s="485" t="s">
        <v>4027</v>
      </c>
      <c r="C1835" s="482">
        <v>0.0</v>
      </c>
      <c r="D1835" s="482" t="s">
        <v>893</v>
      </c>
      <c r="E1835" s="482" t="s">
        <v>894</v>
      </c>
    </row>
    <row r="1836" customFormat="1" s="36">
      <c r="A1836" s="485" t="s">
        <v>4028</v>
      </c>
      <c r="B1836" s="485" t="s">
        <v>4029</v>
      </c>
      <c r="C1836" s="482">
        <v>0.0</v>
      </c>
      <c r="D1836" s="482" t="s">
        <v>893</v>
      </c>
      <c r="E1836" s="482" t="s">
        <v>894</v>
      </c>
    </row>
    <row r="1837" customFormat="1" s="36">
      <c r="A1837" s="485" t="s">
        <v>4030</v>
      </c>
      <c r="B1837" s="485" t="s">
        <v>4031</v>
      </c>
      <c r="C1837" s="482">
        <v>0.0</v>
      </c>
      <c r="D1837" s="482" t="s">
        <v>893</v>
      </c>
      <c r="E1837" s="482" t="s">
        <v>894</v>
      </c>
    </row>
    <row r="1838" customFormat="1" s="36">
      <c r="A1838" s="485" t="s">
        <v>4032</v>
      </c>
      <c r="B1838" s="485" t="s">
        <v>4033</v>
      </c>
      <c r="C1838" s="482">
        <v>0.0</v>
      </c>
      <c r="D1838" s="482" t="s">
        <v>893</v>
      </c>
      <c r="E1838" s="482" t="s">
        <v>894</v>
      </c>
    </row>
    <row r="1839" customFormat="1" s="36">
      <c r="A1839" s="485" t="s">
        <v>4034</v>
      </c>
      <c r="B1839" s="485" t="s">
        <v>4035</v>
      </c>
      <c r="C1839" s="482">
        <v>0.0</v>
      </c>
      <c r="D1839" s="482" t="s">
        <v>893</v>
      </c>
      <c r="E1839" s="482" t="s">
        <v>894</v>
      </c>
    </row>
    <row r="1840" customFormat="1" s="36">
      <c r="A1840" s="485" t="s">
        <v>4036</v>
      </c>
      <c r="B1840" s="485" t="s">
        <v>4037</v>
      </c>
      <c r="C1840" s="482">
        <v>0.0</v>
      </c>
      <c r="D1840" s="482" t="s">
        <v>893</v>
      </c>
      <c r="E1840" s="482" t="s">
        <v>894</v>
      </c>
    </row>
    <row r="1841" customFormat="1" s="36">
      <c r="A1841" s="485" t="s">
        <v>4038</v>
      </c>
      <c r="B1841" s="485" t="s">
        <v>4039</v>
      </c>
      <c r="C1841" s="482">
        <v>0.0</v>
      </c>
      <c r="D1841" s="482" t="s">
        <v>893</v>
      </c>
      <c r="E1841" s="482" t="s">
        <v>894</v>
      </c>
    </row>
    <row r="1842" customFormat="1" s="36">
      <c r="A1842" s="485" t="s">
        <v>4040</v>
      </c>
      <c r="B1842" s="485" t="s">
        <v>4041</v>
      </c>
      <c r="C1842" s="482">
        <v>0.0</v>
      </c>
      <c r="D1842" s="482" t="s">
        <v>893</v>
      </c>
      <c r="E1842" s="482" t="s">
        <v>894</v>
      </c>
    </row>
    <row r="1843" customFormat="1" s="36">
      <c r="A1843" s="485" t="s">
        <v>4042</v>
      </c>
      <c r="B1843" s="485" t="s">
        <v>4043</v>
      </c>
      <c r="C1843" s="482">
        <v>0.0</v>
      </c>
      <c r="D1843" s="482" t="s">
        <v>893</v>
      </c>
      <c r="E1843" s="482" t="s">
        <v>894</v>
      </c>
    </row>
    <row r="1844" customFormat="1" s="36">
      <c r="A1844" s="485" t="s">
        <v>4044</v>
      </c>
      <c r="B1844" s="485" t="s">
        <v>4045</v>
      </c>
      <c r="C1844" s="482">
        <v>0.0</v>
      </c>
      <c r="D1844" s="482" t="s">
        <v>893</v>
      </c>
      <c r="E1844" s="482" t="s">
        <v>894</v>
      </c>
    </row>
    <row r="1845" customFormat="1" s="36">
      <c r="A1845" s="485" t="s">
        <v>4046</v>
      </c>
      <c r="B1845" s="485" t="s">
        <v>4047</v>
      </c>
      <c r="C1845" s="482">
        <v>0.0</v>
      </c>
      <c r="D1845" s="482" t="s">
        <v>893</v>
      </c>
      <c r="E1845" s="482" t="s">
        <v>894</v>
      </c>
    </row>
    <row r="1846" customFormat="1" s="36">
      <c r="A1846" s="485" t="s">
        <v>4048</v>
      </c>
      <c r="B1846" s="485" t="s">
        <v>4049</v>
      </c>
      <c r="C1846" s="482">
        <v>0.0</v>
      </c>
      <c r="D1846" s="482" t="s">
        <v>893</v>
      </c>
      <c r="E1846" s="482" t="s">
        <v>894</v>
      </c>
    </row>
    <row r="1847" customFormat="1" s="36">
      <c r="A1847" s="485" t="s">
        <v>4050</v>
      </c>
      <c r="B1847" s="485" t="s">
        <v>4051</v>
      </c>
      <c r="C1847" s="482">
        <v>0.0</v>
      </c>
      <c r="D1847" s="482" t="s">
        <v>893</v>
      </c>
      <c r="E1847" s="482" t="s">
        <v>894</v>
      </c>
    </row>
    <row r="1848" customFormat="1" s="36">
      <c r="A1848" s="485" t="s">
        <v>4052</v>
      </c>
      <c r="B1848" s="485" t="s">
        <v>4053</v>
      </c>
      <c r="C1848" s="482">
        <v>0.0</v>
      </c>
      <c r="D1848" s="482" t="s">
        <v>893</v>
      </c>
      <c r="E1848" s="482" t="s">
        <v>894</v>
      </c>
    </row>
    <row r="1849" customFormat="1" s="36">
      <c r="A1849" s="485" t="s">
        <v>4054</v>
      </c>
      <c r="B1849" s="485" t="s">
        <v>4055</v>
      </c>
      <c r="C1849" s="482">
        <v>0.0</v>
      </c>
      <c r="D1849" s="482" t="s">
        <v>893</v>
      </c>
      <c r="E1849" s="482" t="s">
        <v>894</v>
      </c>
    </row>
    <row r="1850" customFormat="1" s="36">
      <c r="A1850" s="485" t="s">
        <v>4056</v>
      </c>
      <c r="B1850" s="485" t="s">
        <v>4057</v>
      </c>
      <c r="C1850" s="482">
        <v>0.0</v>
      </c>
      <c r="D1850" s="482" t="s">
        <v>893</v>
      </c>
      <c r="E1850" s="482" t="s">
        <v>894</v>
      </c>
    </row>
    <row r="1851" customFormat="1" s="36">
      <c r="A1851" s="485" t="s">
        <v>4058</v>
      </c>
      <c r="B1851" s="485" t="s">
        <v>4059</v>
      </c>
      <c r="C1851" s="482">
        <v>0.0</v>
      </c>
      <c r="D1851" s="482" t="s">
        <v>893</v>
      </c>
      <c r="E1851" s="482" t="s">
        <v>894</v>
      </c>
    </row>
    <row r="1852" customFormat="1" s="36">
      <c r="A1852" s="485" t="s">
        <v>4060</v>
      </c>
      <c r="B1852" s="485" t="s">
        <v>4061</v>
      </c>
      <c r="C1852" s="482">
        <v>0.0</v>
      </c>
      <c r="D1852" s="482" t="s">
        <v>893</v>
      </c>
      <c r="E1852" s="482" t="s">
        <v>894</v>
      </c>
    </row>
    <row r="1853" customFormat="1" s="36">
      <c r="A1853" s="485" t="s">
        <v>4062</v>
      </c>
      <c r="B1853" s="485" t="s">
        <v>4063</v>
      </c>
      <c r="C1853" s="482">
        <v>0.0</v>
      </c>
      <c r="D1853" s="482" t="s">
        <v>893</v>
      </c>
      <c r="E1853" s="482" t="s">
        <v>894</v>
      </c>
    </row>
    <row r="1854" customFormat="1" s="36">
      <c r="A1854" s="485" t="s">
        <v>4064</v>
      </c>
      <c r="B1854" s="485" t="s">
        <v>4065</v>
      </c>
      <c r="C1854" s="482">
        <v>0.0</v>
      </c>
      <c r="D1854" s="482" t="s">
        <v>893</v>
      </c>
      <c r="E1854" s="482" t="s">
        <v>894</v>
      </c>
    </row>
    <row r="1855" customFormat="1" s="36">
      <c r="A1855" s="485" t="s">
        <v>4066</v>
      </c>
      <c r="B1855" s="485" t="s">
        <v>4067</v>
      </c>
      <c r="C1855" s="482">
        <v>0.0</v>
      </c>
      <c r="D1855" s="482" t="s">
        <v>893</v>
      </c>
      <c r="E1855" s="482" t="s">
        <v>894</v>
      </c>
    </row>
    <row r="1856" customFormat="1" s="36">
      <c r="A1856" s="485" t="s">
        <v>4068</v>
      </c>
      <c r="B1856" s="485" t="s">
        <v>4069</v>
      </c>
      <c r="C1856" s="482">
        <v>0.0</v>
      </c>
      <c r="D1856" s="482" t="s">
        <v>893</v>
      </c>
      <c r="E1856" s="482" t="s">
        <v>894</v>
      </c>
    </row>
    <row r="1857" customFormat="1" s="36">
      <c r="A1857" s="485" t="s">
        <v>4070</v>
      </c>
      <c r="B1857" s="485" t="s">
        <v>4071</v>
      </c>
      <c r="C1857" s="482">
        <v>0.0</v>
      </c>
      <c r="D1857" s="482" t="s">
        <v>893</v>
      </c>
      <c r="E1857" s="482" t="s">
        <v>894</v>
      </c>
    </row>
    <row r="1858" customFormat="1" s="36">
      <c r="A1858" s="485" t="s">
        <v>4072</v>
      </c>
      <c r="B1858" s="485" t="s">
        <v>4073</v>
      </c>
      <c r="C1858" s="482">
        <v>0.0</v>
      </c>
      <c r="D1858" s="482" t="s">
        <v>893</v>
      </c>
      <c r="E1858" s="482" t="s">
        <v>894</v>
      </c>
    </row>
    <row r="1859" customFormat="1" s="36">
      <c r="A1859" s="485" t="s">
        <v>4074</v>
      </c>
      <c r="B1859" s="485" t="s">
        <v>4075</v>
      </c>
      <c r="C1859" s="482">
        <v>0.0</v>
      </c>
      <c r="D1859" s="482" t="s">
        <v>893</v>
      </c>
      <c r="E1859" s="482" t="s">
        <v>894</v>
      </c>
    </row>
    <row r="1860" customFormat="1" s="36">
      <c r="A1860" s="485" t="s">
        <v>4076</v>
      </c>
      <c r="B1860" s="485" t="s">
        <v>4077</v>
      </c>
      <c r="C1860" s="482">
        <v>0.0</v>
      </c>
      <c r="D1860" s="482" t="s">
        <v>893</v>
      </c>
      <c r="E1860" s="482" t="s">
        <v>894</v>
      </c>
    </row>
    <row r="1861" customFormat="1" s="36">
      <c r="A1861" s="485" t="s">
        <v>4078</v>
      </c>
      <c r="B1861" s="485" t="s">
        <v>4079</v>
      </c>
      <c r="C1861" s="482">
        <v>0.0</v>
      </c>
      <c r="D1861" s="482" t="s">
        <v>893</v>
      </c>
      <c r="E1861" s="482" t="s">
        <v>894</v>
      </c>
    </row>
    <row r="1862" customFormat="1" s="36">
      <c r="A1862" s="485" t="s">
        <v>4080</v>
      </c>
      <c r="B1862" s="485" t="s">
        <v>4081</v>
      </c>
      <c r="C1862" s="482">
        <v>0.0</v>
      </c>
      <c r="D1862" s="482" t="s">
        <v>893</v>
      </c>
      <c r="E1862" s="482" t="s">
        <v>894</v>
      </c>
    </row>
    <row r="1863" customFormat="1" s="36">
      <c r="A1863" s="485" t="s">
        <v>4082</v>
      </c>
      <c r="B1863" s="485" t="s">
        <v>4083</v>
      </c>
      <c r="C1863" s="482">
        <v>0.0</v>
      </c>
      <c r="D1863" s="482" t="s">
        <v>893</v>
      </c>
      <c r="E1863" s="482" t="s">
        <v>894</v>
      </c>
    </row>
    <row r="1864" customFormat="1" s="36">
      <c r="A1864" s="485" t="s">
        <v>4084</v>
      </c>
      <c r="B1864" s="485" t="s">
        <v>4085</v>
      </c>
      <c r="C1864" s="482">
        <v>0.0</v>
      </c>
      <c r="D1864" s="482" t="s">
        <v>893</v>
      </c>
      <c r="E1864" s="482" t="s">
        <v>894</v>
      </c>
    </row>
    <row r="1865" customFormat="1" s="36">
      <c r="A1865" s="485" t="s">
        <v>4086</v>
      </c>
      <c r="B1865" s="485" t="s">
        <v>4087</v>
      </c>
      <c r="C1865" s="482">
        <v>0.0</v>
      </c>
      <c r="D1865" s="482" t="s">
        <v>893</v>
      </c>
      <c r="E1865" s="482" t="s">
        <v>894</v>
      </c>
    </row>
    <row r="1866" customFormat="1" s="36">
      <c r="A1866" s="485" t="s">
        <v>4088</v>
      </c>
      <c r="B1866" s="485" t="s">
        <v>4089</v>
      </c>
      <c r="C1866" s="482">
        <v>0.0</v>
      </c>
      <c r="D1866" s="482" t="s">
        <v>893</v>
      </c>
      <c r="E1866" s="482" t="s">
        <v>894</v>
      </c>
    </row>
    <row r="1867" customFormat="1" s="36">
      <c r="A1867" s="485" t="s">
        <v>4090</v>
      </c>
      <c r="B1867" s="485" t="s">
        <v>4091</v>
      </c>
      <c r="C1867" s="482">
        <v>0.0</v>
      </c>
      <c r="D1867" s="482" t="s">
        <v>893</v>
      </c>
      <c r="E1867" s="482" t="s">
        <v>894</v>
      </c>
    </row>
    <row r="1868" customFormat="1" s="36">
      <c r="A1868" s="485" t="s">
        <v>4092</v>
      </c>
      <c r="B1868" s="485" t="s">
        <v>4093</v>
      </c>
      <c r="C1868" s="482">
        <v>0.0</v>
      </c>
      <c r="D1868" s="482" t="s">
        <v>893</v>
      </c>
      <c r="E1868" s="482" t="s">
        <v>894</v>
      </c>
    </row>
    <row r="1869" customFormat="1" s="36">
      <c r="A1869" s="485" t="s">
        <v>4094</v>
      </c>
      <c r="B1869" s="485" t="s">
        <v>4095</v>
      </c>
      <c r="C1869" s="482">
        <v>0.0</v>
      </c>
      <c r="D1869" s="482" t="s">
        <v>893</v>
      </c>
      <c r="E1869" s="482" t="s">
        <v>894</v>
      </c>
    </row>
    <row r="1870" customFormat="1" s="36">
      <c r="A1870" s="485" t="s">
        <v>4096</v>
      </c>
      <c r="B1870" s="485" t="s">
        <v>4097</v>
      </c>
      <c r="C1870" s="482">
        <v>0.0</v>
      </c>
      <c r="D1870" s="482" t="s">
        <v>893</v>
      </c>
      <c r="E1870" s="482" t="s">
        <v>894</v>
      </c>
    </row>
    <row r="1871" customFormat="1" s="36">
      <c r="A1871" s="485" t="s">
        <v>4098</v>
      </c>
      <c r="B1871" s="485" t="s">
        <v>4099</v>
      </c>
      <c r="C1871" s="482">
        <v>0.0</v>
      </c>
      <c r="D1871" s="482" t="s">
        <v>893</v>
      </c>
      <c r="E1871" s="482" t="s">
        <v>894</v>
      </c>
    </row>
    <row r="1872" customFormat="1" s="36">
      <c r="A1872" s="485" t="s">
        <v>4100</v>
      </c>
      <c r="B1872" s="485" t="s">
        <v>4101</v>
      </c>
      <c r="C1872" s="482">
        <v>0.0</v>
      </c>
      <c r="D1872" s="482" t="s">
        <v>893</v>
      </c>
      <c r="E1872" s="482" t="s">
        <v>894</v>
      </c>
    </row>
    <row r="1873" customFormat="1" s="36">
      <c r="A1873" s="485" t="s">
        <v>4102</v>
      </c>
      <c r="B1873" s="485" t="s">
        <v>4103</v>
      </c>
      <c r="C1873" s="482">
        <v>0.0</v>
      </c>
      <c r="D1873" s="482" t="s">
        <v>893</v>
      </c>
      <c r="E1873" s="482" t="s">
        <v>894</v>
      </c>
    </row>
    <row r="1874" customFormat="1" s="36">
      <c r="A1874" s="485" t="s">
        <v>4104</v>
      </c>
      <c r="B1874" s="485" t="s">
        <v>4105</v>
      </c>
      <c r="C1874" s="482">
        <v>0.0</v>
      </c>
      <c r="D1874" s="482" t="s">
        <v>893</v>
      </c>
      <c r="E1874" s="482" t="s">
        <v>894</v>
      </c>
    </row>
    <row r="1875" customFormat="1" s="36">
      <c r="A1875" s="485" t="s">
        <v>4106</v>
      </c>
      <c r="B1875" s="485" t="s">
        <v>4107</v>
      </c>
      <c r="C1875" s="482">
        <v>0.0</v>
      </c>
      <c r="D1875" s="482" t="s">
        <v>893</v>
      </c>
      <c r="E1875" s="482" t="s">
        <v>894</v>
      </c>
    </row>
    <row r="1876" customFormat="1" s="36">
      <c r="A1876" s="485" t="s">
        <v>4108</v>
      </c>
      <c r="B1876" s="485" t="s">
        <v>4109</v>
      </c>
      <c r="C1876" s="482">
        <v>0.0</v>
      </c>
      <c r="D1876" s="482" t="s">
        <v>893</v>
      </c>
      <c r="E1876" s="482" t="s">
        <v>894</v>
      </c>
    </row>
    <row r="1877" customFormat="1" s="36">
      <c r="A1877" s="485" t="s">
        <v>4110</v>
      </c>
      <c r="B1877" s="485" t="s">
        <v>4111</v>
      </c>
      <c r="C1877" s="482">
        <v>0.0</v>
      </c>
      <c r="D1877" s="482" t="s">
        <v>893</v>
      </c>
      <c r="E1877" s="482" t="s">
        <v>894</v>
      </c>
    </row>
    <row r="1878" customFormat="1" s="36">
      <c r="A1878" s="485" t="s">
        <v>4112</v>
      </c>
      <c r="B1878" s="485" t="s">
        <v>4113</v>
      </c>
      <c r="C1878" s="482">
        <v>0.0</v>
      </c>
      <c r="D1878" s="482" t="s">
        <v>893</v>
      </c>
      <c r="E1878" s="482" t="s">
        <v>894</v>
      </c>
    </row>
    <row r="1879" customFormat="1" s="36">
      <c r="A1879" s="485" t="s">
        <v>4114</v>
      </c>
      <c r="B1879" s="485" t="s">
        <v>4115</v>
      </c>
      <c r="C1879" s="482">
        <v>0.0</v>
      </c>
      <c r="D1879" s="482" t="s">
        <v>893</v>
      </c>
      <c r="E1879" s="482" t="s">
        <v>894</v>
      </c>
    </row>
    <row r="1880" customFormat="1" s="36">
      <c r="A1880" s="485" t="s">
        <v>4116</v>
      </c>
      <c r="B1880" s="485" t="s">
        <v>4117</v>
      </c>
      <c r="C1880" s="482">
        <v>0.0</v>
      </c>
      <c r="D1880" s="482" t="s">
        <v>893</v>
      </c>
      <c r="E1880" s="482" t="s">
        <v>894</v>
      </c>
    </row>
    <row r="1881" customFormat="1" s="36">
      <c r="A1881" s="485" t="s">
        <v>4118</v>
      </c>
      <c r="B1881" s="485" t="s">
        <v>4119</v>
      </c>
      <c r="C1881" s="482">
        <v>0.0</v>
      </c>
      <c r="D1881" s="482" t="s">
        <v>893</v>
      </c>
      <c r="E1881" s="482" t="s">
        <v>894</v>
      </c>
    </row>
    <row r="1882" customFormat="1" s="36">
      <c r="A1882" s="485" t="s">
        <v>4120</v>
      </c>
      <c r="B1882" s="485" t="s">
        <v>4121</v>
      </c>
      <c r="C1882" s="482">
        <v>0.0</v>
      </c>
      <c r="D1882" s="482" t="s">
        <v>893</v>
      </c>
      <c r="E1882" s="482" t="s">
        <v>894</v>
      </c>
    </row>
    <row r="1883" customFormat="1" s="36">
      <c r="A1883" s="485" t="s">
        <v>4122</v>
      </c>
      <c r="B1883" s="485" t="s">
        <v>4123</v>
      </c>
      <c r="C1883" s="482">
        <v>0.0</v>
      </c>
      <c r="D1883" s="482" t="s">
        <v>893</v>
      </c>
      <c r="E1883" s="482" t="s">
        <v>894</v>
      </c>
    </row>
    <row r="1884" customFormat="1" s="36">
      <c r="A1884" s="485" t="s">
        <v>4124</v>
      </c>
      <c r="B1884" s="485" t="s">
        <v>4125</v>
      </c>
      <c r="C1884" s="482">
        <v>0.0</v>
      </c>
      <c r="D1884" s="482" t="s">
        <v>893</v>
      </c>
      <c r="E1884" s="482" t="s">
        <v>894</v>
      </c>
    </row>
    <row r="1885" customFormat="1" s="36">
      <c r="A1885" s="485" t="s">
        <v>4126</v>
      </c>
      <c r="B1885" s="485" t="s">
        <v>4127</v>
      </c>
      <c r="C1885" s="482">
        <v>0.0</v>
      </c>
      <c r="D1885" s="482" t="s">
        <v>913</v>
      </c>
      <c r="E1885" s="482" t="s">
        <v>894</v>
      </c>
    </row>
    <row r="1886" customFormat="1" s="36">
      <c r="A1886" s="485" t="s">
        <v>4128</v>
      </c>
      <c r="B1886" s="485" t="s">
        <v>4129</v>
      </c>
      <c r="C1886" s="482">
        <v>0.0</v>
      </c>
      <c r="D1886" s="482" t="s">
        <v>893</v>
      </c>
      <c r="E1886" s="482" t="s">
        <v>894</v>
      </c>
    </row>
    <row r="1887" customFormat="1" s="36">
      <c r="A1887" s="485" t="s">
        <v>4130</v>
      </c>
      <c r="B1887" s="485" t="s">
        <v>4131</v>
      </c>
      <c r="C1887" s="482">
        <v>0.0</v>
      </c>
      <c r="D1887" s="482" t="s">
        <v>893</v>
      </c>
      <c r="E1887" s="482" t="s">
        <v>894</v>
      </c>
    </row>
    <row r="1888" customFormat="1" s="36">
      <c r="A1888" s="485" t="s">
        <v>4132</v>
      </c>
      <c r="B1888" s="485" t="s">
        <v>4133</v>
      </c>
      <c r="C1888" s="482">
        <v>0.0</v>
      </c>
      <c r="D1888" s="482" t="s">
        <v>893</v>
      </c>
      <c r="E1888" s="482" t="s">
        <v>894</v>
      </c>
    </row>
    <row r="1889" customFormat="1" s="36">
      <c r="A1889" s="485" t="s">
        <v>4134</v>
      </c>
      <c r="B1889" s="485" t="s">
        <v>4135</v>
      </c>
      <c r="C1889" s="482">
        <v>0.0</v>
      </c>
      <c r="D1889" s="482" t="s">
        <v>893</v>
      </c>
      <c r="E1889" s="482" t="s">
        <v>894</v>
      </c>
    </row>
    <row r="1890" customFormat="1" s="36">
      <c r="A1890" s="485" t="s">
        <v>4136</v>
      </c>
      <c r="B1890" s="485" t="s">
        <v>4137</v>
      </c>
      <c r="C1890" s="482">
        <v>0.0</v>
      </c>
      <c r="D1890" s="482" t="s">
        <v>893</v>
      </c>
      <c r="E1890" s="482" t="s">
        <v>894</v>
      </c>
    </row>
    <row r="1891" customFormat="1" s="36">
      <c r="A1891" s="485" t="s">
        <v>4138</v>
      </c>
      <c r="B1891" s="485" t="s">
        <v>4139</v>
      </c>
      <c r="C1891" s="482">
        <v>0.0</v>
      </c>
      <c r="D1891" s="482" t="s">
        <v>893</v>
      </c>
      <c r="E1891" s="482" t="s">
        <v>894</v>
      </c>
    </row>
    <row r="1892" customFormat="1" s="36">
      <c r="A1892" s="485" t="s">
        <v>4140</v>
      </c>
      <c r="B1892" s="485" t="s">
        <v>4141</v>
      </c>
      <c r="C1892" s="482">
        <v>0.0</v>
      </c>
      <c r="D1892" s="482" t="s">
        <v>893</v>
      </c>
      <c r="E1892" s="482" t="s">
        <v>894</v>
      </c>
    </row>
    <row r="1893" customFormat="1" s="36">
      <c r="A1893" s="485" t="s">
        <v>4142</v>
      </c>
      <c r="B1893" s="485" t="s">
        <v>4143</v>
      </c>
      <c r="C1893" s="482">
        <v>0.0</v>
      </c>
      <c r="D1893" s="482" t="s">
        <v>893</v>
      </c>
      <c r="E1893" s="482" t="s">
        <v>894</v>
      </c>
    </row>
    <row r="1894" customFormat="1" s="36">
      <c r="A1894" s="485" t="s">
        <v>4144</v>
      </c>
      <c r="B1894" s="485" t="s">
        <v>4145</v>
      </c>
      <c r="C1894" s="482">
        <v>0.0</v>
      </c>
      <c r="D1894" s="482" t="s">
        <v>893</v>
      </c>
      <c r="E1894" s="482" t="s">
        <v>894</v>
      </c>
    </row>
    <row r="1895" customFormat="1" s="36">
      <c r="A1895" s="485" t="s">
        <v>465</v>
      </c>
      <c r="B1895" s="485" t="s">
        <v>464</v>
      </c>
      <c r="C1895" s="482">
        <v>218.0</v>
      </c>
      <c r="D1895" s="482" t="s">
        <v>913</v>
      </c>
      <c r="E1895" s="482" t="s">
        <v>894</v>
      </c>
    </row>
    <row r="1896" customFormat="1" s="36">
      <c r="A1896" s="485" t="s">
        <v>4146</v>
      </c>
      <c r="B1896" s="485" t="s">
        <v>4147</v>
      </c>
      <c r="C1896" s="482">
        <v>909.0</v>
      </c>
      <c r="D1896" s="482" t="s">
        <v>913</v>
      </c>
      <c r="E1896" s="482" t="s">
        <v>894</v>
      </c>
    </row>
    <row r="1897" customFormat="1" s="36">
      <c r="A1897" s="485" t="s">
        <v>4148</v>
      </c>
      <c r="B1897" s="485" t="s">
        <v>4149</v>
      </c>
      <c r="C1897" s="482">
        <v>546.0</v>
      </c>
      <c r="D1897" s="482" t="s">
        <v>913</v>
      </c>
      <c r="E1897" s="482" t="s">
        <v>1140</v>
      </c>
    </row>
    <row r="1898" customFormat="1" s="36">
      <c r="A1898" s="485" t="s">
        <v>4150</v>
      </c>
      <c r="B1898" s="485" t="s">
        <v>4151</v>
      </c>
      <c r="C1898" s="482">
        <v>372.0</v>
      </c>
      <c r="D1898" s="482" t="s">
        <v>913</v>
      </c>
      <c r="E1898" s="482" t="s">
        <v>1140</v>
      </c>
    </row>
    <row r="1899" customFormat="1" s="36">
      <c r="A1899" s="485" t="s">
        <v>4152</v>
      </c>
      <c r="B1899" s="485" t="s">
        <v>4153</v>
      </c>
      <c r="C1899" s="482">
        <v>2.0</v>
      </c>
      <c r="D1899" s="482" t="s">
        <v>913</v>
      </c>
      <c r="E1899" s="482" t="s">
        <v>894</v>
      </c>
    </row>
    <row r="1900" customFormat="1" s="36">
      <c r="A1900" s="485" t="s">
        <v>4154</v>
      </c>
      <c r="B1900" s="485" t="s">
        <v>4155</v>
      </c>
      <c r="C1900" s="482">
        <v>2.0</v>
      </c>
      <c r="D1900" s="482" t="s">
        <v>913</v>
      </c>
      <c r="E1900" s="482" t="s">
        <v>894</v>
      </c>
    </row>
    <row r="1901" customFormat="1" s="36">
      <c r="A1901" s="485" t="s">
        <v>4156</v>
      </c>
      <c r="B1901" s="485" t="s">
        <v>4157</v>
      </c>
      <c r="C1901" s="482">
        <v>1.0</v>
      </c>
      <c r="D1901" s="482" t="s">
        <v>913</v>
      </c>
      <c r="E1901" s="482" t="s">
        <v>894</v>
      </c>
    </row>
    <row r="1902" customFormat="1" s="36">
      <c r="A1902" s="485" t="s">
        <v>4158</v>
      </c>
      <c r="B1902" s="485" t="s">
        <v>4159</v>
      </c>
      <c r="C1902" s="482">
        <v>2.0</v>
      </c>
      <c r="D1902" s="482" t="s">
        <v>913</v>
      </c>
      <c r="E1902" s="482" t="s">
        <v>894</v>
      </c>
    </row>
    <row r="1903" customFormat="1" s="36">
      <c r="A1903" s="485" t="s">
        <v>4160</v>
      </c>
      <c r="B1903" s="485" t="s">
        <v>4161</v>
      </c>
      <c r="C1903" s="482">
        <v>1.0</v>
      </c>
      <c r="D1903" s="482" t="s">
        <v>913</v>
      </c>
      <c r="E1903" s="482" t="s">
        <v>894</v>
      </c>
    </row>
    <row r="1904" customFormat="1" s="36">
      <c r="A1904" s="485" t="s">
        <v>4162</v>
      </c>
      <c r="B1904" s="485" t="s">
        <v>4163</v>
      </c>
      <c r="C1904" s="482">
        <v>15.0</v>
      </c>
      <c r="D1904" s="482" t="s">
        <v>913</v>
      </c>
      <c r="E1904" s="482" t="s">
        <v>1140</v>
      </c>
    </row>
    <row r="1905" customFormat="1" s="36">
      <c r="A1905" s="485" t="s">
        <v>486</v>
      </c>
      <c r="B1905" s="485" t="s">
        <v>485</v>
      </c>
      <c r="C1905" s="482">
        <v>103.0</v>
      </c>
      <c r="D1905" s="482" t="s">
        <v>913</v>
      </c>
      <c r="E1905" s="482" t="s">
        <v>1129</v>
      </c>
    </row>
    <row r="1906" customFormat="1" s="36">
      <c r="A1906" s="485" t="s">
        <v>724</v>
      </c>
      <c r="B1906" s="485" t="s">
        <v>723</v>
      </c>
      <c r="C1906" s="482">
        <v>-8.0</v>
      </c>
      <c r="D1906" s="482" t="s">
        <v>913</v>
      </c>
      <c r="E1906" s="482" t="s">
        <v>894</v>
      </c>
    </row>
    <row r="1907" customFormat="1" s="36">
      <c r="A1907" s="485" t="s">
        <v>4164</v>
      </c>
      <c r="B1907" s="485" t="s">
        <v>4165</v>
      </c>
      <c r="C1907" s="482">
        <v>-52.0</v>
      </c>
      <c r="D1907" s="482" t="s">
        <v>913</v>
      </c>
      <c r="E1907" s="482" t="s">
        <v>894</v>
      </c>
    </row>
    <row r="1908" customFormat="1" s="36">
      <c r="A1908" s="485" t="s">
        <v>722</v>
      </c>
      <c r="B1908" s="485" t="s">
        <v>721</v>
      </c>
      <c r="C1908" s="482">
        <v>93.0</v>
      </c>
      <c r="D1908" s="482" t="s">
        <v>913</v>
      </c>
      <c r="E1908" s="482" t="s">
        <v>894</v>
      </c>
    </row>
    <row r="1909" customFormat="1" s="36">
      <c r="A1909" s="485" t="s">
        <v>720</v>
      </c>
      <c r="B1909" s="485" t="s">
        <v>719</v>
      </c>
      <c r="C1909" s="482">
        <v>61.0</v>
      </c>
      <c r="D1909" s="482" t="s">
        <v>913</v>
      </c>
      <c r="E1909" s="482" t="s">
        <v>894</v>
      </c>
    </row>
    <row r="1910" customFormat="1" s="36">
      <c r="A1910" s="485" t="s">
        <v>4166</v>
      </c>
      <c r="B1910" s="485" t="s">
        <v>4167</v>
      </c>
      <c r="C1910" s="482">
        <v>-72.0</v>
      </c>
      <c r="D1910" s="482" t="s">
        <v>913</v>
      </c>
      <c r="E1910" s="482" t="s">
        <v>894</v>
      </c>
    </row>
    <row r="1911" customFormat="1" s="36">
      <c r="A1911" s="485" t="s">
        <v>718</v>
      </c>
      <c r="B1911" s="485" t="s">
        <v>717</v>
      </c>
      <c r="C1911" s="482">
        <v>29.0</v>
      </c>
      <c r="D1911" s="482" t="s">
        <v>913</v>
      </c>
      <c r="E1911" s="482" t="s">
        <v>894</v>
      </c>
    </row>
    <row r="1912" customFormat="1" s="36">
      <c r="A1912" s="485" t="s">
        <v>716</v>
      </c>
      <c r="B1912" s="485" t="s">
        <v>715</v>
      </c>
      <c r="C1912" s="482">
        <v>106.0</v>
      </c>
      <c r="D1912" s="482" t="s">
        <v>913</v>
      </c>
      <c r="E1912" s="482" t="s">
        <v>894</v>
      </c>
    </row>
    <row r="1913" customFormat="1" s="36">
      <c r="A1913" s="485" t="s">
        <v>714</v>
      </c>
      <c r="B1913" s="485" t="s">
        <v>713</v>
      </c>
      <c r="C1913" s="482">
        <v>205.0</v>
      </c>
      <c r="D1913" s="482" t="s">
        <v>913</v>
      </c>
      <c r="E1913" s="482" t="s">
        <v>894</v>
      </c>
    </row>
    <row r="1914" customFormat="1" s="36">
      <c r="A1914" s="485" t="s">
        <v>4168</v>
      </c>
      <c r="B1914" s="485" t="s">
        <v>4169</v>
      </c>
      <c r="C1914" s="482">
        <v>0.0</v>
      </c>
      <c r="D1914" s="482" t="s">
        <v>893</v>
      </c>
      <c r="E1914" s="482" t="s">
        <v>894</v>
      </c>
    </row>
    <row r="1915" customFormat="1" s="36">
      <c r="A1915" s="485" t="s">
        <v>4170</v>
      </c>
      <c r="B1915" s="485" t="s">
        <v>4171</v>
      </c>
      <c r="C1915" s="482">
        <v>0.0</v>
      </c>
      <c r="D1915" s="482" t="s">
        <v>893</v>
      </c>
      <c r="E1915" s="482" t="s">
        <v>894</v>
      </c>
    </row>
    <row r="1916" customFormat="1" s="36">
      <c r="A1916" s="485">
        <v>43202.0</v>
      </c>
      <c r="B1916" s="485" t="s">
        <v>4172</v>
      </c>
      <c r="C1916" s="482">
        <v>0.0</v>
      </c>
      <c r="D1916" s="482" t="s">
        <v>893</v>
      </c>
      <c r="E1916" s="482" t="s">
        <v>1799</v>
      </c>
    </row>
    <row r="1917" customFormat="1" s="36">
      <c r="A1917" s="485" t="s">
        <v>4173</v>
      </c>
      <c r="B1917" s="485" t="s">
        <v>4174</v>
      </c>
      <c r="C1917" s="482">
        <v>0.0</v>
      </c>
      <c r="D1917" s="482" t="s">
        <v>893</v>
      </c>
      <c r="E1917" s="482" t="s">
        <v>1799</v>
      </c>
    </row>
    <row r="1918" customFormat="1" s="36">
      <c r="A1918" s="485">
        <v>91903.0</v>
      </c>
      <c r="B1918" s="485" t="s">
        <v>4175</v>
      </c>
      <c r="C1918" s="482">
        <v>0.0</v>
      </c>
      <c r="D1918" s="482" t="s">
        <v>893</v>
      </c>
      <c r="E1918" s="482" t="s">
        <v>894</v>
      </c>
    </row>
    <row r="1919" customFormat="1" s="36">
      <c r="A1919" s="485">
        <v>91901.0</v>
      </c>
      <c r="B1919" s="485" t="s">
        <v>4176</v>
      </c>
      <c r="C1919" s="482">
        <v>0.0</v>
      </c>
      <c r="D1919" s="482" t="s">
        <v>893</v>
      </c>
      <c r="E1919" s="482" t="s">
        <v>894</v>
      </c>
    </row>
    <row r="1920" customFormat="1" s="36">
      <c r="A1920" s="485">
        <v>91902.0</v>
      </c>
      <c r="B1920" s="485" t="s">
        <v>4177</v>
      </c>
      <c r="C1920" s="482">
        <v>0.0</v>
      </c>
      <c r="D1920" s="482" t="s">
        <v>893</v>
      </c>
      <c r="E1920" s="482" t="s">
        <v>894</v>
      </c>
    </row>
    <row r="1921" customFormat="1" s="36">
      <c r="A1921" s="485" t="s">
        <v>4178</v>
      </c>
      <c r="B1921" s="485" t="s">
        <v>4179</v>
      </c>
      <c r="C1921" s="482">
        <v>0.0</v>
      </c>
      <c r="D1921" s="482" t="s">
        <v>893</v>
      </c>
      <c r="E1921" s="482" t="s">
        <v>894</v>
      </c>
    </row>
    <row r="1922" customFormat="1" s="36">
      <c r="A1922" s="485" t="s">
        <v>4180</v>
      </c>
      <c r="B1922" s="485" t="s">
        <v>4181</v>
      </c>
      <c r="C1922" s="482">
        <v>0.0</v>
      </c>
      <c r="D1922" s="482" t="s">
        <v>893</v>
      </c>
      <c r="E1922" s="482" t="s">
        <v>894</v>
      </c>
    </row>
    <row r="1923" customFormat="1" s="36">
      <c r="A1923" s="485" t="s">
        <v>4182</v>
      </c>
      <c r="B1923" s="485" t="s">
        <v>4183</v>
      </c>
      <c r="C1923" s="482">
        <v>0.0</v>
      </c>
      <c r="D1923" s="482" t="s">
        <v>893</v>
      </c>
      <c r="E1923" s="482" t="s">
        <v>894</v>
      </c>
    </row>
    <row r="1924" customFormat="1" s="36">
      <c r="A1924" s="485" t="s">
        <v>4184</v>
      </c>
      <c r="B1924" s="485" t="s">
        <v>4185</v>
      </c>
      <c r="C1924" s="482">
        <v>0.0</v>
      </c>
      <c r="D1924" s="482" t="s">
        <v>893</v>
      </c>
      <c r="E1924" s="482" t="s">
        <v>894</v>
      </c>
    </row>
    <row r="1925" customFormat="1" s="36">
      <c r="A1925" s="485" t="s">
        <v>4186</v>
      </c>
      <c r="B1925" s="485" t="s">
        <v>4187</v>
      </c>
      <c r="C1925" s="482">
        <v>0.0</v>
      </c>
      <c r="D1925" s="482" t="s">
        <v>893</v>
      </c>
      <c r="E1925" s="482" t="s">
        <v>894</v>
      </c>
    </row>
    <row r="1926" customFormat="1" s="36">
      <c r="A1926" s="485" t="s">
        <v>4188</v>
      </c>
      <c r="B1926" s="485" t="s">
        <v>4189</v>
      </c>
      <c r="C1926" s="482">
        <v>0.0</v>
      </c>
      <c r="D1926" s="482" t="s">
        <v>893</v>
      </c>
      <c r="E1926" s="482" t="s">
        <v>894</v>
      </c>
    </row>
    <row r="1927" customFormat="1" s="36">
      <c r="A1927" s="485" t="s">
        <v>4190</v>
      </c>
      <c r="B1927" s="485" t="s">
        <v>4191</v>
      </c>
      <c r="C1927" s="482">
        <v>0.0</v>
      </c>
      <c r="D1927" s="482" t="s">
        <v>893</v>
      </c>
      <c r="E1927" s="482" t="s">
        <v>894</v>
      </c>
    </row>
    <row r="1928" customFormat="1" s="36">
      <c r="A1928" s="485" t="s">
        <v>4192</v>
      </c>
      <c r="B1928" s="485" t="s">
        <v>4193</v>
      </c>
      <c r="C1928" s="482">
        <v>0.0</v>
      </c>
      <c r="D1928" s="482" t="s">
        <v>893</v>
      </c>
      <c r="E1928" s="482" t="s">
        <v>894</v>
      </c>
    </row>
    <row r="1929" customFormat="1" s="36">
      <c r="A1929" s="485" t="s">
        <v>314</v>
      </c>
      <c r="B1929" s="485" t="s">
        <v>313</v>
      </c>
      <c r="C1929" s="482">
        <v>0.0</v>
      </c>
      <c r="D1929" s="482" t="s">
        <v>913</v>
      </c>
      <c r="E1929" s="482" t="s">
        <v>894</v>
      </c>
    </row>
    <row r="1930" customFormat="1" s="36">
      <c r="A1930" s="485" t="s">
        <v>4194</v>
      </c>
      <c r="B1930" s="485" t="s">
        <v>4195</v>
      </c>
      <c r="C1930" s="482">
        <v>330.0</v>
      </c>
      <c r="D1930" s="482" t="s">
        <v>913</v>
      </c>
      <c r="E1930" s="482" t="s">
        <v>894</v>
      </c>
    </row>
    <row r="1931" customFormat="1" s="36">
      <c r="A1931" s="485" t="s">
        <v>4196</v>
      </c>
      <c r="B1931" s="485" t="s">
        <v>4197</v>
      </c>
      <c r="C1931" s="482">
        <v>372.0</v>
      </c>
      <c r="D1931" s="482" t="s">
        <v>913</v>
      </c>
      <c r="E1931" s="482" t="s">
        <v>894</v>
      </c>
    </row>
    <row r="1932" customFormat="1" s="36">
      <c r="A1932" s="485" t="s">
        <v>803</v>
      </c>
      <c r="B1932" s="485" t="s">
        <v>802</v>
      </c>
      <c r="C1932" s="482">
        <v>264.0</v>
      </c>
      <c r="D1932" s="482" t="s">
        <v>913</v>
      </c>
      <c r="E1932" s="482" t="s">
        <v>894</v>
      </c>
    </row>
    <row r="1933" customFormat="1" s="36">
      <c r="A1933" s="485" t="s">
        <v>801</v>
      </c>
      <c r="B1933" s="485" t="s">
        <v>800</v>
      </c>
      <c r="C1933" s="482">
        <v>134.0</v>
      </c>
      <c r="D1933" s="482" t="s">
        <v>913</v>
      </c>
      <c r="E1933" s="482" t="s">
        <v>894</v>
      </c>
    </row>
    <row r="1934" customFormat="1" s="36">
      <c r="A1934" s="485" t="s">
        <v>4198</v>
      </c>
      <c r="B1934" s="485" t="s">
        <v>4199</v>
      </c>
      <c r="C1934" s="482">
        <v>238.0</v>
      </c>
      <c r="D1934" s="482" t="s">
        <v>913</v>
      </c>
      <c r="E1934" s="482" t="s">
        <v>894</v>
      </c>
    </row>
    <row r="1935" customFormat="1" s="36">
      <c r="A1935" s="485" t="s">
        <v>4200</v>
      </c>
      <c r="B1935" s="485" t="s">
        <v>4201</v>
      </c>
      <c r="C1935" s="482">
        <v>0.0</v>
      </c>
      <c r="D1935" s="482" t="s">
        <v>913</v>
      </c>
      <c r="E1935" s="482" t="s">
        <v>894</v>
      </c>
    </row>
    <row r="1936" customFormat="1" s="36">
      <c r="A1936" s="485" t="s">
        <v>4202</v>
      </c>
      <c r="B1936" s="485" t="s">
        <v>4203</v>
      </c>
      <c r="C1936" s="482">
        <v>4.0</v>
      </c>
      <c r="D1936" s="482" t="s">
        <v>913</v>
      </c>
      <c r="E1936" s="482" t="s">
        <v>894</v>
      </c>
    </row>
    <row r="1937" customFormat="1" s="36">
      <c r="A1937" s="485" t="s">
        <v>316</v>
      </c>
      <c r="B1937" s="485" t="s">
        <v>315</v>
      </c>
      <c r="C1937" s="482">
        <v>183.0</v>
      </c>
      <c r="D1937" s="482" t="s">
        <v>913</v>
      </c>
      <c r="E1937" s="482" t="s">
        <v>894</v>
      </c>
    </row>
    <row r="1938" customFormat="1" s="36">
      <c r="A1938" s="485" t="s">
        <v>4204</v>
      </c>
      <c r="B1938" s="485" t="s">
        <v>4205</v>
      </c>
      <c r="C1938" s="482">
        <v>391.0</v>
      </c>
      <c r="D1938" s="482" t="s">
        <v>913</v>
      </c>
      <c r="E1938" s="482" t="s">
        <v>894</v>
      </c>
    </row>
    <row r="1939" customFormat="1" s="36">
      <c r="A1939" s="485" t="s">
        <v>799</v>
      </c>
      <c r="B1939" s="485" t="s">
        <v>798</v>
      </c>
      <c r="C1939" s="482">
        <v>178.0</v>
      </c>
      <c r="D1939" s="482" t="s">
        <v>913</v>
      </c>
      <c r="E1939" s="482" t="s">
        <v>894</v>
      </c>
    </row>
    <row r="1940" customFormat="1" s="36">
      <c r="A1940" s="485" t="s">
        <v>797</v>
      </c>
      <c r="B1940" s="485" t="s">
        <v>796</v>
      </c>
      <c r="C1940" s="482">
        <v>214.0</v>
      </c>
      <c r="D1940" s="482" t="s">
        <v>913</v>
      </c>
      <c r="E1940" s="482" t="s">
        <v>894</v>
      </c>
    </row>
    <row r="1941" customFormat="1" s="36">
      <c r="A1941" s="485" t="s">
        <v>4206</v>
      </c>
      <c r="B1941" s="485" t="s">
        <v>4207</v>
      </c>
      <c r="C1941" s="482">
        <v>79.0</v>
      </c>
      <c r="D1941" s="482" t="s">
        <v>913</v>
      </c>
      <c r="E1941" s="482" t="s">
        <v>894</v>
      </c>
    </row>
    <row r="1942" customFormat="1" s="36">
      <c r="A1942" s="485" t="s">
        <v>4208</v>
      </c>
      <c r="B1942" s="485" t="s">
        <v>4209</v>
      </c>
      <c r="C1942" s="482">
        <v>474.0</v>
      </c>
      <c r="D1942" s="482" t="s">
        <v>913</v>
      </c>
      <c r="E1942" s="482" t="s">
        <v>894</v>
      </c>
    </row>
    <row r="1943" customFormat="1" s="36">
      <c r="A1943" s="485" t="s">
        <v>4210</v>
      </c>
      <c r="B1943" s="485" t="s">
        <v>4211</v>
      </c>
      <c r="C1943" s="482">
        <v>1.0</v>
      </c>
      <c r="D1943" s="482" t="s">
        <v>893</v>
      </c>
      <c r="E1943" s="482" t="s">
        <v>894</v>
      </c>
    </row>
    <row r="1944" customFormat="1" s="36">
      <c r="A1944" s="485" t="s">
        <v>4212</v>
      </c>
      <c r="B1944" s="485" t="s">
        <v>4213</v>
      </c>
      <c r="C1944" s="482">
        <v>356.0</v>
      </c>
      <c r="D1944" s="482" t="s">
        <v>913</v>
      </c>
      <c r="E1944" s="482" t="s">
        <v>894</v>
      </c>
    </row>
    <row r="1945" customFormat="1" s="36">
      <c r="A1945" s="485" t="s">
        <v>4214</v>
      </c>
      <c r="B1945" s="485" t="s">
        <v>4215</v>
      </c>
      <c r="C1945" s="482">
        <v>247.0</v>
      </c>
      <c r="D1945" s="482" t="s">
        <v>913</v>
      </c>
      <c r="E1945" s="482" t="s">
        <v>894</v>
      </c>
    </row>
    <row r="1946" customFormat="1" s="36">
      <c r="A1946" s="485" t="s">
        <v>795</v>
      </c>
      <c r="B1946" s="485" t="s">
        <v>794</v>
      </c>
      <c r="C1946" s="482">
        <v>169.0</v>
      </c>
      <c r="D1946" s="482" t="s">
        <v>913</v>
      </c>
      <c r="E1946" s="482" t="s">
        <v>894</v>
      </c>
    </row>
    <row r="1947" customFormat="1" s="36">
      <c r="A1947" s="485" t="s">
        <v>4216</v>
      </c>
      <c r="B1947" s="485" t="s">
        <v>4217</v>
      </c>
      <c r="C1947" s="482">
        <v>178.0</v>
      </c>
      <c r="D1947" s="482" t="s">
        <v>913</v>
      </c>
      <c r="E1947" s="482" t="s">
        <v>894</v>
      </c>
    </row>
    <row r="1948" customFormat="1" s="36">
      <c r="A1948" s="485" t="s">
        <v>4218</v>
      </c>
      <c r="B1948" s="485" t="s">
        <v>4219</v>
      </c>
      <c r="C1948" s="482">
        <v>361.0</v>
      </c>
      <c r="D1948" s="482" t="s">
        <v>913</v>
      </c>
      <c r="E1948" s="482" t="s">
        <v>894</v>
      </c>
    </row>
    <row r="1949" customFormat="1" s="36">
      <c r="A1949" s="485" t="s">
        <v>793</v>
      </c>
      <c r="B1949" s="485" t="s">
        <v>792</v>
      </c>
      <c r="C1949" s="482">
        <v>228.0</v>
      </c>
      <c r="D1949" s="482" t="s">
        <v>913</v>
      </c>
      <c r="E1949" s="482" t="s">
        <v>894</v>
      </c>
    </row>
    <row r="1950" customFormat="1" s="36">
      <c r="A1950" s="485" t="s">
        <v>791</v>
      </c>
      <c r="B1950" s="485" t="s">
        <v>790</v>
      </c>
      <c r="C1950" s="482">
        <v>249.0</v>
      </c>
      <c r="D1950" s="482" t="s">
        <v>913</v>
      </c>
      <c r="E1950" s="482" t="s">
        <v>894</v>
      </c>
    </row>
    <row r="1951" customFormat="1" s="36">
      <c r="A1951" s="485" t="s">
        <v>4220</v>
      </c>
      <c r="B1951" s="485" t="s">
        <v>4221</v>
      </c>
      <c r="C1951" s="482">
        <v>171.0</v>
      </c>
      <c r="D1951" s="482" t="s">
        <v>913</v>
      </c>
      <c r="E1951" s="482" t="s">
        <v>894</v>
      </c>
    </row>
    <row r="1952" customFormat="1" s="36">
      <c r="A1952" s="485" t="s">
        <v>4222</v>
      </c>
      <c r="B1952" s="485" t="s">
        <v>4223</v>
      </c>
      <c r="C1952" s="482">
        <v>0.0</v>
      </c>
      <c r="D1952" s="482" t="s">
        <v>913</v>
      </c>
      <c r="E1952" s="482" t="s">
        <v>894</v>
      </c>
    </row>
    <row r="1953" customFormat="1" s="36">
      <c r="A1953" s="485" t="s">
        <v>4224</v>
      </c>
      <c r="B1953" s="485" t="s">
        <v>4225</v>
      </c>
      <c r="C1953" s="482">
        <v>295.0</v>
      </c>
      <c r="D1953" s="482" t="s">
        <v>913</v>
      </c>
      <c r="E1953" s="482" t="s">
        <v>894</v>
      </c>
    </row>
    <row r="1954" customFormat="1" s="36">
      <c r="A1954" s="485" t="s">
        <v>4226</v>
      </c>
      <c r="B1954" s="485" t="s">
        <v>4227</v>
      </c>
      <c r="C1954" s="482">
        <v>-4.0</v>
      </c>
      <c r="D1954" s="482" t="s">
        <v>913</v>
      </c>
      <c r="E1954" s="482" t="s">
        <v>894</v>
      </c>
    </row>
    <row r="1955" customFormat="1" s="36">
      <c r="A1955" s="485" t="s">
        <v>698</v>
      </c>
      <c r="B1955" s="485" t="s">
        <v>697</v>
      </c>
      <c r="C1955" s="482">
        <v>336.0</v>
      </c>
      <c r="D1955" s="482" t="s">
        <v>913</v>
      </c>
      <c r="E1955" s="482" t="s">
        <v>894</v>
      </c>
    </row>
    <row r="1956" customFormat="1" s="36">
      <c r="A1956" s="485" t="s">
        <v>4228</v>
      </c>
      <c r="B1956" s="485" t="s">
        <v>4229</v>
      </c>
      <c r="C1956" s="482">
        <v>98.0</v>
      </c>
      <c r="D1956" s="482" t="s">
        <v>913</v>
      </c>
      <c r="E1956" s="482" t="s">
        <v>894</v>
      </c>
    </row>
    <row r="1957" customFormat="1" s="36">
      <c r="A1957" s="485" t="s">
        <v>4230</v>
      </c>
      <c r="B1957" s="485" t="s">
        <v>4231</v>
      </c>
      <c r="C1957" s="482">
        <v>113.0</v>
      </c>
      <c r="D1957" s="482" t="s">
        <v>913</v>
      </c>
      <c r="E1957" s="482" t="s">
        <v>894</v>
      </c>
    </row>
    <row r="1958" customFormat="1" s="36">
      <c r="A1958" s="485" t="s">
        <v>318</v>
      </c>
      <c r="B1958" s="485" t="s">
        <v>317</v>
      </c>
      <c r="C1958" s="482">
        <v>427.0</v>
      </c>
      <c r="D1958" s="482" t="s">
        <v>913</v>
      </c>
      <c r="E1958" s="482" t="s">
        <v>894</v>
      </c>
    </row>
    <row r="1959" customFormat="1" s="36">
      <c r="A1959" s="485" t="s">
        <v>4232</v>
      </c>
      <c r="B1959" s="485" t="s">
        <v>4233</v>
      </c>
      <c r="C1959" s="482">
        <v>264.0</v>
      </c>
      <c r="D1959" s="482" t="s">
        <v>913</v>
      </c>
      <c r="E1959" s="482" t="s">
        <v>894</v>
      </c>
    </row>
    <row r="1960" customFormat="1" s="36">
      <c r="A1960" s="485" t="s">
        <v>321</v>
      </c>
      <c r="B1960" s="485" t="s">
        <v>320</v>
      </c>
      <c r="C1960" s="482">
        <v>515.0</v>
      </c>
      <c r="D1960" s="482" t="s">
        <v>913</v>
      </c>
      <c r="E1960" s="482" t="s">
        <v>894</v>
      </c>
    </row>
    <row r="1961" customFormat="1" s="36">
      <c r="A1961" s="485" t="s">
        <v>4234</v>
      </c>
      <c r="B1961" s="485" t="s">
        <v>4235</v>
      </c>
      <c r="C1961" s="482">
        <v>462.0</v>
      </c>
      <c r="D1961" s="482" t="s">
        <v>913</v>
      </c>
      <c r="E1961" s="482" t="s">
        <v>894</v>
      </c>
    </row>
    <row r="1962" customFormat="1" s="36">
      <c r="A1962" s="485" t="s">
        <v>4236</v>
      </c>
      <c r="B1962" s="485" t="s">
        <v>4237</v>
      </c>
      <c r="C1962" s="482">
        <v>215.0</v>
      </c>
      <c r="D1962" s="482" t="s">
        <v>913</v>
      </c>
      <c r="E1962" s="482" t="s">
        <v>894</v>
      </c>
    </row>
    <row r="1963" customFormat="1" s="36">
      <c r="A1963" s="485" t="s">
        <v>4238</v>
      </c>
      <c r="B1963" s="485" t="s">
        <v>4239</v>
      </c>
      <c r="C1963" s="482">
        <v>-18.0</v>
      </c>
      <c r="D1963" s="482" t="s">
        <v>913</v>
      </c>
      <c r="E1963" s="482" t="s">
        <v>894</v>
      </c>
    </row>
    <row r="1964" customFormat="1" s="36">
      <c r="A1964" s="485" t="s">
        <v>4240</v>
      </c>
      <c r="B1964" s="485" t="s">
        <v>4241</v>
      </c>
      <c r="C1964" s="482">
        <v>278.0</v>
      </c>
      <c r="D1964" s="482" t="s">
        <v>913</v>
      </c>
      <c r="E1964" s="482" t="s">
        <v>894</v>
      </c>
    </row>
    <row r="1965" customFormat="1" s="36">
      <c r="A1965" s="485" t="s">
        <v>4242</v>
      </c>
      <c r="B1965" s="485" t="s">
        <v>4243</v>
      </c>
      <c r="C1965" s="482">
        <v>301.0</v>
      </c>
      <c r="D1965" s="482" t="s">
        <v>913</v>
      </c>
      <c r="E1965" s="482" t="s">
        <v>894</v>
      </c>
    </row>
    <row r="1966" customFormat="1" s="36">
      <c r="A1966" s="485" t="s">
        <v>696</v>
      </c>
      <c r="B1966" s="485" t="s">
        <v>695</v>
      </c>
      <c r="C1966" s="482">
        <v>262.0</v>
      </c>
      <c r="D1966" s="482" t="s">
        <v>913</v>
      </c>
      <c r="E1966" s="482" t="s">
        <v>894</v>
      </c>
    </row>
    <row r="1967" customFormat="1" s="36">
      <c r="A1967" s="485" t="s">
        <v>4244</v>
      </c>
      <c r="B1967" s="485" t="s">
        <v>4245</v>
      </c>
      <c r="C1967" s="482">
        <v>30.0</v>
      </c>
      <c r="D1967" s="482" t="s">
        <v>913</v>
      </c>
      <c r="E1967" s="482" t="s">
        <v>894</v>
      </c>
    </row>
    <row r="1968" customFormat="1" s="36">
      <c r="A1968" s="485" t="s">
        <v>692</v>
      </c>
      <c r="B1968" s="485" t="s">
        <v>691</v>
      </c>
      <c r="C1968" s="482">
        <v>-3.0</v>
      </c>
      <c r="D1968" s="482" t="s">
        <v>913</v>
      </c>
      <c r="E1968" s="482" t="s">
        <v>894</v>
      </c>
    </row>
    <row r="1969" customFormat="1" s="36">
      <c r="A1969" s="485" t="s">
        <v>690</v>
      </c>
      <c r="B1969" s="485" t="s">
        <v>689</v>
      </c>
      <c r="C1969" s="482">
        <v>0.0</v>
      </c>
      <c r="D1969" s="482" t="s">
        <v>913</v>
      </c>
      <c r="E1969" s="482" t="s">
        <v>894</v>
      </c>
    </row>
    <row r="1970" customFormat="1" s="36">
      <c r="A1970" s="485" t="s">
        <v>688</v>
      </c>
      <c r="B1970" s="485" t="s">
        <v>687</v>
      </c>
      <c r="C1970" s="482">
        <v>0.0</v>
      </c>
      <c r="D1970" s="482" t="s">
        <v>913</v>
      </c>
      <c r="E1970" s="482" t="s">
        <v>894</v>
      </c>
    </row>
    <row r="1971" customFormat="1" s="36">
      <c r="A1971" s="485" t="s">
        <v>686</v>
      </c>
      <c r="B1971" s="485" t="s">
        <v>685</v>
      </c>
      <c r="C1971" s="482">
        <v>21.0</v>
      </c>
      <c r="D1971" s="482" t="s">
        <v>913</v>
      </c>
      <c r="E1971" s="482" t="s">
        <v>894</v>
      </c>
    </row>
    <row r="1972" customFormat="1" s="36">
      <c r="A1972" s="485" t="s">
        <v>684</v>
      </c>
      <c r="B1972" s="485" t="s">
        <v>683</v>
      </c>
      <c r="C1972" s="482">
        <v>0.0</v>
      </c>
      <c r="D1972" s="482" t="s">
        <v>913</v>
      </c>
      <c r="E1972" s="482" t="s">
        <v>894</v>
      </c>
    </row>
    <row r="1973" customFormat="1" s="36">
      <c r="A1973" s="485" t="s">
        <v>682</v>
      </c>
      <c r="B1973" s="485" t="s">
        <v>681</v>
      </c>
      <c r="C1973" s="482">
        <v>-12.0</v>
      </c>
      <c r="D1973" s="482" t="s">
        <v>913</v>
      </c>
      <c r="E1973" s="482" t="s">
        <v>894</v>
      </c>
    </row>
    <row r="1974" customFormat="1" s="36">
      <c r="A1974" s="485" t="s">
        <v>4246</v>
      </c>
      <c r="B1974" s="485" t="s">
        <v>4247</v>
      </c>
      <c r="C1974" s="482">
        <v>0.0</v>
      </c>
      <c r="D1974" s="482" t="s">
        <v>913</v>
      </c>
      <c r="E1974" s="482" t="s">
        <v>894</v>
      </c>
    </row>
    <row r="1975" customFormat="1" s="36">
      <c r="A1975" s="485" t="s">
        <v>4248</v>
      </c>
      <c r="B1975" s="485" t="s">
        <v>4249</v>
      </c>
      <c r="C1975" s="482">
        <v>-39.0</v>
      </c>
      <c r="D1975" s="482" t="s">
        <v>913</v>
      </c>
      <c r="E1975" s="482" t="s">
        <v>894</v>
      </c>
    </row>
    <row r="1976" customFormat="1" s="36">
      <c r="A1976" s="485" t="s">
        <v>4250</v>
      </c>
      <c r="B1976" s="485" t="s">
        <v>4251</v>
      </c>
      <c r="C1976" s="482">
        <v>0.0</v>
      </c>
      <c r="D1976" s="482" t="s">
        <v>913</v>
      </c>
      <c r="E1976" s="482" t="s">
        <v>894</v>
      </c>
    </row>
    <row r="1977" customFormat="1" s="36">
      <c r="A1977" s="485" t="s">
        <v>4252</v>
      </c>
      <c r="B1977" s="485" t="s">
        <v>4253</v>
      </c>
      <c r="C1977" s="482">
        <v>0.0</v>
      </c>
      <c r="D1977" s="482" t="s">
        <v>913</v>
      </c>
      <c r="E1977" s="482" t="s">
        <v>894</v>
      </c>
    </row>
    <row r="1978" customFormat="1" s="36">
      <c r="A1978" s="485" t="s">
        <v>4254</v>
      </c>
      <c r="B1978" s="485" t="s">
        <v>4255</v>
      </c>
      <c r="C1978" s="482">
        <v>0.0</v>
      </c>
      <c r="D1978" s="482" t="s">
        <v>913</v>
      </c>
      <c r="E1978" s="482" t="s">
        <v>894</v>
      </c>
    </row>
    <row r="1979" customFormat="1" s="36">
      <c r="A1979" s="485" t="s">
        <v>4256</v>
      </c>
      <c r="B1979" s="485" t="s">
        <v>4257</v>
      </c>
      <c r="C1979" s="482">
        <v>0.0</v>
      </c>
      <c r="D1979" s="482" t="s">
        <v>913</v>
      </c>
      <c r="E1979" s="482" t="s">
        <v>894</v>
      </c>
    </row>
    <row r="1980" customFormat="1" s="36">
      <c r="A1980" s="485" t="s">
        <v>4258</v>
      </c>
      <c r="B1980" s="485" t="s">
        <v>4259</v>
      </c>
      <c r="C1980" s="482">
        <v>-57.0</v>
      </c>
      <c r="D1980" s="482" t="s">
        <v>913</v>
      </c>
      <c r="E1980" s="482" t="s">
        <v>894</v>
      </c>
    </row>
    <row r="1981" customFormat="1" s="36">
      <c r="A1981" s="485" t="s">
        <v>4260</v>
      </c>
      <c r="B1981" s="485" t="s">
        <v>4261</v>
      </c>
      <c r="C1981" s="482">
        <v>0.0</v>
      </c>
      <c r="D1981" s="482" t="s">
        <v>893</v>
      </c>
      <c r="E1981" s="482" t="s">
        <v>894</v>
      </c>
    </row>
    <row r="1982" customFormat="1" s="36">
      <c r="A1982" s="485" t="s">
        <v>4262</v>
      </c>
      <c r="B1982" s="485" t="s">
        <v>4263</v>
      </c>
      <c r="C1982" s="482">
        <v>-45.0</v>
      </c>
      <c r="D1982" s="482" t="s">
        <v>913</v>
      </c>
      <c r="E1982" s="482" t="s">
        <v>894</v>
      </c>
    </row>
    <row r="1983" customFormat="1" s="36">
      <c r="A1983" s="485" t="s">
        <v>4264</v>
      </c>
      <c r="B1983" s="485" t="s">
        <v>4265</v>
      </c>
      <c r="C1983" s="482">
        <v>-69.0</v>
      </c>
      <c r="D1983" s="482" t="s">
        <v>913</v>
      </c>
      <c r="E1983" s="482" t="s">
        <v>894</v>
      </c>
    </row>
    <row r="1984" customFormat="1" s="36">
      <c r="A1984" s="485" t="s">
        <v>4266</v>
      </c>
      <c r="B1984" s="485" t="s">
        <v>4267</v>
      </c>
      <c r="C1984" s="482">
        <v>-51.0</v>
      </c>
      <c r="D1984" s="482" t="s">
        <v>913</v>
      </c>
      <c r="E1984" s="482" t="s">
        <v>894</v>
      </c>
    </row>
    <row r="1985" customFormat="1" s="36">
      <c r="A1985" s="485" t="s">
        <v>4268</v>
      </c>
      <c r="B1985" s="485" t="s">
        <v>4269</v>
      </c>
      <c r="C1985" s="482">
        <v>-81.0</v>
      </c>
      <c r="D1985" s="482" t="s">
        <v>913</v>
      </c>
      <c r="E1985" s="482" t="s">
        <v>894</v>
      </c>
    </row>
    <row r="1986" customFormat="1" s="36">
      <c r="A1986" s="485" t="s">
        <v>4270</v>
      </c>
      <c r="B1986" s="485" t="s">
        <v>4271</v>
      </c>
      <c r="C1986" s="482">
        <v>0.0</v>
      </c>
      <c r="D1986" s="482" t="s">
        <v>913</v>
      </c>
      <c r="E1986" s="482" t="s">
        <v>894</v>
      </c>
    </row>
    <row r="1987" customFormat="1" s="36">
      <c r="A1987" s="485" t="s">
        <v>4272</v>
      </c>
      <c r="B1987" s="485" t="s">
        <v>4273</v>
      </c>
      <c r="C1987" s="482">
        <v>0.0</v>
      </c>
      <c r="D1987" s="482" t="s">
        <v>893</v>
      </c>
      <c r="E1987" s="482" t="s">
        <v>894</v>
      </c>
    </row>
    <row r="1988" customFormat="1" s="36">
      <c r="A1988" s="485" t="s">
        <v>4274</v>
      </c>
      <c r="B1988" s="485" t="s">
        <v>4275</v>
      </c>
      <c r="C1988" s="482">
        <v>0.0</v>
      </c>
      <c r="D1988" s="482" t="s">
        <v>893</v>
      </c>
      <c r="E1988" s="482" t="s">
        <v>894</v>
      </c>
    </row>
    <row r="1989" customFormat="1" s="36">
      <c r="A1989" s="485">
        <v>71501.0</v>
      </c>
      <c r="B1989" s="485" t="s">
        <v>62</v>
      </c>
      <c r="C1989" s="482">
        <v>214.0</v>
      </c>
      <c r="D1989" s="482" t="s">
        <v>913</v>
      </c>
      <c r="E1989" s="482" t="s">
        <v>894</v>
      </c>
    </row>
    <row r="1990" customFormat="1" s="36">
      <c r="A1990" s="485">
        <v>71201.0</v>
      </c>
      <c r="B1990" s="485" t="s">
        <v>59</v>
      </c>
      <c r="C1990" s="482">
        <v>258.0</v>
      </c>
      <c r="D1990" s="482" t="s">
        <v>913</v>
      </c>
      <c r="E1990" s="482" t="s">
        <v>894</v>
      </c>
    </row>
    <row r="1991" customFormat="1" s="36">
      <c r="A1991" s="485">
        <v>71301.0</v>
      </c>
      <c r="B1991" s="485" t="s">
        <v>60</v>
      </c>
      <c r="C1991" s="482">
        <v>65.0</v>
      </c>
      <c r="D1991" s="482" t="s">
        <v>913</v>
      </c>
      <c r="E1991" s="482" t="s">
        <v>894</v>
      </c>
    </row>
    <row r="1992" customFormat="1" s="36">
      <c r="A1992" s="485">
        <v>71101.0</v>
      </c>
      <c r="B1992" s="485" t="s">
        <v>58</v>
      </c>
      <c r="C1992" s="482">
        <v>121.0</v>
      </c>
      <c r="D1992" s="482" t="s">
        <v>913</v>
      </c>
      <c r="E1992" s="482" t="s">
        <v>894</v>
      </c>
    </row>
    <row r="1993" customFormat="1" s="36">
      <c r="A1993" s="485">
        <v>71401.0</v>
      </c>
      <c r="B1993" s="485" t="s">
        <v>61</v>
      </c>
      <c r="C1993" s="482">
        <v>85.0</v>
      </c>
      <c r="D1993" s="482" t="s">
        <v>913</v>
      </c>
      <c r="E1993" s="482" t="s">
        <v>894</v>
      </c>
    </row>
    <row r="1994" customFormat="1" s="36">
      <c r="A1994" s="485" t="s">
        <v>55</v>
      </c>
      <c r="B1994" s="485" t="s">
        <v>54</v>
      </c>
      <c r="C1994" s="482">
        <v>105.0</v>
      </c>
      <c r="D1994" s="482" t="s">
        <v>913</v>
      </c>
      <c r="E1994" s="482" t="s">
        <v>894</v>
      </c>
    </row>
    <row r="1995" customFormat="1" s="36">
      <c r="A1995" s="485" t="s">
        <v>57</v>
      </c>
      <c r="B1995" s="485" t="s">
        <v>56</v>
      </c>
      <c r="C1995" s="482">
        <v>2.0</v>
      </c>
      <c r="D1995" s="482" t="s">
        <v>913</v>
      </c>
      <c r="E1995" s="482" t="s">
        <v>1140</v>
      </c>
    </row>
    <row r="1996" customFormat="1" s="36">
      <c r="A1996" s="485" t="s">
        <v>4276</v>
      </c>
      <c r="B1996" s="485" t="s">
        <v>4277</v>
      </c>
      <c r="C1996" s="482">
        <v>72.0</v>
      </c>
      <c r="D1996" s="482" t="s">
        <v>913</v>
      </c>
      <c r="E1996" s="482" t="s">
        <v>1140</v>
      </c>
    </row>
    <row r="1997" customFormat="1" s="36">
      <c r="A1997" s="485" t="s">
        <v>4278</v>
      </c>
      <c r="B1997" s="485" t="s">
        <v>4279</v>
      </c>
      <c r="C1997" s="482">
        <v>362.0</v>
      </c>
      <c r="D1997" s="482" t="s">
        <v>913</v>
      </c>
      <c r="E1997" s="482" t="s">
        <v>1140</v>
      </c>
    </row>
    <row r="1998" customFormat="1" s="36">
      <c r="A1998" s="485" t="s">
        <v>4280</v>
      </c>
      <c r="B1998" s="485" t="s">
        <v>4281</v>
      </c>
      <c r="C1998" s="482">
        <v>18.0</v>
      </c>
      <c r="D1998" s="482" t="s">
        <v>913</v>
      </c>
      <c r="E1998" s="482" t="s">
        <v>1140</v>
      </c>
    </row>
    <row r="1999" customFormat="1" s="36">
      <c r="A1999" s="485" t="s">
        <v>4282</v>
      </c>
      <c r="B1999" s="485" t="s">
        <v>4283</v>
      </c>
      <c r="C1999" s="482">
        <v>288.0</v>
      </c>
      <c r="D1999" s="482" t="s">
        <v>913</v>
      </c>
      <c r="E1999" s="482" t="s">
        <v>1140</v>
      </c>
    </row>
    <row r="2000" customFormat="1" s="36">
      <c r="A2000" s="485" t="s">
        <v>4284</v>
      </c>
      <c r="B2000" s="485" t="s">
        <v>4285</v>
      </c>
      <c r="C2000" s="482">
        <v>732.0</v>
      </c>
      <c r="D2000" s="482" t="s">
        <v>913</v>
      </c>
      <c r="E2000" s="482" t="s">
        <v>1140</v>
      </c>
    </row>
    <row r="2001" customFormat="1" s="36">
      <c r="A2001" s="485" t="s">
        <v>4286</v>
      </c>
      <c r="B2001" s="485" t="s">
        <v>4287</v>
      </c>
      <c r="C2001" s="482">
        <v>462.0</v>
      </c>
      <c r="D2001" s="482" t="s">
        <v>913</v>
      </c>
      <c r="E2001" s="482" t="s">
        <v>1140</v>
      </c>
    </row>
    <row r="2002" customFormat="1" s="36">
      <c r="A2002" s="485" t="s">
        <v>4288</v>
      </c>
      <c r="B2002" s="485" t="s">
        <v>4289</v>
      </c>
      <c r="C2002" s="482">
        <v>0.0</v>
      </c>
      <c r="D2002" s="482" t="s">
        <v>913</v>
      </c>
      <c r="E2002" s="482" t="s">
        <v>1140</v>
      </c>
    </row>
    <row r="2003" customFormat="1" s="36">
      <c r="A2003" s="485" t="s">
        <v>4290</v>
      </c>
      <c r="B2003" s="485" t="s">
        <v>4291</v>
      </c>
      <c r="C2003" s="482">
        <v>5.0</v>
      </c>
      <c r="D2003" s="482" t="s">
        <v>913</v>
      </c>
      <c r="E2003" s="482" t="s">
        <v>1140</v>
      </c>
    </row>
    <row r="2004" customFormat="1" s="36">
      <c r="A2004" s="485" t="s">
        <v>4292</v>
      </c>
      <c r="B2004" s="485" t="s">
        <v>4293</v>
      </c>
      <c r="C2004" s="482">
        <v>16440.0</v>
      </c>
      <c r="D2004" s="482" t="s">
        <v>913</v>
      </c>
      <c r="E2004" s="482" t="s">
        <v>894</v>
      </c>
    </row>
    <row r="2005" customFormat="1" s="36">
      <c r="A2005" s="485" t="s">
        <v>4294</v>
      </c>
      <c r="B2005" s="485" t="s">
        <v>4295</v>
      </c>
      <c r="C2005" s="482">
        <v>0.0</v>
      </c>
      <c r="D2005" s="482" t="s">
        <v>913</v>
      </c>
      <c r="E2005" s="482" t="s">
        <v>894</v>
      </c>
    </row>
    <row r="2006" customFormat="1" s="36">
      <c r="A2006" s="485" t="s">
        <v>4296</v>
      </c>
      <c r="B2006" s="485" t="s">
        <v>4297</v>
      </c>
      <c r="C2006" s="482">
        <v>0.0</v>
      </c>
      <c r="D2006" s="482" t="s">
        <v>913</v>
      </c>
      <c r="E2006" s="482" t="s">
        <v>894</v>
      </c>
    </row>
    <row r="2007" customFormat="1" s="36">
      <c r="A2007" s="485" t="s">
        <v>4298</v>
      </c>
      <c r="B2007" s="485" t="s">
        <v>4299</v>
      </c>
      <c r="C2007" s="482">
        <v>0.0</v>
      </c>
      <c r="D2007" s="482" t="s">
        <v>893</v>
      </c>
      <c r="E2007" s="482" t="s">
        <v>894</v>
      </c>
    </row>
    <row r="2008" customFormat="1" s="36">
      <c r="A2008" s="485" t="s">
        <v>4300</v>
      </c>
      <c r="B2008" s="485" t="s">
        <v>4301</v>
      </c>
      <c r="C2008" s="482">
        <v>0.0</v>
      </c>
      <c r="D2008" s="482" t="s">
        <v>893</v>
      </c>
      <c r="E2008" s="482" t="s">
        <v>894</v>
      </c>
    </row>
    <row r="2009" customFormat="1" s="36">
      <c r="A2009" s="485" t="s">
        <v>4302</v>
      </c>
      <c r="B2009" s="485" t="s">
        <v>4303</v>
      </c>
      <c r="C2009" s="482">
        <v>0.0</v>
      </c>
      <c r="D2009" s="482" t="s">
        <v>893</v>
      </c>
      <c r="E2009" s="482" t="s">
        <v>894</v>
      </c>
    </row>
    <row r="2010" customFormat="1" s="36">
      <c r="A2010" s="485" t="s">
        <v>4304</v>
      </c>
      <c r="B2010" s="485" t="s">
        <v>4305</v>
      </c>
      <c r="C2010" s="482">
        <v>0.0</v>
      </c>
      <c r="D2010" s="482" t="s">
        <v>893</v>
      </c>
      <c r="E2010" s="482" t="s">
        <v>894</v>
      </c>
    </row>
    <row r="2011" customFormat="1" s="36">
      <c r="A2011" s="485" t="s">
        <v>4306</v>
      </c>
      <c r="B2011" s="485" t="s">
        <v>4307</v>
      </c>
      <c r="C2011" s="482">
        <v>0.0</v>
      </c>
      <c r="D2011" s="482" t="s">
        <v>893</v>
      </c>
      <c r="E2011" s="482" t="s">
        <v>894</v>
      </c>
    </row>
    <row r="2012" customFormat="1" s="36">
      <c r="A2012" s="485" t="s">
        <v>4308</v>
      </c>
      <c r="B2012" s="485" t="s">
        <v>4309</v>
      </c>
      <c r="C2012" s="482">
        <v>18.0</v>
      </c>
      <c r="D2012" s="482" t="s">
        <v>913</v>
      </c>
      <c r="E2012" s="482" t="s">
        <v>1140</v>
      </c>
    </row>
    <row r="2013" customFormat="1" s="36">
      <c r="A2013" s="485" t="s">
        <v>4310</v>
      </c>
      <c r="B2013" s="485" t="s">
        <v>4311</v>
      </c>
      <c r="C2013" s="482">
        <v>204.0</v>
      </c>
      <c r="D2013" s="482" t="s">
        <v>913</v>
      </c>
      <c r="E2013" s="482" t="s">
        <v>1140</v>
      </c>
    </row>
    <row r="2014" customFormat="1" s="36">
      <c r="A2014" s="485" t="s">
        <v>4312</v>
      </c>
      <c r="B2014" s="485" t="s">
        <v>4313</v>
      </c>
      <c r="C2014" s="482">
        <v>245.0</v>
      </c>
      <c r="D2014" s="482" t="s">
        <v>913</v>
      </c>
      <c r="E2014" s="482" t="s">
        <v>1140</v>
      </c>
    </row>
    <row r="2015" customFormat="1" s="36">
      <c r="A2015" s="485" t="s">
        <v>4314</v>
      </c>
      <c r="B2015" s="485" t="s">
        <v>4315</v>
      </c>
      <c r="C2015" s="482">
        <v>0.0</v>
      </c>
      <c r="D2015" s="482" t="s">
        <v>913</v>
      </c>
      <c r="E2015" s="482" t="s">
        <v>1140</v>
      </c>
    </row>
    <row r="2016" customFormat="1" s="36">
      <c r="A2016" s="485" t="s">
        <v>4316</v>
      </c>
      <c r="B2016" s="485" t="s">
        <v>4317</v>
      </c>
      <c r="C2016" s="482">
        <v>239.0</v>
      </c>
      <c r="D2016" s="482" t="s">
        <v>913</v>
      </c>
      <c r="E2016" s="482" t="s">
        <v>1140</v>
      </c>
    </row>
    <row r="2017" customFormat="1" s="36">
      <c r="A2017" s="485" t="s">
        <v>4318</v>
      </c>
      <c r="B2017" s="485" t="s">
        <v>4319</v>
      </c>
      <c r="C2017" s="482">
        <v>6.0</v>
      </c>
      <c r="D2017" s="482" t="s">
        <v>913</v>
      </c>
      <c r="E2017" s="482" t="s">
        <v>1140</v>
      </c>
    </row>
    <row r="2018" customFormat="1" s="36">
      <c r="A2018" s="485" t="s">
        <v>4320</v>
      </c>
      <c r="B2018" s="485" t="s">
        <v>4321</v>
      </c>
      <c r="C2018" s="482">
        <v>528.0</v>
      </c>
      <c r="D2018" s="482" t="s">
        <v>913</v>
      </c>
      <c r="E2018" s="482" t="s">
        <v>1140</v>
      </c>
    </row>
    <row r="2019" customFormat="1" s="36">
      <c r="A2019" s="485" t="s">
        <v>4322</v>
      </c>
      <c r="B2019" s="485" t="s">
        <v>4323</v>
      </c>
      <c r="C2019" s="482">
        <v>0.0</v>
      </c>
      <c r="D2019" s="482" t="s">
        <v>893</v>
      </c>
      <c r="E2019" s="482" t="s">
        <v>894</v>
      </c>
    </row>
    <row r="2020" customFormat="1" s="36">
      <c r="A2020" s="485" t="s">
        <v>4324</v>
      </c>
      <c r="B2020" s="485" t="s">
        <v>4325</v>
      </c>
      <c r="C2020" s="482">
        <v>12.0</v>
      </c>
      <c r="D2020" s="482" t="s">
        <v>913</v>
      </c>
      <c r="E2020" s="482" t="s">
        <v>1140</v>
      </c>
    </row>
    <row r="2021" customFormat="1" s="36">
      <c r="A2021" s="485" t="s">
        <v>4326</v>
      </c>
      <c r="B2021" s="485" t="s">
        <v>4327</v>
      </c>
      <c r="C2021" s="482">
        <v>435.0</v>
      </c>
      <c r="D2021" s="482" t="s">
        <v>913</v>
      </c>
      <c r="E2021" s="482" t="s">
        <v>1140</v>
      </c>
    </row>
    <row r="2022" customFormat="1" s="36">
      <c r="A2022" s="485" t="s">
        <v>4328</v>
      </c>
      <c r="B2022" s="485" t="s">
        <v>4329</v>
      </c>
      <c r="C2022" s="482">
        <v>0.0</v>
      </c>
      <c r="D2022" s="482" t="s">
        <v>913</v>
      </c>
      <c r="E2022" s="482" t="s">
        <v>894</v>
      </c>
    </row>
    <row r="2023" customFormat="1" s="36">
      <c r="A2023" s="485" t="s">
        <v>4330</v>
      </c>
      <c r="B2023" s="485" t="s">
        <v>4331</v>
      </c>
      <c r="C2023" s="482">
        <v>0.0</v>
      </c>
      <c r="D2023" s="482" t="s">
        <v>913</v>
      </c>
      <c r="E2023" s="482" t="s">
        <v>894</v>
      </c>
    </row>
    <row r="2024" customFormat="1" s="36">
      <c r="A2024" s="485" t="s">
        <v>4332</v>
      </c>
      <c r="B2024" s="485" t="s">
        <v>4333</v>
      </c>
      <c r="C2024" s="482">
        <v>161.0</v>
      </c>
      <c r="D2024" s="482" t="s">
        <v>913</v>
      </c>
      <c r="E2024" s="482" t="s">
        <v>894</v>
      </c>
    </row>
    <row r="2025" customFormat="1" s="36">
      <c r="A2025" s="485" t="s">
        <v>4334</v>
      </c>
      <c r="B2025" s="485" t="s">
        <v>4335</v>
      </c>
      <c r="C2025" s="482">
        <v>351.0</v>
      </c>
      <c r="D2025" s="482" t="s">
        <v>913</v>
      </c>
      <c r="E2025" s="482" t="s">
        <v>894</v>
      </c>
    </row>
    <row r="2026" customFormat="1" s="36">
      <c r="A2026" s="485" t="s">
        <v>4336</v>
      </c>
      <c r="B2026" s="485" t="s">
        <v>4337</v>
      </c>
      <c r="C2026" s="482">
        <v>384.0</v>
      </c>
      <c r="D2026" s="482" t="s">
        <v>913</v>
      </c>
      <c r="E2026" s="482" t="s">
        <v>894</v>
      </c>
    </row>
    <row r="2027" customFormat="1" s="36">
      <c r="A2027" s="485" t="s">
        <v>4338</v>
      </c>
      <c r="B2027" s="485" t="s">
        <v>4339</v>
      </c>
      <c r="C2027" s="482">
        <v>364.0</v>
      </c>
      <c r="D2027" s="482" t="s">
        <v>913</v>
      </c>
      <c r="E2027" s="482" t="s">
        <v>894</v>
      </c>
    </row>
    <row r="2028" customFormat="1" s="36">
      <c r="A2028" s="485" t="s">
        <v>4340</v>
      </c>
      <c r="B2028" s="485" t="s">
        <v>4341</v>
      </c>
      <c r="C2028" s="482">
        <v>339.0</v>
      </c>
      <c r="D2028" s="482" t="s">
        <v>913</v>
      </c>
      <c r="E2028" s="482" t="s">
        <v>894</v>
      </c>
    </row>
    <row r="2029" customFormat="1" s="36">
      <c r="A2029" s="485" t="s">
        <v>4342</v>
      </c>
      <c r="B2029" s="485" t="s">
        <v>4343</v>
      </c>
      <c r="C2029" s="482">
        <v>0.0</v>
      </c>
      <c r="D2029" s="482" t="s">
        <v>893</v>
      </c>
      <c r="E2029" s="482" t="s">
        <v>894</v>
      </c>
    </row>
    <row r="2030" customFormat="1" s="36">
      <c r="A2030" s="485" t="s">
        <v>4344</v>
      </c>
      <c r="B2030" s="485" t="s">
        <v>4345</v>
      </c>
      <c r="C2030" s="482">
        <v>222.0</v>
      </c>
      <c r="D2030" s="482" t="s">
        <v>913</v>
      </c>
      <c r="E2030" s="482" t="s">
        <v>894</v>
      </c>
    </row>
    <row r="2031" customFormat="1" s="36">
      <c r="A2031" s="485" t="s">
        <v>4346</v>
      </c>
      <c r="B2031" s="485" t="s">
        <v>4347</v>
      </c>
      <c r="C2031" s="482">
        <v>280.0</v>
      </c>
      <c r="D2031" s="482" t="s">
        <v>913</v>
      </c>
      <c r="E2031" s="482" t="s">
        <v>894</v>
      </c>
    </row>
    <row r="2032" customFormat="1" s="36">
      <c r="A2032" s="485" t="s">
        <v>4348</v>
      </c>
      <c r="B2032" s="485" t="s">
        <v>4349</v>
      </c>
      <c r="C2032" s="482">
        <v>249.0</v>
      </c>
      <c r="D2032" s="482" t="s">
        <v>913</v>
      </c>
      <c r="E2032" s="482" t="s">
        <v>894</v>
      </c>
    </row>
    <row r="2033" customFormat="1" s="36">
      <c r="A2033" s="485" t="s">
        <v>4350</v>
      </c>
      <c r="B2033" s="485" t="s">
        <v>4351</v>
      </c>
      <c r="C2033" s="482">
        <v>134.0</v>
      </c>
      <c r="D2033" s="482" t="s">
        <v>913</v>
      </c>
      <c r="E2033" s="482" t="s">
        <v>894</v>
      </c>
    </row>
    <row r="2034" customFormat="1" s="36">
      <c r="A2034" s="485" t="s">
        <v>4352</v>
      </c>
      <c r="B2034" s="485" t="s">
        <v>4353</v>
      </c>
      <c r="C2034" s="482">
        <v>305.0</v>
      </c>
      <c r="D2034" s="482" t="s">
        <v>913</v>
      </c>
      <c r="E2034" s="482" t="s">
        <v>894</v>
      </c>
    </row>
    <row r="2035" customFormat="1" s="36">
      <c r="A2035" s="485" t="s">
        <v>4354</v>
      </c>
      <c r="B2035" s="485" t="s">
        <v>4355</v>
      </c>
      <c r="C2035" s="482">
        <v>0.0</v>
      </c>
      <c r="D2035" s="482" t="s">
        <v>913</v>
      </c>
      <c r="E2035" s="482" t="s">
        <v>894</v>
      </c>
    </row>
    <row r="2036" customFormat="1" s="36">
      <c r="A2036" s="485" t="s">
        <v>4356</v>
      </c>
      <c r="B2036" s="485" t="s">
        <v>4357</v>
      </c>
      <c r="C2036" s="482">
        <v>34.0</v>
      </c>
      <c r="D2036" s="482" t="s">
        <v>913</v>
      </c>
      <c r="E2036" s="482" t="s">
        <v>894</v>
      </c>
    </row>
    <row r="2037" customFormat="1" s="36">
      <c r="A2037" s="485" t="s">
        <v>4358</v>
      </c>
      <c r="B2037" s="485" t="s">
        <v>4359</v>
      </c>
      <c r="C2037" s="482">
        <v>424.0</v>
      </c>
      <c r="D2037" s="482" t="s">
        <v>913</v>
      </c>
      <c r="E2037" s="482" t="s">
        <v>894</v>
      </c>
    </row>
    <row r="2038" customFormat="1" s="36">
      <c r="A2038" s="485" t="s">
        <v>4360</v>
      </c>
      <c r="B2038" s="485" t="s">
        <v>4361</v>
      </c>
      <c r="C2038" s="482">
        <v>0.0</v>
      </c>
      <c r="D2038" s="482" t="s">
        <v>913</v>
      </c>
      <c r="E2038" s="482" t="s">
        <v>894</v>
      </c>
    </row>
    <row r="2039" customFormat="1" s="36">
      <c r="A2039" s="485" t="s">
        <v>4362</v>
      </c>
      <c r="B2039" s="485" t="s">
        <v>4363</v>
      </c>
      <c r="C2039" s="482">
        <v>0.0</v>
      </c>
      <c r="D2039" s="482" t="s">
        <v>893</v>
      </c>
      <c r="E2039" s="482" t="s">
        <v>894</v>
      </c>
    </row>
    <row r="2040" customFormat="1" s="36">
      <c r="A2040" s="485" t="s">
        <v>4364</v>
      </c>
      <c r="B2040" s="485" t="s">
        <v>4365</v>
      </c>
      <c r="C2040" s="482">
        <v>10140.0</v>
      </c>
      <c r="D2040" s="482" t="s">
        <v>913</v>
      </c>
      <c r="E2040" s="482" t="s">
        <v>894</v>
      </c>
    </row>
    <row r="2041" customFormat="1" s="36">
      <c r="A2041" s="485" t="s">
        <v>4366</v>
      </c>
      <c r="B2041" s="485" t="s">
        <v>4367</v>
      </c>
      <c r="C2041" s="482">
        <v>1.0</v>
      </c>
      <c r="D2041" s="482" t="s">
        <v>913</v>
      </c>
      <c r="E2041" s="482" t="s">
        <v>894</v>
      </c>
    </row>
    <row r="2042" customFormat="1" s="36">
      <c r="A2042" s="485" t="s">
        <v>4368</v>
      </c>
      <c r="B2042" s="485" t="s">
        <v>4369</v>
      </c>
      <c r="C2042" s="482">
        <v>0.0</v>
      </c>
      <c r="D2042" s="482" t="s">
        <v>913</v>
      </c>
      <c r="E2042" s="482" t="s">
        <v>894</v>
      </c>
    </row>
    <row r="2043" customFormat="1" s="36">
      <c r="A2043" s="485" t="s">
        <v>4370</v>
      </c>
      <c r="B2043" s="485" t="s">
        <v>4371</v>
      </c>
      <c r="C2043" s="482">
        <v>133.0</v>
      </c>
      <c r="D2043" s="482" t="s">
        <v>913</v>
      </c>
      <c r="E2043" s="482" t="s">
        <v>894</v>
      </c>
    </row>
    <row r="2044" customFormat="1" s="36">
      <c r="A2044" s="485" t="s">
        <v>4372</v>
      </c>
      <c r="B2044" s="485" t="s">
        <v>4373</v>
      </c>
      <c r="C2044" s="482">
        <v>1.0</v>
      </c>
      <c r="D2044" s="482" t="s">
        <v>913</v>
      </c>
      <c r="E2044" s="482" t="s">
        <v>894</v>
      </c>
    </row>
    <row r="2045" customFormat="1" s="36">
      <c r="A2045" s="485" t="s">
        <v>4374</v>
      </c>
      <c r="B2045" s="485" t="s">
        <v>4375</v>
      </c>
      <c r="C2045" s="482">
        <v>0.0</v>
      </c>
      <c r="D2045" s="482" t="s">
        <v>913</v>
      </c>
      <c r="E2045" s="482" t="s">
        <v>894</v>
      </c>
    </row>
    <row r="2046" customFormat="1" s="36">
      <c r="A2046" s="485" t="s">
        <v>4376</v>
      </c>
      <c r="B2046" s="485" t="s">
        <v>4377</v>
      </c>
      <c r="C2046" s="482">
        <v>0.0</v>
      </c>
      <c r="D2046" s="482" t="s">
        <v>913</v>
      </c>
      <c r="E2046" s="482" t="s">
        <v>894</v>
      </c>
    </row>
    <row r="2047" customFormat="1" s="36">
      <c r="A2047" s="485" t="s">
        <v>4378</v>
      </c>
      <c r="B2047" s="485" t="s">
        <v>4379</v>
      </c>
      <c r="C2047" s="482">
        <v>0.0</v>
      </c>
      <c r="D2047" s="482" t="s">
        <v>913</v>
      </c>
      <c r="E2047" s="482" t="s">
        <v>894</v>
      </c>
    </row>
    <row r="2048" customFormat="1" s="36">
      <c r="A2048" s="485" t="s">
        <v>4380</v>
      </c>
      <c r="B2048" s="485" t="s">
        <v>4381</v>
      </c>
      <c r="C2048" s="482">
        <v>0.0</v>
      </c>
      <c r="D2048" s="482" t="s">
        <v>913</v>
      </c>
      <c r="E2048" s="482" t="s">
        <v>894</v>
      </c>
    </row>
    <row r="2049" customFormat="1" s="36">
      <c r="A2049" s="485" t="s">
        <v>4382</v>
      </c>
      <c r="B2049" s="485" t="s">
        <v>4383</v>
      </c>
      <c r="C2049" s="482">
        <v>0.0</v>
      </c>
      <c r="D2049" s="482" t="s">
        <v>913</v>
      </c>
      <c r="E2049" s="482" t="s">
        <v>894</v>
      </c>
    </row>
    <row r="2050" customFormat="1" s="36">
      <c r="A2050" s="485" t="s">
        <v>755</v>
      </c>
      <c r="B2050" s="485" t="s">
        <v>754</v>
      </c>
      <c r="C2050" s="482">
        <v>1188.0</v>
      </c>
      <c r="D2050" s="482" t="s">
        <v>913</v>
      </c>
      <c r="E2050" s="482" t="s">
        <v>894</v>
      </c>
    </row>
    <row r="2051" customFormat="1" s="36">
      <c r="A2051" s="485" t="s">
        <v>4384</v>
      </c>
      <c r="B2051" s="485" t="s">
        <v>4385</v>
      </c>
      <c r="C2051" s="482">
        <v>-60.0</v>
      </c>
      <c r="D2051" s="482" t="s">
        <v>913</v>
      </c>
      <c r="E2051" s="482" t="s">
        <v>894</v>
      </c>
    </row>
    <row r="2052" customFormat="1" s="36">
      <c r="A2052" s="485" t="s">
        <v>4386</v>
      </c>
      <c r="B2052" s="485" t="s">
        <v>4387</v>
      </c>
      <c r="C2052" s="482">
        <v>408.0</v>
      </c>
      <c r="D2052" s="482" t="s">
        <v>913</v>
      </c>
      <c r="E2052" s="482" t="s">
        <v>894</v>
      </c>
    </row>
    <row r="2053" customFormat="1" s="36">
      <c r="A2053" s="485" t="s">
        <v>753</v>
      </c>
      <c r="B2053" s="485" t="s">
        <v>752</v>
      </c>
      <c r="C2053" s="482">
        <v>1416.0</v>
      </c>
      <c r="D2053" s="482" t="s">
        <v>913</v>
      </c>
      <c r="E2053" s="482" t="s">
        <v>894</v>
      </c>
    </row>
    <row r="2054" customFormat="1" s="36">
      <c r="A2054" s="485" t="s">
        <v>4388</v>
      </c>
      <c r="B2054" s="485" t="s">
        <v>4389</v>
      </c>
      <c r="C2054" s="482">
        <v>409.0</v>
      </c>
      <c r="D2054" s="482" t="s">
        <v>913</v>
      </c>
      <c r="E2054" s="482" t="s">
        <v>894</v>
      </c>
    </row>
    <row r="2055" customFormat="1" s="36">
      <c r="A2055" s="485" t="s">
        <v>4390</v>
      </c>
      <c r="B2055" s="485" t="s">
        <v>4391</v>
      </c>
      <c r="C2055" s="482">
        <v>-93.0</v>
      </c>
      <c r="D2055" s="482" t="s">
        <v>913</v>
      </c>
      <c r="E2055" s="482" t="s">
        <v>894</v>
      </c>
    </row>
    <row r="2056" customFormat="1" s="36">
      <c r="A2056" s="485" t="s">
        <v>4392</v>
      </c>
      <c r="B2056" s="485" t="s">
        <v>4393</v>
      </c>
      <c r="C2056" s="482">
        <v>782.0</v>
      </c>
      <c r="D2056" s="482" t="s">
        <v>913</v>
      </c>
      <c r="E2056" s="482" t="s">
        <v>894</v>
      </c>
    </row>
    <row r="2057" customFormat="1" s="36">
      <c r="A2057" s="485" t="s">
        <v>751</v>
      </c>
      <c r="B2057" s="485" t="s">
        <v>750</v>
      </c>
      <c r="C2057" s="482">
        <v>1521.0</v>
      </c>
      <c r="D2057" s="482" t="s">
        <v>913</v>
      </c>
      <c r="E2057" s="482" t="s">
        <v>894</v>
      </c>
    </row>
    <row r="2058" customFormat="1" s="36">
      <c r="A2058" s="485" t="s">
        <v>4394</v>
      </c>
      <c r="B2058" s="485" t="s">
        <v>4395</v>
      </c>
      <c r="C2058" s="482">
        <v>319.0</v>
      </c>
      <c r="D2058" s="482" t="s">
        <v>913</v>
      </c>
      <c r="E2058" s="482" t="s">
        <v>894</v>
      </c>
    </row>
    <row r="2059" customFormat="1" s="36">
      <c r="A2059" s="485" t="s">
        <v>4396</v>
      </c>
      <c r="B2059" s="485" t="s">
        <v>4397</v>
      </c>
      <c r="C2059" s="482">
        <v>-6.0</v>
      </c>
      <c r="D2059" s="482" t="s">
        <v>913</v>
      </c>
      <c r="E2059" s="482" t="s">
        <v>1140</v>
      </c>
    </row>
    <row r="2060" customFormat="1" s="36">
      <c r="A2060" s="485" t="s">
        <v>4398</v>
      </c>
      <c r="B2060" s="485" t="s">
        <v>4399</v>
      </c>
      <c r="C2060" s="482">
        <v>2.0</v>
      </c>
      <c r="D2060" s="482" t="s">
        <v>913</v>
      </c>
      <c r="E2060" s="482" t="s">
        <v>894</v>
      </c>
    </row>
    <row r="2061" customFormat="1" s="36">
      <c r="A2061" s="485" t="s">
        <v>4400</v>
      </c>
      <c r="B2061" s="485" t="s">
        <v>4401</v>
      </c>
      <c r="C2061" s="482">
        <v>267.0</v>
      </c>
      <c r="D2061" s="482" t="s">
        <v>913</v>
      </c>
      <c r="E2061" s="482" t="s">
        <v>894</v>
      </c>
    </row>
    <row r="2062" customFormat="1" s="36">
      <c r="A2062" s="485" t="s">
        <v>4402</v>
      </c>
      <c r="B2062" s="485" t="s">
        <v>4403</v>
      </c>
      <c r="C2062" s="482">
        <v>336.0</v>
      </c>
      <c r="D2062" s="482" t="s">
        <v>913</v>
      </c>
      <c r="E2062" s="482" t="s">
        <v>894</v>
      </c>
    </row>
    <row r="2063" customFormat="1" s="36">
      <c r="A2063" s="485" t="s">
        <v>4404</v>
      </c>
      <c r="B2063" s="485" t="s">
        <v>4405</v>
      </c>
      <c r="C2063" s="482">
        <v>232.0</v>
      </c>
      <c r="D2063" s="482" t="s">
        <v>913</v>
      </c>
      <c r="E2063" s="482" t="s">
        <v>894</v>
      </c>
    </row>
    <row r="2064" customFormat="1" s="36">
      <c r="A2064" s="485" t="s">
        <v>4406</v>
      </c>
      <c r="B2064" s="485" t="s">
        <v>4407</v>
      </c>
      <c r="C2064" s="482">
        <v>0.0</v>
      </c>
      <c r="D2064" s="482" t="s">
        <v>893</v>
      </c>
      <c r="E2064" s="482" t="s">
        <v>894</v>
      </c>
    </row>
    <row r="2065" customFormat="1" s="36">
      <c r="A2065" s="485" t="s">
        <v>4408</v>
      </c>
      <c r="B2065" s="485" t="s">
        <v>4409</v>
      </c>
      <c r="C2065" s="482">
        <v>82.0</v>
      </c>
      <c r="D2065" s="482" t="s">
        <v>913</v>
      </c>
      <c r="E2065" s="482" t="s">
        <v>894</v>
      </c>
    </row>
    <row r="2066" customFormat="1" s="36">
      <c r="A2066" s="485" t="s">
        <v>4410</v>
      </c>
      <c r="B2066" s="485" t="s">
        <v>4411</v>
      </c>
      <c r="C2066" s="482">
        <v>145.0</v>
      </c>
      <c r="D2066" s="482" t="s">
        <v>913</v>
      </c>
      <c r="E2066" s="482" t="s">
        <v>894</v>
      </c>
    </row>
    <row r="2067" customFormat="1" s="36">
      <c r="A2067" s="485" t="s">
        <v>4412</v>
      </c>
      <c r="B2067" s="485" t="s">
        <v>4413</v>
      </c>
      <c r="C2067" s="482">
        <v>0.0</v>
      </c>
      <c r="D2067" s="482" t="s">
        <v>893</v>
      </c>
      <c r="E2067" s="482" t="s">
        <v>894</v>
      </c>
    </row>
    <row r="2068" customFormat="1" s="36">
      <c r="A2068" s="485" t="s">
        <v>4414</v>
      </c>
      <c r="B2068" s="485" t="s">
        <v>4415</v>
      </c>
      <c r="C2068" s="482">
        <v>0.0</v>
      </c>
      <c r="D2068" s="482" t="s">
        <v>893</v>
      </c>
      <c r="E2068" s="482" t="s">
        <v>894</v>
      </c>
    </row>
    <row r="2069" customFormat="1" s="36">
      <c r="A2069" s="485" t="s">
        <v>4416</v>
      </c>
      <c r="B2069" s="485" t="s">
        <v>4417</v>
      </c>
      <c r="C2069" s="482">
        <v>0.0</v>
      </c>
      <c r="D2069" s="482" t="s">
        <v>893</v>
      </c>
      <c r="E2069" s="482" t="s">
        <v>894</v>
      </c>
    </row>
    <row r="2070" customFormat="1" s="36">
      <c r="A2070" s="485" t="s">
        <v>4418</v>
      </c>
      <c r="B2070" s="485" t="s">
        <v>4419</v>
      </c>
      <c r="C2070" s="482">
        <v>0.0</v>
      </c>
      <c r="D2070" s="482" t="s">
        <v>893</v>
      </c>
      <c r="E2070" s="482" t="s">
        <v>894</v>
      </c>
    </row>
    <row r="2071" customFormat="1" s="36">
      <c r="A2071" s="485" t="s">
        <v>4420</v>
      </c>
      <c r="B2071" s="485" t="s">
        <v>4421</v>
      </c>
      <c r="C2071" s="482">
        <v>0.0</v>
      </c>
      <c r="D2071" s="482" t="s">
        <v>893</v>
      </c>
      <c r="E2071" s="482" t="s">
        <v>894</v>
      </c>
    </row>
    <row r="2072" customFormat="1" s="36">
      <c r="A2072" s="485" t="s">
        <v>4422</v>
      </c>
      <c r="B2072" s="485" t="s">
        <v>4423</v>
      </c>
      <c r="C2072" s="482">
        <v>0.0</v>
      </c>
      <c r="D2072" s="482" t="s">
        <v>893</v>
      </c>
      <c r="E2072" s="482" t="s">
        <v>894</v>
      </c>
    </row>
    <row r="2073" customFormat="1" s="36">
      <c r="A2073" s="485" t="s">
        <v>4424</v>
      </c>
      <c r="B2073" s="485" t="s">
        <v>4425</v>
      </c>
      <c r="C2073" s="482">
        <v>0.0</v>
      </c>
      <c r="D2073" s="482" t="s">
        <v>893</v>
      </c>
      <c r="E2073" s="482" t="s">
        <v>894</v>
      </c>
    </row>
    <row r="2074" customFormat="1" s="36">
      <c r="A2074" s="485" t="s">
        <v>617</v>
      </c>
      <c r="B2074" s="485" t="s">
        <v>616</v>
      </c>
      <c r="C2074" s="482">
        <v>181.0</v>
      </c>
      <c r="D2074" s="482" t="s">
        <v>913</v>
      </c>
      <c r="E2074" s="482" t="s">
        <v>894</v>
      </c>
    </row>
    <row r="2075" customFormat="1" s="36">
      <c r="A2075" s="485" t="s">
        <v>4426</v>
      </c>
      <c r="B2075" s="485" t="s">
        <v>4427</v>
      </c>
      <c r="C2075" s="482">
        <v>0.0</v>
      </c>
      <c r="D2075" s="482" t="s">
        <v>913</v>
      </c>
      <c r="E2075" s="482" t="s">
        <v>894</v>
      </c>
    </row>
    <row r="2076" customFormat="1" s="36">
      <c r="A2076" s="485" t="s">
        <v>619</v>
      </c>
      <c r="B2076" s="485" t="s">
        <v>618</v>
      </c>
      <c r="C2076" s="482">
        <v>338.0</v>
      </c>
      <c r="D2076" s="482" t="s">
        <v>913</v>
      </c>
      <c r="E2076" s="482" t="s">
        <v>894</v>
      </c>
    </row>
    <row r="2077" customFormat="1" s="36">
      <c r="A2077" s="485" t="s">
        <v>613</v>
      </c>
      <c r="B2077" s="485" t="s">
        <v>612</v>
      </c>
      <c r="C2077" s="482">
        <v>441.0</v>
      </c>
      <c r="D2077" s="482" t="s">
        <v>913</v>
      </c>
      <c r="E2077" s="482" t="s">
        <v>894</v>
      </c>
    </row>
    <row r="2078" customFormat="1" s="36">
      <c r="A2078" s="485" t="s">
        <v>4428</v>
      </c>
      <c r="B2078" s="485" t="s">
        <v>4429</v>
      </c>
      <c r="C2078" s="482">
        <v>-3.0</v>
      </c>
      <c r="D2078" s="482" t="s">
        <v>913</v>
      </c>
      <c r="E2078" s="482" t="s">
        <v>894</v>
      </c>
    </row>
    <row r="2079" customFormat="1" s="36">
      <c r="A2079" s="485" t="s">
        <v>611</v>
      </c>
      <c r="B2079" s="485" t="s">
        <v>610</v>
      </c>
      <c r="C2079" s="482">
        <v>367.0</v>
      </c>
      <c r="D2079" s="482" t="s">
        <v>913</v>
      </c>
      <c r="E2079" s="482" t="s">
        <v>894</v>
      </c>
    </row>
    <row r="2080" customFormat="1" s="36">
      <c r="A2080" s="485" t="s">
        <v>4430</v>
      </c>
      <c r="B2080" s="485" t="s">
        <v>4431</v>
      </c>
      <c r="C2080" s="482">
        <v>0.0</v>
      </c>
      <c r="D2080" s="482" t="s">
        <v>913</v>
      </c>
      <c r="E2080" s="482" t="s">
        <v>894</v>
      </c>
    </row>
    <row r="2081" customFormat="1" s="36">
      <c r="A2081" s="485" t="s">
        <v>615</v>
      </c>
      <c r="B2081" s="485" t="s">
        <v>614</v>
      </c>
      <c r="C2081" s="482">
        <v>421.0</v>
      </c>
      <c r="D2081" s="482" t="s">
        <v>913</v>
      </c>
      <c r="E2081" s="482" t="s">
        <v>894</v>
      </c>
    </row>
    <row r="2082" customFormat="1" s="36">
      <c r="A2082" s="485" t="s">
        <v>4432</v>
      </c>
      <c r="B2082" s="485" t="s">
        <v>4433</v>
      </c>
      <c r="C2082" s="482">
        <v>224.0</v>
      </c>
      <c r="D2082" s="482" t="s">
        <v>913</v>
      </c>
      <c r="E2082" s="482" t="s">
        <v>894</v>
      </c>
    </row>
    <row r="2083" customFormat="1" s="36">
      <c r="A2083" s="485" t="s">
        <v>4434</v>
      </c>
      <c r="B2083" s="485" t="s">
        <v>4435</v>
      </c>
      <c r="C2083" s="482">
        <v>420.0</v>
      </c>
      <c r="D2083" s="482" t="s">
        <v>913</v>
      </c>
      <c r="E2083" s="482" t="s">
        <v>894</v>
      </c>
    </row>
    <row r="2084" customFormat="1" s="36">
      <c r="A2084" s="485" t="s">
        <v>4436</v>
      </c>
      <c r="B2084" s="485" t="s">
        <v>4437</v>
      </c>
      <c r="C2084" s="482">
        <v>164.0</v>
      </c>
      <c r="D2084" s="482" t="s">
        <v>913</v>
      </c>
      <c r="E2084" s="482" t="s">
        <v>894</v>
      </c>
    </row>
    <row r="2085" customFormat="1" s="36">
      <c r="A2085" s="485" t="s">
        <v>4438</v>
      </c>
      <c r="B2085" s="485" t="s">
        <v>4439</v>
      </c>
      <c r="C2085" s="482">
        <v>260.0</v>
      </c>
      <c r="D2085" s="482" t="s">
        <v>913</v>
      </c>
      <c r="E2085" s="482" t="s">
        <v>894</v>
      </c>
    </row>
    <row r="2086" customFormat="1" s="36">
      <c r="A2086" s="485" t="s">
        <v>4440</v>
      </c>
      <c r="B2086" s="485" t="s">
        <v>4441</v>
      </c>
      <c r="C2086" s="482">
        <v>76.0</v>
      </c>
      <c r="D2086" s="482" t="s">
        <v>913</v>
      </c>
      <c r="E2086" s="482" t="s">
        <v>894</v>
      </c>
    </row>
    <row r="2087" customFormat="1" s="36">
      <c r="A2087" s="485" t="s">
        <v>4442</v>
      </c>
      <c r="B2087" s="485" t="s">
        <v>4443</v>
      </c>
      <c r="C2087" s="482">
        <v>72.0</v>
      </c>
      <c r="D2087" s="482" t="s">
        <v>913</v>
      </c>
      <c r="E2087" s="482" t="s">
        <v>894</v>
      </c>
    </row>
    <row r="2088" customFormat="1" s="36">
      <c r="A2088" s="485" t="s">
        <v>4444</v>
      </c>
      <c r="B2088" s="485" t="s">
        <v>4445</v>
      </c>
      <c r="C2088" s="482">
        <v>0.0</v>
      </c>
      <c r="D2088" s="482" t="s">
        <v>893</v>
      </c>
      <c r="E2088" s="482" t="s">
        <v>894</v>
      </c>
    </row>
    <row r="2089" customFormat="1" s="36">
      <c r="A2089" s="485" t="s">
        <v>4446</v>
      </c>
      <c r="B2089" s="485" t="s">
        <v>4447</v>
      </c>
      <c r="C2089" s="482">
        <v>388.0</v>
      </c>
      <c r="D2089" s="482" t="s">
        <v>913</v>
      </c>
      <c r="E2089" s="482" t="s">
        <v>894</v>
      </c>
    </row>
    <row r="2090" customFormat="1" s="36">
      <c r="A2090" s="485" t="s">
        <v>4448</v>
      </c>
      <c r="B2090" s="485" t="s">
        <v>4449</v>
      </c>
      <c r="C2090" s="482">
        <v>166.0</v>
      </c>
      <c r="D2090" s="482" t="s">
        <v>913</v>
      </c>
      <c r="E2090" s="482" t="s">
        <v>894</v>
      </c>
    </row>
    <row r="2091" customFormat="1" s="36">
      <c r="A2091" s="485" t="s">
        <v>4450</v>
      </c>
      <c r="B2091" s="485" t="s">
        <v>4451</v>
      </c>
      <c r="C2091" s="482">
        <v>183.0</v>
      </c>
      <c r="D2091" s="482" t="s">
        <v>913</v>
      </c>
      <c r="E2091" s="482" t="s">
        <v>894</v>
      </c>
    </row>
    <row r="2092" customFormat="1" s="36">
      <c r="A2092" s="485" t="s">
        <v>4452</v>
      </c>
      <c r="B2092" s="485" t="s">
        <v>4453</v>
      </c>
      <c r="C2092" s="482">
        <v>231.0</v>
      </c>
      <c r="D2092" s="482" t="s">
        <v>913</v>
      </c>
      <c r="E2092" s="482" t="s">
        <v>894</v>
      </c>
    </row>
    <row r="2093" customFormat="1" s="36">
      <c r="A2093" s="485" t="s">
        <v>4454</v>
      </c>
      <c r="B2093" s="485" t="s">
        <v>4455</v>
      </c>
      <c r="C2093" s="482">
        <v>0.0</v>
      </c>
      <c r="D2093" s="482" t="s">
        <v>913</v>
      </c>
      <c r="E2093" s="482" t="s">
        <v>894</v>
      </c>
    </row>
    <row r="2094" customFormat="1" s="36">
      <c r="A2094" s="485">
        <v>41501.0</v>
      </c>
      <c r="B2094" s="485" t="s">
        <v>4456</v>
      </c>
      <c r="C2094" s="482">
        <v>0.0</v>
      </c>
      <c r="D2094" s="482" t="s">
        <v>893</v>
      </c>
      <c r="E2094" s="482" t="s">
        <v>894</v>
      </c>
    </row>
    <row r="2095" customFormat="1" s="36">
      <c r="A2095" s="485">
        <v>41502.0</v>
      </c>
      <c r="B2095" s="485" t="s">
        <v>4457</v>
      </c>
      <c r="C2095" s="482">
        <v>0.0</v>
      </c>
      <c r="D2095" s="482" t="s">
        <v>893</v>
      </c>
      <c r="E2095" s="482" t="s">
        <v>894</v>
      </c>
    </row>
    <row r="2096" customFormat="1" s="36">
      <c r="A2096" s="485">
        <v>41503.0</v>
      </c>
      <c r="B2096" s="485" t="s">
        <v>4458</v>
      </c>
      <c r="C2096" s="482">
        <v>0.0</v>
      </c>
      <c r="D2096" s="482" t="s">
        <v>893</v>
      </c>
      <c r="E2096" s="482" t="s">
        <v>894</v>
      </c>
    </row>
    <row r="2097" customFormat="1" s="36">
      <c r="A2097" s="485">
        <v>41504.0</v>
      </c>
      <c r="B2097" s="485" t="s">
        <v>4459</v>
      </c>
      <c r="C2097" s="482">
        <v>0.0</v>
      </c>
      <c r="D2097" s="482" t="s">
        <v>893</v>
      </c>
      <c r="E2097" s="482" t="s">
        <v>894</v>
      </c>
    </row>
    <row r="2098" customFormat="1" s="36">
      <c r="A2098" s="485">
        <v>41505.0</v>
      </c>
      <c r="B2098" s="485" t="s">
        <v>4460</v>
      </c>
      <c r="C2098" s="482">
        <v>0.0</v>
      </c>
      <c r="D2098" s="482" t="s">
        <v>893</v>
      </c>
      <c r="E2098" s="482" t="s">
        <v>894</v>
      </c>
    </row>
    <row r="2099" customFormat="1" s="36">
      <c r="A2099" s="485">
        <v>41508.0</v>
      </c>
      <c r="B2099" s="485" t="s">
        <v>4461</v>
      </c>
      <c r="C2099" s="482">
        <v>0.0</v>
      </c>
      <c r="D2099" s="482" t="s">
        <v>893</v>
      </c>
      <c r="E2099" s="482" t="s">
        <v>894</v>
      </c>
    </row>
    <row r="2100" customFormat="1" s="36">
      <c r="A2100" s="485">
        <v>41510.0</v>
      </c>
      <c r="B2100" s="485" t="s">
        <v>4462</v>
      </c>
      <c r="C2100" s="482">
        <v>0.0</v>
      </c>
      <c r="D2100" s="482" t="s">
        <v>893</v>
      </c>
      <c r="E2100" s="482" t="s">
        <v>894</v>
      </c>
    </row>
    <row r="2101" customFormat="1" s="36">
      <c r="A2101" s="485">
        <v>41511.0</v>
      </c>
      <c r="B2101" s="485" t="s">
        <v>4463</v>
      </c>
      <c r="C2101" s="482">
        <v>0.0</v>
      </c>
      <c r="D2101" s="482" t="s">
        <v>893</v>
      </c>
      <c r="E2101" s="482" t="s">
        <v>894</v>
      </c>
    </row>
    <row r="2102" customFormat="1" s="36">
      <c r="A2102" s="485">
        <v>41512.0</v>
      </c>
      <c r="B2102" s="485" t="s">
        <v>4464</v>
      </c>
      <c r="C2102" s="482">
        <v>0.0</v>
      </c>
      <c r="D2102" s="482" t="s">
        <v>893</v>
      </c>
      <c r="E2102" s="482" t="s">
        <v>894</v>
      </c>
    </row>
    <row r="2103" customFormat="1" s="36">
      <c r="A2103" s="485">
        <v>41513.0</v>
      </c>
      <c r="B2103" s="485" t="s">
        <v>4465</v>
      </c>
      <c r="C2103" s="482">
        <v>0.0</v>
      </c>
      <c r="D2103" s="482" t="s">
        <v>893</v>
      </c>
      <c r="E2103" s="482" t="s">
        <v>894</v>
      </c>
    </row>
    <row r="2104" customFormat="1" s="36">
      <c r="A2104" s="485">
        <v>41518.0</v>
      </c>
      <c r="B2104" s="485" t="s">
        <v>4466</v>
      </c>
      <c r="C2104" s="482">
        <v>0.0</v>
      </c>
      <c r="D2104" s="482" t="s">
        <v>893</v>
      </c>
      <c r="E2104" s="482" t="s">
        <v>894</v>
      </c>
    </row>
    <row r="2105" customFormat="1" s="36">
      <c r="A2105" s="485">
        <v>41519.0</v>
      </c>
      <c r="B2105" s="485" t="s">
        <v>4467</v>
      </c>
      <c r="C2105" s="482">
        <v>0.0</v>
      </c>
      <c r="D2105" s="482" t="s">
        <v>893</v>
      </c>
      <c r="E2105" s="482" t="s">
        <v>894</v>
      </c>
    </row>
    <row r="2106" customFormat="1" s="36">
      <c r="A2106" s="485" t="s">
        <v>4468</v>
      </c>
      <c r="B2106" s="485" t="s">
        <v>4469</v>
      </c>
      <c r="C2106" s="482">
        <v>0.0</v>
      </c>
      <c r="D2106" s="482" t="s">
        <v>893</v>
      </c>
      <c r="E2106" s="482" t="s">
        <v>894</v>
      </c>
    </row>
    <row r="2107" customFormat="1" s="36">
      <c r="A2107" s="485" t="s">
        <v>4470</v>
      </c>
      <c r="B2107" s="485" t="s">
        <v>4471</v>
      </c>
      <c r="C2107" s="482">
        <v>0.0</v>
      </c>
      <c r="D2107" s="482" t="s">
        <v>893</v>
      </c>
      <c r="E2107" s="482" t="s">
        <v>894</v>
      </c>
    </row>
    <row r="2108" customFormat="1" s="36">
      <c r="A2108" s="485">
        <v>7002.0</v>
      </c>
      <c r="B2108" s="485" t="s">
        <v>4472</v>
      </c>
      <c r="C2108" s="482">
        <v>0.0</v>
      </c>
      <c r="D2108" s="482" t="s">
        <v>893</v>
      </c>
      <c r="E2108" s="482" t="s">
        <v>894</v>
      </c>
    </row>
    <row r="2109" customFormat="1" s="36">
      <c r="A2109" s="485">
        <v>7006.0</v>
      </c>
      <c r="B2109" s="485" t="s">
        <v>4473</v>
      </c>
      <c r="C2109" s="482">
        <v>0.0</v>
      </c>
      <c r="D2109" s="482" t="s">
        <v>893</v>
      </c>
      <c r="E2109" s="482" t="s">
        <v>894</v>
      </c>
    </row>
    <row r="2110" customFormat="1" s="36">
      <c r="A2110" s="485">
        <v>7009.0</v>
      </c>
      <c r="B2110" s="485" t="s">
        <v>4474</v>
      </c>
      <c r="C2110" s="482">
        <v>0.0</v>
      </c>
      <c r="D2110" s="482" t="s">
        <v>893</v>
      </c>
      <c r="E2110" s="482" t="s">
        <v>894</v>
      </c>
    </row>
    <row r="2111" customFormat="1" s="36">
      <c r="A2111" s="485">
        <v>7008.0</v>
      </c>
      <c r="B2111" s="485" t="s">
        <v>4475</v>
      </c>
      <c r="C2111" s="482">
        <v>0.0</v>
      </c>
      <c r="D2111" s="482" t="s">
        <v>893</v>
      </c>
      <c r="E2111" s="482" t="s">
        <v>894</v>
      </c>
    </row>
    <row r="2112" customFormat="1" s="36">
      <c r="A2112" s="485">
        <v>7007.0</v>
      </c>
      <c r="B2112" s="485" t="s">
        <v>4476</v>
      </c>
      <c r="C2112" s="482">
        <v>0.0</v>
      </c>
      <c r="D2112" s="482" t="s">
        <v>893</v>
      </c>
      <c r="E2112" s="482" t="s">
        <v>894</v>
      </c>
    </row>
    <row r="2113" customFormat="1" s="36">
      <c r="A2113" s="485">
        <v>7003.0</v>
      </c>
      <c r="B2113" s="485" t="s">
        <v>4477</v>
      </c>
      <c r="C2113" s="482">
        <v>0.0</v>
      </c>
      <c r="D2113" s="482" t="s">
        <v>893</v>
      </c>
      <c r="E2113" s="482" t="s">
        <v>894</v>
      </c>
    </row>
    <row r="2114" customFormat="1" s="36">
      <c r="A2114" s="485">
        <v>7001.0</v>
      </c>
      <c r="B2114" s="485" t="s">
        <v>4478</v>
      </c>
      <c r="C2114" s="482">
        <v>0.0</v>
      </c>
      <c r="D2114" s="482" t="s">
        <v>893</v>
      </c>
      <c r="E2114" s="482" t="s">
        <v>894</v>
      </c>
    </row>
    <row r="2115" customFormat="1" s="36">
      <c r="A2115" s="485" t="s">
        <v>4479</v>
      </c>
      <c r="B2115" s="485" t="s">
        <v>4480</v>
      </c>
      <c r="C2115" s="482">
        <v>0.0</v>
      </c>
      <c r="D2115" s="482" t="s">
        <v>893</v>
      </c>
      <c r="E2115" s="482" t="s">
        <v>894</v>
      </c>
    </row>
    <row r="2116" customFormat="1" s="36">
      <c r="A2116" s="485" t="s">
        <v>4481</v>
      </c>
      <c r="B2116" s="485" t="s">
        <v>4482</v>
      </c>
      <c r="C2116" s="482">
        <v>0.0</v>
      </c>
      <c r="D2116" s="482" t="s">
        <v>893</v>
      </c>
      <c r="E2116" s="482" t="s">
        <v>894</v>
      </c>
    </row>
    <row r="2117" customFormat="1" s="36">
      <c r="A2117" s="485" t="s">
        <v>4483</v>
      </c>
      <c r="B2117" s="485" t="s">
        <v>4484</v>
      </c>
      <c r="C2117" s="482">
        <v>0.0</v>
      </c>
      <c r="D2117" s="482" t="s">
        <v>893</v>
      </c>
      <c r="E2117" s="482" t="s">
        <v>894</v>
      </c>
    </row>
    <row r="2118" customFormat="1" s="36">
      <c r="A2118" s="485" t="s">
        <v>4485</v>
      </c>
      <c r="B2118" s="485" t="s">
        <v>4486</v>
      </c>
      <c r="C2118" s="482">
        <v>0.0</v>
      </c>
      <c r="D2118" s="482" t="s">
        <v>893</v>
      </c>
      <c r="E2118" s="482" t="s">
        <v>894</v>
      </c>
    </row>
    <row r="2119" customFormat="1" s="36">
      <c r="A2119" s="485" t="s">
        <v>4487</v>
      </c>
      <c r="B2119" s="485" t="s">
        <v>4488</v>
      </c>
      <c r="C2119" s="482">
        <v>394.0</v>
      </c>
      <c r="D2119" s="482" t="s">
        <v>913</v>
      </c>
      <c r="E2119" s="482" t="s">
        <v>894</v>
      </c>
    </row>
    <row r="2120" customFormat="1" s="36">
      <c r="A2120" s="485" t="s">
        <v>4489</v>
      </c>
      <c r="B2120" s="485" t="s">
        <v>4490</v>
      </c>
      <c r="C2120" s="482">
        <v>0.0</v>
      </c>
      <c r="D2120" s="482" t="s">
        <v>893</v>
      </c>
      <c r="E2120" s="482" t="s">
        <v>894</v>
      </c>
    </row>
    <row r="2121" customFormat="1" s="36">
      <c r="A2121" s="485" t="s">
        <v>4491</v>
      </c>
      <c r="B2121" s="485" t="s">
        <v>4492</v>
      </c>
      <c r="C2121" s="482">
        <v>254.0</v>
      </c>
      <c r="D2121" s="482" t="s">
        <v>913</v>
      </c>
      <c r="E2121" s="482" t="s">
        <v>894</v>
      </c>
    </row>
    <row r="2122" customFormat="1" s="36">
      <c r="A2122" s="485" t="s">
        <v>4493</v>
      </c>
      <c r="B2122" s="485" t="s">
        <v>4494</v>
      </c>
      <c r="C2122" s="482">
        <v>0.0</v>
      </c>
      <c r="D2122" s="482" t="s">
        <v>893</v>
      </c>
      <c r="E2122" s="482" t="s">
        <v>894</v>
      </c>
    </row>
    <row r="2123" customFormat="1" s="36">
      <c r="A2123" s="485" t="s">
        <v>4495</v>
      </c>
      <c r="B2123" s="485" t="s">
        <v>4496</v>
      </c>
      <c r="C2123" s="482">
        <v>0.0</v>
      </c>
      <c r="D2123" s="482" t="s">
        <v>913</v>
      </c>
      <c r="E2123" s="482" t="s">
        <v>894</v>
      </c>
    </row>
    <row r="2124" customFormat="1" s="36">
      <c r="A2124" s="485" t="s">
        <v>4497</v>
      </c>
      <c r="B2124" s="485" t="s">
        <v>4498</v>
      </c>
      <c r="C2124" s="482">
        <v>5.0</v>
      </c>
      <c r="D2124" s="482" t="s">
        <v>913</v>
      </c>
      <c r="E2124" s="482" t="s">
        <v>894</v>
      </c>
    </row>
    <row r="2125" customFormat="1" s="36">
      <c r="A2125" s="485" t="s">
        <v>4499</v>
      </c>
      <c r="B2125" s="485" t="s">
        <v>4500</v>
      </c>
      <c r="C2125" s="482">
        <v>425.0</v>
      </c>
      <c r="D2125" s="482" t="s">
        <v>913</v>
      </c>
      <c r="E2125" s="482" t="s">
        <v>894</v>
      </c>
    </row>
    <row r="2126" customFormat="1" s="36">
      <c r="A2126" s="485" t="s">
        <v>4501</v>
      </c>
      <c r="B2126" s="485" t="s">
        <v>4502</v>
      </c>
      <c r="C2126" s="482">
        <v>536.0</v>
      </c>
      <c r="D2126" s="482" t="s">
        <v>913</v>
      </c>
      <c r="E2126" s="482" t="s">
        <v>894</v>
      </c>
    </row>
    <row r="2127" customFormat="1" s="36">
      <c r="A2127" s="485" t="s">
        <v>4503</v>
      </c>
      <c r="B2127" s="485" t="s">
        <v>4504</v>
      </c>
      <c r="C2127" s="482">
        <v>725.0</v>
      </c>
      <c r="D2127" s="482" t="s">
        <v>913</v>
      </c>
      <c r="E2127" s="482" t="s">
        <v>894</v>
      </c>
    </row>
    <row r="2128" customFormat="1" s="36">
      <c r="A2128" s="485" t="s">
        <v>4505</v>
      </c>
      <c r="B2128" s="485" t="s">
        <v>4506</v>
      </c>
      <c r="C2128" s="482">
        <v>939.0</v>
      </c>
      <c r="D2128" s="482" t="s">
        <v>913</v>
      </c>
      <c r="E2128" s="482" t="s">
        <v>894</v>
      </c>
    </row>
    <row r="2129" customFormat="1" s="36">
      <c r="A2129" s="485" t="s">
        <v>4507</v>
      </c>
      <c r="B2129" s="485" t="s">
        <v>4508</v>
      </c>
      <c r="C2129" s="482">
        <v>990.0</v>
      </c>
      <c r="D2129" s="482" t="s">
        <v>913</v>
      </c>
      <c r="E2129" s="482" t="s">
        <v>894</v>
      </c>
    </row>
    <row r="2130" customFormat="1" s="36">
      <c r="A2130" s="485" t="s">
        <v>4509</v>
      </c>
      <c r="B2130" s="485" t="s">
        <v>4510</v>
      </c>
      <c r="C2130" s="482">
        <v>912.0</v>
      </c>
      <c r="D2130" s="482" t="s">
        <v>913</v>
      </c>
      <c r="E2130" s="482" t="s">
        <v>894</v>
      </c>
    </row>
    <row r="2131" customFormat="1" s="36">
      <c r="A2131" s="485" t="s">
        <v>4511</v>
      </c>
      <c r="B2131" s="485" t="s">
        <v>4512</v>
      </c>
      <c r="C2131" s="482">
        <v>903.0</v>
      </c>
      <c r="D2131" s="482" t="s">
        <v>913</v>
      </c>
      <c r="E2131" s="482" t="s">
        <v>894</v>
      </c>
    </row>
    <row r="2132" customFormat="1" s="36">
      <c r="A2132" s="485" t="s">
        <v>4513</v>
      </c>
      <c r="B2132" s="485" t="s">
        <v>4514</v>
      </c>
      <c r="C2132" s="482">
        <v>891.0</v>
      </c>
      <c r="D2132" s="482" t="s">
        <v>913</v>
      </c>
      <c r="E2132" s="482" t="s">
        <v>894</v>
      </c>
    </row>
    <row r="2133" customFormat="1" s="36">
      <c r="A2133" s="485" t="s">
        <v>4515</v>
      </c>
      <c r="B2133" s="485" t="s">
        <v>4516</v>
      </c>
      <c r="C2133" s="482">
        <v>903.0</v>
      </c>
      <c r="D2133" s="482" t="s">
        <v>913</v>
      </c>
      <c r="E2133" s="482" t="s">
        <v>894</v>
      </c>
    </row>
    <row r="2134" customFormat="1" s="36">
      <c r="A2134" s="485" t="s">
        <v>4517</v>
      </c>
      <c r="B2134" s="485" t="s">
        <v>4518</v>
      </c>
      <c r="C2134" s="482">
        <v>906.0</v>
      </c>
      <c r="D2134" s="482" t="s">
        <v>913</v>
      </c>
      <c r="E2134" s="482" t="s">
        <v>894</v>
      </c>
    </row>
    <row r="2135" customFormat="1" s="36">
      <c r="A2135" s="485" t="s">
        <v>4519</v>
      </c>
      <c r="B2135" s="485" t="s">
        <v>4520</v>
      </c>
      <c r="C2135" s="482">
        <v>930.0</v>
      </c>
      <c r="D2135" s="482" t="s">
        <v>913</v>
      </c>
      <c r="E2135" s="482" t="s">
        <v>894</v>
      </c>
    </row>
    <row r="2136" customFormat="1" s="36">
      <c r="A2136" s="485" t="s">
        <v>4521</v>
      </c>
      <c r="B2136" s="485" t="s">
        <v>4522</v>
      </c>
      <c r="C2136" s="482">
        <v>535.0</v>
      </c>
      <c r="D2136" s="482" t="s">
        <v>913</v>
      </c>
      <c r="E2136" s="482" t="s">
        <v>894</v>
      </c>
    </row>
    <row r="2137" customFormat="1" s="36">
      <c r="A2137" s="485" t="s">
        <v>4523</v>
      </c>
      <c r="B2137" s="485" t="s">
        <v>4524</v>
      </c>
      <c r="C2137" s="482">
        <v>499.0</v>
      </c>
      <c r="D2137" s="482" t="s">
        <v>913</v>
      </c>
      <c r="E2137" s="482" t="s">
        <v>894</v>
      </c>
    </row>
    <row r="2138" customFormat="1" s="36">
      <c r="A2138" s="485" t="s">
        <v>4525</v>
      </c>
      <c r="B2138" s="485" t="s">
        <v>4526</v>
      </c>
      <c r="C2138" s="482">
        <v>519.0</v>
      </c>
      <c r="D2138" s="482" t="s">
        <v>913</v>
      </c>
      <c r="E2138" s="482" t="s">
        <v>894</v>
      </c>
    </row>
    <row r="2139" customFormat="1" s="36">
      <c r="A2139" s="485" t="s">
        <v>4527</v>
      </c>
      <c r="B2139" s="485" t="s">
        <v>4528</v>
      </c>
      <c r="C2139" s="482">
        <v>144.0</v>
      </c>
      <c r="D2139" s="482" t="s">
        <v>913</v>
      </c>
      <c r="E2139" s="482" t="s">
        <v>894</v>
      </c>
    </row>
    <row r="2140" customFormat="1" s="36">
      <c r="A2140" s="485" t="s">
        <v>4529</v>
      </c>
      <c r="B2140" s="485" t="s">
        <v>4530</v>
      </c>
      <c r="C2140" s="482">
        <v>0.0</v>
      </c>
      <c r="D2140" s="482" t="s">
        <v>913</v>
      </c>
      <c r="E2140" s="482" t="s">
        <v>894</v>
      </c>
    </row>
    <row r="2141" customFormat="1" s="36">
      <c r="A2141" s="485" t="s">
        <v>4531</v>
      </c>
      <c r="B2141" s="485" t="s">
        <v>4532</v>
      </c>
      <c r="C2141" s="482">
        <v>696.0</v>
      </c>
      <c r="D2141" s="482" t="s">
        <v>913</v>
      </c>
      <c r="E2141" s="482" t="s">
        <v>894</v>
      </c>
    </row>
    <row r="2142" customFormat="1" s="36">
      <c r="A2142" s="485" t="s">
        <v>4533</v>
      </c>
      <c r="B2142" s="485" t="s">
        <v>4534</v>
      </c>
      <c r="C2142" s="482">
        <v>0.0</v>
      </c>
      <c r="D2142" s="482" t="s">
        <v>913</v>
      </c>
      <c r="E2142" s="482" t="s">
        <v>894</v>
      </c>
    </row>
    <row r="2143" customFormat="1" s="36">
      <c r="A2143" s="485" t="s">
        <v>4535</v>
      </c>
      <c r="B2143" s="485" t="s">
        <v>4536</v>
      </c>
      <c r="C2143" s="482">
        <v>0.0</v>
      </c>
      <c r="D2143" s="482" t="s">
        <v>893</v>
      </c>
      <c r="E2143" s="482" t="s">
        <v>894</v>
      </c>
    </row>
    <row r="2144" customFormat="1" s="36">
      <c r="A2144" s="485" t="s">
        <v>4537</v>
      </c>
      <c r="B2144" s="485" t="s">
        <v>4538</v>
      </c>
      <c r="C2144" s="482">
        <v>0.0</v>
      </c>
      <c r="D2144" s="482" t="s">
        <v>913</v>
      </c>
      <c r="E2144" s="482" t="s">
        <v>894</v>
      </c>
    </row>
    <row r="2145" customFormat="1" s="36">
      <c r="A2145" s="485" t="s">
        <v>4539</v>
      </c>
      <c r="B2145" s="485" t="s">
        <v>4540</v>
      </c>
      <c r="C2145" s="482">
        <v>0.0</v>
      </c>
      <c r="D2145" s="482" t="s">
        <v>893</v>
      </c>
      <c r="E2145" s="482" t="s">
        <v>894</v>
      </c>
    </row>
    <row r="2146" customFormat="1" s="36">
      <c r="A2146" s="485" t="s">
        <v>4541</v>
      </c>
      <c r="B2146" s="485" t="s">
        <v>4542</v>
      </c>
      <c r="C2146" s="482">
        <v>0.0</v>
      </c>
      <c r="D2146" s="482" t="s">
        <v>913</v>
      </c>
      <c r="E2146" s="482" t="s">
        <v>894</v>
      </c>
    </row>
    <row r="2147" customFormat="1" s="36">
      <c r="A2147" s="485" t="s">
        <v>4543</v>
      </c>
      <c r="B2147" s="485" t="s">
        <v>4544</v>
      </c>
      <c r="C2147" s="482">
        <v>559.0</v>
      </c>
      <c r="D2147" s="482" t="s">
        <v>913</v>
      </c>
      <c r="E2147" s="482" t="s">
        <v>894</v>
      </c>
    </row>
    <row r="2148" customFormat="1" s="36">
      <c r="A2148" s="485" t="s">
        <v>4545</v>
      </c>
      <c r="B2148" s="485" t="s">
        <v>4546</v>
      </c>
      <c r="C2148" s="482">
        <v>483.0</v>
      </c>
      <c r="D2148" s="482" t="s">
        <v>913</v>
      </c>
      <c r="E2148" s="482" t="s">
        <v>894</v>
      </c>
    </row>
    <row r="2149" customFormat="1" s="36">
      <c r="A2149" s="485" t="s">
        <v>4547</v>
      </c>
      <c r="B2149" s="485" t="s">
        <v>4548</v>
      </c>
      <c r="C2149" s="482">
        <v>183.0</v>
      </c>
      <c r="D2149" s="482" t="s">
        <v>913</v>
      </c>
      <c r="E2149" s="482" t="s">
        <v>894</v>
      </c>
    </row>
    <row r="2150" customFormat="1" s="36">
      <c r="A2150" s="485" t="s">
        <v>4549</v>
      </c>
      <c r="B2150" s="485" t="s">
        <v>4550</v>
      </c>
      <c r="C2150" s="482">
        <v>0.0</v>
      </c>
      <c r="D2150" s="482" t="s">
        <v>913</v>
      </c>
      <c r="E2150" s="482" t="s">
        <v>894</v>
      </c>
    </row>
    <row r="2151" customFormat="1" s="36">
      <c r="A2151" s="485" t="s">
        <v>4551</v>
      </c>
      <c r="B2151" s="485" t="s">
        <v>4552</v>
      </c>
      <c r="C2151" s="482">
        <v>460.0</v>
      </c>
      <c r="D2151" s="482" t="s">
        <v>913</v>
      </c>
      <c r="E2151" s="482" t="s">
        <v>894</v>
      </c>
    </row>
    <row r="2152" customFormat="1" s="36">
      <c r="A2152" s="485" t="s">
        <v>4553</v>
      </c>
      <c r="B2152" s="485" t="s">
        <v>4554</v>
      </c>
      <c r="C2152" s="482">
        <v>0.0</v>
      </c>
      <c r="D2152" s="482" t="s">
        <v>913</v>
      </c>
      <c r="E2152" s="482" t="s">
        <v>894</v>
      </c>
    </row>
    <row r="2153" customFormat="1" s="36">
      <c r="A2153" s="485" t="s">
        <v>4555</v>
      </c>
      <c r="B2153" s="485" t="s">
        <v>4556</v>
      </c>
      <c r="C2153" s="482">
        <v>4.0</v>
      </c>
      <c r="D2153" s="482" t="s">
        <v>913</v>
      </c>
      <c r="E2153" s="482" t="s">
        <v>894</v>
      </c>
    </row>
    <row r="2154" customFormat="1" s="36">
      <c r="A2154" s="485" t="s">
        <v>4557</v>
      </c>
      <c r="B2154" s="485" t="s">
        <v>4558</v>
      </c>
      <c r="C2154" s="482">
        <v>0.0</v>
      </c>
      <c r="D2154" s="482" t="s">
        <v>913</v>
      </c>
      <c r="E2154" s="482" t="s">
        <v>894</v>
      </c>
    </row>
    <row r="2155" customFormat="1" s="36">
      <c r="A2155" s="485" t="s">
        <v>4559</v>
      </c>
      <c r="B2155" s="485" t="s">
        <v>4560</v>
      </c>
      <c r="C2155" s="482">
        <v>0.0</v>
      </c>
      <c r="D2155" s="482" t="s">
        <v>913</v>
      </c>
      <c r="E2155" s="482" t="s">
        <v>894</v>
      </c>
    </row>
    <row r="2156" customFormat="1" s="36">
      <c r="A2156" s="485" t="s">
        <v>4561</v>
      </c>
      <c r="B2156" s="485" t="s">
        <v>4562</v>
      </c>
      <c r="C2156" s="482">
        <v>1.0</v>
      </c>
      <c r="D2156" s="482" t="s">
        <v>913</v>
      </c>
      <c r="E2156" s="482" t="s">
        <v>894</v>
      </c>
    </row>
    <row r="2157" customFormat="1" s="36">
      <c r="A2157" s="485" t="s">
        <v>4563</v>
      </c>
      <c r="B2157" s="485" t="s">
        <v>4564</v>
      </c>
      <c r="C2157" s="482">
        <v>562.0</v>
      </c>
      <c r="D2157" s="482" t="s">
        <v>913</v>
      </c>
      <c r="E2157" s="482" t="s">
        <v>894</v>
      </c>
    </row>
    <row r="2158" customFormat="1" s="36">
      <c r="A2158" s="485" t="s">
        <v>4565</v>
      </c>
      <c r="B2158" s="485" t="s">
        <v>4566</v>
      </c>
      <c r="C2158" s="482">
        <v>0.0</v>
      </c>
      <c r="D2158" s="482" t="s">
        <v>913</v>
      </c>
      <c r="E2158" s="482" t="s">
        <v>894</v>
      </c>
    </row>
    <row r="2159" customFormat="1" s="36">
      <c r="A2159" s="485" t="s">
        <v>4567</v>
      </c>
      <c r="B2159" s="485" t="s">
        <v>4568</v>
      </c>
      <c r="C2159" s="482">
        <v>153.0</v>
      </c>
      <c r="D2159" s="482" t="s">
        <v>913</v>
      </c>
      <c r="E2159" s="482" t="s">
        <v>894</v>
      </c>
    </row>
    <row r="2160" customFormat="1" s="36">
      <c r="A2160" s="485" t="s">
        <v>4569</v>
      </c>
      <c r="B2160" s="485" t="s">
        <v>4570</v>
      </c>
      <c r="C2160" s="482">
        <v>395.0</v>
      </c>
      <c r="D2160" s="482" t="s">
        <v>913</v>
      </c>
      <c r="E2160" s="482" t="s">
        <v>894</v>
      </c>
    </row>
    <row r="2161" customFormat="1" s="36">
      <c r="A2161" s="485" t="s">
        <v>4571</v>
      </c>
      <c r="B2161" s="485" t="s">
        <v>4572</v>
      </c>
      <c r="C2161" s="482">
        <v>489.0</v>
      </c>
      <c r="D2161" s="482" t="s">
        <v>913</v>
      </c>
      <c r="E2161" s="482" t="s">
        <v>894</v>
      </c>
    </row>
    <row r="2162" customFormat="1" s="36">
      <c r="A2162" s="485" t="s">
        <v>4573</v>
      </c>
      <c r="B2162" s="485" t="s">
        <v>4574</v>
      </c>
      <c r="C2162" s="482">
        <v>3.0</v>
      </c>
      <c r="D2162" s="482" t="s">
        <v>913</v>
      </c>
      <c r="E2162" s="482" t="s">
        <v>894</v>
      </c>
    </row>
    <row r="2163" customFormat="1" s="36">
      <c r="A2163" s="485" t="s">
        <v>4575</v>
      </c>
      <c r="B2163" s="485" t="s">
        <v>4576</v>
      </c>
      <c r="C2163" s="482">
        <v>40.0</v>
      </c>
      <c r="D2163" s="482" t="s">
        <v>913</v>
      </c>
      <c r="E2163" s="482" t="s">
        <v>894</v>
      </c>
    </row>
    <row r="2164" customFormat="1" s="36">
      <c r="A2164" s="485" t="s">
        <v>4577</v>
      </c>
      <c r="B2164" s="485" t="s">
        <v>4578</v>
      </c>
      <c r="C2164" s="482">
        <v>430.0</v>
      </c>
      <c r="D2164" s="482" t="s">
        <v>913</v>
      </c>
      <c r="E2164" s="482" t="s">
        <v>894</v>
      </c>
    </row>
    <row r="2165" customFormat="1" s="36">
      <c r="A2165" s="485" t="s">
        <v>4579</v>
      </c>
      <c r="B2165" s="485" t="s">
        <v>4580</v>
      </c>
      <c r="C2165" s="482">
        <v>3.0</v>
      </c>
      <c r="D2165" s="482" t="s">
        <v>913</v>
      </c>
      <c r="E2165" s="482" t="s">
        <v>894</v>
      </c>
    </row>
    <row r="2166" customFormat="1" s="36">
      <c r="A2166" s="485" t="s">
        <v>4581</v>
      </c>
      <c r="B2166" s="485" t="s">
        <v>4582</v>
      </c>
      <c r="C2166" s="482">
        <v>713.0</v>
      </c>
      <c r="D2166" s="482" t="s">
        <v>913</v>
      </c>
      <c r="E2166" s="482" t="s">
        <v>894</v>
      </c>
    </row>
    <row r="2167" customFormat="1" s="36">
      <c r="A2167" s="485" t="s">
        <v>4583</v>
      </c>
      <c r="B2167" s="485" t="s">
        <v>4584</v>
      </c>
      <c r="C2167" s="482">
        <v>1.0</v>
      </c>
      <c r="D2167" s="482" t="s">
        <v>913</v>
      </c>
      <c r="E2167" s="482" t="s">
        <v>894</v>
      </c>
    </row>
    <row r="2168" customFormat="1" s="36">
      <c r="A2168" s="485" t="s">
        <v>4585</v>
      </c>
      <c r="B2168" s="485" t="s">
        <v>4586</v>
      </c>
      <c r="C2168" s="482">
        <v>60.0</v>
      </c>
      <c r="D2168" s="482" t="s">
        <v>913</v>
      </c>
      <c r="E2168" s="482" t="s">
        <v>894</v>
      </c>
    </row>
    <row r="2169" customFormat="1" s="36">
      <c r="A2169" s="485" t="s">
        <v>4587</v>
      </c>
      <c r="B2169" s="485" t="s">
        <v>4588</v>
      </c>
      <c r="C2169" s="482">
        <v>0.0</v>
      </c>
      <c r="D2169" s="482" t="s">
        <v>893</v>
      </c>
      <c r="E2169" s="482" t="s">
        <v>894</v>
      </c>
    </row>
    <row r="2170" customFormat="1" s="36">
      <c r="A2170" s="485" t="s">
        <v>4589</v>
      </c>
      <c r="B2170" s="485" t="s">
        <v>4590</v>
      </c>
      <c r="C2170" s="482">
        <v>0.0</v>
      </c>
      <c r="D2170" s="482" t="s">
        <v>893</v>
      </c>
      <c r="E2170" s="482" t="s">
        <v>894</v>
      </c>
    </row>
    <row r="2171" customFormat="1" s="36">
      <c r="A2171" s="485" t="s">
        <v>4591</v>
      </c>
      <c r="B2171" s="485" t="s">
        <v>4592</v>
      </c>
      <c r="C2171" s="482">
        <v>0.0</v>
      </c>
      <c r="D2171" s="482" t="s">
        <v>893</v>
      </c>
      <c r="E2171" s="482" t="s">
        <v>894</v>
      </c>
    </row>
    <row r="2172" customFormat="1" s="36">
      <c r="A2172" s="485" t="s">
        <v>4593</v>
      </c>
      <c r="B2172" s="485" t="s">
        <v>4594</v>
      </c>
      <c r="C2172" s="482">
        <v>0.0</v>
      </c>
      <c r="D2172" s="482" t="s">
        <v>893</v>
      </c>
      <c r="E2172" s="482" t="s">
        <v>894</v>
      </c>
    </row>
    <row r="2173" customFormat="1" s="36">
      <c r="A2173" s="485" t="s">
        <v>4595</v>
      </c>
      <c r="B2173" s="485" t="s">
        <v>4596</v>
      </c>
      <c r="C2173" s="482">
        <v>0.0</v>
      </c>
      <c r="D2173" s="482" t="s">
        <v>893</v>
      </c>
      <c r="E2173" s="482" t="s">
        <v>894</v>
      </c>
    </row>
    <row r="2174" customFormat="1" s="36">
      <c r="A2174" s="485" t="s">
        <v>4597</v>
      </c>
      <c r="B2174" s="485" t="s">
        <v>4598</v>
      </c>
      <c r="C2174" s="482">
        <v>0.0</v>
      </c>
      <c r="D2174" s="482" t="s">
        <v>893</v>
      </c>
      <c r="E2174" s="482" t="s">
        <v>894</v>
      </c>
    </row>
    <row r="2175" customFormat="1" s="36">
      <c r="A2175" s="485" t="s">
        <v>4599</v>
      </c>
      <c r="B2175" s="485" t="s">
        <v>4600</v>
      </c>
      <c r="C2175" s="482">
        <v>0.0</v>
      </c>
      <c r="D2175" s="482" t="s">
        <v>893</v>
      </c>
      <c r="E2175" s="482" t="s">
        <v>894</v>
      </c>
    </row>
    <row r="2176" customFormat="1" s="36">
      <c r="A2176" s="485" t="s">
        <v>264</v>
      </c>
      <c r="B2176" s="485" t="s">
        <v>263</v>
      </c>
      <c r="C2176" s="482">
        <v>396.0</v>
      </c>
      <c r="D2176" s="482" t="s">
        <v>913</v>
      </c>
      <c r="E2176" s="482" t="s">
        <v>894</v>
      </c>
    </row>
    <row r="2177" customFormat="1" s="36">
      <c r="A2177" s="485" t="s">
        <v>4601</v>
      </c>
      <c r="B2177" s="485" t="s">
        <v>4602</v>
      </c>
      <c r="C2177" s="482">
        <v>0.0</v>
      </c>
      <c r="D2177" s="482" t="s">
        <v>893</v>
      </c>
      <c r="E2177" s="482" t="s">
        <v>894</v>
      </c>
    </row>
    <row r="2178" customFormat="1" s="36">
      <c r="A2178" s="485" t="s">
        <v>266</v>
      </c>
      <c r="B2178" s="485" t="s">
        <v>265</v>
      </c>
      <c r="C2178" s="482">
        <v>587.0</v>
      </c>
      <c r="D2178" s="482" t="s">
        <v>913</v>
      </c>
      <c r="E2178" s="482" t="s">
        <v>894</v>
      </c>
    </row>
    <row r="2179" customFormat="1" s="36">
      <c r="A2179" s="485" t="s">
        <v>4603</v>
      </c>
      <c r="B2179" s="485" t="s">
        <v>4604</v>
      </c>
      <c r="C2179" s="482">
        <v>0.0</v>
      </c>
      <c r="D2179" s="482" t="s">
        <v>893</v>
      </c>
      <c r="E2179" s="482" t="s">
        <v>894</v>
      </c>
    </row>
    <row r="2180" customFormat="1" s="36">
      <c r="A2180" s="485" t="s">
        <v>4605</v>
      </c>
      <c r="B2180" s="485" t="s">
        <v>4606</v>
      </c>
      <c r="C2180" s="482">
        <v>111.0</v>
      </c>
      <c r="D2180" s="482" t="s">
        <v>913</v>
      </c>
      <c r="E2180" s="482" t="s">
        <v>894</v>
      </c>
    </row>
    <row r="2181" customFormat="1" s="36">
      <c r="A2181" s="485" t="s">
        <v>270</v>
      </c>
      <c r="B2181" s="485" t="s">
        <v>269</v>
      </c>
      <c r="C2181" s="482">
        <v>342.0</v>
      </c>
      <c r="D2181" s="482" t="s">
        <v>913</v>
      </c>
      <c r="E2181" s="482" t="s">
        <v>894</v>
      </c>
    </row>
    <row r="2182" customFormat="1" s="36">
      <c r="A2182" s="485" t="s">
        <v>4607</v>
      </c>
      <c r="B2182" s="485" t="s">
        <v>4608</v>
      </c>
      <c r="C2182" s="482">
        <v>0.0</v>
      </c>
      <c r="D2182" s="482" t="s">
        <v>893</v>
      </c>
      <c r="E2182" s="482" t="s">
        <v>894</v>
      </c>
    </row>
    <row r="2183" customFormat="1" s="36">
      <c r="A2183" s="485" t="s">
        <v>4609</v>
      </c>
      <c r="B2183" s="485" t="s">
        <v>4610</v>
      </c>
      <c r="C2183" s="482">
        <v>0.0</v>
      </c>
      <c r="D2183" s="482" t="s">
        <v>893</v>
      </c>
      <c r="E2183" s="482" t="s">
        <v>894</v>
      </c>
    </row>
    <row r="2184" customFormat="1" s="36">
      <c r="A2184" s="485" t="s">
        <v>268</v>
      </c>
      <c r="B2184" s="485" t="s">
        <v>267</v>
      </c>
      <c r="C2184" s="482">
        <v>249.0</v>
      </c>
      <c r="D2184" s="482" t="s">
        <v>913</v>
      </c>
      <c r="E2184" s="482" t="s">
        <v>894</v>
      </c>
    </row>
    <row r="2185" customFormat="1" s="36">
      <c r="A2185" s="485" t="s">
        <v>579</v>
      </c>
      <c r="B2185" s="485" t="s">
        <v>578</v>
      </c>
      <c r="C2185" s="482">
        <v>317.0</v>
      </c>
      <c r="D2185" s="482" t="s">
        <v>913</v>
      </c>
      <c r="E2185" s="482" t="s">
        <v>894</v>
      </c>
    </row>
    <row r="2186" customFormat="1" s="36">
      <c r="A2186" s="485" t="s">
        <v>272</v>
      </c>
      <c r="B2186" s="485" t="s">
        <v>271</v>
      </c>
      <c r="C2186" s="482">
        <v>392.0</v>
      </c>
      <c r="D2186" s="482" t="s">
        <v>913</v>
      </c>
      <c r="E2186" s="482" t="s">
        <v>894</v>
      </c>
    </row>
    <row r="2187" customFormat="1" s="36">
      <c r="A2187" s="485" t="s">
        <v>4611</v>
      </c>
      <c r="B2187" s="485" t="s">
        <v>4612</v>
      </c>
      <c r="C2187" s="482">
        <v>51.0</v>
      </c>
      <c r="D2187" s="482" t="s">
        <v>913</v>
      </c>
      <c r="E2187" s="482" t="s">
        <v>894</v>
      </c>
    </row>
    <row r="2188" customFormat="1" s="36">
      <c r="A2188" s="485" t="s">
        <v>4613</v>
      </c>
      <c r="B2188" s="485" t="s">
        <v>4614</v>
      </c>
      <c r="C2188" s="482">
        <v>0.0</v>
      </c>
      <c r="D2188" s="482" t="s">
        <v>893</v>
      </c>
      <c r="E2188" s="482" t="s">
        <v>894</v>
      </c>
    </row>
    <row r="2189" customFormat="1" s="36">
      <c r="A2189" s="485" t="s">
        <v>4615</v>
      </c>
      <c r="B2189" s="485" t="s">
        <v>4616</v>
      </c>
      <c r="C2189" s="482">
        <v>0.0</v>
      </c>
      <c r="D2189" s="482" t="s">
        <v>893</v>
      </c>
      <c r="E2189" s="482" t="s">
        <v>894</v>
      </c>
    </row>
    <row r="2190" customFormat="1" s="36">
      <c r="A2190" s="485" t="s">
        <v>4617</v>
      </c>
      <c r="B2190" s="485" t="s">
        <v>4618</v>
      </c>
      <c r="C2190" s="482">
        <v>0.0</v>
      </c>
      <c r="D2190" s="482" t="s">
        <v>893</v>
      </c>
      <c r="E2190" s="482" t="s">
        <v>894</v>
      </c>
    </row>
    <row r="2191" customFormat="1" s="36">
      <c r="A2191" s="485" t="s">
        <v>4619</v>
      </c>
      <c r="B2191" s="485" t="s">
        <v>4620</v>
      </c>
      <c r="C2191" s="482">
        <v>0.0</v>
      </c>
      <c r="D2191" s="482" t="s">
        <v>893</v>
      </c>
      <c r="E2191" s="482" t="s">
        <v>894</v>
      </c>
    </row>
    <row r="2192" customFormat="1" s="36">
      <c r="A2192" s="485" t="s">
        <v>4621</v>
      </c>
      <c r="B2192" s="485" t="s">
        <v>4622</v>
      </c>
      <c r="C2192" s="482">
        <v>0.0</v>
      </c>
      <c r="D2192" s="482" t="s">
        <v>913</v>
      </c>
      <c r="E2192" s="482" t="s">
        <v>894</v>
      </c>
    </row>
    <row r="2193" customFormat="1" s="36">
      <c r="A2193" s="485" t="s">
        <v>4623</v>
      </c>
      <c r="B2193" s="485" t="s">
        <v>4624</v>
      </c>
      <c r="C2193" s="482">
        <v>0.0</v>
      </c>
      <c r="D2193" s="482" t="s">
        <v>913</v>
      </c>
      <c r="E2193" s="482" t="s">
        <v>894</v>
      </c>
    </row>
    <row r="2194" customFormat="1" s="36">
      <c r="A2194" s="485" t="s">
        <v>4625</v>
      </c>
      <c r="B2194" s="485" t="s">
        <v>4626</v>
      </c>
      <c r="C2194" s="482">
        <v>0.0</v>
      </c>
      <c r="D2194" s="482" t="s">
        <v>913</v>
      </c>
      <c r="E2194" s="482" t="s">
        <v>894</v>
      </c>
    </row>
    <row r="2195" customFormat="1" s="36">
      <c r="A2195" s="485" t="s">
        <v>4627</v>
      </c>
      <c r="B2195" s="485" t="s">
        <v>4628</v>
      </c>
      <c r="C2195" s="482">
        <v>0.0</v>
      </c>
      <c r="D2195" s="482" t="s">
        <v>913</v>
      </c>
      <c r="E2195" s="482" t="s">
        <v>894</v>
      </c>
    </row>
    <row r="2196" customFormat="1" s="36">
      <c r="A2196" s="485" t="s">
        <v>4629</v>
      </c>
      <c r="B2196" s="485" t="s">
        <v>4630</v>
      </c>
      <c r="C2196" s="482">
        <v>0.0</v>
      </c>
      <c r="D2196" s="482" t="s">
        <v>913</v>
      </c>
      <c r="E2196" s="482" t="s">
        <v>894</v>
      </c>
    </row>
    <row r="2197" customFormat="1" s="36">
      <c r="A2197" s="485" t="s">
        <v>4631</v>
      </c>
      <c r="B2197" s="485" t="s">
        <v>4632</v>
      </c>
      <c r="C2197" s="482">
        <v>0.0</v>
      </c>
      <c r="D2197" s="482" t="s">
        <v>893</v>
      </c>
      <c r="E2197" s="482" t="s">
        <v>894</v>
      </c>
    </row>
    <row r="2198" customFormat="1" s="36">
      <c r="A2198" s="485" t="s">
        <v>4633</v>
      </c>
      <c r="B2198" s="485" t="s">
        <v>4634</v>
      </c>
      <c r="C2198" s="482">
        <v>0.0</v>
      </c>
      <c r="D2198" s="482" t="s">
        <v>893</v>
      </c>
      <c r="E2198" s="482" t="s">
        <v>894</v>
      </c>
    </row>
    <row r="2199" customFormat="1" s="36">
      <c r="A2199" s="485" t="s">
        <v>4635</v>
      </c>
      <c r="B2199" s="485" t="s">
        <v>4636</v>
      </c>
      <c r="C2199" s="482">
        <v>0.0</v>
      </c>
      <c r="D2199" s="482" t="s">
        <v>893</v>
      </c>
      <c r="E2199" s="482" t="s">
        <v>894</v>
      </c>
    </row>
    <row r="2200" customFormat="1" s="36">
      <c r="A2200" s="485" t="s">
        <v>4637</v>
      </c>
      <c r="B2200" s="485" t="s">
        <v>4638</v>
      </c>
      <c r="C2200" s="482">
        <v>0.0</v>
      </c>
      <c r="D2200" s="482" t="s">
        <v>893</v>
      </c>
      <c r="E2200" s="482" t="s">
        <v>894</v>
      </c>
    </row>
    <row r="2201" customFormat="1" s="36">
      <c r="A2201" s="485" t="s">
        <v>4639</v>
      </c>
      <c r="B2201" s="485" t="s">
        <v>4640</v>
      </c>
      <c r="C2201" s="482">
        <v>0.0</v>
      </c>
      <c r="D2201" s="482" t="s">
        <v>893</v>
      </c>
      <c r="E2201" s="482" t="s">
        <v>894</v>
      </c>
    </row>
    <row r="2202" customFormat="1" s="36">
      <c r="A2202" s="485">
        <v>90501.0</v>
      </c>
      <c r="B2202" s="485" t="s">
        <v>4641</v>
      </c>
      <c r="C2202" s="482">
        <v>0.0</v>
      </c>
      <c r="D2202" s="482" t="s">
        <v>893</v>
      </c>
      <c r="E2202" s="482" t="s">
        <v>894</v>
      </c>
    </row>
    <row r="2203" customFormat="1" s="36">
      <c r="A2203" s="485">
        <v>90502.0</v>
      </c>
      <c r="B2203" s="485" t="s">
        <v>4642</v>
      </c>
      <c r="C2203" s="482">
        <v>0.0</v>
      </c>
      <c r="D2203" s="482" t="s">
        <v>893</v>
      </c>
      <c r="E2203" s="482" t="s">
        <v>894</v>
      </c>
    </row>
    <row r="2204" customFormat="1" s="36">
      <c r="A2204" s="485">
        <v>90503.0</v>
      </c>
      <c r="B2204" s="485" t="s">
        <v>4643</v>
      </c>
      <c r="C2204" s="482">
        <v>0.0</v>
      </c>
      <c r="D2204" s="482" t="s">
        <v>893</v>
      </c>
      <c r="E2204" s="482" t="s">
        <v>894</v>
      </c>
    </row>
    <row r="2205" customFormat="1" s="36">
      <c r="A2205" s="485">
        <v>90504.0</v>
      </c>
      <c r="B2205" s="485" t="s">
        <v>4644</v>
      </c>
      <c r="C2205" s="482">
        <v>0.0</v>
      </c>
      <c r="D2205" s="482" t="s">
        <v>893</v>
      </c>
      <c r="E2205" s="482" t="s">
        <v>894</v>
      </c>
    </row>
    <row r="2206" customFormat="1" s="36">
      <c r="A2206" s="485">
        <v>90505.0</v>
      </c>
      <c r="B2206" s="485" t="s">
        <v>4645</v>
      </c>
      <c r="C2206" s="482">
        <v>0.0</v>
      </c>
      <c r="D2206" s="482" t="s">
        <v>893</v>
      </c>
      <c r="E2206" s="482" t="s">
        <v>894</v>
      </c>
    </row>
    <row r="2207" customFormat="1" s="36">
      <c r="A2207" s="485">
        <v>90506.0</v>
      </c>
      <c r="B2207" s="485" t="s">
        <v>4646</v>
      </c>
      <c r="C2207" s="482">
        <v>0.0</v>
      </c>
      <c r="D2207" s="482" t="s">
        <v>893</v>
      </c>
      <c r="E2207" s="482" t="s">
        <v>894</v>
      </c>
    </row>
    <row r="2208" customFormat="1" s="36">
      <c r="A2208" s="485" t="s">
        <v>4647</v>
      </c>
      <c r="B2208" s="485" t="s">
        <v>4648</v>
      </c>
      <c r="C2208" s="482">
        <v>0.0</v>
      </c>
      <c r="D2208" s="482" t="s">
        <v>893</v>
      </c>
      <c r="E2208" s="482" t="s">
        <v>894</v>
      </c>
    </row>
    <row r="2209" customFormat="1" s="36">
      <c r="A2209" s="485" t="s">
        <v>4649</v>
      </c>
      <c r="B2209" s="485" t="s">
        <v>4650</v>
      </c>
      <c r="C2209" s="482">
        <v>0.0</v>
      </c>
      <c r="D2209" s="482" t="s">
        <v>893</v>
      </c>
      <c r="E2209" s="482" t="s">
        <v>894</v>
      </c>
    </row>
    <row r="2210" customFormat="1" s="36">
      <c r="A2210" s="485" t="s">
        <v>4651</v>
      </c>
      <c r="B2210" s="485" t="s">
        <v>4652</v>
      </c>
      <c r="C2210" s="482">
        <v>0.0</v>
      </c>
      <c r="D2210" s="482" t="s">
        <v>893</v>
      </c>
      <c r="E2210" s="482" t="s">
        <v>894</v>
      </c>
    </row>
    <row r="2211" customFormat="1" s="36">
      <c r="A2211" s="485" t="s">
        <v>4653</v>
      </c>
      <c r="B2211" s="485" t="s">
        <v>4654</v>
      </c>
      <c r="C2211" s="482">
        <v>0.0</v>
      </c>
      <c r="D2211" s="482" t="s">
        <v>893</v>
      </c>
      <c r="E2211" s="482" t="s">
        <v>894</v>
      </c>
    </row>
    <row r="2212" customFormat="1" s="36">
      <c r="A2212" s="485" t="s">
        <v>4655</v>
      </c>
      <c r="B2212" s="485" t="s">
        <v>4656</v>
      </c>
      <c r="C2212" s="482">
        <v>0.0</v>
      </c>
      <c r="D2212" s="482" t="s">
        <v>893</v>
      </c>
      <c r="E2212" s="482" t="s">
        <v>894</v>
      </c>
    </row>
    <row r="2213" customFormat="1" s="36">
      <c r="A2213" s="485" t="s">
        <v>4657</v>
      </c>
      <c r="B2213" s="485" t="s">
        <v>4658</v>
      </c>
      <c r="C2213" s="482">
        <v>0.0</v>
      </c>
      <c r="D2213" s="482" t="s">
        <v>893</v>
      </c>
      <c r="E2213" s="482" t="s">
        <v>894</v>
      </c>
    </row>
    <row r="2214" customFormat="1" s="36">
      <c r="A2214" s="485" t="s">
        <v>4659</v>
      </c>
      <c r="B2214" s="485" t="s">
        <v>4660</v>
      </c>
      <c r="C2214" s="482">
        <v>0.0</v>
      </c>
      <c r="D2214" s="482" t="s">
        <v>893</v>
      </c>
      <c r="E2214" s="482" t="s">
        <v>894</v>
      </c>
    </row>
    <row r="2215" customFormat="1" s="36">
      <c r="A2215" s="485" t="s">
        <v>4661</v>
      </c>
      <c r="B2215" s="485" t="s">
        <v>4662</v>
      </c>
      <c r="C2215" s="482">
        <v>0.0</v>
      </c>
      <c r="D2215" s="482" t="s">
        <v>893</v>
      </c>
      <c r="E2215" s="482" t="s">
        <v>894</v>
      </c>
    </row>
    <row r="2216" customFormat="1" s="36">
      <c r="A2216" s="485" t="s">
        <v>4663</v>
      </c>
      <c r="B2216" s="485" t="s">
        <v>4664</v>
      </c>
      <c r="C2216" s="482">
        <v>0.0</v>
      </c>
      <c r="D2216" s="482" t="s">
        <v>893</v>
      </c>
      <c r="E2216" s="482" t="s">
        <v>894</v>
      </c>
    </row>
    <row r="2217" customFormat="1" s="36">
      <c r="A2217" s="485" t="s">
        <v>4665</v>
      </c>
      <c r="B2217" s="485" t="s">
        <v>4666</v>
      </c>
      <c r="C2217" s="482">
        <v>0.0</v>
      </c>
      <c r="D2217" s="482" t="s">
        <v>893</v>
      </c>
      <c r="E2217" s="482" t="s">
        <v>894</v>
      </c>
    </row>
    <row r="2218" customFormat="1" s="36">
      <c r="A2218" s="485" t="s">
        <v>4667</v>
      </c>
      <c r="B2218" s="485" t="s">
        <v>4668</v>
      </c>
      <c r="C2218" s="482">
        <v>0.0</v>
      </c>
      <c r="D2218" s="482" t="s">
        <v>893</v>
      </c>
      <c r="E2218" s="482" t="s">
        <v>894</v>
      </c>
    </row>
    <row r="2219" customFormat="1" s="36">
      <c r="A2219" s="485" t="s">
        <v>4669</v>
      </c>
      <c r="B2219" s="485" t="s">
        <v>4670</v>
      </c>
      <c r="C2219" s="482">
        <v>0.0</v>
      </c>
      <c r="D2219" s="482" t="s">
        <v>893</v>
      </c>
      <c r="E2219" s="482" t="s">
        <v>894</v>
      </c>
    </row>
    <row r="2220" customFormat="1" s="36">
      <c r="A2220" s="485" t="s">
        <v>4671</v>
      </c>
      <c r="B2220" s="485" t="s">
        <v>4672</v>
      </c>
      <c r="C2220" s="482">
        <v>0.0</v>
      </c>
      <c r="D2220" s="482" t="s">
        <v>893</v>
      </c>
      <c r="E2220" s="482" t="s">
        <v>894</v>
      </c>
    </row>
    <row r="2221" customFormat="1" s="36">
      <c r="A2221" s="485" t="s">
        <v>4673</v>
      </c>
      <c r="B2221" s="485" t="s">
        <v>4674</v>
      </c>
      <c r="C2221" s="482">
        <v>0.0</v>
      </c>
      <c r="D2221" s="482" t="s">
        <v>893</v>
      </c>
      <c r="E2221" s="482" t="s">
        <v>894</v>
      </c>
    </row>
    <row r="2222" customFormat="1" s="36">
      <c r="A2222" s="485" t="s">
        <v>4675</v>
      </c>
      <c r="B2222" s="485" t="s">
        <v>4676</v>
      </c>
      <c r="C2222" s="482">
        <v>0.0</v>
      </c>
      <c r="D2222" s="482" t="s">
        <v>893</v>
      </c>
      <c r="E2222" s="482" t="s">
        <v>894</v>
      </c>
    </row>
    <row r="2223" customFormat="1" s="36">
      <c r="A2223" s="485" t="s">
        <v>4677</v>
      </c>
      <c r="B2223" s="485" t="s">
        <v>4678</v>
      </c>
      <c r="C2223" s="482">
        <v>0.0</v>
      </c>
      <c r="D2223" s="482" t="s">
        <v>893</v>
      </c>
      <c r="E2223" s="482" t="s">
        <v>894</v>
      </c>
    </row>
    <row r="2224" customFormat="1" s="36">
      <c r="A2224" s="485" t="s">
        <v>4679</v>
      </c>
      <c r="B2224" s="485" t="s">
        <v>4680</v>
      </c>
      <c r="C2224" s="482">
        <v>0.0</v>
      </c>
      <c r="D2224" s="482" t="s">
        <v>893</v>
      </c>
      <c r="E2224" s="482" t="s">
        <v>894</v>
      </c>
    </row>
    <row r="2225" customFormat="1" s="36">
      <c r="A2225" s="485" t="s">
        <v>4681</v>
      </c>
      <c r="B2225" s="485" t="s">
        <v>4682</v>
      </c>
      <c r="C2225" s="482">
        <v>0.0</v>
      </c>
      <c r="D2225" s="482" t="s">
        <v>893</v>
      </c>
      <c r="E2225" s="482" t="s">
        <v>894</v>
      </c>
    </row>
    <row r="2226" customFormat="1" s="36">
      <c r="A2226" s="485" t="s">
        <v>4683</v>
      </c>
      <c r="B2226" s="485" t="s">
        <v>4684</v>
      </c>
      <c r="C2226" s="482">
        <v>0.0</v>
      </c>
      <c r="D2226" s="482" t="s">
        <v>893</v>
      </c>
      <c r="E2226" s="482" t="s">
        <v>894</v>
      </c>
    </row>
    <row r="2227" customFormat="1" s="36">
      <c r="A2227" s="485" t="s">
        <v>4685</v>
      </c>
      <c r="B2227" s="485" t="s">
        <v>4686</v>
      </c>
      <c r="C2227" s="482">
        <v>0.0</v>
      </c>
      <c r="D2227" s="482" t="s">
        <v>893</v>
      </c>
      <c r="E2227" s="482" t="s">
        <v>894</v>
      </c>
    </row>
    <row r="2228" customFormat="1" s="36">
      <c r="A2228" s="485" t="s">
        <v>4687</v>
      </c>
      <c r="B2228" s="485" t="s">
        <v>4688</v>
      </c>
      <c r="C2228" s="482">
        <v>0.0</v>
      </c>
      <c r="D2228" s="482" t="s">
        <v>893</v>
      </c>
      <c r="E2228" s="482" t="s">
        <v>894</v>
      </c>
    </row>
    <row r="2229" customFormat="1" s="36">
      <c r="A2229" s="485" t="s">
        <v>4689</v>
      </c>
      <c r="B2229" s="485" t="s">
        <v>4690</v>
      </c>
      <c r="C2229" s="482">
        <v>0.0</v>
      </c>
      <c r="D2229" s="482" t="s">
        <v>893</v>
      </c>
      <c r="E2229" s="482" t="s">
        <v>894</v>
      </c>
    </row>
    <row r="2230" customFormat="1" s="36">
      <c r="A2230" s="485" t="s">
        <v>4691</v>
      </c>
      <c r="B2230" s="485" t="s">
        <v>4692</v>
      </c>
      <c r="C2230" s="482">
        <v>0.0</v>
      </c>
      <c r="D2230" s="482" t="s">
        <v>893</v>
      </c>
      <c r="E2230" s="482" t="s">
        <v>894</v>
      </c>
    </row>
    <row r="2231" customFormat="1" s="36">
      <c r="A2231" s="485" t="s">
        <v>4693</v>
      </c>
      <c r="B2231" s="485" t="s">
        <v>4694</v>
      </c>
      <c r="C2231" s="482">
        <v>0.0</v>
      </c>
      <c r="D2231" s="482" t="s">
        <v>893</v>
      </c>
      <c r="E2231" s="482" t="s">
        <v>894</v>
      </c>
    </row>
    <row r="2232" customFormat="1" s="36">
      <c r="A2232" s="485" t="s">
        <v>4695</v>
      </c>
      <c r="B2232" s="485" t="s">
        <v>4696</v>
      </c>
      <c r="C2232" s="482">
        <v>0.0</v>
      </c>
      <c r="D2232" s="482" t="s">
        <v>893</v>
      </c>
      <c r="E2232" s="482" t="s">
        <v>894</v>
      </c>
    </row>
    <row r="2233" customFormat="1" s="36">
      <c r="A2233" s="485" t="s">
        <v>4697</v>
      </c>
      <c r="B2233" s="485" t="s">
        <v>4698</v>
      </c>
      <c r="C2233" s="482">
        <v>0.0</v>
      </c>
      <c r="D2233" s="482" t="s">
        <v>893</v>
      </c>
      <c r="E2233" s="482" t="s">
        <v>894</v>
      </c>
    </row>
    <row r="2234" customFormat="1" s="36">
      <c r="A2234" s="485" t="s">
        <v>4699</v>
      </c>
      <c r="B2234" s="485" t="s">
        <v>4700</v>
      </c>
      <c r="C2234" s="482">
        <v>0.0</v>
      </c>
      <c r="D2234" s="482" t="s">
        <v>893</v>
      </c>
      <c r="E2234" s="482" t="s">
        <v>894</v>
      </c>
    </row>
    <row r="2235" customFormat="1" s="36">
      <c r="A2235" s="485" t="s">
        <v>4701</v>
      </c>
      <c r="B2235" s="485" t="s">
        <v>4702</v>
      </c>
      <c r="C2235" s="482">
        <v>0.0</v>
      </c>
      <c r="D2235" s="482" t="s">
        <v>893</v>
      </c>
      <c r="E2235" s="482" t="s">
        <v>894</v>
      </c>
    </row>
    <row r="2236" customFormat="1" s="36">
      <c r="A2236" s="485" t="s">
        <v>4703</v>
      </c>
      <c r="B2236" s="485" t="s">
        <v>4704</v>
      </c>
      <c r="C2236" s="482">
        <v>0.0</v>
      </c>
      <c r="D2236" s="482" t="s">
        <v>893</v>
      </c>
      <c r="E2236" s="482" t="s">
        <v>894</v>
      </c>
    </row>
    <row r="2237" customFormat="1" s="36">
      <c r="A2237" s="485" t="s">
        <v>4705</v>
      </c>
      <c r="B2237" s="485" t="s">
        <v>4706</v>
      </c>
      <c r="C2237" s="482">
        <v>0.0</v>
      </c>
      <c r="D2237" s="482" t="s">
        <v>893</v>
      </c>
      <c r="E2237" s="482" t="s">
        <v>894</v>
      </c>
    </row>
    <row r="2238" customFormat="1" s="36">
      <c r="A2238" s="485" t="s">
        <v>4707</v>
      </c>
      <c r="B2238" s="485" t="s">
        <v>4708</v>
      </c>
      <c r="C2238" s="482">
        <v>0.0</v>
      </c>
      <c r="D2238" s="482" t="s">
        <v>893</v>
      </c>
      <c r="E2238" s="482" t="s">
        <v>894</v>
      </c>
    </row>
    <row r="2239" customFormat="1" s="36">
      <c r="A2239" s="485" t="s">
        <v>4709</v>
      </c>
      <c r="B2239" s="485" t="s">
        <v>4710</v>
      </c>
      <c r="C2239" s="482">
        <v>0.0</v>
      </c>
      <c r="D2239" s="482" t="s">
        <v>893</v>
      </c>
      <c r="E2239" s="482" t="s">
        <v>894</v>
      </c>
    </row>
    <row r="2240" customFormat="1" s="36">
      <c r="A2240" s="485" t="s">
        <v>4711</v>
      </c>
      <c r="B2240" s="485" t="s">
        <v>4712</v>
      </c>
      <c r="C2240" s="482">
        <v>0.0</v>
      </c>
      <c r="D2240" s="482" t="s">
        <v>893</v>
      </c>
      <c r="E2240" s="482" t="s">
        <v>894</v>
      </c>
    </row>
    <row r="2241" customFormat="1" s="36">
      <c r="A2241" s="485" t="s">
        <v>4713</v>
      </c>
      <c r="B2241" s="485" t="s">
        <v>4714</v>
      </c>
      <c r="C2241" s="482">
        <v>0.0</v>
      </c>
      <c r="D2241" s="482" t="s">
        <v>893</v>
      </c>
      <c r="E2241" s="482" t="s">
        <v>894</v>
      </c>
    </row>
    <row r="2242" customFormat="1" s="36">
      <c r="A2242" s="485" t="s">
        <v>4715</v>
      </c>
      <c r="B2242" s="485" t="s">
        <v>4716</v>
      </c>
      <c r="C2242" s="482">
        <v>0.0</v>
      </c>
      <c r="D2242" s="482" t="s">
        <v>893</v>
      </c>
      <c r="E2242" s="482" t="s">
        <v>894</v>
      </c>
    </row>
    <row r="2243" customFormat="1" s="36">
      <c r="A2243" s="485" t="s">
        <v>4717</v>
      </c>
      <c r="B2243" s="485" t="s">
        <v>4718</v>
      </c>
      <c r="C2243" s="482">
        <v>0.0</v>
      </c>
      <c r="D2243" s="482" t="s">
        <v>893</v>
      </c>
      <c r="E2243" s="482" t="s">
        <v>894</v>
      </c>
    </row>
    <row r="2244" customFormat="1" s="36">
      <c r="A2244" s="485" t="s">
        <v>4719</v>
      </c>
      <c r="B2244" s="485" t="s">
        <v>4720</v>
      </c>
      <c r="C2244" s="482">
        <v>0.0</v>
      </c>
      <c r="D2244" s="482" t="s">
        <v>893</v>
      </c>
      <c r="E2244" s="482" t="s">
        <v>894</v>
      </c>
    </row>
    <row r="2245" customFormat="1" s="36">
      <c r="A2245" s="485" t="s">
        <v>4721</v>
      </c>
      <c r="B2245" s="485" t="s">
        <v>4722</v>
      </c>
      <c r="C2245" s="482">
        <v>0.0</v>
      </c>
      <c r="D2245" s="482" t="s">
        <v>893</v>
      </c>
      <c r="E2245" s="482" t="s">
        <v>894</v>
      </c>
    </row>
    <row r="2246" customFormat="1" s="36">
      <c r="A2246" s="485" t="s">
        <v>4723</v>
      </c>
      <c r="B2246" s="485" t="s">
        <v>4724</v>
      </c>
      <c r="C2246" s="482">
        <v>0.0</v>
      </c>
      <c r="D2246" s="482" t="s">
        <v>893</v>
      </c>
      <c r="E2246" s="482" t="s">
        <v>894</v>
      </c>
    </row>
    <row r="2247" customFormat="1" s="36">
      <c r="A2247" s="485" t="s">
        <v>4725</v>
      </c>
      <c r="B2247" s="485" t="s">
        <v>4726</v>
      </c>
      <c r="C2247" s="482">
        <v>0.0</v>
      </c>
      <c r="D2247" s="482" t="s">
        <v>893</v>
      </c>
      <c r="E2247" s="482" t="s">
        <v>894</v>
      </c>
    </row>
    <row r="2248" customFormat="1" s="36">
      <c r="A2248" s="485" t="s">
        <v>4727</v>
      </c>
      <c r="B2248" s="485" t="s">
        <v>4728</v>
      </c>
      <c r="C2248" s="482">
        <v>0.0</v>
      </c>
      <c r="D2248" s="482" t="s">
        <v>893</v>
      </c>
      <c r="E2248" s="482" t="s">
        <v>894</v>
      </c>
    </row>
    <row r="2249" customFormat="1" s="36">
      <c r="A2249" s="485" t="s">
        <v>4729</v>
      </c>
      <c r="B2249" s="485" t="s">
        <v>4730</v>
      </c>
      <c r="C2249" s="482">
        <v>0.0</v>
      </c>
      <c r="D2249" s="482" t="s">
        <v>893</v>
      </c>
      <c r="E2249" s="482" t="s">
        <v>894</v>
      </c>
    </row>
    <row r="2250" customFormat="1" s="36">
      <c r="A2250" s="485" t="s">
        <v>4731</v>
      </c>
      <c r="B2250" s="485" t="s">
        <v>4732</v>
      </c>
      <c r="C2250" s="482">
        <v>0.0</v>
      </c>
      <c r="D2250" s="482" t="s">
        <v>893</v>
      </c>
      <c r="E2250" s="482" t="s">
        <v>894</v>
      </c>
    </row>
    <row r="2251" customFormat="1" s="36">
      <c r="A2251" s="485" t="s">
        <v>4733</v>
      </c>
      <c r="B2251" s="485" t="s">
        <v>4734</v>
      </c>
      <c r="C2251" s="482">
        <v>0.0</v>
      </c>
      <c r="D2251" s="482" t="s">
        <v>893</v>
      </c>
      <c r="E2251" s="482" t="s">
        <v>894</v>
      </c>
    </row>
    <row r="2252" customFormat="1" s="36">
      <c r="A2252" s="485" t="s">
        <v>4735</v>
      </c>
      <c r="B2252" s="485" t="s">
        <v>4736</v>
      </c>
      <c r="C2252" s="482">
        <v>0.0</v>
      </c>
      <c r="D2252" s="482" t="s">
        <v>893</v>
      </c>
      <c r="E2252" s="482" t="s">
        <v>894</v>
      </c>
    </row>
    <row r="2253" customFormat="1" s="36">
      <c r="A2253" s="485" t="s">
        <v>4737</v>
      </c>
      <c r="B2253" s="485" t="s">
        <v>4738</v>
      </c>
      <c r="C2253" s="482">
        <v>0.0</v>
      </c>
      <c r="D2253" s="482" t="s">
        <v>893</v>
      </c>
      <c r="E2253" s="482" t="s">
        <v>894</v>
      </c>
    </row>
    <row r="2254" customFormat="1" s="36">
      <c r="A2254" s="485" t="s">
        <v>4739</v>
      </c>
      <c r="B2254" s="485" t="s">
        <v>4740</v>
      </c>
      <c r="C2254" s="482">
        <v>20990.0</v>
      </c>
      <c r="D2254" s="482" t="s">
        <v>913</v>
      </c>
      <c r="E2254" s="482" t="s">
        <v>894</v>
      </c>
    </row>
    <row r="2255" customFormat="1" s="36">
      <c r="A2255" s="485" t="s">
        <v>4741</v>
      </c>
      <c r="B2255" s="485" t="s">
        <v>4742</v>
      </c>
      <c r="C2255" s="482">
        <v>0.0</v>
      </c>
      <c r="D2255" s="482" t="s">
        <v>913</v>
      </c>
      <c r="E2255" s="482" t="s">
        <v>894</v>
      </c>
    </row>
    <row r="2256" customFormat="1" s="36">
      <c r="A2256" s="485" t="s">
        <v>4743</v>
      </c>
      <c r="B2256" s="485" t="s">
        <v>4744</v>
      </c>
      <c r="C2256" s="482">
        <v>0.0</v>
      </c>
      <c r="D2256" s="482" t="s">
        <v>893</v>
      </c>
      <c r="E2256" s="482" t="s">
        <v>894</v>
      </c>
    </row>
    <row r="2257" customFormat="1" s="36">
      <c r="A2257" s="485" t="s">
        <v>4745</v>
      </c>
      <c r="B2257" s="485" t="s">
        <v>4746</v>
      </c>
      <c r="C2257" s="482">
        <v>9.0</v>
      </c>
      <c r="D2257" s="482" t="s">
        <v>913</v>
      </c>
      <c r="E2257" s="482" t="s">
        <v>1140</v>
      </c>
    </row>
    <row r="2258" customFormat="1" s="36">
      <c r="A2258" s="485" t="s">
        <v>4747</v>
      </c>
      <c r="B2258" s="485" t="s">
        <v>4748</v>
      </c>
      <c r="C2258" s="482">
        <v>0.0</v>
      </c>
      <c r="D2258" s="482" t="s">
        <v>913</v>
      </c>
      <c r="E2258" s="482" t="s">
        <v>894</v>
      </c>
    </row>
    <row r="2259" customFormat="1" s="36">
      <c r="A2259" s="485" t="s">
        <v>4749</v>
      </c>
      <c r="B2259" s="485" t="s">
        <v>4750</v>
      </c>
      <c r="C2259" s="482">
        <v>0.0</v>
      </c>
      <c r="D2259" s="482" t="s">
        <v>893</v>
      </c>
      <c r="E2259" s="482" t="s">
        <v>894</v>
      </c>
    </row>
    <row r="2260" customFormat="1" s="36">
      <c r="A2260" s="485" t="s">
        <v>4751</v>
      </c>
      <c r="B2260" s="485" t="s">
        <v>4752</v>
      </c>
      <c r="C2260" s="482">
        <v>0.0</v>
      </c>
      <c r="D2260" s="482" t="s">
        <v>893</v>
      </c>
      <c r="E2260" s="482" t="s">
        <v>894</v>
      </c>
    </row>
    <row r="2261" customFormat="1" s="36">
      <c r="A2261" s="485" t="s">
        <v>4753</v>
      </c>
      <c r="B2261" s="485" t="s">
        <v>4754</v>
      </c>
      <c r="C2261" s="482">
        <v>0.0</v>
      </c>
      <c r="D2261" s="482" t="s">
        <v>893</v>
      </c>
      <c r="E2261" s="482" t="s">
        <v>894</v>
      </c>
    </row>
    <row r="2262" customFormat="1" s="36">
      <c r="A2262" s="485" t="s">
        <v>4755</v>
      </c>
      <c r="B2262" s="485" t="s">
        <v>4756</v>
      </c>
      <c r="C2262" s="482">
        <v>0.0</v>
      </c>
      <c r="D2262" s="482" t="s">
        <v>893</v>
      </c>
      <c r="E2262" s="482" t="s">
        <v>894</v>
      </c>
    </row>
    <row r="2263" customFormat="1" s="36">
      <c r="A2263" s="485" t="s">
        <v>4757</v>
      </c>
      <c r="B2263" s="485" t="s">
        <v>4758</v>
      </c>
      <c r="C2263" s="482">
        <v>0.0</v>
      </c>
      <c r="D2263" s="482" t="s">
        <v>893</v>
      </c>
      <c r="E2263" s="482" t="s">
        <v>894</v>
      </c>
    </row>
    <row r="2264" customFormat="1" s="36">
      <c r="A2264" s="485" t="s">
        <v>4759</v>
      </c>
      <c r="B2264" s="485" t="s">
        <v>4760</v>
      </c>
      <c r="C2264" s="482">
        <v>0.0</v>
      </c>
      <c r="D2264" s="482" t="s">
        <v>893</v>
      </c>
      <c r="E2264" s="482" t="s">
        <v>894</v>
      </c>
    </row>
    <row r="2265" customFormat="1" s="36">
      <c r="A2265" s="485" t="s">
        <v>4761</v>
      </c>
      <c r="B2265" s="485" t="s">
        <v>4762</v>
      </c>
      <c r="C2265" s="482">
        <v>0.0</v>
      </c>
      <c r="D2265" s="482" t="s">
        <v>893</v>
      </c>
      <c r="E2265" s="482" t="s">
        <v>894</v>
      </c>
    </row>
    <row r="2266" customFormat="1" s="36">
      <c r="A2266" s="485" t="s">
        <v>4763</v>
      </c>
      <c r="B2266" s="485" t="s">
        <v>4764</v>
      </c>
      <c r="C2266" s="482">
        <v>0.0</v>
      </c>
      <c r="D2266" s="482" t="s">
        <v>893</v>
      </c>
      <c r="E2266" s="482" t="s">
        <v>894</v>
      </c>
    </row>
    <row r="2267" customFormat="1" s="36">
      <c r="A2267" s="485" t="s">
        <v>4765</v>
      </c>
      <c r="B2267" s="485" t="s">
        <v>4766</v>
      </c>
      <c r="C2267" s="482">
        <v>0.0</v>
      </c>
      <c r="D2267" s="482" t="s">
        <v>893</v>
      </c>
      <c r="E2267" s="482" t="s">
        <v>894</v>
      </c>
    </row>
    <row r="2268" customFormat="1" s="36">
      <c r="A2268" s="485" t="s">
        <v>4767</v>
      </c>
      <c r="B2268" s="485" t="s">
        <v>4768</v>
      </c>
      <c r="C2268" s="482">
        <v>0.0</v>
      </c>
      <c r="D2268" s="482" t="s">
        <v>893</v>
      </c>
      <c r="E2268" s="482" t="s">
        <v>894</v>
      </c>
    </row>
    <row r="2269" customFormat="1" s="36">
      <c r="A2269" s="485" t="s">
        <v>4769</v>
      </c>
      <c r="B2269" s="485" t="s">
        <v>4770</v>
      </c>
      <c r="C2269" s="482">
        <v>0.0</v>
      </c>
      <c r="D2269" s="482" t="s">
        <v>893</v>
      </c>
      <c r="E2269" s="482" t="s">
        <v>894</v>
      </c>
    </row>
    <row r="2270" customFormat="1" s="36">
      <c r="A2270" s="485">
        <v>5212.0</v>
      </c>
      <c r="B2270" s="485" t="s">
        <v>4771</v>
      </c>
      <c r="C2270" s="482">
        <v>0.0</v>
      </c>
      <c r="D2270" s="482" t="s">
        <v>893</v>
      </c>
      <c r="E2270" s="482" t="s">
        <v>894</v>
      </c>
    </row>
    <row r="2271" customFormat="1" s="36">
      <c r="A2271" s="485" t="s">
        <v>4772</v>
      </c>
      <c r="B2271" s="485" t="s">
        <v>4773</v>
      </c>
      <c r="C2271" s="482">
        <v>0.0</v>
      </c>
      <c r="D2271" s="482" t="s">
        <v>893</v>
      </c>
      <c r="E2271" s="482" t="s">
        <v>894</v>
      </c>
    </row>
    <row r="2272" customFormat="1" s="36">
      <c r="A2272" s="485" t="s">
        <v>4774</v>
      </c>
      <c r="B2272" s="485" t="s">
        <v>4775</v>
      </c>
      <c r="C2272" s="482">
        <v>0.0</v>
      </c>
      <c r="D2272" s="482" t="s">
        <v>893</v>
      </c>
      <c r="E2272" s="482" t="s">
        <v>894</v>
      </c>
    </row>
    <row r="2273" customFormat="1" s="36">
      <c r="A2273" s="485" t="s">
        <v>4776</v>
      </c>
      <c r="B2273" s="485" t="s">
        <v>4777</v>
      </c>
      <c r="C2273" s="482">
        <v>0.0</v>
      </c>
      <c r="D2273" s="482" t="s">
        <v>893</v>
      </c>
      <c r="E2273" s="482" t="s">
        <v>894</v>
      </c>
    </row>
    <row r="2274" customFormat="1" s="36">
      <c r="A2274" s="485" t="s">
        <v>4778</v>
      </c>
      <c r="B2274" s="485" t="s">
        <v>4779</v>
      </c>
      <c r="C2274" s="482">
        <v>0.0</v>
      </c>
      <c r="D2274" s="482" t="s">
        <v>893</v>
      </c>
      <c r="E2274" s="482" t="s">
        <v>894</v>
      </c>
    </row>
    <row r="2275" customFormat="1" s="36">
      <c r="A2275" s="485" t="s">
        <v>4780</v>
      </c>
      <c r="B2275" s="485" t="s">
        <v>4781</v>
      </c>
      <c r="C2275" s="482">
        <v>0.0</v>
      </c>
      <c r="D2275" s="482" t="s">
        <v>913</v>
      </c>
      <c r="E2275" s="482" t="s">
        <v>894</v>
      </c>
    </row>
    <row r="2276" customFormat="1" s="36">
      <c r="A2276" s="485" t="s">
        <v>275</v>
      </c>
      <c r="B2276" s="485" t="s">
        <v>274</v>
      </c>
      <c r="C2276" s="482">
        <v>304.0</v>
      </c>
      <c r="D2276" s="482" t="s">
        <v>913</v>
      </c>
      <c r="E2276" s="482" t="s">
        <v>894</v>
      </c>
    </row>
    <row r="2277" customFormat="1" s="36">
      <c r="A2277" s="485" t="s">
        <v>4782</v>
      </c>
      <c r="B2277" s="485" t="s">
        <v>4783</v>
      </c>
      <c r="C2277" s="482">
        <v>673.0</v>
      </c>
      <c r="D2277" s="482" t="s">
        <v>913</v>
      </c>
      <c r="E2277" s="482" t="s">
        <v>894</v>
      </c>
    </row>
    <row r="2278" customFormat="1" s="36">
      <c r="A2278" s="485" t="s">
        <v>4784</v>
      </c>
      <c r="B2278" s="485" t="s">
        <v>4785</v>
      </c>
      <c r="C2278" s="482">
        <v>788.0</v>
      </c>
      <c r="D2278" s="482" t="s">
        <v>913</v>
      </c>
      <c r="E2278" s="482" t="s">
        <v>894</v>
      </c>
    </row>
    <row r="2279" customFormat="1" s="36">
      <c r="A2279" s="485" t="s">
        <v>4786</v>
      </c>
      <c r="B2279" s="485" t="s">
        <v>4787</v>
      </c>
      <c r="C2279" s="482">
        <v>307.0</v>
      </c>
      <c r="D2279" s="482" t="s">
        <v>913</v>
      </c>
      <c r="E2279" s="482" t="s">
        <v>894</v>
      </c>
    </row>
    <row r="2280" customFormat="1" s="36">
      <c r="A2280" s="485" t="s">
        <v>277</v>
      </c>
      <c r="B2280" s="485" t="s">
        <v>276</v>
      </c>
      <c r="C2280" s="482">
        <v>549.0</v>
      </c>
      <c r="D2280" s="482" t="s">
        <v>913</v>
      </c>
      <c r="E2280" s="482" t="s">
        <v>894</v>
      </c>
    </row>
    <row r="2281" customFormat="1" s="36">
      <c r="A2281" s="485" t="s">
        <v>4788</v>
      </c>
      <c r="B2281" s="485" t="s">
        <v>4789</v>
      </c>
      <c r="C2281" s="482">
        <v>359.0</v>
      </c>
      <c r="D2281" s="482" t="s">
        <v>913</v>
      </c>
      <c r="E2281" s="482" t="s">
        <v>894</v>
      </c>
    </row>
    <row r="2282" customFormat="1" s="36">
      <c r="A2282" s="485" t="s">
        <v>4790</v>
      </c>
      <c r="B2282" s="485" t="s">
        <v>4791</v>
      </c>
      <c r="C2282" s="482">
        <v>837.0</v>
      </c>
      <c r="D2282" s="482" t="s">
        <v>913</v>
      </c>
      <c r="E2282" s="482" t="s">
        <v>894</v>
      </c>
    </row>
    <row r="2283" customFormat="1" s="36">
      <c r="A2283" s="485" t="s">
        <v>4792</v>
      </c>
      <c r="B2283" s="485" t="s">
        <v>4793</v>
      </c>
      <c r="C2283" s="482">
        <v>346.0</v>
      </c>
      <c r="D2283" s="482" t="s">
        <v>913</v>
      </c>
      <c r="E2283" s="482" t="s">
        <v>894</v>
      </c>
    </row>
    <row r="2284" customFormat="1" s="36">
      <c r="A2284" s="485" t="s">
        <v>4794</v>
      </c>
      <c r="B2284" s="485" t="s">
        <v>4795</v>
      </c>
      <c r="C2284" s="482">
        <v>273.0</v>
      </c>
      <c r="D2284" s="482" t="s">
        <v>913</v>
      </c>
      <c r="E2284" s="482" t="s">
        <v>894</v>
      </c>
    </row>
    <row r="2285" customFormat="1" s="36">
      <c r="A2285" s="485" t="s">
        <v>4796</v>
      </c>
      <c r="B2285" s="485" t="s">
        <v>4797</v>
      </c>
      <c r="C2285" s="482">
        <v>392.0</v>
      </c>
      <c r="D2285" s="482" t="s">
        <v>913</v>
      </c>
      <c r="E2285" s="482" t="s">
        <v>894</v>
      </c>
    </row>
    <row r="2286" customFormat="1" s="36">
      <c r="A2286" s="485" t="s">
        <v>4798</v>
      </c>
      <c r="B2286" s="485" t="s">
        <v>4799</v>
      </c>
      <c r="C2286" s="482">
        <v>365.0</v>
      </c>
      <c r="D2286" s="482" t="s">
        <v>913</v>
      </c>
      <c r="E2286" s="482" t="s">
        <v>894</v>
      </c>
    </row>
    <row r="2287" customFormat="1" s="36">
      <c r="A2287" s="485" t="s">
        <v>4800</v>
      </c>
      <c r="B2287" s="485" t="s">
        <v>4801</v>
      </c>
      <c r="C2287" s="482">
        <v>571.0</v>
      </c>
      <c r="D2287" s="482" t="s">
        <v>913</v>
      </c>
      <c r="E2287" s="482" t="s">
        <v>894</v>
      </c>
    </row>
    <row r="2288" customFormat="1" s="36">
      <c r="A2288" s="485" t="s">
        <v>4802</v>
      </c>
      <c r="B2288" s="485" t="s">
        <v>4803</v>
      </c>
      <c r="C2288" s="482">
        <v>0.0</v>
      </c>
      <c r="D2288" s="482" t="s">
        <v>893</v>
      </c>
      <c r="E2288" s="482" t="s">
        <v>894</v>
      </c>
    </row>
    <row r="2289" customFormat="1" s="36">
      <c r="A2289" s="485" t="s">
        <v>4804</v>
      </c>
      <c r="B2289" s="485" t="s">
        <v>4805</v>
      </c>
      <c r="C2289" s="482">
        <v>560.0</v>
      </c>
      <c r="D2289" s="482" t="s">
        <v>913</v>
      </c>
      <c r="E2289" s="482" t="s">
        <v>894</v>
      </c>
    </row>
    <row r="2290" customFormat="1" s="36">
      <c r="A2290" s="485" t="s">
        <v>4806</v>
      </c>
      <c r="B2290" s="485" t="s">
        <v>4807</v>
      </c>
      <c r="C2290" s="482">
        <v>0.0</v>
      </c>
      <c r="D2290" s="482" t="s">
        <v>893</v>
      </c>
      <c r="E2290" s="482" t="s">
        <v>894</v>
      </c>
    </row>
    <row r="2291" customFormat="1" s="36">
      <c r="A2291" s="485" t="s">
        <v>4808</v>
      </c>
      <c r="B2291" s="485" t="s">
        <v>4809</v>
      </c>
      <c r="C2291" s="482">
        <v>0.0</v>
      </c>
      <c r="D2291" s="482" t="s">
        <v>893</v>
      </c>
      <c r="E2291" s="482" t="s">
        <v>894</v>
      </c>
    </row>
    <row r="2292" customFormat="1" s="36">
      <c r="A2292" s="485" t="s">
        <v>4810</v>
      </c>
      <c r="B2292" s="485" t="s">
        <v>4811</v>
      </c>
      <c r="C2292" s="482">
        <v>0.0</v>
      </c>
      <c r="D2292" s="482" t="s">
        <v>913</v>
      </c>
      <c r="E2292" s="482" t="s">
        <v>894</v>
      </c>
    </row>
    <row r="2293" customFormat="1" s="36">
      <c r="A2293" s="485" t="s">
        <v>4812</v>
      </c>
      <c r="B2293" s="485" t="s">
        <v>4813</v>
      </c>
      <c r="C2293" s="482">
        <v>1.0</v>
      </c>
      <c r="D2293" s="482" t="s">
        <v>913</v>
      </c>
      <c r="E2293" s="482" t="s">
        <v>1140</v>
      </c>
    </row>
    <row r="2294" customFormat="1" s="36">
      <c r="A2294" s="485" t="s">
        <v>4814</v>
      </c>
      <c r="B2294" s="485" t="s">
        <v>4815</v>
      </c>
      <c r="C2294" s="482">
        <v>0.0</v>
      </c>
      <c r="D2294" s="482" t="s">
        <v>913</v>
      </c>
      <c r="E2294" s="482" t="s">
        <v>894</v>
      </c>
    </row>
    <row r="2295" customFormat="1" s="36">
      <c r="A2295" s="485" t="s">
        <v>4816</v>
      </c>
      <c r="B2295" s="485" t="s">
        <v>4817</v>
      </c>
      <c r="C2295" s="482">
        <v>0.0</v>
      </c>
      <c r="D2295" s="482" t="s">
        <v>913</v>
      </c>
      <c r="E2295" s="482" t="s">
        <v>894</v>
      </c>
    </row>
    <row r="2296" customFormat="1" s="36">
      <c r="A2296" s="485" t="s">
        <v>4818</v>
      </c>
      <c r="B2296" s="485" t="s">
        <v>4819</v>
      </c>
      <c r="C2296" s="482">
        <v>0.0</v>
      </c>
      <c r="D2296" s="482" t="s">
        <v>913</v>
      </c>
      <c r="E2296" s="482" t="s">
        <v>894</v>
      </c>
    </row>
    <row r="2297" customFormat="1" s="36">
      <c r="A2297" s="485" t="s">
        <v>4820</v>
      </c>
      <c r="B2297" s="485" t="s">
        <v>4821</v>
      </c>
      <c r="C2297" s="482">
        <v>0.0</v>
      </c>
      <c r="D2297" s="482" t="s">
        <v>913</v>
      </c>
      <c r="E2297" s="482" t="s">
        <v>894</v>
      </c>
    </row>
    <row r="2298" customFormat="1" s="36">
      <c r="A2298" s="485" t="s">
        <v>4822</v>
      </c>
      <c r="B2298" s="485" t="s">
        <v>4823</v>
      </c>
      <c r="C2298" s="482">
        <v>0.0</v>
      </c>
      <c r="D2298" s="482" t="s">
        <v>913</v>
      </c>
      <c r="E2298" s="482" t="s">
        <v>894</v>
      </c>
    </row>
    <row r="2299" customFormat="1" s="36">
      <c r="A2299" s="485" t="s">
        <v>4824</v>
      </c>
      <c r="B2299" s="485" t="s">
        <v>4825</v>
      </c>
      <c r="C2299" s="482">
        <v>0.0</v>
      </c>
      <c r="D2299" s="482" t="s">
        <v>913</v>
      </c>
      <c r="E2299" s="482" t="s">
        <v>894</v>
      </c>
    </row>
    <row r="2300" customFormat="1" s="36">
      <c r="A2300" s="485" t="s">
        <v>4826</v>
      </c>
      <c r="B2300" s="485" t="s">
        <v>4827</v>
      </c>
      <c r="C2300" s="482">
        <v>0.0</v>
      </c>
      <c r="D2300" s="482" t="s">
        <v>913</v>
      </c>
      <c r="E2300" s="482" t="s">
        <v>894</v>
      </c>
    </row>
    <row r="2301" customFormat="1" s="36">
      <c r="A2301" s="485" t="s">
        <v>4828</v>
      </c>
      <c r="B2301" s="485" t="s">
        <v>4829</v>
      </c>
      <c r="C2301" s="482">
        <v>0.0</v>
      </c>
      <c r="D2301" s="482" t="s">
        <v>913</v>
      </c>
      <c r="E2301" s="482" t="s">
        <v>894</v>
      </c>
    </row>
    <row r="2302" customFormat="1" s="36">
      <c r="A2302" s="485" t="s">
        <v>4830</v>
      </c>
      <c r="B2302" s="485" t="s">
        <v>4831</v>
      </c>
      <c r="C2302" s="482">
        <v>0.0</v>
      </c>
      <c r="D2302" s="482" t="s">
        <v>913</v>
      </c>
      <c r="E2302" s="482" t="s">
        <v>894</v>
      </c>
    </row>
    <row r="2303" customFormat="1" s="36">
      <c r="A2303" s="485" t="s">
        <v>4832</v>
      </c>
      <c r="B2303" s="485" t="s">
        <v>4833</v>
      </c>
      <c r="C2303" s="482">
        <v>0.0</v>
      </c>
      <c r="D2303" s="482" t="s">
        <v>913</v>
      </c>
      <c r="E2303" s="482" t="s">
        <v>894</v>
      </c>
    </row>
    <row r="2304" customFormat="1" s="36">
      <c r="A2304" s="485" t="s">
        <v>4834</v>
      </c>
      <c r="B2304" s="485" t="s">
        <v>4835</v>
      </c>
      <c r="C2304" s="482">
        <v>0.0</v>
      </c>
      <c r="D2304" s="482" t="s">
        <v>913</v>
      </c>
      <c r="E2304" s="482" t="s">
        <v>894</v>
      </c>
    </row>
    <row r="2305" customFormat="1" s="36">
      <c r="A2305" s="485" t="s">
        <v>4836</v>
      </c>
      <c r="B2305" s="485" t="s">
        <v>4837</v>
      </c>
      <c r="C2305" s="482">
        <v>0.0</v>
      </c>
      <c r="D2305" s="482" t="s">
        <v>913</v>
      </c>
      <c r="E2305" s="482" t="s">
        <v>894</v>
      </c>
    </row>
    <row r="2306" customFormat="1" s="36">
      <c r="A2306" s="485" t="s">
        <v>4838</v>
      </c>
      <c r="B2306" s="485" t="s">
        <v>4839</v>
      </c>
      <c r="C2306" s="482">
        <v>0.0</v>
      </c>
      <c r="D2306" s="482" t="s">
        <v>913</v>
      </c>
      <c r="E2306" s="482" t="s">
        <v>894</v>
      </c>
    </row>
    <row r="2307" customFormat="1" s="36">
      <c r="A2307" s="485" t="s">
        <v>4840</v>
      </c>
      <c r="B2307" s="485" t="s">
        <v>4841</v>
      </c>
      <c r="C2307" s="482">
        <v>0.0</v>
      </c>
      <c r="D2307" s="482" t="s">
        <v>913</v>
      </c>
      <c r="E2307" s="482" t="s">
        <v>894</v>
      </c>
    </row>
    <row r="2308" customFormat="1" s="36">
      <c r="A2308" s="485" t="s">
        <v>4842</v>
      </c>
      <c r="B2308" s="485" t="s">
        <v>4843</v>
      </c>
      <c r="C2308" s="482">
        <v>0.0</v>
      </c>
      <c r="D2308" s="482" t="s">
        <v>913</v>
      </c>
      <c r="E2308" s="482" t="s">
        <v>894</v>
      </c>
    </row>
    <row r="2309" customFormat="1" s="36">
      <c r="A2309" s="485" t="s">
        <v>4844</v>
      </c>
      <c r="B2309" s="485" t="s">
        <v>4845</v>
      </c>
      <c r="C2309" s="482">
        <v>0.0</v>
      </c>
      <c r="D2309" s="482" t="s">
        <v>913</v>
      </c>
      <c r="E2309" s="482" t="s">
        <v>894</v>
      </c>
    </row>
    <row r="2310" customFormat="1" s="36">
      <c r="A2310" s="485" t="s">
        <v>4846</v>
      </c>
      <c r="B2310" s="485" t="s">
        <v>4847</v>
      </c>
      <c r="C2310" s="482">
        <v>0.0</v>
      </c>
      <c r="D2310" s="482" t="s">
        <v>913</v>
      </c>
      <c r="E2310" s="482" t="s">
        <v>894</v>
      </c>
    </row>
    <row r="2311" customFormat="1" s="36">
      <c r="A2311" s="485" t="s">
        <v>4848</v>
      </c>
      <c r="B2311" s="485" t="s">
        <v>4849</v>
      </c>
      <c r="C2311" s="482">
        <v>0.0</v>
      </c>
      <c r="D2311" s="482" t="s">
        <v>913</v>
      </c>
      <c r="E2311" s="482" t="s">
        <v>894</v>
      </c>
    </row>
    <row r="2312" customFormat="1" s="36">
      <c r="A2312" s="485" t="s">
        <v>4850</v>
      </c>
      <c r="B2312" s="485" t="s">
        <v>4851</v>
      </c>
      <c r="C2312" s="482">
        <v>0.0</v>
      </c>
      <c r="D2312" s="482" t="s">
        <v>913</v>
      </c>
      <c r="E2312" s="482" t="s">
        <v>894</v>
      </c>
    </row>
    <row r="2313" customFormat="1" s="36">
      <c r="A2313" s="485" t="s">
        <v>4852</v>
      </c>
      <c r="B2313" s="485" t="s">
        <v>4853</v>
      </c>
      <c r="C2313" s="482">
        <v>0.0</v>
      </c>
      <c r="D2313" s="482" t="s">
        <v>913</v>
      </c>
      <c r="E2313" s="482" t="s">
        <v>894</v>
      </c>
    </row>
    <row r="2314" customFormat="1" s="36">
      <c r="A2314" s="485" t="s">
        <v>4854</v>
      </c>
      <c r="B2314" s="485" t="s">
        <v>4855</v>
      </c>
      <c r="C2314" s="482">
        <v>0.0</v>
      </c>
      <c r="D2314" s="482" t="s">
        <v>913</v>
      </c>
      <c r="E2314" s="482" t="s">
        <v>894</v>
      </c>
    </row>
    <row r="2315" customFormat="1" s="36">
      <c r="A2315" s="485" t="s">
        <v>4856</v>
      </c>
      <c r="B2315" s="485" t="s">
        <v>4857</v>
      </c>
      <c r="C2315" s="482">
        <v>0.0</v>
      </c>
      <c r="D2315" s="482" t="s">
        <v>913</v>
      </c>
      <c r="E2315" s="482" t="s">
        <v>894</v>
      </c>
    </row>
    <row r="2316" customFormat="1" s="36">
      <c r="A2316" s="485" t="s">
        <v>4858</v>
      </c>
      <c r="B2316" s="485" t="s">
        <v>4859</v>
      </c>
      <c r="C2316" s="482">
        <v>0.0</v>
      </c>
      <c r="D2316" s="482" t="s">
        <v>913</v>
      </c>
      <c r="E2316" s="482" t="s">
        <v>894</v>
      </c>
    </row>
    <row r="2317" customFormat="1" s="36">
      <c r="A2317" s="485" t="s">
        <v>4860</v>
      </c>
      <c r="B2317" s="485" t="s">
        <v>4861</v>
      </c>
      <c r="C2317" s="482">
        <v>0.0</v>
      </c>
      <c r="D2317" s="482" t="s">
        <v>913</v>
      </c>
      <c r="E2317" s="482" t="s">
        <v>894</v>
      </c>
    </row>
    <row r="2318" customFormat="1" s="36">
      <c r="A2318" s="485" t="s">
        <v>4862</v>
      </c>
      <c r="B2318" s="485" t="s">
        <v>4863</v>
      </c>
      <c r="C2318" s="482">
        <v>0.0</v>
      </c>
      <c r="D2318" s="482" t="s">
        <v>913</v>
      </c>
      <c r="E2318" s="482" t="s">
        <v>894</v>
      </c>
    </row>
    <row r="2319" customFormat="1" s="36">
      <c r="A2319" s="485" t="s">
        <v>4864</v>
      </c>
      <c r="B2319" s="485" t="s">
        <v>4865</v>
      </c>
      <c r="C2319" s="482">
        <v>0.0</v>
      </c>
      <c r="D2319" s="482" t="s">
        <v>913</v>
      </c>
      <c r="E2319" s="482" t="s">
        <v>894</v>
      </c>
    </row>
    <row r="2320" customFormat="1" s="36">
      <c r="A2320" s="485" t="s">
        <v>4866</v>
      </c>
      <c r="B2320" s="485" t="s">
        <v>4867</v>
      </c>
      <c r="C2320" s="482">
        <v>0.0</v>
      </c>
      <c r="D2320" s="482" t="s">
        <v>913</v>
      </c>
      <c r="E2320" s="482" t="s">
        <v>894</v>
      </c>
    </row>
    <row r="2321" customFormat="1" s="36">
      <c r="A2321" s="485" t="s">
        <v>4868</v>
      </c>
      <c r="B2321" s="485" t="s">
        <v>4869</v>
      </c>
      <c r="C2321" s="482">
        <v>0.0</v>
      </c>
      <c r="D2321" s="482" t="s">
        <v>913</v>
      </c>
      <c r="E2321" s="482" t="s">
        <v>894</v>
      </c>
    </row>
    <row r="2322" customFormat="1" s="36">
      <c r="A2322" s="485" t="s">
        <v>4870</v>
      </c>
      <c r="B2322" s="485" t="s">
        <v>4871</v>
      </c>
      <c r="C2322" s="482">
        <v>0.0</v>
      </c>
      <c r="D2322" s="482" t="s">
        <v>913</v>
      </c>
      <c r="E2322" s="482" t="s">
        <v>894</v>
      </c>
    </row>
    <row r="2323" customFormat="1" s="36">
      <c r="A2323" s="485" t="s">
        <v>4872</v>
      </c>
      <c r="B2323" s="485" t="s">
        <v>4873</v>
      </c>
      <c r="C2323" s="482">
        <v>0.0</v>
      </c>
      <c r="D2323" s="482" t="s">
        <v>913</v>
      </c>
      <c r="E2323" s="482" t="s">
        <v>894</v>
      </c>
    </row>
    <row r="2324" customFormat="1" s="36">
      <c r="A2324" s="485" t="s">
        <v>4874</v>
      </c>
      <c r="B2324" s="485" t="s">
        <v>4875</v>
      </c>
      <c r="C2324" s="482">
        <v>0.0</v>
      </c>
      <c r="D2324" s="482" t="s">
        <v>913</v>
      </c>
      <c r="E2324" s="482" t="s">
        <v>894</v>
      </c>
    </row>
    <row r="2325" customFormat="1" s="36">
      <c r="A2325" s="485" t="s">
        <v>4876</v>
      </c>
      <c r="B2325" s="485" t="s">
        <v>4877</v>
      </c>
      <c r="C2325" s="482">
        <v>0.0</v>
      </c>
      <c r="D2325" s="482" t="s">
        <v>913</v>
      </c>
      <c r="E2325" s="482" t="s">
        <v>894</v>
      </c>
    </row>
    <row r="2326" customFormat="1" s="36">
      <c r="A2326" s="485" t="s">
        <v>4878</v>
      </c>
      <c r="B2326" s="485" t="s">
        <v>4879</v>
      </c>
      <c r="C2326" s="482">
        <v>0.0</v>
      </c>
      <c r="D2326" s="482" t="s">
        <v>913</v>
      </c>
      <c r="E2326" s="482" t="s">
        <v>894</v>
      </c>
    </row>
    <row r="2327" customFormat="1" s="36">
      <c r="A2327" s="485" t="s">
        <v>4880</v>
      </c>
      <c r="B2327" s="485" t="s">
        <v>4881</v>
      </c>
      <c r="C2327" s="482">
        <v>0.0</v>
      </c>
      <c r="D2327" s="482" t="s">
        <v>913</v>
      </c>
      <c r="E2327" s="482" t="s">
        <v>894</v>
      </c>
    </row>
    <row r="2328" customFormat="1" s="36">
      <c r="A2328" s="485" t="s">
        <v>4882</v>
      </c>
      <c r="B2328" s="485" t="s">
        <v>4883</v>
      </c>
      <c r="C2328" s="482">
        <v>0.0</v>
      </c>
      <c r="D2328" s="482" t="s">
        <v>913</v>
      </c>
      <c r="E2328" s="482" t="s">
        <v>894</v>
      </c>
    </row>
    <row r="2329" customFormat="1" s="36">
      <c r="A2329" s="485" t="s">
        <v>4884</v>
      </c>
      <c r="B2329" s="485" t="s">
        <v>4885</v>
      </c>
      <c r="C2329" s="482">
        <v>0.0</v>
      </c>
      <c r="D2329" s="482" t="s">
        <v>913</v>
      </c>
      <c r="E2329" s="482" t="s">
        <v>894</v>
      </c>
    </row>
    <row r="2330" customFormat="1" s="36">
      <c r="A2330" s="485" t="s">
        <v>4886</v>
      </c>
      <c r="B2330" s="485" t="s">
        <v>4887</v>
      </c>
      <c r="C2330" s="482">
        <v>0.0</v>
      </c>
      <c r="D2330" s="482" t="s">
        <v>913</v>
      </c>
      <c r="E2330" s="482" t="s">
        <v>894</v>
      </c>
    </row>
    <row r="2331" customFormat="1" s="36">
      <c r="A2331" s="485" t="s">
        <v>4888</v>
      </c>
      <c r="B2331" s="485" t="s">
        <v>4889</v>
      </c>
      <c r="C2331" s="482">
        <v>0.0</v>
      </c>
      <c r="D2331" s="482" t="s">
        <v>913</v>
      </c>
      <c r="E2331" s="482" t="s">
        <v>894</v>
      </c>
    </row>
    <row r="2332" customFormat="1" s="36">
      <c r="A2332" s="485" t="s">
        <v>4890</v>
      </c>
      <c r="B2332" s="485" t="s">
        <v>4891</v>
      </c>
      <c r="C2332" s="482">
        <v>0.0</v>
      </c>
      <c r="D2332" s="482" t="s">
        <v>913</v>
      </c>
      <c r="E2332" s="482" t="s">
        <v>894</v>
      </c>
    </row>
    <row r="2333" customFormat="1" s="36">
      <c r="A2333" s="485" t="s">
        <v>4892</v>
      </c>
      <c r="B2333" s="485" t="s">
        <v>4893</v>
      </c>
      <c r="C2333" s="482">
        <v>0.0</v>
      </c>
      <c r="D2333" s="482" t="s">
        <v>913</v>
      </c>
      <c r="E2333" s="482" t="s">
        <v>894</v>
      </c>
    </row>
    <row r="2334" customFormat="1" s="36">
      <c r="A2334" s="485" t="s">
        <v>4894</v>
      </c>
      <c r="B2334" s="485" t="s">
        <v>4895</v>
      </c>
      <c r="C2334" s="482">
        <v>0.0</v>
      </c>
      <c r="D2334" s="482" t="s">
        <v>913</v>
      </c>
      <c r="E2334" s="482" t="s">
        <v>894</v>
      </c>
    </row>
    <row r="2335" customFormat="1" s="36">
      <c r="A2335" s="485" t="s">
        <v>4896</v>
      </c>
      <c r="B2335" s="485" t="s">
        <v>4897</v>
      </c>
      <c r="C2335" s="482">
        <v>0.0</v>
      </c>
      <c r="D2335" s="482" t="s">
        <v>913</v>
      </c>
      <c r="E2335" s="482" t="s">
        <v>894</v>
      </c>
    </row>
    <row r="2336" customFormat="1" s="36">
      <c r="A2336" s="485" t="s">
        <v>4898</v>
      </c>
      <c r="B2336" s="485" t="s">
        <v>4899</v>
      </c>
      <c r="C2336" s="482">
        <v>0.0</v>
      </c>
      <c r="D2336" s="482" t="s">
        <v>913</v>
      </c>
      <c r="E2336" s="482" t="s">
        <v>894</v>
      </c>
    </row>
    <row r="2337" customFormat="1" s="36">
      <c r="A2337" s="485" t="s">
        <v>4900</v>
      </c>
      <c r="B2337" s="485" t="s">
        <v>4901</v>
      </c>
      <c r="C2337" s="482">
        <v>0.0</v>
      </c>
      <c r="D2337" s="482" t="s">
        <v>913</v>
      </c>
      <c r="E2337" s="482" t="s">
        <v>894</v>
      </c>
    </row>
    <row r="2338" customFormat="1" s="36">
      <c r="A2338" s="485" t="s">
        <v>4902</v>
      </c>
      <c r="B2338" s="485" t="s">
        <v>4903</v>
      </c>
      <c r="C2338" s="482">
        <v>0.0</v>
      </c>
      <c r="D2338" s="482" t="s">
        <v>913</v>
      </c>
      <c r="E2338" s="482" t="s">
        <v>894</v>
      </c>
    </row>
    <row r="2339" customFormat="1" s="36">
      <c r="A2339" s="485" t="s">
        <v>4904</v>
      </c>
      <c r="B2339" s="485" t="s">
        <v>4905</v>
      </c>
      <c r="C2339" s="482">
        <v>0.0</v>
      </c>
      <c r="D2339" s="482" t="s">
        <v>913</v>
      </c>
      <c r="E2339" s="482" t="s">
        <v>894</v>
      </c>
    </row>
    <row r="2340" customFormat="1" s="36">
      <c r="A2340" s="485" t="s">
        <v>4906</v>
      </c>
      <c r="B2340" s="485" t="s">
        <v>4907</v>
      </c>
      <c r="C2340" s="482">
        <v>0.0</v>
      </c>
      <c r="D2340" s="482" t="s">
        <v>913</v>
      </c>
      <c r="E2340" s="482" t="s">
        <v>894</v>
      </c>
    </row>
    <row r="2341" customFormat="1" s="36">
      <c r="A2341" s="485" t="s">
        <v>4908</v>
      </c>
      <c r="B2341" s="485" t="s">
        <v>4909</v>
      </c>
      <c r="C2341" s="482">
        <v>0.0</v>
      </c>
      <c r="D2341" s="482" t="s">
        <v>913</v>
      </c>
      <c r="E2341" s="482" t="s">
        <v>894</v>
      </c>
    </row>
    <row r="2342" customFormat="1" s="36">
      <c r="A2342" s="485" t="s">
        <v>4910</v>
      </c>
      <c r="B2342" s="485" t="s">
        <v>4911</v>
      </c>
      <c r="C2342" s="482">
        <v>0.0</v>
      </c>
      <c r="D2342" s="482" t="s">
        <v>913</v>
      </c>
      <c r="E2342" s="482" t="s">
        <v>894</v>
      </c>
    </row>
    <row r="2343" customFormat="1" s="36">
      <c r="A2343" s="485" t="s">
        <v>4912</v>
      </c>
      <c r="B2343" s="485" t="s">
        <v>4913</v>
      </c>
      <c r="C2343" s="482">
        <v>0.0</v>
      </c>
      <c r="D2343" s="482" t="s">
        <v>913</v>
      </c>
      <c r="E2343" s="482" t="s">
        <v>894</v>
      </c>
    </row>
    <row r="2344" customFormat="1" s="36">
      <c r="A2344" s="485" t="s">
        <v>4914</v>
      </c>
      <c r="B2344" s="485" t="s">
        <v>4915</v>
      </c>
      <c r="C2344" s="482">
        <v>0.0</v>
      </c>
      <c r="D2344" s="482" t="s">
        <v>893</v>
      </c>
      <c r="E2344" s="482" t="s">
        <v>894</v>
      </c>
    </row>
    <row r="2345" customFormat="1" s="36">
      <c r="A2345" s="485" t="s">
        <v>4916</v>
      </c>
      <c r="B2345" s="485" t="s">
        <v>4917</v>
      </c>
      <c r="C2345" s="482">
        <v>0.0</v>
      </c>
      <c r="D2345" s="482" t="s">
        <v>893</v>
      </c>
      <c r="E2345" s="482" t="s">
        <v>894</v>
      </c>
    </row>
    <row r="2346" customFormat="1" s="36">
      <c r="A2346" s="485" t="s">
        <v>4918</v>
      </c>
      <c r="B2346" s="485" t="s">
        <v>4919</v>
      </c>
      <c r="C2346" s="482">
        <v>0.0</v>
      </c>
      <c r="D2346" s="482" t="s">
        <v>893</v>
      </c>
      <c r="E2346" s="482" t="s">
        <v>894</v>
      </c>
    </row>
    <row r="2347" customFormat="1" s="36">
      <c r="A2347" s="485" t="s">
        <v>4920</v>
      </c>
      <c r="B2347" s="485" t="s">
        <v>4921</v>
      </c>
      <c r="C2347" s="482">
        <v>0.0</v>
      </c>
      <c r="D2347" s="482" t="s">
        <v>893</v>
      </c>
      <c r="E2347" s="482" t="s">
        <v>894</v>
      </c>
    </row>
    <row r="2348" customFormat="1" s="36">
      <c r="A2348" s="485" t="s">
        <v>4922</v>
      </c>
      <c r="B2348" s="485" t="s">
        <v>4923</v>
      </c>
      <c r="C2348" s="482">
        <v>0.0</v>
      </c>
      <c r="D2348" s="482" t="s">
        <v>893</v>
      </c>
      <c r="E2348" s="482" t="s">
        <v>894</v>
      </c>
    </row>
    <row r="2349" customFormat="1" s="36">
      <c r="A2349" s="485" t="s">
        <v>4924</v>
      </c>
      <c r="B2349" s="485" t="s">
        <v>4925</v>
      </c>
      <c r="C2349" s="482">
        <v>0.0</v>
      </c>
      <c r="D2349" s="482" t="s">
        <v>893</v>
      </c>
      <c r="E2349" s="482" t="s">
        <v>894</v>
      </c>
    </row>
    <row r="2350" customFormat="1" s="36">
      <c r="A2350" s="485" t="s">
        <v>4926</v>
      </c>
      <c r="B2350" s="485" t="s">
        <v>4927</v>
      </c>
      <c r="C2350" s="482">
        <v>0.0</v>
      </c>
      <c r="D2350" s="482" t="s">
        <v>893</v>
      </c>
      <c r="E2350" s="482" t="s">
        <v>894</v>
      </c>
    </row>
    <row r="2351" customFormat="1" s="36">
      <c r="A2351" s="485" t="s">
        <v>4928</v>
      </c>
      <c r="B2351" s="485" t="s">
        <v>4929</v>
      </c>
      <c r="C2351" s="482">
        <v>0.0</v>
      </c>
      <c r="D2351" s="482" t="s">
        <v>893</v>
      </c>
      <c r="E2351" s="482" t="s">
        <v>894</v>
      </c>
    </row>
    <row r="2352" customFormat="1" s="36">
      <c r="A2352" s="485" t="s">
        <v>4930</v>
      </c>
      <c r="B2352" s="485" t="s">
        <v>4931</v>
      </c>
      <c r="C2352" s="482">
        <v>0.0</v>
      </c>
      <c r="D2352" s="482" t="s">
        <v>893</v>
      </c>
      <c r="E2352" s="482" t="s">
        <v>894</v>
      </c>
    </row>
    <row r="2353" customFormat="1" s="36">
      <c r="A2353" s="485" t="s">
        <v>4932</v>
      </c>
      <c r="B2353" s="485" t="s">
        <v>4933</v>
      </c>
      <c r="C2353" s="482">
        <v>0.0</v>
      </c>
      <c r="D2353" s="482" t="s">
        <v>893</v>
      </c>
      <c r="E2353" s="482" t="s">
        <v>894</v>
      </c>
    </row>
    <row r="2354" customFormat="1" s="36">
      <c r="A2354" s="485" t="s">
        <v>4934</v>
      </c>
      <c r="B2354" s="485" t="s">
        <v>4935</v>
      </c>
      <c r="C2354" s="482">
        <v>0.0</v>
      </c>
      <c r="D2354" s="482" t="s">
        <v>893</v>
      </c>
      <c r="E2354" s="482" t="s">
        <v>894</v>
      </c>
    </row>
    <row r="2355" customFormat="1" s="36">
      <c r="A2355" s="485" t="s">
        <v>4936</v>
      </c>
      <c r="B2355" s="485" t="s">
        <v>4937</v>
      </c>
      <c r="C2355" s="482">
        <v>0.0</v>
      </c>
      <c r="D2355" s="482" t="s">
        <v>893</v>
      </c>
      <c r="E2355" s="482" t="s">
        <v>894</v>
      </c>
    </row>
    <row r="2356" customFormat="1" s="36">
      <c r="A2356" s="485" t="s">
        <v>4938</v>
      </c>
      <c r="B2356" s="485" t="s">
        <v>4939</v>
      </c>
      <c r="C2356" s="482">
        <v>0.0</v>
      </c>
      <c r="D2356" s="482" t="s">
        <v>893</v>
      </c>
      <c r="E2356" s="482" t="s">
        <v>894</v>
      </c>
    </row>
    <row r="2357" customFormat="1" s="36">
      <c r="A2357" s="485" t="s">
        <v>4940</v>
      </c>
      <c r="B2357" s="485" t="s">
        <v>4941</v>
      </c>
      <c r="C2357" s="482">
        <v>0.0</v>
      </c>
      <c r="D2357" s="482" t="s">
        <v>893</v>
      </c>
      <c r="E2357" s="482" t="s">
        <v>894</v>
      </c>
    </row>
    <row r="2358" customFormat="1" s="36">
      <c r="A2358" s="485" t="s">
        <v>4942</v>
      </c>
      <c r="B2358" s="485" t="s">
        <v>4943</v>
      </c>
      <c r="C2358" s="482">
        <v>0.0</v>
      </c>
      <c r="D2358" s="482" t="s">
        <v>893</v>
      </c>
      <c r="E2358" s="482" t="s">
        <v>894</v>
      </c>
    </row>
    <row r="2359" customFormat="1" s="36">
      <c r="A2359" s="485" t="s">
        <v>4944</v>
      </c>
      <c r="B2359" s="485" t="s">
        <v>4945</v>
      </c>
      <c r="C2359" s="482">
        <v>0.0</v>
      </c>
      <c r="D2359" s="482" t="s">
        <v>893</v>
      </c>
      <c r="E2359" s="482" t="s">
        <v>894</v>
      </c>
    </row>
    <row r="2360" customFormat="1" s="36">
      <c r="A2360" s="485" t="s">
        <v>4946</v>
      </c>
      <c r="B2360" s="485" t="s">
        <v>4947</v>
      </c>
      <c r="C2360" s="482">
        <v>713.0</v>
      </c>
      <c r="D2360" s="482" t="s">
        <v>913</v>
      </c>
      <c r="E2360" s="482" t="s">
        <v>894</v>
      </c>
    </row>
    <row r="2361" customFormat="1" s="36">
      <c r="A2361" s="485" t="s">
        <v>4948</v>
      </c>
      <c r="B2361" s="485" t="s">
        <v>4949</v>
      </c>
      <c r="C2361" s="482">
        <v>0.0</v>
      </c>
      <c r="D2361" s="482" t="s">
        <v>893</v>
      </c>
      <c r="E2361" s="482" t="s">
        <v>894</v>
      </c>
    </row>
    <row r="2362" customFormat="1" s="36">
      <c r="A2362" s="485" t="s">
        <v>4950</v>
      </c>
      <c r="B2362" s="485" t="s">
        <v>4951</v>
      </c>
      <c r="C2362" s="482">
        <v>0.0</v>
      </c>
      <c r="D2362" s="482" t="s">
        <v>893</v>
      </c>
      <c r="E2362" s="482" t="s">
        <v>894</v>
      </c>
    </row>
    <row r="2363" customFormat="1" s="36">
      <c r="A2363" s="485" t="s">
        <v>4952</v>
      </c>
      <c r="B2363" s="485" t="s">
        <v>4953</v>
      </c>
      <c r="C2363" s="482">
        <v>0.0</v>
      </c>
      <c r="D2363" s="482" t="s">
        <v>893</v>
      </c>
      <c r="E2363" s="482" t="s">
        <v>894</v>
      </c>
    </row>
    <row r="2364" customFormat="1" s="36">
      <c r="A2364" s="485" t="s">
        <v>4954</v>
      </c>
      <c r="B2364" s="485" t="s">
        <v>4955</v>
      </c>
      <c r="C2364" s="482">
        <v>0.0</v>
      </c>
      <c r="D2364" s="482" t="s">
        <v>893</v>
      </c>
      <c r="E2364" s="482" t="s">
        <v>894</v>
      </c>
    </row>
    <row r="2365" customFormat="1" s="36">
      <c r="A2365" s="485" t="s">
        <v>4956</v>
      </c>
      <c r="B2365" s="485" t="s">
        <v>4957</v>
      </c>
      <c r="C2365" s="482">
        <v>0.0</v>
      </c>
      <c r="D2365" s="482" t="s">
        <v>893</v>
      </c>
      <c r="E2365" s="482" t="s">
        <v>894</v>
      </c>
    </row>
    <row r="2366" customFormat="1" s="36">
      <c r="A2366" s="485" t="s">
        <v>4958</v>
      </c>
      <c r="B2366" s="485" t="s">
        <v>4959</v>
      </c>
      <c r="C2366" s="482">
        <v>0.0</v>
      </c>
      <c r="D2366" s="482" t="s">
        <v>893</v>
      </c>
      <c r="E2366" s="482" t="s">
        <v>894</v>
      </c>
    </row>
    <row r="2367" customFormat="1" s="36">
      <c r="A2367" s="485" t="s">
        <v>4960</v>
      </c>
      <c r="B2367" s="485" t="s">
        <v>4961</v>
      </c>
      <c r="C2367" s="482">
        <v>0.0</v>
      </c>
      <c r="D2367" s="482" t="s">
        <v>893</v>
      </c>
      <c r="E2367" s="482" t="s">
        <v>894</v>
      </c>
    </row>
    <row r="2368" customFormat="1" s="36">
      <c r="A2368" s="485" t="s">
        <v>4962</v>
      </c>
      <c r="B2368" s="485" t="s">
        <v>4963</v>
      </c>
      <c r="C2368" s="482">
        <v>0.0</v>
      </c>
      <c r="D2368" s="482" t="s">
        <v>893</v>
      </c>
      <c r="E2368" s="482" t="s">
        <v>894</v>
      </c>
    </row>
    <row r="2369" customFormat="1" s="36">
      <c r="A2369" s="485" t="s">
        <v>4964</v>
      </c>
      <c r="B2369" s="485" t="s">
        <v>4965</v>
      </c>
      <c r="C2369" s="482">
        <v>0.0</v>
      </c>
      <c r="D2369" s="482" t="s">
        <v>893</v>
      </c>
      <c r="E2369" s="482" t="s">
        <v>894</v>
      </c>
    </row>
    <row r="2370" customFormat="1" s="36">
      <c r="A2370" s="485" t="s">
        <v>4966</v>
      </c>
      <c r="B2370" s="485" t="s">
        <v>4967</v>
      </c>
      <c r="C2370" s="482">
        <v>0.0</v>
      </c>
      <c r="D2370" s="482" t="s">
        <v>893</v>
      </c>
      <c r="E2370" s="482" t="s">
        <v>894</v>
      </c>
    </row>
    <row r="2371" customFormat="1" s="36">
      <c r="A2371" s="485" t="s">
        <v>4968</v>
      </c>
      <c r="B2371" s="485" t="s">
        <v>4969</v>
      </c>
      <c r="C2371" s="482">
        <v>0.0</v>
      </c>
      <c r="D2371" s="482" t="s">
        <v>893</v>
      </c>
      <c r="E2371" s="482" t="s">
        <v>894</v>
      </c>
    </row>
    <row r="2372" customFormat="1" s="36">
      <c r="A2372" s="485" t="s">
        <v>4970</v>
      </c>
      <c r="B2372" s="485" t="s">
        <v>4971</v>
      </c>
      <c r="C2372" s="482">
        <v>0.0</v>
      </c>
      <c r="D2372" s="482" t="s">
        <v>893</v>
      </c>
      <c r="E2372" s="482" t="s">
        <v>894</v>
      </c>
    </row>
    <row r="2373" customFormat="1" s="36">
      <c r="A2373" s="485" t="s">
        <v>4972</v>
      </c>
      <c r="B2373" s="485" t="s">
        <v>4973</v>
      </c>
      <c r="C2373" s="482">
        <v>0.0</v>
      </c>
      <c r="D2373" s="482" t="s">
        <v>893</v>
      </c>
      <c r="E2373" s="482" t="s">
        <v>894</v>
      </c>
    </row>
    <row r="2374" customFormat="1" s="36">
      <c r="A2374" s="485" t="s">
        <v>4974</v>
      </c>
      <c r="B2374" s="485" t="s">
        <v>4975</v>
      </c>
      <c r="C2374" s="482">
        <v>0.0</v>
      </c>
      <c r="D2374" s="482" t="s">
        <v>893</v>
      </c>
      <c r="E2374" s="482" t="s">
        <v>894</v>
      </c>
    </row>
    <row r="2375" customFormat="1" s="36">
      <c r="A2375" s="485" t="s">
        <v>4976</v>
      </c>
      <c r="B2375" s="485" t="s">
        <v>4977</v>
      </c>
      <c r="C2375" s="482">
        <v>0.0</v>
      </c>
      <c r="D2375" s="482" t="s">
        <v>893</v>
      </c>
      <c r="E2375" s="482" t="s">
        <v>894</v>
      </c>
    </row>
    <row r="2376" customFormat="1" s="36">
      <c r="A2376" s="485" t="s">
        <v>4978</v>
      </c>
      <c r="B2376" s="485" t="s">
        <v>4979</v>
      </c>
      <c r="C2376" s="482">
        <v>0.0</v>
      </c>
      <c r="D2376" s="482" t="s">
        <v>893</v>
      </c>
      <c r="E2376" s="482" t="s">
        <v>894</v>
      </c>
    </row>
    <row r="2377" customFormat="1" s="36">
      <c r="A2377" s="485" t="s">
        <v>4980</v>
      </c>
      <c r="B2377" s="485" t="s">
        <v>4981</v>
      </c>
      <c r="C2377" s="482">
        <v>0.0</v>
      </c>
      <c r="D2377" s="482" t="s">
        <v>893</v>
      </c>
      <c r="E2377" s="482" t="s">
        <v>894</v>
      </c>
    </row>
    <row r="2378" customFormat="1" s="36">
      <c r="A2378" s="485" t="s">
        <v>4982</v>
      </c>
      <c r="B2378" s="485" t="s">
        <v>4983</v>
      </c>
      <c r="C2378" s="482">
        <v>0.0</v>
      </c>
      <c r="D2378" s="482" t="s">
        <v>893</v>
      </c>
      <c r="E2378" s="482" t="s">
        <v>894</v>
      </c>
    </row>
    <row r="2379" customFormat="1" s="36">
      <c r="A2379" s="485" t="s">
        <v>4984</v>
      </c>
      <c r="B2379" s="485" t="s">
        <v>4985</v>
      </c>
      <c r="C2379" s="482">
        <v>0.0</v>
      </c>
      <c r="D2379" s="482" t="s">
        <v>893</v>
      </c>
      <c r="E2379" s="482" t="s">
        <v>894</v>
      </c>
    </row>
    <row r="2380" customFormat="1" s="36">
      <c r="A2380" s="485" t="s">
        <v>4986</v>
      </c>
      <c r="B2380" s="485" t="s">
        <v>4987</v>
      </c>
      <c r="C2380" s="482">
        <v>0.0</v>
      </c>
      <c r="D2380" s="482" t="s">
        <v>893</v>
      </c>
      <c r="E2380" s="482" t="s">
        <v>894</v>
      </c>
    </row>
    <row r="2381" customFormat="1" s="36">
      <c r="A2381" s="485" t="s">
        <v>4988</v>
      </c>
      <c r="B2381" s="485" t="s">
        <v>4989</v>
      </c>
      <c r="C2381" s="482">
        <v>0.0</v>
      </c>
      <c r="D2381" s="482" t="s">
        <v>893</v>
      </c>
      <c r="E2381" s="482" t="s">
        <v>894</v>
      </c>
    </row>
    <row r="2382" customFormat="1" s="36">
      <c r="A2382" s="485" t="s">
        <v>4990</v>
      </c>
      <c r="B2382" s="485" t="s">
        <v>4991</v>
      </c>
      <c r="C2382" s="482">
        <v>0.0</v>
      </c>
      <c r="D2382" s="482" t="s">
        <v>893</v>
      </c>
      <c r="E2382" s="482" t="s">
        <v>894</v>
      </c>
    </row>
    <row r="2383" customFormat="1" s="36">
      <c r="A2383" s="485" t="s">
        <v>4992</v>
      </c>
      <c r="B2383" s="485" t="s">
        <v>4993</v>
      </c>
      <c r="C2383" s="482">
        <v>0.0</v>
      </c>
      <c r="D2383" s="482" t="s">
        <v>893</v>
      </c>
      <c r="E2383" s="482" t="s">
        <v>894</v>
      </c>
    </row>
    <row r="2384" customFormat="1" s="36">
      <c r="A2384" s="485" t="s">
        <v>4994</v>
      </c>
      <c r="B2384" s="485" t="s">
        <v>4995</v>
      </c>
      <c r="C2384" s="482">
        <v>0.0</v>
      </c>
      <c r="D2384" s="482" t="s">
        <v>893</v>
      </c>
      <c r="E2384" s="482" t="s">
        <v>894</v>
      </c>
    </row>
    <row r="2385" customFormat="1" s="36">
      <c r="A2385" s="485" t="s">
        <v>4996</v>
      </c>
      <c r="B2385" s="485" t="s">
        <v>4997</v>
      </c>
      <c r="C2385" s="482">
        <v>0.0</v>
      </c>
      <c r="D2385" s="482" t="s">
        <v>893</v>
      </c>
      <c r="E2385" s="482" t="s">
        <v>894</v>
      </c>
    </row>
    <row r="2386" customFormat="1" s="36">
      <c r="A2386" s="485" t="s">
        <v>4998</v>
      </c>
      <c r="B2386" s="485" t="s">
        <v>4999</v>
      </c>
      <c r="C2386" s="482">
        <v>0.0</v>
      </c>
      <c r="D2386" s="482" t="s">
        <v>893</v>
      </c>
      <c r="E2386" s="482" t="s">
        <v>894</v>
      </c>
    </row>
    <row r="2387" customFormat="1" s="36">
      <c r="A2387" s="485" t="s">
        <v>5000</v>
      </c>
      <c r="B2387" s="485" t="s">
        <v>5001</v>
      </c>
      <c r="C2387" s="482">
        <v>0.0</v>
      </c>
      <c r="D2387" s="482" t="s">
        <v>893</v>
      </c>
      <c r="E2387" s="482" t="s">
        <v>894</v>
      </c>
    </row>
    <row r="2388" customFormat="1" s="36">
      <c r="A2388" s="485" t="s">
        <v>5002</v>
      </c>
      <c r="B2388" s="485" t="s">
        <v>5003</v>
      </c>
      <c r="C2388" s="482">
        <v>0.0</v>
      </c>
      <c r="D2388" s="482" t="s">
        <v>893</v>
      </c>
      <c r="E2388" s="482" t="s">
        <v>894</v>
      </c>
    </row>
    <row r="2389" customFormat="1" s="36">
      <c r="A2389" s="485" t="s">
        <v>5004</v>
      </c>
      <c r="B2389" s="485" t="s">
        <v>5005</v>
      </c>
      <c r="C2389" s="482">
        <v>0.0</v>
      </c>
      <c r="D2389" s="482" t="s">
        <v>893</v>
      </c>
      <c r="E2389" s="482" t="s">
        <v>894</v>
      </c>
    </row>
    <row r="2390" customFormat="1" s="36">
      <c r="A2390" s="485" t="s">
        <v>5006</v>
      </c>
      <c r="B2390" s="485" t="s">
        <v>5007</v>
      </c>
      <c r="C2390" s="482">
        <v>0.0</v>
      </c>
      <c r="D2390" s="482" t="s">
        <v>893</v>
      </c>
      <c r="E2390" s="482" t="s">
        <v>894</v>
      </c>
    </row>
    <row r="2391" customFormat="1" s="36">
      <c r="A2391" s="485" t="s">
        <v>5008</v>
      </c>
      <c r="B2391" s="485" t="s">
        <v>5009</v>
      </c>
      <c r="C2391" s="482">
        <v>0.0</v>
      </c>
      <c r="D2391" s="482" t="s">
        <v>893</v>
      </c>
      <c r="E2391" s="482" t="s">
        <v>894</v>
      </c>
    </row>
    <row r="2392" customFormat="1" s="36">
      <c r="A2392" s="485" t="s">
        <v>5010</v>
      </c>
      <c r="B2392" s="485" t="s">
        <v>5011</v>
      </c>
      <c r="C2392" s="482">
        <v>0.0</v>
      </c>
      <c r="D2392" s="482" t="s">
        <v>893</v>
      </c>
      <c r="E2392" s="482" t="s">
        <v>894</v>
      </c>
    </row>
    <row r="2393" customFormat="1" s="36">
      <c r="A2393" s="485" t="s">
        <v>5012</v>
      </c>
      <c r="B2393" s="485" t="s">
        <v>5013</v>
      </c>
      <c r="C2393" s="482">
        <v>0.0</v>
      </c>
      <c r="D2393" s="482" t="s">
        <v>893</v>
      </c>
      <c r="E2393" s="482" t="s">
        <v>894</v>
      </c>
    </row>
    <row r="2394" customFormat="1" s="36">
      <c r="A2394" s="485" t="s">
        <v>5014</v>
      </c>
      <c r="B2394" s="485" t="s">
        <v>5015</v>
      </c>
      <c r="C2394" s="482">
        <v>0.0</v>
      </c>
      <c r="D2394" s="482" t="s">
        <v>893</v>
      </c>
      <c r="E2394" s="482" t="s">
        <v>894</v>
      </c>
    </row>
    <row r="2395" customFormat="1" s="36">
      <c r="A2395" s="485" t="s">
        <v>5016</v>
      </c>
      <c r="B2395" s="485" t="s">
        <v>5017</v>
      </c>
      <c r="C2395" s="482">
        <v>0.0</v>
      </c>
      <c r="D2395" s="482" t="s">
        <v>893</v>
      </c>
      <c r="E2395" s="482" t="s">
        <v>894</v>
      </c>
    </row>
    <row r="2396" customFormat="1" s="36">
      <c r="A2396" s="485" t="s">
        <v>5018</v>
      </c>
      <c r="B2396" s="485" t="s">
        <v>5019</v>
      </c>
      <c r="C2396" s="482">
        <v>1.0</v>
      </c>
      <c r="D2396" s="482" t="s">
        <v>913</v>
      </c>
      <c r="E2396" s="482" t="s">
        <v>1140</v>
      </c>
    </row>
    <row r="2397" customFormat="1" s="36">
      <c r="A2397" s="485" t="s">
        <v>5020</v>
      </c>
      <c r="B2397" s="485" t="s">
        <v>5021</v>
      </c>
      <c r="C2397" s="482">
        <v>0.0</v>
      </c>
      <c r="D2397" s="482" t="s">
        <v>893</v>
      </c>
      <c r="E2397" s="482" t="s">
        <v>894</v>
      </c>
    </row>
    <row r="2398" customFormat="1" s="36">
      <c r="A2398" s="485" t="s">
        <v>5022</v>
      </c>
      <c r="B2398" s="485" t="s">
        <v>5023</v>
      </c>
      <c r="C2398" s="482">
        <v>0.0</v>
      </c>
      <c r="D2398" s="482" t="s">
        <v>893</v>
      </c>
      <c r="E2398" s="482" t="s">
        <v>894</v>
      </c>
    </row>
    <row r="2399" customFormat="1" s="36">
      <c r="A2399" s="485" t="s">
        <v>5024</v>
      </c>
      <c r="B2399" s="485" t="s">
        <v>5025</v>
      </c>
      <c r="C2399" s="482">
        <v>0.0</v>
      </c>
      <c r="D2399" s="482" t="s">
        <v>893</v>
      </c>
      <c r="E2399" s="482" t="s">
        <v>894</v>
      </c>
    </row>
    <row r="2400" customFormat="1" s="36">
      <c r="A2400" s="485">
        <v>92203.0</v>
      </c>
      <c r="B2400" s="485" t="s">
        <v>5026</v>
      </c>
      <c r="C2400" s="482">
        <v>0.0</v>
      </c>
      <c r="D2400" s="482" t="s">
        <v>893</v>
      </c>
      <c r="E2400" s="482" t="s">
        <v>894</v>
      </c>
    </row>
    <row r="2401" customFormat="1" s="36">
      <c r="A2401" s="485">
        <v>92509.0</v>
      </c>
      <c r="B2401" s="485" t="s">
        <v>5027</v>
      </c>
      <c r="C2401" s="482">
        <v>0.0</v>
      </c>
      <c r="D2401" s="482" t="s">
        <v>893</v>
      </c>
      <c r="E2401" s="482" t="s">
        <v>894</v>
      </c>
    </row>
    <row r="2402" customFormat="1" s="36">
      <c r="A2402" s="485">
        <v>2502.0</v>
      </c>
      <c r="B2402" s="485" t="s">
        <v>5028</v>
      </c>
      <c r="C2402" s="482">
        <v>0.0</v>
      </c>
      <c r="D2402" s="482" t="s">
        <v>893</v>
      </c>
      <c r="E2402" s="482" t="s">
        <v>894</v>
      </c>
    </row>
    <row r="2403" customFormat="1" s="36">
      <c r="A2403" s="485">
        <v>2509.0</v>
      </c>
      <c r="B2403" s="485" t="s">
        <v>5029</v>
      </c>
      <c r="C2403" s="482">
        <v>0.0</v>
      </c>
      <c r="D2403" s="482" t="s">
        <v>893</v>
      </c>
      <c r="E2403" s="482" t="s">
        <v>894</v>
      </c>
    </row>
    <row r="2404" customFormat="1" s="36">
      <c r="A2404" s="485">
        <v>2512.0</v>
      </c>
      <c r="B2404" s="485" t="s">
        <v>5030</v>
      </c>
      <c r="C2404" s="482">
        <v>0.0</v>
      </c>
      <c r="D2404" s="482" t="s">
        <v>893</v>
      </c>
      <c r="E2404" s="482" t="s">
        <v>894</v>
      </c>
    </row>
    <row r="2405" customFormat="1" s="36">
      <c r="A2405" s="485">
        <v>2505.0</v>
      </c>
      <c r="B2405" s="485" t="s">
        <v>5031</v>
      </c>
      <c r="C2405" s="482">
        <v>0.0</v>
      </c>
      <c r="D2405" s="482" t="s">
        <v>893</v>
      </c>
      <c r="E2405" s="482" t="s">
        <v>894</v>
      </c>
    </row>
    <row r="2406" customFormat="1" s="36">
      <c r="A2406" s="485">
        <v>2506.0</v>
      </c>
      <c r="B2406" s="485" t="s">
        <v>5032</v>
      </c>
      <c r="C2406" s="482">
        <v>0.0</v>
      </c>
      <c r="D2406" s="482" t="s">
        <v>893</v>
      </c>
      <c r="E2406" s="482" t="s">
        <v>894</v>
      </c>
    </row>
    <row r="2407" customFormat="1" s="36">
      <c r="A2407" s="485">
        <v>2510.0</v>
      </c>
      <c r="B2407" s="485" t="s">
        <v>5033</v>
      </c>
      <c r="C2407" s="482">
        <v>0.0</v>
      </c>
      <c r="D2407" s="482" t="s">
        <v>893</v>
      </c>
      <c r="E2407" s="482" t="s">
        <v>894</v>
      </c>
    </row>
    <row r="2408" customFormat="1" s="36">
      <c r="A2408" s="485">
        <v>2511.0</v>
      </c>
      <c r="B2408" s="485" t="s">
        <v>5034</v>
      </c>
      <c r="C2408" s="482">
        <v>0.0</v>
      </c>
      <c r="D2408" s="482" t="s">
        <v>893</v>
      </c>
      <c r="E2408" s="482" t="s">
        <v>894</v>
      </c>
    </row>
    <row r="2409" customFormat="1" s="36">
      <c r="A2409" s="485">
        <v>2507.0</v>
      </c>
      <c r="B2409" s="485" t="s">
        <v>5035</v>
      </c>
      <c r="C2409" s="482">
        <v>0.0</v>
      </c>
      <c r="D2409" s="482" t="s">
        <v>893</v>
      </c>
      <c r="E2409" s="482" t="s">
        <v>894</v>
      </c>
    </row>
    <row r="2410" customFormat="1" s="36">
      <c r="A2410" s="485">
        <v>2508.0</v>
      </c>
      <c r="B2410" s="485" t="s">
        <v>5036</v>
      </c>
      <c r="C2410" s="482">
        <v>0.0</v>
      </c>
      <c r="D2410" s="482" t="s">
        <v>893</v>
      </c>
      <c r="E2410" s="482" t="s">
        <v>894</v>
      </c>
    </row>
    <row r="2411" customFormat="1" s="36">
      <c r="A2411" s="485" t="s">
        <v>5037</v>
      </c>
      <c r="B2411" s="485" t="s">
        <v>5038</v>
      </c>
      <c r="C2411" s="482">
        <v>0.0</v>
      </c>
      <c r="D2411" s="482" t="s">
        <v>893</v>
      </c>
      <c r="E2411" s="482" t="s">
        <v>894</v>
      </c>
    </row>
    <row r="2412" customFormat="1" s="36">
      <c r="A2412" s="485" t="s">
        <v>5039</v>
      </c>
      <c r="B2412" s="485" t="s">
        <v>5040</v>
      </c>
      <c r="C2412" s="482">
        <v>0.0</v>
      </c>
      <c r="D2412" s="482" t="s">
        <v>893</v>
      </c>
      <c r="E2412" s="482" t="s">
        <v>894</v>
      </c>
    </row>
    <row r="2413" customFormat="1" s="36">
      <c r="A2413" s="485" t="s">
        <v>5041</v>
      </c>
      <c r="B2413" s="485" t="s">
        <v>5042</v>
      </c>
      <c r="C2413" s="482">
        <v>0.0</v>
      </c>
      <c r="D2413" s="482" t="s">
        <v>893</v>
      </c>
      <c r="E2413" s="482" t="s">
        <v>894</v>
      </c>
    </row>
    <row r="2414" customFormat="1" s="36">
      <c r="A2414" s="485" t="s">
        <v>5043</v>
      </c>
      <c r="B2414" s="485" t="s">
        <v>5044</v>
      </c>
      <c r="C2414" s="482">
        <v>0.0</v>
      </c>
      <c r="D2414" s="482" t="s">
        <v>893</v>
      </c>
      <c r="E2414" s="482" t="s">
        <v>894</v>
      </c>
    </row>
    <row r="2415" customFormat="1" s="36">
      <c r="A2415" s="485" t="s">
        <v>5045</v>
      </c>
      <c r="B2415" s="485" t="s">
        <v>5046</v>
      </c>
      <c r="C2415" s="482">
        <v>0.0</v>
      </c>
      <c r="D2415" s="482" t="s">
        <v>893</v>
      </c>
      <c r="E2415" s="482" t="s">
        <v>894</v>
      </c>
    </row>
    <row r="2416" customFormat="1" s="36">
      <c r="A2416" s="485" t="s">
        <v>5047</v>
      </c>
      <c r="B2416" s="485" t="s">
        <v>5048</v>
      </c>
      <c r="C2416" s="482">
        <v>0.0</v>
      </c>
      <c r="D2416" s="482" t="s">
        <v>893</v>
      </c>
      <c r="E2416" s="482" t="s">
        <v>894</v>
      </c>
    </row>
    <row r="2417" customFormat="1" s="36">
      <c r="A2417" s="485" t="s">
        <v>5049</v>
      </c>
      <c r="B2417" s="485" t="s">
        <v>5050</v>
      </c>
      <c r="C2417" s="482">
        <v>0.0</v>
      </c>
      <c r="D2417" s="482" t="s">
        <v>893</v>
      </c>
      <c r="E2417" s="482" t="s">
        <v>894</v>
      </c>
    </row>
    <row r="2418" customFormat="1" s="36">
      <c r="A2418" s="485" t="s">
        <v>5051</v>
      </c>
      <c r="B2418" s="485" t="s">
        <v>5052</v>
      </c>
      <c r="C2418" s="482">
        <v>0.0</v>
      </c>
      <c r="D2418" s="482" t="s">
        <v>893</v>
      </c>
      <c r="E2418" s="482" t="s">
        <v>894</v>
      </c>
    </row>
    <row r="2419" customFormat="1" s="36">
      <c r="A2419" s="485" t="s">
        <v>5053</v>
      </c>
      <c r="B2419" s="485" t="s">
        <v>5054</v>
      </c>
      <c r="C2419" s="482">
        <v>364.0</v>
      </c>
      <c r="D2419" s="482" t="s">
        <v>913</v>
      </c>
      <c r="E2419" s="482" t="s">
        <v>894</v>
      </c>
    </row>
    <row r="2420" customFormat="1" s="36">
      <c r="A2420" s="485" t="s">
        <v>5055</v>
      </c>
      <c r="B2420" s="485" t="s">
        <v>5056</v>
      </c>
      <c r="C2420" s="482">
        <v>0.0</v>
      </c>
      <c r="D2420" s="482" t="s">
        <v>893</v>
      </c>
      <c r="E2420" s="482" t="s">
        <v>894</v>
      </c>
    </row>
    <row r="2421" customFormat="1" s="36">
      <c r="A2421" s="485" t="s">
        <v>5057</v>
      </c>
      <c r="B2421" s="485" t="s">
        <v>5058</v>
      </c>
      <c r="C2421" s="482">
        <v>0.0</v>
      </c>
      <c r="D2421" s="482" t="s">
        <v>893</v>
      </c>
      <c r="E2421" s="482" t="s">
        <v>894</v>
      </c>
    </row>
    <row r="2422" customFormat="1" s="36">
      <c r="A2422" s="485" t="s">
        <v>5059</v>
      </c>
      <c r="B2422" s="485" t="s">
        <v>5060</v>
      </c>
      <c r="C2422" s="482">
        <v>0.0</v>
      </c>
      <c r="D2422" s="482" t="s">
        <v>893</v>
      </c>
      <c r="E2422" s="482" t="s">
        <v>894</v>
      </c>
    </row>
    <row r="2423" customFormat="1" s="36">
      <c r="A2423" s="485" t="s">
        <v>5061</v>
      </c>
      <c r="B2423" s="485" t="s">
        <v>5062</v>
      </c>
      <c r="C2423" s="482">
        <v>0.0</v>
      </c>
      <c r="D2423" s="482" t="s">
        <v>893</v>
      </c>
      <c r="E2423" s="482" t="s">
        <v>894</v>
      </c>
    </row>
    <row r="2424" customFormat="1" s="36">
      <c r="A2424" s="485" t="s">
        <v>5063</v>
      </c>
      <c r="B2424" s="485" t="s">
        <v>5064</v>
      </c>
      <c r="C2424" s="482">
        <v>0.0</v>
      </c>
      <c r="D2424" s="482" t="s">
        <v>893</v>
      </c>
      <c r="E2424" s="482" t="s">
        <v>894</v>
      </c>
    </row>
    <row r="2425" customFormat="1" s="36">
      <c r="A2425" s="485" t="s">
        <v>5065</v>
      </c>
      <c r="B2425" s="485" t="s">
        <v>5066</v>
      </c>
      <c r="C2425" s="482">
        <v>0.0</v>
      </c>
      <c r="D2425" s="482" t="s">
        <v>893</v>
      </c>
      <c r="E2425" s="482" t="s">
        <v>894</v>
      </c>
    </row>
    <row r="2426" customFormat="1" s="36">
      <c r="A2426" s="485" t="s">
        <v>5067</v>
      </c>
      <c r="B2426" s="485" t="s">
        <v>5068</v>
      </c>
      <c r="C2426" s="482">
        <v>0.0</v>
      </c>
      <c r="D2426" s="482" t="s">
        <v>893</v>
      </c>
      <c r="E2426" s="482" t="s">
        <v>894</v>
      </c>
    </row>
    <row r="2427" customFormat="1" s="36">
      <c r="A2427" s="485" t="s">
        <v>5069</v>
      </c>
      <c r="B2427" s="485" t="s">
        <v>5070</v>
      </c>
      <c r="C2427" s="482">
        <v>0.0</v>
      </c>
      <c r="D2427" s="482" t="s">
        <v>893</v>
      </c>
      <c r="E2427" s="482" t="s">
        <v>894</v>
      </c>
    </row>
    <row r="2428" customFormat="1" s="36">
      <c r="A2428" s="485" t="s">
        <v>5071</v>
      </c>
      <c r="B2428" s="485" t="s">
        <v>5072</v>
      </c>
      <c r="C2428" s="482">
        <v>0.0</v>
      </c>
      <c r="D2428" s="482" t="s">
        <v>893</v>
      </c>
      <c r="E2428" s="482" t="s">
        <v>894</v>
      </c>
    </row>
    <row r="2429" customFormat="1" s="36">
      <c r="A2429" s="485" t="s">
        <v>5073</v>
      </c>
      <c r="B2429" s="485" t="s">
        <v>5074</v>
      </c>
      <c r="C2429" s="482">
        <v>0.0</v>
      </c>
      <c r="D2429" s="482" t="s">
        <v>893</v>
      </c>
      <c r="E2429" s="482" t="s">
        <v>894</v>
      </c>
    </row>
    <row r="2430" customFormat="1" s="36">
      <c r="A2430" s="485" t="s">
        <v>5075</v>
      </c>
      <c r="B2430" s="485" t="s">
        <v>5076</v>
      </c>
      <c r="C2430" s="482">
        <v>0.0</v>
      </c>
      <c r="D2430" s="482" t="s">
        <v>893</v>
      </c>
      <c r="E2430" s="482" t="s">
        <v>894</v>
      </c>
    </row>
    <row r="2431" customFormat="1" s="36">
      <c r="A2431" s="485" t="s">
        <v>5077</v>
      </c>
      <c r="B2431" s="485" t="s">
        <v>5078</v>
      </c>
      <c r="C2431" s="482">
        <v>0.0</v>
      </c>
      <c r="D2431" s="482" t="s">
        <v>893</v>
      </c>
      <c r="E2431" s="482" t="s">
        <v>894</v>
      </c>
    </row>
    <row r="2432" customFormat="1" s="36">
      <c r="A2432" s="485" t="s">
        <v>5079</v>
      </c>
      <c r="B2432" s="485" t="s">
        <v>5080</v>
      </c>
      <c r="C2432" s="482">
        <v>0.0</v>
      </c>
      <c r="D2432" s="482" t="s">
        <v>893</v>
      </c>
      <c r="E2432" s="482" t="s">
        <v>894</v>
      </c>
    </row>
    <row r="2433" customFormat="1" s="36">
      <c r="A2433" s="485" t="s">
        <v>5081</v>
      </c>
      <c r="B2433" s="485" t="s">
        <v>5082</v>
      </c>
      <c r="C2433" s="482">
        <v>0.0</v>
      </c>
      <c r="D2433" s="482" t="s">
        <v>893</v>
      </c>
      <c r="E2433" s="482" t="s">
        <v>894</v>
      </c>
    </row>
    <row r="2434" customFormat="1" s="36">
      <c r="A2434" s="485" t="s">
        <v>5083</v>
      </c>
      <c r="B2434" s="485" t="s">
        <v>5084</v>
      </c>
      <c r="C2434" s="482">
        <v>0.0</v>
      </c>
      <c r="D2434" s="482" t="s">
        <v>893</v>
      </c>
      <c r="E2434" s="482" t="s">
        <v>894</v>
      </c>
    </row>
    <row r="2435" customFormat="1" s="36">
      <c r="A2435" s="485" t="s">
        <v>5085</v>
      </c>
      <c r="B2435" s="485" t="s">
        <v>5086</v>
      </c>
      <c r="C2435" s="482">
        <v>0.0</v>
      </c>
      <c r="D2435" s="482" t="s">
        <v>893</v>
      </c>
      <c r="E2435" s="482" t="s">
        <v>894</v>
      </c>
    </row>
    <row r="2436" customFormat="1" s="36">
      <c r="A2436" s="485" t="s">
        <v>5087</v>
      </c>
      <c r="B2436" s="485" t="s">
        <v>5088</v>
      </c>
      <c r="C2436" s="482">
        <v>0.0</v>
      </c>
      <c r="D2436" s="482" t="s">
        <v>893</v>
      </c>
      <c r="E2436" s="482" t="s">
        <v>894</v>
      </c>
    </row>
    <row r="2437" customFormat="1" s="36">
      <c r="A2437" s="485" t="s">
        <v>5089</v>
      </c>
      <c r="B2437" s="485" t="s">
        <v>5090</v>
      </c>
      <c r="C2437" s="482">
        <v>0.0</v>
      </c>
      <c r="D2437" s="482" t="s">
        <v>893</v>
      </c>
      <c r="E2437" s="482" t="s">
        <v>894</v>
      </c>
    </row>
    <row r="2438" customFormat="1" s="36">
      <c r="A2438" s="485">
        <v>30905.0</v>
      </c>
      <c r="B2438" s="485" t="s">
        <v>5091</v>
      </c>
      <c r="C2438" s="482">
        <v>0.0</v>
      </c>
      <c r="D2438" s="482" t="s">
        <v>893</v>
      </c>
      <c r="E2438" s="482" t="s">
        <v>894</v>
      </c>
    </row>
    <row r="2439" customFormat="1" s="36">
      <c r="A2439" s="485">
        <v>30907.0</v>
      </c>
      <c r="B2439" s="485" t="s">
        <v>5092</v>
      </c>
      <c r="C2439" s="482">
        <v>0.0</v>
      </c>
      <c r="D2439" s="482" t="s">
        <v>893</v>
      </c>
      <c r="E2439" s="482" t="s">
        <v>894</v>
      </c>
    </row>
    <row r="2440" customFormat="1" s="36">
      <c r="A2440" s="485" t="s">
        <v>5093</v>
      </c>
      <c r="B2440" s="485" t="s">
        <v>5094</v>
      </c>
      <c r="C2440" s="482">
        <v>0.0</v>
      </c>
      <c r="D2440" s="482" t="s">
        <v>893</v>
      </c>
      <c r="E2440" s="482" t="s">
        <v>894</v>
      </c>
    </row>
    <row r="2441" customFormat="1" s="36">
      <c r="A2441" s="485" t="s">
        <v>5095</v>
      </c>
      <c r="B2441" s="485" t="s">
        <v>5096</v>
      </c>
      <c r="C2441" s="482">
        <v>0.0</v>
      </c>
      <c r="D2441" s="482" t="s">
        <v>893</v>
      </c>
      <c r="E2441" s="482" t="s">
        <v>894</v>
      </c>
    </row>
    <row r="2442" customFormat="1" s="36">
      <c r="A2442" s="485" t="s">
        <v>5097</v>
      </c>
      <c r="B2442" s="485" t="s">
        <v>5098</v>
      </c>
      <c r="C2442" s="482">
        <v>0.0</v>
      </c>
      <c r="D2442" s="482" t="s">
        <v>893</v>
      </c>
      <c r="E2442" s="482" t="s">
        <v>894</v>
      </c>
    </row>
    <row r="2443" customFormat="1" s="36">
      <c r="A2443" s="485" t="s">
        <v>5099</v>
      </c>
      <c r="B2443" s="485" t="s">
        <v>5100</v>
      </c>
      <c r="C2443" s="482">
        <v>0.0</v>
      </c>
      <c r="D2443" s="482" t="s">
        <v>893</v>
      </c>
      <c r="E2443" s="482" t="s">
        <v>894</v>
      </c>
    </row>
    <row r="2444" customFormat="1" s="36">
      <c r="A2444" s="485" t="s">
        <v>5101</v>
      </c>
      <c r="B2444" s="485" t="s">
        <v>5102</v>
      </c>
      <c r="C2444" s="482">
        <v>0.0</v>
      </c>
      <c r="D2444" s="482" t="s">
        <v>893</v>
      </c>
      <c r="E2444" s="482" t="s">
        <v>894</v>
      </c>
    </row>
    <row r="2445" customFormat="1" s="36">
      <c r="A2445" s="485" t="s">
        <v>5103</v>
      </c>
      <c r="B2445" s="485" t="s">
        <v>5104</v>
      </c>
      <c r="C2445" s="482">
        <v>0.0</v>
      </c>
      <c r="D2445" s="482" t="s">
        <v>893</v>
      </c>
      <c r="E2445" s="482" t="s">
        <v>894</v>
      </c>
    </row>
    <row r="2446" customFormat="1" s="36">
      <c r="A2446" s="485" t="s">
        <v>5105</v>
      </c>
      <c r="B2446" s="485" t="s">
        <v>5106</v>
      </c>
      <c r="C2446" s="482">
        <v>0.0</v>
      </c>
      <c r="D2446" s="482" t="s">
        <v>893</v>
      </c>
      <c r="E2446" s="482" t="s">
        <v>894</v>
      </c>
    </row>
    <row r="2447" customFormat="1" s="36">
      <c r="A2447" s="485" t="s">
        <v>5107</v>
      </c>
      <c r="B2447" s="485" t="s">
        <v>5108</v>
      </c>
      <c r="C2447" s="482">
        <v>0.0</v>
      </c>
      <c r="D2447" s="482" t="s">
        <v>893</v>
      </c>
      <c r="E2447" s="482" t="s">
        <v>894</v>
      </c>
    </row>
    <row r="2448" customFormat="1" s="36">
      <c r="A2448" s="485" t="s">
        <v>5109</v>
      </c>
      <c r="B2448" s="485" t="s">
        <v>5110</v>
      </c>
      <c r="C2448" s="482">
        <v>0.0</v>
      </c>
      <c r="D2448" s="482" t="s">
        <v>893</v>
      </c>
      <c r="E2448" s="482" t="s">
        <v>894</v>
      </c>
    </row>
    <row r="2449" customFormat="1" s="36">
      <c r="A2449" s="485" t="s">
        <v>5111</v>
      </c>
      <c r="B2449" s="485" t="s">
        <v>5112</v>
      </c>
      <c r="C2449" s="482">
        <v>0.0</v>
      </c>
      <c r="D2449" s="482" t="s">
        <v>893</v>
      </c>
      <c r="E2449" s="482" t="s">
        <v>894</v>
      </c>
    </row>
    <row r="2450" customFormat="1" s="36">
      <c r="A2450" s="485" t="s">
        <v>5113</v>
      </c>
      <c r="B2450" s="485" t="s">
        <v>5114</v>
      </c>
      <c r="C2450" s="482">
        <v>0.0</v>
      </c>
      <c r="D2450" s="482" t="s">
        <v>893</v>
      </c>
      <c r="E2450" s="482" t="s">
        <v>894</v>
      </c>
    </row>
    <row r="2451" customFormat="1" s="36">
      <c r="A2451" s="485" t="s">
        <v>5115</v>
      </c>
      <c r="B2451" s="485" t="s">
        <v>5116</v>
      </c>
      <c r="C2451" s="482">
        <v>0.0</v>
      </c>
      <c r="D2451" s="482" t="s">
        <v>893</v>
      </c>
      <c r="E2451" s="482" t="s">
        <v>894</v>
      </c>
    </row>
    <row r="2452" customFormat="1" s="36">
      <c r="A2452" s="485" t="s">
        <v>488</v>
      </c>
      <c r="B2452" s="485" t="s">
        <v>487</v>
      </c>
      <c r="C2452" s="482">
        <v>173.0</v>
      </c>
      <c r="D2452" s="482" t="s">
        <v>913</v>
      </c>
      <c r="E2452" s="482" t="s">
        <v>1129</v>
      </c>
    </row>
    <row r="2453" customFormat="1" s="36">
      <c r="A2453" s="485" t="s">
        <v>5117</v>
      </c>
      <c r="B2453" s="485" t="s">
        <v>5118</v>
      </c>
      <c r="C2453" s="482">
        <v>0.0</v>
      </c>
      <c r="D2453" s="482" t="s">
        <v>893</v>
      </c>
      <c r="E2453" s="482" t="s">
        <v>894</v>
      </c>
    </row>
    <row r="2454" customFormat="1" s="36">
      <c r="A2454" s="485" t="s">
        <v>5119</v>
      </c>
      <c r="B2454" s="485" t="s">
        <v>5120</v>
      </c>
      <c r="C2454" s="482">
        <v>2278.0</v>
      </c>
      <c r="D2454" s="482" t="s">
        <v>913</v>
      </c>
      <c r="E2454" s="482" t="s">
        <v>894</v>
      </c>
    </row>
    <row r="2455" customFormat="1" s="36">
      <c r="A2455" s="485" t="s">
        <v>5121</v>
      </c>
      <c r="B2455" s="485" t="s">
        <v>5122</v>
      </c>
      <c r="C2455" s="482">
        <v>3000.0</v>
      </c>
      <c r="D2455" s="482" t="s">
        <v>913</v>
      </c>
      <c r="E2455" s="482" t="s">
        <v>894</v>
      </c>
    </row>
    <row r="2456" customFormat="1" s="36">
      <c r="A2456" s="485" t="s">
        <v>5123</v>
      </c>
      <c r="B2456" s="485" t="s">
        <v>5124</v>
      </c>
      <c r="C2456" s="482">
        <v>4709.0</v>
      </c>
      <c r="D2456" s="482" t="s">
        <v>913</v>
      </c>
      <c r="E2456" s="482" t="s">
        <v>894</v>
      </c>
    </row>
    <row r="2457" customFormat="1" s="36">
      <c r="A2457" s="485" t="s">
        <v>5125</v>
      </c>
      <c r="B2457" s="485" t="s">
        <v>5126</v>
      </c>
      <c r="C2457" s="482">
        <v>2851.0</v>
      </c>
      <c r="D2457" s="482" t="s">
        <v>913</v>
      </c>
      <c r="E2457" s="482" t="s">
        <v>894</v>
      </c>
    </row>
    <row r="2458" customFormat="1" s="36">
      <c r="A2458" s="485" t="s">
        <v>5127</v>
      </c>
      <c r="B2458" s="485" t="s">
        <v>5128</v>
      </c>
      <c r="C2458" s="482">
        <v>2323.0</v>
      </c>
      <c r="D2458" s="482" t="s">
        <v>913</v>
      </c>
      <c r="E2458" s="482" t="s">
        <v>894</v>
      </c>
    </row>
    <row r="2459" customFormat="1" s="36">
      <c r="A2459" s="485" t="s">
        <v>5129</v>
      </c>
      <c r="B2459" s="485" t="s">
        <v>5130</v>
      </c>
      <c r="C2459" s="482">
        <v>1696.0</v>
      </c>
      <c r="D2459" s="482" t="s">
        <v>913</v>
      </c>
      <c r="E2459" s="482" t="s">
        <v>894</v>
      </c>
    </row>
    <row r="2460" customFormat="1" s="36">
      <c r="A2460" s="485" t="s">
        <v>5131</v>
      </c>
      <c r="B2460" s="485" t="s">
        <v>5132</v>
      </c>
      <c r="C2460" s="482">
        <v>7.0</v>
      </c>
      <c r="D2460" s="482" t="s">
        <v>913</v>
      </c>
      <c r="E2460" s="482" t="s">
        <v>894</v>
      </c>
    </row>
    <row r="2461" customFormat="1" s="36">
      <c r="A2461" s="485" t="s">
        <v>5133</v>
      </c>
      <c r="B2461" s="485" t="s">
        <v>5134</v>
      </c>
      <c r="C2461" s="482">
        <v>0.0</v>
      </c>
      <c r="D2461" s="482" t="s">
        <v>913</v>
      </c>
      <c r="E2461" s="482" t="s">
        <v>1140</v>
      </c>
    </row>
    <row r="2462" customFormat="1" s="36">
      <c r="A2462" s="485">
        <v>51537.0</v>
      </c>
      <c r="B2462" s="485" t="s">
        <v>5135</v>
      </c>
      <c r="C2462" s="482">
        <v>0.0</v>
      </c>
      <c r="D2462" s="482" t="s">
        <v>893</v>
      </c>
      <c r="E2462" s="482" t="s">
        <v>894</v>
      </c>
    </row>
    <row r="2463" customFormat="1" s="36">
      <c r="A2463" s="485">
        <v>51536.0</v>
      </c>
      <c r="B2463" s="485" t="s">
        <v>5136</v>
      </c>
      <c r="C2463" s="482">
        <v>0.0</v>
      </c>
      <c r="D2463" s="482" t="s">
        <v>893</v>
      </c>
      <c r="E2463" s="482" t="s">
        <v>894</v>
      </c>
    </row>
    <row r="2464" customFormat="1" s="36">
      <c r="A2464" s="485">
        <v>51543.0</v>
      </c>
      <c r="B2464" s="485" t="s">
        <v>5137</v>
      </c>
      <c r="C2464" s="482">
        <v>0.0</v>
      </c>
      <c r="D2464" s="482" t="s">
        <v>893</v>
      </c>
      <c r="E2464" s="482" t="s">
        <v>894</v>
      </c>
    </row>
    <row r="2465" customFormat="1" s="36">
      <c r="A2465" s="485">
        <v>34601.0</v>
      </c>
      <c r="B2465" s="485" t="s">
        <v>5138</v>
      </c>
      <c r="C2465" s="482">
        <v>0.0</v>
      </c>
      <c r="D2465" s="482" t="s">
        <v>893</v>
      </c>
      <c r="E2465" s="482" t="s">
        <v>894</v>
      </c>
    </row>
    <row r="2466" customFormat="1" s="36">
      <c r="A2466" s="485">
        <v>34602.0</v>
      </c>
      <c r="B2466" s="485" t="s">
        <v>5139</v>
      </c>
      <c r="C2466" s="482">
        <v>0.0</v>
      </c>
      <c r="D2466" s="482" t="s">
        <v>893</v>
      </c>
      <c r="E2466" s="482" t="s">
        <v>894</v>
      </c>
    </row>
    <row r="2467" customFormat="1" s="36">
      <c r="A2467" s="485">
        <v>34603.0</v>
      </c>
      <c r="B2467" s="485" t="s">
        <v>5140</v>
      </c>
      <c r="C2467" s="482">
        <v>0.0</v>
      </c>
      <c r="D2467" s="482" t="s">
        <v>893</v>
      </c>
      <c r="E2467" s="482" t="s">
        <v>894</v>
      </c>
    </row>
    <row r="2468" customFormat="1" s="36">
      <c r="A2468" s="485">
        <v>34604.0</v>
      </c>
      <c r="B2468" s="485" t="s">
        <v>5141</v>
      </c>
      <c r="C2468" s="482">
        <v>0.0</v>
      </c>
      <c r="D2468" s="482" t="s">
        <v>893</v>
      </c>
      <c r="E2468" s="482" t="s">
        <v>894</v>
      </c>
    </row>
    <row r="2469" customFormat="1" s="36">
      <c r="A2469" s="485">
        <v>34605.0</v>
      </c>
      <c r="B2469" s="485" t="s">
        <v>5142</v>
      </c>
      <c r="C2469" s="482">
        <v>0.0</v>
      </c>
      <c r="D2469" s="482" t="s">
        <v>893</v>
      </c>
      <c r="E2469" s="482" t="s">
        <v>894</v>
      </c>
    </row>
    <row r="2470" customFormat="1" s="36">
      <c r="A2470" s="485">
        <v>34606.0</v>
      </c>
      <c r="B2470" s="485" t="s">
        <v>5143</v>
      </c>
      <c r="C2470" s="482">
        <v>0.0</v>
      </c>
      <c r="D2470" s="482" t="s">
        <v>893</v>
      </c>
      <c r="E2470" s="482" t="s">
        <v>894</v>
      </c>
    </row>
    <row r="2471" customFormat="1" s="36">
      <c r="A2471" s="485">
        <v>34501.0</v>
      </c>
      <c r="B2471" s="485" t="s">
        <v>5144</v>
      </c>
      <c r="C2471" s="482">
        <v>0.0</v>
      </c>
      <c r="D2471" s="482" t="s">
        <v>893</v>
      </c>
      <c r="E2471" s="482" t="s">
        <v>894</v>
      </c>
    </row>
    <row r="2472" customFormat="1" s="36">
      <c r="A2472" s="485">
        <v>34503.0</v>
      </c>
      <c r="B2472" s="485" t="s">
        <v>5145</v>
      </c>
      <c r="C2472" s="482">
        <v>0.0</v>
      </c>
      <c r="D2472" s="482" t="s">
        <v>893</v>
      </c>
      <c r="E2472" s="482" t="s">
        <v>894</v>
      </c>
    </row>
    <row r="2473" customFormat="1" s="36">
      <c r="A2473" s="485">
        <v>34505.0</v>
      </c>
      <c r="B2473" s="485" t="s">
        <v>5146</v>
      </c>
      <c r="C2473" s="482">
        <v>0.0</v>
      </c>
      <c r="D2473" s="482" t="s">
        <v>893</v>
      </c>
      <c r="E2473" s="482" t="s">
        <v>894</v>
      </c>
    </row>
    <row r="2474" customFormat="1" s="36">
      <c r="A2474" s="485">
        <v>34508.0</v>
      </c>
      <c r="B2474" s="485" t="s">
        <v>5147</v>
      </c>
      <c r="C2474" s="482">
        <v>0.0</v>
      </c>
      <c r="D2474" s="482" t="s">
        <v>893</v>
      </c>
      <c r="E2474" s="482" t="s">
        <v>894</v>
      </c>
    </row>
    <row r="2475" customFormat="1" s="36">
      <c r="A2475" s="485">
        <v>34510.0</v>
      </c>
      <c r="B2475" s="485" t="s">
        <v>5148</v>
      </c>
      <c r="C2475" s="482">
        <v>0.0</v>
      </c>
      <c r="D2475" s="482" t="s">
        <v>893</v>
      </c>
      <c r="E2475" s="482" t="s">
        <v>894</v>
      </c>
    </row>
    <row r="2476" customFormat="1" s="36">
      <c r="A2476" s="485">
        <v>34513.0</v>
      </c>
      <c r="B2476" s="485" t="s">
        <v>5149</v>
      </c>
      <c r="C2476" s="482">
        <v>0.0</v>
      </c>
      <c r="D2476" s="482" t="s">
        <v>893</v>
      </c>
      <c r="E2476" s="482" t="s">
        <v>894</v>
      </c>
    </row>
    <row r="2477" customFormat="1" s="36">
      <c r="A2477" s="485">
        <v>34519.0</v>
      </c>
      <c r="B2477" s="485" t="s">
        <v>5150</v>
      </c>
      <c r="C2477" s="482">
        <v>0.0</v>
      </c>
      <c r="D2477" s="482" t="s">
        <v>893</v>
      </c>
      <c r="E2477" s="482" t="s">
        <v>894</v>
      </c>
    </row>
    <row r="2478" customFormat="1" s="36">
      <c r="A2478" s="485">
        <v>34509.0</v>
      </c>
      <c r="B2478" s="485" t="s">
        <v>5151</v>
      </c>
      <c r="C2478" s="482">
        <v>0.0</v>
      </c>
      <c r="D2478" s="482" t="s">
        <v>893</v>
      </c>
      <c r="E2478" s="482" t="s">
        <v>894</v>
      </c>
    </row>
    <row r="2479" customFormat="1" s="36">
      <c r="A2479" s="485" t="s">
        <v>5152</v>
      </c>
      <c r="B2479" s="485" t="s">
        <v>5153</v>
      </c>
      <c r="C2479" s="482">
        <v>0.0</v>
      </c>
      <c r="D2479" s="482" t="s">
        <v>893</v>
      </c>
      <c r="E2479" s="482" t="s">
        <v>894</v>
      </c>
    </row>
    <row r="2480" customFormat="1" s="36">
      <c r="A2480" s="485" t="s">
        <v>5154</v>
      </c>
      <c r="B2480" s="485" t="s">
        <v>5155</v>
      </c>
      <c r="C2480" s="482">
        <v>0.0</v>
      </c>
      <c r="D2480" s="482" t="s">
        <v>893</v>
      </c>
      <c r="E2480" s="482" t="s">
        <v>894</v>
      </c>
    </row>
    <row r="2481" customFormat="1" s="36">
      <c r="A2481" s="485" t="s">
        <v>5156</v>
      </c>
      <c r="B2481" s="485" t="s">
        <v>5157</v>
      </c>
      <c r="C2481" s="482">
        <v>0.0</v>
      </c>
      <c r="D2481" s="482" t="s">
        <v>893</v>
      </c>
      <c r="E2481" s="482" t="s">
        <v>894</v>
      </c>
    </row>
    <row r="2482" customFormat="1" s="36">
      <c r="A2482" s="485" t="s">
        <v>5158</v>
      </c>
      <c r="B2482" s="485" t="s">
        <v>5159</v>
      </c>
      <c r="C2482" s="482">
        <v>0.0</v>
      </c>
      <c r="D2482" s="482" t="s">
        <v>893</v>
      </c>
      <c r="E2482" s="482" t="s">
        <v>894</v>
      </c>
    </row>
    <row r="2483" customFormat="1" s="36">
      <c r="A2483" s="485" t="s">
        <v>5160</v>
      </c>
      <c r="B2483" s="485" t="s">
        <v>5161</v>
      </c>
      <c r="C2483" s="482">
        <v>0.0</v>
      </c>
      <c r="D2483" s="482" t="s">
        <v>893</v>
      </c>
      <c r="E2483" s="482" t="s">
        <v>894</v>
      </c>
    </row>
    <row r="2484" customFormat="1" s="36">
      <c r="A2484" s="485" t="s">
        <v>5162</v>
      </c>
      <c r="B2484" s="485" t="s">
        <v>5163</v>
      </c>
      <c r="C2484" s="482">
        <v>0.0</v>
      </c>
      <c r="D2484" s="482" t="s">
        <v>893</v>
      </c>
      <c r="E2484" s="482" t="s">
        <v>894</v>
      </c>
    </row>
    <row r="2485" customFormat="1" s="36">
      <c r="A2485" s="485" t="s">
        <v>5164</v>
      </c>
      <c r="B2485" s="485" t="s">
        <v>5165</v>
      </c>
      <c r="C2485" s="482">
        <v>0.0</v>
      </c>
      <c r="D2485" s="482" t="s">
        <v>893</v>
      </c>
      <c r="E2485" s="482" t="s">
        <v>894</v>
      </c>
    </row>
    <row r="2486" customFormat="1" s="36">
      <c r="A2486" s="485" t="s">
        <v>5166</v>
      </c>
      <c r="B2486" s="485" t="s">
        <v>5167</v>
      </c>
      <c r="C2486" s="482">
        <v>0.0</v>
      </c>
      <c r="D2486" s="482" t="s">
        <v>893</v>
      </c>
      <c r="E2486" s="482" t="s">
        <v>894</v>
      </c>
    </row>
    <row r="2487" customFormat="1" s="36">
      <c r="A2487" s="485" t="s">
        <v>5168</v>
      </c>
      <c r="B2487" s="485" t="s">
        <v>5169</v>
      </c>
      <c r="C2487" s="482">
        <v>0.0</v>
      </c>
      <c r="D2487" s="482" t="s">
        <v>893</v>
      </c>
      <c r="E2487" s="482" t="s">
        <v>894</v>
      </c>
    </row>
    <row r="2488" customFormat="1" s="36">
      <c r="A2488" s="485" t="s">
        <v>5170</v>
      </c>
      <c r="B2488" s="485" t="s">
        <v>5171</v>
      </c>
      <c r="C2488" s="482">
        <v>0.0</v>
      </c>
      <c r="D2488" s="482" t="s">
        <v>893</v>
      </c>
      <c r="E2488" s="482" t="s">
        <v>894</v>
      </c>
    </row>
    <row r="2489" customFormat="1" s="36">
      <c r="A2489" s="485" t="s">
        <v>5172</v>
      </c>
      <c r="B2489" s="485" t="s">
        <v>5173</v>
      </c>
      <c r="C2489" s="482">
        <v>0.0</v>
      </c>
      <c r="D2489" s="482" t="s">
        <v>893</v>
      </c>
      <c r="E2489" s="482" t="s">
        <v>894</v>
      </c>
    </row>
    <row r="2490" customFormat="1" s="36">
      <c r="A2490" s="485" t="s">
        <v>5174</v>
      </c>
      <c r="B2490" s="485" t="s">
        <v>5175</v>
      </c>
      <c r="C2490" s="482">
        <v>0.0</v>
      </c>
      <c r="D2490" s="482" t="s">
        <v>893</v>
      </c>
      <c r="E2490" s="482" t="s">
        <v>894</v>
      </c>
    </row>
    <row r="2491" customFormat="1" s="36">
      <c r="A2491" s="485" t="s">
        <v>5176</v>
      </c>
      <c r="B2491" s="485" t="s">
        <v>5177</v>
      </c>
      <c r="C2491" s="482">
        <v>0.0</v>
      </c>
      <c r="D2491" s="482" t="s">
        <v>893</v>
      </c>
      <c r="E2491" s="482" t="s">
        <v>894</v>
      </c>
    </row>
    <row r="2492" customFormat="1" s="36">
      <c r="A2492" s="485" t="s">
        <v>5178</v>
      </c>
      <c r="B2492" s="485" t="s">
        <v>5179</v>
      </c>
      <c r="C2492" s="482">
        <v>0.0</v>
      </c>
      <c r="D2492" s="482" t="s">
        <v>893</v>
      </c>
      <c r="E2492" s="482" t="s">
        <v>894</v>
      </c>
    </row>
    <row r="2493" customFormat="1" s="36">
      <c r="A2493" s="485" t="s">
        <v>5180</v>
      </c>
      <c r="B2493" s="485" t="s">
        <v>5181</v>
      </c>
      <c r="C2493" s="482">
        <v>0.0</v>
      </c>
      <c r="D2493" s="482" t="s">
        <v>893</v>
      </c>
      <c r="E2493" s="482" t="s">
        <v>894</v>
      </c>
    </row>
    <row r="2494" customFormat="1" s="36">
      <c r="A2494" s="485" t="s">
        <v>5182</v>
      </c>
      <c r="B2494" s="485" t="s">
        <v>5183</v>
      </c>
      <c r="C2494" s="482">
        <v>0.0</v>
      </c>
      <c r="D2494" s="482" t="s">
        <v>913</v>
      </c>
      <c r="E2494" s="482" t="s">
        <v>1140</v>
      </c>
    </row>
    <row r="2495" customFormat="1" s="36">
      <c r="A2495" s="485" t="s">
        <v>5184</v>
      </c>
      <c r="B2495" s="485" t="s">
        <v>5185</v>
      </c>
      <c r="C2495" s="482">
        <v>0.0</v>
      </c>
      <c r="D2495" s="482" t="s">
        <v>913</v>
      </c>
      <c r="E2495" s="482" t="s">
        <v>1140</v>
      </c>
    </row>
    <row r="2496" customFormat="1" s="36">
      <c r="A2496" s="485" t="s">
        <v>5186</v>
      </c>
      <c r="B2496" s="485" t="s">
        <v>5187</v>
      </c>
      <c r="C2496" s="482">
        <v>0.0</v>
      </c>
      <c r="D2496" s="482" t="s">
        <v>913</v>
      </c>
      <c r="E2496" s="482" t="s">
        <v>1140</v>
      </c>
    </row>
    <row r="2497" customFormat="1" s="36">
      <c r="A2497" s="485" t="s">
        <v>5188</v>
      </c>
      <c r="B2497" s="485" t="s">
        <v>5189</v>
      </c>
      <c r="C2497" s="482">
        <v>0.0</v>
      </c>
      <c r="D2497" s="482" t="s">
        <v>913</v>
      </c>
      <c r="E2497" s="482" t="s">
        <v>1140</v>
      </c>
    </row>
    <row r="2498" customFormat="1" s="36">
      <c r="A2498" s="485">
        <v>91801.0</v>
      </c>
      <c r="B2498" s="485" t="s">
        <v>5190</v>
      </c>
      <c r="C2498" s="482">
        <v>0.0</v>
      </c>
      <c r="D2498" s="482" t="s">
        <v>893</v>
      </c>
      <c r="E2498" s="482" t="s">
        <v>894</v>
      </c>
    </row>
    <row r="2499" customFormat="1" s="36">
      <c r="A2499" s="485">
        <v>91803.0</v>
      </c>
      <c r="B2499" s="485" t="s">
        <v>5191</v>
      </c>
      <c r="C2499" s="482">
        <v>0.0</v>
      </c>
      <c r="D2499" s="482" t="s">
        <v>893</v>
      </c>
      <c r="E2499" s="482" t="s">
        <v>894</v>
      </c>
    </row>
    <row r="2500" customFormat="1" s="36">
      <c r="A2500" s="485">
        <v>91804.0</v>
      </c>
      <c r="B2500" s="485" t="s">
        <v>5192</v>
      </c>
      <c r="C2500" s="482">
        <v>0.0</v>
      </c>
      <c r="D2500" s="482" t="s">
        <v>893</v>
      </c>
      <c r="E2500" s="482" t="s">
        <v>894</v>
      </c>
    </row>
    <row r="2501" customFormat="1" s="36">
      <c r="A2501" s="485">
        <v>91802.0</v>
      </c>
      <c r="B2501" s="485" t="s">
        <v>5193</v>
      </c>
      <c r="C2501" s="482">
        <v>0.0</v>
      </c>
      <c r="D2501" s="482" t="s">
        <v>893</v>
      </c>
      <c r="E2501" s="482" t="s">
        <v>894</v>
      </c>
    </row>
    <row r="2502" customFormat="1" s="36">
      <c r="A2502" s="485" t="s">
        <v>5194</v>
      </c>
      <c r="B2502" s="485" t="s">
        <v>5195</v>
      </c>
      <c r="C2502" s="482">
        <v>0.0</v>
      </c>
      <c r="D2502" s="482" t="s">
        <v>893</v>
      </c>
      <c r="E2502" s="482" t="s">
        <v>894</v>
      </c>
    </row>
    <row r="2503" customFormat="1" s="36">
      <c r="A2503" s="485" t="s">
        <v>5196</v>
      </c>
      <c r="B2503" s="485" t="s">
        <v>5197</v>
      </c>
      <c r="C2503" s="482">
        <v>0.0</v>
      </c>
      <c r="D2503" s="482" t="s">
        <v>893</v>
      </c>
      <c r="E2503" s="482" t="s">
        <v>894</v>
      </c>
    </row>
    <row r="2504" customFormat="1" s="36">
      <c r="A2504" s="485" t="s">
        <v>5198</v>
      </c>
      <c r="B2504" s="485" t="s">
        <v>5199</v>
      </c>
      <c r="C2504" s="482">
        <v>12.0</v>
      </c>
      <c r="D2504" s="482" t="s">
        <v>913</v>
      </c>
      <c r="E2504" s="482" t="s">
        <v>1140</v>
      </c>
    </row>
    <row r="2505" customFormat="1" s="36">
      <c r="A2505" s="485" t="s">
        <v>5200</v>
      </c>
      <c r="B2505" s="485" t="s">
        <v>5201</v>
      </c>
      <c r="C2505" s="482">
        <v>1.0</v>
      </c>
      <c r="D2505" s="482" t="s">
        <v>913</v>
      </c>
      <c r="E2505" s="482" t="s">
        <v>1140</v>
      </c>
    </row>
    <row r="2506" customFormat="1" s="36">
      <c r="A2506" s="485" t="s">
        <v>5202</v>
      </c>
      <c r="B2506" s="485" t="s">
        <v>5203</v>
      </c>
      <c r="C2506" s="482">
        <v>0.0</v>
      </c>
      <c r="D2506" s="482" t="s">
        <v>893</v>
      </c>
      <c r="E2506" s="482" t="s">
        <v>894</v>
      </c>
    </row>
    <row r="2507" customFormat="1" s="36">
      <c r="A2507" s="485" t="s">
        <v>5204</v>
      </c>
      <c r="B2507" s="485" t="s">
        <v>5205</v>
      </c>
      <c r="C2507" s="482">
        <v>0.0</v>
      </c>
      <c r="D2507" s="482" t="s">
        <v>893</v>
      </c>
      <c r="E2507" s="482" t="s">
        <v>894</v>
      </c>
    </row>
    <row r="2508" customFormat="1" s="36">
      <c r="A2508" s="485" t="s">
        <v>680</v>
      </c>
      <c r="B2508" s="485" t="s">
        <v>679</v>
      </c>
      <c r="C2508" s="482">
        <v>328.0</v>
      </c>
      <c r="D2508" s="482" t="s">
        <v>913</v>
      </c>
      <c r="E2508" s="482" t="s">
        <v>894</v>
      </c>
    </row>
    <row r="2509" customFormat="1" s="36">
      <c r="A2509" s="485" t="s">
        <v>678</v>
      </c>
      <c r="B2509" s="485" t="s">
        <v>677</v>
      </c>
      <c r="C2509" s="482">
        <v>412.0</v>
      </c>
      <c r="D2509" s="482" t="s">
        <v>913</v>
      </c>
      <c r="E2509" s="482" t="s">
        <v>894</v>
      </c>
    </row>
    <row r="2510" customFormat="1" s="36">
      <c r="A2510" s="485" t="s">
        <v>676</v>
      </c>
      <c r="B2510" s="485" t="s">
        <v>675</v>
      </c>
      <c r="C2510" s="482">
        <v>456.0</v>
      </c>
      <c r="D2510" s="482" t="s">
        <v>913</v>
      </c>
      <c r="E2510" s="482" t="s">
        <v>894</v>
      </c>
    </row>
    <row r="2511" customFormat="1" s="36">
      <c r="A2511" s="485" t="s">
        <v>674</v>
      </c>
      <c r="B2511" s="485" t="s">
        <v>673</v>
      </c>
      <c r="C2511" s="482">
        <v>357.0</v>
      </c>
      <c r="D2511" s="482" t="s">
        <v>913</v>
      </c>
      <c r="E2511" s="482" t="s">
        <v>894</v>
      </c>
    </row>
    <row r="2512" customFormat="1" s="36">
      <c r="A2512" s="485" t="s">
        <v>749</v>
      </c>
      <c r="B2512" s="485" t="s">
        <v>748</v>
      </c>
      <c r="C2512" s="482">
        <v>413.0</v>
      </c>
      <c r="D2512" s="482" t="s">
        <v>913</v>
      </c>
      <c r="E2512" s="482" t="s">
        <v>894</v>
      </c>
    </row>
    <row r="2513" customFormat="1" s="36">
      <c r="A2513" s="485" t="s">
        <v>672</v>
      </c>
      <c r="B2513" s="485" t="s">
        <v>671</v>
      </c>
      <c r="C2513" s="482">
        <v>360.0</v>
      </c>
      <c r="D2513" s="482" t="s">
        <v>913</v>
      </c>
      <c r="E2513" s="482" t="s">
        <v>894</v>
      </c>
    </row>
    <row r="2514" customFormat="1" s="36">
      <c r="A2514" s="485" t="s">
        <v>5206</v>
      </c>
      <c r="B2514" s="485" t="s">
        <v>5207</v>
      </c>
      <c r="C2514" s="482">
        <v>0.0</v>
      </c>
      <c r="D2514" s="482" t="s">
        <v>893</v>
      </c>
      <c r="E2514" s="482" t="s">
        <v>894</v>
      </c>
    </row>
    <row r="2515" customFormat="1" s="36">
      <c r="A2515" s="485" t="s">
        <v>5208</v>
      </c>
      <c r="B2515" s="485" t="s">
        <v>5209</v>
      </c>
      <c r="C2515" s="482">
        <v>0.0</v>
      </c>
      <c r="D2515" s="482" t="s">
        <v>893</v>
      </c>
      <c r="E2515" s="482" t="s">
        <v>894</v>
      </c>
    </row>
    <row r="2516" customFormat="1" s="36">
      <c r="A2516" s="485" t="s">
        <v>5210</v>
      </c>
      <c r="B2516" s="485" t="s">
        <v>5211</v>
      </c>
      <c r="C2516" s="482">
        <v>0.0</v>
      </c>
      <c r="D2516" s="482" t="s">
        <v>893</v>
      </c>
      <c r="E2516" s="482" t="s">
        <v>894</v>
      </c>
    </row>
    <row r="2517" customFormat="1" s="36">
      <c r="A2517" s="485" t="s">
        <v>5212</v>
      </c>
      <c r="B2517" s="485" t="s">
        <v>5213</v>
      </c>
      <c r="C2517" s="482">
        <v>400.0</v>
      </c>
      <c r="D2517" s="482" t="s">
        <v>893</v>
      </c>
      <c r="E2517" s="482" t="s">
        <v>894</v>
      </c>
    </row>
    <row r="2518" customFormat="1" s="36">
      <c r="A2518" s="485" t="s">
        <v>5214</v>
      </c>
      <c r="B2518" s="485" t="s">
        <v>5215</v>
      </c>
      <c r="C2518" s="482">
        <v>0.0</v>
      </c>
      <c r="D2518" s="482" t="s">
        <v>913</v>
      </c>
      <c r="E2518" s="482" t="s">
        <v>894</v>
      </c>
    </row>
    <row r="2519" customFormat="1" s="36">
      <c r="A2519" s="485" t="s">
        <v>5216</v>
      </c>
      <c r="B2519" s="485" t="s">
        <v>5217</v>
      </c>
      <c r="C2519" s="482">
        <v>0.0</v>
      </c>
      <c r="D2519" s="482" t="s">
        <v>893</v>
      </c>
      <c r="E2519" s="482" t="s">
        <v>894</v>
      </c>
    </row>
    <row r="2520" customFormat="1" s="36">
      <c r="A2520" s="485" t="s">
        <v>5218</v>
      </c>
      <c r="B2520" s="485" t="s">
        <v>5219</v>
      </c>
      <c r="C2520" s="482">
        <v>0.0</v>
      </c>
      <c r="D2520" s="482" t="s">
        <v>893</v>
      </c>
      <c r="E2520" s="482" t="s">
        <v>894</v>
      </c>
    </row>
    <row r="2521" customFormat="1" s="36">
      <c r="A2521" s="485" t="s">
        <v>5220</v>
      </c>
      <c r="B2521" s="485" t="s">
        <v>5221</v>
      </c>
      <c r="C2521" s="482">
        <v>0.0</v>
      </c>
      <c r="D2521" s="482" t="s">
        <v>893</v>
      </c>
      <c r="E2521" s="482" t="s">
        <v>894</v>
      </c>
    </row>
    <row r="2522" customFormat="1" s="36">
      <c r="A2522" s="485" t="s">
        <v>5222</v>
      </c>
      <c r="B2522" s="485" t="s">
        <v>5223</v>
      </c>
      <c r="C2522" s="482">
        <v>0.0</v>
      </c>
      <c r="D2522" s="482" t="s">
        <v>913</v>
      </c>
      <c r="E2522" s="482" t="s">
        <v>894</v>
      </c>
    </row>
    <row r="2523" customFormat="1" s="36">
      <c r="A2523" s="485" t="s">
        <v>5224</v>
      </c>
      <c r="B2523" s="485" t="s">
        <v>5225</v>
      </c>
      <c r="C2523" s="482">
        <v>0.0</v>
      </c>
      <c r="D2523" s="482" t="s">
        <v>913</v>
      </c>
      <c r="E2523" s="482" t="s">
        <v>894</v>
      </c>
    </row>
    <row r="2524" customFormat="1" s="36">
      <c r="A2524" s="485" t="s">
        <v>5226</v>
      </c>
      <c r="B2524" s="485" t="s">
        <v>5227</v>
      </c>
      <c r="C2524" s="482">
        <v>0.0</v>
      </c>
      <c r="D2524" s="482" t="s">
        <v>913</v>
      </c>
      <c r="E2524" s="482" t="s">
        <v>894</v>
      </c>
    </row>
    <row r="2525" customFormat="1" s="36">
      <c r="A2525" s="485" t="s">
        <v>5228</v>
      </c>
      <c r="B2525" s="485" t="s">
        <v>5229</v>
      </c>
      <c r="C2525" s="482">
        <v>0.0</v>
      </c>
      <c r="D2525" s="482" t="s">
        <v>913</v>
      </c>
      <c r="E2525" s="482" t="s">
        <v>894</v>
      </c>
    </row>
    <row r="2526" customFormat="1" s="36">
      <c r="A2526" s="485" t="s">
        <v>5230</v>
      </c>
      <c r="B2526" s="485" t="s">
        <v>5231</v>
      </c>
      <c r="C2526" s="482">
        <v>0.0</v>
      </c>
      <c r="D2526" s="482" t="s">
        <v>913</v>
      </c>
      <c r="E2526" s="482" t="s">
        <v>894</v>
      </c>
    </row>
    <row r="2527" customFormat="1" s="36">
      <c r="A2527" s="485" t="s">
        <v>5232</v>
      </c>
      <c r="B2527" s="485" t="s">
        <v>5233</v>
      </c>
      <c r="C2527" s="482">
        <v>0.0</v>
      </c>
      <c r="D2527" s="482" t="s">
        <v>893</v>
      </c>
      <c r="E2527" s="482" t="s">
        <v>894</v>
      </c>
    </row>
    <row r="2528" customFormat="1" s="36">
      <c r="A2528" s="485" t="s">
        <v>5234</v>
      </c>
      <c r="B2528" s="485" t="s">
        <v>5235</v>
      </c>
      <c r="C2528" s="482">
        <v>0.0</v>
      </c>
      <c r="D2528" s="482" t="s">
        <v>893</v>
      </c>
      <c r="E2528" s="482" t="s">
        <v>894</v>
      </c>
    </row>
    <row r="2529" customFormat="1" s="36">
      <c r="A2529" s="485" t="s">
        <v>5236</v>
      </c>
      <c r="B2529" s="485" t="s">
        <v>5237</v>
      </c>
      <c r="C2529" s="482">
        <v>0.0</v>
      </c>
      <c r="D2529" s="482" t="s">
        <v>913</v>
      </c>
      <c r="E2529" s="482" t="s">
        <v>894</v>
      </c>
    </row>
    <row r="2530" customFormat="1" s="36">
      <c r="A2530" s="485" t="s">
        <v>5238</v>
      </c>
      <c r="B2530" s="485" t="s">
        <v>5239</v>
      </c>
      <c r="C2530" s="482">
        <v>0.0</v>
      </c>
      <c r="D2530" s="482" t="s">
        <v>893</v>
      </c>
      <c r="E2530" s="482" t="s">
        <v>894</v>
      </c>
    </row>
    <row r="2531" customFormat="1" s="36">
      <c r="A2531" s="485" t="s">
        <v>5240</v>
      </c>
      <c r="B2531" s="485" t="s">
        <v>5241</v>
      </c>
      <c r="C2531" s="482">
        <v>0.0</v>
      </c>
      <c r="D2531" s="482" t="s">
        <v>913</v>
      </c>
      <c r="E2531" s="482" t="s">
        <v>894</v>
      </c>
    </row>
    <row r="2532" customFormat="1" s="36">
      <c r="A2532" s="485" t="s">
        <v>5242</v>
      </c>
      <c r="B2532" s="485" t="s">
        <v>5243</v>
      </c>
      <c r="C2532" s="482">
        <v>0.0</v>
      </c>
      <c r="D2532" s="482" t="s">
        <v>893</v>
      </c>
      <c r="E2532" s="482" t="s">
        <v>894</v>
      </c>
    </row>
    <row r="2533" customFormat="1" s="36">
      <c r="A2533" s="485" t="s">
        <v>5244</v>
      </c>
      <c r="B2533" s="485" t="s">
        <v>5245</v>
      </c>
      <c r="C2533" s="482">
        <v>0.0</v>
      </c>
      <c r="D2533" s="482" t="s">
        <v>913</v>
      </c>
      <c r="E2533" s="482" t="s">
        <v>894</v>
      </c>
    </row>
    <row r="2534" customFormat="1" s="36">
      <c r="A2534" s="485" t="s">
        <v>5246</v>
      </c>
      <c r="B2534" s="485" t="s">
        <v>5247</v>
      </c>
      <c r="C2534" s="482">
        <v>0.0</v>
      </c>
      <c r="D2534" s="482" t="s">
        <v>913</v>
      </c>
      <c r="E2534" s="482" t="s">
        <v>894</v>
      </c>
    </row>
    <row r="2535" customFormat="1" s="36">
      <c r="A2535" s="485" t="s">
        <v>5248</v>
      </c>
      <c r="B2535" s="485" t="s">
        <v>5249</v>
      </c>
      <c r="C2535" s="482">
        <v>0.0</v>
      </c>
      <c r="D2535" s="482" t="s">
        <v>913</v>
      </c>
      <c r="E2535" s="482" t="s">
        <v>894</v>
      </c>
    </row>
    <row r="2536" customFormat="1" s="36">
      <c r="A2536" s="485" t="s">
        <v>5250</v>
      </c>
      <c r="B2536" s="485" t="s">
        <v>5251</v>
      </c>
      <c r="C2536" s="482">
        <v>0.0</v>
      </c>
      <c r="D2536" s="482" t="s">
        <v>893</v>
      </c>
      <c r="E2536" s="482" t="s">
        <v>894</v>
      </c>
    </row>
    <row r="2537" customFormat="1" s="36">
      <c r="A2537" s="485" t="s">
        <v>5252</v>
      </c>
      <c r="B2537" s="485" t="s">
        <v>5253</v>
      </c>
      <c r="C2537" s="482">
        <v>100.0</v>
      </c>
      <c r="D2537" s="482" t="s">
        <v>913</v>
      </c>
      <c r="E2537" s="482" t="s">
        <v>894</v>
      </c>
    </row>
    <row r="2538" customFormat="1" s="36">
      <c r="A2538" s="485" t="s">
        <v>5254</v>
      </c>
      <c r="B2538" s="485" t="s">
        <v>5255</v>
      </c>
      <c r="C2538" s="482">
        <v>0.0</v>
      </c>
      <c r="D2538" s="482" t="s">
        <v>893</v>
      </c>
      <c r="E2538" s="482" t="s">
        <v>894</v>
      </c>
    </row>
    <row r="2539" customFormat="1" s="36">
      <c r="A2539" s="485" t="s">
        <v>5256</v>
      </c>
      <c r="B2539" s="485" t="s">
        <v>5257</v>
      </c>
      <c r="C2539" s="482">
        <v>0.0</v>
      </c>
      <c r="D2539" s="482" t="s">
        <v>893</v>
      </c>
      <c r="E2539" s="482" t="s">
        <v>894</v>
      </c>
    </row>
    <row r="2540" customFormat="1" s="36">
      <c r="A2540" s="485" t="s">
        <v>5258</v>
      </c>
      <c r="B2540" s="485" t="s">
        <v>5259</v>
      </c>
      <c r="C2540" s="482">
        <v>300.0</v>
      </c>
      <c r="D2540" s="482" t="s">
        <v>893</v>
      </c>
      <c r="E2540" s="482" t="s">
        <v>894</v>
      </c>
    </row>
    <row r="2541" customFormat="1" s="36">
      <c r="A2541" s="485" t="s">
        <v>5260</v>
      </c>
      <c r="B2541" s="485" t="s">
        <v>5261</v>
      </c>
      <c r="C2541" s="482">
        <v>0.0</v>
      </c>
      <c r="D2541" s="482" t="s">
        <v>893</v>
      </c>
      <c r="E2541" s="482" t="s">
        <v>894</v>
      </c>
    </row>
    <row r="2542" customFormat="1" s="36">
      <c r="A2542" s="485" t="s">
        <v>5262</v>
      </c>
      <c r="B2542" s="485" t="s">
        <v>5263</v>
      </c>
      <c r="C2542" s="482">
        <v>0.0</v>
      </c>
      <c r="D2542" s="482" t="s">
        <v>893</v>
      </c>
      <c r="E2542" s="482" t="s">
        <v>894</v>
      </c>
    </row>
    <row r="2543" customFormat="1" s="36">
      <c r="A2543" s="485" t="s">
        <v>5264</v>
      </c>
      <c r="B2543" s="485" t="s">
        <v>5265</v>
      </c>
      <c r="C2543" s="482">
        <v>0.0</v>
      </c>
      <c r="D2543" s="482" t="s">
        <v>893</v>
      </c>
      <c r="E2543" s="482" t="s">
        <v>894</v>
      </c>
    </row>
    <row r="2544" customFormat="1" s="36">
      <c r="A2544" s="485" t="s">
        <v>5266</v>
      </c>
      <c r="B2544" s="485" t="s">
        <v>5267</v>
      </c>
      <c r="C2544" s="482">
        <v>250.0</v>
      </c>
      <c r="D2544" s="482" t="s">
        <v>893</v>
      </c>
      <c r="E2544" s="482" t="s">
        <v>894</v>
      </c>
    </row>
    <row r="2545" customFormat="1" s="36">
      <c r="A2545" s="485" t="s">
        <v>5268</v>
      </c>
      <c r="B2545" s="485" t="s">
        <v>5269</v>
      </c>
      <c r="C2545" s="482">
        <v>0.0</v>
      </c>
      <c r="D2545" s="482" t="s">
        <v>893</v>
      </c>
      <c r="E2545" s="482" t="s">
        <v>894</v>
      </c>
    </row>
    <row r="2546" customFormat="1" s="36">
      <c r="A2546" s="485" t="s">
        <v>5270</v>
      </c>
      <c r="B2546" s="485" t="s">
        <v>5271</v>
      </c>
      <c r="C2546" s="482">
        <v>0.0</v>
      </c>
      <c r="D2546" s="482" t="s">
        <v>893</v>
      </c>
      <c r="E2546" s="482" t="s">
        <v>894</v>
      </c>
    </row>
    <row r="2547" customFormat="1" s="36">
      <c r="A2547" s="485" t="s">
        <v>5272</v>
      </c>
      <c r="B2547" s="485" t="s">
        <v>5273</v>
      </c>
      <c r="C2547" s="482">
        <v>0.0</v>
      </c>
      <c r="D2547" s="482" t="s">
        <v>893</v>
      </c>
      <c r="E2547" s="482" t="s">
        <v>894</v>
      </c>
    </row>
    <row r="2548" customFormat="1" s="36">
      <c r="A2548" s="485" t="s">
        <v>5274</v>
      </c>
      <c r="B2548" s="485" t="s">
        <v>5275</v>
      </c>
      <c r="C2548" s="482">
        <v>0.0</v>
      </c>
      <c r="D2548" s="482" t="s">
        <v>893</v>
      </c>
      <c r="E2548" s="482" t="s">
        <v>894</v>
      </c>
    </row>
    <row r="2549" customFormat="1" s="36">
      <c r="A2549" s="485" t="s">
        <v>5276</v>
      </c>
      <c r="B2549" s="485" t="s">
        <v>5277</v>
      </c>
      <c r="C2549" s="482">
        <v>0.0</v>
      </c>
      <c r="D2549" s="482" t="s">
        <v>893</v>
      </c>
      <c r="E2549" s="482" t="s">
        <v>894</v>
      </c>
    </row>
    <row r="2550" customFormat="1" s="36">
      <c r="A2550" s="485" t="s">
        <v>5278</v>
      </c>
      <c r="B2550" s="485" t="s">
        <v>5279</v>
      </c>
      <c r="C2550" s="482">
        <v>0.0</v>
      </c>
      <c r="D2550" s="482" t="s">
        <v>893</v>
      </c>
      <c r="E2550" s="482" t="s">
        <v>894</v>
      </c>
    </row>
    <row r="2551" customFormat="1" s="36">
      <c r="A2551" s="485" t="s">
        <v>5280</v>
      </c>
      <c r="B2551" s="485" t="s">
        <v>5281</v>
      </c>
      <c r="C2551" s="482">
        <v>0.0</v>
      </c>
      <c r="D2551" s="482" t="s">
        <v>893</v>
      </c>
      <c r="E2551" s="482" t="s">
        <v>894</v>
      </c>
    </row>
    <row r="2552" customFormat="1" s="36">
      <c r="A2552" s="485" t="s">
        <v>5282</v>
      </c>
      <c r="B2552" s="485" t="s">
        <v>5283</v>
      </c>
      <c r="C2552" s="482">
        <v>0.0</v>
      </c>
      <c r="D2552" s="482" t="s">
        <v>913</v>
      </c>
      <c r="E2552" s="482" t="s">
        <v>894</v>
      </c>
    </row>
    <row r="2553" customFormat="1" s="36">
      <c r="A2553" s="485" t="s">
        <v>5284</v>
      </c>
      <c r="B2553" s="485" t="s">
        <v>5285</v>
      </c>
      <c r="C2553" s="482">
        <v>50.0</v>
      </c>
      <c r="D2553" s="482" t="s">
        <v>913</v>
      </c>
      <c r="E2553" s="482" t="s">
        <v>894</v>
      </c>
    </row>
    <row r="2554" customFormat="1" s="36">
      <c r="A2554" s="485" t="s">
        <v>5286</v>
      </c>
      <c r="B2554" s="485" t="s">
        <v>5287</v>
      </c>
      <c r="C2554" s="482">
        <v>50.0</v>
      </c>
      <c r="D2554" s="482" t="s">
        <v>913</v>
      </c>
      <c r="E2554" s="482" t="s">
        <v>894</v>
      </c>
    </row>
    <row r="2555" customFormat="1" s="36">
      <c r="A2555" s="485" t="s">
        <v>5288</v>
      </c>
      <c r="B2555" s="485" t="s">
        <v>5289</v>
      </c>
      <c r="C2555" s="482">
        <v>0.0</v>
      </c>
      <c r="D2555" s="482" t="s">
        <v>913</v>
      </c>
      <c r="E2555" s="482" t="s">
        <v>894</v>
      </c>
    </row>
    <row r="2556" customFormat="1" s="36">
      <c r="A2556" s="485" t="s">
        <v>5290</v>
      </c>
      <c r="B2556" s="485" t="s">
        <v>5291</v>
      </c>
      <c r="C2556" s="482">
        <v>0.0</v>
      </c>
      <c r="D2556" s="482" t="s">
        <v>913</v>
      </c>
      <c r="E2556" s="482" t="s">
        <v>894</v>
      </c>
    </row>
    <row r="2557" customFormat="1" s="36">
      <c r="A2557" s="485" t="s">
        <v>5292</v>
      </c>
      <c r="B2557" s="485" t="s">
        <v>5293</v>
      </c>
      <c r="C2557" s="482">
        <v>0.0</v>
      </c>
      <c r="D2557" s="482" t="s">
        <v>913</v>
      </c>
      <c r="E2557" s="482" t="s">
        <v>894</v>
      </c>
    </row>
    <row r="2558" customFormat="1" s="36">
      <c r="A2558" s="485" t="s">
        <v>5294</v>
      </c>
      <c r="B2558" s="485" t="s">
        <v>5295</v>
      </c>
      <c r="C2558" s="482">
        <v>0.0</v>
      </c>
      <c r="D2558" s="482" t="s">
        <v>913</v>
      </c>
      <c r="E2558" s="482" t="s">
        <v>894</v>
      </c>
    </row>
    <row r="2559" customFormat="1" s="36">
      <c r="A2559" s="485" t="s">
        <v>5296</v>
      </c>
      <c r="B2559" s="485" t="s">
        <v>5297</v>
      </c>
      <c r="C2559" s="482">
        <v>0.0</v>
      </c>
      <c r="D2559" s="482" t="s">
        <v>913</v>
      </c>
      <c r="E2559" s="482" t="s">
        <v>894</v>
      </c>
    </row>
    <row r="2560" customFormat="1" s="36">
      <c r="A2560" s="485" t="s">
        <v>5298</v>
      </c>
      <c r="B2560" s="485" t="s">
        <v>5299</v>
      </c>
      <c r="C2560" s="482">
        <v>0.0</v>
      </c>
      <c r="D2560" s="482" t="s">
        <v>913</v>
      </c>
      <c r="E2560" s="482" t="s">
        <v>894</v>
      </c>
    </row>
    <row r="2561" customFormat="1" s="36">
      <c r="A2561" s="485" t="s">
        <v>5300</v>
      </c>
      <c r="B2561" s="485" t="s">
        <v>5301</v>
      </c>
      <c r="C2561" s="482">
        <v>0.0</v>
      </c>
      <c r="D2561" s="482" t="s">
        <v>913</v>
      </c>
      <c r="E2561" s="482" t="s">
        <v>894</v>
      </c>
    </row>
    <row r="2562" customFormat="1" s="36">
      <c r="A2562" s="485" t="s">
        <v>5302</v>
      </c>
      <c r="B2562" s="485" t="s">
        <v>5303</v>
      </c>
      <c r="C2562" s="482">
        <v>0.0</v>
      </c>
      <c r="D2562" s="482" t="s">
        <v>913</v>
      </c>
      <c r="E2562" s="482" t="s">
        <v>894</v>
      </c>
    </row>
    <row r="2563" customFormat="1" s="36">
      <c r="A2563" s="485" t="s">
        <v>5304</v>
      </c>
      <c r="B2563" s="485" t="s">
        <v>5305</v>
      </c>
      <c r="C2563" s="482">
        <v>0.0</v>
      </c>
      <c r="D2563" s="482" t="s">
        <v>913</v>
      </c>
      <c r="E2563" s="482" t="s">
        <v>894</v>
      </c>
    </row>
    <row r="2564" customFormat="1" s="36">
      <c r="A2564" s="485" t="s">
        <v>5306</v>
      </c>
      <c r="B2564" s="485" t="s">
        <v>5307</v>
      </c>
      <c r="C2564" s="482">
        <v>0.0</v>
      </c>
      <c r="D2564" s="482" t="s">
        <v>913</v>
      </c>
      <c r="E2564" s="482" t="s">
        <v>894</v>
      </c>
    </row>
    <row r="2565" customFormat="1" s="36">
      <c r="A2565" s="485" t="s">
        <v>5308</v>
      </c>
      <c r="B2565" s="485" t="s">
        <v>5309</v>
      </c>
      <c r="C2565" s="482">
        <v>50.0</v>
      </c>
      <c r="D2565" s="482" t="s">
        <v>913</v>
      </c>
      <c r="E2565" s="482" t="s">
        <v>894</v>
      </c>
    </row>
    <row r="2566" customFormat="1" s="36">
      <c r="A2566" s="485" t="s">
        <v>5310</v>
      </c>
      <c r="B2566" s="485" t="s">
        <v>5311</v>
      </c>
      <c r="C2566" s="482">
        <v>50.0</v>
      </c>
      <c r="D2566" s="482" t="s">
        <v>913</v>
      </c>
      <c r="E2566" s="482" t="s">
        <v>894</v>
      </c>
    </row>
    <row r="2567" customFormat="1" s="36">
      <c r="A2567" s="485" t="s">
        <v>5312</v>
      </c>
      <c r="B2567" s="485" t="s">
        <v>5313</v>
      </c>
      <c r="C2567" s="482">
        <v>50.0</v>
      </c>
      <c r="D2567" s="482" t="s">
        <v>913</v>
      </c>
      <c r="E2567" s="482" t="s">
        <v>894</v>
      </c>
    </row>
    <row r="2568" customFormat="1" s="36">
      <c r="A2568" s="485" t="s">
        <v>5314</v>
      </c>
      <c r="B2568" s="485" t="s">
        <v>5315</v>
      </c>
      <c r="C2568" s="482">
        <v>50.0</v>
      </c>
      <c r="D2568" s="482" t="s">
        <v>913</v>
      </c>
      <c r="E2568" s="482" t="s">
        <v>894</v>
      </c>
    </row>
    <row r="2569" customFormat="1" s="36">
      <c r="A2569" s="485" t="s">
        <v>5316</v>
      </c>
      <c r="B2569" s="485" t="s">
        <v>5317</v>
      </c>
      <c r="C2569" s="482">
        <v>50.0</v>
      </c>
      <c r="D2569" s="482" t="s">
        <v>913</v>
      </c>
      <c r="E2569" s="482" t="s">
        <v>894</v>
      </c>
    </row>
    <row r="2570" customFormat="1" s="36">
      <c r="A2570" s="485" t="s">
        <v>5318</v>
      </c>
      <c r="B2570" s="485" t="s">
        <v>5319</v>
      </c>
      <c r="C2570" s="482">
        <v>100.0</v>
      </c>
      <c r="D2570" s="482" t="s">
        <v>913</v>
      </c>
      <c r="E2570" s="482" t="s">
        <v>894</v>
      </c>
    </row>
    <row r="2571" customFormat="1" s="36">
      <c r="A2571" s="485" t="s">
        <v>5320</v>
      </c>
      <c r="B2571" s="485" t="s">
        <v>5321</v>
      </c>
      <c r="C2571" s="482">
        <v>50.0</v>
      </c>
      <c r="D2571" s="482" t="s">
        <v>913</v>
      </c>
      <c r="E2571" s="482" t="s">
        <v>894</v>
      </c>
    </row>
    <row r="2572" customFormat="1" s="36">
      <c r="A2572" s="485" t="s">
        <v>5322</v>
      </c>
      <c r="B2572" s="485" t="s">
        <v>5323</v>
      </c>
      <c r="C2572" s="482">
        <v>1000.0</v>
      </c>
      <c r="D2572" s="482" t="s">
        <v>913</v>
      </c>
      <c r="E2572" s="482" t="s">
        <v>894</v>
      </c>
    </row>
    <row r="2573" customFormat="1" s="36">
      <c r="A2573" s="485" t="s">
        <v>5324</v>
      </c>
      <c r="B2573" s="485" t="s">
        <v>5325</v>
      </c>
      <c r="C2573" s="482">
        <v>1000.0</v>
      </c>
      <c r="D2573" s="482" t="s">
        <v>913</v>
      </c>
      <c r="E2573" s="482" t="s">
        <v>894</v>
      </c>
    </row>
    <row r="2574" customFormat="1" s="36">
      <c r="A2574" s="485" t="s">
        <v>5326</v>
      </c>
      <c r="B2574" s="485" t="s">
        <v>5327</v>
      </c>
      <c r="C2574" s="482">
        <v>1000.0</v>
      </c>
      <c r="D2574" s="482" t="s">
        <v>913</v>
      </c>
      <c r="E2574" s="482" t="s">
        <v>894</v>
      </c>
    </row>
    <row r="2575" customFormat="1" s="36">
      <c r="A2575" s="485" t="s">
        <v>5328</v>
      </c>
      <c r="B2575" s="485" t="s">
        <v>5329</v>
      </c>
      <c r="C2575" s="482">
        <v>0.0</v>
      </c>
      <c r="D2575" s="482" t="s">
        <v>893</v>
      </c>
      <c r="E2575" s="482" t="s">
        <v>894</v>
      </c>
    </row>
    <row r="2576" customFormat="1" s="36">
      <c r="A2576" s="485" t="s">
        <v>5330</v>
      </c>
      <c r="B2576" s="485" t="s">
        <v>5331</v>
      </c>
      <c r="C2576" s="482">
        <v>0.0</v>
      </c>
      <c r="D2576" s="482" t="s">
        <v>893</v>
      </c>
      <c r="E2576" s="482" t="s">
        <v>894</v>
      </c>
    </row>
    <row r="2577" customFormat="1" s="36">
      <c r="A2577" s="485" t="s">
        <v>5332</v>
      </c>
      <c r="B2577" s="485" t="s">
        <v>5333</v>
      </c>
      <c r="C2577" s="482">
        <v>0.0</v>
      </c>
      <c r="D2577" s="482" t="s">
        <v>893</v>
      </c>
      <c r="E2577" s="482" t="s">
        <v>894</v>
      </c>
    </row>
    <row r="2578" customFormat="1" s="36">
      <c r="A2578" s="485" t="s">
        <v>5334</v>
      </c>
      <c r="B2578" s="485" t="s">
        <v>5335</v>
      </c>
      <c r="C2578" s="482">
        <v>0.0</v>
      </c>
      <c r="D2578" s="482" t="s">
        <v>893</v>
      </c>
      <c r="E2578" s="482" t="s">
        <v>894</v>
      </c>
    </row>
    <row r="2579" customFormat="1" s="36">
      <c r="A2579" s="485" t="s">
        <v>5336</v>
      </c>
      <c r="B2579" s="485" t="s">
        <v>5337</v>
      </c>
      <c r="C2579" s="482">
        <v>0.0</v>
      </c>
      <c r="D2579" s="482" t="s">
        <v>893</v>
      </c>
      <c r="E2579" s="482" t="s">
        <v>894</v>
      </c>
    </row>
    <row r="2580" customFormat="1" s="36">
      <c r="A2580" s="485" t="s">
        <v>5338</v>
      </c>
      <c r="B2580" s="485" t="s">
        <v>5339</v>
      </c>
      <c r="C2580" s="482">
        <v>0.0</v>
      </c>
      <c r="D2580" s="482" t="s">
        <v>893</v>
      </c>
      <c r="E2580" s="482" t="s">
        <v>894</v>
      </c>
    </row>
    <row r="2581" customFormat="1" s="36">
      <c r="A2581" s="485" t="s">
        <v>5340</v>
      </c>
      <c r="B2581" s="485" t="s">
        <v>5341</v>
      </c>
      <c r="C2581" s="482">
        <v>0.0</v>
      </c>
      <c r="D2581" s="482" t="s">
        <v>893</v>
      </c>
      <c r="E2581" s="482" t="s">
        <v>894</v>
      </c>
    </row>
    <row r="2582" customFormat="1" s="36">
      <c r="A2582" s="485" t="s">
        <v>5342</v>
      </c>
      <c r="B2582" s="485" t="s">
        <v>5343</v>
      </c>
      <c r="C2582" s="482">
        <v>0.0</v>
      </c>
      <c r="D2582" s="482" t="s">
        <v>893</v>
      </c>
      <c r="E2582" s="482" t="s">
        <v>894</v>
      </c>
    </row>
    <row r="2583" customFormat="1" s="36">
      <c r="A2583" s="485" t="s">
        <v>5344</v>
      </c>
      <c r="B2583" s="485" t="s">
        <v>5345</v>
      </c>
      <c r="C2583" s="482">
        <v>0.0</v>
      </c>
      <c r="D2583" s="482" t="s">
        <v>893</v>
      </c>
      <c r="E2583" s="482" t="s">
        <v>894</v>
      </c>
    </row>
    <row r="2584" customFormat="1" s="36">
      <c r="A2584" s="485" t="s">
        <v>5346</v>
      </c>
      <c r="B2584" s="485" t="s">
        <v>5347</v>
      </c>
      <c r="C2584" s="482">
        <v>0.0</v>
      </c>
      <c r="D2584" s="482" t="s">
        <v>893</v>
      </c>
      <c r="E2584" s="482" t="s">
        <v>894</v>
      </c>
    </row>
    <row r="2585" customFormat="1" s="36">
      <c r="A2585" s="485" t="s">
        <v>5348</v>
      </c>
      <c r="B2585" s="485" t="s">
        <v>5349</v>
      </c>
      <c r="C2585" s="482">
        <v>0.0</v>
      </c>
      <c r="D2585" s="482" t="s">
        <v>893</v>
      </c>
      <c r="E2585" s="482" t="s">
        <v>894</v>
      </c>
    </row>
    <row r="2586" customFormat="1" s="36">
      <c r="A2586" s="485" t="s">
        <v>5350</v>
      </c>
      <c r="B2586" s="485" t="s">
        <v>5351</v>
      </c>
      <c r="C2586" s="482">
        <v>0.0</v>
      </c>
      <c r="D2586" s="482" t="s">
        <v>893</v>
      </c>
      <c r="E2586" s="482" t="s">
        <v>894</v>
      </c>
    </row>
    <row r="2587" customFormat="1" s="36">
      <c r="A2587" s="485" t="s">
        <v>5352</v>
      </c>
      <c r="B2587" s="485" t="s">
        <v>5353</v>
      </c>
      <c r="C2587" s="482">
        <v>0.0</v>
      </c>
      <c r="D2587" s="482" t="s">
        <v>893</v>
      </c>
      <c r="E2587" s="482" t="s">
        <v>894</v>
      </c>
    </row>
    <row r="2588" customFormat="1" s="36">
      <c r="A2588" s="485" t="s">
        <v>5354</v>
      </c>
      <c r="B2588" s="485" t="s">
        <v>5355</v>
      </c>
      <c r="C2588" s="482">
        <v>0.0</v>
      </c>
      <c r="D2588" s="482" t="s">
        <v>893</v>
      </c>
      <c r="E2588" s="482" t="s">
        <v>894</v>
      </c>
    </row>
    <row r="2589" customFormat="1" s="36">
      <c r="A2589" s="485" t="s">
        <v>5356</v>
      </c>
      <c r="B2589" s="485" t="s">
        <v>5357</v>
      </c>
      <c r="C2589" s="482">
        <v>0.0</v>
      </c>
      <c r="D2589" s="482" t="s">
        <v>893</v>
      </c>
      <c r="E2589" s="482" t="s">
        <v>894</v>
      </c>
    </row>
    <row r="2590" customFormat="1" s="36">
      <c r="A2590" s="485" t="s">
        <v>5358</v>
      </c>
      <c r="B2590" s="485" t="s">
        <v>5359</v>
      </c>
      <c r="C2590" s="482">
        <v>0.0</v>
      </c>
      <c r="D2590" s="482" t="s">
        <v>893</v>
      </c>
      <c r="E2590" s="482" t="s">
        <v>894</v>
      </c>
    </row>
    <row r="2591" customFormat="1" s="36">
      <c r="A2591" s="485" t="s">
        <v>5360</v>
      </c>
      <c r="B2591" s="485" t="s">
        <v>5361</v>
      </c>
      <c r="C2591" s="482">
        <v>0.0</v>
      </c>
      <c r="D2591" s="482" t="s">
        <v>893</v>
      </c>
      <c r="E2591" s="482" t="s">
        <v>894</v>
      </c>
    </row>
    <row r="2592" customFormat="1" s="36">
      <c r="A2592" s="485" t="s">
        <v>5362</v>
      </c>
      <c r="B2592" s="485" t="s">
        <v>5363</v>
      </c>
      <c r="C2592" s="482">
        <v>0.0</v>
      </c>
      <c r="D2592" s="482" t="s">
        <v>893</v>
      </c>
      <c r="E2592" s="482" t="s">
        <v>894</v>
      </c>
    </row>
    <row r="2593" customFormat="1" s="36">
      <c r="A2593" s="485" t="s">
        <v>5364</v>
      </c>
      <c r="B2593" s="485" t="s">
        <v>5365</v>
      </c>
      <c r="C2593" s="482">
        <v>0.0</v>
      </c>
      <c r="D2593" s="482" t="s">
        <v>893</v>
      </c>
      <c r="E2593" s="482" t="s">
        <v>894</v>
      </c>
    </row>
    <row r="2594" customFormat="1" s="36">
      <c r="A2594" s="485" t="s">
        <v>5366</v>
      </c>
      <c r="B2594" s="485" t="s">
        <v>5367</v>
      </c>
      <c r="C2594" s="482">
        <v>0.0</v>
      </c>
      <c r="D2594" s="482" t="s">
        <v>893</v>
      </c>
      <c r="E2594" s="482" t="s">
        <v>894</v>
      </c>
    </row>
    <row r="2595" customFormat="1" s="36">
      <c r="A2595" s="485" t="s">
        <v>5368</v>
      </c>
      <c r="B2595" s="485" t="s">
        <v>5369</v>
      </c>
      <c r="C2595" s="482">
        <v>0.0</v>
      </c>
      <c r="D2595" s="482" t="s">
        <v>893</v>
      </c>
      <c r="E2595" s="482" t="s">
        <v>894</v>
      </c>
    </row>
    <row r="2596" customFormat="1" s="36">
      <c r="A2596" s="485" t="s">
        <v>5370</v>
      </c>
      <c r="B2596" s="485" t="s">
        <v>5371</v>
      </c>
      <c r="C2596" s="482">
        <v>0.0</v>
      </c>
      <c r="D2596" s="482" t="s">
        <v>893</v>
      </c>
      <c r="E2596" s="482" t="s">
        <v>894</v>
      </c>
    </row>
    <row r="2597" customFormat="1" s="36">
      <c r="A2597" s="485" t="s">
        <v>5372</v>
      </c>
      <c r="B2597" s="485" t="s">
        <v>5373</v>
      </c>
      <c r="C2597" s="482">
        <v>0.0</v>
      </c>
      <c r="D2597" s="482" t="s">
        <v>893</v>
      </c>
      <c r="E2597" s="482" t="s">
        <v>894</v>
      </c>
    </row>
    <row r="2598" customFormat="1" s="36">
      <c r="A2598" s="485">
        <v>37501.0</v>
      </c>
      <c r="B2598" s="485" t="s">
        <v>5374</v>
      </c>
      <c r="C2598" s="482">
        <v>0.0</v>
      </c>
      <c r="D2598" s="482" t="s">
        <v>893</v>
      </c>
      <c r="E2598" s="482" t="s">
        <v>894</v>
      </c>
    </row>
    <row r="2599" customFormat="1" s="36">
      <c r="A2599" s="485">
        <v>37502.0</v>
      </c>
      <c r="B2599" s="485" t="s">
        <v>5375</v>
      </c>
      <c r="C2599" s="482">
        <v>0.0</v>
      </c>
      <c r="D2599" s="482" t="s">
        <v>893</v>
      </c>
      <c r="E2599" s="482" t="s">
        <v>894</v>
      </c>
    </row>
    <row r="2600" customFormat="1" s="36">
      <c r="A2600" s="485">
        <v>37503.0</v>
      </c>
      <c r="B2600" s="485" t="s">
        <v>5376</v>
      </c>
      <c r="C2600" s="482">
        <v>0.0</v>
      </c>
      <c r="D2600" s="482" t="s">
        <v>893</v>
      </c>
      <c r="E2600" s="482" t="s">
        <v>894</v>
      </c>
    </row>
    <row r="2601" customFormat="1" s="36">
      <c r="A2601" s="485">
        <v>32002.0</v>
      </c>
      <c r="B2601" s="485" t="s">
        <v>5377</v>
      </c>
      <c r="C2601" s="482">
        <v>0.0</v>
      </c>
      <c r="D2601" s="482" t="s">
        <v>893</v>
      </c>
      <c r="E2601" s="482" t="s">
        <v>894</v>
      </c>
    </row>
    <row r="2602" customFormat="1" s="36">
      <c r="A2602" s="485">
        <v>32006.0</v>
      </c>
      <c r="B2602" s="485" t="s">
        <v>5378</v>
      </c>
      <c r="C2602" s="482">
        <v>0.0</v>
      </c>
      <c r="D2602" s="482" t="s">
        <v>893</v>
      </c>
      <c r="E2602" s="482" t="s">
        <v>894</v>
      </c>
    </row>
    <row r="2603" customFormat="1" s="36">
      <c r="A2603" s="485">
        <v>32001.0</v>
      </c>
      <c r="B2603" s="485" t="s">
        <v>5379</v>
      </c>
      <c r="C2603" s="482">
        <v>0.0</v>
      </c>
      <c r="D2603" s="482" t="s">
        <v>893</v>
      </c>
      <c r="E2603" s="482" t="s">
        <v>894</v>
      </c>
    </row>
    <row r="2604" customFormat="1" s="36">
      <c r="A2604" s="485">
        <v>32005.0</v>
      </c>
      <c r="B2604" s="485" t="s">
        <v>5380</v>
      </c>
      <c r="C2604" s="482">
        <v>0.0</v>
      </c>
      <c r="D2604" s="482" t="s">
        <v>893</v>
      </c>
      <c r="E2604" s="482" t="s">
        <v>894</v>
      </c>
    </row>
    <row r="2605" customFormat="1" s="36">
      <c r="A2605" s="485">
        <v>32004.0</v>
      </c>
      <c r="B2605" s="485" t="s">
        <v>5381</v>
      </c>
      <c r="C2605" s="482">
        <v>0.0</v>
      </c>
      <c r="D2605" s="482" t="s">
        <v>893</v>
      </c>
      <c r="E2605" s="482" t="s">
        <v>894</v>
      </c>
    </row>
    <row r="2606" customFormat="1" s="36">
      <c r="A2606" s="485">
        <v>32003.0</v>
      </c>
      <c r="B2606" s="485" t="s">
        <v>5382</v>
      </c>
      <c r="C2606" s="482">
        <v>0.0</v>
      </c>
      <c r="D2606" s="482" t="s">
        <v>893</v>
      </c>
      <c r="E2606" s="482" t="s">
        <v>894</v>
      </c>
    </row>
    <row r="2607" customFormat="1" s="36">
      <c r="A2607" s="485" t="s">
        <v>5383</v>
      </c>
      <c r="B2607" s="485" t="s">
        <v>5384</v>
      </c>
      <c r="C2607" s="482">
        <v>1.0</v>
      </c>
      <c r="D2607" s="482" t="s">
        <v>913</v>
      </c>
      <c r="E2607" s="482" t="s">
        <v>894</v>
      </c>
    </row>
    <row r="2608" customFormat="1" s="36">
      <c r="A2608" s="485" t="s">
        <v>5385</v>
      </c>
      <c r="B2608" s="485" t="s">
        <v>5386</v>
      </c>
      <c r="C2608" s="482">
        <v>0.0</v>
      </c>
      <c r="D2608" s="482" t="s">
        <v>893</v>
      </c>
      <c r="E2608" s="482" t="s">
        <v>894</v>
      </c>
    </row>
    <row r="2609" customFormat="1" s="36">
      <c r="A2609" s="485" t="s">
        <v>5387</v>
      </c>
      <c r="B2609" s="485" t="s">
        <v>5388</v>
      </c>
      <c r="C2609" s="482">
        <v>-2.0</v>
      </c>
      <c r="D2609" s="482" t="s">
        <v>913</v>
      </c>
      <c r="E2609" s="482" t="s">
        <v>894</v>
      </c>
    </row>
    <row r="2610" customFormat="1" s="36">
      <c r="A2610" s="485" t="s">
        <v>5389</v>
      </c>
      <c r="B2610" s="485" t="s">
        <v>5390</v>
      </c>
      <c r="C2610" s="482">
        <v>0.0</v>
      </c>
      <c r="D2610" s="482" t="s">
        <v>893</v>
      </c>
      <c r="E2610" s="482" t="s">
        <v>894</v>
      </c>
    </row>
    <row r="2611" customFormat="1" s="36">
      <c r="A2611" s="485" t="s">
        <v>5391</v>
      </c>
      <c r="B2611" s="485" t="s">
        <v>5392</v>
      </c>
      <c r="C2611" s="482">
        <v>1.0</v>
      </c>
      <c r="D2611" s="482" t="s">
        <v>893</v>
      </c>
      <c r="E2611" s="482" t="s">
        <v>894</v>
      </c>
    </row>
    <row r="2612" customFormat="1" s="36">
      <c r="A2612" s="485" t="s">
        <v>5393</v>
      </c>
      <c r="B2612" s="485" t="s">
        <v>5394</v>
      </c>
      <c r="C2612" s="482">
        <v>0.0</v>
      </c>
      <c r="D2612" s="482" t="s">
        <v>893</v>
      </c>
      <c r="E2612" s="482" t="s">
        <v>894</v>
      </c>
    </row>
    <row r="2613" customFormat="1" s="36">
      <c r="A2613" s="485" t="s">
        <v>5395</v>
      </c>
      <c r="B2613" s="485" t="s">
        <v>5396</v>
      </c>
      <c r="C2613" s="482">
        <v>0.0</v>
      </c>
      <c r="D2613" s="482" t="s">
        <v>893</v>
      </c>
      <c r="E2613" s="482" t="s">
        <v>894</v>
      </c>
    </row>
    <row r="2614" customFormat="1" s="36">
      <c r="A2614" s="485" t="s">
        <v>5397</v>
      </c>
      <c r="B2614" s="485" t="s">
        <v>5398</v>
      </c>
      <c r="C2614" s="482">
        <v>0.0</v>
      </c>
      <c r="D2614" s="482" t="s">
        <v>913</v>
      </c>
      <c r="E2614" s="482" t="s">
        <v>894</v>
      </c>
    </row>
    <row r="2615" customFormat="1" s="36">
      <c r="A2615" s="485" t="s">
        <v>5399</v>
      </c>
      <c r="B2615" s="485" t="s">
        <v>5400</v>
      </c>
      <c r="C2615" s="482">
        <v>0.0</v>
      </c>
      <c r="D2615" s="482" t="s">
        <v>893</v>
      </c>
      <c r="E2615" s="482" t="s">
        <v>894</v>
      </c>
    </row>
    <row r="2616" customFormat="1" s="36">
      <c r="A2616" s="485" t="s">
        <v>5401</v>
      </c>
      <c r="B2616" s="485" t="s">
        <v>5402</v>
      </c>
      <c r="C2616" s="482">
        <v>12.0</v>
      </c>
      <c r="D2616" s="482" t="s">
        <v>913</v>
      </c>
      <c r="E2616" s="482" t="s">
        <v>894</v>
      </c>
    </row>
    <row r="2617" customFormat="1" s="36">
      <c r="A2617" s="485" t="s">
        <v>5403</v>
      </c>
      <c r="B2617" s="485" t="s">
        <v>5404</v>
      </c>
      <c r="C2617" s="482">
        <v>0.0</v>
      </c>
      <c r="D2617" s="482" t="s">
        <v>893</v>
      </c>
      <c r="E2617" s="482" t="s">
        <v>894</v>
      </c>
    </row>
    <row r="2618" customFormat="1" s="36">
      <c r="A2618" s="485" t="s">
        <v>5405</v>
      </c>
      <c r="B2618" s="485" t="s">
        <v>5406</v>
      </c>
      <c r="C2618" s="482">
        <v>0.0</v>
      </c>
      <c r="D2618" s="482" t="s">
        <v>893</v>
      </c>
      <c r="E2618" s="482" t="s">
        <v>894</v>
      </c>
    </row>
    <row r="2619" customFormat="1" s="36">
      <c r="A2619" s="485" t="s">
        <v>5407</v>
      </c>
      <c r="B2619" s="485" t="s">
        <v>5408</v>
      </c>
      <c r="C2619" s="482">
        <v>0.0</v>
      </c>
      <c r="D2619" s="482" t="s">
        <v>893</v>
      </c>
      <c r="E2619" s="482" t="s">
        <v>894</v>
      </c>
    </row>
    <row r="2620" customFormat="1" s="36">
      <c r="A2620" s="485" t="s">
        <v>5409</v>
      </c>
      <c r="B2620" s="485" t="s">
        <v>5410</v>
      </c>
      <c r="C2620" s="482">
        <v>0.0</v>
      </c>
      <c r="D2620" s="482" t="s">
        <v>893</v>
      </c>
      <c r="E2620" s="482" t="s">
        <v>894</v>
      </c>
    </row>
    <row r="2621" customFormat="1" s="36">
      <c r="A2621" s="485" t="s">
        <v>5411</v>
      </c>
      <c r="B2621" s="485" t="s">
        <v>5412</v>
      </c>
      <c r="C2621" s="482">
        <v>8.0</v>
      </c>
      <c r="D2621" s="482" t="s">
        <v>913</v>
      </c>
      <c r="E2621" s="482" t="s">
        <v>894</v>
      </c>
    </row>
    <row r="2622" customFormat="1" s="36">
      <c r="A2622" s="485" t="s">
        <v>5413</v>
      </c>
      <c r="B2622" s="485" t="s">
        <v>5414</v>
      </c>
      <c r="C2622" s="482">
        <v>14.0</v>
      </c>
      <c r="D2622" s="482" t="s">
        <v>913</v>
      </c>
      <c r="E2622" s="482" t="s">
        <v>894</v>
      </c>
    </row>
    <row r="2623" customFormat="1" s="36">
      <c r="A2623" s="485" t="s">
        <v>5415</v>
      </c>
      <c r="B2623" s="485" t="s">
        <v>5416</v>
      </c>
      <c r="C2623" s="482">
        <v>0.0</v>
      </c>
      <c r="D2623" s="482" t="s">
        <v>893</v>
      </c>
      <c r="E2623" s="482" t="s">
        <v>894</v>
      </c>
    </row>
    <row r="2624" customFormat="1" s="36">
      <c r="A2624" s="485" t="s">
        <v>5417</v>
      </c>
      <c r="B2624" s="485" t="s">
        <v>5418</v>
      </c>
      <c r="C2624" s="482">
        <v>31.0</v>
      </c>
      <c r="D2624" s="482" t="s">
        <v>913</v>
      </c>
      <c r="E2624" s="482" t="s">
        <v>894</v>
      </c>
    </row>
    <row r="2625" customFormat="1" s="36">
      <c r="A2625" s="485" t="s">
        <v>5419</v>
      </c>
      <c r="B2625" s="485" t="s">
        <v>5420</v>
      </c>
      <c r="C2625" s="482">
        <v>24.0</v>
      </c>
      <c r="D2625" s="482" t="s">
        <v>913</v>
      </c>
      <c r="E2625" s="482" t="s">
        <v>894</v>
      </c>
    </row>
    <row r="2626" customFormat="1" s="36">
      <c r="A2626" s="485" t="s">
        <v>5421</v>
      </c>
      <c r="B2626" s="485" t="s">
        <v>5422</v>
      </c>
      <c r="C2626" s="482">
        <v>0.0</v>
      </c>
      <c r="D2626" s="482" t="s">
        <v>893</v>
      </c>
      <c r="E2626" s="482" t="s">
        <v>894</v>
      </c>
    </row>
    <row r="2627" customFormat="1" s="36">
      <c r="A2627" s="485" t="s">
        <v>5423</v>
      </c>
      <c r="B2627" s="485" t="s">
        <v>5424</v>
      </c>
      <c r="C2627" s="482">
        <v>11.0</v>
      </c>
      <c r="D2627" s="482" t="s">
        <v>913</v>
      </c>
      <c r="E2627" s="482" t="s">
        <v>894</v>
      </c>
    </row>
    <row r="2628" customFormat="1" s="36">
      <c r="A2628" s="485" t="s">
        <v>5425</v>
      </c>
      <c r="B2628" s="485" t="s">
        <v>5426</v>
      </c>
      <c r="C2628" s="482">
        <v>12.0</v>
      </c>
      <c r="D2628" s="482" t="s">
        <v>913</v>
      </c>
      <c r="E2628" s="482" t="s">
        <v>894</v>
      </c>
    </row>
    <row r="2629" customFormat="1" s="36">
      <c r="A2629" s="485" t="s">
        <v>5427</v>
      </c>
      <c r="B2629" s="485" t="s">
        <v>5428</v>
      </c>
      <c r="C2629" s="482">
        <v>10.0</v>
      </c>
      <c r="D2629" s="482" t="s">
        <v>913</v>
      </c>
      <c r="E2629" s="482" t="s">
        <v>894</v>
      </c>
    </row>
    <row r="2630" customFormat="1" s="36">
      <c r="A2630" s="485" t="s">
        <v>5429</v>
      </c>
      <c r="B2630" s="485" t="s">
        <v>5430</v>
      </c>
      <c r="C2630" s="482">
        <v>0.0</v>
      </c>
      <c r="D2630" s="482" t="s">
        <v>893</v>
      </c>
      <c r="E2630" s="482" t="s">
        <v>894</v>
      </c>
    </row>
    <row r="2631" customFormat="1" s="36">
      <c r="A2631" s="485" t="s">
        <v>5431</v>
      </c>
      <c r="B2631" s="485" t="s">
        <v>5432</v>
      </c>
      <c r="C2631" s="482">
        <v>0.0</v>
      </c>
      <c r="D2631" s="482" t="s">
        <v>893</v>
      </c>
      <c r="E2631" s="482" t="s">
        <v>894</v>
      </c>
    </row>
    <row r="2632" customFormat="1" s="36">
      <c r="A2632" s="485" t="s">
        <v>5433</v>
      </c>
      <c r="B2632" s="485" t="s">
        <v>5434</v>
      </c>
      <c r="C2632" s="482">
        <v>25.0</v>
      </c>
      <c r="D2632" s="482" t="s">
        <v>913</v>
      </c>
      <c r="E2632" s="482" t="s">
        <v>894</v>
      </c>
    </row>
    <row r="2633" customFormat="1" s="36">
      <c r="A2633" s="485" t="s">
        <v>5435</v>
      </c>
      <c r="B2633" s="485" t="s">
        <v>5436</v>
      </c>
      <c r="C2633" s="482">
        <v>125.0</v>
      </c>
      <c r="D2633" s="482" t="s">
        <v>913</v>
      </c>
      <c r="E2633" s="482" t="s">
        <v>894</v>
      </c>
    </row>
    <row r="2634" customFormat="1" s="36">
      <c r="A2634" s="485" t="s">
        <v>5437</v>
      </c>
      <c r="B2634" s="485" t="s">
        <v>5438</v>
      </c>
      <c r="C2634" s="482">
        <v>67.0</v>
      </c>
      <c r="D2634" s="482" t="s">
        <v>913</v>
      </c>
      <c r="E2634" s="482" t="s">
        <v>894</v>
      </c>
    </row>
    <row r="2635" customFormat="1" s="36">
      <c r="A2635" s="485" t="s">
        <v>5439</v>
      </c>
      <c r="B2635" s="485" t="s">
        <v>5440</v>
      </c>
      <c r="C2635" s="482">
        <v>38.0</v>
      </c>
      <c r="D2635" s="482" t="s">
        <v>913</v>
      </c>
      <c r="E2635" s="482" t="s">
        <v>894</v>
      </c>
    </row>
    <row r="2636" customFormat="1" s="36">
      <c r="A2636" s="485" t="s">
        <v>5441</v>
      </c>
      <c r="B2636" s="485" t="s">
        <v>5442</v>
      </c>
      <c r="C2636" s="482">
        <v>0.0</v>
      </c>
      <c r="D2636" s="482" t="s">
        <v>893</v>
      </c>
      <c r="E2636" s="482" t="s">
        <v>894</v>
      </c>
    </row>
    <row r="2637" customFormat="1" s="36">
      <c r="A2637" s="485" t="s">
        <v>5443</v>
      </c>
      <c r="B2637" s="485" t="s">
        <v>5444</v>
      </c>
      <c r="C2637" s="482">
        <v>8.0</v>
      </c>
      <c r="D2637" s="482" t="s">
        <v>913</v>
      </c>
      <c r="E2637" s="482" t="s">
        <v>894</v>
      </c>
    </row>
    <row r="2638" customFormat="1" s="36">
      <c r="A2638" s="485" t="s">
        <v>5445</v>
      </c>
      <c r="B2638" s="485" t="s">
        <v>5446</v>
      </c>
      <c r="C2638" s="482">
        <v>43.0</v>
      </c>
      <c r="D2638" s="482" t="s">
        <v>913</v>
      </c>
      <c r="E2638" s="482" t="s">
        <v>894</v>
      </c>
    </row>
    <row r="2639" customFormat="1" s="36">
      <c r="A2639" s="485" t="s">
        <v>5447</v>
      </c>
      <c r="B2639" s="485" t="s">
        <v>5448</v>
      </c>
      <c r="C2639" s="482">
        <v>72.0</v>
      </c>
      <c r="D2639" s="482" t="s">
        <v>913</v>
      </c>
      <c r="E2639" s="482" t="s">
        <v>894</v>
      </c>
    </row>
    <row r="2640" customFormat="1" s="36">
      <c r="A2640" s="485" t="s">
        <v>5449</v>
      </c>
      <c r="B2640" s="485" t="s">
        <v>5450</v>
      </c>
      <c r="C2640" s="482">
        <v>56.0</v>
      </c>
      <c r="D2640" s="482" t="s">
        <v>913</v>
      </c>
      <c r="E2640" s="482" t="s">
        <v>894</v>
      </c>
    </row>
    <row r="2641" customFormat="1" s="36">
      <c r="A2641" s="485" t="s">
        <v>5451</v>
      </c>
      <c r="B2641" s="485" t="s">
        <v>5452</v>
      </c>
      <c r="C2641" s="482">
        <v>0.0</v>
      </c>
      <c r="D2641" s="482" t="s">
        <v>893</v>
      </c>
      <c r="E2641" s="482" t="s">
        <v>894</v>
      </c>
    </row>
    <row r="2642" customFormat="1" s="36">
      <c r="A2642" s="485" t="s">
        <v>5453</v>
      </c>
      <c r="B2642" s="485" t="s">
        <v>5454</v>
      </c>
      <c r="C2642" s="482">
        <v>31.0</v>
      </c>
      <c r="D2642" s="482" t="s">
        <v>913</v>
      </c>
      <c r="E2642" s="482" t="s">
        <v>894</v>
      </c>
    </row>
    <row r="2643" customFormat="1" s="36">
      <c r="A2643" s="485" t="s">
        <v>5455</v>
      </c>
      <c r="B2643" s="485" t="s">
        <v>5456</v>
      </c>
      <c r="C2643" s="482">
        <v>35.0</v>
      </c>
      <c r="D2643" s="482" t="s">
        <v>913</v>
      </c>
      <c r="E2643" s="482" t="s">
        <v>894</v>
      </c>
    </row>
    <row r="2644" customFormat="1" s="36">
      <c r="A2644" s="485" t="s">
        <v>5457</v>
      </c>
      <c r="B2644" s="485" t="s">
        <v>5458</v>
      </c>
      <c r="C2644" s="482">
        <v>37.0</v>
      </c>
      <c r="D2644" s="482" t="s">
        <v>913</v>
      </c>
      <c r="E2644" s="482" t="s">
        <v>894</v>
      </c>
    </row>
    <row r="2645" customFormat="1" s="36">
      <c r="A2645" s="485" t="s">
        <v>5459</v>
      </c>
      <c r="B2645" s="485" t="s">
        <v>5460</v>
      </c>
      <c r="C2645" s="482">
        <v>18.0</v>
      </c>
      <c r="D2645" s="482" t="s">
        <v>913</v>
      </c>
      <c r="E2645" s="482" t="s">
        <v>894</v>
      </c>
    </row>
    <row r="2646" customFormat="1" s="36">
      <c r="A2646" s="485" t="s">
        <v>5461</v>
      </c>
      <c r="B2646" s="485" t="s">
        <v>5462</v>
      </c>
      <c r="C2646" s="482">
        <v>-2.0</v>
      </c>
      <c r="D2646" s="482" t="s">
        <v>913</v>
      </c>
      <c r="E2646" s="482" t="s">
        <v>894</v>
      </c>
    </row>
    <row r="2647" customFormat="1" s="36">
      <c r="A2647" s="485" t="s">
        <v>5463</v>
      </c>
      <c r="B2647" s="485" t="s">
        <v>5464</v>
      </c>
      <c r="C2647" s="482">
        <v>38.0</v>
      </c>
      <c r="D2647" s="482" t="s">
        <v>913</v>
      </c>
      <c r="E2647" s="482" t="s">
        <v>894</v>
      </c>
    </row>
    <row r="2648" customFormat="1" s="36">
      <c r="A2648" s="485" t="s">
        <v>5465</v>
      </c>
      <c r="B2648" s="485" t="s">
        <v>5466</v>
      </c>
      <c r="C2648" s="482">
        <v>-2.0</v>
      </c>
      <c r="D2648" s="482" t="s">
        <v>913</v>
      </c>
      <c r="E2648" s="482" t="s">
        <v>894</v>
      </c>
    </row>
    <row r="2649" customFormat="1" s="36">
      <c r="A2649" s="485" t="s">
        <v>5467</v>
      </c>
      <c r="B2649" s="485" t="s">
        <v>5468</v>
      </c>
      <c r="C2649" s="482">
        <v>15.0</v>
      </c>
      <c r="D2649" s="482" t="s">
        <v>913</v>
      </c>
      <c r="E2649" s="482" t="s">
        <v>894</v>
      </c>
    </row>
    <row r="2650" customFormat="1" s="36">
      <c r="A2650" s="485" t="s">
        <v>5469</v>
      </c>
      <c r="B2650" s="485" t="s">
        <v>5470</v>
      </c>
      <c r="C2650" s="482">
        <v>6.0</v>
      </c>
      <c r="D2650" s="482" t="s">
        <v>913</v>
      </c>
      <c r="E2650" s="482" t="s">
        <v>894</v>
      </c>
    </row>
    <row r="2651" customFormat="1" s="36">
      <c r="A2651" s="485" t="s">
        <v>5471</v>
      </c>
      <c r="B2651" s="485" t="s">
        <v>5472</v>
      </c>
      <c r="C2651" s="482">
        <v>1.0</v>
      </c>
      <c r="D2651" s="482" t="s">
        <v>913</v>
      </c>
      <c r="E2651" s="482" t="s">
        <v>894</v>
      </c>
    </row>
    <row r="2652" customFormat="1" s="36">
      <c r="A2652" s="485" t="s">
        <v>5473</v>
      </c>
      <c r="B2652" s="485" t="s">
        <v>5474</v>
      </c>
      <c r="C2652" s="482">
        <v>1.0</v>
      </c>
      <c r="D2652" s="482" t="s">
        <v>913</v>
      </c>
      <c r="E2652" s="482" t="s">
        <v>894</v>
      </c>
    </row>
    <row r="2653" customFormat="1" s="36">
      <c r="A2653" s="485" t="s">
        <v>5475</v>
      </c>
      <c r="B2653" s="485" t="s">
        <v>5476</v>
      </c>
      <c r="C2653" s="482">
        <v>33.0</v>
      </c>
      <c r="D2653" s="482" t="s">
        <v>913</v>
      </c>
      <c r="E2653" s="482" t="s">
        <v>894</v>
      </c>
    </row>
    <row r="2654" customFormat="1" s="36">
      <c r="A2654" s="485" t="s">
        <v>5477</v>
      </c>
      <c r="B2654" s="485" t="s">
        <v>5478</v>
      </c>
      <c r="C2654" s="482">
        <v>1.0</v>
      </c>
      <c r="D2654" s="482" t="s">
        <v>913</v>
      </c>
      <c r="E2654" s="482" t="s">
        <v>894</v>
      </c>
    </row>
    <row r="2655" customFormat="1" s="36">
      <c r="A2655" s="485" t="s">
        <v>5479</v>
      </c>
      <c r="B2655" s="485" t="s">
        <v>5480</v>
      </c>
      <c r="C2655" s="482">
        <v>11.0</v>
      </c>
      <c r="D2655" s="482" t="s">
        <v>913</v>
      </c>
      <c r="E2655" s="482" t="s">
        <v>894</v>
      </c>
    </row>
    <row r="2656" customFormat="1" s="36">
      <c r="A2656" s="485" t="s">
        <v>5481</v>
      </c>
      <c r="B2656" s="485" t="s">
        <v>5482</v>
      </c>
      <c r="C2656" s="482">
        <v>26431.0</v>
      </c>
      <c r="D2656" s="482" t="s">
        <v>913</v>
      </c>
      <c r="E2656" s="482" t="s">
        <v>894</v>
      </c>
    </row>
    <row r="2657" customFormat="1" s="36">
      <c r="A2657" s="485" t="s">
        <v>5483</v>
      </c>
      <c r="B2657" s="485" t="s">
        <v>5483</v>
      </c>
      <c r="C2657" s="482">
        <v>51.0</v>
      </c>
      <c r="D2657" s="482" t="s">
        <v>913</v>
      </c>
      <c r="E2657" s="482" t="s">
        <v>894</v>
      </c>
    </row>
    <row r="2658" customFormat="1" s="36">
      <c r="A2658" s="485" t="s">
        <v>5484</v>
      </c>
      <c r="B2658" s="485" t="s">
        <v>5485</v>
      </c>
      <c r="C2658" s="482">
        <v>4.0</v>
      </c>
      <c r="D2658" s="482" t="s">
        <v>913</v>
      </c>
      <c r="E2658" s="482" t="s">
        <v>894</v>
      </c>
    </row>
    <row r="2659" customFormat="1" s="36">
      <c r="A2659" s="485" t="s">
        <v>5486</v>
      </c>
      <c r="B2659" s="485" t="s">
        <v>5487</v>
      </c>
      <c r="C2659" s="482">
        <v>4.0</v>
      </c>
      <c r="D2659" s="482" t="s">
        <v>913</v>
      </c>
      <c r="E2659" s="482" t="s">
        <v>894</v>
      </c>
    </row>
    <row r="2660" customFormat="1" s="36">
      <c r="A2660" s="485">
        <v>61285.0</v>
      </c>
      <c r="B2660" s="485" t="s">
        <v>5488</v>
      </c>
      <c r="C2660" s="482">
        <v>0.0</v>
      </c>
      <c r="D2660" s="482" t="s">
        <v>893</v>
      </c>
      <c r="E2660" s="482" t="s">
        <v>894</v>
      </c>
    </row>
    <row r="2661" customFormat="1" s="36">
      <c r="A2661" s="485">
        <v>61286.0</v>
      </c>
      <c r="B2661" s="485" t="s">
        <v>5489</v>
      </c>
      <c r="C2661" s="482">
        <v>0.0</v>
      </c>
      <c r="D2661" s="482" t="s">
        <v>893</v>
      </c>
      <c r="E2661" s="482" t="s">
        <v>894</v>
      </c>
    </row>
    <row r="2662" customFormat="1" s="36">
      <c r="A2662" s="485" t="s">
        <v>5490</v>
      </c>
      <c r="B2662" s="485" t="s">
        <v>5491</v>
      </c>
      <c r="C2662" s="482">
        <v>180.0</v>
      </c>
      <c r="D2662" s="482" t="s">
        <v>913</v>
      </c>
      <c r="E2662" s="482" t="s">
        <v>1140</v>
      </c>
    </row>
    <row r="2663" customFormat="1" s="36">
      <c r="A2663" s="485" t="s">
        <v>5492</v>
      </c>
      <c r="B2663" s="485" t="s">
        <v>5493</v>
      </c>
      <c r="C2663" s="482">
        <v>373.0</v>
      </c>
      <c r="D2663" s="482" t="s">
        <v>913</v>
      </c>
      <c r="E2663" s="482" t="s">
        <v>894</v>
      </c>
    </row>
    <row r="2664" customFormat="1" s="36">
      <c r="A2664" s="485" t="s">
        <v>5494</v>
      </c>
      <c r="B2664" s="485" t="s">
        <v>5495</v>
      </c>
      <c r="C2664" s="482">
        <v>-39.0</v>
      </c>
      <c r="D2664" s="482" t="s">
        <v>913</v>
      </c>
      <c r="E2664" s="482" t="s">
        <v>894</v>
      </c>
    </row>
    <row r="2665" customFormat="1" s="36">
      <c r="A2665" s="485" t="s">
        <v>5496</v>
      </c>
      <c r="B2665" s="485" t="s">
        <v>5497</v>
      </c>
      <c r="C2665" s="482">
        <v>468.0</v>
      </c>
      <c r="D2665" s="482" t="s">
        <v>913</v>
      </c>
      <c r="E2665" s="482" t="s">
        <v>894</v>
      </c>
    </row>
    <row r="2666" customFormat="1" s="36">
      <c r="A2666" s="485" t="s">
        <v>5498</v>
      </c>
      <c r="B2666" s="485" t="s">
        <v>5499</v>
      </c>
      <c r="C2666" s="482">
        <v>450.0</v>
      </c>
      <c r="D2666" s="482" t="s">
        <v>913</v>
      </c>
      <c r="E2666" s="482" t="s">
        <v>894</v>
      </c>
    </row>
    <row r="2667" customFormat="1" s="36">
      <c r="A2667" s="485" t="s">
        <v>5500</v>
      </c>
      <c r="B2667" s="485" t="s">
        <v>5501</v>
      </c>
      <c r="C2667" s="482">
        <v>-54.0</v>
      </c>
      <c r="D2667" s="482" t="s">
        <v>913</v>
      </c>
      <c r="E2667" s="482" t="s">
        <v>894</v>
      </c>
    </row>
    <row r="2668" customFormat="1" s="36">
      <c r="A2668" s="485" t="s">
        <v>5502</v>
      </c>
      <c r="B2668" s="485" t="s">
        <v>5503</v>
      </c>
      <c r="C2668" s="482">
        <v>414.0</v>
      </c>
      <c r="D2668" s="482" t="s">
        <v>913</v>
      </c>
      <c r="E2668" s="482" t="s">
        <v>894</v>
      </c>
    </row>
    <row r="2669" customFormat="1" s="36">
      <c r="A2669" s="485" t="s">
        <v>5504</v>
      </c>
      <c r="B2669" s="485" t="s">
        <v>5505</v>
      </c>
      <c r="C2669" s="482">
        <v>431.0</v>
      </c>
      <c r="D2669" s="482" t="s">
        <v>913</v>
      </c>
      <c r="E2669" s="482" t="s">
        <v>894</v>
      </c>
    </row>
    <row r="2670" customFormat="1" s="36">
      <c r="A2670" s="485" t="s">
        <v>5506</v>
      </c>
      <c r="B2670" s="485" t="s">
        <v>5507</v>
      </c>
      <c r="C2670" s="482">
        <v>516.0</v>
      </c>
      <c r="D2670" s="482" t="s">
        <v>913</v>
      </c>
      <c r="E2670" s="482" t="s">
        <v>894</v>
      </c>
    </row>
    <row r="2671" customFormat="1" s="36">
      <c r="A2671" s="485" t="s">
        <v>5508</v>
      </c>
      <c r="B2671" s="485" t="s">
        <v>5509</v>
      </c>
      <c r="C2671" s="482">
        <v>0.0</v>
      </c>
      <c r="D2671" s="482" t="s">
        <v>893</v>
      </c>
      <c r="E2671" s="482" t="s">
        <v>894</v>
      </c>
    </row>
    <row r="2672" customFormat="1" s="36">
      <c r="A2672" s="485" t="s">
        <v>5510</v>
      </c>
      <c r="B2672" s="485" t="s">
        <v>5511</v>
      </c>
      <c r="C2672" s="482">
        <v>0.0</v>
      </c>
      <c r="D2672" s="482" t="s">
        <v>893</v>
      </c>
      <c r="E2672" s="482" t="s">
        <v>894</v>
      </c>
    </row>
    <row r="2673" customFormat="1" s="36">
      <c r="A2673" s="485" t="s">
        <v>5512</v>
      </c>
      <c r="B2673" s="485" t="s">
        <v>5513</v>
      </c>
      <c r="C2673" s="482">
        <v>0.0</v>
      </c>
      <c r="D2673" s="482" t="s">
        <v>893</v>
      </c>
      <c r="E2673" s="482" t="s">
        <v>894</v>
      </c>
    </row>
    <row r="2674" customFormat="1" s="36">
      <c r="A2674" s="485" t="s">
        <v>5514</v>
      </c>
      <c r="B2674" s="485" t="s">
        <v>5515</v>
      </c>
      <c r="C2674" s="482">
        <v>0.0</v>
      </c>
      <c r="D2674" s="482" t="s">
        <v>893</v>
      </c>
      <c r="E2674" s="482" t="s">
        <v>894</v>
      </c>
    </row>
    <row r="2675" customFormat="1" s="36">
      <c r="A2675" s="485" t="s">
        <v>5516</v>
      </c>
      <c r="B2675" s="485" t="s">
        <v>5517</v>
      </c>
      <c r="C2675" s="482">
        <v>2.0</v>
      </c>
      <c r="D2675" s="482" t="s">
        <v>913</v>
      </c>
      <c r="E2675" s="482" t="s">
        <v>894</v>
      </c>
    </row>
    <row r="2676" customFormat="1" s="36">
      <c r="A2676" s="485" t="s">
        <v>5518</v>
      </c>
      <c r="B2676" s="485" t="s">
        <v>5519</v>
      </c>
      <c r="C2676" s="482">
        <v>68.0</v>
      </c>
      <c r="D2676" s="482" t="s">
        <v>913</v>
      </c>
      <c r="E2676" s="482" t="s">
        <v>894</v>
      </c>
    </row>
    <row r="2677" customFormat="1" s="36">
      <c r="A2677" s="485" t="s">
        <v>5520</v>
      </c>
      <c r="B2677" s="485" t="s">
        <v>5521</v>
      </c>
      <c r="C2677" s="482">
        <v>57.0</v>
      </c>
      <c r="D2677" s="482" t="s">
        <v>913</v>
      </c>
      <c r="E2677" s="482" t="s">
        <v>894</v>
      </c>
    </row>
    <row r="2678" customFormat="1" s="36">
      <c r="A2678" s="485" t="s">
        <v>5522</v>
      </c>
      <c r="B2678" s="485" t="s">
        <v>5523</v>
      </c>
      <c r="C2678" s="482">
        <v>0.0</v>
      </c>
      <c r="D2678" s="482" t="s">
        <v>893</v>
      </c>
      <c r="E2678" s="482" t="s">
        <v>894</v>
      </c>
    </row>
    <row r="2679" customFormat="1" s="36">
      <c r="A2679" s="485" t="s">
        <v>5524</v>
      </c>
      <c r="B2679" s="485" t="s">
        <v>5525</v>
      </c>
      <c r="C2679" s="482">
        <v>0.0</v>
      </c>
      <c r="D2679" s="482" t="s">
        <v>893</v>
      </c>
      <c r="E2679" s="482" t="s">
        <v>894</v>
      </c>
    </row>
    <row r="2680" customFormat="1" s="36">
      <c r="A2680" s="485" t="s">
        <v>5526</v>
      </c>
      <c r="B2680" s="485" t="s">
        <v>5527</v>
      </c>
      <c r="C2680" s="482">
        <v>0.0</v>
      </c>
      <c r="D2680" s="482" t="s">
        <v>893</v>
      </c>
      <c r="E2680" s="482" t="s">
        <v>894</v>
      </c>
    </row>
    <row r="2681" customFormat="1" s="36">
      <c r="A2681" s="485" t="s">
        <v>747</v>
      </c>
      <c r="B2681" s="485" t="s">
        <v>746</v>
      </c>
      <c r="C2681" s="482">
        <v>14.0</v>
      </c>
      <c r="D2681" s="482" t="s">
        <v>913</v>
      </c>
      <c r="E2681" s="482" t="s">
        <v>894</v>
      </c>
    </row>
    <row r="2682" customFormat="1" s="36">
      <c r="A2682" s="485" t="s">
        <v>745</v>
      </c>
      <c r="B2682" s="485" t="s">
        <v>744</v>
      </c>
      <c r="C2682" s="482">
        <v>73.0</v>
      </c>
      <c r="D2682" s="482" t="s">
        <v>913</v>
      </c>
      <c r="E2682" s="482" t="s">
        <v>894</v>
      </c>
    </row>
    <row r="2683" customFormat="1" s="36">
      <c r="A2683" s="485" t="s">
        <v>627</v>
      </c>
      <c r="B2683" s="485" t="s">
        <v>626</v>
      </c>
      <c r="C2683" s="482">
        <v>31.0</v>
      </c>
      <c r="D2683" s="482" t="s">
        <v>913</v>
      </c>
      <c r="E2683" s="482" t="s">
        <v>894</v>
      </c>
    </row>
    <row r="2684" customFormat="1" s="36">
      <c r="A2684" s="485" t="s">
        <v>629</v>
      </c>
      <c r="B2684" s="485" t="s">
        <v>628</v>
      </c>
      <c r="C2684" s="482">
        <v>76.0</v>
      </c>
      <c r="D2684" s="482" t="s">
        <v>913</v>
      </c>
      <c r="E2684" s="482" t="s">
        <v>894</v>
      </c>
    </row>
    <row r="2685" customFormat="1" s="36">
      <c r="A2685" s="485" t="s">
        <v>743</v>
      </c>
      <c r="B2685" s="485" t="s">
        <v>742</v>
      </c>
      <c r="C2685" s="482">
        <v>72.0</v>
      </c>
      <c r="D2685" s="482" t="s">
        <v>913</v>
      </c>
      <c r="E2685" s="482" t="s">
        <v>894</v>
      </c>
    </row>
    <row r="2686" customFormat="1" s="36">
      <c r="A2686" s="485" t="s">
        <v>741</v>
      </c>
      <c r="B2686" s="485" t="s">
        <v>740</v>
      </c>
      <c r="C2686" s="482">
        <v>97.0</v>
      </c>
      <c r="D2686" s="482" t="s">
        <v>913</v>
      </c>
      <c r="E2686" s="482" t="s">
        <v>894</v>
      </c>
    </row>
    <row r="2687" customFormat="1" s="36">
      <c r="A2687" s="485" t="s">
        <v>881</v>
      </c>
      <c r="B2687" s="485" t="s">
        <v>880</v>
      </c>
      <c r="C2687" s="482">
        <v>0.0</v>
      </c>
      <c r="D2687" s="482" t="s">
        <v>913</v>
      </c>
      <c r="E2687" s="482" t="s">
        <v>894</v>
      </c>
    </row>
    <row r="2688" customFormat="1" s="36">
      <c r="A2688" s="485" t="s">
        <v>5528</v>
      </c>
      <c r="B2688" s="485" t="s">
        <v>5529</v>
      </c>
      <c r="C2688" s="482">
        <v>0.0</v>
      </c>
      <c r="D2688" s="482" t="s">
        <v>893</v>
      </c>
      <c r="E2688" s="482" t="s">
        <v>894</v>
      </c>
    </row>
    <row r="2689" customFormat="1" s="36">
      <c r="A2689" s="485" t="s">
        <v>5530</v>
      </c>
      <c r="B2689" s="485" t="s">
        <v>5531</v>
      </c>
      <c r="C2689" s="482">
        <v>0.0</v>
      </c>
      <c r="D2689" s="482" t="s">
        <v>893</v>
      </c>
      <c r="E2689" s="482" t="s">
        <v>894</v>
      </c>
    </row>
    <row r="2690" customFormat="1" s="36">
      <c r="A2690" s="485" t="s">
        <v>5532</v>
      </c>
      <c r="B2690" s="485" t="s">
        <v>5533</v>
      </c>
      <c r="C2690" s="482">
        <v>0.0</v>
      </c>
      <c r="D2690" s="482" t="s">
        <v>893</v>
      </c>
      <c r="E2690" s="482" t="s">
        <v>894</v>
      </c>
    </row>
    <row r="2691" customFormat="1" s="36">
      <c r="A2691" s="485" t="s">
        <v>739</v>
      </c>
      <c r="B2691" s="485" t="s">
        <v>738</v>
      </c>
      <c r="C2691" s="482">
        <v>24.0</v>
      </c>
      <c r="D2691" s="482" t="s">
        <v>913</v>
      </c>
      <c r="E2691" s="482" t="s">
        <v>894</v>
      </c>
    </row>
    <row r="2692" customFormat="1" s="36">
      <c r="A2692" s="485" t="s">
        <v>5534</v>
      </c>
      <c r="B2692" s="485" t="s">
        <v>5535</v>
      </c>
      <c r="C2692" s="482">
        <v>0.0</v>
      </c>
      <c r="D2692" s="482" t="s">
        <v>893</v>
      </c>
      <c r="E2692" s="482" t="s">
        <v>894</v>
      </c>
    </row>
    <row r="2693" customFormat="1" s="36">
      <c r="A2693" s="485" t="s">
        <v>5536</v>
      </c>
      <c r="B2693" s="485" t="s">
        <v>5537</v>
      </c>
      <c r="C2693" s="482">
        <v>282.0</v>
      </c>
      <c r="D2693" s="482" t="s">
        <v>913</v>
      </c>
      <c r="E2693" s="482" t="s">
        <v>1140</v>
      </c>
    </row>
    <row r="2694" customFormat="1" s="36">
      <c r="A2694" s="485" t="s">
        <v>5538</v>
      </c>
      <c r="B2694" s="485" t="s">
        <v>5539</v>
      </c>
      <c r="C2694" s="482">
        <v>426.0</v>
      </c>
      <c r="D2694" s="482" t="s">
        <v>913</v>
      </c>
      <c r="E2694" s="482" t="s">
        <v>1140</v>
      </c>
    </row>
    <row r="2695" customFormat="1" s="36">
      <c r="A2695" s="485" t="s">
        <v>5540</v>
      </c>
      <c r="B2695" s="485" t="s">
        <v>5541</v>
      </c>
      <c r="C2695" s="482">
        <v>0.0</v>
      </c>
      <c r="D2695" s="482" t="s">
        <v>893</v>
      </c>
      <c r="E2695" s="482" t="s">
        <v>894</v>
      </c>
    </row>
    <row r="2696" customFormat="1" s="36">
      <c r="A2696" s="485" t="s">
        <v>5542</v>
      </c>
      <c r="B2696" s="485" t="s">
        <v>5543</v>
      </c>
      <c r="C2696" s="482">
        <v>0.0</v>
      </c>
      <c r="D2696" s="482" t="s">
        <v>893</v>
      </c>
      <c r="E2696" s="482" t="s">
        <v>894</v>
      </c>
    </row>
    <row r="2697" customFormat="1" s="36">
      <c r="A2697" s="485" t="s">
        <v>5544</v>
      </c>
      <c r="B2697" s="485" t="s">
        <v>5545</v>
      </c>
      <c r="C2697" s="482">
        <v>0.0</v>
      </c>
      <c r="D2697" s="482" t="s">
        <v>893</v>
      </c>
      <c r="E2697" s="482" t="s">
        <v>894</v>
      </c>
    </row>
    <row r="2698" customFormat="1" s="36">
      <c r="A2698" s="485" t="s">
        <v>5546</v>
      </c>
      <c r="B2698" s="485" t="s">
        <v>5547</v>
      </c>
      <c r="C2698" s="482">
        <v>0.0</v>
      </c>
      <c r="D2698" s="482" t="s">
        <v>913</v>
      </c>
      <c r="E2698" s="482" t="s">
        <v>894</v>
      </c>
    </row>
    <row r="2699" customFormat="1" s="36">
      <c r="A2699" s="485" t="s">
        <v>5548</v>
      </c>
      <c r="B2699" s="485" t="s">
        <v>5549</v>
      </c>
      <c r="C2699" s="482">
        <v>510.0</v>
      </c>
      <c r="D2699" s="482" t="s">
        <v>913</v>
      </c>
      <c r="E2699" s="482" t="s">
        <v>1140</v>
      </c>
    </row>
    <row r="2700" customFormat="1" s="36">
      <c r="A2700" s="485" t="s">
        <v>5550</v>
      </c>
      <c r="B2700" s="485" t="s">
        <v>5551</v>
      </c>
      <c r="C2700" s="482">
        <v>186.0</v>
      </c>
      <c r="D2700" s="482" t="s">
        <v>913</v>
      </c>
      <c r="E2700" s="482" t="s">
        <v>1140</v>
      </c>
    </row>
    <row r="2701" customFormat="1" s="36">
      <c r="A2701" s="485" t="s">
        <v>5552</v>
      </c>
      <c r="B2701" s="485" t="s">
        <v>5553</v>
      </c>
      <c r="C2701" s="482">
        <v>0.0</v>
      </c>
      <c r="D2701" s="482" t="s">
        <v>893</v>
      </c>
      <c r="E2701" s="482" t="s">
        <v>894</v>
      </c>
    </row>
    <row r="2702" customFormat="1" s="36">
      <c r="A2702" s="485" t="s">
        <v>5554</v>
      </c>
      <c r="B2702" s="485" t="s">
        <v>5555</v>
      </c>
      <c r="C2702" s="482">
        <v>405.0</v>
      </c>
      <c r="D2702" s="482" t="s">
        <v>913</v>
      </c>
      <c r="E2702" s="482" t="s">
        <v>894</v>
      </c>
    </row>
    <row r="2703" customFormat="1" s="36">
      <c r="A2703" s="485" t="s">
        <v>5556</v>
      </c>
      <c r="B2703" s="485" t="s">
        <v>5557</v>
      </c>
      <c r="C2703" s="482">
        <v>381.0</v>
      </c>
      <c r="D2703" s="482" t="s">
        <v>913</v>
      </c>
      <c r="E2703" s="482" t="s">
        <v>894</v>
      </c>
    </row>
    <row r="2704" customFormat="1" s="36">
      <c r="A2704" s="485" t="s">
        <v>5558</v>
      </c>
      <c r="B2704" s="485" t="s">
        <v>5559</v>
      </c>
      <c r="C2704" s="482">
        <v>347.0</v>
      </c>
      <c r="D2704" s="482" t="s">
        <v>913</v>
      </c>
      <c r="E2704" s="482" t="s">
        <v>894</v>
      </c>
    </row>
    <row r="2705" customFormat="1" s="36">
      <c r="A2705" s="485" t="s">
        <v>5560</v>
      </c>
      <c r="B2705" s="485" t="s">
        <v>5561</v>
      </c>
      <c r="C2705" s="482">
        <v>302.0</v>
      </c>
      <c r="D2705" s="482" t="s">
        <v>913</v>
      </c>
      <c r="E2705" s="482" t="s">
        <v>894</v>
      </c>
    </row>
    <row r="2706" customFormat="1" s="36">
      <c r="A2706" s="485" t="s">
        <v>5562</v>
      </c>
      <c r="B2706" s="485" t="s">
        <v>5563</v>
      </c>
      <c r="C2706" s="482">
        <v>224.0</v>
      </c>
      <c r="D2706" s="482" t="s">
        <v>913</v>
      </c>
      <c r="E2706" s="482" t="s">
        <v>894</v>
      </c>
    </row>
    <row r="2707" customFormat="1" s="36">
      <c r="A2707" s="485" t="s">
        <v>5564</v>
      </c>
      <c r="B2707" s="485" t="s">
        <v>5565</v>
      </c>
      <c r="C2707" s="482">
        <v>276.0</v>
      </c>
      <c r="D2707" s="482" t="s">
        <v>913</v>
      </c>
      <c r="E2707" s="482" t="s">
        <v>894</v>
      </c>
    </row>
    <row r="2708" customFormat="1" s="36">
      <c r="A2708" s="485" t="s">
        <v>5566</v>
      </c>
      <c r="B2708" s="485" t="s">
        <v>5567</v>
      </c>
      <c r="C2708" s="482">
        <v>405.0</v>
      </c>
      <c r="D2708" s="482" t="s">
        <v>913</v>
      </c>
      <c r="E2708" s="482" t="s">
        <v>894</v>
      </c>
    </row>
    <row r="2709" customFormat="1" s="36">
      <c r="A2709" s="485" t="s">
        <v>5568</v>
      </c>
      <c r="B2709" s="485" t="s">
        <v>5569</v>
      </c>
      <c r="C2709" s="482">
        <v>420.0</v>
      </c>
      <c r="D2709" s="482" t="s">
        <v>913</v>
      </c>
      <c r="E2709" s="482" t="s">
        <v>894</v>
      </c>
    </row>
    <row r="2710" customFormat="1" s="36">
      <c r="A2710" s="485" t="s">
        <v>5570</v>
      </c>
      <c r="B2710" s="485" t="s">
        <v>5571</v>
      </c>
      <c r="C2710" s="482">
        <v>423.0</v>
      </c>
      <c r="D2710" s="482" t="s">
        <v>913</v>
      </c>
      <c r="E2710" s="482" t="s">
        <v>894</v>
      </c>
    </row>
    <row r="2711" customFormat="1" s="36">
      <c r="A2711" s="485" t="s">
        <v>5572</v>
      </c>
      <c r="B2711" s="485" t="s">
        <v>5573</v>
      </c>
      <c r="C2711" s="482">
        <v>390.0</v>
      </c>
      <c r="D2711" s="482" t="s">
        <v>913</v>
      </c>
      <c r="E2711" s="482" t="s">
        <v>894</v>
      </c>
    </row>
    <row r="2712" customFormat="1" s="36">
      <c r="A2712" s="485" t="s">
        <v>5574</v>
      </c>
      <c r="B2712" s="485" t="s">
        <v>5575</v>
      </c>
      <c r="C2712" s="482">
        <v>321.0</v>
      </c>
      <c r="D2712" s="482" t="s">
        <v>913</v>
      </c>
      <c r="E2712" s="482" t="s">
        <v>894</v>
      </c>
    </row>
    <row r="2713" customFormat="1" s="36">
      <c r="A2713" s="485" t="s">
        <v>5576</v>
      </c>
      <c r="B2713" s="485" t="s">
        <v>5577</v>
      </c>
      <c r="C2713" s="482">
        <v>363.0</v>
      </c>
      <c r="D2713" s="482" t="s">
        <v>913</v>
      </c>
      <c r="E2713" s="482" t="s">
        <v>894</v>
      </c>
    </row>
    <row r="2714" customFormat="1" s="36">
      <c r="A2714" s="485" t="s">
        <v>5578</v>
      </c>
      <c r="B2714" s="485" t="s">
        <v>5579</v>
      </c>
      <c r="C2714" s="482">
        <v>0.0</v>
      </c>
      <c r="D2714" s="482" t="s">
        <v>913</v>
      </c>
      <c r="E2714" s="482" t="s">
        <v>1140</v>
      </c>
    </row>
    <row r="2715" customFormat="1" s="36">
      <c r="A2715" s="485" t="s">
        <v>5580</v>
      </c>
      <c r="B2715" s="485" t="s">
        <v>5581</v>
      </c>
      <c r="C2715" s="482">
        <v>7.0</v>
      </c>
      <c r="D2715" s="482" t="s">
        <v>913</v>
      </c>
      <c r="E2715" s="482" t="s">
        <v>1140</v>
      </c>
    </row>
    <row r="2716" customFormat="1" s="36">
      <c r="A2716" s="485" t="s">
        <v>5582</v>
      </c>
      <c r="B2716" s="485" t="s">
        <v>5583</v>
      </c>
      <c r="C2716" s="482">
        <v>0.0</v>
      </c>
      <c r="D2716" s="482" t="s">
        <v>893</v>
      </c>
      <c r="E2716" s="482" t="s">
        <v>894</v>
      </c>
    </row>
    <row r="2717" customFormat="1" s="36">
      <c r="A2717" s="485" t="s">
        <v>5584</v>
      </c>
      <c r="B2717" s="485" t="s">
        <v>5585</v>
      </c>
      <c r="C2717" s="482">
        <v>0.0</v>
      </c>
      <c r="D2717" s="482" t="s">
        <v>893</v>
      </c>
      <c r="E2717" s="482" t="s">
        <v>894</v>
      </c>
    </row>
    <row r="2718" customFormat="1" s="36">
      <c r="A2718" s="485" t="s">
        <v>5586</v>
      </c>
      <c r="B2718" s="485" t="s">
        <v>5587</v>
      </c>
      <c r="C2718" s="482">
        <v>0.0</v>
      </c>
      <c r="D2718" s="482" t="s">
        <v>893</v>
      </c>
      <c r="E2718" s="482" t="s">
        <v>894</v>
      </c>
    </row>
    <row r="2719" customFormat="1" s="36">
      <c r="A2719" s="485" t="s">
        <v>5588</v>
      </c>
      <c r="B2719" s="485" t="s">
        <v>5589</v>
      </c>
      <c r="C2719" s="482">
        <v>0.0</v>
      </c>
      <c r="D2719" s="482" t="s">
        <v>893</v>
      </c>
      <c r="E2719" s="482" t="s">
        <v>894</v>
      </c>
    </row>
    <row r="2720" customFormat="1" s="36">
      <c r="A2720" s="485" t="s">
        <v>5590</v>
      </c>
      <c r="B2720" s="485" t="s">
        <v>5591</v>
      </c>
      <c r="C2720" s="482">
        <v>0.0</v>
      </c>
      <c r="D2720" s="482" t="s">
        <v>893</v>
      </c>
      <c r="E2720" s="482" t="s">
        <v>894</v>
      </c>
    </row>
    <row r="2721" customFormat="1" s="36">
      <c r="A2721" s="485" t="s">
        <v>5592</v>
      </c>
      <c r="B2721" s="485" t="s">
        <v>5593</v>
      </c>
      <c r="C2721" s="482">
        <v>0.0</v>
      </c>
      <c r="D2721" s="482" t="s">
        <v>893</v>
      </c>
      <c r="E2721" s="482" t="s">
        <v>894</v>
      </c>
    </row>
    <row r="2722" customFormat="1" s="36">
      <c r="A2722" s="485" t="s">
        <v>5594</v>
      </c>
      <c r="B2722" s="485" t="s">
        <v>5595</v>
      </c>
      <c r="C2722" s="482">
        <v>0.0</v>
      </c>
      <c r="D2722" s="482" t="s">
        <v>893</v>
      </c>
      <c r="E2722" s="482" t="s">
        <v>894</v>
      </c>
    </row>
    <row r="2723" customFormat="1" s="36">
      <c r="A2723" s="485" t="s">
        <v>5596</v>
      </c>
      <c r="B2723" s="485" t="s">
        <v>5597</v>
      </c>
      <c r="C2723" s="482">
        <v>0.0</v>
      </c>
      <c r="D2723" s="482" t="s">
        <v>893</v>
      </c>
      <c r="E2723" s="482" t="s">
        <v>894</v>
      </c>
    </row>
    <row r="2724" customFormat="1" s="36">
      <c r="A2724" s="485" t="s">
        <v>5598</v>
      </c>
      <c r="B2724" s="485" t="s">
        <v>5599</v>
      </c>
      <c r="C2724" s="482">
        <v>0.0</v>
      </c>
      <c r="D2724" s="482" t="s">
        <v>893</v>
      </c>
      <c r="E2724" s="482" t="s">
        <v>894</v>
      </c>
    </row>
    <row r="2725" customFormat="1" s="36">
      <c r="A2725" s="485" t="s">
        <v>5600</v>
      </c>
      <c r="B2725" s="485" t="s">
        <v>5601</v>
      </c>
      <c r="C2725" s="482">
        <v>0.0</v>
      </c>
      <c r="D2725" s="482" t="s">
        <v>893</v>
      </c>
      <c r="E2725" s="482" t="s">
        <v>894</v>
      </c>
    </row>
    <row r="2726" customFormat="1" s="36">
      <c r="A2726" s="485" t="s">
        <v>5602</v>
      </c>
      <c r="B2726" s="485" t="s">
        <v>5603</v>
      </c>
      <c r="C2726" s="482">
        <v>0.0</v>
      </c>
      <c r="D2726" s="482" t="s">
        <v>893</v>
      </c>
      <c r="E2726" s="482" t="s">
        <v>894</v>
      </c>
    </row>
    <row r="2727" customFormat="1" s="36">
      <c r="A2727" s="485" t="s">
        <v>5604</v>
      </c>
      <c r="B2727" s="485" t="s">
        <v>5605</v>
      </c>
      <c r="C2727" s="482">
        <v>0.0</v>
      </c>
      <c r="D2727" s="482" t="s">
        <v>893</v>
      </c>
      <c r="E2727" s="482" t="s">
        <v>894</v>
      </c>
    </row>
    <row r="2728" customFormat="1" s="36">
      <c r="A2728" s="485" t="s">
        <v>5606</v>
      </c>
      <c r="B2728" s="485" t="s">
        <v>5607</v>
      </c>
      <c r="C2728" s="482">
        <v>0.0</v>
      </c>
      <c r="D2728" s="482" t="s">
        <v>893</v>
      </c>
      <c r="E2728" s="482" t="s">
        <v>894</v>
      </c>
    </row>
    <row r="2729" customFormat="1" s="36">
      <c r="A2729" s="485" t="s">
        <v>5608</v>
      </c>
      <c r="B2729" s="485" t="s">
        <v>5609</v>
      </c>
      <c r="C2729" s="482">
        <v>0.0</v>
      </c>
      <c r="D2729" s="482" t="s">
        <v>893</v>
      </c>
      <c r="E2729" s="482" t="s">
        <v>894</v>
      </c>
    </row>
    <row r="2730" customFormat="1" s="36">
      <c r="A2730" s="485" t="s">
        <v>5610</v>
      </c>
      <c r="B2730" s="485" t="s">
        <v>5611</v>
      </c>
      <c r="C2730" s="482">
        <v>0.0</v>
      </c>
      <c r="D2730" s="482" t="s">
        <v>893</v>
      </c>
      <c r="E2730" s="482" t="s">
        <v>894</v>
      </c>
    </row>
    <row r="2731" customFormat="1" s="36">
      <c r="A2731" s="485" t="s">
        <v>5612</v>
      </c>
      <c r="B2731" s="485" t="s">
        <v>5613</v>
      </c>
      <c r="C2731" s="482">
        <v>0.0</v>
      </c>
      <c r="D2731" s="482" t="s">
        <v>893</v>
      </c>
      <c r="E2731" s="482" t="s">
        <v>894</v>
      </c>
    </row>
    <row r="2732" customFormat="1" s="36">
      <c r="A2732" s="485" t="s">
        <v>5614</v>
      </c>
      <c r="B2732" s="485" t="s">
        <v>5615</v>
      </c>
      <c r="C2732" s="482">
        <v>0.0</v>
      </c>
      <c r="D2732" s="482" t="s">
        <v>893</v>
      </c>
      <c r="E2732" s="482" t="s">
        <v>894</v>
      </c>
    </row>
    <row r="2733" customFormat="1" s="36">
      <c r="A2733" s="485" t="s">
        <v>5616</v>
      </c>
      <c r="B2733" s="485" t="s">
        <v>5617</v>
      </c>
      <c r="C2733" s="482">
        <v>0.0</v>
      </c>
      <c r="D2733" s="482" t="s">
        <v>893</v>
      </c>
      <c r="E2733" s="482" t="s">
        <v>894</v>
      </c>
    </row>
    <row r="2734" customFormat="1" s="36">
      <c r="A2734" s="485" t="s">
        <v>5618</v>
      </c>
      <c r="B2734" s="485" t="s">
        <v>5619</v>
      </c>
      <c r="C2734" s="482">
        <v>0.0</v>
      </c>
      <c r="D2734" s="482" t="s">
        <v>893</v>
      </c>
      <c r="E2734" s="482" t="s">
        <v>894</v>
      </c>
    </row>
    <row r="2735" customFormat="1" s="36">
      <c r="A2735" s="485" t="s">
        <v>5620</v>
      </c>
      <c r="B2735" s="485" t="s">
        <v>5621</v>
      </c>
      <c r="C2735" s="482">
        <v>0.0</v>
      </c>
      <c r="D2735" s="482" t="s">
        <v>893</v>
      </c>
      <c r="E2735" s="482" t="s">
        <v>894</v>
      </c>
    </row>
    <row r="2736" customFormat="1" s="36">
      <c r="A2736" s="485" t="s">
        <v>5622</v>
      </c>
      <c r="B2736" s="485" t="s">
        <v>5623</v>
      </c>
      <c r="C2736" s="482">
        <v>0.0</v>
      </c>
      <c r="D2736" s="482" t="s">
        <v>893</v>
      </c>
      <c r="E2736" s="482" t="s">
        <v>894</v>
      </c>
    </row>
    <row r="2737" customFormat="1" s="36">
      <c r="A2737" s="485" t="s">
        <v>5624</v>
      </c>
      <c r="B2737" s="485" t="s">
        <v>5625</v>
      </c>
      <c r="C2737" s="482">
        <v>0.0</v>
      </c>
      <c r="D2737" s="482" t="s">
        <v>893</v>
      </c>
      <c r="E2737" s="482" t="s">
        <v>894</v>
      </c>
    </row>
    <row r="2738" customFormat="1" s="36">
      <c r="A2738" s="485" t="s">
        <v>5626</v>
      </c>
      <c r="B2738" s="485" t="s">
        <v>5627</v>
      </c>
      <c r="C2738" s="482">
        <v>0.0</v>
      </c>
      <c r="D2738" s="482" t="s">
        <v>893</v>
      </c>
      <c r="E2738" s="482" t="s">
        <v>894</v>
      </c>
    </row>
    <row r="2739" customFormat="1" s="36">
      <c r="A2739" s="485" t="s">
        <v>5628</v>
      </c>
      <c r="B2739" s="485" t="s">
        <v>5629</v>
      </c>
      <c r="C2739" s="482">
        <v>0.0</v>
      </c>
      <c r="D2739" s="482" t="s">
        <v>893</v>
      </c>
      <c r="E2739" s="482" t="s">
        <v>894</v>
      </c>
    </row>
    <row r="2740" customFormat="1" s="36">
      <c r="A2740" s="485" t="s">
        <v>5630</v>
      </c>
      <c r="B2740" s="485" t="s">
        <v>5631</v>
      </c>
      <c r="C2740" s="482">
        <v>0.0</v>
      </c>
      <c r="D2740" s="482" t="s">
        <v>893</v>
      </c>
      <c r="E2740" s="482" t="s">
        <v>894</v>
      </c>
    </row>
    <row r="2741" customFormat="1" s="36">
      <c r="A2741" s="485" t="s">
        <v>5632</v>
      </c>
      <c r="B2741" s="485" t="s">
        <v>5633</v>
      </c>
      <c r="C2741" s="482">
        <v>171.0</v>
      </c>
      <c r="D2741" s="482" t="s">
        <v>913</v>
      </c>
      <c r="E2741" s="482" t="s">
        <v>5634</v>
      </c>
    </row>
    <row r="2742" customFormat="1" s="36">
      <c r="A2742" s="485" t="s">
        <v>5635</v>
      </c>
      <c r="B2742" s="485" t="s">
        <v>5636</v>
      </c>
      <c r="C2742" s="482">
        <v>171.0</v>
      </c>
      <c r="D2742" s="482" t="s">
        <v>913</v>
      </c>
      <c r="E2742" s="482" t="s">
        <v>5634</v>
      </c>
    </row>
    <row r="2743" customFormat="1" s="36">
      <c r="A2743" s="485" t="s">
        <v>5637</v>
      </c>
      <c r="B2743" s="485" t="s">
        <v>5638</v>
      </c>
      <c r="C2743" s="482">
        <v>171.0</v>
      </c>
      <c r="D2743" s="482" t="s">
        <v>913</v>
      </c>
      <c r="E2743" s="482" t="s">
        <v>5634</v>
      </c>
    </row>
    <row r="2744" customFormat="1" s="36">
      <c r="A2744" s="485" t="s">
        <v>5639</v>
      </c>
      <c r="B2744" s="485" t="s">
        <v>5640</v>
      </c>
      <c r="C2744" s="482">
        <v>171.0</v>
      </c>
      <c r="D2744" s="482" t="s">
        <v>913</v>
      </c>
      <c r="E2744" s="482" t="s">
        <v>5634</v>
      </c>
    </row>
    <row r="2745" customFormat="1" s="36">
      <c r="A2745" s="485" t="s">
        <v>5641</v>
      </c>
      <c r="B2745" s="485" t="s">
        <v>5642</v>
      </c>
      <c r="C2745" s="482">
        <v>171.0</v>
      </c>
      <c r="D2745" s="482" t="s">
        <v>913</v>
      </c>
      <c r="E2745" s="482" t="s">
        <v>5634</v>
      </c>
    </row>
    <row r="2746" customFormat="1" s="36">
      <c r="A2746" s="485" t="s">
        <v>5643</v>
      </c>
      <c r="B2746" s="485" t="s">
        <v>5644</v>
      </c>
      <c r="C2746" s="482">
        <v>0.0</v>
      </c>
      <c r="D2746" s="482" t="s">
        <v>893</v>
      </c>
      <c r="E2746" s="482" t="s">
        <v>894</v>
      </c>
    </row>
    <row r="2747" customFormat="1" s="36">
      <c r="A2747" s="485" t="s">
        <v>5645</v>
      </c>
      <c r="B2747" s="485" t="s">
        <v>5646</v>
      </c>
      <c r="C2747" s="482">
        <v>0.0</v>
      </c>
      <c r="D2747" s="482" t="s">
        <v>893</v>
      </c>
      <c r="E2747" s="482" t="s">
        <v>894</v>
      </c>
    </row>
    <row r="2748" customFormat="1" s="36">
      <c r="A2748" s="485" t="s">
        <v>5647</v>
      </c>
      <c r="B2748" s="485" t="s">
        <v>5648</v>
      </c>
      <c r="C2748" s="482">
        <v>0.0</v>
      </c>
      <c r="D2748" s="482" t="s">
        <v>893</v>
      </c>
      <c r="E2748" s="482" t="s">
        <v>1799</v>
      </c>
    </row>
    <row r="2749" customFormat="1" s="36">
      <c r="A2749" s="485" t="s">
        <v>5649</v>
      </c>
      <c r="B2749" s="485" t="s">
        <v>5650</v>
      </c>
      <c r="C2749" s="482">
        <v>0.0</v>
      </c>
      <c r="D2749" s="482" t="s">
        <v>893</v>
      </c>
      <c r="E2749" s="482" t="s">
        <v>1799</v>
      </c>
    </row>
    <row r="2750" customFormat="1" s="36">
      <c r="A2750" s="485" t="s">
        <v>5651</v>
      </c>
      <c r="B2750" s="485" t="s">
        <v>5652</v>
      </c>
      <c r="C2750" s="482">
        <v>0.0</v>
      </c>
      <c r="D2750" s="482" t="s">
        <v>893</v>
      </c>
      <c r="E2750" s="482" t="s">
        <v>1799</v>
      </c>
    </row>
    <row r="2751" customFormat="1" s="36">
      <c r="A2751" s="485" t="s">
        <v>5653</v>
      </c>
      <c r="B2751" s="485" t="s">
        <v>5654</v>
      </c>
      <c r="C2751" s="482">
        <v>0.0</v>
      </c>
      <c r="D2751" s="482" t="s">
        <v>893</v>
      </c>
      <c r="E2751" s="482" t="s">
        <v>1799</v>
      </c>
    </row>
    <row r="2752" customFormat="1" s="36">
      <c r="A2752" s="485" t="s">
        <v>5655</v>
      </c>
      <c r="B2752" s="485" t="s">
        <v>5656</v>
      </c>
      <c r="C2752" s="482">
        <v>0.0</v>
      </c>
      <c r="D2752" s="482" t="s">
        <v>893</v>
      </c>
      <c r="E2752" s="482" t="s">
        <v>894</v>
      </c>
    </row>
    <row r="2753" customFormat="1" s="36">
      <c r="A2753" s="485" t="s">
        <v>5657</v>
      </c>
      <c r="B2753" s="485" t="s">
        <v>5658</v>
      </c>
      <c r="C2753" s="482">
        <v>0.0</v>
      </c>
      <c r="D2753" s="482" t="s">
        <v>893</v>
      </c>
      <c r="E2753" s="482" t="s">
        <v>894</v>
      </c>
    </row>
    <row r="2754" customFormat="1" s="36">
      <c r="A2754" s="485" t="s">
        <v>5659</v>
      </c>
      <c r="B2754" s="485" t="s">
        <v>5660</v>
      </c>
      <c r="C2754" s="482">
        <v>0.0</v>
      </c>
      <c r="D2754" s="482" t="s">
        <v>893</v>
      </c>
      <c r="E2754" s="482" t="s">
        <v>894</v>
      </c>
    </row>
    <row r="2755" customFormat="1" s="36">
      <c r="A2755" s="485" t="s">
        <v>5661</v>
      </c>
      <c r="B2755" s="485" t="s">
        <v>5662</v>
      </c>
      <c r="C2755" s="482">
        <v>20000.0</v>
      </c>
      <c r="D2755" s="482" t="s">
        <v>913</v>
      </c>
      <c r="E2755" s="482" t="s">
        <v>894</v>
      </c>
    </row>
    <row r="2756" customFormat="1" s="36">
      <c r="A2756" s="485" t="s">
        <v>446</v>
      </c>
      <c r="B2756" s="485" t="s">
        <v>445</v>
      </c>
      <c r="C2756" s="482">
        <v>81.0</v>
      </c>
      <c r="D2756" s="482" t="s">
        <v>913</v>
      </c>
      <c r="E2756" s="482" t="s">
        <v>1129</v>
      </c>
    </row>
    <row r="2757" customFormat="1" s="36">
      <c r="A2757" s="485" t="s">
        <v>5663</v>
      </c>
      <c r="B2757" s="485" t="s">
        <v>5664</v>
      </c>
      <c r="C2757" s="482">
        <v>196.2</v>
      </c>
      <c r="D2757" s="482" t="s">
        <v>913</v>
      </c>
      <c r="E2757" s="482" t="s">
        <v>5634</v>
      </c>
    </row>
    <row r="2758" customFormat="1" s="36">
      <c r="A2758" s="485" t="s">
        <v>5665</v>
      </c>
      <c r="B2758" s="485" t="s">
        <v>5666</v>
      </c>
      <c r="C2758" s="482">
        <v>196.2</v>
      </c>
      <c r="D2758" s="482" t="s">
        <v>913</v>
      </c>
      <c r="E2758" s="482" t="s">
        <v>5634</v>
      </c>
    </row>
    <row r="2759" customFormat="1" s="36">
      <c r="A2759" s="485" t="s">
        <v>5667</v>
      </c>
      <c r="B2759" s="485" t="s">
        <v>5668</v>
      </c>
      <c r="C2759" s="482">
        <v>196.2</v>
      </c>
      <c r="D2759" s="482" t="s">
        <v>913</v>
      </c>
      <c r="E2759" s="482" t="s">
        <v>5634</v>
      </c>
    </row>
    <row r="2760" customFormat="1" s="36">
      <c r="A2760" s="485" t="s">
        <v>5669</v>
      </c>
      <c r="B2760" s="485" t="s">
        <v>5670</v>
      </c>
      <c r="C2760" s="482">
        <v>196.2</v>
      </c>
      <c r="D2760" s="482" t="s">
        <v>913</v>
      </c>
      <c r="E2760" s="482" t="s">
        <v>5634</v>
      </c>
    </row>
    <row r="2761" customFormat="1" s="36">
      <c r="A2761" s="485" t="s">
        <v>5671</v>
      </c>
      <c r="B2761" s="485" t="s">
        <v>5672</v>
      </c>
      <c r="C2761" s="482">
        <v>196.2</v>
      </c>
      <c r="D2761" s="482" t="s">
        <v>913</v>
      </c>
      <c r="E2761" s="482" t="s">
        <v>5634</v>
      </c>
    </row>
    <row r="2762" customFormat="1" s="36">
      <c r="A2762" s="485" t="s">
        <v>5673</v>
      </c>
      <c r="B2762" s="485" t="s">
        <v>5674</v>
      </c>
      <c r="C2762" s="482">
        <v>0.0</v>
      </c>
      <c r="D2762" s="482" t="s">
        <v>893</v>
      </c>
      <c r="E2762" s="482" t="s">
        <v>894</v>
      </c>
    </row>
    <row r="2763" customFormat="1" s="36">
      <c r="A2763" s="485" t="s">
        <v>5675</v>
      </c>
      <c r="B2763" s="485" t="s">
        <v>5676</v>
      </c>
      <c r="C2763" s="482">
        <v>300.0</v>
      </c>
      <c r="D2763" s="482" t="s">
        <v>913</v>
      </c>
      <c r="E2763" s="482" t="s">
        <v>894</v>
      </c>
    </row>
    <row r="2764" customFormat="1" s="36">
      <c r="A2764" s="485" t="s">
        <v>5677</v>
      </c>
      <c r="B2764" s="485" t="s">
        <v>5678</v>
      </c>
      <c r="C2764" s="482">
        <v>300.0</v>
      </c>
      <c r="D2764" s="482" t="s">
        <v>913</v>
      </c>
      <c r="E2764" s="482" t="s">
        <v>894</v>
      </c>
    </row>
    <row r="2765" customFormat="1" s="36">
      <c r="A2765" s="485" t="s">
        <v>5679</v>
      </c>
      <c r="B2765" s="485" t="s">
        <v>5680</v>
      </c>
      <c r="C2765" s="482">
        <v>300.0</v>
      </c>
      <c r="D2765" s="482" t="s">
        <v>913</v>
      </c>
      <c r="E2765" s="482" t="s">
        <v>894</v>
      </c>
    </row>
    <row r="2766" customFormat="1" s="36">
      <c r="A2766" s="485" t="s">
        <v>5681</v>
      </c>
      <c r="B2766" s="485" t="s">
        <v>5682</v>
      </c>
      <c r="C2766" s="482">
        <v>0.0</v>
      </c>
      <c r="D2766" s="482" t="s">
        <v>893</v>
      </c>
      <c r="E2766" s="482" t="s">
        <v>894</v>
      </c>
    </row>
    <row r="2767" customFormat="1" s="36">
      <c r="A2767" s="485" t="s">
        <v>5683</v>
      </c>
      <c r="B2767" s="485" t="s">
        <v>5684</v>
      </c>
      <c r="C2767" s="482">
        <v>0.0</v>
      </c>
      <c r="D2767" s="482" t="s">
        <v>893</v>
      </c>
      <c r="E2767" s="482" t="s">
        <v>894</v>
      </c>
    </row>
    <row r="2768" customFormat="1" s="36">
      <c r="A2768" s="485" t="s">
        <v>5685</v>
      </c>
      <c r="B2768" s="485" t="s">
        <v>5686</v>
      </c>
      <c r="C2768" s="482">
        <v>0.0</v>
      </c>
      <c r="D2768" s="482" t="s">
        <v>913</v>
      </c>
      <c r="E2768" s="482" t="s">
        <v>894</v>
      </c>
    </row>
    <row r="2769" customFormat="1" s="36">
      <c r="A2769" s="485" t="s">
        <v>5687</v>
      </c>
      <c r="B2769" s="485" t="s">
        <v>5688</v>
      </c>
      <c r="C2769" s="482">
        <v>0.0</v>
      </c>
      <c r="D2769" s="482" t="s">
        <v>893</v>
      </c>
      <c r="E2769" s="482" t="s">
        <v>894</v>
      </c>
    </row>
    <row r="2770" customFormat="1" s="36">
      <c r="A2770" s="485" t="s">
        <v>5689</v>
      </c>
      <c r="B2770" s="485" t="s">
        <v>5690</v>
      </c>
      <c r="C2770" s="482">
        <v>0.0</v>
      </c>
      <c r="D2770" s="482" t="s">
        <v>893</v>
      </c>
      <c r="E2770" s="482" t="s">
        <v>894</v>
      </c>
    </row>
    <row r="2771" customFormat="1" s="36">
      <c r="A2771" s="485" t="s">
        <v>5691</v>
      </c>
      <c r="B2771" s="485" t="s">
        <v>5692</v>
      </c>
      <c r="C2771" s="482">
        <v>0.0</v>
      </c>
      <c r="D2771" s="482" t="s">
        <v>893</v>
      </c>
      <c r="E2771" s="482" t="s">
        <v>894</v>
      </c>
    </row>
    <row r="2772" customFormat="1" s="36">
      <c r="A2772" s="485" t="s">
        <v>5693</v>
      </c>
      <c r="B2772" s="485" t="s">
        <v>5694</v>
      </c>
      <c r="C2772" s="482">
        <v>0.0</v>
      </c>
      <c r="D2772" s="482" t="s">
        <v>913</v>
      </c>
      <c r="E2772" s="482" t="s">
        <v>1140</v>
      </c>
    </row>
    <row r="2773" customFormat="1" s="36">
      <c r="A2773" s="485" t="s">
        <v>5695</v>
      </c>
      <c r="B2773" s="485" t="s">
        <v>5696</v>
      </c>
      <c r="C2773" s="482">
        <v>161.0</v>
      </c>
      <c r="D2773" s="482" t="s">
        <v>913</v>
      </c>
      <c r="E2773" s="482" t="s">
        <v>1140</v>
      </c>
    </row>
    <row r="2774" customFormat="1" s="36">
      <c r="A2774" s="485" t="s">
        <v>5697</v>
      </c>
      <c r="B2774" s="485" t="s">
        <v>5698</v>
      </c>
      <c r="C2774" s="482">
        <v>504.0</v>
      </c>
      <c r="D2774" s="482" t="s">
        <v>913</v>
      </c>
      <c r="E2774" s="482" t="s">
        <v>1140</v>
      </c>
    </row>
    <row r="2775" customFormat="1" s="36">
      <c r="A2775" s="485" t="s">
        <v>5699</v>
      </c>
      <c r="B2775" s="485" t="s">
        <v>5700</v>
      </c>
      <c r="C2775" s="482">
        <v>5.0</v>
      </c>
      <c r="D2775" s="482" t="s">
        <v>913</v>
      </c>
      <c r="E2775" s="482" t="s">
        <v>1140</v>
      </c>
    </row>
    <row r="2776" customFormat="1" s="36">
      <c r="A2776" s="485" t="s">
        <v>5701</v>
      </c>
      <c r="B2776" s="485" t="s">
        <v>5702</v>
      </c>
      <c r="C2776" s="482">
        <v>0.0</v>
      </c>
      <c r="D2776" s="482" t="s">
        <v>893</v>
      </c>
      <c r="E2776" s="482" t="s">
        <v>894</v>
      </c>
    </row>
    <row r="2777" customFormat="1" s="36">
      <c r="A2777" s="485" t="s">
        <v>5703</v>
      </c>
      <c r="B2777" s="485" t="s">
        <v>5704</v>
      </c>
      <c r="C2777" s="482">
        <v>30.0</v>
      </c>
      <c r="D2777" s="482" t="s">
        <v>913</v>
      </c>
      <c r="E2777" s="482" t="s">
        <v>894</v>
      </c>
    </row>
    <row r="2778" customFormat="1" s="36">
      <c r="A2778" s="485" t="s">
        <v>5705</v>
      </c>
      <c r="B2778" s="485" t="s">
        <v>5706</v>
      </c>
      <c r="C2778" s="482">
        <v>359.0</v>
      </c>
      <c r="D2778" s="482" t="s">
        <v>913</v>
      </c>
      <c r="E2778" s="482" t="s">
        <v>894</v>
      </c>
    </row>
    <row r="2779" customFormat="1" s="36">
      <c r="A2779" s="485" t="s">
        <v>5707</v>
      </c>
      <c r="B2779" s="485" t="s">
        <v>5708</v>
      </c>
      <c r="C2779" s="482">
        <v>503.0</v>
      </c>
      <c r="D2779" s="482" t="s">
        <v>913</v>
      </c>
      <c r="E2779" s="482" t="s">
        <v>894</v>
      </c>
    </row>
    <row r="2780" customFormat="1" s="36">
      <c r="A2780" s="485" t="s">
        <v>5709</v>
      </c>
      <c r="B2780" s="485" t="s">
        <v>5710</v>
      </c>
      <c r="C2780" s="482">
        <v>641.0</v>
      </c>
      <c r="D2780" s="482" t="s">
        <v>913</v>
      </c>
      <c r="E2780" s="482" t="s">
        <v>894</v>
      </c>
    </row>
    <row r="2781" customFormat="1" s="36">
      <c r="A2781" s="485" t="s">
        <v>5711</v>
      </c>
      <c r="B2781" s="485" t="s">
        <v>5712</v>
      </c>
      <c r="C2781" s="482">
        <v>828.0</v>
      </c>
      <c r="D2781" s="482" t="s">
        <v>913</v>
      </c>
      <c r="E2781" s="482" t="s">
        <v>894</v>
      </c>
    </row>
    <row r="2782" customFormat="1" s="36">
      <c r="A2782" s="485" t="s">
        <v>5713</v>
      </c>
      <c r="B2782" s="485" t="s">
        <v>5714</v>
      </c>
      <c r="C2782" s="482">
        <v>968.0</v>
      </c>
      <c r="D2782" s="482" t="s">
        <v>913</v>
      </c>
      <c r="E2782" s="482" t="s">
        <v>894</v>
      </c>
    </row>
    <row r="2783" customFormat="1" s="36">
      <c r="A2783" s="485" t="s">
        <v>5715</v>
      </c>
      <c r="B2783" s="485" t="s">
        <v>5716</v>
      </c>
      <c r="C2783" s="482">
        <v>0.0</v>
      </c>
      <c r="D2783" s="482" t="s">
        <v>893</v>
      </c>
      <c r="E2783" s="482" t="s">
        <v>1140</v>
      </c>
    </row>
    <row r="2784">
      <c r="A2784" s="485" t="s">
        <v>5717</v>
      </c>
      <c r="B2784" s="485" t="s">
        <v>5718</v>
      </c>
      <c r="C2784" s="482">
        <v>-1.0</v>
      </c>
      <c r="D2784" s="482" t="s">
        <v>913</v>
      </c>
    </row>
    <row r="2785" customFormat="1" s="36">
      <c r="A2785" s="485" t="s">
        <v>5719</v>
      </c>
      <c r="B2785" s="485" t="s">
        <v>5720</v>
      </c>
      <c r="C2785" s="482">
        <v>4.0</v>
      </c>
      <c r="D2785" s="482" t="s">
        <v>913</v>
      </c>
      <c r="E2785" s="482" t="s">
        <v>894</v>
      </c>
    </row>
    <row r="2786" customFormat="1" s="36">
      <c r="A2786" s="485" t="s">
        <v>5721</v>
      </c>
      <c r="B2786" s="485" t="s">
        <v>5722</v>
      </c>
      <c r="C2786" s="482">
        <v>0.0</v>
      </c>
      <c r="D2786" s="482" t="s">
        <v>913</v>
      </c>
      <c r="E2786" s="482" t="s">
        <v>894</v>
      </c>
    </row>
    <row r="2787" customFormat="1" s="36">
      <c r="A2787" s="485" t="s">
        <v>5723</v>
      </c>
      <c r="B2787" s="485" t="s">
        <v>5724</v>
      </c>
      <c r="C2787" s="482">
        <v>0.0</v>
      </c>
      <c r="D2787" s="482" t="s">
        <v>893</v>
      </c>
      <c r="E2787" s="482" t="s">
        <v>894</v>
      </c>
    </row>
    <row r="2788" customFormat="1" s="36">
      <c r="A2788" s="485" t="s">
        <v>5725</v>
      </c>
      <c r="B2788" s="485" t="s">
        <v>5726</v>
      </c>
      <c r="C2788" s="482">
        <v>1180.0</v>
      </c>
      <c r="D2788" s="482" t="s">
        <v>913</v>
      </c>
      <c r="E2788" s="482" t="s">
        <v>894</v>
      </c>
    </row>
    <row r="2789" customFormat="1" s="36">
      <c r="A2789" s="485" t="s">
        <v>5727</v>
      </c>
      <c r="B2789" s="485" t="s">
        <v>5728</v>
      </c>
      <c r="C2789" s="482">
        <v>3387.0</v>
      </c>
      <c r="D2789" s="482" t="s">
        <v>913</v>
      </c>
      <c r="E2789" s="482" t="s">
        <v>894</v>
      </c>
    </row>
    <row r="2790" customFormat="1" s="36">
      <c r="A2790" s="485" t="s">
        <v>5729</v>
      </c>
      <c r="B2790" s="485" t="s">
        <v>5730</v>
      </c>
      <c r="C2790" s="482">
        <v>796.0</v>
      </c>
      <c r="D2790" s="482" t="s">
        <v>913</v>
      </c>
      <c r="E2790" s="482" t="s">
        <v>894</v>
      </c>
    </row>
    <row r="2791" customFormat="1" s="36">
      <c r="A2791" s="485" t="s">
        <v>5731</v>
      </c>
      <c r="B2791" s="485" t="s">
        <v>5732</v>
      </c>
      <c r="C2791" s="482">
        <v>4657.0</v>
      </c>
      <c r="D2791" s="482" t="s">
        <v>913</v>
      </c>
      <c r="E2791" s="482" t="s">
        <v>894</v>
      </c>
    </row>
    <row r="2792" customFormat="1" s="36">
      <c r="A2792" s="485" t="s">
        <v>5733</v>
      </c>
      <c r="B2792" s="485" t="s">
        <v>5734</v>
      </c>
      <c r="C2792" s="482">
        <v>4083.0</v>
      </c>
      <c r="D2792" s="482" t="s">
        <v>913</v>
      </c>
      <c r="E2792" s="482" t="s">
        <v>894</v>
      </c>
    </row>
    <row r="2793" customFormat="1" s="36">
      <c r="A2793" s="485" t="s">
        <v>5735</v>
      </c>
      <c r="B2793" s="485" t="s">
        <v>5736</v>
      </c>
      <c r="C2793" s="482">
        <v>1480.0</v>
      </c>
      <c r="D2793" s="482" t="s">
        <v>913</v>
      </c>
      <c r="E2793" s="482" t="s">
        <v>894</v>
      </c>
    </row>
    <row r="2794" customFormat="1" s="36">
      <c r="A2794" s="485" t="s">
        <v>5737</v>
      </c>
      <c r="B2794" s="485" t="s">
        <v>5738</v>
      </c>
      <c r="C2794" s="482">
        <v>1925.0</v>
      </c>
      <c r="D2794" s="482" t="s">
        <v>913</v>
      </c>
      <c r="E2794" s="482" t="s">
        <v>894</v>
      </c>
    </row>
    <row r="2795" customFormat="1" s="36">
      <c r="A2795" s="485" t="s">
        <v>5739</v>
      </c>
      <c r="B2795" s="485" t="s">
        <v>5740</v>
      </c>
      <c r="C2795" s="482">
        <v>1943.0</v>
      </c>
      <c r="D2795" s="482" t="s">
        <v>913</v>
      </c>
      <c r="E2795" s="482" t="s">
        <v>894</v>
      </c>
    </row>
    <row r="2796" customFormat="1" s="36">
      <c r="A2796" s="485" t="s">
        <v>5741</v>
      </c>
      <c r="B2796" s="485" t="s">
        <v>5742</v>
      </c>
      <c r="C2796" s="482">
        <v>791.0</v>
      </c>
      <c r="D2796" s="482" t="s">
        <v>913</v>
      </c>
      <c r="E2796" s="482" t="s">
        <v>894</v>
      </c>
    </row>
    <row r="2797" customFormat="1" s="36">
      <c r="A2797" s="485" t="s">
        <v>5743</v>
      </c>
      <c r="B2797" s="485" t="s">
        <v>5744</v>
      </c>
      <c r="C2797" s="482">
        <v>1327.0</v>
      </c>
      <c r="D2797" s="482" t="s">
        <v>913</v>
      </c>
      <c r="E2797" s="482" t="s">
        <v>894</v>
      </c>
    </row>
    <row r="2798" customFormat="1" s="36">
      <c r="A2798" s="485" t="s">
        <v>5745</v>
      </c>
      <c r="B2798" s="485" t="s">
        <v>5746</v>
      </c>
      <c r="C2798" s="482">
        <v>1005.0</v>
      </c>
      <c r="D2798" s="482" t="s">
        <v>913</v>
      </c>
      <c r="E2798" s="482" t="s">
        <v>894</v>
      </c>
    </row>
    <row r="2799" customFormat="1" s="36">
      <c r="A2799" s="485" t="s">
        <v>5747</v>
      </c>
      <c r="B2799" s="485" t="s">
        <v>5748</v>
      </c>
      <c r="C2799" s="482">
        <v>2215.0</v>
      </c>
      <c r="D2799" s="482" t="s">
        <v>913</v>
      </c>
      <c r="E2799" s="482" t="s">
        <v>894</v>
      </c>
    </row>
    <row r="2800" customFormat="1" s="36">
      <c r="A2800" s="485" t="s">
        <v>5749</v>
      </c>
      <c r="B2800" s="485" t="s">
        <v>5750</v>
      </c>
      <c r="C2800" s="482">
        <v>858.0</v>
      </c>
      <c r="D2800" s="482" t="s">
        <v>913</v>
      </c>
      <c r="E2800" s="482" t="s">
        <v>894</v>
      </c>
    </row>
    <row r="2801" customFormat="1" s="36">
      <c r="A2801" s="485" t="s">
        <v>5751</v>
      </c>
      <c r="B2801" s="485" t="s">
        <v>5752</v>
      </c>
      <c r="C2801" s="482">
        <v>3367.0</v>
      </c>
      <c r="D2801" s="482" t="s">
        <v>913</v>
      </c>
      <c r="E2801" s="482" t="s">
        <v>894</v>
      </c>
    </row>
    <row r="2802" customFormat="1" s="36">
      <c r="A2802" s="485" t="s">
        <v>5753</v>
      </c>
      <c r="B2802" s="485" t="s">
        <v>5754</v>
      </c>
      <c r="C2802" s="482">
        <v>1626.0</v>
      </c>
      <c r="D2802" s="482" t="s">
        <v>913</v>
      </c>
      <c r="E2802" s="482" t="s">
        <v>894</v>
      </c>
    </row>
    <row r="2803" customFormat="1" s="36">
      <c r="A2803" s="485" t="s">
        <v>5755</v>
      </c>
      <c r="B2803" s="485" t="s">
        <v>5756</v>
      </c>
      <c r="C2803" s="482">
        <v>1184.0</v>
      </c>
      <c r="D2803" s="482" t="s">
        <v>913</v>
      </c>
      <c r="E2803" s="482" t="s">
        <v>894</v>
      </c>
    </row>
    <row r="2804" customFormat="1" s="36">
      <c r="A2804" s="485" t="s">
        <v>5757</v>
      </c>
      <c r="B2804" s="485" t="s">
        <v>5758</v>
      </c>
      <c r="C2804" s="482">
        <v>0.0</v>
      </c>
      <c r="D2804" s="482" t="s">
        <v>893</v>
      </c>
      <c r="E2804" s="482" t="s">
        <v>894</v>
      </c>
    </row>
    <row r="2805" customFormat="1" s="36">
      <c r="A2805" s="485" t="s">
        <v>5759</v>
      </c>
      <c r="B2805" s="485" t="s">
        <v>5760</v>
      </c>
      <c r="C2805" s="482">
        <v>1793.0</v>
      </c>
      <c r="D2805" s="482" t="s">
        <v>913</v>
      </c>
      <c r="E2805" s="482" t="s">
        <v>894</v>
      </c>
    </row>
    <row r="2806" customFormat="1" s="36">
      <c r="A2806" s="485" t="s">
        <v>5761</v>
      </c>
      <c r="B2806" s="485" t="s">
        <v>5762</v>
      </c>
      <c r="C2806" s="482">
        <v>1642.0</v>
      </c>
      <c r="D2806" s="482" t="s">
        <v>913</v>
      </c>
      <c r="E2806" s="482" t="s">
        <v>894</v>
      </c>
    </row>
    <row r="2807" customFormat="1" s="36">
      <c r="A2807" s="485" t="s">
        <v>5763</v>
      </c>
      <c r="B2807" s="485" t="s">
        <v>5764</v>
      </c>
      <c r="C2807" s="482">
        <v>1356.0</v>
      </c>
      <c r="D2807" s="482" t="s">
        <v>913</v>
      </c>
      <c r="E2807" s="482" t="s">
        <v>894</v>
      </c>
    </row>
    <row r="2808" customFormat="1" s="36">
      <c r="A2808" s="485" t="s">
        <v>5765</v>
      </c>
      <c r="B2808" s="485" t="s">
        <v>5766</v>
      </c>
      <c r="C2808" s="482">
        <v>2236.0</v>
      </c>
      <c r="D2808" s="482" t="s">
        <v>913</v>
      </c>
      <c r="E2808" s="482" t="s">
        <v>894</v>
      </c>
    </row>
    <row r="2809" customFormat="1" s="36">
      <c r="A2809" s="485" t="s">
        <v>5767</v>
      </c>
      <c r="B2809" s="485" t="s">
        <v>5768</v>
      </c>
      <c r="C2809" s="482">
        <v>5166.0</v>
      </c>
      <c r="D2809" s="482" t="s">
        <v>913</v>
      </c>
      <c r="E2809" s="482" t="s">
        <v>894</v>
      </c>
    </row>
    <row r="2810" customFormat="1" s="36">
      <c r="A2810" s="485" t="s">
        <v>5769</v>
      </c>
      <c r="B2810" s="485" t="s">
        <v>5770</v>
      </c>
      <c r="C2810" s="482">
        <v>1311.0</v>
      </c>
      <c r="D2810" s="482" t="s">
        <v>913</v>
      </c>
      <c r="E2810" s="482" t="s">
        <v>894</v>
      </c>
    </row>
    <row r="2811" customFormat="1" s="36">
      <c r="A2811" s="485" t="s">
        <v>5771</v>
      </c>
      <c r="B2811" s="485" t="s">
        <v>5772</v>
      </c>
      <c r="C2811" s="482">
        <v>0.0</v>
      </c>
      <c r="D2811" s="482" t="s">
        <v>913</v>
      </c>
      <c r="E2811" s="482" t="s">
        <v>894</v>
      </c>
    </row>
    <row r="2812" customFormat="1" s="36">
      <c r="A2812" s="485" t="s">
        <v>5773</v>
      </c>
      <c r="B2812" s="485" t="s">
        <v>5774</v>
      </c>
      <c r="C2812" s="482">
        <v>2.0</v>
      </c>
      <c r="D2812" s="482" t="s">
        <v>913</v>
      </c>
      <c r="E2812" s="482" t="s">
        <v>894</v>
      </c>
    </row>
    <row r="2813" customFormat="1" s="36">
      <c r="A2813" s="485" t="s">
        <v>5775</v>
      </c>
      <c r="B2813" s="485" t="s">
        <v>5776</v>
      </c>
      <c r="C2813" s="482">
        <v>-2.0</v>
      </c>
      <c r="D2813" s="482" t="s">
        <v>913</v>
      </c>
      <c r="E2813" s="482" t="s">
        <v>894</v>
      </c>
    </row>
    <row r="2814" customFormat="1" s="36">
      <c r="A2814" s="485" t="s">
        <v>5777</v>
      </c>
      <c r="B2814" s="485" t="s">
        <v>5778</v>
      </c>
      <c r="C2814" s="482">
        <v>0.0</v>
      </c>
      <c r="D2814" s="482" t="s">
        <v>913</v>
      </c>
      <c r="E2814" s="482" t="s">
        <v>1140</v>
      </c>
    </row>
    <row r="2815" customFormat="1" s="36">
      <c r="A2815" s="485" t="s">
        <v>5779</v>
      </c>
      <c r="B2815" s="485" t="s">
        <v>5780</v>
      </c>
      <c r="C2815" s="482">
        <v>0.0</v>
      </c>
      <c r="D2815" s="482" t="s">
        <v>893</v>
      </c>
      <c r="E2815" s="482" t="s">
        <v>894</v>
      </c>
    </row>
    <row r="2816" customFormat="1" s="36">
      <c r="A2816" s="485" t="s">
        <v>5781</v>
      </c>
      <c r="B2816" s="485" t="s">
        <v>5782</v>
      </c>
      <c r="C2816" s="482">
        <v>0.0</v>
      </c>
      <c r="D2816" s="482" t="s">
        <v>893</v>
      </c>
      <c r="E2816" s="482" t="s">
        <v>894</v>
      </c>
    </row>
    <row r="2817" customFormat="1" s="36">
      <c r="A2817" s="485" t="s">
        <v>5783</v>
      </c>
      <c r="B2817" s="485" t="s">
        <v>5784</v>
      </c>
      <c r="C2817" s="482">
        <v>0.0</v>
      </c>
      <c r="D2817" s="482" t="s">
        <v>893</v>
      </c>
      <c r="E2817" s="482" t="s">
        <v>894</v>
      </c>
    </row>
    <row r="2818" customFormat="1" s="36">
      <c r="A2818" s="485" t="s">
        <v>5785</v>
      </c>
      <c r="B2818" s="485" t="s">
        <v>5786</v>
      </c>
      <c r="C2818" s="482">
        <v>0.0</v>
      </c>
      <c r="D2818" s="482" t="s">
        <v>893</v>
      </c>
      <c r="E2818" s="482" t="s">
        <v>894</v>
      </c>
    </row>
    <row r="2819" customFormat="1" s="36">
      <c r="A2819" s="485" t="s">
        <v>5787</v>
      </c>
      <c r="B2819" s="485" t="s">
        <v>5788</v>
      </c>
      <c r="C2819" s="482">
        <v>0.0</v>
      </c>
      <c r="D2819" s="482" t="s">
        <v>893</v>
      </c>
      <c r="E2819" s="482" t="s">
        <v>894</v>
      </c>
    </row>
    <row r="2820" customFormat="1" s="36">
      <c r="A2820" s="485" t="s">
        <v>5789</v>
      </c>
      <c r="B2820" s="485" t="s">
        <v>5790</v>
      </c>
      <c r="C2820" s="482">
        <v>0.0</v>
      </c>
      <c r="D2820" s="482" t="s">
        <v>893</v>
      </c>
      <c r="E2820" s="482" t="s">
        <v>894</v>
      </c>
    </row>
    <row r="2821" customFormat="1" s="36">
      <c r="A2821" s="485" t="s">
        <v>5791</v>
      </c>
      <c r="B2821" s="485" t="s">
        <v>5792</v>
      </c>
      <c r="C2821" s="482">
        <v>1.0</v>
      </c>
      <c r="D2821" s="482" t="s">
        <v>893</v>
      </c>
      <c r="E2821" s="482" t="s">
        <v>894</v>
      </c>
    </row>
    <row r="2822" customFormat="1" s="36">
      <c r="A2822" s="485" t="s">
        <v>5793</v>
      </c>
      <c r="B2822" s="485" t="s">
        <v>5794</v>
      </c>
      <c r="C2822" s="482">
        <v>0.0</v>
      </c>
      <c r="D2822" s="482" t="s">
        <v>893</v>
      </c>
      <c r="E2822" s="482" t="s">
        <v>894</v>
      </c>
    </row>
    <row r="2823" customFormat="1" s="36">
      <c r="A2823" s="485" t="s">
        <v>5795</v>
      </c>
      <c r="B2823" s="485" t="s">
        <v>5796</v>
      </c>
      <c r="C2823" s="482">
        <v>0.0</v>
      </c>
      <c r="D2823" s="482" t="s">
        <v>893</v>
      </c>
      <c r="E2823" s="482" t="s">
        <v>894</v>
      </c>
    </row>
    <row r="2824" customFormat="1" s="36">
      <c r="A2824" s="485">
        <v>400402.0</v>
      </c>
      <c r="B2824" s="485" t="s">
        <v>5797</v>
      </c>
      <c r="C2824" s="482">
        <v>0.0</v>
      </c>
      <c r="D2824" s="482" t="s">
        <v>893</v>
      </c>
      <c r="E2824" s="482" t="s">
        <v>1799</v>
      </c>
    </row>
    <row r="2825" customFormat="1" s="36">
      <c r="A2825" s="485" t="s">
        <v>5798</v>
      </c>
      <c r="B2825" s="485" t="s">
        <v>5799</v>
      </c>
      <c r="C2825" s="482">
        <v>0.0</v>
      </c>
      <c r="D2825" s="482" t="s">
        <v>893</v>
      </c>
      <c r="E2825" s="482" t="s">
        <v>894</v>
      </c>
    </row>
    <row r="2826" customFormat="1" s="36">
      <c r="A2826" s="485" t="s">
        <v>5800</v>
      </c>
      <c r="B2826" s="485" t="s">
        <v>5801</v>
      </c>
      <c r="C2826" s="482">
        <v>0.0</v>
      </c>
      <c r="D2826" s="482" t="s">
        <v>893</v>
      </c>
      <c r="E2826" s="482" t="s">
        <v>894</v>
      </c>
    </row>
    <row r="2827" customFormat="1" s="36">
      <c r="A2827" s="485" t="s">
        <v>5802</v>
      </c>
      <c r="B2827" s="485" t="s">
        <v>5803</v>
      </c>
      <c r="C2827" s="482">
        <v>0.0</v>
      </c>
      <c r="D2827" s="482" t="s">
        <v>893</v>
      </c>
      <c r="E2827" s="482" t="s">
        <v>894</v>
      </c>
    </row>
    <row r="2828" customFormat="1" s="36">
      <c r="A2828" s="485" t="s">
        <v>5804</v>
      </c>
      <c r="B2828" s="485" t="s">
        <v>5805</v>
      </c>
      <c r="C2828" s="482">
        <v>0.0</v>
      </c>
      <c r="D2828" s="482" t="s">
        <v>893</v>
      </c>
      <c r="E2828" s="482" t="s">
        <v>894</v>
      </c>
    </row>
    <row r="2829" customFormat="1" s="36">
      <c r="A2829" s="485" t="s">
        <v>5806</v>
      </c>
      <c r="B2829" s="485" t="s">
        <v>5807</v>
      </c>
      <c r="C2829" s="482">
        <v>8.0</v>
      </c>
      <c r="D2829" s="482" t="s">
        <v>913</v>
      </c>
      <c r="E2829" s="482" t="s">
        <v>894</v>
      </c>
    </row>
    <row r="2830" customFormat="1" s="36">
      <c r="A2830" s="485" t="s">
        <v>5808</v>
      </c>
      <c r="B2830" s="485" t="s">
        <v>5809</v>
      </c>
      <c r="C2830" s="482">
        <v>183.0</v>
      </c>
      <c r="D2830" s="482" t="s">
        <v>913</v>
      </c>
      <c r="E2830" s="482" t="s">
        <v>894</v>
      </c>
    </row>
    <row r="2831" customFormat="1" s="36">
      <c r="A2831" s="485" t="s">
        <v>5810</v>
      </c>
      <c r="B2831" s="485" t="s">
        <v>5811</v>
      </c>
      <c r="C2831" s="482">
        <v>332.0</v>
      </c>
      <c r="D2831" s="482" t="s">
        <v>913</v>
      </c>
      <c r="E2831" s="482" t="s">
        <v>894</v>
      </c>
    </row>
    <row r="2832" customFormat="1" s="36">
      <c r="A2832" s="485" t="s">
        <v>5812</v>
      </c>
      <c r="B2832" s="485" t="s">
        <v>5813</v>
      </c>
      <c r="C2832" s="482">
        <v>-72.0</v>
      </c>
      <c r="D2832" s="482" t="s">
        <v>913</v>
      </c>
      <c r="E2832" s="482" t="s">
        <v>894</v>
      </c>
    </row>
    <row r="2833" customFormat="1" s="36">
      <c r="A2833" s="485" t="s">
        <v>5814</v>
      </c>
      <c r="B2833" s="485" t="s">
        <v>5815</v>
      </c>
      <c r="C2833" s="482">
        <v>-48.0</v>
      </c>
      <c r="D2833" s="482" t="s">
        <v>913</v>
      </c>
      <c r="E2833" s="482" t="s">
        <v>894</v>
      </c>
    </row>
    <row r="2834" customFormat="1" s="36">
      <c r="A2834" s="485" t="s">
        <v>5816</v>
      </c>
      <c r="B2834" s="485" t="s">
        <v>5817</v>
      </c>
      <c r="C2834" s="482">
        <v>-40.0</v>
      </c>
      <c r="D2834" s="482" t="s">
        <v>913</v>
      </c>
      <c r="E2834" s="482" t="s">
        <v>894</v>
      </c>
    </row>
    <row r="2835" customFormat="1" s="36">
      <c r="A2835" s="485" t="s">
        <v>5818</v>
      </c>
      <c r="B2835" s="485" t="s">
        <v>5819</v>
      </c>
      <c r="C2835" s="482">
        <v>358.0</v>
      </c>
      <c r="D2835" s="482" t="s">
        <v>913</v>
      </c>
      <c r="E2835" s="482" t="s">
        <v>894</v>
      </c>
    </row>
    <row r="2836" customFormat="1" s="36">
      <c r="A2836" s="485" t="s">
        <v>5820</v>
      </c>
      <c r="B2836" s="485" t="s">
        <v>5821</v>
      </c>
      <c r="C2836" s="482">
        <v>156.0</v>
      </c>
      <c r="D2836" s="482" t="s">
        <v>913</v>
      </c>
      <c r="E2836" s="482" t="s">
        <v>894</v>
      </c>
    </row>
    <row r="2837" customFormat="1" s="36">
      <c r="A2837" s="485" t="s">
        <v>5822</v>
      </c>
      <c r="B2837" s="485" t="s">
        <v>5823</v>
      </c>
      <c r="C2837" s="482">
        <v>342.0</v>
      </c>
      <c r="D2837" s="482" t="s">
        <v>913</v>
      </c>
      <c r="E2837" s="482" t="s">
        <v>894</v>
      </c>
    </row>
    <row r="2838" customFormat="1" s="36">
      <c r="A2838" s="485" t="s">
        <v>5824</v>
      </c>
      <c r="B2838" s="485" t="s">
        <v>5825</v>
      </c>
      <c r="C2838" s="482">
        <v>0.0</v>
      </c>
      <c r="D2838" s="482" t="s">
        <v>893</v>
      </c>
      <c r="E2838" s="482" t="s">
        <v>894</v>
      </c>
    </row>
    <row r="2839" customFormat="1" s="36">
      <c r="A2839" s="485" t="s">
        <v>5826</v>
      </c>
      <c r="B2839" s="485" t="s">
        <v>5827</v>
      </c>
      <c r="C2839" s="482">
        <v>0.0</v>
      </c>
      <c r="D2839" s="482" t="s">
        <v>893</v>
      </c>
      <c r="E2839" s="482" t="s">
        <v>894</v>
      </c>
    </row>
    <row r="2840" customFormat="1" s="36">
      <c r="A2840" s="485" t="s">
        <v>5828</v>
      </c>
      <c r="B2840" s="485" t="s">
        <v>5829</v>
      </c>
      <c r="C2840" s="482">
        <v>956.0</v>
      </c>
      <c r="D2840" s="482" t="s">
        <v>913</v>
      </c>
      <c r="E2840" s="482" t="s">
        <v>894</v>
      </c>
    </row>
    <row r="2841" customFormat="1" s="36">
      <c r="A2841" s="485" t="s">
        <v>5830</v>
      </c>
      <c r="B2841" s="485" t="s">
        <v>5831</v>
      </c>
      <c r="C2841" s="482">
        <v>172.0</v>
      </c>
      <c r="D2841" s="482" t="s">
        <v>913</v>
      </c>
      <c r="E2841" s="482" t="s">
        <v>894</v>
      </c>
    </row>
    <row r="2842" customFormat="1" s="36">
      <c r="A2842" s="485" t="s">
        <v>5832</v>
      </c>
      <c r="B2842" s="485" t="s">
        <v>5833</v>
      </c>
      <c r="C2842" s="482">
        <v>463.0</v>
      </c>
      <c r="D2842" s="482" t="s">
        <v>913</v>
      </c>
      <c r="E2842" s="482" t="s">
        <v>894</v>
      </c>
    </row>
    <row r="2843" customFormat="1" s="36">
      <c r="A2843" s="485" t="s">
        <v>5834</v>
      </c>
      <c r="B2843" s="485" t="s">
        <v>5835</v>
      </c>
      <c r="C2843" s="482">
        <v>0.0</v>
      </c>
      <c r="D2843" s="482" t="s">
        <v>893</v>
      </c>
      <c r="E2843" s="482" t="s">
        <v>894</v>
      </c>
    </row>
    <row r="2844" customFormat="1" s="36">
      <c r="A2844" s="485" t="s">
        <v>5836</v>
      </c>
      <c r="B2844" s="485" t="s">
        <v>5837</v>
      </c>
      <c r="C2844" s="482">
        <v>236.0</v>
      </c>
      <c r="D2844" s="482" t="s">
        <v>913</v>
      </c>
      <c r="E2844" s="482" t="s">
        <v>894</v>
      </c>
    </row>
    <row r="2845" customFormat="1" s="36">
      <c r="A2845" s="485" t="s">
        <v>5838</v>
      </c>
      <c r="B2845" s="485" t="s">
        <v>5839</v>
      </c>
      <c r="C2845" s="482">
        <v>-48.0</v>
      </c>
      <c r="D2845" s="482" t="s">
        <v>913</v>
      </c>
      <c r="E2845" s="482" t="s">
        <v>894</v>
      </c>
    </row>
    <row r="2846" customFormat="1" s="36">
      <c r="A2846" s="485" t="s">
        <v>5840</v>
      </c>
      <c r="B2846" s="485" t="s">
        <v>5841</v>
      </c>
      <c r="C2846" s="482">
        <v>-52.0</v>
      </c>
      <c r="D2846" s="482" t="s">
        <v>913</v>
      </c>
      <c r="E2846" s="482" t="s">
        <v>894</v>
      </c>
    </row>
    <row r="2847" customFormat="1" s="36">
      <c r="A2847" s="485" t="s">
        <v>5842</v>
      </c>
      <c r="B2847" s="485" t="s">
        <v>5843</v>
      </c>
      <c r="C2847" s="482">
        <v>-84.0</v>
      </c>
      <c r="D2847" s="482" t="s">
        <v>913</v>
      </c>
      <c r="E2847" s="482" t="s">
        <v>894</v>
      </c>
    </row>
    <row r="2848" customFormat="1" s="36">
      <c r="A2848" s="485" t="s">
        <v>5844</v>
      </c>
      <c r="B2848" s="485" t="s">
        <v>5845</v>
      </c>
      <c r="C2848" s="482">
        <v>0.0</v>
      </c>
      <c r="D2848" s="482" t="s">
        <v>893</v>
      </c>
      <c r="E2848" s="482" t="s">
        <v>894</v>
      </c>
    </row>
    <row r="2849" customFormat="1" s="36">
      <c r="A2849" s="485" t="s">
        <v>5846</v>
      </c>
      <c r="B2849" s="485" t="s">
        <v>5847</v>
      </c>
      <c r="C2849" s="482">
        <v>-68.0</v>
      </c>
      <c r="D2849" s="482" t="s">
        <v>913</v>
      </c>
      <c r="E2849" s="482" t="s">
        <v>894</v>
      </c>
    </row>
    <row r="2850" customFormat="1" s="36">
      <c r="A2850" s="485" t="s">
        <v>5848</v>
      </c>
      <c r="B2850" s="485" t="s">
        <v>5849</v>
      </c>
      <c r="C2850" s="482">
        <v>0.0</v>
      </c>
      <c r="D2850" s="482" t="s">
        <v>913</v>
      </c>
      <c r="E2850" s="482" t="s">
        <v>894</v>
      </c>
    </row>
    <row r="2851" customFormat="1" s="36">
      <c r="A2851" s="485" t="s">
        <v>5850</v>
      </c>
      <c r="B2851" s="485" t="s">
        <v>5851</v>
      </c>
      <c r="C2851" s="482">
        <v>-76.0</v>
      </c>
      <c r="D2851" s="482" t="s">
        <v>913</v>
      </c>
      <c r="E2851" s="482" t="s">
        <v>894</v>
      </c>
    </row>
    <row r="2852" customFormat="1" s="36">
      <c r="A2852" s="485" t="s">
        <v>5852</v>
      </c>
      <c r="B2852" s="485" t="s">
        <v>5853</v>
      </c>
      <c r="C2852" s="482">
        <v>-41.0</v>
      </c>
      <c r="D2852" s="482" t="s">
        <v>913</v>
      </c>
      <c r="E2852" s="482" t="s">
        <v>894</v>
      </c>
    </row>
    <row r="2853" customFormat="1" s="36">
      <c r="A2853" s="485" t="s">
        <v>5854</v>
      </c>
      <c r="B2853" s="485" t="s">
        <v>5855</v>
      </c>
      <c r="C2853" s="482">
        <v>64.0</v>
      </c>
      <c r="D2853" s="482" t="s">
        <v>913</v>
      </c>
      <c r="E2853" s="482" t="s">
        <v>894</v>
      </c>
    </row>
    <row r="2854" customFormat="1" s="36">
      <c r="A2854" s="485" t="s">
        <v>5856</v>
      </c>
      <c r="B2854" s="485" t="s">
        <v>5857</v>
      </c>
      <c r="C2854" s="482">
        <v>449.0</v>
      </c>
      <c r="D2854" s="482" t="s">
        <v>913</v>
      </c>
      <c r="E2854" s="482" t="s">
        <v>894</v>
      </c>
    </row>
    <row r="2855" customFormat="1" s="36">
      <c r="A2855" s="485" t="s">
        <v>5858</v>
      </c>
      <c r="B2855" s="485" t="s">
        <v>5859</v>
      </c>
      <c r="C2855" s="482">
        <v>227.0</v>
      </c>
      <c r="D2855" s="482" t="s">
        <v>913</v>
      </c>
      <c r="E2855" s="482" t="s">
        <v>894</v>
      </c>
    </row>
    <row r="2856" customFormat="1" s="36">
      <c r="A2856" s="485" t="s">
        <v>5860</v>
      </c>
      <c r="B2856" s="485" t="s">
        <v>5861</v>
      </c>
      <c r="C2856" s="482">
        <v>259.0</v>
      </c>
      <c r="D2856" s="482" t="s">
        <v>913</v>
      </c>
      <c r="E2856" s="482" t="s">
        <v>894</v>
      </c>
    </row>
    <row r="2857" customFormat="1" s="36">
      <c r="A2857" s="485" t="s">
        <v>5862</v>
      </c>
      <c r="B2857" s="485" t="s">
        <v>5863</v>
      </c>
      <c r="C2857" s="482">
        <v>414.0</v>
      </c>
      <c r="D2857" s="482" t="s">
        <v>913</v>
      </c>
      <c r="E2857" s="482" t="s">
        <v>894</v>
      </c>
    </row>
    <row r="2858" customFormat="1" s="36">
      <c r="A2858" s="485" t="s">
        <v>5864</v>
      </c>
      <c r="B2858" s="485" t="s">
        <v>5865</v>
      </c>
      <c r="C2858" s="482">
        <v>0.0</v>
      </c>
      <c r="D2858" s="482" t="s">
        <v>893</v>
      </c>
      <c r="E2858" s="482" t="s">
        <v>894</v>
      </c>
    </row>
    <row r="2859" customFormat="1" s="36">
      <c r="A2859" s="485" t="s">
        <v>5866</v>
      </c>
      <c r="B2859" s="485" t="s">
        <v>5867</v>
      </c>
      <c r="C2859" s="482">
        <v>0.0</v>
      </c>
      <c r="D2859" s="482" t="s">
        <v>893</v>
      </c>
      <c r="E2859" s="482" t="s">
        <v>894</v>
      </c>
    </row>
    <row r="2860" customFormat="1" s="36">
      <c r="A2860" s="485" t="s">
        <v>5868</v>
      </c>
      <c r="B2860" s="485" t="s">
        <v>5869</v>
      </c>
      <c r="C2860" s="482">
        <v>0.0</v>
      </c>
      <c r="D2860" s="482" t="s">
        <v>893</v>
      </c>
      <c r="E2860" s="482" t="s">
        <v>894</v>
      </c>
    </row>
    <row r="2861" customFormat="1" s="36">
      <c r="A2861" s="485" t="s">
        <v>5870</v>
      </c>
      <c r="B2861" s="485" t="s">
        <v>5871</v>
      </c>
      <c r="C2861" s="482">
        <v>0.0</v>
      </c>
      <c r="D2861" s="482" t="s">
        <v>893</v>
      </c>
      <c r="E2861" s="482" t="s">
        <v>894</v>
      </c>
    </row>
    <row r="2862" customFormat="1" s="36">
      <c r="A2862" s="485" t="s">
        <v>5872</v>
      </c>
      <c r="B2862" s="485" t="s">
        <v>5873</v>
      </c>
      <c r="C2862" s="482">
        <v>0.0</v>
      </c>
      <c r="D2862" s="482" t="s">
        <v>893</v>
      </c>
      <c r="E2862" s="482" t="s">
        <v>894</v>
      </c>
    </row>
    <row r="2863" customFormat="1" s="36">
      <c r="A2863" s="485" t="s">
        <v>5874</v>
      </c>
      <c r="B2863" s="485" t="s">
        <v>5875</v>
      </c>
      <c r="C2863" s="482">
        <v>237.0</v>
      </c>
      <c r="D2863" s="482" t="s">
        <v>913</v>
      </c>
      <c r="E2863" s="482" t="s">
        <v>894</v>
      </c>
    </row>
    <row r="2864" customFormat="1" s="36">
      <c r="A2864" s="485" t="s">
        <v>5876</v>
      </c>
      <c r="B2864" s="485" t="s">
        <v>5877</v>
      </c>
      <c r="C2864" s="482">
        <v>0.0</v>
      </c>
      <c r="D2864" s="482" t="s">
        <v>893</v>
      </c>
      <c r="E2864" s="482" t="s">
        <v>894</v>
      </c>
    </row>
    <row r="2865" customFormat="1" s="36">
      <c r="A2865" s="485" t="s">
        <v>5878</v>
      </c>
      <c r="B2865" s="485" t="s">
        <v>5879</v>
      </c>
      <c r="C2865" s="482">
        <v>0.0</v>
      </c>
      <c r="D2865" s="482" t="s">
        <v>893</v>
      </c>
      <c r="E2865" s="482" t="s">
        <v>894</v>
      </c>
    </row>
    <row r="2866" customFormat="1" s="36">
      <c r="A2866" s="485" t="s">
        <v>5880</v>
      </c>
      <c r="B2866" s="485" t="s">
        <v>5881</v>
      </c>
      <c r="C2866" s="482">
        <v>432.0</v>
      </c>
      <c r="D2866" s="482" t="s">
        <v>913</v>
      </c>
      <c r="E2866" s="482" t="s">
        <v>894</v>
      </c>
    </row>
    <row r="2867" customFormat="1" s="36">
      <c r="A2867" s="485" t="s">
        <v>5882</v>
      </c>
      <c r="B2867" s="485" t="s">
        <v>5883</v>
      </c>
      <c r="C2867" s="482">
        <v>-45.0</v>
      </c>
      <c r="D2867" s="482" t="s">
        <v>913</v>
      </c>
      <c r="E2867" s="482" t="s">
        <v>894</v>
      </c>
    </row>
    <row r="2868" customFormat="1" s="36">
      <c r="A2868" s="485" t="s">
        <v>5884</v>
      </c>
      <c r="B2868" s="485" t="s">
        <v>5885</v>
      </c>
      <c r="C2868" s="482">
        <v>140.0</v>
      </c>
      <c r="D2868" s="482" t="s">
        <v>913</v>
      </c>
      <c r="E2868" s="482" t="s">
        <v>894</v>
      </c>
    </row>
    <row r="2869" customFormat="1" s="36">
      <c r="A2869" s="485" t="s">
        <v>5886</v>
      </c>
      <c r="B2869" s="485" t="s">
        <v>5887</v>
      </c>
      <c r="C2869" s="482">
        <v>143.0</v>
      </c>
      <c r="D2869" s="482" t="s">
        <v>913</v>
      </c>
      <c r="E2869" s="482" t="s">
        <v>894</v>
      </c>
    </row>
    <row r="2870" customFormat="1" s="36">
      <c r="A2870" s="485" t="s">
        <v>5888</v>
      </c>
      <c r="B2870" s="485" t="s">
        <v>5889</v>
      </c>
      <c r="C2870" s="482">
        <v>112.0</v>
      </c>
      <c r="D2870" s="482" t="s">
        <v>913</v>
      </c>
      <c r="E2870" s="482" t="s">
        <v>894</v>
      </c>
    </row>
    <row r="2871" customFormat="1" s="36">
      <c r="A2871" s="485" t="s">
        <v>5890</v>
      </c>
      <c r="B2871" s="485" t="s">
        <v>5891</v>
      </c>
      <c r="C2871" s="482">
        <v>0.0</v>
      </c>
      <c r="D2871" s="482" t="s">
        <v>893</v>
      </c>
      <c r="E2871" s="482" t="s">
        <v>894</v>
      </c>
    </row>
    <row r="2872" customFormat="1" s="36">
      <c r="A2872" s="485" t="s">
        <v>5892</v>
      </c>
      <c r="B2872" s="485" t="s">
        <v>5893</v>
      </c>
      <c r="C2872" s="482">
        <v>0.0</v>
      </c>
      <c r="D2872" s="482" t="s">
        <v>893</v>
      </c>
      <c r="E2872" s="482" t="s">
        <v>894</v>
      </c>
    </row>
    <row r="2873" customFormat="1" s="36">
      <c r="A2873" s="485" t="s">
        <v>5894</v>
      </c>
      <c r="B2873" s="485" t="s">
        <v>5895</v>
      </c>
      <c r="C2873" s="482">
        <v>3.0</v>
      </c>
      <c r="D2873" s="482" t="s">
        <v>913</v>
      </c>
      <c r="E2873" s="482" t="s">
        <v>894</v>
      </c>
    </row>
    <row r="2874" customFormat="1" s="36">
      <c r="A2874" s="485" t="s">
        <v>5896</v>
      </c>
      <c r="B2874" s="485" t="s">
        <v>5897</v>
      </c>
      <c r="C2874" s="482">
        <v>0.0</v>
      </c>
      <c r="D2874" s="482" t="s">
        <v>893</v>
      </c>
      <c r="E2874" s="482" t="s">
        <v>894</v>
      </c>
    </row>
    <row r="2875" customFormat="1" s="36">
      <c r="A2875" s="485" t="s">
        <v>5898</v>
      </c>
      <c r="B2875" s="485" t="s">
        <v>5899</v>
      </c>
      <c r="C2875" s="482">
        <v>0.0</v>
      </c>
      <c r="D2875" s="482" t="s">
        <v>893</v>
      </c>
      <c r="E2875" s="482" t="s">
        <v>894</v>
      </c>
    </row>
    <row r="2876" customFormat="1" s="36">
      <c r="A2876" s="485" t="s">
        <v>5900</v>
      </c>
      <c r="B2876" s="485" t="s">
        <v>5901</v>
      </c>
      <c r="C2876" s="482">
        <v>0.0</v>
      </c>
      <c r="D2876" s="482" t="s">
        <v>893</v>
      </c>
      <c r="E2876" s="482" t="s">
        <v>894</v>
      </c>
    </row>
    <row r="2877" customFormat="1" s="36">
      <c r="A2877" s="485" t="s">
        <v>5902</v>
      </c>
      <c r="B2877" s="485" t="s">
        <v>5903</v>
      </c>
      <c r="C2877" s="482">
        <v>2.0</v>
      </c>
      <c r="D2877" s="482" t="s">
        <v>913</v>
      </c>
      <c r="E2877" s="482" t="s">
        <v>894</v>
      </c>
    </row>
    <row r="2878" customFormat="1" s="36">
      <c r="A2878" s="485" t="s">
        <v>5904</v>
      </c>
      <c r="B2878" s="485" t="s">
        <v>5905</v>
      </c>
      <c r="C2878" s="482">
        <v>0.0</v>
      </c>
      <c r="D2878" s="482" t="s">
        <v>893</v>
      </c>
      <c r="E2878" s="482" t="s">
        <v>894</v>
      </c>
    </row>
    <row r="2879" customFormat="1" s="36">
      <c r="A2879" s="485" t="s">
        <v>5906</v>
      </c>
      <c r="B2879" s="485" t="s">
        <v>5907</v>
      </c>
      <c r="C2879" s="482">
        <v>0.0</v>
      </c>
      <c r="D2879" s="482" t="s">
        <v>893</v>
      </c>
      <c r="E2879" s="482" t="s">
        <v>894</v>
      </c>
    </row>
    <row r="2880" customFormat="1" s="36">
      <c r="A2880" s="485" t="s">
        <v>5908</v>
      </c>
      <c r="B2880" s="485" t="s">
        <v>5909</v>
      </c>
      <c r="C2880" s="482">
        <v>1.0</v>
      </c>
      <c r="D2880" s="482" t="s">
        <v>913</v>
      </c>
      <c r="E2880" s="482" t="s">
        <v>894</v>
      </c>
    </row>
    <row r="2881" customFormat="1" s="36">
      <c r="A2881" s="485" t="s">
        <v>5910</v>
      </c>
      <c r="B2881" s="485" t="s">
        <v>5911</v>
      </c>
      <c r="C2881" s="482">
        <v>0.0</v>
      </c>
      <c r="D2881" s="482" t="s">
        <v>893</v>
      </c>
      <c r="E2881" s="482" t="s">
        <v>894</v>
      </c>
    </row>
    <row r="2882" customFormat="1" s="36">
      <c r="A2882" s="485" t="s">
        <v>5912</v>
      </c>
      <c r="B2882" s="485" t="s">
        <v>5913</v>
      </c>
      <c r="C2882" s="482">
        <v>0.0</v>
      </c>
      <c r="D2882" s="482" t="s">
        <v>893</v>
      </c>
      <c r="E2882" s="482" t="s">
        <v>894</v>
      </c>
    </row>
    <row r="2883" customFormat="1" s="36">
      <c r="A2883" s="485" t="s">
        <v>5914</v>
      </c>
      <c r="B2883" s="485" t="s">
        <v>5915</v>
      </c>
      <c r="C2883" s="482">
        <v>0.0</v>
      </c>
      <c r="D2883" s="482" t="s">
        <v>913</v>
      </c>
      <c r="E2883" s="482" t="s">
        <v>894</v>
      </c>
    </row>
    <row r="2884" customFormat="1" s="36">
      <c r="A2884" s="485" t="s">
        <v>5916</v>
      </c>
      <c r="B2884" s="485" t="s">
        <v>5917</v>
      </c>
      <c r="C2884" s="482">
        <v>2.0</v>
      </c>
      <c r="D2884" s="482" t="s">
        <v>913</v>
      </c>
      <c r="E2884" s="482" t="s">
        <v>894</v>
      </c>
    </row>
    <row r="2885" customFormat="1" s="36">
      <c r="A2885" s="485" t="s">
        <v>5918</v>
      </c>
      <c r="B2885" s="485" t="s">
        <v>5919</v>
      </c>
      <c r="C2885" s="482">
        <v>1.0</v>
      </c>
      <c r="D2885" s="482" t="s">
        <v>913</v>
      </c>
      <c r="E2885" s="482" t="s">
        <v>894</v>
      </c>
    </row>
    <row r="2886" customFormat="1" s="36">
      <c r="A2886" s="485" t="s">
        <v>5920</v>
      </c>
      <c r="B2886" s="485" t="s">
        <v>5921</v>
      </c>
      <c r="C2886" s="482">
        <v>0.0</v>
      </c>
      <c r="D2886" s="482" t="s">
        <v>893</v>
      </c>
      <c r="E2886" s="482" t="s">
        <v>894</v>
      </c>
    </row>
    <row r="2887" customFormat="1" s="36">
      <c r="A2887" s="485" t="s">
        <v>5922</v>
      </c>
      <c r="B2887" s="485" t="s">
        <v>5923</v>
      </c>
      <c r="C2887" s="482">
        <v>0.0</v>
      </c>
      <c r="D2887" s="482" t="s">
        <v>913</v>
      </c>
      <c r="E2887" s="482" t="s">
        <v>894</v>
      </c>
    </row>
    <row r="2888" customFormat="1" s="36">
      <c r="A2888" s="485" t="s">
        <v>5924</v>
      </c>
      <c r="B2888" s="485" t="s">
        <v>5925</v>
      </c>
      <c r="C2888" s="482">
        <v>-2.0</v>
      </c>
      <c r="D2888" s="482" t="s">
        <v>913</v>
      </c>
      <c r="E2888" s="482" t="s">
        <v>894</v>
      </c>
    </row>
    <row r="2889" customFormat="1" s="36">
      <c r="A2889" s="485" t="s">
        <v>5926</v>
      </c>
      <c r="B2889" s="485" t="s">
        <v>5927</v>
      </c>
      <c r="C2889" s="482">
        <v>0.0</v>
      </c>
      <c r="D2889" s="482" t="s">
        <v>913</v>
      </c>
      <c r="E2889" s="482" t="s">
        <v>894</v>
      </c>
    </row>
    <row r="2890" customFormat="1" s="36">
      <c r="A2890" s="485" t="s">
        <v>5928</v>
      </c>
      <c r="B2890" s="485" t="s">
        <v>5929</v>
      </c>
      <c r="C2890" s="482">
        <v>-2.0</v>
      </c>
      <c r="D2890" s="482" t="s">
        <v>913</v>
      </c>
      <c r="E2890" s="482" t="s">
        <v>894</v>
      </c>
    </row>
    <row r="2891" customFormat="1" s="36">
      <c r="A2891" s="485">
        <v>5111.0</v>
      </c>
      <c r="B2891" s="485" t="s">
        <v>5930</v>
      </c>
      <c r="C2891" s="482">
        <v>0.0</v>
      </c>
      <c r="D2891" s="482" t="s">
        <v>893</v>
      </c>
      <c r="E2891" s="482" t="s">
        <v>894</v>
      </c>
    </row>
    <row r="2892" customFormat="1" s="36">
      <c r="A2892" s="485">
        <v>5107.0</v>
      </c>
      <c r="B2892" s="485" t="s">
        <v>5931</v>
      </c>
      <c r="C2892" s="482">
        <v>0.0</v>
      </c>
      <c r="D2892" s="482" t="s">
        <v>893</v>
      </c>
      <c r="E2892" s="482" t="s">
        <v>894</v>
      </c>
    </row>
    <row r="2893" customFormat="1" s="36">
      <c r="A2893" s="485">
        <v>5113.0</v>
      </c>
      <c r="B2893" s="485" t="s">
        <v>5932</v>
      </c>
      <c r="C2893" s="482">
        <v>0.0</v>
      </c>
      <c r="D2893" s="482" t="s">
        <v>893</v>
      </c>
      <c r="E2893" s="482" t="s">
        <v>894</v>
      </c>
    </row>
    <row r="2894" customFormat="1" s="36">
      <c r="A2894" s="485">
        <v>5102.0</v>
      </c>
      <c r="B2894" s="485" t="s">
        <v>5933</v>
      </c>
      <c r="C2894" s="482">
        <v>0.0</v>
      </c>
      <c r="D2894" s="482" t="s">
        <v>893</v>
      </c>
      <c r="E2894" s="482" t="s">
        <v>894</v>
      </c>
    </row>
    <row r="2895" customFormat="1" s="36">
      <c r="A2895" s="485">
        <v>5101.0</v>
      </c>
      <c r="B2895" s="485" t="s">
        <v>5934</v>
      </c>
      <c r="C2895" s="482">
        <v>0.0</v>
      </c>
      <c r="D2895" s="482" t="s">
        <v>893</v>
      </c>
      <c r="E2895" s="482" t="s">
        <v>894</v>
      </c>
    </row>
    <row r="2896" customFormat="1" s="36">
      <c r="A2896" s="485">
        <v>5108.0</v>
      </c>
      <c r="B2896" s="485" t="s">
        <v>5935</v>
      </c>
      <c r="C2896" s="482">
        <v>0.0</v>
      </c>
      <c r="D2896" s="482" t="s">
        <v>893</v>
      </c>
      <c r="E2896" s="482" t="s">
        <v>894</v>
      </c>
    </row>
    <row r="2897" customFormat="1" s="36">
      <c r="A2897" s="485">
        <v>5115.0</v>
      </c>
      <c r="B2897" s="485" t="s">
        <v>5936</v>
      </c>
      <c r="C2897" s="482">
        <v>0.0</v>
      </c>
      <c r="D2897" s="482" t="s">
        <v>893</v>
      </c>
      <c r="E2897" s="482" t="s">
        <v>894</v>
      </c>
    </row>
    <row r="2898" customFormat="1" s="36">
      <c r="A2898" s="485">
        <v>5109.0</v>
      </c>
      <c r="B2898" s="485" t="s">
        <v>5937</v>
      </c>
      <c r="C2898" s="482">
        <v>0.0</v>
      </c>
      <c r="D2898" s="482" t="s">
        <v>893</v>
      </c>
      <c r="E2898" s="482" t="s">
        <v>894</v>
      </c>
    </row>
    <row r="2899" customFormat="1" s="36">
      <c r="A2899" s="485">
        <v>5103.0</v>
      </c>
      <c r="B2899" s="485" t="s">
        <v>5938</v>
      </c>
      <c r="C2899" s="482">
        <v>0.0</v>
      </c>
      <c r="D2899" s="482" t="s">
        <v>893</v>
      </c>
      <c r="E2899" s="482" t="s">
        <v>894</v>
      </c>
    </row>
    <row r="2900" customFormat="1" s="36">
      <c r="A2900" s="485" t="s">
        <v>5939</v>
      </c>
      <c r="B2900" s="485" t="s">
        <v>5940</v>
      </c>
      <c r="C2900" s="482">
        <v>0.0</v>
      </c>
      <c r="D2900" s="482" t="s">
        <v>893</v>
      </c>
      <c r="E2900" s="482" t="s">
        <v>894</v>
      </c>
    </row>
    <row r="2901" customFormat="1" s="36">
      <c r="A2901" s="485" t="s">
        <v>5941</v>
      </c>
      <c r="B2901" s="485" t="s">
        <v>5942</v>
      </c>
      <c r="C2901" s="482">
        <v>0.0</v>
      </c>
      <c r="D2901" s="482" t="s">
        <v>893</v>
      </c>
      <c r="E2901" s="482" t="s">
        <v>894</v>
      </c>
    </row>
    <row r="2902" customFormat="1" s="36">
      <c r="A2902" s="485" t="s">
        <v>5943</v>
      </c>
      <c r="B2902" s="485" t="s">
        <v>5944</v>
      </c>
      <c r="C2902" s="482">
        <v>0.0</v>
      </c>
      <c r="D2902" s="482" t="s">
        <v>913</v>
      </c>
      <c r="E2902" s="482" t="s">
        <v>894</v>
      </c>
    </row>
    <row r="2903" customFormat="1" s="36">
      <c r="A2903" s="485" t="s">
        <v>5945</v>
      </c>
      <c r="B2903" s="485" t="s">
        <v>5946</v>
      </c>
      <c r="C2903" s="482">
        <v>0.0</v>
      </c>
      <c r="D2903" s="482" t="s">
        <v>913</v>
      </c>
      <c r="E2903" s="482" t="s">
        <v>894</v>
      </c>
    </row>
    <row r="2904" customFormat="1" s="36">
      <c r="A2904" s="485" t="s">
        <v>5947</v>
      </c>
      <c r="B2904" s="485" t="s">
        <v>5948</v>
      </c>
      <c r="C2904" s="482">
        <v>0.0</v>
      </c>
      <c r="D2904" s="482" t="s">
        <v>913</v>
      </c>
      <c r="E2904" s="482" t="s">
        <v>894</v>
      </c>
    </row>
    <row r="2905" customFormat="1" s="36">
      <c r="A2905" s="485" t="s">
        <v>5949</v>
      </c>
      <c r="B2905" s="485" t="s">
        <v>5950</v>
      </c>
      <c r="C2905" s="482">
        <v>0.0</v>
      </c>
      <c r="D2905" s="482" t="s">
        <v>913</v>
      </c>
      <c r="E2905" s="482" t="s">
        <v>894</v>
      </c>
    </row>
    <row r="2906" customFormat="1" s="36">
      <c r="A2906" s="485" t="s">
        <v>5951</v>
      </c>
      <c r="B2906" s="485" t="s">
        <v>5952</v>
      </c>
      <c r="C2906" s="482">
        <v>0.0</v>
      </c>
      <c r="D2906" s="482" t="s">
        <v>913</v>
      </c>
      <c r="E2906" s="482" t="s">
        <v>894</v>
      </c>
    </row>
    <row r="2907" customFormat="1" s="36">
      <c r="A2907" s="485" t="s">
        <v>5953</v>
      </c>
      <c r="B2907" s="485" t="s">
        <v>5954</v>
      </c>
      <c r="C2907" s="482">
        <v>0.0</v>
      </c>
      <c r="D2907" s="482" t="s">
        <v>913</v>
      </c>
      <c r="E2907" s="482" t="s">
        <v>894</v>
      </c>
    </row>
    <row r="2908" customFormat="1" s="36">
      <c r="A2908" s="485" t="s">
        <v>5955</v>
      </c>
      <c r="B2908" s="485" t="s">
        <v>5956</v>
      </c>
      <c r="C2908" s="482">
        <v>0.0</v>
      </c>
      <c r="D2908" s="482" t="s">
        <v>893</v>
      </c>
      <c r="E2908" s="482" t="s">
        <v>894</v>
      </c>
    </row>
    <row r="2909" customFormat="1" s="36">
      <c r="A2909" s="485" t="s">
        <v>5957</v>
      </c>
      <c r="B2909" s="485" t="s">
        <v>5958</v>
      </c>
      <c r="C2909" s="482">
        <v>0.0</v>
      </c>
      <c r="D2909" s="482" t="s">
        <v>913</v>
      </c>
      <c r="E2909" s="482" t="s">
        <v>1140</v>
      </c>
    </row>
    <row r="2910" customFormat="1" s="36">
      <c r="A2910" s="485" t="s">
        <v>338</v>
      </c>
      <c r="B2910" s="485" t="s">
        <v>337</v>
      </c>
      <c r="C2910" s="482">
        <v>402.0</v>
      </c>
      <c r="D2910" s="482" t="s">
        <v>913</v>
      </c>
      <c r="E2910" s="482" t="s">
        <v>894</v>
      </c>
    </row>
    <row r="2911" customFormat="1" s="36">
      <c r="A2911" s="485" t="s">
        <v>5959</v>
      </c>
      <c r="B2911" s="485" t="s">
        <v>5960</v>
      </c>
      <c r="C2911" s="482">
        <v>-51.0</v>
      </c>
      <c r="D2911" s="482" t="s">
        <v>913</v>
      </c>
      <c r="E2911" s="482" t="s">
        <v>894</v>
      </c>
    </row>
    <row r="2912" customFormat="1" s="36">
      <c r="A2912" s="485" t="s">
        <v>325</v>
      </c>
      <c r="B2912" s="485" t="s">
        <v>324</v>
      </c>
      <c r="C2912" s="482">
        <v>878.0</v>
      </c>
      <c r="D2912" s="482" t="s">
        <v>913</v>
      </c>
      <c r="E2912" s="482" t="s">
        <v>894</v>
      </c>
    </row>
    <row r="2913" customFormat="1" s="36">
      <c r="A2913" s="485" t="s">
        <v>340</v>
      </c>
      <c r="B2913" s="485" t="s">
        <v>339</v>
      </c>
      <c r="C2913" s="482">
        <v>980.0</v>
      </c>
      <c r="D2913" s="482" t="s">
        <v>913</v>
      </c>
      <c r="E2913" s="482" t="s">
        <v>894</v>
      </c>
    </row>
    <row r="2914" customFormat="1" s="36">
      <c r="A2914" s="485" t="s">
        <v>329</v>
      </c>
      <c r="B2914" s="485" t="s">
        <v>328</v>
      </c>
      <c r="C2914" s="482">
        <v>26.0</v>
      </c>
      <c r="D2914" s="482" t="s">
        <v>913</v>
      </c>
      <c r="E2914" s="482" t="s">
        <v>894</v>
      </c>
    </row>
    <row r="2915" customFormat="1" s="36">
      <c r="A2915" s="485" t="s">
        <v>327</v>
      </c>
      <c r="B2915" s="485" t="s">
        <v>326</v>
      </c>
      <c r="C2915" s="482">
        <v>629.0</v>
      </c>
      <c r="D2915" s="482" t="s">
        <v>913</v>
      </c>
      <c r="E2915" s="482" t="s">
        <v>894</v>
      </c>
    </row>
    <row r="2916" customFormat="1" s="36">
      <c r="A2916" s="485" t="s">
        <v>5961</v>
      </c>
      <c r="B2916" s="485" t="s">
        <v>5962</v>
      </c>
      <c r="C2916" s="482">
        <v>-75.0</v>
      </c>
      <c r="D2916" s="482" t="s">
        <v>913</v>
      </c>
      <c r="E2916" s="482" t="s">
        <v>894</v>
      </c>
    </row>
    <row r="2917" customFormat="1" s="36">
      <c r="A2917" s="485" t="s">
        <v>323</v>
      </c>
      <c r="B2917" s="485" t="s">
        <v>322</v>
      </c>
      <c r="C2917" s="482">
        <v>89.0</v>
      </c>
      <c r="D2917" s="482" t="s">
        <v>913</v>
      </c>
      <c r="E2917" s="482" t="s">
        <v>894</v>
      </c>
    </row>
    <row r="2918" customFormat="1" s="36">
      <c r="A2918" s="485" t="s">
        <v>336</v>
      </c>
      <c r="B2918" s="485" t="s">
        <v>335</v>
      </c>
      <c r="C2918" s="482">
        <v>74.0</v>
      </c>
      <c r="D2918" s="482" t="s">
        <v>913</v>
      </c>
      <c r="E2918" s="482" t="s">
        <v>894</v>
      </c>
    </row>
    <row r="2919" customFormat="1" s="36">
      <c r="A2919" s="485" t="s">
        <v>332</v>
      </c>
      <c r="B2919" s="485" t="s">
        <v>331</v>
      </c>
      <c r="C2919" s="482">
        <v>344.0</v>
      </c>
      <c r="D2919" s="482" t="s">
        <v>913</v>
      </c>
      <c r="E2919" s="482" t="s">
        <v>894</v>
      </c>
    </row>
    <row r="2920" customFormat="1" s="36">
      <c r="A2920" s="485" t="s">
        <v>583</v>
      </c>
      <c r="B2920" s="485" t="s">
        <v>582</v>
      </c>
      <c r="C2920" s="482">
        <v>685.0</v>
      </c>
      <c r="D2920" s="482" t="s">
        <v>913</v>
      </c>
      <c r="E2920" s="482" t="s">
        <v>894</v>
      </c>
    </row>
    <row r="2921" customFormat="1" s="36">
      <c r="A2921" s="485" t="s">
        <v>334</v>
      </c>
      <c r="B2921" s="485" t="s">
        <v>333</v>
      </c>
      <c r="C2921" s="482">
        <v>356.0</v>
      </c>
      <c r="D2921" s="482" t="s">
        <v>913</v>
      </c>
      <c r="E2921" s="482" t="s">
        <v>894</v>
      </c>
    </row>
    <row r="2922" customFormat="1" s="36">
      <c r="A2922" s="485" t="s">
        <v>346</v>
      </c>
      <c r="B2922" s="485" t="s">
        <v>345</v>
      </c>
      <c r="C2922" s="482">
        <v>2.0</v>
      </c>
      <c r="D2922" s="482" t="s">
        <v>913</v>
      </c>
      <c r="E2922" s="482" t="s">
        <v>894</v>
      </c>
    </row>
    <row r="2923" customFormat="1" s="36">
      <c r="A2923" s="485" t="s">
        <v>5963</v>
      </c>
      <c r="B2923" s="485" t="s">
        <v>5964</v>
      </c>
      <c r="C2923" s="482">
        <v>5.0</v>
      </c>
      <c r="D2923" s="482" t="s">
        <v>913</v>
      </c>
      <c r="E2923" s="482" t="s">
        <v>1140</v>
      </c>
    </row>
    <row r="2924" customFormat="1" s="36">
      <c r="A2924" s="485" t="s">
        <v>5965</v>
      </c>
      <c r="B2924" s="485" t="s">
        <v>5966</v>
      </c>
      <c r="C2924" s="482">
        <v>1.0</v>
      </c>
      <c r="D2924" s="482" t="s">
        <v>913</v>
      </c>
      <c r="E2924" s="482" t="s">
        <v>1140</v>
      </c>
    </row>
    <row r="2925" customFormat="1" s="36">
      <c r="A2925" s="485" t="s">
        <v>5967</v>
      </c>
      <c r="B2925" s="485" t="s">
        <v>5968</v>
      </c>
      <c r="C2925" s="482">
        <v>0.0</v>
      </c>
      <c r="D2925" s="482" t="s">
        <v>913</v>
      </c>
      <c r="E2925" s="482" t="s">
        <v>1140</v>
      </c>
    </row>
    <row r="2926" customFormat="1" s="36">
      <c r="A2926" s="485" t="s">
        <v>593</v>
      </c>
      <c r="B2926" s="485" t="s">
        <v>592</v>
      </c>
      <c r="C2926" s="482">
        <v>0.0</v>
      </c>
      <c r="D2926" s="482" t="s">
        <v>913</v>
      </c>
      <c r="E2926" s="482" t="s">
        <v>894</v>
      </c>
    </row>
    <row r="2927" customFormat="1" s="36">
      <c r="A2927" s="485" t="s">
        <v>605</v>
      </c>
      <c r="B2927" s="485" t="s">
        <v>604</v>
      </c>
      <c r="C2927" s="482">
        <v>295.0</v>
      </c>
      <c r="D2927" s="482" t="s">
        <v>913</v>
      </c>
      <c r="E2927" s="482" t="s">
        <v>894</v>
      </c>
    </row>
    <row r="2928" customFormat="1" s="36">
      <c r="A2928" s="485" t="s">
        <v>603</v>
      </c>
      <c r="B2928" s="485" t="s">
        <v>602</v>
      </c>
      <c r="C2928" s="482">
        <v>324.0</v>
      </c>
      <c r="D2928" s="482" t="s">
        <v>913</v>
      </c>
      <c r="E2928" s="482" t="s">
        <v>894</v>
      </c>
    </row>
    <row r="2929" customFormat="1" s="36">
      <c r="A2929" s="485" t="s">
        <v>601</v>
      </c>
      <c r="B2929" s="485" t="s">
        <v>600</v>
      </c>
      <c r="C2929" s="482">
        <v>372.0</v>
      </c>
      <c r="D2929" s="482" t="s">
        <v>913</v>
      </c>
      <c r="E2929" s="482" t="s">
        <v>894</v>
      </c>
    </row>
    <row r="2930" customFormat="1" s="36">
      <c r="A2930" s="485" t="s">
        <v>599</v>
      </c>
      <c r="B2930" s="485" t="s">
        <v>598</v>
      </c>
      <c r="C2930" s="482">
        <v>339.0</v>
      </c>
      <c r="D2930" s="482" t="s">
        <v>913</v>
      </c>
      <c r="E2930" s="482" t="s">
        <v>894</v>
      </c>
    </row>
    <row r="2931" customFormat="1" s="36">
      <c r="A2931" s="485" t="s">
        <v>597</v>
      </c>
      <c r="B2931" s="485" t="s">
        <v>596</v>
      </c>
      <c r="C2931" s="482">
        <v>110.0</v>
      </c>
      <c r="D2931" s="482" t="s">
        <v>913</v>
      </c>
      <c r="E2931" s="482" t="s">
        <v>894</v>
      </c>
    </row>
    <row r="2932" customFormat="1" s="36">
      <c r="A2932" s="485" t="s">
        <v>595</v>
      </c>
      <c r="B2932" s="485" t="s">
        <v>594</v>
      </c>
      <c r="C2932" s="482">
        <v>315.0</v>
      </c>
      <c r="D2932" s="482" t="s">
        <v>913</v>
      </c>
      <c r="E2932" s="482" t="s">
        <v>894</v>
      </c>
    </row>
    <row r="2933" customFormat="1" s="36">
      <c r="A2933" s="485" t="s">
        <v>5969</v>
      </c>
      <c r="B2933" s="485" t="s">
        <v>5970</v>
      </c>
      <c r="C2933" s="482">
        <v>418.0</v>
      </c>
      <c r="D2933" s="482" t="s">
        <v>913</v>
      </c>
      <c r="E2933" s="482" t="s">
        <v>1140</v>
      </c>
    </row>
    <row r="2934" customFormat="1" s="36">
      <c r="A2934" s="485" t="s">
        <v>5971</v>
      </c>
      <c r="B2934" s="485" t="s">
        <v>5972</v>
      </c>
      <c r="C2934" s="482">
        <v>232.0</v>
      </c>
      <c r="D2934" s="482" t="s">
        <v>913</v>
      </c>
      <c r="E2934" s="482" t="s">
        <v>1140</v>
      </c>
    </row>
    <row r="2935" customFormat="1" s="36">
      <c r="A2935" s="485" t="s">
        <v>5973</v>
      </c>
      <c r="B2935" s="485" t="s">
        <v>5974</v>
      </c>
      <c r="C2935" s="482">
        <v>0.0</v>
      </c>
      <c r="D2935" s="482" t="s">
        <v>893</v>
      </c>
      <c r="E2935" s="482" t="s">
        <v>894</v>
      </c>
    </row>
    <row r="2936" customFormat="1" s="36">
      <c r="A2936" s="485" t="s">
        <v>5975</v>
      </c>
      <c r="B2936" s="485" t="s">
        <v>5976</v>
      </c>
      <c r="C2936" s="482">
        <v>0.0</v>
      </c>
      <c r="D2936" s="482" t="s">
        <v>893</v>
      </c>
      <c r="E2936" s="482" t="s">
        <v>894</v>
      </c>
    </row>
    <row r="2937" customFormat="1" s="36">
      <c r="A2937" s="485" t="s">
        <v>5977</v>
      </c>
      <c r="B2937" s="485" t="s">
        <v>5978</v>
      </c>
      <c r="C2937" s="482">
        <v>0.0</v>
      </c>
      <c r="D2937" s="482" t="s">
        <v>893</v>
      </c>
      <c r="E2937" s="482" t="s">
        <v>894</v>
      </c>
    </row>
    <row r="2938" customFormat="1" s="36">
      <c r="A2938" s="485" t="s">
        <v>5979</v>
      </c>
      <c r="B2938" s="485" t="s">
        <v>5980</v>
      </c>
      <c r="C2938" s="482">
        <v>0.0</v>
      </c>
      <c r="D2938" s="482" t="s">
        <v>893</v>
      </c>
      <c r="E2938" s="482" t="s">
        <v>894</v>
      </c>
    </row>
    <row r="2939" customFormat="1" s="36">
      <c r="A2939" s="485" t="s">
        <v>5981</v>
      </c>
      <c r="B2939" s="485" t="s">
        <v>5982</v>
      </c>
      <c r="C2939" s="482">
        <v>0.0</v>
      </c>
      <c r="D2939" s="482" t="s">
        <v>893</v>
      </c>
      <c r="E2939" s="482" t="s">
        <v>894</v>
      </c>
    </row>
    <row r="2940" customFormat="1" s="36">
      <c r="A2940" s="485" t="s">
        <v>5983</v>
      </c>
      <c r="B2940" s="485" t="s">
        <v>5984</v>
      </c>
      <c r="C2940" s="482">
        <v>0.0</v>
      </c>
      <c r="D2940" s="482" t="s">
        <v>893</v>
      </c>
      <c r="E2940" s="482" t="s">
        <v>894</v>
      </c>
    </row>
    <row r="2941" customFormat="1" s="36">
      <c r="A2941" s="485" t="s">
        <v>5985</v>
      </c>
      <c r="B2941" s="485" t="s">
        <v>5986</v>
      </c>
      <c r="C2941" s="482">
        <v>0.0</v>
      </c>
      <c r="D2941" s="482" t="s">
        <v>893</v>
      </c>
      <c r="E2941" s="482" t="s">
        <v>894</v>
      </c>
    </row>
    <row r="2942" customFormat="1" s="36">
      <c r="A2942" s="485" t="s">
        <v>5987</v>
      </c>
      <c r="B2942" s="485" t="s">
        <v>5988</v>
      </c>
      <c r="C2942" s="482">
        <v>0.0</v>
      </c>
      <c r="D2942" s="482" t="s">
        <v>893</v>
      </c>
      <c r="E2942" s="482" t="s">
        <v>894</v>
      </c>
    </row>
    <row r="2943" customFormat="1" s="36">
      <c r="A2943" s="485" t="s">
        <v>5989</v>
      </c>
      <c r="B2943" s="485" t="s">
        <v>5990</v>
      </c>
      <c r="C2943" s="482">
        <v>0.0</v>
      </c>
      <c r="D2943" s="482" t="s">
        <v>893</v>
      </c>
      <c r="E2943" s="482" t="s">
        <v>894</v>
      </c>
    </row>
    <row r="2944" customFormat="1" s="36">
      <c r="A2944" s="485" t="s">
        <v>5991</v>
      </c>
      <c r="B2944" s="485" t="s">
        <v>5992</v>
      </c>
      <c r="C2944" s="482">
        <v>0.0</v>
      </c>
      <c r="D2944" s="482" t="s">
        <v>893</v>
      </c>
      <c r="E2944" s="482" t="s">
        <v>894</v>
      </c>
    </row>
    <row r="2945" customFormat="1" s="36">
      <c r="A2945" s="485" t="s">
        <v>5993</v>
      </c>
      <c r="B2945" s="485" t="s">
        <v>5994</v>
      </c>
      <c r="C2945" s="482">
        <v>-3.0</v>
      </c>
      <c r="D2945" s="482" t="s">
        <v>913</v>
      </c>
      <c r="E2945" s="482" t="s">
        <v>894</v>
      </c>
    </row>
    <row r="2946" customFormat="1" s="36">
      <c r="A2946" s="485" t="s">
        <v>5995</v>
      </c>
      <c r="B2946" s="485" t="s">
        <v>5996</v>
      </c>
      <c r="C2946" s="482">
        <v>306.0</v>
      </c>
      <c r="D2946" s="482" t="s">
        <v>913</v>
      </c>
      <c r="E2946" s="482" t="s">
        <v>1140</v>
      </c>
    </row>
    <row r="2947" customFormat="1" s="36">
      <c r="A2947" s="485" t="s">
        <v>5997</v>
      </c>
      <c r="B2947" s="485" t="s">
        <v>5998</v>
      </c>
      <c r="C2947" s="482">
        <v>24.0</v>
      </c>
      <c r="D2947" s="482" t="s">
        <v>913</v>
      </c>
      <c r="E2947" s="482" t="s">
        <v>1140</v>
      </c>
    </row>
    <row r="2948" customFormat="1" s="36">
      <c r="A2948" s="485" t="s">
        <v>5999</v>
      </c>
      <c r="B2948" s="485" t="s">
        <v>6000</v>
      </c>
      <c r="C2948" s="482">
        <v>280.0</v>
      </c>
      <c r="D2948" s="482" t="s">
        <v>913</v>
      </c>
      <c r="E2948" s="482" t="s">
        <v>894</v>
      </c>
    </row>
    <row r="2949" customFormat="1" s="36">
      <c r="A2949" s="485" t="s">
        <v>6001</v>
      </c>
      <c r="B2949" s="485" t="s">
        <v>6002</v>
      </c>
      <c r="C2949" s="482">
        <v>0.0</v>
      </c>
      <c r="D2949" s="482" t="s">
        <v>913</v>
      </c>
      <c r="E2949" s="482" t="s">
        <v>894</v>
      </c>
    </row>
    <row r="2950" customFormat="1" s="36">
      <c r="A2950" s="485" t="s">
        <v>6003</v>
      </c>
      <c r="B2950" s="485" t="s">
        <v>6004</v>
      </c>
      <c r="C2950" s="482">
        <v>0.0</v>
      </c>
      <c r="D2950" s="482" t="s">
        <v>893</v>
      </c>
      <c r="E2950" s="482" t="s">
        <v>894</v>
      </c>
    </row>
    <row r="2951" customFormat="1" s="36">
      <c r="A2951" s="485" t="s">
        <v>6005</v>
      </c>
      <c r="B2951" s="485" t="s">
        <v>6006</v>
      </c>
      <c r="C2951" s="482">
        <v>0.0</v>
      </c>
      <c r="D2951" s="482" t="s">
        <v>893</v>
      </c>
      <c r="E2951" s="482" t="s">
        <v>894</v>
      </c>
    </row>
    <row r="2952" customFormat="1" s="36">
      <c r="A2952" s="485" t="s">
        <v>6007</v>
      </c>
      <c r="B2952" s="485" t="s">
        <v>6008</v>
      </c>
      <c r="C2952" s="482">
        <v>152.0</v>
      </c>
      <c r="D2952" s="482" t="s">
        <v>913</v>
      </c>
      <c r="E2952" s="482" t="s">
        <v>894</v>
      </c>
    </row>
    <row r="2953" customFormat="1" s="36">
      <c r="A2953" s="485" t="s">
        <v>6009</v>
      </c>
      <c r="B2953" s="485" t="s">
        <v>6010</v>
      </c>
      <c r="C2953" s="482">
        <v>0.0</v>
      </c>
      <c r="D2953" s="482" t="s">
        <v>893</v>
      </c>
      <c r="E2953" s="482" t="s">
        <v>894</v>
      </c>
    </row>
    <row r="2954" customFormat="1" s="36">
      <c r="A2954" s="485" t="s">
        <v>6011</v>
      </c>
      <c r="B2954" s="485" t="s">
        <v>6012</v>
      </c>
      <c r="C2954" s="482">
        <v>0.0</v>
      </c>
      <c r="D2954" s="482" t="s">
        <v>893</v>
      </c>
      <c r="E2954" s="482" t="s">
        <v>894</v>
      </c>
    </row>
    <row r="2955" customFormat="1" s="36">
      <c r="A2955" s="485" t="s">
        <v>6013</v>
      </c>
      <c r="B2955" s="485" t="s">
        <v>6014</v>
      </c>
      <c r="C2955" s="482">
        <v>80.0</v>
      </c>
      <c r="D2955" s="482" t="s">
        <v>913</v>
      </c>
      <c r="E2955" s="482" t="s">
        <v>894</v>
      </c>
    </row>
    <row r="2956" customFormat="1" s="36">
      <c r="A2956" s="485" t="s">
        <v>6015</v>
      </c>
      <c r="B2956" s="485" t="s">
        <v>6016</v>
      </c>
      <c r="C2956" s="482">
        <v>0.0</v>
      </c>
      <c r="D2956" s="482" t="s">
        <v>893</v>
      </c>
      <c r="E2956" s="482" t="s">
        <v>894</v>
      </c>
    </row>
    <row r="2957" customFormat="1" s="36">
      <c r="A2957" s="485" t="s">
        <v>6017</v>
      </c>
      <c r="B2957" s="485" t="s">
        <v>6018</v>
      </c>
      <c r="C2957" s="482">
        <v>123.0</v>
      </c>
      <c r="D2957" s="482" t="s">
        <v>913</v>
      </c>
      <c r="E2957" s="482" t="s">
        <v>894</v>
      </c>
    </row>
    <row r="2958" customFormat="1" s="36">
      <c r="A2958" s="485" t="s">
        <v>6019</v>
      </c>
      <c r="B2958" s="485" t="s">
        <v>6020</v>
      </c>
      <c r="C2958" s="482">
        <v>163.0</v>
      </c>
      <c r="D2958" s="482" t="s">
        <v>913</v>
      </c>
      <c r="E2958" s="482" t="s">
        <v>894</v>
      </c>
    </row>
    <row r="2959" customFormat="1" s="36">
      <c r="A2959" s="485" t="s">
        <v>6021</v>
      </c>
      <c r="B2959" s="485" t="s">
        <v>6022</v>
      </c>
      <c r="C2959" s="482">
        <v>11.0</v>
      </c>
      <c r="D2959" s="482" t="s">
        <v>913</v>
      </c>
      <c r="E2959" s="482" t="s">
        <v>894</v>
      </c>
    </row>
    <row r="2960" customFormat="1" s="36">
      <c r="A2960" s="485" t="s">
        <v>6023</v>
      </c>
      <c r="B2960" s="485" t="s">
        <v>6024</v>
      </c>
      <c r="C2960" s="482">
        <v>70.0</v>
      </c>
      <c r="D2960" s="482" t="s">
        <v>913</v>
      </c>
      <c r="E2960" s="482" t="s">
        <v>894</v>
      </c>
    </row>
    <row r="2961" customFormat="1" s="36">
      <c r="A2961" s="485" t="s">
        <v>6025</v>
      </c>
      <c r="B2961" s="485" t="s">
        <v>6026</v>
      </c>
      <c r="C2961" s="482">
        <v>256.0</v>
      </c>
      <c r="D2961" s="482" t="s">
        <v>913</v>
      </c>
      <c r="E2961" s="482" t="s">
        <v>894</v>
      </c>
    </row>
    <row r="2962" customFormat="1" s="36">
      <c r="A2962" s="485" t="s">
        <v>6027</v>
      </c>
      <c r="B2962" s="485" t="s">
        <v>6028</v>
      </c>
      <c r="C2962" s="482">
        <v>2.0</v>
      </c>
      <c r="D2962" s="482" t="s">
        <v>913</v>
      </c>
      <c r="E2962" s="482" t="s">
        <v>1140</v>
      </c>
    </row>
    <row r="2963" customFormat="1" s="36">
      <c r="A2963" s="485" t="s">
        <v>6029</v>
      </c>
      <c r="B2963" s="485" t="s">
        <v>6030</v>
      </c>
      <c r="C2963" s="482">
        <v>0.0</v>
      </c>
      <c r="D2963" s="482" t="s">
        <v>893</v>
      </c>
      <c r="E2963" s="482" t="s">
        <v>1140</v>
      </c>
    </row>
    <row r="2964" customFormat="1" s="36">
      <c r="A2964" s="485" t="s">
        <v>6031</v>
      </c>
      <c r="B2964" s="485" t="s">
        <v>6032</v>
      </c>
      <c r="C2964" s="482">
        <v>0.0</v>
      </c>
      <c r="D2964" s="482" t="s">
        <v>893</v>
      </c>
      <c r="E2964" s="482" t="s">
        <v>1140</v>
      </c>
    </row>
    <row r="2965" customFormat="1" s="36">
      <c r="A2965" s="485" t="s">
        <v>6033</v>
      </c>
      <c r="B2965" s="485" t="s">
        <v>6034</v>
      </c>
      <c r="C2965" s="482">
        <v>2.0</v>
      </c>
      <c r="D2965" s="482" t="s">
        <v>893</v>
      </c>
      <c r="E2965" s="482" t="s">
        <v>1140</v>
      </c>
    </row>
    <row r="2966" customFormat="1" s="36">
      <c r="A2966" s="485" t="s">
        <v>6035</v>
      </c>
      <c r="B2966" s="485" t="s">
        <v>6036</v>
      </c>
      <c r="C2966" s="482">
        <v>0.0</v>
      </c>
      <c r="D2966" s="482" t="s">
        <v>893</v>
      </c>
      <c r="E2966" s="482" t="s">
        <v>894</v>
      </c>
    </row>
    <row r="2967" customFormat="1" s="36">
      <c r="A2967" s="485" t="s">
        <v>6037</v>
      </c>
      <c r="B2967" s="485" t="s">
        <v>6038</v>
      </c>
      <c r="C2967" s="482">
        <v>0.0</v>
      </c>
      <c r="D2967" s="482" t="s">
        <v>893</v>
      </c>
      <c r="E2967" s="482" t="s">
        <v>894</v>
      </c>
    </row>
    <row r="2968" customFormat="1" s="36">
      <c r="A2968" s="485" t="s">
        <v>6039</v>
      </c>
      <c r="B2968" s="485" t="s">
        <v>6040</v>
      </c>
      <c r="C2968" s="482">
        <v>0.0</v>
      </c>
      <c r="D2968" s="482" t="s">
        <v>893</v>
      </c>
      <c r="E2968" s="482" t="s">
        <v>894</v>
      </c>
    </row>
    <row r="2969" customFormat="1" s="36">
      <c r="A2969" s="485" t="s">
        <v>6041</v>
      </c>
      <c r="B2969" s="485" t="s">
        <v>6042</v>
      </c>
      <c r="C2969" s="482">
        <v>0.0</v>
      </c>
      <c r="D2969" s="482" t="s">
        <v>893</v>
      </c>
      <c r="E2969" s="482" t="s">
        <v>894</v>
      </c>
    </row>
    <row r="2970" customFormat="1" s="36">
      <c r="A2970" s="485" t="s">
        <v>6043</v>
      </c>
      <c r="B2970" s="485" t="s">
        <v>6044</v>
      </c>
      <c r="C2970" s="482">
        <v>0.0</v>
      </c>
      <c r="D2970" s="482" t="s">
        <v>893</v>
      </c>
      <c r="E2970" s="482" t="s">
        <v>894</v>
      </c>
    </row>
    <row r="2971" customFormat="1" s="36">
      <c r="A2971" s="485" t="s">
        <v>6045</v>
      </c>
      <c r="B2971" s="485" t="s">
        <v>6046</v>
      </c>
      <c r="C2971" s="482">
        <v>0.0</v>
      </c>
      <c r="D2971" s="482" t="s">
        <v>893</v>
      </c>
      <c r="E2971" s="482" t="s">
        <v>894</v>
      </c>
    </row>
    <row r="2972" customFormat="1" s="36">
      <c r="A2972" s="485" t="s">
        <v>6047</v>
      </c>
      <c r="B2972" s="485" t="s">
        <v>6048</v>
      </c>
      <c r="C2972" s="482">
        <v>0.0</v>
      </c>
      <c r="D2972" s="482" t="s">
        <v>893</v>
      </c>
      <c r="E2972" s="482" t="s">
        <v>894</v>
      </c>
    </row>
    <row r="2973" customFormat="1" s="36">
      <c r="A2973" s="485" t="s">
        <v>6049</v>
      </c>
      <c r="B2973" s="485" t="s">
        <v>6050</v>
      </c>
      <c r="C2973" s="482">
        <v>0.0</v>
      </c>
      <c r="D2973" s="482" t="s">
        <v>893</v>
      </c>
      <c r="E2973" s="482" t="s">
        <v>894</v>
      </c>
    </row>
    <row r="2974" customFormat="1" s="36">
      <c r="A2974" s="485" t="s">
        <v>6051</v>
      </c>
      <c r="B2974" s="485" t="s">
        <v>6052</v>
      </c>
      <c r="C2974" s="482">
        <v>0.0</v>
      </c>
      <c r="D2974" s="482" t="s">
        <v>893</v>
      </c>
      <c r="E2974" s="482" t="s">
        <v>894</v>
      </c>
    </row>
    <row r="2975" customFormat="1" s="36">
      <c r="A2975" s="485" t="s">
        <v>6053</v>
      </c>
      <c r="B2975" s="485" t="s">
        <v>6054</v>
      </c>
      <c r="C2975" s="482">
        <v>0.0</v>
      </c>
      <c r="D2975" s="482" t="s">
        <v>893</v>
      </c>
      <c r="E2975" s="482" t="s">
        <v>894</v>
      </c>
    </row>
    <row r="2976" customFormat="1" s="36">
      <c r="A2976" s="485" t="s">
        <v>6055</v>
      </c>
      <c r="B2976" s="485" t="s">
        <v>6056</v>
      </c>
      <c r="C2976" s="482">
        <v>0.0</v>
      </c>
      <c r="D2976" s="482" t="s">
        <v>893</v>
      </c>
      <c r="E2976" s="482" t="s">
        <v>894</v>
      </c>
    </row>
    <row r="2977" customFormat="1" s="36">
      <c r="A2977" s="485" t="s">
        <v>360</v>
      </c>
      <c r="B2977" s="485" t="s">
        <v>359</v>
      </c>
      <c r="C2977" s="482">
        <v>259.0</v>
      </c>
      <c r="D2977" s="482" t="s">
        <v>913</v>
      </c>
      <c r="E2977" s="482" t="s">
        <v>894</v>
      </c>
    </row>
    <row r="2978" customFormat="1" s="36">
      <c r="A2978" s="485" t="s">
        <v>6057</v>
      </c>
      <c r="B2978" s="485" t="s">
        <v>6058</v>
      </c>
      <c r="C2978" s="482">
        <v>258.0</v>
      </c>
      <c r="D2978" s="482" t="s">
        <v>913</v>
      </c>
      <c r="E2978" s="482" t="s">
        <v>894</v>
      </c>
    </row>
    <row r="2979" customFormat="1" s="36">
      <c r="A2979" s="485" t="s">
        <v>6059</v>
      </c>
      <c r="B2979" s="485" t="s">
        <v>6060</v>
      </c>
      <c r="C2979" s="482">
        <v>0.0</v>
      </c>
      <c r="D2979" s="482" t="s">
        <v>893</v>
      </c>
      <c r="E2979" s="482" t="s">
        <v>894</v>
      </c>
    </row>
    <row r="2980" customFormat="1" s="36">
      <c r="A2980" s="485" t="s">
        <v>6061</v>
      </c>
      <c r="B2980" s="485" t="s">
        <v>6062</v>
      </c>
      <c r="C2980" s="482">
        <v>26.0</v>
      </c>
      <c r="D2980" s="482" t="s">
        <v>913</v>
      </c>
      <c r="E2980" s="482" t="s">
        <v>894</v>
      </c>
    </row>
    <row r="2981" customFormat="1" s="36">
      <c r="A2981" s="485" t="s">
        <v>6063</v>
      </c>
      <c r="B2981" s="485" t="s">
        <v>6064</v>
      </c>
      <c r="C2981" s="482">
        <v>-76.0</v>
      </c>
      <c r="D2981" s="482" t="s">
        <v>913</v>
      </c>
      <c r="E2981" s="482" t="s">
        <v>894</v>
      </c>
    </row>
    <row r="2982" customFormat="1" s="36">
      <c r="A2982" s="485" t="s">
        <v>6065</v>
      </c>
      <c r="B2982" s="485" t="s">
        <v>6066</v>
      </c>
      <c r="C2982" s="482">
        <v>0.0</v>
      </c>
      <c r="D2982" s="482" t="s">
        <v>913</v>
      </c>
      <c r="E2982" s="482" t="s">
        <v>894</v>
      </c>
    </row>
    <row r="2983" customFormat="1" s="36">
      <c r="A2983" s="485" t="s">
        <v>358</v>
      </c>
      <c r="B2983" s="485" t="s">
        <v>357</v>
      </c>
      <c r="C2983" s="482">
        <v>771.0</v>
      </c>
      <c r="D2983" s="482" t="s">
        <v>913</v>
      </c>
      <c r="E2983" s="482" t="s">
        <v>894</v>
      </c>
    </row>
    <row r="2984" customFormat="1" s="36">
      <c r="A2984" s="485" t="s">
        <v>6067</v>
      </c>
      <c r="B2984" s="485" t="s">
        <v>6068</v>
      </c>
      <c r="C2984" s="482">
        <v>81.0</v>
      </c>
      <c r="D2984" s="482" t="s">
        <v>913</v>
      </c>
      <c r="E2984" s="482" t="s">
        <v>894</v>
      </c>
    </row>
    <row r="2985" customFormat="1" s="36">
      <c r="A2985" s="485" t="s">
        <v>6069</v>
      </c>
      <c r="B2985" s="485" t="s">
        <v>6070</v>
      </c>
      <c r="C2985" s="482">
        <v>163.0</v>
      </c>
      <c r="D2985" s="482" t="s">
        <v>913</v>
      </c>
      <c r="E2985" s="482" t="s">
        <v>894</v>
      </c>
    </row>
    <row r="2986" customFormat="1" s="36">
      <c r="A2986" s="485" t="s">
        <v>6071</v>
      </c>
      <c r="B2986" s="485" t="s">
        <v>6072</v>
      </c>
      <c r="C2986" s="482">
        <v>0.0</v>
      </c>
      <c r="D2986" s="482" t="s">
        <v>893</v>
      </c>
      <c r="E2986" s="482" t="s">
        <v>894</v>
      </c>
    </row>
    <row r="2987" customFormat="1" s="36">
      <c r="A2987" s="485" t="s">
        <v>6073</v>
      </c>
      <c r="B2987" s="485" t="s">
        <v>6074</v>
      </c>
      <c r="C2987" s="482">
        <v>330.0</v>
      </c>
      <c r="D2987" s="482" t="s">
        <v>913</v>
      </c>
      <c r="E2987" s="482" t="s">
        <v>894</v>
      </c>
    </row>
    <row r="2988" customFormat="1" s="36">
      <c r="A2988" s="485" t="s">
        <v>6075</v>
      </c>
      <c r="B2988" s="485" t="s">
        <v>6076</v>
      </c>
      <c r="C2988" s="482">
        <v>329.0</v>
      </c>
      <c r="D2988" s="482" t="s">
        <v>913</v>
      </c>
      <c r="E2988" s="482" t="s">
        <v>894</v>
      </c>
    </row>
    <row r="2989" customFormat="1" s="36">
      <c r="A2989" s="485" t="s">
        <v>6077</v>
      </c>
      <c r="B2989" s="485" t="s">
        <v>6078</v>
      </c>
      <c r="C2989" s="482">
        <v>229.0</v>
      </c>
      <c r="D2989" s="482" t="s">
        <v>913</v>
      </c>
      <c r="E2989" s="482" t="s">
        <v>894</v>
      </c>
    </row>
    <row r="2990" customFormat="1" s="36">
      <c r="A2990" s="485" t="s">
        <v>6079</v>
      </c>
      <c r="B2990" s="485" t="s">
        <v>6080</v>
      </c>
      <c r="C2990" s="482">
        <v>-92.0</v>
      </c>
      <c r="D2990" s="482" t="s">
        <v>913</v>
      </c>
      <c r="E2990" s="482" t="s">
        <v>894</v>
      </c>
    </row>
    <row r="2991" customFormat="1" s="36">
      <c r="A2991" s="485" t="s">
        <v>6081</v>
      </c>
      <c r="B2991" s="485" t="s">
        <v>6082</v>
      </c>
      <c r="C2991" s="482">
        <v>0.0</v>
      </c>
      <c r="D2991" s="482" t="s">
        <v>893</v>
      </c>
      <c r="E2991" s="482" t="s">
        <v>894</v>
      </c>
    </row>
    <row r="2992" customFormat="1" s="36">
      <c r="A2992" s="485" t="s">
        <v>6083</v>
      </c>
      <c r="B2992" s="485" t="s">
        <v>6084</v>
      </c>
      <c r="C2992" s="482">
        <v>0.0</v>
      </c>
      <c r="D2992" s="482" t="s">
        <v>893</v>
      </c>
      <c r="E2992" s="482" t="s">
        <v>894</v>
      </c>
    </row>
    <row r="2993" customFormat="1" s="36">
      <c r="A2993" s="485" t="s">
        <v>6085</v>
      </c>
      <c r="B2993" s="485" t="s">
        <v>6086</v>
      </c>
      <c r="C2993" s="482">
        <v>0.0</v>
      </c>
      <c r="D2993" s="482" t="s">
        <v>893</v>
      </c>
      <c r="E2993" s="482" t="s">
        <v>894</v>
      </c>
    </row>
    <row r="2994" customFormat="1" s="36">
      <c r="A2994" s="485" t="s">
        <v>6087</v>
      </c>
      <c r="B2994" s="485" t="s">
        <v>6088</v>
      </c>
      <c r="C2994" s="482">
        <v>221.0</v>
      </c>
      <c r="D2994" s="482" t="s">
        <v>913</v>
      </c>
      <c r="E2994" s="482" t="s">
        <v>894</v>
      </c>
    </row>
    <row r="2995" customFormat="1" s="36">
      <c r="A2995" s="485" t="s">
        <v>6089</v>
      </c>
      <c r="B2995" s="485" t="s">
        <v>6090</v>
      </c>
      <c r="C2995" s="482">
        <v>772.0</v>
      </c>
      <c r="D2995" s="482" t="s">
        <v>913</v>
      </c>
      <c r="E2995" s="482" t="s">
        <v>894</v>
      </c>
    </row>
    <row r="2996" customFormat="1" s="36">
      <c r="A2996" s="485" t="s">
        <v>585</v>
      </c>
      <c r="B2996" s="485" t="s">
        <v>584</v>
      </c>
      <c r="C2996" s="482">
        <v>330.0</v>
      </c>
      <c r="D2996" s="482" t="s">
        <v>913</v>
      </c>
      <c r="E2996" s="482" t="s">
        <v>894</v>
      </c>
    </row>
    <row r="2997" customFormat="1" s="36">
      <c r="A2997" s="485" t="s">
        <v>6091</v>
      </c>
      <c r="B2997" s="485" t="s">
        <v>6092</v>
      </c>
      <c r="C2997" s="482">
        <v>76.0</v>
      </c>
      <c r="D2997" s="482" t="s">
        <v>913</v>
      </c>
      <c r="E2997" s="482" t="s">
        <v>894</v>
      </c>
    </row>
    <row r="2998" customFormat="1" s="36">
      <c r="A2998" s="485" t="s">
        <v>6093</v>
      </c>
      <c r="B2998" s="485" t="s">
        <v>6094</v>
      </c>
      <c r="C2998" s="482">
        <v>346.0</v>
      </c>
      <c r="D2998" s="482" t="s">
        <v>913</v>
      </c>
      <c r="E2998" s="482" t="s">
        <v>894</v>
      </c>
    </row>
    <row r="2999" customFormat="1" s="36">
      <c r="A2999" s="485" t="s">
        <v>6095</v>
      </c>
      <c r="B2999" s="485" t="s">
        <v>6096</v>
      </c>
      <c r="C2999" s="482">
        <v>0.0</v>
      </c>
      <c r="D2999" s="482" t="s">
        <v>893</v>
      </c>
      <c r="E2999" s="482" t="s">
        <v>894</v>
      </c>
    </row>
    <row r="3000" customFormat="1" s="36">
      <c r="A3000" s="485" t="s">
        <v>6097</v>
      </c>
      <c r="B3000" s="485" t="s">
        <v>6098</v>
      </c>
      <c r="C3000" s="482">
        <v>0.0</v>
      </c>
      <c r="D3000" s="482" t="s">
        <v>893</v>
      </c>
      <c r="E3000" s="482" t="s">
        <v>894</v>
      </c>
    </row>
    <row r="3001" customFormat="1" s="36">
      <c r="A3001" s="485" t="s">
        <v>6099</v>
      </c>
      <c r="B3001" s="485" t="s">
        <v>6100</v>
      </c>
      <c r="C3001" s="482">
        <v>1.0</v>
      </c>
      <c r="D3001" s="482" t="s">
        <v>913</v>
      </c>
      <c r="E3001" s="482" t="s">
        <v>894</v>
      </c>
    </row>
    <row r="3002" customFormat="1" s="36">
      <c r="A3002" s="485" t="s">
        <v>6101</v>
      </c>
      <c r="B3002" s="485" t="s">
        <v>6102</v>
      </c>
      <c r="C3002" s="482">
        <v>0.0</v>
      </c>
      <c r="D3002" s="482" t="s">
        <v>913</v>
      </c>
      <c r="E3002" s="482" t="s">
        <v>894</v>
      </c>
    </row>
    <row r="3003" customFormat="1" s="36">
      <c r="A3003" s="485" t="s">
        <v>6103</v>
      </c>
      <c r="B3003" s="485" t="s">
        <v>6104</v>
      </c>
      <c r="C3003" s="482">
        <v>0.0</v>
      </c>
      <c r="D3003" s="482" t="s">
        <v>913</v>
      </c>
      <c r="E3003" s="482" t="s">
        <v>894</v>
      </c>
    </row>
    <row r="3004" customFormat="1" s="36">
      <c r="A3004" s="485" t="s">
        <v>6105</v>
      </c>
      <c r="B3004" s="485" t="s">
        <v>6106</v>
      </c>
      <c r="C3004" s="482">
        <v>0.0</v>
      </c>
      <c r="D3004" s="482" t="s">
        <v>913</v>
      </c>
      <c r="E3004" s="482" t="s">
        <v>894</v>
      </c>
    </row>
    <row r="3005" customFormat="1" s="36">
      <c r="A3005" s="485" t="s">
        <v>6107</v>
      </c>
      <c r="B3005" s="485" t="s">
        <v>6108</v>
      </c>
      <c r="C3005" s="482">
        <v>0.0</v>
      </c>
      <c r="D3005" s="482" t="s">
        <v>913</v>
      </c>
      <c r="E3005" s="482" t="s">
        <v>894</v>
      </c>
    </row>
    <row r="3006" customFormat="1" s="36">
      <c r="A3006" s="485" t="s">
        <v>6109</v>
      </c>
      <c r="B3006" s="485" t="s">
        <v>6110</v>
      </c>
      <c r="C3006" s="482">
        <v>3.0</v>
      </c>
      <c r="D3006" s="482" t="s">
        <v>913</v>
      </c>
      <c r="E3006" s="482" t="s">
        <v>1140</v>
      </c>
    </row>
    <row r="3007" customFormat="1" s="36">
      <c r="A3007" s="485" t="s">
        <v>6111</v>
      </c>
      <c r="B3007" s="485" t="s">
        <v>6112</v>
      </c>
      <c r="C3007" s="482">
        <v>3.0</v>
      </c>
      <c r="D3007" s="482" t="s">
        <v>913</v>
      </c>
      <c r="E3007" s="482" t="s">
        <v>1140</v>
      </c>
    </row>
    <row r="3008" customFormat="1" s="36">
      <c r="A3008" s="485" t="s">
        <v>6113</v>
      </c>
      <c r="B3008" s="485" t="s">
        <v>6114</v>
      </c>
      <c r="C3008" s="482">
        <v>500.0</v>
      </c>
      <c r="D3008" s="482" t="s">
        <v>913</v>
      </c>
      <c r="E3008" s="482" t="s">
        <v>894</v>
      </c>
    </row>
    <row r="3009" customFormat="1" s="36">
      <c r="A3009" s="485" t="s">
        <v>6115</v>
      </c>
      <c r="B3009" s="485" t="s">
        <v>6116</v>
      </c>
      <c r="C3009" s="482">
        <v>500.0</v>
      </c>
      <c r="D3009" s="482" t="s">
        <v>913</v>
      </c>
      <c r="E3009" s="482" t="s">
        <v>894</v>
      </c>
    </row>
    <row r="3010" customFormat="1" s="36">
      <c r="A3010" s="485" t="s">
        <v>6117</v>
      </c>
      <c r="B3010" s="485" t="s">
        <v>6118</v>
      </c>
      <c r="C3010" s="482">
        <v>500.0</v>
      </c>
      <c r="D3010" s="482" t="s">
        <v>913</v>
      </c>
      <c r="E3010" s="482" t="s">
        <v>894</v>
      </c>
    </row>
    <row r="3011" customFormat="1" s="36">
      <c r="A3011" s="485" t="s">
        <v>6119</v>
      </c>
      <c r="B3011" s="485" t="s">
        <v>6120</v>
      </c>
      <c r="C3011" s="482">
        <v>500.0</v>
      </c>
      <c r="D3011" s="482" t="s">
        <v>913</v>
      </c>
      <c r="E3011" s="482" t="s">
        <v>894</v>
      </c>
    </row>
    <row r="3012" customFormat="1" s="36">
      <c r="A3012" s="485" t="s">
        <v>6121</v>
      </c>
      <c r="B3012" s="485" t="s">
        <v>6122</v>
      </c>
      <c r="C3012" s="482">
        <v>500.0</v>
      </c>
      <c r="D3012" s="482" t="s">
        <v>913</v>
      </c>
      <c r="E3012" s="482" t="s">
        <v>894</v>
      </c>
    </row>
    <row r="3013" customFormat="1" s="36">
      <c r="A3013" s="485" t="s">
        <v>6123</v>
      </c>
      <c r="B3013" s="485" t="s">
        <v>6124</v>
      </c>
      <c r="C3013" s="482">
        <v>500.0</v>
      </c>
      <c r="D3013" s="482" t="s">
        <v>913</v>
      </c>
      <c r="E3013" s="482" t="s">
        <v>894</v>
      </c>
    </row>
    <row r="3014" customFormat="1" s="36">
      <c r="A3014" s="485" t="s">
        <v>6125</v>
      </c>
      <c r="B3014" s="485" t="s">
        <v>6126</v>
      </c>
      <c r="C3014" s="482">
        <v>500.0</v>
      </c>
      <c r="D3014" s="482" t="s">
        <v>913</v>
      </c>
      <c r="E3014" s="482" t="s">
        <v>894</v>
      </c>
    </row>
    <row r="3015" customFormat="1" s="36">
      <c r="A3015" s="485" t="s">
        <v>6127</v>
      </c>
      <c r="B3015" s="485" t="s">
        <v>6128</v>
      </c>
      <c r="C3015" s="482">
        <v>500.0</v>
      </c>
      <c r="D3015" s="482" t="s">
        <v>913</v>
      </c>
      <c r="E3015" s="482" t="s">
        <v>894</v>
      </c>
    </row>
    <row r="3016" customFormat="1" s="36">
      <c r="A3016" s="485" t="s">
        <v>6129</v>
      </c>
      <c r="B3016" s="485" t="s">
        <v>6130</v>
      </c>
      <c r="C3016" s="482">
        <v>500.0</v>
      </c>
      <c r="D3016" s="482" t="s">
        <v>913</v>
      </c>
      <c r="E3016" s="482" t="s">
        <v>894</v>
      </c>
    </row>
    <row r="3017" customFormat="1" s="36">
      <c r="A3017" s="485">
        <v>99307.0</v>
      </c>
      <c r="B3017" s="485" t="s">
        <v>6131</v>
      </c>
      <c r="C3017" s="482">
        <v>0.0</v>
      </c>
      <c r="D3017" s="482" t="s">
        <v>893</v>
      </c>
      <c r="E3017" s="482" t="s">
        <v>894</v>
      </c>
    </row>
    <row r="3018" customFormat="1" s="36">
      <c r="A3018" s="485" t="s">
        <v>6132</v>
      </c>
      <c r="B3018" s="485" t="s">
        <v>6133</v>
      </c>
      <c r="C3018" s="482">
        <v>0.0</v>
      </c>
      <c r="D3018" s="482" t="s">
        <v>893</v>
      </c>
      <c r="E3018" s="482" t="s">
        <v>894</v>
      </c>
    </row>
    <row r="3019" customFormat="1" s="36">
      <c r="A3019" s="485" t="s">
        <v>6134</v>
      </c>
      <c r="B3019" s="485" t="s">
        <v>6135</v>
      </c>
      <c r="C3019" s="482">
        <v>0.0</v>
      </c>
      <c r="D3019" s="482" t="s">
        <v>893</v>
      </c>
      <c r="E3019" s="482" t="s">
        <v>894</v>
      </c>
    </row>
    <row r="3020" customFormat="1" s="36">
      <c r="A3020" s="485" t="s">
        <v>6136</v>
      </c>
      <c r="B3020" s="485" t="s">
        <v>6137</v>
      </c>
      <c r="C3020" s="482">
        <v>0.0</v>
      </c>
      <c r="D3020" s="482" t="s">
        <v>893</v>
      </c>
      <c r="E3020" s="482" t="s">
        <v>894</v>
      </c>
    </row>
    <row r="3021" customFormat="1" s="36">
      <c r="A3021" s="485">
        <v>32719.0</v>
      </c>
      <c r="B3021" s="485" t="s">
        <v>6138</v>
      </c>
      <c r="C3021" s="482">
        <v>0.0</v>
      </c>
      <c r="D3021" s="482" t="s">
        <v>893</v>
      </c>
      <c r="E3021" s="482" t="s">
        <v>894</v>
      </c>
    </row>
    <row r="3022" customFormat="1" s="36">
      <c r="A3022" s="485">
        <v>32701.0</v>
      </c>
      <c r="B3022" s="485" t="s">
        <v>6139</v>
      </c>
      <c r="C3022" s="482">
        <v>0.0</v>
      </c>
      <c r="D3022" s="482" t="s">
        <v>893</v>
      </c>
      <c r="E3022" s="482" t="s">
        <v>894</v>
      </c>
    </row>
    <row r="3023" customFormat="1" s="36">
      <c r="A3023" s="485">
        <v>32702.0</v>
      </c>
      <c r="B3023" s="485" t="s">
        <v>6140</v>
      </c>
      <c r="C3023" s="482">
        <v>0.0</v>
      </c>
      <c r="D3023" s="482" t="s">
        <v>893</v>
      </c>
      <c r="E3023" s="482" t="s">
        <v>894</v>
      </c>
    </row>
    <row r="3024" customFormat="1" s="36">
      <c r="A3024" s="485">
        <v>32720.0</v>
      </c>
      <c r="B3024" s="485" t="s">
        <v>6141</v>
      </c>
      <c r="C3024" s="482">
        <v>0.0</v>
      </c>
      <c r="D3024" s="482" t="s">
        <v>893</v>
      </c>
      <c r="E3024" s="482" t="s">
        <v>894</v>
      </c>
    </row>
    <row r="3025" customFormat="1" s="36">
      <c r="A3025" s="485">
        <v>32703.0</v>
      </c>
      <c r="B3025" s="485" t="s">
        <v>6142</v>
      </c>
      <c r="C3025" s="482">
        <v>0.0</v>
      </c>
      <c r="D3025" s="482" t="s">
        <v>893</v>
      </c>
      <c r="E3025" s="482" t="s">
        <v>894</v>
      </c>
    </row>
    <row r="3026" customFormat="1" s="36">
      <c r="A3026" s="485">
        <v>32722.0</v>
      </c>
      <c r="B3026" s="485" t="s">
        <v>6143</v>
      </c>
      <c r="C3026" s="482">
        <v>0.0</v>
      </c>
      <c r="D3026" s="482" t="s">
        <v>893</v>
      </c>
      <c r="E3026" s="482" t="s">
        <v>894</v>
      </c>
    </row>
    <row r="3027" customFormat="1" s="36">
      <c r="A3027" s="485">
        <v>32723.0</v>
      </c>
      <c r="B3027" s="485" t="s">
        <v>6144</v>
      </c>
      <c r="C3027" s="482">
        <v>0.0</v>
      </c>
      <c r="D3027" s="482" t="s">
        <v>893</v>
      </c>
      <c r="E3027" s="482" t="s">
        <v>894</v>
      </c>
    </row>
    <row r="3028" customFormat="1" s="36">
      <c r="A3028" s="485">
        <v>32705.0</v>
      </c>
      <c r="B3028" s="485" t="s">
        <v>6145</v>
      </c>
      <c r="C3028" s="482">
        <v>0.0</v>
      </c>
      <c r="D3028" s="482" t="s">
        <v>893</v>
      </c>
      <c r="E3028" s="482" t="s">
        <v>894</v>
      </c>
    </row>
    <row r="3029" customFormat="1" s="36">
      <c r="A3029" s="485">
        <v>32724.0</v>
      </c>
      <c r="B3029" s="485" t="s">
        <v>6146</v>
      </c>
      <c r="C3029" s="482">
        <v>0.0</v>
      </c>
      <c r="D3029" s="482" t="s">
        <v>893</v>
      </c>
      <c r="E3029" s="482" t="s">
        <v>894</v>
      </c>
    </row>
    <row r="3030" customFormat="1" s="36">
      <c r="A3030" s="485">
        <v>32708.0</v>
      </c>
      <c r="B3030" s="485" t="s">
        <v>6147</v>
      </c>
      <c r="C3030" s="482">
        <v>0.0</v>
      </c>
      <c r="D3030" s="482" t="s">
        <v>893</v>
      </c>
      <c r="E3030" s="482" t="s">
        <v>894</v>
      </c>
    </row>
    <row r="3031" customFormat="1" s="36">
      <c r="A3031" s="485">
        <v>32725.0</v>
      </c>
      <c r="B3031" s="485" t="s">
        <v>6148</v>
      </c>
      <c r="C3031" s="482">
        <v>0.0</v>
      </c>
      <c r="D3031" s="482" t="s">
        <v>893</v>
      </c>
      <c r="E3031" s="482" t="s">
        <v>894</v>
      </c>
    </row>
    <row r="3032" customFormat="1" s="36">
      <c r="A3032" s="485">
        <v>32726.0</v>
      </c>
      <c r="B3032" s="485" t="s">
        <v>6149</v>
      </c>
      <c r="C3032" s="482">
        <v>0.0</v>
      </c>
      <c r="D3032" s="482" t="s">
        <v>893</v>
      </c>
      <c r="E3032" s="482" t="s">
        <v>894</v>
      </c>
    </row>
    <row r="3033" customFormat="1" s="36">
      <c r="A3033" s="485">
        <v>32727.0</v>
      </c>
      <c r="B3033" s="485" t="s">
        <v>6150</v>
      </c>
      <c r="C3033" s="482">
        <v>0.0</v>
      </c>
      <c r="D3033" s="482" t="s">
        <v>893</v>
      </c>
      <c r="E3033" s="482" t="s">
        <v>894</v>
      </c>
    </row>
    <row r="3034" customFormat="1" s="36">
      <c r="A3034" s="485">
        <v>32728.0</v>
      </c>
      <c r="B3034" s="485" t="s">
        <v>6151</v>
      </c>
      <c r="C3034" s="482">
        <v>0.0</v>
      </c>
      <c r="D3034" s="482" t="s">
        <v>893</v>
      </c>
      <c r="E3034" s="482" t="s">
        <v>894</v>
      </c>
    </row>
    <row r="3035" customFormat="1" s="36">
      <c r="A3035" s="485">
        <v>32709.0</v>
      </c>
      <c r="B3035" s="485" t="s">
        <v>6152</v>
      </c>
      <c r="C3035" s="482">
        <v>0.0</v>
      </c>
      <c r="D3035" s="482" t="s">
        <v>893</v>
      </c>
      <c r="E3035" s="482" t="s">
        <v>894</v>
      </c>
    </row>
    <row r="3036" customFormat="1" s="36">
      <c r="A3036" s="485">
        <v>32710.0</v>
      </c>
      <c r="B3036" s="485" t="s">
        <v>6153</v>
      </c>
      <c r="C3036" s="482">
        <v>0.0</v>
      </c>
      <c r="D3036" s="482" t="s">
        <v>893</v>
      </c>
      <c r="E3036" s="482" t="s">
        <v>894</v>
      </c>
    </row>
    <row r="3037" customFormat="1" s="36">
      <c r="A3037" s="485">
        <v>32729.0</v>
      </c>
      <c r="B3037" s="485" t="s">
        <v>6154</v>
      </c>
      <c r="C3037" s="482">
        <v>0.0</v>
      </c>
      <c r="D3037" s="482" t="s">
        <v>893</v>
      </c>
      <c r="E3037" s="482" t="s">
        <v>894</v>
      </c>
    </row>
    <row r="3038" customFormat="1" s="36">
      <c r="A3038" s="485">
        <v>32711.0</v>
      </c>
      <c r="B3038" s="485" t="s">
        <v>6155</v>
      </c>
      <c r="C3038" s="482">
        <v>0.0</v>
      </c>
      <c r="D3038" s="482" t="s">
        <v>893</v>
      </c>
      <c r="E3038" s="482" t="s">
        <v>894</v>
      </c>
    </row>
    <row r="3039" customFormat="1" s="36">
      <c r="A3039" s="485" t="s">
        <v>6156</v>
      </c>
      <c r="B3039" s="485" t="s">
        <v>6157</v>
      </c>
      <c r="C3039" s="482">
        <v>0.0</v>
      </c>
      <c r="D3039" s="482" t="s">
        <v>893</v>
      </c>
      <c r="E3039" s="482" t="s">
        <v>1799</v>
      </c>
    </row>
    <row r="3040" customFormat="1" s="36">
      <c r="A3040" s="485">
        <v>32730.0</v>
      </c>
      <c r="B3040" s="485" t="s">
        <v>6158</v>
      </c>
      <c r="C3040" s="482">
        <v>0.0</v>
      </c>
      <c r="D3040" s="482" t="s">
        <v>893</v>
      </c>
      <c r="E3040" s="482" t="s">
        <v>894</v>
      </c>
    </row>
    <row r="3041" customFormat="1" s="36">
      <c r="A3041" s="485">
        <v>32713.0</v>
      </c>
      <c r="B3041" s="485" t="s">
        <v>6159</v>
      </c>
      <c r="C3041" s="482">
        <v>0.0</v>
      </c>
      <c r="D3041" s="482" t="s">
        <v>893</v>
      </c>
      <c r="E3041" s="482" t="s">
        <v>894</v>
      </c>
    </row>
    <row r="3042" customFormat="1" s="36">
      <c r="A3042" s="485">
        <v>32714.0</v>
      </c>
      <c r="B3042" s="485" t="s">
        <v>6160</v>
      </c>
      <c r="C3042" s="482">
        <v>0.0</v>
      </c>
      <c r="D3042" s="482" t="s">
        <v>893</v>
      </c>
      <c r="E3042" s="482" t="s">
        <v>894</v>
      </c>
    </row>
    <row r="3043" customFormat="1" s="36">
      <c r="A3043" s="485">
        <v>32721.0</v>
      </c>
      <c r="B3043" s="485" t="s">
        <v>6161</v>
      </c>
      <c r="C3043" s="482">
        <v>0.0</v>
      </c>
      <c r="D3043" s="482" t="s">
        <v>893</v>
      </c>
      <c r="E3043" s="482" t="s">
        <v>894</v>
      </c>
    </row>
    <row r="3044" customFormat="1" s="36">
      <c r="A3044" s="485">
        <v>32718.0</v>
      </c>
      <c r="B3044" s="485" t="s">
        <v>6162</v>
      </c>
      <c r="C3044" s="482">
        <v>0.0</v>
      </c>
      <c r="D3044" s="482" t="s">
        <v>893</v>
      </c>
      <c r="E3044" s="482" t="s">
        <v>894</v>
      </c>
    </row>
    <row r="3045" customFormat="1" s="36">
      <c r="A3045" s="485">
        <v>32715.0</v>
      </c>
      <c r="B3045" s="485" t="s">
        <v>6163</v>
      </c>
      <c r="C3045" s="482">
        <v>0.0</v>
      </c>
      <c r="D3045" s="482" t="s">
        <v>893</v>
      </c>
      <c r="E3045" s="482" t="s">
        <v>894</v>
      </c>
    </row>
    <row r="3046" customFormat="1" s="36">
      <c r="A3046" s="485">
        <v>32716.0</v>
      </c>
      <c r="B3046" s="485" t="s">
        <v>6164</v>
      </c>
      <c r="C3046" s="482">
        <v>0.0</v>
      </c>
      <c r="D3046" s="482" t="s">
        <v>893</v>
      </c>
      <c r="E3046" s="482" t="s">
        <v>894</v>
      </c>
    </row>
    <row r="3047" customFormat="1" s="36">
      <c r="A3047" s="485">
        <v>32731.0</v>
      </c>
      <c r="B3047" s="485" t="s">
        <v>6165</v>
      </c>
      <c r="C3047" s="482">
        <v>0.0</v>
      </c>
      <c r="D3047" s="482" t="s">
        <v>893</v>
      </c>
      <c r="E3047" s="482" t="s">
        <v>894</v>
      </c>
    </row>
    <row r="3048" customFormat="1" s="36">
      <c r="A3048" s="485" t="s">
        <v>6166</v>
      </c>
      <c r="B3048" s="485" t="s">
        <v>6167</v>
      </c>
      <c r="C3048" s="482">
        <v>0.0</v>
      </c>
      <c r="D3048" s="482" t="s">
        <v>893</v>
      </c>
      <c r="E3048" s="482" t="s">
        <v>894</v>
      </c>
    </row>
    <row r="3049" customFormat="1" s="36">
      <c r="A3049" s="485" t="s">
        <v>6168</v>
      </c>
      <c r="B3049" s="485" t="s">
        <v>6169</v>
      </c>
      <c r="C3049" s="482">
        <v>0.0</v>
      </c>
      <c r="D3049" s="482" t="s">
        <v>893</v>
      </c>
      <c r="E3049" s="482" t="s">
        <v>894</v>
      </c>
    </row>
    <row r="3050" customFormat="1" s="36">
      <c r="A3050" s="485" t="s">
        <v>6170</v>
      </c>
      <c r="B3050" s="485" t="s">
        <v>6171</v>
      </c>
      <c r="C3050" s="482">
        <v>0.0</v>
      </c>
      <c r="D3050" s="482" t="s">
        <v>913</v>
      </c>
      <c r="E3050" s="482" t="s">
        <v>1140</v>
      </c>
    </row>
    <row r="3051" customFormat="1" s="36">
      <c r="A3051" s="485" t="s">
        <v>6172</v>
      </c>
      <c r="B3051" s="485" t="s">
        <v>6173</v>
      </c>
      <c r="C3051" s="482">
        <v>0.0</v>
      </c>
      <c r="D3051" s="482" t="s">
        <v>893</v>
      </c>
      <c r="E3051" s="482" t="s">
        <v>1140</v>
      </c>
    </row>
    <row r="3052" customFormat="1" s="36">
      <c r="A3052" s="485" t="s">
        <v>6174</v>
      </c>
      <c r="B3052" s="485" t="s">
        <v>6175</v>
      </c>
      <c r="C3052" s="482">
        <v>0.0</v>
      </c>
      <c r="D3052" s="482" t="s">
        <v>913</v>
      </c>
      <c r="E3052" s="482" t="s">
        <v>894</v>
      </c>
    </row>
    <row r="3053" customFormat="1" s="36">
      <c r="A3053" s="485" t="s">
        <v>6176</v>
      </c>
      <c r="B3053" s="485" t="s">
        <v>6177</v>
      </c>
      <c r="C3053" s="482">
        <v>0.0</v>
      </c>
      <c r="D3053" s="482" t="s">
        <v>913</v>
      </c>
      <c r="E3053" s="482" t="s">
        <v>894</v>
      </c>
    </row>
    <row r="3054" customFormat="1" s="36">
      <c r="A3054" s="485" t="s">
        <v>6178</v>
      </c>
      <c r="B3054" s="485" t="s">
        <v>6179</v>
      </c>
      <c r="C3054" s="482">
        <v>0.0</v>
      </c>
      <c r="D3054" s="482" t="s">
        <v>913</v>
      </c>
      <c r="E3054" s="482" t="s">
        <v>894</v>
      </c>
    </row>
    <row r="3055" customFormat="1" s="36">
      <c r="A3055" s="485" t="s">
        <v>6180</v>
      </c>
      <c r="B3055" s="485" t="s">
        <v>6181</v>
      </c>
      <c r="C3055" s="482">
        <v>0.0</v>
      </c>
      <c r="D3055" s="482" t="s">
        <v>913</v>
      </c>
      <c r="E3055" s="482" t="s">
        <v>894</v>
      </c>
    </row>
    <row r="3056" customFormat="1" s="36">
      <c r="A3056" s="485" t="s">
        <v>6182</v>
      </c>
      <c r="B3056" s="485" t="s">
        <v>6183</v>
      </c>
      <c r="C3056" s="482">
        <v>0.0</v>
      </c>
      <c r="D3056" s="482" t="s">
        <v>913</v>
      </c>
      <c r="E3056" s="482" t="s">
        <v>894</v>
      </c>
    </row>
    <row r="3057" customFormat="1" s="36">
      <c r="A3057" s="485" t="s">
        <v>6184</v>
      </c>
      <c r="B3057" s="485" t="s">
        <v>6185</v>
      </c>
      <c r="C3057" s="482">
        <v>0.0</v>
      </c>
      <c r="D3057" s="482" t="s">
        <v>913</v>
      </c>
      <c r="E3057" s="482" t="s">
        <v>894</v>
      </c>
    </row>
    <row r="3058" customFormat="1" s="36">
      <c r="A3058" s="485" t="s">
        <v>6186</v>
      </c>
      <c r="B3058" s="485" t="s">
        <v>6187</v>
      </c>
      <c r="C3058" s="482">
        <v>0.0</v>
      </c>
      <c r="D3058" s="482" t="s">
        <v>913</v>
      </c>
      <c r="E3058" s="482" t="s">
        <v>894</v>
      </c>
    </row>
    <row r="3059" customFormat="1" s="36">
      <c r="A3059" s="485" t="s">
        <v>246</v>
      </c>
      <c r="B3059" s="485" t="s">
        <v>245</v>
      </c>
      <c r="C3059" s="482">
        <v>135.0</v>
      </c>
      <c r="D3059" s="482" t="s">
        <v>913</v>
      </c>
      <c r="E3059" s="482" t="s">
        <v>894</v>
      </c>
    </row>
    <row r="3060" customFormat="1" s="36">
      <c r="A3060" s="485" t="s">
        <v>6188</v>
      </c>
      <c r="B3060" s="485" t="s">
        <v>6189</v>
      </c>
      <c r="C3060" s="482">
        <v>0.0</v>
      </c>
      <c r="D3060" s="482" t="s">
        <v>913</v>
      </c>
      <c r="E3060" s="482" t="s">
        <v>894</v>
      </c>
    </row>
    <row r="3061" customFormat="1" s="36">
      <c r="A3061" s="485" t="s">
        <v>251</v>
      </c>
      <c r="B3061" s="485" t="s">
        <v>250</v>
      </c>
      <c r="C3061" s="482">
        <v>4.0</v>
      </c>
      <c r="D3061" s="482" t="s">
        <v>913</v>
      </c>
      <c r="E3061" s="482" t="s">
        <v>894</v>
      </c>
    </row>
    <row r="3062" customFormat="1" s="36">
      <c r="A3062" s="485" t="s">
        <v>243</v>
      </c>
      <c r="B3062" s="485" t="s">
        <v>242</v>
      </c>
      <c r="C3062" s="482">
        <v>0.0</v>
      </c>
      <c r="D3062" s="482" t="s">
        <v>913</v>
      </c>
      <c r="E3062" s="482" t="s">
        <v>894</v>
      </c>
    </row>
    <row r="3063" customFormat="1" s="36">
      <c r="A3063" s="485" t="s">
        <v>248</v>
      </c>
      <c r="B3063" s="485" t="s">
        <v>247</v>
      </c>
      <c r="C3063" s="482">
        <v>52.0</v>
      </c>
      <c r="D3063" s="482" t="s">
        <v>913</v>
      </c>
      <c r="E3063" s="482" t="s">
        <v>894</v>
      </c>
    </row>
    <row r="3064" customFormat="1" s="36">
      <c r="A3064" s="485" t="s">
        <v>6190</v>
      </c>
      <c r="B3064" s="485" t="s">
        <v>6191</v>
      </c>
      <c r="C3064" s="482">
        <v>0.0</v>
      </c>
      <c r="D3064" s="482" t="s">
        <v>913</v>
      </c>
      <c r="E3064" s="482" t="s">
        <v>894</v>
      </c>
    </row>
    <row r="3065" customFormat="1" s="36">
      <c r="A3065" s="485" t="s">
        <v>6192</v>
      </c>
      <c r="B3065" s="485" t="s">
        <v>6193</v>
      </c>
      <c r="C3065" s="482">
        <v>0.0</v>
      </c>
      <c r="D3065" s="482" t="s">
        <v>913</v>
      </c>
      <c r="E3065" s="482" t="s">
        <v>894</v>
      </c>
    </row>
    <row r="3066" customFormat="1" s="36">
      <c r="A3066" s="485" t="s">
        <v>6194</v>
      </c>
      <c r="B3066" s="485" t="s">
        <v>6195</v>
      </c>
      <c r="C3066" s="482">
        <v>0.0</v>
      </c>
      <c r="D3066" s="482" t="s">
        <v>913</v>
      </c>
      <c r="E3066" s="482" t="s">
        <v>894</v>
      </c>
    </row>
    <row r="3067" customFormat="1" s="36">
      <c r="A3067" s="485" t="s">
        <v>6196</v>
      </c>
      <c r="B3067" s="485" t="s">
        <v>6197</v>
      </c>
      <c r="C3067" s="482">
        <v>0.0</v>
      </c>
      <c r="D3067" s="482" t="s">
        <v>913</v>
      </c>
      <c r="E3067" s="482" t="s">
        <v>894</v>
      </c>
    </row>
    <row r="3068" customFormat="1" s="36">
      <c r="A3068" s="485" t="s">
        <v>6198</v>
      </c>
      <c r="B3068" s="485" t="s">
        <v>6197</v>
      </c>
      <c r="C3068" s="482">
        <v>0.0</v>
      </c>
      <c r="D3068" s="482" t="s">
        <v>913</v>
      </c>
      <c r="E3068" s="482" t="s">
        <v>894</v>
      </c>
    </row>
    <row r="3069" customFormat="1" s="36">
      <c r="A3069" s="485" t="s">
        <v>6199</v>
      </c>
      <c r="B3069" s="485" t="s">
        <v>6200</v>
      </c>
      <c r="C3069" s="482">
        <v>0.0</v>
      </c>
      <c r="D3069" s="482" t="s">
        <v>913</v>
      </c>
      <c r="E3069" s="482" t="s">
        <v>894</v>
      </c>
    </row>
    <row r="3070" customFormat="1" s="36">
      <c r="A3070" s="485" t="s">
        <v>6201</v>
      </c>
      <c r="B3070" s="485" t="s">
        <v>6202</v>
      </c>
      <c r="C3070" s="482">
        <v>60.0</v>
      </c>
      <c r="D3070" s="482" t="s">
        <v>913</v>
      </c>
      <c r="E3070" s="482" t="s">
        <v>1140</v>
      </c>
    </row>
    <row r="3071" customFormat="1" s="36">
      <c r="A3071" s="485" t="s">
        <v>6203</v>
      </c>
      <c r="B3071" s="485" t="s">
        <v>6204</v>
      </c>
      <c r="C3071" s="482">
        <v>0.0</v>
      </c>
      <c r="D3071" s="482" t="s">
        <v>893</v>
      </c>
      <c r="E3071" s="482" t="s">
        <v>894</v>
      </c>
    </row>
    <row r="3072" customFormat="1" s="36">
      <c r="A3072" s="485" t="s">
        <v>6205</v>
      </c>
      <c r="B3072" s="485" t="s">
        <v>6206</v>
      </c>
      <c r="C3072" s="482">
        <v>0.0</v>
      </c>
      <c r="D3072" s="482" t="s">
        <v>893</v>
      </c>
      <c r="E3072" s="482" t="s">
        <v>1799</v>
      </c>
    </row>
    <row r="3073" customFormat="1" s="36">
      <c r="A3073" s="485" t="s">
        <v>6207</v>
      </c>
      <c r="B3073" s="485" t="s">
        <v>6208</v>
      </c>
      <c r="C3073" s="482">
        <v>0.0</v>
      </c>
      <c r="D3073" s="482" t="s">
        <v>893</v>
      </c>
      <c r="E3073" s="482" t="s">
        <v>894</v>
      </c>
    </row>
    <row r="3074" customFormat="1" s="36">
      <c r="A3074" s="485" t="s">
        <v>6209</v>
      </c>
      <c r="B3074" s="485" t="s">
        <v>6210</v>
      </c>
      <c r="C3074" s="482">
        <v>0.0</v>
      </c>
      <c r="D3074" s="482" t="s">
        <v>893</v>
      </c>
      <c r="E3074" s="482" t="s">
        <v>894</v>
      </c>
    </row>
    <row r="3075" customFormat="1" s="36">
      <c r="A3075" s="485" t="s">
        <v>6211</v>
      </c>
      <c r="B3075" s="485" t="s">
        <v>6212</v>
      </c>
      <c r="C3075" s="482">
        <v>0.0</v>
      </c>
      <c r="D3075" s="482" t="s">
        <v>893</v>
      </c>
      <c r="E3075" s="482" t="s">
        <v>894</v>
      </c>
    </row>
    <row r="3076" customFormat="1" s="36">
      <c r="A3076" s="485" t="s">
        <v>737</v>
      </c>
      <c r="B3076" s="485" t="s">
        <v>736</v>
      </c>
      <c r="C3076" s="482">
        <v>723.0</v>
      </c>
      <c r="D3076" s="482" t="s">
        <v>913</v>
      </c>
      <c r="E3076" s="482" t="s">
        <v>894</v>
      </c>
    </row>
    <row r="3077" customFormat="1" s="36">
      <c r="A3077" s="485" t="s">
        <v>6213</v>
      </c>
      <c r="B3077" s="485" t="s">
        <v>6214</v>
      </c>
      <c r="C3077" s="482">
        <v>687.0</v>
      </c>
      <c r="D3077" s="482" t="s">
        <v>913</v>
      </c>
      <c r="E3077" s="482" t="s">
        <v>894</v>
      </c>
    </row>
    <row r="3078" customFormat="1" s="36">
      <c r="A3078" s="485" t="s">
        <v>735</v>
      </c>
      <c r="B3078" s="485" t="s">
        <v>734</v>
      </c>
      <c r="C3078" s="482">
        <v>868.0</v>
      </c>
      <c r="D3078" s="482" t="s">
        <v>913</v>
      </c>
      <c r="E3078" s="482" t="s">
        <v>894</v>
      </c>
    </row>
    <row r="3079" customFormat="1" s="36">
      <c r="A3079" s="485" t="s">
        <v>6215</v>
      </c>
      <c r="B3079" s="485" t="s">
        <v>6216</v>
      </c>
      <c r="C3079" s="482">
        <v>495.0</v>
      </c>
      <c r="D3079" s="482" t="s">
        <v>913</v>
      </c>
      <c r="E3079" s="482" t="s">
        <v>894</v>
      </c>
    </row>
    <row r="3080" customFormat="1" s="36">
      <c r="A3080" s="485" t="s">
        <v>6217</v>
      </c>
      <c r="B3080" s="485" t="s">
        <v>6218</v>
      </c>
      <c r="C3080" s="482">
        <v>298.0</v>
      </c>
      <c r="D3080" s="482" t="s">
        <v>913</v>
      </c>
      <c r="E3080" s="482" t="s">
        <v>894</v>
      </c>
    </row>
    <row r="3081" customFormat="1" s="36">
      <c r="A3081" s="485" t="s">
        <v>733</v>
      </c>
      <c r="B3081" s="485" t="s">
        <v>732</v>
      </c>
      <c r="C3081" s="482">
        <v>948.0</v>
      </c>
      <c r="D3081" s="482" t="s">
        <v>913</v>
      </c>
      <c r="E3081" s="482" t="s">
        <v>894</v>
      </c>
    </row>
    <row r="3082" customFormat="1" s="36">
      <c r="A3082" s="485" t="s">
        <v>6219</v>
      </c>
      <c r="B3082" s="485" t="s">
        <v>6220</v>
      </c>
      <c r="C3082" s="482">
        <v>482.0</v>
      </c>
      <c r="D3082" s="482" t="s">
        <v>913</v>
      </c>
      <c r="E3082" s="482" t="s">
        <v>894</v>
      </c>
    </row>
    <row r="3083" customFormat="1" s="36">
      <c r="A3083" s="485" t="s">
        <v>6221</v>
      </c>
      <c r="B3083" s="485" t="s">
        <v>6222</v>
      </c>
      <c r="C3083" s="482">
        <v>370.0</v>
      </c>
      <c r="D3083" s="482" t="s">
        <v>913</v>
      </c>
      <c r="E3083" s="482" t="s">
        <v>894</v>
      </c>
    </row>
    <row r="3084" customFormat="1" s="36">
      <c r="A3084" s="485" t="s">
        <v>6223</v>
      </c>
      <c r="B3084" s="485" t="s">
        <v>6224</v>
      </c>
      <c r="C3084" s="482">
        <v>646.0</v>
      </c>
      <c r="D3084" s="482" t="s">
        <v>913</v>
      </c>
      <c r="E3084" s="482" t="s">
        <v>894</v>
      </c>
    </row>
    <row r="3085" customFormat="1" s="36">
      <c r="A3085" s="485" t="s">
        <v>6225</v>
      </c>
      <c r="B3085" s="485" t="s">
        <v>6226</v>
      </c>
      <c r="C3085" s="482">
        <v>616.0</v>
      </c>
      <c r="D3085" s="482" t="s">
        <v>913</v>
      </c>
      <c r="E3085" s="482" t="s">
        <v>894</v>
      </c>
    </row>
    <row r="3086" customFormat="1" s="36">
      <c r="A3086" s="485" t="s">
        <v>6227</v>
      </c>
      <c r="B3086" s="485" t="s">
        <v>6228</v>
      </c>
      <c r="C3086" s="482">
        <v>771.0</v>
      </c>
      <c r="D3086" s="482" t="s">
        <v>913</v>
      </c>
      <c r="E3086" s="482" t="s">
        <v>894</v>
      </c>
    </row>
    <row r="3087" customFormat="1" s="36">
      <c r="A3087" s="485" t="s">
        <v>6229</v>
      </c>
      <c r="B3087" s="485" t="s">
        <v>6230</v>
      </c>
      <c r="C3087" s="482">
        <v>99.0</v>
      </c>
      <c r="D3087" s="482" t="s">
        <v>913</v>
      </c>
      <c r="E3087" s="482" t="s">
        <v>894</v>
      </c>
    </row>
    <row r="3088" customFormat="1" s="36">
      <c r="A3088" s="485" t="s">
        <v>6231</v>
      </c>
      <c r="B3088" s="485" t="s">
        <v>6232</v>
      </c>
      <c r="C3088" s="482">
        <v>252.0</v>
      </c>
      <c r="D3088" s="482" t="s">
        <v>913</v>
      </c>
      <c r="E3088" s="482" t="s">
        <v>894</v>
      </c>
    </row>
    <row r="3089" customFormat="1" s="36">
      <c r="A3089" s="485" t="s">
        <v>6233</v>
      </c>
      <c r="B3089" s="485" t="s">
        <v>6234</v>
      </c>
      <c r="C3089" s="482">
        <v>1.0</v>
      </c>
      <c r="D3089" s="482" t="s">
        <v>913</v>
      </c>
      <c r="E3089" s="482" t="s">
        <v>894</v>
      </c>
    </row>
    <row r="3090" customFormat="1" s="36">
      <c r="A3090" s="485" t="s">
        <v>6235</v>
      </c>
      <c r="B3090" s="485" t="s">
        <v>6236</v>
      </c>
      <c r="C3090" s="482">
        <v>0.0</v>
      </c>
      <c r="D3090" s="482" t="s">
        <v>893</v>
      </c>
      <c r="E3090" s="482" t="s">
        <v>894</v>
      </c>
    </row>
    <row r="3091" customFormat="1" s="36">
      <c r="A3091" s="485" t="s">
        <v>6237</v>
      </c>
      <c r="B3091" s="485" t="s">
        <v>6238</v>
      </c>
      <c r="C3091" s="482">
        <v>0.0</v>
      </c>
      <c r="D3091" s="482" t="s">
        <v>913</v>
      </c>
      <c r="E3091" s="482" t="s">
        <v>894</v>
      </c>
    </row>
    <row r="3092" customFormat="1" s="36">
      <c r="A3092" s="485" t="s">
        <v>375</v>
      </c>
      <c r="B3092" s="485" t="s">
        <v>374</v>
      </c>
      <c r="C3092" s="482">
        <v>111.0</v>
      </c>
      <c r="D3092" s="482" t="s">
        <v>913</v>
      </c>
      <c r="E3092" s="482" t="s">
        <v>894</v>
      </c>
    </row>
    <row r="3093" customFormat="1" s="36">
      <c r="A3093" s="485" t="s">
        <v>6239</v>
      </c>
      <c r="B3093" s="485" t="s">
        <v>6240</v>
      </c>
      <c r="C3093" s="482">
        <v>0.0</v>
      </c>
      <c r="D3093" s="482" t="s">
        <v>913</v>
      </c>
      <c r="E3093" s="482" t="s">
        <v>894</v>
      </c>
    </row>
    <row r="3094" customFormat="1" s="36">
      <c r="A3094" s="485" t="s">
        <v>365</v>
      </c>
      <c r="B3094" s="485" t="s">
        <v>364</v>
      </c>
      <c r="C3094" s="482">
        <v>164.0</v>
      </c>
      <c r="D3094" s="482" t="s">
        <v>913</v>
      </c>
      <c r="E3094" s="482" t="s">
        <v>894</v>
      </c>
    </row>
    <row r="3095" customFormat="1" s="36">
      <c r="A3095" s="485" t="s">
        <v>377</v>
      </c>
      <c r="B3095" s="485" t="s">
        <v>376</v>
      </c>
      <c r="C3095" s="482">
        <v>564.0</v>
      </c>
      <c r="D3095" s="482" t="s">
        <v>913</v>
      </c>
      <c r="E3095" s="482" t="s">
        <v>894</v>
      </c>
    </row>
    <row r="3096" customFormat="1" s="36">
      <c r="A3096" s="485" t="s">
        <v>369</v>
      </c>
      <c r="B3096" s="485" t="s">
        <v>368</v>
      </c>
      <c r="C3096" s="482">
        <v>238.0</v>
      </c>
      <c r="D3096" s="482" t="s">
        <v>913</v>
      </c>
      <c r="E3096" s="482" t="s">
        <v>894</v>
      </c>
    </row>
    <row r="3097" customFormat="1" s="36">
      <c r="A3097" s="485" t="s">
        <v>367</v>
      </c>
      <c r="B3097" s="485" t="s">
        <v>366</v>
      </c>
      <c r="C3097" s="482">
        <v>94.0</v>
      </c>
      <c r="D3097" s="482" t="s">
        <v>913</v>
      </c>
      <c r="E3097" s="482" t="s">
        <v>894</v>
      </c>
    </row>
    <row r="3098" customFormat="1" s="36">
      <c r="A3098" s="485" t="s">
        <v>6241</v>
      </c>
      <c r="B3098" s="485" t="s">
        <v>6242</v>
      </c>
      <c r="C3098" s="482">
        <v>0.0</v>
      </c>
      <c r="D3098" s="482" t="s">
        <v>913</v>
      </c>
      <c r="E3098" s="482" t="s">
        <v>894</v>
      </c>
    </row>
    <row r="3099" customFormat="1" s="36">
      <c r="A3099" s="485" t="s">
        <v>363</v>
      </c>
      <c r="B3099" s="485" t="s">
        <v>362</v>
      </c>
      <c r="C3099" s="482">
        <v>120.0</v>
      </c>
      <c r="D3099" s="482" t="s">
        <v>913</v>
      </c>
      <c r="E3099" s="482" t="s">
        <v>894</v>
      </c>
    </row>
    <row r="3100" customFormat="1" s="36">
      <c r="A3100" s="485" t="s">
        <v>371</v>
      </c>
      <c r="B3100" s="485" t="s">
        <v>370</v>
      </c>
      <c r="C3100" s="482">
        <v>182.0</v>
      </c>
      <c r="D3100" s="482" t="s">
        <v>913</v>
      </c>
      <c r="E3100" s="482" t="s">
        <v>894</v>
      </c>
    </row>
    <row r="3101" customFormat="1" s="36">
      <c r="A3101" s="485" t="s">
        <v>669</v>
      </c>
      <c r="B3101" s="485" t="s">
        <v>668</v>
      </c>
      <c r="C3101" s="482">
        <v>293.0</v>
      </c>
      <c r="D3101" s="482" t="s">
        <v>913</v>
      </c>
      <c r="E3101" s="482" t="s">
        <v>894</v>
      </c>
    </row>
    <row r="3102" customFormat="1" s="36">
      <c r="A3102" s="485" t="s">
        <v>373</v>
      </c>
      <c r="B3102" s="485" t="s">
        <v>372</v>
      </c>
      <c r="C3102" s="482">
        <v>418.0</v>
      </c>
      <c r="D3102" s="482" t="s">
        <v>913</v>
      </c>
      <c r="E3102" s="482" t="s">
        <v>894</v>
      </c>
    </row>
    <row r="3103" customFormat="1" s="36">
      <c r="A3103" s="485" t="s">
        <v>6243</v>
      </c>
      <c r="B3103" s="485" t="s">
        <v>6244</v>
      </c>
      <c r="C3103" s="482">
        <v>155.0</v>
      </c>
      <c r="D3103" s="482" t="s">
        <v>913</v>
      </c>
      <c r="E3103" s="482" t="s">
        <v>894</v>
      </c>
    </row>
    <row r="3104" customFormat="1" s="36">
      <c r="A3104" s="485" t="s">
        <v>6245</v>
      </c>
      <c r="B3104" s="485" t="s">
        <v>6246</v>
      </c>
      <c r="C3104" s="482">
        <v>77.0</v>
      </c>
      <c r="D3104" s="482" t="s">
        <v>913</v>
      </c>
      <c r="E3104" s="482" t="s">
        <v>894</v>
      </c>
    </row>
    <row r="3105" customFormat="1" s="36">
      <c r="A3105" s="485" t="s">
        <v>6247</v>
      </c>
      <c r="B3105" s="485" t="s">
        <v>6248</v>
      </c>
      <c r="C3105" s="482">
        <v>87.0</v>
      </c>
      <c r="D3105" s="482" t="s">
        <v>913</v>
      </c>
      <c r="E3105" s="482" t="s">
        <v>894</v>
      </c>
    </row>
    <row r="3106" customFormat="1" s="36">
      <c r="A3106" s="485" t="s">
        <v>6249</v>
      </c>
      <c r="B3106" s="485" t="s">
        <v>6250</v>
      </c>
      <c r="C3106" s="482">
        <v>127.0</v>
      </c>
      <c r="D3106" s="482" t="s">
        <v>913</v>
      </c>
      <c r="E3106" s="482" t="s">
        <v>894</v>
      </c>
    </row>
    <row r="3107" customFormat="1" s="36">
      <c r="A3107" s="485" t="s">
        <v>6251</v>
      </c>
      <c r="B3107" s="485" t="s">
        <v>6252</v>
      </c>
      <c r="C3107" s="482">
        <v>187.0</v>
      </c>
      <c r="D3107" s="482" t="s">
        <v>913</v>
      </c>
      <c r="E3107" s="482" t="s">
        <v>894</v>
      </c>
    </row>
    <row r="3108" customFormat="1" s="36">
      <c r="A3108" s="485" t="s">
        <v>6253</v>
      </c>
      <c r="B3108" s="485" t="s">
        <v>6254</v>
      </c>
      <c r="C3108" s="482">
        <v>1.0</v>
      </c>
      <c r="D3108" s="482" t="s">
        <v>913</v>
      </c>
      <c r="E3108" s="482" t="s">
        <v>894</v>
      </c>
    </row>
    <row r="3109" customFormat="1" s="36">
      <c r="A3109" s="485" t="s">
        <v>6255</v>
      </c>
      <c r="B3109" s="485" t="s">
        <v>6256</v>
      </c>
      <c r="C3109" s="482">
        <v>170.0</v>
      </c>
      <c r="D3109" s="482" t="s">
        <v>913</v>
      </c>
      <c r="E3109" s="482" t="s">
        <v>894</v>
      </c>
    </row>
    <row r="3110" customFormat="1" s="36">
      <c r="A3110" s="485" t="s">
        <v>6257</v>
      </c>
      <c r="B3110" s="485" t="s">
        <v>6258</v>
      </c>
      <c r="C3110" s="482">
        <v>123.0</v>
      </c>
      <c r="D3110" s="482" t="s">
        <v>913</v>
      </c>
      <c r="E3110" s="482" t="s">
        <v>894</v>
      </c>
    </row>
    <row r="3111" customFormat="1" s="36">
      <c r="A3111" s="485" t="s">
        <v>6259</v>
      </c>
      <c r="B3111" s="485" t="s">
        <v>6260</v>
      </c>
      <c r="C3111" s="482">
        <v>370.0</v>
      </c>
      <c r="D3111" s="482" t="s">
        <v>913</v>
      </c>
      <c r="E3111" s="482" t="s">
        <v>894</v>
      </c>
    </row>
    <row r="3112" customFormat="1" s="36">
      <c r="A3112" s="485" t="s">
        <v>6261</v>
      </c>
      <c r="B3112" s="485" t="s">
        <v>6262</v>
      </c>
      <c r="C3112" s="482">
        <v>0.0</v>
      </c>
      <c r="D3112" s="482" t="s">
        <v>893</v>
      </c>
      <c r="E3112" s="482" t="s">
        <v>894</v>
      </c>
    </row>
    <row r="3113" customFormat="1" s="36">
      <c r="A3113" s="485" t="s">
        <v>6263</v>
      </c>
      <c r="B3113" s="485" t="s">
        <v>6264</v>
      </c>
      <c r="C3113" s="482">
        <v>0.0</v>
      </c>
      <c r="D3113" s="482" t="s">
        <v>893</v>
      </c>
      <c r="E3113" s="482" t="s">
        <v>894</v>
      </c>
    </row>
    <row r="3114" customFormat="1" s="36">
      <c r="A3114" s="485" t="s">
        <v>6265</v>
      </c>
      <c r="B3114" s="485" t="s">
        <v>6266</v>
      </c>
      <c r="C3114" s="482">
        <v>454.0</v>
      </c>
      <c r="D3114" s="482" t="s">
        <v>913</v>
      </c>
      <c r="E3114" s="482" t="s">
        <v>894</v>
      </c>
    </row>
    <row r="3115" customFormat="1" s="36">
      <c r="A3115" s="485" t="s">
        <v>6267</v>
      </c>
      <c r="B3115" s="485" t="s">
        <v>6268</v>
      </c>
      <c r="C3115" s="482">
        <v>0.0</v>
      </c>
      <c r="D3115" s="482" t="s">
        <v>893</v>
      </c>
      <c r="E3115" s="482" t="s">
        <v>894</v>
      </c>
    </row>
    <row r="3116" customFormat="1" s="36">
      <c r="A3116" s="485" t="s">
        <v>6269</v>
      </c>
      <c r="B3116" s="485" t="s">
        <v>6270</v>
      </c>
      <c r="C3116" s="482">
        <v>125.0</v>
      </c>
      <c r="D3116" s="482" t="s">
        <v>913</v>
      </c>
      <c r="E3116" s="482" t="s">
        <v>894</v>
      </c>
    </row>
    <row r="3117" customFormat="1" s="36">
      <c r="A3117" s="485" t="s">
        <v>6271</v>
      </c>
      <c r="B3117" s="485" t="s">
        <v>6272</v>
      </c>
      <c r="C3117" s="482">
        <v>0.0</v>
      </c>
      <c r="D3117" s="482" t="s">
        <v>893</v>
      </c>
      <c r="E3117" s="482" t="s">
        <v>894</v>
      </c>
    </row>
    <row r="3118" customFormat="1" s="36">
      <c r="A3118" s="485" t="s">
        <v>6273</v>
      </c>
      <c r="B3118" s="485" t="s">
        <v>6274</v>
      </c>
      <c r="C3118" s="482">
        <v>0.0</v>
      </c>
      <c r="D3118" s="482" t="s">
        <v>893</v>
      </c>
      <c r="E3118" s="482" t="s">
        <v>894</v>
      </c>
    </row>
    <row r="3119" customFormat="1" s="36">
      <c r="A3119" s="485" t="s">
        <v>6275</v>
      </c>
      <c r="B3119" s="485" t="s">
        <v>6276</v>
      </c>
      <c r="C3119" s="482">
        <v>0.0</v>
      </c>
      <c r="D3119" s="482" t="s">
        <v>893</v>
      </c>
      <c r="E3119" s="482" t="s">
        <v>894</v>
      </c>
    </row>
    <row r="3120" customFormat="1" s="36">
      <c r="A3120" s="485" t="s">
        <v>6277</v>
      </c>
      <c r="B3120" s="485" t="s">
        <v>6278</v>
      </c>
      <c r="C3120" s="482">
        <v>0.0</v>
      </c>
      <c r="D3120" s="482" t="s">
        <v>893</v>
      </c>
      <c r="E3120" s="482" t="s">
        <v>894</v>
      </c>
    </row>
    <row r="3121" customFormat="1" s="36">
      <c r="A3121" s="485" t="s">
        <v>6279</v>
      </c>
      <c r="B3121" s="485" t="s">
        <v>6280</v>
      </c>
      <c r="C3121" s="482">
        <v>0.0</v>
      </c>
      <c r="D3121" s="482" t="s">
        <v>893</v>
      </c>
      <c r="E3121" s="482" t="s">
        <v>894</v>
      </c>
    </row>
    <row r="3122" customFormat="1" s="36">
      <c r="A3122" s="485" t="s">
        <v>6281</v>
      </c>
      <c r="B3122" s="485" t="s">
        <v>6282</v>
      </c>
      <c r="C3122" s="482">
        <v>0.0</v>
      </c>
      <c r="D3122" s="482" t="s">
        <v>893</v>
      </c>
      <c r="E3122" s="482" t="s">
        <v>894</v>
      </c>
    </row>
    <row r="3123" customFormat="1" s="36">
      <c r="A3123" s="485" t="s">
        <v>6283</v>
      </c>
      <c r="B3123" s="485" t="s">
        <v>6284</v>
      </c>
      <c r="C3123" s="482">
        <v>0.0</v>
      </c>
      <c r="D3123" s="482" t="s">
        <v>893</v>
      </c>
      <c r="E3123" s="482" t="s">
        <v>894</v>
      </c>
    </row>
    <row r="3124" customFormat="1" s="36">
      <c r="A3124" s="485" t="s">
        <v>6285</v>
      </c>
      <c r="B3124" s="485" t="s">
        <v>6286</v>
      </c>
      <c r="C3124" s="482">
        <v>0.0</v>
      </c>
      <c r="D3124" s="482" t="s">
        <v>893</v>
      </c>
      <c r="E3124" s="482" t="s">
        <v>894</v>
      </c>
    </row>
    <row r="3125" customFormat="1" s="36">
      <c r="A3125" s="485" t="s">
        <v>6287</v>
      </c>
      <c r="B3125" s="485" t="s">
        <v>6288</v>
      </c>
      <c r="C3125" s="482">
        <v>600.0</v>
      </c>
      <c r="D3125" s="482" t="s">
        <v>913</v>
      </c>
      <c r="E3125" s="482" t="s">
        <v>6289</v>
      </c>
    </row>
    <row r="3126" customFormat="1" s="36">
      <c r="A3126" s="485">
        <v>40407.0</v>
      </c>
      <c r="B3126" s="485" t="s">
        <v>167</v>
      </c>
      <c r="C3126" s="482">
        <v>42.0</v>
      </c>
      <c r="D3126" s="482" t="s">
        <v>913</v>
      </c>
      <c r="E3126" s="482" t="s">
        <v>894</v>
      </c>
    </row>
    <row r="3127" customFormat="1" s="36">
      <c r="A3127" s="485">
        <v>40408.0</v>
      </c>
      <c r="B3127" s="485" t="s">
        <v>168</v>
      </c>
      <c r="C3127" s="482">
        <v>69.0</v>
      </c>
      <c r="D3127" s="482" t="s">
        <v>913</v>
      </c>
      <c r="E3127" s="482" t="s">
        <v>894</v>
      </c>
    </row>
    <row r="3128" customFormat="1" s="36">
      <c r="A3128" s="485">
        <v>40409.0</v>
      </c>
      <c r="B3128" s="485" t="s">
        <v>169</v>
      </c>
      <c r="C3128" s="482">
        <v>36.0</v>
      </c>
      <c r="D3128" s="482" t="s">
        <v>913</v>
      </c>
      <c r="E3128" s="482" t="s">
        <v>894</v>
      </c>
    </row>
    <row r="3129" customFormat="1" s="36">
      <c r="A3129" s="485">
        <v>40402.0</v>
      </c>
      <c r="B3129" s="485" t="s">
        <v>164</v>
      </c>
      <c r="C3129" s="482">
        <v>60.0</v>
      </c>
      <c r="D3129" s="482" t="s">
        <v>913</v>
      </c>
      <c r="E3129" s="482" t="s">
        <v>894</v>
      </c>
    </row>
    <row r="3130" customFormat="1" s="36">
      <c r="A3130" s="485">
        <v>40403.0</v>
      </c>
      <c r="B3130" s="485" t="s">
        <v>165</v>
      </c>
      <c r="C3130" s="482">
        <v>94.0</v>
      </c>
      <c r="D3130" s="482" t="s">
        <v>913</v>
      </c>
      <c r="E3130" s="482" t="s">
        <v>894</v>
      </c>
    </row>
    <row r="3131" customFormat="1" s="36">
      <c r="A3131" s="485">
        <v>40404.0</v>
      </c>
      <c r="B3131" s="485" t="s">
        <v>166</v>
      </c>
      <c r="C3131" s="482">
        <v>61.0</v>
      </c>
      <c r="D3131" s="482" t="s">
        <v>913</v>
      </c>
      <c r="E3131" s="482" t="s">
        <v>894</v>
      </c>
    </row>
    <row r="3132" customFormat="1" s="36">
      <c r="A3132" s="485" t="s">
        <v>6290</v>
      </c>
      <c r="B3132" s="485" t="s">
        <v>845</v>
      </c>
      <c r="C3132" s="482">
        <v>0.0</v>
      </c>
      <c r="D3132" s="482" t="s">
        <v>913</v>
      </c>
      <c r="E3132" s="482" t="s">
        <v>1140</v>
      </c>
    </row>
    <row r="3133" customFormat="1" s="36">
      <c r="A3133" s="485" t="s">
        <v>6291</v>
      </c>
      <c r="B3133" s="485" t="s">
        <v>6292</v>
      </c>
      <c r="C3133" s="482">
        <v>0.0</v>
      </c>
      <c r="D3133" s="482" t="s">
        <v>893</v>
      </c>
      <c r="E3133" s="482" t="s">
        <v>894</v>
      </c>
    </row>
    <row r="3134" customFormat="1" s="36">
      <c r="A3134" s="485" t="s">
        <v>6293</v>
      </c>
      <c r="B3134" s="485" t="s">
        <v>6294</v>
      </c>
      <c r="C3134" s="482">
        <v>0.0</v>
      </c>
      <c r="D3134" s="482" t="s">
        <v>893</v>
      </c>
      <c r="E3134" s="482" t="s">
        <v>894</v>
      </c>
    </row>
    <row r="3135" customFormat="1" s="36">
      <c r="A3135" s="485" t="s">
        <v>6295</v>
      </c>
      <c r="B3135" s="485" t="s">
        <v>6296</v>
      </c>
      <c r="C3135" s="482">
        <v>0.0</v>
      </c>
      <c r="D3135" s="482" t="s">
        <v>893</v>
      </c>
      <c r="E3135" s="482" t="s">
        <v>894</v>
      </c>
    </row>
    <row r="3136" customFormat="1" s="36">
      <c r="A3136" s="485">
        <v>33004.0</v>
      </c>
      <c r="B3136" s="485" t="s">
        <v>6297</v>
      </c>
      <c r="C3136" s="482">
        <v>0.0</v>
      </c>
      <c r="D3136" s="482" t="s">
        <v>893</v>
      </c>
      <c r="E3136" s="482" t="s">
        <v>894</v>
      </c>
    </row>
    <row r="3137" customFormat="1" s="36">
      <c r="A3137" s="485">
        <v>33001.0</v>
      </c>
      <c r="B3137" s="485" t="s">
        <v>6298</v>
      </c>
      <c r="C3137" s="482">
        <v>0.0</v>
      </c>
      <c r="D3137" s="482" t="s">
        <v>893</v>
      </c>
      <c r="E3137" s="482" t="s">
        <v>894</v>
      </c>
    </row>
    <row r="3138" customFormat="1" s="36">
      <c r="A3138" s="485">
        <v>33003.0</v>
      </c>
      <c r="B3138" s="485" t="s">
        <v>6299</v>
      </c>
      <c r="C3138" s="482">
        <v>0.0</v>
      </c>
      <c r="D3138" s="482" t="s">
        <v>893</v>
      </c>
      <c r="E3138" s="482" t="s">
        <v>894</v>
      </c>
    </row>
    <row r="3139" customFormat="1" s="36">
      <c r="A3139" s="485">
        <v>33005.0</v>
      </c>
      <c r="B3139" s="485" t="s">
        <v>6300</v>
      </c>
      <c r="C3139" s="482">
        <v>0.0</v>
      </c>
      <c r="D3139" s="482" t="s">
        <v>893</v>
      </c>
      <c r="E3139" s="482" t="s">
        <v>894</v>
      </c>
    </row>
    <row r="3140" customFormat="1" s="36">
      <c r="A3140" s="485">
        <v>33101.0</v>
      </c>
      <c r="B3140" s="485" t="s">
        <v>6301</v>
      </c>
      <c r="C3140" s="482">
        <v>0.0</v>
      </c>
      <c r="D3140" s="482" t="s">
        <v>893</v>
      </c>
      <c r="E3140" s="482" t="s">
        <v>894</v>
      </c>
    </row>
    <row r="3141" customFormat="1" s="36">
      <c r="A3141" s="485" t="s">
        <v>6302</v>
      </c>
      <c r="B3141" s="485" t="s">
        <v>6303</v>
      </c>
      <c r="C3141" s="482">
        <v>0.0</v>
      </c>
      <c r="D3141" s="482" t="s">
        <v>893</v>
      </c>
      <c r="E3141" s="482" t="s">
        <v>894</v>
      </c>
    </row>
    <row r="3142" customFormat="1" s="36">
      <c r="A3142" s="485" t="s">
        <v>6304</v>
      </c>
      <c r="B3142" s="485" t="s">
        <v>6305</v>
      </c>
      <c r="C3142" s="482">
        <v>0.0</v>
      </c>
      <c r="D3142" s="482" t="s">
        <v>913</v>
      </c>
      <c r="E3142" s="482" t="s">
        <v>894</v>
      </c>
    </row>
    <row r="3143" customFormat="1" s="36">
      <c r="A3143" s="485" t="s">
        <v>6306</v>
      </c>
      <c r="B3143" s="485" t="s">
        <v>6307</v>
      </c>
      <c r="C3143" s="482">
        <v>0.0</v>
      </c>
      <c r="D3143" s="482" t="s">
        <v>893</v>
      </c>
      <c r="E3143" s="482" t="s">
        <v>894</v>
      </c>
    </row>
    <row r="3144" customFormat="1" s="36">
      <c r="A3144" s="485" t="s">
        <v>6308</v>
      </c>
      <c r="B3144" s="485" t="s">
        <v>6309</v>
      </c>
      <c r="C3144" s="482">
        <v>0.0</v>
      </c>
      <c r="D3144" s="482" t="s">
        <v>893</v>
      </c>
      <c r="E3144" s="482" t="s">
        <v>894</v>
      </c>
    </row>
    <row r="3145" customFormat="1" s="36">
      <c r="A3145" s="485" t="s">
        <v>6310</v>
      </c>
      <c r="B3145" s="485" t="s">
        <v>6311</v>
      </c>
      <c r="C3145" s="482">
        <v>0.0</v>
      </c>
      <c r="D3145" s="482" t="s">
        <v>893</v>
      </c>
      <c r="E3145" s="482" t="s">
        <v>894</v>
      </c>
    </row>
    <row r="3146" customFormat="1" s="36">
      <c r="A3146" s="485" t="s">
        <v>6312</v>
      </c>
      <c r="B3146" s="485" t="s">
        <v>6313</v>
      </c>
      <c r="C3146" s="482">
        <v>0.0</v>
      </c>
      <c r="D3146" s="482" t="s">
        <v>893</v>
      </c>
      <c r="E3146" s="482" t="s">
        <v>894</v>
      </c>
    </row>
    <row r="3147" customFormat="1" s="36">
      <c r="A3147" s="485" t="s">
        <v>6314</v>
      </c>
      <c r="B3147" s="485" t="s">
        <v>6315</v>
      </c>
      <c r="C3147" s="482">
        <v>0.0</v>
      </c>
      <c r="D3147" s="482" t="s">
        <v>893</v>
      </c>
      <c r="E3147" s="482" t="s">
        <v>894</v>
      </c>
    </row>
    <row r="3148" customFormat="1" s="36">
      <c r="A3148" s="485" t="s">
        <v>6316</v>
      </c>
      <c r="B3148" s="485" t="s">
        <v>6317</v>
      </c>
      <c r="C3148" s="482">
        <v>0.0</v>
      </c>
      <c r="D3148" s="482" t="s">
        <v>893</v>
      </c>
      <c r="E3148" s="482" t="s">
        <v>894</v>
      </c>
    </row>
    <row r="3149" customFormat="1" s="36">
      <c r="A3149" s="485" t="s">
        <v>6318</v>
      </c>
      <c r="B3149" s="485" t="s">
        <v>6319</v>
      </c>
      <c r="C3149" s="482">
        <v>0.0</v>
      </c>
      <c r="D3149" s="482" t="s">
        <v>893</v>
      </c>
      <c r="E3149" s="482" t="s">
        <v>894</v>
      </c>
    </row>
    <row r="3150" customFormat="1" s="36">
      <c r="A3150" s="485" t="s">
        <v>6320</v>
      </c>
      <c r="B3150" s="485" t="s">
        <v>6321</v>
      </c>
      <c r="C3150" s="482">
        <v>0.0</v>
      </c>
      <c r="D3150" s="482" t="s">
        <v>893</v>
      </c>
      <c r="E3150" s="482" t="s">
        <v>894</v>
      </c>
    </row>
    <row r="3151" customFormat="1" s="36">
      <c r="A3151" s="485" t="s">
        <v>6322</v>
      </c>
      <c r="B3151" s="485" t="s">
        <v>6323</v>
      </c>
      <c r="C3151" s="482">
        <v>0.0</v>
      </c>
      <c r="D3151" s="482" t="s">
        <v>893</v>
      </c>
      <c r="E3151" s="482" t="s">
        <v>894</v>
      </c>
    </row>
    <row r="3152" customFormat="1" s="36">
      <c r="A3152" s="485" t="s">
        <v>6324</v>
      </c>
      <c r="B3152" s="485" t="s">
        <v>6325</v>
      </c>
      <c r="C3152" s="482">
        <v>0.0</v>
      </c>
      <c r="D3152" s="482" t="s">
        <v>913</v>
      </c>
      <c r="E3152" s="482" t="s">
        <v>894</v>
      </c>
    </row>
    <row r="3153" customFormat="1" s="36">
      <c r="A3153" s="485" t="s">
        <v>6326</v>
      </c>
      <c r="B3153" s="485" t="s">
        <v>6327</v>
      </c>
      <c r="C3153" s="482">
        <v>0.0</v>
      </c>
      <c r="D3153" s="482" t="s">
        <v>893</v>
      </c>
      <c r="E3153" s="482" t="s">
        <v>894</v>
      </c>
    </row>
    <row r="3154" customFormat="1" s="36">
      <c r="A3154" s="485" t="s">
        <v>6328</v>
      </c>
      <c r="B3154" s="485" t="s">
        <v>6329</v>
      </c>
      <c r="C3154" s="482">
        <v>0.0</v>
      </c>
      <c r="D3154" s="482" t="s">
        <v>893</v>
      </c>
      <c r="E3154" s="482" t="s">
        <v>894</v>
      </c>
    </row>
    <row r="3155" customFormat="1" s="36">
      <c r="A3155" s="485" t="s">
        <v>6330</v>
      </c>
      <c r="B3155" s="485" t="s">
        <v>6331</v>
      </c>
      <c r="C3155" s="482">
        <v>66.0</v>
      </c>
      <c r="D3155" s="482" t="s">
        <v>913</v>
      </c>
      <c r="E3155" s="482" t="s">
        <v>894</v>
      </c>
    </row>
    <row r="3156" customFormat="1" s="36">
      <c r="A3156" s="485" t="s">
        <v>6332</v>
      </c>
      <c r="B3156" s="485" t="s">
        <v>6333</v>
      </c>
      <c r="C3156" s="482">
        <v>0.0</v>
      </c>
      <c r="D3156" s="482" t="s">
        <v>893</v>
      </c>
      <c r="E3156" s="482" t="s">
        <v>894</v>
      </c>
    </row>
    <row r="3157" customFormat="1" s="36">
      <c r="A3157" s="485" t="s">
        <v>6334</v>
      </c>
      <c r="B3157" s="485" t="s">
        <v>6335</v>
      </c>
      <c r="C3157" s="482">
        <v>0.0</v>
      </c>
      <c r="D3157" s="482" t="s">
        <v>893</v>
      </c>
      <c r="E3157" s="482" t="s">
        <v>894</v>
      </c>
    </row>
    <row r="3158" customFormat="1" s="36">
      <c r="A3158" s="485" t="s">
        <v>6336</v>
      </c>
      <c r="B3158" s="485" t="s">
        <v>6337</v>
      </c>
      <c r="C3158" s="482">
        <v>0.0</v>
      </c>
      <c r="D3158" s="482" t="s">
        <v>893</v>
      </c>
      <c r="E3158" s="482" t="s">
        <v>894</v>
      </c>
    </row>
    <row r="3159" customFormat="1" s="36">
      <c r="A3159" s="485" t="s">
        <v>6338</v>
      </c>
      <c r="B3159" s="485" t="s">
        <v>6339</v>
      </c>
      <c r="C3159" s="482">
        <v>0.0</v>
      </c>
      <c r="D3159" s="482" t="s">
        <v>893</v>
      </c>
      <c r="E3159" s="482" t="s">
        <v>894</v>
      </c>
    </row>
    <row r="3160" customFormat="1" s="36">
      <c r="A3160" s="485" t="s">
        <v>6340</v>
      </c>
      <c r="B3160" s="485" t="s">
        <v>6341</v>
      </c>
      <c r="C3160" s="482">
        <v>0.0</v>
      </c>
      <c r="D3160" s="482" t="s">
        <v>893</v>
      </c>
      <c r="E3160" s="482" t="s">
        <v>894</v>
      </c>
    </row>
    <row r="3161" customFormat="1" s="36">
      <c r="A3161" s="485" t="s">
        <v>6342</v>
      </c>
      <c r="B3161" s="485" t="s">
        <v>6343</v>
      </c>
      <c r="C3161" s="482">
        <v>0.0</v>
      </c>
      <c r="D3161" s="482" t="s">
        <v>893</v>
      </c>
      <c r="E3161" s="482" t="s">
        <v>894</v>
      </c>
    </row>
    <row r="3162" customFormat="1" s="36">
      <c r="A3162" s="485" t="s">
        <v>6344</v>
      </c>
      <c r="B3162" s="485" t="s">
        <v>6345</v>
      </c>
      <c r="C3162" s="482">
        <v>744.0</v>
      </c>
      <c r="D3162" s="482" t="s">
        <v>913</v>
      </c>
      <c r="E3162" s="482" t="s">
        <v>894</v>
      </c>
    </row>
    <row r="3163" customFormat="1" s="36">
      <c r="A3163" s="485" t="s">
        <v>6346</v>
      </c>
      <c r="B3163" s="485" t="s">
        <v>6347</v>
      </c>
      <c r="C3163" s="482">
        <v>0.0</v>
      </c>
      <c r="D3163" s="482" t="s">
        <v>893</v>
      </c>
      <c r="E3163" s="482" t="s">
        <v>894</v>
      </c>
    </row>
    <row r="3164" customFormat="1" s="36">
      <c r="A3164" s="485" t="s">
        <v>6348</v>
      </c>
      <c r="B3164" s="485" t="s">
        <v>6349</v>
      </c>
      <c r="C3164" s="482">
        <v>90.0</v>
      </c>
      <c r="D3164" s="482" t="s">
        <v>913</v>
      </c>
      <c r="E3164" s="482" t="s">
        <v>894</v>
      </c>
    </row>
    <row r="3165" customFormat="1" s="36">
      <c r="A3165" s="485" t="s">
        <v>6350</v>
      </c>
      <c r="B3165" s="485" t="s">
        <v>6351</v>
      </c>
      <c r="C3165" s="482">
        <v>0.0</v>
      </c>
      <c r="D3165" s="482" t="s">
        <v>893</v>
      </c>
      <c r="E3165" s="482" t="s">
        <v>894</v>
      </c>
    </row>
    <row r="3166" customFormat="1" s="36">
      <c r="A3166" s="485" t="s">
        <v>6352</v>
      </c>
      <c r="B3166" s="485" t="s">
        <v>6353</v>
      </c>
      <c r="C3166" s="482">
        <v>0.0</v>
      </c>
      <c r="D3166" s="482" t="s">
        <v>893</v>
      </c>
      <c r="E3166" s="482" t="s">
        <v>894</v>
      </c>
    </row>
    <row r="3167" customFormat="1" s="36">
      <c r="A3167" s="485" t="s">
        <v>6354</v>
      </c>
      <c r="B3167" s="485" t="s">
        <v>6355</v>
      </c>
      <c r="C3167" s="482">
        <v>0.0</v>
      </c>
      <c r="D3167" s="482" t="s">
        <v>893</v>
      </c>
      <c r="E3167" s="482" t="s">
        <v>894</v>
      </c>
    </row>
    <row r="3168" customFormat="1" s="36">
      <c r="A3168" s="485" t="s">
        <v>6356</v>
      </c>
      <c r="B3168" s="485" t="s">
        <v>6357</v>
      </c>
      <c r="C3168" s="482">
        <v>0.0</v>
      </c>
      <c r="D3168" s="482" t="s">
        <v>893</v>
      </c>
      <c r="E3168" s="482" t="s">
        <v>894</v>
      </c>
    </row>
    <row r="3169" customFormat="1" s="36">
      <c r="A3169" s="485" t="s">
        <v>6358</v>
      </c>
      <c r="B3169" s="485" t="s">
        <v>6359</v>
      </c>
      <c r="C3169" s="482">
        <v>60.0</v>
      </c>
      <c r="D3169" s="482" t="s">
        <v>913</v>
      </c>
      <c r="E3169" s="482" t="s">
        <v>894</v>
      </c>
    </row>
    <row r="3170" customFormat="1" s="36">
      <c r="A3170" s="485" t="s">
        <v>731</v>
      </c>
      <c r="B3170" s="485" t="s">
        <v>730</v>
      </c>
      <c r="C3170" s="482">
        <v>827.0</v>
      </c>
      <c r="D3170" s="482" t="s">
        <v>913</v>
      </c>
      <c r="E3170" s="482" t="s">
        <v>894</v>
      </c>
    </row>
    <row r="3171" customFormat="1" s="36">
      <c r="A3171" s="485" t="s">
        <v>6360</v>
      </c>
      <c r="B3171" s="485" t="s">
        <v>6361</v>
      </c>
      <c r="C3171" s="482">
        <v>606.0</v>
      </c>
      <c r="D3171" s="482" t="s">
        <v>913</v>
      </c>
      <c r="E3171" s="482" t="s">
        <v>894</v>
      </c>
    </row>
    <row r="3172" customFormat="1" s="36">
      <c r="A3172" s="485" t="s">
        <v>729</v>
      </c>
      <c r="B3172" s="485" t="s">
        <v>728</v>
      </c>
      <c r="C3172" s="482">
        <v>908.0</v>
      </c>
      <c r="D3172" s="482" t="s">
        <v>913</v>
      </c>
      <c r="E3172" s="482" t="s">
        <v>894</v>
      </c>
    </row>
    <row r="3173" customFormat="1" s="36">
      <c r="A3173" s="485" t="s">
        <v>6362</v>
      </c>
      <c r="B3173" s="485" t="s">
        <v>6363</v>
      </c>
      <c r="C3173" s="482">
        <v>575.0</v>
      </c>
      <c r="D3173" s="482" t="s">
        <v>913</v>
      </c>
      <c r="E3173" s="482" t="s">
        <v>894</v>
      </c>
    </row>
    <row r="3174" customFormat="1" s="36">
      <c r="A3174" s="485" t="s">
        <v>6364</v>
      </c>
      <c r="B3174" s="485" t="s">
        <v>6365</v>
      </c>
      <c r="C3174" s="482">
        <v>441.0</v>
      </c>
      <c r="D3174" s="482" t="s">
        <v>913</v>
      </c>
      <c r="E3174" s="482" t="s">
        <v>894</v>
      </c>
    </row>
    <row r="3175" customFormat="1" s="36">
      <c r="A3175" s="485" t="s">
        <v>727</v>
      </c>
      <c r="B3175" s="485" t="s">
        <v>726</v>
      </c>
      <c r="C3175" s="482">
        <v>956.0</v>
      </c>
      <c r="D3175" s="482" t="s">
        <v>913</v>
      </c>
      <c r="E3175" s="482" t="s">
        <v>894</v>
      </c>
    </row>
    <row r="3176" customFormat="1" s="36">
      <c r="A3176" s="485" t="s">
        <v>6366</v>
      </c>
      <c r="B3176" s="485" t="s">
        <v>6367</v>
      </c>
      <c r="C3176" s="482">
        <v>531.0</v>
      </c>
      <c r="D3176" s="482" t="s">
        <v>913</v>
      </c>
      <c r="E3176" s="482" t="s">
        <v>894</v>
      </c>
    </row>
    <row r="3177" customFormat="1" s="36">
      <c r="A3177" s="485" t="s">
        <v>6368</v>
      </c>
      <c r="B3177" s="485" t="s">
        <v>6369</v>
      </c>
      <c r="C3177" s="482">
        <v>0.0</v>
      </c>
      <c r="D3177" s="482" t="s">
        <v>893</v>
      </c>
      <c r="E3177" s="482" t="s">
        <v>1799</v>
      </c>
    </row>
    <row r="3178" customFormat="1" s="36">
      <c r="A3178" s="485" t="s">
        <v>6370</v>
      </c>
      <c r="B3178" s="485" t="s">
        <v>6371</v>
      </c>
      <c r="C3178" s="482">
        <v>522.0</v>
      </c>
      <c r="D3178" s="482" t="s">
        <v>913</v>
      </c>
      <c r="E3178" s="482" t="s">
        <v>1140</v>
      </c>
    </row>
    <row r="3179" customFormat="1" s="36">
      <c r="A3179" s="485" t="s">
        <v>6372</v>
      </c>
      <c r="B3179" s="485" t="s">
        <v>6373</v>
      </c>
      <c r="C3179" s="482">
        <v>462.0</v>
      </c>
      <c r="D3179" s="482" t="s">
        <v>913</v>
      </c>
      <c r="E3179" s="482" t="s">
        <v>1140</v>
      </c>
    </row>
    <row r="3180" customFormat="1" s="36">
      <c r="A3180" s="485" t="s">
        <v>6374</v>
      </c>
      <c r="B3180" s="485" t="s">
        <v>6375</v>
      </c>
      <c r="C3180" s="482">
        <v>0.0</v>
      </c>
      <c r="D3180" s="482" t="s">
        <v>893</v>
      </c>
      <c r="E3180" s="482" t="s">
        <v>894</v>
      </c>
    </row>
    <row r="3181" customFormat="1" s="36">
      <c r="A3181" s="485" t="s">
        <v>6376</v>
      </c>
      <c r="B3181" s="485" t="s">
        <v>6377</v>
      </c>
      <c r="C3181" s="482">
        <v>102.0</v>
      </c>
      <c r="D3181" s="482" t="s">
        <v>913</v>
      </c>
      <c r="E3181" s="482" t="s">
        <v>1140</v>
      </c>
    </row>
    <row r="3182" customFormat="1" s="36">
      <c r="A3182" s="485" t="s">
        <v>6378</v>
      </c>
      <c r="B3182" s="485" t="s">
        <v>6379</v>
      </c>
      <c r="C3182" s="482">
        <v>0.0</v>
      </c>
      <c r="D3182" s="482" t="s">
        <v>893</v>
      </c>
      <c r="E3182" s="482" t="s">
        <v>894</v>
      </c>
    </row>
    <row r="3183" customFormat="1" s="36">
      <c r="A3183" s="485" t="s">
        <v>6380</v>
      </c>
      <c r="B3183" s="485" t="s">
        <v>6381</v>
      </c>
      <c r="C3183" s="482">
        <v>0.0</v>
      </c>
      <c r="D3183" s="482" t="s">
        <v>893</v>
      </c>
      <c r="E3183" s="482" t="s">
        <v>894</v>
      </c>
    </row>
    <row r="3184" customFormat="1" s="36">
      <c r="A3184" s="485" t="s">
        <v>6382</v>
      </c>
      <c r="B3184" s="485" t="s">
        <v>6383</v>
      </c>
      <c r="C3184" s="482">
        <v>493.0</v>
      </c>
      <c r="D3184" s="482" t="s">
        <v>913</v>
      </c>
      <c r="E3184" s="482" t="s">
        <v>1140</v>
      </c>
    </row>
    <row r="3185" customFormat="1" s="36">
      <c r="A3185" s="485" t="s">
        <v>6384</v>
      </c>
      <c r="B3185" s="485" t="s">
        <v>6385</v>
      </c>
      <c r="C3185" s="482">
        <v>463.0</v>
      </c>
      <c r="D3185" s="482" t="s">
        <v>913</v>
      </c>
      <c r="E3185" s="482" t="s">
        <v>1140</v>
      </c>
    </row>
    <row r="3186" customFormat="1" s="36">
      <c r="A3186" s="485" t="s">
        <v>6386</v>
      </c>
      <c r="B3186" s="485" t="s">
        <v>6387</v>
      </c>
      <c r="C3186" s="482">
        <v>491.0</v>
      </c>
      <c r="D3186" s="482" t="s">
        <v>913</v>
      </c>
      <c r="E3186" s="482" t="s">
        <v>1140</v>
      </c>
    </row>
    <row r="3187" customFormat="1" s="36">
      <c r="A3187" s="485" t="s">
        <v>308</v>
      </c>
      <c r="B3187" s="485" t="s">
        <v>307</v>
      </c>
      <c r="C3187" s="482">
        <v>276.0</v>
      </c>
      <c r="D3187" s="482" t="s">
        <v>913</v>
      </c>
      <c r="E3187" s="482" t="s">
        <v>894</v>
      </c>
    </row>
    <row r="3188" customFormat="1" s="36">
      <c r="A3188" s="485" t="s">
        <v>312</v>
      </c>
      <c r="B3188" s="485" t="s">
        <v>311</v>
      </c>
      <c r="C3188" s="482">
        <v>333.0</v>
      </c>
      <c r="D3188" s="482" t="s">
        <v>913</v>
      </c>
      <c r="E3188" s="482" t="s">
        <v>894</v>
      </c>
    </row>
    <row r="3189" customFormat="1" s="36">
      <c r="A3189" s="485" t="s">
        <v>306</v>
      </c>
      <c r="B3189" s="485" t="s">
        <v>305</v>
      </c>
      <c r="C3189" s="482">
        <v>992.0</v>
      </c>
      <c r="D3189" s="482" t="s">
        <v>913</v>
      </c>
      <c r="E3189" s="482" t="s">
        <v>894</v>
      </c>
    </row>
    <row r="3190" customFormat="1" s="36">
      <c r="A3190" s="485" t="s">
        <v>310</v>
      </c>
      <c r="B3190" s="485" t="s">
        <v>309</v>
      </c>
      <c r="C3190" s="482">
        <v>317.0</v>
      </c>
      <c r="D3190" s="482" t="s">
        <v>913</v>
      </c>
      <c r="E3190" s="482" t="s">
        <v>894</v>
      </c>
    </row>
    <row r="3191" customFormat="1" s="36">
      <c r="A3191" s="485" t="s">
        <v>296</v>
      </c>
      <c r="B3191" s="485" t="s">
        <v>295</v>
      </c>
      <c r="C3191" s="482">
        <v>476.0</v>
      </c>
      <c r="D3191" s="482" t="s">
        <v>913</v>
      </c>
      <c r="E3191" s="482" t="s">
        <v>894</v>
      </c>
    </row>
    <row r="3192" customFormat="1" s="36">
      <c r="A3192" s="485" t="s">
        <v>6388</v>
      </c>
      <c r="B3192" s="485" t="s">
        <v>6389</v>
      </c>
      <c r="C3192" s="482">
        <v>1.0</v>
      </c>
      <c r="D3192" s="482" t="s">
        <v>913</v>
      </c>
      <c r="E3192" s="482" t="s">
        <v>894</v>
      </c>
    </row>
    <row r="3193" customFormat="1" s="36">
      <c r="A3193" s="485" t="s">
        <v>787</v>
      </c>
      <c r="B3193" s="485" t="s">
        <v>786</v>
      </c>
      <c r="C3193" s="482">
        <v>205.0</v>
      </c>
      <c r="D3193" s="482" t="s">
        <v>913</v>
      </c>
      <c r="E3193" s="482" t="s">
        <v>894</v>
      </c>
    </row>
    <row r="3194" customFormat="1" s="36">
      <c r="A3194" s="485" t="s">
        <v>785</v>
      </c>
      <c r="B3194" s="485" t="s">
        <v>784</v>
      </c>
      <c r="C3194" s="482">
        <v>332.0</v>
      </c>
      <c r="D3194" s="482" t="s">
        <v>913</v>
      </c>
      <c r="E3194" s="482" t="s">
        <v>894</v>
      </c>
    </row>
    <row r="3195" customFormat="1" s="36">
      <c r="A3195" s="485" t="s">
        <v>6390</v>
      </c>
      <c r="B3195" s="485" t="s">
        <v>6391</v>
      </c>
      <c r="C3195" s="482">
        <v>-4.0</v>
      </c>
      <c r="D3195" s="482" t="s">
        <v>913</v>
      </c>
      <c r="E3195" s="482" t="s">
        <v>894</v>
      </c>
    </row>
    <row r="3196" customFormat="1" s="36">
      <c r="A3196" s="485" t="s">
        <v>284</v>
      </c>
      <c r="B3196" s="485" t="s">
        <v>283</v>
      </c>
      <c r="C3196" s="482">
        <v>500.0</v>
      </c>
      <c r="D3196" s="482" t="s">
        <v>913</v>
      </c>
      <c r="E3196" s="482" t="s">
        <v>894</v>
      </c>
    </row>
    <row r="3197" customFormat="1" s="36">
      <c r="A3197" s="485" t="s">
        <v>298</v>
      </c>
      <c r="B3197" s="485" t="s">
        <v>297</v>
      </c>
      <c r="C3197" s="482">
        <v>395.0</v>
      </c>
      <c r="D3197" s="482" t="s">
        <v>913</v>
      </c>
      <c r="E3197" s="482" t="s">
        <v>894</v>
      </c>
    </row>
    <row r="3198" customFormat="1" s="36">
      <c r="A3198" s="485" t="s">
        <v>286</v>
      </c>
      <c r="B3198" s="485" t="s">
        <v>285</v>
      </c>
      <c r="C3198" s="482">
        <v>245.0</v>
      </c>
      <c r="D3198" s="482" t="s">
        <v>913</v>
      </c>
      <c r="E3198" s="482" t="s">
        <v>894</v>
      </c>
    </row>
    <row r="3199" customFormat="1" s="36">
      <c r="A3199" s="485" t="s">
        <v>302</v>
      </c>
      <c r="B3199" s="485" t="s">
        <v>301</v>
      </c>
      <c r="C3199" s="482">
        <v>484.0</v>
      </c>
      <c r="D3199" s="482" t="s">
        <v>913</v>
      </c>
      <c r="E3199" s="482" t="s">
        <v>894</v>
      </c>
    </row>
    <row r="3200" customFormat="1" s="36">
      <c r="A3200" s="485" t="s">
        <v>288</v>
      </c>
      <c r="B3200" s="485" t="s">
        <v>287</v>
      </c>
      <c r="C3200" s="482">
        <v>440.0</v>
      </c>
      <c r="D3200" s="482" t="s">
        <v>913</v>
      </c>
      <c r="E3200" s="482" t="s">
        <v>894</v>
      </c>
    </row>
    <row r="3201" customFormat="1" s="36">
      <c r="A3201" s="485" t="s">
        <v>6392</v>
      </c>
      <c r="B3201" s="485" t="s">
        <v>6393</v>
      </c>
      <c r="C3201" s="482">
        <v>0.0</v>
      </c>
      <c r="D3201" s="482" t="s">
        <v>893</v>
      </c>
      <c r="E3201" s="482" t="s">
        <v>894</v>
      </c>
    </row>
    <row r="3202" customFormat="1" s="36">
      <c r="A3202" s="485" t="s">
        <v>292</v>
      </c>
      <c r="B3202" s="485" t="s">
        <v>291</v>
      </c>
      <c r="C3202" s="482">
        <v>540.0</v>
      </c>
      <c r="D3202" s="482" t="s">
        <v>913</v>
      </c>
      <c r="E3202" s="482" t="s">
        <v>894</v>
      </c>
    </row>
    <row r="3203" customFormat="1" s="36">
      <c r="A3203" s="485" t="s">
        <v>304</v>
      </c>
      <c r="B3203" s="485" t="s">
        <v>303</v>
      </c>
      <c r="C3203" s="482">
        <v>278.0</v>
      </c>
      <c r="D3203" s="482" t="s">
        <v>913</v>
      </c>
      <c r="E3203" s="482" t="s">
        <v>894</v>
      </c>
    </row>
    <row r="3204" customFormat="1" s="36">
      <c r="A3204" s="485" t="s">
        <v>783</v>
      </c>
      <c r="B3204" s="485" t="s">
        <v>782</v>
      </c>
      <c r="C3204" s="482">
        <v>364.0</v>
      </c>
      <c r="D3204" s="482" t="s">
        <v>913</v>
      </c>
      <c r="E3204" s="482" t="s">
        <v>894</v>
      </c>
    </row>
    <row r="3205" customFormat="1" s="36">
      <c r="A3205" s="485" t="s">
        <v>280</v>
      </c>
      <c r="B3205" s="485" t="s">
        <v>279</v>
      </c>
      <c r="C3205" s="482">
        <v>363.0</v>
      </c>
      <c r="D3205" s="482" t="s">
        <v>913</v>
      </c>
      <c r="E3205" s="482" t="s">
        <v>894</v>
      </c>
    </row>
    <row r="3206" customFormat="1" s="36">
      <c r="A3206" s="485" t="s">
        <v>6394</v>
      </c>
      <c r="B3206" s="485" t="s">
        <v>6395</v>
      </c>
      <c r="C3206" s="482">
        <v>-12.0</v>
      </c>
      <c r="D3206" s="482" t="s">
        <v>913</v>
      </c>
      <c r="E3206" s="482" t="s">
        <v>894</v>
      </c>
    </row>
    <row r="3207" customFormat="1" s="36">
      <c r="A3207" s="485" t="s">
        <v>300</v>
      </c>
      <c r="B3207" s="485" t="s">
        <v>299</v>
      </c>
      <c r="C3207" s="482">
        <v>48.0</v>
      </c>
      <c r="D3207" s="482" t="s">
        <v>913</v>
      </c>
      <c r="E3207" s="482" t="s">
        <v>894</v>
      </c>
    </row>
    <row r="3208" customFormat="1" s="36">
      <c r="A3208" s="485" t="s">
        <v>781</v>
      </c>
      <c r="B3208" s="485" t="s">
        <v>780</v>
      </c>
      <c r="C3208" s="482">
        <v>401.0</v>
      </c>
      <c r="D3208" s="482" t="s">
        <v>913</v>
      </c>
      <c r="E3208" s="482" t="s">
        <v>894</v>
      </c>
    </row>
    <row r="3209" customFormat="1" s="36">
      <c r="A3209" s="485" t="s">
        <v>290</v>
      </c>
      <c r="B3209" s="485" t="s">
        <v>289</v>
      </c>
      <c r="C3209" s="482">
        <v>497.0</v>
      </c>
      <c r="D3209" s="482" t="s">
        <v>913</v>
      </c>
      <c r="E3209" s="482" t="s">
        <v>894</v>
      </c>
    </row>
    <row r="3210" customFormat="1" s="36">
      <c r="A3210" s="485" t="s">
        <v>282</v>
      </c>
      <c r="B3210" s="485" t="s">
        <v>281</v>
      </c>
      <c r="C3210" s="482">
        <v>470.0</v>
      </c>
      <c r="D3210" s="482" t="s">
        <v>913</v>
      </c>
      <c r="E3210" s="482" t="s">
        <v>894</v>
      </c>
    </row>
    <row r="3211" customFormat="1" s="36">
      <c r="A3211" s="485" t="s">
        <v>581</v>
      </c>
      <c r="B3211" s="485" t="s">
        <v>580</v>
      </c>
      <c r="C3211" s="482">
        <v>312.0</v>
      </c>
      <c r="D3211" s="482" t="s">
        <v>913</v>
      </c>
      <c r="E3211" s="482" t="s">
        <v>894</v>
      </c>
    </row>
    <row r="3212" customFormat="1" s="36">
      <c r="A3212" s="485" t="s">
        <v>294</v>
      </c>
      <c r="B3212" s="485" t="s">
        <v>293</v>
      </c>
      <c r="C3212" s="482">
        <v>0.0</v>
      </c>
      <c r="D3212" s="482" t="s">
        <v>913</v>
      </c>
      <c r="E3212" s="482" t="s">
        <v>894</v>
      </c>
    </row>
    <row r="3213" customFormat="1" s="36">
      <c r="A3213" s="485" t="s">
        <v>789</v>
      </c>
      <c r="B3213" s="485" t="s">
        <v>788</v>
      </c>
      <c r="C3213" s="482">
        <v>0.0</v>
      </c>
      <c r="D3213" s="482" t="s">
        <v>913</v>
      </c>
      <c r="E3213" s="482" t="s">
        <v>894</v>
      </c>
    </row>
    <row r="3214" customFormat="1" s="36">
      <c r="A3214" s="485" t="s">
        <v>394</v>
      </c>
      <c r="B3214" s="485" t="s">
        <v>393</v>
      </c>
      <c r="C3214" s="482">
        <v>459.0</v>
      </c>
      <c r="D3214" s="482" t="s">
        <v>913</v>
      </c>
      <c r="E3214" s="482" t="s">
        <v>894</v>
      </c>
    </row>
    <row r="3215" customFormat="1" s="36">
      <c r="A3215" s="485" t="s">
        <v>6396</v>
      </c>
      <c r="B3215" s="485" t="s">
        <v>6397</v>
      </c>
      <c r="C3215" s="482">
        <v>0.0</v>
      </c>
      <c r="D3215" s="482" t="s">
        <v>893</v>
      </c>
      <c r="E3215" s="482" t="s">
        <v>894</v>
      </c>
    </row>
    <row r="3216" customFormat="1" s="36">
      <c r="A3216" s="485" t="s">
        <v>6398</v>
      </c>
      <c r="B3216" s="485" t="s">
        <v>6399</v>
      </c>
      <c r="C3216" s="482">
        <v>0.0</v>
      </c>
      <c r="D3216" s="482" t="s">
        <v>893</v>
      </c>
      <c r="E3216" s="482" t="s">
        <v>894</v>
      </c>
    </row>
    <row r="3217" customFormat="1" s="36">
      <c r="A3217" s="485" t="s">
        <v>6400</v>
      </c>
      <c r="B3217" s="485" t="s">
        <v>6401</v>
      </c>
      <c r="C3217" s="482">
        <v>0.0</v>
      </c>
      <c r="D3217" s="482" t="s">
        <v>893</v>
      </c>
      <c r="E3217" s="482" t="s">
        <v>894</v>
      </c>
    </row>
    <row r="3218" customFormat="1" s="36">
      <c r="A3218" s="485" t="s">
        <v>384</v>
      </c>
      <c r="B3218" s="485" t="s">
        <v>383</v>
      </c>
      <c r="C3218" s="482">
        <v>44.0</v>
      </c>
      <c r="D3218" s="482" t="s">
        <v>913</v>
      </c>
      <c r="E3218" s="482" t="s">
        <v>894</v>
      </c>
    </row>
    <row r="3219" customFormat="1" s="36">
      <c r="A3219" s="485" t="s">
        <v>396</v>
      </c>
      <c r="B3219" s="485" t="s">
        <v>395</v>
      </c>
      <c r="C3219" s="482">
        <v>663.0</v>
      </c>
      <c r="D3219" s="482" t="s">
        <v>913</v>
      </c>
      <c r="E3219" s="482" t="s">
        <v>894</v>
      </c>
    </row>
    <row r="3220" customFormat="1" s="36">
      <c r="A3220" s="485" t="s">
        <v>6402</v>
      </c>
      <c r="B3220" s="485" t="s">
        <v>6403</v>
      </c>
      <c r="C3220" s="482">
        <v>0.0</v>
      </c>
      <c r="D3220" s="482" t="s">
        <v>893</v>
      </c>
      <c r="E3220" s="482" t="s">
        <v>894</v>
      </c>
    </row>
    <row r="3221" customFormat="1" s="36">
      <c r="A3221" s="485" t="s">
        <v>6404</v>
      </c>
      <c r="B3221" s="485" t="s">
        <v>6405</v>
      </c>
      <c r="C3221" s="482">
        <v>0.0</v>
      </c>
      <c r="D3221" s="482" t="s">
        <v>893</v>
      </c>
      <c r="E3221" s="482" t="s">
        <v>894</v>
      </c>
    </row>
    <row r="3222" customFormat="1" s="36">
      <c r="A3222" s="485" t="s">
        <v>6406</v>
      </c>
      <c r="B3222" s="485" t="s">
        <v>6407</v>
      </c>
      <c r="C3222" s="482">
        <v>0.0</v>
      </c>
      <c r="D3222" s="482" t="s">
        <v>893</v>
      </c>
      <c r="E3222" s="482" t="s">
        <v>894</v>
      </c>
    </row>
    <row r="3223" customFormat="1" s="36">
      <c r="A3223" s="485" t="s">
        <v>6408</v>
      </c>
      <c r="B3223" s="485" t="s">
        <v>6409</v>
      </c>
      <c r="C3223" s="482">
        <v>0.0</v>
      </c>
      <c r="D3223" s="482" t="s">
        <v>893</v>
      </c>
      <c r="E3223" s="482" t="s">
        <v>894</v>
      </c>
    </row>
    <row r="3224" customFormat="1" s="36">
      <c r="A3224" s="485" t="s">
        <v>386</v>
      </c>
      <c r="B3224" s="485" t="s">
        <v>385</v>
      </c>
      <c r="C3224" s="482">
        <v>214.0</v>
      </c>
      <c r="D3224" s="482" t="s">
        <v>913</v>
      </c>
      <c r="E3224" s="482" t="s">
        <v>894</v>
      </c>
    </row>
    <row r="3225" customFormat="1" s="36">
      <c r="A3225" s="485" t="s">
        <v>6410</v>
      </c>
      <c r="B3225" s="485" t="s">
        <v>6411</v>
      </c>
      <c r="C3225" s="482">
        <v>0.0</v>
      </c>
      <c r="D3225" s="482" t="s">
        <v>893</v>
      </c>
      <c r="E3225" s="482" t="s">
        <v>894</v>
      </c>
    </row>
    <row r="3226" customFormat="1" s="36">
      <c r="A3226" s="485" t="s">
        <v>392</v>
      </c>
      <c r="B3226" s="485" t="s">
        <v>391</v>
      </c>
      <c r="C3226" s="482">
        <v>442.0</v>
      </c>
      <c r="D3226" s="482" t="s">
        <v>913</v>
      </c>
      <c r="E3226" s="482" t="s">
        <v>894</v>
      </c>
    </row>
    <row r="3227" customFormat="1" s="36">
      <c r="A3227" s="485" t="s">
        <v>6412</v>
      </c>
      <c r="B3227" s="485" t="s">
        <v>6413</v>
      </c>
      <c r="C3227" s="482">
        <v>0.0</v>
      </c>
      <c r="D3227" s="482" t="s">
        <v>893</v>
      </c>
      <c r="E3227" s="482" t="s">
        <v>894</v>
      </c>
    </row>
    <row r="3228" customFormat="1" s="36">
      <c r="A3228" s="485" t="s">
        <v>6414</v>
      </c>
      <c r="B3228" s="485" t="s">
        <v>6415</v>
      </c>
      <c r="C3228" s="482">
        <v>0.0</v>
      </c>
      <c r="D3228" s="482" t="s">
        <v>893</v>
      </c>
      <c r="E3228" s="482" t="s">
        <v>894</v>
      </c>
    </row>
    <row r="3229" customFormat="1" s="36">
      <c r="A3229" s="485" t="s">
        <v>388</v>
      </c>
      <c r="B3229" s="485" t="s">
        <v>387</v>
      </c>
      <c r="C3229" s="482">
        <v>60.0</v>
      </c>
      <c r="D3229" s="482" t="s">
        <v>913</v>
      </c>
      <c r="E3229" s="482" t="s">
        <v>894</v>
      </c>
    </row>
    <row r="3230" customFormat="1" s="36">
      <c r="A3230" s="485" t="s">
        <v>6416</v>
      </c>
      <c r="B3230" s="485" t="s">
        <v>6417</v>
      </c>
      <c r="C3230" s="482">
        <v>0.0</v>
      </c>
      <c r="D3230" s="482" t="s">
        <v>893</v>
      </c>
      <c r="E3230" s="482" t="s">
        <v>894</v>
      </c>
    </row>
    <row r="3231" customFormat="1" s="36">
      <c r="A3231" s="485" t="s">
        <v>382</v>
      </c>
      <c r="B3231" s="485" t="s">
        <v>381</v>
      </c>
      <c r="C3231" s="482">
        <v>215.0</v>
      </c>
      <c r="D3231" s="482" t="s">
        <v>913</v>
      </c>
      <c r="E3231" s="482" t="s">
        <v>894</v>
      </c>
    </row>
    <row r="3232" customFormat="1" s="36">
      <c r="A3232" s="485" t="s">
        <v>587</v>
      </c>
      <c r="B3232" s="485" t="s">
        <v>586</v>
      </c>
      <c r="C3232" s="482">
        <v>390.0</v>
      </c>
      <c r="D3232" s="482" t="s">
        <v>913</v>
      </c>
      <c r="E3232" s="482" t="s">
        <v>894</v>
      </c>
    </row>
    <row r="3233" customFormat="1" s="36">
      <c r="A3233" s="485" t="s">
        <v>390</v>
      </c>
      <c r="B3233" s="485" t="s">
        <v>389</v>
      </c>
      <c r="C3233" s="482">
        <v>328.0</v>
      </c>
      <c r="D3233" s="482" t="s">
        <v>913</v>
      </c>
      <c r="E3233" s="482" t="s">
        <v>894</v>
      </c>
    </row>
    <row r="3234" customFormat="1" s="36">
      <c r="A3234" s="485" t="s">
        <v>6418</v>
      </c>
      <c r="B3234" s="485" t="s">
        <v>6419</v>
      </c>
      <c r="C3234" s="482">
        <v>0.0</v>
      </c>
      <c r="D3234" s="482" t="s">
        <v>893</v>
      </c>
      <c r="E3234" s="482" t="s">
        <v>894</v>
      </c>
    </row>
    <row r="3235" customFormat="1" s="36">
      <c r="A3235" s="485" t="s">
        <v>380</v>
      </c>
      <c r="B3235" s="485" t="s">
        <v>379</v>
      </c>
      <c r="C3235" s="482">
        <v>1.0</v>
      </c>
      <c r="D3235" s="482" t="s">
        <v>913</v>
      </c>
      <c r="E3235" s="482" t="s">
        <v>6420</v>
      </c>
    </row>
    <row r="3236" customFormat="1" s="36">
      <c r="A3236" s="485">
        <v>36901.0</v>
      </c>
      <c r="B3236" s="485" t="s">
        <v>6421</v>
      </c>
      <c r="C3236" s="482">
        <v>0.0</v>
      </c>
      <c r="D3236" s="482" t="s">
        <v>893</v>
      </c>
      <c r="E3236" s="482" t="s">
        <v>894</v>
      </c>
    </row>
    <row r="3237" customFormat="1" s="36">
      <c r="A3237" s="485" t="s">
        <v>6422</v>
      </c>
      <c r="B3237" s="485" t="s">
        <v>6423</v>
      </c>
      <c r="C3237" s="482">
        <v>0.0</v>
      </c>
      <c r="D3237" s="482" t="s">
        <v>893</v>
      </c>
      <c r="E3237" s="482" t="s">
        <v>894</v>
      </c>
    </row>
    <row r="3238" customFormat="1" s="36">
      <c r="A3238" s="485" t="s">
        <v>6424</v>
      </c>
      <c r="B3238" s="485" t="s">
        <v>6425</v>
      </c>
      <c r="C3238" s="482">
        <v>0.0</v>
      </c>
      <c r="D3238" s="482" t="s">
        <v>893</v>
      </c>
      <c r="E3238" s="482" t="s">
        <v>894</v>
      </c>
    </row>
    <row r="3239" customFormat="1" s="36">
      <c r="A3239" s="485">
        <v>36902.0</v>
      </c>
      <c r="B3239" s="485" t="s">
        <v>6426</v>
      </c>
      <c r="C3239" s="482">
        <v>0.0</v>
      </c>
      <c r="D3239" s="482" t="s">
        <v>893</v>
      </c>
      <c r="E3239" s="482" t="s">
        <v>894</v>
      </c>
    </row>
    <row r="3240" customFormat="1" s="36">
      <c r="A3240" s="485">
        <v>36903.0</v>
      </c>
      <c r="B3240" s="485" t="s">
        <v>6427</v>
      </c>
      <c r="C3240" s="482">
        <v>0.0</v>
      </c>
      <c r="D3240" s="482" t="s">
        <v>893</v>
      </c>
      <c r="E3240" s="482" t="s">
        <v>894</v>
      </c>
    </row>
    <row r="3241" customFormat="1" s="36">
      <c r="A3241" s="485">
        <v>36904.0</v>
      </c>
      <c r="B3241" s="485" t="s">
        <v>6428</v>
      </c>
      <c r="C3241" s="482">
        <v>0.0</v>
      </c>
      <c r="D3241" s="482" t="s">
        <v>893</v>
      </c>
      <c r="E3241" s="482" t="s">
        <v>894</v>
      </c>
    </row>
    <row r="3242" customFormat="1" s="36">
      <c r="A3242" s="485">
        <v>36905.0</v>
      </c>
      <c r="B3242" s="485" t="s">
        <v>6429</v>
      </c>
      <c r="C3242" s="482">
        <v>0.0</v>
      </c>
      <c r="D3242" s="482" t="s">
        <v>893</v>
      </c>
      <c r="E3242" s="482" t="s">
        <v>894</v>
      </c>
    </row>
    <row r="3243" customFormat="1" s="36">
      <c r="A3243" s="485">
        <v>36906.0</v>
      </c>
      <c r="B3243" s="485" t="s">
        <v>6430</v>
      </c>
      <c r="C3243" s="482">
        <v>0.0</v>
      </c>
      <c r="D3243" s="482" t="s">
        <v>893</v>
      </c>
      <c r="E3243" s="482" t="s">
        <v>894</v>
      </c>
    </row>
    <row r="3244" customFormat="1" s="36">
      <c r="A3244" s="485" t="s">
        <v>6431</v>
      </c>
      <c r="B3244" s="485" t="s">
        <v>6432</v>
      </c>
      <c r="C3244" s="482">
        <v>0.0</v>
      </c>
      <c r="D3244" s="482" t="s">
        <v>893</v>
      </c>
      <c r="E3244" s="482" t="s">
        <v>894</v>
      </c>
    </row>
    <row r="3245" customFormat="1" s="36">
      <c r="A3245" s="485">
        <v>30101.0</v>
      </c>
      <c r="B3245" s="485" t="s">
        <v>6433</v>
      </c>
      <c r="C3245" s="482">
        <v>0.0</v>
      </c>
      <c r="D3245" s="482" t="s">
        <v>893</v>
      </c>
      <c r="E3245" s="482" t="s">
        <v>894</v>
      </c>
    </row>
    <row r="3246" customFormat="1" s="36">
      <c r="A3246" s="485" t="s">
        <v>6434</v>
      </c>
      <c r="B3246" s="485" t="s">
        <v>6435</v>
      </c>
      <c r="C3246" s="482">
        <v>135.0</v>
      </c>
      <c r="D3246" s="482" t="s">
        <v>913</v>
      </c>
      <c r="E3246" s="482" t="s">
        <v>894</v>
      </c>
    </row>
    <row r="3247" customFormat="1" s="36">
      <c r="A3247" s="485" t="s">
        <v>6436</v>
      </c>
      <c r="B3247" s="485" t="s">
        <v>6437</v>
      </c>
      <c r="C3247" s="482">
        <v>127.0</v>
      </c>
      <c r="D3247" s="482" t="s">
        <v>913</v>
      </c>
      <c r="E3247" s="482" t="s">
        <v>894</v>
      </c>
    </row>
    <row r="3248" customFormat="1" s="36">
      <c r="A3248" s="485" t="s">
        <v>6438</v>
      </c>
      <c r="B3248" s="485" t="s">
        <v>6439</v>
      </c>
      <c r="C3248" s="482">
        <v>251.0</v>
      </c>
      <c r="D3248" s="482" t="s">
        <v>913</v>
      </c>
      <c r="E3248" s="482" t="s">
        <v>894</v>
      </c>
    </row>
    <row r="3249" customFormat="1" s="36">
      <c r="A3249" s="485" t="s">
        <v>6440</v>
      </c>
      <c r="B3249" s="485" t="s">
        <v>6441</v>
      </c>
      <c r="C3249" s="482">
        <v>135.0</v>
      </c>
      <c r="D3249" s="482" t="s">
        <v>913</v>
      </c>
      <c r="E3249" s="482" t="s">
        <v>894</v>
      </c>
    </row>
    <row r="3250" customFormat="1" s="36">
      <c r="A3250" s="485" t="s">
        <v>6442</v>
      </c>
      <c r="B3250" s="485" t="s">
        <v>6443</v>
      </c>
      <c r="C3250" s="482">
        <v>0.0</v>
      </c>
      <c r="D3250" s="482" t="s">
        <v>893</v>
      </c>
      <c r="E3250" s="482" t="s">
        <v>894</v>
      </c>
    </row>
    <row r="3251" customFormat="1" s="36">
      <c r="A3251" s="485" t="s">
        <v>6444</v>
      </c>
      <c r="B3251" s="485" t="s">
        <v>6445</v>
      </c>
      <c r="C3251" s="482">
        <v>79.0</v>
      </c>
      <c r="D3251" s="482" t="s">
        <v>913</v>
      </c>
      <c r="E3251" s="482" t="s">
        <v>894</v>
      </c>
    </row>
    <row r="3252" customFormat="1" s="36">
      <c r="A3252" s="485" t="s">
        <v>6446</v>
      </c>
      <c r="B3252" s="485" t="s">
        <v>6447</v>
      </c>
      <c r="C3252" s="482">
        <v>0.0</v>
      </c>
      <c r="D3252" s="482" t="s">
        <v>893</v>
      </c>
      <c r="E3252" s="482" t="s">
        <v>894</v>
      </c>
    </row>
    <row r="3253" customFormat="1" s="36">
      <c r="A3253" s="485" t="s">
        <v>6448</v>
      </c>
      <c r="B3253" s="485" t="s">
        <v>6449</v>
      </c>
      <c r="C3253" s="482">
        <v>0.0</v>
      </c>
      <c r="D3253" s="482" t="s">
        <v>893</v>
      </c>
      <c r="E3253" s="482" t="s">
        <v>894</v>
      </c>
    </row>
    <row r="3254" customFormat="1" s="36">
      <c r="A3254" s="485" t="s">
        <v>6450</v>
      </c>
      <c r="B3254" s="485" t="s">
        <v>6451</v>
      </c>
      <c r="C3254" s="482">
        <v>0.0</v>
      </c>
      <c r="D3254" s="482" t="s">
        <v>893</v>
      </c>
      <c r="E3254" s="482" t="s">
        <v>894</v>
      </c>
    </row>
    <row r="3255" customFormat="1" s="36">
      <c r="A3255" s="485" t="s">
        <v>6452</v>
      </c>
      <c r="B3255" s="485" t="s">
        <v>6453</v>
      </c>
      <c r="C3255" s="482">
        <v>0.0</v>
      </c>
      <c r="D3255" s="482" t="s">
        <v>893</v>
      </c>
      <c r="E3255" s="482" t="s">
        <v>894</v>
      </c>
    </row>
    <row r="3256" customFormat="1" s="36">
      <c r="A3256" s="485" t="s">
        <v>6454</v>
      </c>
      <c r="B3256" s="485" t="s">
        <v>6455</v>
      </c>
      <c r="C3256" s="482">
        <v>0.0</v>
      </c>
      <c r="D3256" s="482" t="s">
        <v>893</v>
      </c>
      <c r="E3256" s="482" t="s">
        <v>894</v>
      </c>
    </row>
    <row r="3257" customFormat="1" s="36">
      <c r="A3257" s="485" t="s">
        <v>6456</v>
      </c>
      <c r="B3257" s="485" t="s">
        <v>6457</v>
      </c>
      <c r="C3257" s="482">
        <v>0.0</v>
      </c>
      <c r="D3257" s="482" t="s">
        <v>893</v>
      </c>
      <c r="E3257" s="482" t="s">
        <v>894</v>
      </c>
    </row>
    <row r="3258" customFormat="1" s="36">
      <c r="A3258" s="485" t="s">
        <v>6458</v>
      </c>
      <c r="B3258" s="485" t="s">
        <v>6459</v>
      </c>
      <c r="C3258" s="482">
        <v>0.0</v>
      </c>
      <c r="D3258" s="482" t="s">
        <v>893</v>
      </c>
      <c r="E3258" s="482" t="s">
        <v>894</v>
      </c>
    </row>
    <row r="3259" customFormat="1" s="36">
      <c r="A3259" s="485" t="s">
        <v>6460</v>
      </c>
      <c r="B3259" s="485" t="s">
        <v>6461</v>
      </c>
      <c r="C3259" s="482">
        <v>0.0</v>
      </c>
      <c r="D3259" s="482" t="s">
        <v>893</v>
      </c>
      <c r="E3259" s="482" t="s">
        <v>894</v>
      </c>
    </row>
    <row r="3260" customFormat="1" s="36">
      <c r="A3260" s="485" t="s">
        <v>6462</v>
      </c>
      <c r="B3260" s="485" t="s">
        <v>6463</v>
      </c>
      <c r="C3260" s="482">
        <v>0.0</v>
      </c>
      <c r="D3260" s="482" t="s">
        <v>893</v>
      </c>
      <c r="E3260" s="482" t="s">
        <v>894</v>
      </c>
    </row>
    <row r="3261" customFormat="1" s="36">
      <c r="A3261" s="485" t="s">
        <v>6464</v>
      </c>
      <c r="B3261" s="485" t="s">
        <v>6465</v>
      </c>
      <c r="C3261" s="482">
        <v>0.0</v>
      </c>
      <c r="D3261" s="482" t="s">
        <v>893</v>
      </c>
      <c r="E3261" s="482" t="s">
        <v>894</v>
      </c>
    </row>
    <row r="3262" customFormat="1" s="36">
      <c r="A3262" s="485" t="s">
        <v>6466</v>
      </c>
      <c r="B3262" s="485" t="s">
        <v>6467</v>
      </c>
      <c r="C3262" s="482">
        <v>0.0</v>
      </c>
      <c r="D3262" s="482" t="s">
        <v>893</v>
      </c>
      <c r="E3262" s="482" t="s">
        <v>894</v>
      </c>
    </row>
    <row r="3263" customFormat="1" s="36">
      <c r="A3263" s="485" t="s">
        <v>6468</v>
      </c>
      <c r="B3263" s="485" t="s">
        <v>6469</v>
      </c>
      <c r="C3263" s="482">
        <v>0.0</v>
      </c>
      <c r="D3263" s="482" t="s">
        <v>893</v>
      </c>
      <c r="E3263" s="482" t="s">
        <v>894</v>
      </c>
    </row>
    <row r="3264" customFormat="1" s="36">
      <c r="A3264" s="485" t="s">
        <v>6470</v>
      </c>
      <c r="B3264" s="485" t="s">
        <v>6471</v>
      </c>
      <c r="C3264" s="482">
        <v>0.0</v>
      </c>
      <c r="D3264" s="482" t="s">
        <v>893</v>
      </c>
      <c r="E3264" s="482" t="s">
        <v>894</v>
      </c>
    </row>
    <row r="3265" customFormat="1" s="36">
      <c r="A3265" s="485" t="s">
        <v>6472</v>
      </c>
      <c r="B3265" s="485" t="s">
        <v>6473</v>
      </c>
      <c r="C3265" s="482">
        <v>0.0</v>
      </c>
      <c r="D3265" s="482" t="s">
        <v>893</v>
      </c>
      <c r="E3265" s="482" t="s">
        <v>894</v>
      </c>
    </row>
    <row r="3266" customFormat="1" s="36">
      <c r="A3266" s="485" t="s">
        <v>6474</v>
      </c>
      <c r="B3266" s="485" t="s">
        <v>6475</v>
      </c>
      <c r="C3266" s="482">
        <v>0.0</v>
      </c>
      <c r="D3266" s="482" t="s">
        <v>893</v>
      </c>
      <c r="E3266" s="482" t="s">
        <v>894</v>
      </c>
    </row>
    <row r="3267" customFormat="1" s="36">
      <c r="A3267" s="485" t="s">
        <v>6476</v>
      </c>
      <c r="B3267" s="485" t="s">
        <v>6477</v>
      </c>
      <c r="C3267" s="482">
        <v>0.0</v>
      </c>
      <c r="D3267" s="482" t="s">
        <v>913</v>
      </c>
      <c r="E3267" s="482" t="s">
        <v>1140</v>
      </c>
    </row>
    <row r="3268" customFormat="1" s="36">
      <c r="A3268" s="485">
        <v>31902.0</v>
      </c>
      <c r="B3268" s="485" t="s">
        <v>6478</v>
      </c>
      <c r="C3268" s="482">
        <v>0.0</v>
      </c>
      <c r="D3268" s="482" t="s">
        <v>893</v>
      </c>
      <c r="E3268" s="482" t="s">
        <v>894</v>
      </c>
    </row>
    <row r="3269" customFormat="1" s="36">
      <c r="A3269" s="485">
        <v>31901.0</v>
      </c>
      <c r="B3269" s="485" t="s">
        <v>6479</v>
      </c>
      <c r="C3269" s="482">
        <v>0.0</v>
      </c>
      <c r="D3269" s="482" t="s">
        <v>893</v>
      </c>
      <c r="E3269" s="482" t="s">
        <v>894</v>
      </c>
    </row>
    <row r="3270" customFormat="1" s="36">
      <c r="A3270" s="485" t="s">
        <v>6480</v>
      </c>
      <c r="B3270" s="485" t="s">
        <v>6481</v>
      </c>
      <c r="C3270" s="482">
        <v>0.0</v>
      </c>
      <c r="D3270" s="482" t="s">
        <v>893</v>
      </c>
      <c r="E3270" s="482" t="s">
        <v>894</v>
      </c>
    </row>
    <row r="3271" customFormat="1" s="36">
      <c r="A3271" s="485">
        <v>94404.0</v>
      </c>
      <c r="B3271" s="485" t="s">
        <v>6482</v>
      </c>
      <c r="C3271" s="482">
        <v>0.0</v>
      </c>
      <c r="D3271" s="482" t="s">
        <v>893</v>
      </c>
      <c r="E3271" s="482" t="s">
        <v>894</v>
      </c>
    </row>
    <row r="3272" customFormat="1" s="36">
      <c r="A3272" s="485">
        <v>94403.0</v>
      </c>
      <c r="B3272" s="485" t="s">
        <v>6483</v>
      </c>
      <c r="C3272" s="482">
        <v>0.0</v>
      </c>
      <c r="D3272" s="482" t="s">
        <v>893</v>
      </c>
      <c r="E3272" s="482" t="s">
        <v>894</v>
      </c>
    </row>
    <row r="3273" customFormat="1" s="36">
      <c r="A3273" s="485" t="s">
        <v>6484</v>
      </c>
      <c r="B3273" s="485" t="s">
        <v>6485</v>
      </c>
      <c r="C3273" s="482">
        <v>12.0</v>
      </c>
      <c r="D3273" s="482" t="s">
        <v>913</v>
      </c>
      <c r="E3273" s="482" t="s">
        <v>894</v>
      </c>
    </row>
    <row r="3274" customFormat="1" s="36">
      <c r="A3274" s="485" t="s">
        <v>6486</v>
      </c>
      <c r="B3274" s="485" t="s">
        <v>6487</v>
      </c>
      <c r="C3274" s="482">
        <v>7.0</v>
      </c>
      <c r="D3274" s="482" t="s">
        <v>913</v>
      </c>
      <c r="E3274" s="482" t="s">
        <v>894</v>
      </c>
    </row>
    <row r="3275" customFormat="1" s="36">
      <c r="A3275" s="485" t="s">
        <v>6488</v>
      </c>
      <c r="B3275" s="485" t="s">
        <v>6489</v>
      </c>
      <c r="C3275" s="482">
        <v>0.0</v>
      </c>
      <c r="D3275" s="482" t="s">
        <v>893</v>
      </c>
      <c r="E3275" s="482" t="s">
        <v>894</v>
      </c>
    </row>
    <row r="3276" customFormat="1" s="36">
      <c r="A3276" s="485" t="s">
        <v>6490</v>
      </c>
      <c r="B3276" s="485" t="s">
        <v>6491</v>
      </c>
      <c r="C3276" s="482">
        <v>17.0</v>
      </c>
      <c r="D3276" s="482" t="s">
        <v>913</v>
      </c>
      <c r="E3276" s="482" t="s">
        <v>894</v>
      </c>
    </row>
    <row r="3277" customFormat="1" s="36">
      <c r="A3277" s="485" t="s">
        <v>6492</v>
      </c>
      <c r="B3277" s="485" t="s">
        <v>6493</v>
      </c>
      <c r="C3277" s="482">
        <v>10.0</v>
      </c>
      <c r="D3277" s="482" t="s">
        <v>913</v>
      </c>
      <c r="E3277" s="482" t="s">
        <v>894</v>
      </c>
    </row>
    <row r="3278" customFormat="1" s="36">
      <c r="A3278" s="485" t="s">
        <v>6494</v>
      </c>
      <c r="B3278" s="485" t="s">
        <v>6495</v>
      </c>
      <c r="C3278" s="482">
        <v>0.0</v>
      </c>
      <c r="D3278" s="482" t="s">
        <v>893</v>
      </c>
      <c r="E3278" s="482" t="s">
        <v>894</v>
      </c>
    </row>
    <row r="3279" customFormat="1" s="36">
      <c r="A3279" s="485" t="s">
        <v>6496</v>
      </c>
      <c r="B3279" s="485" t="s">
        <v>6497</v>
      </c>
      <c r="C3279" s="482">
        <v>0.0</v>
      </c>
      <c r="D3279" s="482" t="s">
        <v>913</v>
      </c>
      <c r="E3279" s="482" t="s">
        <v>894</v>
      </c>
    </row>
    <row r="3280" customFormat="1" s="36">
      <c r="A3280" s="485" t="s">
        <v>6498</v>
      </c>
      <c r="B3280" s="485" t="s">
        <v>6499</v>
      </c>
      <c r="C3280" s="482">
        <v>4.0</v>
      </c>
      <c r="D3280" s="482" t="s">
        <v>893</v>
      </c>
      <c r="E3280" s="482" t="s">
        <v>894</v>
      </c>
    </row>
    <row r="3281" customFormat="1" s="36">
      <c r="A3281" s="485" t="s">
        <v>6500</v>
      </c>
      <c r="B3281" s="485" t="s">
        <v>6501</v>
      </c>
      <c r="C3281" s="482">
        <v>6786.0</v>
      </c>
      <c r="D3281" s="482" t="s">
        <v>913</v>
      </c>
      <c r="E3281" s="482" t="s">
        <v>894</v>
      </c>
    </row>
    <row r="3282" customFormat="1" s="36">
      <c r="A3282" s="485" t="s">
        <v>6502</v>
      </c>
      <c r="B3282" s="485" t="s">
        <v>6503</v>
      </c>
      <c r="C3282" s="482">
        <v>2854.0</v>
      </c>
      <c r="D3282" s="482" t="s">
        <v>913</v>
      </c>
      <c r="E3282" s="482" t="s">
        <v>894</v>
      </c>
    </row>
    <row r="3283" customFormat="1" s="36">
      <c r="A3283" s="485" t="s">
        <v>6504</v>
      </c>
      <c r="B3283" s="485" t="s">
        <v>6505</v>
      </c>
      <c r="C3283" s="482">
        <v>2108.0</v>
      </c>
      <c r="D3283" s="482" t="s">
        <v>913</v>
      </c>
      <c r="E3283" s="482" t="s">
        <v>894</v>
      </c>
    </row>
    <row r="3284" customFormat="1" s="36">
      <c r="A3284" s="485" t="s">
        <v>6506</v>
      </c>
      <c r="B3284" s="485" t="s">
        <v>6507</v>
      </c>
      <c r="C3284" s="482">
        <v>3495.0</v>
      </c>
      <c r="D3284" s="482" t="s">
        <v>913</v>
      </c>
      <c r="E3284" s="482" t="s">
        <v>894</v>
      </c>
    </row>
    <row r="3285" customFormat="1" s="36">
      <c r="A3285" s="485" t="s">
        <v>6508</v>
      </c>
      <c r="B3285" s="485" t="s">
        <v>6509</v>
      </c>
      <c r="C3285" s="482">
        <v>0.0</v>
      </c>
      <c r="D3285" s="482" t="s">
        <v>893</v>
      </c>
      <c r="E3285" s="482" t="s">
        <v>894</v>
      </c>
    </row>
    <row r="3286" customFormat="1" s="36">
      <c r="A3286" s="485">
        <v>94201.0</v>
      </c>
      <c r="B3286" s="485" t="s">
        <v>6510</v>
      </c>
      <c r="C3286" s="482">
        <v>0.0</v>
      </c>
      <c r="D3286" s="482" t="s">
        <v>893</v>
      </c>
      <c r="E3286" s="482" t="s">
        <v>894</v>
      </c>
    </row>
    <row r="3287" customFormat="1" s="36">
      <c r="A3287" s="485">
        <v>94202.0</v>
      </c>
      <c r="B3287" s="485" t="s">
        <v>6511</v>
      </c>
      <c r="C3287" s="482">
        <v>0.0</v>
      </c>
      <c r="D3287" s="482" t="s">
        <v>893</v>
      </c>
      <c r="E3287" s="482" t="s">
        <v>894</v>
      </c>
    </row>
    <row r="3288" customFormat="1" s="36">
      <c r="A3288" s="485">
        <v>94205.0</v>
      </c>
      <c r="B3288" s="485" t="s">
        <v>6512</v>
      </c>
      <c r="C3288" s="482">
        <v>0.0</v>
      </c>
      <c r="D3288" s="482" t="s">
        <v>893</v>
      </c>
      <c r="E3288" s="482" t="s">
        <v>894</v>
      </c>
    </row>
    <row r="3289" customFormat="1" s="36">
      <c r="A3289" s="485" t="s">
        <v>449</v>
      </c>
      <c r="B3289" s="485" t="s">
        <v>448</v>
      </c>
      <c r="C3289" s="482">
        <v>155.0</v>
      </c>
      <c r="D3289" s="482" t="s">
        <v>913</v>
      </c>
      <c r="E3289" s="482" t="s">
        <v>894</v>
      </c>
    </row>
    <row r="3290" customFormat="1" s="36">
      <c r="A3290" s="485">
        <v>93005.0</v>
      </c>
      <c r="B3290" s="485" t="s">
        <v>6513</v>
      </c>
      <c r="C3290" s="482">
        <v>0.0</v>
      </c>
      <c r="D3290" s="482" t="s">
        <v>893</v>
      </c>
      <c r="E3290" s="482" t="s">
        <v>894</v>
      </c>
    </row>
    <row r="3291" customFormat="1" s="36">
      <c r="A3291" s="485">
        <v>93007.0</v>
      </c>
      <c r="B3291" s="485" t="s">
        <v>6514</v>
      </c>
      <c r="C3291" s="482">
        <v>0.0</v>
      </c>
      <c r="D3291" s="482" t="s">
        <v>893</v>
      </c>
      <c r="E3291" s="482" t="s">
        <v>894</v>
      </c>
    </row>
    <row r="3292" customFormat="1" s="36">
      <c r="A3292" s="485">
        <v>93006.0</v>
      </c>
      <c r="B3292" s="485" t="s">
        <v>6515</v>
      </c>
      <c r="C3292" s="482">
        <v>0.0</v>
      </c>
      <c r="D3292" s="482" t="s">
        <v>893</v>
      </c>
      <c r="E3292" s="482" t="s">
        <v>894</v>
      </c>
    </row>
    <row r="3293" customFormat="1" s="36">
      <c r="A3293" s="485">
        <v>93001.0</v>
      </c>
      <c r="B3293" s="485" t="s">
        <v>6516</v>
      </c>
      <c r="C3293" s="482">
        <v>0.0</v>
      </c>
      <c r="D3293" s="482" t="s">
        <v>893</v>
      </c>
      <c r="E3293" s="482" t="s">
        <v>894</v>
      </c>
    </row>
    <row r="3294" customFormat="1" s="36">
      <c r="A3294" s="485">
        <v>93003.0</v>
      </c>
      <c r="B3294" s="485" t="s">
        <v>6517</v>
      </c>
      <c r="C3294" s="482">
        <v>0.0</v>
      </c>
      <c r="D3294" s="482" t="s">
        <v>893</v>
      </c>
      <c r="E3294" s="482" t="s">
        <v>894</v>
      </c>
    </row>
    <row r="3295" customFormat="1" s="36">
      <c r="A3295" s="485">
        <v>93004.0</v>
      </c>
      <c r="B3295" s="485" t="s">
        <v>6518</v>
      </c>
      <c r="C3295" s="482">
        <v>0.0</v>
      </c>
      <c r="D3295" s="482" t="s">
        <v>893</v>
      </c>
      <c r="E3295" s="482" t="s">
        <v>894</v>
      </c>
    </row>
    <row r="3296" customFormat="1" s="36">
      <c r="A3296" s="485">
        <v>93002.0</v>
      </c>
      <c r="B3296" s="485" t="s">
        <v>6519</v>
      </c>
      <c r="C3296" s="482">
        <v>0.0</v>
      </c>
      <c r="D3296" s="482" t="s">
        <v>893</v>
      </c>
      <c r="E3296" s="482" t="s">
        <v>894</v>
      </c>
    </row>
    <row r="3297" customFormat="1" s="36">
      <c r="A3297" s="485" t="s">
        <v>484</v>
      </c>
      <c r="B3297" s="485" t="s">
        <v>483</v>
      </c>
      <c r="C3297" s="482">
        <v>1904.0</v>
      </c>
      <c r="D3297" s="482" t="s">
        <v>913</v>
      </c>
      <c r="E3297" s="482" t="s">
        <v>894</v>
      </c>
    </row>
    <row r="3298" customFormat="1" s="36">
      <c r="A3298" s="485" t="s">
        <v>6520</v>
      </c>
      <c r="B3298" s="485" t="s">
        <v>6521</v>
      </c>
      <c r="C3298" s="482">
        <v>0.0</v>
      </c>
      <c r="D3298" s="482" t="s">
        <v>893</v>
      </c>
      <c r="E3298" s="482" t="s">
        <v>894</v>
      </c>
    </row>
    <row r="3299" customFormat="1" s="36">
      <c r="A3299" s="485" t="s">
        <v>6522</v>
      </c>
      <c r="B3299" s="485" t="s">
        <v>6523</v>
      </c>
      <c r="C3299" s="482">
        <v>0.0</v>
      </c>
      <c r="D3299" s="482" t="s">
        <v>893</v>
      </c>
      <c r="E3299" s="482" t="s">
        <v>894</v>
      </c>
    </row>
    <row r="3300" customFormat="1" s="36">
      <c r="A3300" s="485" t="s">
        <v>6524</v>
      </c>
      <c r="B3300" s="485" t="s">
        <v>6525</v>
      </c>
      <c r="C3300" s="482">
        <v>0.0</v>
      </c>
      <c r="D3300" s="482" t="s">
        <v>893</v>
      </c>
      <c r="E3300" s="482" t="s">
        <v>894</v>
      </c>
    </row>
    <row r="3301" customFormat="1" s="36">
      <c r="A3301" s="485" t="s">
        <v>6526</v>
      </c>
      <c r="B3301" s="485" t="s">
        <v>6527</v>
      </c>
      <c r="C3301" s="482">
        <v>0.0</v>
      </c>
      <c r="D3301" s="482" t="s">
        <v>893</v>
      </c>
      <c r="E3301" s="482" t="s">
        <v>894</v>
      </c>
    </row>
    <row r="3302" customFormat="1" s="36">
      <c r="A3302" s="485" t="s">
        <v>6528</v>
      </c>
      <c r="B3302" s="485" t="s">
        <v>6529</v>
      </c>
      <c r="C3302" s="482">
        <v>0.0</v>
      </c>
      <c r="D3302" s="482" t="s">
        <v>893</v>
      </c>
      <c r="E3302" s="482" t="s">
        <v>894</v>
      </c>
    </row>
    <row r="3303" customFormat="1" s="36">
      <c r="A3303" s="485" t="s">
        <v>6530</v>
      </c>
      <c r="B3303" s="485" t="s">
        <v>6531</v>
      </c>
      <c r="C3303" s="482">
        <v>0.0</v>
      </c>
      <c r="D3303" s="482" t="s">
        <v>893</v>
      </c>
      <c r="E3303" s="482" t="s">
        <v>894</v>
      </c>
    </row>
    <row r="3304" customFormat="1" s="36">
      <c r="A3304" s="485" t="s">
        <v>6532</v>
      </c>
      <c r="B3304" s="485" t="s">
        <v>6533</v>
      </c>
      <c r="C3304" s="482">
        <v>0.0</v>
      </c>
      <c r="D3304" s="482" t="s">
        <v>893</v>
      </c>
      <c r="E3304" s="482" t="s">
        <v>894</v>
      </c>
    </row>
    <row r="3305" customFormat="1" s="36">
      <c r="A3305" s="485" t="s">
        <v>437</v>
      </c>
      <c r="B3305" s="485" t="s">
        <v>436</v>
      </c>
      <c r="C3305" s="482">
        <v>274.0</v>
      </c>
      <c r="D3305" s="482" t="s">
        <v>913</v>
      </c>
      <c r="E3305" s="482" t="s">
        <v>894</v>
      </c>
    </row>
    <row r="3306" customFormat="1" s="36">
      <c r="A3306" s="485">
        <v>32511.0</v>
      </c>
      <c r="B3306" s="485" t="s">
        <v>6534</v>
      </c>
      <c r="C3306" s="482">
        <v>0.0</v>
      </c>
      <c r="D3306" s="482" t="s">
        <v>893</v>
      </c>
      <c r="E3306" s="482" t="s">
        <v>894</v>
      </c>
    </row>
    <row r="3307" customFormat="1" s="36">
      <c r="A3307" s="485">
        <v>32502.0</v>
      </c>
      <c r="B3307" s="485" t="s">
        <v>6535</v>
      </c>
      <c r="C3307" s="482">
        <v>0.0</v>
      </c>
      <c r="D3307" s="482" t="s">
        <v>893</v>
      </c>
      <c r="E3307" s="482" t="s">
        <v>894</v>
      </c>
    </row>
    <row r="3308" customFormat="1" s="36">
      <c r="A3308" s="485" t="s">
        <v>6536</v>
      </c>
      <c r="B3308" s="485" t="s">
        <v>6537</v>
      </c>
      <c r="C3308" s="482">
        <v>0.0</v>
      </c>
      <c r="D3308" s="482" t="s">
        <v>893</v>
      </c>
      <c r="E3308" s="482" t="s">
        <v>894</v>
      </c>
    </row>
    <row r="3309" customFormat="1" s="36">
      <c r="A3309" s="485" t="s">
        <v>6538</v>
      </c>
      <c r="B3309" s="485" t="s">
        <v>6539</v>
      </c>
      <c r="C3309" s="482">
        <v>0.0</v>
      </c>
      <c r="D3309" s="482" t="s">
        <v>893</v>
      </c>
      <c r="E3309" s="482" t="s">
        <v>894</v>
      </c>
    </row>
    <row r="3310" customFormat="1" s="36">
      <c r="A3310" s="485" t="s">
        <v>6540</v>
      </c>
      <c r="B3310" s="485" t="s">
        <v>6541</v>
      </c>
      <c r="C3310" s="482">
        <v>0.0</v>
      </c>
      <c r="D3310" s="482" t="s">
        <v>893</v>
      </c>
      <c r="E3310" s="482" t="s">
        <v>894</v>
      </c>
    </row>
    <row r="3311" customFormat="1" s="36">
      <c r="A3311" s="485" t="s">
        <v>6542</v>
      </c>
      <c r="B3311" s="485" t="s">
        <v>6543</v>
      </c>
      <c r="C3311" s="482">
        <v>0.0</v>
      </c>
      <c r="D3311" s="482" t="s">
        <v>893</v>
      </c>
      <c r="E3311" s="482" t="s">
        <v>894</v>
      </c>
    </row>
    <row r="3312" customFormat="1" s="36">
      <c r="A3312" s="485" t="s">
        <v>548</v>
      </c>
      <c r="B3312" s="485" t="s">
        <v>547</v>
      </c>
      <c r="C3312" s="482">
        <v>311.0</v>
      </c>
      <c r="D3312" s="482" t="s">
        <v>913</v>
      </c>
      <c r="E3312" s="482" t="s">
        <v>894</v>
      </c>
    </row>
    <row r="3313" customFormat="1" s="36">
      <c r="A3313" s="485" t="s">
        <v>6544</v>
      </c>
      <c r="B3313" s="485" t="s">
        <v>6545</v>
      </c>
      <c r="C3313" s="482">
        <v>0.0</v>
      </c>
      <c r="D3313" s="482" t="s">
        <v>893</v>
      </c>
      <c r="E3313" s="482" t="s">
        <v>894</v>
      </c>
    </row>
    <row r="3314" customFormat="1" s="36">
      <c r="A3314" s="485" t="s">
        <v>6546</v>
      </c>
      <c r="B3314" s="485" t="s">
        <v>6547</v>
      </c>
      <c r="C3314" s="482">
        <v>6.0</v>
      </c>
      <c r="D3314" s="482" t="s">
        <v>913</v>
      </c>
      <c r="E3314" s="482" t="s">
        <v>1140</v>
      </c>
    </row>
    <row r="3315" customFormat="1" s="36">
      <c r="A3315" s="485" t="s">
        <v>6548</v>
      </c>
      <c r="B3315" s="485" t="s">
        <v>6549</v>
      </c>
      <c r="C3315" s="482">
        <v>0.0</v>
      </c>
      <c r="D3315" s="482" t="s">
        <v>893</v>
      </c>
      <c r="E3315" s="482" t="s">
        <v>1799</v>
      </c>
    </row>
    <row r="3316" customFormat="1" s="36">
      <c r="A3316" s="485" t="s">
        <v>6550</v>
      </c>
      <c r="B3316" s="485" t="s">
        <v>6551</v>
      </c>
      <c r="C3316" s="482">
        <v>0.0</v>
      </c>
      <c r="D3316" s="482" t="s">
        <v>913</v>
      </c>
      <c r="E3316" s="482" t="s">
        <v>894</v>
      </c>
    </row>
    <row r="3317" customFormat="1" s="36">
      <c r="A3317" s="485" t="s">
        <v>469</v>
      </c>
      <c r="B3317" s="485" t="s">
        <v>468</v>
      </c>
      <c r="C3317" s="482">
        <v>176.0</v>
      </c>
      <c r="D3317" s="482" t="s">
        <v>913</v>
      </c>
      <c r="E3317" s="482" t="s">
        <v>894</v>
      </c>
    </row>
    <row r="3318" customFormat="1" s="36">
      <c r="A3318" s="485" t="s">
        <v>473</v>
      </c>
      <c r="B3318" s="485" t="s">
        <v>472</v>
      </c>
      <c r="C3318" s="482">
        <v>317.0</v>
      </c>
      <c r="D3318" s="482" t="s">
        <v>913</v>
      </c>
      <c r="E3318" s="482" t="s">
        <v>894</v>
      </c>
    </row>
    <row r="3319" customFormat="1" s="36">
      <c r="A3319" s="485" t="s">
        <v>471</v>
      </c>
      <c r="B3319" s="485" t="s">
        <v>470</v>
      </c>
      <c r="C3319" s="482">
        <v>249.0</v>
      </c>
      <c r="D3319" s="482" t="s">
        <v>913</v>
      </c>
      <c r="E3319" s="482" t="s">
        <v>894</v>
      </c>
    </row>
    <row r="3320" customFormat="1" s="36">
      <c r="A3320" s="485" t="s">
        <v>467</v>
      </c>
      <c r="B3320" s="485" t="s">
        <v>466</v>
      </c>
      <c r="C3320" s="482">
        <v>447.0</v>
      </c>
      <c r="D3320" s="482" t="s">
        <v>913</v>
      </c>
      <c r="E3320" s="482" t="s">
        <v>894</v>
      </c>
    </row>
    <row r="3321" customFormat="1" s="36">
      <c r="A3321" s="485" t="s">
        <v>6552</v>
      </c>
      <c r="B3321" s="485" t="s">
        <v>6553</v>
      </c>
      <c r="C3321" s="482">
        <v>0.0</v>
      </c>
      <c r="D3321" s="482" t="s">
        <v>893</v>
      </c>
      <c r="E3321" s="482" t="s">
        <v>894</v>
      </c>
    </row>
    <row r="3322" customFormat="1" s="36">
      <c r="A3322" s="485" t="s">
        <v>6554</v>
      </c>
      <c r="B3322" s="485" t="s">
        <v>6555</v>
      </c>
      <c r="C3322" s="482">
        <v>0.0</v>
      </c>
      <c r="D3322" s="482" t="s">
        <v>893</v>
      </c>
      <c r="E3322" s="482" t="s">
        <v>894</v>
      </c>
    </row>
    <row r="3323" customFormat="1" s="36">
      <c r="A3323" s="485">
        <v>2806.0</v>
      </c>
      <c r="B3323" s="485" t="s">
        <v>6556</v>
      </c>
      <c r="C3323" s="482">
        <v>0.0</v>
      </c>
      <c r="D3323" s="482" t="s">
        <v>893</v>
      </c>
      <c r="E3323" s="482" t="s">
        <v>894</v>
      </c>
    </row>
    <row r="3324" customFormat="1" s="36">
      <c r="A3324" s="485">
        <v>2803.0</v>
      </c>
      <c r="B3324" s="485" t="s">
        <v>6557</v>
      </c>
      <c r="C3324" s="482">
        <v>0.0</v>
      </c>
      <c r="D3324" s="482" t="s">
        <v>893</v>
      </c>
      <c r="E3324" s="482" t="s">
        <v>894</v>
      </c>
    </row>
    <row r="3325" customFormat="1" s="36">
      <c r="A3325" s="485" t="s">
        <v>6558</v>
      </c>
      <c r="B3325" s="485" t="s">
        <v>6559</v>
      </c>
      <c r="C3325" s="482">
        <v>0.0</v>
      </c>
      <c r="D3325" s="482" t="s">
        <v>913</v>
      </c>
      <c r="E3325" s="482" t="s">
        <v>894</v>
      </c>
    </row>
    <row r="3326" customFormat="1" s="36">
      <c r="A3326" s="485" t="s">
        <v>6560</v>
      </c>
      <c r="B3326" s="485" t="s">
        <v>6561</v>
      </c>
      <c r="C3326" s="482">
        <v>0.0</v>
      </c>
      <c r="D3326" s="482" t="s">
        <v>913</v>
      </c>
      <c r="E3326" s="482" t="s">
        <v>894</v>
      </c>
    </row>
    <row r="3327" customFormat="1" s="36">
      <c r="A3327" s="485" t="s">
        <v>6562</v>
      </c>
      <c r="B3327" s="485" t="s">
        <v>6563</v>
      </c>
      <c r="C3327" s="482">
        <v>0.0</v>
      </c>
      <c r="D3327" s="482" t="s">
        <v>893</v>
      </c>
      <c r="E3327" s="482" t="s">
        <v>894</v>
      </c>
    </row>
    <row r="3328" customFormat="1" s="36">
      <c r="A3328" s="485" t="s">
        <v>6564</v>
      </c>
      <c r="B3328" s="485" t="s">
        <v>6565</v>
      </c>
      <c r="C3328" s="482">
        <v>0.0</v>
      </c>
      <c r="D3328" s="482" t="s">
        <v>893</v>
      </c>
      <c r="E3328" s="482" t="s">
        <v>894</v>
      </c>
    </row>
    <row r="3329" customFormat="1" s="36">
      <c r="A3329" s="485" t="s">
        <v>6566</v>
      </c>
      <c r="B3329" s="485" t="s">
        <v>6567</v>
      </c>
      <c r="C3329" s="482">
        <v>0.0</v>
      </c>
      <c r="D3329" s="482" t="s">
        <v>893</v>
      </c>
      <c r="E3329" s="482" t="s">
        <v>894</v>
      </c>
    </row>
    <row r="3330" customFormat="1" s="36">
      <c r="A3330" s="485" t="s">
        <v>6568</v>
      </c>
      <c r="B3330" s="485" t="s">
        <v>6569</v>
      </c>
      <c r="C3330" s="482">
        <v>0.0</v>
      </c>
      <c r="D3330" s="482" t="s">
        <v>893</v>
      </c>
      <c r="E3330" s="482" t="s">
        <v>894</v>
      </c>
    </row>
    <row r="3331" customFormat="1" s="36">
      <c r="A3331" s="485" t="s">
        <v>6570</v>
      </c>
      <c r="B3331" s="485" t="s">
        <v>6571</v>
      </c>
      <c r="C3331" s="482">
        <v>0.0</v>
      </c>
      <c r="D3331" s="482" t="s">
        <v>893</v>
      </c>
      <c r="E3331" s="482" t="s">
        <v>894</v>
      </c>
    </row>
    <row r="3332" customFormat="1" s="36">
      <c r="A3332" s="485" t="s">
        <v>6572</v>
      </c>
      <c r="B3332" s="485" t="s">
        <v>6573</v>
      </c>
      <c r="C3332" s="482">
        <v>0.0</v>
      </c>
      <c r="D3332" s="482" t="s">
        <v>893</v>
      </c>
      <c r="E3332" s="482" t="s">
        <v>894</v>
      </c>
    </row>
    <row r="3333" customFormat="1" s="36">
      <c r="A3333" s="485" t="s">
        <v>6574</v>
      </c>
      <c r="B3333" s="485" t="s">
        <v>6575</v>
      </c>
      <c r="C3333" s="482">
        <v>0.0</v>
      </c>
      <c r="D3333" s="482" t="s">
        <v>893</v>
      </c>
      <c r="E3333" s="482" t="s">
        <v>894</v>
      </c>
    </row>
    <row r="3334" customFormat="1" s="36">
      <c r="A3334" s="485" t="s">
        <v>6576</v>
      </c>
      <c r="B3334" s="485" t="s">
        <v>6577</v>
      </c>
      <c r="C3334" s="482">
        <v>0.0</v>
      </c>
      <c r="D3334" s="482" t="s">
        <v>893</v>
      </c>
      <c r="E3334" s="482" t="s">
        <v>894</v>
      </c>
    </row>
    <row r="3335" customFormat="1" s="36">
      <c r="A3335" s="485" t="s">
        <v>6578</v>
      </c>
      <c r="B3335" s="485" t="s">
        <v>6579</v>
      </c>
      <c r="C3335" s="482">
        <v>0.0</v>
      </c>
      <c r="D3335" s="482" t="s">
        <v>893</v>
      </c>
      <c r="E3335" s="482" t="s">
        <v>894</v>
      </c>
    </row>
    <row r="3336" customFormat="1" s="36">
      <c r="A3336" s="485" t="s">
        <v>6580</v>
      </c>
      <c r="B3336" s="485" t="s">
        <v>6581</v>
      </c>
      <c r="C3336" s="482">
        <v>0.0</v>
      </c>
      <c r="D3336" s="482" t="s">
        <v>893</v>
      </c>
      <c r="E3336" s="482" t="s">
        <v>894</v>
      </c>
    </row>
    <row r="3337" customFormat="1" s="36">
      <c r="A3337" s="485" t="s">
        <v>6582</v>
      </c>
      <c r="B3337" s="485" t="s">
        <v>6583</v>
      </c>
      <c r="C3337" s="482">
        <v>0.0</v>
      </c>
      <c r="D3337" s="482" t="s">
        <v>893</v>
      </c>
      <c r="E3337" s="482" t="s">
        <v>894</v>
      </c>
    </row>
    <row r="3338" customFormat="1" s="36">
      <c r="A3338" s="485" t="s">
        <v>6584</v>
      </c>
      <c r="B3338" s="485" t="s">
        <v>6585</v>
      </c>
      <c r="C3338" s="482">
        <v>0.0</v>
      </c>
      <c r="D3338" s="482" t="s">
        <v>913</v>
      </c>
      <c r="E3338" s="482" t="s">
        <v>894</v>
      </c>
    </row>
    <row r="3339" customFormat="1" s="36">
      <c r="A3339" s="485" t="s">
        <v>6586</v>
      </c>
      <c r="B3339" s="485" t="s">
        <v>6587</v>
      </c>
      <c r="C3339" s="482">
        <v>0.0</v>
      </c>
      <c r="D3339" s="482" t="s">
        <v>893</v>
      </c>
      <c r="E3339" s="482" t="s">
        <v>894</v>
      </c>
    </row>
    <row r="3340" customFormat="1" s="36">
      <c r="A3340" s="485" t="s">
        <v>6588</v>
      </c>
      <c r="B3340" s="485" t="s">
        <v>6589</v>
      </c>
      <c r="C3340" s="482">
        <v>0.0</v>
      </c>
      <c r="D3340" s="482" t="s">
        <v>893</v>
      </c>
      <c r="E3340" s="482" t="s">
        <v>894</v>
      </c>
    </row>
    <row r="3341" customFormat="1" s="36">
      <c r="A3341" s="485" t="s">
        <v>6590</v>
      </c>
      <c r="B3341" s="485" t="s">
        <v>6591</v>
      </c>
      <c r="C3341" s="482">
        <v>0.0</v>
      </c>
      <c r="D3341" s="482" t="s">
        <v>913</v>
      </c>
      <c r="E3341" s="482" t="s">
        <v>894</v>
      </c>
    </row>
    <row r="3342" customFormat="1" s="36">
      <c r="A3342" s="485" t="s">
        <v>6592</v>
      </c>
      <c r="B3342" s="485" t="s">
        <v>6593</v>
      </c>
      <c r="C3342" s="482">
        <v>0.0</v>
      </c>
      <c r="D3342" s="482" t="s">
        <v>913</v>
      </c>
      <c r="E3342" s="482" t="s">
        <v>894</v>
      </c>
    </row>
    <row r="3343" customFormat="1" s="36">
      <c r="A3343" s="485" t="s">
        <v>6594</v>
      </c>
      <c r="B3343" s="485" t="s">
        <v>6595</v>
      </c>
      <c r="C3343" s="482">
        <v>0.0</v>
      </c>
      <c r="D3343" s="482" t="s">
        <v>913</v>
      </c>
      <c r="E3343" s="482" t="s">
        <v>894</v>
      </c>
    </row>
    <row r="3344" customFormat="1" s="36">
      <c r="A3344" s="485" t="s">
        <v>409</v>
      </c>
      <c r="B3344" s="485" t="s">
        <v>408</v>
      </c>
      <c r="C3344" s="482">
        <v>295.0</v>
      </c>
      <c r="D3344" s="482" t="s">
        <v>913</v>
      </c>
      <c r="E3344" s="482" t="s">
        <v>894</v>
      </c>
    </row>
    <row r="3345" customFormat="1" s="36">
      <c r="A3345" s="485" t="s">
        <v>6596</v>
      </c>
      <c r="B3345" s="485" t="s">
        <v>6597</v>
      </c>
      <c r="C3345" s="482">
        <v>0.0</v>
      </c>
      <c r="D3345" s="482" t="s">
        <v>893</v>
      </c>
      <c r="E3345" s="482" t="s">
        <v>894</v>
      </c>
    </row>
    <row r="3346" customFormat="1" s="36">
      <c r="A3346" s="485" t="s">
        <v>6598</v>
      </c>
      <c r="B3346" s="485" t="s">
        <v>6599</v>
      </c>
      <c r="C3346" s="482">
        <v>0.0</v>
      </c>
      <c r="D3346" s="482" t="s">
        <v>913</v>
      </c>
      <c r="E3346" s="482" t="s">
        <v>894</v>
      </c>
    </row>
    <row r="3347" customFormat="1" s="36">
      <c r="A3347" s="485" t="s">
        <v>6600</v>
      </c>
      <c r="B3347" s="485" t="s">
        <v>6601</v>
      </c>
      <c r="C3347" s="482">
        <v>505.0</v>
      </c>
      <c r="D3347" s="482" t="s">
        <v>913</v>
      </c>
      <c r="E3347" s="482" t="s">
        <v>894</v>
      </c>
    </row>
    <row r="3348" customFormat="1" s="36">
      <c r="A3348" s="485" t="s">
        <v>6602</v>
      </c>
      <c r="B3348" s="485" t="s">
        <v>6603</v>
      </c>
      <c r="C3348" s="482">
        <v>466.0</v>
      </c>
      <c r="D3348" s="482" t="s">
        <v>913</v>
      </c>
      <c r="E3348" s="482" t="s">
        <v>894</v>
      </c>
    </row>
    <row r="3349" customFormat="1" s="36">
      <c r="A3349" s="485" t="s">
        <v>6604</v>
      </c>
      <c r="B3349" s="485" t="s">
        <v>6605</v>
      </c>
      <c r="C3349" s="482">
        <v>0.0</v>
      </c>
      <c r="D3349" s="482" t="s">
        <v>913</v>
      </c>
      <c r="E3349" s="482" t="s">
        <v>894</v>
      </c>
    </row>
    <row r="3350" customFormat="1" s="36">
      <c r="A3350" s="485" t="s">
        <v>401</v>
      </c>
      <c r="B3350" s="485" t="s">
        <v>400</v>
      </c>
      <c r="C3350" s="482">
        <v>0.0</v>
      </c>
      <c r="D3350" s="482" t="s">
        <v>913</v>
      </c>
      <c r="E3350" s="482" t="s">
        <v>894</v>
      </c>
    </row>
    <row r="3351" customFormat="1" s="36">
      <c r="A3351" s="485" t="s">
        <v>6606</v>
      </c>
      <c r="B3351" s="485" t="s">
        <v>6607</v>
      </c>
      <c r="C3351" s="482">
        <v>130.0</v>
      </c>
      <c r="D3351" s="482" t="s">
        <v>913</v>
      </c>
      <c r="E3351" s="482" t="s">
        <v>894</v>
      </c>
    </row>
    <row r="3352" customFormat="1" s="36">
      <c r="A3352" s="485" t="s">
        <v>399</v>
      </c>
      <c r="B3352" s="485" t="s">
        <v>398</v>
      </c>
      <c r="C3352" s="482">
        <v>5.0</v>
      </c>
      <c r="D3352" s="482" t="s">
        <v>913</v>
      </c>
      <c r="E3352" s="482" t="s">
        <v>894</v>
      </c>
    </row>
    <row r="3353" customFormat="1" s="36">
      <c r="A3353" s="485" t="s">
        <v>6608</v>
      </c>
      <c r="B3353" s="485" t="s">
        <v>6609</v>
      </c>
      <c r="C3353" s="482">
        <v>3.0</v>
      </c>
      <c r="D3353" s="482" t="s">
        <v>893</v>
      </c>
      <c r="E3353" s="482" t="s">
        <v>894</v>
      </c>
    </row>
    <row r="3354" customFormat="1" s="36">
      <c r="A3354" s="485" t="s">
        <v>6610</v>
      </c>
      <c r="B3354" s="485" t="s">
        <v>6611</v>
      </c>
      <c r="C3354" s="482">
        <v>0.0</v>
      </c>
      <c r="D3354" s="482" t="s">
        <v>893</v>
      </c>
      <c r="E3354" s="482" t="s">
        <v>894</v>
      </c>
    </row>
    <row r="3355" customFormat="1" s="36">
      <c r="A3355" s="485" t="s">
        <v>403</v>
      </c>
      <c r="B3355" s="485" t="s">
        <v>402</v>
      </c>
      <c r="C3355" s="482">
        <v>26.0</v>
      </c>
      <c r="D3355" s="482" t="s">
        <v>913</v>
      </c>
      <c r="E3355" s="482" t="s">
        <v>894</v>
      </c>
    </row>
    <row r="3356" customFormat="1" s="36">
      <c r="A3356" s="485" t="s">
        <v>405</v>
      </c>
      <c r="B3356" s="485" t="s">
        <v>404</v>
      </c>
      <c r="C3356" s="482">
        <v>26.0</v>
      </c>
      <c r="D3356" s="482" t="s">
        <v>913</v>
      </c>
      <c r="E3356" s="482" t="s">
        <v>894</v>
      </c>
    </row>
    <row r="3357" customFormat="1" s="36">
      <c r="A3357" s="485" t="s">
        <v>6612</v>
      </c>
      <c r="B3357" s="485" t="s">
        <v>6613</v>
      </c>
      <c r="C3357" s="482">
        <v>-60.0</v>
      </c>
      <c r="D3357" s="482" t="s">
        <v>913</v>
      </c>
      <c r="E3357" s="482" t="s">
        <v>894</v>
      </c>
    </row>
    <row r="3358" customFormat="1" s="36">
      <c r="A3358" s="485" t="s">
        <v>411</v>
      </c>
      <c r="B3358" s="485" t="s">
        <v>410</v>
      </c>
      <c r="C3358" s="482">
        <v>426.0</v>
      </c>
      <c r="D3358" s="482" t="s">
        <v>913</v>
      </c>
      <c r="E3358" s="482" t="s">
        <v>894</v>
      </c>
    </row>
    <row r="3359" customFormat="1" s="36">
      <c r="A3359" s="485" t="s">
        <v>6614</v>
      </c>
      <c r="B3359" s="485" t="s">
        <v>6615</v>
      </c>
      <c r="C3359" s="482">
        <v>0.0</v>
      </c>
      <c r="D3359" s="482" t="s">
        <v>893</v>
      </c>
      <c r="E3359" s="482" t="s">
        <v>894</v>
      </c>
    </row>
    <row r="3360" customFormat="1" s="36">
      <c r="A3360" s="485" t="s">
        <v>6616</v>
      </c>
      <c r="B3360" s="485" t="s">
        <v>6617</v>
      </c>
      <c r="C3360" s="482">
        <v>26.0</v>
      </c>
      <c r="D3360" s="482" t="s">
        <v>913</v>
      </c>
      <c r="E3360" s="482" t="s">
        <v>894</v>
      </c>
    </row>
    <row r="3361" customFormat="1" s="36">
      <c r="A3361" s="485" t="s">
        <v>6618</v>
      </c>
      <c r="B3361" s="485" t="s">
        <v>6619</v>
      </c>
      <c r="C3361" s="482">
        <v>554.0</v>
      </c>
      <c r="D3361" s="482" t="s">
        <v>913</v>
      </c>
      <c r="E3361" s="482" t="s">
        <v>894</v>
      </c>
    </row>
    <row r="3362" customFormat="1" s="36">
      <c r="A3362" s="485" t="s">
        <v>591</v>
      </c>
      <c r="B3362" s="485" t="s">
        <v>590</v>
      </c>
      <c r="C3362" s="482">
        <v>317.0</v>
      </c>
      <c r="D3362" s="482" t="s">
        <v>913</v>
      </c>
      <c r="E3362" s="482" t="s">
        <v>894</v>
      </c>
    </row>
    <row r="3363" customFormat="1" s="36">
      <c r="A3363" s="485" t="s">
        <v>6620</v>
      </c>
      <c r="B3363" s="485" t="s">
        <v>6621</v>
      </c>
      <c r="C3363" s="482">
        <v>0.0</v>
      </c>
      <c r="D3363" s="482" t="s">
        <v>893</v>
      </c>
      <c r="E3363" s="482" t="s">
        <v>894</v>
      </c>
    </row>
    <row r="3364" customFormat="1" s="36">
      <c r="A3364" s="485" t="s">
        <v>6622</v>
      </c>
      <c r="B3364" s="485" t="s">
        <v>6623</v>
      </c>
      <c r="C3364" s="482">
        <v>0.0</v>
      </c>
      <c r="D3364" s="482" t="s">
        <v>893</v>
      </c>
      <c r="E3364" s="482" t="s">
        <v>894</v>
      </c>
    </row>
    <row r="3365" customFormat="1" s="36">
      <c r="A3365" s="485" t="s">
        <v>407</v>
      </c>
      <c r="B3365" s="485" t="s">
        <v>406</v>
      </c>
      <c r="C3365" s="482">
        <v>6.0</v>
      </c>
      <c r="D3365" s="482" t="s">
        <v>913</v>
      </c>
      <c r="E3365" s="482" t="s">
        <v>894</v>
      </c>
    </row>
    <row r="3366" customFormat="1" s="36">
      <c r="A3366" s="485" t="s">
        <v>6624</v>
      </c>
      <c r="B3366" s="485" t="s">
        <v>6625</v>
      </c>
      <c r="C3366" s="482">
        <v>3.0</v>
      </c>
      <c r="D3366" s="482" t="s">
        <v>893</v>
      </c>
      <c r="E3366" s="482" t="s">
        <v>894</v>
      </c>
    </row>
    <row r="3367" customFormat="1" s="36">
      <c r="A3367" s="485" t="s">
        <v>6626</v>
      </c>
      <c r="B3367" s="485" t="s">
        <v>6627</v>
      </c>
      <c r="C3367" s="482">
        <v>-66.0</v>
      </c>
      <c r="D3367" s="482" t="s">
        <v>913</v>
      </c>
      <c r="E3367" s="482" t="s">
        <v>894</v>
      </c>
    </row>
    <row r="3368" customFormat="1" s="36">
      <c r="A3368" s="485" t="s">
        <v>6628</v>
      </c>
      <c r="B3368" s="485" t="s">
        <v>6629</v>
      </c>
      <c r="C3368" s="482">
        <v>2.0</v>
      </c>
      <c r="D3368" s="482" t="s">
        <v>893</v>
      </c>
      <c r="E3368" s="482" t="s">
        <v>894</v>
      </c>
    </row>
    <row r="3369" customFormat="1" s="36">
      <c r="A3369" s="485" t="s">
        <v>413</v>
      </c>
      <c r="B3369" s="485" t="s">
        <v>412</v>
      </c>
      <c r="C3369" s="482">
        <v>296.0</v>
      </c>
      <c r="D3369" s="482" t="s">
        <v>913</v>
      </c>
      <c r="E3369" s="482" t="s">
        <v>894</v>
      </c>
    </row>
    <row r="3370" customFormat="1" s="36">
      <c r="A3370" s="485" t="s">
        <v>6630</v>
      </c>
      <c r="B3370" s="485" t="s">
        <v>6631</v>
      </c>
      <c r="C3370" s="482">
        <v>0.0</v>
      </c>
      <c r="D3370" s="482" t="s">
        <v>893</v>
      </c>
      <c r="E3370" s="482" t="s">
        <v>894</v>
      </c>
    </row>
    <row r="3371" customFormat="1" s="36">
      <c r="A3371" s="485" t="s">
        <v>6632</v>
      </c>
      <c r="B3371" s="485" t="s">
        <v>6633</v>
      </c>
      <c r="C3371" s="482">
        <v>0.0</v>
      </c>
      <c r="D3371" s="482" t="s">
        <v>893</v>
      </c>
      <c r="E3371" s="482" t="s">
        <v>894</v>
      </c>
    </row>
    <row r="3372" customFormat="1" s="36">
      <c r="A3372" s="485" t="s">
        <v>589</v>
      </c>
      <c r="B3372" s="485" t="s">
        <v>588</v>
      </c>
      <c r="C3372" s="482">
        <v>134.0</v>
      </c>
      <c r="D3372" s="482" t="s">
        <v>913</v>
      </c>
      <c r="E3372" s="482" t="s">
        <v>894</v>
      </c>
    </row>
    <row r="3373" customFormat="1" s="36">
      <c r="A3373" s="485" t="s">
        <v>6634</v>
      </c>
      <c r="B3373" s="485" t="s">
        <v>6635</v>
      </c>
      <c r="C3373" s="482">
        <v>334.0</v>
      </c>
      <c r="D3373" s="482" t="s">
        <v>913</v>
      </c>
      <c r="E3373" s="482" t="s">
        <v>894</v>
      </c>
    </row>
    <row r="3374" customFormat="1" s="36">
      <c r="A3374" s="485" t="s">
        <v>6636</v>
      </c>
      <c r="B3374" s="485" t="s">
        <v>6637</v>
      </c>
      <c r="C3374" s="482">
        <v>51.0</v>
      </c>
      <c r="D3374" s="482" t="s">
        <v>913</v>
      </c>
      <c r="E3374" s="482" t="s">
        <v>894</v>
      </c>
    </row>
    <row r="3375" customFormat="1" s="36">
      <c r="A3375" s="485" t="s">
        <v>6638</v>
      </c>
      <c r="B3375" s="485" t="s">
        <v>6639</v>
      </c>
      <c r="C3375" s="482">
        <v>-5.0</v>
      </c>
      <c r="D3375" s="482" t="s">
        <v>913</v>
      </c>
      <c r="E3375" s="482" t="s">
        <v>894</v>
      </c>
    </row>
    <row r="3376" customFormat="1" s="36">
      <c r="A3376" s="485" t="s">
        <v>6640</v>
      </c>
      <c r="B3376" s="485" t="s">
        <v>6641</v>
      </c>
      <c r="C3376" s="482">
        <v>160.0</v>
      </c>
      <c r="D3376" s="482" t="s">
        <v>913</v>
      </c>
      <c r="E3376" s="482" t="s">
        <v>894</v>
      </c>
    </row>
    <row r="3377" customFormat="1" s="36">
      <c r="A3377" s="485" t="s">
        <v>6642</v>
      </c>
      <c r="B3377" s="485" t="s">
        <v>6643</v>
      </c>
      <c r="C3377" s="482">
        <v>12.0</v>
      </c>
      <c r="D3377" s="482" t="s">
        <v>913</v>
      </c>
      <c r="E3377" s="482" t="s">
        <v>894</v>
      </c>
    </row>
    <row r="3378" customFormat="1" s="36">
      <c r="A3378" s="485" t="s">
        <v>6644</v>
      </c>
      <c r="B3378" s="485" t="s">
        <v>6645</v>
      </c>
      <c r="C3378" s="482">
        <v>168.0</v>
      </c>
      <c r="D3378" s="482" t="s">
        <v>913</v>
      </c>
      <c r="E3378" s="482" t="s">
        <v>1140</v>
      </c>
    </row>
    <row r="3379" customFormat="1" s="36">
      <c r="A3379" s="485" t="s">
        <v>6646</v>
      </c>
      <c r="B3379" s="485" t="s">
        <v>6647</v>
      </c>
      <c r="C3379" s="482">
        <v>36.0</v>
      </c>
      <c r="D3379" s="482" t="s">
        <v>913</v>
      </c>
      <c r="E3379" s="482" t="s">
        <v>1140</v>
      </c>
    </row>
    <row r="3380" customFormat="1" s="36">
      <c r="A3380" s="485">
        <v>35801.0</v>
      </c>
      <c r="B3380" s="485" t="s">
        <v>38</v>
      </c>
      <c r="C3380" s="482">
        <v>15.0</v>
      </c>
      <c r="D3380" s="482" t="s">
        <v>913</v>
      </c>
      <c r="E3380" s="482" t="s">
        <v>894</v>
      </c>
    </row>
    <row r="3381" customFormat="1" s="36">
      <c r="A3381" s="485">
        <v>35804.0</v>
      </c>
      <c r="B3381" s="485" t="s">
        <v>39</v>
      </c>
      <c r="C3381" s="482">
        <v>0.0</v>
      </c>
      <c r="D3381" s="482" t="s">
        <v>913</v>
      </c>
      <c r="E3381" s="482" t="s">
        <v>894</v>
      </c>
    </row>
    <row r="3382" customFormat="1" s="36">
      <c r="A3382" s="485">
        <v>35805.0</v>
      </c>
      <c r="B3382" s="485" t="s">
        <v>41</v>
      </c>
      <c r="C3382" s="482">
        <v>50.0</v>
      </c>
      <c r="D3382" s="482" t="s">
        <v>913</v>
      </c>
      <c r="E3382" s="482" t="s">
        <v>894</v>
      </c>
    </row>
    <row r="3383" customFormat="1" s="36">
      <c r="A3383" s="485" t="s">
        <v>37</v>
      </c>
      <c r="B3383" s="485" t="s">
        <v>36</v>
      </c>
      <c r="C3383" s="482">
        <v>0.0</v>
      </c>
      <c r="D3383" s="482" t="s">
        <v>913</v>
      </c>
      <c r="E3383" s="482" t="s">
        <v>894</v>
      </c>
    </row>
    <row r="3384" customFormat="1" s="36">
      <c r="A3384" s="485" t="s">
        <v>35</v>
      </c>
      <c r="B3384" s="485" t="s">
        <v>34</v>
      </c>
      <c r="C3384" s="482">
        <v>79.0</v>
      </c>
      <c r="D3384" s="482" t="s">
        <v>913</v>
      </c>
      <c r="E3384" s="482" t="s">
        <v>894</v>
      </c>
    </row>
    <row r="3385" customFormat="1" s="36">
      <c r="A3385" s="485" t="s">
        <v>238</v>
      </c>
      <c r="B3385" s="485" t="s">
        <v>237</v>
      </c>
      <c r="C3385" s="482">
        <v>0.0</v>
      </c>
      <c r="D3385" s="482" t="s">
        <v>913</v>
      </c>
      <c r="E3385" s="482" t="s">
        <v>894</v>
      </c>
    </row>
    <row r="3386" customFormat="1" s="36">
      <c r="A3386" s="485" t="s">
        <v>6648</v>
      </c>
      <c r="B3386" s="485" t="s">
        <v>6649</v>
      </c>
      <c r="C3386" s="482">
        <v>0.0</v>
      </c>
      <c r="D3386" s="482" t="s">
        <v>913</v>
      </c>
      <c r="E3386" s="482" t="s">
        <v>894</v>
      </c>
    </row>
    <row r="3387" customFormat="1" s="36">
      <c r="A3387" s="485" t="s">
        <v>6650</v>
      </c>
      <c r="B3387" s="485" t="s">
        <v>6651</v>
      </c>
      <c r="C3387" s="482">
        <v>0.0</v>
      </c>
      <c r="D3387" s="482" t="s">
        <v>893</v>
      </c>
      <c r="E3387" s="482" t="s">
        <v>894</v>
      </c>
    </row>
    <row r="3388" customFormat="1" s="36">
      <c r="A3388" s="485" t="s">
        <v>240</v>
      </c>
      <c r="B3388" s="485" t="s">
        <v>239</v>
      </c>
      <c r="C3388" s="482">
        <v>162.0</v>
      </c>
      <c r="D3388" s="482" t="s">
        <v>913</v>
      </c>
      <c r="E3388" s="482" t="s">
        <v>894</v>
      </c>
    </row>
    <row r="3389" customFormat="1" s="36">
      <c r="A3389" s="485" t="s">
        <v>6652</v>
      </c>
      <c r="B3389" s="485" t="s">
        <v>6653</v>
      </c>
      <c r="C3389" s="482">
        <v>0.0</v>
      </c>
      <c r="D3389" s="482" t="s">
        <v>893</v>
      </c>
      <c r="E3389" s="482" t="s">
        <v>894</v>
      </c>
    </row>
    <row r="3390" customFormat="1" s="36">
      <c r="A3390" s="485" t="s">
        <v>6654</v>
      </c>
      <c r="B3390" s="485" t="s">
        <v>6655</v>
      </c>
      <c r="C3390" s="482">
        <v>0.0</v>
      </c>
      <c r="D3390" s="482" t="s">
        <v>893</v>
      </c>
      <c r="E3390" s="482" t="s">
        <v>894</v>
      </c>
    </row>
    <row r="3391" customFormat="1" s="36">
      <c r="A3391" s="485" t="s">
        <v>6656</v>
      </c>
      <c r="B3391" s="485" t="s">
        <v>6657</v>
      </c>
      <c r="C3391" s="482">
        <v>0.0</v>
      </c>
      <c r="D3391" s="482" t="s">
        <v>893</v>
      </c>
      <c r="E3391" s="482" t="s">
        <v>894</v>
      </c>
    </row>
    <row r="3392" customFormat="1" s="36">
      <c r="A3392" s="485" t="s">
        <v>6658</v>
      </c>
      <c r="B3392" s="485" t="s">
        <v>6659</v>
      </c>
      <c r="C3392" s="482">
        <v>0.0</v>
      </c>
      <c r="D3392" s="482" t="s">
        <v>893</v>
      </c>
      <c r="E3392" s="482" t="s">
        <v>894</v>
      </c>
    </row>
    <row r="3393" customFormat="1" s="36">
      <c r="A3393" s="485" t="s">
        <v>236</v>
      </c>
      <c r="B3393" s="485" t="s">
        <v>235</v>
      </c>
      <c r="C3393" s="482">
        <v>0.0</v>
      </c>
      <c r="D3393" s="482" t="s">
        <v>913</v>
      </c>
      <c r="E3393" s="482" t="s">
        <v>894</v>
      </c>
    </row>
    <row r="3394" customFormat="1" s="36">
      <c r="A3394" s="485" t="s">
        <v>6660</v>
      </c>
      <c r="B3394" s="485" t="s">
        <v>6661</v>
      </c>
      <c r="C3394" s="482">
        <v>0.0</v>
      </c>
      <c r="D3394" s="482" t="s">
        <v>893</v>
      </c>
      <c r="E3394" s="482" t="s">
        <v>894</v>
      </c>
    </row>
    <row r="3395" customFormat="1" s="36">
      <c r="A3395" s="485" t="s">
        <v>6662</v>
      </c>
      <c r="B3395" s="485" t="s">
        <v>6663</v>
      </c>
      <c r="C3395" s="482">
        <v>0.0</v>
      </c>
      <c r="D3395" s="482" t="s">
        <v>913</v>
      </c>
      <c r="E3395" s="482" t="s">
        <v>894</v>
      </c>
    </row>
    <row r="3396" customFormat="1" s="36">
      <c r="A3396" s="485" t="s">
        <v>232</v>
      </c>
      <c r="B3396" s="485" t="s">
        <v>231</v>
      </c>
      <c r="C3396" s="482">
        <v>0.0</v>
      </c>
      <c r="D3396" s="482" t="s">
        <v>913</v>
      </c>
      <c r="E3396" s="482" t="s">
        <v>894</v>
      </c>
    </row>
    <row r="3397" customFormat="1" s="36">
      <c r="A3397" s="485" t="s">
        <v>575</v>
      </c>
      <c r="B3397" s="485" t="s">
        <v>574</v>
      </c>
      <c r="C3397" s="482">
        <v>39.0</v>
      </c>
      <c r="D3397" s="482" t="s">
        <v>913</v>
      </c>
      <c r="E3397" s="482" t="s">
        <v>894</v>
      </c>
    </row>
    <row r="3398" customFormat="1" s="36">
      <c r="A3398" s="485" t="s">
        <v>234</v>
      </c>
      <c r="B3398" s="485" t="s">
        <v>233</v>
      </c>
      <c r="C3398" s="482">
        <v>49.0</v>
      </c>
      <c r="D3398" s="482" t="s">
        <v>913</v>
      </c>
      <c r="E3398" s="482" t="s">
        <v>894</v>
      </c>
    </row>
    <row r="3399" customFormat="1" s="36">
      <c r="A3399" s="485" t="s">
        <v>6664</v>
      </c>
      <c r="B3399" s="485" t="s">
        <v>6665</v>
      </c>
      <c r="C3399" s="482">
        <v>0.0</v>
      </c>
      <c r="D3399" s="482" t="s">
        <v>893</v>
      </c>
      <c r="E3399" s="482" t="s">
        <v>894</v>
      </c>
    </row>
    <row r="3400" customFormat="1" s="36">
      <c r="A3400" s="485" t="s">
        <v>6666</v>
      </c>
      <c r="B3400" s="485" t="s">
        <v>6667</v>
      </c>
      <c r="C3400" s="482">
        <v>28.0</v>
      </c>
      <c r="D3400" s="482" t="s">
        <v>913</v>
      </c>
      <c r="E3400" s="482" t="s">
        <v>1140</v>
      </c>
    </row>
    <row r="3401" customFormat="1" s="36">
      <c r="A3401" s="485" t="s">
        <v>230</v>
      </c>
      <c r="B3401" s="485" t="s">
        <v>229</v>
      </c>
      <c r="C3401" s="482">
        <v>1.0</v>
      </c>
      <c r="D3401" s="482" t="s">
        <v>913</v>
      </c>
      <c r="E3401" s="482" t="s">
        <v>894</v>
      </c>
    </row>
    <row r="3402" customFormat="1" s="36">
      <c r="A3402" s="485" t="s">
        <v>6668</v>
      </c>
      <c r="B3402" s="485" t="s">
        <v>6669</v>
      </c>
      <c r="C3402" s="482">
        <v>0.0</v>
      </c>
      <c r="D3402" s="482" t="s">
        <v>893</v>
      </c>
      <c r="E3402" s="482" t="s">
        <v>894</v>
      </c>
    </row>
    <row r="3403" customFormat="1" s="36">
      <c r="A3403" s="485" t="s">
        <v>6670</v>
      </c>
      <c r="B3403" s="485" t="s">
        <v>6671</v>
      </c>
      <c r="C3403" s="482">
        <v>0.0</v>
      </c>
      <c r="D3403" s="482" t="s">
        <v>893</v>
      </c>
      <c r="E3403" s="482" t="s">
        <v>894</v>
      </c>
    </row>
    <row r="3404" customFormat="1" s="36">
      <c r="A3404" s="485">
        <v>35803.0</v>
      </c>
      <c r="B3404" s="485" t="s">
        <v>6672</v>
      </c>
      <c r="C3404" s="482">
        <v>0.0</v>
      </c>
      <c r="D3404" s="482" t="s">
        <v>893</v>
      </c>
      <c r="E3404" s="482" t="s">
        <v>894</v>
      </c>
    </row>
    <row r="3405" customFormat="1" s="36">
      <c r="A3405" s="485">
        <v>35802.0</v>
      </c>
      <c r="B3405" s="485" t="s">
        <v>6673</v>
      </c>
      <c r="C3405" s="482">
        <v>0.0</v>
      </c>
      <c r="D3405" s="482" t="s">
        <v>893</v>
      </c>
      <c r="E3405" s="482" t="s">
        <v>894</v>
      </c>
    </row>
    <row r="3406" customFormat="1" s="36">
      <c r="A3406" s="485" t="s">
        <v>6674</v>
      </c>
      <c r="B3406" s="485" t="s">
        <v>6675</v>
      </c>
      <c r="C3406" s="482">
        <v>1992.0</v>
      </c>
      <c r="D3406" s="482" t="s">
        <v>913</v>
      </c>
      <c r="E3406" s="482" t="s">
        <v>894</v>
      </c>
    </row>
    <row r="3407" customFormat="1" s="36">
      <c r="A3407" s="485" t="s">
        <v>6676</v>
      </c>
      <c r="B3407" s="485" t="s">
        <v>6677</v>
      </c>
      <c r="C3407" s="482">
        <v>2765.0</v>
      </c>
      <c r="D3407" s="482" t="s">
        <v>913</v>
      </c>
      <c r="E3407" s="482" t="s">
        <v>894</v>
      </c>
    </row>
    <row r="3408" customFormat="1" s="36">
      <c r="A3408" s="485" t="s">
        <v>6678</v>
      </c>
      <c r="B3408" s="485" t="s">
        <v>6679</v>
      </c>
      <c r="C3408" s="482">
        <v>0.0</v>
      </c>
      <c r="D3408" s="482" t="s">
        <v>893</v>
      </c>
      <c r="E3408" s="482" t="s">
        <v>894</v>
      </c>
    </row>
    <row r="3409" customFormat="1" s="36">
      <c r="A3409" s="485" t="s">
        <v>6680</v>
      </c>
      <c r="B3409" s="485" t="s">
        <v>6681</v>
      </c>
      <c r="C3409" s="482">
        <v>10001.0</v>
      </c>
      <c r="D3409" s="482" t="s">
        <v>913</v>
      </c>
      <c r="E3409" s="482" t="s">
        <v>894</v>
      </c>
    </row>
    <row r="3410" customFormat="1" s="36">
      <c r="A3410" s="485" t="s">
        <v>6682</v>
      </c>
      <c r="B3410" s="485" t="s">
        <v>6683</v>
      </c>
      <c r="C3410" s="482">
        <v>534.0</v>
      </c>
      <c r="D3410" s="482" t="s">
        <v>913</v>
      </c>
      <c r="E3410" s="482" t="s">
        <v>1140</v>
      </c>
    </row>
    <row r="3411" customFormat="1" s="36">
      <c r="A3411" s="485" t="s">
        <v>6684</v>
      </c>
      <c r="B3411" s="485" t="s">
        <v>6685</v>
      </c>
      <c r="C3411" s="482">
        <v>498.0</v>
      </c>
      <c r="D3411" s="482" t="s">
        <v>913</v>
      </c>
      <c r="E3411" s="482" t="s">
        <v>1140</v>
      </c>
    </row>
    <row r="3412" customFormat="1" s="36">
      <c r="A3412" s="485" t="s">
        <v>6686</v>
      </c>
      <c r="B3412" s="485" t="s">
        <v>6687</v>
      </c>
      <c r="C3412" s="482">
        <v>0.0</v>
      </c>
      <c r="D3412" s="482" t="s">
        <v>893</v>
      </c>
      <c r="E3412" s="482" t="s">
        <v>894</v>
      </c>
    </row>
    <row r="3413" customFormat="1" s="36">
      <c r="A3413" s="485" t="s">
        <v>6688</v>
      </c>
      <c r="B3413" s="485" t="s">
        <v>6689</v>
      </c>
      <c r="C3413" s="482">
        <v>0.0</v>
      </c>
      <c r="D3413" s="482" t="s">
        <v>893</v>
      </c>
      <c r="E3413" s="482" t="s">
        <v>894</v>
      </c>
    </row>
    <row r="3414" customFormat="1" s="36">
      <c r="A3414" s="485" t="s">
        <v>6690</v>
      </c>
      <c r="B3414" s="485" t="s">
        <v>6691</v>
      </c>
      <c r="C3414" s="482">
        <v>179.0</v>
      </c>
      <c r="D3414" s="482" t="s">
        <v>913</v>
      </c>
      <c r="E3414" s="482" t="s">
        <v>894</v>
      </c>
    </row>
    <row r="3415" customFormat="1" s="36">
      <c r="A3415" s="485" t="s">
        <v>6692</v>
      </c>
      <c r="B3415" s="485" t="s">
        <v>6693</v>
      </c>
      <c r="C3415" s="482">
        <v>9.0</v>
      </c>
      <c r="D3415" s="482" t="s">
        <v>913</v>
      </c>
      <c r="E3415" s="482" t="s">
        <v>894</v>
      </c>
    </row>
    <row r="3416" customFormat="1" s="36">
      <c r="A3416" s="485" t="s">
        <v>6694</v>
      </c>
      <c r="B3416" s="485" t="s">
        <v>6695</v>
      </c>
      <c r="C3416" s="482">
        <v>46.0</v>
      </c>
      <c r="D3416" s="482" t="s">
        <v>913</v>
      </c>
      <c r="E3416" s="482" t="s">
        <v>894</v>
      </c>
    </row>
    <row r="3417" customFormat="1" s="36">
      <c r="A3417" s="485" t="s">
        <v>6696</v>
      </c>
      <c r="B3417" s="485" t="s">
        <v>6697</v>
      </c>
      <c r="C3417" s="482">
        <v>0.0</v>
      </c>
      <c r="D3417" s="482" t="s">
        <v>913</v>
      </c>
      <c r="E3417" s="482" t="s">
        <v>894</v>
      </c>
    </row>
    <row r="3418" customFormat="1" s="36">
      <c r="A3418" s="485" t="s">
        <v>6698</v>
      </c>
      <c r="B3418" s="485" t="s">
        <v>6699</v>
      </c>
      <c r="C3418" s="482">
        <v>276.0</v>
      </c>
      <c r="D3418" s="482" t="s">
        <v>913</v>
      </c>
      <c r="E3418" s="482" t="s">
        <v>894</v>
      </c>
    </row>
    <row r="3419" customFormat="1" s="36">
      <c r="A3419" s="485" t="s">
        <v>663</v>
      </c>
      <c r="B3419" s="485" t="s">
        <v>662</v>
      </c>
      <c r="C3419" s="482">
        <v>456.0</v>
      </c>
      <c r="D3419" s="482" t="s">
        <v>913</v>
      </c>
      <c r="E3419" s="482" t="s">
        <v>894</v>
      </c>
    </row>
    <row r="3420" customFormat="1" s="36">
      <c r="A3420" s="485" t="s">
        <v>665</v>
      </c>
      <c r="B3420" s="485" t="s">
        <v>664</v>
      </c>
      <c r="C3420" s="482">
        <v>564.0</v>
      </c>
      <c r="D3420" s="482" t="s">
        <v>913</v>
      </c>
      <c r="E3420" s="482" t="s">
        <v>894</v>
      </c>
    </row>
    <row r="3421" customFormat="1" s="36">
      <c r="A3421" s="485" t="s">
        <v>661</v>
      </c>
      <c r="B3421" s="485" t="s">
        <v>660</v>
      </c>
      <c r="C3421" s="482">
        <v>165.0</v>
      </c>
      <c r="D3421" s="482" t="s">
        <v>913</v>
      </c>
      <c r="E3421" s="482" t="s">
        <v>894</v>
      </c>
    </row>
    <row r="3422" customFormat="1" s="36">
      <c r="A3422" s="485" t="s">
        <v>657</v>
      </c>
      <c r="B3422" s="485" t="s">
        <v>656</v>
      </c>
      <c r="C3422" s="482">
        <v>570.0</v>
      </c>
      <c r="D3422" s="482" t="s">
        <v>913</v>
      </c>
      <c r="E3422" s="482" t="s">
        <v>894</v>
      </c>
    </row>
    <row r="3423" customFormat="1" s="36">
      <c r="A3423" s="485" t="s">
        <v>659</v>
      </c>
      <c r="B3423" s="485" t="s">
        <v>658</v>
      </c>
      <c r="C3423" s="482">
        <v>189.0</v>
      </c>
      <c r="D3423" s="482" t="s">
        <v>913</v>
      </c>
      <c r="E3423" s="482" t="s">
        <v>894</v>
      </c>
    </row>
    <row r="3424" customFormat="1" s="36">
      <c r="A3424" s="485" t="s">
        <v>667</v>
      </c>
      <c r="B3424" s="485" t="s">
        <v>666</v>
      </c>
      <c r="C3424" s="482">
        <v>702.0</v>
      </c>
      <c r="D3424" s="482" t="s">
        <v>913</v>
      </c>
      <c r="E3424" s="482" t="s">
        <v>894</v>
      </c>
    </row>
    <row r="3425" customFormat="1" s="36">
      <c r="A3425" s="485" t="s">
        <v>655</v>
      </c>
      <c r="B3425" s="485" t="s">
        <v>654</v>
      </c>
      <c r="C3425" s="482">
        <v>144.0</v>
      </c>
      <c r="D3425" s="482" t="s">
        <v>913</v>
      </c>
      <c r="E3425" s="482" t="s">
        <v>894</v>
      </c>
    </row>
    <row r="3426" customFormat="1" s="36">
      <c r="A3426" s="485" t="s">
        <v>652</v>
      </c>
      <c r="B3426" s="485" t="s">
        <v>651</v>
      </c>
      <c r="C3426" s="482">
        <v>5.0</v>
      </c>
      <c r="D3426" s="482" t="s">
        <v>913</v>
      </c>
      <c r="E3426" s="482" t="s">
        <v>894</v>
      </c>
    </row>
    <row r="3427" customFormat="1" s="36">
      <c r="A3427" s="485" t="s">
        <v>6700</v>
      </c>
      <c r="B3427" s="485" t="s">
        <v>6701</v>
      </c>
      <c r="C3427" s="482">
        <v>1674.0</v>
      </c>
      <c r="D3427" s="482" t="s">
        <v>913</v>
      </c>
      <c r="E3427" s="482" t="s">
        <v>894</v>
      </c>
    </row>
    <row r="3428" customFormat="1" s="36">
      <c r="A3428" s="485" t="s">
        <v>649</v>
      </c>
      <c r="B3428" s="485" t="s">
        <v>648</v>
      </c>
      <c r="C3428" s="482">
        <v>316.0</v>
      </c>
      <c r="D3428" s="482" t="s">
        <v>913</v>
      </c>
      <c r="E3428" s="482" t="s">
        <v>894</v>
      </c>
    </row>
    <row r="3429" customFormat="1" s="36">
      <c r="A3429" s="485" t="s">
        <v>6702</v>
      </c>
      <c r="B3429" s="485" t="s">
        <v>6703</v>
      </c>
      <c r="C3429" s="482">
        <v>174.0</v>
      </c>
      <c r="D3429" s="482" t="s">
        <v>913</v>
      </c>
      <c r="E3429" s="482" t="s">
        <v>894</v>
      </c>
    </row>
    <row r="3430" customFormat="1" s="36">
      <c r="A3430" s="485" t="s">
        <v>6704</v>
      </c>
      <c r="B3430" s="485" t="s">
        <v>6705</v>
      </c>
      <c r="C3430" s="482">
        <v>71.0</v>
      </c>
      <c r="D3430" s="482" t="s">
        <v>913</v>
      </c>
      <c r="E3430" s="482" t="s">
        <v>894</v>
      </c>
    </row>
    <row r="3431" customFormat="1" s="36">
      <c r="A3431" s="485" t="s">
        <v>6706</v>
      </c>
      <c r="B3431" s="485" t="s">
        <v>6707</v>
      </c>
      <c r="C3431" s="482">
        <v>19.0</v>
      </c>
      <c r="D3431" s="482" t="s">
        <v>913</v>
      </c>
      <c r="E3431" s="482" t="s">
        <v>894</v>
      </c>
    </row>
    <row r="3432" customFormat="1" s="36">
      <c r="A3432" s="485" t="s">
        <v>6708</v>
      </c>
      <c r="B3432" s="485" t="s">
        <v>6709</v>
      </c>
      <c r="C3432" s="482">
        <v>0.0</v>
      </c>
      <c r="D3432" s="482" t="s">
        <v>893</v>
      </c>
      <c r="E3432" s="482" t="s">
        <v>894</v>
      </c>
    </row>
    <row r="3433" customFormat="1" s="36">
      <c r="A3433" s="485" t="s">
        <v>6710</v>
      </c>
      <c r="B3433" s="485" t="s">
        <v>6711</v>
      </c>
      <c r="C3433" s="482">
        <v>232.0</v>
      </c>
      <c r="D3433" s="482" t="s">
        <v>913</v>
      </c>
      <c r="E3433" s="482" t="s">
        <v>894</v>
      </c>
    </row>
    <row r="3434" customFormat="1" s="36">
      <c r="A3434" s="485" t="s">
        <v>6712</v>
      </c>
      <c r="B3434" s="485" t="s">
        <v>6713</v>
      </c>
      <c r="C3434" s="482">
        <v>195.0</v>
      </c>
      <c r="D3434" s="482" t="s">
        <v>913</v>
      </c>
      <c r="E3434" s="482" t="s">
        <v>894</v>
      </c>
    </row>
    <row r="3435" customFormat="1" s="36">
      <c r="A3435" s="485" t="s">
        <v>6714</v>
      </c>
      <c r="B3435" s="485" t="s">
        <v>6715</v>
      </c>
      <c r="C3435" s="482">
        <v>362.0</v>
      </c>
      <c r="D3435" s="482" t="s">
        <v>913</v>
      </c>
      <c r="E3435" s="482" t="s">
        <v>894</v>
      </c>
    </row>
    <row r="3436" customFormat="1" s="36">
      <c r="A3436" s="485" t="s">
        <v>647</v>
      </c>
      <c r="B3436" s="485" t="s">
        <v>646</v>
      </c>
      <c r="C3436" s="482">
        <v>384.0</v>
      </c>
      <c r="D3436" s="482" t="s">
        <v>913</v>
      </c>
      <c r="E3436" s="482" t="s">
        <v>894</v>
      </c>
    </row>
    <row r="3437" customFormat="1" s="36">
      <c r="A3437" s="485" t="s">
        <v>6716</v>
      </c>
      <c r="B3437" s="485" t="s">
        <v>6717</v>
      </c>
      <c r="C3437" s="482">
        <v>447.0</v>
      </c>
      <c r="D3437" s="482" t="s">
        <v>913</v>
      </c>
      <c r="E3437" s="482" t="s">
        <v>894</v>
      </c>
    </row>
    <row r="3438" customFormat="1" s="36">
      <c r="A3438" s="485" t="s">
        <v>6718</v>
      </c>
      <c r="B3438" s="485" t="s">
        <v>6719</v>
      </c>
      <c r="C3438" s="482">
        <v>371.0</v>
      </c>
      <c r="D3438" s="482" t="s">
        <v>913</v>
      </c>
      <c r="E3438" s="482" t="s">
        <v>894</v>
      </c>
    </row>
    <row r="3439" customFormat="1" s="36">
      <c r="A3439" s="485" t="s">
        <v>6720</v>
      </c>
      <c r="B3439" s="485" t="s">
        <v>6721</v>
      </c>
      <c r="C3439" s="482">
        <v>184.0</v>
      </c>
      <c r="D3439" s="482" t="s">
        <v>913</v>
      </c>
      <c r="E3439" s="482" t="s">
        <v>894</v>
      </c>
    </row>
    <row r="3440" customFormat="1" s="36">
      <c r="A3440" s="485" t="s">
        <v>6722</v>
      </c>
      <c r="B3440" s="485" t="s">
        <v>6723</v>
      </c>
      <c r="C3440" s="482">
        <v>0.0</v>
      </c>
      <c r="D3440" s="482" t="s">
        <v>893</v>
      </c>
      <c r="E3440" s="482" t="s">
        <v>894</v>
      </c>
    </row>
    <row r="3441" customFormat="1" s="36">
      <c r="A3441" s="485" t="s">
        <v>645</v>
      </c>
      <c r="B3441" s="485" t="s">
        <v>644</v>
      </c>
      <c r="C3441" s="482">
        <v>440.0</v>
      </c>
      <c r="D3441" s="482" t="s">
        <v>913</v>
      </c>
      <c r="E3441" s="482" t="s">
        <v>894</v>
      </c>
    </row>
    <row r="3442" customFormat="1" s="36">
      <c r="A3442" s="485" t="s">
        <v>6724</v>
      </c>
      <c r="B3442" s="485" t="s">
        <v>6725</v>
      </c>
      <c r="C3442" s="482">
        <v>935.0</v>
      </c>
      <c r="D3442" s="482" t="s">
        <v>913</v>
      </c>
      <c r="E3442" s="482" t="s">
        <v>894</v>
      </c>
    </row>
    <row r="3443" customFormat="1" s="36">
      <c r="A3443" s="485" t="s">
        <v>6726</v>
      </c>
      <c r="B3443" s="485" t="s">
        <v>6727</v>
      </c>
      <c r="C3443" s="482">
        <v>303.0</v>
      </c>
      <c r="D3443" s="482" t="s">
        <v>913</v>
      </c>
      <c r="E3443" s="482" t="s">
        <v>894</v>
      </c>
    </row>
    <row r="3444" customFormat="1" s="36">
      <c r="A3444" s="485" t="s">
        <v>6728</v>
      </c>
      <c r="B3444" s="485" t="s">
        <v>6729</v>
      </c>
      <c r="C3444" s="482">
        <v>0.0</v>
      </c>
      <c r="D3444" s="482" t="s">
        <v>893</v>
      </c>
      <c r="E3444" s="482" t="s">
        <v>894</v>
      </c>
    </row>
    <row r="3445" customFormat="1" s="36">
      <c r="A3445" s="485" t="s">
        <v>6730</v>
      </c>
      <c r="B3445" s="485" t="s">
        <v>6731</v>
      </c>
      <c r="C3445" s="482">
        <v>395.0</v>
      </c>
      <c r="D3445" s="482" t="s">
        <v>913</v>
      </c>
      <c r="E3445" s="482" t="s">
        <v>894</v>
      </c>
    </row>
    <row r="3446" customFormat="1" s="36">
      <c r="A3446" s="485" t="s">
        <v>6732</v>
      </c>
      <c r="B3446" s="485" t="s">
        <v>6733</v>
      </c>
      <c r="C3446" s="482">
        <v>314.0</v>
      </c>
      <c r="D3446" s="482" t="s">
        <v>913</v>
      </c>
      <c r="E3446" s="482" t="s">
        <v>894</v>
      </c>
    </row>
    <row r="3447" customFormat="1" s="36">
      <c r="A3447" s="485" t="s">
        <v>6734</v>
      </c>
      <c r="B3447" s="485" t="s">
        <v>6735</v>
      </c>
      <c r="C3447" s="482">
        <v>0.0</v>
      </c>
      <c r="D3447" s="482" t="s">
        <v>893</v>
      </c>
      <c r="E3447" s="482" t="s">
        <v>894</v>
      </c>
    </row>
    <row r="3448" customFormat="1" s="36">
      <c r="A3448" s="485" t="s">
        <v>6736</v>
      </c>
      <c r="B3448" s="485" t="s">
        <v>6737</v>
      </c>
      <c r="C3448" s="482">
        <v>1055.0</v>
      </c>
      <c r="D3448" s="482" t="s">
        <v>913</v>
      </c>
      <c r="E3448" s="482" t="s">
        <v>894</v>
      </c>
    </row>
    <row r="3449" customFormat="1" s="36">
      <c r="A3449" s="485" t="s">
        <v>6738</v>
      </c>
      <c r="B3449" s="485" t="s">
        <v>6739</v>
      </c>
      <c r="C3449" s="482">
        <v>913.0</v>
      </c>
      <c r="D3449" s="482" t="s">
        <v>913</v>
      </c>
      <c r="E3449" s="482" t="s">
        <v>894</v>
      </c>
    </row>
    <row r="3450" customFormat="1" s="36">
      <c r="A3450" s="485" t="s">
        <v>6740</v>
      </c>
      <c r="B3450" s="485" t="s">
        <v>6741</v>
      </c>
      <c r="C3450" s="482">
        <v>0.0</v>
      </c>
      <c r="D3450" s="482" t="s">
        <v>893</v>
      </c>
      <c r="E3450" s="482" t="s">
        <v>894</v>
      </c>
    </row>
    <row r="3451" customFormat="1" s="36">
      <c r="A3451" s="485" t="s">
        <v>6742</v>
      </c>
      <c r="B3451" s="485" t="s">
        <v>6743</v>
      </c>
      <c r="C3451" s="482">
        <v>0.0</v>
      </c>
      <c r="D3451" s="482" t="s">
        <v>893</v>
      </c>
      <c r="E3451" s="482" t="s">
        <v>894</v>
      </c>
    </row>
    <row r="3452" customFormat="1" s="36">
      <c r="A3452" s="485" t="s">
        <v>6744</v>
      </c>
      <c r="B3452" s="485" t="s">
        <v>6745</v>
      </c>
      <c r="C3452" s="482">
        <v>1.0</v>
      </c>
      <c r="D3452" s="482" t="s">
        <v>913</v>
      </c>
      <c r="E3452" s="482" t="s">
        <v>894</v>
      </c>
    </row>
    <row r="3453" customFormat="1" s="36">
      <c r="A3453" s="485" t="s">
        <v>6746</v>
      </c>
      <c r="B3453" s="485" t="s">
        <v>6747</v>
      </c>
      <c r="C3453" s="482">
        <v>0.0</v>
      </c>
      <c r="D3453" s="482" t="s">
        <v>893</v>
      </c>
      <c r="E3453" s="482" t="s">
        <v>894</v>
      </c>
    </row>
    <row r="3454" customFormat="1" s="36">
      <c r="A3454" s="485" t="s">
        <v>6748</v>
      </c>
      <c r="B3454" s="485" t="s">
        <v>6749</v>
      </c>
      <c r="C3454" s="482">
        <v>0.0</v>
      </c>
      <c r="D3454" s="482" t="s">
        <v>913</v>
      </c>
      <c r="E3454" s="482" t="s">
        <v>894</v>
      </c>
    </row>
    <row r="3455" customFormat="1" s="36">
      <c r="A3455" s="485" t="s">
        <v>6750</v>
      </c>
      <c r="B3455" s="485" t="s">
        <v>6751</v>
      </c>
      <c r="C3455" s="482">
        <v>0.0</v>
      </c>
      <c r="D3455" s="482" t="s">
        <v>893</v>
      </c>
      <c r="E3455" s="482" t="s">
        <v>894</v>
      </c>
    </row>
    <row r="3456" customFormat="1" s="36">
      <c r="A3456" s="485" t="s">
        <v>6752</v>
      </c>
      <c r="B3456" s="485" t="s">
        <v>6753</v>
      </c>
      <c r="C3456" s="482">
        <v>0.0</v>
      </c>
      <c r="D3456" s="482" t="s">
        <v>913</v>
      </c>
      <c r="E3456" s="482" t="s">
        <v>894</v>
      </c>
    </row>
    <row r="3457">
      <c r="A3457" s="485" t="s">
        <v>6754</v>
      </c>
      <c r="B3457" s="485" t="s">
        <v>6755</v>
      </c>
      <c r="C3457" s="482">
        <v>1.0</v>
      </c>
      <c r="D3457" s="482" t="s">
        <v>913</v>
      </c>
    </row>
    <row r="3458" customFormat="1" s="36">
      <c r="A3458" s="485" t="s">
        <v>642</v>
      </c>
      <c r="B3458" s="485" t="s">
        <v>641</v>
      </c>
      <c r="C3458" s="482">
        <v>-12.0</v>
      </c>
      <c r="D3458" s="482" t="s">
        <v>913</v>
      </c>
      <c r="E3458" s="482" t="s">
        <v>894</v>
      </c>
    </row>
    <row r="3459" customFormat="1" s="36">
      <c r="A3459" s="485" t="s">
        <v>6756</v>
      </c>
      <c r="B3459" s="485" t="s">
        <v>6757</v>
      </c>
      <c r="C3459" s="482">
        <v>-76.0</v>
      </c>
      <c r="D3459" s="482" t="s">
        <v>913</v>
      </c>
      <c r="E3459" s="482" t="s">
        <v>894</v>
      </c>
    </row>
    <row r="3460" customFormat="1" s="36">
      <c r="A3460" s="485" t="s">
        <v>640</v>
      </c>
      <c r="B3460" s="485" t="s">
        <v>639</v>
      </c>
      <c r="C3460" s="482">
        <v>208.0</v>
      </c>
      <c r="D3460" s="482" t="s">
        <v>913</v>
      </c>
      <c r="E3460" s="482" t="s">
        <v>894</v>
      </c>
    </row>
    <row r="3461" customFormat="1" s="36">
      <c r="A3461" s="485" t="s">
        <v>6758</v>
      </c>
      <c r="B3461" s="485" t="s">
        <v>6759</v>
      </c>
      <c r="C3461" s="482">
        <v>-116.0</v>
      </c>
      <c r="D3461" s="482" t="s">
        <v>913</v>
      </c>
      <c r="E3461" s="482" t="s">
        <v>894</v>
      </c>
    </row>
    <row r="3462" customFormat="1" s="36">
      <c r="A3462" s="485" t="s">
        <v>638</v>
      </c>
      <c r="B3462" s="485" t="s">
        <v>637</v>
      </c>
      <c r="C3462" s="482">
        <v>300.0</v>
      </c>
      <c r="D3462" s="482" t="s">
        <v>913</v>
      </c>
      <c r="E3462" s="482" t="s">
        <v>894</v>
      </c>
    </row>
    <row r="3463" customFormat="1" s="36">
      <c r="A3463" s="485" t="s">
        <v>6760</v>
      </c>
      <c r="B3463" s="485" t="s">
        <v>6761</v>
      </c>
      <c r="C3463" s="482">
        <v>0.0</v>
      </c>
      <c r="D3463" s="482" t="s">
        <v>893</v>
      </c>
      <c r="E3463" s="482" t="s">
        <v>894</v>
      </c>
    </row>
    <row r="3464" customFormat="1" s="36">
      <c r="A3464" s="485" t="s">
        <v>6762</v>
      </c>
      <c r="B3464" s="485" t="s">
        <v>6763</v>
      </c>
      <c r="C3464" s="482">
        <v>0.0</v>
      </c>
      <c r="D3464" s="482" t="s">
        <v>893</v>
      </c>
      <c r="E3464" s="482" t="s">
        <v>894</v>
      </c>
    </row>
    <row r="3465" customFormat="1" s="36">
      <c r="A3465" s="485" t="s">
        <v>636</v>
      </c>
      <c r="B3465" s="485" t="s">
        <v>635</v>
      </c>
      <c r="C3465" s="482">
        <v>230.0</v>
      </c>
      <c r="D3465" s="482" t="s">
        <v>913</v>
      </c>
      <c r="E3465" s="482" t="s">
        <v>894</v>
      </c>
    </row>
    <row r="3466" customFormat="1" s="36">
      <c r="A3466" s="485" t="s">
        <v>634</v>
      </c>
      <c r="B3466" s="485" t="s">
        <v>633</v>
      </c>
      <c r="C3466" s="482">
        <v>82.0</v>
      </c>
      <c r="D3466" s="482" t="s">
        <v>913</v>
      </c>
      <c r="E3466" s="482" t="s">
        <v>894</v>
      </c>
    </row>
    <row r="3467" customFormat="1" s="36">
      <c r="A3467" s="485" t="s">
        <v>6764</v>
      </c>
      <c r="B3467" s="485" t="s">
        <v>6765</v>
      </c>
      <c r="C3467" s="482">
        <v>0.0</v>
      </c>
      <c r="D3467" s="482" t="s">
        <v>893</v>
      </c>
      <c r="E3467" s="482" t="s">
        <v>894</v>
      </c>
    </row>
    <row r="3468" customFormat="1" s="36">
      <c r="A3468" s="485" t="s">
        <v>632</v>
      </c>
      <c r="B3468" s="485" t="s">
        <v>631</v>
      </c>
      <c r="C3468" s="482">
        <v>301.0</v>
      </c>
      <c r="D3468" s="482" t="s">
        <v>913</v>
      </c>
      <c r="E3468" s="482" t="s">
        <v>894</v>
      </c>
    </row>
    <row r="3469" customFormat="1" s="36">
      <c r="A3469" s="485" t="s">
        <v>6766</v>
      </c>
      <c r="B3469" s="485" t="s">
        <v>6767</v>
      </c>
      <c r="C3469" s="482">
        <v>0.0</v>
      </c>
      <c r="D3469" s="482" t="s">
        <v>893</v>
      </c>
      <c r="E3469" s="482" t="s">
        <v>894</v>
      </c>
    </row>
    <row r="3470" customFormat="1" s="36">
      <c r="A3470" s="485" t="s">
        <v>6768</v>
      </c>
      <c r="B3470" s="485" t="s">
        <v>6769</v>
      </c>
      <c r="C3470" s="482">
        <v>0.0</v>
      </c>
      <c r="D3470" s="482" t="s">
        <v>893</v>
      </c>
      <c r="E3470" s="482" t="s">
        <v>894</v>
      </c>
    </row>
    <row r="3471" customFormat="1" s="36">
      <c r="A3471" s="485" t="s">
        <v>6770</v>
      </c>
      <c r="B3471" s="485" t="s">
        <v>6771</v>
      </c>
      <c r="C3471" s="482">
        <v>0.0</v>
      </c>
      <c r="D3471" s="482" t="s">
        <v>893</v>
      </c>
      <c r="E3471" s="482" t="s">
        <v>894</v>
      </c>
    </row>
    <row r="3472" customFormat="1" s="36">
      <c r="A3472" s="485" t="s">
        <v>6772</v>
      </c>
      <c r="B3472" s="485" t="s">
        <v>6773</v>
      </c>
      <c r="C3472" s="482">
        <v>0.0</v>
      </c>
      <c r="D3472" s="482" t="s">
        <v>913</v>
      </c>
      <c r="E3472" s="482" t="s">
        <v>894</v>
      </c>
    </row>
    <row r="3473" customFormat="1" s="36">
      <c r="A3473" s="485" t="s">
        <v>6774</v>
      </c>
      <c r="B3473" s="485" t="s">
        <v>6775</v>
      </c>
      <c r="C3473" s="482">
        <v>863.0</v>
      </c>
      <c r="D3473" s="482" t="s">
        <v>913</v>
      </c>
      <c r="E3473" s="482" t="s">
        <v>894</v>
      </c>
    </row>
    <row r="3474" customFormat="1" s="36">
      <c r="A3474" s="485" t="s">
        <v>6776</v>
      </c>
      <c r="B3474" s="485" t="s">
        <v>6777</v>
      </c>
      <c r="C3474" s="482">
        <v>0.0</v>
      </c>
      <c r="D3474" s="482" t="s">
        <v>913</v>
      </c>
      <c r="E3474" s="482" t="s">
        <v>894</v>
      </c>
    </row>
    <row r="3475" customFormat="1" s="36">
      <c r="A3475" s="485" t="s">
        <v>6778</v>
      </c>
      <c r="B3475" s="485" t="s">
        <v>6779</v>
      </c>
      <c r="C3475" s="482">
        <v>0.0</v>
      </c>
      <c r="D3475" s="482" t="s">
        <v>913</v>
      </c>
      <c r="E3475" s="482" t="s">
        <v>894</v>
      </c>
    </row>
    <row r="3476" customFormat="1" s="36">
      <c r="A3476" s="485" t="s">
        <v>6780</v>
      </c>
      <c r="B3476" s="485" t="s">
        <v>6781</v>
      </c>
      <c r="C3476" s="482">
        <v>0.0</v>
      </c>
      <c r="D3476" s="482" t="s">
        <v>913</v>
      </c>
      <c r="E3476" s="482" t="s">
        <v>894</v>
      </c>
    </row>
    <row r="3477" customFormat="1" s="36">
      <c r="A3477" s="485" t="s">
        <v>6782</v>
      </c>
      <c r="B3477" s="485" t="s">
        <v>6783</v>
      </c>
      <c r="C3477" s="482">
        <v>0.0</v>
      </c>
      <c r="D3477" s="482" t="s">
        <v>913</v>
      </c>
      <c r="E3477" s="482" t="s">
        <v>894</v>
      </c>
    </row>
    <row r="3478" customFormat="1" s="36">
      <c r="A3478" s="485" t="s">
        <v>6784</v>
      </c>
      <c r="B3478" s="485" t="s">
        <v>6785</v>
      </c>
      <c r="C3478" s="482">
        <v>0.0</v>
      </c>
      <c r="D3478" s="482" t="s">
        <v>913</v>
      </c>
      <c r="E3478" s="482" t="s">
        <v>894</v>
      </c>
    </row>
    <row r="3479" customFormat="1" s="36">
      <c r="A3479" s="485" t="s">
        <v>6786</v>
      </c>
      <c r="B3479" s="485" t="s">
        <v>6787</v>
      </c>
      <c r="C3479" s="482">
        <v>0.0</v>
      </c>
      <c r="D3479" s="482" t="s">
        <v>913</v>
      </c>
      <c r="E3479" s="482" t="s">
        <v>894</v>
      </c>
    </row>
    <row r="3480" customFormat="1" s="36">
      <c r="A3480" s="485" t="s">
        <v>6788</v>
      </c>
      <c r="B3480" s="485" t="s">
        <v>6789</v>
      </c>
      <c r="C3480" s="482">
        <v>0.0</v>
      </c>
      <c r="D3480" s="482" t="s">
        <v>913</v>
      </c>
      <c r="E3480" s="482" t="s">
        <v>894</v>
      </c>
    </row>
    <row r="3481" customFormat="1" s="36">
      <c r="A3481" s="485" t="s">
        <v>6790</v>
      </c>
      <c r="B3481" s="485" t="s">
        <v>6791</v>
      </c>
      <c r="C3481" s="482">
        <v>0.0</v>
      </c>
      <c r="D3481" s="482" t="s">
        <v>913</v>
      </c>
      <c r="E3481" s="482" t="s">
        <v>894</v>
      </c>
    </row>
    <row r="3482" customFormat="1" s="36">
      <c r="A3482" s="485" t="s">
        <v>6792</v>
      </c>
      <c r="B3482" s="485" t="s">
        <v>6793</v>
      </c>
      <c r="C3482" s="482">
        <v>0.0</v>
      </c>
      <c r="D3482" s="482" t="s">
        <v>913</v>
      </c>
      <c r="E3482" s="482" t="s">
        <v>894</v>
      </c>
    </row>
    <row r="3483" customFormat="1" s="36">
      <c r="A3483" s="485" t="s">
        <v>6794</v>
      </c>
      <c r="B3483" s="485" t="s">
        <v>6795</v>
      </c>
      <c r="C3483" s="482">
        <v>0.0</v>
      </c>
      <c r="D3483" s="482" t="s">
        <v>913</v>
      </c>
      <c r="E3483" s="482" t="s">
        <v>894</v>
      </c>
    </row>
    <row r="3484" customFormat="1" s="36">
      <c r="A3484" s="485" t="s">
        <v>6796</v>
      </c>
      <c r="B3484" s="485" t="s">
        <v>6797</v>
      </c>
      <c r="C3484" s="482">
        <v>0.0</v>
      </c>
      <c r="D3484" s="482" t="s">
        <v>913</v>
      </c>
      <c r="E3484" s="482" t="s">
        <v>894</v>
      </c>
    </row>
    <row r="3485" customFormat="1" s="36">
      <c r="A3485" s="485" t="s">
        <v>6798</v>
      </c>
      <c r="B3485" s="485" t="s">
        <v>6799</v>
      </c>
      <c r="C3485" s="482">
        <v>0.0</v>
      </c>
      <c r="D3485" s="482" t="s">
        <v>913</v>
      </c>
      <c r="E3485" s="482" t="s">
        <v>894</v>
      </c>
    </row>
    <row r="3486" customFormat="1" s="36">
      <c r="A3486" s="485" t="s">
        <v>6800</v>
      </c>
      <c r="B3486" s="485" t="s">
        <v>6801</v>
      </c>
      <c r="C3486" s="482">
        <v>0.0</v>
      </c>
      <c r="D3486" s="482" t="s">
        <v>913</v>
      </c>
      <c r="E3486" s="482" t="s">
        <v>894</v>
      </c>
    </row>
    <row r="3487" customFormat="1" s="36">
      <c r="A3487" s="485" t="s">
        <v>6802</v>
      </c>
      <c r="B3487" s="485" t="s">
        <v>6803</v>
      </c>
      <c r="C3487" s="482">
        <v>0.0</v>
      </c>
      <c r="D3487" s="482" t="s">
        <v>913</v>
      </c>
      <c r="E3487" s="482" t="s">
        <v>894</v>
      </c>
    </row>
    <row r="3488" customFormat="1" s="36">
      <c r="A3488" s="485" t="s">
        <v>6804</v>
      </c>
      <c r="B3488" s="485" t="s">
        <v>6805</v>
      </c>
      <c r="C3488" s="482">
        <v>0.0</v>
      </c>
      <c r="D3488" s="482" t="s">
        <v>913</v>
      </c>
      <c r="E3488" s="482" t="s">
        <v>894</v>
      </c>
    </row>
    <row r="3489" customFormat="1" s="36">
      <c r="A3489" s="485" t="s">
        <v>6806</v>
      </c>
      <c r="B3489" s="485" t="s">
        <v>6807</v>
      </c>
      <c r="C3489" s="482">
        <v>0.0</v>
      </c>
      <c r="D3489" s="482" t="s">
        <v>913</v>
      </c>
      <c r="E3489" s="482" t="s">
        <v>894</v>
      </c>
    </row>
    <row r="3490" customFormat="1" s="36">
      <c r="A3490" s="485" t="s">
        <v>6808</v>
      </c>
      <c r="B3490" s="485" t="s">
        <v>6809</v>
      </c>
      <c r="C3490" s="482">
        <v>0.0</v>
      </c>
      <c r="D3490" s="482" t="s">
        <v>913</v>
      </c>
      <c r="E3490" s="482" t="s">
        <v>894</v>
      </c>
    </row>
    <row r="3491" customFormat="1" s="36">
      <c r="A3491" s="485" t="s">
        <v>6810</v>
      </c>
      <c r="B3491" s="485" t="s">
        <v>6811</v>
      </c>
      <c r="C3491" s="482">
        <v>0.0</v>
      </c>
      <c r="D3491" s="482" t="s">
        <v>913</v>
      </c>
      <c r="E3491" s="482" t="s">
        <v>894</v>
      </c>
    </row>
    <row r="3492" customFormat="1" s="36">
      <c r="A3492" s="485" t="s">
        <v>6812</v>
      </c>
      <c r="B3492" s="485" t="s">
        <v>6813</v>
      </c>
      <c r="C3492" s="482">
        <v>0.0</v>
      </c>
      <c r="D3492" s="482" t="s">
        <v>913</v>
      </c>
      <c r="E3492" s="482" t="s">
        <v>894</v>
      </c>
    </row>
    <row r="3493" customFormat="1" s="36">
      <c r="A3493" s="485" t="s">
        <v>6814</v>
      </c>
      <c r="B3493" s="485" t="s">
        <v>6815</v>
      </c>
      <c r="C3493" s="482">
        <v>0.0</v>
      </c>
      <c r="D3493" s="482" t="s">
        <v>913</v>
      </c>
      <c r="E3493" s="482" t="s">
        <v>894</v>
      </c>
    </row>
    <row r="3494" customFormat="1" s="36">
      <c r="A3494" s="485" t="s">
        <v>6816</v>
      </c>
      <c r="B3494" s="485" t="s">
        <v>6817</v>
      </c>
      <c r="C3494" s="482">
        <v>0.0</v>
      </c>
      <c r="D3494" s="482" t="s">
        <v>913</v>
      </c>
      <c r="E3494" s="482" t="s">
        <v>894</v>
      </c>
    </row>
    <row r="3495" customFormat="1" s="36">
      <c r="A3495" s="485" t="s">
        <v>6818</v>
      </c>
      <c r="B3495" s="485" t="s">
        <v>6819</v>
      </c>
      <c r="C3495" s="482">
        <v>0.0</v>
      </c>
      <c r="D3495" s="482" t="s">
        <v>913</v>
      </c>
      <c r="E3495" s="482" t="s">
        <v>894</v>
      </c>
    </row>
    <row r="3496" customFormat="1" s="36">
      <c r="A3496" s="485" t="s">
        <v>6820</v>
      </c>
      <c r="B3496" s="485" t="s">
        <v>6821</v>
      </c>
      <c r="C3496" s="482">
        <v>0.0</v>
      </c>
      <c r="D3496" s="482" t="s">
        <v>913</v>
      </c>
      <c r="E3496" s="482" t="s">
        <v>894</v>
      </c>
    </row>
    <row r="3497" customFormat="1" s="36">
      <c r="A3497" s="485" t="s">
        <v>6822</v>
      </c>
      <c r="B3497" s="485" t="s">
        <v>6823</v>
      </c>
      <c r="C3497" s="482">
        <v>0.0</v>
      </c>
      <c r="D3497" s="482" t="s">
        <v>913</v>
      </c>
      <c r="E3497" s="482" t="s">
        <v>894</v>
      </c>
    </row>
    <row r="3498" customFormat="1" s="36">
      <c r="A3498" s="485" t="s">
        <v>6824</v>
      </c>
      <c r="B3498" s="485" t="s">
        <v>6825</v>
      </c>
      <c r="C3498" s="482">
        <v>0.0</v>
      </c>
      <c r="D3498" s="482" t="s">
        <v>913</v>
      </c>
      <c r="E3498" s="482" t="s">
        <v>894</v>
      </c>
    </row>
    <row r="3499" customFormat="1" s="36">
      <c r="A3499" s="485" t="s">
        <v>6826</v>
      </c>
      <c r="B3499" s="485" t="s">
        <v>6827</v>
      </c>
      <c r="C3499" s="482">
        <v>0.0</v>
      </c>
      <c r="D3499" s="482" t="s">
        <v>913</v>
      </c>
      <c r="E3499" s="482" t="s">
        <v>894</v>
      </c>
    </row>
    <row r="3500" customFormat="1" s="36">
      <c r="A3500" s="485" t="s">
        <v>6828</v>
      </c>
      <c r="B3500" s="485" t="s">
        <v>6829</v>
      </c>
      <c r="C3500" s="482">
        <v>0.0</v>
      </c>
      <c r="D3500" s="482" t="s">
        <v>913</v>
      </c>
      <c r="E3500" s="482" t="s">
        <v>894</v>
      </c>
    </row>
    <row r="3501" customFormat="1" s="36">
      <c r="A3501" s="485" t="s">
        <v>6830</v>
      </c>
      <c r="B3501" s="485" t="s">
        <v>6831</v>
      </c>
      <c r="C3501" s="482">
        <v>0.0</v>
      </c>
      <c r="D3501" s="482" t="s">
        <v>913</v>
      </c>
      <c r="E3501" s="482" t="s">
        <v>894</v>
      </c>
    </row>
    <row r="3502" customFormat="1" s="36">
      <c r="A3502" s="485" t="s">
        <v>6832</v>
      </c>
      <c r="B3502" s="485" t="s">
        <v>6833</v>
      </c>
      <c r="C3502" s="482">
        <v>0.0</v>
      </c>
      <c r="D3502" s="482" t="s">
        <v>913</v>
      </c>
      <c r="E3502" s="482" t="s">
        <v>894</v>
      </c>
    </row>
    <row r="3503" customFormat="1" s="36">
      <c r="A3503" s="485" t="s">
        <v>6834</v>
      </c>
      <c r="B3503" s="485" t="s">
        <v>6835</v>
      </c>
      <c r="C3503" s="482">
        <v>0.0</v>
      </c>
      <c r="D3503" s="482" t="s">
        <v>913</v>
      </c>
      <c r="E3503" s="482" t="s">
        <v>894</v>
      </c>
    </row>
    <row r="3504" customFormat="1" s="36">
      <c r="A3504" s="485" t="s">
        <v>6836</v>
      </c>
      <c r="B3504" s="485" t="s">
        <v>6837</v>
      </c>
      <c r="C3504" s="482">
        <v>0.0</v>
      </c>
      <c r="D3504" s="482" t="s">
        <v>913</v>
      </c>
      <c r="E3504" s="482" t="s">
        <v>894</v>
      </c>
    </row>
    <row r="3505" customFormat="1" s="36">
      <c r="A3505" s="485" t="s">
        <v>6838</v>
      </c>
      <c r="B3505" s="485" t="s">
        <v>6839</v>
      </c>
      <c r="C3505" s="482">
        <v>0.0</v>
      </c>
      <c r="D3505" s="482" t="s">
        <v>913</v>
      </c>
      <c r="E3505" s="482" t="s">
        <v>894</v>
      </c>
    </row>
    <row r="3506" customFormat="1" s="36">
      <c r="A3506" s="485" t="s">
        <v>6840</v>
      </c>
      <c r="B3506" s="485" t="s">
        <v>6841</v>
      </c>
      <c r="C3506" s="482">
        <v>0.0</v>
      </c>
      <c r="D3506" s="482" t="s">
        <v>913</v>
      </c>
      <c r="E3506" s="482" t="s">
        <v>894</v>
      </c>
    </row>
    <row r="3507" customFormat="1" s="36">
      <c r="A3507" s="485" t="s">
        <v>6842</v>
      </c>
      <c r="B3507" s="485" t="s">
        <v>6843</v>
      </c>
      <c r="C3507" s="482">
        <v>0.0</v>
      </c>
      <c r="D3507" s="482" t="s">
        <v>913</v>
      </c>
      <c r="E3507" s="482" t="s">
        <v>894</v>
      </c>
    </row>
    <row r="3508" customFormat="1" s="36">
      <c r="A3508" s="485" t="s">
        <v>6844</v>
      </c>
      <c r="B3508" s="485" t="s">
        <v>6845</v>
      </c>
      <c r="C3508" s="482">
        <v>0.0</v>
      </c>
      <c r="D3508" s="482" t="s">
        <v>913</v>
      </c>
      <c r="E3508" s="482" t="s">
        <v>894</v>
      </c>
    </row>
    <row r="3509" customFormat="1" s="36">
      <c r="A3509" s="485" t="s">
        <v>6846</v>
      </c>
      <c r="B3509" s="485" t="s">
        <v>6847</v>
      </c>
      <c r="C3509" s="482">
        <v>0.0</v>
      </c>
      <c r="D3509" s="482" t="s">
        <v>913</v>
      </c>
      <c r="E3509" s="482" t="s">
        <v>894</v>
      </c>
    </row>
    <row r="3510" customFormat="1" s="36">
      <c r="A3510" s="485" t="s">
        <v>6848</v>
      </c>
      <c r="B3510" s="485" t="s">
        <v>6849</v>
      </c>
      <c r="C3510" s="482">
        <v>0.0</v>
      </c>
      <c r="D3510" s="482" t="s">
        <v>913</v>
      </c>
      <c r="E3510" s="482" t="s">
        <v>894</v>
      </c>
    </row>
    <row r="3511" customFormat="1" s="36">
      <c r="A3511" s="485" t="s">
        <v>6850</v>
      </c>
      <c r="B3511" s="485" t="s">
        <v>6851</v>
      </c>
      <c r="C3511" s="482">
        <v>0.0</v>
      </c>
      <c r="D3511" s="482" t="s">
        <v>913</v>
      </c>
      <c r="E3511" s="482" t="s">
        <v>894</v>
      </c>
    </row>
    <row r="3512" customFormat="1" s="36">
      <c r="A3512" s="485" t="s">
        <v>6852</v>
      </c>
      <c r="B3512" s="485" t="s">
        <v>6853</v>
      </c>
      <c r="C3512" s="482">
        <v>0.0</v>
      </c>
      <c r="D3512" s="482" t="s">
        <v>913</v>
      </c>
      <c r="E3512" s="482" t="s">
        <v>894</v>
      </c>
    </row>
    <row r="3513" customFormat="1" s="36">
      <c r="A3513" s="485" t="s">
        <v>6854</v>
      </c>
      <c r="B3513" s="485" t="s">
        <v>6855</v>
      </c>
      <c r="C3513" s="482">
        <v>0.0</v>
      </c>
      <c r="D3513" s="482" t="s">
        <v>913</v>
      </c>
      <c r="E3513" s="482" t="s">
        <v>894</v>
      </c>
    </row>
    <row r="3514" customFormat="1" s="36">
      <c r="A3514" s="485" t="s">
        <v>6856</v>
      </c>
      <c r="B3514" s="485" t="s">
        <v>6857</v>
      </c>
      <c r="C3514" s="482">
        <v>0.0</v>
      </c>
      <c r="D3514" s="482" t="s">
        <v>913</v>
      </c>
      <c r="E3514" s="482" t="s">
        <v>894</v>
      </c>
    </row>
    <row r="3515" customFormat="1" s="36">
      <c r="A3515" s="485" t="s">
        <v>6858</v>
      </c>
      <c r="B3515" s="485" t="s">
        <v>6859</v>
      </c>
      <c r="C3515" s="482">
        <v>0.0</v>
      </c>
      <c r="D3515" s="482" t="s">
        <v>913</v>
      </c>
      <c r="E3515" s="482" t="s">
        <v>894</v>
      </c>
    </row>
    <row r="3516" customFormat="1" s="36">
      <c r="A3516" s="485" t="s">
        <v>6860</v>
      </c>
      <c r="B3516" s="485" t="s">
        <v>6861</v>
      </c>
      <c r="C3516" s="482">
        <v>0.0</v>
      </c>
      <c r="D3516" s="482" t="s">
        <v>913</v>
      </c>
      <c r="E3516" s="482" t="s">
        <v>894</v>
      </c>
    </row>
    <row r="3517" customFormat="1" s="36">
      <c r="A3517" s="485" t="s">
        <v>6862</v>
      </c>
      <c r="B3517" s="485" t="s">
        <v>6863</v>
      </c>
      <c r="C3517" s="482">
        <v>0.0</v>
      </c>
      <c r="D3517" s="482" t="s">
        <v>913</v>
      </c>
      <c r="E3517" s="482" t="s">
        <v>894</v>
      </c>
    </row>
    <row r="3518" customFormat="1" s="36">
      <c r="A3518" s="485" t="s">
        <v>6864</v>
      </c>
      <c r="B3518" s="485" t="s">
        <v>6865</v>
      </c>
      <c r="C3518" s="482">
        <v>0.0</v>
      </c>
      <c r="D3518" s="482" t="s">
        <v>913</v>
      </c>
      <c r="E3518" s="482" t="s">
        <v>894</v>
      </c>
    </row>
    <row r="3519" customFormat="1" s="36">
      <c r="A3519" s="485" t="s">
        <v>6866</v>
      </c>
      <c r="B3519" s="485" t="s">
        <v>6867</v>
      </c>
      <c r="C3519" s="482">
        <v>0.0</v>
      </c>
      <c r="D3519" s="482" t="s">
        <v>913</v>
      </c>
      <c r="E3519" s="482" t="s">
        <v>894</v>
      </c>
    </row>
    <row r="3520" customFormat="1" s="36">
      <c r="A3520" s="485" t="s">
        <v>6868</v>
      </c>
      <c r="B3520" s="485" t="s">
        <v>6869</v>
      </c>
      <c r="C3520" s="482">
        <v>0.0</v>
      </c>
      <c r="D3520" s="482" t="s">
        <v>913</v>
      </c>
      <c r="E3520" s="482" t="s">
        <v>894</v>
      </c>
    </row>
    <row r="3521" customFormat="1" s="36">
      <c r="A3521" s="485" t="s">
        <v>6870</v>
      </c>
      <c r="B3521" s="485" t="s">
        <v>6871</v>
      </c>
      <c r="C3521" s="482">
        <v>0.0</v>
      </c>
      <c r="D3521" s="482" t="s">
        <v>913</v>
      </c>
      <c r="E3521" s="482" t="s">
        <v>894</v>
      </c>
    </row>
    <row r="3522" customFormat="1" s="36">
      <c r="A3522" s="485" t="s">
        <v>6872</v>
      </c>
      <c r="B3522" s="485" t="s">
        <v>6873</v>
      </c>
      <c r="C3522" s="482">
        <v>0.0</v>
      </c>
      <c r="D3522" s="482" t="s">
        <v>913</v>
      </c>
      <c r="E3522" s="482" t="s">
        <v>894</v>
      </c>
    </row>
    <row r="3523" customFormat="1" s="36">
      <c r="A3523" s="485" t="s">
        <v>6874</v>
      </c>
      <c r="B3523" s="485" t="s">
        <v>6875</v>
      </c>
      <c r="C3523" s="482">
        <v>0.0</v>
      </c>
      <c r="D3523" s="482" t="s">
        <v>913</v>
      </c>
      <c r="E3523" s="482" t="s">
        <v>894</v>
      </c>
    </row>
    <row r="3524" customFormat="1" s="36">
      <c r="A3524" s="485" t="s">
        <v>6876</v>
      </c>
      <c r="B3524" s="485" t="s">
        <v>6877</v>
      </c>
      <c r="C3524" s="482">
        <v>0.0</v>
      </c>
      <c r="D3524" s="482" t="s">
        <v>913</v>
      </c>
      <c r="E3524" s="482" t="s">
        <v>894</v>
      </c>
    </row>
    <row r="3525" customFormat="1" s="36">
      <c r="A3525" s="485" t="s">
        <v>6878</v>
      </c>
      <c r="B3525" s="485" t="s">
        <v>6879</v>
      </c>
      <c r="C3525" s="482">
        <v>0.0</v>
      </c>
      <c r="D3525" s="482" t="s">
        <v>913</v>
      </c>
      <c r="E3525" s="482" t="s">
        <v>894</v>
      </c>
    </row>
    <row r="3526" customFormat="1" s="36">
      <c r="A3526" s="485" t="s">
        <v>6880</v>
      </c>
      <c r="B3526" s="485" t="s">
        <v>6881</v>
      </c>
      <c r="C3526" s="482">
        <v>0.0</v>
      </c>
      <c r="D3526" s="482" t="s">
        <v>913</v>
      </c>
      <c r="E3526" s="482" t="s">
        <v>894</v>
      </c>
    </row>
    <row r="3527" customFormat="1" s="36">
      <c r="A3527" s="485" t="s">
        <v>6882</v>
      </c>
      <c r="B3527" s="485" t="s">
        <v>6883</v>
      </c>
      <c r="C3527" s="482">
        <v>0.0</v>
      </c>
      <c r="D3527" s="482" t="s">
        <v>913</v>
      </c>
      <c r="E3527" s="482" t="s">
        <v>894</v>
      </c>
    </row>
    <row r="3528" customFormat="1" s="36">
      <c r="A3528" s="485" t="s">
        <v>6884</v>
      </c>
      <c r="B3528" s="485" t="s">
        <v>6885</v>
      </c>
      <c r="C3528" s="482">
        <v>0.0</v>
      </c>
      <c r="D3528" s="482" t="s">
        <v>913</v>
      </c>
      <c r="E3528" s="482" t="s">
        <v>894</v>
      </c>
    </row>
    <row r="3529" customFormat="1" s="36">
      <c r="A3529" s="485" t="s">
        <v>6886</v>
      </c>
      <c r="B3529" s="485" t="s">
        <v>6887</v>
      </c>
      <c r="C3529" s="482">
        <v>0.0</v>
      </c>
      <c r="D3529" s="482" t="s">
        <v>913</v>
      </c>
      <c r="E3529" s="482" t="s">
        <v>894</v>
      </c>
    </row>
    <row r="3530" customFormat="1" s="36">
      <c r="A3530" s="485" t="s">
        <v>6888</v>
      </c>
      <c r="B3530" s="485" t="s">
        <v>6889</v>
      </c>
      <c r="C3530" s="482">
        <v>0.0</v>
      </c>
      <c r="D3530" s="482" t="s">
        <v>913</v>
      </c>
      <c r="E3530" s="482" t="s">
        <v>894</v>
      </c>
    </row>
    <row r="3531" customFormat="1" s="36">
      <c r="A3531" s="485" t="s">
        <v>6890</v>
      </c>
      <c r="B3531" s="485" t="s">
        <v>6891</v>
      </c>
      <c r="C3531" s="482">
        <v>0.0</v>
      </c>
      <c r="D3531" s="482" t="s">
        <v>913</v>
      </c>
      <c r="E3531" s="482" t="s">
        <v>894</v>
      </c>
    </row>
    <row r="3532" customFormat="1" s="36">
      <c r="A3532" s="485" t="s">
        <v>6892</v>
      </c>
      <c r="B3532" s="485" t="s">
        <v>6893</v>
      </c>
      <c r="C3532" s="482">
        <v>0.0</v>
      </c>
      <c r="D3532" s="482" t="s">
        <v>913</v>
      </c>
      <c r="E3532" s="482" t="s">
        <v>894</v>
      </c>
    </row>
    <row r="3533" customFormat="1" s="36">
      <c r="A3533" s="485" t="s">
        <v>6894</v>
      </c>
      <c r="B3533" s="485" t="s">
        <v>6895</v>
      </c>
      <c r="C3533" s="482">
        <v>0.0</v>
      </c>
      <c r="D3533" s="482" t="s">
        <v>913</v>
      </c>
      <c r="E3533" s="482" t="s">
        <v>894</v>
      </c>
    </row>
    <row r="3534" customFormat="1" s="36">
      <c r="A3534" s="485" t="s">
        <v>6896</v>
      </c>
      <c r="B3534" s="485" t="s">
        <v>6897</v>
      </c>
      <c r="C3534" s="482">
        <v>0.0</v>
      </c>
      <c r="D3534" s="482" t="s">
        <v>913</v>
      </c>
      <c r="E3534" s="482" t="s">
        <v>894</v>
      </c>
    </row>
    <row r="3535" customFormat="1" s="36">
      <c r="A3535" s="485" t="s">
        <v>6898</v>
      </c>
      <c r="B3535" s="485" t="s">
        <v>6899</v>
      </c>
      <c r="C3535" s="482">
        <v>0.0</v>
      </c>
      <c r="D3535" s="482" t="s">
        <v>913</v>
      </c>
      <c r="E3535" s="482" t="s">
        <v>894</v>
      </c>
    </row>
    <row r="3536" customFormat="1" s="36">
      <c r="A3536" s="485" t="s">
        <v>6900</v>
      </c>
      <c r="B3536" s="485" t="s">
        <v>6901</v>
      </c>
      <c r="C3536" s="482">
        <v>0.0</v>
      </c>
      <c r="D3536" s="482" t="s">
        <v>913</v>
      </c>
      <c r="E3536" s="482" t="s">
        <v>894</v>
      </c>
    </row>
    <row r="3537" customFormat="1" s="36">
      <c r="A3537" s="485" t="s">
        <v>6902</v>
      </c>
      <c r="B3537" s="485" t="s">
        <v>6903</v>
      </c>
      <c r="C3537" s="482">
        <v>0.0</v>
      </c>
      <c r="D3537" s="482" t="s">
        <v>913</v>
      </c>
      <c r="E3537" s="482" t="s">
        <v>894</v>
      </c>
    </row>
    <row r="3538" customFormat="1" s="36">
      <c r="A3538" s="485" t="s">
        <v>6904</v>
      </c>
      <c r="B3538" s="485" t="s">
        <v>6905</v>
      </c>
      <c r="C3538" s="482">
        <v>0.0</v>
      </c>
      <c r="D3538" s="482" t="s">
        <v>913</v>
      </c>
      <c r="E3538" s="482" t="s">
        <v>894</v>
      </c>
    </row>
    <row r="3539" customFormat="1" s="36">
      <c r="A3539" s="485" t="s">
        <v>6906</v>
      </c>
      <c r="B3539" s="485" t="s">
        <v>6907</v>
      </c>
      <c r="C3539" s="482">
        <v>0.0</v>
      </c>
      <c r="D3539" s="482" t="s">
        <v>913</v>
      </c>
      <c r="E3539" s="482" t="s">
        <v>894</v>
      </c>
    </row>
    <row r="3540" customFormat="1" s="36">
      <c r="A3540" s="485" t="s">
        <v>6908</v>
      </c>
      <c r="B3540" s="485" t="s">
        <v>6909</v>
      </c>
      <c r="C3540" s="482">
        <v>0.0</v>
      </c>
      <c r="D3540" s="482" t="s">
        <v>913</v>
      </c>
      <c r="E3540" s="482" t="s">
        <v>894</v>
      </c>
    </row>
    <row r="3541" customFormat="1" s="36">
      <c r="A3541" s="485" t="s">
        <v>6910</v>
      </c>
      <c r="B3541" s="485" t="s">
        <v>6911</v>
      </c>
      <c r="C3541" s="482">
        <v>0.0</v>
      </c>
      <c r="D3541" s="482" t="s">
        <v>913</v>
      </c>
      <c r="E3541" s="482" t="s">
        <v>894</v>
      </c>
    </row>
    <row r="3542" customFormat="1" s="36">
      <c r="A3542" s="485" t="s">
        <v>6912</v>
      </c>
      <c r="B3542" s="485" t="s">
        <v>6913</v>
      </c>
      <c r="C3542" s="482">
        <v>0.0</v>
      </c>
      <c r="D3542" s="482" t="s">
        <v>913</v>
      </c>
      <c r="E3542" s="482" t="s">
        <v>894</v>
      </c>
    </row>
    <row r="3543" customFormat="1" s="36">
      <c r="A3543" s="485" t="s">
        <v>6914</v>
      </c>
      <c r="B3543" s="485" t="s">
        <v>6915</v>
      </c>
      <c r="C3543" s="482">
        <v>0.0</v>
      </c>
      <c r="D3543" s="482" t="s">
        <v>913</v>
      </c>
      <c r="E3543" s="482" t="s">
        <v>894</v>
      </c>
    </row>
    <row r="3544" customFormat="1" s="36">
      <c r="A3544" s="485" t="s">
        <v>6916</v>
      </c>
      <c r="B3544" s="485" t="s">
        <v>6917</v>
      </c>
      <c r="C3544" s="482">
        <v>0.0</v>
      </c>
      <c r="D3544" s="482" t="s">
        <v>913</v>
      </c>
      <c r="E3544" s="482" t="s">
        <v>894</v>
      </c>
    </row>
    <row r="3545" customFormat="1" s="36">
      <c r="A3545" s="485" t="s">
        <v>6918</v>
      </c>
      <c r="B3545" s="485" t="s">
        <v>6919</v>
      </c>
      <c r="C3545" s="482">
        <v>0.0</v>
      </c>
      <c r="D3545" s="482" t="s">
        <v>913</v>
      </c>
      <c r="E3545" s="482" t="s">
        <v>894</v>
      </c>
    </row>
    <row r="3546" customFormat="1" s="36">
      <c r="A3546" s="485" t="s">
        <v>6920</v>
      </c>
      <c r="B3546" s="485" t="s">
        <v>6921</v>
      </c>
      <c r="C3546" s="482">
        <v>0.0</v>
      </c>
      <c r="D3546" s="482" t="s">
        <v>913</v>
      </c>
      <c r="E3546" s="482" t="s">
        <v>894</v>
      </c>
    </row>
    <row r="3547" customFormat="1" s="36">
      <c r="A3547" s="485" t="s">
        <v>6922</v>
      </c>
      <c r="B3547" s="485" t="s">
        <v>6923</v>
      </c>
      <c r="C3547" s="482">
        <v>0.0</v>
      </c>
      <c r="D3547" s="482" t="s">
        <v>913</v>
      </c>
      <c r="E3547" s="482" t="s">
        <v>894</v>
      </c>
    </row>
    <row r="3548" customFormat="1" s="36">
      <c r="A3548" s="485" t="s">
        <v>6924</v>
      </c>
      <c r="B3548" s="485" t="s">
        <v>6925</v>
      </c>
      <c r="C3548" s="482">
        <v>0.0</v>
      </c>
      <c r="D3548" s="482" t="s">
        <v>913</v>
      </c>
      <c r="E3548" s="482" t="s">
        <v>894</v>
      </c>
    </row>
    <row r="3549" customFormat="1" s="36">
      <c r="A3549" s="485" t="s">
        <v>6926</v>
      </c>
      <c r="B3549" s="485" t="s">
        <v>6927</v>
      </c>
      <c r="C3549" s="482">
        <v>0.0</v>
      </c>
      <c r="D3549" s="482" t="s">
        <v>913</v>
      </c>
      <c r="E3549" s="482" t="s">
        <v>894</v>
      </c>
    </row>
    <row r="3550" customFormat="1" s="36">
      <c r="A3550" s="485">
        <v>97202.0</v>
      </c>
      <c r="B3550" s="485" t="s">
        <v>6928</v>
      </c>
      <c r="C3550" s="482">
        <v>0.0</v>
      </c>
      <c r="D3550" s="482" t="s">
        <v>893</v>
      </c>
      <c r="E3550" s="482" t="s">
        <v>894</v>
      </c>
    </row>
    <row r="3551" customFormat="1" s="36">
      <c r="A3551" s="485">
        <v>97204.0</v>
      </c>
      <c r="B3551" s="485" t="s">
        <v>6929</v>
      </c>
      <c r="C3551" s="482">
        <v>0.0</v>
      </c>
      <c r="D3551" s="482" t="s">
        <v>893</v>
      </c>
      <c r="E3551" s="482" t="s">
        <v>894</v>
      </c>
    </row>
    <row r="3552" customFormat="1" s="36">
      <c r="A3552" s="485">
        <v>97203.0</v>
      </c>
      <c r="B3552" s="485" t="s">
        <v>6930</v>
      </c>
      <c r="C3552" s="482">
        <v>0.0</v>
      </c>
      <c r="D3552" s="482" t="s">
        <v>893</v>
      </c>
      <c r="E3552" s="482" t="s">
        <v>894</v>
      </c>
    </row>
    <row r="3553" customFormat="1" s="36">
      <c r="A3553" s="485">
        <v>97201.0</v>
      </c>
      <c r="B3553" s="485" t="s">
        <v>6931</v>
      </c>
      <c r="C3553" s="482">
        <v>0.0</v>
      </c>
      <c r="D3553" s="482" t="s">
        <v>893</v>
      </c>
      <c r="E3553" s="482" t="s">
        <v>894</v>
      </c>
    </row>
    <row r="3554" customFormat="1" s="36">
      <c r="A3554" s="485" t="s">
        <v>6932</v>
      </c>
      <c r="B3554" s="485" t="s">
        <v>6933</v>
      </c>
      <c r="C3554" s="482">
        <v>0.0</v>
      </c>
      <c r="D3554" s="482" t="s">
        <v>893</v>
      </c>
      <c r="E3554" s="482" t="s">
        <v>894</v>
      </c>
    </row>
    <row r="3555" customFormat="1" s="36">
      <c r="A3555" s="485">
        <v>97306.0</v>
      </c>
      <c r="B3555" s="485" t="s">
        <v>6934</v>
      </c>
      <c r="C3555" s="482">
        <v>0.0</v>
      </c>
      <c r="D3555" s="482" t="s">
        <v>893</v>
      </c>
      <c r="E3555" s="482" t="s">
        <v>894</v>
      </c>
    </row>
    <row r="3556" customFormat="1" s="36">
      <c r="A3556" s="485">
        <v>97305.0</v>
      </c>
      <c r="B3556" s="485" t="s">
        <v>6935</v>
      </c>
      <c r="C3556" s="482">
        <v>0.0</v>
      </c>
      <c r="D3556" s="482" t="s">
        <v>893</v>
      </c>
      <c r="E3556" s="482" t="s">
        <v>894</v>
      </c>
    </row>
    <row r="3557" customFormat="1" s="36">
      <c r="A3557" s="485">
        <v>97307.0</v>
      </c>
      <c r="B3557" s="485" t="s">
        <v>6936</v>
      </c>
      <c r="C3557" s="482">
        <v>0.0</v>
      </c>
      <c r="D3557" s="482" t="s">
        <v>893</v>
      </c>
      <c r="E3557" s="482" t="s">
        <v>894</v>
      </c>
    </row>
    <row r="3558" customFormat="1" s="36">
      <c r="A3558" s="485">
        <v>97304.0</v>
      </c>
      <c r="B3558" s="485" t="s">
        <v>6937</v>
      </c>
      <c r="C3558" s="482">
        <v>0.0</v>
      </c>
      <c r="D3558" s="482" t="s">
        <v>893</v>
      </c>
      <c r="E3558" s="482" t="s">
        <v>894</v>
      </c>
    </row>
    <row r="3559" customFormat="1" s="36">
      <c r="A3559" s="485">
        <v>97302.0</v>
      </c>
      <c r="B3559" s="485" t="s">
        <v>6938</v>
      </c>
      <c r="C3559" s="482">
        <v>0.0</v>
      </c>
      <c r="D3559" s="482" t="s">
        <v>893</v>
      </c>
      <c r="E3559" s="482" t="s">
        <v>894</v>
      </c>
    </row>
    <row r="3560" customFormat="1" s="36">
      <c r="A3560" s="485">
        <v>97303.0</v>
      </c>
      <c r="B3560" s="485" t="s">
        <v>6939</v>
      </c>
      <c r="C3560" s="482">
        <v>0.0</v>
      </c>
      <c r="D3560" s="482" t="s">
        <v>893</v>
      </c>
      <c r="E3560" s="482" t="s">
        <v>894</v>
      </c>
    </row>
    <row r="3561" customFormat="1" s="36">
      <c r="A3561" s="485">
        <v>97309.0</v>
      </c>
      <c r="B3561" s="485" t="s">
        <v>6940</v>
      </c>
      <c r="C3561" s="482">
        <v>0.0</v>
      </c>
      <c r="D3561" s="482" t="s">
        <v>893</v>
      </c>
      <c r="E3561" s="482" t="s">
        <v>894</v>
      </c>
    </row>
    <row r="3562" customFormat="1" s="36">
      <c r="A3562" s="485">
        <v>97301.0</v>
      </c>
      <c r="B3562" s="485" t="s">
        <v>6941</v>
      </c>
      <c r="C3562" s="482">
        <v>0.0</v>
      </c>
      <c r="D3562" s="482" t="s">
        <v>893</v>
      </c>
      <c r="E3562" s="482" t="s">
        <v>894</v>
      </c>
    </row>
    <row r="3563" customFormat="1" s="36">
      <c r="A3563" s="485" t="s">
        <v>6942</v>
      </c>
      <c r="B3563" s="485" t="s">
        <v>6943</v>
      </c>
      <c r="C3563" s="482">
        <v>0.0</v>
      </c>
      <c r="D3563" s="482" t="s">
        <v>893</v>
      </c>
      <c r="E3563" s="482" t="s">
        <v>894</v>
      </c>
    </row>
    <row r="3564" customFormat="1" s="36">
      <c r="A3564" s="485" t="s">
        <v>6944</v>
      </c>
      <c r="B3564" s="485" t="s">
        <v>6945</v>
      </c>
      <c r="C3564" s="482">
        <v>0.0</v>
      </c>
      <c r="D3564" s="482" t="s">
        <v>893</v>
      </c>
      <c r="E3564" s="482" t="s">
        <v>894</v>
      </c>
    </row>
    <row r="3565" customFormat="1" s="36">
      <c r="A3565" s="485" t="s">
        <v>6946</v>
      </c>
      <c r="B3565" s="485" t="s">
        <v>6947</v>
      </c>
      <c r="C3565" s="482">
        <v>14.0</v>
      </c>
      <c r="D3565" s="482" t="s">
        <v>913</v>
      </c>
      <c r="E3565" s="482" t="s">
        <v>894</v>
      </c>
    </row>
    <row r="3566" customFormat="1" s="36">
      <c r="A3566" s="485" t="s">
        <v>6948</v>
      </c>
      <c r="B3566" s="485" t="s">
        <v>6949</v>
      </c>
      <c r="C3566" s="482">
        <v>442.0</v>
      </c>
      <c r="D3566" s="482" t="s">
        <v>913</v>
      </c>
      <c r="E3566" s="482" t="s">
        <v>894</v>
      </c>
    </row>
    <row r="3567" customFormat="1" s="36">
      <c r="A3567" s="485" t="s">
        <v>6950</v>
      </c>
      <c r="B3567" s="485" t="s">
        <v>6951</v>
      </c>
      <c r="C3567" s="482">
        <v>63.0</v>
      </c>
      <c r="D3567" s="482" t="s">
        <v>913</v>
      </c>
      <c r="E3567" s="482" t="s">
        <v>894</v>
      </c>
    </row>
    <row r="3568" customFormat="1" s="36">
      <c r="A3568" s="485" t="s">
        <v>6952</v>
      </c>
      <c r="B3568" s="485" t="s">
        <v>6953</v>
      </c>
      <c r="C3568" s="482">
        <v>0.0</v>
      </c>
      <c r="D3568" s="482" t="s">
        <v>893</v>
      </c>
      <c r="E3568" s="482" t="s">
        <v>894</v>
      </c>
    </row>
    <row r="3569" customFormat="1" s="36">
      <c r="A3569" s="485" t="s">
        <v>6954</v>
      </c>
      <c r="B3569" s="485" t="s">
        <v>6955</v>
      </c>
      <c r="C3569" s="482">
        <v>80.0</v>
      </c>
      <c r="D3569" s="482" t="s">
        <v>913</v>
      </c>
      <c r="E3569" s="482" t="s">
        <v>894</v>
      </c>
    </row>
    <row r="3570" customFormat="1" s="36">
      <c r="A3570" s="485" t="s">
        <v>6956</v>
      </c>
      <c r="B3570" s="485" t="s">
        <v>6957</v>
      </c>
      <c r="C3570" s="482">
        <v>0.0</v>
      </c>
      <c r="D3570" s="482" t="s">
        <v>913</v>
      </c>
      <c r="E3570" s="482" t="s">
        <v>894</v>
      </c>
    </row>
    <row r="3571" customFormat="1" s="36">
      <c r="A3571" s="485" t="s">
        <v>6958</v>
      </c>
      <c r="B3571" s="485" t="s">
        <v>6959</v>
      </c>
      <c r="C3571" s="482">
        <v>0.0</v>
      </c>
      <c r="D3571" s="482" t="s">
        <v>893</v>
      </c>
      <c r="E3571" s="482" t="s">
        <v>894</v>
      </c>
    </row>
    <row r="3572" customFormat="1" s="36">
      <c r="A3572" s="485" t="s">
        <v>6960</v>
      </c>
      <c r="B3572" s="485" t="s">
        <v>6961</v>
      </c>
      <c r="C3572" s="482">
        <v>455.0</v>
      </c>
      <c r="D3572" s="482" t="s">
        <v>913</v>
      </c>
      <c r="E3572" s="482" t="s">
        <v>894</v>
      </c>
    </row>
    <row r="3573" customFormat="1" s="36">
      <c r="A3573" s="485" t="s">
        <v>6962</v>
      </c>
      <c r="B3573" s="485" t="s">
        <v>6963</v>
      </c>
      <c r="C3573" s="482">
        <v>28.0</v>
      </c>
      <c r="D3573" s="482" t="s">
        <v>913</v>
      </c>
      <c r="E3573" s="482" t="s">
        <v>894</v>
      </c>
    </row>
    <row r="3574" customFormat="1" s="36">
      <c r="A3574" s="485" t="s">
        <v>6964</v>
      </c>
      <c r="B3574" s="485" t="s">
        <v>6965</v>
      </c>
      <c r="C3574" s="482">
        <v>4.0</v>
      </c>
      <c r="D3574" s="482" t="s">
        <v>913</v>
      </c>
      <c r="E3574" s="482" t="s">
        <v>894</v>
      </c>
    </row>
    <row r="3575" customFormat="1" s="36">
      <c r="A3575" s="485" t="s">
        <v>6966</v>
      </c>
      <c r="B3575" s="485" t="s">
        <v>6967</v>
      </c>
      <c r="C3575" s="482">
        <v>156.0</v>
      </c>
      <c r="D3575" s="482" t="s">
        <v>913</v>
      </c>
      <c r="E3575" s="482" t="s">
        <v>894</v>
      </c>
    </row>
    <row r="3576" customFormat="1" s="36">
      <c r="A3576" s="485" t="s">
        <v>6968</v>
      </c>
      <c r="B3576" s="485" t="s">
        <v>6969</v>
      </c>
      <c r="C3576" s="482">
        <v>0.0</v>
      </c>
      <c r="D3576" s="482" t="s">
        <v>893</v>
      </c>
      <c r="E3576" s="482" t="s">
        <v>894</v>
      </c>
    </row>
    <row r="3577" customFormat="1" s="36">
      <c r="A3577" s="485" t="s">
        <v>6970</v>
      </c>
      <c r="B3577" s="485" t="s">
        <v>6971</v>
      </c>
      <c r="C3577" s="482">
        <v>183.0</v>
      </c>
      <c r="D3577" s="482" t="s">
        <v>913</v>
      </c>
      <c r="E3577" s="482" t="s">
        <v>894</v>
      </c>
    </row>
    <row r="3578" customFormat="1" s="36">
      <c r="A3578" s="485" t="s">
        <v>6972</v>
      </c>
      <c r="B3578" s="485" t="s">
        <v>6973</v>
      </c>
      <c r="C3578" s="482">
        <v>0.0</v>
      </c>
      <c r="D3578" s="482" t="s">
        <v>893</v>
      </c>
      <c r="E3578" s="482" t="s">
        <v>894</v>
      </c>
    </row>
    <row r="3579" customFormat="1" s="36">
      <c r="A3579" s="485" t="s">
        <v>6974</v>
      </c>
      <c r="B3579" s="485" t="s">
        <v>6975</v>
      </c>
      <c r="C3579" s="482">
        <v>0.0</v>
      </c>
      <c r="D3579" s="482" t="s">
        <v>893</v>
      </c>
      <c r="E3579" s="482" t="s">
        <v>894</v>
      </c>
    </row>
    <row r="3580" customFormat="1" s="36">
      <c r="A3580" s="485" t="s">
        <v>6976</v>
      </c>
      <c r="B3580" s="485" t="s">
        <v>6977</v>
      </c>
      <c r="C3580" s="482">
        <v>15.0</v>
      </c>
      <c r="D3580" s="482" t="s">
        <v>913</v>
      </c>
      <c r="E3580" s="482" t="s">
        <v>894</v>
      </c>
    </row>
    <row r="3581" customFormat="1" s="36">
      <c r="A3581" s="485" t="s">
        <v>6978</v>
      </c>
      <c r="B3581" s="485" t="s">
        <v>6979</v>
      </c>
      <c r="C3581" s="482">
        <v>256.0</v>
      </c>
      <c r="D3581" s="482" t="s">
        <v>913</v>
      </c>
      <c r="E3581" s="482" t="s">
        <v>894</v>
      </c>
    </row>
    <row r="3582" customFormat="1" s="36">
      <c r="A3582" s="485" t="s">
        <v>6980</v>
      </c>
      <c r="B3582" s="485" t="s">
        <v>6981</v>
      </c>
      <c r="C3582" s="482">
        <v>214.0</v>
      </c>
      <c r="D3582" s="482" t="s">
        <v>913</v>
      </c>
      <c r="E3582" s="482" t="s">
        <v>894</v>
      </c>
    </row>
    <row r="3583" customFormat="1" s="36">
      <c r="A3583" s="485"/>
      <c r="B3583" s="485" t="s">
        <v>6982</v>
      </c>
      <c r="C3583" s="482">
        <v>0.0</v>
      </c>
      <c r="D3583" s="482" t="s">
        <v>893</v>
      </c>
      <c r="E3583" s="482" t="s">
        <v>1799</v>
      </c>
    </row>
    <row r="3584" customFormat="1" s="36">
      <c r="A3584" s="485" t="s">
        <v>6983</v>
      </c>
      <c r="B3584" s="485" t="s">
        <v>6984</v>
      </c>
      <c r="C3584" s="482">
        <v>1.0</v>
      </c>
      <c r="D3584" s="482" t="s">
        <v>913</v>
      </c>
      <c r="E3584" s="482" t="s">
        <v>1140</v>
      </c>
    </row>
    <row r="3585" customFormat="1" s="36">
      <c r="A3585" s="485" t="s">
        <v>6985</v>
      </c>
      <c r="B3585" s="485" t="s">
        <v>6986</v>
      </c>
      <c r="C3585" s="482">
        <v>4.0</v>
      </c>
      <c r="D3585" s="482" t="s">
        <v>913</v>
      </c>
      <c r="E3585" s="482" t="s">
        <v>1140</v>
      </c>
    </row>
    <row r="3586" customFormat="1" s="36">
      <c r="A3586" s="485" t="s">
        <v>6987</v>
      </c>
      <c r="B3586" s="485" t="s">
        <v>6988</v>
      </c>
      <c r="C3586" s="482">
        <v>0.0</v>
      </c>
      <c r="D3586" s="482" t="s">
        <v>893</v>
      </c>
      <c r="E3586" s="482" t="s">
        <v>1799</v>
      </c>
    </row>
    <row r="3587" customFormat="1" s="36">
      <c r="A3587" s="485" t="s">
        <v>6989</v>
      </c>
      <c r="B3587" s="485" t="s">
        <v>6990</v>
      </c>
      <c r="C3587" s="482">
        <v>0.0</v>
      </c>
      <c r="D3587" s="482" t="s">
        <v>893</v>
      </c>
      <c r="E3587" s="482" t="s">
        <v>894</v>
      </c>
    </row>
    <row r="3588" customFormat="1" s="36">
      <c r="A3588" s="485" t="s">
        <v>6991</v>
      </c>
      <c r="B3588" s="485" t="s">
        <v>6992</v>
      </c>
      <c r="C3588" s="482">
        <v>530.0</v>
      </c>
      <c r="D3588" s="482" t="s">
        <v>913</v>
      </c>
      <c r="E3588" s="482" t="s">
        <v>1140</v>
      </c>
    </row>
    <row r="3589" customFormat="1" s="36">
      <c r="A3589" s="485" t="s">
        <v>6993</v>
      </c>
      <c r="B3589" s="485" t="s">
        <v>6994</v>
      </c>
      <c r="C3589" s="482">
        <v>89.0</v>
      </c>
      <c r="D3589" s="482" t="s">
        <v>913</v>
      </c>
      <c r="E3589" s="482" t="s">
        <v>1140</v>
      </c>
    </row>
    <row r="3590" customFormat="1" s="36">
      <c r="A3590" s="485" t="s">
        <v>6995</v>
      </c>
      <c r="B3590" s="485" t="s">
        <v>6996</v>
      </c>
      <c r="C3590" s="482">
        <v>210.0</v>
      </c>
      <c r="D3590" s="482" t="s">
        <v>913</v>
      </c>
      <c r="E3590" s="482" t="s">
        <v>894</v>
      </c>
    </row>
    <row r="3591" customFormat="1" s="36">
      <c r="A3591" s="485" t="s">
        <v>6997</v>
      </c>
      <c r="B3591" s="485" t="s">
        <v>6998</v>
      </c>
      <c r="C3591" s="482">
        <v>18.0</v>
      </c>
      <c r="D3591" s="482" t="s">
        <v>913</v>
      </c>
      <c r="E3591" s="482" t="s">
        <v>894</v>
      </c>
    </row>
    <row r="3592" customFormat="1" s="36">
      <c r="A3592" s="485" t="s">
        <v>6999</v>
      </c>
      <c r="B3592" s="485" t="s">
        <v>7000</v>
      </c>
      <c r="C3592" s="482">
        <v>0.0</v>
      </c>
      <c r="D3592" s="482" t="s">
        <v>893</v>
      </c>
      <c r="E3592" s="482" t="s">
        <v>894</v>
      </c>
    </row>
    <row r="3593" customFormat="1" s="36">
      <c r="A3593" s="485" t="s">
        <v>7001</v>
      </c>
      <c r="B3593" s="485" t="s">
        <v>7002</v>
      </c>
      <c r="C3593" s="482">
        <v>822.0</v>
      </c>
      <c r="D3593" s="482" t="s">
        <v>913</v>
      </c>
      <c r="E3593" s="482" t="s">
        <v>894</v>
      </c>
    </row>
    <row r="3594" customFormat="1" s="36">
      <c r="A3594" s="485" t="s">
        <v>7003</v>
      </c>
      <c r="B3594" s="485" t="s">
        <v>7004</v>
      </c>
      <c r="C3594" s="482">
        <v>0.0</v>
      </c>
      <c r="D3594" s="482" t="s">
        <v>913</v>
      </c>
      <c r="E3594" s="482" t="s">
        <v>894</v>
      </c>
    </row>
    <row r="3595" customFormat="1" s="36">
      <c r="A3595" s="485" t="s">
        <v>7005</v>
      </c>
      <c r="B3595" s="485" t="s">
        <v>7006</v>
      </c>
      <c r="C3595" s="482">
        <v>0.0</v>
      </c>
      <c r="D3595" s="482" t="s">
        <v>913</v>
      </c>
      <c r="E3595" s="482" t="s">
        <v>894</v>
      </c>
    </row>
    <row r="3596" customFormat="1" s="36">
      <c r="A3596" s="485" t="s">
        <v>7007</v>
      </c>
      <c r="B3596" s="485" t="s">
        <v>7008</v>
      </c>
      <c r="C3596" s="482">
        <v>0.0</v>
      </c>
      <c r="D3596" s="482" t="s">
        <v>893</v>
      </c>
      <c r="E3596" s="482" t="s">
        <v>894</v>
      </c>
    </row>
    <row r="3597" customFormat="1" s="36">
      <c r="A3597" s="485" t="s">
        <v>7009</v>
      </c>
      <c r="B3597" s="485" t="s">
        <v>7010</v>
      </c>
      <c r="C3597" s="482">
        <v>546.0</v>
      </c>
      <c r="D3597" s="482" t="s">
        <v>913</v>
      </c>
      <c r="E3597" s="482" t="s">
        <v>894</v>
      </c>
    </row>
    <row r="3598" customFormat="1" s="36">
      <c r="A3598" s="485" t="s">
        <v>7011</v>
      </c>
      <c r="B3598" s="485" t="s">
        <v>7012</v>
      </c>
      <c r="C3598" s="482">
        <v>846.0</v>
      </c>
      <c r="D3598" s="482" t="s">
        <v>913</v>
      </c>
      <c r="E3598" s="482" t="s">
        <v>894</v>
      </c>
    </row>
    <row r="3599" customFormat="1" s="36">
      <c r="A3599" s="485" t="s">
        <v>7013</v>
      </c>
      <c r="B3599" s="485" t="s">
        <v>7014</v>
      </c>
      <c r="C3599" s="482">
        <v>378.0</v>
      </c>
      <c r="D3599" s="482" t="s">
        <v>913</v>
      </c>
      <c r="E3599" s="482" t="s">
        <v>894</v>
      </c>
    </row>
    <row r="3600" customFormat="1" s="36">
      <c r="A3600" s="485" t="s">
        <v>7015</v>
      </c>
      <c r="B3600" s="485" t="s">
        <v>7016</v>
      </c>
      <c r="C3600" s="482">
        <v>0.0</v>
      </c>
      <c r="D3600" s="482" t="s">
        <v>893</v>
      </c>
      <c r="E3600" s="482" t="s">
        <v>894</v>
      </c>
    </row>
    <row r="3601" customFormat="1" s="36">
      <c r="A3601" s="485" t="s">
        <v>7017</v>
      </c>
      <c r="B3601" s="485" t="s">
        <v>7018</v>
      </c>
      <c r="C3601" s="482">
        <v>276.0</v>
      </c>
      <c r="D3601" s="482" t="s">
        <v>913</v>
      </c>
      <c r="E3601" s="482" t="s">
        <v>894</v>
      </c>
    </row>
    <row r="3602" customFormat="1" s="36">
      <c r="A3602" s="485" t="s">
        <v>7019</v>
      </c>
      <c r="B3602" s="485" t="s">
        <v>7020</v>
      </c>
      <c r="C3602" s="482">
        <v>0.0</v>
      </c>
      <c r="D3602" s="482" t="s">
        <v>893</v>
      </c>
      <c r="E3602" s="482" t="s">
        <v>894</v>
      </c>
    </row>
    <row r="3603" customFormat="1" s="36">
      <c r="A3603" s="485" t="s">
        <v>7021</v>
      </c>
      <c r="B3603" s="485" t="s">
        <v>7022</v>
      </c>
      <c r="C3603" s="482">
        <v>3.0</v>
      </c>
      <c r="D3603" s="482" t="s">
        <v>913</v>
      </c>
      <c r="E3603" s="482" t="s">
        <v>894</v>
      </c>
    </row>
    <row r="3604" customFormat="1" s="36">
      <c r="A3604" s="485" t="s">
        <v>7023</v>
      </c>
      <c r="B3604" s="485" t="s">
        <v>7024</v>
      </c>
      <c r="C3604" s="482">
        <v>900.0</v>
      </c>
      <c r="D3604" s="482" t="s">
        <v>913</v>
      </c>
      <c r="E3604" s="482" t="s">
        <v>894</v>
      </c>
    </row>
    <row r="3605" customFormat="1" s="36">
      <c r="A3605" s="485" t="s">
        <v>7025</v>
      </c>
      <c r="B3605" s="485" t="s">
        <v>7026</v>
      </c>
      <c r="C3605" s="482">
        <v>0.0</v>
      </c>
      <c r="D3605" s="482" t="s">
        <v>893</v>
      </c>
      <c r="E3605" s="482" t="s">
        <v>894</v>
      </c>
    </row>
    <row r="3606" customFormat="1" s="36">
      <c r="A3606" s="485" t="s">
        <v>7027</v>
      </c>
      <c r="B3606" s="485" t="s">
        <v>7028</v>
      </c>
      <c r="C3606" s="482">
        <v>0.0</v>
      </c>
      <c r="D3606" s="482" t="s">
        <v>893</v>
      </c>
      <c r="E3606" s="482" t="s">
        <v>894</v>
      </c>
    </row>
    <row r="3607" customFormat="1" s="36">
      <c r="A3607" s="485" t="s">
        <v>7029</v>
      </c>
      <c r="B3607" s="485" t="s">
        <v>7030</v>
      </c>
      <c r="C3607" s="482">
        <v>0.0</v>
      </c>
      <c r="D3607" s="482" t="s">
        <v>893</v>
      </c>
      <c r="E3607" s="482" t="s">
        <v>894</v>
      </c>
    </row>
    <row r="3608" customFormat="1" s="36">
      <c r="A3608" s="485" t="s">
        <v>7031</v>
      </c>
      <c r="B3608" s="485" t="s">
        <v>7032</v>
      </c>
      <c r="C3608" s="482">
        <v>0.0</v>
      </c>
      <c r="D3608" s="482" t="s">
        <v>893</v>
      </c>
      <c r="E3608" s="482" t="s">
        <v>894</v>
      </c>
    </row>
    <row r="3609" customFormat="1" s="36">
      <c r="A3609" s="485" t="s">
        <v>7033</v>
      </c>
      <c r="B3609" s="485" t="s">
        <v>7034</v>
      </c>
      <c r="C3609" s="482">
        <v>0.0</v>
      </c>
      <c r="D3609" s="482" t="s">
        <v>893</v>
      </c>
      <c r="E3609" s="482" t="s">
        <v>894</v>
      </c>
    </row>
    <row r="3610" customFormat="1" s="36">
      <c r="A3610" s="485" t="s">
        <v>7035</v>
      </c>
      <c r="B3610" s="485" t="s">
        <v>7036</v>
      </c>
      <c r="C3610" s="482">
        <v>0.0</v>
      </c>
      <c r="D3610" s="482" t="s">
        <v>893</v>
      </c>
      <c r="E3610" s="482" t="s">
        <v>894</v>
      </c>
    </row>
    <row r="3611" customFormat="1" s="36">
      <c r="A3611" s="485" t="s">
        <v>7037</v>
      </c>
      <c r="B3611" s="485" t="s">
        <v>7038</v>
      </c>
      <c r="C3611" s="482">
        <v>0.0</v>
      </c>
      <c r="D3611" s="482" t="s">
        <v>893</v>
      </c>
      <c r="E3611" s="482" t="s">
        <v>894</v>
      </c>
    </row>
    <row r="3612" customFormat="1" s="36">
      <c r="A3612" s="485" t="s">
        <v>7039</v>
      </c>
      <c r="B3612" s="485" t="s">
        <v>7040</v>
      </c>
      <c r="C3612" s="482">
        <v>0.0</v>
      </c>
      <c r="D3612" s="482" t="s">
        <v>893</v>
      </c>
      <c r="E3612" s="482" t="s">
        <v>894</v>
      </c>
    </row>
    <row r="3613" customFormat="1" s="36">
      <c r="A3613" s="485" t="s">
        <v>607</v>
      </c>
      <c r="B3613" s="485" t="s">
        <v>606</v>
      </c>
      <c r="C3613" s="482">
        <v>-9.0</v>
      </c>
      <c r="D3613" s="482" t="s">
        <v>913</v>
      </c>
      <c r="E3613" s="482" t="s">
        <v>894</v>
      </c>
    </row>
    <row r="3614" customFormat="1" s="36">
      <c r="A3614" s="485" t="s">
        <v>7041</v>
      </c>
      <c r="B3614" s="485" t="s">
        <v>7042</v>
      </c>
      <c r="C3614" s="482">
        <v>0.0</v>
      </c>
      <c r="D3614" s="482" t="s">
        <v>893</v>
      </c>
      <c r="E3614" s="482" t="s">
        <v>894</v>
      </c>
    </row>
    <row r="3615" customFormat="1" s="36">
      <c r="A3615" s="485" t="s">
        <v>7043</v>
      </c>
      <c r="B3615" s="485" t="s">
        <v>7044</v>
      </c>
      <c r="C3615" s="482">
        <v>-33.0</v>
      </c>
      <c r="D3615" s="482" t="s">
        <v>913</v>
      </c>
      <c r="E3615" s="482" t="s">
        <v>894</v>
      </c>
    </row>
    <row r="3616" customFormat="1" s="36">
      <c r="A3616" s="485" t="s">
        <v>416</v>
      </c>
      <c r="B3616" s="485" t="s">
        <v>415</v>
      </c>
      <c r="C3616" s="482">
        <v>183.0</v>
      </c>
      <c r="D3616" s="482" t="s">
        <v>913</v>
      </c>
      <c r="E3616" s="482" t="s">
        <v>894</v>
      </c>
    </row>
    <row r="3617" customFormat="1" s="36">
      <c r="A3617" s="485" t="s">
        <v>609</v>
      </c>
      <c r="B3617" s="485" t="s">
        <v>608</v>
      </c>
      <c r="C3617" s="482">
        <v>50.0</v>
      </c>
      <c r="D3617" s="482" t="s">
        <v>913</v>
      </c>
      <c r="E3617" s="482" t="s">
        <v>894</v>
      </c>
    </row>
    <row r="3618" customFormat="1" s="36">
      <c r="A3618" s="485" t="s">
        <v>422</v>
      </c>
      <c r="B3618" s="485" t="s">
        <v>421</v>
      </c>
      <c r="C3618" s="482">
        <v>271.0</v>
      </c>
      <c r="D3618" s="482" t="s">
        <v>913</v>
      </c>
      <c r="E3618" s="482" t="s">
        <v>894</v>
      </c>
    </row>
    <row r="3619" customFormat="1" s="36">
      <c r="A3619" s="485" t="s">
        <v>7045</v>
      </c>
      <c r="B3619" s="485" t="s">
        <v>7046</v>
      </c>
      <c r="C3619" s="482">
        <v>0.0</v>
      </c>
      <c r="D3619" s="482" t="s">
        <v>893</v>
      </c>
      <c r="E3619" s="482" t="s">
        <v>894</v>
      </c>
    </row>
    <row r="3620" customFormat="1" s="36">
      <c r="A3620" s="485" t="s">
        <v>426</v>
      </c>
      <c r="B3620" s="485" t="s">
        <v>425</v>
      </c>
      <c r="C3620" s="482">
        <v>260.0</v>
      </c>
      <c r="D3620" s="482" t="s">
        <v>913</v>
      </c>
      <c r="E3620" s="482" t="s">
        <v>894</v>
      </c>
    </row>
    <row r="3621" customFormat="1" s="36">
      <c r="A3621" s="485" t="s">
        <v>418</v>
      </c>
      <c r="B3621" s="485" t="s">
        <v>417</v>
      </c>
      <c r="C3621" s="482">
        <v>151.0</v>
      </c>
      <c r="D3621" s="482" t="s">
        <v>913</v>
      </c>
      <c r="E3621" s="482" t="s">
        <v>894</v>
      </c>
    </row>
    <row r="3622" customFormat="1" s="36">
      <c r="A3622" s="485" t="s">
        <v>7047</v>
      </c>
      <c r="B3622" s="485" t="s">
        <v>7048</v>
      </c>
      <c r="C3622" s="482">
        <v>-3.0</v>
      </c>
      <c r="D3622" s="482" t="s">
        <v>913</v>
      </c>
      <c r="E3622" s="482" t="s">
        <v>894</v>
      </c>
    </row>
    <row r="3623" customFormat="1" s="36">
      <c r="A3623" s="485" t="s">
        <v>420</v>
      </c>
      <c r="B3623" s="485" t="s">
        <v>419</v>
      </c>
      <c r="C3623" s="482">
        <v>83.0</v>
      </c>
      <c r="D3623" s="482" t="s">
        <v>913</v>
      </c>
      <c r="E3623" s="482" t="s">
        <v>894</v>
      </c>
    </row>
    <row r="3624" customFormat="1" s="36">
      <c r="A3624" s="485" t="s">
        <v>7049</v>
      </c>
      <c r="B3624" s="485" t="s">
        <v>7050</v>
      </c>
      <c r="C3624" s="482">
        <v>0.0</v>
      </c>
      <c r="D3624" s="482" t="s">
        <v>913</v>
      </c>
      <c r="E3624" s="482" t="s">
        <v>894</v>
      </c>
    </row>
    <row r="3625" customFormat="1" s="36">
      <c r="A3625" s="485" t="s">
        <v>424</v>
      </c>
      <c r="B3625" s="485" t="s">
        <v>423</v>
      </c>
      <c r="C3625" s="482">
        <v>264.0</v>
      </c>
      <c r="D3625" s="482" t="s">
        <v>913</v>
      </c>
      <c r="E3625" s="482" t="s">
        <v>894</v>
      </c>
    </row>
    <row r="3626" customFormat="1" s="36">
      <c r="A3626" s="485" t="s">
        <v>7051</v>
      </c>
      <c r="B3626" s="485" t="s">
        <v>7052</v>
      </c>
      <c r="C3626" s="482">
        <v>0.0</v>
      </c>
      <c r="D3626" s="482" t="s">
        <v>893</v>
      </c>
      <c r="E3626" s="482" t="s">
        <v>894</v>
      </c>
    </row>
    <row r="3627" customFormat="1" s="36">
      <c r="A3627" s="485" t="s">
        <v>7053</v>
      </c>
      <c r="B3627" s="485" t="s">
        <v>7054</v>
      </c>
      <c r="C3627" s="482">
        <v>650.0</v>
      </c>
      <c r="D3627" s="482" t="s">
        <v>913</v>
      </c>
      <c r="E3627" s="482" t="s">
        <v>894</v>
      </c>
    </row>
    <row r="3628" customFormat="1" s="36">
      <c r="A3628" s="485" t="s">
        <v>7055</v>
      </c>
      <c r="B3628" s="485" t="s">
        <v>7056</v>
      </c>
      <c r="C3628" s="482">
        <v>0.0</v>
      </c>
      <c r="D3628" s="482" t="s">
        <v>893</v>
      </c>
      <c r="E3628" s="482" t="s">
        <v>894</v>
      </c>
    </row>
    <row r="3629" customFormat="1" s="36">
      <c r="A3629" s="485" t="s">
        <v>7057</v>
      </c>
      <c r="B3629" s="485" t="s">
        <v>7058</v>
      </c>
      <c r="C3629" s="482">
        <v>0.0</v>
      </c>
      <c r="D3629" s="482" t="s">
        <v>893</v>
      </c>
      <c r="E3629" s="482" t="s">
        <v>1799</v>
      </c>
    </row>
    <row r="3630" customFormat="1" s="36">
      <c r="A3630" s="485" t="s">
        <v>442</v>
      </c>
      <c r="B3630" s="485" t="s">
        <v>441</v>
      </c>
      <c r="C3630" s="482">
        <v>436.0</v>
      </c>
      <c r="D3630" s="482" t="s">
        <v>913</v>
      </c>
      <c r="E3630" s="482" t="s">
        <v>894</v>
      </c>
    </row>
    <row r="3631" customFormat="1" s="36">
      <c r="A3631" s="485" t="s">
        <v>7059</v>
      </c>
      <c r="B3631" s="485" t="s">
        <v>7060</v>
      </c>
      <c r="C3631" s="482">
        <v>0.0</v>
      </c>
      <c r="D3631" s="482" t="s">
        <v>893</v>
      </c>
      <c r="E3631" s="482" t="s">
        <v>894</v>
      </c>
    </row>
    <row r="3632" customFormat="1" s="36">
      <c r="A3632" s="485" t="s">
        <v>7061</v>
      </c>
      <c r="B3632" s="485" t="s">
        <v>7062</v>
      </c>
      <c r="C3632" s="482">
        <v>0.0</v>
      </c>
      <c r="D3632" s="482" t="s">
        <v>893</v>
      </c>
      <c r="E3632" s="482" t="s">
        <v>894</v>
      </c>
    </row>
    <row r="3633" customFormat="1" s="36">
      <c r="A3633" s="485" t="s">
        <v>7063</v>
      </c>
      <c r="B3633" s="485" t="s">
        <v>7064</v>
      </c>
      <c r="C3633" s="482">
        <v>0.0</v>
      </c>
      <c r="D3633" s="482" t="s">
        <v>893</v>
      </c>
      <c r="E3633" s="482" t="s">
        <v>894</v>
      </c>
    </row>
    <row r="3634" customFormat="1" s="36">
      <c r="A3634" s="485" t="s">
        <v>7065</v>
      </c>
      <c r="B3634" s="485" t="s">
        <v>7066</v>
      </c>
      <c r="C3634" s="482">
        <v>0.0</v>
      </c>
      <c r="D3634" s="482" t="s">
        <v>893</v>
      </c>
      <c r="E3634" s="482" t="s">
        <v>894</v>
      </c>
    </row>
    <row r="3635" customFormat="1" s="36">
      <c r="A3635" s="485" t="s">
        <v>7067</v>
      </c>
      <c r="B3635" s="485" t="s">
        <v>7068</v>
      </c>
      <c r="C3635" s="482">
        <v>0.0</v>
      </c>
      <c r="D3635" s="482" t="s">
        <v>893</v>
      </c>
      <c r="E3635" s="482" t="s">
        <v>894</v>
      </c>
    </row>
    <row r="3636" customFormat="1" s="36">
      <c r="A3636" s="485" t="s">
        <v>7069</v>
      </c>
      <c r="B3636" s="485" t="s">
        <v>7070</v>
      </c>
      <c r="C3636" s="482">
        <v>0.0</v>
      </c>
      <c r="D3636" s="482" t="s">
        <v>893</v>
      </c>
      <c r="E3636" s="482" t="s">
        <v>894</v>
      </c>
    </row>
    <row r="3637" customFormat="1" s="36">
      <c r="A3637" s="485" t="s">
        <v>7071</v>
      </c>
      <c r="B3637" s="485" t="s">
        <v>7072</v>
      </c>
      <c r="C3637" s="482">
        <v>0.0</v>
      </c>
      <c r="D3637" s="482" t="s">
        <v>893</v>
      </c>
      <c r="E3637" s="482" t="s">
        <v>894</v>
      </c>
    </row>
    <row r="3638" customFormat="1" s="36">
      <c r="A3638" s="485" t="s">
        <v>7073</v>
      </c>
      <c r="B3638" s="485" t="s">
        <v>7074</v>
      </c>
      <c r="C3638" s="482">
        <v>0.0</v>
      </c>
      <c r="D3638" s="482" t="s">
        <v>893</v>
      </c>
      <c r="E3638" s="482" t="s">
        <v>894</v>
      </c>
    </row>
    <row r="3639" customFormat="1" s="36">
      <c r="A3639" s="485" t="s">
        <v>7075</v>
      </c>
      <c r="B3639" s="485" t="s">
        <v>7076</v>
      </c>
      <c r="C3639" s="482">
        <v>0.0</v>
      </c>
      <c r="D3639" s="482" t="s">
        <v>913</v>
      </c>
      <c r="E3639" s="482" t="s">
        <v>894</v>
      </c>
    </row>
    <row r="3640" customFormat="1" s="36">
      <c r="A3640" s="485" t="s">
        <v>7077</v>
      </c>
      <c r="B3640" s="485" t="s">
        <v>7078</v>
      </c>
      <c r="C3640" s="482">
        <v>0.0</v>
      </c>
      <c r="D3640" s="482" t="s">
        <v>913</v>
      </c>
      <c r="E3640" s="482" t="s">
        <v>894</v>
      </c>
    </row>
    <row r="3641" customFormat="1" s="36">
      <c r="A3641" s="485" t="s">
        <v>7079</v>
      </c>
      <c r="B3641" s="485" t="s">
        <v>7080</v>
      </c>
      <c r="C3641" s="482">
        <v>0.0</v>
      </c>
      <c r="D3641" s="482" t="s">
        <v>913</v>
      </c>
      <c r="E3641" s="482" t="s">
        <v>894</v>
      </c>
    </row>
    <row r="3642" customFormat="1" s="36">
      <c r="A3642" s="485" t="s">
        <v>7081</v>
      </c>
      <c r="B3642" s="485" t="s">
        <v>7082</v>
      </c>
      <c r="C3642" s="482">
        <v>516.0</v>
      </c>
      <c r="D3642" s="482" t="s">
        <v>913</v>
      </c>
      <c r="E3642" s="482" t="s">
        <v>894</v>
      </c>
    </row>
    <row r="3643" customFormat="1" s="36">
      <c r="A3643" s="485" t="s">
        <v>7083</v>
      </c>
      <c r="B3643" s="485" t="s">
        <v>7084</v>
      </c>
      <c r="C3643" s="482">
        <v>318.0</v>
      </c>
      <c r="D3643" s="482" t="s">
        <v>913</v>
      </c>
      <c r="E3643" s="482" t="s">
        <v>894</v>
      </c>
    </row>
    <row r="3644" customFormat="1" s="36">
      <c r="A3644" s="485" t="s">
        <v>7085</v>
      </c>
      <c r="B3644" s="485" t="s">
        <v>7086</v>
      </c>
      <c r="C3644" s="482">
        <v>504.0</v>
      </c>
      <c r="D3644" s="482" t="s">
        <v>913</v>
      </c>
      <c r="E3644" s="482" t="s">
        <v>894</v>
      </c>
    </row>
    <row r="3645" customFormat="1" s="36">
      <c r="A3645" s="485" t="s">
        <v>7087</v>
      </c>
      <c r="B3645" s="485" t="s">
        <v>7088</v>
      </c>
      <c r="C3645" s="482">
        <v>252.0</v>
      </c>
      <c r="D3645" s="482" t="s">
        <v>913</v>
      </c>
      <c r="E3645" s="482" t="s">
        <v>894</v>
      </c>
    </row>
    <row r="3646" customFormat="1" s="36">
      <c r="A3646" s="485" t="s">
        <v>7089</v>
      </c>
      <c r="B3646" s="485" t="s">
        <v>7090</v>
      </c>
      <c r="C3646" s="482">
        <v>390.0</v>
      </c>
      <c r="D3646" s="482" t="s">
        <v>913</v>
      </c>
      <c r="E3646" s="482" t="s">
        <v>894</v>
      </c>
    </row>
    <row r="3647" customFormat="1" s="36">
      <c r="A3647" s="485" t="s">
        <v>7091</v>
      </c>
      <c r="B3647" s="485" t="s">
        <v>7092</v>
      </c>
      <c r="C3647" s="482">
        <v>42.0</v>
      </c>
      <c r="D3647" s="482" t="s">
        <v>913</v>
      </c>
      <c r="E3647" s="482" t="s">
        <v>894</v>
      </c>
    </row>
    <row r="3648" customFormat="1" s="36">
      <c r="A3648" s="485" t="s">
        <v>7093</v>
      </c>
      <c r="B3648" s="485" t="s">
        <v>7094</v>
      </c>
      <c r="C3648" s="482">
        <v>270.0</v>
      </c>
      <c r="D3648" s="482" t="s">
        <v>913</v>
      </c>
      <c r="E3648" s="482" t="s">
        <v>894</v>
      </c>
    </row>
    <row r="3649" customFormat="1" s="36">
      <c r="A3649" s="485" t="s">
        <v>7095</v>
      </c>
      <c r="B3649" s="485" t="s">
        <v>7096</v>
      </c>
      <c r="C3649" s="482">
        <v>-6.0</v>
      </c>
      <c r="D3649" s="482" t="s">
        <v>913</v>
      </c>
      <c r="E3649" s="482" t="s">
        <v>894</v>
      </c>
    </row>
    <row r="3650" customFormat="1" s="36">
      <c r="A3650" s="485" t="s">
        <v>7097</v>
      </c>
      <c r="B3650" s="485" t="s">
        <v>7098</v>
      </c>
      <c r="C3650" s="482">
        <v>0.0</v>
      </c>
      <c r="D3650" s="482" t="s">
        <v>913</v>
      </c>
      <c r="E3650" s="482" t="s">
        <v>894</v>
      </c>
    </row>
    <row r="3651" customFormat="1" s="36">
      <c r="A3651" s="485" t="s">
        <v>7099</v>
      </c>
      <c r="B3651" s="485" t="s">
        <v>7100</v>
      </c>
      <c r="C3651" s="482">
        <v>0.0</v>
      </c>
      <c r="D3651" s="482" t="s">
        <v>893</v>
      </c>
      <c r="E3651" s="482" t="s">
        <v>894</v>
      </c>
    </row>
    <row r="3652">
      <c r="A3652" s="485" t="s">
        <v>7101</v>
      </c>
      <c r="B3652" s="485" t="s">
        <v>7102</v>
      </c>
      <c r="C3652" s="482">
        <v>0.0</v>
      </c>
      <c r="D3652" s="482" t="s">
        <v>893</v>
      </c>
    </row>
    <row r="3653" customFormat="1" s="36">
      <c r="A3653" s="485" t="s">
        <v>7103</v>
      </c>
      <c r="B3653" s="485" t="s">
        <v>7104</v>
      </c>
      <c r="C3653" s="482">
        <v>0.0</v>
      </c>
      <c r="D3653" s="482" t="s">
        <v>893</v>
      </c>
      <c r="E3653" s="482" t="s">
        <v>894</v>
      </c>
    </row>
    <row r="3654" customFormat="1" s="36">
      <c r="A3654" s="485">
        <v>78358.0</v>
      </c>
      <c r="B3654" s="485" t="s">
        <v>7105</v>
      </c>
      <c r="C3654" s="482">
        <v>0.0</v>
      </c>
      <c r="D3654" s="482" t="s">
        <v>893</v>
      </c>
      <c r="E3654" s="482" t="s">
        <v>894</v>
      </c>
    </row>
    <row r="3655" customFormat="1" s="36">
      <c r="A3655" s="485">
        <v>78354.0</v>
      </c>
      <c r="B3655" s="485" t="s">
        <v>7106</v>
      </c>
      <c r="C3655" s="482">
        <v>0.0</v>
      </c>
      <c r="D3655" s="482" t="s">
        <v>893</v>
      </c>
      <c r="E3655" s="482" t="s">
        <v>894</v>
      </c>
    </row>
    <row r="3656" customFormat="1" s="36">
      <c r="A3656" s="485" t="s">
        <v>7107</v>
      </c>
      <c r="B3656" s="485" t="s">
        <v>7108</v>
      </c>
      <c r="C3656" s="482">
        <v>1.0</v>
      </c>
      <c r="D3656" s="482" t="s">
        <v>913</v>
      </c>
      <c r="E3656" s="482" t="s">
        <v>894</v>
      </c>
    </row>
    <row r="3657" customFormat="1" s="36">
      <c r="A3657" s="485">
        <v>78799.0</v>
      </c>
      <c r="B3657" s="485" t="s">
        <v>7109</v>
      </c>
      <c r="C3657" s="482">
        <v>0.0</v>
      </c>
      <c r="D3657" s="482" t="s">
        <v>893</v>
      </c>
      <c r="E3657" s="482" t="s">
        <v>894</v>
      </c>
    </row>
    <row r="3658" customFormat="1" s="36">
      <c r="A3658" s="485">
        <v>78795.0</v>
      </c>
      <c r="B3658" s="485" t="s">
        <v>7110</v>
      </c>
      <c r="C3658" s="482">
        <v>0.0</v>
      </c>
      <c r="D3658" s="482" t="s">
        <v>893</v>
      </c>
      <c r="E3658" s="482" t="s">
        <v>894</v>
      </c>
    </row>
    <row r="3659" customFormat="1" s="36">
      <c r="A3659" s="485" t="s">
        <v>7111</v>
      </c>
      <c r="B3659" s="485" t="s">
        <v>7112</v>
      </c>
      <c r="C3659" s="482">
        <v>0.0</v>
      </c>
      <c r="D3659" s="482" t="s">
        <v>893</v>
      </c>
      <c r="E3659" s="482" t="s">
        <v>894</v>
      </c>
    </row>
    <row r="3660" customFormat="1" s="36">
      <c r="A3660" s="485" t="s">
        <v>7113</v>
      </c>
      <c r="B3660" s="485" t="s">
        <v>7114</v>
      </c>
      <c r="C3660" s="482">
        <v>304.0</v>
      </c>
      <c r="D3660" s="482" t="s">
        <v>913</v>
      </c>
      <c r="E3660" s="482" t="s">
        <v>894</v>
      </c>
    </row>
    <row r="3661" customFormat="1" s="36">
      <c r="A3661" s="485" t="s">
        <v>7115</v>
      </c>
      <c r="B3661" s="485" t="s">
        <v>7116</v>
      </c>
      <c r="C3661" s="482">
        <v>0.0</v>
      </c>
      <c r="D3661" s="482" t="s">
        <v>913</v>
      </c>
      <c r="E3661" s="482" t="s">
        <v>1129</v>
      </c>
    </row>
    <row r="3662" customFormat="1" s="36">
      <c r="A3662" s="485" t="s">
        <v>7117</v>
      </c>
      <c r="B3662" s="485" t="s">
        <v>7118</v>
      </c>
      <c r="C3662" s="482">
        <v>6.0</v>
      </c>
      <c r="D3662" s="482" t="s">
        <v>913</v>
      </c>
      <c r="E3662" s="482" t="s">
        <v>1140</v>
      </c>
    </row>
    <row r="3663" customFormat="1" s="36">
      <c r="A3663" s="485" t="s">
        <v>7119</v>
      </c>
      <c r="B3663" s="485" t="s">
        <v>7120</v>
      </c>
      <c r="C3663" s="482">
        <v>0.0</v>
      </c>
      <c r="D3663" s="482" t="s">
        <v>893</v>
      </c>
      <c r="E3663" s="482" t="s">
        <v>894</v>
      </c>
    </row>
    <row r="3664" customFormat="1" s="36">
      <c r="A3664" s="485" t="s">
        <v>7121</v>
      </c>
      <c r="B3664" s="485" t="s">
        <v>7122</v>
      </c>
      <c r="C3664" s="482">
        <v>0.0</v>
      </c>
      <c r="D3664" s="482" t="s">
        <v>893</v>
      </c>
      <c r="E3664" s="482" t="s">
        <v>1799</v>
      </c>
    </row>
    <row r="3665" customFormat="1" s="36">
      <c r="A3665" s="485" t="s">
        <v>7123</v>
      </c>
      <c r="B3665" s="485" t="s">
        <v>7124</v>
      </c>
      <c r="C3665" s="482">
        <v>0.0</v>
      </c>
      <c r="D3665" s="482" t="s">
        <v>893</v>
      </c>
      <c r="E3665" s="482" t="s">
        <v>894</v>
      </c>
    </row>
    <row r="3666" customFormat="1" s="36">
      <c r="A3666" s="482" t="s">
        <v>7125</v>
      </c>
      <c r="B3666" s="482" t="s">
        <v>7126</v>
      </c>
      <c r="C3666" s="482">
        <v>0.0</v>
      </c>
      <c r="D3666" s="482" t="s">
        <v>893</v>
      </c>
      <c r="E3666" s="482" t="s">
        <v>894</v>
      </c>
    </row>
    <row r="3667" customFormat="1" s="36">
      <c r="A3667" s="482" t="s">
        <v>7127</v>
      </c>
      <c r="B3667" s="482" t="s">
        <v>7128</v>
      </c>
      <c r="C3667" s="482">
        <v>0.0</v>
      </c>
      <c r="D3667" s="482" t="s">
        <v>913</v>
      </c>
      <c r="E3667" s="482" t="s">
        <v>894</v>
      </c>
    </row>
    <row r="3668" customFormat="1" s="36">
      <c r="A3668" s="482" t="s">
        <v>7129</v>
      </c>
      <c r="B3668" s="482" t="s">
        <v>7130</v>
      </c>
      <c r="C3668" s="482">
        <v>0.0</v>
      </c>
      <c r="D3668" s="482" t="s">
        <v>893</v>
      </c>
      <c r="E3668" s="482" t="s">
        <v>894</v>
      </c>
    </row>
    <row r="3669" customFormat="1" s="36">
      <c r="A3669" s="482" t="s">
        <v>7131</v>
      </c>
      <c r="B3669" s="482" t="s">
        <v>7132</v>
      </c>
      <c r="C3669" s="482">
        <v>0.0</v>
      </c>
      <c r="D3669" s="482" t="s">
        <v>893</v>
      </c>
      <c r="E3669" s="482" t="s">
        <v>894</v>
      </c>
    </row>
    <row r="3670" customFormat="1" s="36">
      <c r="A3670" s="482" t="s">
        <v>7133</v>
      </c>
      <c r="B3670" s="482" t="s">
        <v>7134</v>
      </c>
      <c r="C3670" s="482">
        <v>0.0</v>
      </c>
      <c r="D3670" s="482" t="s">
        <v>893</v>
      </c>
      <c r="E3670" s="482" t="s">
        <v>894</v>
      </c>
    </row>
    <row r="3671" customFormat="1" s="36">
      <c r="A3671" s="482" t="s">
        <v>7135</v>
      </c>
      <c r="B3671" s="482" t="s">
        <v>7136</v>
      </c>
      <c r="C3671" s="482">
        <v>0.0</v>
      </c>
      <c r="D3671" s="482" t="s">
        <v>893</v>
      </c>
      <c r="E3671" s="482" t="s">
        <v>894</v>
      </c>
    </row>
    <row r="3672" customFormat="1" s="36">
      <c r="A3672" s="482" t="s">
        <v>7137</v>
      </c>
      <c r="B3672" s="482" t="s">
        <v>7138</v>
      </c>
      <c r="C3672" s="482">
        <v>0.0</v>
      </c>
      <c r="D3672" s="482" t="s">
        <v>893</v>
      </c>
      <c r="E3672" s="482" t="s">
        <v>894</v>
      </c>
    </row>
    <row r="3673" customFormat="1" s="36">
      <c r="A3673" s="482" t="s">
        <v>7139</v>
      </c>
      <c r="B3673" s="482" t="s">
        <v>7140</v>
      </c>
      <c r="C3673" s="482">
        <v>0.0</v>
      </c>
      <c r="D3673" s="482" t="s">
        <v>893</v>
      </c>
      <c r="E3673" s="482" t="s">
        <v>894</v>
      </c>
    </row>
    <row r="3674" customFormat="1" s="36">
      <c r="A3674" s="482" t="s">
        <v>7141</v>
      </c>
      <c r="B3674" s="482" t="s">
        <v>7142</v>
      </c>
      <c r="C3674" s="482">
        <v>0.0</v>
      </c>
      <c r="D3674" s="482" t="s">
        <v>893</v>
      </c>
      <c r="E3674" s="482" t="s">
        <v>894</v>
      </c>
    </row>
    <row r="3675" customFormat="1" s="36">
      <c r="A3675" s="482" t="s">
        <v>7143</v>
      </c>
      <c r="B3675" s="482" t="s">
        <v>7144</v>
      </c>
      <c r="C3675" s="482">
        <v>0.0</v>
      </c>
      <c r="D3675" s="482" t="s">
        <v>893</v>
      </c>
      <c r="E3675" s="482" t="s">
        <v>894</v>
      </c>
    </row>
    <row r="3676" customFormat="1" s="36">
      <c r="A3676" s="482" t="s">
        <v>7145</v>
      </c>
      <c r="B3676" s="482" t="s">
        <v>7146</v>
      </c>
      <c r="C3676" s="482">
        <v>15.0</v>
      </c>
      <c r="D3676" s="482" t="s">
        <v>913</v>
      </c>
      <c r="E3676" s="482" t="s">
        <v>1140</v>
      </c>
    </row>
    <row r="3677" customFormat="1" s="36">
      <c r="A3677" s="482" t="s">
        <v>7147</v>
      </c>
      <c r="B3677" s="482" t="s">
        <v>7148</v>
      </c>
      <c r="C3677" s="482">
        <v>4000.0</v>
      </c>
      <c r="D3677" s="482" t="s">
        <v>913</v>
      </c>
      <c r="E3677" s="482" t="s">
        <v>894</v>
      </c>
    </row>
    <row r="3678" customFormat="1" s="36">
      <c r="A3678" s="482" t="s">
        <v>7149</v>
      </c>
      <c r="B3678" s="482" t="s">
        <v>7150</v>
      </c>
      <c r="C3678" s="482">
        <v>0.0</v>
      </c>
      <c r="D3678" s="482" t="s">
        <v>913</v>
      </c>
      <c r="E3678" s="482" t="s">
        <v>894</v>
      </c>
    </row>
    <row r="3679" customFormat="1" s="36">
      <c r="A3679" s="482" t="s">
        <v>7151</v>
      </c>
      <c r="B3679" s="482" t="s">
        <v>7152</v>
      </c>
      <c r="C3679" s="482">
        <v>1.0</v>
      </c>
      <c r="D3679" s="482" t="s">
        <v>913</v>
      </c>
      <c r="E3679" s="482" t="s">
        <v>894</v>
      </c>
    </row>
    <row r="3680" customFormat="1" s="36">
      <c r="A3680" s="482" t="s">
        <v>7153</v>
      </c>
      <c r="B3680" s="482" t="s">
        <v>7154</v>
      </c>
      <c r="C3680" s="482">
        <v>0.0</v>
      </c>
      <c r="D3680" s="482" t="s">
        <v>893</v>
      </c>
      <c r="E3680" s="482" t="s">
        <v>894</v>
      </c>
    </row>
    <row r="3681" customFormat="1" s="36">
      <c r="A3681" s="482" t="s">
        <v>7155</v>
      </c>
      <c r="B3681" s="482" t="s">
        <v>7156</v>
      </c>
      <c r="C3681" s="482">
        <v>0.0</v>
      </c>
      <c r="D3681" s="482" t="s">
        <v>913</v>
      </c>
      <c r="E3681" s="482" t="s">
        <v>894</v>
      </c>
    </row>
    <row r="3682" customFormat="1" s="36">
      <c r="A3682" s="482" t="s">
        <v>7157</v>
      </c>
      <c r="B3682" s="482" t="s">
        <v>7158</v>
      </c>
      <c r="C3682" s="482">
        <v>0.0</v>
      </c>
      <c r="D3682" s="482" t="s">
        <v>913</v>
      </c>
      <c r="E3682" s="482" t="s">
        <v>894</v>
      </c>
    </row>
    <row r="3683" customFormat="1" s="36">
      <c r="A3683" s="482" t="s">
        <v>491</v>
      </c>
      <c r="B3683" s="482" t="s">
        <v>490</v>
      </c>
      <c r="C3683" s="482">
        <v>-1.0</v>
      </c>
      <c r="D3683" s="482" t="s">
        <v>913</v>
      </c>
      <c r="E3683" s="482" t="s">
        <v>894</v>
      </c>
    </row>
    <row r="3684" customFormat="1" s="36">
      <c r="A3684" s="482" t="s">
        <v>7159</v>
      </c>
      <c r="B3684" s="482" t="s">
        <v>7160</v>
      </c>
      <c r="C3684" s="482">
        <v>20.0</v>
      </c>
      <c r="D3684" s="482" t="s">
        <v>913</v>
      </c>
      <c r="E3684" s="482" t="s">
        <v>1140</v>
      </c>
    </row>
    <row r="3685" customFormat="1" s="36">
      <c r="A3685" s="482" t="s">
        <v>493</v>
      </c>
      <c r="B3685" s="482" t="s">
        <v>492</v>
      </c>
      <c r="C3685" s="482">
        <v>405.0</v>
      </c>
      <c r="D3685" s="482" t="s">
        <v>913</v>
      </c>
      <c r="E3685" s="482" t="s">
        <v>894</v>
      </c>
    </row>
    <row r="3686" customFormat="1" s="36">
      <c r="A3686" s="482" t="s">
        <v>496</v>
      </c>
      <c r="B3686" s="482" t="s">
        <v>495</v>
      </c>
      <c r="C3686" s="482">
        <v>342.0</v>
      </c>
      <c r="D3686" s="482" t="s">
        <v>913</v>
      </c>
      <c r="E3686" s="482" t="s">
        <v>894</v>
      </c>
    </row>
    <row r="3687" customFormat="1" s="36">
      <c r="A3687" s="482" t="s">
        <v>498</v>
      </c>
      <c r="B3687" s="482" t="s">
        <v>497</v>
      </c>
      <c r="C3687" s="482">
        <v>261.0</v>
      </c>
      <c r="D3687" s="482" t="s">
        <v>913</v>
      </c>
      <c r="E3687" s="482" t="s">
        <v>894</v>
      </c>
    </row>
    <row r="3688" customFormat="1" s="36">
      <c r="A3688" s="482" t="s">
        <v>500</v>
      </c>
      <c r="B3688" s="482" t="s">
        <v>499</v>
      </c>
      <c r="C3688" s="482">
        <v>200.0</v>
      </c>
      <c r="D3688" s="482" t="s">
        <v>913</v>
      </c>
      <c r="E3688" s="482" t="s">
        <v>894</v>
      </c>
    </row>
    <row r="3689" customFormat="1" s="36">
      <c r="A3689" s="482" t="s">
        <v>502</v>
      </c>
      <c r="B3689" s="482" t="s">
        <v>501</v>
      </c>
      <c r="C3689" s="482">
        <v>305.0</v>
      </c>
      <c r="D3689" s="482" t="s">
        <v>913</v>
      </c>
      <c r="E3689" s="482" t="s">
        <v>894</v>
      </c>
    </row>
    <row r="3690" customFormat="1" s="36">
      <c r="A3690" s="482" t="s">
        <v>504</v>
      </c>
      <c r="B3690" s="482" t="s">
        <v>503</v>
      </c>
      <c r="C3690" s="482">
        <v>177.0</v>
      </c>
      <c r="D3690" s="482" t="s">
        <v>913</v>
      </c>
      <c r="E3690" s="482" t="s">
        <v>894</v>
      </c>
    </row>
    <row r="3691" customFormat="1" s="36">
      <c r="A3691" s="482" t="s">
        <v>7161</v>
      </c>
      <c r="B3691" s="482" t="s">
        <v>7162</v>
      </c>
      <c r="C3691" s="482">
        <v>0.0</v>
      </c>
      <c r="D3691" s="482" t="s">
        <v>893</v>
      </c>
      <c r="E3691" s="482" t="s">
        <v>894</v>
      </c>
    </row>
    <row r="3692" customFormat="1" s="36">
      <c r="A3692" s="482" t="s">
        <v>7163</v>
      </c>
      <c r="B3692" s="482" t="s">
        <v>7164</v>
      </c>
      <c r="C3692" s="482">
        <v>1425.0</v>
      </c>
      <c r="D3692" s="482" t="s">
        <v>913</v>
      </c>
      <c r="E3692" s="482" t="s">
        <v>894</v>
      </c>
    </row>
    <row r="3693" customFormat="1" s="36">
      <c r="A3693" s="482" t="s">
        <v>7165</v>
      </c>
      <c r="B3693" s="482" t="s">
        <v>7166</v>
      </c>
      <c r="C3693" s="482">
        <v>657.0</v>
      </c>
      <c r="D3693" s="482" t="s">
        <v>913</v>
      </c>
      <c r="E3693" s="482" t="s">
        <v>894</v>
      </c>
    </row>
    <row r="3694" customFormat="1" s="36">
      <c r="A3694" s="482" t="s">
        <v>7167</v>
      </c>
      <c r="B3694" s="482" t="s">
        <v>7168</v>
      </c>
      <c r="C3694" s="482">
        <v>0.0</v>
      </c>
      <c r="D3694" s="482" t="s">
        <v>893</v>
      </c>
      <c r="E3694" s="482" t="s">
        <v>894</v>
      </c>
    </row>
    <row r="3695" customFormat="1" s="36">
      <c r="A3695" s="482" t="s">
        <v>7169</v>
      </c>
      <c r="B3695" s="482" t="s">
        <v>7170</v>
      </c>
      <c r="C3695" s="482">
        <v>0.0</v>
      </c>
      <c r="D3695" s="482" t="s">
        <v>893</v>
      </c>
      <c r="E3695" s="482" t="s">
        <v>894</v>
      </c>
    </row>
    <row r="3696" customFormat="1" s="36">
      <c r="A3696" s="482" t="s">
        <v>7171</v>
      </c>
      <c r="B3696" s="482" t="s">
        <v>7172</v>
      </c>
      <c r="C3696" s="482">
        <v>0.0</v>
      </c>
      <c r="D3696" s="482" t="s">
        <v>893</v>
      </c>
      <c r="E3696" s="482" t="s">
        <v>894</v>
      </c>
    </row>
    <row r="3697" customFormat="1" s="36">
      <c r="A3697" s="482" t="s">
        <v>7173</v>
      </c>
      <c r="B3697" s="482" t="s">
        <v>7174</v>
      </c>
      <c r="C3697" s="482">
        <v>0.0</v>
      </c>
      <c r="D3697" s="482" t="s">
        <v>893</v>
      </c>
      <c r="E3697" s="482" t="s">
        <v>894</v>
      </c>
    </row>
    <row r="3698" customFormat="1" s="36">
      <c r="A3698" s="482" t="s">
        <v>7175</v>
      </c>
      <c r="B3698" s="482" t="s">
        <v>7176</v>
      </c>
      <c r="C3698" s="482">
        <v>0.0</v>
      </c>
      <c r="D3698" s="482" t="s">
        <v>893</v>
      </c>
      <c r="E3698" s="482" t="s">
        <v>894</v>
      </c>
    </row>
    <row r="3699" customFormat="1" s="36">
      <c r="A3699" s="482" t="s">
        <v>7177</v>
      </c>
      <c r="B3699" s="482" t="s">
        <v>7178</v>
      </c>
      <c r="C3699" s="482">
        <v>0.0</v>
      </c>
      <c r="D3699" s="482" t="s">
        <v>913</v>
      </c>
      <c r="E3699" s="482" t="s">
        <v>894</v>
      </c>
    </row>
    <row r="3700" customFormat="1" s="36">
      <c r="A3700" s="482" t="s">
        <v>7179</v>
      </c>
      <c r="B3700" s="482" t="s">
        <v>7180</v>
      </c>
      <c r="C3700" s="482">
        <v>0.0</v>
      </c>
      <c r="D3700" s="482" t="s">
        <v>913</v>
      </c>
      <c r="E3700" s="482" t="s">
        <v>894</v>
      </c>
    </row>
    <row r="3701" customFormat="1" s="36">
      <c r="A3701" s="482" t="s">
        <v>7181</v>
      </c>
      <c r="B3701" s="482" t="s">
        <v>7182</v>
      </c>
      <c r="C3701" s="482">
        <v>0.0</v>
      </c>
      <c r="D3701" s="482" t="s">
        <v>893</v>
      </c>
      <c r="E3701" s="482" t="s">
        <v>894</v>
      </c>
    </row>
    <row r="3702" customFormat="1" s="36">
      <c r="A3702" s="482" t="s">
        <v>7183</v>
      </c>
      <c r="B3702" s="482" t="s">
        <v>7184</v>
      </c>
      <c r="C3702" s="482">
        <v>0.0</v>
      </c>
      <c r="D3702" s="482" t="s">
        <v>893</v>
      </c>
      <c r="E3702" s="482" t="s">
        <v>1140</v>
      </c>
    </row>
    <row r="3703" customFormat="1" s="36">
      <c r="A3703" s="482" t="s">
        <v>7185</v>
      </c>
      <c r="B3703" s="482" t="s">
        <v>7186</v>
      </c>
      <c r="C3703" s="482">
        <v>0.0</v>
      </c>
      <c r="D3703" s="482" t="s">
        <v>893</v>
      </c>
      <c r="E3703" s="482" t="s">
        <v>1140</v>
      </c>
    </row>
    <row r="3704" customFormat="1" s="36">
      <c r="A3704" s="482" t="s">
        <v>7187</v>
      </c>
      <c r="B3704" s="482" t="s">
        <v>7188</v>
      </c>
      <c r="C3704" s="482">
        <v>0.0</v>
      </c>
      <c r="D3704" s="482" t="s">
        <v>893</v>
      </c>
      <c r="E3704" s="482" t="s">
        <v>1140</v>
      </c>
    </row>
    <row r="3705" customFormat="1" s="36">
      <c r="A3705" s="482" t="s">
        <v>7189</v>
      </c>
      <c r="B3705" s="482" t="s">
        <v>7190</v>
      </c>
      <c r="C3705" s="482">
        <v>0.0</v>
      </c>
      <c r="D3705" s="482" t="s">
        <v>893</v>
      </c>
      <c r="E3705" s="482" t="s">
        <v>1140</v>
      </c>
    </row>
    <row r="3706" customFormat="1" s="36">
      <c r="A3706" s="482" t="s">
        <v>7191</v>
      </c>
      <c r="B3706" s="482" t="s">
        <v>7192</v>
      </c>
      <c r="C3706" s="482">
        <v>0.0</v>
      </c>
      <c r="D3706" s="482" t="s">
        <v>893</v>
      </c>
      <c r="E3706" s="482" t="s">
        <v>894</v>
      </c>
    </row>
    <row r="3707" customFormat="1" s="36">
      <c r="A3707" s="482" t="s">
        <v>7193</v>
      </c>
      <c r="B3707" s="482" t="s">
        <v>7194</v>
      </c>
      <c r="C3707" s="482">
        <v>0.0</v>
      </c>
      <c r="D3707" s="482" t="s">
        <v>893</v>
      </c>
      <c r="E3707" s="482" t="s">
        <v>894</v>
      </c>
    </row>
    <row r="3708" customFormat="1" s="36">
      <c r="A3708" s="482" t="s">
        <v>7195</v>
      </c>
      <c r="B3708" s="482" t="s">
        <v>7196</v>
      </c>
      <c r="C3708" s="482">
        <v>0.0</v>
      </c>
      <c r="D3708" s="482" t="s">
        <v>893</v>
      </c>
      <c r="E3708" s="482" t="s">
        <v>894</v>
      </c>
    </row>
    <row r="3709" customFormat="1" s="36">
      <c r="A3709" s="482" t="s">
        <v>7197</v>
      </c>
      <c r="B3709" s="482" t="s">
        <v>7198</v>
      </c>
      <c r="C3709" s="482">
        <v>0.0</v>
      </c>
      <c r="D3709" s="482" t="s">
        <v>893</v>
      </c>
      <c r="E3709" s="482" t="s">
        <v>894</v>
      </c>
    </row>
    <row r="3710" customFormat="1" s="36">
      <c r="A3710" s="482" t="s">
        <v>7199</v>
      </c>
      <c r="B3710" s="482" t="s">
        <v>7200</v>
      </c>
      <c r="C3710" s="482">
        <v>0.0</v>
      </c>
      <c r="D3710" s="482" t="s">
        <v>893</v>
      </c>
      <c r="E3710" s="482" t="s">
        <v>894</v>
      </c>
    </row>
    <row r="3711" customFormat="1" s="36">
      <c r="A3711" s="482" t="s">
        <v>7201</v>
      </c>
      <c r="B3711" s="482" t="s">
        <v>7202</v>
      </c>
      <c r="C3711" s="482">
        <v>0.0</v>
      </c>
      <c r="D3711" s="482" t="s">
        <v>893</v>
      </c>
      <c r="E3711" s="482" t="s">
        <v>894</v>
      </c>
    </row>
    <row r="3712" customFormat="1" s="36">
      <c r="A3712" s="482" t="s">
        <v>7203</v>
      </c>
      <c r="B3712" s="482" t="s">
        <v>7204</v>
      </c>
      <c r="C3712" s="482">
        <v>0.0</v>
      </c>
      <c r="D3712" s="482" t="s">
        <v>893</v>
      </c>
      <c r="E3712" s="482" t="s">
        <v>894</v>
      </c>
    </row>
    <row r="3713" customFormat="1" s="36">
      <c r="A3713" s="482" t="s">
        <v>7205</v>
      </c>
      <c r="B3713" s="482" t="s">
        <v>7206</v>
      </c>
      <c r="C3713" s="482">
        <v>0.0</v>
      </c>
      <c r="D3713" s="482" t="s">
        <v>893</v>
      </c>
      <c r="E3713" s="482" t="s">
        <v>894</v>
      </c>
    </row>
    <row r="3714" customFormat="1" s="36">
      <c r="A3714" s="482" t="s">
        <v>7207</v>
      </c>
      <c r="B3714" s="482" t="s">
        <v>7208</v>
      </c>
      <c r="C3714" s="482">
        <v>0.0</v>
      </c>
      <c r="D3714" s="482" t="s">
        <v>893</v>
      </c>
      <c r="E3714" s="482" t="s">
        <v>894</v>
      </c>
    </row>
    <row r="3715" customFormat="1" s="36">
      <c r="A3715" s="482" t="s">
        <v>7209</v>
      </c>
      <c r="B3715" s="482" t="s">
        <v>7210</v>
      </c>
      <c r="C3715" s="482">
        <v>0.0</v>
      </c>
      <c r="D3715" s="482" t="s">
        <v>893</v>
      </c>
      <c r="E3715" s="482" t="s">
        <v>894</v>
      </c>
    </row>
    <row r="3716" customFormat="1" s="36">
      <c r="A3716" s="482" t="s">
        <v>7211</v>
      </c>
      <c r="B3716" s="482" t="s">
        <v>7212</v>
      </c>
      <c r="C3716" s="482">
        <v>0.0</v>
      </c>
      <c r="D3716" s="482" t="s">
        <v>893</v>
      </c>
      <c r="E3716" s="482" t="s">
        <v>894</v>
      </c>
    </row>
    <row r="3717" customFormat="1" s="36">
      <c r="A3717" s="482" t="s">
        <v>7213</v>
      </c>
      <c r="B3717" s="482" t="s">
        <v>7214</v>
      </c>
      <c r="C3717" s="482">
        <v>0.0</v>
      </c>
      <c r="D3717" s="482" t="s">
        <v>893</v>
      </c>
      <c r="E3717" s="482" t="s">
        <v>894</v>
      </c>
    </row>
    <row r="3718" customFormat="1" s="36">
      <c r="A3718" s="482" t="s">
        <v>7215</v>
      </c>
      <c r="B3718" s="482" t="s">
        <v>7216</v>
      </c>
      <c r="C3718" s="482">
        <v>0.0</v>
      </c>
      <c r="D3718" s="482" t="s">
        <v>893</v>
      </c>
      <c r="E3718" s="482" t="s">
        <v>894</v>
      </c>
    </row>
    <row r="3719" customFormat="1" s="36">
      <c r="A3719" s="482" t="s">
        <v>7217</v>
      </c>
      <c r="B3719" s="482" t="s">
        <v>7218</v>
      </c>
      <c r="C3719" s="482">
        <v>0.0</v>
      </c>
      <c r="D3719" s="482" t="s">
        <v>893</v>
      </c>
      <c r="E3719" s="482" t="s">
        <v>894</v>
      </c>
    </row>
    <row r="3720" customFormat="1" s="36">
      <c r="A3720" s="482" t="s">
        <v>7219</v>
      </c>
      <c r="B3720" s="482" t="s">
        <v>7220</v>
      </c>
      <c r="C3720" s="482">
        <v>0.0</v>
      </c>
      <c r="D3720" s="482" t="s">
        <v>893</v>
      </c>
      <c r="E3720" s="482" t="s">
        <v>894</v>
      </c>
    </row>
    <row r="3721" customFormat="1" s="36">
      <c r="A3721" s="482" t="s">
        <v>7221</v>
      </c>
      <c r="B3721" s="482" t="s">
        <v>7222</v>
      </c>
      <c r="C3721" s="482">
        <v>0.0</v>
      </c>
      <c r="D3721" s="482" t="s">
        <v>893</v>
      </c>
      <c r="E3721" s="482" t="s">
        <v>894</v>
      </c>
    </row>
    <row r="3722" customFormat="1" s="36">
      <c r="A3722" s="482" t="s">
        <v>7223</v>
      </c>
      <c r="B3722" s="482" t="s">
        <v>7224</v>
      </c>
      <c r="C3722" s="482">
        <v>0.0</v>
      </c>
      <c r="D3722" s="482" t="s">
        <v>893</v>
      </c>
      <c r="E3722" s="482" t="s">
        <v>894</v>
      </c>
    </row>
    <row r="3723" customFormat="1" s="36">
      <c r="A3723" s="482" t="s">
        <v>7225</v>
      </c>
      <c r="B3723" s="482" t="s">
        <v>7226</v>
      </c>
      <c r="C3723" s="482">
        <v>0.0</v>
      </c>
      <c r="D3723" s="482" t="s">
        <v>893</v>
      </c>
      <c r="E3723" s="482" t="s">
        <v>894</v>
      </c>
    </row>
    <row r="3724" customFormat="1" s="36">
      <c r="A3724" s="482" t="s">
        <v>7227</v>
      </c>
      <c r="B3724" s="482" t="s">
        <v>7228</v>
      </c>
      <c r="C3724" s="482">
        <v>0.0</v>
      </c>
      <c r="D3724" s="482" t="s">
        <v>893</v>
      </c>
      <c r="E3724" s="482" t="s">
        <v>894</v>
      </c>
    </row>
    <row r="3725" customFormat="1" s="36">
      <c r="A3725" s="482" t="s">
        <v>7229</v>
      </c>
      <c r="B3725" s="482" t="s">
        <v>7230</v>
      </c>
      <c r="C3725" s="482">
        <v>0.0</v>
      </c>
      <c r="D3725" s="482" t="s">
        <v>893</v>
      </c>
      <c r="E3725" s="482" t="s">
        <v>894</v>
      </c>
    </row>
    <row r="3726" customFormat="1" s="36">
      <c r="A3726" s="482" t="s">
        <v>7231</v>
      </c>
      <c r="B3726" s="482" t="s">
        <v>7232</v>
      </c>
      <c r="C3726" s="482">
        <v>0.0</v>
      </c>
      <c r="D3726" s="482" t="s">
        <v>893</v>
      </c>
      <c r="E3726" s="482" t="s">
        <v>894</v>
      </c>
    </row>
    <row r="3727" customFormat="1" s="36">
      <c r="A3727" s="482" t="s">
        <v>7233</v>
      </c>
      <c r="B3727" s="482" t="s">
        <v>7234</v>
      </c>
      <c r="C3727" s="482">
        <v>0.0</v>
      </c>
      <c r="D3727" s="482" t="s">
        <v>893</v>
      </c>
      <c r="E3727" s="482" t="s">
        <v>894</v>
      </c>
    </row>
    <row r="3728" customFormat="1" s="36">
      <c r="A3728" s="482" t="s">
        <v>7235</v>
      </c>
      <c r="B3728" s="482" t="s">
        <v>7236</v>
      </c>
      <c r="C3728" s="482">
        <v>0.0</v>
      </c>
      <c r="D3728" s="482" t="s">
        <v>893</v>
      </c>
      <c r="E3728" s="482" t="s">
        <v>894</v>
      </c>
    </row>
    <row r="3729" customFormat="1" s="36">
      <c r="A3729" s="482" t="s">
        <v>7237</v>
      </c>
      <c r="B3729" s="482" t="s">
        <v>7238</v>
      </c>
      <c r="C3729" s="482">
        <v>0.0</v>
      </c>
      <c r="D3729" s="482" t="s">
        <v>893</v>
      </c>
      <c r="E3729" s="482" t="s">
        <v>894</v>
      </c>
    </row>
    <row r="3730" customFormat="1" s="36">
      <c r="A3730" s="482" t="s">
        <v>7239</v>
      </c>
      <c r="B3730" s="482" t="s">
        <v>7240</v>
      </c>
      <c r="C3730" s="482">
        <v>0.0</v>
      </c>
      <c r="D3730" s="482" t="s">
        <v>893</v>
      </c>
      <c r="E3730" s="482" t="s">
        <v>894</v>
      </c>
    </row>
    <row r="3731" customFormat="1" s="36">
      <c r="A3731" s="482" t="s">
        <v>7241</v>
      </c>
      <c r="B3731" s="482" t="s">
        <v>7242</v>
      </c>
      <c r="C3731" s="482">
        <v>0.0</v>
      </c>
      <c r="D3731" s="482" t="s">
        <v>893</v>
      </c>
      <c r="E3731" s="482" t="s">
        <v>894</v>
      </c>
    </row>
    <row r="3732" customFormat="1" s="36">
      <c r="A3732" s="482" t="s">
        <v>7243</v>
      </c>
      <c r="B3732" s="482" t="s">
        <v>7244</v>
      </c>
      <c r="C3732" s="482">
        <v>0.0</v>
      </c>
      <c r="D3732" s="482" t="s">
        <v>893</v>
      </c>
      <c r="E3732" s="482" t="s">
        <v>894</v>
      </c>
    </row>
    <row r="3733" customFormat="1" s="36">
      <c r="A3733" s="482" t="s">
        <v>7245</v>
      </c>
      <c r="B3733" s="482" t="s">
        <v>7246</v>
      </c>
      <c r="C3733" s="482">
        <v>0.0</v>
      </c>
      <c r="D3733" s="482" t="s">
        <v>893</v>
      </c>
      <c r="E3733" s="482" t="s">
        <v>894</v>
      </c>
    </row>
    <row r="3734" customFormat="1" s="36">
      <c r="A3734" s="482" t="s">
        <v>7247</v>
      </c>
      <c r="B3734" s="482" t="s">
        <v>7248</v>
      </c>
      <c r="C3734" s="482">
        <v>0.0</v>
      </c>
      <c r="D3734" s="482" t="s">
        <v>893</v>
      </c>
      <c r="E3734" s="482" t="s">
        <v>894</v>
      </c>
    </row>
    <row r="3735" customFormat="1" s="36">
      <c r="A3735" s="482" t="s">
        <v>7249</v>
      </c>
      <c r="B3735" s="482" t="s">
        <v>7250</v>
      </c>
      <c r="C3735" s="482">
        <v>0.0</v>
      </c>
      <c r="D3735" s="482" t="s">
        <v>893</v>
      </c>
      <c r="E3735" s="482" t="s">
        <v>894</v>
      </c>
    </row>
    <row r="3736" customFormat="1" s="36">
      <c r="A3736" s="482" t="s">
        <v>7251</v>
      </c>
      <c r="B3736" s="482" t="s">
        <v>7252</v>
      </c>
      <c r="C3736" s="482">
        <v>0.0</v>
      </c>
      <c r="D3736" s="482" t="s">
        <v>893</v>
      </c>
      <c r="E3736" s="482" t="s">
        <v>894</v>
      </c>
    </row>
    <row r="3737" customFormat="1" s="36">
      <c r="A3737" s="482" t="s">
        <v>7253</v>
      </c>
      <c r="B3737" s="482" t="s">
        <v>7254</v>
      </c>
      <c r="C3737" s="482">
        <v>0.0</v>
      </c>
      <c r="D3737" s="482" t="s">
        <v>893</v>
      </c>
      <c r="E3737" s="482" t="s">
        <v>894</v>
      </c>
    </row>
    <row r="3738" customFormat="1" s="36">
      <c r="A3738" s="482" t="s">
        <v>7255</v>
      </c>
      <c r="B3738" s="482" t="s">
        <v>7256</v>
      </c>
      <c r="C3738" s="482">
        <v>0.0</v>
      </c>
      <c r="D3738" s="482" t="s">
        <v>893</v>
      </c>
      <c r="E3738" s="482" t="s">
        <v>894</v>
      </c>
    </row>
    <row r="3739" customFormat="1" s="36">
      <c r="A3739" s="482" t="s">
        <v>7257</v>
      </c>
      <c r="B3739" s="482" t="s">
        <v>7258</v>
      </c>
      <c r="C3739" s="482">
        <v>0.0</v>
      </c>
      <c r="D3739" s="482" t="s">
        <v>893</v>
      </c>
      <c r="E3739" s="482" t="s">
        <v>894</v>
      </c>
    </row>
    <row r="3740" customFormat="1" s="36">
      <c r="A3740" s="482" t="s">
        <v>7259</v>
      </c>
      <c r="B3740" s="482" t="s">
        <v>7260</v>
      </c>
      <c r="C3740" s="482">
        <v>0.0</v>
      </c>
      <c r="D3740" s="482" t="s">
        <v>893</v>
      </c>
      <c r="E3740" s="482" t="s">
        <v>894</v>
      </c>
    </row>
    <row r="3741" customFormat="1" s="36">
      <c r="A3741" s="482" t="s">
        <v>7261</v>
      </c>
      <c r="B3741" s="482" t="s">
        <v>7262</v>
      </c>
      <c r="C3741" s="482">
        <v>0.0</v>
      </c>
      <c r="D3741" s="482" t="s">
        <v>893</v>
      </c>
      <c r="E3741" s="482" t="s">
        <v>894</v>
      </c>
    </row>
    <row r="3742" customFormat="1" s="36">
      <c r="A3742" s="482" t="s">
        <v>7263</v>
      </c>
      <c r="B3742" s="482" t="s">
        <v>7264</v>
      </c>
      <c r="C3742" s="482">
        <v>0.0</v>
      </c>
      <c r="D3742" s="482" t="s">
        <v>893</v>
      </c>
      <c r="E3742" s="482" t="s">
        <v>894</v>
      </c>
    </row>
    <row r="3743" customFormat="1" s="36">
      <c r="A3743" s="482" t="s">
        <v>7265</v>
      </c>
      <c r="B3743" s="482" t="s">
        <v>7266</v>
      </c>
      <c r="C3743" s="482">
        <v>0.0</v>
      </c>
      <c r="D3743" s="482" t="s">
        <v>893</v>
      </c>
      <c r="E3743" s="482" t="s">
        <v>1140</v>
      </c>
    </row>
    <row r="3744" customFormat="1" s="36">
      <c r="A3744" s="482" t="s">
        <v>7267</v>
      </c>
      <c r="B3744" s="482" t="s">
        <v>7268</v>
      </c>
      <c r="C3744" s="482">
        <v>0.0</v>
      </c>
      <c r="D3744" s="482" t="s">
        <v>893</v>
      </c>
      <c r="E3744" s="482" t="s">
        <v>894</v>
      </c>
    </row>
    <row r="3745" customFormat="1" s="36">
      <c r="A3745" s="482" t="s">
        <v>7269</v>
      </c>
      <c r="B3745" s="482" t="s">
        <v>7270</v>
      </c>
      <c r="C3745" s="482">
        <v>0.0</v>
      </c>
      <c r="D3745" s="482" t="s">
        <v>893</v>
      </c>
      <c r="E3745" s="482" t="s">
        <v>894</v>
      </c>
    </row>
    <row r="3746" customFormat="1" s="36">
      <c r="A3746" s="482" t="s">
        <v>7271</v>
      </c>
      <c r="B3746" s="482" t="s">
        <v>7272</v>
      </c>
      <c r="C3746" s="482">
        <v>0.0</v>
      </c>
      <c r="D3746" s="482" t="s">
        <v>893</v>
      </c>
      <c r="E3746" s="482" t="s">
        <v>894</v>
      </c>
    </row>
    <row r="3747" customFormat="1" s="36">
      <c r="A3747" s="482" t="s">
        <v>7273</v>
      </c>
      <c r="B3747" s="482" t="s">
        <v>7274</v>
      </c>
      <c r="C3747" s="482">
        <v>0.0</v>
      </c>
      <c r="D3747" s="482" t="s">
        <v>893</v>
      </c>
      <c r="E3747" s="482" t="s">
        <v>894</v>
      </c>
    </row>
    <row r="3748" customFormat="1" s="36">
      <c r="A3748" s="482" t="s">
        <v>7275</v>
      </c>
      <c r="B3748" s="482" t="s">
        <v>7276</v>
      </c>
      <c r="C3748" s="482">
        <v>0.0</v>
      </c>
      <c r="D3748" s="482" t="s">
        <v>893</v>
      </c>
      <c r="E3748" s="482" t="s">
        <v>894</v>
      </c>
    </row>
    <row r="3749" customFormat="1" s="36">
      <c r="A3749" s="482" t="s">
        <v>7277</v>
      </c>
      <c r="B3749" s="482" t="s">
        <v>7278</v>
      </c>
      <c r="C3749" s="482">
        <v>0.0</v>
      </c>
      <c r="D3749" s="482" t="s">
        <v>893</v>
      </c>
      <c r="E3749" s="482" t="s">
        <v>894</v>
      </c>
    </row>
    <row r="3750" customFormat="1" s="36">
      <c r="A3750" s="482" t="s">
        <v>7279</v>
      </c>
      <c r="B3750" s="482" t="s">
        <v>7280</v>
      </c>
      <c r="C3750" s="482">
        <v>0.0</v>
      </c>
      <c r="D3750" s="482" t="s">
        <v>893</v>
      </c>
      <c r="E3750" s="482" t="s">
        <v>894</v>
      </c>
    </row>
    <row r="3751" customFormat="1" s="36">
      <c r="A3751" s="482" t="s">
        <v>7281</v>
      </c>
      <c r="B3751" s="482" t="s">
        <v>7282</v>
      </c>
      <c r="C3751" s="482">
        <v>0.0</v>
      </c>
      <c r="D3751" s="482" t="s">
        <v>893</v>
      </c>
      <c r="E3751" s="482" t="s">
        <v>894</v>
      </c>
    </row>
    <row r="3752" customFormat="1" s="36">
      <c r="A3752" s="482" t="s">
        <v>7283</v>
      </c>
      <c r="B3752" s="482" t="s">
        <v>7284</v>
      </c>
      <c r="C3752" s="482">
        <v>0.0</v>
      </c>
      <c r="D3752" s="482" t="s">
        <v>893</v>
      </c>
      <c r="E3752" s="482" t="s">
        <v>894</v>
      </c>
    </row>
    <row r="3753" customFormat="1" s="36">
      <c r="A3753" s="482" t="s">
        <v>7285</v>
      </c>
      <c r="B3753" s="482" t="s">
        <v>7286</v>
      </c>
      <c r="C3753" s="482">
        <v>0.0</v>
      </c>
      <c r="D3753" s="482" t="s">
        <v>893</v>
      </c>
      <c r="E3753" s="482" t="s">
        <v>894</v>
      </c>
    </row>
    <row r="3754" customFormat="1" s="36">
      <c r="A3754" s="482" t="s">
        <v>7287</v>
      </c>
      <c r="B3754" s="482" t="s">
        <v>7288</v>
      </c>
      <c r="C3754" s="482">
        <v>0.0</v>
      </c>
      <c r="D3754" s="482" t="s">
        <v>893</v>
      </c>
      <c r="E3754" s="482" t="s">
        <v>894</v>
      </c>
    </row>
    <row r="3755" customFormat="1" s="36">
      <c r="A3755" s="482" t="s">
        <v>7289</v>
      </c>
      <c r="B3755" s="482" t="s">
        <v>7290</v>
      </c>
      <c r="C3755" s="482">
        <v>0.0</v>
      </c>
      <c r="D3755" s="482" t="s">
        <v>893</v>
      </c>
      <c r="E3755" s="482" t="s">
        <v>894</v>
      </c>
    </row>
    <row r="3756" customFormat="1" s="36">
      <c r="A3756" s="482" t="s">
        <v>7291</v>
      </c>
      <c r="B3756" s="482" t="s">
        <v>7292</v>
      </c>
      <c r="C3756" s="482">
        <v>0.0</v>
      </c>
      <c r="D3756" s="482" t="s">
        <v>893</v>
      </c>
      <c r="E3756" s="482" t="s">
        <v>894</v>
      </c>
    </row>
    <row r="3757" customFormat="1" s="36">
      <c r="A3757" s="482" t="s">
        <v>7293</v>
      </c>
      <c r="B3757" s="482" t="s">
        <v>7294</v>
      </c>
      <c r="C3757" s="482">
        <v>0.0</v>
      </c>
      <c r="D3757" s="482" t="s">
        <v>893</v>
      </c>
      <c r="E3757" s="482" t="s">
        <v>894</v>
      </c>
    </row>
    <row r="3758" customFormat="1" s="36">
      <c r="A3758" s="482" t="s">
        <v>7295</v>
      </c>
      <c r="B3758" s="482" t="s">
        <v>7296</v>
      </c>
      <c r="C3758" s="482">
        <v>0.0</v>
      </c>
      <c r="D3758" s="482" t="s">
        <v>893</v>
      </c>
      <c r="E3758" s="482" t="s">
        <v>894</v>
      </c>
    </row>
    <row r="3759" customFormat="1" s="36">
      <c r="A3759" s="482" t="s">
        <v>7297</v>
      </c>
      <c r="B3759" s="482" t="s">
        <v>7298</v>
      </c>
      <c r="C3759" s="482">
        <v>0.0</v>
      </c>
      <c r="D3759" s="482" t="s">
        <v>893</v>
      </c>
      <c r="E3759" s="482" t="s">
        <v>894</v>
      </c>
    </row>
    <row r="3760" customFormat="1" s="36">
      <c r="A3760" s="482" t="s">
        <v>7299</v>
      </c>
      <c r="B3760" s="482" t="s">
        <v>7300</v>
      </c>
      <c r="C3760" s="482">
        <v>0.0</v>
      </c>
      <c r="D3760" s="482" t="s">
        <v>893</v>
      </c>
      <c r="E3760" s="482" t="s">
        <v>894</v>
      </c>
    </row>
    <row r="3761" customFormat="1" s="36">
      <c r="A3761" s="482" t="s">
        <v>7301</v>
      </c>
      <c r="B3761" s="482" t="s">
        <v>7302</v>
      </c>
      <c r="C3761" s="482">
        <v>0.0</v>
      </c>
      <c r="D3761" s="482" t="s">
        <v>893</v>
      </c>
      <c r="E3761" s="482" t="s">
        <v>894</v>
      </c>
    </row>
    <row r="3762" customFormat="1" s="36">
      <c r="A3762" s="482" t="s">
        <v>7303</v>
      </c>
      <c r="B3762" s="482" t="s">
        <v>7304</v>
      </c>
      <c r="C3762" s="482">
        <v>0.0</v>
      </c>
      <c r="D3762" s="482" t="s">
        <v>893</v>
      </c>
      <c r="E3762" s="482" t="s">
        <v>894</v>
      </c>
    </row>
    <row r="3763" customFormat="1" s="36">
      <c r="A3763" s="482" t="s">
        <v>7305</v>
      </c>
      <c r="B3763" s="482" t="s">
        <v>7306</v>
      </c>
      <c r="C3763" s="482">
        <v>0.0</v>
      </c>
      <c r="D3763" s="482" t="s">
        <v>893</v>
      </c>
      <c r="E3763" s="482" t="s">
        <v>894</v>
      </c>
    </row>
    <row r="3764" customFormat="1" s="36">
      <c r="A3764" s="482" t="s">
        <v>7307</v>
      </c>
      <c r="B3764" s="482" t="s">
        <v>7308</v>
      </c>
      <c r="C3764" s="482">
        <v>0.0</v>
      </c>
      <c r="D3764" s="482" t="s">
        <v>893</v>
      </c>
      <c r="E3764" s="482" t="s">
        <v>894</v>
      </c>
    </row>
    <row r="3765" customFormat="1" s="36">
      <c r="A3765" s="482" t="s">
        <v>7309</v>
      </c>
      <c r="B3765" s="482" t="s">
        <v>7310</v>
      </c>
      <c r="C3765" s="482">
        <v>0.0</v>
      </c>
      <c r="D3765" s="482" t="s">
        <v>893</v>
      </c>
      <c r="E3765" s="482" t="s">
        <v>894</v>
      </c>
    </row>
    <row r="3766" customFormat="1" s="36">
      <c r="A3766" s="482" t="s">
        <v>7311</v>
      </c>
      <c r="B3766" s="482" t="s">
        <v>7312</v>
      </c>
      <c r="C3766" s="482">
        <v>0.0</v>
      </c>
      <c r="D3766" s="482" t="s">
        <v>893</v>
      </c>
      <c r="E3766" s="482" t="s">
        <v>894</v>
      </c>
    </row>
    <row r="3767" customFormat="1" s="36">
      <c r="A3767" s="482" t="s">
        <v>7313</v>
      </c>
      <c r="B3767" s="482" t="s">
        <v>7314</v>
      </c>
      <c r="C3767" s="482">
        <v>1.0</v>
      </c>
      <c r="D3767" s="482" t="s">
        <v>893</v>
      </c>
      <c r="E3767" s="482" t="s">
        <v>894</v>
      </c>
    </row>
    <row r="3768" customFormat="1" s="36">
      <c r="A3768" s="482" t="s">
        <v>7315</v>
      </c>
      <c r="B3768" s="482" t="s">
        <v>7316</v>
      </c>
      <c r="C3768" s="482">
        <v>0.0</v>
      </c>
      <c r="D3768" s="482" t="s">
        <v>893</v>
      </c>
      <c r="E3768" s="482" t="s">
        <v>894</v>
      </c>
    </row>
    <row r="3769" customFormat="1" s="36">
      <c r="A3769" s="482" t="s">
        <v>7317</v>
      </c>
      <c r="B3769" s="482" t="s">
        <v>7318</v>
      </c>
      <c r="C3769" s="482">
        <v>0.0</v>
      </c>
      <c r="D3769" s="482" t="s">
        <v>893</v>
      </c>
      <c r="E3769" s="482" t="s">
        <v>894</v>
      </c>
    </row>
    <row r="3770" customFormat="1" s="36">
      <c r="A3770" s="482" t="s">
        <v>7319</v>
      </c>
      <c r="B3770" s="482" t="s">
        <v>7320</v>
      </c>
      <c r="C3770" s="482">
        <v>0.0</v>
      </c>
      <c r="D3770" s="482" t="s">
        <v>893</v>
      </c>
      <c r="E3770" s="482" t="s">
        <v>894</v>
      </c>
    </row>
    <row r="3771" customFormat="1" s="36">
      <c r="A3771" s="482" t="s">
        <v>7321</v>
      </c>
      <c r="B3771" s="482" t="s">
        <v>7322</v>
      </c>
      <c r="C3771" s="482">
        <v>0.0</v>
      </c>
      <c r="D3771" s="482" t="s">
        <v>893</v>
      </c>
      <c r="E3771" s="482" t="s">
        <v>894</v>
      </c>
    </row>
    <row r="3772" customFormat="1" s="36">
      <c r="A3772" s="482" t="s">
        <v>7323</v>
      </c>
      <c r="B3772" s="482" t="s">
        <v>7324</v>
      </c>
      <c r="C3772" s="482">
        <v>0.0</v>
      </c>
      <c r="D3772" s="482" t="s">
        <v>893</v>
      </c>
      <c r="E3772" s="482" t="s">
        <v>894</v>
      </c>
    </row>
    <row r="3773" customFormat="1" s="36">
      <c r="A3773" s="482" t="s">
        <v>7325</v>
      </c>
      <c r="B3773" s="482" t="s">
        <v>7326</v>
      </c>
      <c r="C3773" s="482">
        <v>0.0</v>
      </c>
      <c r="D3773" s="482" t="s">
        <v>893</v>
      </c>
      <c r="E3773" s="482" t="s">
        <v>894</v>
      </c>
    </row>
    <row r="3774" customFormat="1" s="36">
      <c r="A3774" s="482" t="s">
        <v>7327</v>
      </c>
      <c r="B3774" s="482" t="s">
        <v>7328</v>
      </c>
      <c r="C3774" s="482">
        <v>0.0</v>
      </c>
      <c r="D3774" s="482" t="s">
        <v>893</v>
      </c>
      <c r="E3774" s="482" t="s">
        <v>894</v>
      </c>
    </row>
    <row r="3775" customFormat="1" s="36">
      <c r="A3775" s="482" t="s">
        <v>7329</v>
      </c>
      <c r="B3775" s="482" t="s">
        <v>7330</v>
      </c>
      <c r="C3775" s="482">
        <v>2.0</v>
      </c>
      <c r="D3775" s="482" t="s">
        <v>893</v>
      </c>
      <c r="E3775" s="482" t="s">
        <v>894</v>
      </c>
    </row>
    <row r="3776" customFormat="1" s="36">
      <c r="A3776" s="482" t="s">
        <v>7331</v>
      </c>
      <c r="B3776" s="482" t="s">
        <v>7332</v>
      </c>
      <c r="C3776" s="482">
        <v>0.0</v>
      </c>
      <c r="D3776" s="482" t="s">
        <v>893</v>
      </c>
      <c r="E3776" s="482" t="s">
        <v>894</v>
      </c>
    </row>
    <row r="3777" customFormat="1" s="36">
      <c r="A3777" s="482" t="s">
        <v>7333</v>
      </c>
      <c r="B3777" s="482" t="s">
        <v>7334</v>
      </c>
      <c r="C3777" s="482">
        <v>0.0</v>
      </c>
      <c r="D3777" s="482" t="s">
        <v>893</v>
      </c>
      <c r="E3777" s="482" t="s">
        <v>894</v>
      </c>
    </row>
    <row r="3778" customFormat="1" s="36">
      <c r="A3778" s="482" t="s">
        <v>7335</v>
      </c>
      <c r="B3778" s="482" t="s">
        <v>7336</v>
      </c>
      <c r="C3778" s="482">
        <v>0.0</v>
      </c>
      <c r="D3778" s="482" t="s">
        <v>893</v>
      </c>
      <c r="E3778" s="482" t="s">
        <v>894</v>
      </c>
    </row>
    <row r="3779" customFormat="1" s="36">
      <c r="A3779" s="482" t="s">
        <v>7337</v>
      </c>
      <c r="B3779" s="482" t="s">
        <v>7338</v>
      </c>
      <c r="C3779" s="482">
        <v>0.0</v>
      </c>
      <c r="D3779" s="482" t="s">
        <v>893</v>
      </c>
      <c r="E3779" s="482" t="s">
        <v>894</v>
      </c>
    </row>
    <row r="3780" customFormat="1" s="36">
      <c r="A3780" s="482" t="s">
        <v>7339</v>
      </c>
      <c r="B3780" s="482" t="s">
        <v>7340</v>
      </c>
      <c r="C3780" s="482">
        <v>0.0</v>
      </c>
      <c r="D3780" s="482" t="s">
        <v>893</v>
      </c>
      <c r="E3780" s="482" t="s">
        <v>894</v>
      </c>
    </row>
    <row r="3781" customFormat="1" s="36">
      <c r="A3781" s="482" t="s">
        <v>7341</v>
      </c>
      <c r="B3781" s="482" t="s">
        <v>7342</v>
      </c>
      <c r="C3781" s="482">
        <v>0.0</v>
      </c>
      <c r="D3781" s="482" t="s">
        <v>893</v>
      </c>
      <c r="E3781" s="482" t="s">
        <v>894</v>
      </c>
    </row>
    <row r="3782" customFormat="1" s="36">
      <c r="A3782" s="482" t="s">
        <v>7343</v>
      </c>
      <c r="B3782" s="482" t="s">
        <v>7344</v>
      </c>
      <c r="C3782" s="482">
        <v>2.0</v>
      </c>
      <c r="D3782" s="482" t="s">
        <v>893</v>
      </c>
      <c r="E3782" s="482" t="s">
        <v>894</v>
      </c>
    </row>
    <row r="3783" customFormat="1" s="36">
      <c r="A3783" s="482" t="s">
        <v>7345</v>
      </c>
      <c r="B3783" s="482" t="s">
        <v>7346</v>
      </c>
      <c r="C3783" s="482">
        <v>0.0</v>
      </c>
      <c r="D3783" s="482" t="s">
        <v>893</v>
      </c>
      <c r="E3783" s="482" t="s">
        <v>894</v>
      </c>
    </row>
    <row r="3784" customFormat="1" s="36">
      <c r="A3784" s="482" t="s">
        <v>7347</v>
      </c>
      <c r="B3784" s="482" t="s">
        <v>7348</v>
      </c>
      <c r="C3784" s="482">
        <v>0.0</v>
      </c>
      <c r="D3784" s="482" t="s">
        <v>893</v>
      </c>
      <c r="E3784" s="482" t="s">
        <v>894</v>
      </c>
    </row>
    <row r="3785" customFormat="1" s="36">
      <c r="A3785" s="482" t="s">
        <v>7349</v>
      </c>
      <c r="B3785" s="482" t="s">
        <v>7350</v>
      </c>
      <c r="C3785" s="482">
        <v>0.0</v>
      </c>
      <c r="D3785" s="482" t="s">
        <v>893</v>
      </c>
      <c r="E3785" s="482" t="s">
        <v>894</v>
      </c>
    </row>
    <row r="3786" customFormat="1" s="36">
      <c r="A3786" s="482" t="s">
        <v>7351</v>
      </c>
      <c r="B3786" s="482" t="s">
        <v>7352</v>
      </c>
      <c r="C3786" s="482">
        <v>0.0</v>
      </c>
      <c r="D3786" s="482" t="s">
        <v>893</v>
      </c>
      <c r="E3786" s="482" t="s">
        <v>894</v>
      </c>
    </row>
    <row r="3787" customFormat="1" s="36">
      <c r="A3787" s="482" t="s">
        <v>7353</v>
      </c>
      <c r="B3787" s="482" t="s">
        <v>7354</v>
      </c>
      <c r="C3787" s="482">
        <v>4.0</v>
      </c>
      <c r="D3787" s="482" t="s">
        <v>893</v>
      </c>
      <c r="E3787" s="482" t="s">
        <v>894</v>
      </c>
    </row>
    <row r="3788" customFormat="1" s="36">
      <c r="A3788" s="482" t="s">
        <v>7355</v>
      </c>
      <c r="B3788" s="482" t="s">
        <v>7356</v>
      </c>
      <c r="C3788" s="482">
        <v>0.0</v>
      </c>
      <c r="D3788" s="482" t="s">
        <v>893</v>
      </c>
      <c r="E3788" s="482" t="s">
        <v>894</v>
      </c>
    </row>
    <row r="3789" customFormat="1" s="36">
      <c r="A3789" s="482" t="s">
        <v>7357</v>
      </c>
      <c r="B3789" s="482" t="s">
        <v>7358</v>
      </c>
      <c r="C3789" s="482">
        <v>0.0</v>
      </c>
      <c r="D3789" s="482" t="s">
        <v>893</v>
      </c>
      <c r="E3789" s="482" t="s">
        <v>894</v>
      </c>
    </row>
    <row r="3790" customFormat="1" s="36">
      <c r="A3790" s="482" t="s">
        <v>7359</v>
      </c>
      <c r="B3790" s="482" t="s">
        <v>7360</v>
      </c>
      <c r="C3790" s="482">
        <v>0.0</v>
      </c>
      <c r="D3790" s="482" t="s">
        <v>893</v>
      </c>
      <c r="E3790" s="482" t="s">
        <v>894</v>
      </c>
    </row>
    <row r="3791" customFormat="1" s="36">
      <c r="A3791" s="482" t="s">
        <v>7361</v>
      </c>
      <c r="B3791" s="482" t="s">
        <v>7362</v>
      </c>
      <c r="C3791" s="482">
        <v>4.0</v>
      </c>
      <c r="D3791" s="482" t="s">
        <v>893</v>
      </c>
      <c r="E3791" s="482" t="s">
        <v>894</v>
      </c>
    </row>
    <row r="3792" customFormat="1" s="36">
      <c r="A3792" s="482" t="s">
        <v>7363</v>
      </c>
      <c r="B3792" s="482" t="s">
        <v>7364</v>
      </c>
      <c r="C3792" s="482">
        <v>0.0</v>
      </c>
      <c r="D3792" s="482" t="s">
        <v>893</v>
      </c>
      <c r="E3792" s="482" t="s">
        <v>894</v>
      </c>
    </row>
    <row r="3793" customFormat="1" s="36">
      <c r="A3793" s="482" t="s">
        <v>7365</v>
      </c>
      <c r="B3793" s="482" t="s">
        <v>7366</v>
      </c>
      <c r="C3793" s="482">
        <v>0.0</v>
      </c>
      <c r="D3793" s="482" t="s">
        <v>893</v>
      </c>
      <c r="E3793" s="482" t="s">
        <v>894</v>
      </c>
    </row>
    <row r="3794" customFormat="1" s="36">
      <c r="A3794" s="482" t="s">
        <v>7367</v>
      </c>
      <c r="B3794" s="482" t="s">
        <v>7368</v>
      </c>
      <c r="C3794" s="482">
        <v>0.0</v>
      </c>
      <c r="D3794" s="482" t="s">
        <v>893</v>
      </c>
      <c r="E3794" s="482" t="s">
        <v>894</v>
      </c>
    </row>
    <row r="3795" customFormat="1" s="36">
      <c r="A3795" s="482" t="s">
        <v>7369</v>
      </c>
      <c r="B3795" s="482" t="s">
        <v>7370</v>
      </c>
      <c r="C3795" s="482">
        <v>0.0</v>
      </c>
      <c r="D3795" s="482" t="s">
        <v>893</v>
      </c>
      <c r="E3795" s="482" t="s">
        <v>894</v>
      </c>
    </row>
    <row r="3796" customFormat="1" s="36">
      <c r="A3796" s="482" t="s">
        <v>7371</v>
      </c>
      <c r="B3796" s="482" t="s">
        <v>7372</v>
      </c>
      <c r="C3796" s="482">
        <v>0.0</v>
      </c>
      <c r="D3796" s="482" t="s">
        <v>893</v>
      </c>
      <c r="E3796" s="482" t="s">
        <v>1140</v>
      </c>
    </row>
    <row r="3797" customFormat="1" s="36">
      <c r="A3797" s="482" t="s">
        <v>7373</v>
      </c>
      <c r="B3797" s="482" t="s">
        <v>7374</v>
      </c>
      <c r="C3797" s="482">
        <v>2.0</v>
      </c>
      <c r="D3797" s="482" t="s">
        <v>893</v>
      </c>
      <c r="E3797" s="482" t="s">
        <v>894</v>
      </c>
    </row>
    <row r="3798" customFormat="1" s="36">
      <c r="A3798" s="482" t="s">
        <v>7375</v>
      </c>
      <c r="B3798" s="482" t="s">
        <v>7376</v>
      </c>
      <c r="C3798" s="482">
        <v>0.0</v>
      </c>
      <c r="D3798" s="482" t="s">
        <v>893</v>
      </c>
      <c r="E3798" s="482" t="s">
        <v>894</v>
      </c>
    </row>
    <row r="3799" customFormat="1" s="36">
      <c r="A3799" s="482" t="s">
        <v>7377</v>
      </c>
      <c r="B3799" s="482" t="s">
        <v>7378</v>
      </c>
      <c r="C3799" s="482">
        <v>0.0</v>
      </c>
      <c r="D3799" s="482" t="s">
        <v>893</v>
      </c>
      <c r="E3799" s="482" t="s">
        <v>894</v>
      </c>
    </row>
    <row r="3800" customFormat="1" s="36">
      <c r="A3800" s="482" t="s">
        <v>7379</v>
      </c>
      <c r="B3800" s="482" t="s">
        <v>7380</v>
      </c>
      <c r="C3800" s="482">
        <v>0.0</v>
      </c>
      <c r="D3800" s="482" t="s">
        <v>893</v>
      </c>
      <c r="E3800" s="482" t="s">
        <v>894</v>
      </c>
    </row>
    <row r="3801" customFormat="1" s="36">
      <c r="A3801" s="482" t="s">
        <v>7381</v>
      </c>
      <c r="B3801" s="482" t="s">
        <v>7382</v>
      </c>
      <c r="C3801" s="482">
        <v>126.0</v>
      </c>
      <c r="D3801" s="482" t="s">
        <v>893</v>
      </c>
      <c r="E3801" s="482" t="s">
        <v>894</v>
      </c>
    </row>
    <row r="3802" customFormat="1" s="36">
      <c r="A3802" s="482" t="s">
        <v>7383</v>
      </c>
      <c r="B3802" s="482" t="s">
        <v>7384</v>
      </c>
      <c r="C3802" s="482">
        <v>0.0</v>
      </c>
      <c r="D3802" s="482" t="s">
        <v>893</v>
      </c>
      <c r="E3802" s="482" t="s">
        <v>894</v>
      </c>
    </row>
    <row r="3803" customFormat="1" s="36">
      <c r="A3803" s="482" t="s">
        <v>7385</v>
      </c>
      <c r="B3803" s="482" t="s">
        <v>7386</v>
      </c>
      <c r="C3803" s="482">
        <v>0.0</v>
      </c>
      <c r="D3803" s="482" t="s">
        <v>893</v>
      </c>
      <c r="E3803" s="482" t="s">
        <v>894</v>
      </c>
    </row>
    <row r="3804" customFormat="1" s="36">
      <c r="A3804" s="482" t="s">
        <v>7387</v>
      </c>
      <c r="B3804" s="482" t="s">
        <v>7388</v>
      </c>
      <c r="C3804" s="482">
        <v>0.0</v>
      </c>
      <c r="D3804" s="482" t="s">
        <v>893</v>
      </c>
      <c r="E3804" s="482" t="s">
        <v>894</v>
      </c>
    </row>
    <row r="3805" customFormat="1" s="36">
      <c r="A3805" s="482" t="s">
        <v>7389</v>
      </c>
      <c r="B3805" s="482" t="s">
        <v>7390</v>
      </c>
      <c r="C3805" s="482">
        <v>1.0</v>
      </c>
      <c r="D3805" s="482" t="s">
        <v>893</v>
      </c>
      <c r="E3805" s="482" t="s">
        <v>894</v>
      </c>
    </row>
    <row r="3806" customFormat="1" s="36">
      <c r="A3806" s="482" t="s">
        <v>7391</v>
      </c>
      <c r="B3806" s="482" t="s">
        <v>7392</v>
      </c>
      <c r="C3806" s="482">
        <v>0.0</v>
      </c>
      <c r="D3806" s="482" t="s">
        <v>893</v>
      </c>
      <c r="E3806" s="482" t="s">
        <v>894</v>
      </c>
    </row>
    <row r="3807" customFormat="1" s="36">
      <c r="A3807" s="482" t="s">
        <v>7393</v>
      </c>
      <c r="B3807" s="482" t="s">
        <v>7394</v>
      </c>
      <c r="C3807" s="482">
        <v>0.0</v>
      </c>
      <c r="D3807" s="482" t="s">
        <v>893</v>
      </c>
      <c r="E3807" s="482" t="s">
        <v>894</v>
      </c>
    </row>
    <row r="3808" customFormat="1" s="36">
      <c r="A3808" s="482" t="s">
        <v>7395</v>
      </c>
      <c r="B3808" s="482" t="s">
        <v>7396</v>
      </c>
      <c r="C3808" s="482">
        <v>0.0</v>
      </c>
      <c r="D3808" s="482" t="s">
        <v>893</v>
      </c>
      <c r="E3808" s="482" t="s">
        <v>894</v>
      </c>
    </row>
    <row r="3809" customFormat="1" s="36">
      <c r="A3809" s="482" t="s">
        <v>7397</v>
      </c>
      <c r="B3809" s="482" t="s">
        <v>7398</v>
      </c>
      <c r="C3809" s="482">
        <v>0.0</v>
      </c>
      <c r="D3809" s="482" t="s">
        <v>893</v>
      </c>
      <c r="E3809" s="482" t="s">
        <v>1140</v>
      </c>
    </row>
    <row r="3810" customFormat="1" s="36">
      <c r="A3810" s="482" t="s">
        <v>7399</v>
      </c>
      <c r="B3810" s="482" t="s">
        <v>7400</v>
      </c>
      <c r="C3810" s="482">
        <v>0.0</v>
      </c>
      <c r="D3810" s="482" t="s">
        <v>893</v>
      </c>
      <c r="E3810" s="482" t="s">
        <v>1140</v>
      </c>
    </row>
    <row r="3811" customFormat="1" s="36">
      <c r="A3811" s="482" t="s">
        <v>7401</v>
      </c>
      <c r="B3811" s="482" t="s">
        <v>7402</v>
      </c>
      <c r="C3811" s="482">
        <v>1.0</v>
      </c>
      <c r="D3811" s="482" t="s">
        <v>893</v>
      </c>
      <c r="E3811" s="482" t="s">
        <v>894</v>
      </c>
    </row>
    <row r="3812" customFormat="1" s="36">
      <c r="A3812" s="482" t="s">
        <v>7403</v>
      </c>
      <c r="B3812" s="482" t="s">
        <v>7404</v>
      </c>
      <c r="C3812" s="482">
        <v>0.0</v>
      </c>
      <c r="D3812" s="482" t="s">
        <v>893</v>
      </c>
      <c r="E3812" s="482" t="s">
        <v>894</v>
      </c>
    </row>
    <row r="3813" customFormat="1" s="36">
      <c r="A3813" s="482" t="s">
        <v>7405</v>
      </c>
      <c r="B3813" s="482" t="s">
        <v>7406</v>
      </c>
      <c r="C3813" s="482">
        <v>0.0</v>
      </c>
      <c r="D3813" s="482" t="s">
        <v>893</v>
      </c>
      <c r="E3813" s="482" t="s">
        <v>894</v>
      </c>
    </row>
    <row r="3814" customFormat="1" s="36">
      <c r="A3814" s="482" t="s">
        <v>7407</v>
      </c>
      <c r="B3814" s="482" t="s">
        <v>7408</v>
      </c>
      <c r="C3814" s="482">
        <v>0.0</v>
      </c>
      <c r="D3814" s="482" t="s">
        <v>893</v>
      </c>
      <c r="E3814" s="482" t="s">
        <v>894</v>
      </c>
    </row>
    <row r="3815" customFormat="1" s="36">
      <c r="A3815" s="482" t="s">
        <v>7409</v>
      </c>
      <c r="B3815" s="482" t="s">
        <v>7410</v>
      </c>
      <c r="C3815" s="482">
        <v>0.0</v>
      </c>
      <c r="D3815" s="482" t="s">
        <v>893</v>
      </c>
      <c r="E3815" s="482" t="s">
        <v>1140</v>
      </c>
    </row>
    <row r="3816" customFormat="1" s="36">
      <c r="A3816" s="482" t="s">
        <v>7411</v>
      </c>
      <c r="B3816" s="482" t="s">
        <v>7412</v>
      </c>
      <c r="C3816" s="482">
        <v>1.0</v>
      </c>
      <c r="D3816" s="482" t="s">
        <v>893</v>
      </c>
      <c r="E3816" s="482" t="s">
        <v>1140</v>
      </c>
    </row>
    <row r="3817" customFormat="1" s="36">
      <c r="A3817" s="482" t="s">
        <v>7413</v>
      </c>
      <c r="B3817" s="482" t="s">
        <v>7414</v>
      </c>
      <c r="C3817" s="482">
        <v>0.0</v>
      </c>
      <c r="D3817" s="482" t="s">
        <v>893</v>
      </c>
      <c r="E3817" s="482" t="s">
        <v>894</v>
      </c>
    </row>
    <row r="3818" customFormat="1" s="36">
      <c r="A3818" s="482" t="s">
        <v>7415</v>
      </c>
      <c r="B3818" s="482" t="s">
        <v>7416</v>
      </c>
      <c r="C3818" s="482">
        <v>0.0</v>
      </c>
      <c r="D3818" s="482" t="s">
        <v>893</v>
      </c>
      <c r="E3818" s="482" t="s">
        <v>894</v>
      </c>
    </row>
    <row r="3819" customFormat="1" s="36">
      <c r="A3819" s="482" t="s">
        <v>7417</v>
      </c>
      <c r="B3819" s="482" t="s">
        <v>7418</v>
      </c>
      <c r="C3819" s="482">
        <v>0.0</v>
      </c>
      <c r="D3819" s="482" t="s">
        <v>893</v>
      </c>
      <c r="E3819" s="482" t="s">
        <v>894</v>
      </c>
    </row>
    <row r="3820" customFormat="1" s="36">
      <c r="A3820" s="482" t="s">
        <v>7419</v>
      </c>
      <c r="B3820" s="482" t="s">
        <v>7420</v>
      </c>
      <c r="C3820" s="482">
        <v>0.0</v>
      </c>
      <c r="D3820" s="482" t="s">
        <v>893</v>
      </c>
      <c r="E3820" s="482" t="s">
        <v>894</v>
      </c>
    </row>
    <row r="3821" customFormat="1" s="36">
      <c r="A3821" s="482" t="s">
        <v>7421</v>
      </c>
      <c r="B3821" s="482" t="s">
        <v>7422</v>
      </c>
      <c r="C3821" s="482">
        <v>0.0</v>
      </c>
      <c r="D3821" s="482" t="s">
        <v>893</v>
      </c>
      <c r="E3821" s="482" t="s">
        <v>894</v>
      </c>
    </row>
    <row r="3822" customFormat="1" s="36">
      <c r="A3822" s="482" t="s">
        <v>7423</v>
      </c>
      <c r="B3822" s="482" t="s">
        <v>7424</v>
      </c>
      <c r="C3822" s="482">
        <v>0.0</v>
      </c>
      <c r="D3822" s="482" t="s">
        <v>893</v>
      </c>
      <c r="E3822" s="482" t="s">
        <v>894</v>
      </c>
    </row>
    <row r="3823" customFormat="1" s="36">
      <c r="A3823" s="482" t="s">
        <v>7425</v>
      </c>
      <c r="B3823" s="482" t="s">
        <v>7426</v>
      </c>
      <c r="C3823" s="482">
        <v>0.0</v>
      </c>
      <c r="D3823" s="482" t="s">
        <v>893</v>
      </c>
      <c r="E3823" s="482" t="s">
        <v>1140</v>
      </c>
    </row>
    <row r="3824" customFormat="1" s="36">
      <c r="A3824" s="482" t="s">
        <v>7427</v>
      </c>
      <c r="B3824" s="482" t="s">
        <v>7428</v>
      </c>
      <c r="C3824" s="482">
        <v>0.0</v>
      </c>
      <c r="D3824" s="482" t="s">
        <v>893</v>
      </c>
      <c r="E3824" s="482" t="s">
        <v>894</v>
      </c>
    </row>
    <row r="3825" customFormat="1" s="36">
      <c r="A3825" s="482" t="s">
        <v>7429</v>
      </c>
      <c r="B3825" s="482" t="s">
        <v>7430</v>
      </c>
      <c r="C3825" s="482">
        <v>0.0</v>
      </c>
      <c r="D3825" s="482" t="s">
        <v>893</v>
      </c>
      <c r="E3825" s="482" t="s">
        <v>894</v>
      </c>
    </row>
    <row r="3826" customFormat="1" s="36">
      <c r="A3826" s="482" t="s">
        <v>7431</v>
      </c>
      <c r="B3826" s="482" t="s">
        <v>7432</v>
      </c>
      <c r="C3826" s="482">
        <v>0.0</v>
      </c>
      <c r="D3826" s="482" t="s">
        <v>893</v>
      </c>
      <c r="E3826" s="482" t="s">
        <v>894</v>
      </c>
    </row>
    <row r="3827" customFormat="1" s="36">
      <c r="A3827" s="482" t="s">
        <v>7433</v>
      </c>
      <c r="B3827" s="482" t="s">
        <v>7434</v>
      </c>
      <c r="C3827" s="482">
        <v>0.0</v>
      </c>
      <c r="D3827" s="482" t="s">
        <v>893</v>
      </c>
      <c r="E3827" s="482" t="s">
        <v>1140</v>
      </c>
    </row>
    <row r="3828" customFormat="1" s="36">
      <c r="A3828" s="482" t="s">
        <v>7435</v>
      </c>
      <c r="B3828" s="482" t="s">
        <v>7436</v>
      </c>
      <c r="C3828" s="482">
        <v>0.0</v>
      </c>
      <c r="D3828" s="482" t="s">
        <v>893</v>
      </c>
      <c r="E3828" s="482" t="s">
        <v>894</v>
      </c>
    </row>
    <row r="3829" customFormat="1" s="36">
      <c r="A3829" s="482" t="s">
        <v>7437</v>
      </c>
      <c r="B3829" s="482" t="s">
        <v>7438</v>
      </c>
      <c r="C3829" s="482">
        <v>0.0</v>
      </c>
      <c r="D3829" s="482" t="s">
        <v>893</v>
      </c>
      <c r="E3829" s="482" t="s">
        <v>894</v>
      </c>
    </row>
    <row r="3830" customFormat="1" s="36">
      <c r="A3830" s="482" t="s">
        <v>7439</v>
      </c>
      <c r="B3830" s="482" t="s">
        <v>7440</v>
      </c>
      <c r="C3830" s="482">
        <v>0.0</v>
      </c>
      <c r="D3830" s="482" t="s">
        <v>893</v>
      </c>
      <c r="E3830" s="482" t="s">
        <v>894</v>
      </c>
    </row>
    <row r="3831" customFormat="1" s="36">
      <c r="A3831" s="482" t="s">
        <v>7441</v>
      </c>
      <c r="B3831" s="482" t="s">
        <v>7442</v>
      </c>
      <c r="C3831" s="482">
        <v>1.0</v>
      </c>
      <c r="D3831" s="482" t="s">
        <v>893</v>
      </c>
      <c r="E3831" s="482" t="s">
        <v>894</v>
      </c>
    </row>
    <row r="3832" customFormat="1" s="36">
      <c r="A3832" s="482" t="s">
        <v>7443</v>
      </c>
      <c r="B3832" s="482" t="s">
        <v>7444</v>
      </c>
      <c r="C3832" s="482">
        <v>0.0</v>
      </c>
      <c r="D3832" s="482" t="s">
        <v>893</v>
      </c>
      <c r="E3832" s="482" t="s">
        <v>894</v>
      </c>
    </row>
    <row r="3833" customFormat="1" s="36">
      <c r="A3833" s="482" t="s">
        <v>7445</v>
      </c>
      <c r="B3833" s="482" t="s">
        <v>7446</v>
      </c>
      <c r="C3833" s="482">
        <v>0.0</v>
      </c>
      <c r="D3833" s="482" t="s">
        <v>893</v>
      </c>
      <c r="E3833" s="482" t="s">
        <v>894</v>
      </c>
    </row>
    <row r="3834" customFormat="1" s="36">
      <c r="A3834" s="482" t="s">
        <v>7447</v>
      </c>
      <c r="B3834" s="482" t="s">
        <v>7448</v>
      </c>
      <c r="C3834" s="482">
        <v>0.0</v>
      </c>
      <c r="D3834" s="482" t="s">
        <v>893</v>
      </c>
      <c r="E3834" s="482" t="s">
        <v>894</v>
      </c>
    </row>
    <row r="3835" customFormat="1" s="36">
      <c r="A3835" s="482" t="s">
        <v>7449</v>
      </c>
      <c r="B3835" s="482" t="s">
        <v>7450</v>
      </c>
      <c r="C3835" s="482">
        <v>0.0</v>
      </c>
      <c r="D3835" s="482" t="s">
        <v>893</v>
      </c>
      <c r="E3835" s="482" t="s">
        <v>894</v>
      </c>
    </row>
    <row r="3836" customFormat="1" s="36">
      <c r="A3836" s="482" t="s">
        <v>7451</v>
      </c>
      <c r="B3836" s="482" t="s">
        <v>7452</v>
      </c>
      <c r="C3836" s="482">
        <v>1.0</v>
      </c>
      <c r="D3836" s="482" t="s">
        <v>893</v>
      </c>
      <c r="E3836" s="482" t="s">
        <v>894</v>
      </c>
    </row>
    <row r="3837" customFormat="1" s="36">
      <c r="A3837" s="482" t="s">
        <v>7453</v>
      </c>
      <c r="B3837" s="482" t="s">
        <v>7454</v>
      </c>
      <c r="C3837" s="482">
        <v>0.0</v>
      </c>
      <c r="D3837" s="482" t="s">
        <v>893</v>
      </c>
      <c r="E3837" s="482" t="s">
        <v>894</v>
      </c>
    </row>
    <row r="3838" customFormat="1" s="36">
      <c r="A3838" s="482" t="s">
        <v>7455</v>
      </c>
      <c r="B3838" s="482" t="s">
        <v>7456</v>
      </c>
      <c r="C3838" s="482">
        <v>0.0</v>
      </c>
      <c r="D3838" s="482" t="s">
        <v>893</v>
      </c>
      <c r="E3838" s="482" t="s">
        <v>894</v>
      </c>
    </row>
    <row r="3839" customFormat="1" s="36">
      <c r="A3839" s="482" t="s">
        <v>7457</v>
      </c>
      <c r="B3839" s="482" t="s">
        <v>7458</v>
      </c>
      <c r="C3839" s="482">
        <v>0.0</v>
      </c>
      <c r="D3839" s="482" t="s">
        <v>893</v>
      </c>
      <c r="E3839" s="482" t="s">
        <v>894</v>
      </c>
    </row>
    <row r="3840" customFormat="1" s="36">
      <c r="A3840" s="482" t="s">
        <v>7459</v>
      </c>
      <c r="B3840" s="482" t="s">
        <v>7460</v>
      </c>
      <c r="C3840" s="482">
        <v>0.0</v>
      </c>
      <c r="D3840" s="482" t="s">
        <v>893</v>
      </c>
      <c r="E3840" s="482" t="s">
        <v>894</v>
      </c>
    </row>
    <row r="3841" customFormat="1" s="36">
      <c r="A3841" s="482" t="s">
        <v>7461</v>
      </c>
      <c r="B3841" s="482" t="s">
        <v>7462</v>
      </c>
      <c r="C3841" s="482">
        <v>0.0</v>
      </c>
      <c r="D3841" s="482" t="s">
        <v>893</v>
      </c>
      <c r="E3841" s="482" t="s">
        <v>894</v>
      </c>
    </row>
    <row r="3842" customFormat="1" s="36">
      <c r="A3842" s="482" t="s">
        <v>7463</v>
      </c>
      <c r="B3842" s="482" t="s">
        <v>7464</v>
      </c>
      <c r="C3842" s="482">
        <v>0.0</v>
      </c>
      <c r="D3842" s="482" t="s">
        <v>893</v>
      </c>
      <c r="E3842" s="482" t="s">
        <v>894</v>
      </c>
    </row>
    <row r="3843" customFormat="1" s="36">
      <c r="A3843" s="482" t="s">
        <v>7465</v>
      </c>
      <c r="B3843" s="482" t="s">
        <v>7466</v>
      </c>
      <c r="C3843" s="482">
        <v>0.0</v>
      </c>
      <c r="D3843" s="482" t="s">
        <v>893</v>
      </c>
      <c r="E3843" s="482" t="s">
        <v>894</v>
      </c>
    </row>
    <row r="3844" customFormat="1" s="36">
      <c r="A3844" s="482" t="s">
        <v>7467</v>
      </c>
      <c r="B3844" s="482" t="s">
        <v>7468</v>
      </c>
      <c r="C3844" s="482">
        <v>0.0</v>
      </c>
      <c r="D3844" s="482" t="s">
        <v>893</v>
      </c>
      <c r="E3844" s="482" t="s">
        <v>894</v>
      </c>
    </row>
    <row r="3845" customFormat="1" s="36">
      <c r="A3845" s="482" t="s">
        <v>7469</v>
      </c>
      <c r="B3845" s="482" t="s">
        <v>7470</v>
      </c>
      <c r="C3845" s="482">
        <v>0.0</v>
      </c>
      <c r="D3845" s="482" t="s">
        <v>893</v>
      </c>
      <c r="E3845" s="482" t="s">
        <v>894</v>
      </c>
    </row>
    <row r="3846" customFormat="1" s="36">
      <c r="A3846" s="482" t="s">
        <v>7471</v>
      </c>
      <c r="B3846" s="482" t="s">
        <v>7472</v>
      </c>
      <c r="C3846" s="482">
        <v>0.0</v>
      </c>
      <c r="D3846" s="482" t="s">
        <v>893</v>
      </c>
      <c r="E3846" s="482" t="s">
        <v>894</v>
      </c>
    </row>
    <row r="3847" customFormat="1" s="36">
      <c r="A3847" s="482" t="s">
        <v>7473</v>
      </c>
      <c r="B3847" s="482" t="s">
        <v>7474</v>
      </c>
      <c r="C3847" s="482">
        <v>0.0</v>
      </c>
      <c r="D3847" s="482" t="s">
        <v>893</v>
      </c>
      <c r="E3847" s="482" t="s">
        <v>894</v>
      </c>
    </row>
    <row r="3848" customFormat="1" s="36">
      <c r="A3848" s="482" t="s">
        <v>7475</v>
      </c>
      <c r="B3848" s="482" t="s">
        <v>7476</v>
      </c>
      <c r="C3848" s="482">
        <v>0.0</v>
      </c>
      <c r="D3848" s="482" t="s">
        <v>893</v>
      </c>
      <c r="E3848" s="482" t="s">
        <v>894</v>
      </c>
    </row>
    <row r="3849" customFormat="1" s="36">
      <c r="A3849" s="482" t="s">
        <v>7477</v>
      </c>
      <c r="B3849" s="482" t="s">
        <v>7478</v>
      </c>
      <c r="C3849" s="482">
        <v>0.0</v>
      </c>
      <c r="D3849" s="482" t="s">
        <v>893</v>
      </c>
      <c r="E3849" s="482" t="s">
        <v>894</v>
      </c>
    </row>
    <row r="3850" customFormat="1" s="36">
      <c r="A3850" s="482" t="s">
        <v>7479</v>
      </c>
      <c r="B3850" s="482" t="s">
        <v>7480</v>
      </c>
      <c r="C3850" s="482">
        <v>0.0</v>
      </c>
      <c r="D3850" s="482" t="s">
        <v>893</v>
      </c>
      <c r="E3850" s="482" t="s">
        <v>894</v>
      </c>
    </row>
    <row r="3851" customFormat="1" s="36">
      <c r="A3851" s="482" t="s">
        <v>7481</v>
      </c>
      <c r="B3851" s="482" t="s">
        <v>7482</v>
      </c>
      <c r="C3851" s="482">
        <v>0.0</v>
      </c>
      <c r="D3851" s="482" t="s">
        <v>893</v>
      </c>
      <c r="E3851" s="482" t="s">
        <v>1140</v>
      </c>
    </row>
    <row r="3852" customFormat="1" s="36">
      <c r="A3852" s="482" t="s">
        <v>7483</v>
      </c>
      <c r="B3852" s="482" t="s">
        <v>7484</v>
      </c>
      <c r="C3852" s="482">
        <v>0.0</v>
      </c>
      <c r="D3852" s="482" t="s">
        <v>893</v>
      </c>
      <c r="E3852" s="482" t="s">
        <v>894</v>
      </c>
    </row>
    <row r="3853" customFormat="1" s="36">
      <c r="A3853" s="482" t="s">
        <v>7485</v>
      </c>
      <c r="B3853" s="482" t="s">
        <v>7486</v>
      </c>
      <c r="C3853" s="482">
        <v>0.0</v>
      </c>
      <c r="D3853" s="482" t="s">
        <v>893</v>
      </c>
      <c r="E3853" s="482" t="s">
        <v>1140</v>
      </c>
    </row>
    <row r="3854" customFormat="1" s="36">
      <c r="A3854" s="482" t="s">
        <v>7487</v>
      </c>
      <c r="B3854" s="482" t="s">
        <v>7488</v>
      </c>
      <c r="C3854" s="482">
        <v>0.0</v>
      </c>
      <c r="D3854" s="482" t="s">
        <v>893</v>
      </c>
      <c r="E3854" s="482" t="s">
        <v>894</v>
      </c>
    </row>
    <row r="3855" customFormat="1" s="36">
      <c r="A3855" s="482" t="s">
        <v>7489</v>
      </c>
      <c r="B3855" s="482" t="s">
        <v>7490</v>
      </c>
      <c r="C3855" s="482">
        <v>0.0</v>
      </c>
      <c r="D3855" s="482" t="s">
        <v>893</v>
      </c>
      <c r="E3855" s="482" t="s">
        <v>894</v>
      </c>
    </row>
    <row r="3856" customFormat="1" s="36">
      <c r="A3856" s="482" t="s">
        <v>7491</v>
      </c>
      <c r="B3856" s="482" t="s">
        <v>7492</v>
      </c>
      <c r="C3856" s="482">
        <v>0.0</v>
      </c>
      <c r="D3856" s="482" t="s">
        <v>893</v>
      </c>
      <c r="E3856" s="482" t="s">
        <v>894</v>
      </c>
    </row>
    <row r="3857" customFormat="1" s="36">
      <c r="A3857" s="482" t="s">
        <v>7493</v>
      </c>
      <c r="B3857" s="482" t="s">
        <v>7494</v>
      </c>
      <c r="C3857" s="482">
        <v>0.0</v>
      </c>
      <c r="D3857" s="482" t="s">
        <v>893</v>
      </c>
      <c r="E3857" s="482" t="s">
        <v>894</v>
      </c>
    </row>
    <row r="3858" customFormat="1" s="36">
      <c r="A3858" s="482" t="s">
        <v>7495</v>
      </c>
      <c r="B3858" s="482" t="s">
        <v>7496</v>
      </c>
      <c r="C3858" s="482">
        <v>0.0</v>
      </c>
      <c r="D3858" s="482" t="s">
        <v>893</v>
      </c>
      <c r="E3858" s="482" t="s">
        <v>894</v>
      </c>
    </row>
    <row r="3859" customFormat="1" s="36">
      <c r="A3859" s="482" t="s">
        <v>7497</v>
      </c>
      <c r="B3859" s="482" t="s">
        <v>7498</v>
      </c>
      <c r="C3859" s="482">
        <v>0.0</v>
      </c>
      <c r="D3859" s="482" t="s">
        <v>893</v>
      </c>
      <c r="E3859" s="482" t="s">
        <v>894</v>
      </c>
    </row>
    <row r="3860" customFormat="1" s="36">
      <c r="A3860" s="482" t="s">
        <v>7499</v>
      </c>
      <c r="B3860" s="482" t="s">
        <v>7500</v>
      </c>
      <c r="C3860" s="482">
        <v>0.0</v>
      </c>
      <c r="D3860" s="482" t="s">
        <v>893</v>
      </c>
      <c r="E3860" s="482" t="s">
        <v>894</v>
      </c>
    </row>
    <row r="3861" customFormat="1" s="36">
      <c r="A3861" s="482" t="s">
        <v>7501</v>
      </c>
      <c r="B3861" s="482" t="s">
        <v>7502</v>
      </c>
      <c r="C3861" s="482">
        <v>0.0</v>
      </c>
      <c r="D3861" s="482" t="s">
        <v>893</v>
      </c>
      <c r="E3861" s="482" t="s">
        <v>894</v>
      </c>
    </row>
    <row r="3862" customFormat="1" s="36">
      <c r="A3862" s="482" t="s">
        <v>7503</v>
      </c>
      <c r="B3862" s="482" t="s">
        <v>7504</v>
      </c>
      <c r="C3862" s="482">
        <v>0.0</v>
      </c>
      <c r="D3862" s="482" t="s">
        <v>893</v>
      </c>
      <c r="E3862" s="482" t="s">
        <v>894</v>
      </c>
    </row>
    <row r="3863" customFormat="1" s="36">
      <c r="A3863" s="482" t="s">
        <v>7505</v>
      </c>
      <c r="B3863" s="482" t="s">
        <v>7506</v>
      </c>
      <c r="C3863" s="482">
        <v>0.0</v>
      </c>
      <c r="D3863" s="482" t="s">
        <v>893</v>
      </c>
      <c r="E3863" s="482" t="s">
        <v>894</v>
      </c>
    </row>
    <row r="3864" customFormat="1" s="36">
      <c r="A3864" s="482" t="s">
        <v>7507</v>
      </c>
      <c r="B3864" s="482" t="s">
        <v>7508</v>
      </c>
      <c r="C3864" s="482">
        <v>0.0</v>
      </c>
      <c r="D3864" s="482" t="s">
        <v>893</v>
      </c>
      <c r="E3864" s="482" t="s">
        <v>894</v>
      </c>
    </row>
    <row r="3865" customFormat="1" s="36">
      <c r="A3865" s="482" t="s">
        <v>7509</v>
      </c>
      <c r="B3865" s="482" t="s">
        <v>7510</v>
      </c>
      <c r="C3865" s="482">
        <v>0.0</v>
      </c>
      <c r="D3865" s="482" t="s">
        <v>893</v>
      </c>
      <c r="E3865" s="482" t="s">
        <v>894</v>
      </c>
    </row>
    <row r="3866" customFormat="1" s="36">
      <c r="A3866" s="482" t="s">
        <v>7511</v>
      </c>
      <c r="B3866" s="482" t="s">
        <v>7512</v>
      </c>
      <c r="C3866" s="482">
        <v>0.0</v>
      </c>
      <c r="D3866" s="482" t="s">
        <v>893</v>
      </c>
      <c r="E3866" s="482" t="s">
        <v>894</v>
      </c>
    </row>
    <row r="3867" customFormat="1" s="36">
      <c r="A3867" s="482" t="s">
        <v>7513</v>
      </c>
      <c r="B3867" s="482" t="s">
        <v>7514</v>
      </c>
      <c r="C3867" s="482">
        <v>0.0</v>
      </c>
      <c r="D3867" s="482" t="s">
        <v>893</v>
      </c>
      <c r="E3867" s="482" t="s">
        <v>894</v>
      </c>
    </row>
    <row r="3868" customFormat="1" s="36">
      <c r="A3868" s="482" t="s">
        <v>7515</v>
      </c>
      <c r="B3868" s="482" t="s">
        <v>7516</v>
      </c>
      <c r="C3868" s="482">
        <v>0.0</v>
      </c>
      <c r="D3868" s="482" t="s">
        <v>893</v>
      </c>
      <c r="E3868" s="482" t="s">
        <v>894</v>
      </c>
    </row>
    <row r="3869" customFormat="1" s="36">
      <c r="A3869" s="482" t="s">
        <v>7517</v>
      </c>
      <c r="B3869" s="482" t="s">
        <v>7518</v>
      </c>
      <c r="C3869" s="482">
        <v>0.0</v>
      </c>
      <c r="D3869" s="482" t="s">
        <v>893</v>
      </c>
      <c r="E3869" s="482" t="s">
        <v>894</v>
      </c>
    </row>
    <row r="3870" customFormat="1" s="36">
      <c r="A3870" s="482" t="s">
        <v>7519</v>
      </c>
      <c r="B3870" s="482" t="s">
        <v>7520</v>
      </c>
      <c r="C3870" s="482">
        <v>0.0</v>
      </c>
      <c r="D3870" s="482" t="s">
        <v>893</v>
      </c>
      <c r="E3870" s="482" t="s">
        <v>1140</v>
      </c>
    </row>
    <row r="3871" customFormat="1" s="36">
      <c r="A3871" s="482" t="s">
        <v>7521</v>
      </c>
      <c r="B3871" s="482" t="s">
        <v>7522</v>
      </c>
      <c r="C3871" s="482">
        <v>0.0</v>
      </c>
      <c r="D3871" s="482" t="s">
        <v>893</v>
      </c>
      <c r="E3871" s="482" t="s">
        <v>894</v>
      </c>
    </row>
    <row r="3872" customFormat="1" s="36">
      <c r="A3872" s="482" t="s">
        <v>7523</v>
      </c>
      <c r="B3872" s="482" t="s">
        <v>7524</v>
      </c>
      <c r="C3872" s="482">
        <v>0.0</v>
      </c>
      <c r="D3872" s="482" t="s">
        <v>893</v>
      </c>
      <c r="E3872" s="482" t="s">
        <v>894</v>
      </c>
    </row>
    <row r="3873" customFormat="1" s="36">
      <c r="A3873" s="482" t="s">
        <v>7525</v>
      </c>
      <c r="B3873" s="482" t="s">
        <v>7526</v>
      </c>
      <c r="C3873" s="482">
        <v>0.0</v>
      </c>
      <c r="D3873" s="482" t="s">
        <v>893</v>
      </c>
      <c r="E3873" s="482" t="s">
        <v>894</v>
      </c>
    </row>
    <row r="3874" customFormat="1" s="36">
      <c r="A3874" s="482" t="s">
        <v>7527</v>
      </c>
      <c r="B3874" s="482" t="s">
        <v>7528</v>
      </c>
      <c r="C3874" s="482">
        <v>0.0</v>
      </c>
      <c r="D3874" s="482" t="s">
        <v>893</v>
      </c>
      <c r="E3874" s="482" t="s">
        <v>894</v>
      </c>
    </row>
    <row r="3875" customFormat="1" s="36">
      <c r="A3875" s="482" t="s">
        <v>7529</v>
      </c>
      <c r="B3875" s="482" t="s">
        <v>7530</v>
      </c>
      <c r="C3875" s="482">
        <v>0.0</v>
      </c>
      <c r="D3875" s="482" t="s">
        <v>893</v>
      </c>
      <c r="E3875" s="482" t="s">
        <v>894</v>
      </c>
    </row>
    <row r="3876" customFormat="1" s="36">
      <c r="A3876" s="482" t="s">
        <v>7531</v>
      </c>
      <c r="B3876" s="482" t="s">
        <v>7532</v>
      </c>
      <c r="C3876" s="482">
        <v>0.0</v>
      </c>
      <c r="D3876" s="482" t="s">
        <v>893</v>
      </c>
      <c r="E3876" s="482" t="s">
        <v>894</v>
      </c>
    </row>
    <row r="3877" customFormat="1" s="36">
      <c r="A3877" s="482" t="s">
        <v>7533</v>
      </c>
      <c r="B3877" s="482" t="s">
        <v>7534</v>
      </c>
      <c r="C3877" s="482">
        <v>0.0</v>
      </c>
      <c r="D3877" s="482" t="s">
        <v>893</v>
      </c>
      <c r="E3877" s="482" t="s">
        <v>894</v>
      </c>
    </row>
    <row r="3878" customFormat="1" s="36">
      <c r="A3878" s="482" t="s">
        <v>7535</v>
      </c>
      <c r="B3878" s="482" t="s">
        <v>7536</v>
      </c>
      <c r="C3878" s="482">
        <v>0.0</v>
      </c>
      <c r="D3878" s="482" t="s">
        <v>893</v>
      </c>
      <c r="E3878" s="482" t="s">
        <v>1140</v>
      </c>
    </row>
    <row r="3879" customFormat="1" s="36">
      <c r="A3879" s="482" t="s">
        <v>7537</v>
      </c>
      <c r="B3879" s="482" t="s">
        <v>7538</v>
      </c>
      <c r="C3879" s="482">
        <v>0.0</v>
      </c>
      <c r="D3879" s="482" t="s">
        <v>893</v>
      </c>
      <c r="E3879" s="482" t="s">
        <v>1140</v>
      </c>
    </row>
    <row r="3880" customFormat="1" s="36">
      <c r="A3880" s="482" t="s">
        <v>7539</v>
      </c>
      <c r="B3880" s="482" t="s">
        <v>7540</v>
      </c>
      <c r="C3880" s="482">
        <v>0.0</v>
      </c>
      <c r="D3880" s="482" t="s">
        <v>893</v>
      </c>
      <c r="E3880" s="482" t="s">
        <v>894</v>
      </c>
    </row>
    <row r="3881" customFormat="1" s="36">
      <c r="A3881" s="482" t="s">
        <v>7541</v>
      </c>
      <c r="B3881" s="482" t="s">
        <v>7542</v>
      </c>
      <c r="C3881" s="482">
        <v>0.0</v>
      </c>
      <c r="D3881" s="482" t="s">
        <v>893</v>
      </c>
      <c r="E3881" s="482" t="s">
        <v>894</v>
      </c>
    </row>
    <row r="3882" customFormat="1" s="36">
      <c r="A3882" s="482" t="s">
        <v>7543</v>
      </c>
      <c r="B3882" s="482" t="s">
        <v>7544</v>
      </c>
      <c r="C3882" s="482">
        <v>0.0</v>
      </c>
      <c r="D3882" s="482" t="s">
        <v>893</v>
      </c>
      <c r="E3882" s="482" t="s">
        <v>894</v>
      </c>
    </row>
    <row r="3883" customFormat="1" s="36">
      <c r="A3883" s="482" t="s">
        <v>7545</v>
      </c>
      <c r="B3883" s="482" t="s">
        <v>7546</v>
      </c>
      <c r="C3883" s="482">
        <v>0.0</v>
      </c>
      <c r="D3883" s="482" t="s">
        <v>893</v>
      </c>
      <c r="E3883" s="482" t="s">
        <v>894</v>
      </c>
    </row>
    <row r="3884" customFormat="1" s="36">
      <c r="A3884" s="482" t="s">
        <v>7547</v>
      </c>
      <c r="B3884" s="482" t="s">
        <v>7548</v>
      </c>
      <c r="C3884" s="482">
        <v>0.0</v>
      </c>
      <c r="D3884" s="482" t="s">
        <v>893</v>
      </c>
      <c r="E3884" s="482" t="s">
        <v>894</v>
      </c>
    </row>
    <row r="3885" customFormat="1" s="36">
      <c r="A3885" s="482" t="s">
        <v>7549</v>
      </c>
      <c r="B3885" s="482" t="s">
        <v>7550</v>
      </c>
      <c r="C3885" s="482">
        <v>0.0</v>
      </c>
      <c r="D3885" s="482" t="s">
        <v>893</v>
      </c>
      <c r="E3885" s="482" t="s">
        <v>1140</v>
      </c>
    </row>
    <row r="3886" customFormat="1" s="36">
      <c r="A3886" s="482" t="s">
        <v>7551</v>
      </c>
      <c r="B3886" s="482" t="s">
        <v>7552</v>
      </c>
      <c r="C3886" s="482">
        <v>0.0</v>
      </c>
      <c r="D3886" s="482" t="s">
        <v>893</v>
      </c>
      <c r="E3886" s="482" t="s">
        <v>894</v>
      </c>
    </row>
    <row r="3887" customFormat="1" s="36">
      <c r="A3887" s="482" t="s">
        <v>7553</v>
      </c>
      <c r="B3887" s="482" t="s">
        <v>7554</v>
      </c>
      <c r="C3887" s="482">
        <v>0.0</v>
      </c>
      <c r="D3887" s="482" t="s">
        <v>893</v>
      </c>
      <c r="E3887" s="482" t="s">
        <v>894</v>
      </c>
    </row>
    <row r="3888" customFormat="1" s="36">
      <c r="A3888" s="482" t="s">
        <v>7555</v>
      </c>
      <c r="B3888" s="482" t="s">
        <v>7556</v>
      </c>
      <c r="C3888" s="482">
        <v>0.0</v>
      </c>
      <c r="D3888" s="482" t="s">
        <v>893</v>
      </c>
      <c r="E3888" s="482" t="s">
        <v>894</v>
      </c>
    </row>
    <row r="3889" customFormat="1" s="36">
      <c r="A3889" s="482" t="s">
        <v>7557</v>
      </c>
      <c r="B3889" s="482" t="s">
        <v>7558</v>
      </c>
      <c r="C3889" s="482">
        <v>0.0</v>
      </c>
      <c r="D3889" s="482" t="s">
        <v>893</v>
      </c>
      <c r="E3889" s="482" t="s">
        <v>894</v>
      </c>
    </row>
    <row r="3890" customFormat="1" s="36">
      <c r="A3890" s="482" t="s">
        <v>7559</v>
      </c>
      <c r="B3890" s="482" t="s">
        <v>7560</v>
      </c>
      <c r="C3890" s="482">
        <v>0.0</v>
      </c>
      <c r="D3890" s="482" t="s">
        <v>893</v>
      </c>
      <c r="E3890" s="482" t="s">
        <v>894</v>
      </c>
    </row>
    <row r="3891" customFormat="1" s="36">
      <c r="A3891" s="482" t="s">
        <v>7561</v>
      </c>
      <c r="B3891" s="482" t="s">
        <v>7562</v>
      </c>
      <c r="C3891" s="482">
        <v>0.0</v>
      </c>
      <c r="D3891" s="482" t="s">
        <v>893</v>
      </c>
      <c r="E3891" s="482" t="s">
        <v>894</v>
      </c>
    </row>
    <row r="3892" customFormat="1" s="36">
      <c r="A3892" s="482" t="s">
        <v>7563</v>
      </c>
      <c r="B3892" s="482" t="s">
        <v>7564</v>
      </c>
      <c r="C3892" s="482">
        <v>0.0</v>
      </c>
      <c r="D3892" s="482" t="s">
        <v>893</v>
      </c>
      <c r="E3892" s="482" t="s">
        <v>894</v>
      </c>
    </row>
    <row r="3893" customFormat="1" s="36">
      <c r="A3893" s="482" t="s">
        <v>7565</v>
      </c>
      <c r="B3893" s="482" t="s">
        <v>7566</v>
      </c>
      <c r="C3893" s="482">
        <v>0.0</v>
      </c>
      <c r="D3893" s="482" t="s">
        <v>893</v>
      </c>
      <c r="E3893" s="482" t="s">
        <v>894</v>
      </c>
    </row>
    <row r="3894" customFormat="1" s="36">
      <c r="A3894" s="482" t="s">
        <v>7567</v>
      </c>
      <c r="B3894" s="482" t="s">
        <v>7568</v>
      </c>
      <c r="C3894" s="482">
        <v>0.0</v>
      </c>
      <c r="D3894" s="482" t="s">
        <v>893</v>
      </c>
      <c r="E3894" s="482" t="s">
        <v>894</v>
      </c>
    </row>
    <row r="3895" customFormat="1" s="36">
      <c r="A3895" s="482" t="s">
        <v>7569</v>
      </c>
      <c r="B3895" s="482" t="s">
        <v>7570</v>
      </c>
      <c r="C3895" s="482">
        <v>0.0</v>
      </c>
      <c r="D3895" s="482" t="s">
        <v>893</v>
      </c>
      <c r="E3895" s="482" t="s">
        <v>894</v>
      </c>
    </row>
    <row r="3896" customFormat="1" s="36">
      <c r="A3896" s="482" t="s">
        <v>7571</v>
      </c>
      <c r="B3896" s="482" t="s">
        <v>7572</v>
      </c>
      <c r="C3896" s="482">
        <v>0.0</v>
      </c>
      <c r="D3896" s="482" t="s">
        <v>893</v>
      </c>
      <c r="E3896" s="482" t="s">
        <v>894</v>
      </c>
    </row>
    <row r="3897" customFormat="1" s="36">
      <c r="A3897" s="482" t="s">
        <v>7573</v>
      </c>
      <c r="B3897" s="482" t="s">
        <v>7574</v>
      </c>
      <c r="C3897" s="482">
        <v>1.0</v>
      </c>
      <c r="D3897" s="482" t="s">
        <v>893</v>
      </c>
      <c r="E3897" s="482" t="s">
        <v>894</v>
      </c>
    </row>
    <row r="3898" customFormat="1" s="36">
      <c r="A3898" s="482" t="s">
        <v>7575</v>
      </c>
      <c r="B3898" s="482" t="s">
        <v>7576</v>
      </c>
      <c r="C3898" s="482">
        <v>0.0</v>
      </c>
      <c r="D3898" s="482" t="s">
        <v>893</v>
      </c>
      <c r="E3898" s="482" t="s">
        <v>894</v>
      </c>
    </row>
    <row r="3899" customFormat="1" s="36">
      <c r="A3899" s="482" t="s">
        <v>7577</v>
      </c>
      <c r="B3899" s="482" t="s">
        <v>7578</v>
      </c>
      <c r="C3899" s="482">
        <v>0.0</v>
      </c>
      <c r="D3899" s="482" t="s">
        <v>893</v>
      </c>
      <c r="E3899" s="482" t="s">
        <v>894</v>
      </c>
    </row>
    <row r="3900" customFormat="1" s="36">
      <c r="A3900" s="482" t="s">
        <v>7579</v>
      </c>
      <c r="B3900" s="482" t="s">
        <v>7580</v>
      </c>
      <c r="C3900" s="482">
        <v>0.0</v>
      </c>
      <c r="D3900" s="482" t="s">
        <v>893</v>
      </c>
      <c r="E3900" s="482" t="s">
        <v>894</v>
      </c>
    </row>
    <row r="3901" customFormat="1" s="36">
      <c r="A3901" s="482" t="s">
        <v>7581</v>
      </c>
      <c r="B3901" s="482" t="s">
        <v>7582</v>
      </c>
      <c r="C3901" s="482">
        <v>0.0</v>
      </c>
      <c r="D3901" s="482" t="s">
        <v>893</v>
      </c>
      <c r="E3901" s="482" t="s">
        <v>894</v>
      </c>
    </row>
    <row r="3902" customFormat="1" s="36">
      <c r="A3902" s="482" t="s">
        <v>7583</v>
      </c>
      <c r="B3902" s="482" t="s">
        <v>7584</v>
      </c>
      <c r="C3902" s="482">
        <v>0.0</v>
      </c>
      <c r="D3902" s="482" t="s">
        <v>893</v>
      </c>
      <c r="E3902" s="482" t="s">
        <v>894</v>
      </c>
    </row>
    <row r="3903" customFormat="1" s="36">
      <c r="A3903" s="482" t="s">
        <v>7585</v>
      </c>
      <c r="B3903" s="482" t="s">
        <v>7586</v>
      </c>
      <c r="C3903" s="482">
        <v>0.0</v>
      </c>
      <c r="D3903" s="482" t="s">
        <v>893</v>
      </c>
      <c r="E3903" s="482" t="s">
        <v>894</v>
      </c>
    </row>
    <row r="3904" customFormat="1" s="36">
      <c r="A3904" s="482" t="s">
        <v>7587</v>
      </c>
      <c r="B3904" s="482" t="s">
        <v>7588</v>
      </c>
      <c r="C3904" s="482">
        <v>0.0</v>
      </c>
      <c r="D3904" s="482" t="s">
        <v>893</v>
      </c>
      <c r="E3904" s="482" t="s">
        <v>894</v>
      </c>
    </row>
    <row r="3905" customFormat="1" s="36">
      <c r="A3905" s="482" t="s">
        <v>7589</v>
      </c>
      <c r="B3905" s="482" t="s">
        <v>7590</v>
      </c>
      <c r="C3905" s="482">
        <v>0.0</v>
      </c>
      <c r="D3905" s="482" t="s">
        <v>893</v>
      </c>
      <c r="E3905" s="482" t="s">
        <v>894</v>
      </c>
    </row>
    <row r="3906" customFormat="1" s="36">
      <c r="A3906" s="482" t="s">
        <v>7591</v>
      </c>
      <c r="B3906" s="482" t="s">
        <v>7592</v>
      </c>
      <c r="C3906" s="482">
        <v>0.0</v>
      </c>
      <c r="D3906" s="482" t="s">
        <v>893</v>
      </c>
      <c r="E3906" s="482" t="s">
        <v>894</v>
      </c>
    </row>
    <row r="3907" customFormat="1" s="36">
      <c r="A3907" s="482" t="s">
        <v>7593</v>
      </c>
      <c r="B3907" s="482" t="s">
        <v>7594</v>
      </c>
      <c r="C3907" s="482">
        <v>0.0</v>
      </c>
      <c r="D3907" s="482" t="s">
        <v>893</v>
      </c>
      <c r="E3907" s="482" t="s">
        <v>894</v>
      </c>
    </row>
    <row r="3908" customFormat="1" s="36">
      <c r="A3908" s="482" t="s">
        <v>7595</v>
      </c>
      <c r="B3908" s="482" t="s">
        <v>7596</v>
      </c>
      <c r="C3908" s="482">
        <v>0.0</v>
      </c>
      <c r="D3908" s="482" t="s">
        <v>893</v>
      </c>
      <c r="E3908" s="482" t="s">
        <v>894</v>
      </c>
    </row>
    <row r="3909" customFormat="1" s="36">
      <c r="A3909" s="482" t="s">
        <v>7597</v>
      </c>
      <c r="B3909" s="482" t="s">
        <v>7598</v>
      </c>
      <c r="C3909" s="482">
        <v>0.0</v>
      </c>
      <c r="D3909" s="482" t="s">
        <v>893</v>
      </c>
      <c r="E3909" s="482" t="s">
        <v>894</v>
      </c>
    </row>
    <row r="3910" customFormat="1" s="36">
      <c r="A3910" s="482" t="s">
        <v>7599</v>
      </c>
      <c r="B3910" s="482" t="s">
        <v>7600</v>
      </c>
      <c r="C3910" s="482">
        <v>0.0</v>
      </c>
      <c r="D3910" s="482" t="s">
        <v>893</v>
      </c>
      <c r="E3910" s="482" t="s">
        <v>894</v>
      </c>
    </row>
    <row r="3911" customFormat="1" s="36">
      <c r="A3911" s="482" t="s">
        <v>7601</v>
      </c>
      <c r="B3911" s="482" t="s">
        <v>7602</v>
      </c>
      <c r="C3911" s="482">
        <v>0.0</v>
      </c>
      <c r="D3911" s="482" t="s">
        <v>893</v>
      </c>
      <c r="E3911" s="482" t="s">
        <v>894</v>
      </c>
    </row>
    <row r="3912" customFormat="1" s="36">
      <c r="A3912" s="482" t="s">
        <v>7603</v>
      </c>
      <c r="B3912" s="482" t="s">
        <v>7604</v>
      </c>
      <c r="C3912" s="482">
        <v>0.0</v>
      </c>
      <c r="D3912" s="482" t="s">
        <v>893</v>
      </c>
      <c r="E3912" s="482" t="s">
        <v>894</v>
      </c>
    </row>
    <row r="3913" customFormat="1" s="36">
      <c r="A3913" s="482" t="s">
        <v>7605</v>
      </c>
      <c r="B3913" s="482" t="s">
        <v>7606</v>
      </c>
      <c r="C3913" s="482">
        <v>0.0</v>
      </c>
      <c r="D3913" s="482" t="s">
        <v>893</v>
      </c>
      <c r="E3913" s="482" t="s">
        <v>894</v>
      </c>
    </row>
    <row r="3914" customFormat="1" s="36">
      <c r="A3914" s="482" t="s">
        <v>7607</v>
      </c>
      <c r="B3914" s="482" t="s">
        <v>7608</v>
      </c>
      <c r="C3914" s="482">
        <v>0.0</v>
      </c>
      <c r="D3914" s="482" t="s">
        <v>893</v>
      </c>
      <c r="E3914" s="482" t="s">
        <v>894</v>
      </c>
    </row>
    <row r="3915" customFormat="1" s="36">
      <c r="A3915" s="482" t="s">
        <v>7609</v>
      </c>
      <c r="B3915" s="482" t="s">
        <v>7610</v>
      </c>
      <c r="C3915" s="482">
        <v>0.0</v>
      </c>
      <c r="D3915" s="482" t="s">
        <v>893</v>
      </c>
      <c r="E3915" s="482" t="s">
        <v>894</v>
      </c>
    </row>
    <row r="3916" customFormat="1" s="36">
      <c r="A3916" s="482" t="s">
        <v>7611</v>
      </c>
      <c r="B3916" s="482" t="s">
        <v>7612</v>
      </c>
      <c r="C3916" s="482">
        <v>0.0</v>
      </c>
      <c r="D3916" s="482" t="s">
        <v>893</v>
      </c>
      <c r="E3916" s="482" t="s">
        <v>1140</v>
      </c>
    </row>
    <row r="3917" customFormat="1" s="36">
      <c r="A3917" s="482" t="s">
        <v>7613</v>
      </c>
      <c r="B3917" s="482" t="s">
        <v>7614</v>
      </c>
      <c r="C3917" s="482">
        <v>0.0</v>
      </c>
      <c r="D3917" s="482" t="s">
        <v>893</v>
      </c>
      <c r="E3917" s="482" t="s">
        <v>1140</v>
      </c>
    </row>
    <row r="3918" customFormat="1" s="36">
      <c r="A3918" s="482" t="s">
        <v>7615</v>
      </c>
      <c r="B3918" s="482" t="s">
        <v>7616</v>
      </c>
      <c r="C3918" s="482">
        <v>0.0</v>
      </c>
      <c r="D3918" s="482" t="s">
        <v>893</v>
      </c>
      <c r="E3918" s="482" t="s">
        <v>894</v>
      </c>
    </row>
    <row r="3919" customFormat="1" s="36">
      <c r="A3919" s="482" t="s">
        <v>7617</v>
      </c>
      <c r="B3919" s="482" t="s">
        <v>7618</v>
      </c>
      <c r="C3919" s="482">
        <v>0.0</v>
      </c>
      <c r="D3919" s="482" t="s">
        <v>893</v>
      </c>
      <c r="E3919" s="482" t="s">
        <v>894</v>
      </c>
    </row>
    <row r="3920" customFormat="1" s="36">
      <c r="A3920" s="482" t="s">
        <v>7619</v>
      </c>
      <c r="B3920" s="482" t="s">
        <v>7620</v>
      </c>
      <c r="C3920" s="482">
        <v>0.0</v>
      </c>
      <c r="D3920" s="482" t="s">
        <v>893</v>
      </c>
      <c r="E3920" s="482" t="s">
        <v>894</v>
      </c>
    </row>
    <row r="3921" customFormat="1" s="36">
      <c r="A3921" s="482" t="s">
        <v>7621</v>
      </c>
      <c r="B3921" s="482" t="s">
        <v>7622</v>
      </c>
      <c r="C3921" s="482">
        <v>0.0</v>
      </c>
      <c r="D3921" s="482" t="s">
        <v>893</v>
      </c>
      <c r="E3921" s="482" t="s">
        <v>894</v>
      </c>
    </row>
    <row r="3922" customFormat="1" s="36">
      <c r="A3922" s="482" t="s">
        <v>7623</v>
      </c>
      <c r="B3922" s="482" t="s">
        <v>7624</v>
      </c>
      <c r="C3922" s="482">
        <v>0.0</v>
      </c>
      <c r="D3922" s="482" t="s">
        <v>893</v>
      </c>
      <c r="E3922" s="482" t="s">
        <v>894</v>
      </c>
    </row>
    <row r="3923" customFormat="1" s="36">
      <c r="A3923" s="482" t="s">
        <v>7625</v>
      </c>
      <c r="B3923" s="482" t="s">
        <v>7626</v>
      </c>
      <c r="C3923" s="482">
        <v>0.0</v>
      </c>
      <c r="D3923" s="482" t="s">
        <v>893</v>
      </c>
      <c r="E3923" s="482" t="s">
        <v>894</v>
      </c>
    </row>
    <row r="3924" customFormat="1" s="36">
      <c r="A3924" s="482" t="s">
        <v>7627</v>
      </c>
      <c r="B3924" s="482" t="s">
        <v>7628</v>
      </c>
      <c r="C3924" s="482">
        <v>0.0</v>
      </c>
      <c r="D3924" s="482" t="s">
        <v>893</v>
      </c>
      <c r="E3924" s="482" t="s">
        <v>894</v>
      </c>
    </row>
    <row r="3925" customFormat="1" s="36">
      <c r="A3925" s="482" t="s">
        <v>7629</v>
      </c>
      <c r="B3925" s="482" t="s">
        <v>7630</v>
      </c>
      <c r="C3925" s="482">
        <v>0.0</v>
      </c>
      <c r="D3925" s="482" t="s">
        <v>893</v>
      </c>
      <c r="E3925" s="482" t="s">
        <v>894</v>
      </c>
    </row>
    <row r="3926" customFormat="1" s="36">
      <c r="A3926" s="482" t="s">
        <v>7631</v>
      </c>
      <c r="B3926" s="482" t="s">
        <v>7632</v>
      </c>
      <c r="C3926" s="482">
        <v>0.0</v>
      </c>
      <c r="D3926" s="482" t="s">
        <v>893</v>
      </c>
      <c r="E3926" s="482" t="s">
        <v>894</v>
      </c>
    </row>
    <row r="3927" customFormat="1" s="36">
      <c r="A3927" s="482" t="s">
        <v>7633</v>
      </c>
      <c r="B3927" s="482" t="s">
        <v>7634</v>
      </c>
      <c r="C3927" s="482">
        <v>0.0</v>
      </c>
      <c r="D3927" s="482" t="s">
        <v>893</v>
      </c>
      <c r="E3927" s="482" t="s">
        <v>894</v>
      </c>
    </row>
    <row r="3928" customFormat="1" s="36">
      <c r="A3928" s="482" t="s">
        <v>444</v>
      </c>
      <c r="B3928" s="482" t="s">
        <v>443</v>
      </c>
      <c r="C3928" s="482">
        <v>347.0</v>
      </c>
      <c r="D3928" s="482" t="s">
        <v>913</v>
      </c>
      <c r="E3928" s="482" t="s">
        <v>894</v>
      </c>
    </row>
    <row r="3929" customFormat="1" s="36">
      <c r="A3929" s="482" t="s">
        <v>7635</v>
      </c>
      <c r="B3929" s="482" t="s">
        <v>7636</v>
      </c>
      <c r="C3929" s="482">
        <v>0.0</v>
      </c>
      <c r="D3929" s="482" t="s">
        <v>893</v>
      </c>
      <c r="E3929" s="482" t="s">
        <v>894</v>
      </c>
    </row>
    <row r="3930" customFormat="1" s="36">
      <c r="A3930" s="482" t="s">
        <v>7637</v>
      </c>
      <c r="B3930" s="482" t="s">
        <v>7638</v>
      </c>
      <c r="C3930" s="482">
        <v>0.0</v>
      </c>
      <c r="D3930" s="482" t="s">
        <v>893</v>
      </c>
      <c r="E3930" s="482" t="s">
        <v>894</v>
      </c>
    </row>
    <row r="3931" customFormat="1" s="36">
      <c r="A3931" s="482" t="s">
        <v>7639</v>
      </c>
      <c r="B3931" s="482" t="s">
        <v>7640</v>
      </c>
      <c r="C3931" s="482">
        <v>0.0</v>
      </c>
      <c r="D3931" s="482" t="s">
        <v>893</v>
      </c>
      <c r="E3931" s="482" t="s">
        <v>894</v>
      </c>
    </row>
    <row r="3932" customFormat="1" s="36">
      <c r="A3932" s="482" t="s">
        <v>7641</v>
      </c>
      <c r="B3932" s="482" t="s">
        <v>7642</v>
      </c>
      <c r="C3932" s="482">
        <v>0.0</v>
      </c>
      <c r="D3932" s="482" t="s">
        <v>893</v>
      </c>
      <c r="E3932" s="482" t="s">
        <v>894</v>
      </c>
    </row>
    <row r="3933" customFormat="1" s="36">
      <c r="A3933" s="482" t="s">
        <v>7643</v>
      </c>
      <c r="B3933" s="482" t="s">
        <v>7644</v>
      </c>
      <c r="C3933" s="482">
        <v>0.0</v>
      </c>
      <c r="D3933" s="482" t="s">
        <v>893</v>
      </c>
      <c r="E3933" s="482" t="s">
        <v>894</v>
      </c>
    </row>
    <row r="3934" customFormat="1" s="36">
      <c r="A3934" s="482" t="s">
        <v>7645</v>
      </c>
      <c r="B3934" s="482" t="s">
        <v>7646</v>
      </c>
      <c r="C3934" s="482">
        <v>0.0</v>
      </c>
      <c r="D3934" s="482" t="s">
        <v>893</v>
      </c>
      <c r="E3934" s="482" t="s">
        <v>894</v>
      </c>
    </row>
    <row r="3935" customFormat="1" s="36">
      <c r="A3935" s="482" t="s">
        <v>7647</v>
      </c>
      <c r="B3935" s="482" t="s">
        <v>7648</v>
      </c>
      <c r="C3935" s="482">
        <v>0.0</v>
      </c>
      <c r="D3935" s="482" t="s">
        <v>893</v>
      </c>
      <c r="E3935" s="482" t="s">
        <v>894</v>
      </c>
    </row>
    <row r="3936" customFormat="1" s="36">
      <c r="A3936" s="482" t="s">
        <v>7649</v>
      </c>
      <c r="B3936" s="482" t="s">
        <v>7650</v>
      </c>
      <c r="C3936" s="482">
        <v>0.0</v>
      </c>
      <c r="D3936" s="482" t="s">
        <v>893</v>
      </c>
      <c r="E3936" s="482" t="s">
        <v>894</v>
      </c>
    </row>
    <row r="3937" customFormat="1" s="36">
      <c r="A3937" s="482" t="s">
        <v>7651</v>
      </c>
      <c r="B3937" s="482" t="s">
        <v>7652</v>
      </c>
      <c r="C3937" s="482">
        <v>0.0</v>
      </c>
      <c r="D3937" s="482" t="s">
        <v>913</v>
      </c>
      <c r="E3937" s="482" t="s">
        <v>1140</v>
      </c>
    </row>
  </sheetData>
  <extLst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D1270"/>
  <sheetViews>
    <sheetView workbookViewId="0"/>
  </sheetViews>
  <sheetFormatPr defaultRowHeight="14.0" customHeight="1"/>
  <cols>
    <col min="1" max="1" style="36" width="67.83"/>
    <col min="2" max="2" style="36" width="23.18"/>
    <col min="3" max="3" style="36" width="5.43"/>
    <col min="4" max="4" style="36" width="12.98"/>
    <col min="5" max="5" width="13.24"/>
  </cols>
  <sheetData>
    <row r="1" ht="27.0">
      <c r="A1" s="140" t="s">
        <v>7653</v>
      </c>
      <c r="B1" s="140" t="s">
        <v>507</v>
      </c>
      <c r="C1" s="140" t="s">
        <v>23</v>
      </c>
      <c r="D1" s="152" t="s">
        <v>7654</v>
      </c>
    </row>
    <row r="2" ht="14.0">
      <c r="A2" s="486" t="s">
        <v>912</v>
      </c>
      <c r="B2" s="486" t="s">
        <v>911</v>
      </c>
      <c r="C2" s="36">
        <v>1000.0</v>
      </c>
      <c r="D2" s="486" t="s">
        <v>577</v>
      </c>
    </row>
    <row r="3" ht="14.0">
      <c r="A3" s="486" t="s">
        <v>915</v>
      </c>
      <c r="B3" s="486" t="s">
        <v>914</v>
      </c>
      <c r="C3" s="36">
        <v>1000.0</v>
      </c>
      <c r="D3" s="486" t="s">
        <v>577</v>
      </c>
    </row>
    <row r="4" ht="14.0">
      <c r="A4" s="486" t="s">
        <v>917</v>
      </c>
      <c r="B4" s="486" t="s">
        <v>916</v>
      </c>
      <c r="C4" s="36">
        <v>1000.0</v>
      </c>
      <c r="D4" s="486" t="s">
        <v>577</v>
      </c>
    </row>
    <row r="5" ht="14.0">
      <c r="A5" s="486" t="s">
        <v>919</v>
      </c>
      <c r="B5" s="486" t="s">
        <v>918</v>
      </c>
      <c r="C5" s="36">
        <v>1000.0</v>
      </c>
      <c r="D5" s="486" t="s">
        <v>577</v>
      </c>
    </row>
    <row r="6" ht="14.0">
      <c r="A6" s="486" t="s">
        <v>921</v>
      </c>
      <c r="B6" s="486" t="s">
        <v>920</v>
      </c>
      <c r="C6" s="36">
        <v>1000.0</v>
      </c>
      <c r="D6" s="486" t="s">
        <v>577</v>
      </c>
    </row>
    <row r="7" ht="14.0">
      <c r="A7" s="486" t="s">
        <v>923</v>
      </c>
      <c r="B7" s="486" t="s">
        <v>922</v>
      </c>
      <c r="C7" s="36">
        <v>1000.0</v>
      </c>
      <c r="D7" s="486" t="s">
        <v>577</v>
      </c>
    </row>
    <row r="8" ht="14.0">
      <c r="A8" s="486" t="s">
        <v>925</v>
      </c>
      <c r="B8" s="486" t="s">
        <v>924</v>
      </c>
      <c r="C8" s="486">
        <v>504.0</v>
      </c>
      <c r="D8" s="486" t="s">
        <v>577</v>
      </c>
    </row>
    <row r="9" ht="14.0">
      <c r="A9" s="486" t="s">
        <v>943</v>
      </c>
      <c r="B9" s="486" t="s">
        <v>942</v>
      </c>
      <c r="C9" s="486">
        <v>7.0</v>
      </c>
      <c r="D9" s="486" t="s">
        <v>577</v>
      </c>
    </row>
    <row r="10" ht="14.0">
      <c r="A10" s="486" t="s">
        <v>997</v>
      </c>
      <c r="B10" s="486" t="s">
        <v>996</v>
      </c>
      <c r="C10" s="36">
        <v>1014.0</v>
      </c>
      <c r="D10" s="486" t="s">
        <v>577</v>
      </c>
    </row>
    <row r="11" ht="14.0">
      <c r="A11" s="486" t="s">
        <v>999</v>
      </c>
      <c r="B11" s="486" t="s">
        <v>998</v>
      </c>
      <c r="C11" s="36">
        <v>1014.0</v>
      </c>
      <c r="D11" s="486" t="s">
        <v>577</v>
      </c>
    </row>
    <row r="12" ht="14.0">
      <c r="A12" s="486" t="s">
        <v>1001</v>
      </c>
      <c r="B12" s="486" t="s">
        <v>1000</v>
      </c>
      <c r="C12" s="36">
        <v>1014.0</v>
      </c>
      <c r="D12" s="486" t="s">
        <v>577</v>
      </c>
    </row>
    <row r="13" ht="14.0">
      <c r="A13" s="486" t="s">
        <v>1003</v>
      </c>
      <c r="B13" s="486" t="s">
        <v>1002</v>
      </c>
      <c r="C13" s="36">
        <v>1014.0</v>
      </c>
      <c r="D13" s="486" t="s">
        <v>577</v>
      </c>
    </row>
    <row r="14" ht="14.0">
      <c r="A14" s="486" t="s">
        <v>1005</v>
      </c>
      <c r="B14" s="486" t="s">
        <v>1004</v>
      </c>
      <c r="C14" s="36">
        <v>1014.0</v>
      </c>
      <c r="D14" s="486" t="s">
        <v>577</v>
      </c>
    </row>
    <row r="15" ht="14.0">
      <c r="A15" s="486" t="s">
        <v>1007</v>
      </c>
      <c r="B15" s="486" t="s">
        <v>1006</v>
      </c>
      <c r="C15" s="486"/>
      <c r="D15" s="486" t="s">
        <v>577</v>
      </c>
    </row>
    <row r="16" ht="14.0">
      <c r="A16" s="486" t="s">
        <v>1009</v>
      </c>
      <c r="B16" s="486" t="s">
        <v>1008</v>
      </c>
      <c r="C16" s="36">
        <v>1014.0</v>
      </c>
      <c r="D16" s="486" t="s">
        <v>577</v>
      </c>
    </row>
    <row r="17" ht="14.0">
      <c r="A17" s="486" t="s">
        <v>1011</v>
      </c>
      <c r="B17" s="486" t="s">
        <v>1010</v>
      </c>
      <c r="C17" s="36">
        <v>1014.0</v>
      </c>
      <c r="D17" s="486" t="s">
        <v>577</v>
      </c>
    </row>
    <row r="18" ht="14.0">
      <c r="A18" s="486" t="s">
        <v>1013</v>
      </c>
      <c r="B18" s="486" t="s">
        <v>1012</v>
      </c>
      <c r="C18" s="36">
        <v>1014.0</v>
      </c>
      <c r="D18" s="486" t="s">
        <v>577</v>
      </c>
    </row>
    <row r="19" ht="14.0">
      <c r="A19" s="486" t="s">
        <v>1015</v>
      </c>
      <c r="B19" s="486" t="s">
        <v>1014</v>
      </c>
      <c r="C19" s="36">
        <v>1014.0</v>
      </c>
      <c r="D19" s="486" t="s">
        <v>577</v>
      </c>
    </row>
    <row r="20" ht="14.0">
      <c r="A20" s="486" t="s">
        <v>1017</v>
      </c>
      <c r="B20" s="486" t="s">
        <v>1016</v>
      </c>
      <c r="C20" s="36">
        <v>1014.0</v>
      </c>
      <c r="D20" s="486" t="s">
        <v>577</v>
      </c>
    </row>
    <row r="21" ht="14.0">
      <c r="A21" s="486" t="s">
        <v>1019</v>
      </c>
      <c r="B21" s="486" t="s">
        <v>1018</v>
      </c>
      <c r="C21" s="36">
        <v>1014.0</v>
      </c>
      <c r="D21" s="486" t="s">
        <v>577</v>
      </c>
    </row>
    <row r="22" ht="14.0">
      <c r="A22" s="486" t="s">
        <v>1023</v>
      </c>
      <c r="B22" s="486" t="s">
        <v>1022</v>
      </c>
      <c r="C22" s="486"/>
      <c r="D22" s="486" t="s">
        <v>577</v>
      </c>
    </row>
    <row r="23" ht="14.0">
      <c r="A23" s="486" t="s">
        <v>1025</v>
      </c>
      <c r="B23" s="486" t="s">
        <v>1024</v>
      </c>
      <c r="C23" s="36">
        <v>1002.0</v>
      </c>
      <c r="D23" s="486"/>
    </row>
    <row r="24" ht="14.0">
      <c r="A24" s="486" t="s">
        <v>1027</v>
      </c>
      <c r="B24" s="486" t="s">
        <v>1026</v>
      </c>
      <c r="C24" s="486"/>
      <c r="D24" s="486" t="s">
        <v>577</v>
      </c>
    </row>
    <row r="25" ht="14.0">
      <c r="A25" s="486" t="s">
        <v>1029</v>
      </c>
      <c r="B25" s="486" t="s">
        <v>1028</v>
      </c>
      <c r="C25" s="486"/>
      <c r="D25" s="486" t="s">
        <v>577</v>
      </c>
    </row>
    <row r="26" ht="14.0">
      <c r="A26" s="486" t="s">
        <v>1031</v>
      </c>
      <c r="B26" s="486" t="s">
        <v>1030</v>
      </c>
      <c r="C26" s="36">
        <v>1002.0</v>
      </c>
      <c r="D26" s="486"/>
    </row>
    <row r="27" ht="14.0">
      <c r="A27" s="486" t="s">
        <v>1033</v>
      </c>
      <c r="B27" s="486" t="s">
        <v>1032</v>
      </c>
      <c r="C27" s="36">
        <v>1002.0</v>
      </c>
      <c r="D27" s="486"/>
    </row>
    <row r="28" ht="14.0">
      <c r="A28" s="486" t="s">
        <v>1035</v>
      </c>
      <c r="B28" s="486" t="s">
        <v>1034</v>
      </c>
      <c r="C28" s="36">
        <v>1002.0</v>
      </c>
      <c r="D28" s="486"/>
    </row>
    <row r="29" ht="14.0">
      <c r="A29" s="486" t="s">
        <v>1037</v>
      </c>
      <c r="B29" s="486" t="s">
        <v>1036</v>
      </c>
      <c r="C29" s="486"/>
      <c r="D29" s="486" t="s">
        <v>577</v>
      </c>
    </row>
    <row r="30" ht="14.0">
      <c r="A30" s="486" t="s">
        <v>1039</v>
      </c>
      <c r="B30" s="486" t="s">
        <v>1038</v>
      </c>
      <c r="C30" s="36">
        <v>1002.0</v>
      </c>
      <c r="D30" s="486"/>
    </row>
    <row r="31" ht="14.0">
      <c r="A31" s="486" t="s">
        <v>1041</v>
      </c>
      <c r="B31" s="486" t="s">
        <v>1040</v>
      </c>
      <c r="C31" s="36">
        <v>1002.0</v>
      </c>
      <c r="D31" s="486"/>
    </row>
    <row r="32" ht="14.0">
      <c r="A32" s="486" t="s">
        <v>1043</v>
      </c>
      <c r="B32" s="486" t="s">
        <v>1042</v>
      </c>
      <c r="C32" s="36">
        <v>1002.0</v>
      </c>
      <c r="D32" s="486"/>
    </row>
    <row r="33" ht="14.0">
      <c r="A33" s="486" t="s">
        <v>1045</v>
      </c>
      <c r="B33" s="486" t="s">
        <v>1044</v>
      </c>
      <c r="C33" s="486"/>
      <c r="D33" s="486" t="s">
        <v>577</v>
      </c>
    </row>
    <row r="34" ht="14.0">
      <c r="A34" s="486" t="s">
        <v>1047</v>
      </c>
      <c r="B34" s="486" t="s">
        <v>1046</v>
      </c>
      <c r="C34" s="36">
        <v>1002.0</v>
      </c>
      <c r="D34" s="486"/>
    </row>
    <row r="35" ht="14.0">
      <c r="A35" s="486" t="s">
        <v>1049</v>
      </c>
      <c r="B35" s="486" t="s">
        <v>1048</v>
      </c>
      <c r="C35" s="486"/>
      <c r="D35" s="486" t="s">
        <v>577</v>
      </c>
    </row>
    <row r="36" ht="14.0">
      <c r="A36" s="486" t="s">
        <v>1051</v>
      </c>
      <c r="B36" s="486" t="s">
        <v>1050</v>
      </c>
      <c r="C36" s="36">
        <v>1002.0</v>
      </c>
      <c r="D36" s="486"/>
    </row>
    <row r="37" ht="14.0">
      <c r="A37" s="486" t="s">
        <v>1055</v>
      </c>
      <c r="B37" s="486" t="s">
        <v>1054</v>
      </c>
      <c r="C37" s="36">
        <v>1002.0</v>
      </c>
      <c r="D37" s="486"/>
    </row>
    <row r="38" ht="14.0">
      <c r="A38" s="486" t="s">
        <v>1057</v>
      </c>
      <c r="B38" s="486" t="s">
        <v>1056</v>
      </c>
      <c r="C38" s="36">
        <v>1002.0</v>
      </c>
      <c r="D38" s="486"/>
    </row>
    <row r="39" ht="14.0">
      <c r="A39" s="486" t="s">
        <v>1059</v>
      </c>
      <c r="B39" s="486" t="s">
        <v>1058</v>
      </c>
      <c r="C39" s="36">
        <v>1002.0</v>
      </c>
      <c r="D39" s="486"/>
    </row>
    <row r="40" ht="14.0">
      <c r="A40" s="486" t="s">
        <v>1061</v>
      </c>
      <c r="B40" s="486" t="s">
        <v>1060</v>
      </c>
      <c r="C40" s="486"/>
      <c r="D40" s="486" t="s">
        <v>577</v>
      </c>
    </row>
    <row r="41" ht="14.0">
      <c r="A41" s="486" t="s">
        <v>1063</v>
      </c>
      <c r="B41" s="486" t="s">
        <v>1062</v>
      </c>
      <c r="C41" s="36">
        <v>1002.0</v>
      </c>
      <c r="D41" s="486"/>
    </row>
    <row r="42" ht="14.0">
      <c r="A42" s="486" t="s">
        <v>1065</v>
      </c>
      <c r="B42" s="486" t="s">
        <v>1064</v>
      </c>
      <c r="C42" s="486"/>
      <c r="D42" s="486" t="s">
        <v>577</v>
      </c>
    </row>
    <row r="43" ht="14.0">
      <c r="A43" s="486" t="s">
        <v>1069</v>
      </c>
      <c r="B43" s="486" t="s">
        <v>1068</v>
      </c>
      <c r="C43" s="36">
        <v>1002.0</v>
      </c>
      <c r="D43" s="486"/>
    </row>
    <row r="44" ht="14.0">
      <c r="A44" s="486" t="s">
        <v>1071</v>
      </c>
      <c r="B44" s="486" t="s">
        <v>1070</v>
      </c>
      <c r="C44" s="36">
        <v>1002.0</v>
      </c>
      <c r="D44" s="486"/>
    </row>
    <row r="45" ht="14.0">
      <c r="A45" s="486" t="s">
        <v>1073</v>
      </c>
      <c r="B45" s="486" t="s">
        <v>1072</v>
      </c>
      <c r="C45" s="36">
        <v>1002.0</v>
      </c>
      <c r="D45" s="486"/>
    </row>
    <row r="46" ht="14.0">
      <c r="A46" s="486" t="s">
        <v>1075</v>
      </c>
      <c r="B46" s="486" t="s">
        <v>1074</v>
      </c>
      <c r="C46" s="36">
        <v>1002.0</v>
      </c>
      <c r="D46" s="486"/>
    </row>
    <row r="47" ht="14.0">
      <c r="A47" s="486" t="s">
        <v>1077</v>
      </c>
      <c r="B47" s="486" t="s">
        <v>1076</v>
      </c>
      <c r="C47" s="36">
        <v>1002.0</v>
      </c>
      <c r="D47" s="486"/>
    </row>
    <row r="48" ht="14.0">
      <c r="A48" s="486" t="s">
        <v>1079</v>
      </c>
      <c r="B48" s="486" t="s">
        <v>1078</v>
      </c>
      <c r="C48" s="36">
        <v>1002.0</v>
      </c>
      <c r="D48" s="486"/>
    </row>
    <row r="49" ht="14.0">
      <c r="A49" s="486" t="s">
        <v>1081</v>
      </c>
      <c r="B49" s="486" t="s">
        <v>1080</v>
      </c>
      <c r="C49" s="36">
        <v>1002.0</v>
      </c>
      <c r="D49" s="486"/>
    </row>
    <row r="50" ht="14.0">
      <c r="A50" s="486" t="s">
        <v>1083</v>
      </c>
      <c r="B50" s="486" t="s">
        <v>1082</v>
      </c>
      <c r="C50" s="36">
        <v>1002.0</v>
      </c>
      <c r="D50" s="486"/>
    </row>
    <row r="51" ht="14.0">
      <c r="A51" s="486" t="s">
        <v>1085</v>
      </c>
      <c r="B51" s="486" t="s">
        <v>1084</v>
      </c>
      <c r="C51" s="36">
        <v>1002.0</v>
      </c>
      <c r="D51" s="486"/>
    </row>
    <row r="52" ht="14.0">
      <c r="A52" s="486" t="s">
        <v>1087</v>
      </c>
      <c r="B52" s="486" t="s">
        <v>1086</v>
      </c>
      <c r="C52" s="36">
        <v>1002.0</v>
      </c>
      <c r="D52" s="486"/>
    </row>
    <row r="53" ht="14.0">
      <c r="A53" s="486" t="s">
        <v>1089</v>
      </c>
      <c r="B53" s="486" t="s">
        <v>1088</v>
      </c>
      <c r="C53" s="36">
        <v>1002.0</v>
      </c>
      <c r="D53" s="486"/>
    </row>
    <row r="54" ht="14.0">
      <c r="A54" s="486" t="s">
        <v>1091</v>
      </c>
      <c r="B54" s="486" t="s">
        <v>1090</v>
      </c>
      <c r="C54" s="36">
        <v>1002.0</v>
      </c>
      <c r="D54" s="486" t="s">
        <v>7655</v>
      </c>
    </row>
    <row r="55" ht="14.0">
      <c r="A55" s="486" t="s">
        <v>1093</v>
      </c>
      <c r="B55" s="486" t="s">
        <v>1092</v>
      </c>
      <c r="C55" s="36">
        <v>1002.0</v>
      </c>
      <c r="D55" s="486"/>
    </row>
    <row r="56" ht="14.0">
      <c r="A56" s="486" t="s">
        <v>1097</v>
      </c>
      <c r="B56" s="486" t="s">
        <v>1096</v>
      </c>
      <c r="C56" s="36">
        <v>1002.0</v>
      </c>
      <c r="D56" s="486"/>
    </row>
    <row r="57" ht="14.0">
      <c r="A57" s="486" t="s">
        <v>1099</v>
      </c>
      <c r="B57" s="486" t="s">
        <v>1098</v>
      </c>
      <c r="C57" s="36">
        <v>1002.0</v>
      </c>
      <c r="D57" s="486"/>
    </row>
    <row r="58" ht="14.0">
      <c r="A58" s="486" t="s">
        <v>1095</v>
      </c>
      <c r="B58" s="486" t="s">
        <v>1094</v>
      </c>
      <c r="C58" s="36">
        <v>1002.0</v>
      </c>
      <c r="D58" s="486"/>
    </row>
    <row r="59" ht="14.0">
      <c r="A59" s="486" t="s">
        <v>1101</v>
      </c>
      <c r="B59" s="486" t="s">
        <v>1100</v>
      </c>
      <c r="C59" s="36">
        <v>1002.0</v>
      </c>
      <c r="D59" s="486"/>
    </row>
    <row r="60" ht="14.0">
      <c r="A60" s="486" t="s">
        <v>7656</v>
      </c>
      <c r="B60" s="486" t="s">
        <v>7657</v>
      </c>
      <c r="C60" s="486"/>
      <c r="D60" s="486"/>
    </row>
    <row r="61" ht="14.0">
      <c r="A61" s="486" t="s">
        <v>462</v>
      </c>
      <c r="B61" s="486" t="s">
        <v>463</v>
      </c>
      <c r="C61" s="486"/>
      <c r="D61" s="486"/>
    </row>
    <row r="62" ht="14.0">
      <c r="A62" s="486" t="s">
        <v>1131</v>
      </c>
      <c r="B62" s="486" t="s">
        <v>1130</v>
      </c>
      <c r="C62" s="486"/>
      <c r="D62" s="486" t="s">
        <v>577</v>
      </c>
    </row>
    <row r="63" ht="14.0">
      <c r="A63" s="486" t="s">
        <v>1133</v>
      </c>
      <c r="B63" s="486" t="s">
        <v>1132</v>
      </c>
      <c r="C63" s="486"/>
      <c r="D63" s="486"/>
    </row>
    <row r="64" ht="14.0">
      <c r="A64" s="486" t="s">
        <v>7658</v>
      </c>
      <c r="B64" s="486" t="s">
        <v>1138</v>
      </c>
      <c r="C64" s="486"/>
      <c r="D64" s="486"/>
    </row>
    <row r="65" ht="14.0">
      <c r="A65" s="486" t="s">
        <v>7659</v>
      </c>
      <c r="B65" s="486" t="s">
        <v>1136</v>
      </c>
      <c r="C65" s="486"/>
      <c r="D65" s="486"/>
    </row>
    <row r="66" ht="14.0">
      <c r="A66" s="486" t="s">
        <v>1234</v>
      </c>
      <c r="B66" s="486" t="s">
        <v>1233</v>
      </c>
      <c r="C66" s="486"/>
      <c r="D66" s="486" t="s">
        <v>577</v>
      </c>
    </row>
    <row r="67" ht="14.0">
      <c r="A67" s="486" t="s">
        <v>1236</v>
      </c>
      <c r="B67" s="486" t="s">
        <v>1235</v>
      </c>
      <c r="C67" s="486"/>
      <c r="D67" s="486" t="s">
        <v>577</v>
      </c>
    </row>
    <row r="68" ht="14.0">
      <c r="A68" s="486" t="s">
        <v>1238</v>
      </c>
      <c r="B68" s="486" t="s">
        <v>1237</v>
      </c>
      <c r="C68" s="486"/>
      <c r="D68" s="486" t="s">
        <v>577</v>
      </c>
    </row>
    <row r="69" ht="14.0">
      <c r="A69" s="486" t="s">
        <v>1240</v>
      </c>
      <c r="B69" s="486" t="s">
        <v>1239</v>
      </c>
      <c r="C69" s="486"/>
      <c r="D69" s="486" t="s">
        <v>577</v>
      </c>
    </row>
    <row r="70" ht="14.0">
      <c r="A70" s="486" t="s">
        <v>1242</v>
      </c>
      <c r="B70" s="486" t="s">
        <v>1241</v>
      </c>
      <c r="C70" s="486"/>
      <c r="D70" s="486" t="s">
        <v>577</v>
      </c>
    </row>
    <row r="71" ht="14.0">
      <c r="A71" s="486" t="s">
        <v>1244</v>
      </c>
      <c r="B71" s="486" t="s">
        <v>1243</v>
      </c>
      <c r="C71" s="486"/>
      <c r="D71" s="486" t="s">
        <v>577</v>
      </c>
    </row>
    <row r="72" ht="14.0">
      <c r="A72" s="486" t="s">
        <v>1246</v>
      </c>
      <c r="B72" s="486" t="s">
        <v>1245</v>
      </c>
      <c r="C72" s="486"/>
      <c r="D72" s="486" t="s">
        <v>577</v>
      </c>
    </row>
    <row r="73" ht="14.0">
      <c r="A73" s="486" t="s">
        <v>1252</v>
      </c>
      <c r="B73" s="486" t="s">
        <v>1251</v>
      </c>
      <c r="C73" s="486"/>
      <c r="D73" s="486" t="s">
        <v>577</v>
      </c>
    </row>
    <row r="74" ht="14.0">
      <c r="A74" s="486" t="s">
        <v>1256</v>
      </c>
      <c r="B74" s="486" t="s">
        <v>1255</v>
      </c>
      <c r="C74" s="36">
        <v>1008.0</v>
      </c>
      <c r="D74" s="486"/>
    </row>
    <row r="75" ht="14.0">
      <c r="A75" s="486" t="s">
        <v>1268</v>
      </c>
      <c r="B75" s="486" t="s">
        <v>1267</v>
      </c>
      <c r="C75" s="486"/>
      <c r="D75" s="486" t="s">
        <v>577</v>
      </c>
    </row>
    <row r="76" ht="14.0">
      <c r="A76" s="486" t="s">
        <v>1274</v>
      </c>
      <c r="B76" s="486" t="s">
        <v>1273</v>
      </c>
      <c r="C76" s="486"/>
      <c r="D76" s="486" t="s">
        <v>577</v>
      </c>
    </row>
    <row r="77" ht="14.0">
      <c r="A77" s="486" t="s">
        <v>1288</v>
      </c>
      <c r="B77" s="486" t="s">
        <v>1287</v>
      </c>
      <c r="C77" s="486"/>
      <c r="D77" s="486" t="s">
        <v>577</v>
      </c>
    </row>
    <row r="78" ht="14.0">
      <c r="A78" s="486" t="s">
        <v>1292</v>
      </c>
      <c r="B78" s="486" t="s">
        <v>1291</v>
      </c>
      <c r="C78" s="486"/>
      <c r="D78" s="486" t="s">
        <v>577</v>
      </c>
    </row>
    <row r="79" ht="14.0">
      <c r="A79" s="486" t="s">
        <v>1300</v>
      </c>
      <c r="B79" s="486" t="s">
        <v>1299</v>
      </c>
      <c r="C79" s="486"/>
      <c r="D79" s="486" t="s">
        <v>577</v>
      </c>
    </row>
    <row r="80" ht="14.0">
      <c r="A80" s="486" t="s">
        <v>1302</v>
      </c>
      <c r="B80" s="486" t="s">
        <v>1301</v>
      </c>
      <c r="C80" s="486"/>
      <c r="D80" s="486" t="s">
        <v>577</v>
      </c>
    </row>
    <row r="81" ht="14.0">
      <c r="A81" s="486" t="s">
        <v>1306</v>
      </c>
      <c r="B81" s="486" t="s">
        <v>1305</v>
      </c>
      <c r="C81" s="486"/>
      <c r="D81" s="486" t="s">
        <v>577</v>
      </c>
    </row>
    <row r="82" ht="14.0">
      <c r="A82" s="486" t="s">
        <v>1314</v>
      </c>
      <c r="B82" s="486" t="s">
        <v>1313</v>
      </c>
      <c r="C82" s="486"/>
      <c r="D82" s="486" t="s">
        <v>577</v>
      </c>
    </row>
    <row r="83" ht="14.0">
      <c r="A83" s="486" t="s">
        <v>1316</v>
      </c>
      <c r="B83" s="486" t="s">
        <v>1315</v>
      </c>
      <c r="C83" s="486"/>
      <c r="D83" s="486" t="s">
        <v>577</v>
      </c>
    </row>
    <row r="84" ht="14.0">
      <c r="A84" s="486" t="s">
        <v>1318</v>
      </c>
      <c r="B84" s="486" t="s">
        <v>1317</v>
      </c>
      <c r="C84" s="486"/>
      <c r="D84" s="486" t="s">
        <v>577</v>
      </c>
    </row>
    <row r="85" ht="14.0">
      <c r="A85" s="486" t="s">
        <v>1320</v>
      </c>
      <c r="B85" s="486" t="s">
        <v>1319</v>
      </c>
      <c r="C85" s="486"/>
      <c r="D85" s="486" t="s">
        <v>577</v>
      </c>
    </row>
    <row r="86" ht="14.0">
      <c r="A86" s="486" t="s">
        <v>1322</v>
      </c>
      <c r="B86" s="486" t="s">
        <v>1321</v>
      </c>
      <c r="C86" s="486"/>
      <c r="D86" s="486" t="s">
        <v>577</v>
      </c>
    </row>
    <row r="87" ht="14.0">
      <c r="A87" s="486" t="s">
        <v>1324</v>
      </c>
      <c r="B87" s="486" t="s">
        <v>1323</v>
      </c>
      <c r="C87" s="486"/>
      <c r="D87" s="486" t="s">
        <v>577</v>
      </c>
    </row>
    <row r="88" ht="14.0">
      <c r="A88" s="486" t="s">
        <v>1326</v>
      </c>
      <c r="B88" s="486" t="s">
        <v>1325</v>
      </c>
      <c r="C88" s="486"/>
      <c r="D88" s="486" t="s">
        <v>577</v>
      </c>
    </row>
    <row r="89" ht="14.0">
      <c r="A89" s="486" t="s">
        <v>1328</v>
      </c>
      <c r="B89" s="486" t="s">
        <v>1327</v>
      </c>
      <c r="C89" s="486"/>
      <c r="D89" s="486" t="s">
        <v>577</v>
      </c>
    </row>
    <row r="90" ht="14.0">
      <c r="A90" s="486" t="s">
        <v>1332</v>
      </c>
      <c r="B90" s="486" t="s">
        <v>1331</v>
      </c>
      <c r="C90" s="486"/>
      <c r="D90" s="486" t="s">
        <v>577</v>
      </c>
    </row>
    <row r="91" ht="14.0">
      <c r="A91" s="486" t="s">
        <v>1334</v>
      </c>
      <c r="B91" s="486" t="s">
        <v>1333</v>
      </c>
      <c r="C91" s="486"/>
      <c r="D91" s="486" t="s">
        <v>577</v>
      </c>
    </row>
    <row r="92" ht="14.0">
      <c r="A92" s="486" t="s">
        <v>1336</v>
      </c>
      <c r="B92" s="486" t="s">
        <v>1335</v>
      </c>
      <c r="C92" s="486"/>
      <c r="D92" s="486" t="s">
        <v>577</v>
      </c>
    </row>
    <row r="93" ht="14.0">
      <c r="A93" s="486" t="s">
        <v>1338</v>
      </c>
      <c r="B93" s="486" t="s">
        <v>1337</v>
      </c>
      <c r="C93" s="486"/>
      <c r="D93" s="486" t="s">
        <v>577</v>
      </c>
    </row>
    <row r="94" ht="14.0">
      <c r="A94" s="486" t="s">
        <v>1340</v>
      </c>
      <c r="B94" s="486" t="s">
        <v>1339</v>
      </c>
      <c r="C94" s="486"/>
      <c r="D94" s="486" t="s">
        <v>577</v>
      </c>
    </row>
    <row r="95" ht="14.0">
      <c r="A95" s="486" t="s">
        <v>1342</v>
      </c>
      <c r="B95" s="486" t="s">
        <v>1341</v>
      </c>
      <c r="C95" s="486"/>
      <c r="D95" s="486" t="s">
        <v>577</v>
      </c>
    </row>
    <row r="96" ht="14.0">
      <c r="A96" s="486" t="s">
        <v>1344</v>
      </c>
      <c r="B96" s="486" t="s">
        <v>1343</v>
      </c>
      <c r="C96" s="486"/>
      <c r="D96" s="486" t="s">
        <v>577</v>
      </c>
    </row>
    <row r="97" ht="14.0">
      <c r="A97" s="486" t="s">
        <v>1346</v>
      </c>
      <c r="B97" s="486" t="s">
        <v>1345</v>
      </c>
      <c r="C97" s="486"/>
      <c r="D97" s="486" t="s">
        <v>577</v>
      </c>
    </row>
    <row r="98" ht="14.0">
      <c r="A98" s="486" t="s">
        <v>1348</v>
      </c>
      <c r="B98" s="486" t="s">
        <v>1347</v>
      </c>
      <c r="C98" s="486"/>
      <c r="D98" s="486" t="s">
        <v>577</v>
      </c>
    </row>
    <row r="99" ht="14.0">
      <c r="A99" s="486" t="s">
        <v>1350</v>
      </c>
      <c r="B99" s="486" t="s">
        <v>1349</v>
      </c>
      <c r="C99" s="486"/>
      <c r="D99" s="486" t="s">
        <v>577</v>
      </c>
    </row>
    <row r="100" ht="14.0">
      <c r="A100" s="486" t="s">
        <v>1352</v>
      </c>
      <c r="B100" s="486" t="s">
        <v>1351</v>
      </c>
      <c r="C100" s="486"/>
      <c r="D100" s="486" t="s">
        <v>577</v>
      </c>
    </row>
    <row r="101" ht="14.0">
      <c r="A101" s="486" t="s">
        <v>1354</v>
      </c>
      <c r="B101" s="486" t="s">
        <v>1353</v>
      </c>
      <c r="C101" s="486"/>
      <c r="D101" s="486" t="s">
        <v>577</v>
      </c>
    </row>
    <row r="102" ht="14.0">
      <c r="A102" s="486" t="s">
        <v>1362</v>
      </c>
      <c r="B102" s="486" t="s">
        <v>1361</v>
      </c>
      <c r="C102" s="36">
        <v>1008.0</v>
      </c>
      <c r="D102" s="486"/>
    </row>
    <row r="103" ht="14.0">
      <c r="A103" s="486" t="s">
        <v>1368</v>
      </c>
      <c r="B103" s="486" t="s">
        <v>1367</v>
      </c>
      <c r="C103" s="486"/>
      <c r="D103" s="486"/>
    </row>
    <row r="104" ht="14.0">
      <c r="A104" s="486" t="s">
        <v>1375</v>
      </c>
      <c r="B104" s="486">
        <v>37301.0</v>
      </c>
      <c r="C104" s="486">
        <v>36.0</v>
      </c>
      <c r="D104" s="486"/>
    </row>
    <row r="105" ht="14.0">
      <c r="A105" s="486" t="s">
        <v>1376</v>
      </c>
      <c r="B105" s="486">
        <v>37327.0</v>
      </c>
      <c r="C105" s="486">
        <v>36.0</v>
      </c>
      <c r="D105" s="486"/>
    </row>
    <row r="106" ht="14.0">
      <c r="A106" s="486" t="s">
        <v>1377</v>
      </c>
      <c r="B106" s="486">
        <v>37302.0</v>
      </c>
      <c r="C106" s="486">
        <v>36.0</v>
      </c>
      <c r="D106" s="486"/>
    </row>
    <row r="107" ht="14.0">
      <c r="A107" s="486" t="s">
        <v>1378</v>
      </c>
      <c r="B107" s="486">
        <v>37303.0</v>
      </c>
      <c r="C107" s="486">
        <v>36.0</v>
      </c>
      <c r="D107" s="486"/>
    </row>
    <row r="108" ht="14.0">
      <c r="A108" s="486" t="s">
        <v>1379</v>
      </c>
      <c r="B108" s="486">
        <v>37304.0</v>
      </c>
      <c r="C108" s="486">
        <v>36.0</v>
      </c>
      <c r="D108" s="486"/>
    </row>
    <row r="109" ht="14.0">
      <c r="A109" s="486" t="s">
        <v>1380</v>
      </c>
      <c r="B109" s="486">
        <v>37305.0</v>
      </c>
      <c r="C109" s="486">
        <v>36.0</v>
      </c>
      <c r="D109" s="486"/>
    </row>
    <row r="110" ht="14.0">
      <c r="A110" s="486" t="s">
        <v>1382</v>
      </c>
      <c r="B110" s="486">
        <v>37307.0</v>
      </c>
      <c r="C110" s="486">
        <v>36.0</v>
      </c>
      <c r="D110" s="486"/>
    </row>
    <row r="111" ht="14.0">
      <c r="A111" s="486" t="s">
        <v>1383</v>
      </c>
      <c r="B111" s="486">
        <v>37308.0</v>
      </c>
      <c r="C111" s="486">
        <v>36.0</v>
      </c>
      <c r="D111" s="486"/>
    </row>
    <row r="112" ht="14.0">
      <c r="A112" s="486" t="s">
        <v>1385</v>
      </c>
      <c r="B112" s="486">
        <v>37310.0</v>
      </c>
      <c r="C112" s="486">
        <v>36.0</v>
      </c>
      <c r="D112" s="486"/>
    </row>
    <row r="113" ht="14.0">
      <c r="A113" s="486" t="s">
        <v>1386</v>
      </c>
      <c r="B113" s="486">
        <v>37311.0</v>
      </c>
      <c r="C113" s="486">
        <v>36.0</v>
      </c>
      <c r="D113" s="486"/>
    </row>
    <row r="114" ht="14.0">
      <c r="A114" s="486" t="s">
        <v>1387</v>
      </c>
      <c r="B114" s="486">
        <v>37312.0</v>
      </c>
      <c r="C114" s="486">
        <v>36.0</v>
      </c>
      <c r="D114" s="486"/>
    </row>
    <row r="115" ht="14.0">
      <c r="A115" s="486" t="s">
        <v>1388</v>
      </c>
      <c r="B115" s="486">
        <v>37313.0</v>
      </c>
      <c r="C115" s="486">
        <v>36.0</v>
      </c>
      <c r="D115" s="486"/>
    </row>
    <row r="116" ht="14.0">
      <c r="A116" s="486" t="s">
        <v>1389</v>
      </c>
      <c r="B116" s="486">
        <v>37314.0</v>
      </c>
      <c r="C116" s="486">
        <v>36.0</v>
      </c>
      <c r="D116" s="486"/>
    </row>
    <row r="117" ht="14.0">
      <c r="A117" s="486" t="s">
        <v>1390</v>
      </c>
      <c r="B117" s="486">
        <v>37315.0</v>
      </c>
      <c r="C117" s="486"/>
      <c r="D117" s="486" t="s">
        <v>577</v>
      </c>
    </row>
    <row r="118" ht="14.0">
      <c r="A118" s="486" t="s">
        <v>1392</v>
      </c>
      <c r="B118" s="486">
        <v>37317.0</v>
      </c>
      <c r="C118" s="486">
        <v>36.0</v>
      </c>
      <c r="D118" s="486"/>
    </row>
    <row r="119" ht="14.0">
      <c r="A119" s="486" t="s">
        <v>1393</v>
      </c>
      <c r="B119" s="486">
        <v>37318.0</v>
      </c>
      <c r="C119" s="486">
        <v>36.0</v>
      </c>
      <c r="D119" s="486"/>
    </row>
    <row r="120" ht="14.0">
      <c r="A120" s="486" t="s">
        <v>1394</v>
      </c>
      <c r="B120" s="486">
        <v>37319.0</v>
      </c>
      <c r="C120" s="486">
        <v>36.0</v>
      </c>
      <c r="D120" s="486"/>
    </row>
    <row r="121" ht="14.0">
      <c r="A121" s="486" t="s">
        <v>1396</v>
      </c>
      <c r="B121" s="486">
        <v>37321.0</v>
      </c>
      <c r="C121" s="486">
        <v>36.0</v>
      </c>
      <c r="D121" s="486"/>
    </row>
    <row r="122" ht="14.0">
      <c r="A122" s="486" t="s">
        <v>1403</v>
      </c>
      <c r="B122" s="486" t="s">
        <v>1402</v>
      </c>
      <c r="C122" s="486">
        <v>504.0</v>
      </c>
      <c r="D122" s="486"/>
    </row>
    <row r="123" ht="14.0">
      <c r="A123" s="486" t="s">
        <v>1405</v>
      </c>
      <c r="B123" s="486" t="s">
        <v>1404</v>
      </c>
      <c r="C123" s="486">
        <v>504.0</v>
      </c>
      <c r="D123" s="486"/>
    </row>
    <row r="124" ht="14.0">
      <c r="A124" s="486" t="s">
        <v>1407</v>
      </c>
      <c r="B124" s="486" t="s">
        <v>1406</v>
      </c>
      <c r="C124" s="486">
        <v>504.0</v>
      </c>
      <c r="D124" s="486" t="s">
        <v>577</v>
      </c>
    </row>
    <row r="125" ht="14.0">
      <c r="A125" s="486" t="s">
        <v>1409</v>
      </c>
      <c r="B125" s="486" t="s">
        <v>1408</v>
      </c>
      <c r="C125" s="486">
        <v>504.0</v>
      </c>
      <c r="D125" s="486" t="s">
        <v>577</v>
      </c>
    </row>
    <row r="126" ht="14.0">
      <c r="A126" s="486" t="s">
        <v>1411</v>
      </c>
      <c r="B126" s="486" t="s">
        <v>1410</v>
      </c>
      <c r="C126" s="36">
        <v>3000.0</v>
      </c>
      <c r="D126" s="486"/>
    </row>
    <row r="127" ht="14.0">
      <c r="A127" s="486" t="s">
        <v>1413</v>
      </c>
      <c r="B127" s="486" t="s">
        <v>1412</v>
      </c>
      <c r="C127" s="36">
        <v>3000.0</v>
      </c>
      <c r="D127" s="486"/>
    </row>
    <row r="128" ht="14.0">
      <c r="A128" s="486" t="s">
        <v>1415</v>
      </c>
      <c r="B128" s="486" t="s">
        <v>1414</v>
      </c>
      <c r="C128" s="36">
        <v>3000.0</v>
      </c>
      <c r="D128" s="486"/>
    </row>
    <row r="129" ht="14.0">
      <c r="A129" s="486" t="s">
        <v>1417</v>
      </c>
      <c r="B129" s="486" t="s">
        <v>1416</v>
      </c>
      <c r="C129" s="36">
        <v>3000.0</v>
      </c>
      <c r="D129" s="486"/>
    </row>
    <row r="130" ht="14.0">
      <c r="A130" s="486" t="s">
        <v>1419</v>
      </c>
      <c r="B130" s="486" t="s">
        <v>1418</v>
      </c>
      <c r="C130" s="486"/>
      <c r="D130" s="486" t="s">
        <v>577</v>
      </c>
    </row>
    <row r="131" ht="14.0">
      <c r="A131" s="486" t="s">
        <v>1421</v>
      </c>
      <c r="B131" s="486" t="s">
        <v>1420</v>
      </c>
      <c r="C131" s="36">
        <v>3000.0</v>
      </c>
      <c r="D131" s="486"/>
    </row>
    <row r="132" ht="14.0">
      <c r="A132" s="486" t="s">
        <v>1423</v>
      </c>
      <c r="B132" s="486" t="s">
        <v>1422</v>
      </c>
      <c r="C132" s="486"/>
      <c r="D132" s="486"/>
    </row>
    <row r="133" ht="14.0">
      <c r="A133" s="486" t="s">
        <v>1429</v>
      </c>
      <c r="B133" s="486" t="s">
        <v>1428</v>
      </c>
      <c r="C133" s="486">
        <v>300.0</v>
      </c>
      <c r="D133" s="486"/>
    </row>
    <row r="134" ht="14.0">
      <c r="A134" s="486" t="s">
        <v>1431</v>
      </c>
      <c r="B134" s="486" t="s">
        <v>1430</v>
      </c>
      <c r="C134" s="486">
        <v>504.0</v>
      </c>
      <c r="D134" s="486" t="s">
        <v>577</v>
      </c>
    </row>
    <row r="135" ht="14.0">
      <c r="A135" s="486" t="s">
        <v>1433</v>
      </c>
      <c r="B135" s="486" t="s">
        <v>1432</v>
      </c>
      <c r="C135" s="486">
        <v>420.0</v>
      </c>
      <c r="D135" s="486" t="s">
        <v>577</v>
      </c>
    </row>
    <row r="136" ht="14.0">
      <c r="A136" s="486" t="s">
        <v>1435</v>
      </c>
      <c r="B136" s="486" t="s">
        <v>1434</v>
      </c>
      <c r="C136" s="36">
        <v>1000.0</v>
      </c>
      <c r="D136" s="486"/>
    </row>
    <row r="137" ht="14.0">
      <c r="A137" s="486" t="s">
        <v>1437</v>
      </c>
      <c r="B137" s="486" t="s">
        <v>1436</v>
      </c>
      <c r="C137" s="36">
        <v>1000.0</v>
      </c>
      <c r="D137" s="486"/>
    </row>
    <row r="138" ht="14.0">
      <c r="A138" s="486" t="s">
        <v>1439</v>
      </c>
      <c r="B138" s="486" t="s">
        <v>1438</v>
      </c>
      <c r="C138" s="486"/>
      <c r="D138" s="486" t="s">
        <v>577</v>
      </c>
    </row>
    <row r="139" ht="14.0">
      <c r="A139" s="486" t="s">
        <v>1441</v>
      </c>
      <c r="B139" s="486" t="s">
        <v>1440</v>
      </c>
      <c r="C139" s="36">
        <v>1000.0</v>
      </c>
      <c r="D139" s="486"/>
    </row>
    <row r="140" ht="14.0">
      <c r="A140" s="486" t="s">
        <v>1443</v>
      </c>
      <c r="B140" s="486" t="s">
        <v>1442</v>
      </c>
      <c r="C140" s="36">
        <v>1000.0</v>
      </c>
      <c r="D140" s="486"/>
    </row>
    <row r="141" ht="14.0">
      <c r="A141" s="486" t="s">
        <v>1447</v>
      </c>
      <c r="B141" s="486" t="s">
        <v>1446</v>
      </c>
      <c r="C141" s="486">
        <v>504.0</v>
      </c>
      <c r="D141" s="486" t="s">
        <v>577</v>
      </c>
    </row>
    <row r="142" ht="14.0">
      <c r="A142" s="486" t="s">
        <v>1445</v>
      </c>
      <c r="B142" s="486" t="s">
        <v>1444</v>
      </c>
      <c r="C142" s="486">
        <v>504.0</v>
      </c>
      <c r="D142" s="486" t="s">
        <v>577</v>
      </c>
    </row>
    <row r="143" ht="14.0">
      <c r="A143" s="486" t="s">
        <v>1449</v>
      </c>
      <c r="B143" s="486" t="s">
        <v>1448</v>
      </c>
      <c r="C143" s="486"/>
      <c r="D143" s="486" t="s">
        <v>577</v>
      </c>
    </row>
    <row r="144" ht="14.0">
      <c r="A144" s="486" t="s">
        <v>1451</v>
      </c>
      <c r="B144" s="486" t="s">
        <v>1450</v>
      </c>
      <c r="C144" s="36">
        <v>1000.0</v>
      </c>
      <c r="D144" s="486"/>
    </row>
    <row r="145" ht="14.0">
      <c r="A145" s="486" t="s">
        <v>1453</v>
      </c>
      <c r="B145" s="486" t="s">
        <v>1452</v>
      </c>
      <c r="C145" s="486"/>
      <c r="D145" s="486"/>
    </row>
    <row r="146" ht="14.0">
      <c r="A146" s="486" t="s">
        <v>1469</v>
      </c>
      <c r="B146" s="486" t="s">
        <v>1468</v>
      </c>
      <c r="C146" s="486"/>
      <c r="D146" s="486" t="s">
        <v>577</v>
      </c>
    </row>
    <row r="147" ht="14.0">
      <c r="A147" s="486" t="s">
        <v>1471</v>
      </c>
      <c r="B147" s="486" t="s">
        <v>1470</v>
      </c>
      <c r="C147" s="486"/>
      <c r="D147" s="486" t="s">
        <v>577</v>
      </c>
    </row>
    <row r="148" ht="14.0">
      <c r="A148" s="486" t="s">
        <v>1473</v>
      </c>
      <c r="B148" s="486" t="s">
        <v>1472</v>
      </c>
      <c r="C148" s="486"/>
      <c r="D148" s="486" t="s">
        <v>577</v>
      </c>
    </row>
    <row r="149" ht="14.0">
      <c r="A149" s="486" t="s">
        <v>1481</v>
      </c>
      <c r="B149" s="486" t="s">
        <v>1480</v>
      </c>
      <c r="C149" s="486"/>
      <c r="D149" s="486" t="s">
        <v>577</v>
      </c>
    </row>
    <row r="150" ht="14.0">
      <c r="A150" s="486" t="s">
        <v>1485</v>
      </c>
      <c r="B150" s="486" t="s">
        <v>1484</v>
      </c>
      <c r="C150" s="36">
        <v>1002.0</v>
      </c>
      <c r="D150" s="486" t="s">
        <v>577</v>
      </c>
    </row>
    <row r="151" ht="14.0">
      <c r="A151" s="486" t="s">
        <v>1487</v>
      </c>
      <c r="B151" s="486" t="s">
        <v>1486</v>
      </c>
      <c r="C151" s="36">
        <v>1002.0</v>
      </c>
      <c r="D151" s="486" t="s">
        <v>577</v>
      </c>
    </row>
    <row r="152" ht="14.0">
      <c r="A152" s="486" t="s">
        <v>1489</v>
      </c>
      <c r="B152" s="486" t="s">
        <v>1488</v>
      </c>
      <c r="C152" s="36">
        <v>1002.0</v>
      </c>
      <c r="D152" s="486" t="s">
        <v>577</v>
      </c>
    </row>
    <row r="153" ht="14.0">
      <c r="A153" s="486" t="s">
        <v>1491</v>
      </c>
      <c r="B153" s="486" t="s">
        <v>1490</v>
      </c>
      <c r="C153" s="36">
        <v>1002.0</v>
      </c>
      <c r="D153" s="486" t="s">
        <v>577</v>
      </c>
    </row>
    <row r="154" ht="14.0">
      <c r="A154" s="486" t="s">
        <v>1493</v>
      </c>
      <c r="B154" s="486" t="s">
        <v>1492</v>
      </c>
      <c r="C154" s="36">
        <v>1002.0</v>
      </c>
      <c r="D154" s="486" t="s">
        <v>577</v>
      </c>
    </row>
    <row r="155" ht="14.0">
      <c r="A155" s="486" t="s">
        <v>1495</v>
      </c>
      <c r="B155" s="486" t="s">
        <v>1494</v>
      </c>
      <c r="C155" s="36">
        <v>1002.0</v>
      </c>
      <c r="D155" s="486" t="s">
        <v>577</v>
      </c>
    </row>
    <row r="156" ht="14.0">
      <c r="A156" s="486" t="s">
        <v>7660</v>
      </c>
      <c r="B156" s="486" t="s">
        <v>1496</v>
      </c>
      <c r="C156" s="486">
        <v>200.0</v>
      </c>
      <c r="D156" s="486"/>
    </row>
    <row r="157" ht="14.0">
      <c r="A157" s="486" t="s">
        <v>1507</v>
      </c>
      <c r="B157" s="486" t="s">
        <v>1506</v>
      </c>
      <c r="C157" s="486"/>
      <c r="D157" s="486" t="s">
        <v>577</v>
      </c>
    </row>
    <row r="158" ht="14.0">
      <c r="A158" s="486" t="s">
        <v>1801</v>
      </c>
      <c r="B158" s="486" t="s">
        <v>1800</v>
      </c>
      <c r="C158" s="486"/>
      <c r="D158" s="486" t="s">
        <v>7655</v>
      </c>
    </row>
    <row r="159" ht="14.0">
      <c r="A159" s="486" t="s">
        <v>1803</v>
      </c>
      <c r="B159" s="486" t="s">
        <v>1802</v>
      </c>
      <c r="C159" s="486"/>
      <c r="D159" s="486" t="s">
        <v>7655</v>
      </c>
    </row>
    <row r="160" ht="14.0">
      <c r="A160" s="486" t="s">
        <v>1805</v>
      </c>
      <c r="B160" s="486" t="s">
        <v>1804</v>
      </c>
      <c r="C160" s="486">
        <v>250.0</v>
      </c>
      <c r="D160" s="486"/>
    </row>
    <row r="161" ht="14.0">
      <c r="A161" s="486" t="s">
        <v>1807</v>
      </c>
      <c r="B161" s="486" t="s">
        <v>1806</v>
      </c>
      <c r="C161" s="486">
        <v>250.0</v>
      </c>
      <c r="D161" s="486"/>
    </row>
    <row r="162" ht="14.0">
      <c r="A162" s="486" t="s">
        <v>1809</v>
      </c>
      <c r="B162" s="486" t="s">
        <v>1808</v>
      </c>
      <c r="C162" s="486">
        <v>250.0</v>
      </c>
      <c r="D162" s="486"/>
    </row>
    <row r="163" ht="14.0">
      <c r="A163" s="486" t="s">
        <v>1811</v>
      </c>
      <c r="B163" s="486" t="s">
        <v>1810</v>
      </c>
      <c r="C163" s="486">
        <v>250.0</v>
      </c>
      <c r="D163" s="486"/>
    </row>
    <row r="164" ht="14.0">
      <c r="A164" s="486" t="s">
        <v>1813</v>
      </c>
      <c r="B164" s="486" t="s">
        <v>1812</v>
      </c>
      <c r="C164" s="486">
        <v>250.0</v>
      </c>
      <c r="D164" s="486"/>
    </row>
    <row r="165" ht="14.0">
      <c r="A165" s="486" t="s">
        <v>1815</v>
      </c>
      <c r="B165" s="486" t="s">
        <v>1814</v>
      </c>
      <c r="C165" s="486">
        <v>250.0</v>
      </c>
      <c r="D165" s="486"/>
    </row>
    <row r="166" ht="14.0">
      <c r="A166" s="486" t="s">
        <v>1817</v>
      </c>
      <c r="B166" s="486" t="s">
        <v>1816</v>
      </c>
      <c r="C166" s="486">
        <v>250.0</v>
      </c>
      <c r="D166" s="486"/>
    </row>
    <row r="167" ht="14.0">
      <c r="A167" s="486" t="s">
        <v>1819</v>
      </c>
      <c r="B167" s="486" t="s">
        <v>1818</v>
      </c>
      <c r="C167" s="486">
        <v>250.0</v>
      </c>
      <c r="D167" s="486"/>
    </row>
    <row r="168" ht="14.0">
      <c r="A168" s="486" t="s">
        <v>1821</v>
      </c>
      <c r="B168" s="486" t="s">
        <v>1820</v>
      </c>
      <c r="C168" s="486">
        <v>250.0</v>
      </c>
      <c r="D168" s="486"/>
    </row>
    <row r="169" ht="14.0">
      <c r="A169" s="486" t="s">
        <v>1823</v>
      </c>
      <c r="B169" s="486" t="s">
        <v>1822</v>
      </c>
      <c r="C169" s="486">
        <v>250.0</v>
      </c>
      <c r="D169" s="486"/>
    </row>
    <row r="170" ht="14.0">
      <c r="A170" s="486" t="s">
        <v>1825</v>
      </c>
      <c r="B170" s="486" t="s">
        <v>1824</v>
      </c>
      <c r="C170" s="486">
        <v>250.0</v>
      </c>
      <c r="D170" s="486"/>
    </row>
    <row r="171" ht="14.0">
      <c r="A171" s="486" t="s">
        <v>1827</v>
      </c>
      <c r="B171" s="486" t="s">
        <v>1826</v>
      </c>
      <c r="C171" s="486">
        <v>250.0</v>
      </c>
      <c r="D171" s="486"/>
    </row>
    <row r="172" ht="14.0">
      <c r="A172" s="486" t="s">
        <v>1829</v>
      </c>
      <c r="B172" s="486" t="s">
        <v>1828</v>
      </c>
      <c r="C172" s="486">
        <v>250.0</v>
      </c>
      <c r="D172" s="486"/>
    </row>
    <row r="173" ht="14.0">
      <c r="A173" s="486" t="s">
        <v>1831</v>
      </c>
      <c r="B173" s="486" t="s">
        <v>1830</v>
      </c>
      <c r="C173" s="486">
        <v>250.0</v>
      </c>
      <c r="D173" s="486"/>
    </row>
    <row r="174" ht="14.0">
      <c r="A174" s="486" t="s">
        <v>1833</v>
      </c>
      <c r="B174" s="486" t="s">
        <v>1832</v>
      </c>
      <c r="C174" s="486">
        <v>250.0</v>
      </c>
      <c r="D174" s="486"/>
    </row>
    <row r="175" ht="14.0">
      <c r="A175" s="486" t="s">
        <v>1835</v>
      </c>
      <c r="B175" s="486" t="s">
        <v>1834</v>
      </c>
      <c r="C175" s="486">
        <v>250.0</v>
      </c>
      <c r="D175" s="486"/>
    </row>
    <row r="176" ht="14.0">
      <c r="A176" s="486" t="s">
        <v>1837</v>
      </c>
      <c r="B176" s="486" t="s">
        <v>1836</v>
      </c>
      <c r="C176" s="486">
        <v>250.0</v>
      </c>
      <c r="D176" s="486"/>
    </row>
    <row r="177" ht="14.0">
      <c r="A177" s="486" t="s">
        <v>1839</v>
      </c>
      <c r="B177" s="486" t="s">
        <v>1838</v>
      </c>
      <c r="C177" s="486">
        <v>250.0</v>
      </c>
      <c r="D177" s="486"/>
    </row>
    <row r="178" ht="14.0">
      <c r="A178" s="486" t="s">
        <v>1841</v>
      </c>
      <c r="B178" s="486" t="s">
        <v>1840</v>
      </c>
      <c r="C178" s="486">
        <v>250.0</v>
      </c>
      <c r="D178" s="486"/>
    </row>
    <row r="179" ht="14.0">
      <c r="A179" s="486" t="s">
        <v>1843</v>
      </c>
      <c r="B179" s="486" t="s">
        <v>1842</v>
      </c>
      <c r="C179" s="486">
        <v>250.0</v>
      </c>
      <c r="D179" s="486"/>
    </row>
    <row r="180" ht="14.0">
      <c r="A180" s="486" t="s">
        <v>1845</v>
      </c>
      <c r="B180" s="486" t="s">
        <v>1844</v>
      </c>
      <c r="C180" s="486">
        <v>250.0</v>
      </c>
      <c r="D180" s="486"/>
    </row>
    <row r="181" ht="14.0">
      <c r="A181" s="486" t="s">
        <v>1847</v>
      </c>
      <c r="B181" s="486" t="s">
        <v>1846</v>
      </c>
      <c r="C181" s="486">
        <v>250.0</v>
      </c>
      <c r="D181" s="486"/>
    </row>
    <row r="182" ht="14.0">
      <c r="A182" s="486" t="s">
        <v>1849</v>
      </c>
      <c r="B182" s="486" t="s">
        <v>1848</v>
      </c>
      <c r="C182" s="486">
        <v>250.0</v>
      </c>
      <c r="D182" s="486"/>
    </row>
    <row r="183" ht="14.0">
      <c r="A183" s="486" t="s">
        <v>1851</v>
      </c>
      <c r="B183" s="486" t="s">
        <v>1850</v>
      </c>
      <c r="C183" s="486">
        <v>250.0</v>
      </c>
      <c r="D183" s="486"/>
    </row>
    <row r="184" ht="14.0">
      <c r="A184" s="486" t="s">
        <v>1853</v>
      </c>
      <c r="B184" s="486" t="s">
        <v>1852</v>
      </c>
      <c r="C184" s="486">
        <v>250.0</v>
      </c>
      <c r="D184" s="486"/>
    </row>
    <row r="185" ht="14.0">
      <c r="A185" s="486" t="s">
        <v>1855</v>
      </c>
      <c r="B185" s="486" t="s">
        <v>1854</v>
      </c>
      <c r="C185" s="486">
        <v>250.0</v>
      </c>
      <c r="D185" s="486"/>
    </row>
    <row r="186" ht="14.0">
      <c r="A186" s="486" t="s">
        <v>1857</v>
      </c>
      <c r="B186" s="486" t="s">
        <v>1856</v>
      </c>
      <c r="C186" s="486">
        <v>250.0</v>
      </c>
      <c r="D186" s="486"/>
    </row>
    <row r="187" ht="14.0">
      <c r="A187" s="486" t="s">
        <v>1858</v>
      </c>
      <c r="B187" s="486" t="s">
        <v>1798</v>
      </c>
      <c r="C187" s="486">
        <v>250.0</v>
      </c>
      <c r="D187" s="486"/>
    </row>
    <row r="188" ht="14.0">
      <c r="A188" s="486" t="s">
        <v>1860</v>
      </c>
      <c r="B188" s="486" t="s">
        <v>1859</v>
      </c>
      <c r="C188" s="486">
        <v>250.0</v>
      </c>
      <c r="D188" s="486"/>
    </row>
    <row r="189" ht="14.0">
      <c r="A189" s="486" t="s">
        <v>1862</v>
      </c>
      <c r="B189" s="486" t="s">
        <v>1861</v>
      </c>
      <c r="C189" s="486">
        <v>250.0</v>
      </c>
      <c r="D189" s="486"/>
    </row>
    <row r="190" ht="14.0">
      <c r="A190" s="486" t="s">
        <v>1864</v>
      </c>
      <c r="B190" s="486" t="s">
        <v>1863</v>
      </c>
      <c r="C190" s="486">
        <v>250.0</v>
      </c>
      <c r="D190" s="486"/>
    </row>
    <row r="191" ht="14.0">
      <c r="A191" s="486" t="s">
        <v>1866</v>
      </c>
      <c r="B191" s="486" t="s">
        <v>1865</v>
      </c>
      <c r="C191" s="486">
        <v>250.0</v>
      </c>
      <c r="D191" s="486"/>
    </row>
    <row r="192" ht="14.0">
      <c r="A192" s="486" t="s">
        <v>1868</v>
      </c>
      <c r="B192" s="486" t="s">
        <v>1867</v>
      </c>
      <c r="C192" s="486">
        <v>250.0</v>
      </c>
      <c r="D192" s="486"/>
    </row>
    <row r="193" ht="14.0">
      <c r="A193" s="486" t="s">
        <v>1870</v>
      </c>
      <c r="B193" s="486" t="s">
        <v>1869</v>
      </c>
      <c r="C193" s="486">
        <v>250.0</v>
      </c>
      <c r="D193" s="486"/>
    </row>
    <row r="194" ht="14.0">
      <c r="A194" s="486" t="s">
        <v>1872</v>
      </c>
      <c r="B194" s="486" t="s">
        <v>1871</v>
      </c>
      <c r="C194" s="486">
        <v>250.0</v>
      </c>
      <c r="D194" s="486"/>
    </row>
    <row r="195" ht="14.0">
      <c r="A195" s="486" t="s">
        <v>1874</v>
      </c>
      <c r="B195" s="486" t="s">
        <v>1873</v>
      </c>
      <c r="C195" s="486">
        <v>250.0</v>
      </c>
      <c r="D195" s="486"/>
    </row>
    <row r="196" ht="14.0">
      <c r="A196" s="486" t="s">
        <v>1876</v>
      </c>
      <c r="B196" s="486" t="s">
        <v>1875</v>
      </c>
      <c r="C196" s="486">
        <v>250.0</v>
      </c>
      <c r="D196" s="486"/>
    </row>
    <row r="197" ht="14.0">
      <c r="A197" s="486" t="s">
        <v>439</v>
      </c>
      <c r="B197" s="486" t="s">
        <v>440</v>
      </c>
      <c r="C197" s="486"/>
      <c r="D197" s="486"/>
    </row>
    <row r="198" ht="14.0">
      <c r="A198" s="486" t="s">
        <v>1881</v>
      </c>
      <c r="B198" s="486" t="s">
        <v>1880</v>
      </c>
      <c r="C198" s="36">
        <v>1002.0</v>
      </c>
      <c r="D198" s="486" t="s">
        <v>577</v>
      </c>
    </row>
    <row r="199" ht="14.0">
      <c r="A199" s="486" t="s">
        <v>1883</v>
      </c>
      <c r="B199" s="486" t="s">
        <v>1882</v>
      </c>
      <c r="C199" s="36">
        <v>1002.0</v>
      </c>
      <c r="D199" s="486" t="s">
        <v>577</v>
      </c>
    </row>
    <row r="200" ht="14.0">
      <c r="A200" s="486" t="s">
        <v>1885</v>
      </c>
      <c r="B200" s="486" t="s">
        <v>1884</v>
      </c>
      <c r="C200" s="36">
        <v>1002.0</v>
      </c>
      <c r="D200" s="486" t="s">
        <v>577</v>
      </c>
    </row>
    <row r="201" ht="14.0">
      <c r="A201" s="486" t="s">
        <v>1887</v>
      </c>
      <c r="B201" s="486" t="s">
        <v>1886</v>
      </c>
      <c r="C201" s="36">
        <v>1002.0</v>
      </c>
      <c r="D201" s="486" t="s">
        <v>577</v>
      </c>
    </row>
    <row r="202" ht="14.0">
      <c r="A202" s="486" t="s">
        <v>1889</v>
      </c>
      <c r="B202" s="486" t="s">
        <v>1888</v>
      </c>
      <c r="C202" s="36">
        <v>1002.0</v>
      </c>
      <c r="D202" s="486" t="s">
        <v>577</v>
      </c>
    </row>
    <row r="203" ht="14.0">
      <c r="A203" s="486" t="s">
        <v>1891</v>
      </c>
      <c r="B203" s="486" t="s">
        <v>1890</v>
      </c>
      <c r="C203" s="36">
        <v>1002.0</v>
      </c>
      <c r="D203" s="486" t="s">
        <v>577</v>
      </c>
    </row>
    <row r="204" ht="14.0">
      <c r="A204" s="486" t="s">
        <v>1893</v>
      </c>
      <c r="B204" s="486" t="s">
        <v>1892</v>
      </c>
      <c r="C204" s="36">
        <v>1002.0</v>
      </c>
      <c r="D204" s="486" t="s">
        <v>577</v>
      </c>
    </row>
    <row r="205" ht="14.0">
      <c r="A205" s="486" t="s">
        <v>1895</v>
      </c>
      <c r="B205" s="486" t="s">
        <v>1894</v>
      </c>
      <c r="C205" s="36">
        <v>1002.0</v>
      </c>
      <c r="D205" s="486" t="s">
        <v>577</v>
      </c>
    </row>
    <row r="206" ht="14.0">
      <c r="A206" s="486" t="s">
        <v>1897</v>
      </c>
      <c r="B206" s="486" t="s">
        <v>1896</v>
      </c>
      <c r="C206" s="36">
        <v>1002.0</v>
      </c>
      <c r="D206" s="486" t="s">
        <v>577</v>
      </c>
    </row>
    <row r="207" ht="14.0">
      <c r="A207" s="486" t="s">
        <v>1901</v>
      </c>
      <c r="B207" s="486" t="s">
        <v>1900</v>
      </c>
      <c r="C207" s="486">
        <v>100.0</v>
      </c>
      <c r="D207" s="486" t="s">
        <v>577</v>
      </c>
    </row>
    <row r="208" ht="14.0">
      <c r="A208" s="486" t="s">
        <v>1905</v>
      </c>
      <c r="B208" s="486" t="s">
        <v>1904</v>
      </c>
      <c r="C208" s="486"/>
      <c r="D208" s="486" t="s">
        <v>577</v>
      </c>
    </row>
    <row r="209" ht="14.0">
      <c r="A209" s="486" t="s">
        <v>1909</v>
      </c>
      <c r="B209" s="486" t="s">
        <v>1908</v>
      </c>
      <c r="C209" s="36">
        <v>1000.0</v>
      </c>
      <c r="D209" s="486" t="s">
        <v>577</v>
      </c>
    </row>
    <row r="210" ht="14.0">
      <c r="A210" s="486" t="s">
        <v>1911</v>
      </c>
      <c r="B210" s="486" t="s">
        <v>1910</v>
      </c>
      <c r="C210" s="36">
        <v>1000.0</v>
      </c>
      <c r="D210" s="486" t="s">
        <v>577</v>
      </c>
    </row>
    <row r="211" ht="14.0">
      <c r="A211" s="486" t="s">
        <v>1913</v>
      </c>
      <c r="B211" s="486" t="s">
        <v>1912</v>
      </c>
      <c r="C211" s="36">
        <v>1000.0</v>
      </c>
      <c r="D211" s="486" t="s">
        <v>577</v>
      </c>
    </row>
    <row r="212" ht="14.0">
      <c r="A212" s="486" t="s">
        <v>1915</v>
      </c>
      <c r="B212" s="486" t="s">
        <v>1914</v>
      </c>
      <c r="C212" s="36">
        <v>1000.0</v>
      </c>
      <c r="D212" s="486" t="s">
        <v>577</v>
      </c>
    </row>
    <row r="213" ht="14.0">
      <c r="A213" s="486" t="s">
        <v>1917</v>
      </c>
      <c r="B213" s="486" t="s">
        <v>1916</v>
      </c>
      <c r="C213" s="36">
        <v>1000.0</v>
      </c>
      <c r="D213" s="486" t="s">
        <v>577</v>
      </c>
    </row>
    <row r="214" ht="14.0">
      <c r="A214" s="486" t="s">
        <v>1919</v>
      </c>
      <c r="B214" s="486" t="s">
        <v>1918</v>
      </c>
      <c r="C214" s="36">
        <v>1000.0</v>
      </c>
      <c r="D214" s="486" t="s">
        <v>577</v>
      </c>
    </row>
    <row r="215" ht="14.0">
      <c r="A215" s="486" t="s">
        <v>1921</v>
      </c>
      <c r="B215" s="486" t="s">
        <v>1920</v>
      </c>
      <c r="C215" s="486">
        <v>504.0</v>
      </c>
      <c r="D215" s="486" t="s">
        <v>577</v>
      </c>
    </row>
    <row r="216" ht="14.0">
      <c r="A216" s="486" t="s">
        <v>1923</v>
      </c>
      <c r="B216" s="486" t="s">
        <v>1922</v>
      </c>
      <c r="C216" s="486">
        <v>504.0</v>
      </c>
      <c r="D216" s="486" t="s">
        <v>577</v>
      </c>
    </row>
    <row r="217" ht="14.0">
      <c r="A217" s="486" t="s">
        <v>1925</v>
      </c>
      <c r="B217" s="486" t="s">
        <v>1924</v>
      </c>
      <c r="C217" s="486">
        <v>504.0</v>
      </c>
      <c r="D217" s="486" t="s">
        <v>577</v>
      </c>
    </row>
    <row r="218" ht="14.0">
      <c r="A218" s="486" t="s">
        <v>1927</v>
      </c>
      <c r="B218" s="486" t="s">
        <v>1926</v>
      </c>
      <c r="C218" s="486">
        <v>504.0</v>
      </c>
      <c r="D218" s="486" t="s">
        <v>577</v>
      </c>
    </row>
    <row r="219" ht="14.0">
      <c r="A219" s="486" t="s">
        <v>1929</v>
      </c>
      <c r="B219" s="486" t="s">
        <v>1928</v>
      </c>
      <c r="C219" s="486">
        <v>504.0</v>
      </c>
      <c r="D219" s="486" t="s">
        <v>577</v>
      </c>
    </row>
    <row r="220" ht="14.0">
      <c r="A220" s="486" t="s">
        <v>1931</v>
      </c>
      <c r="B220" s="486" t="s">
        <v>1930</v>
      </c>
      <c r="C220" s="486">
        <v>504.0</v>
      </c>
      <c r="D220" s="486" t="s">
        <v>577</v>
      </c>
    </row>
    <row r="221" ht="14.0">
      <c r="A221" s="486" t="s">
        <v>1933</v>
      </c>
      <c r="B221" s="486" t="s">
        <v>1932</v>
      </c>
      <c r="C221" s="486">
        <v>504.0</v>
      </c>
      <c r="D221" s="486" t="s">
        <v>577</v>
      </c>
    </row>
    <row r="222" ht="14.0">
      <c r="A222" s="486" t="s">
        <v>1935</v>
      </c>
      <c r="B222" s="486" t="s">
        <v>1934</v>
      </c>
      <c r="C222" s="486">
        <v>504.0</v>
      </c>
      <c r="D222" s="486" t="s">
        <v>577</v>
      </c>
    </row>
    <row r="223" ht="14.0">
      <c r="A223" s="486" t="s">
        <v>1937</v>
      </c>
      <c r="B223" s="486" t="s">
        <v>1936</v>
      </c>
      <c r="C223" s="486">
        <v>100.0</v>
      </c>
      <c r="D223" s="486" t="s">
        <v>577</v>
      </c>
    </row>
    <row r="224" ht="14.0">
      <c r="A224" s="486" t="s">
        <v>1939</v>
      </c>
      <c r="B224" s="486" t="s">
        <v>1938</v>
      </c>
      <c r="C224" s="486"/>
      <c r="D224" s="486" t="s">
        <v>577</v>
      </c>
    </row>
    <row r="225" ht="14.0">
      <c r="A225" s="486" t="s">
        <v>1943</v>
      </c>
      <c r="B225" s="486" t="s">
        <v>1942</v>
      </c>
      <c r="C225" s="486"/>
      <c r="D225" s="486" t="s">
        <v>577</v>
      </c>
    </row>
    <row r="226" ht="14.0">
      <c r="A226" s="486" t="s">
        <v>1945</v>
      </c>
      <c r="B226" s="486" t="s">
        <v>1944</v>
      </c>
      <c r="C226" s="36">
        <v>1002.0</v>
      </c>
      <c r="D226" s="486"/>
    </row>
    <row r="227" ht="14.0">
      <c r="A227" s="486" t="s">
        <v>1947</v>
      </c>
      <c r="B227" s="486" t="s">
        <v>1946</v>
      </c>
      <c r="C227" s="486"/>
      <c r="D227" s="486" t="s">
        <v>577</v>
      </c>
    </row>
    <row r="228" ht="14.0">
      <c r="A228" s="486" t="s">
        <v>1949</v>
      </c>
      <c r="B228" s="486" t="s">
        <v>1948</v>
      </c>
      <c r="C228" s="36">
        <v>1002.0</v>
      </c>
      <c r="D228" s="486"/>
    </row>
    <row r="229" ht="14.0">
      <c r="A229" s="486" t="s">
        <v>1951</v>
      </c>
      <c r="B229" s="486" t="s">
        <v>1950</v>
      </c>
      <c r="C229" s="486"/>
      <c r="D229" s="486" t="s">
        <v>577</v>
      </c>
    </row>
    <row r="230" ht="14.0">
      <c r="A230" s="486" t="s">
        <v>1955</v>
      </c>
      <c r="B230" s="486" t="s">
        <v>1954</v>
      </c>
      <c r="C230" s="36">
        <v>1002.0</v>
      </c>
      <c r="D230" s="486"/>
    </row>
    <row r="231" ht="14.0">
      <c r="A231" s="486" t="s">
        <v>1957</v>
      </c>
      <c r="B231" s="486" t="s">
        <v>1956</v>
      </c>
      <c r="C231" s="36">
        <v>1002.0</v>
      </c>
      <c r="D231" s="486" t="s">
        <v>7655</v>
      </c>
    </row>
    <row r="232" ht="14.0">
      <c r="A232" s="486" t="s">
        <v>1959</v>
      </c>
      <c r="B232" s="486" t="s">
        <v>1958</v>
      </c>
      <c r="C232" s="36">
        <v>1002.0</v>
      </c>
      <c r="D232" s="486"/>
    </row>
    <row r="233" ht="14.0">
      <c r="A233" s="486" t="s">
        <v>1963</v>
      </c>
      <c r="B233" s="486" t="s">
        <v>1962</v>
      </c>
      <c r="C233" s="486"/>
      <c r="D233" s="486" t="s">
        <v>577</v>
      </c>
    </row>
    <row r="234" ht="14.0">
      <c r="A234" s="486" t="s">
        <v>1965</v>
      </c>
      <c r="B234" s="486" t="s">
        <v>1964</v>
      </c>
      <c r="C234" s="486"/>
      <c r="D234" s="486" t="s">
        <v>577</v>
      </c>
    </row>
    <row r="235" ht="14.0">
      <c r="A235" s="486" t="s">
        <v>1967</v>
      </c>
      <c r="B235" s="486" t="s">
        <v>1966</v>
      </c>
      <c r="C235" s="486"/>
      <c r="D235" s="486" t="s">
        <v>577</v>
      </c>
    </row>
    <row r="236" ht="14.0">
      <c r="A236" s="486" t="s">
        <v>1970</v>
      </c>
      <c r="B236" s="486" t="s">
        <v>1969</v>
      </c>
      <c r="C236" s="486"/>
      <c r="D236" s="486" t="s">
        <v>577</v>
      </c>
    </row>
    <row r="237" ht="14.0">
      <c r="A237" s="486" t="s">
        <v>7661</v>
      </c>
      <c r="B237" s="486" t="s">
        <v>1977</v>
      </c>
      <c r="C237" s="486"/>
      <c r="D237" s="486" t="s">
        <v>577</v>
      </c>
    </row>
    <row r="238" ht="14.0">
      <c r="A238" s="486" t="s">
        <v>1974</v>
      </c>
      <c r="B238" s="486" t="s">
        <v>1973</v>
      </c>
      <c r="C238" s="486"/>
      <c r="D238" s="486" t="s">
        <v>7655</v>
      </c>
    </row>
    <row r="239" ht="14.0">
      <c r="A239" s="486" t="s">
        <v>7662</v>
      </c>
      <c r="B239" s="486" t="s">
        <v>1979</v>
      </c>
      <c r="C239" s="486"/>
      <c r="D239" s="486" t="s">
        <v>577</v>
      </c>
    </row>
    <row r="240" ht="14.0">
      <c r="A240" s="486" t="s">
        <v>1982</v>
      </c>
      <c r="B240" s="486" t="s">
        <v>1981</v>
      </c>
      <c r="C240" s="486"/>
      <c r="D240" s="486" t="s">
        <v>577</v>
      </c>
    </row>
    <row r="241" ht="14.0">
      <c r="A241" s="486" t="s">
        <v>2018</v>
      </c>
      <c r="B241" s="486" t="s">
        <v>2017</v>
      </c>
      <c r="C241" s="36">
        <v>1008.0</v>
      </c>
      <c r="D241" s="486"/>
    </row>
    <row r="242" ht="14.0">
      <c r="A242" s="486" t="s">
        <v>2020</v>
      </c>
      <c r="B242" s="486" t="s">
        <v>2019</v>
      </c>
      <c r="C242" s="36">
        <v>1008.0</v>
      </c>
      <c r="D242" s="486"/>
    </row>
    <row r="243" ht="14.0">
      <c r="A243" s="486" t="s">
        <v>2038</v>
      </c>
      <c r="B243" s="486" t="s">
        <v>2037</v>
      </c>
      <c r="C243" s="486">
        <v>300.0</v>
      </c>
      <c r="D243" s="486"/>
    </row>
    <row r="244" ht="14.0">
      <c r="A244" s="486" t="s">
        <v>185</v>
      </c>
      <c r="B244" s="486" t="s">
        <v>186</v>
      </c>
      <c r="C244" s="486">
        <v>300.0</v>
      </c>
      <c r="D244" s="486"/>
    </row>
    <row r="245" ht="14.0">
      <c r="A245" s="486" t="s">
        <v>7663</v>
      </c>
      <c r="B245" s="486" t="s">
        <v>196</v>
      </c>
      <c r="C245" s="486"/>
      <c r="D245" s="486"/>
    </row>
    <row r="246" ht="14.0">
      <c r="A246" s="486" t="s">
        <v>2040</v>
      </c>
      <c r="B246" s="486" t="s">
        <v>2039</v>
      </c>
      <c r="C246" s="486">
        <v>300.0</v>
      </c>
      <c r="D246" s="486"/>
    </row>
    <row r="247" ht="14.0">
      <c r="A247" s="486" t="s">
        <v>2230</v>
      </c>
      <c r="B247" s="486" t="s">
        <v>2229</v>
      </c>
      <c r="C247" s="486"/>
      <c r="D247" s="486" t="s">
        <v>577</v>
      </c>
    </row>
    <row r="248" ht="14.0">
      <c r="A248" s="486" t="s">
        <v>2244</v>
      </c>
      <c r="B248" s="486" t="s">
        <v>2243</v>
      </c>
      <c r="C248" s="36">
        <v>1000.0</v>
      </c>
      <c r="D248" s="486" t="s">
        <v>577</v>
      </c>
    </row>
    <row r="249" ht="14.0">
      <c r="A249" s="486" t="s">
        <v>2246</v>
      </c>
      <c r="B249" s="486" t="s">
        <v>2245</v>
      </c>
      <c r="C249" s="36">
        <v>1000.0</v>
      </c>
      <c r="D249" s="486" t="s">
        <v>577</v>
      </c>
    </row>
    <row r="250" ht="14.0">
      <c r="A250" s="486" t="s">
        <v>2250</v>
      </c>
      <c r="B250" s="487" t="s">
        <v>2257</v>
      </c>
      <c r="C250" s="36">
        <v>1000.0</v>
      </c>
      <c r="D250" s="486" t="s">
        <v>577</v>
      </c>
    </row>
    <row r="251" ht="14.0">
      <c r="A251" s="486" t="s">
        <v>2252</v>
      </c>
      <c r="B251" s="486" t="s">
        <v>2251</v>
      </c>
      <c r="C251" s="36">
        <v>1000.0</v>
      </c>
      <c r="D251" s="486" t="s">
        <v>577</v>
      </c>
    </row>
    <row r="252" ht="14.0">
      <c r="A252" s="486" t="s">
        <v>2254</v>
      </c>
      <c r="B252" s="486" t="s">
        <v>2253</v>
      </c>
      <c r="C252" s="36">
        <v>1000.0</v>
      </c>
      <c r="D252" s="486" t="s">
        <v>577</v>
      </c>
    </row>
    <row r="253" ht="14.0">
      <c r="A253" s="486" t="s">
        <v>2256</v>
      </c>
      <c r="B253" s="486" t="s">
        <v>2255</v>
      </c>
      <c r="C253" s="36">
        <v>1000.0</v>
      </c>
      <c r="D253" s="486" t="s">
        <v>577</v>
      </c>
    </row>
    <row r="254" ht="14.0">
      <c r="A254" s="486" t="s">
        <v>2258</v>
      </c>
      <c r="B254" s="486" t="s">
        <v>2257</v>
      </c>
      <c r="C254" s="36">
        <v>1000.0</v>
      </c>
      <c r="D254" s="486" t="s">
        <v>577</v>
      </c>
    </row>
    <row r="255" ht="14.0">
      <c r="A255" s="486" t="s">
        <v>7664</v>
      </c>
      <c r="B255" s="486" t="s">
        <v>2247</v>
      </c>
      <c r="C255" s="36">
        <v>1000.0</v>
      </c>
      <c r="D255" s="486" t="s">
        <v>577</v>
      </c>
    </row>
    <row r="256" ht="14.0">
      <c r="A256" s="486" t="s">
        <v>2260</v>
      </c>
      <c r="B256" s="486" t="s">
        <v>2259</v>
      </c>
      <c r="C256" s="36">
        <v>1000.0</v>
      </c>
      <c r="D256" s="486"/>
    </row>
    <row r="257" ht="14.0">
      <c r="A257" s="486" t="s">
        <v>2262</v>
      </c>
      <c r="B257" s="486" t="s">
        <v>2261</v>
      </c>
      <c r="C257" s="36">
        <v>1000.0</v>
      </c>
      <c r="D257" s="486"/>
    </row>
    <row r="258" ht="14.0">
      <c r="A258" s="486" t="s">
        <v>2264</v>
      </c>
      <c r="B258" s="486" t="s">
        <v>2263</v>
      </c>
      <c r="C258" s="486">
        <v>500.0</v>
      </c>
      <c r="D258" s="486"/>
    </row>
    <row r="259" ht="14.0">
      <c r="A259" s="486" t="s">
        <v>2266</v>
      </c>
      <c r="B259" s="486" t="s">
        <v>2265</v>
      </c>
      <c r="C259" s="36">
        <v>1000.0</v>
      </c>
      <c r="D259" s="486"/>
    </row>
    <row r="260" ht="14.0">
      <c r="A260" s="486" t="s">
        <v>2268</v>
      </c>
      <c r="B260" s="486" t="s">
        <v>2267</v>
      </c>
      <c r="C260" s="36">
        <v>1000.0</v>
      </c>
      <c r="D260" s="486"/>
    </row>
    <row r="261" ht="14.0">
      <c r="A261" s="486" t="s">
        <v>2270</v>
      </c>
      <c r="B261" s="486" t="s">
        <v>2269</v>
      </c>
      <c r="C261" s="36">
        <v>1000.0</v>
      </c>
      <c r="D261" s="486"/>
    </row>
    <row r="262" ht="14.0">
      <c r="A262" s="486" t="s">
        <v>2272</v>
      </c>
      <c r="B262" s="486" t="s">
        <v>2271</v>
      </c>
      <c r="C262" s="36">
        <v>1000.0</v>
      </c>
      <c r="D262" s="486"/>
    </row>
    <row r="263" ht="14.0">
      <c r="A263" s="486" t="s">
        <v>2274</v>
      </c>
      <c r="B263" s="486" t="s">
        <v>2273</v>
      </c>
      <c r="C263" s="36">
        <v>1000.0</v>
      </c>
      <c r="D263" s="486"/>
    </row>
    <row r="264" ht="14.0">
      <c r="A264" s="486" t="s">
        <v>2276</v>
      </c>
      <c r="B264" s="486" t="s">
        <v>2275</v>
      </c>
      <c r="C264" s="36">
        <v>1000.0</v>
      </c>
      <c r="D264" s="486" t="s">
        <v>577</v>
      </c>
    </row>
    <row r="265" ht="14.0">
      <c r="A265" s="486" t="s">
        <v>2278</v>
      </c>
      <c r="B265" s="486" t="s">
        <v>2277</v>
      </c>
      <c r="C265" s="36">
        <v>1000.0</v>
      </c>
      <c r="D265" s="486" t="s">
        <v>577</v>
      </c>
    </row>
    <row r="266" ht="14.0">
      <c r="A266" s="486" t="s">
        <v>2282</v>
      </c>
      <c r="B266" s="486" t="s">
        <v>2281</v>
      </c>
      <c r="C266" s="36">
        <v>1000.0</v>
      </c>
      <c r="D266" s="486" t="s">
        <v>577</v>
      </c>
    </row>
    <row r="267" ht="14.0">
      <c r="A267" s="486" t="s">
        <v>2284</v>
      </c>
      <c r="B267" s="486" t="s">
        <v>2283</v>
      </c>
      <c r="C267" s="36">
        <v>1000.0</v>
      </c>
      <c r="D267" s="486" t="s">
        <v>577</v>
      </c>
    </row>
    <row r="268" ht="14.0">
      <c r="A268" s="486" t="s">
        <v>2286</v>
      </c>
      <c r="B268" s="486" t="s">
        <v>2285</v>
      </c>
      <c r="C268" s="36">
        <v>1000.0</v>
      </c>
      <c r="D268" s="486" t="s">
        <v>577</v>
      </c>
    </row>
    <row r="269" ht="14.0">
      <c r="A269" s="486" t="s">
        <v>2288</v>
      </c>
      <c r="B269" s="486" t="s">
        <v>2287</v>
      </c>
      <c r="C269" s="36">
        <v>1000.0</v>
      </c>
      <c r="D269" s="486" t="s">
        <v>577</v>
      </c>
    </row>
    <row r="270" ht="14.0">
      <c r="A270" s="486" t="s">
        <v>2290</v>
      </c>
      <c r="B270" s="486" t="s">
        <v>2289</v>
      </c>
      <c r="C270" s="36">
        <v>1000.0</v>
      </c>
      <c r="D270" s="486" t="s">
        <v>577</v>
      </c>
    </row>
    <row r="271" ht="14.0">
      <c r="A271" s="486" t="s">
        <v>7665</v>
      </c>
      <c r="B271" s="486" t="s">
        <v>2279</v>
      </c>
      <c r="C271" s="36">
        <v>1000.0</v>
      </c>
      <c r="D271" s="486" t="s">
        <v>577</v>
      </c>
    </row>
    <row r="272" ht="14.0">
      <c r="A272" s="486" t="s">
        <v>2292</v>
      </c>
      <c r="B272" s="486" t="s">
        <v>2291</v>
      </c>
      <c r="C272" s="36">
        <v>1000.0</v>
      </c>
      <c r="D272" s="486"/>
    </row>
    <row r="273" ht="14.0">
      <c r="A273" s="486" t="s">
        <v>2294</v>
      </c>
      <c r="B273" s="486" t="s">
        <v>2293</v>
      </c>
      <c r="C273" s="36">
        <v>1000.0</v>
      </c>
      <c r="D273" s="486" t="s">
        <v>577</v>
      </c>
    </row>
    <row r="274" ht="14.0">
      <c r="A274" s="486" t="s">
        <v>2296</v>
      </c>
      <c r="B274" s="486" t="s">
        <v>2295</v>
      </c>
      <c r="C274" s="36">
        <v>1000.0</v>
      </c>
      <c r="D274" s="486"/>
    </row>
    <row r="275" ht="14.0">
      <c r="A275" s="486" t="s">
        <v>2298</v>
      </c>
      <c r="B275" s="486" t="s">
        <v>2297</v>
      </c>
      <c r="C275" s="36">
        <v>1000.0</v>
      </c>
      <c r="D275" s="486"/>
    </row>
    <row r="276" ht="14.0">
      <c r="A276" s="486" t="s">
        <v>2300</v>
      </c>
      <c r="B276" s="486" t="s">
        <v>2299</v>
      </c>
      <c r="C276" s="36">
        <v>1000.0</v>
      </c>
      <c r="D276" s="486"/>
    </row>
    <row r="277" ht="14.0">
      <c r="A277" s="486" t="s">
        <v>7666</v>
      </c>
      <c r="B277" s="486" t="s">
        <v>5566</v>
      </c>
      <c r="C277" s="486">
        <v>501.0</v>
      </c>
      <c r="D277" s="486"/>
    </row>
    <row r="278" ht="14.0">
      <c r="A278" s="486" t="s">
        <v>2302</v>
      </c>
      <c r="B278" s="486" t="s">
        <v>2301</v>
      </c>
      <c r="C278" s="36">
        <v>1000.0</v>
      </c>
      <c r="D278" s="486"/>
    </row>
    <row r="279" ht="14.0">
      <c r="A279" s="486" t="s">
        <v>2304</v>
      </c>
      <c r="B279" s="486" t="s">
        <v>2303</v>
      </c>
      <c r="C279" s="36">
        <v>1000.0</v>
      </c>
      <c r="D279" s="486" t="s">
        <v>577</v>
      </c>
    </row>
    <row r="280" ht="14.0">
      <c r="A280" s="486" t="s">
        <v>2306</v>
      </c>
      <c r="B280" s="486" t="s">
        <v>2305</v>
      </c>
      <c r="C280" s="36">
        <v>1000.0</v>
      </c>
      <c r="D280" s="486" t="s">
        <v>577</v>
      </c>
    </row>
    <row r="281" ht="14.0">
      <c r="A281" s="486" t="s">
        <v>2308</v>
      </c>
      <c r="B281" s="486" t="s">
        <v>2307</v>
      </c>
      <c r="C281" s="36">
        <v>1000.0</v>
      </c>
      <c r="D281" s="486" t="s">
        <v>577</v>
      </c>
    </row>
    <row r="282" ht="14.0">
      <c r="A282" s="486" t="s">
        <v>2310</v>
      </c>
      <c r="B282" s="486" t="s">
        <v>2309</v>
      </c>
      <c r="C282" s="36">
        <v>1000.0</v>
      </c>
      <c r="D282" s="486" t="s">
        <v>577</v>
      </c>
    </row>
    <row r="283" ht="14.0">
      <c r="A283" s="486" t="s">
        <v>2312</v>
      </c>
      <c r="B283" s="486" t="s">
        <v>2311</v>
      </c>
      <c r="C283" s="36">
        <v>1000.0</v>
      </c>
      <c r="D283" s="486" t="s">
        <v>577</v>
      </c>
    </row>
    <row r="284" ht="14.0">
      <c r="A284" s="486" t="s">
        <v>2314</v>
      </c>
      <c r="B284" s="486" t="s">
        <v>2313</v>
      </c>
      <c r="C284" s="36">
        <v>1000.0</v>
      </c>
      <c r="D284" s="486" t="s">
        <v>577</v>
      </c>
    </row>
    <row r="285" ht="14.0">
      <c r="A285" s="486" t="s">
        <v>2316</v>
      </c>
      <c r="B285" s="486" t="s">
        <v>2315</v>
      </c>
      <c r="C285" s="486">
        <v>501.0</v>
      </c>
      <c r="D285" s="486" t="s">
        <v>577</v>
      </c>
    </row>
    <row r="286" ht="14.0">
      <c r="A286" s="486" t="s">
        <v>2318</v>
      </c>
      <c r="B286" s="486" t="s">
        <v>2317</v>
      </c>
      <c r="C286" s="36">
        <v>1000.0</v>
      </c>
      <c r="D286" s="486" t="s">
        <v>577</v>
      </c>
    </row>
    <row r="287" ht="14.0">
      <c r="A287" s="486" t="s">
        <v>2320</v>
      </c>
      <c r="B287" s="486" t="s">
        <v>2319</v>
      </c>
      <c r="C287" s="36">
        <v>1000.0</v>
      </c>
      <c r="D287" s="486" t="s">
        <v>577</v>
      </c>
    </row>
    <row r="288" ht="14.0">
      <c r="A288" s="486" t="s">
        <v>2322</v>
      </c>
      <c r="B288" s="486" t="s">
        <v>2321</v>
      </c>
      <c r="C288" s="486"/>
      <c r="D288" s="486" t="s">
        <v>577</v>
      </c>
    </row>
    <row r="289" ht="14.0">
      <c r="A289" s="486" t="s">
        <v>2324</v>
      </c>
      <c r="B289" s="486" t="s">
        <v>2323</v>
      </c>
      <c r="C289" s="486"/>
      <c r="D289" s="486" t="s">
        <v>577</v>
      </c>
    </row>
    <row r="290" ht="14.0">
      <c r="A290" s="486" t="s">
        <v>2326</v>
      </c>
      <c r="B290" s="486" t="s">
        <v>2325</v>
      </c>
      <c r="C290" s="36">
        <v>1000.0</v>
      </c>
      <c r="D290" s="486" t="s">
        <v>577</v>
      </c>
    </row>
    <row r="291" ht="14.0">
      <c r="A291" s="486" t="s">
        <v>2328</v>
      </c>
      <c r="B291" s="486" t="s">
        <v>2327</v>
      </c>
      <c r="C291" s="36">
        <v>1000.0</v>
      </c>
      <c r="D291" s="486"/>
    </row>
    <row r="292" ht="14.0">
      <c r="A292" s="486" t="s">
        <v>2330</v>
      </c>
      <c r="B292" s="486" t="s">
        <v>2329</v>
      </c>
      <c r="C292" s="36">
        <v>1000.0</v>
      </c>
      <c r="D292" s="486" t="s">
        <v>577</v>
      </c>
    </row>
    <row r="293" ht="14.0">
      <c r="A293" s="486" t="s">
        <v>2332</v>
      </c>
      <c r="B293" s="486" t="s">
        <v>2331</v>
      </c>
      <c r="C293" s="486"/>
      <c r="D293" s="486" t="s">
        <v>577</v>
      </c>
    </row>
    <row r="294" ht="14.0">
      <c r="A294" s="486" t="s">
        <v>2334</v>
      </c>
      <c r="B294" s="486" t="s">
        <v>2333</v>
      </c>
      <c r="C294" s="486"/>
      <c r="D294" s="486" t="s">
        <v>577</v>
      </c>
    </row>
    <row r="295" ht="14.0">
      <c r="A295" s="486" t="s">
        <v>7667</v>
      </c>
      <c r="B295" s="486" t="s">
        <v>2335</v>
      </c>
      <c r="C295" s="486">
        <v>500.0</v>
      </c>
      <c r="D295" s="486" t="s">
        <v>577</v>
      </c>
    </row>
    <row r="296" ht="14.0">
      <c r="A296" s="486" t="s">
        <v>2338</v>
      </c>
      <c r="B296" s="486" t="s">
        <v>2337</v>
      </c>
      <c r="C296" s="486"/>
      <c r="D296" s="486" t="s">
        <v>577</v>
      </c>
    </row>
    <row r="297" ht="14.0">
      <c r="A297" s="486" t="s">
        <v>2340</v>
      </c>
      <c r="B297" s="486" t="s">
        <v>2339</v>
      </c>
      <c r="C297" s="486">
        <v>150.0</v>
      </c>
      <c r="D297" s="486"/>
    </row>
    <row r="298" ht="14.0">
      <c r="A298" s="486" t="s">
        <v>2342</v>
      </c>
      <c r="B298" s="486" t="s">
        <v>2341</v>
      </c>
      <c r="C298" s="486"/>
      <c r="D298" s="486" t="s">
        <v>577</v>
      </c>
    </row>
    <row r="299" ht="14.0">
      <c r="A299" s="486" t="s">
        <v>2344</v>
      </c>
      <c r="B299" s="486" t="s">
        <v>2343</v>
      </c>
      <c r="C299" s="486"/>
      <c r="D299" s="486" t="s">
        <v>577</v>
      </c>
    </row>
    <row r="300" ht="14.0">
      <c r="A300" s="486" t="s">
        <v>2346</v>
      </c>
      <c r="B300" s="486" t="s">
        <v>2345</v>
      </c>
      <c r="C300" s="486"/>
      <c r="D300" s="486" t="s">
        <v>577</v>
      </c>
    </row>
    <row r="301" ht="14.0">
      <c r="A301" s="486" t="s">
        <v>2348</v>
      </c>
      <c r="B301" s="486" t="s">
        <v>2347</v>
      </c>
      <c r="C301" s="486"/>
      <c r="D301" s="486" t="s">
        <v>577</v>
      </c>
    </row>
    <row r="302" ht="14.0">
      <c r="A302" s="486" t="s">
        <v>2350</v>
      </c>
      <c r="B302" s="486" t="s">
        <v>2349</v>
      </c>
      <c r="C302" s="486"/>
      <c r="D302" s="486" t="s">
        <v>577</v>
      </c>
    </row>
    <row r="303" ht="14.0">
      <c r="A303" s="486" t="s">
        <v>7668</v>
      </c>
      <c r="B303" s="486" t="s">
        <v>2351</v>
      </c>
      <c r="C303" s="486"/>
      <c r="D303" s="486" t="s">
        <v>577</v>
      </c>
    </row>
    <row r="304" ht="14.0">
      <c r="A304" s="486" t="s">
        <v>6068</v>
      </c>
      <c r="B304" s="486" t="s">
        <v>6067</v>
      </c>
      <c r="C304" s="486">
        <v>500.0</v>
      </c>
      <c r="D304" s="486" t="s">
        <v>577</v>
      </c>
    </row>
    <row r="305" ht="14.0">
      <c r="A305" s="486" t="s">
        <v>6070</v>
      </c>
      <c r="B305" s="486" t="s">
        <v>6069</v>
      </c>
      <c r="C305" s="486">
        <v>500.0</v>
      </c>
      <c r="D305" s="486"/>
    </row>
    <row r="306" ht="14.0">
      <c r="A306" s="486" t="s">
        <v>6074</v>
      </c>
      <c r="B306" s="486" t="s">
        <v>6073</v>
      </c>
      <c r="C306" s="486">
        <v>500.0</v>
      </c>
      <c r="D306" s="486"/>
    </row>
    <row r="307" ht="14.0">
      <c r="A307" s="486" t="s">
        <v>6078</v>
      </c>
      <c r="B307" s="486" t="s">
        <v>6077</v>
      </c>
      <c r="C307" s="486">
        <v>500.0</v>
      </c>
      <c r="D307" s="486"/>
    </row>
    <row r="308" ht="14.0">
      <c r="A308" s="486" t="s">
        <v>2354</v>
      </c>
      <c r="B308" s="486" t="s">
        <v>2353</v>
      </c>
      <c r="C308" s="486">
        <v>500.0</v>
      </c>
      <c r="D308" s="486" t="s">
        <v>577</v>
      </c>
    </row>
    <row r="309" ht="14.0">
      <c r="A309" s="486" t="s">
        <v>2356</v>
      </c>
      <c r="B309" s="486" t="s">
        <v>2355</v>
      </c>
      <c r="C309" s="486"/>
      <c r="D309" s="486" t="s">
        <v>577</v>
      </c>
    </row>
    <row r="310" ht="14.0">
      <c r="A310" s="486" t="s">
        <v>2360</v>
      </c>
      <c r="B310" s="486" t="s">
        <v>2359</v>
      </c>
      <c r="C310" s="486"/>
      <c r="D310" s="486" t="s">
        <v>577</v>
      </c>
    </row>
    <row r="311" ht="14.0">
      <c r="A311" s="486" t="s">
        <v>2383</v>
      </c>
      <c r="B311" s="486">
        <v>34801.0</v>
      </c>
      <c r="C311" s="486"/>
      <c r="D311" s="486" t="s">
        <v>577</v>
      </c>
    </row>
    <row r="312" ht="14.0">
      <c r="A312" s="486" t="s">
        <v>2384</v>
      </c>
      <c r="B312" s="486">
        <v>34802.0</v>
      </c>
      <c r="C312" s="486"/>
      <c r="D312" s="486" t="s">
        <v>577</v>
      </c>
    </row>
    <row r="313" ht="14.0">
      <c r="A313" s="486" t="s">
        <v>2385</v>
      </c>
      <c r="B313" s="486">
        <v>34803.0</v>
      </c>
      <c r="C313" s="486"/>
      <c r="D313" s="486" t="s">
        <v>577</v>
      </c>
    </row>
    <row r="314" ht="14.0">
      <c r="A314" s="486" t="s">
        <v>2386</v>
      </c>
      <c r="B314" s="486">
        <v>34804.0</v>
      </c>
      <c r="C314" s="486"/>
      <c r="D314" s="486" t="s">
        <v>577</v>
      </c>
    </row>
    <row r="315" ht="14.0">
      <c r="A315" s="486" t="s">
        <v>2388</v>
      </c>
      <c r="B315" s="486" t="s">
        <v>2387</v>
      </c>
      <c r="C315" s="486">
        <v>30.0</v>
      </c>
      <c r="D315" s="486"/>
    </row>
    <row r="316" ht="14.0">
      <c r="A316" s="486" t="s">
        <v>2391</v>
      </c>
      <c r="B316" s="486">
        <v>92601.0</v>
      </c>
      <c r="C316" s="486"/>
      <c r="D316" s="486" t="s">
        <v>577</v>
      </c>
    </row>
    <row r="317" ht="14.0">
      <c r="A317" s="486" t="s">
        <v>2392</v>
      </c>
      <c r="B317" s="486">
        <v>92602.0</v>
      </c>
      <c r="C317" s="486"/>
      <c r="D317" s="486" t="s">
        <v>577</v>
      </c>
    </row>
    <row r="318" ht="14.0">
      <c r="A318" s="486" t="s">
        <v>2393</v>
      </c>
      <c r="B318" s="486">
        <v>92603.0</v>
      </c>
      <c r="C318" s="486"/>
      <c r="D318" s="486" t="s">
        <v>577</v>
      </c>
    </row>
    <row r="319" ht="14.0">
      <c r="A319" s="486" t="s">
        <v>2394</v>
      </c>
      <c r="B319" s="486">
        <v>92604.0</v>
      </c>
      <c r="C319" s="486"/>
      <c r="D319" s="486" t="s">
        <v>577</v>
      </c>
    </row>
    <row r="320" ht="14.0">
      <c r="A320" s="486" t="s">
        <v>2395</v>
      </c>
      <c r="B320" s="486">
        <v>92605.0</v>
      </c>
      <c r="C320" s="486"/>
      <c r="D320" s="486" t="s">
        <v>577</v>
      </c>
    </row>
    <row r="321" ht="14.0">
      <c r="A321" s="486" t="s">
        <v>2396</v>
      </c>
      <c r="B321" s="486">
        <v>92606.0</v>
      </c>
      <c r="C321" s="486"/>
      <c r="D321" s="486" t="s">
        <v>577</v>
      </c>
    </row>
    <row r="322" ht="14.0">
      <c r="A322" s="486" t="s">
        <v>2398</v>
      </c>
      <c r="B322" s="486">
        <v>92608.0</v>
      </c>
      <c r="C322" s="486"/>
      <c r="D322" s="486" t="s">
        <v>577</v>
      </c>
    </row>
    <row r="323" ht="14.0">
      <c r="A323" s="486" t="s">
        <v>2400</v>
      </c>
      <c r="B323" s="486">
        <v>92610.0</v>
      </c>
      <c r="C323" s="486"/>
      <c r="D323" s="486" t="s">
        <v>577</v>
      </c>
    </row>
    <row r="324" ht="14.0">
      <c r="A324" s="486" t="s">
        <v>2401</v>
      </c>
      <c r="B324" s="486">
        <v>92611.0</v>
      </c>
      <c r="C324" s="486"/>
      <c r="D324" s="486" t="s">
        <v>577</v>
      </c>
    </row>
    <row r="325" ht="14.0">
      <c r="A325" s="486" t="s">
        <v>2402</v>
      </c>
      <c r="B325" s="486">
        <v>92612.0</v>
      </c>
      <c r="C325" s="486"/>
      <c r="D325" s="486" t="s">
        <v>577</v>
      </c>
    </row>
    <row r="326" ht="14.0">
      <c r="A326" s="486" t="s">
        <v>2403</v>
      </c>
      <c r="B326" s="486">
        <v>92613.0</v>
      </c>
      <c r="C326" s="486"/>
      <c r="D326" s="486" t="s">
        <v>577</v>
      </c>
    </row>
    <row r="327" ht="14.0">
      <c r="A327" s="486" t="s">
        <v>2407</v>
      </c>
      <c r="B327" s="486">
        <v>92618.0</v>
      </c>
      <c r="C327" s="486"/>
      <c r="D327" s="486" t="s">
        <v>577</v>
      </c>
    </row>
    <row r="328" ht="14.0">
      <c r="A328" s="486" t="s">
        <v>2408</v>
      </c>
      <c r="B328" s="486">
        <v>92619.0</v>
      </c>
      <c r="C328" s="486"/>
      <c r="D328" s="486" t="s">
        <v>577</v>
      </c>
    </row>
    <row r="329" ht="14.0">
      <c r="A329" s="486" t="s">
        <v>2416</v>
      </c>
      <c r="B329" s="486" t="s">
        <v>2415</v>
      </c>
      <c r="C329" s="486"/>
      <c r="D329" s="486" t="s">
        <v>577</v>
      </c>
    </row>
    <row r="330" ht="14.0">
      <c r="A330" s="486" t="s">
        <v>2418</v>
      </c>
      <c r="B330" s="486" t="s">
        <v>2417</v>
      </c>
      <c r="C330" s="36">
        <v>1002.0</v>
      </c>
      <c r="D330" s="486"/>
    </row>
    <row r="331" ht="14.0">
      <c r="A331" s="486" t="s">
        <v>2420</v>
      </c>
      <c r="B331" s="486" t="s">
        <v>2419</v>
      </c>
      <c r="C331" s="36">
        <v>1002.0</v>
      </c>
      <c r="D331" s="486"/>
    </row>
    <row r="332" ht="14.0">
      <c r="A332" s="486" t="s">
        <v>2422</v>
      </c>
      <c r="B332" s="486" t="s">
        <v>2421</v>
      </c>
      <c r="C332" s="36">
        <v>1002.0</v>
      </c>
      <c r="D332" s="486"/>
    </row>
    <row r="333" ht="14.0">
      <c r="A333" s="486" t="s">
        <v>2424</v>
      </c>
      <c r="B333" s="486" t="s">
        <v>2423</v>
      </c>
      <c r="C333" s="36">
        <v>1002.0</v>
      </c>
      <c r="D333" s="486"/>
    </row>
    <row r="334" ht="14.0">
      <c r="A334" s="486" t="s">
        <v>2426</v>
      </c>
      <c r="B334" s="486" t="s">
        <v>2425</v>
      </c>
      <c r="C334" s="36">
        <v>1002.0</v>
      </c>
      <c r="D334" s="486"/>
    </row>
    <row r="335" ht="14.0">
      <c r="A335" s="486" t="s">
        <v>2428</v>
      </c>
      <c r="B335" s="486" t="s">
        <v>2427</v>
      </c>
      <c r="C335" s="36">
        <v>1002.0</v>
      </c>
      <c r="D335" s="486"/>
    </row>
    <row r="336" ht="14.0">
      <c r="A336" s="486" t="s">
        <v>2430</v>
      </c>
      <c r="B336" s="486" t="s">
        <v>2429</v>
      </c>
      <c r="C336" s="36">
        <v>1002.0</v>
      </c>
      <c r="D336" s="486"/>
    </row>
    <row r="337" ht="14.0">
      <c r="A337" s="486" t="s">
        <v>2432</v>
      </c>
      <c r="B337" s="486" t="s">
        <v>2431</v>
      </c>
      <c r="C337" s="36">
        <v>1002.0</v>
      </c>
      <c r="D337" s="486"/>
    </row>
    <row r="338" ht="14.0">
      <c r="A338" s="486" t="s">
        <v>2434</v>
      </c>
      <c r="B338" s="486" t="s">
        <v>2433</v>
      </c>
      <c r="C338" s="36">
        <v>1002.0</v>
      </c>
      <c r="D338" s="486"/>
    </row>
    <row r="339" ht="14.0">
      <c r="A339" s="486" t="s">
        <v>2436</v>
      </c>
      <c r="B339" s="486" t="s">
        <v>2435</v>
      </c>
      <c r="C339" s="36">
        <v>1002.0</v>
      </c>
      <c r="D339" s="486"/>
    </row>
    <row r="340" ht="14.0">
      <c r="A340" s="486" t="s">
        <v>2438</v>
      </c>
      <c r="B340" s="486" t="s">
        <v>2437</v>
      </c>
      <c r="C340" s="36">
        <v>1002.0</v>
      </c>
      <c r="D340" s="486"/>
    </row>
    <row r="341" ht="14.0">
      <c r="A341" s="486" t="s">
        <v>2440</v>
      </c>
      <c r="B341" s="486" t="s">
        <v>2439</v>
      </c>
      <c r="C341" s="36">
        <v>1002.0</v>
      </c>
      <c r="D341" s="486"/>
    </row>
    <row r="342" ht="14.0">
      <c r="A342" s="486" t="s">
        <v>2442</v>
      </c>
      <c r="B342" s="486" t="s">
        <v>2441</v>
      </c>
      <c r="C342" s="486"/>
      <c r="D342" s="486" t="s">
        <v>577</v>
      </c>
    </row>
    <row r="343" ht="14.0">
      <c r="A343" s="486" t="s">
        <v>97</v>
      </c>
      <c r="B343" s="486" t="s">
        <v>98</v>
      </c>
      <c r="C343" s="486"/>
      <c r="D343" s="486"/>
    </row>
    <row r="344" ht="14.0">
      <c r="A344" s="486" t="s">
        <v>75</v>
      </c>
      <c r="B344" s="486" t="s">
        <v>76</v>
      </c>
      <c r="C344" s="486"/>
      <c r="D344" s="486"/>
    </row>
    <row r="345" ht="14.0">
      <c r="A345" s="486" t="s">
        <v>80</v>
      </c>
      <c r="B345" s="486">
        <v>43332.0</v>
      </c>
      <c r="C345" s="486"/>
      <c r="D345" s="486"/>
    </row>
    <row r="346" ht="14.0">
      <c r="A346" s="486" t="s">
        <v>77</v>
      </c>
      <c r="B346" s="486">
        <v>43301.0</v>
      </c>
      <c r="C346" s="486"/>
      <c r="D346" s="486"/>
    </row>
    <row r="347" ht="14.0">
      <c r="A347" s="486" t="s">
        <v>78</v>
      </c>
      <c r="B347" s="486">
        <v>43302.0</v>
      </c>
      <c r="C347" s="486"/>
      <c r="D347" s="486"/>
    </row>
    <row r="348" ht="14.0">
      <c r="A348" s="486" t="s">
        <v>2470</v>
      </c>
      <c r="B348" s="486">
        <v>43303.0</v>
      </c>
      <c r="C348" s="486"/>
      <c r="D348" s="486" t="s">
        <v>577</v>
      </c>
    </row>
    <row r="349" ht="14.0">
      <c r="A349" s="486" t="s">
        <v>79</v>
      </c>
      <c r="B349" s="486">
        <v>43304.0</v>
      </c>
      <c r="C349" s="486"/>
      <c r="D349" s="486"/>
    </row>
    <row r="350" ht="14.0">
      <c r="A350" s="486" t="s">
        <v>109</v>
      </c>
      <c r="B350" s="486">
        <v>992432.0</v>
      </c>
      <c r="C350" s="486"/>
      <c r="D350" s="486"/>
    </row>
    <row r="351" ht="14.0">
      <c r="A351" s="486" t="s">
        <v>68</v>
      </c>
      <c r="B351" s="486">
        <v>41201.0</v>
      </c>
      <c r="C351" s="486"/>
      <c r="D351" s="486"/>
    </row>
    <row r="352" ht="14.0">
      <c r="A352" s="486" t="s">
        <v>69</v>
      </c>
      <c r="B352" s="486">
        <v>41202.0</v>
      </c>
      <c r="C352" s="486"/>
      <c r="D352" s="486"/>
    </row>
    <row r="353" ht="14.0">
      <c r="A353" s="486" t="s">
        <v>71</v>
      </c>
      <c r="B353" s="486">
        <v>41233.0</v>
      </c>
      <c r="C353" s="486"/>
      <c r="D353" s="486"/>
    </row>
    <row r="354" ht="14.0">
      <c r="A354" s="486" t="s">
        <v>72</v>
      </c>
      <c r="B354" s="486">
        <v>41234.0</v>
      </c>
      <c r="C354" s="486"/>
      <c r="D354" s="486"/>
    </row>
    <row r="355" ht="14.0">
      <c r="A355" s="486" t="s">
        <v>70</v>
      </c>
      <c r="B355" s="486">
        <v>41205.0</v>
      </c>
      <c r="C355" s="486"/>
      <c r="D355" s="486"/>
    </row>
    <row r="356" ht="14.0">
      <c r="A356" s="486" t="s">
        <v>2472</v>
      </c>
      <c r="B356" s="486">
        <v>41203.0</v>
      </c>
      <c r="C356" s="486"/>
      <c r="D356" s="486" t="s">
        <v>577</v>
      </c>
    </row>
    <row r="357" ht="14.0">
      <c r="A357" s="486" t="s">
        <v>2473</v>
      </c>
      <c r="B357" s="486">
        <v>41204.0</v>
      </c>
      <c r="C357" s="486"/>
      <c r="D357" s="486" t="s">
        <v>577</v>
      </c>
    </row>
    <row r="358" ht="14.0">
      <c r="A358" s="486" t="s">
        <v>64</v>
      </c>
      <c r="B358" s="486" t="s">
        <v>65</v>
      </c>
      <c r="C358" s="486"/>
      <c r="D358" s="486"/>
    </row>
    <row r="359" ht="14.0">
      <c r="A359" s="486" t="s">
        <v>66</v>
      </c>
      <c r="B359" s="486" t="s">
        <v>67</v>
      </c>
      <c r="C359" s="486"/>
      <c r="D359" s="486"/>
    </row>
    <row r="360" ht="14.0">
      <c r="A360" s="486" t="s">
        <v>148</v>
      </c>
      <c r="B360" s="486">
        <v>79602.0</v>
      </c>
      <c r="C360" s="486">
        <v>42.0</v>
      </c>
      <c r="D360" s="486"/>
    </row>
    <row r="361" ht="14.0">
      <c r="A361" s="486" t="s">
        <v>151</v>
      </c>
      <c r="B361" s="486">
        <v>79605.0</v>
      </c>
      <c r="C361" s="486">
        <v>42.0</v>
      </c>
      <c r="D361" s="486"/>
    </row>
    <row r="362" ht="14.0">
      <c r="A362" s="486" t="s">
        <v>149</v>
      </c>
      <c r="B362" s="486">
        <v>79603.0</v>
      </c>
      <c r="C362" s="486">
        <v>42.0</v>
      </c>
      <c r="D362" s="486"/>
    </row>
    <row r="363" ht="14.0">
      <c r="A363" s="486" t="s">
        <v>150</v>
      </c>
      <c r="B363" s="486">
        <v>79604.0</v>
      </c>
      <c r="C363" s="486">
        <v>42.0</v>
      </c>
      <c r="D363" s="486"/>
    </row>
    <row r="364" ht="14.0">
      <c r="A364" s="486" t="s">
        <v>152</v>
      </c>
      <c r="B364" s="486">
        <v>79606.0</v>
      </c>
      <c r="C364" s="486">
        <v>42.0</v>
      </c>
      <c r="D364" s="486"/>
    </row>
    <row r="365" ht="14.0">
      <c r="A365" s="486" t="s">
        <v>147</v>
      </c>
      <c r="B365" s="486">
        <v>79601.0</v>
      </c>
      <c r="C365" s="486">
        <v>42.0</v>
      </c>
      <c r="D365" s="486"/>
    </row>
    <row r="366" ht="14.0">
      <c r="A366" s="486" t="s">
        <v>145</v>
      </c>
      <c r="B366" s="486" t="s">
        <v>146</v>
      </c>
      <c r="C366" s="486"/>
      <c r="D366" s="486"/>
    </row>
    <row r="367" ht="14.0">
      <c r="A367" s="486" t="s">
        <v>2476</v>
      </c>
      <c r="B367" s="486">
        <v>40601.0</v>
      </c>
      <c r="C367" s="486"/>
      <c r="D367" s="486" t="s">
        <v>577</v>
      </c>
    </row>
    <row r="368" ht="14.0">
      <c r="A368" s="486" t="s">
        <v>2477</v>
      </c>
      <c r="B368" s="486">
        <v>40602.0</v>
      </c>
      <c r="C368" s="486"/>
      <c r="D368" s="486" t="s">
        <v>577</v>
      </c>
    </row>
    <row r="369" ht="14.0">
      <c r="A369" s="486" t="s">
        <v>2478</v>
      </c>
      <c r="B369" s="486">
        <v>40603.0</v>
      </c>
      <c r="C369" s="486"/>
      <c r="D369" s="486" t="s">
        <v>577</v>
      </c>
    </row>
    <row r="370" ht="14.0">
      <c r="A370" s="486" t="s">
        <v>2479</v>
      </c>
      <c r="B370" s="486">
        <v>40604.0</v>
      </c>
      <c r="C370" s="486"/>
      <c r="D370" s="486" t="s">
        <v>577</v>
      </c>
    </row>
    <row r="371" ht="14.0">
      <c r="A371" s="486" t="s">
        <v>2481</v>
      </c>
      <c r="B371" s="486" t="s">
        <v>2480</v>
      </c>
      <c r="C371" s="486"/>
      <c r="D371" s="486"/>
    </row>
    <row r="372" ht="14.0">
      <c r="A372" s="486" t="s">
        <v>2483</v>
      </c>
      <c r="B372" s="486" t="s">
        <v>2482</v>
      </c>
      <c r="C372" s="486"/>
      <c r="D372" s="486" t="s">
        <v>577</v>
      </c>
    </row>
    <row r="373" ht="14.0">
      <c r="A373" s="486" t="s">
        <v>102</v>
      </c>
      <c r="B373" s="486">
        <v>43203.0</v>
      </c>
      <c r="C373" s="486"/>
      <c r="D373" s="486"/>
    </row>
    <row r="374" ht="14.0">
      <c r="A374" s="486" t="s">
        <v>108</v>
      </c>
      <c r="B374" s="486">
        <v>43232.0</v>
      </c>
      <c r="C374" s="486"/>
      <c r="D374" s="486"/>
    </row>
    <row r="375" ht="14.0">
      <c r="A375" s="486" t="s">
        <v>106</v>
      </c>
      <c r="B375" s="486">
        <v>43206.0</v>
      </c>
      <c r="C375" s="486"/>
      <c r="D375" s="486"/>
    </row>
    <row r="376" ht="14.0">
      <c r="A376" s="486" t="s">
        <v>107</v>
      </c>
      <c r="B376" s="486">
        <v>43215.0</v>
      </c>
      <c r="C376" s="486"/>
      <c r="D376" s="486"/>
    </row>
    <row r="377" ht="14.0">
      <c r="A377" s="486" t="s">
        <v>103</v>
      </c>
      <c r="B377" s="486">
        <v>43213.0</v>
      </c>
      <c r="C377" s="486"/>
      <c r="D377" s="486"/>
    </row>
    <row r="378" ht="14.0">
      <c r="A378" s="486" t="s">
        <v>2485</v>
      </c>
      <c r="B378" s="486">
        <v>43212.0</v>
      </c>
      <c r="C378" s="486"/>
      <c r="D378" s="486" t="s">
        <v>577</v>
      </c>
    </row>
    <row r="379" ht="14.0">
      <c r="A379" s="486" t="s">
        <v>104</v>
      </c>
      <c r="B379" s="486">
        <v>43245.0</v>
      </c>
      <c r="C379" s="486"/>
      <c r="D379" s="486"/>
    </row>
    <row r="380" ht="14.0">
      <c r="A380" s="486" t="s">
        <v>2486</v>
      </c>
      <c r="B380" s="486">
        <v>43205.0</v>
      </c>
      <c r="C380" s="486"/>
      <c r="D380" s="486" t="s">
        <v>577</v>
      </c>
    </row>
    <row r="381" ht="14.0">
      <c r="A381" s="486" t="s">
        <v>105</v>
      </c>
      <c r="B381" s="486">
        <v>43204.0</v>
      </c>
      <c r="C381" s="486"/>
      <c r="D381" s="486"/>
    </row>
    <row r="382" ht="14.0">
      <c r="A382" s="486" t="s">
        <v>101</v>
      </c>
      <c r="B382" s="486">
        <v>43201.0</v>
      </c>
      <c r="C382" s="486"/>
      <c r="D382" s="486"/>
    </row>
    <row r="383" ht="14.0">
      <c r="A383" s="486" t="s">
        <v>99</v>
      </c>
      <c r="B383" s="486" t="s">
        <v>100</v>
      </c>
      <c r="C383" s="486"/>
      <c r="D383" s="486"/>
    </row>
    <row r="384" ht="14.0">
      <c r="A384" s="486" t="s">
        <v>2487</v>
      </c>
      <c r="B384" s="486">
        <v>40902.0</v>
      </c>
      <c r="C384" s="486"/>
      <c r="D384" s="486" t="s">
        <v>577</v>
      </c>
    </row>
    <row r="385" ht="14.0">
      <c r="A385" s="486" t="s">
        <v>2488</v>
      </c>
      <c r="B385" s="486">
        <v>40904.0</v>
      </c>
      <c r="C385" s="486"/>
      <c r="D385" s="486" t="s">
        <v>577</v>
      </c>
    </row>
    <row r="386" ht="14.0">
      <c r="A386" s="486" t="s">
        <v>2489</v>
      </c>
      <c r="B386" s="486">
        <v>40903.0</v>
      </c>
      <c r="C386" s="486"/>
      <c r="D386" s="486" t="s">
        <v>577</v>
      </c>
    </row>
    <row r="387" ht="14.0">
      <c r="A387" s="486" t="s">
        <v>2490</v>
      </c>
      <c r="B387" s="486">
        <v>40901.0</v>
      </c>
      <c r="C387" s="486"/>
      <c r="D387" s="486"/>
    </row>
    <row r="388" ht="14.0">
      <c r="A388" s="486" t="s">
        <v>2491</v>
      </c>
      <c r="B388" s="486">
        <v>40905.0</v>
      </c>
      <c r="C388" s="486"/>
      <c r="D388" s="486" t="s">
        <v>577</v>
      </c>
    </row>
    <row r="389" ht="14.0">
      <c r="A389" s="486" t="s">
        <v>2493</v>
      </c>
      <c r="B389" s="486" t="s">
        <v>2492</v>
      </c>
      <c r="C389" s="486"/>
      <c r="D389" s="486"/>
    </row>
    <row r="390" ht="14.0">
      <c r="A390" s="486" t="s">
        <v>2495</v>
      </c>
      <c r="B390" s="486" t="s">
        <v>2494</v>
      </c>
      <c r="C390" s="486"/>
      <c r="D390" s="486" t="s">
        <v>577</v>
      </c>
    </row>
    <row r="391" ht="14.0">
      <c r="A391" s="486" t="s">
        <v>125</v>
      </c>
      <c r="B391" s="486">
        <v>43110.0</v>
      </c>
      <c r="C391" s="486"/>
      <c r="D391" s="486"/>
    </row>
    <row r="392" ht="14.0">
      <c r="A392" s="486" t="s">
        <v>128</v>
      </c>
      <c r="B392" s="486">
        <v>43133.0</v>
      </c>
      <c r="C392" s="486"/>
      <c r="D392" s="486"/>
    </row>
    <row r="393" ht="14.0">
      <c r="A393" s="486" t="s">
        <v>132</v>
      </c>
      <c r="B393" s="486">
        <v>43150.0</v>
      </c>
      <c r="C393" s="486"/>
      <c r="D393" s="486"/>
    </row>
    <row r="394" ht="14.0">
      <c r="A394" s="486" t="s">
        <v>130</v>
      </c>
      <c r="B394" s="486">
        <v>43134.0</v>
      </c>
      <c r="C394" s="486"/>
      <c r="D394" s="486"/>
    </row>
    <row r="395" ht="14.0">
      <c r="A395" s="486" t="s">
        <v>131</v>
      </c>
      <c r="B395" s="486">
        <v>43145.0</v>
      </c>
      <c r="C395" s="486"/>
      <c r="D395" s="486"/>
    </row>
    <row r="396" ht="14.0">
      <c r="A396" s="486" t="s">
        <v>2496</v>
      </c>
      <c r="B396" s="486">
        <v>43108.0</v>
      </c>
      <c r="C396" s="486"/>
      <c r="D396" s="486" t="s">
        <v>577</v>
      </c>
    </row>
    <row r="397" ht="14.0">
      <c r="A397" s="486" t="s">
        <v>126</v>
      </c>
      <c r="B397" s="486">
        <v>43111.0</v>
      </c>
      <c r="C397" s="486"/>
      <c r="D397" s="486"/>
    </row>
    <row r="398" ht="14.0">
      <c r="A398" s="486" t="s">
        <v>120</v>
      </c>
      <c r="B398" s="486">
        <v>43101.0</v>
      </c>
      <c r="C398" s="486"/>
      <c r="D398" s="486"/>
    </row>
    <row r="399" ht="14.0">
      <c r="A399" s="486" t="s">
        <v>2497</v>
      </c>
      <c r="B399" s="486">
        <v>43103.0</v>
      </c>
      <c r="C399" s="486"/>
      <c r="D399" s="486" t="s">
        <v>577</v>
      </c>
    </row>
    <row r="400" ht="14.0">
      <c r="A400" s="486" t="s">
        <v>123</v>
      </c>
      <c r="B400" s="486">
        <v>43106.0</v>
      </c>
      <c r="C400" s="486"/>
      <c r="D400" s="486"/>
    </row>
    <row r="401" ht="14.0">
      <c r="A401" s="486" t="s">
        <v>122</v>
      </c>
      <c r="B401" s="486">
        <v>43105.0</v>
      </c>
      <c r="C401" s="486"/>
      <c r="D401" s="486"/>
    </row>
    <row r="402" ht="14.0">
      <c r="A402" s="486" t="s">
        <v>121</v>
      </c>
      <c r="B402" s="486">
        <v>43104.0</v>
      </c>
      <c r="C402" s="486"/>
      <c r="D402" s="486"/>
    </row>
    <row r="403" ht="14.0">
      <c r="A403" s="486" t="s">
        <v>127</v>
      </c>
      <c r="B403" s="486">
        <v>43112.0</v>
      </c>
      <c r="C403" s="486"/>
      <c r="D403" s="486"/>
    </row>
    <row r="404" ht="14.0">
      <c r="A404" s="486" t="s">
        <v>124</v>
      </c>
      <c r="B404" s="486">
        <v>43107.0</v>
      </c>
      <c r="C404" s="486"/>
      <c r="D404" s="486"/>
    </row>
    <row r="405" ht="14.0">
      <c r="A405" s="486" t="s">
        <v>118</v>
      </c>
      <c r="B405" s="486" t="s">
        <v>119</v>
      </c>
      <c r="C405" s="486"/>
      <c r="D405" s="486"/>
    </row>
    <row r="406" ht="14.0">
      <c r="A406" s="486" t="s">
        <v>139</v>
      </c>
      <c r="B406" s="486">
        <v>40701.0</v>
      </c>
      <c r="C406" s="486"/>
      <c r="D406" s="486"/>
    </row>
    <row r="407" ht="14.0">
      <c r="A407" s="486" t="s">
        <v>141</v>
      </c>
      <c r="B407" s="486">
        <v>40732.0</v>
      </c>
      <c r="C407" s="486"/>
      <c r="D407" s="486"/>
    </row>
    <row r="408" ht="14.0">
      <c r="A408" s="486" t="s">
        <v>140</v>
      </c>
      <c r="B408" s="486">
        <v>40702.0</v>
      </c>
      <c r="C408" s="486"/>
      <c r="D408" s="486"/>
    </row>
    <row r="409" ht="14.0">
      <c r="A409" s="486" t="s">
        <v>142</v>
      </c>
      <c r="B409" s="486">
        <v>40734.0</v>
      </c>
      <c r="C409" s="486"/>
      <c r="D409" s="486"/>
    </row>
    <row r="410" ht="14.0">
      <c r="A410" s="486" t="s">
        <v>2498</v>
      </c>
      <c r="B410" s="486">
        <v>40735.0</v>
      </c>
      <c r="C410" s="486"/>
      <c r="D410" s="486" t="s">
        <v>577</v>
      </c>
    </row>
    <row r="411" ht="14.0">
      <c r="A411" s="486" t="s">
        <v>143</v>
      </c>
      <c r="B411" s="486">
        <v>40746.0</v>
      </c>
      <c r="C411" s="486"/>
      <c r="D411" s="486"/>
    </row>
    <row r="412" ht="14.0">
      <c r="A412" s="486" t="s">
        <v>2501</v>
      </c>
      <c r="B412" s="486">
        <v>40703.0</v>
      </c>
      <c r="C412" s="486"/>
      <c r="D412" s="486" t="s">
        <v>577</v>
      </c>
    </row>
    <row r="413" ht="14.0">
      <c r="A413" s="486" t="s">
        <v>2502</v>
      </c>
      <c r="B413" s="486">
        <v>40704.0</v>
      </c>
      <c r="C413" s="486"/>
      <c r="D413" s="486" t="s">
        <v>577</v>
      </c>
    </row>
    <row r="414" ht="14.0">
      <c r="A414" s="486" t="s">
        <v>2504</v>
      </c>
      <c r="B414" s="486">
        <v>40705.0</v>
      </c>
      <c r="C414" s="486"/>
      <c r="D414" s="486" t="s">
        <v>577</v>
      </c>
    </row>
    <row r="415" ht="14.0">
      <c r="A415" s="486" t="s">
        <v>137</v>
      </c>
      <c r="B415" s="486" t="s">
        <v>138</v>
      </c>
      <c r="C415" s="486"/>
      <c r="D415" s="486"/>
    </row>
    <row r="416" ht="14.0">
      <c r="A416" s="486" t="s">
        <v>135</v>
      </c>
      <c r="B416" s="486" t="s">
        <v>136</v>
      </c>
      <c r="C416" s="486"/>
      <c r="D416" s="486"/>
    </row>
    <row r="417" ht="14.0">
      <c r="A417" s="486" t="s">
        <v>133</v>
      </c>
      <c r="B417" s="486">
        <v>43190.0</v>
      </c>
      <c r="C417" s="486"/>
      <c r="D417" s="486"/>
    </row>
    <row r="418" ht="14.0">
      <c r="A418" s="486" t="s">
        <v>116</v>
      </c>
      <c r="B418" s="486" t="s">
        <v>117</v>
      </c>
      <c r="C418" s="486"/>
      <c r="D418" s="486"/>
    </row>
    <row r="419" ht="14.0">
      <c r="A419" s="486" t="s">
        <v>2506</v>
      </c>
      <c r="B419" s="486">
        <v>53822.0</v>
      </c>
      <c r="C419" s="486">
        <v>240.0</v>
      </c>
      <c r="D419" s="486"/>
    </row>
    <row r="420" ht="14.0">
      <c r="A420" s="486" t="s">
        <v>2507</v>
      </c>
      <c r="B420" s="486">
        <v>53833.0</v>
      </c>
      <c r="C420" s="486">
        <v>240.0</v>
      </c>
      <c r="D420" s="486"/>
    </row>
    <row r="421" ht="14.0">
      <c r="A421" s="486" t="s">
        <v>2508</v>
      </c>
      <c r="B421" s="486">
        <v>53834.0</v>
      </c>
      <c r="C421" s="486">
        <v>240.0</v>
      </c>
      <c r="D421" s="486"/>
    </row>
    <row r="422" ht="14.0">
      <c r="A422" s="486" t="s">
        <v>2509</v>
      </c>
      <c r="B422" s="486">
        <v>53845.0</v>
      </c>
      <c r="C422" s="486">
        <v>240.0</v>
      </c>
      <c r="D422" s="486"/>
    </row>
    <row r="423" ht="14.0">
      <c r="A423" s="486" t="s">
        <v>2510</v>
      </c>
      <c r="B423" s="486">
        <v>53852.0</v>
      </c>
      <c r="C423" s="486">
        <v>240.0</v>
      </c>
      <c r="D423" s="486"/>
    </row>
    <row r="424" ht="14.0">
      <c r="A424" s="486" t="s">
        <v>2512</v>
      </c>
      <c r="B424" s="486" t="s">
        <v>2511</v>
      </c>
      <c r="C424" s="486"/>
      <c r="D424" s="486"/>
    </row>
    <row r="425" ht="14.0">
      <c r="A425" s="486" t="s">
        <v>158</v>
      </c>
      <c r="B425" s="486">
        <v>40501.0</v>
      </c>
      <c r="C425" s="486"/>
      <c r="D425" s="486"/>
    </row>
    <row r="426" ht="14.0">
      <c r="A426" s="486" t="s">
        <v>159</v>
      </c>
      <c r="B426" s="486">
        <v>40502.0</v>
      </c>
      <c r="C426" s="486"/>
      <c r="D426" s="486"/>
    </row>
    <row r="427" ht="14.0">
      <c r="A427" s="486" t="s">
        <v>161</v>
      </c>
      <c r="B427" s="486">
        <v>40533.0</v>
      </c>
      <c r="C427" s="486"/>
      <c r="D427" s="486"/>
    </row>
    <row r="428" ht="14.0">
      <c r="A428" s="486" t="s">
        <v>162</v>
      </c>
      <c r="B428" s="486">
        <v>40534.0</v>
      </c>
      <c r="C428" s="486"/>
      <c r="D428" s="486"/>
    </row>
    <row r="429" ht="14.0">
      <c r="A429" s="486" t="s">
        <v>160</v>
      </c>
      <c r="B429" s="486">
        <v>40523.0</v>
      </c>
      <c r="C429" s="486"/>
      <c r="D429" s="486"/>
    </row>
    <row r="430" ht="14.0">
      <c r="A430" s="486" t="s">
        <v>2513</v>
      </c>
      <c r="B430" s="486">
        <v>40504.0</v>
      </c>
      <c r="C430" s="486">
        <v>240.0</v>
      </c>
      <c r="D430" s="486" t="s">
        <v>7655</v>
      </c>
    </row>
    <row r="431" ht="14.0">
      <c r="A431" s="486" t="s">
        <v>2514</v>
      </c>
      <c r="B431" s="486">
        <v>40503.0</v>
      </c>
      <c r="C431" s="486"/>
      <c r="D431" s="486"/>
    </row>
    <row r="432" ht="14.0">
      <c r="A432" s="486" t="s">
        <v>156</v>
      </c>
      <c r="B432" s="486" t="s">
        <v>157</v>
      </c>
      <c r="C432" s="486"/>
      <c r="D432" s="486"/>
    </row>
    <row r="433" ht="14.0">
      <c r="A433" s="486" t="s">
        <v>154</v>
      </c>
      <c r="B433" s="486" t="s">
        <v>155</v>
      </c>
      <c r="C433" s="486"/>
      <c r="D433" s="486"/>
    </row>
    <row r="434" ht="14.0">
      <c r="A434" s="486" t="s">
        <v>91</v>
      </c>
      <c r="B434" s="486">
        <v>43010.0</v>
      </c>
      <c r="C434" s="486"/>
      <c r="D434" s="486"/>
    </row>
    <row r="435" ht="14.0">
      <c r="A435" s="486" t="s">
        <v>92</v>
      </c>
      <c r="B435" s="486">
        <v>43011.0</v>
      </c>
      <c r="C435" s="486"/>
      <c r="D435" s="486"/>
    </row>
    <row r="436" ht="14.0">
      <c r="A436" s="486" t="s">
        <v>2515</v>
      </c>
      <c r="B436" s="486">
        <v>43008.0</v>
      </c>
      <c r="C436" s="486"/>
      <c r="D436" s="486"/>
    </row>
    <row r="437" ht="14.0">
      <c r="A437" s="486" t="s">
        <v>86</v>
      </c>
      <c r="B437" s="486">
        <v>43001.0</v>
      </c>
      <c r="C437" s="486"/>
      <c r="D437" s="486"/>
    </row>
    <row r="438" ht="14.0">
      <c r="A438" s="486" t="s">
        <v>88</v>
      </c>
      <c r="B438" s="486">
        <v>43003.0</v>
      </c>
      <c r="C438" s="486"/>
      <c r="D438" s="486"/>
    </row>
    <row r="439" ht="14.0">
      <c r="A439" s="486" t="s">
        <v>90</v>
      </c>
      <c r="B439" s="486">
        <v>43006.0</v>
      </c>
      <c r="C439" s="486"/>
      <c r="D439" s="486"/>
    </row>
    <row r="440" ht="14.0">
      <c r="A440" s="486" t="s">
        <v>89</v>
      </c>
      <c r="B440" s="486">
        <v>43004.0</v>
      </c>
      <c r="C440" s="486"/>
      <c r="D440" s="486"/>
    </row>
    <row r="441" ht="14.0">
      <c r="A441" s="486" t="s">
        <v>93</v>
      </c>
      <c r="B441" s="486">
        <v>43012.0</v>
      </c>
      <c r="C441" s="486"/>
      <c r="D441" s="486"/>
    </row>
    <row r="442" ht="14.0">
      <c r="A442" s="486" t="s">
        <v>84</v>
      </c>
      <c r="B442" s="486" t="s">
        <v>85</v>
      </c>
      <c r="C442" s="486"/>
      <c r="D442" s="486" t="s">
        <v>577</v>
      </c>
    </row>
    <row r="443" ht="14.0">
      <c r="A443" s="486" t="s">
        <v>82</v>
      </c>
      <c r="B443" s="486" t="s">
        <v>83</v>
      </c>
      <c r="C443" s="486"/>
      <c r="D443" s="486"/>
    </row>
    <row r="444" ht="14.0">
      <c r="A444" s="486" t="s">
        <v>2518</v>
      </c>
      <c r="B444" s="486">
        <v>41101.0</v>
      </c>
      <c r="C444" s="486"/>
      <c r="D444" s="486"/>
    </row>
    <row r="445" ht="14.0">
      <c r="A445" s="486" t="s">
        <v>2519</v>
      </c>
      <c r="B445" s="486">
        <v>41103.0</v>
      </c>
      <c r="C445" s="486"/>
      <c r="D445" s="486"/>
    </row>
    <row r="446" ht="14.0">
      <c r="A446" s="486" t="s">
        <v>2520</v>
      </c>
      <c r="B446" s="486">
        <v>41102.0</v>
      </c>
      <c r="C446" s="486"/>
      <c r="D446" s="486"/>
    </row>
    <row r="447" ht="14.0">
      <c r="A447" s="486" t="s">
        <v>2521</v>
      </c>
      <c r="B447" s="486">
        <v>41104.0</v>
      </c>
      <c r="C447" s="486"/>
      <c r="D447" s="486"/>
    </row>
    <row r="448" ht="14.0">
      <c r="A448" s="486" t="s">
        <v>2523</v>
      </c>
      <c r="B448" s="486" t="s">
        <v>2522</v>
      </c>
      <c r="C448" s="486"/>
      <c r="D448" s="486"/>
    </row>
    <row r="449" ht="14.0">
      <c r="A449" s="486" t="s">
        <v>7669</v>
      </c>
      <c r="B449" s="486" t="s">
        <v>2524</v>
      </c>
      <c r="C449" s="486"/>
      <c r="D449" s="486"/>
    </row>
    <row r="450" ht="14.0">
      <c r="A450" s="486" t="s">
        <v>171</v>
      </c>
      <c r="B450" s="486">
        <v>41001.0</v>
      </c>
      <c r="C450" s="486"/>
      <c r="D450" s="486"/>
    </row>
    <row r="451" ht="14.0">
      <c r="A451" s="486" t="s">
        <v>172</v>
      </c>
      <c r="B451" s="486">
        <v>41002.0</v>
      </c>
      <c r="C451" s="486"/>
      <c r="D451" s="486"/>
    </row>
    <row r="452" ht="14.0">
      <c r="A452" s="486" t="s">
        <v>2526</v>
      </c>
      <c r="B452" s="486">
        <v>41005.0</v>
      </c>
      <c r="C452" s="486"/>
      <c r="D452" s="486"/>
    </row>
    <row r="453" ht="14.0">
      <c r="A453" s="486" t="s">
        <v>174</v>
      </c>
      <c r="B453" s="486">
        <v>41034.0</v>
      </c>
      <c r="C453" s="486"/>
      <c r="D453" s="486"/>
    </row>
    <row r="454" ht="14.0">
      <c r="A454" s="486" t="s">
        <v>173</v>
      </c>
      <c r="B454" s="486">
        <v>41023.0</v>
      </c>
      <c r="C454" s="486"/>
      <c r="D454" s="486"/>
    </row>
    <row r="455" ht="14.0">
      <c r="A455" s="486" t="s">
        <v>2527</v>
      </c>
      <c r="B455" s="486">
        <v>41004.0</v>
      </c>
      <c r="C455" s="486"/>
      <c r="D455" s="486" t="s">
        <v>577</v>
      </c>
    </row>
    <row r="456" ht="14.0">
      <c r="A456" s="486" t="s">
        <v>2528</v>
      </c>
      <c r="B456" s="486">
        <v>41003.0</v>
      </c>
      <c r="C456" s="486"/>
      <c r="D456" s="486"/>
    </row>
    <row r="457" ht="14.0">
      <c r="A457" s="486" t="s">
        <v>2530</v>
      </c>
      <c r="B457" s="486" t="s">
        <v>2529</v>
      </c>
      <c r="C457" s="486"/>
      <c r="D457" s="486" t="s">
        <v>577</v>
      </c>
    </row>
    <row r="458" ht="14.0">
      <c r="A458" s="486" t="s">
        <v>2534</v>
      </c>
      <c r="B458" s="486" t="s">
        <v>2533</v>
      </c>
      <c r="C458" s="486"/>
      <c r="D458" s="486"/>
    </row>
    <row r="459" ht="14.0">
      <c r="A459" s="486" t="s">
        <v>2536</v>
      </c>
      <c r="B459" s="486" t="s">
        <v>2535</v>
      </c>
      <c r="C459" s="486"/>
      <c r="D459" s="486"/>
    </row>
    <row r="460" ht="14.0">
      <c r="A460" s="486" t="s">
        <v>2538</v>
      </c>
      <c r="B460" s="486" t="s">
        <v>2537</v>
      </c>
      <c r="C460" s="486"/>
      <c r="D460" s="486"/>
    </row>
    <row r="461" ht="14.0">
      <c r="A461" s="486" t="s">
        <v>2591</v>
      </c>
      <c r="B461" s="486" t="s">
        <v>2590</v>
      </c>
      <c r="C461" s="486"/>
      <c r="D461" s="486" t="s">
        <v>577</v>
      </c>
    </row>
    <row r="462" ht="14.0">
      <c r="A462" s="486" t="s">
        <v>434</v>
      </c>
      <c r="B462" s="486" t="s">
        <v>435</v>
      </c>
      <c r="C462" s="486">
        <v>200.0</v>
      </c>
      <c r="D462" s="486"/>
    </row>
    <row r="463" ht="14.0">
      <c r="A463" s="486" t="s">
        <v>2605</v>
      </c>
      <c r="B463" s="486" t="s">
        <v>2604</v>
      </c>
      <c r="C463" s="36">
        <v>1000.0</v>
      </c>
      <c r="D463" s="486" t="s">
        <v>577</v>
      </c>
    </row>
    <row r="464" ht="14.0">
      <c r="A464" s="486" t="s">
        <v>2607</v>
      </c>
      <c r="B464" s="486" t="s">
        <v>2606</v>
      </c>
      <c r="C464" s="36">
        <v>1000.0</v>
      </c>
      <c r="D464" s="486" t="s">
        <v>577</v>
      </c>
    </row>
    <row r="465" ht="14.0">
      <c r="A465" s="486" t="s">
        <v>2609</v>
      </c>
      <c r="B465" s="486" t="s">
        <v>2608</v>
      </c>
      <c r="C465" s="36">
        <v>1000.0</v>
      </c>
      <c r="D465" s="486" t="s">
        <v>577</v>
      </c>
    </row>
    <row r="466" ht="14.0">
      <c r="A466" s="486" t="s">
        <v>2611</v>
      </c>
      <c r="B466" s="486" t="s">
        <v>2610</v>
      </c>
      <c r="C466" s="36">
        <v>1000.0</v>
      </c>
      <c r="D466" s="486" t="s">
        <v>577</v>
      </c>
    </row>
    <row r="467" ht="14.0">
      <c r="A467" s="486" t="s">
        <v>2617</v>
      </c>
      <c r="B467" s="486" t="s">
        <v>2616</v>
      </c>
      <c r="C467" s="486">
        <v>150.0</v>
      </c>
      <c r="D467" s="486" t="s">
        <v>577</v>
      </c>
    </row>
    <row r="468" ht="14.0">
      <c r="A468" s="486" t="s">
        <v>2619</v>
      </c>
      <c r="B468" s="486" t="s">
        <v>2618</v>
      </c>
      <c r="C468" s="486">
        <v>150.0</v>
      </c>
      <c r="D468" s="486" t="s">
        <v>577</v>
      </c>
    </row>
    <row r="469" ht="14.0">
      <c r="A469" s="486" t="s">
        <v>2645</v>
      </c>
      <c r="B469" s="486" t="s">
        <v>2644</v>
      </c>
      <c r="C469" s="486"/>
      <c r="D469" s="486" t="s">
        <v>577</v>
      </c>
    </row>
    <row r="470" ht="14.0">
      <c r="A470" s="486" t="s">
        <v>2649</v>
      </c>
      <c r="B470" s="486" t="s">
        <v>2648</v>
      </c>
      <c r="C470" s="486"/>
      <c r="D470" s="486" t="s">
        <v>577</v>
      </c>
    </row>
    <row r="471" ht="14.0">
      <c r="A471" s="486" t="s">
        <v>2651</v>
      </c>
      <c r="B471" s="486" t="s">
        <v>2650</v>
      </c>
      <c r="C471" s="486"/>
      <c r="D471" s="486" t="s">
        <v>577</v>
      </c>
    </row>
    <row r="472" ht="14.0">
      <c r="A472" s="486" t="s">
        <v>2653</v>
      </c>
      <c r="B472" s="486" t="s">
        <v>2652</v>
      </c>
      <c r="C472" s="486"/>
      <c r="D472" s="486" t="s">
        <v>577</v>
      </c>
    </row>
    <row r="473" ht="14.0">
      <c r="A473" s="486" t="s">
        <v>2655</v>
      </c>
      <c r="B473" s="486" t="s">
        <v>2654</v>
      </c>
      <c r="C473" s="486"/>
      <c r="D473" s="486" t="s">
        <v>577</v>
      </c>
    </row>
    <row r="474" ht="14.0">
      <c r="A474" s="486" t="s">
        <v>2657</v>
      </c>
      <c r="B474" s="486" t="s">
        <v>2656</v>
      </c>
      <c r="C474" s="486"/>
      <c r="D474" s="486" t="s">
        <v>577</v>
      </c>
    </row>
    <row r="475" ht="14.0">
      <c r="A475" s="486" t="s">
        <v>2661</v>
      </c>
      <c r="B475" s="486" t="s">
        <v>2660</v>
      </c>
      <c r="C475" s="486"/>
      <c r="D475" s="486" t="s">
        <v>577</v>
      </c>
    </row>
    <row r="476" ht="14.0">
      <c r="A476" s="486" t="s">
        <v>2667</v>
      </c>
      <c r="B476" s="486" t="s">
        <v>2666</v>
      </c>
      <c r="C476" s="486"/>
      <c r="D476" s="486" t="s">
        <v>577</v>
      </c>
    </row>
    <row r="477" ht="14.0">
      <c r="A477" s="486" t="s">
        <v>2669</v>
      </c>
      <c r="B477" s="486" t="s">
        <v>2668</v>
      </c>
      <c r="C477" s="486"/>
      <c r="D477" s="486" t="s">
        <v>577</v>
      </c>
    </row>
    <row r="478" ht="14.0">
      <c r="A478" s="486" t="s">
        <v>2671</v>
      </c>
      <c r="B478" s="486" t="s">
        <v>2670</v>
      </c>
      <c r="C478" s="486"/>
      <c r="D478" s="486" t="s">
        <v>577</v>
      </c>
    </row>
    <row r="479" ht="14.0">
      <c r="A479" s="486" t="s">
        <v>2673</v>
      </c>
      <c r="B479" s="486" t="s">
        <v>2672</v>
      </c>
      <c r="C479" s="486"/>
      <c r="D479" s="486" t="s">
        <v>577</v>
      </c>
    </row>
    <row r="480" ht="14.0">
      <c r="A480" s="486" t="s">
        <v>2675</v>
      </c>
      <c r="B480" s="486" t="s">
        <v>2674</v>
      </c>
      <c r="C480" s="486">
        <v>5.0</v>
      </c>
      <c r="D480" s="486"/>
    </row>
    <row r="481" ht="14.0">
      <c r="A481" s="486" t="s">
        <v>2677</v>
      </c>
      <c r="B481" s="486" t="s">
        <v>2676</v>
      </c>
      <c r="C481" s="486">
        <v>5.0</v>
      </c>
      <c r="D481" s="486"/>
    </row>
    <row r="482" ht="14.0">
      <c r="A482" s="486" t="s">
        <v>2679</v>
      </c>
      <c r="B482" s="486" t="s">
        <v>2678</v>
      </c>
      <c r="C482" s="486">
        <v>5.0</v>
      </c>
      <c r="D482" s="486"/>
    </row>
    <row r="483" ht="14.0">
      <c r="A483" s="486" t="s">
        <v>2681</v>
      </c>
      <c r="B483" s="486" t="s">
        <v>2680</v>
      </c>
      <c r="C483" s="486">
        <v>5.0</v>
      </c>
      <c r="D483" s="486"/>
    </row>
    <row r="484" ht="14.0">
      <c r="A484" s="486" t="s">
        <v>2683</v>
      </c>
      <c r="B484" s="486" t="s">
        <v>2682</v>
      </c>
      <c r="C484" s="486">
        <v>5.0</v>
      </c>
      <c r="D484" s="486"/>
    </row>
    <row r="485" ht="14.0">
      <c r="A485" s="486" t="s">
        <v>2685</v>
      </c>
      <c r="B485" s="486" t="s">
        <v>2684</v>
      </c>
      <c r="C485" s="486">
        <v>5.0</v>
      </c>
      <c r="D485" s="486"/>
    </row>
    <row r="486" ht="14.0">
      <c r="A486" s="486" t="s">
        <v>2687</v>
      </c>
      <c r="B486" s="486" t="s">
        <v>2686</v>
      </c>
      <c r="C486" s="486">
        <v>5.0</v>
      </c>
      <c r="D486" s="486"/>
    </row>
    <row r="487" ht="14.0">
      <c r="A487" s="486" t="s">
        <v>2689</v>
      </c>
      <c r="B487" s="486" t="s">
        <v>2688</v>
      </c>
      <c r="C487" s="486">
        <v>5.0</v>
      </c>
      <c r="D487" s="486"/>
    </row>
    <row r="488" ht="14.0">
      <c r="A488" s="486" t="s">
        <v>2691</v>
      </c>
      <c r="B488" s="486" t="s">
        <v>2690</v>
      </c>
      <c r="C488" s="486">
        <v>5.0</v>
      </c>
      <c r="D488" s="486"/>
    </row>
    <row r="489" ht="14.0">
      <c r="A489" s="486" t="s">
        <v>2693</v>
      </c>
      <c r="B489" s="486" t="s">
        <v>2692</v>
      </c>
      <c r="C489" s="486">
        <v>5.0</v>
      </c>
      <c r="D489" s="486"/>
    </row>
    <row r="490" ht="14.0">
      <c r="A490" s="486" t="s">
        <v>2695</v>
      </c>
      <c r="B490" s="486" t="s">
        <v>2694</v>
      </c>
      <c r="C490" s="486">
        <v>5.0</v>
      </c>
      <c r="D490" s="486"/>
    </row>
    <row r="491" ht="14.0">
      <c r="A491" s="486" t="s">
        <v>2697</v>
      </c>
      <c r="B491" s="486" t="s">
        <v>2696</v>
      </c>
      <c r="C491" s="486">
        <v>5.0</v>
      </c>
      <c r="D491" s="486"/>
    </row>
    <row r="492" ht="14.0">
      <c r="A492" s="486" t="s">
        <v>2699</v>
      </c>
      <c r="B492" s="486" t="s">
        <v>2698</v>
      </c>
      <c r="C492" s="486">
        <v>5.0</v>
      </c>
      <c r="D492" s="486"/>
    </row>
    <row r="493" ht="14.0">
      <c r="A493" s="486" t="s">
        <v>2701</v>
      </c>
      <c r="B493" s="486" t="s">
        <v>2700</v>
      </c>
      <c r="C493" s="486">
        <v>5.0</v>
      </c>
      <c r="D493" s="486"/>
    </row>
    <row r="494" ht="14.0">
      <c r="A494" s="486" t="s">
        <v>2703</v>
      </c>
      <c r="B494" s="486" t="s">
        <v>2702</v>
      </c>
      <c r="C494" s="486">
        <v>5.0</v>
      </c>
      <c r="D494" s="486"/>
    </row>
    <row r="495" ht="14.0">
      <c r="A495" s="486" t="s">
        <v>2705</v>
      </c>
      <c r="B495" s="486" t="s">
        <v>2704</v>
      </c>
      <c r="C495" s="486">
        <v>5.0</v>
      </c>
      <c r="D495" s="486"/>
    </row>
    <row r="496" ht="14.0">
      <c r="A496" s="486" t="s">
        <v>2707</v>
      </c>
      <c r="B496" s="486" t="s">
        <v>2706</v>
      </c>
      <c r="C496" s="486">
        <v>5.0</v>
      </c>
      <c r="D496" s="486"/>
    </row>
    <row r="497" ht="14.0">
      <c r="A497" s="486" t="s">
        <v>2709</v>
      </c>
      <c r="B497" s="486" t="s">
        <v>2708</v>
      </c>
      <c r="C497" s="486">
        <v>5.0</v>
      </c>
      <c r="D497" s="486"/>
    </row>
    <row r="498" ht="14.0">
      <c r="A498" s="486" t="s">
        <v>2711</v>
      </c>
      <c r="B498" s="486" t="s">
        <v>2710</v>
      </c>
      <c r="C498" s="486">
        <v>5.0</v>
      </c>
      <c r="D498" s="486"/>
    </row>
    <row r="499" ht="14.0">
      <c r="A499" s="486" t="s">
        <v>2713</v>
      </c>
      <c r="B499" s="486" t="s">
        <v>2712</v>
      </c>
      <c r="C499" s="486">
        <v>5.0</v>
      </c>
      <c r="D499" s="486"/>
    </row>
    <row r="500" ht="14.0">
      <c r="A500" s="486" t="s">
        <v>2715</v>
      </c>
      <c r="B500" s="486" t="s">
        <v>2714</v>
      </c>
      <c r="C500" s="486">
        <v>5.0</v>
      </c>
      <c r="D500" s="486"/>
    </row>
    <row r="501" ht="14.0">
      <c r="A501" s="486" t="s">
        <v>2717</v>
      </c>
      <c r="B501" s="486" t="s">
        <v>2716</v>
      </c>
      <c r="C501" s="486">
        <v>5.0</v>
      </c>
      <c r="D501" s="486" t="s">
        <v>7655</v>
      </c>
    </row>
    <row r="502" ht="14.0">
      <c r="A502" s="486" t="s">
        <v>2719</v>
      </c>
      <c r="B502" s="486" t="s">
        <v>2718</v>
      </c>
      <c r="C502" s="486">
        <v>5.0</v>
      </c>
      <c r="D502" s="486"/>
    </row>
    <row r="503" ht="14.0">
      <c r="A503" s="486" t="s">
        <v>2721</v>
      </c>
      <c r="B503" s="486" t="s">
        <v>2720</v>
      </c>
      <c r="C503" s="486">
        <v>5.0</v>
      </c>
      <c r="D503" s="486"/>
    </row>
    <row r="504" ht="14.0">
      <c r="A504" s="486" t="s">
        <v>2723</v>
      </c>
      <c r="B504" s="486" t="s">
        <v>2722</v>
      </c>
      <c r="C504" s="486">
        <v>5.0</v>
      </c>
      <c r="D504" s="486"/>
    </row>
    <row r="505" ht="14.0">
      <c r="A505" s="486" t="s">
        <v>2725</v>
      </c>
      <c r="B505" s="486" t="s">
        <v>2724</v>
      </c>
      <c r="C505" s="486">
        <v>5.0</v>
      </c>
      <c r="D505" s="486"/>
    </row>
    <row r="506" ht="14.0">
      <c r="A506" s="486" t="s">
        <v>2727</v>
      </c>
      <c r="B506" s="486" t="s">
        <v>2726</v>
      </c>
      <c r="C506" s="486">
        <v>5.0</v>
      </c>
      <c r="D506" s="486"/>
    </row>
    <row r="507" ht="14.0">
      <c r="A507" s="486" t="s">
        <v>2729</v>
      </c>
      <c r="B507" s="486" t="s">
        <v>2728</v>
      </c>
      <c r="C507" s="486">
        <v>5.0</v>
      </c>
      <c r="D507" s="486"/>
    </row>
    <row r="508" ht="14.0">
      <c r="A508" s="486" t="s">
        <v>2731</v>
      </c>
      <c r="B508" s="486" t="s">
        <v>2730</v>
      </c>
      <c r="C508" s="486">
        <v>5.0</v>
      </c>
      <c r="D508" s="486"/>
    </row>
    <row r="509" ht="14.0">
      <c r="A509" s="486" t="s">
        <v>2733</v>
      </c>
      <c r="B509" s="486" t="s">
        <v>2732</v>
      </c>
      <c r="C509" s="486">
        <v>5.0</v>
      </c>
      <c r="D509" s="486"/>
    </row>
    <row r="510" ht="14.0">
      <c r="A510" s="486" t="s">
        <v>2735</v>
      </c>
      <c r="B510" s="486" t="s">
        <v>2734</v>
      </c>
      <c r="C510" s="486">
        <v>5.0</v>
      </c>
      <c r="D510" s="486"/>
    </row>
    <row r="511" ht="14.0">
      <c r="A511" s="486" t="s">
        <v>2737</v>
      </c>
      <c r="B511" s="486" t="s">
        <v>2736</v>
      </c>
      <c r="C511" s="486">
        <v>5.0</v>
      </c>
      <c r="D511" s="486"/>
    </row>
    <row r="512" ht="14.0">
      <c r="A512" s="486" t="s">
        <v>2739</v>
      </c>
      <c r="B512" s="486" t="s">
        <v>2738</v>
      </c>
      <c r="C512" s="486">
        <v>5.0</v>
      </c>
      <c r="D512" s="486"/>
    </row>
    <row r="513" ht="14.0">
      <c r="A513" s="486" t="s">
        <v>2741</v>
      </c>
      <c r="B513" s="486" t="s">
        <v>2740</v>
      </c>
      <c r="C513" s="486">
        <v>5.0</v>
      </c>
      <c r="D513" s="486"/>
    </row>
    <row r="514" ht="14.0">
      <c r="A514" s="486" t="s">
        <v>2743</v>
      </c>
      <c r="B514" s="486" t="s">
        <v>2742</v>
      </c>
      <c r="C514" s="486">
        <v>5.0</v>
      </c>
      <c r="D514" s="486"/>
    </row>
    <row r="515" ht="14.0">
      <c r="A515" s="486" t="s">
        <v>2745</v>
      </c>
      <c r="B515" s="486" t="s">
        <v>2744</v>
      </c>
      <c r="C515" s="486">
        <v>5.0</v>
      </c>
      <c r="D515" s="486"/>
    </row>
    <row r="516" ht="14.0">
      <c r="A516" s="486" t="s">
        <v>2747</v>
      </c>
      <c r="B516" s="486" t="s">
        <v>2746</v>
      </c>
      <c r="C516" s="486">
        <v>5.0</v>
      </c>
      <c r="D516" s="486"/>
    </row>
    <row r="517" ht="14.0">
      <c r="A517" s="486" t="s">
        <v>2749</v>
      </c>
      <c r="B517" s="486" t="s">
        <v>2748</v>
      </c>
      <c r="C517" s="486">
        <v>5.0</v>
      </c>
      <c r="D517" s="486"/>
    </row>
    <row r="518" ht="14.0">
      <c r="A518" s="486" t="s">
        <v>2751</v>
      </c>
      <c r="B518" s="486" t="s">
        <v>2750</v>
      </c>
      <c r="C518" s="486">
        <v>5.0</v>
      </c>
      <c r="D518" s="486"/>
    </row>
    <row r="519" ht="14.0">
      <c r="A519" s="486" t="s">
        <v>2753</v>
      </c>
      <c r="B519" s="486" t="s">
        <v>2752</v>
      </c>
      <c r="C519" s="486">
        <v>5.0</v>
      </c>
      <c r="D519" s="486"/>
    </row>
    <row r="520" ht="14.0">
      <c r="A520" s="486" t="s">
        <v>2755</v>
      </c>
      <c r="B520" s="486" t="s">
        <v>2754</v>
      </c>
      <c r="C520" s="486">
        <v>5.0</v>
      </c>
      <c r="D520" s="486"/>
    </row>
    <row r="521" ht="14.0">
      <c r="A521" s="486" t="s">
        <v>2757</v>
      </c>
      <c r="B521" s="486" t="s">
        <v>2756</v>
      </c>
      <c r="C521" s="486">
        <v>5.0</v>
      </c>
      <c r="D521" s="486"/>
    </row>
    <row r="522" ht="14.0">
      <c r="A522" s="486" t="s">
        <v>2759</v>
      </c>
      <c r="B522" s="486" t="s">
        <v>2758</v>
      </c>
      <c r="C522" s="486">
        <v>5.0</v>
      </c>
      <c r="D522" s="486"/>
    </row>
    <row r="523" ht="14.0">
      <c r="A523" s="486" t="s">
        <v>2761</v>
      </c>
      <c r="B523" s="486" t="s">
        <v>2760</v>
      </c>
      <c r="C523" s="486">
        <v>5.0</v>
      </c>
      <c r="D523" s="486"/>
    </row>
    <row r="524" ht="14.0">
      <c r="A524" s="486" t="s">
        <v>2763</v>
      </c>
      <c r="B524" s="486" t="s">
        <v>2762</v>
      </c>
      <c r="C524" s="486">
        <v>5.0</v>
      </c>
      <c r="D524" s="486"/>
    </row>
    <row r="525" ht="14.0">
      <c r="A525" s="486" t="s">
        <v>2765</v>
      </c>
      <c r="B525" s="486" t="s">
        <v>2764</v>
      </c>
      <c r="C525" s="486">
        <v>5.0</v>
      </c>
      <c r="D525" s="486"/>
    </row>
    <row r="526" ht="14.0">
      <c r="A526" s="486" t="s">
        <v>2767</v>
      </c>
      <c r="B526" s="486" t="s">
        <v>2766</v>
      </c>
      <c r="C526" s="486">
        <v>5.0</v>
      </c>
      <c r="D526" s="486"/>
    </row>
    <row r="527" ht="14.0">
      <c r="A527" s="486" t="s">
        <v>2769</v>
      </c>
      <c r="B527" s="486" t="s">
        <v>2768</v>
      </c>
      <c r="C527" s="486">
        <v>5.0</v>
      </c>
      <c r="D527" s="486"/>
    </row>
    <row r="528" ht="14.0">
      <c r="A528" s="486" t="s">
        <v>2771</v>
      </c>
      <c r="B528" s="486" t="s">
        <v>2770</v>
      </c>
      <c r="C528" s="486">
        <v>5.0</v>
      </c>
      <c r="D528" s="486"/>
    </row>
    <row r="529" ht="14.0">
      <c r="A529" s="486" t="s">
        <v>2773</v>
      </c>
      <c r="B529" s="486" t="s">
        <v>2772</v>
      </c>
      <c r="C529" s="486">
        <v>5.0</v>
      </c>
      <c r="D529" s="486"/>
    </row>
    <row r="530" ht="14.0">
      <c r="A530" s="486" t="s">
        <v>2775</v>
      </c>
      <c r="B530" s="486" t="s">
        <v>2774</v>
      </c>
      <c r="C530" s="486">
        <v>5.0</v>
      </c>
      <c r="D530" s="486"/>
    </row>
    <row r="531" ht="14.0">
      <c r="A531" s="486" t="s">
        <v>2777</v>
      </c>
      <c r="B531" s="486" t="s">
        <v>2776</v>
      </c>
      <c r="C531" s="486">
        <v>5.0</v>
      </c>
      <c r="D531" s="486"/>
    </row>
    <row r="532" ht="14.0">
      <c r="A532" s="486" t="s">
        <v>2779</v>
      </c>
      <c r="B532" s="486" t="s">
        <v>2778</v>
      </c>
      <c r="C532" s="486">
        <v>5.0</v>
      </c>
      <c r="D532" s="486" t="s">
        <v>7655</v>
      </c>
    </row>
    <row r="533" ht="14.0">
      <c r="A533" s="486" t="s">
        <v>2781</v>
      </c>
      <c r="B533" s="486" t="s">
        <v>2780</v>
      </c>
      <c r="C533" s="486">
        <v>5.0</v>
      </c>
      <c r="D533" s="486" t="s">
        <v>7655</v>
      </c>
    </row>
    <row r="534" ht="14.0">
      <c r="A534" s="486" t="s">
        <v>2783</v>
      </c>
      <c r="B534" s="486" t="s">
        <v>2782</v>
      </c>
      <c r="C534" s="486">
        <v>5.0</v>
      </c>
      <c r="D534" s="486"/>
    </row>
    <row r="535" ht="14.0">
      <c r="A535" s="486" t="s">
        <v>2785</v>
      </c>
      <c r="B535" s="486" t="s">
        <v>2784</v>
      </c>
      <c r="C535" s="486">
        <v>5.0</v>
      </c>
      <c r="D535" s="486" t="s">
        <v>7655</v>
      </c>
    </row>
    <row r="536" ht="14.0">
      <c r="A536" s="486" t="s">
        <v>2787</v>
      </c>
      <c r="B536" s="486" t="s">
        <v>2786</v>
      </c>
      <c r="C536" s="486">
        <v>5.0</v>
      </c>
      <c r="D536" s="486"/>
    </row>
    <row r="537" ht="14.0">
      <c r="A537" s="486" t="s">
        <v>2789</v>
      </c>
      <c r="B537" s="486" t="s">
        <v>2788</v>
      </c>
      <c r="C537" s="486">
        <v>5.0</v>
      </c>
      <c r="D537" s="486" t="s">
        <v>7655</v>
      </c>
    </row>
    <row r="538" ht="14.0">
      <c r="A538" s="486" t="s">
        <v>2791</v>
      </c>
      <c r="B538" s="486" t="s">
        <v>2790</v>
      </c>
      <c r="C538" s="486">
        <v>5.0</v>
      </c>
      <c r="D538" s="486"/>
    </row>
    <row r="539" ht="14.0">
      <c r="A539" s="486" t="s">
        <v>2793</v>
      </c>
      <c r="B539" s="486" t="s">
        <v>2792</v>
      </c>
      <c r="C539" s="486">
        <v>5.0</v>
      </c>
      <c r="D539" s="486"/>
    </row>
    <row r="540" ht="14.0">
      <c r="A540" s="486" t="s">
        <v>2795</v>
      </c>
      <c r="B540" s="486" t="s">
        <v>2794</v>
      </c>
      <c r="C540" s="486">
        <v>5.0</v>
      </c>
      <c r="D540" s="486"/>
    </row>
    <row r="541" ht="14.0">
      <c r="A541" s="486" t="s">
        <v>2797</v>
      </c>
      <c r="B541" s="486" t="s">
        <v>2796</v>
      </c>
      <c r="C541" s="486">
        <v>5.0</v>
      </c>
      <c r="D541" s="486"/>
    </row>
    <row r="542" ht="14.0">
      <c r="A542" s="486" t="s">
        <v>2803</v>
      </c>
      <c r="B542" s="486" t="s">
        <v>2802</v>
      </c>
      <c r="C542" s="486"/>
      <c r="D542" s="486" t="s">
        <v>577</v>
      </c>
    </row>
    <row r="543" ht="14.0">
      <c r="A543" s="486" t="s">
        <v>2811</v>
      </c>
      <c r="B543" s="486" t="s">
        <v>2810</v>
      </c>
      <c r="C543" s="36">
        <v>1100.0</v>
      </c>
      <c r="D543" s="486"/>
    </row>
    <row r="544" ht="14.0">
      <c r="A544" s="486" t="s">
        <v>7670</v>
      </c>
      <c r="B544" s="486" t="s">
        <v>2899</v>
      </c>
      <c r="C544" s="486">
        <v>504.0</v>
      </c>
      <c r="D544" s="486" t="s">
        <v>577</v>
      </c>
    </row>
    <row r="545" ht="14.0">
      <c r="A545" s="486" t="s">
        <v>7671</v>
      </c>
      <c r="B545" s="486" t="s">
        <v>2905</v>
      </c>
      <c r="C545" s="486">
        <v>504.0</v>
      </c>
      <c r="D545" s="486" t="s">
        <v>577</v>
      </c>
    </row>
    <row r="546" ht="14.0">
      <c r="A546" s="486" t="s">
        <v>7672</v>
      </c>
      <c r="B546" s="486" t="s">
        <v>2917</v>
      </c>
      <c r="C546" s="486">
        <v>504.0</v>
      </c>
      <c r="D546" s="486" t="s">
        <v>577</v>
      </c>
    </row>
    <row r="547" ht="14.0">
      <c r="A547" s="486" t="s">
        <v>7673</v>
      </c>
      <c r="B547" s="486" t="s">
        <v>2931</v>
      </c>
      <c r="C547" s="486">
        <v>504.0</v>
      </c>
      <c r="D547" s="486" t="s">
        <v>577</v>
      </c>
    </row>
    <row r="548" ht="14.0">
      <c r="A548" s="486" t="s">
        <v>7674</v>
      </c>
      <c r="B548" s="486" t="s">
        <v>2943</v>
      </c>
      <c r="C548" s="486">
        <v>504.0</v>
      </c>
      <c r="D548" s="486" t="s">
        <v>577</v>
      </c>
    </row>
    <row r="549" ht="14.0">
      <c r="A549" s="486" t="s">
        <v>7675</v>
      </c>
      <c r="B549" s="486" t="s">
        <v>2947</v>
      </c>
      <c r="C549" s="486">
        <v>504.0</v>
      </c>
      <c r="D549" s="486" t="s">
        <v>577</v>
      </c>
    </row>
    <row r="550" ht="14.0">
      <c r="A550" s="486" t="s">
        <v>7676</v>
      </c>
      <c r="B550" s="486" t="s">
        <v>2977</v>
      </c>
      <c r="C550" s="486">
        <v>504.0</v>
      </c>
      <c r="D550" s="486" t="s">
        <v>577</v>
      </c>
    </row>
    <row r="551" ht="14.0">
      <c r="A551" s="486" t="s">
        <v>7677</v>
      </c>
      <c r="B551" s="486" t="s">
        <v>2987</v>
      </c>
      <c r="C551" s="486">
        <v>504.0</v>
      </c>
      <c r="D551" s="486" t="s">
        <v>577</v>
      </c>
    </row>
    <row r="552" ht="14.0">
      <c r="A552" s="486" t="s">
        <v>7678</v>
      </c>
      <c r="B552" s="486" t="s">
        <v>2993</v>
      </c>
      <c r="C552" s="486">
        <v>504.0</v>
      </c>
      <c r="D552" s="486" t="s">
        <v>577</v>
      </c>
    </row>
    <row r="553" ht="14.0">
      <c r="A553" s="486" t="s">
        <v>2815</v>
      </c>
      <c r="B553" s="486" t="s">
        <v>2814</v>
      </c>
      <c r="C553" s="486">
        <v>504.0</v>
      </c>
      <c r="D553" s="486" t="s">
        <v>577</v>
      </c>
    </row>
    <row r="554" ht="14.0">
      <c r="A554" s="486" t="s">
        <v>2817</v>
      </c>
      <c r="B554" s="486" t="s">
        <v>2816</v>
      </c>
      <c r="C554" s="486">
        <v>504.0</v>
      </c>
      <c r="D554" s="486" t="s">
        <v>577</v>
      </c>
    </row>
    <row r="555" ht="14.0">
      <c r="A555" s="486" t="s">
        <v>2819</v>
      </c>
      <c r="B555" s="486" t="s">
        <v>2818</v>
      </c>
      <c r="C555" s="486">
        <v>504.0</v>
      </c>
      <c r="D555" s="486" t="s">
        <v>577</v>
      </c>
    </row>
    <row r="556" ht="14.0">
      <c r="A556" s="486" t="s">
        <v>2821</v>
      </c>
      <c r="B556" s="486" t="s">
        <v>2820</v>
      </c>
      <c r="C556" s="486">
        <v>504.0</v>
      </c>
      <c r="D556" s="486" t="s">
        <v>577</v>
      </c>
    </row>
    <row r="557" ht="14.0">
      <c r="A557" s="486" t="s">
        <v>2823</v>
      </c>
      <c r="B557" s="486" t="s">
        <v>2822</v>
      </c>
      <c r="C557" s="486">
        <v>504.0</v>
      </c>
      <c r="D557" s="486" t="s">
        <v>577</v>
      </c>
    </row>
    <row r="558" ht="14.0">
      <c r="A558" s="486" t="s">
        <v>2825</v>
      </c>
      <c r="B558" s="486" t="s">
        <v>2824</v>
      </c>
      <c r="C558" s="486">
        <v>504.0</v>
      </c>
      <c r="D558" s="486" t="s">
        <v>577</v>
      </c>
    </row>
    <row r="559" ht="14.0">
      <c r="A559" s="486" t="s">
        <v>2827</v>
      </c>
      <c r="B559" s="486" t="s">
        <v>2826</v>
      </c>
      <c r="C559" s="486">
        <v>504.0</v>
      </c>
      <c r="D559" s="486" t="s">
        <v>577</v>
      </c>
    </row>
    <row r="560" ht="14.0">
      <c r="A560" s="486" t="s">
        <v>2829</v>
      </c>
      <c r="B560" s="486" t="s">
        <v>2828</v>
      </c>
      <c r="C560" s="486">
        <v>504.0</v>
      </c>
      <c r="D560" s="486" t="s">
        <v>577</v>
      </c>
    </row>
    <row r="561" ht="14.0">
      <c r="A561" s="486" t="s">
        <v>2831</v>
      </c>
      <c r="B561" s="486" t="s">
        <v>2830</v>
      </c>
      <c r="C561" s="486">
        <v>504.0</v>
      </c>
      <c r="D561" s="486" t="s">
        <v>577</v>
      </c>
    </row>
    <row r="562" ht="14.0">
      <c r="A562" s="486" t="s">
        <v>7679</v>
      </c>
      <c r="B562" s="486" t="s">
        <v>2832</v>
      </c>
      <c r="C562" s="486"/>
      <c r="D562" s="486" t="s">
        <v>577</v>
      </c>
    </row>
    <row r="563" ht="14.0">
      <c r="A563" s="486" t="s">
        <v>7680</v>
      </c>
      <c r="B563" s="486" t="s">
        <v>3031</v>
      </c>
      <c r="C563" s="486"/>
      <c r="D563" s="486" t="s">
        <v>577</v>
      </c>
    </row>
    <row r="564" ht="14.0">
      <c r="A564" s="486" t="s">
        <v>2867</v>
      </c>
      <c r="B564" s="486" t="s">
        <v>2866</v>
      </c>
      <c r="C564" s="486"/>
      <c r="D564" s="486" t="s">
        <v>7655</v>
      </c>
    </row>
    <row r="565" ht="14.0">
      <c r="A565" s="486" t="s">
        <v>2869</v>
      </c>
      <c r="B565" s="486" t="s">
        <v>2868</v>
      </c>
      <c r="C565" s="36">
        <v>1008.0</v>
      </c>
      <c r="D565" s="486" t="s">
        <v>577</v>
      </c>
    </row>
    <row r="566" ht="14.0">
      <c r="A566" s="486" t="s">
        <v>3040</v>
      </c>
      <c r="B566" s="486" t="s">
        <v>3039</v>
      </c>
      <c r="C566" s="486"/>
      <c r="D566" s="486" t="s">
        <v>577</v>
      </c>
    </row>
    <row r="567" ht="14.0">
      <c r="A567" s="486" t="s">
        <v>3042</v>
      </c>
      <c r="B567" s="486" t="s">
        <v>3041</v>
      </c>
      <c r="C567" s="486"/>
      <c r="D567" s="486" t="s">
        <v>577</v>
      </c>
    </row>
    <row r="568" ht="14.0">
      <c r="A568" s="486" t="s">
        <v>3046</v>
      </c>
      <c r="B568" s="486" t="s">
        <v>3045</v>
      </c>
      <c r="C568" s="486"/>
      <c r="D568" s="486" t="s">
        <v>577</v>
      </c>
    </row>
    <row r="569" ht="14.0">
      <c r="A569" s="486" t="s">
        <v>3048</v>
      </c>
      <c r="B569" s="486" t="s">
        <v>3047</v>
      </c>
      <c r="C569" s="486"/>
      <c r="D569" s="486" t="s">
        <v>577</v>
      </c>
    </row>
    <row r="570" ht="14.0">
      <c r="A570" s="486" t="s">
        <v>3050</v>
      </c>
      <c r="B570" s="486" t="s">
        <v>3049</v>
      </c>
      <c r="C570" s="486"/>
      <c r="D570" s="486" t="s">
        <v>577</v>
      </c>
    </row>
    <row r="571" ht="14.0">
      <c r="A571" s="486" t="s">
        <v>3062</v>
      </c>
      <c r="B571" s="486" t="s">
        <v>3061</v>
      </c>
      <c r="C571" s="486">
        <v>200.0</v>
      </c>
      <c r="D571" s="486" t="s">
        <v>577</v>
      </c>
    </row>
    <row r="572" ht="14.0">
      <c r="A572" s="486" t="s">
        <v>7681</v>
      </c>
      <c r="B572" s="486" t="s">
        <v>349</v>
      </c>
      <c r="C572" s="486">
        <v>200.0</v>
      </c>
      <c r="D572" s="486"/>
    </row>
    <row r="573" ht="14.0">
      <c r="A573" s="486" t="s">
        <v>7682</v>
      </c>
      <c r="B573" s="486" t="s">
        <v>352</v>
      </c>
      <c r="C573" s="486">
        <v>200.0</v>
      </c>
      <c r="D573" s="486"/>
    </row>
    <row r="574" ht="14.0">
      <c r="A574" s="486" t="s">
        <v>7683</v>
      </c>
      <c r="B574" s="486" t="s">
        <v>354</v>
      </c>
      <c r="C574" s="486">
        <v>200.0</v>
      </c>
      <c r="D574" s="486"/>
    </row>
    <row r="575" ht="14.0">
      <c r="A575" s="486" t="s">
        <v>3141</v>
      </c>
      <c r="B575" s="486" t="s">
        <v>3140</v>
      </c>
      <c r="C575" s="486"/>
      <c r="D575" s="486" t="s">
        <v>577</v>
      </c>
    </row>
    <row r="576" ht="14.0">
      <c r="A576" s="486" t="s">
        <v>3145</v>
      </c>
      <c r="B576" s="486" t="s">
        <v>3144</v>
      </c>
      <c r="C576" s="486"/>
      <c r="D576" s="486" t="s">
        <v>577</v>
      </c>
    </row>
    <row r="577" ht="14.0">
      <c r="A577" s="486" t="s">
        <v>3151</v>
      </c>
      <c r="B577" s="486" t="s">
        <v>3150</v>
      </c>
      <c r="C577" s="486">
        <v>500.0</v>
      </c>
      <c r="D577" s="486" t="s">
        <v>577</v>
      </c>
    </row>
    <row r="578" ht="14.0">
      <c r="A578" s="486" t="s">
        <v>3153</v>
      </c>
      <c r="B578" s="486" t="s">
        <v>3152</v>
      </c>
      <c r="C578" s="486"/>
      <c r="D578" s="486" t="s">
        <v>577</v>
      </c>
    </row>
    <row r="579" ht="14.0">
      <c r="A579" s="486" t="s">
        <v>3155</v>
      </c>
      <c r="B579" s="486" t="s">
        <v>3154</v>
      </c>
      <c r="C579" s="486">
        <v>500.0</v>
      </c>
      <c r="D579" s="486" t="s">
        <v>577</v>
      </c>
    </row>
    <row r="580" ht="14.0">
      <c r="A580" s="486" t="s">
        <v>3161</v>
      </c>
      <c r="B580" s="486" t="s">
        <v>3160</v>
      </c>
      <c r="C580" s="36">
        <v>1000.0</v>
      </c>
      <c r="D580" s="486" t="s">
        <v>577</v>
      </c>
    </row>
    <row r="581" ht="14.0">
      <c r="A581" s="486" t="s">
        <v>3165</v>
      </c>
      <c r="B581" s="486" t="s">
        <v>3164</v>
      </c>
      <c r="C581" s="36">
        <v>1000.0</v>
      </c>
      <c r="D581" s="486" t="s">
        <v>577</v>
      </c>
    </row>
    <row r="582" ht="14.0">
      <c r="A582" s="486" t="s">
        <v>3167</v>
      </c>
      <c r="B582" s="486" t="s">
        <v>3166</v>
      </c>
      <c r="C582" s="36">
        <v>1000.0</v>
      </c>
      <c r="D582" s="486" t="s">
        <v>577</v>
      </c>
    </row>
    <row r="583" ht="14.0">
      <c r="A583" s="486" t="s">
        <v>3169</v>
      </c>
      <c r="B583" s="486" t="s">
        <v>3168</v>
      </c>
      <c r="C583" s="36">
        <v>1000.0</v>
      </c>
      <c r="D583" s="486" t="s">
        <v>577</v>
      </c>
    </row>
    <row r="584" ht="14.0">
      <c r="A584" s="486" t="s">
        <v>3171</v>
      </c>
      <c r="B584" s="486" t="s">
        <v>3170</v>
      </c>
      <c r="C584" s="36">
        <v>1000.0</v>
      </c>
      <c r="D584" s="486" t="s">
        <v>577</v>
      </c>
    </row>
    <row r="585" ht="14.0">
      <c r="A585" s="486" t="s">
        <v>3173</v>
      </c>
      <c r="B585" s="486" t="s">
        <v>3172</v>
      </c>
      <c r="C585" s="36">
        <v>1000.0</v>
      </c>
      <c r="D585" s="486" t="s">
        <v>577</v>
      </c>
    </row>
    <row r="586" ht="14.0">
      <c r="A586" s="486" t="s">
        <v>3175</v>
      </c>
      <c r="B586" s="486" t="s">
        <v>3174</v>
      </c>
      <c r="C586" s="36">
        <v>1000.0</v>
      </c>
      <c r="D586" s="486" t="s">
        <v>577</v>
      </c>
    </row>
    <row r="587" ht="14.0">
      <c r="A587" s="486" t="s">
        <v>3177</v>
      </c>
      <c r="B587" s="486" t="s">
        <v>3176</v>
      </c>
      <c r="C587" s="36">
        <v>1000.0</v>
      </c>
      <c r="D587" s="486" t="s">
        <v>577</v>
      </c>
    </row>
    <row r="588" ht="14.0">
      <c r="A588" s="486" t="s">
        <v>3194</v>
      </c>
      <c r="B588" s="486" t="s">
        <v>3193</v>
      </c>
      <c r="C588" s="486">
        <v>10.0</v>
      </c>
      <c r="D588" s="486"/>
    </row>
    <row r="589" ht="14.0">
      <c r="A589" s="486" t="s">
        <v>3196</v>
      </c>
      <c r="B589" s="486" t="s">
        <v>3195</v>
      </c>
      <c r="C589" s="36">
        <v>1002.0</v>
      </c>
      <c r="D589" s="486"/>
    </row>
    <row r="590" ht="14.0">
      <c r="A590" s="486" t="s">
        <v>3198</v>
      </c>
      <c r="B590" s="486" t="s">
        <v>3197</v>
      </c>
      <c r="C590" s="36">
        <v>1002.0</v>
      </c>
      <c r="D590" s="486"/>
    </row>
    <row r="591" ht="14.0">
      <c r="A591" s="486" t="s">
        <v>3200</v>
      </c>
      <c r="B591" s="486" t="s">
        <v>3199</v>
      </c>
      <c r="C591" s="36">
        <v>1002.0</v>
      </c>
      <c r="D591" s="486"/>
    </row>
    <row r="592" ht="14.0">
      <c r="A592" s="486" t="s">
        <v>3202</v>
      </c>
      <c r="B592" s="486" t="s">
        <v>3201</v>
      </c>
      <c r="C592" s="36">
        <v>1002.0</v>
      </c>
      <c r="D592" s="486"/>
    </row>
    <row r="593" ht="14.0">
      <c r="A593" s="486" t="s">
        <v>3204</v>
      </c>
      <c r="B593" s="486" t="s">
        <v>3203</v>
      </c>
      <c r="C593" s="36">
        <v>1002.0</v>
      </c>
      <c r="D593" s="486"/>
    </row>
    <row r="594" ht="14.0">
      <c r="A594" s="486" t="s">
        <v>3206</v>
      </c>
      <c r="B594" s="486" t="s">
        <v>3205</v>
      </c>
      <c r="C594" s="36">
        <v>1002.0</v>
      </c>
      <c r="D594" s="486"/>
    </row>
    <row r="595" ht="14.0">
      <c r="A595" s="486" t="s">
        <v>3208</v>
      </c>
      <c r="B595" s="486" t="s">
        <v>3207</v>
      </c>
      <c r="C595" s="486"/>
      <c r="D595" s="486"/>
    </row>
    <row r="596" ht="14.0">
      <c r="A596" s="486" t="s">
        <v>3218</v>
      </c>
      <c r="B596" s="486" t="s">
        <v>3217</v>
      </c>
      <c r="C596" s="486"/>
      <c r="D596" s="486" t="s">
        <v>577</v>
      </c>
    </row>
    <row r="597" ht="14.0">
      <c r="A597" s="486" t="s">
        <v>474</v>
      </c>
      <c r="B597" s="486" t="s">
        <v>475</v>
      </c>
      <c r="C597" s="486">
        <v>200.0</v>
      </c>
      <c r="D597" s="486"/>
    </row>
    <row r="598" ht="14.0">
      <c r="A598" s="486" t="s">
        <v>456</v>
      </c>
      <c r="B598" s="486" t="s">
        <v>457</v>
      </c>
      <c r="C598" s="486">
        <v>308.0</v>
      </c>
      <c r="D598" s="486"/>
    </row>
    <row r="599" ht="14.0">
      <c r="A599" s="486" t="s">
        <v>460</v>
      </c>
      <c r="B599" s="486" t="s">
        <v>461</v>
      </c>
      <c r="C599" s="486">
        <v>308.0</v>
      </c>
      <c r="D599" s="486"/>
    </row>
    <row r="600" ht="14.0">
      <c r="A600" s="486" t="s">
        <v>476</v>
      </c>
      <c r="B600" s="486" t="s">
        <v>477</v>
      </c>
      <c r="C600" s="486">
        <v>200.0</v>
      </c>
      <c r="D600" s="486"/>
    </row>
    <row r="601" ht="14.0">
      <c r="A601" s="486" t="s">
        <v>478</v>
      </c>
      <c r="B601" s="486" t="s">
        <v>479</v>
      </c>
      <c r="C601" s="486">
        <v>120.0</v>
      </c>
      <c r="D601" s="486"/>
    </row>
    <row r="602" ht="14.0">
      <c r="A602" s="486" t="s">
        <v>481</v>
      </c>
      <c r="B602" s="486" t="s">
        <v>482</v>
      </c>
      <c r="C602" s="486">
        <v>120.0</v>
      </c>
      <c r="D602" s="486"/>
    </row>
    <row r="603" ht="14.0">
      <c r="A603" s="486" t="s">
        <v>454</v>
      </c>
      <c r="B603" s="486" t="s">
        <v>455</v>
      </c>
      <c r="C603" s="486"/>
      <c r="D603" s="486"/>
    </row>
    <row r="604" ht="14.0">
      <c r="A604" s="486" t="s">
        <v>458</v>
      </c>
      <c r="B604" s="486" t="s">
        <v>459</v>
      </c>
      <c r="C604" s="486"/>
      <c r="D604" s="486"/>
    </row>
    <row r="605" ht="14.0">
      <c r="A605" s="486" t="s">
        <v>7684</v>
      </c>
      <c r="B605" s="486" t="s">
        <v>6634</v>
      </c>
      <c r="C605" s="486">
        <v>500.0</v>
      </c>
      <c r="D605" s="486"/>
    </row>
    <row r="606" ht="14.0">
      <c r="A606" s="486" t="s">
        <v>7685</v>
      </c>
      <c r="B606" s="486" t="s">
        <v>6636</v>
      </c>
      <c r="C606" s="486">
        <v>500.0</v>
      </c>
      <c r="D606" s="486"/>
    </row>
    <row r="607" ht="14.0">
      <c r="A607" s="486" t="s">
        <v>7686</v>
      </c>
      <c r="B607" s="486" t="s">
        <v>6638</v>
      </c>
      <c r="C607" s="486">
        <v>500.0</v>
      </c>
      <c r="D607" s="486"/>
    </row>
    <row r="608" ht="14.0">
      <c r="A608" s="486" t="s">
        <v>7687</v>
      </c>
      <c r="B608" s="486" t="s">
        <v>6642</v>
      </c>
      <c r="C608" s="486">
        <v>500.0</v>
      </c>
      <c r="D608" s="486"/>
    </row>
    <row r="609" ht="14.0">
      <c r="A609" s="486" t="s">
        <v>6601</v>
      </c>
      <c r="B609" s="486" t="s">
        <v>6600</v>
      </c>
      <c r="C609" s="486">
        <v>500.0</v>
      </c>
      <c r="D609" s="486"/>
    </row>
    <row r="610" ht="14.0">
      <c r="A610" s="486" t="s">
        <v>6603</v>
      </c>
      <c r="B610" s="486" t="s">
        <v>6602</v>
      </c>
      <c r="C610" s="486">
        <v>500.0</v>
      </c>
      <c r="D610" s="486"/>
    </row>
    <row r="611" ht="14.0">
      <c r="A611" s="486" t="s">
        <v>6605</v>
      </c>
      <c r="B611" s="486" t="s">
        <v>6604</v>
      </c>
      <c r="C611" s="486">
        <v>500.0</v>
      </c>
      <c r="D611" s="486"/>
    </row>
    <row r="612" ht="14.0">
      <c r="A612" s="486" t="s">
        <v>6607</v>
      </c>
      <c r="B612" s="486" t="s">
        <v>6606</v>
      </c>
      <c r="C612" s="486">
        <v>500.0</v>
      </c>
      <c r="D612" s="486"/>
    </row>
    <row r="613" ht="14.0">
      <c r="A613" s="486" t="s">
        <v>6641</v>
      </c>
      <c r="B613" s="486" t="s">
        <v>6640</v>
      </c>
      <c r="C613" s="486">
        <v>500.0</v>
      </c>
      <c r="D613" s="486"/>
    </row>
    <row r="614" ht="14.0">
      <c r="A614" s="486" t="s">
        <v>3305</v>
      </c>
      <c r="B614" s="486" t="s">
        <v>3304</v>
      </c>
      <c r="C614" s="486"/>
      <c r="D614" s="486" t="s">
        <v>577</v>
      </c>
    </row>
    <row r="615" ht="14.0">
      <c r="A615" s="486" t="s">
        <v>3307</v>
      </c>
      <c r="B615" s="486" t="s">
        <v>3306</v>
      </c>
      <c r="C615" s="486"/>
      <c r="D615" s="486" t="s">
        <v>577</v>
      </c>
    </row>
    <row r="616" ht="14.0">
      <c r="A616" s="486" t="s">
        <v>3309</v>
      </c>
      <c r="B616" s="486" t="s">
        <v>3308</v>
      </c>
      <c r="C616" s="486"/>
      <c r="D616" s="486" t="s">
        <v>577</v>
      </c>
    </row>
    <row r="617" ht="14.0">
      <c r="A617" s="486" t="s">
        <v>3311</v>
      </c>
      <c r="B617" s="486" t="s">
        <v>3310</v>
      </c>
      <c r="C617" s="486"/>
      <c r="D617" s="486" t="s">
        <v>577</v>
      </c>
    </row>
    <row r="618" ht="14.0">
      <c r="A618" s="486" t="s">
        <v>3313</v>
      </c>
      <c r="B618" s="486" t="s">
        <v>3312</v>
      </c>
      <c r="C618" s="486"/>
      <c r="D618" s="486" t="s">
        <v>577</v>
      </c>
    </row>
    <row r="619" ht="14.0">
      <c r="A619" s="486" t="s">
        <v>3319</v>
      </c>
      <c r="B619" s="486" t="s">
        <v>3318</v>
      </c>
      <c r="C619" s="486"/>
      <c r="D619" s="486" t="s">
        <v>577</v>
      </c>
    </row>
    <row r="620" ht="14.0">
      <c r="A620" s="486" t="s">
        <v>3321</v>
      </c>
      <c r="B620" s="486" t="s">
        <v>3320</v>
      </c>
      <c r="C620" s="486"/>
      <c r="D620" s="486" t="s">
        <v>577</v>
      </c>
    </row>
    <row r="621" ht="14.0">
      <c r="A621" s="486" t="s">
        <v>3323</v>
      </c>
      <c r="B621" s="486" t="s">
        <v>3322</v>
      </c>
      <c r="C621" s="486"/>
      <c r="D621" s="486" t="s">
        <v>577</v>
      </c>
    </row>
    <row r="622" ht="14.0">
      <c r="A622" s="486" t="s">
        <v>3325</v>
      </c>
      <c r="B622" s="486" t="s">
        <v>3324</v>
      </c>
      <c r="C622" s="486"/>
      <c r="D622" s="486" t="s">
        <v>577</v>
      </c>
    </row>
    <row r="623" ht="14.0">
      <c r="A623" s="486" t="s">
        <v>3327</v>
      </c>
      <c r="B623" s="486" t="s">
        <v>3326</v>
      </c>
      <c r="C623" s="486"/>
      <c r="D623" s="486" t="s">
        <v>577</v>
      </c>
    </row>
    <row r="624" ht="14.0">
      <c r="A624" s="486" t="s">
        <v>3329</v>
      </c>
      <c r="B624" s="486" t="s">
        <v>3328</v>
      </c>
      <c r="C624" s="486">
        <v>500.0</v>
      </c>
      <c r="D624" s="486"/>
    </row>
    <row r="625" ht="14.0">
      <c r="A625" s="486" t="s">
        <v>3331</v>
      </c>
      <c r="B625" s="486" t="s">
        <v>3330</v>
      </c>
      <c r="C625" s="486">
        <v>5.0</v>
      </c>
      <c r="D625" s="486"/>
    </row>
    <row r="626" ht="14.0">
      <c r="A626" s="486" t="s">
        <v>3333</v>
      </c>
      <c r="B626" s="486" t="s">
        <v>3332</v>
      </c>
      <c r="C626" s="486">
        <v>5.0</v>
      </c>
      <c r="D626" s="486"/>
    </row>
    <row r="627" ht="14.0">
      <c r="A627" s="486" t="s">
        <v>3335</v>
      </c>
      <c r="B627" s="486" t="s">
        <v>3334</v>
      </c>
      <c r="C627" s="486">
        <v>5.0</v>
      </c>
      <c r="D627" s="486"/>
    </row>
    <row r="628" ht="14.0">
      <c r="A628" s="486" t="s">
        <v>3337</v>
      </c>
      <c r="B628" s="486" t="s">
        <v>3336</v>
      </c>
      <c r="C628" s="486">
        <v>5.0</v>
      </c>
      <c r="D628" s="486"/>
    </row>
    <row r="629" ht="14.0">
      <c r="A629" s="486" t="s">
        <v>3339</v>
      </c>
      <c r="B629" s="486" t="s">
        <v>3338</v>
      </c>
      <c r="C629" s="486">
        <v>5.0</v>
      </c>
      <c r="D629" s="486"/>
    </row>
    <row r="630" ht="14.0">
      <c r="A630" s="486" t="s">
        <v>3341</v>
      </c>
      <c r="B630" s="486" t="s">
        <v>3340</v>
      </c>
      <c r="C630" s="486">
        <v>5.0</v>
      </c>
      <c r="D630" s="486"/>
    </row>
    <row r="631" ht="14.0">
      <c r="A631" s="486" t="s">
        <v>3343</v>
      </c>
      <c r="B631" s="486" t="s">
        <v>3342</v>
      </c>
      <c r="C631" s="486">
        <v>5.0</v>
      </c>
      <c r="D631" s="486"/>
    </row>
    <row r="632" ht="14.0">
      <c r="A632" s="486" t="s">
        <v>3345</v>
      </c>
      <c r="B632" s="486" t="s">
        <v>3344</v>
      </c>
      <c r="C632" s="486">
        <v>5.0</v>
      </c>
      <c r="D632" s="486"/>
    </row>
    <row r="633" ht="14.0">
      <c r="A633" s="486" t="s">
        <v>3347</v>
      </c>
      <c r="B633" s="486" t="s">
        <v>3346</v>
      </c>
      <c r="C633" s="486">
        <v>5.0</v>
      </c>
      <c r="D633" s="486"/>
    </row>
    <row r="634" ht="14.0">
      <c r="A634" s="486" t="s">
        <v>3349</v>
      </c>
      <c r="B634" s="486" t="s">
        <v>3348</v>
      </c>
      <c r="C634" s="486">
        <v>5.0</v>
      </c>
      <c r="D634" s="486"/>
    </row>
    <row r="635" ht="14.0">
      <c r="A635" s="486" t="s">
        <v>3351</v>
      </c>
      <c r="B635" s="486" t="s">
        <v>3350</v>
      </c>
      <c r="C635" s="486">
        <v>5.0</v>
      </c>
      <c r="D635" s="486"/>
    </row>
    <row r="636" ht="14.0">
      <c r="A636" s="486" t="s">
        <v>3353</v>
      </c>
      <c r="B636" s="486" t="s">
        <v>3352</v>
      </c>
      <c r="C636" s="486">
        <v>5.0</v>
      </c>
      <c r="D636" s="486"/>
    </row>
    <row r="637" ht="14.0">
      <c r="A637" s="486" t="s">
        <v>3355</v>
      </c>
      <c r="B637" s="486" t="s">
        <v>3354</v>
      </c>
      <c r="C637" s="486">
        <v>5.0</v>
      </c>
      <c r="D637" s="486"/>
    </row>
    <row r="638" ht="14.0">
      <c r="A638" s="486" t="s">
        <v>3357</v>
      </c>
      <c r="B638" s="486" t="s">
        <v>3356</v>
      </c>
      <c r="C638" s="486">
        <v>5.0</v>
      </c>
      <c r="D638" s="486"/>
    </row>
    <row r="639" ht="14.0">
      <c r="A639" s="486" t="s">
        <v>3359</v>
      </c>
      <c r="B639" s="486" t="s">
        <v>3358</v>
      </c>
      <c r="C639" s="486">
        <v>5.0</v>
      </c>
      <c r="D639" s="486"/>
    </row>
    <row r="640" ht="14.0">
      <c r="A640" s="486" t="s">
        <v>3361</v>
      </c>
      <c r="B640" s="486" t="s">
        <v>3360</v>
      </c>
      <c r="C640" s="486">
        <v>5.0</v>
      </c>
      <c r="D640" s="486"/>
    </row>
    <row r="641" ht="14.0">
      <c r="A641" s="486" t="s">
        <v>3363</v>
      </c>
      <c r="B641" s="486" t="s">
        <v>3362</v>
      </c>
      <c r="C641" s="486">
        <v>5.0</v>
      </c>
      <c r="D641" s="486"/>
    </row>
    <row r="642" ht="14.0">
      <c r="A642" s="486" t="s">
        <v>3365</v>
      </c>
      <c r="B642" s="486" t="s">
        <v>3364</v>
      </c>
      <c r="C642" s="486">
        <v>5.0</v>
      </c>
      <c r="D642" s="486"/>
    </row>
    <row r="643" ht="14.0">
      <c r="A643" s="486" t="s">
        <v>3367</v>
      </c>
      <c r="B643" s="486" t="s">
        <v>3366</v>
      </c>
      <c r="C643" s="486">
        <v>5.0</v>
      </c>
      <c r="D643" s="486"/>
    </row>
    <row r="644" ht="14.0">
      <c r="A644" s="486" t="s">
        <v>3369</v>
      </c>
      <c r="B644" s="486" t="s">
        <v>3368</v>
      </c>
      <c r="C644" s="486">
        <v>5.0</v>
      </c>
      <c r="D644" s="486"/>
    </row>
    <row r="645" ht="14.0">
      <c r="A645" s="486" t="s">
        <v>3371</v>
      </c>
      <c r="B645" s="486" t="s">
        <v>3370</v>
      </c>
      <c r="C645" s="486">
        <v>5.0</v>
      </c>
      <c r="D645" s="486"/>
    </row>
    <row r="646" ht="14.0">
      <c r="A646" s="486" t="s">
        <v>3373</v>
      </c>
      <c r="B646" s="486" t="s">
        <v>3372</v>
      </c>
      <c r="C646" s="486">
        <v>5.0</v>
      </c>
      <c r="D646" s="486"/>
    </row>
    <row r="647" ht="14.0">
      <c r="A647" s="486" t="s">
        <v>3375</v>
      </c>
      <c r="B647" s="486" t="s">
        <v>3374</v>
      </c>
      <c r="C647" s="486">
        <v>5.0</v>
      </c>
      <c r="D647" s="486"/>
    </row>
    <row r="648" ht="14.0">
      <c r="A648" s="486" t="s">
        <v>3377</v>
      </c>
      <c r="B648" s="486" t="s">
        <v>3376</v>
      </c>
      <c r="C648" s="486">
        <v>5.0</v>
      </c>
      <c r="D648" s="486"/>
    </row>
    <row r="649" ht="14.0">
      <c r="A649" s="486" t="s">
        <v>3379</v>
      </c>
      <c r="B649" s="486" t="s">
        <v>3378</v>
      </c>
      <c r="C649" s="486">
        <v>5.0</v>
      </c>
      <c r="D649" s="486"/>
    </row>
    <row r="650" ht="14.0">
      <c r="A650" s="486" t="s">
        <v>3381</v>
      </c>
      <c r="B650" s="486" t="s">
        <v>3380</v>
      </c>
      <c r="C650" s="486">
        <v>5.0</v>
      </c>
      <c r="D650" s="486"/>
    </row>
    <row r="651" ht="14.0">
      <c r="A651" s="486" t="s">
        <v>3383</v>
      </c>
      <c r="B651" s="486" t="s">
        <v>3382</v>
      </c>
      <c r="C651" s="486">
        <v>5.0</v>
      </c>
      <c r="D651" s="486"/>
    </row>
    <row r="652" ht="14.0">
      <c r="A652" s="486" t="s">
        <v>3385</v>
      </c>
      <c r="B652" s="486" t="s">
        <v>3384</v>
      </c>
      <c r="C652" s="486">
        <v>5.0</v>
      </c>
      <c r="D652" s="486"/>
    </row>
    <row r="653" ht="14.0">
      <c r="A653" s="486" t="s">
        <v>3387</v>
      </c>
      <c r="B653" s="486" t="s">
        <v>3386</v>
      </c>
      <c r="C653" s="486">
        <v>5.0</v>
      </c>
      <c r="D653" s="486"/>
    </row>
    <row r="654" ht="14.0">
      <c r="A654" s="486" t="s">
        <v>3389</v>
      </c>
      <c r="B654" s="486" t="s">
        <v>3388</v>
      </c>
      <c r="C654" s="486">
        <v>5.0</v>
      </c>
      <c r="D654" s="486"/>
    </row>
    <row r="655" ht="14.0">
      <c r="A655" s="486" t="s">
        <v>3391</v>
      </c>
      <c r="B655" s="486" t="s">
        <v>3390</v>
      </c>
      <c r="C655" s="486">
        <v>5.0</v>
      </c>
      <c r="D655" s="486"/>
    </row>
    <row r="656" ht="14.0">
      <c r="A656" s="486" t="s">
        <v>3393</v>
      </c>
      <c r="B656" s="486" t="s">
        <v>3392</v>
      </c>
      <c r="C656" s="486">
        <v>5.0</v>
      </c>
      <c r="D656" s="486" t="s">
        <v>7655</v>
      </c>
    </row>
    <row r="657" ht="14.0">
      <c r="A657" s="486" t="s">
        <v>3395</v>
      </c>
      <c r="B657" s="486" t="s">
        <v>3394</v>
      </c>
      <c r="C657" s="486">
        <v>5.0</v>
      </c>
      <c r="D657" s="486" t="s">
        <v>7655</v>
      </c>
    </row>
    <row r="658" ht="14.0">
      <c r="A658" s="486" t="s">
        <v>3397</v>
      </c>
      <c r="B658" s="486" t="s">
        <v>3396</v>
      </c>
      <c r="C658" s="486">
        <v>5.0</v>
      </c>
      <c r="D658" s="486"/>
    </row>
    <row r="659" ht="14.0">
      <c r="A659" s="486" t="s">
        <v>3399</v>
      </c>
      <c r="B659" s="486" t="s">
        <v>3398</v>
      </c>
      <c r="C659" s="486">
        <v>5.0</v>
      </c>
      <c r="D659" s="486"/>
    </row>
    <row r="660" ht="14.0">
      <c r="A660" s="486" t="s">
        <v>3401</v>
      </c>
      <c r="B660" s="486" t="s">
        <v>3400</v>
      </c>
      <c r="C660" s="486">
        <v>5.0</v>
      </c>
      <c r="D660" s="486"/>
    </row>
    <row r="661" ht="14.0">
      <c r="A661" s="486" t="s">
        <v>3403</v>
      </c>
      <c r="B661" s="486" t="s">
        <v>3402</v>
      </c>
      <c r="C661" s="486">
        <v>5.0</v>
      </c>
      <c r="D661" s="486"/>
    </row>
    <row r="662" ht="14.0">
      <c r="A662" s="486" t="s">
        <v>3405</v>
      </c>
      <c r="B662" s="486" t="s">
        <v>3404</v>
      </c>
      <c r="C662" s="486">
        <v>5.0</v>
      </c>
      <c r="D662" s="486"/>
    </row>
    <row r="663" ht="14.0">
      <c r="A663" s="486" t="s">
        <v>3407</v>
      </c>
      <c r="B663" s="486" t="s">
        <v>3406</v>
      </c>
      <c r="C663" s="486">
        <v>5.0</v>
      </c>
      <c r="D663" s="486"/>
    </row>
    <row r="664" ht="14.0">
      <c r="A664" s="486" t="s">
        <v>3409</v>
      </c>
      <c r="B664" s="486" t="s">
        <v>3408</v>
      </c>
      <c r="C664" s="486">
        <v>5.0</v>
      </c>
      <c r="D664" s="486"/>
    </row>
    <row r="665" ht="14.0">
      <c r="A665" s="486" t="s">
        <v>3411</v>
      </c>
      <c r="B665" s="486" t="s">
        <v>3410</v>
      </c>
      <c r="C665" s="486">
        <v>5.0</v>
      </c>
      <c r="D665" s="486"/>
    </row>
    <row r="666" ht="14.0">
      <c r="A666" s="486" t="s">
        <v>3413</v>
      </c>
      <c r="B666" s="486" t="s">
        <v>3412</v>
      </c>
      <c r="C666" s="486">
        <v>5.0</v>
      </c>
      <c r="D666" s="486"/>
    </row>
    <row r="667" ht="14.0">
      <c r="A667" s="486" t="s">
        <v>3415</v>
      </c>
      <c r="B667" s="486" t="s">
        <v>3414</v>
      </c>
      <c r="C667" s="486">
        <v>5.0</v>
      </c>
      <c r="D667" s="486"/>
    </row>
    <row r="668" ht="14.0">
      <c r="A668" s="486" t="s">
        <v>3417</v>
      </c>
      <c r="B668" s="486" t="s">
        <v>3416</v>
      </c>
      <c r="C668" s="486">
        <v>5.0</v>
      </c>
      <c r="D668" s="486"/>
    </row>
    <row r="669" ht="14.0">
      <c r="A669" s="486" t="s">
        <v>3419</v>
      </c>
      <c r="B669" s="486" t="s">
        <v>3418</v>
      </c>
      <c r="C669" s="486">
        <v>5.0</v>
      </c>
      <c r="D669" s="486"/>
    </row>
    <row r="670" ht="14.0">
      <c r="A670" s="486" t="s">
        <v>3421</v>
      </c>
      <c r="B670" s="486" t="s">
        <v>3420</v>
      </c>
      <c r="C670" s="486">
        <v>5.0</v>
      </c>
      <c r="D670" s="486" t="s">
        <v>7655</v>
      </c>
    </row>
    <row r="671" ht="14.0">
      <c r="A671" s="486" t="s">
        <v>3423</v>
      </c>
      <c r="B671" s="486" t="s">
        <v>3422</v>
      </c>
      <c r="C671" s="486">
        <v>5.0</v>
      </c>
      <c r="D671" s="486"/>
    </row>
    <row r="672" ht="14.0">
      <c r="A672" s="486" t="s">
        <v>3425</v>
      </c>
      <c r="B672" s="486" t="s">
        <v>3424</v>
      </c>
      <c r="C672" s="486">
        <v>5.0</v>
      </c>
      <c r="D672" s="486"/>
    </row>
    <row r="673" ht="14.0">
      <c r="A673" s="486" t="s">
        <v>3427</v>
      </c>
      <c r="B673" s="486" t="s">
        <v>3426</v>
      </c>
      <c r="C673" s="486">
        <v>5.0</v>
      </c>
      <c r="D673" s="486"/>
    </row>
    <row r="674" ht="14.0">
      <c r="A674" s="486" t="s">
        <v>3429</v>
      </c>
      <c r="B674" s="486" t="s">
        <v>3428</v>
      </c>
      <c r="C674" s="486">
        <v>5.0</v>
      </c>
      <c r="D674" s="486"/>
    </row>
    <row r="675" ht="14.0">
      <c r="A675" s="486" t="s">
        <v>3431</v>
      </c>
      <c r="B675" s="486" t="s">
        <v>3430</v>
      </c>
      <c r="C675" s="486">
        <v>5.0</v>
      </c>
      <c r="D675" s="486"/>
    </row>
    <row r="676" ht="14.0">
      <c r="A676" s="486" t="s">
        <v>3433</v>
      </c>
      <c r="B676" s="486" t="s">
        <v>3432</v>
      </c>
      <c r="C676" s="486">
        <v>5.0</v>
      </c>
      <c r="D676" s="486"/>
    </row>
    <row r="677" ht="14.0">
      <c r="A677" s="486" t="s">
        <v>432</v>
      </c>
      <c r="B677" s="486" t="s">
        <v>433</v>
      </c>
      <c r="C677" s="486"/>
      <c r="D677" s="486"/>
    </row>
    <row r="678" ht="14.0">
      <c r="A678" s="486" t="s">
        <v>3459</v>
      </c>
      <c r="B678" s="486">
        <v>45202.0</v>
      </c>
      <c r="C678" s="486"/>
      <c r="D678" s="486" t="s">
        <v>577</v>
      </c>
    </row>
    <row r="679" ht="14.0">
      <c r="A679" s="486" t="s">
        <v>3460</v>
      </c>
      <c r="B679" s="486">
        <v>45203.0</v>
      </c>
      <c r="C679" s="486"/>
      <c r="D679" s="486" t="s">
        <v>577</v>
      </c>
    </row>
    <row r="680" ht="14.0">
      <c r="A680" s="486" t="s">
        <v>3461</v>
      </c>
      <c r="B680" s="486">
        <v>45201.0</v>
      </c>
      <c r="C680" s="486"/>
      <c r="D680" s="486" t="s">
        <v>577</v>
      </c>
    </row>
    <row r="681" ht="14.0">
      <c r="A681" s="486" t="s">
        <v>451</v>
      </c>
      <c r="B681" s="486" t="s">
        <v>452</v>
      </c>
      <c r="C681" s="486">
        <v>136.0</v>
      </c>
      <c r="D681" s="486"/>
    </row>
    <row r="682" ht="14.0">
      <c r="A682" s="486" t="s">
        <v>3501</v>
      </c>
      <c r="B682" s="486" t="s">
        <v>3500</v>
      </c>
      <c r="C682" s="486"/>
      <c r="D682" s="486"/>
    </row>
    <row r="683" ht="14.0">
      <c r="A683" s="486" t="s">
        <v>7688</v>
      </c>
      <c r="B683" s="486" t="s">
        <v>3502</v>
      </c>
      <c r="C683" s="486"/>
      <c r="D683" s="486"/>
    </row>
    <row r="684" ht="14.0">
      <c r="A684" s="486" t="s">
        <v>113</v>
      </c>
      <c r="B684" s="486" t="s">
        <v>114</v>
      </c>
      <c r="C684" s="486">
        <v>60.0</v>
      </c>
      <c r="D684" s="486"/>
    </row>
    <row r="685" ht="14.0">
      <c r="A685" s="486" t="s">
        <v>115</v>
      </c>
      <c r="B685" s="486">
        <v>34101.0</v>
      </c>
      <c r="C685" s="486"/>
      <c r="D685" s="486"/>
    </row>
    <row r="686" ht="14.0">
      <c r="A686" s="486" t="s">
        <v>111</v>
      </c>
      <c r="B686" s="486" t="s">
        <v>112</v>
      </c>
      <c r="C686" s="486"/>
      <c r="D686" s="486"/>
    </row>
    <row r="687" ht="14.0">
      <c r="A687" s="486" t="s">
        <v>3539</v>
      </c>
      <c r="B687" s="486" t="s">
        <v>3538</v>
      </c>
      <c r="C687" s="486"/>
      <c r="D687" s="486"/>
    </row>
    <row r="688" ht="14.0">
      <c r="A688" s="486" t="s">
        <v>7689</v>
      </c>
      <c r="B688" s="486" t="s">
        <v>7690</v>
      </c>
      <c r="C688" s="486"/>
      <c r="D688" s="486"/>
    </row>
    <row r="689" ht="14.0">
      <c r="A689" s="486" t="s">
        <v>3557</v>
      </c>
      <c r="B689" s="486" t="s">
        <v>3556</v>
      </c>
      <c r="C689" s="486"/>
      <c r="D689" s="486" t="s">
        <v>577</v>
      </c>
    </row>
    <row r="690" ht="14.0">
      <c r="A690" s="486" t="s">
        <v>3559</v>
      </c>
      <c r="B690" s="486" t="s">
        <v>3558</v>
      </c>
      <c r="C690" s="486"/>
      <c r="D690" s="486" t="s">
        <v>577</v>
      </c>
    </row>
    <row r="691" ht="14.0">
      <c r="A691" s="486" t="s">
        <v>3561</v>
      </c>
      <c r="B691" s="486" t="s">
        <v>3560</v>
      </c>
      <c r="C691" s="486"/>
      <c r="D691" s="486" t="s">
        <v>577</v>
      </c>
    </row>
    <row r="692" ht="14.0">
      <c r="A692" s="486" t="s">
        <v>3565</v>
      </c>
      <c r="B692" s="486" t="s">
        <v>3564</v>
      </c>
      <c r="C692" s="486"/>
      <c r="D692" s="486" t="s">
        <v>577</v>
      </c>
    </row>
    <row r="693" ht="14.0">
      <c r="A693" s="486" t="s">
        <v>3571</v>
      </c>
      <c r="B693" s="486" t="s">
        <v>3570</v>
      </c>
      <c r="C693" s="36">
        <v>1002.0</v>
      </c>
      <c r="D693" s="486" t="s">
        <v>577</v>
      </c>
    </row>
    <row r="694" ht="14.0">
      <c r="A694" s="486" t="s">
        <v>3573</v>
      </c>
      <c r="B694" s="486" t="s">
        <v>3572</v>
      </c>
      <c r="C694" s="36">
        <v>1002.0</v>
      </c>
      <c r="D694" s="486" t="s">
        <v>577</v>
      </c>
    </row>
    <row r="695" ht="14.0">
      <c r="A695" s="486" t="s">
        <v>3575</v>
      </c>
      <c r="B695" s="486" t="s">
        <v>3574</v>
      </c>
      <c r="C695" s="36">
        <v>1002.0</v>
      </c>
      <c r="D695" s="486" t="s">
        <v>577</v>
      </c>
    </row>
    <row r="696" ht="14.0">
      <c r="A696" s="486" t="s">
        <v>3577</v>
      </c>
      <c r="B696" s="486" t="s">
        <v>3576</v>
      </c>
      <c r="C696" s="36">
        <v>1002.0</v>
      </c>
      <c r="D696" s="486" t="s">
        <v>577</v>
      </c>
    </row>
    <row r="697" ht="14.0">
      <c r="A697" s="486" t="s">
        <v>3579</v>
      </c>
      <c r="B697" s="486" t="s">
        <v>3578</v>
      </c>
      <c r="C697" s="36">
        <v>1002.0</v>
      </c>
      <c r="D697" s="486" t="s">
        <v>577</v>
      </c>
    </row>
    <row r="698" ht="14.0">
      <c r="A698" s="486" t="s">
        <v>3581</v>
      </c>
      <c r="B698" s="486" t="s">
        <v>3580</v>
      </c>
      <c r="C698" s="36">
        <v>1002.0</v>
      </c>
      <c r="D698" s="486" t="s">
        <v>577</v>
      </c>
    </row>
    <row r="699" ht="14.0">
      <c r="A699" s="486" t="s">
        <v>3583</v>
      </c>
      <c r="B699" s="486" t="s">
        <v>3582</v>
      </c>
      <c r="C699" s="36">
        <v>1002.0</v>
      </c>
      <c r="D699" s="486" t="s">
        <v>577</v>
      </c>
    </row>
    <row r="700" ht="14.0">
      <c r="A700" s="486" t="s">
        <v>3585</v>
      </c>
      <c r="B700" s="486" t="s">
        <v>3584</v>
      </c>
      <c r="C700" s="36">
        <v>1002.0</v>
      </c>
      <c r="D700" s="486" t="s">
        <v>577</v>
      </c>
    </row>
    <row r="701" ht="14.0">
      <c r="A701" s="486" t="s">
        <v>3587</v>
      </c>
      <c r="B701" s="486" t="s">
        <v>3586</v>
      </c>
      <c r="C701" s="36">
        <v>1002.0</v>
      </c>
      <c r="D701" s="486" t="s">
        <v>577</v>
      </c>
    </row>
    <row r="702" ht="14.0">
      <c r="A702" s="486" t="s">
        <v>3591</v>
      </c>
      <c r="B702" s="486" t="s">
        <v>3590</v>
      </c>
      <c r="C702" s="36">
        <v>1000.0</v>
      </c>
      <c r="D702" s="486"/>
    </row>
    <row r="703" ht="14.0">
      <c r="A703" s="486" t="s">
        <v>3593</v>
      </c>
      <c r="B703" s="486" t="s">
        <v>3592</v>
      </c>
      <c r="C703" s="36">
        <v>1000.0</v>
      </c>
      <c r="D703" s="486"/>
    </row>
    <row r="704" ht="14.0">
      <c r="A704" s="486" t="s">
        <v>3683</v>
      </c>
      <c r="B704" s="486" t="s">
        <v>3682</v>
      </c>
      <c r="C704" s="486"/>
      <c r="D704" s="486" t="s">
        <v>577</v>
      </c>
    </row>
    <row r="705" ht="14.0">
      <c r="A705" s="486" t="s">
        <v>3685</v>
      </c>
      <c r="B705" s="486" t="s">
        <v>3684</v>
      </c>
      <c r="C705" s="486">
        <v>100.0</v>
      </c>
      <c r="D705" s="486" t="s">
        <v>577</v>
      </c>
    </row>
    <row r="706" ht="14.0">
      <c r="A706" s="486" t="s">
        <v>3687</v>
      </c>
      <c r="B706" s="486" t="s">
        <v>3686</v>
      </c>
      <c r="C706" s="486">
        <v>100.0</v>
      </c>
      <c r="D706" s="486" t="s">
        <v>577</v>
      </c>
    </row>
    <row r="707" ht="14.0">
      <c r="A707" s="486" t="s">
        <v>3705</v>
      </c>
      <c r="B707" s="486" t="s">
        <v>3704</v>
      </c>
      <c r="C707" s="486"/>
      <c r="D707" s="486" t="s">
        <v>577</v>
      </c>
    </row>
    <row r="708" ht="14.0">
      <c r="A708" s="486" t="s">
        <v>3725</v>
      </c>
      <c r="B708" s="486" t="s">
        <v>3724</v>
      </c>
      <c r="C708" s="486"/>
      <c r="D708" s="486" t="s">
        <v>577</v>
      </c>
    </row>
    <row r="709" ht="14.0">
      <c r="A709" s="486" t="s">
        <v>3727</v>
      </c>
      <c r="B709" s="486" t="s">
        <v>3726</v>
      </c>
      <c r="C709" s="486"/>
      <c r="D709" s="486" t="s">
        <v>577</v>
      </c>
    </row>
    <row r="710" ht="14.0">
      <c r="A710" s="486" t="s">
        <v>3729</v>
      </c>
      <c r="B710" s="486" t="s">
        <v>3728</v>
      </c>
      <c r="C710" s="486"/>
      <c r="D710" s="486" t="s">
        <v>577</v>
      </c>
    </row>
    <row r="711" ht="14.0">
      <c r="A711" s="486" t="s">
        <v>3733</v>
      </c>
      <c r="B711" s="486" t="s">
        <v>3732</v>
      </c>
      <c r="C711" s="486"/>
      <c r="D711" s="486" t="s">
        <v>577</v>
      </c>
    </row>
    <row r="712" ht="14.0">
      <c r="A712" s="486" t="s">
        <v>50</v>
      </c>
      <c r="B712" s="486">
        <v>36804.0</v>
      </c>
      <c r="C712" s="486"/>
      <c r="D712" s="486" t="s">
        <v>577</v>
      </c>
    </row>
    <row r="713" ht="14.0">
      <c r="A713" s="486" t="s">
        <v>51</v>
      </c>
      <c r="B713" s="486">
        <v>36805.0</v>
      </c>
      <c r="C713" s="486"/>
      <c r="D713" s="486" t="s">
        <v>577</v>
      </c>
    </row>
    <row r="714" ht="14.0">
      <c r="A714" s="486" t="s">
        <v>48</v>
      </c>
      <c r="B714" s="486">
        <v>36801.0</v>
      </c>
      <c r="C714" s="486"/>
      <c r="D714" s="486" t="s">
        <v>577</v>
      </c>
    </row>
    <row r="715" ht="14.0">
      <c r="A715" s="486" t="s">
        <v>49</v>
      </c>
      <c r="B715" s="486">
        <v>36803.0</v>
      </c>
      <c r="C715" s="486"/>
      <c r="D715" s="486" t="s">
        <v>577</v>
      </c>
    </row>
    <row r="716" ht="14.0">
      <c r="A716" s="486" t="s">
        <v>3736</v>
      </c>
      <c r="B716" s="486">
        <v>36802.0</v>
      </c>
      <c r="C716" s="486"/>
      <c r="D716" s="486" t="s">
        <v>577</v>
      </c>
    </row>
    <row r="717" ht="14.0">
      <c r="A717" s="486" t="s">
        <v>46</v>
      </c>
      <c r="B717" s="486" t="s">
        <v>47</v>
      </c>
      <c r="C717" s="486"/>
      <c r="D717" s="486" t="s">
        <v>577</v>
      </c>
    </row>
    <row r="718" ht="14.0">
      <c r="A718" s="486" t="s">
        <v>43</v>
      </c>
      <c r="B718" s="486" t="s">
        <v>44</v>
      </c>
      <c r="C718" s="486"/>
      <c r="D718" s="486" t="s">
        <v>577</v>
      </c>
    </row>
    <row r="719" ht="14.0">
      <c r="A719" s="486" t="s">
        <v>3742</v>
      </c>
      <c r="B719" s="486" t="s">
        <v>3741</v>
      </c>
      <c r="C719" s="36">
        <v>1000.0</v>
      </c>
      <c r="D719" s="486"/>
    </row>
    <row r="720" ht="14.0">
      <c r="A720" s="486" t="s">
        <v>3744</v>
      </c>
      <c r="B720" s="486" t="s">
        <v>3743</v>
      </c>
      <c r="C720" s="36">
        <v>1000.0</v>
      </c>
      <c r="D720" s="486" t="s">
        <v>577</v>
      </c>
    </row>
    <row r="721" ht="14.0">
      <c r="A721" s="486" t="s">
        <v>3746</v>
      </c>
      <c r="B721" s="486" t="s">
        <v>3745</v>
      </c>
      <c r="C721" s="36">
        <v>1000.0</v>
      </c>
      <c r="D721" s="486" t="s">
        <v>577</v>
      </c>
    </row>
    <row r="722" ht="14.0">
      <c r="A722" s="486" t="s">
        <v>3748</v>
      </c>
      <c r="B722" s="486" t="s">
        <v>3747</v>
      </c>
      <c r="C722" s="36">
        <v>1000.0</v>
      </c>
      <c r="D722" s="486" t="s">
        <v>577</v>
      </c>
    </row>
    <row r="723" ht="14.0">
      <c r="A723" s="486" t="s">
        <v>3750</v>
      </c>
      <c r="B723" s="486" t="s">
        <v>3749</v>
      </c>
      <c r="C723" s="36">
        <v>1000.0</v>
      </c>
      <c r="D723" s="486"/>
    </row>
    <row r="724" ht="14.0">
      <c r="A724" s="486" t="s">
        <v>3752</v>
      </c>
      <c r="B724" s="486" t="s">
        <v>3751</v>
      </c>
      <c r="C724" s="36">
        <v>1000.0</v>
      </c>
      <c r="D724" s="486" t="s">
        <v>577</v>
      </c>
    </row>
    <row r="725" ht="14.0">
      <c r="A725" s="486" t="s">
        <v>3754</v>
      </c>
      <c r="B725" s="486" t="s">
        <v>3753</v>
      </c>
      <c r="C725" s="36">
        <v>1000.0</v>
      </c>
      <c r="D725" s="486"/>
    </row>
    <row r="726" ht="14.0">
      <c r="A726" s="486" t="s">
        <v>3758</v>
      </c>
      <c r="B726" s="486" t="s">
        <v>3757</v>
      </c>
      <c r="C726" s="36">
        <v>1000.0</v>
      </c>
      <c r="D726" s="486"/>
    </row>
    <row r="727" ht="14.0">
      <c r="A727" s="486" t="s">
        <v>3766</v>
      </c>
      <c r="B727" s="486" t="s">
        <v>3765</v>
      </c>
      <c r="C727" s="36">
        <v>1000.0</v>
      </c>
      <c r="D727" s="486"/>
    </row>
    <row r="728" ht="14.0">
      <c r="A728" s="486" t="s">
        <v>3770</v>
      </c>
      <c r="B728" s="486" t="s">
        <v>3769</v>
      </c>
      <c r="C728" s="36">
        <v>1000.0</v>
      </c>
      <c r="D728" s="486" t="s">
        <v>577</v>
      </c>
    </row>
    <row r="729" ht="14.0">
      <c r="A729" s="486" t="s">
        <v>7691</v>
      </c>
      <c r="B729" s="486" t="s">
        <v>3777</v>
      </c>
      <c r="C729" s="486"/>
      <c r="D729" s="486"/>
    </row>
    <row r="730" ht="14.0">
      <c r="A730" s="486" t="s">
        <v>7692</v>
      </c>
      <c r="B730" s="486" t="s">
        <v>3775</v>
      </c>
      <c r="C730" s="486"/>
      <c r="D730" s="486" t="s">
        <v>577</v>
      </c>
    </row>
    <row r="731" ht="14.0">
      <c r="A731" s="486" t="s">
        <v>3862</v>
      </c>
      <c r="B731" s="486" t="s">
        <v>3861</v>
      </c>
      <c r="C731" s="486">
        <v>500.0</v>
      </c>
      <c r="D731" s="486" t="s">
        <v>577</v>
      </c>
    </row>
    <row r="732" ht="14.0">
      <c r="A732" s="486" t="s">
        <v>3864</v>
      </c>
      <c r="B732" s="486" t="s">
        <v>3863</v>
      </c>
      <c r="C732" s="486">
        <v>500.0</v>
      </c>
      <c r="D732" s="486"/>
    </row>
    <row r="733" ht="14.0">
      <c r="A733" s="486" t="s">
        <v>3866</v>
      </c>
      <c r="B733" s="486" t="s">
        <v>3865</v>
      </c>
      <c r="C733" s="486">
        <v>500.0</v>
      </c>
      <c r="D733" s="486"/>
    </row>
    <row r="734" ht="14.0">
      <c r="A734" s="486" t="s">
        <v>3868</v>
      </c>
      <c r="B734" s="486" t="s">
        <v>3867</v>
      </c>
      <c r="C734" s="486">
        <v>500.0</v>
      </c>
      <c r="D734" s="486"/>
    </row>
    <row r="735" ht="14.0">
      <c r="A735" s="486" t="s">
        <v>3870</v>
      </c>
      <c r="B735" s="486" t="s">
        <v>3869</v>
      </c>
      <c r="C735" s="486">
        <v>500.0</v>
      </c>
      <c r="D735" s="486" t="s">
        <v>577</v>
      </c>
    </row>
    <row r="736" ht="14.0">
      <c r="A736" s="486" t="s">
        <v>3872</v>
      </c>
      <c r="B736" s="486" t="s">
        <v>5018</v>
      </c>
      <c r="C736" s="486"/>
      <c r="D736" s="486" t="s">
        <v>7655</v>
      </c>
    </row>
    <row r="737" ht="14.0">
      <c r="A737" s="486" t="s">
        <v>7693</v>
      </c>
      <c r="B737" s="486" t="s">
        <v>3873</v>
      </c>
      <c r="C737" s="486"/>
      <c r="D737" s="486"/>
    </row>
    <row r="738" ht="14.0">
      <c r="A738" s="486" t="s">
        <v>7694</v>
      </c>
      <c r="B738" s="486" t="s">
        <v>7695</v>
      </c>
      <c r="C738" s="486"/>
      <c r="D738" s="486"/>
    </row>
    <row r="739" ht="14.0">
      <c r="A739" s="486" t="s">
        <v>3878</v>
      </c>
      <c r="B739" s="486" t="s">
        <v>3877</v>
      </c>
      <c r="C739" s="36">
        <v>1008.0</v>
      </c>
      <c r="D739" s="486"/>
    </row>
    <row r="740" ht="14.0">
      <c r="A740" s="486" t="s">
        <v>3888</v>
      </c>
      <c r="B740" s="486" t="s">
        <v>3887</v>
      </c>
      <c r="C740" s="36">
        <v>1008.0</v>
      </c>
      <c r="D740" s="486"/>
    </row>
    <row r="741" ht="14.0">
      <c r="A741" s="486" t="s">
        <v>3922</v>
      </c>
      <c r="B741" s="486" t="s">
        <v>3921</v>
      </c>
      <c r="C741" s="36">
        <v>2016.0</v>
      </c>
      <c r="D741" s="486"/>
    </row>
    <row r="742" ht="14.0">
      <c r="A742" s="486" t="s">
        <v>3926</v>
      </c>
      <c r="B742" s="486" t="s">
        <v>3925</v>
      </c>
      <c r="C742" s="36">
        <v>1000.0</v>
      </c>
      <c r="D742" s="486"/>
    </row>
    <row r="743" ht="14.0">
      <c r="A743" s="486" t="s">
        <v>3928</v>
      </c>
      <c r="B743" s="486" t="s">
        <v>3927</v>
      </c>
      <c r="C743" s="36">
        <v>1008.0</v>
      </c>
      <c r="D743" s="486"/>
    </row>
    <row r="744" ht="14.0">
      <c r="A744" s="486" t="s">
        <v>3930</v>
      </c>
      <c r="B744" s="486" t="s">
        <v>3929</v>
      </c>
      <c r="C744" s="36">
        <v>1000.0</v>
      </c>
      <c r="D744" s="486"/>
    </row>
    <row r="745" ht="14.0">
      <c r="A745" s="486" t="s">
        <v>3932</v>
      </c>
      <c r="B745" s="486" t="s">
        <v>3931</v>
      </c>
      <c r="C745" s="36">
        <v>1008.0</v>
      </c>
      <c r="D745" s="486"/>
    </row>
    <row r="746" ht="14.0">
      <c r="A746" s="486" t="s">
        <v>3934</v>
      </c>
      <c r="B746" s="486" t="s">
        <v>3933</v>
      </c>
      <c r="C746" s="36">
        <v>1002.0</v>
      </c>
      <c r="D746" s="486"/>
    </row>
    <row r="747" ht="14.0">
      <c r="A747" s="486" t="s">
        <v>3936</v>
      </c>
      <c r="B747" s="486" t="s">
        <v>3935</v>
      </c>
      <c r="C747" s="36">
        <v>1000.0</v>
      </c>
      <c r="D747" s="486"/>
    </row>
    <row r="748" ht="14.0">
      <c r="A748" s="486" t="s">
        <v>3938</v>
      </c>
      <c r="B748" s="486" t="s">
        <v>3937</v>
      </c>
      <c r="C748" s="36">
        <v>2016.0</v>
      </c>
      <c r="D748" s="486"/>
    </row>
    <row r="749" ht="14.0">
      <c r="A749" s="486" t="s">
        <v>3940</v>
      </c>
      <c r="B749" s="486" t="s">
        <v>3939</v>
      </c>
      <c r="C749" s="36">
        <v>1000.0</v>
      </c>
      <c r="D749" s="486"/>
    </row>
    <row r="750" ht="14.0">
      <c r="A750" s="486" t="s">
        <v>3942</v>
      </c>
      <c r="B750" s="486" t="s">
        <v>3941</v>
      </c>
      <c r="C750" s="36">
        <v>2016.0</v>
      </c>
      <c r="D750" s="486"/>
    </row>
    <row r="751" ht="14.0">
      <c r="A751" s="486" t="s">
        <v>3944</v>
      </c>
      <c r="B751" s="486" t="s">
        <v>3943</v>
      </c>
      <c r="C751" s="36">
        <v>2016.0</v>
      </c>
      <c r="D751" s="486"/>
    </row>
    <row r="752" ht="14.0">
      <c r="A752" s="486" t="s">
        <v>3946</v>
      </c>
      <c r="B752" s="486" t="s">
        <v>3945</v>
      </c>
      <c r="C752" s="36">
        <v>2016.0</v>
      </c>
      <c r="D752" s="486"/>
    </row>
    <row r="753" ht="14.0">
      <c r="A753" s="486" t="s">
        <v>3948</v>
      </c>
      <c r="B753" s="486" t="s">
        <v>3947</v>
      </c>
      <c r="C753" s="36">
        <v>1000.0</v>
      </c>
      <c r="D753" s="486"/>
    </row>
    <row r="754" ht="14.0">
      <c r="A754" s="486" t="s">
        <v>3950</v>
      </c>
      <c r="B754" s="486" t="s">
        <v>3949</v>
      </c>
      <c r="C754" s="36">
        <v>1008.0</v>
      </c>
      <c r="D754" s="486"/>
    </row>
    <row r="755" ht="14.0">
      <c r="A755" s="486" t="s">
        <v>3952</v>
      </c>
      <c r="B755" s="486" t="s">
        <v>3951</v>
      </c>
      <c r="C755" s="36">
        <v>2016.0</v>
      </c>
      <c r="D755" s="486"/>
    </row>
    <row r="756" ht="14.0">
      <c r="A756" s="486" t="s">
        <v>3954</v>
      </c>
      <c r="B756" s="486" t="s">
        <v>3953</v>
      </c>
      <c r="C756" s="36">
        <v>2016.0</v>
      </c>
      <c r="D756" s="486"/>
    </row>
    <row r="757" ht="14.0">
      <c r="A757" s="486" t="s">
        <v>3956</v>
      </c>
      <c r="B757" s="486" t="s">
        <v>3955</v>
      </c>
      <c r="C757" s="36">
        <v>1008.0</v>
      </c>
      <c r="D757" s="486"/>
    </row>
    <row r="758" ht="14.0">
      <c r="A758" s="486" t="s">
        <v>3958</v>
      </c>
      <c r="B758" s="486" t="s">
        <v>3957</v>
      </c>
      <c r="C758" s="36">
        <v>2016.0</v>
      </c>
      <c r="D758" s="486" t="s">
        <v>7655</v>
      </c>
    </row>
    <row r="759" ht="14.0">
      <c r="A759" s="486" t="s">
        <v>3960</v>
      </c>
      <c r="B759" s="486" t="s">
        <v>3959</v>
      </c>
      <c r="C759" s="36">
        <v>1008.0</v>
      </c>
      <c r="D759" s="486"/>
    </row>
    <row r="760" ht="14.0">
      <c r="A760" s="486" t="s">
        <v>3962</v>
      </c>
      <c r="B760" s="486" t="s">
        <v>3961</v>
      </c>
      <c r="C760" s="36">
        <v>2016.0</v>
      </c>
      <c r="D760" s="486"/>
    </row>
    <row r="761" ht="14.0">
      <c r="A761" s="486" t="s">
        <v>3964</v>
      </c>
      <c r="B761" s="486" t="s">
        <v>3963</v>
      </c>
      <c r="C761" s="36">
        <v>2016.0</v>
      </c>
      <c r="D761" s="486"/>
    </row>
    <row r="762" ht="14.0">
      <c r="A762" s="486" t="s">
        <v>3966</v>
      </c>
      <c r="B762" s="486" t="s">
        <v>3965</v>
      </c>
      <c r="C762" s="36">
        <v>1008.0</v>
      </c>
      <c r="D762" s="486"/>
    </row>
    <row r="763" ht="14.0">
      <c r="A763" s="486" t="s">
        <v>3968</v>
      </c>
      <c r="B763" s="486" t="s">
        <v>3967</v>
      </c>
      <c r="C763" s="36">
        <v>1008.0</v>
      </c>
      <c r="D763" s="486"/>
    </row>
    <row r="764" ht="14.0">
      <c r="A764" s="486" t="s">
        <v>3972</v>
      </c>
      <c r="B764" s="486" t="s">
        <v>3971</v>
      </c>
      <c r="C764" s="36">
        <v>2016.0</v>
      </c>
      <c r="D764" s="486"/>
    </row>
    <row r="765" ht="14.0">
      <c r="A765" s="486" t="s">
        <v>3980</v>
      </c>
      <c r="B765" s="486" t="s">
        <v>3979</v>
      </c>
      <c r="C765" s="486"/>
      <c r="D765" s="486" t="s">
        <v>577</v>
      </c>
    </row>
    <row r="766" ht="14.0">
      <c r="A766" s="486" t="s">
        <v>3982</v>
      </c>
      <c r="B766" s="486" t="s">
        <v>3981</v>
      </c>
      <c r="C766" s="36">
        <v>1000.0</v>
      </c>
      <c r="D766" s="486"/>
    </row>
    <row r="767" ht="14.0">
      <c r="A767" s="486" t="s">
        <v>3984</v>
      </c>
      <c r="B767" s="486" t="s">
        <v>3983</v>
      </c>
      <c r="C767" s="36">
        <v>2016.0</v>
      </c>
      <c r="D767" s="486"/>
    </row>
    <row r="768" ht="14.0">
      <c r="A768" s="486" t="s">
        <v>3986</v>
      </c>
      <c r="B768" s="486" t="s">
        <v>3985</v>
      </c>
      <c r="C768" s="486"/>
      <c r="D768" s="486" t="s">
        <v>577</v>
      </c>
    </row>
    <row r="769" ht="14.0">
      <c r="A769" s="486" t="s">
        <v>7696</v>
      </c>
      <c r="B769" s="486" t="s">
        <v>3989</v>
      </c>
      <c r="C769" s="486"/>
      <c r="D769" s="486" t="s">
        <v>577</v>
      </c>
    </row>
    <row r="770" ht="14.0">
      <c r="A770" s="486" t="s">
        <v>4127</v>
      </c>
      <c r="B770" s="486" t="s">
        <v>4126</v>
      </c>
      <c r="C770" s="486"/>
      <c r="D770" s="486" t="s">
        <v>577</v>
      </c>
    </row>
    <row r="771" ht="14.0">
      <c r="A771" s="486" t="s">
        <v>4129</v>
      </c>
      <c r="B771" s="486" t="s">
        <v>4128</v>
      </c>
      <c r="C771" s="486"/>
      <c r="D771" s="486" t="s">
        <v>577</v>
      </c>
    </row>
    <row r="772" ht="14.0">
      <c r="A772" s="486" t="s">
        <v>4141</v>
      </c>
      <c r="B772" s="486" t="s">
        <v>4140</v>
      </c>
      <c r="C772" s="486">
        <v>0.0</v>
      </c>
      <c r="D772" s="486"/>
    </row>
    <row r="773" ht="14.0">
      <c r="A773" s="486" t="s">
        <v>4143</v>
      </c>
      <c r="B773" s="486" t="s">
        <v>4142</v>
      </c>
      <c r="C773" s="486">
        <v>0.0</v>
      </c>
      <c r="D773" s="486"/>
    </row>
    <row r="774" ht="14.0">
      <c r="A774" s="486" t="s">
        <v>4145</v>
      </c>
      <c r="B774" s="486" t="s">
        <v>4144</v>
      </c>
      <c r="C774" s="486">
        <v>0.0</v>
      </c>
      <c r="D774" s="486"/>
    </row>
    <row r="775" ht="14.0">
      <c r="A775" s="486" t="s">
        <v>464</v>
      </c>
      <c r="B775" s="486" t="s">
        <v>465</v>
      </c>
      <c r="C775" s="486"/>
      <c r="D775" s="486"/>
    </row>
    <row r="776" ht="14.0">
      <c r="A776" s="486" t="s">
        <v>485</v>
      </c>
      <c r="B776" s="486" t="s">
        <v>486</v>
      </c>
      <c r="C776" s="486"/>
      <c r="D776" s="486"/>
    </row>
    <row r="777" ht="14.0">
      <c r="A777" s="486" t="s">
        <v>4201</v>
      </c>
      <c r="B777" s="486" t="s">
        <v>4200</v>
      </c>
      <c r="C777" s="486">
        <v>501.0</v>
      </c>
      <c r="D777" s="486"/>
    </row>
    <row r="778" ht="14.0">
      <c r="A778" s="486" t="s">
        <v>4203</v>
      </c>
      <c r="B778" s="486" t="s">
        <v>4202</v>
      </c>
      <c r="C778" s="486">
        <v>501.0</v>
      </c>
      <c r="D778" s="486"/>
    </row>
    <row r="779" ht="14.0">
      <c r="A779" s="486" t="s">
        <v>4205</v>
      </c>
      <c r="B779" s="486" t="s">
        <v>4204</v>
      </c>
      <c r="C779" s="486">
        <v>501.0</v>
      </c>
      <c r="D779" s="486"/>
    </row>
    <row r="780" ht="14.0">
      <c r="A780" s="486" t="s">
        <v>4207</v>
      </c>
      <c r="B780" s="486" t="s">
        <v>4206</v>
      </c>
      <c r="C780" s="486">
        <v>501.0</v>
      </c>
      <c r="D780" s="486"/>
    </row>
    <row r="781" ht="14.0">
      <c r="A781" s="486" t="s">
        <v>4209</v>
      </c>
      <c r="B781" s="486" t="s">
        <v>4208</v>
      </c>
      <c r="C781" s="486">
        <v>501.0</v>
      </c>
      <c r="D781" s="486"/>
    </row>
    <row r="782" ht="14.0">
      <c r="A782" s="486" t="s">
        <v>4211</v>
      </c>
      <c r="B782" s="486" t="s">
        <v>4210</v>
      </c>
      <c r="C782" s="486">
        <v>501.0</v>
      </c>
      <c r="D782" s="486"/>
    </row>
    <row r="783" ht="14.0">
      <c r="A783" s="486" t="s">
        <v>4213</v>
      </c>
      <c r="B783" s="486" t="s">
        <v>4212</v>
      </c>
      <c r="C783" s="486">
        <v>501.0</v>
      </c>
      <c r="D783" s="486"/>
    </row>
    <row r="784" ht="14.0">
      <c r="A784" s="486" t="s">
        <v>4217</v>
      </c>
      <c r="B784" s="486" t="s">
        <v>4216</v>
      </c>
      <c r="C784" s="486">
        <v>501.0</v>
      </c>
      <c r="D784" s="486"/>
    </row>
    <row r="785" ht="14.0">
      <c r="A785" s="486" t="s">
        <v>4219</v>
      </c>
      <c r="B785" s="486" t="s">
        <v>4218</v>
      </c>
      <c r="C785" s="486">
        <v>501.0</v>
      </c>
      <c r="D785" s="486"/>
    </row>
    <row r="786" ht="14.0">
      <c r="A786" s="486" t="s">
        <v>4221</v>
      </c>
      <c r="B786" s="486" t="s">
        <v>4220</v>
      </c>
      <c r="C786" s="486">
        <v>501.0</v>
      </c>
      <c r="D786" s="486"/>
    </row>
    <row r="787" ht="14.0">
      <c r="A787" s="486" t="s">
        <v>4223</v>
      </c>
      <c r="B787" s="486" t="s">
        <v>4222</v>
      </c>
      <c r="C787" s="486">
        <v>501.0</v>
      </c>
      <c r="D787" s="486"/>
    </row>
    <row r="788" ht="14.0">
      <c r="A788" s="486" t="s">
        <v>4225</v>
      </c>
      <c r="B788" s="486" t="s">
        <v>4224</v>
      </c>
      <c r="C788" s="486">
        <v>501.0</v>
      </c>
      <c r="D788" s="486"/>
    </row>
    <row r="789" ht="14.0">
      <c r="A789" s="486" t="s">
        <v>4231</v>
      </c>
      <c r="B789" s="486" t="s">
        <v>4230</v>
      </c>
      <c r="C789" s="486">
        <v>501.0</v>
      </c>
      <c r="D789" s="486"/>
    </row>
    <row r="790" ht="14.0">
      <c r="A790" s="486" t="s">
        <v>62</v>
      </c>
      <c r="B790" s="486">
        <v>71501.0</v>
      </c>
      <c r="C790" s="486"/>
      <c r="D790" s="486"/>
    </row>
    <row r="791" ht="14.0">
      <c r="A791" s="486" t="s">
        <v>59</v>
      </c>
      <c r="B791" s="486">
        <v>71201.0</v>
      </c>
      <c r="C791" s="486"/>
      <c r="D791" s="486"/>
    </row>
    <row r="792" ht="14.0">
      <c r="A792" s="486" t="s">
        <v>4299</v>
      </c>
      <c r="B792" s="486" t="s">
        <v>4298</v>
      </c>
      <c r="C792" s="486"/>
      <c r="D792" s="486" t="s">
        <v>577</v>
      </c>
    </row>
    <row r="793" ht="14.0">
      <c r="A793" s="486" t="s">
        <v>4331</v>
      </c>
      <c r="B793" s="486" t="s">
        <v>4330</v>
      </c>
      <c r="C793" s="486">
        <v>504.0</v>
      </c>
      <c r="D793" s="486"/>
    </row>
    <row r="794" ht="14.0">
      <c r="A794" s="486" t="s">
        <v>4333</v>
      </c>
      <c r="B794" s="486" t="s">
        <v>4332</v>
      </c>
      <c r="C794" s="486">
        <v>504.0</v>
      </c>
      <c r="D794" s="486" t="s">
        <v>7655</v>
      </c>
    </row>
    <row r="795" ht="14.0">
      <c r="A795" s="486" t="s">
        <v>4341</v>
      </c>
      <c r="B795" s="486" t="s">
        <v>4340</v>
      </c>
      <c r="C795" s="486">
        <v>504.0</v>
      </c>
      <c r="D795" s="486"/>
    </row>
    <row r="796" ht="14.0">
      <c r="A796" s="486" t="s">
        <v>4351</v>
      </c>
      <c r="B796" s="486" t="s">
        <v>4350</v>
      </c>
      <c r="C796" s="486">
        <v>528.0</v>
      </c>
      <c r="D796" s="486"/>
    </row>
    <row r="797" ht="14.0">
      <c r="A797" s="486" t="s">
        <v>4353</v>
      </c>
      <c r="B797" s="486" t="s">
        <v>4352</v>
      </c>
      <c r="C797" s="486">
        <v>504.0</v>
      </c>
      <c r="D797" s="486"/>
    </row>
    <row r="798" ht="14.0">
      <c r="A798" s="486" t="s">
        <v>4355</v>
      </c>
      <c r="B798" s="486" t="s">
        <v>4354</v>
      </c>
      <c r="C798" s="486">
        <v>504.0</v>
      </c>
      <c r="D798" s="486"/>
    </row>
    <row r="799" ht="14.0">
      <c r="A799" s="486" t="s">
        <v>4359</v>
      </c>
      <c r="B799" s="486" t="s">
        <v>4358</v>
      </c>
      <c r="C799" s="486">
        <v>504.0</v>
      </c>
      <c r="D799" s="486"/>
    </row>
    <row r="800" ht="14.0">
      <c r="A800" s="486" t="s">
        <v>4363</v>
      </c>
      <c r="B800" s="486" t="s">
        <v>4362</v>
      </c>
      <c r="C800" s="486">
        <v>504.0</v>
      </c>
      <c r="D800" s="486"/>
    </row>
    <row r="801" ht="14.0">
      <c r="A801" s="486" t="s">
        <v>4371</v>
      </c>
      <c r="B801" s="486" t="s">
        <v>4370</v>
      </c>
      <c r="C801" s="486">
        <v>200.0</v>
      </c>
      <c r="D801" s="486"/>
    </row>
    <row r="802" ht="14.0">
      <c r="A802" s="486" t="s">
        <v>4415</v>
      </c>
      <c r="B802" s="486" t="s">
        <v>4414</v>
      </c>
      <c r="C802" s="486"/>
      <c r="D802" s="486" t="s">
        <v>577</v>
      </c>
    </row>
    <row r="803" ht="14.0">
      <c r="A803" s="486" t="s">
        <v>4417</v>
      </c>
      <c r="B803" s="486" t="s">
        <v>4416</v>
      </c>
      <c r="C803" s="486"/>
      <c r="D803" s="486" t="s">
        <v>577</v>
      </c>
    </row>
    <row r="804" ht="14.0">
      <c r="A804" s="486" t="s">
        <v>4423</v>
      </c>
      <c r="B804" s="486" t="s">
        <v>4422</v>
      </c>
      <c r="C804" s="486"/>
      <c r="D804" s="486" t="s">
        <v>577</v>
      </c>
    </row>
    <row r="805" ht="14.0">
      <c r="A805" s="486" t="s">
        <v>4435</v>
      </c>
      <c r="B805" s="486" t="s">
        <v>4434</v>
      </c>
      <c r="C805" s="486">
        <v>500.0</v>
      </c>
      <c r="D805" s="486" t="s">
        <v>577</v>
      </c>
    </row>
    <row r="806" ht="14.0">
      <c r="A806" s="486" t="s">
        <v>4437</v>
      </c>
      <c r="B806" s="486" t="s">
        <v>4436</v>
      </c>
      <c r="C806" s="486">
        <v>500.0</v>
      </c>
      <c r="D806" s="486"/>
    </row>
    <row r="807" ht="14.0">
      <c r="A807" s="486" t="s">
        <v>4447</v>
      </c>
      <c r="B807" s="486" t="s">
        <v>4446</v>
      </c>
      <c r="C807" s="486">
        <v>500.0</v>
      </c>
      <c r="D807" s="486"/>
    </row>
    <row r="808" ht="14.0">
      <c r="A808" s="486" t="s">
        <v>4449</v>
      </c>
      <c r="B808" s="486" t="s">
        <v>4448</v>
      </c>
      <c r="C808" s="486">
        <v>500.0</v>
      </c>
      <c r="D808" s="486" t="s">
        <v>7655</v>
      </c>
    </row>
    <row r="809" ht="14.0">
      <c r="A809" s="486" t="s">
        <v>4451</v>
      </c>
      <c r="B809" s="486" t="s">
        <v>4450</v>
      </c>
      <c r="C809" s="486">
        <v>500.0</v>
      </c>
      <c r="D809" s="486" t="s">
        <v>577</v>
      </c>
    </row>
    <row r="810" ht="14.0">
      <c r="A810" s="486" t="s">
        <v>4453</v>
      </c>
      <c r="B810" s="486" t="s">
        <v>4452</v>
      </c>
      <c r="C810" s="486">
        <v>500.0</v>
      </c>
      <c r="D810" s="486"/>
    </row>
    <row r="811" ht="14.0">
      <c r="A811" s="486" t="s">
        <v>4488</v>
      </c>
      <c r="B811" s="486" t="s">
        <v>4487</v>
      </c>
      <c r="C811" s="36">
        <v>1002.0</v>
      </c>
      <c r="D811" s="486"/>
    </row>
    <row r="812" ht="14.0">
      <c r="A812" s="486" t="s">
        <v>4492</v>
      </c>
      <c r="B812" s="486" t="s">
        <v>4491</v>
      </c>
      <c r="C812" s="36">
        <v>1002.0</v>
      </c>
      <c r="D812" s="486"/>
    </row>
    <row r="813" ht="14.0">
      <c r="A813" s="486" t="s">
        <v>4496</v>
      </c>
      <c r="B813" s="486" t="s">
        <v>4495</v>
      </c>
      <c r="C813" s="36">
        <v>1002.0</v>
      </c>
      <c r="D813" s="486" t="s">
        <v>577</v>
      </c>
    </row>
    <row r="814" ht="14.0">
      <c r="A814" s="486" t="s">
        <v>4498</v>
      </c>
      <c r="B814" s="486" t="s">
        <v>4497</v>
      </c>
      <c r="C814" s="36">
        <v>1002.0</v>
      </c>
      <c r="D814" s="486"/>
    </row>
    <row r="815" ht="14.0">
      <c r="A815" s="486" t="s">
        <v>4500</v>
      </c>
      <c r="B815" s="486" t="s">
        <v>4499</v>
      </c>
      <c r="C815" s="36">
        <v>1002.0</v>
      </c>
      <c r="D815" s="486" t="s">
        <v>7655</v>
      </c>
    </row>
    <row r="816" ht="14.0">
      <c r="A816" s="486" t="s">
        <v>4502</v>
      </c>
      <c r="B816" s="486" t="s">
        <v>4501</v>
      </c>
      <c r="C816" s="36">
        <v>1002.0</v>
      </c>
      <c r="D816" s="486"/>
    </row>
    <row r="817" ht="14.0">
      <c r="A817" s="486" t="s">
        <v>4504</v>
      </c>
      <c r="B817" s="486" t="s">
        <v>4503</v>
      </c>
      <c r="C817" s="36">
        <v>1002.0</v>
      </c>
      <c r="D817" s="486"/>
    </row>
    <row r="818" ht="14.0">
      <c r="A818" s="486" t="s">
        <v>4524</v>
      </c>
      <c r="B818" s="486" t="s">
        <v>4523</v>
      </c>
      <c r="C818" s="36">
        <v>1002.0</v>
      </c>
      <c r="D818" s="486"/>
    </row>
    <row r="819" ht="14.0">
      <c r="A819" s="486" t="s">
        <v>4528</v>
      </c>
      <c r="B819" s="486" t="s">
        <v>4527</v>
      </c>
      <c r="C819" s="36">
        <v>1002.0</v>
      </c>
      <c r="D819" s="486" t="s">
        <v>7655</v>
      </c>
    </row>
    <row r="820" ht="14.0">
      <c r="A820" s="486" t="s">
        <v>4530</v>
      </c>
      <c r="B820" s="486" t="s">
        <v>4529</v>
      </c>
      <c r="C820" s="36">
        <v>1002.0</v>
      </c>
      <c r="D820" s="486" t="s">
        <v>577</v>
      </c>
    </row>
    <row r="821" ht="14.0">
      <c r="A821" s="486" t="s">
        <v>4532</v>
      </c>
      <c r="B821" s="486" t="s">
        <v>4531</v>
      </c>
      <c r="C821" s="36">
        <v>1002.0</v>
      </c>
      <c r="D821" s="486"/>
    </row>
    <row r="822" ht="14.0">
      <c r="A822" s="486" t="s">
        <v>4534</v>
      </c>
      <c r="B822" s="486" t="s">
        <v>4533</v>
      </c>
      <c r="C822" s="36">
        <v>1002.0</v>
      </c>
      <c r="D822" s="486" t="s">
        <v>577</v>
      </c>
    </row>
    <row r="823" ht="14.0">
      <c r="A823" s="486" t="s">
        <v>4538</v>
      </c>
      <c r="B823" s="486" t="s">
        <v>4537</v>
      </c>
      <c r="C823" s="36">
        <v>1002.0</v>
      </c>
      <c r="D823" s="486" t="s">
        <v>577</v>
      </c>
    </row>
    <row r="824" ht="14.0">
      <c r="A824" s="486" t="s">
        <v>4542</v>
      </c>
      <c r="B824" s="486" t="s">
        <v>4541</v>
      </c>
      <c r="C824" s="36">
        <v>1002.0</v>
      </c>
      <c r="D824" s="486" t="s">
        <v>577</v>
      </c>
    </row>
    <row r="825" ht="14.0">
      <c r="A825" s="486" t="s">
        <v>4546</v>
      </c>
      <c r="B825" s="486" t="s">
        <v>4545</v>
      </c>
      <c r="C825" s="36">
        <v>1002.0</v>
      </c>
      <c r="D825" s="486"/>
    </row>
    <row r="826" ht="14.0">
      <c r="A826" s="486" t="s">
        <v>4548</v>
      </c>
      <c r="B826" s="486" t="s">
        <v>4547</v>
      </c>
      <c r="C826" s="36">
        <v>1002.0</v>
      </c>
      <c r="D826" s="486"/>
    </row>
    <row r="827" ht="14.0">
      <c r="A827" s="486" t="s">
        <v>4550</v>
      </c>
      <c r="B827" s="486" t="s">
        <v>4549</v>
      </c>
      <c r="C827" s="36">
        <v>1002.0</v>
      </c>
      <c r="D827" s="486" t="s">
        <v>577</v>
      </c>
    </row>
    <row r="828" ht="14.0">
      <c r="A828" s="486" t="s">
        <v>4552</v>
      </c>
      <c r="B828" s="486" t="s">
        <v>4551</v>
      </c>
      <c r="C828" s="36">
        <v>1002.0</v>
      </c>
      <c r="D828" s="486"/>
    </row>
    <row r="829" ht="14.0">
      <c r="A829" s="486" t="s">
        <v>4554</v>
      </c>
      <c r="B829" s="486" t="s">
        <v>4553</v>
      </c>
      <c r="C829" s="36">
        <v>1002.0</v>
      </c>
      <c r="D829" s="486" t="s">
        <v>577</v>
      </c>
    </row>
    <row r="830" ht="14.0">
      <c r="A830" s="486" t="s">
        <v>4556</v>
      </c>
      <c r="B830" s="486" t="s">
        <v>4555</v>
      </c>
      <c r="C830" s="36">
        <v>1002.0</v>
      </c>
      <c r="D830" s="486"/>
    </row>
    <row r="831" ht="14.0">
      <c r="A831" s="486" t="s">
        <v>4558</v>
      </c>
      <c r="B831" s="486" t="s">
        <v>4557</v>
      </c>
      <c r="C831" s="36">
        <v>1002.0</v>
      </c>
      <c r="D831" s="486"/>
    </row>
    <row r="832" ht="14.0">
      <c r="A832" s="486" t="s">
        <v>4560</v>
      </c>
      <c r="B832" s="486" t="s">
        <v>4559</v>
      </c>
      <c r="C832" s="36">
        <v>1002.0</v>
      </c>
      <c r="D832" s="486"/>
    </row>
    <row r="833" ht="14.0">
      <c r="A833" s="486" t="s">
        <v>4562</v>
      </c>
      <c r="B833" s="486" t="s">
        <v>4561</v>
      </c>
      <c r="C833" s="36">
        <v>1002.0</v>
      </c>
      <c r="D833" s="486"/>
    </row>
    <row r="834" ht="14.0">
      <c r="A834" s="486" t="s">
        <v>4566</v>
      </c>
      <c r="B834" s="486" t="s">
        <v>4565</v>
      </c>
      <c r="C834" s="36">
        <v>1002.0</v>
      </c>
      <c r="D834" s="486"/>
    </row>
    <row r="835" ht="14.0">
      <c r="A835" s="486" t="s">
        <v>4568</v>
      </c>
      <c r="B835" s="486" t="s">
        <v>4567</v>
      </c>
      <c r="C835" s="36">
        <v>1002.0</v>
      </c>
      <c r="D835" s="486"/>
    </row>
    <row r="836" ht="14.0">
      <c r="A836" s="486" t="s">
        <v>4570</v>
      </c>
      <c r="B836" s="486" t="s">
        <v>4569</v>
      </c>
      <c r="C836" s="36">
        <v>1002.0</v>
      </c>
      <c r="D836" s="486"/>
    </row>
    <row r="837" ht="14.0">
      <c r="A837" s="486" t="s">
        <v>4572</v>
      </c>
      <c r="B837" s="486" t="s">
        <v>4571</v>
      </c>
      <c r="C837" s="36">
        <v>1002.0</v>
      </c>
      <c r="D837" s="486"/>
    </row>
    <row r="838" ht="14.0">
      <c r="A838" s="486" t="s">
        <v>4574</v>
      </c>
      <c r="B838" s="486" t="s">
        <v>4573</v>
      </c>
      <c r="C838" s="36">
        <v>1002.0</v>
      </c>
      <c r="D838" s="486"/>
    </row>
    <row r="839" ht="14.0">
      <c r="A839" s="486" t="s">
        <v>4576</v>
      </c>
      <c r="B839" s="486" t="s">
        <v>4575</v>
      </c>
      <c r="C839" s="36">
        <v>1002.0</v>
      </c>
      <c r="D839" s="486"/>
    </row>
    <row r="840" ht="14.0">
      <c r="A840" s="486" t="s">
        <v>4578</v>
      </c>
      <c r="B840" s="486" t="s">
        <v>4577</v>
      </c>
      <c r="C840" s="36">
        <v>1002.0</v>
      </c>
      <c r="D840" s="486"/>
    </row>
    <row r="841" ht="14.0">
      <c r="A841" s="486" t="s">
        <v>4580</v>
      </c>
      <c r="B841" s="486" t="s">
        <v>4579</v>
      </c>
      <c r="C841" s="36">
        <v>1002.0</v>
      </c>
      <c r="D841" s="486"/>
    </row>
    <row r="842" ht="14.0">
      <c r="A842" s="486" t="s">
        <v>4582</v>
      </c>
      <c r="B842" s="486" t="s">
        <v>4581</v>
      </c>
      <c r="C842" s="36">
        <v>1002.0</v>
      </c>
      <c r="D842" s="486"/>
    </row>
    <row r="843" ht="14.0">
      <c r="A843" s="486" t="s">
        <v>4584</v>
      </c>
      <c r="B843" s="486" t="s">
        <v>4583</v>
      </c>
      <c r="C843" s="486"/>
      <c r="D843" s="486" t="s">
        <v>7655</v>
      </c>
    </row>
    <row r="844" ht="14.0">
      <c r="A844" s="486" t="s">
        <v>4586</v>
      </c>
      <c r="B844" s="486" t="s">
        <v>4585</v>
      </c>
      <c r="C844" s="486">
        <v>100.0</v>
      </c>
      <c r="D844" s="486"/>
    </row>
    <row r="845" ht="14.0">
      <c r="A845" s="486" t="s">
        <v>4602</v>
      </c>
      <c r="B845" s="486" t="s">
        <v>4601</v>
      </c>
      <c r="C845" s="486"/>
      <c r="D845" s="486" t="s">
        <v>577</v>
      </c>
    </row>
    <row r="846" ht="14.0">
      <c r="A846" s="486" t="s">
        <v>4604</v>
      </c>
      <c r="B846" s="486" t="s">
        <v>4603</v>
      </c>
      <c r="C846" s="486"/>
      <c r="D846" s="486" t="s">
        <v>577</v>
      </c>
    </row>
    <row r="847" ht="14.0">
      <c r="A847" s="486" t="s">
        <v>4606</v>
      </c>
      <c r="B847" s="486" t="s">
        <v>4605</v>
      </c>
      <c r="C847" s="36">
        <v>1002.0</v>
      </c>
      <c r="D847" s="486" t="s">
        <v>577</v>
      </c>
    </row>
    <row r="848" ht="14.0">
      <c r="A848" s="486" t="s">
        <v>4608</v>
      </c>
      <c r="B848" s="486" t="s">
        <v>4607</v>
      </c>
      <c r="C848" s="36">
        <v>1002.0</v>
      </c>
      <c r="D848" s="486" t="s">
        <v>577</v>
      </c>
    </row>
    <row r="849" ht="14.0">
      <c r="A849" s="486" t="s">
        <v>4610</v>
      </c>
      <c r="B849" s="486" t="s">
        <v>4609</v>
      </c>
      <c r="C849" s="486"/>
      <c r="D849" s="486" t="s">
        <v>577</v>
      </c>
    </row>
    <row r="850" ht="14.0">
      <c r="A850" s="486" t="s">
        <v>4612</v>
      </c>
      <c r="B850" s="486" t="s">
        <v>4611</v>
      </c>
      <c r="C850" s="36">
        <v>1002.0</v>
      </c>
      <c r="D850" s="486" t="s">
        <v>577</v>
      </c>
    </row>
    <row r="851" ht="14.0">
      <c r="A851" s="486" t="s">
        <v>4614</v>
      </c>
      <c r="B851" s="486" t="s">
        <v>4613</v>
      </c>
      <c r="C851" s="486">
        <v>500.0</v>
      </c>
      <c r="D851" s="486" t="s">
        <v>577</v>
      </c>
    </row>
    <row r="852" ht="14.0">
      <c r="A852" s="486" t="s">
        <v>4616</v>
      </c>
      <c r="B852" s="486" t="s">
        <v>4615</v>
      </c>
      <c r="C852" s="486"/>
      <c r="D852" s="486" t="s">
        <v>577</v>
      </c>
    </row>
    <row r="853" ht="14.0">
      <c r="A853" s="486" t="s">
        <v>4618</v>
      </c>
      <c r="B853" s="486" t="s">
        <v>4617</v>
      </c>
      <c r="C853" s="486"/>
      <c r="D853" s="486" t="s">
        <v>577</v>
      </c>
    </row>
    <row r="854" ht="14.0">
      <c r="A854" s="486" t="s">
        <v>4620</v>
      </c>
      <c r="B854" s="486" t="s">
        <v>4619</v>
      </c>
      <c r="C854" s="486">
        <v>500.0</v>
      </c>
      <c r="D854" s="486" t="s">
        <v>577</v>
      </c>
    </row>
    <row r="855" ht="14.0">
      <c r="A855" s="486" t="s">
        <v>4622</v>
      </c>
      <c r="B855" s="486" t="s">
        <v>4621</v>
      </c>
      <c r="C855" s="486">
        <v>500.0</v>
      </c>
      <c r="D855" s="486" t="s">
        <v>577</v>
      </c>
    </row>
    <row r="856" ht="14.0">
      <c r="A856" s="486" t="s">
        <v>4781</v>
      </c>
      <c r="B856" s="486" t="s">
        <v>4780</v>
      </c>
      <c r="C856" s="486"/>
      <c r="D856" s="486"/>
    </row>
    <row r="857" ht="14.0">
      <c r="A857" s="486" t="s">
        <v>4787</v>
      </c>
      <c r="B857" s="486" t="s">
        <v>4786</v>
      </c>
      <c r="C857" s="36">
        <v>1002.0</v>
      </c>
      <c r="D857" s="486"/>
    </row>
    <row r="858" ht="14.0">
      <c r="A858" s="486" t="s">
        <v>4789</v>
      </c>
      <c r="B858" s="486" t="s">
        <v>4788</v>
      </c>
      <c r="C858" s="36">
        <v>1002.0</v>
      </c>
      <c r="D858" s="486" t="s">
        <v>577</v>
      </c>
    </row>
    <row r="859" ht="14.0">
      <c r="A859" s="486" t="s">
        <v>4791</v>
      </c>
      <c r="B859" s="486" t="s">
        <v>4790</v>
      </c>
      <c r="C859" s="36">
        <v>1002.0</v>
      </c>
      <c r="D859" s="486" t="s">
        <v>577</v>
      </c>
    </row>
    <row r="860" ht="14.0">
      <c r="A860" s="486" t="s">
        <v>4795</v>
      </c>
      <c r="B860" s="486" t="s">
        <v>4794</v>
      </c>
      <c r="C860" s="36">
        <v>1002.0</v>
      </c>
      <c r="D860" s="486"/>
    </row>
    <row r="861" ht="14.0">
      <c r="A861" s="486" t="s">
        <v>4801</v>
      </c>
      <c r="B861" s="486" t="s">
        <v>4800</v>
      </c>
      <c r="C861" s="36">
        <v>1002.0</v>
      </c>
      <c r="D861" s="486" t="s">
        <v>577</v>
      </c>
    </row>
    <row r="862" ht="14.0">
      <c r="A862" s="486" t="s">
        <v>4803</v>
      </c>
      <c r="B862" s="486" t="s">
        <v>4802</v>
      </c>
      <c r="C862" s="486"/>
      <c r="D862" s="486" t="s">
        <v>577</v>
      </c>
    </row>
    <row r="863" ht="14.0">
      <c r="A863" s="486" t="s">
        <v>4805</v>
      </c>
      <c r="B863" s="486" t="s">
        <v>4804</v>
      </c>
      <c r="C863" s="36">
        <v>1002.0</v>
      </c>
      <c r="D863" s="486" t="s">
        <v>577</v>
      </c>
    </row>
    <row r="864" ht="14.0">
      <c r="A864" s="486" t="s">
        <v>4809</v>
      </c>
      <c r="B864" s="486" t="s">
        <v>4808</v>
      </c>
      <c r="C864" s="486"/>
      <c r="D864" s="486" t="s">
        <v>577</v>
      </c>
    </row>
    <row r="865" ht="14.0">
      <c r="A865" s="486" t="s">
        <v>4811</v>
      </c>
      <c r="B865" s="486" t="s">
        <v>4810</v>
      </c>
      <c r="C865" s="486"/>
      <c r="D865" s="486" t="s">
        <v>7655</v>
      </c>
    </row>
    <row r="866" ht="14.0">
      <c r="A866" s="486" t="s">
        <v>7697</v>
      </c>
      <c r="B866" s="486" t="s">
        <v>7698</v>
      </c>
      <c r="C866" s="486"/>
      <c r="D866" s="486"/>
    </row>
    <row r="867" ht="14.0">
      <c r="A867" s="486" t="s">
        <v>4915</v>
      </c>
      <c r="B867" s="486" t="s">
        <v>4914</v>
      </c>
      <c r="C867" s="486"/>
      <c r="D867" s="486" t="s">
        <v>577</v>
      </c>
    </row>
    <row r="868" ht="14.0">
      <c r="A868" s="486" t="s">
        <v>4917</v>
      </c>
      <c r="B868" s="486" t="s">
        <v>4916</v>
      </c>
      <c r="C868" s="486"/>
      <c r="D868" s="486" t="s">
        <v>577</v>
      </c>
    </row>
    <row r="869" ht="14.0">
      <c r="A869" s="486" t="s">
        <v>4919</v>
      </c>
      <c r="B869" s="486" t="s">
        <v>4918</v>
      </c>
      <c r="C869" s="486"/>
      <c r="D869" s="486" t="s">
        <v>577</v>
      </c>
    </row>
    <row r="870" ht="14.0">
      <c r="A870" s="486" t="s">
        <v>4921</v>
      </c>
      <c r="B870" s="486" t="s">
        <v>4920</v>
      </c>
      <c r="C870" s="486"/>
      <c r="D870" s="486" t="s">
        <v>577</v>
      </c>
    </row>
    <row r="871" ht="14.0">
      <c r="A871" s="486" t="s">
        <v>4923</v>
      </c>
      <c r="B871" s="486" t="s">
        <v>4922</v>
      </c>
      <c r="C871" s="486"/>
      <c r="D871" s="486" t="s">
        <v>577</v>
      </c>
    </row>
    <row r="872" ht="14.0">
      <c r="A872" s="486" t="s">
        <v>4925</v>
      </c>
      <c r="B872" s="486" t="s">
        <v>4924</v>
      </c>
      <c r="C872" s="486"/>
      <c r="D872" s="486" t="s">
        <v>577</v>
      </c>
    </row>
    <row r="873" ht="14.0">
      <c r="A873" s="486" t="s">
        <v>4927</v>
      </c>
      <c r="B873" s="486" t="s">
        <v>4926</v>
      </c>
      <c r="C873" s="486"/>
      <c r="D873" s="486" t="s">
        <v>577</v>
      </c>
    </row>
    <row r="874" ht="14.0">
      <c r="A874" s="486" t="s">
        <v>4929</v>
      </c>
      <c r="B874" s="486" t="s">
        <v>4928</v>
      </c>
      <c r="C874" s="486"/>
      <c r="D874" s="486" t="s">
        <v>577</v>
      </c>
    </row>
    <row r="875" ht="14.0">
      <c r="A875" s="486" t="s">
        <v>4931</v>
      </c>
      <c r="B875" s="486" t="s">
        <v>4930</v>
      </c>
      <c r="C875" s="486"/>
      <c r="D875" s="486" t="s">
        <v>577</v>
      </c>
    </row>
    <row r="876" ht="14.0">
      <c r="A876" s="486" t="s">
        <v>4933</v>
      </c>
      <c r="B876" s="486" t="s">
        <v>4932</v>
      </c>
      <c r="C876" s="486"/>
      <c r="D876" s="486" t="s">
        <v>577</v>
      </c>
    </row>
    <row r="877" ht="14.0">
      <c r="A877" s="486" t="s">
        <v>4935</v>
      </c>
      <c r="B877" s="486" t="s">
        <v>4934</v>
      </c>
      <c r="C877" s="486"/>
      <c r="D877" s="486" t="s">
        <v>577</v>
      </c>
    </row>
    <row r="878" ht="14.0">
      <c r="A878" s="486" t="s">
        <v>7699</v>
      </c>
      <c r="B878" s="486" t="s">
        <v>7699</v>
      </c>
      <c r="C878" s="486"/>
      <c r="D878" s="486" t="s">
        <v>577</v>
      </c>
    </row>
    <row r="879" ht="14.0">
      <c r="A879" s="486" t="s">
        <v>4947</v>
      </c>
      <c r="B879" s="486" t="s">
        <v>4946</v>
      </c>
      <c r="C879" s="36">
        <v>1800.0</v>
      </c>
      <c r="D879" s="486"/>
    </row>
    <row r="880" ht="14.0">
      <c r="A880" s="486" t="s">
        <v>5009</v>
      </c>
      <c r="B880" s="486" t="s">
        <v>5008</v>
      </c>
      <c r="C880" s="486"/>
      <c r="D880" s="486" t="s">
        <v>577</v>
      </c>
    </row>
    <row r="881" ht="14.0">
      <c r="A881" s="486" t="s">
        <v>5054</v>
      </c>
      <c r="B881" s="486" t="s">
        <v>5053</v>
      </c>
      <c r="C881" s="486"/>
      <c r="D881" s="486" t="s">
        <v>577</v>
      </c>
    </row>
    <row r="882" ht="14.0">
      <c r="A882" s="486" t="s">
        <v>5070</v>
      </c>
      <c r="B882" s="486" t="s">
        <v>5069</v>
      </c>
      <c r="C882" s="486"/>
      <c r="D882" s="486" t="s">
        <v>577</v>
      </c>
    </row>
    <row r="883" ht="14.0">
      <c r="A883" s="486" t="s">
        <v>5074</v>
      </c>
      <c r="B883" s="486" t="s">
        <v>5073</v>
      </c>
      <c r="C883" s="486"/>
      <c r="D883" s="486" t="s">
        <v>577</v>
      </c>
    </row>
    <row r="884" ht="14.0">
      <c r="A884" s="486" t="s">
        <v>5076</v>
      </c>
      <c r="B884" s="486" t="s">
        <v>5075</v>
      </c>
      <c r="C884" s="486"/>
      <c r="D884" s="486" t="s">
        <v>577</v>
      </c>
    </row>
    <row r="885" ht="14.0">
      <c r="A885" s="486" t="s">
        <v>5108</v>
      </c>
      <c r="B885" s="486" t="s">
        <v>5107</v>
      </c>
      <c r="C885" s="486"/>
      <c r="D885" s="486" t="s">
        <v>577</v>
      </c>
    </row>
    <row r="886" ht="14.0">
      <c r="A886" s="486" t="s">
        <v>5110</v>
      </c>
      <c r="B886" s="486" t="s">
        <v>5109</v>
      </c>
      <c r="C886" s="486"/>
      <c r="D886" s="486" t="s">
        <v>577</v>
      </c>
    </row>
    <row r="887" ht="14.0">
      <c r="A887" s="486" t="s">
        <v>5112</v>
      </c>
      <c r="B887" s="486" t="s">
        <v>5111</v>
      </c>
      <c r="C887" s="486"/>
      <c r="D887" s="486" t="s">
        <v>577</v>
      </c>
    </row>
    <row r="888" ht="14.0">
      <c r="A888" s="486" t="s">
        <v>487</v>
      </c>
      <c r="B888" s="486" t="s">
        <v>488</v>
      </c>
      <c r="C888" s="486"/>
      <c r="D888" s="486" t="s">
        <v>7655</v>
      </c>
    </row>
    <row r="889" ht="14.0">
      <c r="A889" s="486" t="s">
        <v>5120</v>
      </c>
      <c r="B889" s="486" t="s">
        <v>5119</v>
      </c>
      <c r="C889" s="36">
        <v>1002.0</v>
      </c>
      <c r="D889" s="486"/>
    </row>
    <row r="890" ht="14.0">
      <c r="A890" s="486" t="s">
        <v>5124</v>
      </c>
      <c r="B890" s="486" t="s">
        <v>5123</v>
      </c>
      <c r="C890" s="36">
        <v>3000.0</v>
      </c>
      <c r="D890" s="486"/>
    </row>
    <row r="891" ht="14.0">
      <c r="A891" s="486" t="s">
        <v>5126</v>
      </c>
      <c r="B891" s="486" t="s">
        <v>5125</v>
      </c>
      <c r="C891" s="36">
        <v>3000.0</v>
      </c>
      <c r="D891" s="486"/>
    </row>
    <row r="892" ht="14.0">
      <c r="A892" s="486" t="s">
        <v>5128</v>
      </c>
      <c r="B892" s="486" t="s">
        <v>5127</v>
      </c>
      <c r="C892" s="36">
        <v>3000.0</v>
      </c>
      <c r="D892" s="486"/>
    </row>
    <row r="893" ht="14.0">
      <c r="A893" s="486" t="s">
        <v>5130</v>
      </c>
      <c r="B893" s="486" t="s">
        <v>5129</v>
      </c>
      <c r="C893" s="36">
        <v>3000.0</v>
      </c>
      <c r="D893" s="486"/>
    </row>
    <row r="894" ht="14.0">
      <c r="A894" s="486" t="s">
        <v>5153</v>
      </c>
      <c r="B894" s="486" t="s">
        <v>5152</v>
      </c>
      <c r="C894" s="486"/>
      <c r="D894" s="486" t="s">
        <v>577</v>
      </c>
    </row>
    <row r="895" ht="14.0">
      <c r="A895" s="486" t="s">
        <v>5169</v>
      </c>
      <c r="B895" s="486" t="s">
        <v>5168</v>
      </c>
      <c r="C895" s="486"/>
      <c r="D895" s="486" t="s">
        <v>577</v>
      </c>
    </row>
    <row r="896" ht="14.0">
      <c r="A896" s="486" t="s">
        <v>5203</v>
      </c>
      <c r="B896" s="486" t="s">
        <v>5202</v>
      </c>
      <c r="C896" s="486"/>
      <c r="D896" s="486" t="s">
        <v>577</v>
      </c>
    </row>
    <row r="897" ht="14.0">
      <c r="A897" s="486" t="s">
        <v>5205</v>
      </c>
      <c r="B897" s="486" t="s">
        <v>5204</v>
      </c>
      <c r="C897" s="486"/>
      <c r="D897" s="486" t="s">
        <v>577</v>
      </c>
    </row>
    <row r="898" ht="14.0">
      <c r="A898" s="486" t="s">
        <v>5384</v>
      </c>
      <c r="B898" s="486" t="s">
        <v>5383</v>
      </c>
      <c r="C898" s="486"/>
      <c r="D898" s="486"/>
    </row>
    <row r="899" ht="14.0">
      <c r="A899" s="486" t="s">
        <v>5386</v>
      </c>
      <c r="B899" s="486" t="s">
        <v>5385</v>
      </c>
      <c r="C899" s="486"/>
      <c r="D899" s="486"/>
    </row>
    <row r="900" ht="14.0">
      <c r="A900" s="486" t="s">
        <v>7700</v>
      </c>
      <c r="B900" s="486" t="s">
        <v>5391</v>
      </c>
      <c r="C900" s="486">
        <v>125.0</v>
      </c>
      <c r="D900" s="486"/>
    </row>
    <row r="901" ht="14.0">
      <c r="A901" s="486" t="s">
        <v>7701</v>
      </c>
      <c r="B901" s="486" t="s">
        <v>5397</v>
      </c>
      <c r="C901" s="486">
        <v>76.0</v>
      </c>
      <c r="D901" s="486"/>
    </row>
    <row r="902" ht="14.0">
      <c r="A902" s="486" t="s">
        <v>5394</v>
      </c>
      <c r="B902" s="486" t="s">
        <v>5393</v>
      </c>
      <c r="C902" s="486">
        <v>436.0</v>
      </c>
      <c r="D902" s="486"/>
    </row>
    <row r="903" ht="14.0">
      <c r="A903" s="486" t="s">
        <v>5396</v>
      </c>
      <c r="B903" s="486" t="s">
        <v>5395</v>
      </c>
      <c r="C903" s="486">
        <v>292.0</v>
      </c>
      <c r="D903" s="486"/>
    </row>
    <row r="904" ht="14.0">
      <c r="A904" s="486" t="s">
        <v>5400</v>
      </c>
      <c r="B904" s="486" t="s">
        <v>5399</v>
      </c>
      <c r="C904" s="486">
        <v>271.0</v>
      </c>
      <c r="D904" s="486"/>
    </row>
    <row r="905" ht="14.0">
      <c r="A905" s="486" t="s">
        <v>5404</v>
      </c>
      <c r="B905" s="486" t="s">
        <v>5403</v>
      </c>
      <c r="C905" s="486"/>
      <c r="D905" s="486"/>
    </row>
    <row r="906" ht="14.0">
      <c r="A906" s="486" t="s">
        <v>5416</v>
      </c>
      <c r="B906" s="486" t="s">
        <v>5415</v>
      </c>
      <c r="C906" s="486"/>
      <c r="D906" s="486"/>
    </row>
    <row r="907" ht="14.0">
      <c r="A907" s="486" t="s">
        <v>5418</v>
      </c>
      <c r="B907" s="486" t="s">
        <v>5417</v>
      </c>
      <c r="C907" s="486">
        <v>122.0</v>
      </c>
      <c r="D907" s="486"/>
    </row>
    <row r="908" ht="14.0">
      <c r="A908" s="486" t="s">
        <v>5420</v>
      </c>
      <c r="B908" s="486" t="s">
        <v>5419</v>
      </c>
      <c r="C908" s="486"/>
      <c r="D908" s="486"/>
    </row>
    <row r="909" ht="14.0">
      <c r="A909" s="486" t="s">
        <v>5422</v>
      </c>
      <c r="B909" s="486" t="s">
        <v>5421</v>
      </c>
      <c r="C909" s="486"/>
      <c r="D909" s="486"/>
    </row>
    <row r="910" ht="14.0">
      <c r="A910" s="486" t="s">
        <v>5424</v>
      </c>
      <c r="B910" s="486" t="s">
        <v>5423</v>
      </c>
      <c r="C910" s="486"/>
      <c r="D910" s="486"/>
    </row>
    <row r="911" ht="14.0">
      <c r="A911" s="486" t="s">
        <v>5430</v>
      </c>
      <c r="B911" s="486" t="s">
        <v>5429</v>
      </c>
      <c r="C911" s="486"/>
      <c r="D911" s="486"/>
    </row>
    <row r="912" ht="14.0">
      <c r="A912" s="486" t="s">
        <v>5432</v>
      </c>
      <c r="B912" s="486" t="s">
        <v>5431</v>
      </c>
      <c r="C912" s="486"/>
      <c r="D912" s="486"/>
    </row>
    <row r="913" ht="14.0">
      <c r="A913" s="486" t="s">
        <v>5438</v>
      </c>
      <c r="B913" s="486" t="s">
        <v>5437</v>
      </c>
      <c r="C913" s="486"/>
      <c r="D913" s="486"/>
    </row>
    <row r="914" ht="14.0">
      <c r="A914" s="486" t="s">
        <v>5440</v>
      </c>
      <c r="B914" s="486" t="s">
        <v>5439</v>
      </c>
      <c r="C914" s="486"/>
      <c r="D914" s="486"/>
    </row>
    <row r="915" ht="14.0">
      <c r="A915" s="486" t="s">
        <v>5442</v>
      </c>
      <c r="B915" s="486" t="s">
        <v>5441</v>
      </c>
      <c r="C915" s="486"/>
      <c r="D915" s="486"/>
    </row>
    <row r="916" ht="14.0">
      <c r="A916" s="486" t="s">
        <v>5444</v>
      </c>
      <c r="B916" s="486" t="s">
        <v>5443</v>
      </c>
      <c r="C916" s="486"/>
      <c r="D916" s="486"/>
    </row>
    <row r="917" ht="14.0">
      <c r="A917" s="486" t="s">
        <v>5446</v>
      </c>
      <c r="B917" s="486" t="s">
        <v>5445</v>
      </c>
      <c r="C917" s="486"/>
      <c r="D917" s="486"/>
    </row>
    <row r="918" ht="14.0">
      <c r="A918" s="486" t="s">
        <v>5448</v>
      </c>
      <c r="B918" s="486" t="s">
        <v>5447</v>
      </c>
      <c r="C918" s="486"/>
      <c r="D918" s="486"/>
    </row>
    <row r="919" ht="14.0">
      <c r="A919" s="486" t="s">
        <v>5511</v>
      </c>
      <c r="B919" s="486" t="s">
        <v>5510</v>
      </c>
      <c r="C919" s="486"/>
      <c r="D919" s="486" t="s">
        <v>577</v>
      </c>
    </row>
    <row r="920" ht="14.0">
      <c r="A920" s="486" t="s">
        <v>5519</v>
      </c>
      <c r="B920" s="486" t="s">
        <v>5518</v>
      </c>
      <c r="C920" s="486">
        <v>600.0</v>
      </c>
      <c r="D920" s="486" t="s">
        <v>577</v>
      </c>
    </row>
    <row r="921" ht="14.0">
      <c r="A921" s="486" t="s">
        <v>5521</v>
      </c>
      <c r="B921" s="486" t="s">
        <v>5520</v>
      </c>
      <c r="C921" s="486">
        <v>600.0</v>
      </c>
      <c r="D921" s="486" t="s">
        <v>577</v>
      </c>
    </row>
    <row r="922" ht="14.0">
      <c r="A922" s="486" t="s">
        <v>5523</v>
      </c>
      <c r="B922" s="486" t="s">
        <v>5522</v>
      </c>
      <c r="C922" s="486"/>
      <c r="D922" s="486" t="s">
        <v>577</v>
      </c>
    </row>
    <row r="923" ht="14.0">
      <c r="A923" s="486" t="s">
        <v>5535</v>
      </c>
      <c r="B923" s="486" t="s">
        <v>5534</v>
      </c>
      <c r="C923" s="486"/>
      <c r="D923" s="486" t="s">
        <v>577</v>
      </c>
    </row>
    <row r="924" ht="14.0">
      <c r="A924" s="486" t="s">
        <v>5579</v>
      </c>
      <c r="B924" s="486" t="s">
        <v>5578</v>
      </c>
      <c r="C924" s="486"/>
      <c r="D924" s="486"/>
    </row>
    <row r="925" ht="14.0">
      <c r="A925" s="486" t="s">
        <v>445</v>
      </c>
      <c r="B925" s="486" t="s">
        <v>446</v>
      </c>
      <c r="C925" s="486">
        <v>308.0</v>
      </c>
      <c r="D925" s="486"/>
    </row>
    <row r="926" ht="14.0">
      <c r="A926" s="486" t="s">
        <v>5692</v>
      </c>
      <c r="B926" s="486" t="s">
        <v>5691</v>
      </c>
      <c r="C926" s="486"/>
      <c r="D926" s="486" t="s">
        <v>577</v>
      </c>
    </row>
    <row r="927" ht="14.0">
      <c r="A927" s="486" t="s">
        <v>5702</v>
      </c>
      <c r="B927" s="486" t="s">
        <v>5701</v>
      </c>
      <c r="C927" s="486"/>
      <c r="D927" s="486"/>
    </row>
    <row r="928" ht="14.0">
      <c r="A928" s="486" t="s">
        <v>7702</v>
      </c>
      <c r="B928" s="486" t="s">
        <v>5703</v>
      </c>
      <c r="C928" s="36">
        <v>1002.0</v>
      </c>
      <c r="D928" s="486"/>
    </row>
    <row r="929" ht="14.0">
      <c r="A929" s="486" t="s">
        <v>5706</v>
      </c>
      <c r="B929" s="486" t="s">
        <v>5705</v>
      </c>
      <c r="C929" s="36">
        <v>1002.0</v>
      </c>
      <c r="D929" s="486"/>
    </row>
    <row r="930" ht="14.0">
      <c r="A930" s="486" t="s">
        <v>5708</v>
      </c>
      <c r="B930" s="486" t="s">
        <v>5707</v>
      </c>
      <c r="C930" s="36">
        <v>1002.0</v>
      </c>
      <c r="D930" s="486"/>
    </row>
    <row r="931" ht="14.0">
      <c r="A931" s="486" t="s">
        <v>5710</v>
      </c>
      <c r="B931" s="486" t="s">
        <v>5709</v>
      </c>
      <c r="C931" s="36">
        <v>1002.0</v>
      </c>
      <c r="D931" s="486"/>
    </row>
    <row r="932" ht="14.0">
      <c r="A932" s="486" t="s">
        <v>5712</v>
      </c>
      <c r="B932" s="486" t="s">
        <v>5711</v>
      </c>
      <c r="C932" s="36">
        <v>1002.0</v>
      </c>
      <c r="D932" s="486"/>
    </row>
    <row r="933" ht="14.0">
      <c r="A933" s="486" t="s">
        <v>5714</v>
      </c>
      <c r="B933" s="486" t="s">
        <v>5713</v>
      </c>
      <c r="C933" s="36">
        <v>1002.0</v>
      </c>
      <c r="D933" s="486"/>
    </row>
    <row r="934" ht="14.0">
      <c r="A934" s="486" t="s">
        <v>7703</v>
      </c>
      <c r="B934" s="486" t="s">
        <v>5715</v>
      </c>
      <c r="C934" s="486"/>
      <c r="D934" s="486"/>
    </row>
    <row r="935" ht="14.0">
      <c r="A935" s="486" t="s">
        <v>5718</v>
      </c>
      <c r="B935" s="486" t="s">
        <v>5717</v>
      </c>
      <c r="C935" s="486"/>
      <c r="D935" s="486" t="s">
        <v>577</v>
      </c>
    </row>
    <row r="936" ht="14.0">
      <c r="A936" s="486" t="s">
        <v>5720</v>
      </c>
      <c r="B936" s="486" t="s">
        <v>5719</v>
      </c>
      <c r="C936" s="486"/>
      <c r="D936" s="486" t="s">
        <v>577</v>
      </c>
    </row>
    <row r="937" ht="14.0">
      <c r="A937" s="486" t="s">
        <v>5726</v>
      </c>
      <c r="B937" s="486" t="s">
        <v>5725</v>
      </c>
      <c r="C937" s="36">
        <v>1008.0</v>
      </c>
      <c r="D937" s="486"/>
    </row>
    <row r="938" ht="14.0">
      <c r="A938" s="486" t="s">
        <v>5728</v>
      </c>
      <c r="B938" s="486" t="s">
        <v>5727</v>
      </c>
      <c r="C938" s="36">
        <v>1008.0</v>
      </c>
      <c r="D938" s="486"/>
    </row>
    <row r="939" ht="14.0">
      <c r="A939" s="486" t="s">
        <v>5732</v>
      </c>
      <c r="B939" s="486" t="s">
        <v>5731</v>
      </c>
      <c r="C939" s="36">
        <v>1512.0</v>
      </c>
      <c r="D939" s="486"/>
    </row>
    <row r="940" ht="14.0">
      <c r="A940" s="486" t="s">
        <v>5734</v>
      </c>
      <c r="B940" s="486" t="s">
        <v>5733</v>
      </c>
      <c r="C940" s="36">
        <v>1008.0</v>
      </c>
      <c r="D940" s="486" t="s">
        <v>7655</v>
      </c>
    </row>
    <row r="941" ht="14.0">
      <c r="A941" s="486" t="s">
        <v>5736</v>
      </c>
      <c r="B941" s="486" t="s">
        <v>5735</v>
      </c>
      <c r="C941" s="36">
        <v>1008.0</v>
      </c>
      <c r="D941" s="486"/>
    </row>
    <row r="942" ht="14.0">
      <c r="A942" s="486" t="s">
        <v>5738</v>
      </c>
      <c r="B942" s="486" t="s">
        <v>5737</v>
      </c>
      <c r="C942" s="36">
        <v>1008.0</v>
      </c>
      <c r="D942" s="486"/>
    </row>
    <row r="943" ht="14.0">
      <c r="A943" s="486" t="s">
        <v>5740</v>
      </c>
      <c r="B943" s="486" t="s">
        <v>5739</v>
      </c>
      <c r="C943" s="36">
        <v>1008.0</v>
      </c>
      <c r="D943" s="486" t="s">
        <v>7655</v>
      </c>
    </row>
    <row r="944" ht="14.0">
      <c r="A944" s="486" t="s">
        <v>5744</v>
      </c>
      <c r="B944" s="486" t="s">
        <v>5743</v>
      </c>
      <c r="C944" s="36">
        <v>1008.0</v>
      </c>
      <c r="D944" s="486"/>
    </row>
    <row r="945" ht="14.0">
      <c r="A945" s="486" t="s">
        <v>5746</v>
      </c>
      <c r="B945" s="486" t="s">
        <v>5745</v>
      </c>
      <c r="C945" s="36">
        <v>1008.0</v>
      </c>
      <c r="D945" s="486"/>
    </row>
    <row r="946" ht="14.0">
      <c r="A946" s="486" t="s">
        <v>5748</v>
      </c>
      <c r="B946" s="486" t="s">
        <v>5747</v>
      </c>
      <c r="C946" s="36">
        <v>1512.0</v>
      </c>
      <c r="D946" s="486"/>
    </row>
    <row r="947" ht="14.0">
      <c r="A947" s="486" t="s">
        <v>5750</v>
      </c>
      <c r="B947" s="486" t="s">
        <v>5749</v>
      </c>
      <c r="C947" s="36">
        <v>1008.0</v>
      </c>
      <c r="D947" s="486"/>
    </row>
    <row r="948" ht="14.0">
      <c r="A948" s="486" t="s">
        <v>5752</v>
      </c>
      <c r="B948" s="486" t="s">
        <v>5751</v>
      </c>
      <c r="C948" s="36">
        <v>1008.0</v>
      </c>
      <c r="D948" s="486"/>
    </row>
    <row r="949" ht="14.0">
      <c r="A949" s="486" t="s">
        <v>5756</v>
      </c>
      <c r="B949" s="486" t="s">
        <v>5755</v>
      </c>
      <c r="C949" s="36">
        <v>1008.0</v>
      </c>
      <c r="D949" s="486"/>
    </row>
    <row r="950" ht="14.0">
      <c r="A950" s="486" t="s">
        <v>5764</v>
      </c>
      <c r="B950" s="486" t="s">
        <v>5763</v>
      </c>
      <c r="C950" s="36">
        <v>1008.0</v>
      </c>
      <c r="D950" s="486"/>
    </row>
    <row r="951" ht="14.0">
      <c r="A951" s="486" t="s">
        <v>5766</v>
      </c>
      <c r="B951" s="486" t="s">
        <v>5765</v>
      </c>
      <c r="C951" s="36">
        <v>1008.0</v>
      </c>
      <c r="D951" s="486" t="s">
        <v>7655</v>
      </c>
    </row>
    <row r="952" ht="14.0">
      <c r="A952" s="486" t="s">
        <v>5768</v>
      </c>
      <c r="B952" s="486" t="s">
        <v>5767</v>
      </c>
      <c r="C952" s="36">
        <v>2016.0</v>
      </c>
      <c r="D952" s="486"/>
    </row>
    <row r="953" ht="14.0">
      <c r="A953" s="486" t="s">
        <v>5770</v>
      </c>
      <c r="B953" s="486" t="s">
        <v>5769</v>
      </c>
      <c r="C953" s="36">
        <v>1008.0</v>
      </c>
      <c r="D953" s="486"/>
    </row>
    <row r="954" ht="14.0">
      <c r="A954" s="486" t="s">
        <v>5774</v>
      </c>
      <c r="B954" s="486" t="s">
        <v>5773</v>
      </c>
      <c r="C954" s="486"/>
      <c r="D954" s="486"/>
    </row>
    <row r="955" ht="14.0">
      <c r="A955" s="486" t="s">
        <v>5776</v>
      </c>
      <c r="B955" s="486" t="s">
        <v>5775</v>
      </c>
      <c r="C955" s="486"/>
      <c r="D955" s="486"/>
    </row>
    <row r="956" ht="14.0">
      <c r="A956" s="486" t="s">
        <v>5807</v>
      </c>
      <c r="B956" s="486" t="s">
        <v>5806</v>
      </c>
      <c r="C956" s="36">
        <v>1000.0</v>
      </c>
      <c r="D956" s="486"/>
    </row>
    <row r="957" ht="14.0">
      <c r="A957" s="486" t="s">
        <v>5809</v>
      </c>
      <c r="B957" s="486" t="s">
        <v>5808</v>
      </c>
      <c r="C957" s="36">
        <v>1000.0</v>
      </c>
      <c r="D957" s="486"/>
    </row>
    <row r="958" ht="14.0">
      <c r="A958" s="486" t="s">
        <v>5819</v>
      </c>
      <c r="B958" s="486" t="s">
        <v>5818</v>
      </c>
      <c r="C958" s="36">
        <v>1000.0</v>
      </c>
      <c r="D958" s="486"/>
    </row>
    <row r="959" ht="14.0">
      <c r="A959" s="486" t="s">
        <v>5821</v>
      </c>
      <c r="B959" s="486" t="s">
        <v>5820</v>
      </c>
      <c r="C959" s="36">
        <v>1000.0</v>
      </c>
      <c r="D959" s="486"/>
    </row>
    <row r="960" ht="14.0">
      <c r="A960" s="486" t="s">
        <v>7704</v>
      </c>
      <c r="B960" s="486" t="s">
        <v>5822</v>
      </c>
      <c r="C960" s="36">
        <v>1000.0</v>
      </c>
      <c r="D960" s="486"/>
    </row>
    <row r="961" ht="14.0">
      <c r="A961" s="486" t="s">
        <v>5829</v>
      </c>
      <c r="B961" s="486" t="s">
        <v>5828</v>
      </c>
      <c r="C961" s="36">
        <v>1000.0</v>
      </c>
      <c r="D961" s="486"/>
    </row>
    <row r="962" ht="14.0">
      <c r="A962" s="486" t="s">
        <v>5833</v>
      </c>
      <c r="B962" s="486" t="s">
        <v>5832</v>
      </c>
      <c r="C962" s="36">
        <v>1000.0</v>
      </c>
      <c r="D962" s="486"/>
    </row>
    <row r="963" ht="14.0">
      <c r="A963" s="486" t="s">
        <v>5835</v>
      </c>
      <c r="B963" s="486" t="s">
        <v>5834</v>
      </c>
      <c r="C963" s="486"/>
      <c r="D963" s="486" t="s">
        <v>577</v>
      </c>
    </row>
    <row r="964" ht="14.0">
      <c r="A964" s="486" t="s">
        <v>5837</v>
      </c>
      <c r="B964" s="486" t="s">
        <v>5836</v>
      </c>
      <c r="C964" s="36">
        <v>1000.0</v>
      </c>
      <c r="D964" s="486"/>
    </row>
    <row r="965" ht="14.0">
      <c r="A965" s="486" t="s">
        <v>7705</v>
      </c>
      <c r="B965" s="486" t="s">
        <v>5848</v>
      </c>
      <c r="C965" s="36">
        <v>1000.0</v>
      </c>
      <c r="D965" s="486"/>
    </row>
    <row r="966" ht="14.0">
      <c r="A966" s="486" t="s">
        <v>7706</v>
      </c>
      <c r="B966" s="486" t="s">
        <v>5852</v>
      </c>
      <c r="C966" s="36">
        <v>1000.0</v>
      </c>
      <c r="D966" s="486"/>
    </row>
    <row r="967" ht="14.0">
      <c r="A967" s="486" t="s">
        <v>7707</v>
      </c>
      <c r="B967" s="486" t="s">
        <v>5856</v>
      </c>
      <c r="C967" s="36">
        <v>1000.0</v>
      </c>
      <c r="D967" s="486"/>
    </row>
    <row r="968" ht="14.0">
      <c r="A968" s="486" t="s">
        <v>5861</v>
      </c>
      <c r="B968" s="486" t="s">
        <v>5860</v>
      </c>
      <c r="C968" s="36">
        <v>1000.0</v>
      </c>
      <c r="D968" s="486"/>
    </row>
    <row r="969" ht="14.0">
      <c r="A969" s="486" t="s">
        <v>5863</v>
      </c>
      <c r="B969" s="486" t="s">
        <v>5862</v>
      </c>
      <c r="C969" s="36">
        <v>1000.0</v>
      </c>
      <c r="D969" s="486"/>
    </row>
    <row r="970" ht="14.0">
      <c r="A970" s="486" t="s">
        <v>5869</v>
      </c>
      <c r="B970" s="486" t="s">
        <v>5868</v>
      </c>
      <c r="C970" s="36">
        <v>1000.0</v>
      </c>
      <c r="D970" s="486"/>
    </row>
    <row r="971" ht="14.0">
      <c r="A971" s="486" t="s">
        <v>5871</v>
      </c>
      <c r="B971" s="486" t="s">
        <v>5870</v>
      </c>
      <c r="C971" s="486"/>
      <c r="D971" s="486" t="s">
        <v>577</v>
      </c>
    </row>
    <row r="972" ht="14.0">
      <c r="A972" s="486" t="s">
        <v>5873</v>
      </c>
      <c r="B972" s="486" t="s">
        <v>5872</v>
      </c>
      <c r="C972" s="36">
        <v>1000.0</v>
      </c>
      <c r="D972" s="486"/>
    </row>
    <row r="973" ht="14.0">
      <c r="A973" s="486" t="s">
        <v>5875</v>
      </c>
      <c r="B973" s="486" t="s">
        <v>5874</v>
      </c>
      <c r="C973" s="36">
        <v>1000.0</v>
      </c>
      <c r="D973" s="486"/>
    </row>
    <row r="974" ht="14.0">
      <c r="A974" s="486" t="s">
        <v>5877</v>
      </c>
      <c r="B974" s="486" t="s">
        <v>5876</v>
      </c>
      <c r="C974" s="36">
        <v>1000.0</v>
      </c>
      <c r="D974" s="486"/>
    </row>
    <row r="975" ht="14.0">
      <c r="A975" s="486" t="s">
        <v>7708</v>
      </c>
      <c r="B975" s="486" t="s">
        <v>5880</v>
      </c>
      <c r="C975" s="36">
        <v>1000.0</v>
      </c>
      <c r="D975" s="486"/>
    </row>
    <row r="976" ht="14.0">
      <c r="A976" s="486" t="s">
        <v>7709</v>
      </c>
      <c r="B976" s="486" t="s">
        <v>5884</v>
      </c>
      <c r="C976" s="36">
        <v>1000.0</v>
      </c>
      <c r="D976" s="486"/>
    </row>
    <row r="977" ht="14.0">
      <c r="A977" s="486" t="s">
        <v>5889</v>
      </c>
      <c r="B977" s="486" t="s">
        <v>5888</v>
      </c>
      <c r="C977" s="36">
        <v>1000.0</v>
      </c>
      <c r="D977" s="486"/>
    </row>
    <row r="978" ht="14.0">
      <c r="A978" s="486" t="s">
        <v>5891</v>
      </c>
      <c r="B978" s="486" t="s">
        <v>5890</v>
      </c>
      <c r="C978" s="36">
        <v>1000.0</v>
      </c>
      <c r="D978" s="486"/>
    </row>
    <row r="979" ht="14.0">
      <c r="A979" s="486" t="s">
        <v>5893</v>
      </c>
      <c r="B979" s="486" t="s">
        <v>5892</v>
      </c>
      <c r="C979" s="486"/>
      <c r="D979" s="486" t="s">
        <v>577</v>
      </c>
    </row>
    <row r="980" ht="14.0">
      <c r="A980" s="486" t="s">
        <v>5895</v>
      </c>
      <c r="B980" s="486" t="s">
        <v>5894</v>
      </c>
      <c r="C980" s="486"/>
      <c r="D980" s="486"/>
    </row>
    <row r="981" ht="14.0">
      <c r="A981" s="486" t="s">
        <v>5897</v>
      </c>
      <c r="B981" s="486" t="s">
        <v>5896</v>
      </c>
      <c r="C981" s="486"/>
      <c r="D981" s="486" t="s">
        <v>577</v>
      </c>
    </row>
    <row r="982" ht="14.0">
      <c r="A982" s="486" t="s">
        <v>5899</v>
      </c>
      <c r="B982" s="486" t="s">
        <v>5898</v>
      </c>
      <c r="C982" s="486"/>
      <c r="D982" s="486" t="s">
        <v>577</v>
      </c>
    </row>
    <row r="983" ht="14.0">
      <c r="A983" s="486" t="s">
        <v>5901</v>
      </c>
      <c r="B983" s="486" t="s">
        <v>5900</v>
      </c>
      <c r="C983" s="486"/>
      <c r="D983" s="486"/>
    </row>
    <row r="984" ht="14.0">
      <c r="A984" s="486" t="s">
        <v>5905</v>
      </c>
      <c r="B984" s="486" t="s">
        <v>5904</v>
      </c>
      <c r="C984" s="486"/>
      <c r="D984" s="486" t="s">
        <v>577</v>
      </c>
    </row>
    <row r="985" ht="14.0">
      <c r="A985" s="486" t="s">
        <v>5907</v>
      </c>
      <c r="B985" s="486" t="s">
        <v>5906</v>
      </c>
      <c r="C985" s="486"/>
      <c r="D985" s="486"/>
    </row>
    <row r="986" ht="14.0">
      <c r="A986" s="486" t="s">
        <v>5911</v>
      </c>
      <c r="B986" s="486" t="s">
        <v>5910</v>
      </c>
      <c r="C986" s="486"/>
      <c r="D986" s="486" t="s">
        <v>577</v>
      </c>
    </row>
    <row r="987" ht="14.0">
      <c r="A987" s="486" t="s">
        <v>5913</v>
      </c>
      <c r="B987" s="486" t="s">
        <v>5912</v>
      </c>
      <c r="C987" s="486"/>
      <c r="D987" s="486"/>
    </row>
    <row r="988" ht="14.0">
      <c r="A988" s="486" t="s">
        <v>5921</v>
      </c>
      <c r="B988" s="486" t="s">
        <v>5920</v>
      </c>
      <c r="C988" s="486"/>
      <c r="D988" s="486" t="s">
        <v>577</v>
      </c>
    </row>
    <row r="989" ht="14.0">
      <c r="A989" s="486" t="s">
        <v>5956</v>
      </c>
      <c r="B989" s="486" t="s">
        <v>5955</v>
      </c>
      <c r="C989" s="486"/>
      <c r="D989" s="486" t="s">
        <v>577</v>
      </c>
    </row>
    <row r="990" ht="14.0">
      <c r="A990" s="486" t="s">
        <v>7710</v>
      </c>
      <c r="B990" s="486" t="s">
        <v>5967</v>
      </c>
      <c r="C990" s="486"/>
      <c r="D990" s="486"/>
    </row>
    <row r="991" ht="14.0">
      <c r="A991" s="486" t="s">
        <v>5966</v>
      </c>
      <c r="B991" s="486" t="s">
        <v>5965</v>
      </c>
      <c r="C991" s="486"/>
      <c r="D991" s="486"/>
    </row>
    <row r="992" ht="14.0">
      <c r="A992" s="486" t="s">
        <v>5978</v>
      </c>
      <c r="B992" s="486" t="s">
        <v>5977</v>
      </c>
      <c r="C992" s="486"/>
      <c r="D992" s="486" t="s">
        <v>577</v>
      </c>
    </row>
    <row r="993" ht="14.0">
      <c r="A993" s="486" t="s">
        <v>5980</v>
      </c>
      <c r="B993" s="486" t="s">
        <v>5979</v>
      </c>
      <c r="C993" s="486"/>
      <c r="D993" s="486" t="s">
        <v>577</v>
      </c>
    </row>
    <row r="994" ht="14.0">
      <c r="A994" s="486" t="s">
        <v>5984</v>
      </c>
      <c r="B994" s="486" t="s">
        <v>5983</v>
      </c>
      <c r="C994" s="486"/>
      <c r="D994" s="486" t="s">
        <v>577</v>
      </c>
    </row>
    <row r="995" ht="14.0">
      <c r="A995" s="486" t="s">
        <v>5986</v>
      </c>
      <c r="B995" s="486" t="s">
        <v>5985</v>
      </c>
      <c r="C995" s="486"/>
      <c r="D995" s="486" t="s">
        <v>577</v>
      </c>
    </row>
    <row r="996" ht="14.0">
      <c r="A996" s="486" t="s">
        <v>5988</v>
      </c>
      <c r="B996" s="486" t="s">
        <v>5987</v>
      </c>
      <c r="C996" s="486"/>
      <c r="D996" s="486" t="s">
        <v>577</v>
      </c>
    </row>
    <row r="997" ht="14.0">
      <c r="A997" s="486" t="s">
        <v>5990</v>
      </c>
      <c r="B997" s="486" t="s">
        <v>5989</v>
      </c>
      <c r="C997" s="486"/>
      <c r="D997" s="486" t="s">
        <v>577</v>
      </c>
    </row>
    <row r="998" ht="14.0">
      <c r="A998" s="486" t="s">
        <v>6000</v>
      </c>
      <c r="B998" s="486" t="s">
        <v>5999</v>
      </c>
      <c r="C998" s="36">
        <v>1000.0</v>
      </c>
      <c r="D998" s="486" t="s">
        <v>577</v>
      </c>
    </row>
    <row r="999" ht="14.0">
      <c r="A999" s="486" t="s">
        <v>6002</v>
      </c>
      <c r="B999" s="486" t="s">
        <v>6001</v>
      </c>
      <c r="C999" s="36">
        <v>1000.0</v>
      </c>
      <c r="D999" s="486" t="s">
        <v>577</v>
      </c>
    </row>
    <row r="1000" ht="14.0">
      <c r="A1000" s="486" t="s">
        <v>6004</v>
      </c>
      <c r="B1000" s="486" t="s">
        <v>6003</v>
      </c>
      <c r="C1000" s="486"/>
      <c r="D1000" s="486" t="s">
        <v>577</v>
      </c>
    </row>
    <row r="1001" ht="14.0">
      <c r="A1001" s="486" t="s">
        <v>6008</v>
      </c>
      <c r="B1001" s="486" t="s">
        <v>6007</v>
      </c>
      <c r="C1001" s="36">
        <v>1000.0</v>
      </c>
      <c r="D1001" s="486" t="s">
        <v>577</v>
      </c>
    </row>
    <row r="1002" ht="14.0">
      <c r="A1002" s="486" t="s">
        <v>6012</v>
      </c>
      <c r="B1002" s="486" t="s">
        <v>6011</v>
      </c>
      <c r="C1002" s="486"/>
      <c r="D1002" s="486" t="s">
        <v>577</v>
      </c>
    </row>
    <row r="1003" ht="14.0">
      <c r="A1003" s="486" t="s">
        <v>6014</v>
      </c>
      <c r="B1003" s="486" t="s">
        <v>6013</v>
      </c>
      <c r="C1003" s="486">
        <v>500.0</v>
      </c>
      <c r="D1003" s="486" t="s">
        <v>577</v>
      </c>
    </row>
    <row r="1004" ht="14.0">
      <c r="A1004" s="486" t="s">
        <v>6016</v>
      </c>
      <c r="B1004" s="486" t="s">
        <v>6015</v>
      </c>
      <c r="C1004" s="486">
        <v>500.0</v>
      </c>
      <c r="D1004" s="486" t="s">
        <v>577</v>
      </c>
    </row>
    <row r="1005" ht="14.0">
      <c r="A1005" s="486" t="s">
        <v>6018</v>
      </c>
      <c r="B1005" s="486" t="s">
        <v>6017</v>
      </c>
      <c r="C1005" s="486">
        <v>500.0</v>
      </c>
      <c r="D1005" s="486" t="s">
        <v>577</v>
      </c>
    </row>
    <row r="1006" ht="14.0">
      <c r="A1006" s="486" t="s">
        <v>6020</v>
      </c>
      <c r="B1006" s="486" t="s">
        <v>6019</v>
      </c>
      <c r="C1006" s="486">
        <v>500.0</v>
      </c>
      <c r="D1006" s="486" t="s">
        <v>577</v>
      </c>
    </row>
    <row r="1007" ht="14.0">
      <c r="A1007" s="486" t="s">
        <v>6022</v>
      </c>
      <c r="B1007" s="486" t="s">
        <v>6021</v>
      </c>
      <c r="C1007" s="486">
        <v>500.0</v>
      </c>
      <c r="D1007" s="486" t="s">
        <v>577</v>
      </c>
    </row>
    <row r="1008" ht="14.0">
      <c r="A1008" s="486" t="s">
        <v>6024</v>
      </c>
      <c r="B1008" s="486" t="s">
        <v>6023</v>
      </c>
      <c r="C1008" s="486">
        <v>500.0</v>
      </c>
      <c r="D1008" s="486" t="s">
        <v>577</v>
      </c>
    </row>
    <row r="1009" ht="14.0">
      <c r="A1009" s="486" t="s">
        <v>6026</v>
      </c>
      <c r="B1009" s="486" t="s">
        <v>6025</v>
      </c>
      <c r="C1009" s="486">
        <v>500.0</v>
      </c>
      <c r="D1009" s="486" t="s">
        <v>577</v>
      </c>
    </row>
    <row r="1010" ht="14.0">
      <c r="A1010" s="486" t="s">
        <v>7711</v>
      </c>
      <c r="B1010" s="486" t="s">
        <v>6029</v>
      </c>
      <c r="C1010" s="486"/>
      <c r="D1010" s="486"/>
    </row>
    <row r="1011" ht="14.0">
      <c r="A1011" s="486" t="s">
        <v>6028</v>
      </c>
      <c r="B1011" s="486" t="s">
        <v>6027</v>
      </c>
      <c r="C1011" s="486"/>
      <c r="D1011" s="486"/>
    </row>
    <row r="1012" ht="14.0">
      <c r="A1012" s="486" t="s">
        <v>7712</v>
      </c>
      <c r="B1012" s="486" t="s">
        <v>6033</v>
      </c>
      <c r="C1012" s="486"/>
      <c r="D1012" s="486"/>
    </row>
    <row r="1013" ht="14.0">
      <c r="A1013" s="486" t="s">
        <v>6032</v>
      </c>
      <c r="B1013" s="486" t="s">
        <v>6031</v>
      </c>
      <c r="C1013" s="486"/>
      <c r="D1013" s="486"/>
    </row>
    <row r="1014" ht="14.0">
      <c r="A1014" s="486" t="s">
        <v>6040</v>
      </c>
      <c r="B1014" s="486" t="s">
        <v>6039</v>
      </c>
      <c r="C1014" s="486"/>
      <c r="D1014" s="486" t="s">
        <v>577</v>
      </c>
    </row>
    <row r="1015" ht="14.0">
      <c r="A1015" s="486" t="s">
        <v>6042</v>
      </c>
      <c r="B1015" s="486" t="s">
        <v>6041</v>
      </c>
      <c r="C1015" s="486"/>
      <c r="D1015" s="486" t="s">
        <v>577</v>
      </c>
    </row>
    <row r="1016" ht="14.0">
      <c r="A1016" s="486" t="s">
        <v>6048</v>
      </c>
      <c r="B1016" s="486" t="s">
        <v>6047</v>
      </c>
      <c r="C1016" s="486"/>
      <c r="D1016" s="486" t="s">
        <v>577</v>
      </c>
    </row>
    <row r="1017" ht="14.0">
      <c r="A1017" s="486" t="s">
        <v>6076</v>
      </c>
      <c r="B1017" s="486" t="s">
        <v>6075</v>
      </c>
      <c r="C1017" s="486">
        <v>500.0</v>
      </c>
      <c r="D1017" s="486"/>
    </row>
    <row r="1018" ht="14.0">
      <c r="A1018" s="486" t="s">
        <v>6084</v>
      </c>
      <c r="B1018" s="486" t="s">
        <v>6083</v>
      </c>
      <c r="C1018" s="486"/>
      <c r="D1018" s="486" t="s">
        <v>577</v>
      </c>
    </row>
    <row r="1019" ht="14.0">
      <c r="A1019" s="486" t="s">
        <v>6092</v>
      </c>
      <c r="B1019" s="486" t="s">
        <v>6091</v>
      </c>
      <c r="C1019" s="486">
        <v>500.0</v>
      </c>
      <c r="D1019" s="486"/>
    </row>
    <row r="1020" ht="14.0">
      <c r="A1020" s="486" t="s">
        <v>6100</v>
      </c>
      <c r="B1020" s="486" t="s">
        <v>6099</v>
      </c>
      <c r="C1020" s="486"/>
      <c r="D1020" s="486"/>
    </row>
    <row r="1021" ht="14.0">
      <c r="A1021" s="486" t="s">
        <v>7713</v>
      </c>
      <c r="B1021" s="486" t="s">
        <v>6111</v>
      </c>
      <c r="C1021" s="486"/>
      <c r="D1021" s="486"/>
    </row>
    <row r="1022" ht="14.0">
      <c r="A1022" s="486" t="s">
        <v>6110</v>
      </c>
      <c r="B1022" s="486" t="s">
        <v>6109</v>
      </c>
      <c r="C1022" s="486"/>
      <c r="D1022" s="486"/>
    </row>
    <row r="1023" ht="14.0">
      <c r="A1023" s="486" t="s">
        <v>7714</v>
      </c>
      <c r="B1023" s="486" t="s">
        <v>7714</v>
      </c>
      <c r="C1023" s="486"/>
      <c r="D1023" s="486" t="s">
        <v>577</v>
      </c>
    </row>
    <row r="1024" ht="14.0">
      <c r="A1024" s="486" t="s">
        <v>7715</v>
      </c>
      <c r="B1024" s="486" t="s">
        <v>7715</v>
      </c>
      <c r="C1024" s="486"/>
      <c r="D1024" s="486" t="s">
        <v>577</v>
      </c>
    </row>
    <row r="1025" ht="14.0">
      <c r="A1025" s="486" t="s">
        <v>7716</v>
      </c>
      <c r="B1025" s="486" t="s">
        <v>6172</v>
      </c>
      <c r="C1025" s="486"/>
      <c r="D1025" s="486"/>
    </row>
    <row r="1026" ht="14.0">
      <c r="A1026" s="486" t="s">
        <v>6171</v>
      </c>
      <c r="B1026" s="486" t="s">
        <v>6170</v>
      </c>
      <c r="C1026" s="486"/>
      <c r="D1026" s="486"/>
    </row>
    <row r="1027" ht="14.0">
      <c r="A1027" s="486" t="s">
        <v>6222</v>
      </c>
      <c r="B1027" s="486" t="s">
        <v>6221</v>
      </c>
      <c r="C1027" s="36">
        <v>1002.0</v>
      </c>
      <c r="D1027" s="486"/>
    </row>
    <row r="1028" ht="14.0">
      <c r="A1028" s="486" t="s">
        <v>6224</v>
      </c>
      <c r="B1028" s="486" t="s">
        <v>6223</v>
      </c>
      <c r="C1028" s="36">
        <v>1002.0</v>
      </c>
      <c r="D1028" s="486"/>
    </row>
    <row r="1029" ht="14.0">
      <c r="A1029" s="486" t="s">
        <v>6226</v>
      </c>
      <c r="B1029" s="486" t="s">
        <v>6225</v>
      </c>
      <c r="C1029" s="36">
        <v>1002.0</v>
      </c>
      <c r="D1029" s="486"/>
    </row>
    <row r="1030" ht="14.0">
      <c r="A1030" s="486" t="s">
        <v>6228</v>
      </c>
      <c r="B1030" s="486" t="s">
        <v>6227</v>
      </c>
      <c r="C1030" s="36">
        <v>1002.0</v>
      </c>
      <c r="D1030" s="486"/>
    </row>
    <row r="1031" ht="14.0">
      <c r="A1031" s="486" t="s">
        <v>6230</v>
      </c>
      <c r="B1031" s="486" t="s">
        <v>6229</v>
      </c>
      <c r="C1031" s="36">
        <v>1002.0</v>
      </c>
      <c r="D1031" s="486"/>
    </row>
    <row r="1032" ht="14.0">
      <c r="A1032" s="486" t="s">
        <v>6232</v>
      </c>
      <c r="B1032" s="486" t="s">
        <v>6231</v>
      </c>
      <c r="C1032" s="36">
        <v>1002.0</v>
      </c>
      <c r="D1032" s="486"/>
    </row>
    <row r="1033" ht="14.0">
      <c r="A1033" s="486" t="s">
        <v>6234</v>
      </c>
      <c r="B1033" s="486" t="s">
        <v>6233</v>
      </c>
      <c r="C1033" s="486"/>
      <c r="D1033" s="486"/>
    </row>
    <row r="1034" ht="14.0">
      <c r="A1034" s="486" t="s">
        <v>6244</v>
      </c>
      <c r="B1034" s="486" t="s">
        <v>6243</v>
      </c>
      <c r="C1034" s="486">
        <v>512.0</v>
      </c>
      <c r="D1034" s="486" t="s">
        <v>577</v>
      </c>
    </row>
    <row r="1035" ht="14.0">
      <c r="A1035" s="486" t="s">
        <v>6246</v>
      </c>
      <c r="B1035" s="486" t="s">
        <v>6245</v>
      </c>
      <c r="C1035" s="486">
        <v>512.0</v>
      </c>
      <c r="D1035" s="486" t="s">
        <v>577</v>
      </c>
    </row>
    <row r="1036" ht="14.0">
      <c r="A1036" s="486" t="s">
        <v>6248</v>
      </c>
      <c r="B1036" s="486" t="s">
        <v>6247</v>
      </c>
      <c r="C1036" s="486">
        <v>512.0</v>
      </c>
      <c r="D1036" s="486" t="s">
        <v>577</v>
      </c>
    </row>
    <row r="1037" ht="14.0">
      <c r="A1037" s="486" t="s">
        <v>6250</v>
      </c>
      <c r="B1037" s="486" t="s">
        <v>6249</v>
      </c>
      <c r="C1037" s="486">
        <v>512.0</v>
      </c>
      <c r="D1037" s="486" t="s">
        <v>577</v>
      </c>
    </row>
    <row r="1038" ht="14.0">
      <c r="A1038" s="486" t="s">
        <v>6252</v>
      </c>
      <c r="B1038" s="486" t="s">
        <v>6251</v>
      </c>
      <c r="C1038" s="486">
        <v>512.0</v>
      </c>
      <c r="D1038" s="486" t="s">
        <v>577</v>
      </c>
    </row>
    <row r="1039" ht="14.0">
      <c r="A1039" s="486" t="s">
        <v>6254</v>
      </c>
      <c r="B1039" s="486" t="s">
        <v>6253</v>
      </c>
      <c r="C1039" s="486"/>
      <c r="D1039" s="486" t="s">
        <v>577</v>
      </c>
    </row>
    <row r="1040" ht="14.0">
      <c r="A1040" s="486" t="s">
        <v>6256</v>
      </c>
      <c r="B1040" s="486" t="s">
        <v>6255</v>
      </c>
      <c r="C1040" s="486">
        <v>512.0</v>
      </c>
      <c r="D1040" s="486" t="s">
        <v>577</v>
      </c>
    </row>
    <row r="1041" ht="14.0">
      <c r="A1041" s="486" t="s">
        <v>6258</v>
      </c>
      <c r="B1041" s="486" t="s">
        <v>6257</v>
      </c>
      <c r="C1041" s="486">
        <v>504.0</v>
      </c>
      <c r="D1041" s="486" t="s">
        <v>577</v>
      </c>
    </row>
    <row r="1042" ht="14.0">
      <c r="A1042" s="486" t="s">
        <v>6260</v>
      </c>
      <c r="B1042" s="486" t="s">
        <v>6259</v>
      </c>
      <c r="C1042" s="36">
        <v>1002.0</v>
      </c>
      <c r="D1042" s="486" t="s">
        <v>577</v>
      </c>
    </row>
    <row r="1043" ht="14.0">
      <c r="A1043" s="486" t="s">
        <v>6262</v>
      </c>
      <c r="B1043" s="486" t="s">
        <v>6261</v>
      </c>
      <c r="C1043" s="486">
        <v>504.0</v>
      </c>
      <c r="D1043" s="486" t="s">
        <v>577</v>
      </c>
    </row>
    <row r="1044" ht="14.0">
      <c r="A1044" s="486" t="s">
        <v>6264</v>
      </c>
      <c r="B1044" s="486" t="s">
        <v>6263</v>
      </c>
      <c r="C1044" s="36">
        <v>1008.0</v>
      </c>
      <c r="D1044" s="486" t="s">
        <v>577</v>
      </c>
    </row>
    <row r="1045" ht="14.0">
      <c r="A1045" s="486" t="s">
        <v>6266</v>
      </c>
      <c r="B1045" s="486" t="s">
        <v>6265</v>
      </c>
      <c r="C1045" s="36">
        <v>1002.0</v>
      </c>
      <c r="D1045" s="486" t="s">
        <v>577</v>
      </c>
    </row>
    <row r="1046" ht="14.0">
      <c r="A1046" s="486" t="s">
        <v>6268</v>
      </c>
      <c r="B1046" s="486" t="s">
        <v>6267</v>
      </c>
      <c r="C1046" s="486">
        <v>504.0</v>
      </c>
      <c r="D1046" s="486" t="s">
        <v>577</v>
      </c>
    </row>
    <row r="1047" ht="14.0">
      <c r="A1047" s="486" t="s">
        <v>6270</v>
      </c>
      <c r="B1047" s="486" t="s">
        <v>6269</v>
      </c>
      <c r="C1047" s="36">
        <v>1002.0</v>
      </c>
      <c r="D1047" s="486" t="s">
        <v>577</v>
      </c>
    </row>
    <row r="1048" ht="14.0">
      <c r="A1048" s="486" t="s">
        <v>6272</v>
      </c>
      <c r="B1048" s="486" t="s">
        <v>6271</v>
      </c>
      <c r="C1048" s="486"/>
      <c r="D1048" s="486" t="s">
        <v>577</v>
      </c>
    </row>
    <row r="1049" ht="14.0">
      <c r="A1049" s="486" t="s">
        <v>6274</v>
      </c>
      <c r="B1049" s="486" t="s">
        <v>6273</v>
      </c>
      <c r="C1049" s="486">
        <v>10.0</v>
      </c>
      <c r="D1049" s="486" t="s">
        <v>577</v>
      </c>
    </row>
    <row r="1050" ht="14.0">
      <c r="A1050" s="486" t="s">
        <v>6276</v>
      </c>
      <c r="B1050" s="486" t="s">
        <v>6275</v>
      </c>
      <c r="C1050" s="486"/>
      <c r="D1050" s="486" t="s">
        <v>577</v>
      </c>
    </row>
    <row r="1051" ht="14.0">
      <c r="A1051" s="486" t="s">
        <v>6278</v>
      </c>
      <c r="B1051" s="486" t="s">
        <v>6277</v>
      </c>
      <c r="C1051" s="486"/>
      <c r="D1051" s="486" t="s">
        <v>577</v>
      </c>
    </row>
    <row r="1052" ht="14.0">
      <c r="A1052" s="486" t="s">
        <v>164</v>
      </c>
      <c r="B1052" s="486">
        <v>40402.0</v>
      </c>
      <c r="C1052" s="486"/>
      <c r="D1052" s="486"/>
    </row>
    <row r="1053" ht="14.0">
      <c r="A1053" s="486" t="s">
        <v>165</v>
      </c>
      <c r="B1053" s="486">
        <v>40403.0</v>
      </c>
      <c r="C1053" s="486"/>
      <c r="D1053" s="486"/>
    </row>
    <row r="1054" ht="14.0">
      <c r="A1054" s="486" t="s">
        <v>166</v>
      </c>
      <c r="B1054" s="486">
        <v>40404.0</v>
      </c>
      <c r="C1054" s="486"/>
      <c r="D1054" s="486"/>
    </row>
    <row r="1055" ht="14.0">
      <c r="A1055" s="486" t="s">
        <v>167</v>
      </c>
      <c r="B1055" s="486">
        <v>40407.0</v>
      </c>
      <c r="C1055" s="486"/>
      <c r="D1055" s="486"/>
    </row>
    <row r="1056" ht="14.0">
      <c r="A1056" s="486" t="s">
        <v>168</v>
      </c>
      <c r="B1056" s="486">
        <v>40408.0</v>
      </c>
      <c r="C1056" s="486"/>
      <c r="D1056" s="486"/>
    </row>
    <row r="1057" ht="14.0">
      <c r="A1057" s="486" t="s">
        <v>169</v>
      </c>
      <c r="B1057" s="486">
        <v>40409.0</v>
      </c>
      <c r="C1057" s="486"/>
      <c r="D1057" s="486"/>
    </row>
    <row r="1058" ht="14.0">
      <c r="A1058" s="486" t="s">
        <v>6294</v>
      </c>
      <c r="B1058" s="486" t="s">
        <v>6293</v>
      </c>
      <c r="C1058" s="36">
        <v>1008.0</v>
      </c>
      <c r="D1058" s="486" t="s">
        <v>577</v>
      </c>
    </row>
    <row r="1059" ht="14.0">
      <c r="A1059" s="486" t="s">
        <v>6313</v>
      </c>
      <c r="B1059" s="486" t="s">
        <v>6312</v>
      </c>
      <c r="C1059" s="486"/>
      <c r="D1059" s="486" t="s">
        <v>577</v>
      </c>
    </row>
    <row r="1060" ht="14.0">
      <c r="A1060" s="486" t="s">
        <v>6315</v>
      </c>
      <c r="B1060" s="486" t="s">
        <v>6314</v>
      </c>
      <c r="C1060" s="486"/>
      <c r="D1060" s="486" t="s">
        <v>577</v>
      </c>
    </row>
    <row r="1061" ht="14.0">
      <c r="A1061" s="486" t="s">
        <v>6331</v>
      </c>
      <c r="B1061" s="486" t="s">
        <v>6330</v>
      </c>
      <c r="C1061" s="36">
        <v>1008.0</v>
      </c>
      <c r="D1061" s="486" t="s">
        <v>577</v>
      </c>
    </row>
    <row r="1062" ht="14.0">
      <c r="A1062" s="486" t="s">
        <v>6333</v>
      </c>
      <c r="B1062" s="486" t="s">
        <v>6332</v>
      </c>
      <c r="C1062" s="486"/>
      <c r="D1062" s="486" t="s">
        <v>577</v>
      </c>
    </row>
    <row r="1063" ht="14.0">
      <c r="A1063" s="486" t="s">
        <v>6339</v>
      </c>
      <c r="B1063" s="486" t="s">
        <v>6338</v>
      </c>
      <c r="C1063" s="36">
        <v>1008.0</v>
      </c>
      <c r="D1063" s="486" t="s">
        <v>577</v>
      </c>
    </row>
    <row r="1064" ht="14.0">
      <c r="A1064" s="486" t="s">
        <v>6341</v>
      </c>
      <c r="B1064" s="486" t="s">
        <v>6340</v>
      </c>
      <c r="C1064" s="36">
        <v>1008.0</v>
      </c>
      <c r="D1064" s="486" t="s">
        <v>577</v>
      </c>
    </row>
    <row r="1065" ht="14.0">
      <c r="A1065" s="486" t="s">
        <v>6343</v>
      </c>
      <c r="B1065" s="486" t="s">
        <v>6342</v>
      </c>
      <c r="C1065" s="36">
        <v>1008.0</v>
      </c>
      <c r="D1065" s="486" t="s">
        <v>577</v>
      </c>
    </row>
    <row r="1066" ht="14.0">
      <c r="A1066" s="486" t="s">
        <v>6345</v>
      </c>
      <c r="B1066" s="486" t="s">
        <v>6344</v>
      </c>
      <c r="C1066" s="36">
        <v>1008.0</v>
      </c>
      <c r="D1066" s="486" t="s">
        <v>577</v>
      </c>
    </row>
    <row r="1067" ht="14.0">
      <c r="A1067" s="486" t="s">
        <v>6347</v>
      </c>
      <c r="B1067" s="486" t="s">
        <v>6346</v>
      </c>
      <c r="C1067" s="486"/>
      <c r="D1067" s="486" t="s">
        <v>577</v>
      </c>
    </row>
    <row r="1068" ht="14.0">
      <c r="A1068" s="486" t="s">
        <v>6349</v>
      </c>
      <c r="B1068" s="486" t="s">
        <v>6348</v>
      </c>
      <c r="C1068" s="36">
        <v>1008.0</v>
      </c>
      <c r="D1068" s="486" t="s">
        <v>577</v>
      </c>
    </row>
    <row r="1069" ht="14.0">
      <c r="A1069" s="486" t="s">
        <v>6351</v>
      </c>
      <c r="B1069" s="486" t="s">
        <v>6350</v>
      </c>
      <c r="C1069" s="486"/>
      <c r="D1069" s="486" t="s">
        <v>577</v>
      </c>
    </row>
    <row r="1070" ht="14.0">
      <c r="A1070" s="486" t="s">
        <v>6353</v>
      </c>
      <c r="B1070" s="486" t="s">
        <v>6352</v>
      </c>
      <c r="C1070" s="486"/>
      <c r="D1070" s="486" t="s">
        <v>577</v>
      </c>
    </row>
    <row r="1071" ht="14.0">
      <c r="A1071" s="486" t="s">
        <v>6355</v>
      </c>
      <c r="B1071" s="486" t="s">
        <v>6354</v>
      </c>
      <c r="C1071" s="36">
        <v>1008.0</v>
      </c>
      <c r="D1071" s="486" t="s">
        <v>577</v>
      </c>
    </row>
    <row r="1072" ht="14.0">
      <c r="A1072" s="486" t="s">
        <v>6357</v>
      </c>
      <c r="B1072" s="486" t="s">
        <v>6356</v>
      </c>
      <c r="C1072" s="486"/>
      <c r="D1072" s="486" t="s">
        <v>577</v>
      </c>
    </row>
    <row r="1073" ht="14.0">
      <c r="A1073" s="486" t="s">
        <v>6359</v>
      </c>
      <c r="B1073" s="486" t="s">
        <v>6358</v>
      </c>
      <c r="C1073" s="36">
        <v>1008.0</v>
      </c>
      <c r="D1073" s="486" t="s">
        <v>577</v>
      </c>
    </row>
    <row r="1074" ht="14.0">
      <c r="A1074" s="486" t="s">
        <v>6389</v>
      </c>
      <c r="B1074" s="486" t="s">
        <v>6388</v>
      </c>
      <c r="C1074" s="36">
        <v>1008.0</v>
      </c>
      <c r="D1074" s="486"/>
    </row>
    <row r="1075" ht="14.0">
      <c r="A1075" s="486" t="s">
        <v>283</v>
      </c>
      <c r="B1075" s="486" t="s">
        <v>284</v>
      </c>
      <c r="C1075" s="486">
        <v>504.0</v>
      </c>
      <c r="D1075" s="486"/>
    </row>
    <row r="1076" ht="14.0">
      <c r="A1076" s="486" t="s">
        <v>285</v>
      </c>
      <c r="B1076" s="486" t="s">
        <v>286</v>
      </c>
      <c r="C1076" s="486">
        <v>504.0</v>
      </c>
      <c r="D1076" s="486"/>
    </row>
    <row r="1077" ht="14.0">
      <c r="A1077" s="486" t="s">
        <v>287</v>
      </c>
      <c r="B1077" s="486" t="s">
        <v>288</v>
      </c>
      <c r="C1077" s="486">
        <v>504.0</v>
      </c>
      <c r="D1077" s="486"/>
    </row>
    <row r="1078" ht="14.0">
      <c r="A1078" s="486" t="s">
        <v>6393</v>
      </c>
      <c r="B1078" s="486" t="s">
        <v>6392</v>
      </c>
      <c r="C1078" s="486">
        <v>504.0</v>
      </c>
      <c r="D1078" s="486"/>
    </row>
    <row r="1079" ht="14.0">
      <c r="A1079" s="486" t="s">
        <v>279</v>
      </c>
      <c r="B1079" s="486" t="s">
        <v>280</v>
      </c>
      <c r="C1079" s="486">
        <v>504.0</v>
      </c>
      <c r="D1079" s="486"/>
    </row>
    <row r="1080" ht="14.0">
      <c r="A1080" s="486" t="s">
        <v>289</v>
      </c>
      <c r="B1080" s="486" t="s">
        <v>290</v>
      </c>
      <c r="C1080" s="486">
        <v>504.0</v>
      </c>
      <c r="D1080" s="486"/>
    </row>
    <row r="1081" ht="14.0">
      <c r="A1081" s="486" t="s">
        <v>281</v>
      </c>
      <c r="B1081" s="486" t="s">
        <v>282</v>
      </c>
      <c r="C1081" s="486">
        <v>504.0</v>
      </c>
      <c r="D1081" s="486"/>
    </row>
    <row r="1082" ht="14.0">
      <c r="A1082" s="486" t="s">
        <v>6397</v>
      </c>
      <c r="B1082" s="486" t="s">
        <v>6396</v>
      </c>
      <c r="C1082" s="486"/>
      <c r="D1082" s="486" t="s">
        <v>577</v>
      </c>
    </row>
    <row r="1083" ht="14.0">
      <c r="A1083" s="486" t="s">
        <v>6405</v>
      </c>
      <c r="B1083" s="486" t="s">
        <v>6404</v>
      </c>
      <c r="C1083" s="486"/>
      <c r="D1083" s="486" t="s">
        <v>577</v>
      </c>
    </row>
    <row r="1084" ht="14.0">
      <c r="A1084" s="486" t="s">
        <v>6407</v>
      </c>
      <c r="B1084" s="486" t="s">
        <v>6406</v>
      </c>
      <c r="C1084" s="486"/>
      <c r="D1084" s="486" t="s">
        <v>577</v>
      </c>
    </row>
    <row r="1085" ht="14.0">
      <c r="A1085" s="486" t="s">
        <v>6409</v>
      </c>
      <c r="B1085" s="486" t="s">
        <v>6408</v>
      </c>
      <c r="C1085" s="486"/>
      <c r="D1085" s="486" t="s">
        <v>577</v>
      </c>
    </row>
    <row r="1086" ht="14.0">
      <c r="A1086" s="486" t="s">
        <v>6419</v>
      </c>
      <c r="B1086" s="486" t="s">
        <v>6418</v>
      </c>
      <c r="C1086" s="486"/>
      <c r="D1086" s="486" t="s">
        <v>577</v>
      </c>
    </row>
    <row r="1087" ht="14.0">
      <c r="A1087" s="486" t="s">
        <v>6435</v>
      </c>
      <c r="B1087" s="486" t="s">
        <v>6434</v>
      </c>
      <c r="C1087" s="486">
        <v>500.0</v>
      </c>
      <c r="D1087" s="486" t="s">
        <v>577</v>
      </c>
    </row>
    <row r="1088" ht="14.0">
      <c r="A1088" s="486" t="s">
        <v>6437</v>
      </c>
      <c r="B1088" s="486" t="s">
        <v>6436</v>
      </c>
      <c r="C1088" s="486">
        <v>500.0</v>
      </c>
      <c r="D1088" s="486" t="s">
        <v>577</v>
      </c>
    </row>
    <row r="1089" ht="14.0">
      <c r="A1089" s="486" t="s">
        <v>6439</v>
      </c>
      <c r="B1089" s="486" t="s">
        <v>6438</v>
      </c>
      <c r="C1089" s="486">
        <v>500.0</v>
      </c>
      <c r="D1089" s="486" t="s">
        <v>577</v>
      </c>
    </row>
    <row r="1090" ht="14.0">
      <c r="A1090" s="486" t="s">
        <v>6441</v>
      </c>
      <c r="B1090" s="486" t="s">
        <v>6440</v>
      </c>
      <c r="C1090" s="486">
        <v>500.0</v>
      </c>
      <c r="D1090" s="486" t="s">
        <v>577</v>
      </c>
    </row>
    <row r="1091" ht="14.0">
      <c r="A1091" s="486" t="s">
        <v>6443</v>
      </c>
      <c r="B1091" s="486" t="s">
        <v>6442</v>
      </c>
      <c r="C1091" s="486">
        <v>500.0</v>
      </c>
      <c r="D1091" s="486" t="s">
        <v>577</v>
      </c>
    </row>
    <row r="1092" ht="14.0">
      <c r="A1092" s="486" t="s">
        <v>6445</v>
      </c>
      <c r="B1092" s="486" t="s">
        <v>6444</v>
      </c>
      <c r="C1092" s="486">
        <v>500.0</v>
      </c>
      <c r="D1092" s="486" t="s">
        <v>577</v>
      </c>
    </row>
    <row r="1093" ht="14.0">
      <c r="A1093" s="486" t="s">
        <v>6447</v>
      </c>
      <c r="B1093" s="486" t="s">
        <v>6446</v>
      </c>
      <c r="C1093" s="486"/>
      <c r="D1093" s="486" t="s">
        <v>577</v>
      </c>
    </row>
    <row r="1094" ht="14.0">
      <c r="A1094" s="486" t="s">
        <v>6453</v>
      </c>
      <c r="B1094" s="486" t="s">
        <v>6452</v>
      </c>
      <c r="C1094" s="486"/>
      <c r="D1094" s="486" t="s">
        <v>577</v>
      </c>
    </row>
    <row r="1095" ht="14.0">
      <c r="A1095" s="486" t="s">
        <v>6455</v>
      </c>
      <c r="B1095" s="486" t="s">
        <v>6454</v>
      </c>
      <c r="C1095" s="486"/>
      <c r="D1095" s="486" t="s">
        <v>577</v>
      </c>
    </row>
    <row r="1096" ht="14.0">
      <c r="A1096" s="486" t="s">
        <v>6461</v>
      </c>
      <c r="B1096" s="486" t="s">
        <v>6460</v>
      </c>
      <c r="C1096" s="486"/>
      <c r="D1096" s="486" t="s">
        <v>577</v>
      </c>
    </row>
    <row r="1097" ht="14.0">
      <c r="A1097" s="486" t="s">
        <v>6463</v>
      </c>
      <c r="B1097" s="486" t="s">
        <v>6462</v>
      </c>
      <c r="C1097" s="486"/>
      <c r="D1097" s="486" t="s">
        <v>577</v>
      </c>
    </row>
    <row r="1098" ht="14.0">
      <c r="A1098" s="486" t="s">
        <v>6469</v>
      </c>
      <c r="B1098" s="486" t="s">
        <v>6468</v>
      </c>
      <c r="C1098" s="486"/>
      <c r="D1098" s="486" t="s">
        <v>577</v>
      </c>
    </row>
    <row r="1099" ht="14.0">
      <c r="A1099" s="486" t="s">
        <v>6481</v>
      </c>
      <c r="B1099" s="486" t="s">
        <v>6480</v>
      </c>
      <c r="C1099" s="486"/>
      <c r="D1099" s="486" t="s">
        <v>577</v>
      </c>
    </row>
    <row r="1100" ht="14.0">
      <c r="A1100" s="486" t="s">
        <v>6485</v>
      </c>
      <c r="B1100" s="486" t="s">
        <v>6484</v>
      </c>
      <c r="C1100" s="486">
        <v>480.0</v>
      </c>
      <c r="D1100" s="486"/>
    </row>
    <row r="1101" ht="14.0">
      <c r="A1101" s="486" t="s">
        <v>6487</v>
      </c>
      <c r="B1101" s="486" t="s">
        <v>6486</v>
      </c>
      <c r="C1101" s="486">
        <v>480.0</v>
      </c>
      <c r="D1101" s="486"/>
    </row>
    <row r="1102" ht="14.0">
      <c r="A1102" s="486" t="s">
        <v>6489</v>
      </c>
      <c r="B1102" s="486" t="s">
        <v>6488</v>
      </c>
      <c r="C1102" s="486">
        <v>480.0</v>
      </c>
      <c r="D1102" s="486"/>
    </row>
    <row r="1103" ht="14.0">
      <c r="A1103" s="486" t="s">
        <v>6491</v>
      </c>
      <c r="B1103" s="486" t="s">
        <v>6490</v>
      </c>
      <c r="C1103" s="486">
        <v>480.0</v>
      </c>
      <c r="D1103" s="486"/>
    </row>
    <row r="1104" ht="14.0">
      <c r="A1104" s="486" t="s">
        <v>6493</v>
      </c>
      <c r="B1104" s="486" t="s">
        <v>6492</v>
      </c>
      <c r="C1104" s="36">
        <v>1620.0</v>
      </c>
      <c r="D1104" s="486"/>
    </row>
    <row r="1105" ht="14.0">
      <c r="A1105" s="486" t="s">
        <v>6495</v>
      </c>
      <c r="B1105" s="486" t="s">
        <v>6494</v>
      </c>
      <c r="C1105" s="486">
        <v>660.0</v>
      </c>
      <c r="D1105" s="486"/>
    </row>
    <row r="1106" ht="14.0">
      <c r="A1106" s="486" t="s">
        <v>6497</v>
      </c>
      <c r="B1106" s="486" t="s">
        <v>6496</v>
      </c>
      <c r="C1106" s="36">
        <v>1080.0</v>
      </c>
      <c r="D1106" s="486"/>
    </row>
    <row r="1107" ht="14.0">
      <c r="A1107" s="486" t="s">
        <v>6499</v>
      </c>
      <c r="B1107" s="486" t="s">
        <v>6498</v>
      </c>
      <c r="C1107" s="486">
        <v>480.0</v>
      </c>
      <c r="D1107" s="486"/>
    </row>
    <row r="1108" ht="14.0">
      <c r="A1108" s="486" t="s">
        <v>6509</v>
      </c>
      <c r="B1108" s="486" t="s">
        <v>6508</v>
      </c>
      <c r="C1108" s="486"/>
      <c r="D1108" s="486"/>
    </row>
    <row r="1109" ht="14.0">
      <c r="A1109" s="486" t="s">
        <v>448</v>
      </c>
      <c r="B1109" s="486" t="s">
        <v>449</v>
      </c>
      <c r="C1109" s="486">
        <v>120.0</v>
      </c>
      <c r="D1109" s="486"/>
    </row>
    <row r="1110" ht="14.0">
      <c r="A1110" s="486" t="s">
        <v>6523</v>
      </c>
      <c r="B1110" s="486" t="s">
        <v>6522</v>
      </c>
      <c r="C1110" s="486"/>
      <c r="D1110" s="486" t="s">
        <v>577</v>
      </c>
    </row>
    <row r="1111" ht="14.0">
      <c r="A1111" s="486" t="s">
        <v>6525</v>
      </c>
      <c r="B1111" s="486" t="s">
        <v>6524</v>
      </c>
      <c r="C1111" s="486"/>
      <c r="D1111" s="486" t="s">
        <v>577</v>
      </c>
    </row>
    <row r="1112" ht="14.0">
      <c r="A1112" s="486" t="s">
        <v>6527</v>
      </c>
      <c r="B1112" s="486" t="s">
        <v>6526</v>
      </c>
      <c r="C1112" s="486"/>
      <c r="D1112" s="486" t="s">
        <v>577</v>
      </c>
    </row>
    <row r="1113" ht="14.0">
      <c r="A1113" s="486" t="s">
        <v>6529</v>
      </c>
      <c r="B1113" s="486" t="s">
        <v>6528</v>
      </c>
      <c r="C1113" s="486"/>
      <c r="D1113" s="486" t="s">
        <v>577</v>
      </c>
    </row>
    <row r="1114" ht="14.0">
      <c r="A1114" s="486" t="s">
        <v>6531</v>
      </c>
      <c r="B1114" s="486" t="s">
        <v>6530</v>
      </c>
      <c r="C1114" s="486"/>
      <c r="D1114" s="486" t="s">
        <v>577</v>
      </c>
    </row>
    <row r="1115" ht="14.0">
      <c r="A1115" s="486" t="s">
        <v>6533</v>
      </c>
      <c r="B1115" s="486" t="s">
        <v>6532</v>
      </c>
      <c r="C1115" s="486"/>
      <c r="D1115" s="486" t="s">
        <v>577</v>
      </c>
    </row>
    <row r="1116" ht="14.0">
      <c r="A1116" s="486" t="s">
        <v>436</v>
      </c>
      <c r="B1116" s="486" t="s">
        <v>437</v>
      </c>
      <c r="C1116" s="486">
        <v>120.0</v>
      </c>
      <c r="D1116" s="486"/>
    </row>
    <row r="1117" ht="14.0">
      <c r="A1117" s="486" t="s">
        <v>6537</v>
      </c>
      <c r="B1117" s="486" t="s">
        <v>6536</v>
      </c>
      <c r="C1117" s="486"/>
      <c r="D1117" s="486" t="s">
        <v>577</v>
      </c>
    </row>
    <row r="1118" ht="14.0">
      <c r="A1118" s="486" t="s">
        <v>6541</v>
      </c>
      <c r="B1118" s="486" t="s">
        <v>6540</v>
      </c>
      <c r="C1118" s="486"/>
      <c r="D1118" s="486" t="s">
        <v>577</v>
      </c>
    </row>
    <row r="1119" ht="14.0">
      <c r="A1119" s="486" t="s">
        <v>7717</v>
      </c>
      <c r="B1119" s="486" t="s">
        <v>7718</v>
      </c>
      <c r="C1119" s="486"/>
      <c r="D1119" s="486" t="s">
        <v>577</v>
      </c>
    </row>
    <row r="1120" ht="14.0">
      <c r="A1120" s="486" t="s">
        <v>468</v>
      </c>
      <c r="B1120" s="486" t="s">
        <v>469</v>
      </c>
      <c r="C1120" s="486">
        <v>120.0</v>
      </c>
      <c r="D1120" s="486"/>
    </row>
    <row r="1121" ht="14.0">
      <c r="A1121" s="486" t="s">
        <v>472</v>
      </c>
      <c r="B1121" s="486" t="s">
        <v>473</v>
      </c>
      <c r="C1121" s="486">
        <v>120.0</v>
      </c>
      <c r="D1121" s="486"/>
    </row>
    <row r="1122" ht="14.0">
      <c r="A1122" s="486" t="s">
        <v>470</v>
      </c>
      <c r="B1122" s="486" t="s">
        <v>471</v>
      </c>
      <c r="C1122" s="486">
        <v>120.0</v>
      </c>
      <c r="D1122" s="486"/>
    </row>
    <row r="1123" ht="14.0">
      <c r="A1123" s="486" t="s">
        <v>466</v>
      </c>
      <c r="B1123" s="486" t="s">
        <v>467</v>
      </c>
      <c r="C1123" s="486">
        <v>120.0</v>
      </c>
      <c r="D1123" s="486"/>
    </row>
    <row r="1124" ht="14.0">
      <c r="A1124" s="486" t="s">
        <v>6585</v>
      </c>
      <c r="B1124" s="486" t="s">
        <v>6584</v>
      </c>
      <c r="C1124" s="486">
        <v>500.0</v>
      </c>
      <c r="D1124" s="486" t="s">
        <v>577</v>
      </c>
    </row>
    <row r="1125" ht="14.0">
      <c r="A1125" s="486" t="s">
        <v>6587</v>
      </c>
      <c r="B1125" s="486" t="s">
        <v>6586</v>
      </c>
      <c r="C1125" s="486">
        <v>500.0</v>
      </c>
      <c r="D1125" s="486" t="s">
        <v>577</v>
      </c>
    </row>
    <row r="1126" ht="14.0">
      <c r="A1126" s="486" t="s">
        <v>6589</v>
      </c>
      <c r="B1126" s="486" t="s">
        <v>6588</v>
      </c>
      <c r="C1126" s="486">
        <v>500.0</v>
      </c>
      <c r="D1126" s="486" t="s">
        <v>577</v>
      </c>
    </row>
    <row r="1127" ht="14.0">
      <c r="A1127" s="486" t="s">
        <v>6609</v>
      </c>
      <c r="B1127" s="486" t="s">
        <v>6608</v>
      </c>
      <c r="C1127" s="486">
        <v>500.0</v>
      </c>
      <c r="D1127" s="486"/>
    </row>
    <row r="1128" ht="14.0">
      <c r="A1128" s="486" t="s">
        <v>6611</v>
      </c>
      <c r="B1128" s="486" t="s">
        <v>6610</v>
      </c>
      <c r="C1128" s="486">
        <v>500.0</v>
      </c>
      <c r="D1128" s="486"/>
    </row>
    <row r="1129" ht="14.0">
      <c r="A1129" s="486" t="s">
        <v>6615</v>
      </c>
      <c r="B1129" s="486" t="s">
        <v>6614</v>
      </c>
      <c r="C1129" s="486">
        <v>500.0</v>
      </c>
      <c r="D1129" s="486"/>
    </row>
    <row r="1130" ht="14.0">
      <c r="A1130" s="486" t="s">
        <v>6617</v>
      </c>
      <c r="B1130" s="486" t="s">
        <v>6616</v>
      </c>
      <c r="C1130" s="486">
        <v>500.0</v>
      </c>
      <c r="D1130" s="486"/>
    </row>
    <row r="1131" ht="14.0">
      <c r="A1131" s="486" t="s">
        <v>6619</v>
      </c>
      <c r="B1131" s="486" t="s">
        <v>6618</v>
      </c>
      <c r="C1131" s="486">
        <v>500.0</v>
      </c>
      <c r="D1131" s="486"/>
    </row>
    <row r="1132" ht="14.0">
      <c r="A1132" s="486" t="s">
        <v>6621</v>
      </c>
      <c r="B1132" s="486" t="s">
        <v>6620</v>
      </c>
      <c r="C1132" s="486">
        <v>500.0</v>
      </c>
      <c r="D1132" s="486"/>
    </row>
    <row r="1133" ht="14.0">
      <c r="A1133" s="486" t="s">
        <v>6625</v>
      </c>
      <c r="B1133" s="486" t="s">
        <v>6624</v>
      </c>
      <c r="C1133" s="486">
        <v>500.0</v>
      </c>
      <c r="D1133" s="486"/>
    </row>
    <row r="1134" ht="14.0">
      <c r="A1134" s="486" t="s">
        <v>6629</v>
      </c>
      <c r="B1134" s="486" t="s">
        <v>6628</v>
      </c>
      <c r="C1134" s="486">
        <v>500.0</v>
      </c>
      <c r="D1134" s="486"/>
    </row>
    <row r="1135" ht="14.0">
      <c r="A1135" s="486" t="s">
        <v>6633</v>
      </c>
      <c r="B1135" s="486" t="s">
        <v>6632</v>
      </c>
      <c r="C1135" s="486">
        <v>500.0</v>
      </c>
      <c r="D1135" s="486"/>
    </row>
    <row r="1136" ht="14.0">
      <c r="A1136" s="486" t="s">
        <v>38</v>
      </c>
      <c r="B1136" s="486">
        <v>35801.0</v>
      </c>
      <c r="C1136" s="486"/>
      <c r="D1136" s="486"/>
    </row>
    <row r="1137" ht="14.0">
      <c r="A1137" s="486" t="s">
        <v>39</v>
      </c>
      <c r="B1137" s="486">
        <v>35804.0</v>
      </c>
      <c r="C1137" s="486"/>
      <c r="D1137" s="486"/>
    </row>
    <row r="1138" ht="14.0">
      <c r="A1138" s="486" t="s">
        <v>41</v>
      </c>
      <c r="B1138" s="486">
        <v>35805.0</v>
      </c>
      <c r="C1138" s="486"/>
      <c r="D1138" s="486"/>
    </row>
    <row r="1139" ht="14.0">
      <c r="A1139" s="486" t="s">
        <v>36</v>
      </c>
      <c r="B1139" s="486" t="s">
        <v>37</v>
      </c>
      <c r="C1139" s="486"/>
      <c r="D1139" s="486"/>
    </row>
    <row r="1140" ht="14.0">
      <c r="A1140" s="486" t="s">
        <v>34</v>
      </c>
      <c r="B1140" s="486" t="s">
        <v>35</v>
      </c>
      <c r="C1140" s="486"/>
      <c r="D1140" s="486"/>
    </row>
    <row r="1141" ht="14.0">
      <c r="A1141" s="486" t="s">
        <v>6691</v>
      </c>
      <c r="B1141" s="486" t="s">
        <v>6690</v>
      </c>
      <c r="C1141" s="486">
        <v>500.0</v>
      </c>
      <c r="D1141" s="486" t="s">
        <v>577</v>
      </c>
    </row>
    <row r="1142" ht="14.0">
      <c r="A1142" s="486" t="s">
        <v>6693</v>
      </c>
      <c r="B1142" s="486" t="s">
        <v>6692</v>
      </c>
      <c r="C1142" s="486">
        <v>500.0</v>
      </c>
      <c r="D1142" s="486" t="s">
        <v>577</v>
      </c>
    </row>
    <row r="1143" ht="14.0">
      <c r="A1143" s="486" t="s">
        <v>6695</v>
      </c>
      <c r="B1143" s="486" t="s">
        <v>6694</v>
      </c>
      <c r="C1143" s="486">
        <v>500.0</v>
      </c>
      <c r="D1143" s="486" t="s">
        <v>577</v>
      </c>
    </row>
    <row r="1144" ht="14.0">
      <c r="A1144" s="486" t="s">
        <v>6697</v>
      </c>
      <c r="B1144" s="486" t="s">
        <v>6696</v>
      </c>
      <c r="C1144" s="486">
        <v>500.0</v>
      </c>
      <c r="D1144" s="486" t="s">
        <v>577</v>
      </c>
    </row>
    <row r="1145" ht="14.0">
      <c r="A1145" s="486" t="s">
        <v>6699</v>
      </c>
      <c r="B1145" s="486" t="s">
        <v>6698</v>
      </c>
      <c r="C1145" s="486">
        <v>500.0</v>
      </c>
      <c r="D1145" s="486" t="s">
        <v>577</v>
      </c>
    </row>
    <row r="1146" ht="14.0">
      <c r="A1146" s="486" t="s">
        <v>6701</v>
      </c>
      <c r="B1146" s="486" t="s">
        <v>6700</v>
      </c>
      <c r="C1146" s="486">
        <v>504.0</v>
      </c>
      <c r="D1146" s="486"/>
    </row>
    <row r="1147" ht="14.0">
      <c r="A1147" s="486" t="s">
        <v>6703</v>
      </c>
      <c r="B1147" s="486" t="s">
        <v>6702</v>
      </c>
      <c r="C1147" s="486">
        <v>504.0</v>
      </c>
      <c r="D1147" s="486"/>
    </row>
    <row r="1148" ht="14.0">
      <c r="A1148" s="486" t="s">
        <v>6709</v>
      </c>
      <c r="B1148" s="486" t="s">
        <v>6708</v>
      </c>
      <c r="C1148" s="486">
        <v>501.0</v>
      </c>
      <c r="D1148" s="486"/>
    </row>
    <row r="1149" ht="14.0">
      <c r="A1149" s="486" t="s">
        <v>6711</v>
      </c>
      <c r="B1149" s="486" t="s">
        <v>6710</v>
      </c>
      <c r="C1149" s="486">
        <v>501.0</v>
      </c>
      <c r="D1149" s="486"/>
    </row>
    <row r="1150" ht="14.0">
      <c r="A1150" s="486" t="s">
        <v>6713</v>
      </c>
      <c r="B1150" s="486" t="s">
        <v>6712</v>
      </c>
      <c r="C1150" s="486">
        <v>501.0</v>
      </c>
      <c r="D1150" s="486"/>
    </row>
    <row r="1151" ht="14.0">
      <c r="A1151" s="486" t="s">
        <v>6715</v>
      </c>
      <c r="B1151" s="486" t="s">
        <v>6714</v>
      </c>
      <c r="C1151" s="486">
        <v>501.0</v>
      </c>
      <c r="D1151" s="486"/>
    </row>
    <row r="1152" ht="14.0">
      <c r="A1152" s="486" t="s">
        <v>6717</v>
      </c>
      <c r="B1152" s="486" t="s">
        <v>6716</v>
      </c>
      <c r="C1152" s="486">
        <v>500.0</v>
      </c>
      <c r="D1152" s="486"/>
    </row>
    <row r="1153" ht="14.0">
      <c r="A1153" s="486" t="s">
        <v>6719</v>
      </c>
      <c r="B1153" s="486" t="s">
        <v>6718</v>
      </c>
      <c r="C1153" s="486">
        <v>500.0</v>
      </c>
      <c r="D1153" s="486"/>
    </row>
    <row r="1154" ht="14.0">
      <c r="A1154" s="486" t="s">
        <v>6721</v>
      </c>
      <c r="B1154" s="486" t="s">
        <v>6720</v>
      </c>
      <c r="C1154" s="486">
        <v>500.0</v>
      </c>
      <c r="D1154" s="486"/>
    </row>
    <row r="1155" ht="14.0">
      <c r="A1155" s="486" t="s">
        <v>6725</v>
      </c>
      <c r="B1155" s="486" t="s">
        <v>6724</v>
      </c>
      <c r="C1155" s="486">
        <v>500.0</v>
      </c>
      <c r="D1155" s="486"/>
    </row>
    <row r="1156" ht="14.0">
      <c r="A1156" s="486" t="s">
        <v>6727</v>
      </c>
      <c r="B1156" s="486" t="s">
        <v>6726</v>
      </c>
      <c r="C1156" s="486">
        <v>500.0</v>
      </c>
      <c r="D1156" s="486"/>
    </row>
    <row r="1157" ht="14.0">
      <c r="A1157" s="486" t="s">
        <v>6729</v>
      </c>
      <c r="B1157" s="486" t="s">
        <v>6728</v>
      </c>
      <c r="C1157" s="486"/>
      <c r="D1157" s="486" t="s">
        <v>577</v>
      </c>
    </row>
    <row r="1158" ht="14.0">
      <c r="A1158" s="486" t="s">
        <v>6731</v>
      </c>
      <c r="B1158" s="486" t="s">
        <v>6730</v>
      </c>
      <c r="C1158" s="486">
        <v>500.0</v>
      </c>
      <c r="D1158" s="486"/>
    </row>
    <row r="1159" ht="14.0">
      <c r="A1159" s="486" t="s">
        <v>6737</v>
      </c>
      <c r="B1159" s="486" t="s">
        <v>6736</v>
      </c>
      <c r="C1159" s="486">
        <v>500.0</v>
      </c>
      <c r="D1159" s="486"/>
    </row>
    <row r="1160" ht="14.0">
      <c r="A1160" s="486" t="s">
        <v>6739</v>
      </c>
      <c r="B1160" s="486" t="s">
        <v>6738</v>
      </c>
      <c r="C1160" s="486">
        <v>500.0</v>
      </c>
      <c r="D1160" s="486"/>
    </row>
    <row r="1161" ht="14.0">
      <c r="A1161" s="486" t="s">
        <v>6741</v>
      </c>
      <c r="B1161" s="486" t="s">
        <v>6740</v>
      </c>
      <c r="C1161" s="486"/>
      <c r="D1161" s="486" t="s">
        <v>577</v>
      </c>
    </row>
    <row r="1162" ht="14.0">
      <c r="A1162" s="486" t="s">
        <v>6745</v>
      </c>
      <c r="B1162" s="486" t="s">
        <v>6744</v>
      </c>
      <c r="C1162" s="486"/>
      <c r="D1162" s="486"/>
    </row>
    <row r="1163" ht="14.0">
      <c r="A1163" s="486" t="s">
        <v>6747</v>
      </c>
      <c r="B1163" s="486" t="s">
        <v>6746</v>
      </c>
      <c r="C1163" s="486"/>
      <c r="D1163" s="486" t="s">
        <v>577</v>
      </c>
    </row>
    <row r="1164" ht="14.0">
      <c r="A1164" s="486" t="s">
        <v>6749</v>
      </c>
      <c r="B1164" s="486" t="s">
        <v>6748</v>
      </c>
      <c r="C1164" s="486"/>
      <c r="D1164" s="486"/>
    </row>
    <row r="1165" ht="14.0">
      <c r="A1165" s="486" t="s">
        <v>6751</v>
      </c>
      <c r="B1165" s="486" t="s">
        <v>6750</v>
      </c>
      <c r="C1165" s="486"/>
      <c r="D1165" s="486" t="s">
        <v>577</v>
      </c>
    </row>
    <row r="1166" ht="14.0">
      <c r="A1166" s="486" t="s">
        <v>6753</v>
      </c>
      <c r="B1166" s="486" t="s">
        <v>6752</v>
      </c>
      <c r="C1166" s="486"/>
      <c r="D1166" s="486" t="s">
        <v>577</v>
      </c>
    </row>
    <row r="1167" ht="14.0">
      <c r="A1167" s="486" t="s">
        <v>6755</v>
      </c>
      <c r="B1167" s="486" t="s">
        <v>6754</v>
      </c>
      <c r="C1167" s="486"/>
      <c r="D1167" s="486"/>
    </row>
    <row r="1168" ht="14.0">
      <c r="A1168" s="486" t="s">
        <v>6779</v>
      </c>
      <c r="B1168" s="486" t="s">
        <v>6778</v>
      </c>
      <c r="C1168" s="486"/>
      <c r="D1168" s="486" t="s">
        <v>577</v>
      </c>
    </row>
    <row r="1169" ht="14.0">
      <c r="A1169" s="486" t="s">
        <v>6783</v>
      </c>
      <c r="B1169" s="486" t="s">
        <v>6782</v>
      </c>
      <c r="C1169" s="486"/>
      <c r="D1169" s="486" t="s">
        <v>577</v>
      </c>
    </row>
    <row r="1170" ht="14.0">
      <c r="A1170" s="486" t="s">
        <v>6785</v>
      </c>
      <c r="B1170" s="486" t="s">
        <v>6784</v>
      </c>
      <c r="C1170" s="486"/>
      <c r="D1170" s="486" t="s">
        <v>577</v>
      </c>
    </row>
    <row r="1171" ht="14.0">
      <c r="A1171" s="486" t="s">
        <v>7719</v>
      </c>
      <c r="B1171" s="486" t="s">
        <v>6788</v>
      </c>
      <c r="C1171" s="486"/>
      <c r="D1171" s="486" t="s">
        <v>577</v>
      </c>
    </row>
    <row r="1172" ht="14.0">
      <c r="A1172" s="486" t="s">
        <v>6791</v>
      </c>
      <c r="B1172" s="486" t="s">
        <v>6790</v>
      </c>
      <c r="C1172" s="486"/>
      <c r="D1172" s="486" t="s">
        <v>577</v>
      </c>
    </row>
    <row r="1173" ht="14.0">
      <c r="A1173" s="486" t="s">
        <v>6797</v>
      </c>
      <c r="B1173" s="486" t="s">
        <v>6796</v>
      </c>
      <c r="C1173" s="486"/>
      <c r="D1173" s="486" t="s">
        <v>577</v>
      </c>
    </row>
    <row r="1174" ht="14.0">
      <c r="A1174" s="486" t="s">
        <v>6801</v>
      </c>
      <c r="B1174" s="486" t="s">
        <v>6800</v>
      </c>
      <c r="C1174" s="486"/>
      <c r="D1174" s="486" t="s">
        <v>577</v>
      </c>
    </row>
    <row r="1175" ht="14.0">
      <c r="A1175" s="486" t="s">
        <v>6805</v>
      </c>
      <c r="B1175" s="486" t="s">
        <v>6804</v>
      </c>
      <c r="C1175" s="486"/>
      <c r="D1175" s="486" t="s">
        <v>577</v>
      </c>
    </row>
    <row r="1176" ht="14.0">
      <c r="A1176" s="486" t="s">
        <v>6807</v>
      </c>
      <c r="B1176" s="486" t="s">
        <v>6806</v>
      </c>
      <c r="C1176" s="486"/>
      <c r="D1176" s="486" t="s">
        <v>577</v>
      </c>
    </row>
    <row r="1177" ht="14.0">
      <c r="A1177" s="486" t="s">
        <v>6809</v>
      </c>
      <c r="B1177" s="486" t="s">
        <v>6808</v>
      </c>
      <c r="C1177" s="486"/>
      <c r="D1177" s="486" t="s">
        <v>577</v>
      </c>
    </row>
    <row r="1178" ht="14.0">
      <c r="A1178" s="486" t="s">
        <v>6811</v>
      </c>
      <c r="B1178" s="486" t="s">
        <v>6810</v>
      </c>
      <c r="C1178" s="486"/>
      <c r="D1178" s="486" t="s">
        <v>577</v>
      </c>
    </row>
    <row r="1179" ht="14.0">
      <c r="A1179" s="486" t="s">
        <v>6817</v>
      </c>
      <c r="B1179" s="486" t="s">
        <v>6816</v>
      </c>
      <c r="C1179" s="486"/>
      <c r="D1179" s="486" t="s">
        <v>577</v>
      </c>
    </row>
    <row r="1180" ht="14.0">
      <c r="A1180" s="486" t="s">
        <v>6823</v>
      </c>
      <c r="B1180" s="486" t="s">
        <v>6822</v>
      </c>
      <c r="C1180" s="486"/>
      <c r="D1180" s="486" t="s">
        <v>577</v>
      </c>
    </row>
    <row r="1181" ht="14.0">
      <c r="A1181" s="486" t="s">
        <v>6825</v>
      </c>
      <c r="B1181" s="486" t="s">
        <v>6824</v>
      </c>
      <c r="C1181" s="486"/>
      <c r="D1181" s="486" t="s">
        <v>577</v>
      </c>
    </row>
    <row r="1182" ht="14.0">
      <c r="A1182" s="486" t="s">
        <v>6827</v>
      </c>
      <c r="B1182" s="486" t="s">
        <v>6826</v>
      </c>
      <c r="C1182" s="486"/>
      <c r="D1182" s="486" t="s">
        <v>577</v>
      </c>
    </row>
    <row r="1183" ht="14.0">
      <c r="A1183" s="486" t="s">
        <v>6843</v>
      </c>
      <c r="B1183" s="486" t="s">
        <v>6842</v>
      </c>
      <c r="C1183" s="486"/>
      <c r="D1183" s="486" t="s">
        <v>577</v>
      </c>
    </row>
    <row r="1184" ht="14.0">
      <c r="A1184" s="486" t="s">
        <v>6853</v>
      </c>
      <c r="B1184" s="486" t="s">
        <v>6852</v>
      </c>
      <c r="C1184" s="486"/>
      <c r="D1184" s="486" t="s">
        <v>577</v>
      </c>
    </row>
    <row r="1185" ht="14.0">
      <c r="A1185" s="486" t="s">
        <v>6857</v>
      </c>
      <c r="B1185" s="486" t="s">
        <v>6856</v>
      </c>
      <c r="C1185" s="486"/>
      <c r="D1185" s="486" t="s">
        <v>577</v>
      </c>
    </row>
    <row r="1186" ht="14.0">
      <c r="A1186" s="486" t="s">
        <v>6867</v>
      </c>
      <c r="B1186" s="486" t="s">
        <v>6866</v>
      </c>
      <c r="C1186" s="486"/>
      <c r="D1186" s="486" t="s">
        <v>577</v>
      </c>
    </row>
    <row r="1187" ht="14.0">
      <c r="A1187" s="486" t="s">
        <v>6947</v>
      </c>
      <c r="B1187" s="486" t="s">
        <v>6946</v>
      </c>
      <c r="C1187" s="486">
        <v>500.0</v>
      </c>
      <c r="D1187" s="486"/>
    </row>
    <row r="1188" ht="14.0">
      <c r="A1188" s="486" t="s">
        <v>6949</v>
      </c>
      <c r="B1188" s="486" t="s">
        <v>6948</v>
      </c>
      <c r="C1188" s="486">
        <v>500.0</v>
      </c>
      <c r="D1188" s="486"/>
    </row>
    <row r="1189" ht="14.0">
      <c r="A1189" s="486" t="s">
        <v>6951</v>
      </c>
      <c r="B1189" s="486" t="s">
        <v>6950</v>
      </c>
      <c r="C1189" s="486">
        <v>500.0</v>
      </c>
      <c r="D1189" s="486" t="s">
        <v>577</v>
      </c>
    </row>
    <row r="1190" ht="14.0">
      <c r="A1190" s="486" t="s">
        <v>6953</v>
      </c>
      <c r="B1190" s="486" t="s">
        <v>6952</v>
      </c>
      <c r="C1190" s="486">
        <v>500.0</v>
      </c>
      <c r="D1190" s="486" t="s">
        <v>577</v>
      </c>
    </row>
    <row r="1191" ht="14.0">
      <c r="A1191" s="486" t="s">
        <v>6955</v>
      </c>
      <c r="B1191" s="486" t="s">
        <v>6954</v>
      </c>
      <c r="C1191" s="486">
        <v>500.0</v>
      </c>
      <c r="D1191" s="486" t="s">
        <v>577</v>
      </c>
    </row>
    <row r="1192" ht="14.0">
      <c r="A1192" s="486" t="s">
        <v>6957</v>
      </c>
      <c r="B1192" s="486" t="s">
        <v>6956</v>
      </c>
      <c r="C1192" s="486">
        <v>500.0</v>
      </c>
      <c r="D1192" s="486"/>
    </row>
    <row r="1193" ht="14.0">
      <c r="A1193" s="486" t="s">
        <v>6959</v>
      </c>
      <c r="B1193" s="486" t="s">
        <v>6958</v>
      </c>
      <c r="C1193" s="486">
        <v>500.0</v>
      </c>
      <c r="D1193" s="486" t="s">
        <v>577</v>
      </c>
    </row>
    <row r="1194" ht="14.0">
      <c r="A1194" s="486" t="s">
        <v>6961</v>
      </c>
      <c r="B1194" s="486" t="s">
        <v>6960</v>
      </c>
      <c r="C1194" s="486">
        <v>500.0</v>
      </c>
      <c r="D1194" s="486"/>
    </row>
    <row r="1195" ht="14.0">
      <c r="A1195" s="486" t="s">
        <v>6963</v>
      </c>
      <c r="B1195" s="486" t="s">
        <v>6962</v>
      </c>
      <c r="C1195" s="486">
        <v>500.0</v>
      </c>
      <c r="D1195" s="486"/>
    </row>
    <row r="1196" ht="14.0">
      <c r="A1196" s="486" t="s">
        <v>6965</v>
      </c>
      <c r="B1196" s="486" t="s">
        <v>6964</v>
      </c>
      <c r="C1196" s="486">
        <v>500.0</v>
      </c>
      <c r="D1196" s="486"/>
    </row>
    <row r="1197" ht="14.0">
      <c r="A1197" s="486" t="s">
        <v>6967</v>
      </c>
      <c r="B1197" s="486" t="s">
        <v>6966</v>
      </c>
      <c r="C1197" s="486">
        <v>500.0</v>
      </c>
      <c r="D1197" s="486" t="s">
        <v>577</v>
      </c>
    </row>
    <row r="1198" ht="14.0">
      <c r="A1198" s="486" t="s">
        <v>6969</v>
      </c>
      <c r="B1198" s="486" t="s">
        <v>6968</v>
      </c>
      <c r="C1198" s="486">
        <v>500.0</v>
      </c>
      <c r="D1198" s="486"/>
    </row>
    <row r="1199" ht="14.0">
      <c r="A1199" s="486" t="s">
        <v>6971</v>
      </c>
      <c r="B1199" s="486" t="s">
        <v>6970</v>
      </c>
      <c r="C1199" s="486">
        <v>500.0</v>
      </c>
      <c r="D1199" s="486"/>
    </row>
    <row r="1200" ht="14.0">
      <c r="A1200" s="486" t="s">
        <v>6973</v>
      </c>
      <c r="B1200" s="486" t="s">
        <v>6972</v>
      </c>
      <c r="C1200" s="486">
        <v>500.0</v>
      </c>
      <c r="D1200" s="486"/>
    </row>
    <row r="1201" ht="14.0">
      <c r="A1201" s="486" t="s">
        <v>6977</v>
      </c>
      <c r="B1201" s="486" t="s">
        <v>6976</v>
      </c>
      <c r="C1201" s="486">
        <v>500.0</v>
      </c>
      <c r="D1201" s="486"/>
    </row>
    <row r="1202" ht="14.0">
      <c r="A1202" s="486" t="s">
        <v>6979</v>
      </c>
      <c r="B1202" s="486" t="s">
        <v>6978</v>
      </c>
      <c r="C1202" s="486">
        <v>500.0</v>
      </c>
      <c r="D1202" s="486"/>
    </row>
    <row r="1203" ht="14.0">
      <c r="A1203" s="486" t="s">
        <v>6981</v>
      </c>
      <c r="B1203" s="486" t="s">
        <v>6980</v>
      </c>
      <c r="C1203" s="486">
        <v>500.0</v>
      </c>
      <c r="D1203" s="486"/>
    </row>
    <row r="1204" ht="14.0">
      <c r="A1204" s="486" t="s">
        <v>7720</v>
      </c>
      <c r="B1204" s="486" t="s">
        <v>6985</v>
      </c>
      <c r="C1204" s="486"/>
      <c r="D1204" s="486"/>
    </row>
    <row r="1205" ht="14.0">
      <c r="A1205" s="486" t="s">
        <v>6984</v>
      </c>
      <c r="B1205" s="486" t="s">
        <v>6983</v>
      </c>
      <c r="C1205" s="486"/>
      <c r="D1205" s="486"/>
    </row>
    <row r="1206" ht="14.0">
      <c r="A1206" s="486" t="s">
        <v>6996</v>
      </c>
      <c r="B1206" s="486" t="s">
        <v>6995</v>
      </c>
      <c r="C1206" s="36">
        <v>1002.0</v>
      </c>
      <c r="D1206" s="486" t="s">
        <v>577</v>
      </c>
    </row>
    <row r="1207" ht="14.0">
      <c r="A1207" s="486" t="s">
        <v>6998</v>
      </c>
      <c r="B1207" s="486" t="s">
        <v>6997</v>
      </c>
      <c r="C1207" s="486"/>
      <c r="D1207" s="486" t="s">
        <v>577</v>
      </c>
    </row>
    <row r="1208" ht="14.0">
      <c r="A1208" s="486" t="s">
        <v>7000</v>
      </c>
      <c r="B1208" s="486" t="s">
        <v>6999</v>
      </c>
      <c r="C1208" s="36">
        <v>1002.0</v>
      </c>
      <c r="D1208" s="486" t="s">
        <v>577</v>
      </c>
    </row>
    <row r="1209" ht="14.0">
      <c r="A1209" s="486" t="s">
        <v>7002</v>
      </c>
      <c r="B1209" s="486" t="s">
        <v>7001</v>
      </c>
      <c r="C1209" s="36">
        <v>1002.0</v>
      </c>
      <c r="D1209" s="486" t="s">
        <v>577</v>
      </c>
    </row>
    <row r="1210" ht="14.0">
      <c r="A1210" s="486" t="s">
        <v>7004</v>
      </c>
      <c r="B1210" s="486" t="s">
        <v>7003</v>
      </c>
      <c r="C1210" s="36">
        <v>1002.0</v>
      </c>
      <c r="D1210" s="486" t="s">
        <v>577</v>
      </c>
    </row>
    <row r="1211" ht="14.0">
      <c r="A1211" s="486" t="s">
        <v>7006</v>
      </c>
      <c r="B1211" s="486" t="s">
        <v>7005</v>
      </c>
      <c r="C1211" s="36">
        <v>1002.0</v>
      </c>
      <c r="D1211" s="486" t="s">
        <v>577</v>
      </c>
    </row>
    <row r="1212" ht="14.0">
      <c r="A1212" s="486" t="s">
        <v>7008</v>
      </c>
      <c r="B1212" s="486" t="s">
        <v>7007</v>
      </c>
      <c r="C1212" s="36">
        <v>1002.0</v>
      </c>
      <c r="D1212" s="486" t="s">
        <v>577</v>
      </c>
    </row>
    <row r="1213" ht="14.0">
      <c r="A1213" s="486" t="s">
        <v>7010</v>
      </c>
      <c r="B1213" s="486" t="s">
        <v>7009</v>
      </c>
      <c r="C1213" s="36">
        <v>1002.0</v>
      </c>
      <c r="D1213" s="486" t="s">
        <v>577</v>
      </c>
    </row>
    <row r="1214" ht="14.0">
      <c r="A1214" s="486" t="s">
        <v>7012</v>
      </c>
      <c r="B1214" s="486" t="s">
        <v>7011</v>
      </c>
      <c r="C1214" s="36">
        <v>1002.0</v>
      </c>
      <c r="D1214" s="486" t="s">
        <v>577</v>
      </c>
    </row>
    <row r="1215" ht="14.0">
      <c r="A1215" s="486" t="s">
        <v>7014</v>
      </c>
      <c r="B1215" s="486" t="s">
        <v>7013</v>
      </c>
      <c r="C1215" s="36">
        <v>1002.0</v>
      </c>
      <c r="D1215" s="486" t="s">
        <v>577</v>
      </c>
    </row>
    <row r="1216" ht="14.0">
      <c r="A1216" s="486" t="s">
        <v>7016</v>
      </c>
      <c r="B1216" s="486" t="s">
        <v>7015</v>
      </c>
      <c r="C1216" s="36">
        <v>1002.0</v>
      </c>
      <c r="D1216" s="486" t="s">
        <v>577</v>
      </c>
    </row>
    <row r="1217" ht="14.0">
      <c r="A1217" s="486" t="s">
        <v>7018</v>
      </c>
      <c r="B1217" s="486" t="s">
        <v>7017</v>
      </c>
      <c r="C1217" s="36">
        <v>1002.0</v>
      </c>
      <c r="D1217" s="486" t="s">
        <v>577</v>
      </c>
    </row>
    <row r="1218" ht="14.0">
      <c r="A1218" s="486" t="s">
        <v>7020</v>
      </c>
      <c r="B1218" s="486" t="s">
        <v>7019</v>
      </c>
      <c r="C1218" s="486"/>
      <c r="D1218" s="486" t="s">
        <v>577</v>
      </c>
    </row>
    <row r="1219" ht="14.0">
      <c r="A1219" s="486" t="s">
        <v>7022</v>
      </c>
      <c r="B1219" s="486" t="s">
        <v>7021</v>
      </c>
      <c r="C1219" s="486"/>
      <c r="D1219" s="486" t="s">
        <v>577</v>
      </c>
    </row>
    <row r="1220" ht="14.0">
      <c r="A1220" s="486" t="s">
        <v>7024</v>
      </c>
      <c r="B1220" s="486" t="s">
        <v>7023</v>
      </c>
      <c r="C1220" s="36">
        <v>1002.0</v>
      </c>
      <c r="D1220" s="486" t="s">
        <v>577</v>
      </c>
    </row>
    <row r="1221" ht="14.0">
      <c r="A1221" s="486" t="s">
        <v>7034</v>
      </c>
      <c r="B1221" s="486" t="s">
        <v>7033</v>
      </c>
      <c r="C1221" s="486"/>
      <c r="D1221" s="486" t="s">
        <v>577</v>
      </c>
    </row>
    <row r="1222" ht="14.0">
      <c r="A1222" s="486" t="s">
        <v>7036</v>
      </c>
      <c r="B1222" s="486" t="s">
        <v>7035</v>
      </c>
      <c r="C1222" s="486">
        <v>200.0</v>
      </c>
      <c r="D1222" s="486" t="s">
        <v>577</v>
      </c>
    </row>
    <row r="1223" ht="14.0">
      <c r="A1223" s="486" t="s">
        <v>415</v>
      </c>
      <c r="B1223" s="486" t="s">
        <v>416</v>
      </c>
      <c r="C1223" s="486">
        <v>500.0</v>
      </c>
      <c r="D1223" s="486"/>
    </row>
    <row r="1224" ht="14.0">
      <c r="A1224" s="486" t="s">
        <v>421</v>
      </c>
      <c r="B1224" s="486" t="s">
        <v>422</v>
      </c>
      <c r="C1224" s="486">
        <v>500.0</v>
      </c>
      <c r="D1224" s="486"/>
    </row>
    <row r="1225" ht="14.0">
      <c r="A1225" s="486" t="s">
        <v>425</v>
      </c>
      <c r="B1225" s="486" t="s">
        <v>426</v>
      </c>
      <c r="C1225" s="486">
        <v>500.0</v>
      </c>
      <c r="D1225" s="486"/>
    </row>
    <row r="1226" ht="14.0">
      <c r="A1226" s="486" t="s">
        <v>417</v>
      </c>
      <c r="B1226" s="486" t="s">
        <v>7721</v>
      </c>
      <c r="C1226" s="486">
        <v>500.0</v>
      </c>
      <c r="D1226" s="486"/>
    </row>
    <row r="1227" ht="14.0">
      <c r="A1227" s="486" t="s">
        <v>419</v>
      </c>
      <c r="B1227" s="486" t="s">
        <v>420</v>
      </c>
      <c r="C1227" s="486">
        <v>500.0</v>
      </c>
      <c r="D1227" s="486"/>
    </row>
    <row r="1228" ht="14.0">
      <c r="A1228" s="486" t="s">
        <v>423</v>
      </c>
      <c r="B1228" s="486" t="s">
        <v>424</v>
      </c>
      <c r="C1228" s="486">
        <v>500.0</v>
      </c>
      <c r="D1228" s="486"/>
    </row>
    <row r="1229" ht="14.0">
      <c r="A1229" s="486" t="s">
        <v>441</v>
      </c>
      <c r="B1229" s="486" t="s">
        <v>442</v>
      </c>
      <c r="C1229" s="486"/>
      <c r="D1229" s="486"/>
    </row>
    <row r="1230" ht="14.0">
      <c r="A1230" s="486" t="s">
        <v>7070</v>
      </c>
      <c r="B1230" s="486" t="s">
        <v>7069</v>
      </c>
      <c r="C1230" s="486"/>
      <c r="D1230" s="486" t="s">
        <v>577</v>
      </c>
    </row>
    <row r="1231" ht="14.0">
      <c r="A1231" s="486" t="s">
        <v>7722</v>
      </c>
      <c r="B1231" s="486" t="s">
        <v>7097</v>
      </c>
      <c r="C1231" s="486"/>
      <c r="D1231" s="486"/>
    </row>
    <row r="1232" ht="14.0">
      <c r="A1232" s="486" t="s">
        <v>7074</v>
      </c>
      <c r="B1232" s="486" t="s">
        <v>7073</v>
      </c>
      <c r="C1232" s="36">
        <v>1002.0</v>
      </c>
      <c r="D1232" s="486"/>
    </row>
    <row r="1233" ht="14.0">
      <c r="A1233" s="486" t="s">
        <v>7076</v>
      </c>
      <c r="B1233" s="486" t="s">
        <v>7075</v>
      </c>
      <c r="C1233" s="36">
        <v>1002.0</v>
      </c>
      <c r="D1233" s="486"/>
    </row>
    <row r="1234" ht="14.0">
      <c r="A1234" s="486" t="s">
        <v>7078</v>
      </c>
      <c r="B1234" s="486" t="s">
        <v>7077</v>
      </c>
      <c r="C1234" s="36">
        <v>1002.0</v>
      </c>
      <c r="D1234" s="486"/>
    </row>
    <row r="1235" ht="14.0">
      <c r="A1235" s="486" t="s">
        <v>7080</v>
      </c>
      <c r="B1235" s="486" t="s">
        <v>7079</v>
      </c>
      <c r="C1235" s="36">
        <v>1002.0</v>
      </c>
      <c r="D1235" s="486"/>
    </row>
    <row r="1236" ht="14.0">
      <c r="A1236" s="486" t="s">
        <v>7082</v>
      </c>
      <c r="B1236" s="486" t="s">
        <v>7081</v>
      </c>
      <c r="C1236" s="36">
        <v>1002.0</v>
      </c>
      <c r="D1236" s="486"/>
    </row>
    <row r="1237" ht="14.0">
      <c r="A1237" s="486" t="s">
        <v>7084</v>
      </c>
      <c r="B1237" s="486" t="s">
        <v>7083</v>
      </c>
      <c r="C1237" s="36">
        <v>1002.0</v>
      </c>
      <c r="D1237" s="486"/>
    </row>
    <row r="1238" ht="14.0">
      <c r="A1238" s="486" t="s">
        <v>7086</v>
      </c>
      <c r="B1238" s="486" t="s">
        <v>7085</v>
      </c>
      <c r="C1238" s="36">
        <v>1002.0</v>
      </c>
      <c r="D1238" s="486"/>
    </row>
    <row r="1239" ht="14.0">
      <c r="A1239" s="486" t="s">
        <v>7088</v>
      </c>
      <c r="B1239" s="486" t="s">
        <v>7087</v>
      </c>
      <c r="C1239" s="36">
        <v>1002.0</v>
      </c>
      <c r="D1239" s="486"/>
    </row>
    <row r="1240" ht="14.0">
      <c r="A1240" s="486" t="s">
        <v>7090</v>
      </c>
      <c r="B1240" s="486" t="s">
        <v>7089</v>
      </c>
      <c r="C1240" s="36">
        <v>1002.0</v>
      </c>
      <c r="D1240" s="486"/>
    </row>
    <row r="1241" ht="14.0">
      <c r="A1241" s="486" t="s">
        <v>7092</v>
      </c>
      <c r="B1241" s="486" t="s">
        <v>7091</v>
      </c>
      <c r="C1241" s="36">
        <v>1002.0</v>
      </c>
      <c r="D1241" s="486"/>
    </row>
    <row r="1242" ht="14.0">
      <c r="A1242" s="486" t="s">
        <v>7094</v>
      </c>
      <c r="B1242" s="486" t="s">
        <v>7093</v>
      </c>
      <c r="C1242" s="36">
        <v>1002.0</v>
      </c>
      <c r="D1242" s="486"/>
    </row>
    <row r="1243" ht="14.0">
      <c r="A1243" s="486" t="s">
        <v>7096</v>
      </c>
      <c r="B1243" s="486" t="s">
        <v>7095</v>
      </c>
      <c r="C1243" s="36">
        <v>1002.0</v>
      </c>
      <c r="D1243" s="486"/>
    </row>
    <row r="1244" ht="14.0">
      <c r="A1244" s="486" t="s">
        <v>6060</v>
      </c>
      <c r="B1244" s="486" t="s">
        <v>6059</v>
      </c>
      <c r="C1244" s="486">
        <v>500.0</v>
      </c>
      <c r="D1244" s="486"/>
    </row>
    <row r="1245" ht="14.0">
      <c r="A1245" s="486" t="s">
        <v>6066</v>
      </c>
      <c r="B1245" s="486" t="s">
        <v>6065</v>
      </c>
      <c r="C1245" s="486">
        <v>500.0</v>
      </c>
      <c r="D1245" s="486"/>
    </row>
    <row r="1246" ht="14.0">
      <c r="A1246" s="486" t="s">
        <v>6072</v>
      </c>
      <c r="B1246" s="486" t="s">
        <v>6071</v>
      </c>
      <c r="C1246" s="486">
        <v>500.0</v>
      </c>
      <c r="D1246" s="486" t="s">
        <v>577</v>
      </c>
    </row>
    <row r="1247" ht="14.0">
      <c r="A1247" s="486" t="s">
        <v>6088</v>
      </c>
      <c r="B1247" s="486" t="s">
        <v>6087</v>
      </c>
      <c r="C1247" s="486">
        <v>500.0</v>
      </c>
      <c r="D1247" s="486"/>
    </row>
    <row r="1248" ht="14.0">
      <c r="A1248" s="486" t="s">
        <v>6090</v>
      </c>
      <c r="B1248" s="486" t="s">
        <v>6089</v>
      </c>
      <c r="C1248" s="486">
        <v>500.0</v>
      </c>
      <c r="D1248" s="486"/>
    </row>
    <row r="1249" ht="14.0">
      <c r="A1249" s="486" t="s">
        <v>7723</v>
      </c>
      <c r="B1249" s="486" t="s">
        <v>7099</v>
      </c>
      <c r="C1249" s="486"/>
      <c r="D1249" s="486" t="s">
        <v>577</v>
      </c>
    </row>
    <row r="1250" ht="14.0">
      <c r="A1250" s="486" t="s">
        <v>6094</v>
      </c>
      <c r="B1250" s="486" t="s">
        <v>6093</v>
      </c>
      <c r="C1250" s="486">
        <v>500.0</v>
      </c>
      <c r="D1250" s="486" t="s">
        <v>577</v>
      </c>
    </row>
    <row r="1251" ht="14.0">
      <c r="A1251" s="486" t="s">
        <v>7112</v>
      </c>
      <c r="B1251" s="486" t="s">
        <v>7111</v>
      </c>
      <c r="C1251" s="486">
        <v>250.0</v>
      </c>
      <c r="D1251" s="486"/>
    </row>
    <row r="1252" ht="14.0">
      <c r="A1252" s="486" t="s">
        <v>7124</v>
      </c>
      <c r="B1252" s="486" t="s">
        <v>7123</v>
      </c>
      <c r="C1252" s="486"/>
      <c r="D1252" s="486" t="s">
        <v>577</v>
      </c>
    </row>
    <row r="1253" ht="14.0">
      <c r="A1253" s="486" t="s">
        <v>7128</v>
      </c>
      <c r="B1253" s="486" t="s">
        <v>7127</v>
      </c>
      <c r="C1253" s="486"/>
      <c r="D1253" s="486"/>
    </row>
    <row r="1254" ht="14.0">
      <c r="A1254" s="486" t="s">
        <v>7130</v>
      </c>
      <c r="B1254" s="486" t="s">
        <v>7129</v>
      </c>
      <c r="C1254" s="486"/>
      <c r="D1254" s="486" t="s">
        <v>577</v>
      </c>
    </row>
    <row r="1255" ht="14.0">
      <c r="A1255" s="486" t="s">
        <v>490</v>
      </c>
      <c r="B1255" s="486" t="s">
        <v>491</v>
      </c>
      <c r="C1255" s="486"/>
      <c r="D1255" s="486" t="s">
        <v>577</v>
      </c>
    </row>
    <row r="1256" ht="14.0">
      <c r="A1256" s="486" t="s">
        <v>7724</v>
      </c>
      <c r="B1256" s="486" t="s">
        <v>7159</v>
      </c>
      <c r="C1256" s="486"/>
      <c r="D1256" s="486"/>
    </row>
    <row r="1257" ht="14.0">
      <c r="A1257" s="486" t="s">
        <v>492</v>
      </c>
      <c r="B1257" s="486" t="s">
        <v>493</v>
      </c>
      <c r="C1257" s="486">
        <v>180.0</v>
      </c>
      <c r="D1257" s="486"/>
    </row>
    <row r="1258" ht="14.0">
      <c r="A1258" s="486" t="s">
        <v>495</v>
      </c>
      <c r="B1258" s="486" t="s">
        <v>496</v>
      </c>
      <c r="C1258" s="486">
        <v>180.0</v>
      </c>
      <c r="D1258" s="486"/>
    </row>
    <row r="1259" ht="14.0">
      <c r="A1259" s="486" t="s">
        <v>497</v>
      </c>
      <c r="B1259" s="486" t="s">
        <v>498</v>
      </c>
      <c r="C1259" s="486">
        <v>180.0</v>
      </c>
      <c r="D1259" s="486"/>
    </row>
    <row r="1260" ht="14.0">
      <c r="A1260" s="486" t="s">
        <v>499</v>
      </c>
      <c r="B1260" s="486" t="s">
        <v>500</v>
      </c>
      <c r="C1260" s="486">
        <v>180.0</v>
      </c>
      <c r="D1260" s="486"/>
    </row>
    <row r="1261" ht="14.0">
      <c r="A1261" s="486" t="s">
        <v>501</v>
      </c>
      <c r="B1261" s="486" t="s">
        <v>502</v>
      </c>
      <c r="C1261" s="486">
        <v>180.0</v>
      </c>
      <c r="D1261" s="486"/>
    </row>
    <row r="1262" ht="14.0">
      <c r="A1262" s="486" t="s">
        <v>503</v>
      </c>
      <c r="B1262" s="486" t="s">
        <v>504</v>
      </c>
      <c r="C1262" s="486">
        <v>180.0</v>
      </c>
      <c r="D1262" s="486"/>
    </row>
    <row r="1263" ht="14.0">
      <c r="A1263" s="486" t="s">
        <v>7164</v>
      </c>
      <c r="B1263" s="486" t="s">
        <v>7163</v>
      </c>
      <c r="C1263" s="486">
        <v>480.0</v>
      </c>
      <c r="D1263" s="486"/>
    </row>
    <row r="1264" ht="14.0">
      <c r="A1264" s="486" t="s">
        <v>7166</v>
      </c>
      <c r="B1264" s="486" t="s">
        <v>7165</v>
      </c>
      <c r="C1264" s="486">
        <v>480.0</v>
      </c>
      <c r="D1264" s="486"/>
    </row>
    <row r="1265" ht="14.0">
      <c r="A1265" s="486" t="s">
        <v>443</v>
      </c>
      <c r="B1265" s="486" t="s">
        <v>444</v>
      </c>
      <c r="C1265" s="486"/>
      <c r="D1265" s="486"/>
    </row>
    <row r="1266" ht="14.0">
      <c r="A1266" s="486" t="s">
        <v>7636</v>
      </c>
      <c r="B1266" s="486" t="s">
        <v>7635</v>
      </c>
      <c r="C1266" s="486"/>
      <c r="D1266" s="486" t="s">
        <v>577</v>
      </c>
    </row>
    <row r="1267" ht="14.0">
      <c r="A1267" s="486" t="s">
        <v>7638</v>
      </c>
      <c r="B1267" s="486" t="s">
        <v>7637</v>
      </c>
      <c r="C1267" s="486"/>
      <c r="D1267" s="486" t="s">
        <v>577</v>
      </c>
    </row>
    <row r="1268" ht="14.0">
      <c r="A1268" s="486" t="s">
        <v>7640</v>
      </c>
      <c r="B1268" s="486" t="s">
        <v>7639</v>
      </c>
      <c r="C1268" s="486"/>
      <c r="D1268" s="486" t="s">
        <v>577</v>
      </c>
    </row>
    <row r="1269" ht="14.0">
      <c r="A1269" s="486" t="s">
        <v>7646</v>
      </c>
      <c r="B1269" s="486" t="s">
        <v>7645</v>
      </c>
      <c r="C1269" s="486"/>
      <c r="D1269" s="486" t="s">
        <v>577</v>
      </c>
    </row>
    <row r="1270" ht="14.0">
      <c r="A1270" s="486" t="s">
        <v>7650</v>
      </c>
      <c r="B1270" s="486" t="s">
        <v>7649</v>
      </c>
      <c r="C1270" s="486"/>
      <c r="D1270" s="486" t="s">
        <v>577</v>
      </c>
    </row>
  </sheetData>
  <extLst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J116"/>
  <sheetViews>
    <sheetView workbookViewId="0"/>
  </sheetViews>
  <sheetFormatPr defaultRowHeight="14.0" customHeight="1"/>
  <cols>
    <col min="1" max="1" style="125" width="20.27"/>
    <col min="2" max="2" style="125" width="23.58"/>
    <col min="3" max="3" style="125" width="21.59"/>
    <col min="4" max="4" style="36" width="60.15"/>
    <col min="5" max="5" style="36" width="45.18"/>
    <col min="6" max="6" style="36" width="14.17"/>
    <col min="7" max="7" style="36" width="16.82"/>
    <col min="8" max="8" style="36" width="10.46"/>
    <col min="9" max="9" style="36" width="27.55"/>
    <col min="10" max="10" style="36" width="15.23"/>
    <col min="11" max="11" style="125" width="22.12"/>
    <col min="12" max="12" style="125" width="8.61"/>
    <col min="13" max="13" style="36" width="50.74"/>
    <col min="14" max="14" style="36" width="46.5"/>
    <col min="15" max="15" style="36" width="8.34"/>
    <col min="16" max="16" style="36" width="5.43"/>
    <col min="17" max="17" style="36" width="8.08"/>
    <col min="18" max="990" style="36" width="13.24"/>
    <col min="991" max="991" style="36" width="13.24"/>
    <col min="992" max="1003" style="36" width="13.24"/>
    <col min="1004" max="2048" style="36" width="13.24"/>
  </cols>
  <sheetData>
    <row r="1" ht="14.0" customFormat="1" s="36">
      <c r="A1" s="488" t="s">
        <v>7725</v>
      </c>
      <c r="B1" s="488" t="s">
        <v>7726</v>
      </c>
      <c r="C1" s="488" t="s">
        <v>7727</v>
      </c>
      <c r="D1" s="489" t="s">
        <v>7728</v>
      </c>
      <c r="E1" s="489" t="s">
        <v>7653</v>
      </c>
      <c r="F1" s="489" t="s">
        <v>507</v>
      </c>
      <c r="G1" s="489" t="s">
        <v>7729</v>
      </c>
      <c r="H1" s="489" t="s">
        <v>7730</v>
      </c>
      <c r="I1" s="490" t="s">
        <v>863</v>
      </c>
      <c r="J1" s="490" t="s">
        <v>7731</v>
      </c>
      <c r="K1" s="125"/>
      <c r="L1" s="125"/>
    </row>
    <row r="2" ht="14.0">
      <c r="A2" s="491">
        <v>45950</v>
      </c>
      <c r="B2" s="229" t="s">
        <v>7732</v>
      </c>
      <c r="C2" s="229" t="s">
        <v>7733</v>
      </c>
      <c r="D2" s="93" t="s">
        <v>7734</v>
      </c>
      <c r="E2" s="93" t="s">
        <v>481</v>
      </c>
      <c r="F2" s="229" t="s">
        <v>482</v>
      </c>
      <c r="G2" s="93">
        <v>680.0</v>
      </c>
      <c r="H2" s="93">
        <v>2.8</v>
      </c>
      <c r="I2" s="47"/>
      <c r="J2" s="47" t="s">
        <v>7735</v>
      </c>
    </row>
    <row r="3" ht="14.0">
      <c r="A3" s="491">
        <v>45950</v>
      </c>
      <c r="B3" s="229" t="s">
        <v>7732</v>
      </c>
      <c r="C3" s="229" t="s">
        <v>7733</v>
      </c>
      <c r="D3" s="93" t="s">
        <v>7734</v>
      </c>
      <c r="E3" s="93" t="s">
        <v>478</v>
      </c>
      <c r="F3" s="229" t="s">
        <v>479</v>
      </c>
      <c r="G3" s="93">
        <v>600.0</v>
      </c>
      <c r="H3" s="93">
        <v>2.8</v>
      </c>
      <c r="I3" s="47"/>
      <c r="J3" s="47" t="s">
        <v>7735</v>
      </c>
    </row>
    <row r="4" ht="14.0">
      <c r="A4" s="491">
        <v>45950</v>
      </c>
      <c r="B4" s="229" t="s">
        <v>7732</v>
      </c>
      <c r="C4" s="229" t="s">
        <v>7733</v>
      </c>
      <c r="D4" s="93" t="s">
        <v>7734</v>
      </c>
      <c r="E4" s="93" t="s">
        <v>474</v>
      </c>
      <c r="F4" s="229" t="s">
        <v>475</v>
      </c>
      <c r="G4" s="93">
        <v>400.0</v>
      </c>
      <c r="H4" s="93">
        <v>2.8</v>
      </c>
      <c r="I4" s="47"/>
      <c r="J4" s="47" t="s">
        <v>7735</v>
      </c>
    </row>
    <row r="5" ht="14.0">
      <c r="A5" s="491">
        <v>45950</v>
      </c>
      <c r="B5" s="229" t="s">
        <v>7732</v>
      </c>
      <c r="C5" s="229" t="s">
        <v>7733</v>
      </c>
      <c r="D5" s="93" t="s">
        <v>7734</v>
      </c>
      <c r="E5" s="93" t="s">
        <v>476</v>
      </c>
      <c r="F5" s="229" t="s">
        <v>477</v>
      </c>
      <c r="G5" s="93">
        <v>280.0</v>
      </c>
      <c r="H5" s="93">
        <v>2.8</v>
      </c>
      <c r="I5" s="47"/>
      <c r="J5" s="47" t="s">
        <v>7735</v>
      </c>
    </row>
    <row r="6" ht="14.0">
      <c r="A6" s="491">
        <v>45950</v>
      </c>
      <c r="B6" s="229" t="s">
        <v>7732</v>
      </c>
      <c r="C6" s="229" t="s">
        <v>7733</v>
      </c>
      <c r="D6" s="93" t="s">
        <v>7734</v>
      </c>
      <c r="E6" s="93" t="s">
        <v>432</v>
      </c>
      <c r="F6" s="229" t="s">
        <v>433</v>
      </c>
      <c r="G6" s="93">
        <v>48.0</v>
      </c>
      <c r="H6" s="93">
        <v>2.9</v>
      </c>
      <c r="I6" s="47"/>
      <c r="J6" s="47" t="s">
        <v>7735</v>
      </c>
    </row>
    <row r="7" ht="14.0">
      <c r="A7" s="491">
        <v>45950</v>
      </c>
      <c r="B7" s="229" t="s">
        <v>7732</v>
      </c>
      <c r="C7" s="229" t="s">
        <v>7733</v>
      </c>
      <c r="D7" s="93" t="s">
        <v>7734</v>
      </c>
      <c r="E7" s="93" t="s">
        <v>441</v>
      </c>
      <c r="F7" s="229" t="s">
        <v>442</v>
      </c>
      <c r="G7" s="93">
        <v>220.0</v>
      </c>
      <c r="H7" s="93">
        <v>2.2</v>
      </c>
      <c r="I7" s="47"/>
      <c r="J7" s="47" t="s">
        <v>7735</v>
      </c>
    </row>
    <row r="8" ht="14.0">
      <c r="A8" s="491">
        <v>45950</v>
      </c>
      <c r="B8" s="229" t="s">
        <v>7732</v>
      </c>
      <c r="C8" s="229" t="s">
        <v>7733</v>
      </c>
      <c r="D8" s="93" t="s">
        <v>7734</v>
      </c>
      <c r="E8" s="93" t="s">
        <v>443</v>
      </c>
      <c r="F8" s="229" t="s">
        <v>444</v>
      </c>
      <c r="G8" s="93">
        <v>220.0</v>
      </c>
      <c r="H8" s="93">
        <v>2.2</v>
      </c>
      <c r="I8" s="47"/>
      <c r="J8" s="47" t="s">
        <v>7735</v>
      </c>
    </row>
    <row r="9" ht="14.0">
      <c r="A9" s="491">
        <v>45950</v>
      </c>
      <c r="B9" s="229" t="s">
        <v>7732</v>
      </c>
      <c r="C9" s="229" t="s">
        <v>7733</v>
      </c>
      <c r="D9" s="93" t="s">
        <v>7734</v>
      </c>
      <c r="E9" s="93" t="s">
        <v>445</v>
      </c>
      <c r="F9" s="229" t="s">
        <v>446</v>
      </c>
      <c r="G9" s="93">
        <v>88.0</v>
      </c>
      <c r="H9" s="93">
        <v>2.2</v>
      </c>
      <c r="I9" s="47"/>
      <c r="J9" s="47" t="s">
        <v>7735</v>
      </c>
    </row>
    <row r="10" ht="14.0">
      <c r="A10" s="491">
        <v>45950</v>
      </c>
      <c r="B10" s="229" t="s">
        <v>7732</v>
      </c>
      <c r="C10" s="229" t="s">
        <v>7733</v>
      </c>
      <c r="D10" s="93" t="s">
        <v>7734</v>
      </c>
      <c r="E10" s="93" t="s">
        <v>448</v>
      </c>
      <c r="F10" s="229" t="s">
        <v>449</v>
      </c>
      <c r="G10" s="93">
        <v>132.0</v>
      </c>
      <c r="H10" s="93">
        <v>2.2</v>
      </c>
      <c r="I10" s="47"/>
      <c r="J10" s="47" t="s">
        <v>7735</v>
      </c>
    </row>
    <row r="11" ht="14.0">
      <c r="A11" s="491">
        <v>45950</v>
      </c>
      <c r="B11" s="229" t="s">
        <v>7732</v>
      </c>
      <c r="C11" s="229" t="s">
        <v>7733</v>
      </c>
      <c r="D11" s="93" t="s">
        <v>7734</v>
      </c>
      <c r="E11" s="93" t="s">
        <v>451</v>
      </c>
      <c r="F11" s="229" t="s">
        <v>452</v>
      </c>
      <c r="G11" s="93">
        <v>68.0</v>
      </c>
      <c r="H11" s="93">
        <v>2.75</v>
      </c>
      <c r="I11" s="47"/>
      <c r="J11" s="47" t="s">
        <v>7735</v>
      </c>
      <c r="K11" s="164"/>
      <c r="L11" s="164"/>
      <c r="M11" s="163"/>
      <c r="N11" s="163"/>
      <c r="O11" s="163"/>
      <c r="P11" s="163"/>
      <c r="Q11" s="163"/>
    </row>
    <row r="12" ht="14.0">
      <c r="A12" s="491">
        <v>45950</v>
      </c>
      <c r="B12" s="229" t="s">
        <v>7732</v>
      </c>
      <c r="C12" s="229" t="s">
        <v>7733</v>
      </c>
      <c r="D12" s="93" t="s">
        <v>7734</v>
      </c>
      <c r="E12" s="93" t="s">
        <v>462</v>
      </c>
      <c r="F12" s="229" t="s">
        <v>463</v>
      </c>
      <c r="G12" s="93">
        <v>88.0</v>
      </c>
      <c r="H12" s="93">
        <v>2.2</v>
      </c>
      <c r="I12" s="47"/>
      <c r="J12" s="47" t="s">
        <v>7735</v>
      </c>
      <c r="K12" s="164"/>
      <c r="L12" s="164"/>
      <c r="M12" s="163"/>
      <c r="N12" s="163"/>
      <c r="O12" s="163"/>
      <c r="P12" s="163"/>
      <c r="Q12" s="163"/>
    </row>
    <row r="13" ht="14.0">
      <c r="A13" s="491">
        <v>45950</v>
      </c>
      <c r="B13" s="229" t="s">
        <v>7732</v>
      </c>
      <c r="C13" s="229" t="s">
        <v>7733</v>
      </c>
      <c r="D13" s="93" t="s">
        <v>7734</v>
      </c>
      <c r="E13" s="93" t="s">
        <v>464</v>
      </c>
      <c r="F13" s="229" t="s">
        <v>465</v>
      </c>
      <c r="G13" s="93">
        <v>220.0</v>
      </c>
      <c r="H13" s="93">
        <v>2.2</v>
      </c>
      <c r="I13" s="47"/>
      <c r="J13" s="47" t="s">
        <v>7735</v>
      </c>
      <c r="K13" s="164"/>
      <c r="L13" s="164"/>
      <c r="M13" s="163"/>
      <c r="N13" s="163"/>
      <c r="O13" s="163"/>
      <c r="P13" s="163"/>
      <c r="Q13" s="163"/>
    </row>
    <row r="14" ht="14.0">
      <c r="A14" s="491">
        <v>45950</v>
      </c>
      <c r="B14" s="229" t="s">
        <v>7732</v>
      </c>
      <c r="C14" s="229" t="s">
        <v>7733</v>
      </c>
      <c r="D14" s="93" t="s">
        <v>7734</v>
      </c>
      <c r="E14" s="93" t="s">
        <v>468</v>
      </c>
      <c r="F14" s="229" t="s">
        <v>469</v>
      </c>
      <c r="G14" s="93">
        <v>72.0</v>
      </c>
      <c r="H14" s="93">
        <v>3.2</v>
      </c>
      <c r="I14" s="47"/>
      <c r="J14" s="47" t="s">
        <v>7735</v>
      </c>
      <c r="K14" s="164"/>
      <c r="L14" s="164"/>
      <c r="M14" s="163"/>
      <c r="N14" s="163"/>
      <c r="O14" s="163"/>
      <c r="P14" s="163"/>
      <c r="Q14" s="163"/>
    </row>
    <row r="15" ht="14.0">
      <c r="A15" s="491">
        <v>45950</v>
      </c>
      <c r="B15" s="229" t="s">
        <v>7732</v>
      </c>
      <c r="C15" s="229" t="s">
        <v>7733</v>
      </c>
      <c r="D15" s="93" t="s">
        <v>7734</v>
      </c>
      <c r="E15" s="93" t="s">
        <v>492</v>
      </c>
      <c r="F15" s="229" t="s">
        <v>493</v>
      </c>
      <c r="G15" s="93">
        <v>360.0</v>
      </c>
      <c r="H15" s="93">
        <v>2.0</v>
      </c>
      <c r="I15" s="47"/>
      <c r="J15" s="47" t="s">
        <v>7735</v>
      </c>
      <c r="K15" s="164"/>
      <c r="L15" s="164"/>
      <c r="M15" s="163"/>
      <c r="N15" s="163"/>
      <c r="O15" s="163"/>
      <c r="P15" s="163"/>
      <c r="Q15" s="163"/>
    </row>
    <row r="16" ht="14.0">
      <c r="A16" s="491">
        <v>45950</v>
      </c>
      <c r="B16" s="229" t="s">
        <v>7732</v>
      </c>
      <c r="C16" s="229" t="s">
        <v>7733</v>
      </c>
      <c r="D16" s="93" t="s">
        <v>7734</v>
      </c>
      <c r="E16" s="93" t="s">
        <v>495</v>
      </c>
      <c r="F16" s="229" t="s">
        <v>496</v>
      </c>
      <c r="G16" s="93">
        <v>360.0</v>
      </c>
      <c r="H16" s="93">
        <v>2.0</v>
      </c>
      <c r="I16" s="47"/>
      <c r="J16" s="47" t="s">
        <v>7735</v>
      </c>
      <c r="K16" s="164"/>
      <c r="L16" s="164"/>
      <c r="M16" s="163"/>
      <c r="N16" s="163"/>
      <c r="O16" s="163"/>
      <c r="P16" s="163"/>
      <c r="Q16" s="163"/>
    </row>
    <row r="17" ht="14.0">
      <c r="A17" s="491">
        <v>45950</v>
      </c>
      <c r="B17" s="229" t="s">
        <v>7732</v>
      </c>
      <c r="C17" s="229" t="s">
        <v>7733</v>
      </c>
      <c r="D17" s="93" t="s">
        <v>7734</v>
      </c>
      <c r="E17" s="93" t="s">
        <v>497</v>
      </c>
      <c r="F17" s="229" t="s">
        <v>498</v>
      </c>
      <c r="G17" s="93">
        <v>180.0</v>
      </c>
      <c r="H17" s="93">
        <v>2.0</v>
      </c>
      <c r="I17" s="47"/>
      <c r="J17" s="47" t="s">
        <v>7735</v>
      </c>
      <c r="K17" s="164"/>
      <c r="L17" s="164"/>
      <c r="M17" s="163"/>
      <c r="N17" s="163"/>
      <c r="O17" s="163"/>
      <c r="P17" s="163"/>
      <c r="Q17" s="163"/>
    </row>
    <row r="18" ht="14.0">
      <c r="A18" s="491">
        <v>45950</v>
      </c>
      <c r="B18" s="229" t="s">
        <v>7732</v>
      </c>
      <c r="C18" s="229" t="s">
        <v>7733</v>
      </c>
      <c r="D18" s="93" t="s">
        <v>7734</v>
      </c>
      <c r="E18" s="93" t="s">
        <v>499</v>
      </c>
      <c r="F18" s="229" t="s">
        <v>500</v>
      </c>
      <c r="G18" s="93">
        <v>180.0</v>
      </c>
      <c r="H18" s="93">
        <v>2.0</v>
      </c>
      <c r="I18" s="47"/>
      <c r="J18" s="47" t="s">
        <v>7735</v>
      </c>
      <c r="K18" s="164"/>
      <c r="L18" s="164"/>
      <c r="M18" s="163"/>
      <c r="N18" s="163"/>
      <c r="O18" s="163"/>
      <c r="P18" s="163"/>
      <c r="Q18" s="163"/>
    </row>
    <row r="19" ht="14.0">
      <c r="A19" s="491">
        <v>45950</v>
      </c>
      <c r="B19" s="229" t="s">
        <v>7732</v>
      </c>
      <c r="C19" s="229" t="s">
        <v>7733</v>
      </c>
      <c r="D19" s="93" t="s">
        <v>7734</v>
      </c>
      <c r="E19" s="93" t="s">
        <v>501</v>
      </c>
      <c r="F19" s="229" t="s">
        <v>502</v>
      </c>
      <c r="G19" s="93">
        <v>180.0</v>
      </c>
      <c r="H19" s="93">
        <v>2.0</v>
      </c>
      <c r="I19" s="47"/>
      <c r="J19" s="47" t="s">
        <v>7735</v>
      </c>
      <c r="K19" s="164"/>
      <c r="L19" s="164"/>
      <c r="M19" s="163"/>
      <c r="N19" s="163"/>
      <c r="O19" s="163"/>
      <c r="P19" s="163"/>
      <c r="Q19" s="163"/>
    </row>
    <row r="20" ht="14.0">
      <c r="A20" s="491">
        <v>45950</v>
      </c>
      <c r="B20" s="229" t="s">
        <v>7732</v>
      </c>
      <c r="C20" s="229" t="s">
        <v>7733</v>
      </c>
      <c r="D20" s="93" t="s">
        <v>7734</v>
      </c>
      <c r="E20" s="93" t="s">
        <v>503</v>
      </c>
      <c r="F20" s="229" t="s">
        <v>504</v>
      </c>
      <c r="G20" s="93">
        <v>180.0</v>
      </c>
      <c r="H20" s="93">
        <v>2.0</v>
      </c>
      <c r="I20" s="47"/>
      <c r="J20" s="47" t="s">
        <v>7735</v>
      </c>
      <c r="K20" s="229"/>
      <c r="L20" s="93"/>
      <c r="M20" s="93"/>
      <c r="N20" s="93"/>
      <c r="O20" s="93"/>
      <c r="P20" s="93"/>
      <c r="Q20" s="492"/>
    </row>
    <row r="21" ht="14.0">
      <c r="A21" s="491">
        <v>45950</v>
      </c>
      <c r="B21" s="229" t="s">
        <v>7732</v>
      </c>
      <c r="C21" s="229" t="s">
        <v>7733</v>
      </c>
      <c r="D21" s="93" t="s">
        <v>7734</v>
      </c>
      <c r="E21" s="93" t="s">
        <v>547</v>
      </c>
      <c r="F21" s="229" t="s">
        <v>548</v>
      </c>
      <c r="G21" s="93">
        <v>396.0</v>
      </c>
      <c r="H21" s="93">
        <v>2.2</v>
      </c>
      <c r="I21" s="47"/>
      <c r="J21" s="47" t="s">
        <v>7735</v>
      </c>
      <c r="K21" s="229"/>
      <c r="L21" s="93"/>
      <c r="M21" s="93"/>
      <c r="N21" s="93"/>
      <c r="O21" s="93"/>
      <c r="P21" s="93"/>
      <c r="Q21" s="492"/>
    </row>
    <row r="22" ht="14.0">
      <c r="A22" s="491">
        <v>45960</v>
      </c>
      <c r="B22" s="229" t="s">
        <v>7736</v>
      </c>
      <c r="C22" s="229" t="s">
        <v>7733</v>
      </c>
      <c r="D22" s="93" t="s">
        <v>7737</v>
      </c>
      <c r="E22" s="93" t="s">
        <v>5853</v>
      </c>
      <c r="F22" s="229" t="s">
        <v>5852</v>
      </c>
      <c r="G22" s="93">
        <v>1000.0</v>
      </c>
      <c r="H22" s="93">
        <v>1.87</v>
      </c>
      <c r="I22" s="47"/>
      <c r="J22" s="47" t="s">
        <v>7738</v>
      </c>
      <c r="K22" s="229"/>
      <c r="L22" s="93"/>
      <c r="M22" s="93"/>
      <c r="N22" s="93"/>
      <c r="O22" s="93"/>
      <c r="P22" s="93"/>
      <c r="Q22" s="492"/>
    </row>
    <row r="23" ht="14.0">
      <c r="A23" s="491">
        <v>45960</v>
      </c>
      <c r="B23" s="229" t="s">
        <v>7736</v>
      </c>
      <c r="C23" s="229" t="s">
        <v>7733</v>
      </c>
      <c r="D23" s="93" t="s">
        <v>7737</v>
      </c>
      <c r="E23" s="93" t="s">
        <v>5855</v>
      </c>
      <c r="F23" s="229" t="s">
        <v>5854</v>
      </c>
      <c r="G23" s="93">
        <v>700.0</v>
      </c>
      <c r="H23" s="93">
        <v>1.75</v>
      </c>
      <c r="I23" s="47"/>
      <c r="J23" s="47" t="s">
        <v>7738</v>
      </c>
      <c r="K23" s="229"/>
      <c r="L23" s="93"/>
      <c r="M23" s="93"/>
      <c r="N23" s="93"/>
      <c r="O23" s="93"/>
      <c r="P23" s="93"/>
      <c r="Q23" s="492"/>
    </row>
    <row r="24" ht="14.0">
      <c r="A24" s="491">
        <v>45960</v>
      </c>
      <c r="B24" s="229" t="s">
        <v>7736</v>
      </c>
      <c r="C24" s="229" t="s">
        <v>7733</v>
      </c>
      <c r="D24" s="93" t="s">
        <v>7737</v>
      </c>
      <c r="E24" s="93" t="s">
        <v>5831</v>
      </c>
      <c r="F24" s="229" t="s">
        <v>5830</v>
      </c>
      <c r="G24" s="93">
        <v>500.0</v>
      </c>
      <c r="H24" s="93">
        <v>1.67</v>
      </c>
      <c r="I24" s="47"/>
      <c r="J24" s="47" t="s">
        <v>7738</v>
      </c>
      <c r="K24" s="229"/>
      <c r="L24" s="93"/>
      <c r="M24" s="93"/>
      <c r="N24" s="93"/>
      <c r="O24" s="93"/>
      <c r="P24" s="93"/>
      <c r="Q24" s="492"/>
    </row>
    <row r="25" ht="14.0">
      <c r="A25" s="491">
        <v>45960</v>
      </c>
      <c r="B25" s="229" t="s">
        <v>7736</v>
      </c>
      <c r="C25" s="229" t="s">
        <v>7733</v>
      </c>
      <c r="D25" s="93" t="s">
        <v>7737</v>
      </c>
      <c r="E25" s="93" t="s">
        <v>5881</v>
      </c>
      <c r="F25" s="229" t="s">
        <v>5880</v>
      </c>
      <c r="G25" s="93">
        <v>300.0</v>
      </c>
      <c r="H25" s="93">
        <v>1.88</v>
      </c>
      <c r="I25" s="47"/>
      <c r="J25" s="47" t="s">
        <v>7738</v>
      </c>
      <c r="K25" s="229"/>
      <c r="L25" s="93"/>
      <c r="M25" s="93"/>
      <c r="N25" s="93"/>
      <c r="O25" s="93"/>
      <c r="P25" s="93"/>
      <c r="Q25" s="492"/>
    </row>
    <row r="26" ht="14.0">
      <c r="A26" s="491">
        <v>45960</v>
      </c>
      <c r="B26" s="229" t="s">
        <v>7736</v>
      </c>
      <c r="C26" s="229" t="s">
        <v>7733</v>
      </c>
      <c r="D26" s="93" t="s">
        <v>7737</v>
      </c>
      <c r="E26" s="93" t="s">
        <v>5883</v>
      </c>
      <c r="F26" s="229" t="s">
        <v>5882</v>
      </c>
      <c r="G26" s="93">
        <v>1000.0</v>
      </c>
      <c r="H26" s="93">
        <v>1.76</v>
      </c>
      <c r="I26" s="47"/>
      <c r="J26" s="47" t="s">
        <v>7738</v>
      </c>
      <c r="K26" s="229"/>
      <c r="L26" s="93"/>
      <c r="M26" s="93"/>
      <c r="N26" s="93"/>
      <c r="O26" s="93"/>
      <c r="P26" s="93"/>
      <c r="Q26" s="492"/>
    </row>
    <row r="27" ht="14.0">
      <c r="A27" s="491">
        <v>45960</v>
      </c>
      <c r="B27" s="229" t="s">
        <v>7736</v>
      </c>
      <c r="C27" s="229" t="s">
        <v>7733</v>
      </c>
      <c r="D27" s="93" t="s">
        <v>7737</v>
      </c>
      <c r="E27" s="93" t="s">
        <v>5885</v>
      </c>
      <c r="F27" s="229" t="s">
        <v>5884</v>
      </c>
      <c r="G27" s="93">
        <v>700.0</v>
      </c>
      <c r="H27" s="93">
        <v>1.95</v>
      </c>
      <c r="I27" s="47"/>
      <c r="J27" s="47" t="s">
        <v>7738</v>
      </c>
      <c r="K27" s="229"/>
      <c r="L27" s="93"/>
      <c r="M27" s="93"/>
      <c r="N27" s="93"/>
      <c r="O27" s="93"/>
      <c r="P27" s="93"/>
      <c r="Q27" s="492"/>
    </row>
    <row r="28" ht="14.0">
      <c r="A28" s="491">
        <v>45960</v>
      </c>
      <c r="B28" s="229" t="s">
        <v>7736</v>
      </c>
      <c r="C28" s="229" t="s">
        <v>7733</v>
      </c>
      <c r="D28" s="93" t="s">
        <v>7737</v>
      </c>
      <c r="E28" s="93" t="s">
        <v>5887</v>
      </c>
      <c r="F28" s="229" t="s">
        <v>5886</v>
      </c>
      <c r="G28" s="93">
        <v>500.0</v>
      </c>
      <c r="H28" s="93">
        <v>1.83</v>
      </c>
      <c r="I28" s="47"/>
      <c r="J28" s="47" t="s">
        <v>7738</v>
      </c>
      <c r="K28" s="164"/>
      <c r="L28" s="493"/>
      <c r="M28" s="163"/>
      <c r="N28" s="163"/>
      <c r="O28" s="163"/>
      <c r="P28" s="163"/>
      <c r="Q28" s="163"/>
    </row>
    <row r="29" ht="14.0">
      <c r="A29" s="491">
        <v>45960</v>
      </c>
      <c r="B29" s="229" t="s">
        <v>7736</v>
      </c>
      <c r="C29" s="229" t="s">
        <v>7733</v>
      </c>
      <c r="D29" s="93" t="s">
        <v>7737</v>
      </c>
      <c r="E29" s="93" t="s">
        <v>5857</v>
      </c>
      <c r="F29" s="229" t="s">
        <v>5856</v>
      </c>
      <c r="G29" s="93">
        <v>500.0</v>
      </c>
      <c r="H29" s="93">
        <v>1.95</v>
      </c>
      <c r="I29" s="47"/>
      <c r="J29" s="47" t="s">
        <v>7738</v>
      </c>
      <c r="K29" s="164"/>
      <c r="L29" s="493"/>
      <c r="M29" s="163"/>
      <c r="N29" s="163"/>
      <c r="O29" s="163"/>
      <c r="P29" s="163"/>
      <c r="Q29" s="163"/>
    </row>
    <row r="30" ht="14.0">
      <c r="A30" s="491">
        <v>45960</v>
      </c>
      <c r="B30" s="229" t="s">
        <v>7736</v>
      </c>
      <c r="C30" s="229" t="s">
        <v>7733</v>
      </c>
      <c r="D30" s="93" t="s">
        <v>7737</v>
      </c>
      <c r="E30" s="93" t="s">
        <v>5859</v>
      </c>
      <c r="F30" s="229" t="s">
        <v>5858</v>
      </c>
      <c r="G30" s="93">
        <v>500.0</v>
      </c>
      <c r="H30" s="93">
        <v>1.83</v>
      </c>
      <c r="I30" s="47"/>
      <c r="J30" s="47" t="s">
        <v>7738</v>
      </c>
      <c r="K30" s="164"/>
      <c r="L30" s="493"/>
      <c r="M30" s="163"/>
      <c r="N30" s="163"/>
      <c r="O30" s="163"/>
      <c r="P30" s="163"/>
      <c r="Q30" s="163"/>
    </row>
    <row r="31" ht="14.0">
      <c r="A31" s="491">
        <v>45960</v>
      </c>
      <c r="B31" s="229" t="s">
        <v>7736</v>
      </c>
      <c r="C31" s="229" t="s">
        <v>7733</v>
      </c>
      <c r="D31" s="93" t="s">
        <v>7737</v>
      </c>
      <c r="E31" s="93" t="s">
        <v>5809</v>
      </c>
      <c r="F31" s="229" t="s">
        <v>5808</v>
      </c>
      <c r="G31" s="93">
        <v>500.0</v>
      </c>
      <c r="H31" s="93">
        <v>1.75</v>
      </c>
      <c r="I31" s="47"/>
      <c r="J31" s="47" t="s">
        <v>7738</v>
      </c>
      <c r="K31" s="164"/>
      <c r="L31" s="493"/>
      <c r="M31" s="163"/>
      <c r="N31" s="163"/>
      <c r="O31" s="163"/>
      <c r="P31" s="163"/>
      <c r="Q31" s="163"/>
    </row>
    <row r="32" ht="14.0">
      <c r="A32" s="491">
        <v>45960</v>
      </c>
      <c r="B32" s="229" t="s">
        <v>7736</v>
      </c>
      <c r="C32" s="229" t="s">
        <v>7733</v>
      </c>
      <c r="D32" s="93" t="s">
        <v>7737</v>
      </c>
      <c r="E32" s="93" t="s">
        <v>5811</v>
      </c>
      <c r="F32" s="229" t="s">
        <v>5810</v>
      </c>
      <c r="G32" s="93">
        <v>300.0</v>
      </c>
      <c r="H32" s="93">
        <v>1.75</v>
      </c>
      <c r="I32" s="47"/>
      <c r="J32" s="47" t="s">
        <v>7738</v>
      </c>
      <c r="K32" s="164"/>
      <c r="L32" s="493"/>
      <c r="M32" s="163"/>
      <c r="N32" s="163"/>
      <c r="O32" s="163"/>
      <c r="P32" s="163"/>
      <c r="Q32" s="163"/>
    </row>
    <row r="33" ht="14.0">
      <c r="A33" s="491">
        <v>45960</v>
      </c>
      <c r="B33" s="229" t="s">
        <v>7736</v>
      </c>
      <c r="C33" s="229" t="s">
        <v>7733</v>
      </c>
      <c r="D33" s="93" t="s">
        <v>7737</v>
      </c>
      <c r="E33" s="93" t="s">
        <v>5861</v>
      </c>
      <c r="F33" s="229" t="s">
        <v>5860</v>
      </c>
      <c r="G33" s="93">
        <v>300.0</v>
      </c>
      <c r="H33" s="93">
        <v>1.48</v>
      </c>
      <c r="I33" s="47"/>
      <c r="J33" s="47" t="s">
        <v>7738</v>
      </c>
      <c r="K33" s="164"/>
      <c r="L33" s="493"/>
      <c r="M33" s="163"/>
      <c r="N33" s="163"/>
      <c r="O33" s="163"/>
      <c r="P33" s="163"/>
      <c r="Q33" s="163"/>
    </row>
    <row r="34" ht="14.0">
      <c r="A34" s="491">
        <v>45960</v>
      </c>
      <c r="B34" s="229" t="s">
        <v>7736</v>
      </c>
      <c r="C34" s="229" t="s">
        <v>7733</v>
      </c>
      <c r="D34" s="93" t="s">
        <v>7737</v>
      </c>
      <c r="E34" s="93" t="s">
        <v>5807</v>
      </c>
      <c r="F34" s="229" t="s">
        <v>5806</v>
      </c>
      <c r="G34" s="93">
        <v>850.0</v>
      </c>
      <c r="H34" s="93">
        <v>1.67</v>
      </c>
      <c r="I34" s="47"/>
      <c r="J34" s="47" t="s">
        <v>7738</v>
      </c>
      <c r="K34" s="164"/>
      <c r="L34" s="493"/>
      <c r="M34" s="163"/>
      <c r="N34" s="163"/>
      <c r="O34" s="163"/>
      <c r="P34" s="163"/>
      <c r="Q34" s="163"/>
    </row>
    <row r="35" ht="14.0">
      <c r="A35" s="491">
        <v>45960</v>
      </c>
      <c r="B35" s="229" t="s">
        <v>7736</v>
      </c>
      <c r="C35" s="229" t="s">
        <v>7733</v>
      </c>
      <c r="D35" s="93" t="s">
        <v>7737</v>
      </c>
      <c r="E35" s="93" t="s">
        <v>5889</v>
      </c>
      <c r="F35" s="229" t="s">
        <v>5888</v>
      </c>
      <c r="G35" s="93">
        <v>650.0</v>
      </c>
      <c r="H35" s="93">
        <v>1.98</v>
      </c>
      <c r="I35" s="47"/>
      <c r="J35" s="47" t="s">
        <v>7738</v>
      </c>
      <c r="K35" s="164"/>
      <c r="L35" s="493"/>
      <c r="M35" s="163"/>
      <c r="N35" s="163"/>
      <c r="O35" s="163"/>
      <c r="P35" s="163"/>
      <c r="Q35" s="163"/>
    </row>
    <row r="36" ht="14.0">
      <c r="A36" s="491">
        <v>45960</v>
      </c>
      <c r="B36" s="229" t="s">
        <v>7736</v>
      </c>
      <c r="C36" s="229" t="s">
        <v>7733</v>
      </c>
      <c r="D36" s="93" t="s">
        <v>7737</v>
      </c>
      <c r="E36" s="93" t="s">
        <v>5813</v>
      </c>
      <c r="F36" s="229" t="s">
        <v>5812</v>
      </c>
      <c r="G36" s="93">
        <v>800.0</v>
      </c>
      <c r="H36" s="93">
        <v>1.22</v>
      </c>
      <c r="I36" s="47" t="s">
        <v>7739</v>
      </c>
      <c r="J36" s="47" t="s">
        <v>7738</v>
      </c>
    </row>
    <row r="37" ht="14.0">
      <c r="A37" s="491">
        <v>45960</v>
      </c>
      <c r="B37" s="229" t="s">
        <v>7736</v>
      </c>
      <c r="C37" s="229" t="s">
        <v>7733</v>
      </c>
      <c r="D37" s="93" t="s">
        <v>7737</v>
      </c>
      <c r="E37" s="93" t="s">
        <v>5843</v>
      </c>
      <c r="F37" s="229" t="s">
        <v>5842</v>
      </c>
      <c r="G37" s="93">
        <v>800.0</v>
      </c>
      <c r="H37" s="93">
        <v>1.22</v>
      </c>
      <c r="I37" s="47" t="s">
        <v>7739</v>
      </c>
      <c r="J37" s="47" t="s">
        <v>7738</v>
      </c>
    </row>
    <row r="38" ht="14.0">
      <c r="A38" s="491">
        <v>45960</v>
      </c>
      <c r="B38" s="229" t="s">
        <v>7736</v>
      </c>
      <c r="C38" s="229" t="s">
        <v>7733</v>
      </c>
      <c r="D38" s="93" t="s">
        <v>7737</v>
      </c>
      <c r="E38" s="93" t="s">
        <v>5841</v>
      </c>
      <c r="F38" s="229" t="s">
        <v>5840</v>
      </c>
      <c r="G38" s="93">
        <v>800.0</v>
      </c>
      <c r="H38" s="93">
        <v>1.22</v>
      </c>
      <c r="I38" s="47" t="s">
        <v>7739</v>
      </c>
      <c r="J38" s="47" t="s">
        <v>7738</v>
      </c>
    </row>
    <row r="39" ht="14.0">
      <c r="A39" s="491">
        <v>45960</v>
      </c>
      <c r="B39" s="229" t="s">
        <v>7736</v>
      </c>
      <c r="C39" s="229" t="s">
        <v>7733</v>
      </c>
      <c r="D39" s="93" t="s">
        <v>7737</v>
      </c>
      <c r="E39" s="93" t="s">
        <v>5839</v>
      </c>
      <c r="F39" s="229" t="s">
        <v>5838</v>
      </c>
      <c r="G39" s="93">
        <v>800.0</v>
      </c>
      <c r="H39" s="93">
        <v>1.22</v>
      </c>
      <c r="I39" s="47" t="s">
        <v>7739</v>
      </c>
      <c r="J39" s="47" t="s">
        <v>7738</v>
      </c>
    </row>
    <row r="40" ht="14.0">
      <c r="A40" s="491">
        <v>45960</v>
      </c>
      <c r="B40" s="229" t="s">
        <v>7736</v>
      </c>
      <c r="C40" s="229" t="s">
        <v>7733</v>
      </c>
      <c r="D40" s="93" t="s">
        <v>7737</v>
      </c>
      <c r="E40" s="93" t="s">
        <v>5815</v>
      </c>
      <c r="F40" s="229" t="s">
        <v>5814</v>
      </c>
      <c r="G40" s="93">
        <v>800.0</v>
      </c>
      <c r="H40" s="93">
        <v>1.22</v>
      </c>
      <c r="I40" s="47" t="s">
        <v>7739</v>
      </c>
      <c r="J40" s="47" t="s">
        <v>7738</v>
      </c>
    </row>
    <row r="41" ht="14.0">
      <c r="A41" s="491">
        <v>45960</v>
      </c>
      <c r="B41" s="229" t="s">
        <v>7736</v>
      </c>
      <c r="C41" s="229" t="s">
        <v>7733</v>
      </c>
      <c r="D41" s="93" t="s">
        <v>7737</v>
      </c>
      <c r="E41" s="93" t="s">
        <v>5817</v>
      </c>
      <c r="F41" s="229" t="s">
        <v>5816</v>
      </c>
      <c r="G41" s="93">
        <v>800.0</v>
      </c>
      <c r="H41" s="93">
        <v>1.22</v>
      </c>
      <c r="I41" s="47" t="s">
        <v>7739</v>
      </c>
      <c r="J41" s="47" t="s">
        <v>7738</v>
      </c>
    </row>
    <row r="42" ht="14.0">
      <c r="A42" s="491">
        <v>45960</v>
      </c>
      <c r="B42" s="229" t="s">
        <v>7736</v>
      </c>
      <c r="C42" s="229" t="s">
        <v>7733</v>
      </c>
      <c r="D42" s="93" t="s">
        <v>7737</v>
      </c>
      <c r="E42" s="93" t="s">
        <v>5847</v>
      </c>
      <c r="F42" s="229" t="s">
        <v>5846</v>
      </c>
      <c r="G42" s="93">
        <v>800.0</v>
      </c>
      <c r="H42" s="93">
        <v>1.22</v>
      </c>
      <c r="I42" s="47" t="s">
        <v>7739</v>
      </c>
      <c r="J42" s="47" t="s">
        <v>7738</v>
      </c>
    </row>
    <row r="43" ht="14.0">
      <c r="A43" s="491">
        <v>45960</v>
      </c>
      <c r="B43" s="229" t="s">
        <v>7736</v>
      </c>
      <c r="C43" s="229" t="s">
        <v>7733</v>
      </c>
      <c r="D43" s="93" t="s">
        <v>7737</v>
      </c>
      <c r="E43" s="93" t="s">
        <v>5851</v>
      </c>
      <c r="F43" s="229" t="s">
        <v>5850</v>
      </c>
      <c r="G43" s="93">
        <v>800.0</v>
      </c>
      <c r="H43" s="93">
        <v>1.22</v>
      </c>
      <c r="I43" s="47" t="s">
        <v>7739</v>
      </c>
      <c r="J43" s="47" t="s">
        <v>7738</v>
      </c>
    </row>
    <row r="44" ht="14.0">
      <c r="A44" s="491">
        <v>45973</v>
      </c>
      <c r="B44" s="229" t="s">
        <v>7740</v>
      </c>
      <c r="C44" s="229" t="s">
        <v>7733</v>
      </c>
      <c r="D44" s="93" t="s">
        <v>7741</v>
      </c>
      <c r="E44" s="93" t="s">
        <v>4223</v>
      </c>
      <c r="F44" s="229" t="s">
        <v>4222</v>
      </c>
      <c r="G44" s="93">
        <v>504.0</v>
      </c>
      <c r="H44" s="93">
        <v>2.75</v>
      </c>
      <c r="I44" s="47"/>
      <c r="J44" s="47" t="s">
        <v>7738</v>
      </c>
    </row>
    <row r="45" ht="14.0">
      <c r="A45" s="491">
        <v>45973</v>
      </c>
      <c r="B45" s="229" t="s">
        <v>7740</v>
      </c>
      <c r="C45" s="229" t="s">
        <v>7733</v>
      </c>
      <c r="D45" s="93" t="s">
        <v>7741</v>
      </c>
      <c r="E45" s="93" t="s">
        <v>313</v>
      </c>
      <c r="F45" s="229" t="s">
        <v>314</v>
      </c>
      <c r="G45" s="93">
        <v>504.0</v>
      </c>
      <c r="H45" s="93">
        <v>2.75</v>
      </c>
      <c r="I45" s="47"/>
      <c r="J45" s="47" t="s">
        <v>7738</v>
      </c>
    </row>
    <row r="46" ht="14.0">
      <c r="A46" s="491">
        <v>45973</v>
      </c>
      <c r="B46" s="229" t="s">
        <v>7740</v>
      </c>
      <c r="C46" s="229" t="s">
        <v>7733</v>
      </c>
      <c r="D46" s="93" t="s">
        <v>7741</v>
      </c>
      <c r="E46" s="93" t="s">
        <v>315</v>
      </c>
      <c r="F46" s="229" t="s">
        <v>316</v>
      </c>
      <c r="G46" s="93">
        <v>504.0</v>
      </c>
      <c r="H46" s="93">
        <v>2.75</v>
      </c>
      <c r="I46" s="47"/>
      <c r="J46" s="47" t="s">
        <v>7738</v>
      </c>
    </row>
    <row r="47" ht="14.0">
      <c r="A47" s="491">
        <v>45973</v>
      </c>
      <c r="B47" s="229" t="s">
        <v>7740</v>
      </c>
      <c r="C47" s="229" t="s">
        <v>7733</v>
      </c>
      <c r="D47" s="93" t="s">
        <v>7741</v>
      </c>
      <c r="E47" s="93" t="s">
        <v>4259</v>
      </c>
      <c r="F47" s="229" t="s">
        <v>4258</v>
      </c>
      <c r="G47" s="93">
        <v>504.0</v>
      </c>
      <c r="H47" s="93">
        <v>2.75</v>
      </c>
      <c r="I47" s="47" t="s">
        <v>7739</v>
      </c>
      <c r="J47" s="47" t="s">
        <v>7738</v>
      </c>
    </row>
    <row r="48" ht="14.0">
      <c r="A48" s="491">
        <v>45973</v>
      </c>
      <c r="B48" s="229" t="s">
        <v>7740</v>
      </c>
      <c r="C48" s="229" t="s">
        <v>7733</v>
      </c>
      <c r="D48" s="93" t="s">
        <v>7741</v>
      </c>
      <c r="E48" s="93" t="s">
        <v>4249</v>
      </c>
      <c r="F48" s="229" t="s">
        <v>4248</v>
      </c>
      <c r="G48" s="93">
        <v>504.0</v>
      </c>
      <c r="H48" s="93">
        <v>2.75</v>
      </c>
      <c r="I48" s="47" t="s">
        <v>7739</v>
      </c>
      <c r="J48" s="47" t="s">
        <v>7738</v>
      </c>
    </row>
    <row r="49" ht="14.0">
      <c r="A49" s="491">
        <v>45973</v>
      </c>
      <c r="B49" s="229" t="s">
        <v>7740</v>
      </c>
      <c r="C49" s="229" t="s">
        <v>7733</v>
      </c>
      <c r="D49" s="93" t="s">
        <v>7741</v>
      </c>
      <c r="E49" s="93" t="s">
        <v>4239</v>
      </c>
      <c r="F49" s="229" t="s">
        <v>4238</v>
      </c>
      <c r="G49" s="93">
        <v>504.0</v>
      </c>
      <c r="H49" s="93">
        <v>1.72</v>
      </c>
      <c r="I49" s="47"/>
      <c r="J49" s="47" t="s">
        <v>7738</v>
      </c>
    </row>
    <row r="50" ht="14.0">
      <c r="A50" s="491">
        <v>45973</v>
      </c>
      <c r="B50" s="229" t="s">
        <v>7740</v>
      </c>
      <c r="C50" s="229" t="s">
        <v>7733</v>
      </c>
      <c r="D50" s="93" t="s">
        <v>7741</v>
      </c>
      <c r="E50" s="93" t="s">
        <v>4265</v>
      </c>
      <c r="F50" s="229" t="s">
        <v>4264</v>
      </c>
      <c r="G50" s="93">
        <v>504.0</v>
      </c>
      <c r="H50" s="93">
        <v>1.72</v>
      </c>
      <c r="I50" s="47" t="s">
        <v>7739</v>
      </c>
      <c r="J50" s="47" t="s">
        <v>7738</v>
      </c>
    </row>
    <row r="51" ht="14.0">
      <c r="A51" s="491">
        <v>45973</v>
      </c>
      <c r="B51" s="229" t="s">
        <v>7740</v>
      </c>
      <c r="C51" s="229" t="s">
        <v>7733</v>
      </c>
      <c r="D51" s="93" t="s">
        <v>7741</v>
      </c>
      <c r="E51" s="93" t="s">
        <v>4263</v>
      </c>
      <c r="F51" s="229" t="s">
        <v>4262</v>
      </c>
      <c r="G51" s="93">
        <v>504.0</v>
      </c>
      <c r="H51" s="93">
        <v>1.72</v>
      </c>
      <c r="I51" s="47" t="s">
        <v>7739</v>
      </c>
      <c r="J51" s="47" t="s">
        <v>7738</v>
      </c>
    </row>
    <row r="52" ht="14.0">
      <c r="A52" s="491">
        <v>45973</v>
      </c>
      <c r="B52" s="229" t="s">
        <v>7740</v>
      </c>
      <c r="C52" s="229" t="s">
        <v>7733</v>
      </c>
      <c r="D52" s="93" t="s">
        <v>7741</v>
      </c>
      <c r="E52" s="93" t="s">
        <v>687</v>
      </c>
      <c r="F52" s="229" t="s">
        <v>688</v>
      </c>
      <c r="G52" s="93">
        <v>504.0</v>
      </c>
      <c r="H52" s="93">
        <v>1.51</v>
      </c>
      <c r="I52" s="47"/>
      <c r="J52" s="47" t="s">
        <v>7738</v>
      </c>
    </row>
    <row r="53" ht="14.0">
      <c r="A53" s="491">
        <v>45973</v>
      </c>
      <c r="B53" s="229" t="s">
        <v>7740</v>
      </c>
      <c r="C53" s="229" t="s">
        <v>7733</v>
      </c>
      <c r="D53" s="93" t="s">
        <v>7741</v>
      </c>
      <c r="E53" s="93" t="s">
        <v>691</v>
      </c>
      <c r="F53" s="229" t="s">
        <v>692</v>
      </c>
      <c r="G53" s="93">
        <v>504.0</v>
      </c>
      <c r="H53" s="93">
        <v>1.51</v>
      </c>
      <c r="I53" s="47"/>
      <c r="J53" s="47" t="s">
        <v>7738</v>
      </c>
    </row>
    <row r="54" ht="14.0">
      <c r="A54" s="491">
        <v>45973</v>
      </c>
      <c r="B54" s="229" t="s">
        <v>7740</v>
      </c>
      <c r="C54" s="229" t="s">
        <v>7733</v>
      </c>
      <c r="D54" s="93" t="s">
        <v>7741</v>
      </c>
      <c r="E54" s="93" t="s">
        <v>689</v>
      </c>
      <c r="F54" s="229" t="s">
        <v>690</v>
      </c>
      <c r="G54" s="93">
        <v>504.0</v>
      </c>
      <c r="H54" s="93">
        <v>1.51</v>
      </c>
      <c r="I54" s="47"/>
      <c r="J54" s="47" t="s">
        <v>7738</v>
      </c>
    </row>
    <row r="55" ht="14.0">
      <c r="A55" s="491">
        <v>45973</v>
      </c>
      <c r="B55" s="229" t="s">
        <v>7740</v>
      </c>
      <c r="C55" s="229" t="s">
        <v>7733</v>
      </c>
      <c r="D55" s="93" t="s">
        <v>7741</v>
      </c>
      <c r="E55" s="93" t="s">
        <v>4269</v>
      </c>
      <c r="F55" s="229" t="s">
        <v>4268</v>
      </c>
      <c r="G55" s="93">
        <v>504.0</v>
      </c>
      <c r="H55" s="93">
        <v>1.51</v>
      </c>
      <c r="I55" s="47" t="s">
        <v>7739</v>
      </c>
      <c r="J55" s="47" t="s">
        <v>7738</v>
      </c>
    </row>
    <row r="56" ht="14.0">
      <c r="A56" s="491">
        <v>45973</v>
      </c>
      <c r="B56" s="229" t="s">
        <v>7740</v>
      </c>
      <c r="C56" s="229" t="s">
        <v>7733</v>
      </c>
      <c r="D56" s="93" t="s">
        <v>7741</v>
      </c>
      <c r="E56" s="93" t="s">
        <v>4267</v>
      </c>
      <c r="F56" s="229" t="s">
        <v>4266</v>
      </c>
      <c r="G56" s="93">
        <v>504.0</v>
      </c>
      <c r="H56" s="93">
        <v>1.51</v>
      </c>
      <c r="I56" s="47" t="s">
        <v>7739</v>
      </c>
      <c r="J56" s="47" t="s">
        <v>7738</v>
      </c>
    </row>
    <row r="57" ht="14.0">
      <c r="A57" s="491">
        <v>45973</v>
      </c>
      <c r="B57" s="229" t="s">
        <v>7742</v>
      </c>
      <c r="C57" s="229" t="s">
        <v>7733</v>
      </c>
      <c r="D57" s="93" t="s">
        <v>7743</v>
      </c>
      <c r="E57" s="93" t="s">
        <v>6088</v>
      </c>
      <c r="F57" s="229" t="s">
        <v>6087</v>
      </c>
      <c r="G57" s="93">
        <v>500.0</v>
      </c>
      <c r="H57" s="93">
        <v>2.12</v>
      </c>
      <c r="I57" s="47"/>
      <c r="J57" s="47" t="s">
        <v>7738</v>
      </c>
    </row>
    <row r="58" ht="14.0">
      <c r="A58" s="491">
        <v>45973</v>
      </c>
      <c r="B58" s="229" t="s">
        <v>7742</v>
      </c>
      <c r="C58" s="229" t="s">
        <v>7733</v>
      </c>
      <c r="D58" s="93" t="s">
        <v>7743</v>
      </c>
      <c r="E58" s="93" t="s">
        <v>359</v>
      </c>
      <c r="F58" s="229" t="s">
        <v>360</v>
      </c>
      <c r="G58" s="93">
        <v>500.0</v>
      </c>
      <c r="H58" s="93">
        <v>2.12</v>
      </c>
      <c r="I58" s="47"/>
      <c r="J58" s="47" t="s">
        <v>7738</v>
      </c>
    </row>
    <row r="59" ht="14.0">
      <c r="A59" s="491">
        <v>45973</v>
      </c>
      <c r="B59" s="229" t="s">
        <v>7742</v>
      </c>
      <c r="C59" s="229" t="s">
        <v>7733</v>
      </c>
      <c r="D59" s="93" t="s">
        <v>7743</v>
      </c>
      <c r="E59" s="93" t="s">
        <v>6080</v>
      </c>
      <c r="F59" s="229" t="s">
        <v>6079</v>
      </c>
      <c r="G59" s="93">
        <v>500.0</v>
      </c>
      <c r="H59" s="93">
        <v>2.12</v>
      </c>
      <c r="I59" s="47" t="s">
        <v>7739</v>
      </c>
      <c r="J59" s="47" t="s">
        <v>7738</v>
      </c>
    </row>
    <row r="60" ht="14.0">
      <c r="A60" s="491">
        <v>45973</v>
      </c>
      <c r="B60" s="229" t="s">
        <v>7742</v>
      </c>
      <c r="C60" s="229" t="s">
        <v>7733</v>
      </c>
      <c r="D60" s="93" t="s">
        <v>7743</v>
      </c>
      <c r="E60" s="93" t="s">
        <v>6064</v>
      </c>
      <c r="F60" s="229" t="s">
        <v>6063</v>
      </c>
      <c r="G60" s="93">
        <v>500.0</v>
      </c>
      <c r="H60" s="93">
        <v>2.12</v>
      </c>
      <c r="I60" s="47" t="s">
        <v>7739</v>
      </c>
      <c r="J60" s="47" t="s">
        <v>7738</v>
      </c>
    </row>
    <row r="61" ht="14.0">
      <c r="A61" s="491">
        <v>45973</v>
      </c>
      <c r="B61" s="229" t="s">
        <v>7744</v>
      </c>
      <c r="C61" s="229" t="s">
        <v>7733</v>
      </c>
      <c r="D61" s="93" t="s">
        <v>7745</v>
      </c>
      <c r="E61" s="93" t="s">
        <v>402</v>
      </c>
      <c r="F61" s="229" t="s">
        <v>403</v>
      </c>
      <c r="G61" s="93">
        <v>501.0</v>
      </c>
      <c r="H61" s="93">
        <v>2.58</v>
      </c>
      <c r="I61" s="47"/>
      <c r="J61" s="47" t="s">
        <v>7738</v>
      </c>
    </row>
    <row r="62" ht="14.0">
      <c r="A62" s="491">
        <v>45973</v>
      </c>
      <c r="B62" s="229" t="s">
        <v>7744</v>
      </c>
      <c r="C62" s="229" t="s">
        <v>7733</v>
      </c>
      <c r="D62" s="93" t="s">
        <v>7745</v>
      </c>
      <c r="E62" s="93" t="s">
        <v>404</v>
      </c>
      <c r="F62" s="229" t="s">
        <v>405</v>
      </c>
      <c r="G62" s="93">
        <v>501.0</v>
      </c>
      <c r="H62" s="93">
        <v>2.58</v>
      </c>
      <c r="I62" s="47"/>
      <c r="J62" s="47" t="s">
        <v>7738</v>
      </c>
    </row>
    <row r="63" ht="14.0">
      <c r="A63" s="491">
        <v>45973</v>
      </c>
      <c r="B63" s="229" t="s">
        <v>7744</v>
      </c>
      <c r="C63" s="229" t="s">
        <v>7733</v>
      </c>
      <c r="D63" s="93" t="s">
        <v>7745</v>
      </c>
      <c r="E63" s="93" t="s">
        <v>406</v>
      </c>
      <c r="F63" s="229" t="s">
        <v>407</v>
      </c>
      <c r="G63" s="93">
        <v>501.0</v>
      </c>
      <c r="H63" s="93">
        <v>2.58</v>
      </c>
      <c r="I63" s="47"/>
      <c r="J63" s="47" t="s">
        <v>7738</v>
      </c>
    </row>
    <row r="64" ht="14.0">
      <c r="A64" s="491">
        <v>45973</v>
      </c>
      <c r="B64" s="229" t="s">
        <v>7744</v>
      </c>
      <c r="C64" s="229" t="s">
        <v>7733</v>
      </c>
      <c r="D64" s="93" t="s">
        <v>7745</v>
      </c>
      <c r="E64" s="93" t="s">
        <v>6627</v>
      </c>
      <c r="F64" s="229" t="s">
        <v>6626</v>
      </c>
      <c r="G64" s="93">
        <v>501.0</v>
      </c>
      <c r="H64" s="93">
        <v>2.58</v>
      </c>
      <c r="I64" s="47" t="s">
        <v>7739</v>
      </c>
      <c r="J64" s="47" t="s">
        <v>7738</v>
      </c>
    </row>
    <row r="65" ht="14.0">
      <c r="A65" s="491">
        <v>45973</v>
      </c>
      <c r="B65" s="229" t="s">
        <v>7744</v>
      </c>
      <c r="C65" s="229" t="s">
        <v>7733</v>
      </c>
      <c r="D65" s="93" t="s">
        <v>7745</v>
      </c>
      <c r="E65" s="93" t="s">
        <v>6613</v>
      </c>
      <c r="F65" s="229" t="s">
        <v>6612</v>
      </c>
      <c r="G65" s="93">
        <v>501.0</v>
      </c>
      <c r="H65" s="93">
        <v>2.58</v>
      </c>
      <c r="I65" s="47" t="s">
        <v>7739</v>
      </c>
      <c r="J65" s="47" t="s">
        <v>7738</v>
      </c>
    </row>
    <row r="66" ht="14.0">
      <c r="A66" s="491">
        <v>45973</v>
      </c>
      <c r="B66" s="229" t="s">
        <v>7746</v>
      </c>
      <c r="C66" s="229" t="s">
        <v>7733</v>
      </c>
      <c r="D66" s="93" t="s">
        <v>7747</v>
      </c>
      <c r="E66" s="93" t="s">
        <v>419</v>
      </c>
      <c r="F66" s="229" t="s">
        <v>420</v>
      </c>
      <c r="G66" s="93">
        <v>501.0</v>
      </c>
      <c r="H66" s="93">
        <v>4.87</v>
      </c>
      <c r="I66" s="47"/>
      <c r="J66" s="47" t="s">
        <v>7738</v>
      </c>
    </row>
    <row r="67" ht="14.0">
      <c r="A67" s="491">
        <v>45973</v>
      </c>
      <c r="B67" s="229" t="s">
        <v>7746</v>
      </c>
      <c r="C67" s="229" t="s">
        <v>7733</v>
      </c>
      <c r="D67" s="93" t="s">
        <v>7747</v>
      </c>
      <c r="E67" s="93" t="s">
        <v>606</v>
      </c>
      <c r="F67" s="229" t="s">
        <v>607</v>
      </c>
      <c r="G67" s="93">
        <v>501.0</v>
      </c>
      <c r="H67" s="93">
        <v>4.87</v>
      </c>
      <c r="I67" s="47"/>
      <c r="J67" s="47" t="s">
        <v>7738</v>
      </c>
    </row>
    <row r="68" ht="14.0" customFormat="1" s="36">
      <c r="A68" s="491">
        <v>45973</v>
      </c>
      <c r="B68" s="229" t="s">
        <v>7746</v>
      </c>
      <c r="C68" s="229" t="s">
        <v>7733</v>
      </c>
      <c r="D68" s="93" t="s">
        <v>7747</v>
      </c>
      <c r="E68" s="93" t="s">
        <v>608</v>
      </c>
      <c r="F68" s="229" t="s">
        <v>609</v>
      </c>
      <c r="G68" s="93">
        <v>501.0</v>
      </c>
      <c r="H68" s="93">
        <v>4.87</v>
      </c>
      <c r="I68" s="47"/>
      <c r="J68" s="47" t="s">
        <v>7738</v>
      </c>
      <c r="K68" s="125"/>
      <c r="L68" s="125"/>
    </row>
    <row r="69" ht="14.0" customFormat="1" s="36">
      <c r="A69" s="491">
        <v>45973</v>
      </c>
      <c r="B69" s="229" t="s">
        <v>7746</v>
      </c>
      <c r="C69" s="229" t="s">
        <v>7733</v>
      </c>
      <c r="D69" s="93" t="s">
        <v>7747</v>
      </c>
      <c r="E69" s="93" t="s">
        <v>7044</v>
      </c>
      <c r="F69" s="229" t="s">
        <v>7043</v>
      </c>
      <c r="G69" s="93">
        <v>501.0</v>
      </c>
      <c r="H69" s="93">
        <v>4.87</v>
      </c>
      <c r="I69" s="47" t="s">
        <v>7739</v>
      </c>
      <c r="J69" s="47" t="s">
        <v>7738</v>
      </c>
      <c r="K69" s="125"/>
      <c r="L69" s="125"/>
    </row>
    <row r="70" ht="14.0">
      <c r="A70" s="491">
        <v>45973</v>
      </c>
      <c r="B70" s="229" t="s">
        <v>7746</v>
      </c>
      <c r="C70" s="229" t="s">
        <v>7733</v>
      </c>
      <c r="D70" s="93" t="s">
        <v>7747</v>
      </c>
      <c r="E70" s="93" t="s">
        <v>7054</v>
      </c>
      <c r="F70" s="229" t="s">
        <v>7053</v>
      </c>
      <c r="G70" s="93">
        <v>250.0</v>
      </c>
      <c r="H70" s="93">
        <v>0.0</v>
      </c>
      <c r="I70" s="47"/>
      <c r="J70" s="47" t="s">
        <v>7738</v>
      </c>
    </row>
    <row r="71" ht="14.0">
      <c r="A71" s="491">
        <v>45973</v>
      </c>
      <c r="B71" s="229" t="s">
        <v>7748</v>
      </c>
      <c r="C71" s="229" t="s">
        <v>7733</v>
      </c>
      <c r="D71" s="93" t="s">
        <v>7749</v>
      </c>
      <c r="E71" s="93" t="s">
        <v>3888</v>
      </c>
      <c r="F71" s="229" t="s">
        <v>3887</v>
      </c>
      <c r="G71" s="93">
        <v>1008.0</v>
      </c>
      <c r="H71" s="93">
        <v>1.53</v>
      </c>
      <c r="I71" s="47"/>
      <c r="J71" s="47" t="s">
        <v>7738</v>
      </c>
    </row>
    <row r="72" ht="14.0">
      <c r="A72" s="491">
        <v>45973</v>
      </c>
      <c r="B72" s="229" t="s">
        <v>7748</v>
      </c>
      <c r="C72" s="229" t="s">
        <v>7733</v>
      </c>
      <c r="D72" s="93" t="s">
        <v>7749</v>
      </c>
      <c r="E72" s="93" t="s">
        <v>3886</v>
      </c>
      <c r="F72" s="229" t="s">
        <v>3885</v>
      </c>
      <c r="G72" s="93">
        <v>1008.0</v>
      </c>
      <c r="H72" s="93">
        <v>1.53</v>
      </c>
      <c r="I72" s="47" t="s">
        <v>7739</v>
      </c>
      <c r="J72" s="47" t="s">
        <v>7738</v>
      </c>
    </row>
    <row r="73" ht="14.0">
      <c r="A73" s="491">
        <v>45973</v>
      </c>
      <c r="B73" s="229" t="s">
        <v>7748</v>
      </c>
      <c r="C73" s="229" t="s">
        <v>7733</v>
      </c>
      <c r="D73" s="93" t="s">
        <v>7749</v>
      </c>
      <c r="E73" s="93" t="s">
        <v>3876</v>
      </c>
      <c r="F73" s="229" t="s">
        <v>3875</v>
      </c>
      <c r="G73" s="93">
        <v>1008.0</v>
      </c>
      <c r="H73" s="93">
        <v>1.53</v>
      </c>
      <c r="I73" s="47" t="s">
        <v>7739</v>
      </c>
      <c r="J73" s="47" t="s">
        <v>7738</v>
      </c>
    </row>
    <row r="74" ht="14.0">
      <c r="A74" s="491">
        <v>45973</v>
      </c>
      <c r="B74" s="229" t="s">
        <v>7748</v>
      </c>
      <c r="C74" s="229" t="s">
        <v>7733</v>
      </c>
      <c r="D74" s="93" t="s">
        <v>7749</v>
      </c>
      <c r="E74" s="93" t="s">
        <v>4391</v>
      </c>
      <c r="F74" s="229" t="s">
        <v>4390</v>
      </c>
      <c r="G74" s="93">
        <v>1008.0</v>
      </c>
      <c r="H74" s="93">
        <v>1.01</v>
      </c>
      <c r="I74" s="47" t="s">
        <v>7739</v>
      </c>
      <c r="J74" s="47" t="s">
        <v>7738</v>
      </c>
    </row>
    <row r="75" ht="14.0">
      <c r="A75" s="491">
        <v>45973</v>
      </c>
      <c r="B75" s="229" t="s">
        <v>7748</v>
      </c>
      <c r="C75" s="229" t="s">
        <v>7733</v>
      </c>
      <c r="D75" s="93" t="s">
        <v>7749</v>
      </c>
      <c r="E75" s="93" t="s">
        <v>4385</v>
      </c>
      <c r="F75" s="229" t="s">
        <v>4384</v>
      </c>
      <c r="G75" s="93">
        <v>1008.0</v>
      </c>
      <c r="H75" s="93">
        <v>1.01</v>
      </c>
      <c r="I75" s="47" t="s">
        <v>7739</v>
      </c>
      <c r="J75" s="47" t="s">
        <v>7738</v>
      </c>
    </row>
    <row r="76" ht="14.0">
      <c r="A76" s="491">
        <v>45973</v>
      </c>
      <c r="B76" s="229" t="s">
        <v>7748</v>
      </c>
      <c r="C76" s="229" t="s">
        <v>7733</v>
      </c>
      <c r="D76" s="93" t="s">
        <v>7749</v>
      </c>
      <c r="E76" s="93" t="s">
        <v>3902</v>
      </c>
      <c r="F76" s="229" t="s">
        <v>3901</v>
      </c>
      <c r="G76" s="93">
        <v>100.0</v>
      </c>
      <c r="H76" s="93">
        <v>0.48</v>
      </c>
      <c r="I76" s="47" t="s">
        <v>7739</v>
      </c>
      <c r="J76" s="47" t="s">
        <v>7738</v>
      </c>
    </row>
    <row r="77" ht="14.0">
      <c r="A77" s="491">
        <v>45973</v>
      </c>
      <c r="B77" s="229" t="s">
        <v>7748</v>
      </c>
      <c r="C77" s="229" t="s">
        <v>7733</v>
      </c>
      <c r="D77" s="93" t="s">
        <v>7749</v>
      </c>
      <c r="E77" s="93" t="s">
        <v>3894</v>
      </c>
      <c r="F77" s="229" t="s">
        <v>3893</v>
      </c>
      <c r="G77" s="93">
        <v>100.0</v>
      </c>
      <c r="H77" s="93">
        <v>0.48</v>
      </c>
      <c r="I77" s="47" t="s">
        <v>7739</v>
      </c>
      <c r="J77" s="47" t="s">
        <v>7738</v>
      </c>
    </row>
    <row r="78" ht="14.0">
      <c r="A78" s="491">
        <v>45973</v>
      </c>
      <c r="B78" s="229" t="s">
        <v>7750</v>
      </c>
      <c r="C78" s="229" t="s">
        <v>7733</v>
      </c>
      <c r="D78" s="93" t="s">
        <v>7751</v>
      </c>
      <c r="E78" s="93" t="s">
        <v>5501</v>
      </c>
      <c r="F78" s="229" t="s">
        <v>5500</v>
      </c>
      <c r="G78" s="93">
        <v>600.0</v>
      </c>
      <c r="H78" s="93">
        <v>1.68</v>
      </c>
      <c r="I78" s="47" t="s">
        <v>7739</v>
      </c>
      <c r="J78" s="47" t="s">
        <v>7738</v>
      </c>
    </row>
    <row r="79" ht="14.0">
      <c r="A79" s="491">
        <v>45973</v>
      </c>
      <c r="B79" s="229" t="s">
        <v>7750</v>
      </c>
      <c r="C79" s="229" t="s">
        <v>7733</v>
      </c>
      <c r="D79" s="93" t="s">
        <v>7751</v>
      </c>
      <c r="E79" s="93" t="s">
        <v>5495</v>
      </c>
      <c r="F79" s="229" t="s">
        <v>5494</v>
      </c>
      <c r="G79" s="93">
        <v>600.0</v>
      </c>
      <c r="H79" s="93">
        <v>1.68</v>
      </c>
      <c r="I79" s="47" t="s">
        <v>7739</v>
      </c>
      <c r="J79" s="47" t="s">
        <v>7738</v>
      </c>
    </row>
    <row r="80" ht="14.0">
      <c r="A80" s="491">
        <v>45973</v>
      </c>
      <c r="B80" s="229" t="s">
        <v>7752</v>
      </c>
      <c r="C80" s="229" t="s">
        <v>7733</v>
      </c>
      <c r="D80" s="93" t="s">
        <v>7753</v>
      </c>
      <c r="E80" s="93" t="s">
        <v>5962</v>
      </c>
      <c r="F80" s="229" t="s">
        <v>5961</v>
      </c>
      <c r="G80" s="93">
        <v>1002.0</v>
      </c>
      <c r="H80" s="93">
        <v>1.5944</v>
      </c>
      <c r="I80" s="47" t="s">
        <v>7739</v>
      </c>
      <c r="J80" s="47" t="s">
        <v>7738</v>
      </c>
    </row>
    <row r="81" ht="14.0">
      <c r="A81" s="491">
        <v>45973</v>
      </c>
      <c r="B81" s="229" t="s">
        <v>7752</v>
      </c>
      <c r="C81" s="229" t="s">
        <v>7733</v>
      </c>
      <c r="D81" s="93" t="s">
        <v>7753</v>
      </c>
      <c r="E81" s="93" t="s">
        <v>5960</v>
      </c>
      <c r="F81" s="229" t="s">
        <v>5959</v>
      </c>
      <c r="G81" s="93">
        <v>1002.0</v>
      </c>
      <c r="H81" s="93">
        <v>1.5943</v>
      </c>
      <c r="I81" s="47" t="s">
        <v>7739</v>
      </c>
      <c r="J81" s="47" t="s">
        <v>7738</v>
      </c>
    </row>
    <row r="82" ht="14.0">
      <c r="A82" s="491">
        <v>45986</v>
      </c>
      <c r="B82" s="229" t="s">
        <v>7754</v>
      </c>
      <c r="C82" s="229" t="s">
        <v>7733</v>
      </c>
      <c r="D82" s="93" t="s">
        <v>7755</v>
      </c>
      <c r="E82" s="93" t="s">
        <v>2228</v>
      </c>
      <c r="F82" s="229" t="s">
        <v>2227</v>
      </c>
      <c r="G82" s="93">
        <v>100.0</v>
      </c>
      <c r="H82" s="93">
        <v>21.5</v>
      </c>
      <c r="I82" s="47" t="s">
        <v>7739</v>
      </c>
      <c r="J82" s="47" t="s">
        <v>7738</v>
      </c>
    </row>
    <row r="83" ht="14.0">
      <c r="A83" s="494">
        <v>45995</v>
      </c>
      <c r="B83" s="229" t="s">
        <v>7756</v>
      </c>
      <c r="C83" s="229" t="s">
        <v>7733</v>
      </c>
      <c r="D83" s="93" t="s">
        <v>7745</v>
      </c>
      <c r="E83" s="93" t="s">
        <v>590</v>
      </c>
      <c r="F83" s="229" t="s">
        <v>591</v>
      </c>
      <c r="G83" s="93">
        <v>501.0</v>
      </c>
      <c r="H83" s="93">
        <v>2.6362</v>
      </c>
      <c r="I83" s="47"/>
      <c r="J83" s="47" t="s">
        <v>7738</v>
      </c>
    </row>
    <row r="84" ht="14.0">
      <c r="A84" s="494">
        <v>45995</v>
      </c>
      <c r="B84" s="229" t="s">
        <v>7756</v>
      </c>
      <c r="C84" s="229" t="s">
        <v>7733</v>
      </c>
      <c r="D84" s="93" t="s">
        <v>7745</v>
      </c>
      <c r="E84" s="93" t="s">
        <v>596</v>
      </c>
      <c r="F84" s="229" t="s">
        <v>597</v>
      </c>
      <c r="G84" s="93">
        <v>501.0</v>
      </c>
      <c r="H84" s="93">
        <v>2.6362</v>
      </c>
      <c r="I84" s="47"/>
      <c r="J84" s="47" t="s">
        <v>7738</v>
      </c>
    </row>
    <row r="85" ht="14.0">
      <c r="A85" s="494">
        <v>45995</v>
      </c>
      <c r="B85" s="229" t="s">
        <v>7756</v>
      </c>
      <c r="C85" s="229" t="s">
        <v>7733</v>
      </c>
      <c r="D85" s="93" t="s">
        <v>7745</v>
      </c>
      <c r="E85" s="93" t="s">
        <v>602</v>
      </c>
      <c r="F85" s="229" t="s">
        <v>603</v>
      </c>
      <c r="G85" s="93">
        <v>501.0</v>
      </c>
      <c r="H85" s="93">
        <v>2.6362</v>
      </c>
      <c r="I85" s="47"/>
      <c r="J85" s="47" t="s">
        <v>7738</v>
      </c>
    </row>
    <row r="86" ht="14.0">
      <c r="A86" s="494">
        <v>45995</v>
      </c>
      <c r="B86" s="229" t="s">
        <v>7756</v>
      </c>
      <c r="C86" s="229" t="s">
        <v>7733</v>
      </c>
      <c r="D86" s="93" t="s">
        <v>7745</v>
      </c>
      <c r="E86" s="93" t="s">
        <v>598</v>
      </c>
      <c r="F86" s="229" t="s">
        <v>599</v>
      </c>
      <c r="G86" s="93">
        <v>501.0</v>
      </c>
      <c r="H86" s="93">
        <v>2.6362</v>
      </c>
      <c r="I86" s="47"/>
      <c r="J86" s="47" t="s">
        <v>7738</v>
      </c>
    </row>
    <row r="87" ht="14.0">
      <c r="A87" s="494">
        <v>45995</v>
      </c>
      <c r="B87" s="229" t="s">
        <v>7756</v>
      </c>
      <c r="C87" s="229" t="s">
        <v>7733</v>
      </c>
      <c r="D87" s="93" t="s">
        <v>7745</v>
      </c>
      <c r="E87" s="93" t="s">
        <v>604</v>
      </c>
      <c r="F87" s="229" t="s">
        <v>605</v>
      </c>
      <c r="G87" s="93">
        <v>501.0</v>
      </c>
      <c r="H87" s="93">
        <v>2.6362</v>
      </c>
      <c r="I87" s="47"/>
      <c r="J87" s="47" t="s">
        <v>7738</v>
      </c>
    </row>
    <row r="88" ht="14.0">
      <c r="A88" s="494">
        <v>45995</v>
      </c>
      <c r="B88" s="229" t="s">
        <v>7756</v>
      </c>
      <c r="C88" s="229" t="s">
        <v>7733</v>
      </c>
      <c r="D88" s="93" t="s">
        <v>7745</v>
      </c>
      <c r="E88" s="93" t="s">
        <v>600</v>
      </c>
      <c r="F88" s="229" t="s">
        <v>601</v>
      </c>
      <c r="G88" s="93">
        <v>501.0</v>
      </c>
      <c r="H88" s="93">
        <v>2.6362</v>
      </c>
      <c r="I88" s="47"/>
      <c r="J88" s="47" t="s">
        <v>7738</v>
      </c>
    </row>
    <row r="89" ht="14.0">
      <c r="A89" s="494">
        <v>45995</v>
      </c>
      <c r="B89" s="229" t="s">
        <v>7756</v>
      </c>
      <c r="C89" s="229" t="s">
        <v>7733</v>
      </c>
      <c r="D89" s="93" t="s">
        <v>7745</v>
      </c>
      <c r="E89" s="93" t="s">
        <v>6639</v>
      </c>
      <c r="F89" s="229" t="s">
        <v>6638</v>
      </c>
      <c r="G89" s="93">
        <v>501.0</v>
      </c>
      <c r="H89" s="93">
        <v>2.5798</v>
      </c>
      <c r="I89" s="47"/>
      <c r="J89" s="47" t="s">
        <v>7738</v>
      </c>
    </row>
    <row r="90" ht="14.0">
      <c r="A90" s="491">
        <v>46003</v>
      </c>
      <c r="B90" s="229" t="s">
        <v>7757</v>
      </c>
      <c r="C90" s="229" t="s">
        <v>7733</v>
      </c>
      <c r="D90" s="93" t="s">
        <v>7758</v>
      </c>
      <c r="E90" s="93" t="s">
        <v>723</v>
      </c>
      <c r="F90" s="229" t="s">
        <v>724</v>
      </c>
      <c r="G90" s="93">
        <v>501.0</v>
      </c>
      <c r="H90" s="93">
        <v>1.29</v>
      </c>
      <c r="I90" s="47"/>
      <c r="J90" s="47" t="s">
        <v>7738</v>
      </c>
    </row>
    <row r="91" ht="14.0">
      <c r="A91" s="491">
        <v>46003</v>
      </c>
      <c r="B91" s="229" t="s">
        <v>7757</v>
      </c>
      <c r="C91" s="229" t="s">
        <v>7733</v>
      </c>
      <c r="D91" s="93" t="s">
        <v>7758</v>
      </c>
      <c r="E91" s="93" t="s">
        <v>4167</v>
      </c>
      <c r="F91" s="229" t="s">
        <v>4166</v>
      </c>
      <c r="G91" s="93">
        <v>501.0</v>
      </c>
      <c r="H91" s="93">
        <v>1.29</v>
      </c>
      <c r="I91" s="47" t="s">
        <v>7739</v>
      </c>
      <c r="J91" s="47" t="s">
        <v>7738</v>
      </c>
    </row>
    <row r="92" ht="14.0">
      <c r="A92" s="491">
        <v>46003</v>
      </c>
      <c r="B92" s="229" t="s">
        <v>7757</v>
      </c>
      <c r="C92" s="229" t="s">
        <v>7733</v>
      </c>
      <c r="D92" s="93" t="s">
        <v>7758</v>
      </c>
      <c r="E92" s="93" t="s">
        <v>4165</v>
      </c>
      <c r="F92" s="229" t="s">
        <v>4164</v>
      </c>
      <c r="G92" s="93">
        <v>501.0</v>
      </c>
      <c r="H92" s="93">
        <v>1.29</v>
      </c>
      <c r="I92" s="47" t="s">
        <v>7739</v>
      </c>
      <c r="J92" s="47" t="s">
        <v>7738</v>
      </c>
    </row>
    <row r="93" ht="14.0">
      <c r="A93" s="491">
        <v>46007</v>
      </c>
      <c r="B93" s="229" t="s">
        <v>7759</v>
      </c>
      <c r="C93" s="229" t="s">
        <v>7733</v>
      </c>
      <c r="D93" s="93" t="s">
        <v>7760</v>
      </c>
      <c r="E93" s="93" t="s">
        <v>641</v>
      </c>
      <c r="F93" s="229" t="s">
        <v>642</v>
      </c>
      <c r="G93" s="93">
        <v>300.0</v>
      </c>
      <c r="H93" s="93">
        <v>3.6</v>
      </c>
      <c r="I93" s="47"/>
      <c r="J93" s="47" t="s">
        <v>7738</v>
      </c>
    </row>
    <row r="94" ht="14.0">
      <c r="A94" s="491">
        <v>46007</v>
      </c>
      <c r="B94" s="229" t="s">
        <v>7759</v>
      </c>
      <c r="C94" s="229" t="s">
        <v>7733</v>
      </c>
      <c r="D94" s="93" t="s">
        <v>7760</v>
      </c>
      <c r="E94" s="93" t="s">
        <v>6759</v>
      </c>
      <c r="F94" s="229" t="s">
        <v>6758</v>
      </c>
      <c r="G94" s="93">
        <v>300.0</v>
      </c>
      <c r="H94" s="93">
        <v>3.6</v>
      </c>
      <c r="I94" s="47" t="s">
        <v>7739</v>
      </c>
      <c r="J94" s="47" t="s">
        <v>7738</v>
      </c>
    </row>
    <row r="95" ht="14.0">
      <c r="A95" s="491">
        <v>46007</v>
      </c>
      <c r="B95" s="229" t="s">
        <v>7759</v>
      </c>
      <c r="C95" s="229" t="s">
        <v>7733</v>
      </c>
      <c r="D95" s="93" t="s">
        <v>7760</v>
      </c>
      <c r="E95" s="93" t="s">
        <v>6757</v>
      </c>
      <c r="F95" s="229" t="s">
        <v>6756</v>
      </c>
      <c r="G95" s="93">
        <v>300.0</v>
      </c>
      <c r="H95" s="93">
        <v>3.6</v>
      </c>
      <c r="I95" s="47" t="s">
        <v>7739</v>
      </c>
      <c r="J95" s="47" t="s">
        <v>7738</v>
      </c>
    </row>
    <row r="96" ht="14.0">
      <c r="A96" s="495">
        <v>46034</v>
      </c>
      <c r="B96" s="229" t="s">
        <v>7761</v>
      </c>
      <c r="C96" s="229" t="s">
        <v>7733</v>
      </c>
      <c r="D96" s="93" t="s">
        <v>7762</v>
      </c>
      <c r="E96" s="93"/>
      <c r="F96" s="93"/>
      <c r="G96" s="93">
        <v>2.0</v>
      </c>
      <c r="H96" s="93">
        <v>362.0</v>
      </c>
      <c r="I96" s="47" t="s">
        <v>7763</v>
      </c>
      <c r="J96" s="47" t="s">
        <v>7738</v>
      </c>
    </row>
    <row r="97" ht="14.0">
      <c r="A97" s="495">
        <v>46034</v>
      </c>
      <c r="B97" s="229" t="s">
        <v>7761</v>
      </c>
      <c r="C97" s="229" t="s">
        <v>7733</v>
      </c>
      <c r="D97" s="93" t="s">
        <v>7762</v>
      </c>
      <c r="E97" s="93"/>
      <c r="F97" s="93"/>
      <c r="G97" s="93">
        <v>1.0</v>
      </c>
      <c r="H97" s="93">
        <v>200.0</v>
      </c>
      <c r="I97" s="47" t="s">
        <v>7763</v>
      </c>
      <c r="J97" s="47" t="s">
        <v>7738</v>
      </c>
    </row>
    <row r="98" ht="14.0">
      <c r="A98" s="495">
        <v>46034</v>
      </c>
      <c r="B98" s="229" t="s">
        <v>7761</v>
      </c>
      <c r="C98" s="229" t="s">
        <v>7733</v>
      </c>
      <c r="D98" s="93" t="s">
        <v>7762</v>
      </c>
      <c r="E98" s="93"/>
      <c r="F98" s="93"/>
      <c r="G98" s="93">
        <v>2.0</v>
      </c>
      <c r="H98" s="93">
        <v>521.0</v>
      </c>
      <c r="I98" s="47" t="s">
        <v>7763</v>
      </c>
      <c r="J98" s="47" t="s">
        <v>7738</v>
      </c>
    </row>
    <row r="99" ht="14.0">
      <c r="A99" s="495">
        <v>46034</v>
      </c>
      <c r="B99" s="229" t="s">
        <v>7761</v>
      </c>
      <c r="C99" s="229" t="s">
        <v>7733</v>
      </c>
      <c r="D99" s="93" t="s">
        <v>7762</v>
      </c>
      <c r="E99" s="93"/>
      <c r="F99" s="93"/>
      <c r="G99" s="93">
        <v>1.0</v>
      </c>
      <c r="H99" s="93">
        <v>30.0</v>
      </c>
      <c r="I99" s="47" t="s">
        <v>7763</v>
      </c>
      <c r="J99" s="47" t="s">
        <v>7738</v>
      </c>
    </row>
    <row r="100" ht="14.0">
      <c r="A100" s="495">
        <v>46038</v>
      </c>
      <c r="B100" s="229" t="s">
        <v>7764</v>
      </c>
      <c r="C100" s="229" t="s">
        <v>7733</v>
      </c>
      <c r="D100" s="93" t="s">
        <v>7765</v>
      </c>
      <c r="E100" s="93" t="s">
        <v>1996</v>
      </c>
      <c r="F100" s="93" t="s">
        <v>1995</v>
      </c>
      <c r="G100" s="93">
        <v>900.0</v>
      </c>
      <c r="H100" s="93">
        <v>3.48</v>
      </c>
      <c r="I100" s="47"/>
      <c r="J100" s="47" t="s">
        <v>7738</v>
      </c>
    </row>
    <row r="101" ht="14.0">
      <c r="A101" s="495">
        <v>46038</v>
      </c>
      <c r="B101" s="229" t="s">
        <v>7764</v>
      </c>
      <c r="C101" s="229" t="s">
        <v>7733</v>
      </c>
      <c r="D101" s="93" t="s">
        <v>7765</v>
      </c>
      <c r="E101" s="93" t="s">
        <v>1994</v>
      </c>
      <c r="F101" s="93" t="s">
        <v>1993</v>
      </c>
      <c r="G101" s="93">
        <v>900.0</v>
      </c>
      <c r="H101" s="93">
        <v>1.74</v>
      </c>
      <c r="I101" s="47"/>
      <c r="J101" s="47" t="s">
        <v>7738</v>
      </c>
    </row>
    <row r="102" ht="14.0" customFormat="1" s="36">
      <c r="A102" s="496">
        <v>45973</v>
      </c>
      <c r="B102" s="497" t="s">
        <v>7746</v>
      </c>
      <c r="C102" s="497" t="s">
        <v>7733</v>
      </c>
      <c r="D102" s="498" t="s">
        <v>7747</v>
      </c>
      <c r="E102" s="498" t="s">
        <v>7048</v>
      </c>
      <c r="F102" s="497" t="s">
        <v>7047</v>
      </c>
      <c r="G102" s="498">
        <v>501.0</v>
      </c>
      <c r="H102" s="498">
        <v>4.87</v>
      </c>
      <c r="I102" s="239" t="s">
        <v>7739</v>
      </c>
      <c r="J102" s="499" t="s">
        <v>7766</v>
      </c>
      <c r="K102" s="125"/>
      <c r="L102" s="125"/>
    </row>
    <row r="103" ht="14.0">
      <c r="A103" s="495">
        <v>46044</v>
      </c>
      <c r="B103" s="229" t="s">
        <v>7767</v>
      </c>
      <c r="C103" s="229" t="s">
        <v>7733</v>
      </c>
      <c r="D103" s="93" t="s">
        <v>7741</v>
      </c>
      <c r="E103" s="93" t="s">
        <v>2595</v>
      </c>
      <c r="F103" s="93" t="s">
        <v>2594</v>
      </c>
      <c r="G103" s="93">
        <v>10000.0</v>
      </c>
      <c r="H103" s="93">
        <v>0.071</v>
      </c>
      <c r="I103" s="47" t="s">
        <v>7768</v>
      </c>
      <c r="J103" s="500" t="s">
        <v>7769</v>
      </c>
    </row>
    <row r="104" ht="14.0">
      <c r="A104" s="495">
        <v>46044</v>
      </c>
      <c r="B104" s="229" t="s">
        <v>7767</v>
      </c>
      <c r="C104" s="229" t="s">
        <v>7733</v>
      </c>
      <c r="D104" s="93" t="s">
        <v>7741</v>
      </c>
      <c r="E104" s="93" t="s">
        <v>2597</v>
      </c>
      <c r="F104" s="93" t="s">
        <v>2596</v>
      </c>
      <c r="G104" s="93">
        <v>50000.0</v>
      </c>
      <c r="H104" s="93">
        <v>0.03</v>
      </c>
      <c r="I104" s="47" t="s">
        <v>7768</v>
      </c>
      <c r="J104" s="500" t="s">
        <v>7769</v>
      </c>
    </row>
    <row r="105" ht="14.0">
      <c r="A105" s="495">
        <v>46050</v>
      </c>
      <c r="B105" s="229" t="s">
        <v>7770</v>
      </c>
      <c r="C105" s="229" t="s">
        <v>7771</v>
      </c>
      <c r="D105" s="93" t="s">
        <v>7741</v>
      </c>
      <c r="E105" s="93" t="s">
        <v>4295</v>
      </c>
      <c r="F105" s="93" t="s">
        <v>4294</v>
      </c>
      <c r="G105" s="93">
        <v>10000.0</v>
      </c>
      <c r="H105" s="93">
        <v>0.048</v>
      </c>
      <c r="I105" s="47" t="s">
        <v>7768</v>
      </c>
      <c r="J105" s="500" t="s">
        <v>7769</v>
      </c>
    </row>
    <row r="106" ht="14.0">
      <c r="A106" s="495">
        <v>46050</v>
      </c>
      <c r="B106" s="229" t="s">
        <v>7770</v>
      </c>
      <c r="C106" s="229" t="s">
        <v>7771</v>
      </c>
      <c r="D106" s="93" t="s">
        <v>7741</v>
      </c>
      <c r="E106" s="93" t="s">
        <v>4748</v>
      </c>
      <c r="F106" s="93" t="s">
        <v>4747</v>
      </c>
      <c r="G106" s="93">
        <v>10000.0</v>
      </c>
      <c r="H106" s="93">
        <v>0.04</v>
      </c>
      <c r="I106" s="47" t="s">
        <v>7768</v>
      </c>
      <c r="J106" s="500" t="s">
        <v>7769</v>
      </c>
    </row>
    <row r="107" ht="14.0" customFormat="1" s="36">
      <c r="A107" s="491">
        <v>45987</v>
      </c>
      <c r="B107" s="229" t="s">
        <v>7772</v>
      </c>
      <c r="C107" s="229" t="s">
        <v>7733</v>
      </c>
      <c r="D107" s="93" t="s">
        <v>7773</v>
      </c>
      <c r="E107" s="93" t="s">
        <v>6395</v>
      </c>
      <c r="F107" s="229" t="s">
        <v>6394</v>
      </c>
      <c r="G107" s="93">
        <v>504.0</v>
      </c>
      <c r="H107" s="93">
        <v>3.0</v>
      </c>
      <c r="I107" s="123"/>
      <c r="J107" s="500" t="s">
        <v>7769</v>
      </c>
      <c r="K107" s="125"/>
      <c r="L107" s="125"/>
    </row>
    <row r="108" ht="14.0" customFormat="1" s="36">
      <c r="A108" s="491">
        <v>45987</v>
      </c>
      <c r="B108" s="229" t="s">
        <v>7772</v>
      </c>
      <c r="C108" s="229" t="s">
        <v>7733</v>
      </c>
      <c r="D108" s="93" t="s">
        <v>7773</v>
      </c>
      <c r="E108" s="93" t="s">
        <v>7774</v>
      </c>
      <c r="F108" s="229" t="s">
        <v>6390</v>
      </c>
      <c r="G108" s="93">
        <v>504.0</v>
      </c>
      <c r="H108" s="93">
        <v>3.0</v>
      </c>
      <c r="I108" s="123"/>
      <c r="J108" s="500" t="s">
        <v>7769</v>
      </c>
      <c r="K108" s="125"/>
      <c r="L108" s="125"/>
    </row>
    <row r="109" ht="14.0">
      <c r="A109" s="501">
        <v>46029</v>
      </c>
      <c r="B109" s="229" t="s">
        <v>7775</v>
      </c>
      <c r="C109" s="229" t="s">
        <v>7733</v>
      </c>
      <c r="D109" s="93" t="s">
        <v>7776</v>
      </c>
      <c r="E109" s="93" t="s">
        <v>225</v>
      </c>
      <c r="F109" s="93" t="s">
        <v>226</v>
      </c>
      <c r="G109" s="93">
        <v>714.0</v>
      </c>
      <c r="H109" s="93">
        <v>0.95</v>
      </c>
      <c r="I109" s="47" t="s">
        <v>7777</v>
      </c>
      <c r="J109" s="500" t="s">
        <v>7769</v>
      </c>
    </row>
    <row r="110" ht="14.0">
      <c r="A110" s="501">
        <v>46029</v>
      </c>
      <c r="B110" s="229" t="s">
        <v>7775</v>
      </c>
      <c r="C110" s="229" t="s">
        <v>7733</v>
      </c>
      <c r="D110" s="93" t="s">
        <v>7776</v>
      </c>
      <c r="E110" s="93" t="s">
        <v>3766</v>
      </c>
      <c r="F110" s="93" t="s">
        <v>3765</v>
      </c>
      <c r="G110" s="93">
        <v>1002.0</v>
      </c>
      <c r="H110" s="93">
        <v>0.95</v>
      </c>
      <c r="I110" s="47" t="s">
        <v>7777</v>
      </c>
      <c r="J110" s="500" t="s">
        <v>7769</v>
      </c>
    </row>
    <row r="111" ht="14.0">
      <c r="A111" s="501">
        <v>46029</v>
      </c>
      <c r="B111" s="229" t="s">
        <v>7775</v>
      </c>
      <c r="C111" s="229" t="s">
        <v>7733</v>
      </c>
      <c r="D111" s="93" t="s">
        <v>7776</v>
      </c>
      <c r="E111" s="93" t="s">
        <v>3762</v>
      </c>
      <c r="F111" s="93" t="s">
        <v>3761</v>
      </c>
      <c r="G111" s="93">
        <v>501.0</v>
      </c>
      <c r="H111" s="93">
        <v>0.95</v>
      </c>
      <c r="I111" s="47" t="s">
        <v>7777</v>
      </c>
      <c r="J111" s="500" t="s">
        <v>7769</v>
      </c>
    </row>
    <row r="112" ht="14.0">
      <c r="A112" s="501">
        <v>46029</v>
      </c>
      <c r="B112" s="229" t="s">
        <v>7775</v>
      </c>
      <c r="C112" s="229" t="s">
        <v>7733</v>
      </c>
      <c r="D112" s="93" t="s">
        <v>7776</v>
      </c>
      <c r="E112" s="93" t="s">
        <v>3740</v>
      </c>
      <c r="F112" s="93" t="s">
        <v>3739</v>
      </c>
      <c r="G112" s="93">
        <v>501.0</v>
      </c>
      <c r="H112" s="93">
        <v>0.95</v>
      </c>
      <c r="I112" s="47" t="s">
        <v>7777</v>
      </c>
      <c r="J112" s="500" t="s">
        <v>7769</v>
      </c>
    </row>
    <row r="113" ht="14.0">
      <c r="A113" s="501">
        <v>46029</v>
      </c>
      <c r="B113" s="229" t="s">
        <v>7775</v>
      </c>
      <c r="C113" s="229" t="s">
        <v>7733</v>
      </c>
      <c r="D113" s="93" t="s">
        <v>7776</v>
      </c>
      <c r="E113" s="93" t="s">
        <v>231</v>
      </c>
      <c r="F113" s="93" t="s">
        <v>232</v>
      </c>
      <c r="G113" s="93">
        <v>501.0</v>
      </c>
      <c r="H113" s="93">
        <v>0.81</v>
      </c>
      <c r="I113" s="47" t="s">
        <v>7777</v>
      </c>
      <c r="J113" s="500" t="s">
        <v>7769</v>
      </c>
    </row>
    <row r="114" ht="14.0">
      <c r="A114" s="501">
        <v>46029</v>
      </c>
      <c r="B114" s="229" t="s">
        <v>7775</v>
      </c>
      <c r="C114" s="229" t="s">
        <v>7733</v>
      </c>
      <c r="D114" s="93" t="s">
        <v>7776</v>
      </c>
      <c r="E114" s="93" t="s">
        <v>237</v>
      </c>
      <c r="F114" s="93" t="s">
        <v>238</v>
      </c>
      <c r="G114" s="93">
        <v>585.0</v>
      </c>
      <c r="H114" s="93">
        <v>0.81</v>
      </c>
      <c r="I114" s="47" t="s">
        <v>7777</v>
      </c>
      <c r="J114" s="500" t="s">
        <v>7769</v>
      </c>
    </row>
    <row r="115" ht="14.0">
      <c r="A115" s="501">
        <v>46029</v>
      </c>
      <c r="B115" s="229" t="s">
        <v>7775</v>
      </c>
      <c r="C115" s="229" t="s">
        <v>7733</v>
      </c>
      <c r="D115" s="93" t="s">
        <v>7776</v>
      </c>
      <c r="E115" s="93" t="s">
        <v>6663</v>
      </c>
      <c r="F115" s="93" t="s">
        <v>6662</v>
      </c>
      <c r="G115" s="93">
        <v>501.0</v>
      </c>
      <c r="H115" s="93">
        <v>0.81</v>
      </c>
      <c r="I115" s="47" t="s">
        <v>7777</v>
      </c>
      <c r="J115" s="500" t="s">
        <v>7769</v>
      </c>
    </row>
    <row r="116" ht="14.0">
      <c r="A116" s="501">
        <v>46029</v>
      </c>
      <c r="B116" s="229" t="s">
        <v>7775</v>
      </c>
      <c r="C116" s="229" t="s">
        <v>7733</v>
      </c>
      <c r="D116" s="93" t="s">
        <v>7776</v>
      </c>
      <c r="E116" s="93" t="s">
        <v>6649</v>
      </c>
      <c r="F116" s="93" t="s">
        <v>6648</v>
      </c>
      <c r="G116" s="93">
        <v>501.0</v>
      </c>
      <c r="H116" s="93">
        <v>0.81</v>
      </c>
      <c r="I116" s="47" t="s">
        <v>7777</v>
      </c>
      <c r="J116" s="500" t="s">
        <v>7769</v>
      </c>
    </row>
    <row r="117">
      <c r="I117" s="123"/>
      <c r="J117" s="502"/>
    </row>
    <row r="118">
      <c r="I118" s="123"/>
      <c r="J118" s="502"/>
    </row>
  </sheetData>
  <extLst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60"/>
  <sheetViews>
    <sheetView workbookViewId="0"/>
  </sheetViews>
  <sheetFormatPr defaultRowHeight="14.0" customHeight="1"/>
  <cols>
    <col min="1" max="1" width="42.26"/>
    <col min="2" max="4" width="21.59"/>
    <col min="5" max="5" width="25.7"/>
    <col min="6" max="1024" width="13.24"/>
  </cols>
  <sheetData>
    <row r="1" ht="14.0">
      <c r="A1" s="503"/>
      <c r="B1" s="119"/>
      <c r="C1" s="504" t="s">
        <v>7778</v>
      </c>
      <c r="D1" s="504" t="s">
        <v>7778</v>
      </c>
      <c r="E1" s="505"/>
    </row>
    <row r="2" ht="14.0">
      <c r="A2" s="503"/>
      <c r="B2" s="119"/>
      <c r="C2" s="506" t="s">
        <v>7779</v>
      </c>
      <c r="D2" s="506" t="s">
        <v>7779</v>
      </c>
      <c r="E2" s="505"/>
    </row>
    <row r="3" ht="14.0">
      <c r="A3" s="503"/>
      <c r="B3" s="119"/>
      <c r="C3" s="504" t="s">
        <v>7780</v>
      </c>
      <c r="D3" s="504" t="s">
        <v>7781</v>
      </c>
      <c r="E3" s="505"/>
    </row>
    <row r="4">
      <c r="A4" s="507" t="s">
        <v>113</v>
      </c>
      <c r="B4" s="508" t="s">
        <v>114</v>
      </c>
      <c r="C4" s="509">
        <v>67.0</v>
      </c>
      <c r="D4" s="509">
        <v>72.0</v>
      </c>
      <c r="E4" s="505"/>
    </row>
    <row r="5">
      <c r="A5" s="507" t="s">
        <v>115</v>
      </c>
      <c r="B5" s="508">
        <v>34101.0</v>
      </c>
      <c r="C5" s="510">
        <v>3273.0</v>
      </c>
      <c r="D5" s="510">
        <v>3276.0</v>
      </c>
      <c r="E5" s="505"/>
    </row>
    <row r="6">
      <c r="A6" s="507" t="s">
        <v>38</v>
      </c>
      <c r="B6" s="508">
        <v>35801.0</v>
      </c>
      <c r="C6" s="510">
        <v>102.0</v>
      </c>
      <c r="D6" s="510">
        <v>102.0</v>
      </c>
      <c r="E6" s="505"/>
    </row>
    <row r="7">
      <c r="A7" s="507" t="s">
        <v>39</v>
      </c>
      <c r="B7" s="508">
        <v>35804.0</v>
      </c>
      <c r="C7" s="510">
        <v>78.0</v>
      </c>
      <c r="D7" s="510">
        <v>78.0</v>
      </c>
      <c r="E7" s="505"/>
    </row>
    <row r="8">
      <c r="A8" s="507" t="s">
        <v>41</v>
      </c>
      <c r="B8" s="508">
        <v>35805.0</v>
      </c>
      <c r="C8" s="510">
        <v>54.0</v>
      </c>
      <c r="D8" s="510">
        <v>54.0</v>
      </c>
      <c r="E8" s="505"/>
    </row>
    <row r="9">
      <c r="A9" s="507" t="s">
        <v>48</v>
      </c>
      <c r="B9" s="508">
        <v>36801.0</v>
      </c>
      <c r="C9" s="510">
        <v>150.0</v>
      </c>
      <c r="D9" s="510">
        <v>150.0</v>
      </c>
      <c r="E9" s="505"/>
    </row>
    <row r="10">
      <c r="A10" s="507" t="s">
        <v>49</v>
      </c>
      <c r="B10" s="508">
        <v>36803.0</v>
      </c>
      <c r="C10" s="510">
        <v>108.0</v>
      </c>
      <c r="D10" s="510">
        <v>108.0</v>
      </c>
      <c r="E10" s="505"/>
    </row>
    <row r="11">
      <c r="A11" s="507" t="s">
        <v>50</v>
      </c>
      <c r="B11" s="508">
        <v>36804.0</v>
      </c>
      <c r="C11" s="510">
        <v>114.0</v>
      </c>
      <c r="D11" s="510">
        <v>114.0</v>
      </c>
      <c r="E11" s="505"/>
    </row>
    <row r="12">
      <c r="A12" s="507" t="s">
        <v>51</v>
      </c>
      <c r="B12" s="508">
        <v>36805.0</v>
      </c>
      <c r="C12" s="510">
        <v>162.0</v>
      </c>
      <c r="D12" s="510">
        <v>162.0</v>
      </c>
      <c r="E12" s="505"/>
    </row>
    <row r="13">
      <c r="A13" s="507" t="s">
        <v>52</v>
      </c>
      <c r="B13" s="508">
        <v>36806.0</v>
      </c>
      <c r="C13" s="510">
        <v>57.0</v>
      </c>
      <c r="D13" s="510">
        <v>60.0</v>
      </c>
      <c r="E13" s="505"/>
    </row>
    <row r="14">
      <c r="A14" s="507" t="s">
        <v>58</v>
      </c>
      <c r="B14" s="508">
        <v>71101.0</v>
      </c>
      <c r="C14" s="510">
        <v>252.0</v>
      </c>
      <c r="D14" s="510">
        <v>252.0</v>
      </c>
      <c r="E14" s="505"/>
    </row>
    <row r="15">
      <c r="A15" s="507" t="s">
        <v>60</v>
      </c>
      <c r="B15" s="508">
        <v>71301.0</v>
      </c>
      <c r="C15" s="510">
        <v>103.0</v>
      </c>
      <c r="D15" s="510">
        <v>108.0</v>
      </c>
      <c r="E15" s="505"/>
    </row>
    <row r="16">
      <c r="A16" s="507" t="s">
        <v>61</v>
      </c>
      <c r="B16" s="508">
        <v>71401.0</v>
      </c>
      <c r="C16" s="510">
        <v>34.0</v>
      </c>
      <c r="D16" s="510">
        <v>36.0</v>
      </c>
      <c r="E16" s="505"/>
    </row>
    <row r="17">
      <c r="A17" s="507" t="s">
        <v>68</v>
      </c>
      <c r="B17" s="508">
        <v>41201.0</v>
      </c>
      <c r="C17" s="510">
        <v>149.0</v>
      </c>
      <c r="D17" s="510">
        <v>150.0</v>
      </c>
      <c r="E17" s="505"/>
    </row>
    <row r="18">
      <c r="A18" s="507" t="s">
        <v>69</v>
      </c>
      <c r="B18" s="508">
        <v>41202.0</v>
      </c>
      <c r="C18" s="510">
        <v>120.0</v>
      </c>
      <c r="D18" s="510">
        <v>120.0</v>
      </c>
      <c r="E18" s="505"/>
    </row>
    <row r="19">
      <c r="A19" s="507" t="s">
        <v>70</v>
      </c>
      <c r="B19" s="508">
        <v>41205.0</v>
      </c>
      <c r="C19" s="510">
        <v>27.0</v>
      </c>
      <c r="D19" s="510">
        <v>30.0</v>
      </c>
      <c r="E19" s="505"/>
    </row>
    <row r="20">
      <c r="A20" s="507" t="s">
        <v>71</v>
      </c>
      <c r="B20" s="508">
        <v>41233.0</v>
      </c>
      <c r="C20" s="510">
        <v>40.0</v>
      </c>
      <c r="D20" s="510">
        <v>42.0</v>
      </c>
      <c r="E20" s="505"/>
    </row>
    <row r="21">
      <c r="A21" s="511" t="s">
        <v>72</v>
      </c>
      <c r="B21" s="512">
        <v>41234.0</v>
      </c>
      <c r="C21" s="513">
        <v>3.0</v>
      </c>
      <c r="D21" s="513">
        <v>6.0</v>
      </c>
      <c r="E21" s="505"/>
    </row>
    <row r="22">
      <c r="A22" s="507" t="s">
        <v>77</v>
      </c>
      <c r="B22" s="508">
        <v>43301.0</v>
      </c>
      <c r="C22" s="510">
        <v>64.0</v>
      </c>
      <c r="D22" s="510">
        <v>66.0</v>
      </c>
      <c r="E22" s="505"/>
    </row>
    <row r="23">
      <c r="A23" s="507" t="s">
        <v>78</v>
      </c>
      <c r="B23" s="508">
        <v>43302.0</v>
      </c>
      <c r="C23" s="510">
        <v>45.0</v>
      </c>
      <c r="D23" s="510">
        <v>48.0</v>
      </c>
      <c r="E23" s="505"/>
    </row>
    <row r="24">
      <c r="A24" s="507" t="s">
        <v>79</v>
      </c>
      <c r="B24" s="508">
        <v>43304.0</v>
      </c>
      <c r="C24" s="510">
        <v>45.0</v>
      </c>
      <c r="D24" s="510">
        <v>48.0</v>
      </c>
      <c r="E24" s="505"/>
    </row>
    <row r="25">
      <c r="A25" s="507" t="s">
        <v>80</v>
      </c>
      <c r="B25" s="508">
        <v>43332.0</v>
      </c>
      <c r="C25" s="510">
        <v>39.0</v>
      </c>
      <c r="D25" s="510">
        <v>42.0</v>
      </c>
      <c r="E25" s="505"/>
    </row>
    <row r="26">
      <c r="A26" s="507" t="s">
        <v>118</v>
      </c>
      <c r="B26" s="508" t="s">
        <v>119</v>
      </c>
      <c r="C26" s="510">
        <v>3.0</v>
      </c>
      <c r="D26" s="510">
        <v>6.0</v>
      </c>
      <c r="E26" s="505"/>
    </row>
    <row r="27">
      <c r="A27" s="507" t="s">
        <v>120</v>
      </c>
      <c r="B27" s="508">
        <v>43101.0</v>
      </c>
      <c r="C27" s="510">
        <v>232.0</v>
      </c>
      <c r="D27" s="510">
        <v>234.0</v>
      </c>
      <c r="E27" s="505"/>
    </row>
    <row r="28">
      <c r="A28" s="507" t="s">
        <v>121</v>
      </c>
      <c r="B28" s="508">
        <v>43104.0</v>
      </c>
      <c r="C28" s="510">
        <v>102.0</v>
      </c>
      <c r="D28" s="510">
        <v>102.0</v>
      </c>
      <c r="E28" s="505"/>
    </row>
    <row r="29">
      <c r="A29" s="507" t="s">
        <v>122</v>
      </c>
      <c r="B29" s="508">
        <v>43105.0</v>
      </c>
      <c r="C29" s="510">
        <v>255.0</v>
      </c>
      <c r="D29" s="510">
        <v>258.0</v>
      </c>
      <c r="E29" s="505"/>
    </row>
    <row r="30">
      <c r="A30" s="507" t="s">
        <v>123</v>
      </c>
      <c r="B30" s="508">
        <v>43106.0</v>
      </c>
      <c r="C30" s="510">
        <v>326.0</v>
      </c>
      <c r="D30" s="510">
        <v>330.0</v>
      </c>
      <c r="E30" s="505"/>
    </row>
    <row r="31">
      <c r="A31" s="507" t="s">
        <v>124</v>
      </c>
      <c r="B31" s="508">
        <v>43107.0</v>
      </c>
      <c r="C31" s="510">
        <v>231.0</v>
      </c>
      <c r="D31" s="510">
        <v>234.0</v>
      </c>
      <c r="E31" s="505"/>
    </row>
    <row r="32">
      <c r="A32" s="507" t="s">
        <v>125</v>
      </c>
      <c r="B32" s="508">
        <v>43110.0</v>
      </c>
      <c r="C32" s="510">
        <v>224.0</v>
      </c>
      <c r="D32" s="510">
        <v>228.0</v>
      </c>
      <c r="E32" s="505"/>
    </row>
    <row r="33">
      <c r="A33" s="507" t="s">
        <v>126</v>
      </c>
      <c r="B33" s="508">
        <v>43111.0</v>
      </c>
      <c r="C33" s="510">
        <v>165.0</v>
      </c>
      <c r="D33" s="510">
        <v>168.0</v>
      </c>
      <c r="E33" s="505"/>
    </row>
    <row r="34">
      <c r="A34" s="507" t="s">
        <v>127</v>
      </c>
      <c r="B34" s="508">
        <v>43112.0</v>
      </c>
      <c r="C34" s="510">
        <v>271.0</v>
      </c>
      <c r="D34" s="510">
        <v>276.0</v>
      </c>
      <c r="E34" s="505"/>
    </row>
    <row r="35">
      <c r="A35" s="507" t="s">
        <v>128</v>
      </c>
      <c r="B35" s="508">
        <v>43133.0</v>
      </c>
      <c r="C35" s="510">
        <v>35.0</v>
      </c>
      <c r="D35" s="510">
        <v>36.0</v>
      </c>
      <c r="E35" s="505"/>
    </row>
    <row r="36">
      <c r="A36" s="507" t="s">
        <v>130</v>
      </c>
      <c r="B36" s="508">
        <v>43134.0</v>
      </c>
      <c r="C36" s="510">
        <v>45.0</v>
      </c>
      <c r="D36" s="510">
        <v>48.0</v>
      </c>
      <c r="E36" s="505"/>
    </row>
    <row r="37">
      <c r="A37" s="507" t="s">
        <v>131</v>
      </c>
      <c r="B37" s="508">
        <v>43145.0</v>
      </c>
      <c r="C37" s="510">
        <v>223.0</v>
      </c>
      <c r="D37" s="510">
        <v>228.0</v>
      </c>
      <c r="E37" s="505"/>
    </row>
    <row r="38">
      <c r="A38" s="507" t="s">
        <v>132</v>
      </c>
      <c r="B38" s="508">
        <v>43150.0</v>
      </c>
      <c r="C38" s="510">
        <v>174.0</v>
      </c>
      <c r="D38" s="510">
        <v>174.0</v>
      </c>
      <c r="E38" s="505"/>
    </row>
    <row r="39">
      <c r="A39" s="507" t="s">
        <v>133</v>
      </c>
      <c r="B39" s="508">
        <v>43190.0</v>
      </c>
      <c r="C39" s="510">
        <v>114.0</v>
      </c>
      <c r="D39" s="510">
        <v>114.0</v>
      </c>
      <c r="E39" s="505"/>
    </row>
    <row r="40">
      <c r="A40" s="507" t="s">
        <v>158</v>
      </c>
      <c r="B40" s="508">
        <v>40501.0</v>
      </c>
      <c r="C40" s="510">
        <v>152.0</v>
      </c>
      <c r="D40" s="510">
        <v>156.0</v>
      </c>
      <c r="E40" s="505"/>
    </row>
    <row r="41">
      <c r="A41" s="507" t="s">
        <v>159</v>
      </c>
      <c r="B41" s="508">
        <v>40502.0</v>
      </c>
      <c r="C41" s="510">
        <v>120.0</v>
      </c>
      <c r="D41" s="510">
        <v>120.0</v>
      </c>
      <c r="E41" s="505"/>
    </row>
    <row r="42">
      <c r="A42" s="507" t="s">
        <v>160</v>
      </c>
      <c r="B42" s="508">
        <v>40523.0</v>
      </c>
      <c r="C42" s="510">
        <v>84.0</v>
      </c>
      <c r="D42" s="510">
        <v>84.0</v>
      </c>
      <c r="E42" s="505"/>
    </row>
    <row r="43">
      <c r="A43" s="507" t="s">
        <v>161</v>
      </c>
      <c r="B43" s="508">
        <v>40533.0</v>
      </c>
      <c r="C43" s="510">
        <v>108.0</v>
      </c>
      <c r="D43" s="510">
        <v>108.0</v>
      </c>
      <c r="E43" s="505"/>
    </row>
    <row r="44">
      <c r="A44" s="507" t="s">
        <v>162</v>
      </c>
      <c r="B44" s="508">
        <v>40534.0</v>
      </c>
      <c r="C44" s="510">
        <v>75.0</v>
      </c>
      <c r="D44" s="510">
        <v>78.0</v>
      </c>
      <c r="E44" s="505"/>
    </row>
    <row r="45">
      <c r="A45" s="507" t="s">
        <v>164</v>
      </c>
      <c r="B45" s="508">
        <v>40402.0</v>
      </c>
      <c r="C45" s="510">
        <v>147.0</v>
      </c>
      <c r="D45" s="510">
        <v>150.0</v>
      </c>
      <c r="E45" s="505"/>
    </row>
    <row r="46">
      <c r="A46" s="507" t="s">
        <v>165</v>
      </c>
      <c r="B46" s="508">
        <v>40403.0</v>
      </c>
      <c r="C46" s="510">
        <v>160.0</v>
      </c>
      <c r="D46" s="510">
        <v>162.0</v>
      </c>
      <c r="E46" s="505"/>
    </row>
    <row r="47">
      <c r="A47" s="507" t="s">
        <v>166</v>
      </c>
      <c r="B47" s="508">
        <v>40404.0</v>
      </c>
      <c r="C47" s="510">
        <v>133.0</v>
      </c>
      <c r="D47" s="510">
        <v>138.0</v>
      </c>
      <c r="E47" s="505"/>
    </row>
    <row r="48">
      <c r="A48" s="507" t="s">
        <v>167</v>
      </c>
      <c r="B48" s="508">
        <v>40407.0</v>
      </c>
      <c r="C48" s="510">
        <v>81.0</v>
      </c>
      <c r="D48" s="510">
        <v>84.0</v>
      </c>
      <c r="E48" s="505"/>
    </row>
    <row r="49">
      <c r="A49" s="507" t="s">
        <v>168</v>
      </c>
      <c r="B49" s="508">
        <v>40408.0</v>
      </c>
      <c r="C49" s="510">
        <v>82.0</v>
      </c>
      <c r="D49" s="510">
        <v>84.0</v>
      </c>
      <c r="E49" s="505"/>
    </row>
    <row r="50">
      <c r="A50" s="507" t="s">
        <v>169</v>
      </c>
      <c r="B50" s="508">
        <v>40409.0</v>
      </c>
      <c r="C50" s="510">
        <v>105.0</v>
      </c>
      <c r="D50" s="510">
        <v>108.0</v>
      </c>
      <c r="E50" s="505"/>
    </row>
    <row r="51">
      <c r="A51" s="507" t="s">
        <v>171</v>
      </c>
      <c r="B51" s="508">
        <v>41001.0</v>
      </c>
      <c r="C51" s="510">
        <v>72.0</v>
      </c>
      <c r="D51" s="510">
        <v>72.0</v>
      </c>
      <c r="E51" s="505"/>
    </row>
    <row r="52">
      <c r="A52" s="507" t="s">
        <v>172</v>
      </c>
      <c r="B52" s="508">
        <v>41002.0</v>
      </c>
      <c r="C52" s="510">
        <v>49.0</v>
      </c>
      <c r="D52" s="510">
        <v>54.0</v>
      </c>
      <c r="E52" s="505"/>
    </row>
    <row r="53">
      <c r="A53" s="507" t="s">
        <v>533</v>
      </c>
      <c r="B53" s="508" t="s">
        <v>534</v>
      </c>
      <c r="C53" s="510">
        <v>136.0</v>
      </c>
      <c r="D53" s="510">
        <v>138.0</v>
      </c>
      <c r="E53" s="505"/>
    </row>
    <row r="54" ht="14.0">
      <c r="A54" s="514" t="s">
        <v>535</v>
      </c>
      <c r="B54" s="515">
        <v>37601.0</v>
      </c>
      <c r="C54" s="516">
        <v>1515.0</v>
      </c>
      <c r="D54" s="516">
        <v>1518.0</v>
      </c>
      <c r="E54" s="517" t="s">
        <v>7782</v>
      </c>
    </row>
    <row r="55" ht="14.0">
      <c r="A55" s="514" t="s">
        <v>536</v>
      </c>
      <c r="B55" s="515">
        <v>37602.0</v>
      </c>
      <c r="C55" s="516">
        <v>1491.0</v>
      </c>
      <c r="D55" s="516">
        <v>1494.0</v>
      </c>
      <c r="E55" s="517" t="s">
        <v>7782</v>
      </c>
    </row>
    <row r="56">
      <c r="A56" s="507" t="s">
        <v>537</v>
      </c>
      <c r="B56" s="508">
        <v>37603.0</v>
      </c>
      <c r="C56" s="510">
        <v>792.0</v>
      </c>
      <c r="D56" s="510">
        <v>792.0</v>
      </c>
      <c r="E56" s="505"/>
    </row>
    <row r="57">
      <c r="A57" s="507" t="s">
        <v>538</v>
      </c>
      <c r="B57" s="508">
        <v>37604.0</v>
      </c>
      <c r="C57" s="510">
        <v>825.0</v>
      </c>
      <c r="D57" s="510">
        <v>828.0</v>
      </c>
      <c r="E57" s="505"/>
    </row>
    <row r="58">
      <c r="A58" s="507" t="s">
        <v>540</v>
      </c>
      <c r="B58" s="508" t="s">
        <v>541</v>
      </c>
      <c r="C58" s="510">
        <v>132.0</v>
      </c>
      <c r="D58" s="510">
        <v>132.0</v>
      </c>
      <c r="E58" s="505"/>
    </row>
    <row r="59" ht="17.0">
      <c r="A59" s="518" t="s">
        <v>7783</v>
      </c>
      <c r="B59" s="519"/>
      <c r="C59" s="520"/>
      <c r="D59" s="520">
        <v>13860.0</v>
      </c>
      <c r="E59" s="521"/>
    </row>
    <row r="60">
      <c r="D60">
        <f>D59-D54-D55-D21</f>
        <v>10842.0</v>
      </c>
    </row>
  </sheetData>
  <extLst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AK25"/>
  <sheetViews>
    <sheetView workbookViewId="0"/>
  </sheetViews>
  <sheetFormatPr defaultRowHeight="14.0" customHeight="1"/>
  <cols>
    <col min="1" max="1" style="36" width="11.26"/>
    <col min="2" max="2" width="7.55"/>
    <col min="3" max="3" width="8.08"/>
    <col min="4" max="4" width="7.94"/>
    <col min="5" max="6" width="7.68"/>
    <col min="7" max="7" width="8.08"/>
    <col min="8" max="8" width="7.68"/>
    <col min="9" max="9" width="8.34"/>
    <col min="10" max="10" width="7.68"/>
    <col min="11" max="11" width="7.15"/>
    <col min="12" max="12" width="8.08"/>
    <col min="13" max="13" width="7.81"/>
    <col min="14" max="14" width="7.55"/>
    <col min="15" max="15" width="8.08"/>
    <col min="16" max="16" width="7.94"/>
    <col min="17" max="18" width="7.68"/>
    <col min="19" max="19" width="8.08"/>
    <col min="20" max="20" width="7.68"/>
    <col min="21" max="21" width="8.34"/>
    <col min="22" max="22" width="7.68"/>
    <col min="23" max="23" width="7.15"/>
    <col min="24" max="24" width="8.08"/>
    <col min="25" max="25" width="7.81"/>
    <col min="26" max="26" width="7.55"/>
    <col min="27" max="27" width="8.08"/>
    <col min="28" max="28" width="7.94"/>
    <col min="29" max="30" width="7.68"/>
    <col min="31" max="31" width="8.08"/>
    <col min="32" max="32" width="7.68"/>
    <col min="33" max="33" width="8.34"/>
    <col min="34" max="34" width="7.68"/>
    <col min="35" max="35" width="7.15"/>
    <col min="36" max="36" width="8.08"/>
    <col min="37" max="37" width="7.81"/>
    <col min="38" max="2048" width="13.24"/>
  </cols>
  <sheetData>
    <row r="1" ht="14.0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104"/>
      <c r="Z1" s="104">
        <v>0.1</v>
      </c>
      <c r="AA1" s="104">
        <v>0.08</v>
      </c>
      <c r="AB1" s="104">
        <v>0.085</v>
      </c>
      <c r="AC1" s="104">
        <v>0.08</v>
      </c>
      <c r="AD1" s="104">
        <v>0.07</v>
      </c>
      <c r="AE1" s="104">
        <v>0.075</v>
      </c>
      <c r="AF1" s="104">
        <v>0.09</v>
      </c>
      <c r="AG1" s="104">
        <v>0.11</v>
      </c>
      <c r="AH1" s="104">
        <v>0.09</v>
      </c>
      <c r="AI1" s="104">
        <v>0.065</v>
      </c>
      <c r="AJ1" s="104">
        <v>0.055</v>
      </c>
      <c r="AK1" s="104">
        <v>0.1</v>
      </c>
    </row>
    <row r="2" ht="14.0">
      <c r="A2" s="227"/>
      <c r="B2" s="74">
        <v>45952</v>
      </c>
      <c r="C2" s="74">
        <v>45983</v>
      </c>
      <c r="D2" s="74">
        <v>46013</v>
      </c>
      <c r="E2" s="74">
        <v>45680</v>
      </c>
      <c r="F2" s="74">
        <v>45711</v>
      </c>
      <c r="G2" s="74">
        <v>45739</v>
      </c>
      <c r="H2" s="74">
        <v>45770</v>
      </c>
      <c r="I2" s="74">
        <v>45800</v>
      </c>
      <c r="J2" s="74">
        <v>45831</v>
      </c>
      <c r="K2" s="74">
        <v>45861</v>
      </c>
      <c r="L2" s="74">
        <v>45892</v>
      </c>
      <c r="M2" s="74">
        <v>45923</v>
      </c>
      <c r="Y2" s="36"/>
      <c r="AL2" s="36"/>
    </row>
    <row r="3" ht="14.0">
      <c r="A3" s="64"/>
      <c r="B3" s="64">
        <v>1290.0</v>
      </c>
      <c r="C3" s="64">
        <v>1184.0</v>
      </c>
      <c r="D3" s="64">
        <v>889.0</v>
      </c>
      <c r="E3" s="64">
        <v>522.0</v>
      </c>
      <c r="F3" s="64">
        <v>1141.0</v>
      </c>
      <c r="G3" s="64">
        <v>935.0</v>
      </c>
      <c r="H3" s="64">
        <v>1743.0</v>
      </c>
      <c r="I3" s="64">
        <v>1199.0</v>
      </c>
      <c r="J3" s="64">
        <v>1167.0</v>
      </c>
      <c r="K3" s="64">
        <v>2214.0</v>
      </c>
      <c r="L3" s="64">
        <v>1711.0</v>
      </c>
      <c r="M3" s="64">
        <v>1251.0</v>
      </c>
      <c r="N3" s="123">
        <f t="shared" ref="N3:N4" si="0">SUM(B3:M3)</f>
        <v>15246.0</v>
      </c>
      <c r="Y3" s="36"/>
      <c r="AL3" s="36"/>
    </row>
    <row r="4">
      <c r="A4" s="522"/>
      <c r="B4" s="522">
        <f>B3/$N$3</f>
        <v>0.08461235733963</v>
      </c>
      <c r="C4" s="522">
        <f>C3/$N$3</f>
        <v>0.0776597140233503</v>
      </c>
      <c r="D4" s="522">
        <f>D3/$N$3</f>
        <v>0.0583103764921947</v>
      </c>
      <c r="E4" s="522">
        <f>E3/$N$3</f>
        <v>0.0342384887839433</v>
      </c>
      <c r="F4" s="522">
        <f>F3/$N$3</f>
        <v>0.0748393021120293</v>
      </c>
      <c r="G4" s="522">
        <f>G3/$N$3</f>
        <v>0.0613275613275613</v>
      </c>
      <c r="H4" s="522">
        <f>H3/$N$3</f>
        <v>0.114325068870523</v>
      </c>
      <c r="I4" s="522">
        <f>I3/$N$3</f>
        <v>0.0786435786435786</v>
      </c>
      <c r="J4" s="522">
        <f>J3/$N$3</f>
        <v>0.0765446674537583</v>
      </c>
      <c r="K4" s="522">
        <f>K3/$N$3</f>
        <v>0.14521841794569</v>
      </c>
      <c r="L4" s="522">
        <f>L3/$N$3</f>
        <v>0.112226157680703</v>
      </c>
      <c r="M4" s="522">
        <f>M3/$N$3</f>
        <v>0.0820543093270366</v>
      </c>
      <c r="N4" s="123">
        <f t="shared" si="0"/>
        <v>0.999999999999998</v>
      </c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</row>
    <row r="6" ht="14.0">
      <c r="A6" s="227"/>
      <c r="B6" s="75">
        <v>45953</v>
      </c>
      <c r="C6" s="75">
        <v>45984</v>
      </c>
      <c r="D6" s="75">
        <v>46014</v>
      </c>
      <c r="E6" s="75">
        <v>45681</v>
      </c>
      <c r="F6" s="75">
        <v>45712</v>
      </c>
      <c r="G6" s="75">
        <v>45740</v>
      </c>
      <c r="H6" s="75">
        <v>45771</v>
      </c>
      <c r="I6" s="75">
        <v>45801</v>
      </c>
      <c r="J6" s="75">
        <v>45832</v>
      </c>
      <c r="K6" s="75">
        <v>45862</v>
      </c>
      <c r="L6" s="75">
        <v>45893</v>
      </c>
      <c r="M6" s="75">
        <v>45924</v>
      </c>
    </row>
    <row r="7" ht="14.0">
      <c r="A7" s="64"/>
      <c r="B7" s="64">
        <v>1700.0</v>
      </c>
      <c r="C7" s="64">
        <v>1144.0</v>
      </c>
      <c r="D7" s="64">
        <v>1154.0</v>
      </c>
      <c r="E7" s="64">
        <v>965.0</v>
      </c>
      <c r="F7" s="64">
        <v>1658.0</v>
      </c>
      <c r="G7" s="64">
        <v>2781.0</v>
      </c>
      <c r="H7" s="64">
        <v>1258.0</v>
      </c>
      <c r="I7" s="64">
        <v>923.0</v>
      </c>
      <c r="J7" s="64">
        <v>628.0</v>
      </c>
      <c r="K7" s="64">
        <v>940.0</v>
      </c>
      <c r="L7" s="64">
        <v>1558.0</v>
      </c>
      <c r="M7" s="64">
        <v>1401.0</v>
      </c>
      <c r="N7" s="123">
        <f t="shared" ref="N7:N8" si="13">SUM(B7:M7)</f>
        <v>16110.0</v>
      </c>
      <c r="O7" s="523">
        <f>N7/N3</f>
        <v>1.05667060212514</v>
      </c>
    </row>
    <row r="8">
      <c r="A8" s="522"/>
      <c r="B8" s="522">
        <f>B7/$N$7</f>
        <v>0.10552451893234</v>
      </c>
      <c r="C8" s="522">
        <f>C7/$N$7</f>
        <v>0.0710117939168218</v>
      </c>
      <c r="D8" s="522">
        <f>D7/$N$7</f>
        <v>0.0716325263811297</v>
      </c>
      <c r="E8" s="522">
        <f>E7/$N$7</f>
        <v>0.0599006828057107</v>
      </c>
      <c r="F8" s="522">
        <f>F7/$N$7</f>
        <v>0.102917442582247</v>
      </c>
      <c r="G8" s="522">
        <f>G7/$N$7</f>
        <v>0.172625698324022</v>
      </c>
      <c r="H8" s="522">
        <f>H7/$N$7</f>
        <v>0.0780881440099317</v>
      </c>
      <c r="I8" s="522">
        <f>I7/$N$7</f>
        <v>0.0572936064556176</v>
      </c>
      <c r="J8" s="522">
        <f>J7/$N$7</f>
        <v>0.038981998758535</v>
      </c>
      <c r="K8" s="522">
        <f>K7/$N$7</f>
        <v>0.058348851644941</v>
      </c>
      <c r="L8" s="522">
        <f>L7/$N$7</f>
        <v>0.0967101179391682</v>
      </c>
      <c r="M8" s="522">
        <f>M7/$N$7</f>
        <v>0.0869646182495344</v>
      </c>
      <c r="N8" s="123">
        <f t="shared" si="13"/>
        <v>0.999999999999999</v>
      </c>
    </row>
    <row r="10" ht="14.0">
      <c r="A10" s="227"/>
      <c r="B10" s="76">
        <v>45954</v>
      </c>
      <c r="C10" s="76">
        <v>45985</v>
      </c>
      <c r="D10" s="76">
        <v>46015</v>
      </c>
      <c r="E10" s="76">
        <v>45682</v>
      </c>
      <c r="F10" s="76">
        <v>45713</v>
      </c>
      <c r="G10" s="76">
        <v>45741</v>
      </c>
      <c r="H10" s="76">
        <v>45772</v>
      </c>
      <c r="I10" s="76">
        <v>45802</v>
      </c>
      <c r="J10" s="76">
        <v>45833</v>
      </c>
      <c r="K10" s="76">
        <v>45863</v>
      </c>
      <c r="L10" s="76">
        <v>45894</v>
      </c>
      <c r="M10" s="76">
        <v>45925</v>
      </c>
    </row>
    <row r="11" ht="14.0">
      <c r="A11" s="64"/>
      <c r="B11" s="64">
        <v>1113.0</v>
      </c>
      <c r="C11" s="64">
        <v>1428.0</v>
      </c>
      <c r="D11" s="64">
        <v>1093.0</v>
      </c>
      <c r="E11" s="64">
        <v>1488.0</v>
      </c>
      <c r="F11" s="64">
        <v>1004.0</v>
      </c>
      <c r="G11" s="64">
        <v>865.0</v>
      </c>
      <c r="H11" s="64">
        <v>1429.0</v>
      </c>
      <c r="I11" s="64">
        <v>948.0</v>
      </c>
      <c r="J11" s="64">
        <v>624.0</v>
      </c>
      <c r="K11" s="64">
        <v>933.0</v>
      </c>
      <c r="L11" s="64">
        <v>1978.0</v>
      </c>
      <c r="M11" s="64">
        <v>1207.0</v>
      </c>
      <c r="N11" s="123">
        <f t="shared" ref="N11:N12" si="27">SUM(B11:M11)</f>
        <v>14110.0</v>
      </c>
      <c r="O11" s="523">
        <f>N11/N7</f>
        <v>0.875853507138423</v>
      </c>
    </row>
    <row r="12">
      <c r="A12" s="522"/>
      <c r="B12" s="522">
        <f>B11/$N$11</f>
        <v>0.078880226789511</v>
      </c>
      <c r="C12" s="522">
        <f>C11/$N$11</f>
        <v>0.101204819277108</v>
      </c>
      <c r="D12" s="522">
        <f>D11/$N$11</f>
        <v>0.077462792345854</v>
      </c>
      <c r="E12" s="522">
        <f>E11/$N$11</f>
        <v>0.105457122608079</v>
      </c>
      <c r="F12" s="522">
        <f>F11/$N$11</f>
        <v>0.0711552090715804</v>
      </c>
      <c r="G12" s="522">
        <f>G11/$N$11</f>
        <v>0.0613040396881644</v>
      </c>
      <c r="H12" s="522">
        <f>H11/$N$11</f>
        <v>0.101275690999291</v>
      </c>
      <c r="I12" s="522">
        <f>I11/$N$11</f>
        <v>0.0671863926293409</v>
      </c>
      <c r="J12" s="522">
        <f>J11/$N$11</f>
        <v>0.0442239546420978</v>
      </c>
      <c r="K12" s="522">
        <f>K11/$N$11</f>
        <v>0.0661233167965981</v>
      </c>
      <c r="L12" s="522">
        <f>L11/$N$11</f>
        <v>0.140184266477675</v>
      </c>
      <c r="M12" s="522">
        <f>M11/$N$11</f>
        <v>0.0855421686746988</v>
      </c>
      <c r="N12" s="123">
        <f t="shared" si="27"/>
        <v>0.999999999999998</v>
      </c>
    </row>
    <row r="14">
      <c r="B14" s="36"/>
    </row>
    <row r="15">
      <c r="A15" s="123"/>
      <c r="C15" s="36"/>
    </row>
    <row r="16">
      <c r="A16" s="123" t="s">
        <v>7784</v>
      </c>
      <c r="B16" s="522">
        <v>0.08461235733963</v>
      </c>
      <c r="C16" s="522">
        <v>0.0776597140233503</v>
      </c>
      <c r="D16" s="522">
        <v>0.0583103764921947</v>
      </c>
      <c r="E16" s="522">
        <v>0.0342384887839433</v>
      </c>
      <c r="F16" s="522">
        <v>0.0748393021120293</v>
      </c>
      <c r="G16" s="522">
        <v>0.0613275613275613</v>
      </c>
      <c r="H16" s="522">
        <v>0.114325068870523</v>
      </c>
      <c r="I16" s="522">
        <v>0.0786435786435786</v>
      </c>
      <c r="J16" s="522">
        <v>0.0765446674537583</v>
      </c>
      <c r="K16" s="522">
        <v>0.14521841794569</v>
      </c>
      <c r="L16" s="522">
        <v>0.112226157680703</v>
      </c>
      <c r="M16" s="522">
        <v>0.0820543093270366</v>
      </c>
    </row>
    <row r="17">
      <c r="A17" s="123"/>
      <c r="C17" s="36"/>
    </row>
    <row r="18">
      <c r="A18" s="123" t="s">
        <v>7785</v>
      </c>
      <c r="B18" s="522">
        <v>0.10552451893234</v>
      </c>
      <c r="C18" s="522">
        <v>0.0710117939168218</v>
      </c>
      <c r="D18" s="522">
        <v>0.0716325263811297</v>
      </c>
      <c r="E18" s="522">
        <v>0.0599006828057107</v>
      </c>
      <c r="F18" s="522">
        <v>0.102917442582247</v>
      </c>
      <c r="G18" s="522">
        <v>0.172625698324022</v>
      </c>
      <c r="H18" s="522">
        <v>0.0780881440099317</v>
      </c>
      <c r="I18" s="522">
        <v>0.0572936064556176</v>
      </c>
      <c r="J18" s="522">
        <v>0.038981998758535</v>
      </c>
      <c r="K18" s="522">
        <v>0.058348851644941</v>
      </c>
      <c r="L18" s="522">
        <v>0.0967101179391682</v>
      </c>
      <c r="M18" s="522">
        <v>0.0869646182495344</v>
      </c>
    </row>
    <row r="19">
      <c r="A19" s="123"/>
      <c r="C19" s="36"/>
    </row>
    <row r="20">
      <c r="A20" s="123" t="s">
        <v>7786</v>
      </c>
      <c r="B20" s="522">
        <v>0.078880226789511</v>
      </c>
      <c r="C20" s="522">
        <v>0.101204819277108</v>
      </c>
      <c r="D20" s="522">
        <v>0.077462792345854</v>
      </c>
      <c r="E20" s="522">
        <v>0.105457122608079</v>
      </c>
      <c r="F20" s="522">
        <v>0.0711552090715804</v>
      </c>
      <c r="G20" s="522">
        <v>0.0613040396881644</v>
      </c>
      <c r="H20" s="522">
        <v>0.101275690999291</v>
      </c>
      <c r="I20" s="522">
        <v>0.0671863926293409</v>
      </c>
      <c r="J20" s="522">
        <v>0.0442239546420978</v>
      </c>
      <c r="K20" s="522">
        <v>0.0661233167965981</v>
      </c>
      <c r="L20" s="522">
        <v>0.140184266477675</v>
      </c>
      <c r="M20" s="522">
        <v>0.0855421686746988</v>
      </c>
    </row>
    <row r="21">
      <c r="N21" s="36"/>
    </row>
    <row r="22">
      <c r="A22" s="123" t="s">
        <v>7787</v>
      </c>
      <c r="N22" s="36"/>
    </row>
    <row r="23">
      <c r="A23" s="123" t="s">
        <v>7788</v>
      </c>
      <c r="B23" s="524">
        <f>AVERAGE(B16,B18,B20)</f>
        <v>0.0896723676871603</v>
      </c>
      <c r="C23" s="524">
        <f>AVERAGE(C16,C18,C20)</f>
        <v>0.083292109072427</v>
      </c>
      <c r="D23" s="524">
        <f>AVERAGE(D16,D18,D20)</f>
        <v>0.0691352317397261</v>
      </c>
      <c r="E23" s="524">
        <f>AVERAGE(E16,E18,E20)</f>
        <v>0.066532098065911</v>
      </c>
      <c r="F23" s="524">
        <f>AVERAGE(F16,F18,F20)</f>
        <v>0.082970651255286</v>
      </c>
      <c r="G23" s="524">
        <f>AVERAGE(G16,G18,G20)</f>
        <v>0.0984190997799159</v>
      </c>
      <c r="H23" s="524">
        <f>AVERAGE(H16,H18,H20)</f>
        <v>0.0978963012932486</v>
      </c>
      <c r="I23" s="524">
        <f>AVERAGE(I16,I18,I20)</f>
        <v>0.0677078592428457</v>
      </c>
      <c r="J23" s="524">
        <f>AVERAGE(J16,J18,J20)</f>
        <v>0.0532502069514637</v>
      </c>
      <c r="K23" s="524">
        <f>AVERAGE(K16,K18,K20)</f>
        <v>0.0898968621290763</v>
      </c>
      <c r="L23" s="524">
        <f>AVERAGE(L16,L18,L20)</f>
        <v>0.116373514032515</v>
      </c>
      <c r="M23" s="524">
        <f>AVERAGE(M16,M18,M20)</f>
        <v>0.0848536987504232</v>
      </c>
      <c r="N23">
        <f t="shared" ref="N23:N25" si="53">SUM(B23:M23)</f>
        <v>0.999999999999999</v>
      </c>
      <c r="O23" s="36"/>
    </row>
    <row r="24" ht="27.0">
      <c r="A24" s="525" t="s">
        <v>7789</v>
      </c>
      <c r="B24" s="524">
        <f>AVERAGE(B16,B18)</f>
        <v>0.095068438135985</v>
      </c>
      <c r="C24" s="524">
        <f>AVERAGE(C16,C18)</f>
        <v>0.074335753970086</v>
      </c>
      <c r="D24" s="524">
        <f>AVERAGE(D16,D18)</f>
        <v>0.0649714514366621</v>
      </c>
      <c r="E24" s="524">
        <f>AVERAGE(E16,E18)</f>
        <v>0.047069585794827</v>
      </c>
      <c r="F24" s="524">
        <f>AVERAGE(F16,F18)</f>
        <v>0.0888783723471381</v>
      </c>
      <c r="G24" s="524">
        <f>AVERAGE(G16,G18)</f>
        <v>0.116976629825791</v>
      </c>
      <c r="H24" s="524">
        <f>AVERAGE(H16,H18)</f>
        <v>0.0962066064402273</v>
      </c>
      <c r="I24" s="524">
        <f>AVERAGE(I16,I18)</f>
        <v>0.0679685925495981</v>
      </c>
      <c r="J24" s="524">
        <f>AVERAGE(J16,J18)</f>
        <v>0.057763333106147</v>
      </c>
      <c r="K24" s="524">
        <f>AVERAGE(K16,K18)</f>
        <v>0.101783634795315</v>
      </c>
      <c r="L24" s="524">
        <f>AVERAGE(L16,L18)</f>
        <v>0.104468137809936</v>
      </c>
      <c r="M24" s="524">
        <f>AVERAGE(M16,M18)</f>
        <v>0.0845094637882855</v>
      </c>
      <c r="N24" s="36">
        <f t="shared" si="53"/>
        <v>0.999999999999998</v>
      </c>
      <c r="O24" s="36"/>
    </row>
    <row r="25" ht="27.0">
      <c r="A25" s="525" t="s">
        <v>7790</v>
      </c>
      <c r="B25" s="524">
        <f>AVERAGE(B18,B20)</f>
        <v>0.0922023728609255</v>
      </c>
      <c r="C25" s="524">
        <f>AVERAGE(C18,C20)</f>
        <v>0.0861083065969649</v>
      </c>
      <c r="D25" s="524">
        <f>AVERAGE(D18,D20)</f>
        <v>0.074547659363491</v>
      </c>
      <c r="E25" s="524">
        <f>AVERAGE(E18,E20)</f>
        <v>0.0826789027068949</v>
      </c>
      <c r="F25" s="524">
        <f>AVERAGE(F18,F20)</f>
        <v>0.0870363258269137</v>
      </c>
      <c r="G25" s="524">
        <f>AVERAGE(G18,G20)</f>
        <v>0.116964869006093</v>
      </c>
      <c r="H25" s="524">
        <f>AVERAGE(H18,H20)</f>
        <v>0.0896819175046113</v>
      </c>
      <c r="I25" s="524">
        <f>AVERAGE(I18,I20)</f>
        <v>0.0622399995424792</v>
      </c>
      <c r="J25" s="524">
        <f>AVERAGE(J18,J20)</f>
        <v>0.0416029767003164</v>
      </c>
      <c r="K25" s="524">
        <f>AVERAGE(K18,K20)</f>
        <v>0.0622360842207695</v>
      </c>
      <c r="L25" s="524">
        <f>AVERAGE(L18,L20)</f>
        <v>0.118447192208421</v>
      </c>
      <c r="M25" s="524">
        <f>AVERAGE(M18,M20)</f>
        <v>0.0862533934621166</v>
      </c>
      <c r="N25" s="36">
        <f t="shared" si="53"/>
        <v>0.999999999999997</v>
      </c>
      <c r="O25" s="36"/>
    </row>
    <row r="26">
      <c r="N26" s="36"/>
    </row>
  </sheetData>
  <conditionalFormatting sqref="A11:M11 A7:M7 A3:M3">
    <cfRule dxfId="0" operator="lessThanOrEqual" type="cellIs" priority="1">
      <formula>0</formula>
    </cfRule>
  </conditionalFormatting>
  <extLst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3340"/>
  <sheetViews>
    <sheetView workbookViewId="0">
      <pane ySplit="2" topLeftCell="A3" state="frozen"/>
    </sheetView>
  </sheetViews>
  <sheetFormatPr defaultRowHeight="14.0" customHeight="1"/>
  <cols>
    <col min="1" max="1" width="66.64"/>
    <col min="2" max="2" style="526" width="15.5"/>
    <col min="3" max="3" style="527" width="14.17"/>
    <col min="4" max="4" style="527" width="18.28"/>
    <col min="5" max="5" style="528" width="12.85"/>
    <col min="6" max="6" width="15.36"/>
    <col min="7" max="7" style="36" width="7.41"/>
    <col min="8" max="8" style="125" width="26.49"/>
    <col min="9" max="9" width="21.19"/>
    <col min="10" max="2048" width="13.24"/>
  </cols>
  <sheetData>
    <row r="1" customFormat="1" s="123">
      <c r="A1" s="127" t="s">
        <v>7791</v>
      </c>
      <c r="B1" s="529"/>
      <c r="C1" s="170"/>
      <c r="D1" s="170"/>
      <c r="E1" s="530"/>
      <c r="G1" s="127"/>
      <c r="H1" s="127"/>
      <c r="BZK1" s="36"/>
      <c r="BZL1" s="36"/>
      <c r="BZM1" s="36"/>
      <c r="BZN1" s="36"/>
      <c r="BZO1" s="36"/>
      <c r="BZP1" s="36"/>
      <c r="BZQ1" s="36"/>
      <c r="BZR1" s="36"/>
      <c r="BZS1" s="36"/>
      <c r="BZT1" s="36"/>
    </row>
    <row r="2">
      <c r="A2" s="127" t="s">
        <v>7653</v>
      </c>
      <c r="B2" s="526" t="s">
        <v>15</v>
      </c>
      <c r="C2" s="170" t="s">
        <v>7792</v>
      </c>
      <c r="D2" s="170" t="s">
        <v>7793</v>
      </c>
      <c r="E2" s="530" t="s">
        <v>528</v>
      </c>
      <c r="F2" s="123" t="s">
        <v>7794</v>
      </c>
      <c r="G2" s="127" t="s">
        <v>7795</v>
      </c>
      <c r="H2" s="127" t="s">
        <v>7796</v>
      </c>
      <c r="I2" s="123" t="s">
        <v>7797</v>
      </c>
    </row>
    <row r="3">
      <c r="A3" s="125" t="s">
        <v>892</v>
      </c>
      <c r="B3" s="526">
        <v>91716.0</v>
      </c>
      <c r="C3" s="527">
        <v>0.0</v>
      </c>
      <c r="D3" s="527">
        <v>0.0</v>
      </c>
      <c r="F3" s="36" t="s">
        <v>7798</v>
      </c>
      <c r="G3" s="125" t="s">
        <v>893</v>
      </c>
      <c r="H3" s="125" t="s">
        <v>7799</v>
      </c>
      <c r="I3" t="s">
        <v>163</v>
      </c>
    </row>
    <row r="4">
      <c r="A4" s="125" t="s">
        <v>895</v>
      </c>
      <c r="B4" s="526">
        <v>91751.0</v>
      </c>
      <c r="C4" s="527">
        <v>0.0</v>
      </c>
      <c r="D4" s="527">
        <v>0.0</v>
      </c>
      <c r="F4" s="36" t="s">
        <v>7798</v>
      </c>
      <c r="G4" s="125" t="s">
        <v>893</v>
      </c>
      <c r="H4" s="125" t="s">
        <v>7799</v>
      </c>
      <c r="I4" t="s">
        <v>163</v>
      </c>
    </row>
    <row r="5">
      <c r="A5" s="125" t="s">
        <v>896</v>
      </c>
      <c r="B5" s="526">
        <v>91726.0</v>
      </c>
      <c r="C5" s="527">
        <v>0.0</v>
      </c>
      <c r="D5" s="527">
        <v>0.0</v>
      </c>
      <c r="F5" s="36" t="s">
        <v>7798</v>
      </c>
      <c r="G5" s="125" t="s">
        <v>893</v>
      </c>
      <c r="H5" s="125" t="s">
        <v>7799</v>
      </c>
      <c r="I5" t="s">
        <v>163</v>
      </c>
    </row>
    <row r="6">
      <c r="A6" s="125" t="s">
        <v>897</v>
      </c>
      <c r="B6" s="526">
        <v>91736.0</v>
      </c>
      <c r="C6" s="527">
        <v>0.0</v>
      </c>
      <c r="D6" s="527">
        <v>0.0</v>
      </c>
      <c r="F6" s="36" t="s">
        <v>7798</v>
      </c>
      <c r="G6" s="125" t="s">
        <v>893</v>
      </c>
      <c r="H6" s="125" t="s">
        <v>7799</v>
      </c>
      <c r="I6" t="s">
        <v>163</v>
      </c>
    </row>
    <row r="7">
      <c r="A7" s="125" t="s">
        <v>898</v>
      </c>
      <c r="B7" s="526">
        <v>91746.0</v>
      </c>
      <c r="C7" s="527">
        <v>0.0</v>
      </c>
      <c r="D7" s="527">
        <v>0.0</v>
      </c>
      <c r="F7" s="36" t="s">
        <v>7798</v>
      </c>
      <c r="G7" s="125" t="s">
        <v>893</v>
      </c>
      <c r="H7" s="125" t="s">
        <v>7799</v>
      </c>
      <c r="I7" t="s">
        <v>163</v>
      </c>
    </row>
    <row r="8">
      <c r="A8" s="125" t="s">
        <v>899</v>
      </c>
      <c r="B8" s="526">
        <v>91741.0</v>
      </c>
      <c r="C8" s="527">
        <v>0.0</v>
      </c>
      <c r="D8" s="527">
        <v>0.0</v>
      </c>
      <c r="F8" s="36" t="s">
        <v>7798</v>
      </c>
      <c r="G8" s="125" t="s">
        <v>893</v>
      </c>
      <c r="H8" s="125" t="s">
        <v>7799</v>
      </c>
      <c r="I8" t="s">
        <v>163</v>
      </c>
    </row>
    <row r="9">
      <c r="A9" s="125" t="s">
        <v>900</v>
      </c>
      <c r="B9" s="526">
        <v>91717.0</v>
      </c>
      <c r="C9" s="527">
        <v>0.0</v>
      </c>
      <c r="D9" s="527">
        <v>0.0</v>
      </c>
      <c r="F9" s="36" t="s">
        <v>7798</v>
      </c>
      <c r="G9" s="125" t="s">
        <v>893</v>
      </c>
      <c r="H9" s="125" t="s">
        <v>7799</v>
      </c>
      <c r="I9" t="s">
        <v>163</v>
      </c>
    </row>
    <row r="10">
      <c r="A10" s="125" t="s">
        <v>901</v>
      </c>
      <c r="B10" s="526">
        <v>91727.0</v>
      </c>
      <c r="C10" s="527">
        <v>0.0</v>
      </c>
      <c r="D10" s="527">
        <v>0.0</v>
      </c>
      <c r="F10" s="36" t="s">
        <v>7798</v>
      </c>
      <c r="G10" s="125" t="s">
        <v>893</v>
      </c>
      <c r="H10" s="125" t="s">
        <v>7799</v>
      </c>
      <c r="I10" t="s">
        <v>163</v>
      </c>
    </row>
    <row r="11">
      <c r="A11" s="125" t="s">
        <v>902</v>
      </c>
      <c r="B11" s="526">
        <v>91737.0</v>
      </c>
      <c r="C11" s="527">
        <v>0.0</v>
      </c>
      <c r="D11" s="527">
        <v>0.0</v>
      </c>
      <c r="F11" s="36" t="s">
        <v>7798</v>
      </c>
      <c r="G11" s="125" t="s">
        <v>893</v>
      </c>
      <c r="H11" s="125" t="s">
        <v>7799</v>
      </c>
      <c r="I11" t="s">
        <v>163</v>
      </c>
    </row>
    <row r="12">
      <c r="A12" s="125" t="s">
        <v>903</v>
      </c>
      <c r="B12" s="526">
        <v>91747.0</v>
      </c>
      <c r="C12" s="527">
        <v>0.0</v>
      </c>
      <c r="D12" s="527">
        <v>0.0</v>
      </c>
      <c r="F12" s="36" t="s">
        <v>7798</v>
      </c>
      <c r="G12" s="125" t="s">
        <v>893</v>
      </c>
      <c r="H12" s="125" t="s">
        <v>7799</v>
      </c>
      <c r="I12" t="s">
        <v>163</v>
      </c>
    </row>
    <row r="13">
      <c r="A13" s="125" t="s">
        <v>904</v>
      </c>
      <c r="B13" s="526">
        <v>91742.0</v>
      </c>
      <c r="C13" s="527">
        <v>0.0</v>
      </c>
      <c r="D13" s="527">
        <v>0.0</v>
      </c>
      <c r="F13" s="36" t="s">
        <v>7798</v>
      </c>
      <c r="G13" s="125" t="s">
        <v>893</v>
      </c>
      <c r="H13" s="125" t="s">
        <v>7799</v>
      </c>
      <c r="I13" t="s">
        <v>163</v>
      </c>
    </row>
    <row r="14">
      <c r="A14" s="125" t="s">
        <v>906</v>
      </c>
      <c r="B14" s="526" t="s">
        <v>905</v>
      </c>
      <c r="C14" s="527">
        <v>0.0</v>
      </c>
      <c r="D14" s="527">
        <v>0.0</v>
      </c>
      <c r="F14" s="36" t="s">
        <v>7798</v>
      </c>
      <c r="G14" s="125" t="s">
        <v>893</v>
      </c>
      <c r="H14" s="125" t="s">
        <v>7799</v>
      </c>
      <c r="I14" t="s">
        <v>7800</v>
      </c>
    </row>
    <row r="15">
      <c r="A15" s="125" t="s">
        <v>908</v>
      </c>
      <c r="B15" s="526" t="s">
        <v>907</v>
      </c>
      <c r="C15" s="527">
        <v>0.0</v>
      </c>
      <c r="D15" s="527">
        <v>0.0</v>
      </c>
      <c r="F15" s="36" t="s">
        <v>7798</v>
      </c>
      <c r="G15" s="125" t="s">
        <v>893</v>
      </c>
      <c r="H15" s="125" t="s">
        <v>7799</v>
      </c>
      <c r="I15" t="s">
        <v>7800</v>
      </c>
    </row>
    <row r="16">
      <c r="A16" s="125" t="s">
        <v>910</v>
      </c>
      <c r="B16" s="526" t="s">
        <v>909</v>
      </c>
      <c r="C16" s="527">
        <v>0.0</v>
      </c>
      <c r="D16" s="527">
        <v>0.0</v>
      </c>
      <c r="F16" s="36" t="s">
        <v>7798</v>
      </c>
      <c r="G16" s="125" t="s">
        <v>893</v>
      </c>
      <c r="H16" s="125" t="s">
        <v>7799</v>
      </c>
      <c r="I16" t="s">
        <v>7800</v>
      </c>
    </row>
    <row r="17">
      <c r="A17" s="125" t="s">
        <v>912</v>
      </c>
      <c r="B17" s="526" t="s">
        <v>911</v>
      </c>
      <c r="C17" s="527">
        <v>194.0</v>
      </c>
      <c r="D17" s="527">
        <v>706.55</v>
      </c>
      <c r="E17" s="528">
        <v>3.642</v>
      </c>
      <c r="F17" s="36" t="s">
        <v>7798</v>
      </c>
      <c r="G17" s="125" t="s">
        <v>913</v>
      </c>
      <c r="H17" s="125" t="s">
        <v>7801</v>
      </c>
      <c r="I17" t="s">
        <v>7802</v>
      </c>
    </row>
    <row r="18">
      <c r="A18" s="125" t="s">
        <v>915</v>
      </c>
      <c r="B18" s="526" t="s">
        <v>914</v>
      </c>
      <c r="C18" s="527">
        <v>380.0</v>
      </c>
      <c r="D18" s="527">
        <v>1386.33</v>
      </c>
      <c r="E18" s="528">
        <v>3.6482</v>
      </c>
      <c r="F18" s="36" t="s">
        <v>7798</v>
      </c>
      <c r="G18" s="125" t="s">
        <v>913</v>
      </c>
      <c r="H18" s="125" t="s">
        <v>7801</v>
      </c>
      <c r="I18" t="s">
        <v>7802</v>
      </c>
    </row>
    <row r="19">
      <c r="A19" s="125" t="s">
        <v>917</v>
      </c>
      <c r="B19" s="526" t="s">
        <v>916</v>
      </c>
      <c r="C19" s="527">
        <v>354.0</v>
      </c>
      <c r="D19" s="527">
        <v>1290.6</v>
      </c>
      <c r="E19" s="528">
        <v>3.6458</v>
      </c>
      <c r="F19" s="36" t="s">
        <v>7798</v>
      </c>
      <c r="G19" s="125" t="s">
        <v>913</v>
      </c>
      <c r="H19" s="125" t="s">
        <v>7801</v>
      </c>
      <c r="I19" t="s">
        <v>7802</v>
      </c>
    </row>
    <row r="20">
      <c r="A20" s="125" t="s">
        <v>919</v>
      </c>
      <c r="B20" s="526" t="s">
        <v>918</v>
      </c>
      <c r="C20" s="527">
        <v>394.0</v>
      </c>
      <c r="D20" s="527">
        <v>1436.66</v>
      </c>
      <c r="E20" s="528">
        <v>3.6463</v>
      </c>
      <c r="F20" s="36" t="s">
        <v>7798</v>
      </c>
      <c r="G20" s="125" t="s">
        <v>913</v>
      </c>
      <c r="H20" s="125" t="s">
        <v>7801</v>
      </c>
      <c r="I20" t="s">
        <v>7802</v>
      </c>
    </row>
    <row r="21">
      <c r="A21" s="125" t="s">
        <v>921</v>
      </c>
      <c r="B21" s="526" t="s">
        <v>920</v>
      </c>
      <c r="C21" s="527">
        <v>203.0</v>
      </c>
      <c r="D21" s="527">
        <v>739.52</v>
      </c>
      <c r="E21" s="528">
        <v>3.643</v>
      </c>
      <c r="F21" s="36" t="s">
        <v>7798</v>
      </c>
      <c r="G21" s="125" t="s">
        <v>913</v>
      </c>
      <c r="H21" s="125" t="s">
        <v>7801</v>
      </c>
      <c r="I21" t="s">
        <v>7802</v>
      </c>
    </row>
    <row r="22">
      <c r="A22" s="125" t="s">
        <v>923</v>
      </c>
      <c r="B22" s="526" t="s">
        <v>922</v>
      </c>
      <c r="C22" s="527">
        <v>255.0</v>
      </c>
      <c r="D22" s="527">
        <v>929.39</v>
      </c>
      <c r="E22" s="528">
        <v>3.6447</v>
      </c>
      <c r="F22" s="36" t="s">
        <v>7798</v>
      </c>
      <c r="G22" s="125" t="s">
        <v>913</v>
      </c>
      <c r="H22" s="125" t="s">
        <v>7801</v>
      </c>
      <c r="I22" t="s">
        <v>7802</v>
      </c>
    </row>
    <row r="23">
      <c r="A23" s="125" t="s">
        <v>925</v>
      </c>
      <c r="B23" s="526" t="s">
        <v>924</v>
      </c>
      <c r="C23" s="527">
        <v>0.0</v>
      </c>
      <c r="D23" s="527">
        <v>0.0</v>
      </c>
      <c r="F23" s="36" t="s">
        <v>7798</v>
      </c>
      <c r="G23" s="125" t="s">
        <v>893</v>
      </c>
      <c r="H23" s="125" t="s">
        <v>7801</v>
      </c>
      <c r="I23" t="s">
        <v>7803</v>
      </c>
    </row>
    <row r="24">
      <c r="A24" s="125" t="s">
        <v>927</v>
      </c>
      <c r="B24" s="526" t="s">
        <v>926</v>
      </c>
      <c r="C24" s="527">
        <v>1000.0</v>
      </c>
      <c r="D24" s="527">
        <v>2587.7</v>
      </c>
      <c r="E24" s="528">
        <v>2.5877</v>
      </c>
      <c r="F24" s="36" t="s">
        <v>7798</v>
      </c>
      <c r="G24" s="125" t="s">
        <v>913</v>
      </c>
      <c r="H24" s="125" t="s">
        <v>7801</v>
      </c>
      <c r="I24" t="s">
        <v>7803</v>
      </c>
    </row>
    <row r="25">
      <c r="A25" s="125" t="s">
        <v>933</v>
      </c>
      <c r="B25" s="526" t="s">
        <v>932</v>
      </c>
      <c r="C25" s="527">
        <v>0.0</v>
      </c>
      <c r="D25" s="527">
        <v>0.0</v>
      </c>
      <c r="F25" s="36" t="s">
        <v>7798</v>
      </c>
      <c r="G25" s="125" t="s">
        <v>893</v>
      </c>
      <c r="H25" s="125" t="s">
        <v>7799</v>
      </c>
      <c r="I25" t="s">
        <v>7804</v>
      </c>
    </row>
    <row r="26">
      <c r="A26" s="125" t="s">
        <v>935</v>
      </c>
      <c r="B26" s="526" t="s">
        <v>934</v>
      </c>
      <c r="C26" s="527">
        <v>0.0</v>
      </c>
      <c r="D26" s="527">
        <v>0.0</v>
      </c>
      <c r="F26" s="36" t="s">
        <v>7798</v>
      </c>
      <c r="G26" s="125" t="s">
        <v>893</v>
      </c>
      <c r="H26" s="125" t="s">
        <v>7799</v>
      </c>
      <c r="I26" t="s">
        <v>7804</v>
      </c>
    </row>
    <row r="27">
      <c r="A27" s="125" t="s">
        <v>936</v>
      </c>
      <c r="B27" s="526">
        <v>91718.0</v>
      </c>
      <c r="C27" s="527">
        <v>0.0</v>
      </c>
      <c r="D27" s="527">
        <v>0.0</v>
      </c>
      <c r="F27" s="36" t="s">
        <v>7798</v>
      </c>
      <c r="G27" s="125" t="s">
        <v>893</v>
      </c>
      <c r="H27" s="125" t="s">
        <v>7799</v>
      </c>
      <c r="I27" t="s">
        <v>163</v>
      </c>
    </row>
    <row r="28">
      <c r="A28" s="125" t="s">
        <v>938</v>
      </c>
      <c r="B28" s="526">
        <v>91728.0</v>
      </c>
      <c r="C28" s="527">
        <v>0.0</v>
      </c>
      <c r="D28" s="527">
        <v>0.0</v>
      </c>
      <c r="F28" s="36" t="s">
        <v>7798</v>
      </c>
      <c r="G28" s="125" t="s">
        <v>893</v>
      </c>
      <c r="H28" s="125" t="s">
        <v>7799</v>
      </c>
      <c r="I28" t="s">
        <v>163</v>
      </c>
    </row>
    <row r="29">
      <c r="A29" s="125" t="s">
        <v>939</v>
      </c>
      <c r="B29" s="526">
        <v>91738.0</v>
      </c>
      <c r="C29" s="527">
        <v>0.0</v>
      </c>
      <c r="D29" s="527">
        <v>0.0</v>
      </c>
      <c r="F29" s="36" t="s">
        <v>7798</v>
      </c>
      <c r="G29" s="125" t="s">
        <v>893</v>
      </c>
      <c r="H29" s="125" t="s">
        <v>7799</v>
      </c>
      <c r="I29" t="s">
        <v>163</v>
      </c>
    </row>
    <row r="30">
      <c r="A30" s="125" t="s">
        <v>940</v>
      </c>
      <c r="B30" s="526">
        <v>91748.0</v>
      </c>
      <c r="C30" s="527">
        <v>0.0</v>
      </c>
      <c r="D30" s="527">
        <v>0.0</v>
      </c>
      <c r="F30" s="36" t="s">
        <v>7798</v>
      </c>
      <c r="G30" s="125" t="s">
        <v>893</v>
      </c>
      <c r="H30" s="125" t="s">
        <v>7799</v>
      </c>
      <c r="I30" t="s">
        <v>163</v>
      </c>
    </row>
    <row r="31">
      <c r="A31" s="125" t="s">
        <v>941</v>
      </c>
      <c r="B31" s="526">
        <v>91743.0</v>
      </c>
      <c r="C31" s="527">
        <v>0.0</v>
      </c>
      <c r="D31" s="527">
        <v>0.0</v>
      </c>
      <c r="F31" s="36" t="s">
        <v>7798</v>
      </c>
      <c r="G31" s="125" t="s">
        <v>893</v>
      </c>
      <c r="H31" s="125" t="s">
        <v>7799</v>
      </c>
      <c r="I31" t="s">
        <v>163</v>
      </c>
    </row>
    <row r="32">
      <c r="A32" s="125" t="s">
        <v>943</v>
      </c>
      <c r="B32" s="526" t="s">
        <v>942</v>
      </c>
      <c r="C32" s="527">
        <v>0.0</v>
      </c>
      <c r="D32" s="527">
        <v>0.0</v>
      </c>
      <c r="F32" s="36" t="s">
        <v>7798</v>
      </c>
      <c r="G32" s="125" t="s">
        <v>893</v>
      </c>
      <c r="H32" s="125" t="s">
        <v>7801</v>
      </c>
      <c r="I32" t="s">
        <v>7805</v>
      </c>
    </row>
    <row r="33">
      <c r="A33" s="125" t="s">
        <v>945</v>
      </c>
      <c r="B33" s="526" t="s">
        <v>944</v>
      </c>
      <c r="C33" s="527">
        <v>0.0</v>
      </c>
      <c r="D33" s="527">
        <v>0.0</v>
      </c>
      <c r="F33" s="36" t="s">
        <v>7798</v>
      </c>
      <c r="G33" s="125" t="s">
        <v>893</v>
      </c>
      <c r="H33" s="125" t="s">
        <v>7799</v>
      </c>
      <c r="I33" t="s">
        <v>7804</v>
      </c>
    </row>
    <row r="34">
      <c r="A34" s="125" t="s">
        <v>947</v>
      </c>
      <c r="B34" s="526" t="s">
        <v>946</v>
      </c>
      <c r="C34" s="527">
        <v>0.0</v>
      </c>
      <c r="D34" s="527">
        <v>0.0</v>
      </c>
      <c r="F34" s="36" t="s">
        <v>7798</v>
      </c>
      <c r="G34" s="125" t="s">
        <v>893</v>
      </c>
      <c r="H34" s="125" t="s">
        <v>7799</v>
      </c>
      <c r="I34" t="s">
        <v>7804</v>
      </c>
    </row>
    <row r="35">
      <c r="A35" s="125" t="s">
        <v>341</v>
      </c>
      <c r="B35" s="526" t="s">
        <v>342</v>
      </c>
      <c r="C35" s="527">
        <v>808.0</v>
      </c>
      <c r="D35" s="527">
        <v>429.02</v>
      </c>
      <c r="E35" s="528">
        <v>0.531</v>
      </c>
      <c r="F35" s="36" t="s">
        <v>7798</v>
      </c>
      <c r="G35" s="125" t="s">
        <v>913</v>
      </c>
      <c r="H35" s="125" t="s">
        <v>569</v>
      </c>
      <c r="I35" t="s">
        <v>110</v>
      </c>
    </row>
    <row r="36">
      <c r="A36" s="125" t="s">
        <v>343</v>
      </c>
      <c r="B36" s="526" t="s">
        <v>344</v>
      </c>
      <c r="C36" s="527">
        <v>886.0</v>
      </c>
      <c r="D36" s="527">
        <v>470.38</v>
      </c>
      <c r="E36" s="528">
        <v>0.5309</v>
      </c>
      <c r="F36" s="36" t="s">
        <v>7798</v>
      </c>
      <c r="G36" s="125" t="s">
        <v>913</v>
      </c>
      <c r="H36" s="125" t="s">
        <v>569</v>
      </c>
      <c r="I36" t="s">
        <v>110</v>
      </c>
    </row>
    <row r="37">
      <c r="A37" s="125" t="s">
        <v>948</v>
      </c>
      <c r="B37" s="526">
        <v>91719.0</v>
      </c>
      <c r="C37" s="527">
        <v>0.0</v>
      </c>
      <c r="D37" s="527">
        <v>0.0</v>
      </c>
      <c r="F37" s="36" t="s">
        <v>7798</v>
      </c>
      <c r="G37" s="125" t="s">
        <v>893</v>
      </c>
      <c r="H37" s="125" t="s">
        <v>7799</v>
      </c>
      <c r="I37" t="s">
        <v>163</v>
      </c>
    </row>
    <row r="38">
      <c r="A38" s="125" t="s">
        <v>949</v>
      </c>
      <c r="B38" s="526">
        <v>91754.0</v>
      </c>
      <c r="C38" s="527">
        <v>0.0</v>
      </c>
      <c r="D38" s="527">
        <v>0.0</v>
      </c>
      <c r="F38" s="36" t="s">
        <v>7798</v>
      </c>
      <c r="G38" s="125" t="s">
        <v>893</v>
      </c>
      <c r="H38" s="125" t="s">
        <v>7799</v>
      </c>
      <c r="I38" t="s">
        <v>163</v>
      </c>
    </row>
    <row r="39">
      <c r="A39" s="125" t="s">
        <v>950</v>
      </c>
      <c r="B39" s="526">
        <v>91729.0</v>
      </c>
      <c r="C39" s="527">
        <v>0.0</v>
      </c>
      <c r="D39" s="527">
        <v>0.0</v>
      </c>
      <c r="F39" s="36" t="s">
        <v>7798</v>
      </c>
      <c r="G39" s="125" t="s">
        <v>893</v>
      </c>
      <c r="H39" s="125" t="s">
        <v>7799</v>
      </c>
      <c r="I39" t="s">
        <v>163</v>
      </c>
    </row>
    <row r="40">
      <c r="A40" s="125" t="s">
        <v>951</v>
      </c>
      <c r="B40" s="526">
        <v>91739.0</v>
      </c>
      <c r="C40" s="527">
        <v>0.0</v>
      </c>
      <c r="D40" s="527">
        <v>0.0</v>
      </c>
      <c r="F40" s="36" t="s">
        <v>7798</v>
      </c>
      <c r="G40" s="125" t="s">
        <v>893</v>
      </c>
      <c r="H40" s="125" t="s">
        <v>7799</v>
      </c>
      <c r="I40" t="s">
        <v>163</v>
      </c>
    </row>
    <row r="41">
      <c r="A41" s="125" t="s">
        <v>952</v>
      </c>
      <c r="B41" s="526">
        <v>91749.0</v>
      </c>
      <c r="C41" s="527">
        <v>0.0</v>
      </c>
      <c r="D41" s="527">
        <v>0.0</v>
      </c>
      <c r="F41" s="36" t="s">
        <v>7798</v>
      </c>
      <c r="G41" s="125" t="s">
        <v>893</v>
      </c>
      <c r="H41" s="125" t="s">
        <v>7799</v>
      </c>
      <c r="I41" t="s">
        <v>163</v>
      </c>
    </row>
    <row r="42">
      <c r="A42" s="125" t="s">
        <v>953</v>
      </c>
      <c r="B42" s="526">
        <v>91744.0</v>
      </c>
      <c r="C42" s="527">
        <v>0.0</v>
      </c>
      <c r="D42" s="527">
        <v>0.0</v>
      </c>
      <c r="F42" s="36" t="s">
        <v>7798</v>
      </c>
      <c r="G42" s="125" t="s">
        <v>893</v>
      </c>
      <c r="H42" s="125" t="s">
        <v>7799</v>
      </c>
      <c r="I42" t="s">
        <v>163</v>
      </c>
    </row>
    <row r="43">
      <c r="A43" s="125" t="s">
        <v>997</v>
      </c>
      <c r="B43" s="526" t="s">
        <v>996</v>
      </c>
      <c r="C43" s="527">
        <v>0.0</v>
      </c>
      <c r="D43" s="527">
        <v>0.0</v>
      </c>
      <c r="F43" s="36" t="s">
        <v>7798</v>
      </c>
      <c r="G43" s="125" t="s">
        <v>893</v>
      </c>
      <c r="H43" s="125" t="s">
        <v>7801</v>
      </c>
      <c r="I43" t="s">
        <v>7806</v>
      </c>
    </row>
    <row r="44">
      <c r="A44" s="125" t="s">
        <v>999</v>
      </c>
      <c r="B44" s="526" t="s">
        <v>998</v>
      </c>
      <c r="C44" s="527">
        <v>0.0</v>
      </c>
      <c r="D44" s="527">
        <v>0.0</v>
      </c>
      <c r="F44" s="36" t="s">
        <v>7798</v>
      </c>
      <c r="G44" s="125" t="s">
        <v>893</v>
      </c>
      <c r="H44" s="125" t="s">
        <v>7801</v>
      </c>
      <c r="I44" t="s">
        <v>7806</v>
      </c>
    </row>
    <row r="45">
      <c r="A45" s="125" t="s">
        <v>1001</v>
      </c>
      <c r="B45" s="526" t="s">
        <v>1000</v>
      </c>
      <c r="C45" s="527">
        <v>0.0</v>
      </c>
      <c r="D45" s="527">
        <v>0.0</v>
      </c>
      <c r="F45" s="36" t="s">
        <v>7798</v>
      </c>
      <c r="G45" s="125" t="s">
        <v>893</v>
      </c>
      <c r="H45" s="125" t="s">
        <v>7801</v>
      </c>
      <c r="I45" t="s">
        <v>7806</v>
      </c>
    </row>
    <row r="46">
      <c r="A46" s="125" t="s">
        <v>1003</v>
      </c>
      <c r="B46" s="526" t="s">
        <v>1002</v>
      </c>
      <c r="C46" s="527">
        <v>0.0</v>
      </c>
      <c r="D46" s="527">
        <v>0.0</v>
      </c>
      <c r="F46" s="36" t="s">
        <v>7798</v>
      </c>
      <c r="G46" s="125" t="s">
        <v>893</v>
      </c>
      <c r="H46" s="125" t="s">
        <v>7801</v>
      </c>
      <c r="I46" t="s">
        <v>7806</v>
      </c>
    </row>
    <row r="47">
      <c r="A47" s="125" t="s">
        <v>1005</v>
      </c>
      <c r="B47" s="526" t="s">
        <v>1004</v>
      </c>
      <c r="C47" s="527">
        <v>0.0</v>
      </c>
      <c r="D47" s="527">
        <v>0.0</v>
      </c>
      <c r="F47" s="36" t="s">
        <v>7798</v>
      </c>
      <c r="G47" s="125" t="s">
        <v>893</v>
      </c>
      <c r="H47" s="125" t="s">
        <v>7801</v>
      </c>
      <c r="I47" t="s">
        <v>7806</v>
      </c>
    </row>
    <row r="48">
      <c r="A48" s="125" t="s">
        <v>1007</v>
      </c>
      <c r="B48" s="526" t="s">
        <v>1006</v>
      </c>
      <c r="C48" s="527">
        <v>0.0</v>
      </c>
      <c r="D48" s="527">
        <v>0.0</v>
      </c>
      <c r="F48" s="36" t="s">
        <v>7798</v>
      </c>
      <c r="G48" s="125" t="s">
        <v>893</v>
      </c>
      <c r="H48" s="125" t="s">
        <v>7799</v>
      </c>
      <c r="I48" t="s">
        <v>7806</v>
      </c>
    </row>
    <row r="49">
      <c r="A49" s="125" t="s">
        <v>1009</v>
      </c>
      <c r="B49" s="526" t="s">
        <v>1008</v>
      </c>
      <c r="C49" s="527">
        <v>0.0</v>
      </c>
      <c r="D49" s="527">
        <v>0.0</v>
      </c>
      <c r="F49" s="36" t="s">
        <v>7798</v>
      </c>
      <c r="G49" s="125" t="s">
        <v>893</v>
      </c>
      <c r="H49" s="125" t="s">
        <v>7801</v>
      </c>
      <c r="I49" t="s">
        <v>7806</v>
      </c>
    </row>
    <row r="50">
      <c r="A50" s="125" t="s">
        <v>1011</v>
      </c>
      <c r="B50" s="526" t="s">
        <v>1010</v>
      </c>
      <c r="C50" s="527">
        <v>0.0</v>
      </c>
      <c r="D50" s="527">
        <v>0.0</v>
      </c>
      <c r="F50" s="36" t="s">
        <v>7798</v>
      </c>
      <c r="G50" s="125" t="s">
        <v>893</v>
      </c>
      <c r="H50" s="125" t="s">
        <v>7801</v>
      </c>
      <c r="I50" t="s">
        <v>7806</v>
      </c>
    </row>
    <row r="51">
      <c r="A51" s="125" t="s">
        <v>1013</v>
      </c>
      <c r="B51" s="526" t="s">
        <v>1012</v>
      </c>
      <c r="C51" s="527">
        <v>0.0</v>
      </c>
      <c r="D51" s="527">
        <v>0.0</v>
      </c>
      <c r="F51" s="36" t="s">
        <v>7798</v>
      </c>
      <c r="G51" s="125" t="s">
        <v>893</v>
      </c>
      <c r="H51" s="125" t="s">
        <v>7801</v>
      </c>
      <c r="I51" t="s">
        <v>7806</v>
      </c>
    </row>
    <row r="52">
      <c r="A52" s="125" t="s">
        <v>1015</v>
      </c>
      <c r="B52" s="526" t="s">
        <v>1014</v>
      </c>
      <c r="C52" s="527">
        <v>0.0</v>
      </c>
      <c r="D52" s="527">
        <v>0.0</v>
      </c>
      <c r="F52" s="36" t="s">
        <v>7798</v>
      </c>
      <c r="G52" s="125" t="s">
        <v>893</v>
      </c>
      <c r="H52" s="125" t="s">
        <v>7801</v>
      </c>
      <c r="I52" t="s">
        <v>7806</v>
      </c>
    </row>
    <row r="53">
      <c r="A53" s="125" t="s">
        <v>1017</v>
      </c>
      <c r="B53" s="526" t="s">
        <v>1016</v>
      </c>
      <c r="C53" s="527">
        <v>0.0</v>
      </c>
      <c r="D53" s="527">
        <v>0.0</v>
      </c>
      <c r="F53" s="36" t="s">
        <v>7798</v>
      </c>
      <c r="G53" s="125" t="s">
        <v>893</v>
      </c>
      <c r="H53" s="125" t="s">
        <v>7801</v>
      </c>
      <c r="I53" t="s">
        <v>7806</v>
      </c>
    </row>
    <row r="54">
      <c r="A54" s="125" t="s">
        <v>1019</v>
      </c>
      <c r="B54" s="526" t="s">
        <v>1018</v>
      </c>
      <c r="C54" s="527">
        <v>0.0</v>
      </c>
      <c r="D54" s="527">
        <v>0.0</v>
      </c>
      <c r="F54" s="36" t="s">
        <v>7798</v>
      </c>
      <c r="G54" s="125" t="s">
        <v>893</v>
      </c>
      <c r="H54" s="125" t="s">
        <v>7801</v>
      </c>
      <c r="I54" t="s">
        <v>7806</v>
      </c>
    </row>
    <row r="55">
      <c r="A55" s="125" t="s">
        <v>1021</v>
      </c>
      <c r="B55" s="526" t="s">
        <v>1020</v>
      </c>
      <c r="C55" s="527">
        <v>3.0</v>
      </c>
      <c r="D55" s="527">
        <v>145.16</v>
      </c>
      <c r="E55" s="528">
        <v>48.3867</v>
      </c>
      <c r="F55" s="36" t="s">
        <v>7807</v>
      </c>
      <c r="G55" s="125" t="s">
        <v>913</v>
      </c>
      <c r="H55" s="125" t="s">
        <v>7808</v>
      </c>
      <c r="I55" t="s">
        <v>7806</v>
      </c>
    </row>
    <row r="56">
      <c r="A56" s="125" t="s">
        <v>1023</v>
      </c>
      <c r="B56" s="526" t="s">
        <v>1022</v>
      </c>
      <c r="C56" s="527">
        <v>0.0</v>
      </c>
      <c r="D56" s="527">
        <v>0.0</v>
      </c>
      <c r="F56" s="36" t="s">
        <v>7807</v>
      </c>
      <c r="G56" s="125" t="s">
        <v>893</v>
      </c>
      <c r="H56" s="125" t="s">
        <v>7801</v>
      </c>
      <c r="I56" t="s">
        <v>7806</v>
      </c>
    </row>
    <row r="57">
      <c r="A57" s="125" t="s">
        <v>1025</v>
      </c>
      <c r="B57" s="526" t="s">
        <v>1024</v>
      </c>
      <c r="C57" s="527">
        <v>246.0</v>
      </c>
      <c r="D57" s="527">
        <v>86.05</v>
      </c>
      <c r="E57" s="528">
        <v>0.3498</v>
      </c>
      <c r="F57" s="36" t="s">
        <v>7798</v>
      </c>
      <c r="G57" s="125" t="s">
        <v>913</v>
      </c>
      <c r="H57" s="125" t="s">
        <v>7808</v>
      </c>
      <c r="I57" t="s">
        <v>7806</v>
      </c>
    </row>
    <row r="58">
      <c r="A58" s="125" t="s">
        <v>1027</v>
      </c>
      <c r="B58" s="526" t="s">
        <v>1026</v>
      </c>
      <c r="C58" s="527">
        <v>0.0</v>
      </c>
      <c r="D58" s="527">
        <v>0.0</v>
      </c>
      <c r="F58" s="36" t="s">
        <v>7798</v>
      </c>
      <c r="G58" s="125" t="s">
        <v>893</v>
      </c>
      <c r="H58" s="125" t="s">
        <v>7799</v>
      </c>
      <c r="I58" t="s">
        <v>7806</v>
      </c>
    </row>
    <row r="59">
      <c r="A59" s="125" t="s">
        <v>1029</v>
      </c>
      <c r="B59" s="526" t="s">
        <v>1028</v>
      </c>
      <c r="C59" s="527">
        <v>0.0</v>
      </c>
      <c r="D59" s="527">
        <v>0.0</v>
      </c>
      <c r="F59" s="36" t="s">
        <v>7798</v>
      </c>
      <c r="G59" s="125" t="s">
        <v>893</v>
      </c>
      <c r="H59" s="125" t="s">
        <v>7799</v>
      </c>
      <c r="I59" t="s">
        <v>7806</v>
      </c>
    </row>
    <row r="60">
      <c r="A60" s="125" t="s">
        <v>1031</v>
      </c>
      <c r="B60" s="526" t="s">
        <v>1030</v>
      </c>
      <c r="C60" s="527">
        <v>444.0</v>
      </c>
      <c r="D60" s="527">
        <v>159.44</v>
      </c>
      <c r="E60" s="528">
        <v>0.3591</v>
      </c>
      <c r="F60" s="36" t="s">
        <v>7798</v>
      </c>
      <c r="G60" s="125" t="s">
        <v>913</v>
      </c>
      <c r="H60" s="125" t="s">
        <v>7808</v>
      </c>
      <c r="I60" t="s">
        <v>7806</v>
      </c>
    </row>
    <row r="61">
      <c r="A61" s="125" t="s">
        <v>1033</v>
      </c>
      <c r="B61" s="526" t="s">
        <v>1032</v>
      </c>
      <c r="C61" s="527">
        <v>255.0</v>
      </c>
      <c r="D61" s="527">
        <v>89.2</v>
      </c>
      <c r="E61" s="528">
        <v>0.3498</v>
      </c>
      <c r="F61" s="36" t="s">
        <v>7798</v>
      </c>
      <c r="G61" s="125" t="s">
        <v>913</v>
      </c>
      <c r="H61" s="125" t="s">
        <v>7808</v>
      </c>
      <c r="I61" t="s">
        <v>7806</v>
      </c>
    </row>
    <row r="62">
      <c r="A62" s="125" t="s">
        <v>1035</v>
      </c>
      <c r="B62" s="526" t="s">
        <v>1034</v>
      </c>
      <c r="C62" s="527">
        <v>875.0</v>
      </c>
      <c r="D62" s="527">
        <v>292.71</v>
      </c>
      <c r="E62" s="528">
        <v>0.3345</v>
      </c>
      <c r="F62" s="36" t="s">
        <v>7798</v>
      </c>
      <c r="G62" s="125" t="s">
        <v>913</v>
      </c>
      <c r="H62" s="125" t="s">
        <v>7808</v>
      </c>
      <c r="I62" t="s">
        <v>7806</v>
      </c>
    </row>
    <row r="63">
      <c r="A63" s="125" t="s">
        <v>1037</v>
      </c>
      <c r="B63" s="526" t="s">
        <v>1036</v>
      </c>
      <c r="C63" s="527">
        <v>0.0</v>
      </c>
      <c r="D63" s="527">
        <v>0.0</v>
      </c>
      <c r="F63" s="36" t="s">
        <v>7798</v>
      </c>
      <c r="G63" s="125" t="s">
        <v>893</v>
      </c>
      <c r="H63" s="125" t="s">
        <v>7799</v>
      </c>
      <c r="I63" t="s">
        <v>7806</v>
      </c>
    </row>
    <row r="64">
      <c r="A64" s="125" t="s">
        <v>1039</v>
      </c>
      <c r="B64" s="526" t="s">
        <v>1038</v>
      </c>
      <c r="C64" s="527">
        <v>582.0</v>
      </c>
      <c r="D64" s="527">
        <v>203.65</v>
      </c>
      <c r="E64" s="528">
        <v>0.3499</v>
      </c>
      <c r="F64" s="36" t="s">
        <v>7798</v>
      </c>
      <c r="G64" s="125" t="s">
        <v>913</v>
      </c>
      <c r="H64" s="125" t="s">
        <v>7808</v>
      </c>
      <c r="I64" t="s">
        <v>7806</v>
      </c>
    </row>
    <row r="65">
      <c r="A65" s="125" t="s">
        <v>1041</v>
      </c>
      <c r="B65" s="526" t="s">
        <v>1040</v>
      </c>
      <c r="C65" s="527">
        <v>597.0</v>
      </c>
      <c r="D65" s="527">
        <v>208.9</v>
      </c>
      <c r="E65" s="528">
        <v>0.3499</v>
      </c>
      <c r="F65" s="36" t="s">
        <v>7798</v>
      </c>
      <c r="G65" s="125" t="s">
        <v>913</v>
      </c>
      <c r="H65" s="125" t="s">
        <v>7808</v>
      </c>
      <c r="I65" t="s">
        <v>7806</v>
      </c>
    </row>
    <row r="66">
      <c r="A66" s="125" t="s">
        <v>1043</v>
      </c>
      <c r="B66" s="526" t="s">
        <v>1042</v>
      </c>
      <c r="C66" s="527">
        <v>264.0</v>
      </c>
      <c r="D66" s="527">
        <v>94.88</v>
      </c>
      <c r="E66" s="528">
        <v>0.3594</v>
      </c>
      <c r="F66" s="36" t="s">
        <v>7798</v>
      </c>
      <c r="G66" s="125" t="s">
        <v>913</v>
      </c>
      <c r="H66" s="125" t="s">
        <v>7808</v>
      </c>
      <c r="I66" t="s">
        <v>7806</v>
      </c>
    </row>
    <row r="67">
      <c r="A67" s="125" t="s">
        <v>1045</v>
      </c>
      <c r="B67" s="526" t="s">
        <v>1044</v>
      </c>
      <c r="C67" s="527">
        <v>0.0</v>
      </c>
      <c r="D67" s="527">
        <v>0.0</v>
      </c>
      <c r="F67" s="36" t="s">
        <v>7798</v>
      </c>
      <c r="G67" s="125" t="s">
        <v>893</v>
      </c>
      <c r="H67" s="125" t="s">
        <v>7799</v>
      </c>
      <c r="I67" t="s">
        <v>7806</v>
      </c>
    </row>
    <row r="68">
      <c r="A68" s="125" t="s">
        <v>1047</v>
      </c>
      <c r="B68" s="526" t="s">
        <v>1046</v>
      </c>
      <c r="C68" s="527">
        <v>570.0</v>
      </c>
      <c r="D68" s="527">
        <v>198.51</v>
      </c>
      <c r="E68" s="528">
        <v>0.3483</v>
      </c>
      <c r="F68" s="36" t="s">
        <v>7798</v>
      </c>
      <c r="G68" s="125" t="s">
        <v>913</v>
      </c>
      <c r="H68" s="125" t="s">
        <v>7808</v>
      </c>
      <c r="I68" t="s">
        <v>7806</v>
      </c>
    </row>
    <row r="69">
      <c r="A69" s="125" t="s">
        <v>1049</v>
      </c>
      <c r="B69" s="526" t="s">
        <v>1048</v>
      </c>
      <c r="C69" s="527">
        <v>0.0</v>
      </c>
      <c r="D69" s="527">
        <v>0.0</v>
      </c>
      <c r="F69" s="36" t="s">
        <v>7798</v>
      </c>
      <c r="G69" s="125" t="s">
        <v>893</v>
      </c>
      <c r="H69" s="125" t="s">
        <v>7799</v>
      </c>
      <c r="I69" t="s">
        <v>7806</v>
      </c>
    </row>
    <row r="70">
      <c r="A70" s="125" t="s">
        <v>1051</v>
      </c>
      <c r="B70" s="526" t="s">
        <v>1050</v>
      </c>
      <c r="C70" s="527">
        <v>462.0</v>
      </c>
      <c r="D70" s="527">
        <v>165.88</v>
      </c>
      <c r="E70" s="528">
        <v>0.359</v>
      </c>
      <c r="F70" s="36" t="s">
        <v>7798</v>
      </c>
      <c r="G70" s="125" t="s">
        <v>913</v>
      </c>
      <c r="H70" s="125" t="s">
        <v>7808</v>
      </c>
      <c r="I70" t="s">
        <v>7806</v>
      </c>
    </row>
    <row r="71">
      <c r="A71" s="125" t="s">
        <v>1053</v>
      </c>
      <c r="B71" s="526" t="s">
        <v>1052</v>
      </c>
      <c r="C71" s="527">
        <v>0.0</v>
      </c>
      <c r="D71" s="527">
        <v>0.0</v>
      </c>
      <c r="F71" s="36" t="s">
        <v>7798</v>
      </c>
      <c r="G71" s="125" t="s">
        <v>893</v>
      </c>
      <c r="H71" s="125" t="s">
        <v>7799</v>
      </c>
      <c r="I71" t="s">
        <v>7806</v>
      </c>
    </row>
    <row r="72">
      <c r="A72" s="125" t="s">
        <v>1055</v>
      </c>
      <c r="B72" s="526" t="s">
        <v>1054</v>
      </c>
      <c r="C72" s="527">
        <v>773.0</v>
      </c>
      <c r="D72" s="527">
        <v>258.56</v>
      </c>
      <c r="E72" s="528">
        <v>0.3345</v>
      </c>
      <c r="F72" s="36" t="s">
        <v>7798</v>
      </c>
      <c r="G72" s="125" t="s">
        <v>913</v>
      </c>
      <c r="H72" s="125" t="s">
        <v>7808</v>
      </c>
      <c r="I72" t="s">
        <v>7806</v>
      </c>
    </row>
    <row r="73">
      <c r="A73" s="125" t="s">
        <v>1057</v>
      </c>
      <c r="B73" s="526" t="s">
        <v>1056</v>
      </c>
      <c r="C73" s="527">
        <v>660.0</v>
      </c>
      <c r="D73" s="527">
        <v>230.95</v>
      </c>
      <c r="E73" s="528">
        <v>0.3499</v>
      </c>
      <c r="F73" s="36" t="s">
        <v>7798</v>
      </c>
      <c r="G73" s="125" t="s">
        <v>913</v>
      </c>
      <c r="H73" s="125" t="s">
        <v>7808</v>
      </c>
      <c r="I73" t="s">
        <v>7806</v>
      </c>
    </row>
    <row r="74">
      <c r="A74" s="125" t="s">
        <v>1059</v>
      </c>
      <c r="B74" s="526" t="s">
        <v>1058</v>
      </c>
      <c r="C74" s="527">
        <v>996.0</v>
      </c>
      <c r="D74" s="527">
        <v>333.24</v>
      </c>
      <c r="E74" s="528">
        <v>0.3346</v>
      </c>
      <c r="F74" s="36" t="s">
        <v>7798</v>
      </c>
      <c r="G74" s="125" t="s">
        <v>913</v>
      </c>
      <c r="H74" s="125" t="s">
        <v>7808</v>
      </c>
      <c r="I74" t="s">
        <v>7806</v>
      </c>
    </row>
    <row r="75">
      <c r="A75" s="125" t="s">
        <v>1061</v>
      </c>
      <c r="B75" s="526" t="s">
        <v>1060</v>
      </c>
      <c r="C75" s="527">
        <v>0.0</v>
      </c>
      <c r="D75" s="527">
        <v>0.0</v>
      </c>
      <c r="F75" s="36" t="s">
        <v>7798</v>
      </c>
      <c r="G75" s="125" t="s">
        <v>893</v>
      </c>
      <c r="H75" s="125" t="s">
        <v>7799</v>
      </c>
      <c r="I75" t="s">
        <v>7806</v>
      </c>
    </row>
    <row r="76">
      <c r="A76" s="125" t="s">
        <v>1063</v>
      </c>
      <c r="B76" s="526" t="s">
        <v>1062</v>
      </c>
      <c r="C76" s="527">
        <v>636.0</v>
      </c>
      <c r="D76" s="527">
        <v>212.74</v>
      </c>
      <c r="E76" s="528">
        <v>0.3345</v>
      </c>
      <c r="F76" s="36" t="s">
        <v>7798</v>
      </c>
      <c r="G76" s="125" t="s">
        <v>913</v>
      </c>
      <c r="H76" s="125" t="s">
        <v>7808</v>
      </c>
      <c r="I76" t="s">
        <v>7806</v>
      </c>
    </row>
    <row r="77">
      <c r="A77" s="125" t="s">
        <v>1065</v>
      </c>
      <c r="B77" s="526" t="s">
        <v>1064</v>
      </c>
      <c r="C77" s="527">
        <v>0.0</v>
      </c>
      <c r="D77" s="527">
        <v>0.0</v>
      </c>
      <c r="F77" s="36" t="s">
        <v>7798</v>
      </c>
      <c r="G77" s="125" t="s">
        <v>893</v>
      </c>
      <c r="H77" s="125" t="s">
        <v>7799</v>
      </c>
      <c r="I77" t="s">
        <v>7806</v>
      </c>
    </row>
    <row r="78">
      <c r="A78" s="125" t="s">
        <v>1067</v>
      </c>
      <c r="B78" s="526" t="s">
        <v>1066</v>
      </c>
      <c r="C78" s="527">
        <v>0.0</v>
      </c>
      <c r="D78" s="527">
        <v>0.0</v>
      </c>
      <c r="F78" s="36" t="s">
        <v>7798</v>
      </c>
      <c r="G78" s="125" t="s">
        <v>913</v>
      </c>
      <c r="H78" s="125" t="s">
        <v>7799</v>
      </c>
      <c r="I78" t="s">
        <v>7806</v>
      </c>
    </row>
    <row r="79">
      <c r="A79" s="125" t="s">
        <v>1069</v>
      </c>
      <c r="B79" s="526" t="s">
        <v>1068</v>
      </c>
      <c r="C79" s="527">
        <v>0.0</v>
      </c>
      <c r="D79" s="527">
        <v>0.0</v>
      </c>
      <c r="F79" s="36" t="s">
        <v>7798</v>
      </c>
      <c r="G79" s="125" t="s">
        <v>913</v>
      </c>
      <c r="H79" s="125" t="s">
        <v>7808</v>
      </c>
      <c r="I79" t="s">
        <v>7806</v>
      </c>
    </row>
    <row r="80">
      <c r="A80" s="125" t="s">
        <v>1071</v>
      </c>
      <c r="B80" s="526" t="s">
        <v>1070</v>
      </c>
      <c r="C80" s="527">
        <v>0.0</v>
      </c>
      <c r="D80" s="527">
        <v>0.0</v>
      </c>
      <c r="F80" s="36" t="s">
        <v>7798</v>
      </c>
      <c r="G80" s="125" t="s">
        <v>913</v>
      </c>
      <c r="H80" s="125" t="s">
        <v>7808</v>
      </c>
      <c r="I80" t="s">
        <v>7806</v>
      </c>
    </row>
    <row r="81">
      <c r="A81" s="125" t="s">
        <v>1073</v>
      </c>
      <c r="B81" s="526" t="s">
        <v>1072</v>
      </c>
      <c r="C81" s="527">
        <v>201.0</v>
      </c>
      <c r="D81" s="527">
        <v>72.35</v>
      </c>
      <c r="E81" s="528">
        <v>0.36</v>
      </c>
      <c r="F81" s="36" t="s">
        <v>7798</v>
      </c>
      <c r="G81" s="125" t="s">
        <v>913</v>
      </c>
      <c r="H81" s="125" t="s">
        <v>7808</v>
      </c>
      <c r="I81" t="s">
        <v>7806</v>
      </c>
    </row>
    <row r="82">
      <c r="A82" s="125" t="s">
        <v>1075</v>
      </c>
      <c r="B82" s="526" t="s">
        <v>1074</v>
      </c>
      <c r="C82" s="527">
        <v>70.0</v>
      </c>
      <c r="D82" s="527">
        <v>24.3</v>
      </c>
      <c r="E82" s="528">
        <v>0.3471</v>
      </c>
      <c r="F82" s="36" t="s">
        <v>7798</v>
      </c>
      <c r="G82" s="125" t="s">
        <v>913</v>
      </c>
      <c r="H82" s="125" t="s">
        <v>7808</v>
      </c>
      <c r="I82" t="s">
        <v>7806</v>
      </c>
    </row>
    <row r="83">
      <c r="A83" s="125" t="s">
        <v>1077</v>
      </c>
      <c r="B83" s="526" t="s">
        <v>1076</v>
      </c>
      <c r="C83" s="527">
        <v>0.0</v>
      </c>
      <c r="D83" s="527">
        <v>0.0</v>
      </c>
      <c r="F83" s="36" t="s">
        <v>7798</v>
      </c>
      <c r="G83" s="125" t="s">
        <v>893</v>
      </c>
      <c r="H83" s="125" t="s">
        <v>7801</v>
      </c>
      <c r="I83" t="s">
        <v>7806</v>
      </c>
    </row>
    <row r="84">
      <c r="A84" s="125" t="s">
        <v>1079</v>
      </c>
      <c r="B84" s="526" t="s">
        <v>1078</v>
      </c>
      <c r="C84" s="527">
        <v>821.0</v>
      </c>
      <c r="D84" s="527">
        <v>274.63</v>
      </c>
      <c r="E84" s="528">
        <v>0.3345</v>
      </c>
      <c r="F84" s="36" t="s">
        <v>7798</v>
      </c>
      <c r="G84" s="125" t="s">
        <v>913</v>
      </c>
      <c r="H84" s="125" t="s">
        <v>7808</v>
      </c>
      <c r="I84" t="s">
        <v>7806</v>
      </c>
    </row>
    <row r="85">
      <c r="A85" s="125" t="s">
        <v>1081</v>
      </c>
      <c r="B85" s="526" t="s">
        <v>1080</v>
      </c>
      <c r="C85" s="527">
        <v>12.0</v>
      </c>
      <c r="D85" s="527">
        <v>4.31</v>
      </c>
      <c r="E85" s="528">
        <v>0.3592</v>
      </c>
      <c r="F85" s="36" t="s">
        <v>7798</v>
      </c>
      <c r="G85" s="125" t="s">
        <v>913</v>
      </c>
      <c r="H85" s="125" t="s">
        <v>7808</v>
      </c>
      <c r="I85" t="s">
        <v>7806</v>
      </c>
    </row>
    <row r="86">
      <c r="A86" s="125" t="s">
        <v>1083</v>
      </c>
      <c r="B86" s="526" t="s">
        <v>1082</v>
      </c>
      <c r="C86" s="527">
        <v>666.0</v>
      </c>
      <c r="D86" s="527">
        <v>233.05</v>
      </c>
      <c r="E86" s="528">
        <v>0.3499</v>
      </c>
      <c r="F86" s="36" t="s">
        <v>7798</v>
      </c>
      <c r="G86" s="125" t="s">
        <v>913</v>
      </c>
      <c r="H86" s="125" t="s">
        <v>7808</v>
      </c>
      <c r="I86" t="s">
        <v>7806</v>
      </c>
    </row>
    <row r="87">
      <c r="A87" s="125" t="s">
        <v>1085</v>
      </c>
      <c r="B87" s="526" t="s">
        <v>1084</v>
      </c>
      <c r="C87" s="527">
        <v>809.0</v>
      </c>
      <c r="D87" s="527">
        <v>270.62</v>
      </c>
      <c r="E87" s="528">
        <v>0.3345</v>
      </c>
      <c r="F87" s="36" t="s">
        <v>7798</v>
      </c>
      <c r="G87" s="125" t="s">
        <v>913</v>
      </c>
      <c r="H87" s="125" t="s">
        <v>7808</v>
      </c>
      <c r="I87" t="s">
        <v>7806</v>
      </c>
    </row>
    <row r="88">
      <c r="A88" s="125" t="s">
        <v>1087</v>
      </c>
      <c r="B88" s="526" t="s">
        <v>1086</v>
      </c>
      <c r="C88" s="527">
        <v>648.0</v>
      </c>
      <c r="D88" s="527">
        <v>216.7</v>
      </c>
      <c r="E88" s="528">
        <v>0.3344</v>
      </c>
      <c r="F88" s="36" t="s">
        <v>7798</v>
      </c>
      <c r="G88" s="125" t="s">
        <v>913</v>
      </c>
      <c r="H88" s="125" t="s">
        <v>7808</v>
      </c>
      <c r="I88" t="s">
        <v>7806</v>
      </c>
    </row>
    <row r="89">
      <c r="A89" s="125" t="s">
        <v>1089</v>
      </c>
      <c r="B89" s="526" t="s">
        <v>1088</v>
      </c>
      <c r="C89" s="527">
        <v>0.0</v>
      </c>
      <c r="D89" s="527">
        <v>0.0</v>
      </c>
      <c r="F89" s="36" t="s">
        <v>7798</v>
      </c>
      <c r="G89" s="125" t="s">
        <v>893</v>
      </c>
      <c r="H89" s="125" t="s">
        <v>7801</v>
      </c>
      <c r="I89" t="s">
        <v>7806</v>
      </c>
    </row>
    <row r="90">
      <c r="A90" s="125" t="s">
        <v>1091</v>
      </c>
      <c r="B90" s="526" t="s">
        <v>1090</v>
      </c>
      <c r="C90" s="527">
        <v>0.0</v>
      </c>
      <c r="D90" s="527">
        <v>0.0</v>
      </c>
      <c r="F90" s="36" t="s">
        <v>7798</v>
      </c>
      <c r="G90" s="125" t="s">
        <v>893</v>
      </c>
      <c r="H90" s="125" t="s">
        <v>7801</v>
      </c>
      <c r="I90" t="s">
        <v>7806</v>
      </c>
    </row>
    <row r="91">
      <c r="A91" s="125" t="s">
        <v>1093</v>
      </c>
      <c r="B91" s="526" t="s">
        <v>1092</v>
      </c>
      <c r="C91" s="527">
        <v>0.0</v>
      </c>
      <c r="D91" s="527">
        <v>0.0</v>
      </c>
      <c r="F91" s="36" t="s">
        <v>7798</v>
      </c>
      <c r="G91" s="125" t="s">
        <v>913</v>
      </c>
      <c r="H91" s="125" t="s">
        <v>7801</v>
      </c>
      <c r="I91" t="s">
        <v>7806</v>
      </c>
    </row>
    <row r="92">
      <c r="A92" s="125" t="s">
        <v>1095</v>
      </c>
      <c r="B92" s="526" t="s">
        <v>1094</v>
      </c>
      <c r="C92" s="527">
        <v>461.0</v>
      </c>
      <c r="D92" s="527">
        <v>161.31</v>
      </c>
      <c r="E92" s="528">
        <v>0.3499</v>
      </c>
      <c r="F92" s="36" t="s">
        <v>7798</v>
      </c>
      <c r="G92" s="125" t="s">
        <v>913</v>
      </c>
      <c r="H92" s="125" t="s">
        <v>7808</v>
      </c>
      <c r="I92" t="s">
        <v>7806</v>
      </c>
    </row>
    <row r="93">
      <c r="A93" s="125" t="s">
        <v>1097</v>
      </c>
      <c r="B93" s="526" t="s">
        <v>1096</v>
      </c>
      <c r="C93" s="527">
        <v>186.0</v>
      </c>
      <c r="D93" s="527">
        <v>67.01</v>
      </c>
      <c r="E93" s="528">
        <v>0.3603</v>
      </c>
      <c r="F93" s="36" t="s">
        <v>7798</v>
      </c>
      <c r="G93" s="125" t="s">
        <v>913</v>
      </c>
      <c r="H93" s="125" t="s">
        <v>7808</v>
      </c>
      <c r="I93" t="s">
        <v>7806</v>
      </c>
    </row>
    <row r="94">
      <c r="A94" s="125" t="s">
        <v>1099</v>
      </c>
      <c r="B94" s="526" t="s">
        <v>1098</v>
      </c>
      <c r="C94" s="527">
        <v>90.0</v>
      </c>
      <c r="D94" s="527">
        <v>30.19</v>
      </c>
      <c r="E94" s="528">
        <v>0.3354</v>
      </c>
      <c r="F94" s="36" t="s">
        <v>7798</v>
      </c>
      <c r="G94" s="125" t="s">
        <v>913</v>
      </c>
      <c r="H94" s="125" t="s">
        <v>7808</v>
      </c>
      <c r="I94" t="s">
        <v>7806</v>
      </c>
    </row>
    <row r="95">
      <c r="A95" s="125" t="s">
        <v>1101</v>
      </c>
      <c r="B95" s="526" t="s">
        <v>1100</v>
      </c>
      <c r="C95" s="527">
        <v>120.0</v>
      </c>
      <c r="D95" s="527">
        <v>39.51</v>
      </c>
      <c r="E95" s="528">
        <v>0.3293</v>
      </c>
      <c r="F95" s="36" t="s">
        <v>7798</v>
      </c>
      <c r="G95" s="125" t="s">
        <v>913</v>
      </c>
      <c r="H95" s="125" t="s">
        <v>7808</v>
      </c>
      <c r="I95" t="s">
        <v>7806</v>
      </c>
    </row>
    <row r="96">
      <c r="A96" s="125" t="s">
        <v>1103</v>
      </c>
      <c r="B96" s="526" t="s">
        <v>1102</v>
      </c>
      <c r="C96" s="527">
        <v>0.0</v>
      </c>
      <c r="D96" s="527">
        <v>0.0</v>
      </c>
      <c r="F96" s="36" t="s">
        <v>7798</v>
      </c>
      <c r="G96" s="125" t="s">
        <v>893</v>
      </c>
      <c r="H96" s="125" t="s">
        <v>7799</v>
      </c>
      <c r="I96" t="s">
        <v>7804</v>
      </c>
    </row>
    <row r="97">
      <c r="A97" s="125" t="s">
        <v>1108</v>
      </c>
      <c r="B97" s="526" t="s">
        <v>1107</v>
      </c>
      <c r="C97" s="527">
        <v>0.0</v>
      </c>
      <c r="D97" s="527">
        <v>0.0</v>
      </c>
      <c r="F97" s="36" t="s">
        <v>7798</v>
      </c>
      <c r="G97" s="125" t="s">
        <v>893</v>
      </c>
      <c r="H97" s="125" t="s">
        <v>7799</v>
      </c>
      <c r="I97" t="s">
        <v>7805</v>
      </c>
    </row>
    <row r="98">
      <c r="A98" s="125" t="s">
        <v>1112</v>
      </c>
      <c r="B98" s="526" t="s">
        <v>1111</v>
      </c>
      <c r="C98" s="527">
        <v>0.0</v>
      </c>
      <c r="D98" s="527">
        <v>0.0</v>
      </c>
      <c r="F98" s="36" t="s">
        <v>7798</v>
      </c>
      <c r="G98" s="125" t="s">
        <v>893</v>
      </c>
      <c r="H98" s="125" t="s">
        <v>7799</v>
      </c>
      <c r="I98" t="s">
        <v>7805</v>
      </c>
    </row>
    <row r="99">
      <c r="A99" s="125" t="s">
        <v>462</v>
      </c>
      <c r="B99" s="526" t="s">
        <v>463</v>
      </c>
      <c r="C99" s="527">
        <v>185.0</v>
      </c>
      <c r="D99" s="527">
        <v>917.04</v>
      </c>
      <c r="E99" s="528">
        <v>4.957</v>
      </c>
      <c r="F99" s="36" t="s">
        <v>7798</v>
      </c>
      <c r="G99" s="125" t="s">
        <v>913</v>
      </c>
      <c r="H99" s="125" t="s">
        <v>7809</v>
      </c>
      <c r="I99" t="s">
        <v>438</v>
      </c>
    </row>
    <row r="100">
      <c r="A100" s="125" t="s">
        <v>1131</v>
      </c>
      <c r="B100" s="526" t="s">
        <v>1130</v>
      </c>
      <c r="C100" s="527">
        <v>0.0</v>
      </c>
      <c r="D100" s="527">
        <v>0.0</v>
      </c>
      <c r="F100" s="36" t="s">
        <v>7798</v>
      </c>
      <c r="G100" s="125" t="s">
        <v>893</v>
      </c>
      <c r="H100" s="125" t="s">
        <v>7799</v>
      </c>
      <c r="I100" t="s">
        <v>7805</v>
      </c>
    </row>
    <row r="101">
      <c r="A101" s="125" t="s">
        <v>1133</v>
      </c>
      <c r="B101" s="526" t="s">
        <v>1132</v>
      </c>
      <c r="C101" s="527">
        <v>1.0</v>
      </c>
      <c r="D101" s="527">
        <v>32.21</v>
      </c>
      <c r="E101" s="528">
        <v>32.21</v>
      </c>
      <c r="F101" s="36" t="s">
        <v>7798</v>
      </c>
      <c r="G101" s="125" t="s">
        <v>913</v>
      </c>
      <c r="H101" s="125" t="s">
        <v>7808</v>
      </c>
      <c r="I101" t="s">
        <v>81</v>
      </c>
    </row>
    <row r="102">
      <c r="A102" s="125" t="s">
        <v>804</v>
      </c>
      <c r="B102" s="526" t="s">
        <v>805</v>
      </c>
      <c r="C102" s="527">
        <v>3.0</v>
      </c>
      <c r="D102" s="527">
        <v>365.29</v>
      </c>
      <c r="E102" s="528">
        <v>121.7633</v>
      </c>
      <c r="F102" s="36" t="s">
        <v>7798</v>
      </c>
      <c r="G102" s="125" t="s">
        <v>913</v>
      </c>
      <c r="H102" s="125" t="s">
        <v>7808</v>
      </c>
      <c r="I102" t="s">
        <v>81</v>
      </c>
    </row>
    <row r="103">
      <c r="A103" s="125" t="s">
        <v>1137</v>
      </c>
      <c r="B103" s="526" t="s">
        <v>1136</v>
      </c>
      <c r="C103" s="527">
        <v>1.0</v>
      </c>
      <c r="D103" s="527">
        <v>66.97</v>
      </c>
      <c r="E103" s="528">
        <v>66.97</v>
      </c>
      <c r="F103" s="36" t="s">
        <v>7798</v>
      </c>
      <c r="G103" s="125" t="s">
        <v>913</v>
      </c>
      <c r="H103" s="125" t="s">
        <v>7808</v>
      </c>
      <c r="I103" t="s">
        <v>81</v>
      </c>
    </row>
    <row r="104">
      <c r="A104" s="125" t="s">
        <v>1139</v>
      </c>
      <c r="B104" s="526" t="s">
        <v>1138</v>
      </c>
      <c r="C104" s="527">
        <v>5.0</v>
      </c>
      <c r="D104" s="527">
        <v>66.47</v>
      </c>
      <c r="E104" s="528">
        <v>13.294</v>
      </c>
      <c r="F104" s="36" t="s">
        <v>7798</v>
      </c>
      <c r="G104" s="125" t="s">
        <v>913</v>
      </c>
      <c r="I104" t="s">
        <v>45</v>
      </c>
    </row>
    <row r="105">
      <c r="A105" s="125" t="s">
        <v>1142</v>
      </c>
      <c r="B105" s="526" t="s">
        <v>1141</v>
      </c>
      <c r="C105" s="527">
        <v>0.0</v>
      </c>
      <c r="D105" s="527">
        <v>0.0</v>
      </c>
      <c r="F105" s="36" t="s">
        <v>7798</v>
      </c>
      <c r="G105" s="125" t="s">
        <v>893</v>
      </c>
      <c r="H105" s="125" t="s">
        <v>7799</v>
      </c>
      <c r="I105" t="s">
        <v>7810</v>
      </c>
    </row>
    <row r="106">
      <c r="A106" s="125" t="s">
        <v>1144</v>
      </c>
      <c r="B106" s="526" t="s">
        <v>1143</v>
      </c>
      <c r="C106" s="527">
        <v>0.0</v>
      </c>
      <c r="D106" s="527">
        <v>0.0</v>
      </c>
      <c r="F106" s="36" t="s">
        <v>7798</v>
      </c>
      <c r="G106" s="125" t="s">
        <v>893</v>
      </c>
      <c r="H106" s="125" t="s">
        <v>7799</v>
      </c>
      <c r="I106" t="s">
        <v>7810</v>
      </c>
    </row>
    <row r="107">
      <c r="A107" s="125" t="s">
        <v>1146</v>
      </c>
      <c r="B107" s="526" t="s">
        <v>1145</v>
      </c>
      <c r="C107" s="527">
        <v>0.0</v>
      </c>
      <c r="D107" s="527">
        <v>0.0</v>
      </c>
      <c r="F107" s="36" t="s">
        <v>7798</v>
      </c>
      <c r="G107" s="125" t="s">
        <v>893</v>
      </c>
      <c r="H107" s="125" t="s">
        <v>7799</v>
      </c>
      <c r="I107" t="s">
        <v>7810</v>
      </c>
    </row>
    <row r="108">
      <c r="A108" s="125" t="s">
        <v>1148</v>
      </c>
      <c r="B108" s="526" t="s">
        <v>1147</v>
      </c>
      <c r="C108" s="527">
        <v>0.0</v>
      </c>
      <c r="D108" s="527">
        <v>0.0</v>
      </c>
      <c r="F108" s="36" t="s">
        <v>7798</v>
      </c>
      <c r="G108" s="125" t="s">
        <v>893</v>
      </c>
      <c r="H108" s="125" t="s">
        <v>7799</v>
      </c>
      <c r="I108" t="s">
        <v>7810</v>
      </c>
    </row>
    <row r="109">
      <c r="A109" s="125" t="s">
        <v>1150</v>
      </c>
      <c r="B109" s="526" t="s">
        <v>1149</v>
      </c>
      <c r="C109" s="527">
        <v>0.0</v>
      </c>
      <c r="D109" s="527">
        <v>0.0</v>
      </c>
      <c r="F109" s="36" t="s">
        <v>7798</v>
      </c>
      <c r="G109" s="125" t="s">
        <v>893</v>
      </c>
      <c r="H109" s="125" t="s">
        <v>7799</v>
      </c>
      <c r="I109" t="s">
        <v>7811</v>
      </c>
    </row>
    <row r="110">
      <c r="A110" s="125" t="s">
        <v>1152</v>
      </c>
      <c r="B110" s="526" t="s">
        <v>1151</v>
      </c>
      <c r="C110" s="527">
        <v>0.0</v>
      </c>
      <c r="D110" s="527">
        <v>0.0</v>
      </c>
      <c r="F110" s="36" t="s">
        <v>7798</v>
      </c>
      <c r="G110" s="125" t="s">
        <v>893</v>
      </c>
      <c r="H110" s="125" t="s">
        <v>7799</v>
      </c>
      <c r="I110" t="s">
        <v>7812</v>
      </c>
    </row>
    <row r="111">
      <c r="A111" s="125" t="s">
        <v>1154</v>
      </c>
      <c r="B111" s="526" t="s">
        <v>1153</v>
      </c>
      <c r="C111" s="527">
        <v>0.0</v>
      </c>
      <c r="D111" s="527">
        <v>0.0</v>
      </c>
      <c r="F111" s="36" t="s">
        <v>7798</v>
      </c>
      <c r="G111" s="125" t="s">
        <v>893</v>
      </c>
      <c r="H111" s="125" t="s">
        <v>7799</v>
      </c>
      <c r="I111" t="s">
        <v>81</v>
      </c>
    </row>
    <row r="112">
      <c r="A112" s="125" t="s">
        <v>1164</v>
      </c>
      <c r="B112" s="526" t="s">
        <v>1163</v>
      </c>
      <c r="C112" s="527">
        <v>0.0</v>
      </c>
      <c r="D112" s="527">
        <v>0.0</v>
      </c>
      <c r="F112" s="36" t="s">
        <v>7798</v>
      </c>
      <c r="G112" s="125" t="s">
        <v>893</v>
      </c>
      <c r="H112" s="125" t="s">
        <v>7799</v>
      </c>
      <c r="I112" t="s">
        <v>81</v>
      </c>
    </row>
    <row r="113">
      <c r="A113" s="125" t="s">
        <v>1166</v>
      </c>
      <c r="B113" s="526" t="s">
        <v>1165</v>
      </c>
      <c r="C113" s="527">
        <v>0.0</v>
      </c>
      <c r="D113" s="527">
        <v>0.0</v>
      </c>
      <c r="F113" s="36" t="s">
        <v>7798</v>
      </c>
      <c r="G113" s="125" t="s">
        <v>893</v>
      </c>
      <c r="H113" s="125" t="s">
        <v>7799</v>
      </c>
      <c r="I113" t="s">
        <v>81</v>
      </c>
    </row>
    <row r="114">
      <c r="A114" s="125" t="s">
        <v>1168</v>
      </c>
      <c r="B114" s="526" t="s">
        <v>1167</v>
      </c>
      <c r="C114" s="527">
        <v>0.0</v>
      </c>
      <c r="D114" s="527">
        <v>0.0</v>
      </c>
      <c r="F114" s="36" t="s">
        <v>7798</v>
      </c>
      <c r="G114" s="125" t="s">
        <v>893</v>
      </c>
      <c r="H114" s="125" t="s">
        <v>7799</v>
      </c>
      <c r="I114" t="s">
        <v>81</v>
      </c>
    </row>
    <row r="115">
      <c r="A115" s="125" t="s">
        <v>1170</v>
      </c>
      <c r="B115" s="526" t="s">
        <v>1169</v>
      </c>
      <c r="C115" s="527">
        <v>0.0</v>
      </c>
      <c r="D115" s="527">
        <v>0.0</v>
      </c>
      <c r="F115" s="36" t="s">
        <v>7798</v>
      </c>
      <c r="G115" s="125" t="s">
        <v>893</v>
      </c>
      <c r="H115" s="125" t="s">
        <v>7799</v>
      </c>
      <c r="I115" t="s">
        <v>81</v>
      </c>
    </row>
    <row r="116">
      <c r="A116" s="125" t="s">
        <v>1172</v>
      </c>
      <c r="B116" s="526" t="s">
        <v>1171</v>
      </c>
      <c r="C116" s="527">
        <v>0.0</v>
      </c>
      <c r="D116" s="527">
        <v>0.0</v>
      </c>
      <c r="F116" s="36" t="s">
        <v>7798</v>
      </c>
      <c r="G116" s="125" t="s">
        <v>893</v>
      </c>
      <c r="H116" s="125" t="s">
        <v>7799</v>
      </c>
      <c r="I116" t="s">
        <v>81</v>
      </c>
    </row>
    <row r="117">
      <c r="A117" s="125" t="s">
        <v>1174</v>
      </c>
      <c r="B117" s="526" t="s">
        <v>1173</v>
      </c>
      <c r="C117" s="527">
        <v>0.0</v>
      </c>
      <c r="D117" s="527">
        <v>0.0</v>
      </c>
      <c r="F117" s="36" t="s">
        <v>7798</v>
      </c>
      <c r="G117" s="125" t="s">
        <v>893</v>
      </c>
      <c r="H117" s="125" t="s">
        <v>7799</v>
      </c>
      <c r="I117" t="s">
        <v>81</v>
      </c>
    </row>
    <row r="118">
      <c r="A118" s="125" t="s">
        <v>1178</v>
      </c>
      <c r="B118" s="526" t="s">
        <v>1177</v>
      </c>
      <c r="C118" s="527">
        <v>3.0</v>
      </c>
      <c r="D118" s="527">
        <v>185.76</v>
      </c>
      <c r="E118" s="528">
        <v>61.92</v>
      </c>
      <c r="F118" s="36" t="s">
        <v>7798</v>
      </c>
      <c r="G118" s="125" t="s">
        <v>913</v>
      </c>
      <c r="H118" s="125" t="s">
        <v>7808</v>
      </c>
      <c r="I118" t="s">
        <v>81</v>
      </c>
    </row>
    <row r="119">
      <c r="A119" s="125" t="s">
        <v>1180</v>
      </c>
      <c r="B119" s="526" t="s">
        <v>1179</v>
      </c>
      <c r="C119" s="527">
        <v>18.0</v>
      </c>
      <c r="D119" s="527">
        <v>123.94</v>
      </c>
      <c r="E119" s="528">
        <v>6.8856</v>
      </c>
      <c r="F119" s="36" t="s">
        <v>7798</v>
      </c>
      <c r="G119" s="125" t="s">
        <v>913</v>
      </c>
      <c r="I119" t="s">
        <v>45</v>
      </c>
    </row>
    <row r="120">
      <c r="A120" s="125" t="s">
        <v>1182</v>
      </c>
      <c r="B120" s="526" t="s">
        <v>1181</v>
      </c>
      <c r="C120" s="527">
        <v>0.0</v>
      </c>
      <c r="D120" s="527">
        <v>0.0</v>
      </c>
      <c r="F120" s="36" t="s">
        <v>7798</v>
      </c>
      <c r="G120" s="125" t="s">
        <v>893</v>
      </c>
      <c r="H120" s="125" t="s">
        <v>7799</v>
      </c>
      <c r="I120" t="s">
        <v>7810</v>
      </c>
    </row>
    <row r="121">
      <c r="A121" s="125" t="s">
        <v>1184</v>
      </c>
      <c r="B121" s="526" t="s">
        <v>1183</v>
      </c>
      <c r="C121" s="527">
        <v>0.0</v>
      </c>
      <c r="D121" s="527">
        <v>0.0</v>
      </c>
      <c r="F121" s="36" t="s">
        <v>7798</v>
      </c>
      <c r="G121" s="125" t="s">
        <v>893</v>
      </c>
      <c r="H121" s="125" t="s">
        <v>7799</v>
      </c>
      <c r="I121" t="s">
        <v>7810</v>
      </c>
    </row>
    <row r="122">
      <c r="A122" s="125" t="s">
        <v>1186</v>
      </c>
      <c r="B122" s="526" t="s">
        <v>1185</v>
      </c>
      <c r="C122" s="527">
        <v>0.0</v>
      </c>
      <c r="D122" s="527">
        <v>0.0</v>
      </c>
      <c r="F122" s="36" t="s">
        <v>7798</v>
      </c>
      <c r="G122" s="125" t="s">
        <v>893</v>
      </c>
      <c r="H122" s="125" t="s">
        <v>7799</v>
      </c>
      <c r="I122" t="s">
        <v>7810</v>
      </c>
    </row>
    <row r="123">
      <c r="A123" s="125" t="s">
        <v>1190</v>
      </c>
      <c r="B123" s="526" t="s">
        <v>1189</v>
      </c>
      <c r="C123" s="527">
        <v>0.0</v>
      </c>
      <c r="D123" s="527">
        <v>0.0</v>
      </c>
      <c r="F123" s="36" t="s">
        <v>7798</v>
      </c>
      <c r="G123" s="125" t="s">
        <v>893</v>
      </c>
      <c r="H123" s="125" t="s">
        <v>7799</v>
      </c>
      <c r="I123" t="s">
        <v>7810</v>
      </c>
    </row>
    <row r="124">
      <c r="A124" s="125" t="s">
        <v>1192</v>
      </c>
      <c r="B124" s="526" t="s">
        <v>1191</v>
      </c>
      <c r="C124" s="527">
        <v>0.0</v>
      </c>
      <c r="D124" s="527">
        <v>0.0</v>
      </c>
      <c r="F124" s="36" t="s">
        <v>7798</v>
      </c>
      <c r="G124" s="125" t="s">
        <v>893</v>
      </c>
      <c r="H124" s="125" t="s">
        <v>7799</v>
      </c>
      <c r="I124" t="s">
        <v>7810</v>
      </c>
    </row>
    <row r="125">
      <c r="A125" s="125" t="s">
        <v>1196</v>
      </c>
      <c r="B125" s="526" t="s">
        <v>1195</v>
      </c>
      <c r="C125" s="527">
        <v>0.0</v>
      </c>
      <c r="D125" s="527">
        <v>0.0</v>
      </c>
      <c r="F125" s="36" t="s">
        <v>7798</v>
      </c>
      <c r="G125" s="125" t="s">
        <v>893</v>
      </c>
      <c r="H125" s="125" t="s">
        <v>7799</v>
      </c>
      <c r="I125" t="s">
        <v>7810</v>
      </c>
    </row>
    <row r="126">
      <c r="A126" s="125" t="s">
        <v>1200</v>
      </c>
      <c r="B126" s="526" t="s">
        <v>1199</v>
      </c>
      <c r="C126" s="527">
        <v>0.0</v>
      </c>
      <c r="D126" s="527">
        <v>0.0</v>
      </c>
      <c r="F126" s="36" t="s">
        <v>7798</v>
      </c>
      <c r="G126" s="125" t="s">
        <v>893</v>
      </c>
      <c r="H126" s="125" t="s">
        <v>7799</v>
      </c>
      <c r="I126" t="s">
        <v>7810</v>
      </c>
    </row>
    <row r="127">
      <c r="A127" s="125" t="s">
        <v>1202</v>
      </c>
      <c r="B127" s="526" t="s">
        <v>1201</v>
      </c>
      <c r="C127" s="527">
        <v>0.0</v>
      </c>
      <c r="D127" s="527">
        <v>0.0</v>
      </c>
      <c r="F127" s="36" t="s">
        <v>7798</v>
      </c>
      <c r="G127" s="125" t="s">
        <v>893</v>
      </c>
      <c r="H127" s="125" t="s">
        <v>7799</v>
      </c>
      <c r="I127" t="s">
        <v>7810</v>
      </c>
    </row>
    <row r="128">
      <c r="A128" s="125" t="s">
        <v>1206</v>
      </c>
      <c r="B128" s="526" t="s">
        <v>1205</v>
      </c>
      <c r="C128" s="527">
        <v>0.0</v>
      </c>
      <c r="D128" s="527">
        <v>0.0</v>
      </c>
      <c r="F128" s="36" t="s">
        <v>7798</v>
      </c>
      <c r="G128" s="125" t="s">
        <v>893</v>
      </c>
      <c r="H128" s="125" t="s">
        <v>7799</v>
      </c>
      <c r="I128" t="s">
        <v>7813</v>
      </c>
    </row>
    <row r="129">
      <c r="A129" s="125" t="s">
        <v>1208</v>
      </c>
      <c r="B129" s="526" t="s">
        <v>1207</v>
      </c>
      <c r="C129" s="527">
        <v>0.0</v>
      </c>
      <c r="D129" s="527">
        <v>0.0</v>
      </c>
      <c r="F129" s="36" t="s">
        <v>7798</v>
      </c>
      <c r="G129" s="125" t="s">
        <v>893</v>
      </c>
      <c r="H129" s="125" t="s">
        <v>7799</v>
      </c>
      <c r="I129" t="s">
        <v>7813</v>
      </c>
    </row>
    <row r="130">
      <c r="A130" s="125" t="s">
        <v>1210</v>
      </c>
      <c r="B130" s="526" t="s">
        <v>1209</v>
      </c>
      <c r="C130" s="527">
        <v>0.0</v>
      </c>
      <c r="D130" s="527">
        <v>0.0</v>
      </c>
      <c r="F130" s="36" t="s">
        <v>7798</v>
      </c>
      <c r="G130" s="125" t="s">
        <v>893</v>
      </c>
      <c r="H130" s="125" t="s">
        <v>7799</v>
      </c>
      <c r="I130" t="s">
        <v>7812</v>
      </c>
    </row>
    <row r="131">
      <c r="A131" s="125" t="s">
        <v>1218</v>
      </c>
      <c r="B131" s="526" t="s">
        <v>1217</v>
      </c>
      <c r="C131" s="527">
        <v>0.0</v>
      </c>
      <c r="D131" s="527">
        <v>0.0</v>
      </c>
      <c r="F131" s="36" t="s">
        <v>7798</v>
      </c>
      <c r="G131" s="125" t="s">
        <v>893</v>
      </c>
      <c r="H131" s="125" t="s">
        <v>7799</v>
      </c>
      <c r="I131" t="s">
        <v>7813</v>
      </c>
    </row>
    <row r="132">
      <c r="A132" s="125" t="s">
        <v>1220</v>
      </c>
      <c r="B132" s="526" t="s">
        <v>1219</v>
      </c>
      <c r="C132" s="527">
        <v>0.0</v>
      </c>
      <c r="D132" s="527">
        <v>0.0</v>
      </c>
      <c r="F132" s="36" t="s">
        <v>7798</v>
      </c>
      <c r="G132" s="125" t="s">
        <v>893</v>
      </c>
      <c r="H132" s="125" t="s">
        <v>7799</v>
      </c>
      <c r="I132" t="s">
        <v>81</v>
      </c>
    </row>
    <row r="133">
      <c r="A133" s="125" t="s">
        <v>1222</v>
      </c>
      <c r="B133" s="526" t="s">
        <v>1221</v>
      </c>
      <c r="C133" s="527">
        <v>0.0</v>
      </c>
      <c r="D133" s="527">
        <v>0.0</v>
      </c>
      <c r="F133" s="36" t="s">
        <v>7798</v>
      </c>
      <c r="G133" s="125" t="s">
        <v>893</v>
      </c>
      <c r="H133" s="125" t="s">
        <v>7799</v>
      </c>
      <c r="I133" t="s">
        <v>81</v>
      </c>
    </row>
    <row r="134">
      <c r="A134" s="125" t="s">
        <v>1224</v>
      </c>
      <c r="B134" s="526" t="s">
        <v>1223</v>
      </c>
      <c r="C134" s="527">
        <v>0.0</v>
      </c>
      <c r="D134" s="527">
        <v>0.0</v>
      </c>
      <c r="F134" s="36" t="s">
        <v>7798</v>
      </c>
      <c r="G134" s="125" t="s">
        <v>893</v>
      </c>
      <c r="H134" s="125" t="s">
        <v>7799</v>
      </c>
      <c r="I134" t="s">
        <v>81</v>
      </c>
    </row>
    <row r="135">
      <c r="A135" s="125" t="s">
        <v>1226</v>
      </c>
      <c r="B135" s="526" t="s">
        <v>1225</v>
      </c>
      <c r="C135" s="527">
        <v>0.0</v>
      </c>
      <c r="D135" s="527">
        <v>0.0</v>
      </c>
      <c r="F135" s="36" t="s">
        <v>7798</v>
      </c>
      <c r="G135" s="125" t="s">
        <v>893</v>
      </c>
      <c r="H135" s="125" t="s">
        <v>7799</v>
      </c>
      <c r="I135" t="s">
        <v>81</v>
      </c>
    </row>
    <row r="136">
      <c r="A136" s="125" t="s">
        <v>1228</v>
      </c>
      <c r="B136" s="526" t="s">
        <v>1227</v>
      </c>
      <c r="C136" s="527">
        <v>0.0</v>
      </c>
      <c r="D136" s="527">
        <v>0.0</v>
      </c>
      <c r="F136" s="36" t="s">
        <v>7798</v>
      </c>
      <c r="G136" s="125" t="s">
        <v>893</v>
      </c>
      <c r="H136" s="125" t="s">
        <v>7799</v>
      </c>
      <c r="I136" t="s">
        <v>81</v>
      </c>
    </row>
    <row r="137">
      <c r="A137" s="125" t="s">
        <v>1230</v>
      </c>
      <c r="B137" s="526" t="s">
        <v>1229</v>
      </c>
      <c r="C137" s="527">
        <v>0.0</v>
      </c>
      <c r="D137" s="527">
        <v>0.0</v>
      </c>
      <c r="F137" s="36" t="s">
        <v>7798</v>
      </c>
      <c r="G137" s="125" t="s">
        <v>893</v>
      </c>
      <c r="H137" s="125" t="s">
        <v>7799</v>
      </c>
      <c r="I137" t="s">
        <v>81</v>
      </c>
    </row>
    <row r="138">
      <c r="A138" s="125" t="s">
        <v>1232</v>
      </c>
      <c r="B138" s="526" t="s">
        <v>1231</v>
      </c>
      <c r="C138" s="527">
        <v>0.0</v>
      </c>
      <c r="D138" s="527">
        <v>0.0</v>
      </c>
      <c r="F138" s="36" t="s">
        <v>7798</v>
      </c>
      <c r="G138" s="125" t="s">
        <v>893</v>
      </c>
      <c r="H138" s="125" t="s">
        <v>7799</v>
      </c>
      <c r="I138" t="s">
        <v>81</v>
      </c>
    </row>
    <row r="139">
      <c r="A139" s="125" t="s">
        <v>1234</v>
      </c>
      <c r="B139" s="526" t="s">
        <v>1233</v>
      </c>
      <c r="C139" s="527">
        <v>0.0</v>
      </c>
      <c r="D139" s="527">
        <v>0.0</v>
      </c>
      <c r="F139" s="36" t="s">
        <v>7798</v>
      </c>
      <c r="G139" s="125" t="s">
        <v>893</v>
      </c>
      <c r="H139" s="125" t="s">
        <v>7799</v>
      </c>
      <c r="I139" t="s">
        <v>81</v>
      </c>
    </row>
    <row r="140">
      <c r="A140" s="125" t="s">
        <v>1236</v>
      </c>
      <c r="B140" s="526" t="s">
        <v>1235</v>
      </c>
      <c r="C140" s="527">
        <v>0.0</v>
      </c>
      <c r="D140" s="527">
        <v>0.0</v>
      </c>
      <c r="F140" s="36" t="s">
        <v>7798</v>
      </c>
      <c r="G140" s="125" t="s">
        <v>893</v>
      </c>
      <c r="H140" s="125" t="s">
        <v>7799</v>
      </c>
      <c r="I140" t="s">
        <v>81</v>
      </c>
    </row>
    <row r="141">
      <c r="A141" s="125" t="s">
        <v>1238</v>
      </c>
      <c r="B141" s="526" t="s">
        <v>1237</v>
      </c>
      <c r="C141" s="527">
        <v>0.0</v>
      </c>
      <c r="D141" s="527">
        <v>0.0</v>
      </c>
      <c r="F141" s="36" t="s">
        <v>7798</v>
      </c>
      <c r="G141" s="125" t="s">
        <v>893</v>
      </c>
      <c r="H141" s="125" t="s">
        <v>7799</v>
      </c>
      <c r="I141" t="s">
        <v>81</v>
      </c>
    </row>
    <row r="142">
      <c r="A142" s="125" t="s">
        <v>1240</v>
      </c>
      <c r="B142" s="526" t="s">
        <v>1239</v>
      </c>
      <c r="C142" s="527">
        <v>0.0</v>
      </c>
      <c r="D142" s="527">
        <v>0.0</v>
      </c>
      <c r="F142" s="36" t="s">
        <v>7798</v>
      </c>
      <c r="G142" s="125" t="s">
        <v>893</v>
      </c>
      <c r="H142" s="125" t="s">
        <v>7799</v>
      </c>
      <c r="I142" t="s">
        <v>81</v>
      </c>
    </row>
    <row r="143">
      <c r="A143" s="125" t="s">
        <v>1242</v>
      </c>
      <c r="B143" s="526" t="s">
        <v>1241</v>
      </c>
      <c r="C143" s="527">
        <v>0.0</v>
      </c>
      <c r="D143" s="527">
        <v>0.0</v>
      </c>
      <c r="F143" s="36" t="s">
        <v>7798</v>
      </c>
      <c r="G143" s="125" t="s">
        <v>893</v>
      </c>
      <c r="H143" s="125" t="s">
        <v>7799</v>
      </c>
      <c r="I143" t="s">
        <v>81</v>
      </c>
    </row>
    <row r="144">
      <c r="A144" s="125" t="s">
        <v>1244</v>
      </c>
      <c r="B144" s="526" t="s">
        <v>1243</v>
      </c>
      <c r="C144" s="527">
        <v>0.0</v>
      </c>
      <c r="D144" s="527">
        <v>0.0</v>
      </c>
      <c r="F144" s="36" t="s">
        <v>7798</v>
      </c>
      <c r="G144" s="125" t="s">
        <v>893</v>
      </c>
      <c r="H144" s="125" t="s">
        <v>7799</v>
      </c>
      <c r="I144" t="s">
        <v>81</v>
      </c>
    </row>
    <row r="145">
      <c r="A145" s="125" t="s">
        <v>1246</v>
      </c>
      <c r="B145" s="526" t="s">
        <v>1245</v>
      </c>
      <c r="C145" s="527">
        <v>0.0</v>
      </c>
      <c r="D145" s="527">
        <v>0.0</v>
      </c>
      <c r="F145" s="36" t="s">
        <v>7798</v>
      </c>
      <c r="G145" s="125" t="s">
        <v>893</v>
      </c>
      <c r="H145" s="125" t="s">
        <v>7799</v>
      </c>
      <c r="I145" t="s">
        <v>81</v>
      </c>
    </row>
    <row r="146">
      <c r="A146" s="125" t="s">
        <v>693</v>
      </c>
      <c r="B146" s="526" t="s">
        <v>694</v>
      </c>
      <c r="C146" s="527">
        <v>2.0</v>
      </c>
      <c r="D146" s="527">
        <v>71.88</v>
      </c>
      <c r="E146" s="528">
        <v>35.94</v>
      </c>
      <c r="F146" s="36" t="s">
        <v>7798</v>
      </c>
      <c r="G146" s="125" t="s">
        <v>913</v>
      </c>
      <c r="H146" s="125" t="s">
        <v>569</v>
      </c>
      <c r="I146" t="s">
        <v>81</v>
      </c>
    </row>
    <row r="147">
      <c r="A147" s="125" t="s">
        <v>1248</v>
      </c>
      <c r="B147" s="526" t="s">
        <v>1247</v>
      </c>
      <c r="C147" s="527">
        <v>0.0</v>
      </c>
      <c r="D147" s="527">
        <v>0.0</v>
      </c>
      <c r="F147" s="36" t="s">
        <v>7798</v>
      </c>
      <c r="G147" s="125" t="s">
        <v>893</v>
      </c>
      <c r="H147" s="125" t="s">
        <v>7799</v>
      </c>
      <c r="I147" t="s">
        <v>7813</v>
      </c>
    </row>
    <row r="148">
      <c r="A148" s="125" t="s">
        <v>1250</v>
      </c>
      <c r="B148" s="526" t="s">
        <v>1249</v>
      </c>
      <c r="C148" s="527">
        <v>0.0</v>
      </c>
      <c r="D148" s="527">
        <v>0.0</v>
      </c>
      <c r="F148" s="36" t="s">
        <v>7798</v>
      </c>
      <c r="G148" s="125" t="s">
        <v>893</v>
      </c>
      <c r="H148" s="125" t="s">
        <v>7799</v>
      </c>
      <c r="I148" t="s">
        <v>7813</v>
      </c>
    </row>
    <row r="149">
      <c r="A149" s="125" t="s">
        <v>1252</v>
      </c>
      <c r="B149" s="526" t="s">
        <v>1251</v>
      </c>
      <c r="C149" s="527">
        <v>0.0</v>
      </c>
      <c r="D149" s="527">
        <v>0.0</v>
      </c>
      <c r="F149" s="36" t="s">
        <v>7798</v>
      </c>
      <c r="G149" s="125" t="s">
        <v>893</v>
      </c>
      <c r="H149" s="125" t="s">
        <v>7801</v>
      </c>
      <c r="I149" t="s">
        <v>45</v>
      </c>
    </row>
    <row r="150">
      <c r="A150" s="125" t="s">
        <v>1254</v>
      </c>
      <c r="B150" s="526" t="s">
        <v>1253</v>
      </c>
      <c r="C150" s="527">
        <v>0.0</v>
      </c>
      <c r="D150" s="527">
        <v>0.0</v>
      </c>
      <c r="F150" s="36" t="s">
        <v>7798</v>
      </c>
      <c r="G150" s="125" t="s">
        <v>893</v>
      </c>
      <c r="H150" s="125" t="s">
        <v>7799</v>
      </c>
      <c r="I150" t="s">
        <v>7812</v>
      </c>
    </row>
    <row r="151">
      <c r="A151" s="125" t="s">
        <v>1256</v>
      </c>
      <c r="B151" s="526" t="s">
        <v>1255</v>
      </c>
      <c r="C151" s="527">
        <v>0.0</v>
      </c>
      <c r="D151" s="527">
        <v>0.0</v>
      </c>
      <c r="F151" s="36" t="s">
        <v>7798</v>
      </c>
      <c r="G151" s="125" t="s">
        <v>893</v>
      </c>
      <c r="H151" s="125" t="s">
        <v>7801</v>
      </c>
      <c r="I151" t="s">
        <v>7814</v>
      </c>
    </row>
    <row r="152">
      <c r="A152" s="125" t="s">
        <v>1260</v>
      </c>
      <c r="B152" s="526" t="s">
        <v>1259</v>
      </c>
      <c r="C152" s="527">
        <v>0.0</v>
      </c>
      <c r="D152" s="527">
        <v>0.0</v>
      </c>
      <c r="F152" s="36" t="s">
        <v>7798</v>
      </c>
      <c r="G152" s="125" t="s">
        <v>893</v>
      </c>
      <c r="H152" s="125" t="s">
        <v>7799</v>
      </c>
      <c r="I152" t="s">
        <v>7806</v>
      </c>
    </row>
    <row r="153">
      <c r="A153" s="125" t="s">
        <v>1262</v>
      </c>
      <c r="B153" s="526" t="s">
        <v>1261</v>
      </c>
      <c r="C153" s="527">
        <v>0.0</v>
      </c>
      <c r="D153" s="527">
        <v>0.0</v>
      </c>
      <c r="F153" s="36" t="s">
        <v>7798</v>
      </c>
      <c r="G153" s="125" t="s">
        <v>893</v>
      </c>
      <c r="H153" s="125" t="s">
        <v>7799</v>
      </c>
      <c r="I153" t="s">
        <v>7806</v>
      </c>
    </row>
    <row r="154">
      <c r="A154" s="125" t="s">
        <v>1264</v>
      </c>
      <c r="B154" s="526" t="s">
        <v>1263</v>
      </c>
      <c r="C154" s="527">
        <v>0.0</v>
      </c>
      <c r="D154" s="527">
        <v>0.0</v>
      </c>
      <c r="F154" s="36" t="s">
        <v>7798</v>
      </c>
      <c r="G154" s="125" t="s">
        <v>893</v>
      </c>
      <c r="H154" s="125" t="s">
        <v>7799</v>
      </c>
      <c r="I154" t="s">
        <v>7806</v>
      </c>
    </row>
    <row r="155">
      <c r="A155" s="125" t="s">
        <v>1266</v>
      </c>
      <c r="B155" s="526" t="s">
        <v>1265</v>
      </c>
      <c r="C155" s="527">
        <v>0.0</v>
      </c>
      <c r="D155" s="527">
        <v>0.0</v>
      </c>
      <c r="F155" s="36" t="s">
        <v>7798</v>
      </c>
      <c r="G155" s="125" t="s">
        <v>893</v>
      </c>
      <c r="H155" s="125" t="s">
        <v>7799</v>
      </c>
      <c r="I155" t="s">
        <v>7806</v>
      </c>
    </row>
    <row r="156">
      <c r="A156" s="125" t="s">
        <v>1268</v>
      </c>
      <c r="B156" s="526" t="s">
        <v>1267</v>
      </c>
      <c r="C156" s="527">
        <v>0.0</v>
      </c>
      <c r="D156" s="527">
        <v>0.0</v>
      </c>
      <c r="F156" s="36" t="s">
        <v>7798</v>
      </c>
      <c r="G156" s="125" t="s">
        <v>893</v>
      </c>
      <c r="H156" s="125" t="s">
        <v>7799</v>
      </c>
      <c r="I156" t="s">
        <v>7806</v>
      </c>
    </row>
    <row r="157">
      <c r="A157" s="125" t="s">
        <v>1270</v>
      </c>
      <c r="B157" s="526" t="s">
        <v>1269</v>
      </c>
      <c r="C157" s="527">
        <v>0.0</v>
      </c>
      <c r="D157" s="527">
        <v>0.0</v>
      </c>
      <c r="F157" s="36" t="s">
        <v>7798</v>
      </c>
      <c r="G157" s="125" t="s">
        <v>893</v>
      </c>
      <c r="H157" s="125" t="s">
        <v>7799</v>
      </c>
      <c r="I157" t="s">
        <v>7806</v>
      </c>
    </row>
    <row r="158">
      <c r="A158" s="125" t="s">
        <v>1274</v>
      </c>
      <c r="B158" s="526" t="s">
        <v>1273</v>
      </c>
      <c r="C158" s="527">
        <v>0.0</v>
      </c>
      <c r="D158" s="527">
        <v>0.0</v>
      </c>
      <c r="F158" s="36" t="s">
        <v>7798</v>
      </c>
      <c r="G158" s="125" t="s">
        <v>893</v>
      </c>
      <c r="H158" s="125" t="s">
        <v>7799</v>
      </c>
      <c r="I158" t="s">
        <v>7806</v>
      </c>
    </row>
    <row r="159">
      <c r="A159" s="125" t="s">
        <v>1276</v>
      </c>
      <c r="B159" s="526" t="s">
        <v>1275</v>
      </c>
      <c r="C159" s="527">
        <v>0.0</v>
      </c>
      <c r="D159" s="527">
        <v>0.0</v>
      </c>
      <c r="F159" s="36" t="s">
        <v>7798</v>
      </c>
      <c r="G159" s="125" t="s">
        <v>893</v>
      </c>
      <c r="H159" s="125" t="s">
        <v>7799</v>
      </c>
      <c r="I159" t="s">
        <v>7806</v>
      </c>
    </row>
    <row r="160">
      <c r="A160" s="125" t="s">
        <v>1280</v>
      </c>
      <c r="B160" s="526" t="s">
        <v>1279</v>
      </c>
      <c r="C160" s="527">
        <v>0.0</v>
      </c>
      <c r="D160" s="527">
        <v>0.0</v>
      </c>
      <c r="F160" s="36" t="s">
        <v>7798</v>
      </c>
      <c r="G160" s="125" t="s">
        <v>893</v>
      </c>
      <c r="H160" s="125" t="s">
        <v>7799</v>
      </c>
      <c r="I160" t="s">
        <v>7806</v>
      </c>
    </row>
    <row r="161">
      <c r="A161" s="125" t="s">
        <v>1282</v>
      </c>
      <c r="B161" s="526" t="s">
        <v>1281</v>
      </c>
      <c r="C161" s="527">
        <v>0.0</v>
      </c>
      <c r="D161" s="527">
        <v>0.0</v>
      </c>
      <c r="F161" s="36" t="s">
        <v>7798</v>
      </c>
      <c r="G161" s="125" t="s">
        <v>893</v>
      </c>
      <c r="H161" s="125" t="s">
        <v>7799</v>
      </c>
      <c r="I161" t="s">
        <v>7806</v>
      </c>
    </row>
    <row r="162">
      <c r="A162" s="125" t="s">
        <v>1284</v>
      </c>
      <c r="B162" s="526" t="s">
        <v>1283</v>
      </c>
      <c r="C162" s="527">
        <v>0.0</v>
      </c>
      <c r="D162" s="527">
        <v>0.0</v>
      </c>
      <c r="F162" s="36" t="s">
        <v>7798</v>
      </c>
      <c r="G162" s="125" t="s">
        <v>893</v>
      </c>
      <c r="H162" s="125" t="s">
        <v>7799</v>
      </c>
      <c r="I162" t="s">
        <v>7806</v>
      </c>
    </row>
    <row r="163">
      <c r="A163" s="125" t="s">
        <v>1286</v>
      </c>
      <c r="B163" s="526" t="s">
        <v>1285</v>
      </c>
      <c r="C163" s="527">
        <v>0.0</v>
      </c>
      <c r="D163" s="527">
        <v>0.0</v>
      </c>
      <c r="F163" s="36" t="s">
        <v>7798</v>
      </c>
      <c r="G163" s="125" t="s">
        <v>893</v>
      </c>
      <c r="H163" s="125" t="s">
        <v>7799</v>
      </c>
      <c r="I163" t="s">
        <v>7806</v>
      </c>
    </row>
    <row r="164">
      <c r="A164" s="125" t="s">
        <v>1288</v>
      </c>
      <c r="B164" s="526" t="s">
        <v>1287</v>
      </c>
      <c r="C164" s="527">
        <v>0.0</v>
      </c>
      <c r="D164" s="527">
        <v>0.0</v>
      </c>
      <c r="F164" s="36" t="s">
        <v>7798</v>
      </c>
      <c r="G164" s="125" t="s">
        <v>893</v>
      </c>
      <c r="H164" s="125" t="s">
        <v>7799</v>
      </c>
      <c r="I164" t="s">
        <v>7806</v>
      </c>
    </row>
    <row r="165">
      <c r="A165" s="125" t="s">
        <v>1290</v>
      </c>
      <c r="B165" s="526" t="s">
        <v>1289</v>
      </c>
      <c r="C165" s="527">
        <v>0.0</v>
      </c>
      <c r="D165" s="527">
        <v>0.0</v>
      </c>
      <c r="F165" s="36" t="s">
        <v>7798</v>
      </c>
      <c r="G165" s="125" t="s">
        <v>893</v>
      </c>
      <c r="H165" s="125" t="s">
        <v>7799</v>
      </c>
      <c r="I165" t="s">
        <v>7806</v>
      </c>
    </row>
    <row r="166">
      <c r="A166" s="125" t="s">
        <v>1292</v>
      </c>
      <c r="B166" s="526" t="s">
        <v>1291</v>
      </c>
      <c r="C166" s="527">
        <v>0.0</v>
      </c>
      <c r="D166" s="527">
        <v>0.0</v>
      </c>
      <c r="F166" s="36" t="s">
        <v>7798</v>
      </c>
      <c r="G166" s="125" t="s">
        <v>893</v>
      </c>
      <c r="H166" s="125" t="s">
        <v>7799</v>
      </c>
      <c r="I166" t="s">
        <v>489</v>
      </c>
    </row>
    <row r="167">
      <c r="A167" s="125" t="s">
        <v>1294</v>
      </c>
      <c r="B167" s="526" t="s">
        <v>1293</v>
      </c>
      <c r="C167" s="527">
        <v>0.0</v>
      </c>
      <c r="D167" s="527">
        <v>0.0</v>
      </c>
      <c r="F167" s="36" t="s">
        <v>7798</v>
      </c>
      <c r="G167" s="125" t="s">
        <v>893</v>
      </c>
      <c r="H167" s="125" t="s">
        <v>7799</v>
      </c>
      <c r="I167" t="s">
        <v>489</v>
      </c>
    </row>
    <row r="168">
      <c r="A168" s="125" t="s">
        <v>1296</v>
      </c>
      <c r="B168" s="526" t="s">
        <v>1295</v>
      </c>
      <c r="C168" s="527">
        <v>0.0</v>
      </c>
      <c r="D168" s="527">
        <v>0.0</v>
      </c>
      <c r="F168" s="36" t="s">
        <v>7798</v>
      </c>
      <c r="G168" s="125" t="s">
        <v>893</v>
      </c>
      <c r="H168" s="125" t="s">
        <v>7799</v>
      </c>
      <c r="I168" t="s">
        <v>489</v>
      </c>
    </row>
    <row r="169">
      <c r="A169" s="125" t="s">
        <v>1298</v>
      </c>
      <c r="B169" s="526" t="s">
        <v>1297</v>
      </c>
      <c r="C169" s="527">
        <v>0.0</v>
      </c>
      <c r="D169" s="527">
        <v>0.0</v>
      </c>
      <c r="F169" s="36" t="s">
        <v>7798</v>
      </c>
      <c r="G169" s="125" t="s">
        <v>893</v>
      </c>
      <c r="H169" s="125" t="s">
        <v>7799</v>
      </c>
      <c r="I169" t="s">
        <v>489</v>
      </c>
    </row>
    <row r="170">
      <c r="A170" s="125" t="s">
        <v>1300</v>
      </c>
      <c r="B170" s="526" t="s">
        <v>1299</v>
      </c>
      <c r="C170" s="527">
        <v>0.0</v>
      </c>
      <c r="D170" s="527">
        <v>0.0</v>
      </c>
      <c r="F170" s="36" t="s">
        <v>7798</v>
      </c>
      <c r="G170" s="125" t="s">
        <v>893</v>
      </c>
      <c r="H170" s="125" t="s">
        <v>7799</v>
      </c>
      <c r="I170" t="s">
        <v>489</v>
      </c>
    </row>
    <row r="171">
      <c r="A171" s="125" t="s">
        <v>1302</v>
      </c>
      <c r="B171" s="526" t="s">
        <v>1301</v>
      </c>
      <c r="C171" s="527">
        <v>0.0</v>
      </c>
      <c r="D171" s="527">
        <v>0.0</v>
      </c>
      <c r="F171" s="36" t="s">
        <v>7798</v>
      </c>
      <c r="G171" s="125" t="s">
        <v>893</v>
      </c>
      <c r="H171" s="125" t="s">
        <v>7799</v>
      </c>
      <c r="I171" t="s">
        <v>489</v>
      </c>
    </row>
    <row r="172">
      <c r="A172" s="125" t="s">
        <v>1304</v>
      </c>
      <c r="B172" s="526" t="s">
        <v>1303</v>
      </c>
      <c r="C172" s="527">
        <v>0.0</v>
      </c>
      <c r="D172" s="527">
        <v>0.0</v>
      </c>
      <c r="F172" s="36" t="s">
        <v>7798</v>
      </c>
      <c r="G172" s="125" t="s">
        <v>893</v>
      </c>
      <c r="H172" s="125" t="s">
        <v>7799</v>
      </c>
      <c r="I172" t="s">
        <v>489</v>
      </c>
    </row>
    <row r="173">
      <c r="A173" s="125" t="s">
        <v>1306</v>
      </c>
      <c r="B173" s="526" t="s">
        <v>1305</v>
      </c>
      <c r="C173" s="527">
        <v>0.0</v>
      </c>
      <c r="D173" s="527">
        <v>0.0</v>
      </c>
      <c r="F173" s="36" t="s">
        <v>7798</v>
      </c>
      <c r="G173" s="125" t="s">
        <v>893</v>
      </c>
      <c r="H173" s="125" t="s">
        <v>7799</v>
      </c>
      <c r="I173" t="s">
        <v>489</v>
      </c>
    </row>
    <row r="174">
      <c r="A174" s="125" t="s">
        <v>1308</v>
      </c>
      <c r="B174" s="526" t="s">
        <v>1307</v>
      </c>
      <c r="C174" s="527">
        <v>0.0</v>
      </c>
      <c r="D174" s="527">
        <v>0.0</v>
      </c>
      <c r="F174" s="36" t="s">
        <v>7798</v>
      </c>
      <c r="G174" s="125" t="s">
        <v>893</v>
      </c>
      <c r="H174" s="125" t="s">
        <v>7799</v>
      </c>
      <c r="I174" t="s">
        <v>489</v>
      </c>
    </row>
    <row r="175">
      <c r="A175" s="125" t="s">
        <v>1310</v>
      </c>
      <c r="B175" s="526" t="s">
        <v>1309</v>
      </c>
      <c r="C175" s="527">
        <v>0.0</v>
      </c>
      <c r="D175" s="527">
        <v>0.0</v>
      </c>
      <c r="F175" s="36" t="s">
        <v>7798</v>
      </c>
      <c r="G175" s="125" t="s">
        <v>893</v>
      </c>
      <c r="H175" s="125" t="s">
        <v>7799</v>
      </c>
      <c r="I175" t="s">
        <v>489</v>
      </c>
    </row>
    <row r="176">
      <c r="A176" s="125" t="s">
        <v>1312</v>
      </c>
      <c r="B176" s="526" t="s">
        <v>1311</v>
      </c>
      <c r="C176" s="527">
        <v>0.0</v>
      </c>
      <c r="D176" s="527">
        <v>0.0</v>
      </c>
      <c r="F176" s="36" t="s">
        <v>7798</v>
      </c>
      <c r="G176" s="125" t="s">
        <v>893</v>
      </c>
      <c r="H176" s="125" t="s">
        <v>7799</v>
      </c>
      <c r="I176" t="s">
        <v>489</v>
      </c>
    </row>
    <row r="177">
      <c r="A177" s="125" t="s">
        <v>1314</v>
      </c>
      <c r="B177" s="526" t="s">
        <v>1313</v>
      </c>
      <c r="C177" s="527">
        <v>0.0</v>
      </c>
      <c r="D177" s="527">
        <v>0.0</v>
      </c>
      <c r="F177" s="36" t="s">
        <v>7798</v>
      </c>
      <c r="G177" s="125" t="s">
        <v>893</v>
      </c>
      <c r="H177" s="125" t="s">
        <v>7799</v>
      </c>
      <c r="I177" t="s">
        <v>489</v>
      </c>
    </row>
    <row r="178">
      <c r="A178" s="125" t="s">
        <v>1316</v>
      </c>
      <c r="B178" s="526" t="s">
        <v>1315</v>
      </c>
      <c r="C178" s="527">
        <v>0.0</v>
      </c>
      <c r="D178" s="527">
        <v>0.0</v>
      </c>
      <c r="F178" s="36" t="s">
        <v>7798</v>
      </c>
      <c r="G178" s="125" t="s">
        <v>893</v>
      </c>
      <c r="H178" s="125" t="s">
        <v>7799</v>
      </c>
      <c r="I178" t="s">
        <v>489</v>
      </c>
    </row>
    <row r="179">
      <c r="A179" s="125" t="s">
        <v>1318</v>
      </c>
      <c r="B179" s="526" t="s">
        <v>1317</v>
      </c>
      <c r="C179" s="527">
        <v>0.0</v>
      </c>
      <c r="D179" s="527">
        <v>0.0</v>
      </c>
      <c r="F179" s="36" t="s">
        <v>7798</v>
      </c>
      <c r="G179" s="125" t="s">
        <v>893</v>
      </c>
      <c r="H179" s="125" t="s">
        <v>7799</v>
      </c>
      <c r="I179" t="s">
        <v>489</v>
      </c>
    </row>
    <row r="180">
      <c r="A180" s="125" t="s">
        <v>1320</v>
      </c>
      <c r="B180" s="526" t="s">
        <v>1319</v>
      </c>
      <c r="C180" s="527">
        <v>0.0</v>
      </c>
      <c r="D180" s="527">
        <v>0.0</v>
      </c>
      <c r="F180" s="36" t="s">
        <v>7798</v>
      </c>
      <c r="G180" s="125" t="s">
        <v>893</v>
      </c>
      <c r="H180" s="125" t="s">
        <v>7799</v>
      </c>
      <c r="I180" t="s">
        <v>489</v>
      </c>
    </row>
    <row r="181">
      <c r="A181" s="125" t="s">
        <v>1322</v>
      </c>
      <c r="B181" s="526" t="s">
        <v>1321</v>
      </c>
      <c r="C181" s="527">
        <v>0.0</v>
      </c>
      <c r="D181" s="527">
        <v>0.0</v>
      </c>
      <c r="F181" s="36" t="s">
        <v>7798</v>
      </c>
      <c r="G181" s="125" t="s">
        <v>893</v>
      </c>
      <c r="H181" s="125" t="s">
        <v>7799</v>
      </c>
      <c r="I181" t="s">
        <v>489</v>
      </c>
    </row>
    <row r="182">
      <c r="A182" s="125" t="s">
        <v>1324</v>
      </c>
      <c r="B182" s="526" t="s">
        <v>1323</v>
      </c>
      <c r="C182" s="527">
        <v>0.0</v>
      </c>
      <c r="D182" s="527">
        <v>0.0</v>
      </c>
      <c r="F182" s="36" t="s">
        <v>7798</v>
      </c>
      <c r="G182" s="125" t="s">
        <v>893</v>
      </c>
      <c r="H182" s="125" t="s">
        <v>7799</v>
      </c>
      <c r="I182" t="s">
        <v>7815</v>
      </c>
    </row>
    <row r="183">
      <c r="A183" s="125" t="s">
        <v>1326</v>
      </c>
      <c r="B183" s="526" t="s">
        <v>1325</v>
      </c>
      <c r="C183" s="527">
        <v>0.0</v>
      </c>
      <c r="D183" s="527">
        <v>0.0</v>
      </c>
      <c r="F183" s="36" t="s">
        <v>7798</v>
      </c>
      <c r="G183" s="125" t="s">
        <v>893</v>
      </c>
      <c r="H183" s="125" t="s">
        <v>7799</v>
      </c>
      <c r="I183" t="s">
        <v>7815</v>
      </c>
    </row>
    <row r="184">
      <c r="A184" s="125" t="s">
        <v>1328</v>
      </c>
      <c r="B184" s="526" t="s">
        <v>1327</v>
      </c>
      <c r="C184" s="527">
        <v>0.0</v>
      </c>
      <c r="D184" s="527">
        <v>0.0</v>
      </c>
      <c r="F184" s="36" t="s">
        <v>7798</v>
      </c>
      <c r="G184" s="125" t="s">
        <v>893</v>
      </c>
      <c r="H184" s="125" t="s">
        <v>7799</v>
      </c>
      <c r="I184" t="s">
        <v>7815</v>
      </c>
    </row>
    <row r="185">
      <c r="A185" s="125" t="s">
        <v>1330</v>
      </c>
      <c r="B185" s="526" t="s">
        <v>1329</v>
      </c>
      <c r="C185" s="527">
        <v>0.0</v>
      </c>
      <c r="D185" s="527">
        <v>0.0</v>
      </c>
      <c r="F185" s="36" t="s">
        <v>7798</v>
      </c>
      <c r="G185" s="125" t="s">
        <v>893</v>
      </c>
      <c r="H185" s="125" t="s">
        <v>7799</v>
      </c>
      <c r="I185" t="s">
        <v>7815</v>
      </c>
    </row>
    <row r="186">
      <c r="A186" s="125" t="s">
        <v>1332</v>
      </c>
      <c r="B186" s="526" t="s">
        <v>1331</v>
      </c>
      <c r="C186" s="527">
        <v>0.0</v>
      </c>
      <c r="D186" s="527">
        <v>0.0</v>
      </c>
      <c r="F186" s="36" t="s">
        <v>7798</v>
      </c>
      <c r="G186" s="125" t="s">
        <v>893</v>
      </c>
      <c r="H186" s="125" t="s">
        <v>7799</v>
      </c>
      <c r="I186" t="s">
        <v>7815</v>
      </c>
    </row>
    <row r="187">
      <c r="A187" s="125" t="s">
        <v>1334</v>
      </c>
      <c r="B187" s="526" t="s">
        <v>1333</v>
      </c>
      <c r="C187" s="527">
        <v>0.0</v>
      </c>
      <c r="D187" s="527">
        <v>0.0</v>
      </c>
      <c r="F187" s="36" t="s">
        <v>7798</v>
      </c>
      <c r="G187" s="125" t="s">
        <v>893</v>
      </c>
      <c r="H187" s="125" t="s">
        <v>7799</v>
      </c>
      <c r="I187" t="s">
        <v>7815</v>
      </c>
    </row>
    <row r="188">
      <c r="A188" s="125" t="s">
        <v>1336</v>
      </c>
      <c r="B188" s="526" t="s">
        <v>1335</v>
      </c>
      <c r="C188" s="527">
        <v>0.0</v>
      </c>
      <c r="D188" s="527">
        <v>0.0</v>
      </c>
      <c r="F188" s="36" t="s">
        <v>7798</v>
      </c>
      <c r="G188" s="125" t="s">
        <v>893</v>
      </c>
      <c r="H188" s="125" t="s">
        <v>7799</v>
      </c>
      <c r="I188" t="s">
        <v>7815</v>
      </c>
    </row>
    <row r="189">
      <c r="A189" s="125" t="s">
        <v>1338</v>
      </c>
      <c r="B189" s="526" t="s">
        <v>1337</v>
      </c>
      <c r="C189" s="527">
        <v>0.0</v>
      </c>
      <c r="D189" s="527">
        <v>0.0</v>
      </c>
      <c r="F189" s="36" t="s">
        <v>7798</v>
      </c>
      <c r="G189" s="125" t="s">
        <v>893</v>
      </c>
      <c r="H189" s="125" t="s">
        <v>7799</v>
      </c>
      <c r="I189" t="s">
        <v>7815</v>
      </c>
    </row>
    <row r="190">
      <c r="A190" s="125" t="s">
        <v>1340</v>
      </c>
      <c r="B190" s="526" t="s">
        <v>1339</v>
      </c>
      <c r="C190" s="527">
        <v>0.0</v>
      </c>
      <c r="D190" s="527">
        <v>0.0</v>
      </c>
      <c r="F190" s="36" t="s">
        <v>7798</v>
      </c>
      <c r="G190" s="125" t="s">
        <v>893</v>
      </c>
      <c r="H190" s="125" t="s">
        <v>7799</v>
      </c>
      <c r="I190" t="s">
        <v>7815</v>
      </c>
    </row>
    <row r="191">
      <c r="A191" s="125" t="s">
        <v>1342</v>
      </c>
      <c r="B191" s="526" t="s">
        <v>1341</v>
      </c>
      <c r="C191" s="527">
        <v>0.0</v>
      </c>
      <c r="D191" s="527">
        <v>0.0</v>
      </c>
      <c r="F191" s="36" t="s">
        <v>7798</v>
      </c>
      <c r="G191" s="125" t="s">
        <v>893</v>
      </c>
      <c r="H191" s="125" t="s">
        <v>7799</v>
      </c>
      <c r="I191" t="s">
        <v>7815</v>
      </c>
    </row>
    <row r="192">
      <c r="A192" s="125" t="s">
        <v>1344</v>
      </c>
      <c r="B192" s="526" t="s">
        <v>1343</v>
      </c>
      <c r="C192" s="527">
        <v>0.0</v>
      </c>
      <c r="D192" s="527">
        <v>0.0</v>
      </c>
      <c r="F192" s="36" t="s">
        <v>7798</v>
      </c>
      <c r="G192" s="125" t="s">
        <v>893</v>
      </c>
      <c r="H192" s="125" t="s">
        <v>7799</v>
      </c>
      <c r="I192" t="s">
        <v>7815</v>
      </c>
    </row>
    <row r="193">
      <c r="A193" s="125" t="s">
        <v>1346</v>
      </c>
      <c r="B193" s="526" t="s">
        <v>1345</v>
      </c>
      <c r="C193" s="527">
        <v>0.0</v>
      </c>
      <c r="D193" s="527">
        <v>0.0</v>
      </c>
      <c r="F193" s="36" t="s">
        <v>7798</v>
      </c>
      <c r="G193" s="125" t="s">
        <v>893</v>
      </c>
      <c r="H193" s="125" t="s">
        <v>7799</v>
      </c>
      <c r="I193" t="s">
        <v>7815</v>
      </c>
    </row>
    <row r="194">
      <c r="A194" s="125" t="s">
        <v>1348</v>
      </c>
      <c r="B194" s="526" t="s">
        <v>1347</v>
      </c>
      <c r="C194" s="527">
        <v>0.0</v>
      </c>
      <c r="D194" s="527">
        <v>0.0</v>
      </c>
      <c r="F194" s="36" t="s">
        <v>7798</v>
      </c>
      <c r="G194" s="125" t="s">
        <v>893</v>
      </c>
      <c r="H194" s="125" t="s">
        <v>7799</v>
      </c>
      <c r="I194" t="s">
        <v>7815</v>
      </c>
    </row>
    <row r="195">
      <c r="A195" s="125" t="s">
        <v>1350</v>
      </c>
      <c r="B195" s="526" t="s">
        <v>1349</v>
      </c>
      <c r="C195" s="527">
        <v>0.0</v>
      </c>
      <c r="D195" s="527">
        <v>0.0</v>
      </c>
      <c r="F195" s="36" t="s">
        <v>7798</v>
      </c>
      <c r="G195" s="125" t="s">
        <v>893</v>
      </c>
      <c r="H195" s="125" t="s">
        <v>7799</v>
      </c>
      <c r="I195" t="s">
        <v>7815</v>
      </c>
    </row>
    <row r="196">
      <c r="A196" s="125" t="s">
        <v>1352</v>
      </c>
      <c r="B196" s="526" t="s">
        <v>1351</v>
      </c>
      <c r="C196" s="527">
        <v>0.0</v>
      </c>
      <c r="D196" s="527">
        <v>0.0</v>
      </c>
      <c r="F196" s="36" t="s">
        <v>7798</v>
      </c>
      <c r="G196" s="125" t="s">
        <v>893</v>
      </c>
      <c r="H196" s="125" t="s">
        <v>7799</v>
      </c>
      <c r="I196" t="s">
        <v>7815</v>
      </c>
    </row>
    <row r="197">
      <c r="A197" s="125" t="s">
        <v>1354</v>
      </c>
      <c r="B197" s="526" t="s">
        <v>1353</v>
      </c>
      <c r="C197" s="527">
        <v>0.0</v>
      </c>
      <c r="D197" s="527">
        <v>0.0</v>
      </c>
      <c r="F197" s="36" t="s">
        <v>7798</v>
      </c>
      <c r="G197" s="125" t="s">
        <v>893</v>
      </c>
      <c r="H197" s="125" t="s">
        <v>7799</v>
      </c>
      <c r="I197" t="s">
        <v>7815</v>
      </c>
    </row>
    <row r="198">
      <c r="A198" s="125" t="s">
        <v>1356</v>
      </c>
      <c r="B198" s="526" t="s">
        <v>1355</v>
      </c>
      <c r="C198" s="527">
        <v>0.0</v>
      </c>
      <c r="D198" s="527">
        <v>0.0</v>
      </c>
      <c r="F198" s="36" t="s">
        <v>7798</v>
      </c>
      <c r="G198" s="125" t="s">
        <v>893</v>
      </c>
      <c r="H198" s="125" t="s">
        <v>7799</v>
      </c>
      <c r="I198" t="s">
        <v>489</v>
      </c>
    </row>
    <row r="199">
      <c r="A199" s="125" t="s">
        <v>1358</v>
      </c>
      <c r="B199" s="526" t="s">
        <v>1357</v>
      </c>
      <c r="C199" s="527">
        <v>0.0</v>
      </c>
      <c r="D199" s="527">
        <v>0.0</v>
      </c>
      <c r="F199" s="36" t="s">
        <v>7798</v>
      </c>
      <c r="G199" s="125" t="s">
        <v>893</v>
      </c>
      <c r="H199" s="125" t="s">
        <v>7799</v>
      </c>
      <c r="I199" t="s">
        <v>489</v>
      </c>
    </row>
    <row r="200">
      <c r="A200" s="125" t="s">
        <v>1360</v>
      </c>
      <c r="B200" s="526" t="s">
        <v>1359</v>
      </c>
      <c r="C200" s="527">
        <v>0.0</v>
      </c>
      <c r="D200" s="527">
        <v>0.0</v>
      </c>
      <c r="F200" s="36" t="s">
        <v>7798</v>
      </c>
      <c r="G200" s="125" t="s">
        <v>893</v>
      </c>
      <c r="H200" s="125" t="s">
        <v>7799</v>
      </c>
      <c r="I200" t="s">
        <v>53</v>
      </c>
    </row>
    <row r="201">
      <c r="A201" s="125" t="s">
        <v>1362</v>
      </c>
      <c r="B201" s="526" t="s">
        <v>1361</v>
      </c>
      <c r="C201" s="527">
        <v>0.0</v>
      </c>
      <c r="D201" s="527">
        <v>0.0</v>
      </c>
      <c r="F201" s="36" t="s">
        <v>7798</v>
      </c>
      <c r="G201" s="125" t="s">
        <v>893</v>
      </c>
      <c r="H201" s="125" t="s">
        <v>7801</v>
      </c>
      <c r="I201" t="s">
        <v>7814</v>
      </c>
    </row>
    <row r="202">
      <c r="A202" s="125" t="s">
        <v>1364</v>
      </c>
      <c r="B202" s="526" t="s">
        <v>1363</v>
      </c>
      <c r="C202" s="527">
        <v>8.0</v>
      </c>
      <c r="D202" s="527">
        <v>138.72</v>
      </c>
      <c r="E202" s="528">
        <v>17.34</v>
      </c>
      <c r="F202" s="36" t="s">
        <v>7798</v>
      </c>
      <c r="G202" s="125" t="s">
        <v>913</v>
      </c>
      <c r="I202" t="s">
        <v>45</v>
      </c>
    </row>
    <row r="203">
      <c r="A203" s="125" t="s">
        <v>1366</v>
      </c>
      <c r="B203" s="526" t="s">
        <v>1365</v>
      </c>
      <c r="C203" s="527">
        <v>5.0</v>
      </c>
      <c r="D203" s="527">
        <v>67.45</v>
      </c>
      <c r="E203" s="528">
        <v>13.49</v>
      </c>
      <c r="F203" s="36" t="s">
        <v>7798</v>
      </c>
      <c r="G203" s="125" t="s">
        <v>913</v>
      </c>
      <c r="I203" t="s">
        <v>45</v>
      </c>
    </row>
    <row r="204">
      <c r="A204" s="125" t="s">
        <v>1368</v>
      </c>
      <c r="B204" s="526" t="s">
        <v>1367</v>
      </c>
      <c r="C204" s="527">
        <v>0.0</v>
      </c>
      <c r="D204" s="527">
        <v>0.0</v>
      </c>
      <c r="F204" s="36" t="s">
        <v>7798</v>
      </c>
      <c r="G204" s="125" t="s">
        <v>893</v>
      </c>
      <c r="H204" s="125" t="s">
        <v>7801</v>
      </c>
      <c r="I204" t="s">
        <v>45</v>
      </c>
    </row>
    <row r="205">
      <c r="A205" s="125" t="s">
        <v>1370</v>
      </c>
      <c r="B205" s="526" t="s">
        <v>1369</v>
      </c>
      <c r="C205" s="527">
        <v>0.0</v>
      </c>
      <c r="D205" s="527">
        <v>0.0</v>
      </c>
      <c r="F205" s="36" t="s">
        <v>7798</v>
      </c>
      <c r="G205" s="125" t="s">
        <v>893</v>
      </c>
      <c r="H205" s="125" t="s">
        <v>7801</v>
      </c>
      <c r="I205" t="s">
        <v>45</v>
      </c>
    </row>
    <row r="206">
      <c r="A206" s="125" t="s">
        <v>1374</v>
      </c>
      <c r="B206" s="526" t="s">
        <v>1373</v>
      </c>
      <c r="C206" s="527">
        <v>0.0</v>
      </c>
      <c r="D206" s="527">
        <v>0.0</v>
      </c>
      <c r="F206" s="36" t="s">
        <v>7807</v>
      </c>
      <c r="G206" s="125" t="s">
        <v>893</v>
      </c>
      <c r="H206" s="125" t="s">
        <v>7799</v>
      </c>
      <c r="I206" t="s">
        <v>7816</v>
      </c>
    </row>
    <row r="207">
      <c r="A207" s="125" t="s">
        <v>1375</v>
      </c>
      <c r="B207" s="526">
        <v>37301.0</v>
      </c>
      <c r="C207" s="527">
        <v>0.0</v>
      </c>
      <c r="D207" s="527">
        <v>0.0</v>
      </c>
      <c r="F207" s="36" t="s">
        <v>7798</v>
      </c>
      <c r="G207" s="125" t="s">
        <v>893</v>
      </c>
      <c r="H207" s="125" t="s">
        <v>7801</v>
      </c>
      <c r="I207" t="s">
        <v>7816</v>
      </c>
    </row>
    <row r="208">
      <c r="A208" s="125" t="s">
        <v>1376</v>
      </c>
      <c r="B208" s="526">
        <v>37327.0</v>
      </c>
      <c r="C208" s="527">
        <v>38.0</v>
      </c>
      <c r="D208" s="527">
        <v>247.9</v>
      </c>
      <c r="E208" s="528">
        <v>6.5237</v>
      </c>
      <c r="F208" s="36" t="s">
        <v>7798</v>
      </c>
      <c r="G208" s="125" t="s">
        <v>913</v>
      </c>
      <c r="H208" s="125" t="s">
        <v>7801</v>
      </c>
      <c r="I208" t="s">
        <v>7816</v>
      </c>
    </row>
    <row r="209">
      <c r="A209" s="125" t="s">
        <v>1377</v>
      </c>
      <c r="B209" s="526">
        <v>37302.0</v>
      </c>
      <c r="C209" s="527">
        <v>19.0</v>
      </c>
      <c r="D209" s="527">
        <v>138.15</v>
      </c>
      <c r="E209" s="528">
        <v>7.2711</v>
      </c>
      <c r="F209" s="36" t="s">
        <v>7798</v>
      </c>
      <c r="G209" s="125" t="s">
        <v>913</v>
      </c>
      <c r="H209" s="125" t="s">
        <v>7801</v>
      </c>
      <c r="I209" t="s">
        <v>7816</v>
      </c>
    </row>
    <row r="210">
      <c r="A210" s="125" t="s">
        <v>1378</v>
      </c>
      <c r="B210" s="526">
        <v>37303.0</v>
      </c>
      <c r="C210" s="527">
        <v>0.0</v>
      </c>
      <c r="D210" s="527">
        <v>0.0</v>
      </c>
      <c r="F210" s="36" t="s">
        <v>7798</v>
      </c>
      <c r="G210" s="125" t="s">
        <v>893</v>
      </c>
      <c r="H210" s="125" t="s">
        <v>7801</v>
      </c>
      <c r="I210" t="s">
        <v>7816</v>
      </c>
    </row>
    <row r="211">
      <c r="A211" s="125" t="s">
        <v>1379</v>
      </c>
      <c r="B211" s="526">
        <v>37304.0</v>
      </c>
      <c r="C211" s="527">
        <v>0.0</v>
      </c>
      <c r="D211" s="527">
        <v>0.0</v>
      </c>
      <c r="F211" s="36" t="s">
        <v>7798</v>
      </c>
      <c r="G211" s="125" t="s">
        <v>893</v>
      </c>
      <c r="H211" s="125" t="s">
        <v>7801</v>
      </c>
      <c r="I211" t="s">
        <v>7816</v>
      </c>
    </row>
    <row r="212">
      <c r="A212" s="125" t="s">
        <v>1380</v>
      </c>
      <c r="B212" s="526">
        <v>37305.0</v>
      </c>
      <c r="C212" s="527">
        <v>0.0</v>
      </c>
      <c r="D212" s="527">
        <v>0.0</v>
      </c>
      <c r="F212" s="36" t="s">
        <v>7798</v>
      </c>
      <c r="G212" s="125" t="s">
        <v>893</v>
      </c>
      <c r="H212" s="125" t="s">
        <v>7801</v>
      </c>
      <c r="I212" t="s">
        <v>7816</v>
      </c>
    </row>
    <row r="213">
      <c r="A213" s="125" t="s">
        <v>1381</v>
      </c>
      <c r="B213" s="526">
        <v>37306.0</v>
      </c>
      <c r="C213" s="527">
        <v>0.0</v>
      </c>
      <c r="D213" s="527">
        <v>0.0</v>
      </c>
      <c r="F213" s="36" t="s">
        <v>7798</v>
      </c>
      <c r="G213" s="125" t="s">
        <v>893</v>
      </c>
      <c r="H213" s="125" t="s">
        <v>7801</v>
      </c>
      <c r="I213" t="s">
        <v>7816</v>
      </c>
    </row>
    <row r="214">
      <c r="A214" s="125" t="s">
        <v>1382</v>
      </c>
      <c r="B214" s="526">
        <v>37307.0</v>
      </c>
      <c r="C214" s="527">
        <v>23.0</v>
      </c>
      <c r="D214" s="527">
        <v>167.24</v>
      </c>
      <c r="E214" s="528">
        <v>7.2713</v>
      </c>
      <c r="F214" s="36" t="s">
        <v>7798</v>
      </c>
      <c r="G214" s="125" t="s">
        <v>913</v>
      </c>
      <c r="H214" s="125" t="s">
        <v>7801</v>
      </c>
      <c r="I214" t="s">
        <v>7816</v>
      </c>
    </row>
    <row r="215">
      <c r="A215" s="125" t="s">
        <v>1383</v>
      </c>
      <c r="B215" s="526">
        <v>37308.0</v>
      </c>
      <c r="C215" s="527">
        <v>0.0</v>
      </c>
      <c r="D215" s="527">
        <v>0.0</v>
      </c>
      <c r="F215" s="36" t="s">
        <v>7798</v>
      </c>
      <c r="G215" s="125" t="s">
        <v>893</v>
      </c>
      <c r="H215" s="125" t="s">
        <v>7801</v>
      </c>
      <c r="I215" t="s">
        <v>7816</v>
      </c>
    </row>
    <row r="216">
      <c r="A216" s="125" t="s">
        <v>1384</v>
      </c>
      <c r="B216" s="526">
        <v>37309.0</v>
      </c>
      <c r="C216" s="527">
        <v>0.0</v>
      </c>
      <c r="D216" s="527">
        <v>0.0</v>
      </c>
      <c r="F216" s="36" t="s">
        <v>7798</v>
      </c>
      <c r="G216" s="125" t="s">
        <v>893</v>
      </c>
      <c r="H216" s="125" t="s">
        <v>7801</v>
      </c>
      <c r="I216" t="s">
        <v>7816</v>
      </c>
    </row>
    <row r="217">
      <c r="A217" s="125" t="s">
        <v>1385</v>
      </c>
      <c r="B217" s="526">
        <v>37310.0</v>
      </c>
      <c r="C217" s="527">
        <v>9.0</v>
      </c>
      <c r="D217" s="527">
        <v>65.45</v>
      </c>
      <c r="E217" s="528">
        <v>7.2722</v>
      </c>
      <c r="F217" s="36" t="s">
        <v>7798</v>
      </c>
      <c r="G217" s="125" t="s">
        <v>913</v>
      </c>
      <c r="H217" s="125" t="s">
        <v>7801</v>
      </c>
      <c r="I217" t="s">
        <v>7816</v>
      </c>
    </row>
    <row r="218">
      <c r="A218" s="125" t="s">
        <v>1386</v>
      </c>
      <c r="B218" s="526">
        <v>37311.0</v>
      </c>
      <c r="C218" s="527">
        <v>0.0</v>
      </c>
      <c r="D218" s="527">
        <v>0.0</v>
      </c>
      <c r="F218" s="36" t="s">
        <v>7798</v>
      </c>
      <c r="G218" s="125" t="s">
        <v>893</v>
      </c>
      <c r="H218" s="125" t="s">
        <v>7801</v>
      </c>
      <c r="I218" t="s">
        <v>7816</v>
      </c>
    </row>
    <row r="219">
      <c r="A219" s="125" t="s">
        <v>1387</v>
      </c>
      <c r="B219" s="526">
        <v>37312.0</v>
      </c>
      <c r="C219" s="527">
        <v>4.0</v>
      </c>
      <c r="D219" s="527">
        <v>29.08</v>
      </c>
      <c r="E219" s="528">
        <v>7.27</v>
      </c>
      <c r="F219" s="36" t="s">
        <v>7798</v>
      </c>
      <c r="G219" s="125" t="s">
        <v>913</v>
      </c>
      <c r="H219" s="125" t="s">
        <v>7801</v>
      </c>
      <c r="I219" t="s">
        <v>7816</v>
      </c>
    </row>
    <row r="220">
      <c r="A220" s="125" t="s">
        <v>1388</v>
      </c>
      <c r="B220" s="526">
        <v>37313.0</v>
      </c>
      <c r="C220" s="527">
        <v>0.0</v>
      </c>
      <c r="D220" s="527">
        <v>0.0</v>
      </c>
      <c r="F220" s="36" t="s">
        <v>7798</v>
      </c>
      <c r="G220" s="125" t="s">
        <v>893</v>
      </c>
      <c r="H220" s="125" t="s">
        <v>7801</v>
      </c>
      <c r="I220" t="s">
        <v>7816</v>
      </c>
    </row>
    <row r="221">
      <c r="A221" s="125" t="s">
        <v>1389</v>
      </c>
      <c r="B221" s="526">
        <v>37314.0</v>
      </c>
      <c r="C221" s="527">
        <v>14.0</v>
      </c>
      <c r="D221" s="527">
        <v>101.81</v>
      </c>
      <c r="E221" s="528">
        <v>7.2721</v>
      </c>
      <c r="F221" s="36" t="s">
        <v>7798</v>
      </c>
      <c r="G221" s="125" t="s">
        <v>913</v>
      </c>
      <c r="H221" s="125" t="s">
        <v>7801</v>
      </c>
      <c r="I221" t="s">
        <v>7816</v>
      </c>
    </row>
    <row r="222">
      <c r="A222" s="125" t="s">
        <v>1390</v>
      </c>
      <c r="B222" s="526">
        <v>37315.0</v>
      </c>
      <c r="C222" s="527">
        <v>0.0</v>
      </c>
      <c r="D222" s="527">
        <v>0.0</v>
      </c>
      <c r="F222" s="36" t="s">
        <v>7798</v>
      </c>
      <c r="G222" s="125" t="s">
        <v>893</v>
      </c>
      <c r="H222" s="125" t="s">
        <v>7801</v>
      </c>
      <c r="I222" t="s">
        <v>7816</v>
      </c>
    </row>
    <row r="223">
      <c r="A223" s="125" t="s">
        <v>1391</v>
      </c>
      <c r="B223" s="526">
        <v>37316.0</v>
      </c>
      <c r="C223" s="527">
        <v>0.0</v>
      </c>
      <c r="D223" s="527">
        <v>0.0</v>
      </c>
      <c r="F223" s="36" t="s">
        <v>7798</v>
      </c>
      <c r="G223" s="125" t="s">
        <v>893</v>
      </c>
      <c r="I223" t="s">
        <v>7816</v>
      </c>
    </row>
    <row r="224">
      <c r="A224" s="125" t="s">
        <v>1392</v>
      </c>
      <c r="B224" s="526">
        <v>37317.0</v>
      </c>
      <c r="C224" s="527">
        <v>3.0</v>
      </c>
      <c r="D224" s="527">
        <v>25.11</v>
      </c>
      <c r="E224" s="528">
        <v>8.37</v>
      </c>
      <c r="F224" s="36" t="s">
        <v>7798</v>
      </c>
      <c r="G224" s="125" t="s">
        <v>913</v>
      </c>
      <c r="H224" s="125" t="s">
        <v>7801</v>
      </c>
      <c r="I224" t="s">
        <v>7816</v>
      </c>
    </row>
    <row r="225">
      <c r="A225" s="125" t="s">
        <v>1393</v>
      </c>
      <c r="B225" s="526">
        <v>37318.0</v>
      </c>
      <c r="C225" s="527">
        <v>13.0</v>
      </c>
      <c r="D225" s="527">
        <v>94.55</v>
      </c>
      <c r="E225" s="528">
        <v>7.2731</v>
      </c>
      <c r="F225" s="36" t="s">
        <v>7798</v>
      </c>
      <c r="G225" s="125" t="s">
        <v>913</v>
      </c>
      <c r="H225" s="125" t="s">
        <v>7801</v>
      </c>
      <c r="I225" t="s">
        <v>7816</v>
      </c>
    </row>
    <row r="226">
      <c r="A226" s="125" t="s">
        <v>1394</v>
      </c>
      <c r="B226" s="526">
        <v>37319.0</v>
      </c>
      <c r="C226" s="527">
        <v>0.0</v>
      </c>
      <c r="D226" s="527">
        <v>0.0</v>
      </c>
      <c r="F226" s="36" t="s">
        <v>7798</v>
      </c>
      <c r="G226" s="125" t="s">
        <v>893</v>
      </c>
      <c r="H226" s="125" t="s">
        <v>7801</v>
      </c>
      <c r="I226" t="s">
        <v>7816</v>
      </c>
    </row>
    <row r="227">
      <c r="A227" s="125" t="s">
        <v>1395</v>
      </c>
      <c r="B227" s="526">
        <v>37320.0</v>
      </c>
      <c r="C227" s="527">
        <v>0.0</v>
      </c>
      <c r="D227" s="527">
        <v>0.0</v>
      </c>
      <c r="F227" s="36" t="s">
        <v>7798</v>
      </c>
      <c r="G227" s="125" t="s">
        <v>893</v>
      </c>
      <c r="I227" t="s">
        <v>7816</v>
      </c>
    </row>
    <row r="228">
      <c r="A228" s="125" t="s">
        <v>1396</v>
      </c>
      <c r="B228" s="526">
        <v>37321.0</v>
      </c>
      <c r="C228" s="527">
        <v>43.0</v>
      </c>
      <c r="D228" s="527">
        <v>359.48</v>
      </c>
      <c r="E228" s="528">
        <v>8.36</v>
      </c>
      <c r="F228" s="36" t="s">
        <v>7798</v>
      </c>
      <c r="G228" s="125" t="s">
        <v>913</v>
      </c>
      <c r="H228" s="125" t="s">
        <v>7801</v>
      </c>
      <c r="I228" t="s">
        <v>7816</v>
      </c>
    </row>
    <row r="229">
      <c r="A229" s="125" t="s">
        <v>1397</v>
      </c>
      <c r="B229" s="526">
        <v>37322.0</v>
      </c>
      <c r="C229" s="527">
        <v>0.0</v>
      </c>
      <c r="D229" s="527">
        <v>0.0</v>
      </c>
      <c r="F229" s="36" t="s">
        <v>7798</v>
      </c>
      <c r="G229" s="125" t="s">
        <v>893</v>
      </c>
      <c r="I229" t="s">
        <v>7816</v>
      </c>
    </row>
    <row r="230">
      <c r="A230" s="125" t="s">
        <v>1398</v>
      </c>
      <c r="B230" s="526">
        <v>37323.0</v>
      </c>
      <c r="C230" s="527">
        <v>0.0</v>
      </c>
      <c r="D230" s="527">
        <v>0.0</v>
      </c>
      <c r="F230" s="36" t="s">
        <v>7798</v>
      </c>
      <c r="G230" s="125" t="s">
        <v>893</v>
      </c>
      <c r="I230" t="s">
        <v>7816</v>
      </c>
    </row>
    <row r="231">
      <c r="A231" s="125" t="s">
        <v>1399</v>
      </c>
      <c r="B231" s="526">
        <v>37324.0</v>
      </c>
      <c r="C231" s="527">
        <v>0.0</v>
      </c>
      <c r="D231" s="527">
        <v>0.0</v>
      </c>
      <c r="F231" s="36" t="s">
        <v>7798</v>
      </c>
      <c r="G231" s="125" t="s">
        <v>893</v>
      </c>
      <c r="I231" t="s">
        <v>7816</v>
      </c>
    </row>
    <row r="232">
      <c r="A232" s="125" t="s">
        <v>1400</v>
      </c>
      <c r="B232" s="526">
        <v>37325.0</v>
      </c>
      <c r="C232" s="527">
        <v>0.0</v>
      </c>
      <c r="D232" s="527">
        <v>0.0</v>
      </c>
      <c r="F232" s="36" t="s">
        <v>7798</v>
      </c>
      <c r="G232" s="125" t="s">
        <v>893</v>
      </c>
      <c r="I232" t="s">
        <v>7816</v>
      </c>
    </row>
    <row r="233">
      <c r="A233" s="125" t="s">
        <v>1401</v>
      </c>
      <c r="B233" s="526">
        <v>37326.0</v>
      </c>
      <c r="C233" s="527">
        <v>0.0</v>
      </c>
      <c r="D233" s="527">
        <v>0.0</v>
      </c>
      <c r="F233" s="36" t="s">
        <v>7798</v>
      </c>
      <c r="G233" s="125" t="s">
        <v>893</v>
      </c>
      <c r="I233" t="s">
        <v>7816</v>
      </c>
    </row>
    <row r="234">
      <c r="A234" s="125" t="s">
        <v>1403</v>
      </c>
      <c r="B234" s="526" t="s">
        <v>1402</v>
      </c>
      <c r="C234" s="527">
        <v>0.0</v>
      </c>
      <c r="D234" s="527">
        <v>0.0</v>
      </c>
      <c r="F234" s="36" t="s">
        <v>7798</v>
      </c>
      <c r="G234" s="125" t="s">
        <v>893</v>
      </c>
      <c r="H234" s="125" t="s">
        <v>7801</v>
      </c>
      <c r="I234" t="s">
        <v>7817</v>
      </c>
    </row>
    <row r="235">
      <c r="A235" s="125" t="s">
        <v>1405</v>
      </c>
      <c r="B235" s="526" t="s">
        <v>1404</v>
      </c>
      <c r="C235" s="527">
        <v>54.0</v>
      </c>
      <c r="D235" s="527">
        <v>316.67</v>
      </c>
      <c r="E235" s="528">
        <v>5.8643</v>
      </c>
      <c r="F235" s="36" t="s">
        <v>7798</v>
      </c>
      <c r="G235" s="125" t="s">
        <v>913</v>
      </c>
      <c r="H235" s="125" t="s">
        <v>7801</v>
      </c>
      <c r="I235" t="s">
        <v>7817</v>
      </c>
    </row>
    <row r="236">
      <c r="A236" s="125" t="s">
        <v>1407</v>
      </c>
      <c r="B236" s="526" t="s">
        <v>1406</v>
      </c>
      <c r="C236" s="527">
        <v>332.0</v>
      </c>
      <c r="D236" s="527">
        <v>2653.77</v>
      </c>
      <c r="E236" s="528">
        <v>7.9933</v>
      </c>
      <c r="F236" s="36" t="s">
        <v>7798</v>
      </c>
      <c r="G236" s="125" t="s">
        <v>913</v>
      </c>
      <c r="H236" s="125" t="s">
        <v>7801</v>
      </c>
      <c r="I236" t="s">
        <v>7818</v>
      </c>
    </row>
    <row r="237">
      <c r="A237" s="125" t="s">
        <v>1409</v>
      </c>
      <c r="B237" s="526" t="s">
        <v>1408</v>
      </c>
      <c r="C237" s="527">
        <v>0.0</v>
      </c>
      <c r="D237" s="527">
        <v>0.0</v>
      </c>
      <c r="F237" s="36" t="s">
        <v>7798</v>
      </c>
      <c r="G237" s="125" t="s">
        <v>893</v>
      </c>
      <c r="H237" s="125" t="s">
        <v>7801</v>
      </c>
      <c r="I237" t="s">
        <v>7818</v>
      </c>
    </row>
    <row r="238">
      <c r="A238" s="125" t="s">
        <v>1411</v>
      </c>
      <c r="B238" s="526" t="s">
        <v>1410</v>
      </c>
      <c r="C238" s="527">
        <v>6158.0</v>
      </c>
      <c r="D238" s="527">
        <v>13911.06</v>
      </c>
      <c r="E238" s="528">
        <v>2.259</v>
      </c>
      <c r="F238" s="36" t="s">
        <v>7798</v>
      </c>
      <c r="G238" s="125" t="s">
        <v>913</v>
      </c>
      <c r="H238" s="125" t="s">
        <v>7819</v>
      </c>
      <c r="I238" t="s">
        <v>7817</v>
      </c>
    </row>
    <row r="239">
      <c r="A239" s="125" t="s">
        <v>1413</v>
      </c>
      <c r="B239" s="526" t="s">
        <v>1412</v>
      </c>
      <c r="C239" s="527">
        <v>3786.0</v>
      </c>
      <c r="D239" s="527">
        <v>8649.13</v>
      </c>
      <c r="E239" s="528">
        <v>2.2845</v>
      </c>
      <c r="F239" s="36" t="s">
        <v>7798</v>
      </c>
      <c r="G239" s="125" t="s">
        <v>913</v>
      </c>
      <c r="H239" s="125" t="s">
        <v>7819</v>
      </c>
      <c r="I239" t="s">
        <v>7817</v>
      </c>
    </row>
    <row r="240">
      <c r="A240" s="125" t="s">
        <v>1415</v>
      </c>
      <c r="B240" s="526" t="s">
        <v>1414</v>
      </c>
      <c r="C240" s="527">
        <v>2068.0</v>
      </c>
      <c r="D240" s="527">
        <v>4535.41</v>
      </c>
      <c r="E240" s="528">
        <v>2.1931</v>
      </c>
      <c r="F240" s="36" t="s">
        <v>7798</v>
      </c>
      <c r="G240" s="125" t="s">
        <v>913</v>
      </c>
      <c r="H240" s="125" t="s">
        <v>7819</v>
      </c>
      <c r="I240" t="s">
        <v>7817</v>
      </c>
    </row>
    <row r="241">
      <c r="A241" s="125" t="s">
        <v>1417</v>
      </c>
      <c r="B241" s="526" t="s">
        <v>1416</v>
      </c>
      <c r="C241" s="527">
        <v>5360.0</v>
      </c>
      <c r="D241" s="527">
        <v>12148.36</v>
      </c>
      <c r="E241" s="528">
        <v>2.2665</v>
      </c>
      <c r="F241" s="36" t="s">
        <v>7798</v>
      </c>
      <c r="G241" s="125" t="s">
        <v>913</v>
      </c>
      <c r="H241" s="125" t="s">
        <v>7819</v>
      </c>
      <c r="I241" t="s">
        <v>7817</v>
      </c>
    </row>
    <row r="242">
      <c r="A242" s="125" t="s">
        <v>1419</v>
      </c>
      <c r="B242" s="526" t="s">
        <v>1418</v>
      </c>
      <c r="C242" s="527">
        <v>1.0</v>
      </c>
      <c r="D242" s="527">
        <v>2.3</v>
      </c>
      <c r="E242" s="528">
        <v>2.3</v>
      </c>
      <c r="F242" s="36" t="s">
        <v>7798</v>
      </c>
      <c r="G242" s="125" t="s">
        <v>893</v>
      </c>
      <c r="H242" s="125" t="s">
        <v>7799</v>
      </c>
      <c r="I242" t="s">
        <v>7817</v>
      </c>
    </row>
    <row r="243">
      <c r="A243" s="125" t="s">
        <v>1421</v>
      </c>
      <c r="B243" s="526" t="s">
        <v>1420</v>
      </c>
      <c r="C243" s="527">
        <v>5661.0</v>
      </c>
      <c r="D243" s="527">
        <v>12814.44</v>
      </c>
      <c r="E243" s="528">
        <v>2.2636</v>
      </c>
      <c r="F243" s="36" t="s">
        <v>7798</v>
      </c>
      <c r="G243" s="125" t="s">
        <v>913</v>
      </c>
      <c r="H243" s="125" t="s">
        <v>7819</v>
      </c>
      <c r="I243" t="s">
        <v>7817</v>
      </c>
    </row>
    <row r="244">
      <c r="A244" s="125" t="s">
        <v>1423</v>
      </c>
      <c r="B244" s="526" t="s">
        <v>1422</v>
      </c>
      <c r="C244" s="527">
        <v>5.0</v>
      </c>
      <c r="D244" s="527">
        <v>511.03</v>
      </c>
      <c r="E244" s="528">
        <v>102.206</v>
      </c>
      <c r="F244" s="36" t="s">
        <v>7798</v>
      </c>
      <c r="G244" s="125" t="s">
        <v>913</v>
      </c>
      <c r="H244" s="125" t="s">
        <v>7819</v>
      </c>
      <c r="I244" t="s">
        <v>7817</v>
      </c>
    </row>
    <row r="245">
      <c r="A245" s="125" t="s">
        <v>1427</v>
      </c>
      <c r="B245" s="526" t="s">
        <v>1426</v>
      </c>
      <c r="C245" s="527">
        <v>0.0</v>
      </c>
      <c r="D245" s="527">
        <v>0.0</v>
      </c>
      <c r="F245" s="36" t="s">
        <v>7798</v>
      </c>
      <c r="G245" s="125" t="s">
        <v>893</v>
      </c>
      <c r="H245" s="125" t="s">
        <v>7799</v>
      </c>
      <c r="I245" t="s">
        <v>7820</v>
      </c>
    </row>
    <row r="246">
      <c r="A246" s="125" t="s">
        <v>1429</v>
      </c>
      <c r="B246" s="526" t="s">
        <v>1428</v>
      </c>
      <c r="C246" s="527">
        <v>0.0</v>
      </c>
      <c r="D246" s="527">
        <v>0.0</v>
      </c>
      <c r="F246" s="36" t="s">
        <v>7798</v>
      </c>
      <c r="G246" s="125" t="s">
        <v>913</v>
      </c>
      <c r="H246" s="125" t="s">
        <v>7801</v>
      </c>
      <c r="I246" t="s">
        <v>7817</v>
      </c>
    </row>
    <row r="247">
      <c r="A247" s="125" t="s">
        <v>1431</v>
      </c>
      <c r="B247" s="526" t="s">
        <v>1430</v>
      </c>
      <c r="C247" s="527">
        <v>0.0</v>
      </c>
      <c r="D247" s="527">
        <v>0.0</v>
      </c>
      <c r="F247" s="36" t="s">
        <v>7798</v>
      </c>
      <c r="G247" s="125" t="s">
        <v>913</v>
      </c>
      <c r="H247" s="125" t="s">
        <v>7801</v>
      </c>
      <c r="I247" t="s">
        <v>7817</v>
      </c>
    </row>
    <row r="248">
      <c r="A248" s="125" t="s">
        <v>1433</v>
      </c>
      <c r="B248" s="526" t="s">
        <v>1432</v>
      </c>
      <c r="C248" s="527">
        <v>0.0</v>
      </c>
      <c r="D248" s="527">
        <v>0.0</v>
      </c>
      <c r="F248" s="36" t="s">
        <v>7798</v>
      </c>
      <c r="G248" s="125" t="s">
        <v>893</v>
      </c>
      <c r="H248" s="125" t="s">
        <v>7799</v>
      </c>
      <c r="I248" t="s">
        <v>7817</v>
      </c>
    </row>
    <row r="249">
      <c r="A249" s="125" t="s">
        <v>1435</v>
      </c>
      <c r="B249" s="526" t="s">
        <v>1434</v>
      </c>
      <c r="C249" s="527">
        <v>879.0</v>
      </c>
      <c r="D249" s="527">
        <v>4673.89</v>
      </c>
      <c r="E249" s="528">
        <v>5.3173</v>
      </c>
      <c r="F249" s="36" t="s">
        <v>7798</v>
      </c>
      <c r="G249" s="125" t="s">
        <v>913</v>
      </c>
      <c r="H249" s="125" t="s">
        <v>7819</v>
      </c>
      <c r="I249" t="s">
        <v>7817</v>
      </c>
    </row>
    <row r="250">
      <c r="A250" s="125" t="s">
        <v>1437</v>
      </c>
      <c r="B250" s="526" t="s">
        <v>1436</v>
      </c>
      <c r="C250" s="527">
        <v>666.0</v>
      </c>
      <c r="D250" s="527">
        <v>3445.3</v>
      </c>
      <c r="E250" s="528">
        <v>5.1731</v>
      </c>
      <c r="F250" s="36" t="s">
        <v>7798</v>
      </c>
      <c r="G250" s="125" t="s">
        <v>913</v>
      </c>
      <c r="H250" s="125" t="s">
        <v>7819</v>
      </c>
      <c r="I250" t="s">
        <v>7817</v>
      </c>
    </row>
    <row r="251">
      <c r="A251" s="125" t="s">
        <v>1439</v>
      </c>
      <c r="B251" s="526" t="s">
        <v>1438</v>
      </c>
      <c r="C251" s="527">
        <v>0.0</v>
      </c>
      <c r="D251" s="527">
        <v>0.0</v>
      </c>
      <c r="F251" s="36" t="s">
        <v>7798</v>
      </c>
      <c r="G251" s="125" t="s">
        <v>893</v>
      </c>
      <c r="H251" s="125" t="s">
        <v>7799</v>
      </c>
      <c r="I251" t="s">
        <v>7817</v>
      </c>
    </row>
    <row r="252">
      <c r="A252" s="125" t="s">
        <v>1441</v>
      </c>
      <c r="B252" s="526" t="s">
        <v>1440</v>
      </c>
      <c r="C252" s="527">
        <v>769.0</v>
      </c>
      <c r="D252" s="527">
        <v>3914.86</v>
      </c>
      <c r="E252" s="528">
        <v>5.0908</v>
      </c>
      <c r="F252" s="36" t="s">
        <v>7798</v>
      </c>
      <c r="G252" s="125" t="s">
        <v>913</v>
      </c>
      <c r="H252" s="125" t="s">
        <v>7819</v>
      </c>
      <c r="I252" t="s">
        <v>7817</v>
      </c>
    </row>
    <row r="253">
      <c r="A253" s="125" t="s">
        <v>1443</v>
      </c>
      <c r="B253" s="526" t="s">
        <v>1442</v>
      </c>
      <c r="C253" s="527">
        <v>1250.0</v>
      </c>
      <c r="D253" s="527">
        <v>6452.93</v>
      </c>
      <c r="E253" s="528">
        <v>5.1623</v>
      </c>
      <c r="F253" s="36" t="s">
        <v>7798</v>
      </c>
      <c r="G253" s="125" t="s">
        <v>913</v>
      </c>
      <c r="H253" s="125" t="s">
        <v>7819</v>
      </c>
      <c r="I253" t="s">
        <v>7817</v>
      </c>
    </row>
    <row r="254">
      <c r="A254" s="125" t="s">
        <v>1445</v>
      </c>
      <c r="B254" s="526" t="s">
        <v>1444</v>
      </c>
      <c r="C254" s="527">
        <v>0.0</v>
      </c>
      <c r="D254" s="527">
        <v>0.0</v>
      </c>
      <c r="F254" s="36" t="s">
        <v>7798</v>
      </c>
      <c r="G254" s="125" t="s">
        <v>893</v>
      </c>
      <c r="H254" s="125" t="s">
        <v>7799</v>
      </c>
      <c r="I254" t="s">
        <v>7817</v>
      </c>
    </row>
    <row r="255">
      <c r="A255" s="125" t="s">
        <v>1447</v>
      </c>
      <c r="B255" s="526" t="s">
        <v>1446</v>
      </c>
      <c r="C255" s="527">
        <v>2.0</v>
      </c>
      <c r="D255" s="527">
        <v>14.25</v>
      </c>
      <c r="E255" s="528">
        <v>7.125</v>
      </c>
      <c r="F255" s="36" t="s">
        <v>7798</v>
      </c>
      <c r="G255" s="125" t="s">
        <v>913</v>
      </c>
      <c r="H255" s="125" t="s">
        <v>7801</v>
      </c>
      <c r="I255" t="s">
        <v>7817</v>
      </c>
    </row>
    <row r="256">
      <c r="A256" s="125" t="s">
        <v>1449</v>
      </c>
      <c r="B256" s="526" t="s">
        <v>1448</v>
      </c>
      <c r="C256" s="527">
        <v>0.0</v>
      </c>
      <c r="D256" s="527">
        <v>0.0</v>
      </c>
      <c r="F256" s="36" t="s">
        <v>7798</v>
      </c>
      <c r="G256" s="125" t="s">
        <v>893</v>
      </c>
      <c r="H256" s="125" t="s">
        <v>7799</v>
      </c>
      <c r="I256" t="s">
        <v>7817</v>
      </c>
    </row>
    <row r="257">
      <c r="A257" s="125" t="s">
        <v>1451</v>
      </c>
      <c r="B257" s="526" t="s">
        <v>1450</v>
      </c>
      <c r="C257" s="527">
        <v>294.0</v>
      </c>
      <c r="D257" s="527">
        <v>1520.85</v>
      </c>
      <c r="E257" s="528">
        <v>5.173</v>
      </c>
      <c r="F257" s="36" t="s">
        <v>7798</v>
      </c>
      <c r="G257" s="125" t="s">
        <v>913</v>
      </c>
      <c r="H257" s="125" t="s">
        <v>7819</v>
      </c>
      <c r="I257" t="s">
        <v>7817</v>
      </c>
    </row>
    <row r="258">
      <c r="A258" s="125" t="s">
        <v>1453</v>
      </c>
      <c r="B258" s="526" t="s">
        <v>1452</v>
      </c>
      <c r="C258" s="527">
        <v>1.0</v>
      </c>
      <c r="D258" s="527">
        <v>177.17</v>
      </c>
      <c r="E258" s="528">
        <v>177.17</v>
      </c>
      <c r="F258" s="36" t="s">
        <v>7798</v>
      </c>
      <c r="G258" s="125" t="s">
        <v>913</v>
      </c>
      <c r="H258" s="125" t="s">
        <v>7819</v>
      </c>
      <c r="I258" t="s">
        <v>7817</v>
      </c>
    </row>
    <row r="259">
      <c r="A259" s="125" t="s">
        <v>1455</v>
      </c>
      <c r="B259" s="526" t="s">
        <v>1454</v>
      </c>
      <c r="C259" s="527">
        <v>0.0</v>
      </c>
      <c r="D259" s="527">
        <v>0.0</v>
      </c>
      <c r="F259" s="36" t="s">
        <v>7807</v>
      </c>
      <c r="G259" s="125" t="s">
        <v>913</v>
      </c>
      <c r="H259" s="125" t="s">
        <v>7821</v>
      </c>
      <c r="I259" t="s">
        <v>7806</v>
      </c>
    </row>
    <row r="260">
      <c r="A260" s="125" t="s">
        <v>1457</v>
      </c>
      <c r="B260" s="526" t="s">
        <v>1456</v>
      </c>
      <c r="C260" s="527">
        <v>2.0</v>
      </c>
      <c r="D260" s="527">
        <v>144.0</v>
      </c>
      <c r="E260" s="528">
        <v>72.0</v>
      </c>
      <c r="F260" s="36" t="s">
        <v>7807</v>
      </c>
      <c r="G260" s="125" t="s">
        <v>913</v>
      </c>
      <c r="H260" s="125" t="s">
        <v>7821</v>
      </c>
      <c r="I260" t="s">
        <v>7822</v>
      </c>
    </row>
    <row r="261">
      <c r="A261" s="125" t="s">
        <v>1459</v>
      </c>
      <c r="B261" s="526" t="s">
        <v>1458</v>
      </c>
      <c r="C261" s="527">
        <v>1.0</v>
      </c>
      <c r="D261" s="527">
        <v>111.38</v>
      </c>
      <c r="E261" s="528">
        <v>111.38</v>
      </c>
      <c r="F261" s="36" t="s">
        <v>7807</v>
      </c>
      <c r="G261" s="125" t="s">
        <v>913</v>
      </c>
      <c r="H261" s="125" t="s">
        <v>7821</v>
      </c>
      <c r="I261" t="s">
        <v>7823</v>
      </c>
    </row>
    <row r="262">
      <c r="A262" s="125" t="s">
        <v>710</v>
      </c>
      <c r="B262" s="526" t="s">
        <v>711</v>
      </c>
      <c r="C262" s="527">
        <v>300.0</v>
      </c>
      <c r="D262" s="527">
        <v>1632.73</v>
      </c>
      <c r="E262" s="528">
        <v>5.4424</v>
      </c>
      <c r="F262" s="36" t="s">
        <v>7798</v>
      </c>
      <c r="G262" s="125" t="s">
        <v>913</v>
      </c>
      <c r="H262" s="125" t="s">
        <v>569</v>
      </c>
      <c r="I262" t="s">
        <v>699</v>
      </c>
    </row>
    <row r="263">
      <c r="A263" s="125" t="s">
        <v>1461</v>
      </c>
      <c r="B263" s="526" t="s">
        <v>1460</v>
      </c>
      <c r="C263" s="527">
        <v>0.0</v>
      </c>
      <c r="D263" s="527">
        <v>0.0</v>
      </c>
      <c r="F263" s="36" t="s">
        <v>7798</v>
      </c>
      <c r="G263" s="125" t="s">
        <v>893</v>
      </c>
      <c r="H263" s="125" t="s">
        <v>7799</v>
      </c>
      <c r="I263" t="s">
        <v>7824</v>
      </c>
    </row>
    <row r="264">
      <c r="A264" s="125" t="s">
        <v>1463</v>
      </c>
      <c r="B264" s="526" t="s">
        <v>1462</v>
      </c>
      <c r="C264" s="527">
        <v>0.0</v>
      </c>
      <c r="D264" s="527">
        <v>0.0</v>
      </c>
      <c r="F264" s="36" t="s">
        <v>7798</v>
      </c>
      <c r="G264" s="125" t="s">
        <v>893</v>
      </c>
      <c r="H264" s="125" t="s">
        <v>7799</v>
      </c>
      <c r="I264" t="s">
        <v>7825</v>
      </c>
    </row>
    <row r="265">
      <c r="A265" s="125" t="s">
        <v>1465</v>
      </c>
      <c r="B265" s="526" t="s">
        <v>1464</v>
      </c>
      <c r="C265" s="527">
        <v>0.0</v>
      </c>
      <c r="D265" s="527">
        <v>0.0</v>
      </c>
      <c r="F265" s="36" t="s">
        <v>7798</v>
      </c>
      <c r="G265" s="125" t="s">
        <v>893</v>
      </c>
      <c r="H265" s="125" t="s">
        <v>7799</v>
      </c>
      <c r="I265" t="s">
        <v>7826</v>
      </c>
    </row>
    <row r="266">
      <c r="A266" s="125" t="s">
        <v>708</v>
      </c>
      <c r="B266" s="526" t="s">
        <v>709</v>
      </c>
      <c r="C266" s="527">
        <v>400.0</v>
      </c>
      <c r="D266" s="527">
        <v>2176.98</v>
      </c>
      <c r="E266" s="528">
        <v>5.4425</v>
      </c>
      <c r="F266" s="36" t="s">
        <v>7798</v>
      </c>
      <c r="G266" s="125" t="s">
        <v>913</v>
      </c>
      <c r="H266" s="125" t="s">
        <v>569</v>
      </c>
      <c r="I266" t="s">
        <v>699</v>
      </c>
    </row>
    <row r="267">
      <c r="A267" s="125" t="s">
        <v>1469</v>
      </c>
      <c r="B267" s="526" t="s">
        <v>1468</v>
      </c>
      <c r="C267" s="527">
        <v>0.0</v>
      </c>
      <c r="D267" s="527">
        <v>0.0</v>
      </c>
      <c r="F267" s="36" t="s">
        <v>7798</v>
      </c>
      <c r="G267" s="125" t="s">
        <v>893</v>
      </c>
      <c r="H267" s="125" t="s">
        <v>7799</v>
      </c>
      <c r="I267" t="s">
        <v>7826</v>
      </c>
    </row>
    <row r="268">
      <c r="A268" s="125" t="s">
        <v>1471</v>
      </c>
      <c r="B268" s="526" t="s">
        <v>1470</v>
      </c>
      <c r="C268" s="527">
        <v>0.0</v>
      </c>
      <c r="D268" s="527">
        <v>0.0</v>
      </c>
      <c r="F268" s="36" t="s">
        <v>7798</v>
      </c>
      <c r="G268" s="125" t="s">
        <v>893</v>
      </c>
      <c r="H268" s="125" t="s">
        <v>7799</v>
      </c>
      <c r="I268" t="s">
        <v>7826</v>
      </c>
    </row>
    <row r="269">
      <c r="A269" s="125" t="s">
        <v>1473</v>
      </c>
      <c r="B269" s="526" t="s">
        <v>1472</v>
      </c>
      <c r="C269" s="527">
        <v>0.0</v>
      </c>
      <c r="D269" s="527">
        <v>0.0</v>
      </c>
      <c r="F269" s="36" t="s">
        <v>7798</v>
      </c>
      <c r="G269" s="125" t="s">
        <v>893</v>
      </c>
      <c r="H269" s="125" t="s">
        <v>7799</v>
      </c>
      <c r="I269" t="s">
        <v>7826</v>
      </c>
    </row>
    <row r="270">
      <c r="A270" s="125" t="s">
        <v>1477</v>
      </c>
      <c r="B270" s="526" t="s">
        <v>1476</v>
      </c>
      <c r="C270" s="527">
        <v>0.0</v>
      </c>
      <c r="D270" s="527">
        <v>0.0</v>
      </c>
      <c r="F270" s="36" t="s">
        <v>7798</v>
      </c>
      <c r="G270" s="125" t="s">
        <v>893</v>
      </c>
      <c r="H270" s="125" t="s">
        <v>7799</v>
      </c>
      <c r="I270" t="s">
        <v>7825</v>
      </c>
    </row>
    <row r="271">
      <c r="A271" s="125" t="s">
        <v>706</v>
      </c>
      <c r="B271" s="526" t="s">
        <v>707</v>
      </c>
      <c r="C271" s="527">
        <v>452.0</v>
      </c>
      <c r="D271" s="527">
        <v>2459.99</v>
      </c>
      <c r="E271" s="528">
        <v>5.4425</v>
      </c>
      <c r="F271" s="36" t="s">
        <v>7798</v>
      </c>
      <c r="G271" s="125" t="s">
        <v>913</v>
      </c>
      <c r="H271" s="125" t="s">
        <v>569</v>
      </c>
      <c r="I271" t="s">
        <v>699</v>
      </c>
    </row>
    <row r="272">
      <c r="A272" s="125" t="s">
        <v>1479</v>
      </c>
      <c r="B272" s="526" t="s">
        <v>1478</v>
      </c>
      <c r="C272" s="527">
        <v>0.0</v>
      </c>
      <c r="D272" s="527">
        <v>0.0</v>
      </c>
      <c r="F272" s="36" t="s">
        <v>7798</v>
      </c>
      <c r="G272" s="125" t="s">
        <v>893</v>
      </c>
      <c r="H272" s="125" t="s">
        <v>7799</v>
      </c>
      <c r="I272" t="s">
        <v>7826</v>
      </c>
    </row>
    <row r="273">
      <c r="A273" s="125" t="s">
        <v>1481</v>
      </c>
      <c r="B273" s="526" t="s">
        <v>1480</v>
      </c>
      <c r="C273" s="527">
        <v>0.0</v>
      </c>
      <c r="D273" s="527">
        <v>0.0</v>
      </c>
      <c r="F273" s="36" t="s">
        <v>7798</v>
      </c>
      <c r="G273" s="125" t="s">
        <v>893</v>
      </c>
      <c r="H273" s="125" t="s">
        <v>7799</v>
      </c>
      <c r="I273" t="s">
        <v>7811</v>
      </c>
    </row>
    <row r="274">
      <c r="A274" s="125" t="s">
        <v>704</v>
      </c>
      <c r="B274" s="526" t="s">
        <v>705</v>
      </c>
      <c r="C274" s="527">
        <v>389.0</v>
      </c>
      <c r="D274" s="527">
        <v>2117.12</v>
      </c>
      <c r="E274" s="528">
        <v>5.4425</v>
      </c>
      <c r="F274" s="36" t="s">
        <v>7798</v>
      </c>
      <c r="G274" s="125" t="s">
        <v>913</v>
      </c>
      <c r="H274" s="125" t="s">
        <v>569</v>
      </c>
      <c r="I274" t="s">
        <v>699</v>
      </c>
    </row>
    <row r="275">
      <c r="A275" s="125" t="s">
        <v>702</v>
      </c>
      <c r="B275" s="526" t="s">
        <v>703</v>
      </c>
      <c r="C275" s="527">
        <v>405.0</v>
      </c>
      <c r="D275" s="527">
        <v>2204.21</v>
      </c>
      <c r="E275" s="528">
        <v>5.4425</v>
      </c>
      <c r="F275" s="36" t="s">
        <v>7798</v>
      </c>
      <c r="G275" s="125" t="s">
        <v>913</v>
      </c>
      <c r="H275" s="125" t="s">
        <v>569</v>
      </c>
      <c r="I275" t="s">
        <v>699</v>
      </c>
    </row>
    <row r="276">
      <c r="A276" s="125" t="s">
        <v>700</v>
      </c>
      <c r="B276" s="526" t="s">
        <v>701</v>
      </c>
      <c r="C276" s="527">
        <v>392.0</v>
      </c>
      <c r="D276" s="527">
        <v>2133.44</v>
      </c>
      <c r="E276" s="528">
        <v>5.4424</v>
      </c>
      <c r="F276" s="36" t="s">
        <v>7798</v>
      </c>
      <c r="G276" s="125" t="s">
        <v>913</v>
      </c>
      <c r="H276" s="125" t="s">
        <v>569</v>
      </c>
      <c r="I276" t="s">
        <v>699</v>
      </c>
    </row>
    <row r="277">
      <c r="A277" s="125" t="s">
        <v>1485</v>
      </c>
      <c r="B277" s="526" t="s">
        <v>1484</v>
      </c>
      <c r="C277" s="527">
        <v>36.0</v>
      </c>
      <c r="D277" s="527">
        <v>14.82</v>
      </c>
      <c r="E277" s="528">
        <v>0.4117</v>
      </c>
      <c r="F277" s="36" t="s">
        <v>7798</v>
      </c>
      <c r="G277" s="125" t="s">
        <v>913</v>
      </c>
      <c r="H277" s="125" t="s">
        <v>7801</v>
      </c>
      <c r="I277" t="s">
        <v>7806</v>
      </c>
    </row>
    <row r="278">
      <c r="A278" s="125" t="s">
        <v>1487</v>
      </c>
      <c r="B278" s="526" t="s">
        <v>1486</v>
      </c>
      <c r="C278" s="527">
        <v>723.0</v>
      </c>
      <c r="D278" s="527">
        <v>307.47</v>
      </c>
      <c r="E278" s="528">
        <v>0.4253</v>
      </c>
      <c r="F278" s="36" t="s">
        <v>7798</v>
      </c>
      <c r="G278" s="125" t="s">
        <v>913</v>
      </c>
      <c r="H278" s="125" t="s">
        <v>7801</v>
      </c>
      <c r="I278" t="s">
        <v>7806</v>
      </c>
    </row>
    <row r="279">
      <c r="A279" s="125" t="s">
        <v>1489</v>
      </c>
      <c r="B279" s="526" t="s">
        <v>1488</v>
      </c>
      <c r="C279" s="527">
        <v>3.0</v>
      </c>
      <c r="D279" s="527">
        <v>0.98</v>
      </c>
      <c r="E279" s="528">
        <v>0.3267</v>
      </c>
      <c r="F279" s="36" t="s">
        <v>7798</v>
      </c>
      <c r="G279" s="125" t="s">
        <v>913</v>
      </c>
      <c r="H279" s="125" t="s">
        <v>7801</v>
      </c>
      <c r="I279" t="s">
        <v>7806</v>
      </c>
    </row>
    <row r="280">
      <c r="A280" s="125" t="s">
        <v>1491</v>
      </c>
      <c r="B280" s="526" t="s">
        <v>1490</v>
      </c>
      <c r="C280" s="527">
        <v>0.0</v>
      </c>
      <c r="D280" s="527">
        <v>0.0</v>
      </c>
      <c r="F280" s="36" t="s">
        <v>7798</v>
      </c>
      <c r="G280" s="125" t="s">
        <v>913</v>
      </c>
      <c r="H280" s="125" t="s">
        <v>7801</v>
      </c>
      <c r="I280" t="s">
        <v>7806</v>
      </c>
    </row>
    <row r="281">
      <c r="A281" s="125" t="s">
        <v>1493</v>
      </c>
      <c r="B281" s="526" t="s">
        <v>1492</v>
      </c>
      <c r="C281" s="527">
        <v>351.0</v>
      </c>
      <c r="D281" s="527">
        <v>149.11</v>
      </c>
      <c r="E281" s="528">
        <v>0.4248</v>
      </c>
      <c r="F281" s="36" t="s">
        <v>7798</v>
      </c>
      <c r="G281" s="125" t="s">
        <v>913</v>
      </c>
      <c r="H281" s="125" t="s">
        <v>7801</v>
      </c>
      <c r="I281" t="s">
        <v>7806</v>
      </c>
    </row>
    <row r="282">
      <c r="A282" s="125" t="s">
        <v>1495</v>
      </c>
      <c r="B282" s="526" t="s">
        <v>1494</v>
      </c>
      <c r="C282" s="527">
        <v>674.0</v>
      </c>
      <c r="D282" s="527">
        <v>286.6</v>
      </c>
      <c r="E282" s="528">
        <v>0.4252</v>
      </c>
      <c r="F282" s="36" t="s">
        <v>7798</v>
      </c>
      <c r="G282" s="125" t="s">
        <v>913</v>
      </c>
      <c r="H282" s="125" t="s">
        <v>7801</v>
      </c>
      <c r="I282" t="s">
        <v>7806</v>
      </c>
    </row>
    <row r="283">
      <c r="A283" s="125" t="s">
        <v>1497</v>
      </c>
      <c r="B283" s="526" t="s">
        <v>1496</v>
      </c>
      <c r="C283" s="527">
        <v>144.0</v>
      </c>
      <c r="D283" s="527">
        <v>5670.88</v>
      </c>
      <c r="E283" s="528">
        <v>39.3811</v>
      </c>
      <c r="F283" s="36" t="s">
        <v>7798</v>
      </c>
      <c r="G283" s="125" t="s">
        <v>913</v>
      </c>
      <c r="H283" s="125" t="s">
        <v>7801</v>
      </c>
      <c r="I283" t="s">
        <v>45</v>
      </c>
    </row>
    <row r="284">
      <c r="A284" s="125" t="s">
        <v>1499</v>
      </c>
      <c r="B284" s="526" t="s">
        <v>1498</v>
      </c>
      <c r="C284" s="527">
        <v>1033.0</v>
      </c>
      <c r="D284" s="527">
        <v>2266.67</v>
      </c>
      <c r="E284" s="528">
        <v>2.1943</v>
      </c>
      <c r="F284" s="36" t="s">
        <v>7827</v>
      </c>
      <c r="G284" s="125" t="s">
        <v>913</v>
      </c>
      <c r="H284" s="125" t="s">
        <v>7828</v>
      </c>
    </row>
    <row r="285">
      <c r="A285" s="125" t="s">
        <v>1501</v>
      </c>
      <c r="B285" s="526" t="s">
        <v>1500</v>
      </c>
      <c r="C285" s="527">
        <v>0.0</v>
      </c>
      <c r="D285" s="527">
        <v>0.0</v>
      </c>
      <c r="F285" s="36" t="s">
        <v>7827</v>
      </c>
      <c r="G285" s="125" t="s">
        <v>913</v>
      </c>
      <c r="H285" s="125" t="s">
        <v>7829</v>
      </c>
    </row>
    <row r="286">
      <c r="A286" s="125" t="s">
        <v>1503</v>
      </c>
      <c r="B286" s="526" t="s">
        <v>1502</v>
      </c>
      <c r="C286" s="527">
        <v>67.0</v>
      </c>
      <c r="D286" s="527">
        <v>2345.16</v>
      </c>
      <c r="E286" s="528">
        <v>35.0024</v>
      </c>
      <c r="F286" s="36" t="s">
        <v>7827</v>
      </c>
      <c r="G286" s="125" t="s">
        <v>913</v>
      </c>
      <c r="H286" s="125" t="s">
        <v>7829</v>
      </c>
    </row>
    <row r="287">
      <c r="A287" s="125" t="s">
        <v>1507</v>
      </c>
      <c r="B287" s="526" t="s">
        <v>1506</v>
      </c>
      <c r="C287" s="527">
        <v>0.0</v>
      </c>
      <c r="D287" s="527">
        <v>0.0</v>
      </c>
      <c r="F287" s="36" t="s">
        <v>7807</v>
      </c>
      <c r="G287" s="125" t="s">
        <v>893</v>
      </c>
      <c r="H287" s="125" t="s">
        <v>7799</v>
      </c>
      <c r="I287" t="s">
        <v>7806</v>
      </c>
    </row>
    <row r="288">
      <c r="A288" s="125" t="s">
        <v>1509</v>
      </c>
      <c r="B288" s="526" t="s">
        <v>1508</v>
      </c>
      <c r="C288" s="527">
        <v>0.0</v>
      </c>
      <c r="D288" s="527">
        <v>0.0</v>
      </c>
      <c r="F288" s="36" t="s">
        <v>7807</v>
      </c>
      <c r="G288" s="125" t="s">
        <v>893</v>
      </c>
      <c r="H288" s="125" t="s">
        <v>7799</v>
      </c>
      <c r="I288" t="s">
        <v>7815</v>
      </c>
    </row>
    <row r="289">
      <c r="A289" s="125" t="s">
        <v>1511</v>
      </c>
      <c r="B289" s="526" t="s">
        <v>1510</v>
      </c>
      <c r="C289" s="527">
        <v>0.0</v>
      </c>
      <c r="D289" s="527">
        <v>0.0</v>
      </c>
      <c r="F289" s="36" t="s">
        <v>7807</v>
      </c>
      <c r="G289" s="125" t="s">
        <v>893</v>
      </c>
      <c r="H289" s="125" t="s">
        <v>7799</v>
      </c>
      <c r="I289" t="s">
        <v>489</v>
      </c>
    </row>
    <row r="290">
      <c r="A290" s="125" t="s">
        <v>1515</v>
      </c>
      <c r="B290" s="526" t="s">
        <v>1514</v>
      </c>
      <c r="C290" s="527">
        <v>60.0</v>
      </c>
      <c r="D290" s="527">
        <v>47.25</v>
      </c>
      <c r="E290" s="528">
        <v>0.7875</v>
      </c>
      <c r="F290" s="36" t="s">
        <v>7798</v>
      </c>
      <c r="G290" s="125" t="s">
        <v>913</v>
      </c>
      <c r="H290" s="125" t="s">
        <v>7821</v>
      </c>
      <c r="I290" t="s">
        <v>7806</v>
      </c>
    </row>
    <row r="291">
      <c r="A291" s="125" t="s">
        <v>1517</v>
      </c>
      <c r="B291" s="526" t="s">
        <v>1516</v>
      </c>
      <c r="C291" s="527">
        <v>475.0</v>
      </c>
      <c r="D291" s="527">
        <v>361.0</v>
      </c>
      <c r="E291" s="528">
        <v>0.76</v>
      </c>
      <c r="F291" s="36" t="s">
        <v>7798</v>
      </c>
      <c r="G291" s="125" t="s">
        <v>913</v>
      </c>
      <c r="H291" s="125" t="s">
        <v>7821</v>
      </c>
      <c r="I291" t="s">
        <v>7806</v>
      </c>
    </row>
    <row r="292">
      <c r="A292" s="125" t="s">
        <v>1519</v>
      </c>
      <c r="B292" s="526" t="s">
        <v>1518</v>
      </c>
      <c r="C292" s="527">
        <v>200.0</v>
      </c>
      <c r="D292" s="527">
        <v>156.16</v>
      </c>
      <c r="E292" s="528">
        <v>0.7808</v>
      </c>
      <c r="F292" s="36" t="s">
        <v>7798</v>
      </c>
      <c r="G292" s="125" t="s">
        <v>913</v>
      </c>
      <c r="H292" s="125" t="s">
        <v>7821</v>
      </c>
      <c r="I292" t="s">
        <v>7806</v>
      </c>
    </row>
    <row r="293">
      <c r="A293" s="125" t="s">
        <v>1521</v>
      </c>
      <c r="B293" s="526" t="s">
        <v>1520</v>
      </c>
      <c r="C293" s="527">
        <v>461.0</v>
      </c>
      <c r="D293" s="527">
        <v>350.36</v>
      </c>
      <c r="E293" s="528">
        <v>0.76</v>
      </c>
      <c r="F293" s="36" t="s">
        <v>7798</v>
      </c>
      <c r="G293" s="125" t="s">
        <v>913</v>
      </c>
      <c r="H293" s="125" t="s">
        <v>7821</v>
      </c>
      <c r="I293" t="s">
        <v>7806</v>
      </c>
    </row>
    <row r="294">
      <c r="A294" s="125" t="s">
        <v>1539</v>
      </c>
      <c r="B294" s="526" t="s">
        <v>1538</v>
      </c>
      <c r="C294" s="527">
        <v>462.0</v>
      </c>
      <c r="D294" s="527">
        <v>356.47</v>
      </c>
      <c r="E294" s="528">
        <v>0.7716</v>
      </c>
      <c r="F294" s="36" t="s">
        <v>7798</v>
      </c>
      <c r="G294" s="125" t="s">
        <v>913</v>
      </c>
      <c r="H294" s="125" t="s">
        <v>7821</v>
      </c>
      <c r="I294" t="s">
        <v>7806</v>
      </c>
    </row>
    <row r="295">
      <c r="A295" s="125" t="s">
        <v>1541</v>
      </c>
      <c r="B295" s="526" t="s">
        <v>1540</v>
      </c>
      <c r="C295" s="527">
        <v>336.0</v>
      </c>
      <c r="D295" s="527">
        <v>262.48</v>
      </c>
      <c r="E295" s="528">
        <v>0.7812</v>
      </c>
      <c r="F295" s="36" t="s">
        <v>7798</v>
      </c>
      <c r="G295" s="125" t="s">
        <v>913</v>
      </c>
      <c r="H295" s="125" t="s">
        <v>7821</v>
      </c>
      <c r="I295" t="s">
        <v>7806</v>
      </c>
    </row>
    <row r="296">
      <c r="A296" s="125" t="s">
        <v>1543</v>
      </c>
      <c r="B296" s="526" t="s">
        <v>1542</v>
      </c>
      <c r="C296" s="527">
        <v>204.0</v>
      </c>
      <c r="D296" s="527">
        <v>159.36</v>
      </c>
      <c r="E296" s="528">
        <v>0.7812</v>
      </c>
      <c r="F296" s="36" t="s">
        <v>7798</v>
      </c>
      <c r="G296" s="125" t="s">
        <v>913</v>
      </c>
      <c r="H296" s="125" t="s">
        <v>7821</v>
      </c>
      <c r="I296" t="s">
        <v>7806</v>
      </c>
    </row>
    <row r="297">
      <c r="A297" s="125" t="s">
        <v>1545</v>
      </c>
      <c r="B297" s="526" t="s">
        <v>1544</v>
      </c>
      <c r="C297" s="527">
        <v>500.0</v>
      </c>
      <c r="D297" s="527">
        <v>380.0</v>
      </c>
      <c r="E297" s="528">
        <v>0.76</v>
      </c>
      <c r="F297" s="36" t="s">
        <v>7798</v>
      </c>
      <c r="G297" s="125" t="s">
        <v>913</v>
      </c>
      <c r="H297" s="125" t="s">
        <v>7821</v>
      </c>
      <c r="I297" t="s">
        <v>7806</v>
      </c>
    </row>
    <row r="298">
      <c r="A298" s="125" t="s">
        <v>1547</v>
      </c>
      <c r="B298" s="526" t="s">
        <v>1546</v>
      </c>
      <c r="C298" s="527">
        <v>60.0</v>
      </c>
      <c r="D298" s="527">
        <v>47.25</v>
      </c>
      <c r="E298" s="528">
        <v>0.7875</v>
      </c>
      <c r="F298" s="36" t="s">
        <v>7798</v>
      </c>
      <c r="G298" s="125" t="s">
        <v>913</v>
      </c>
      <c r="H298" s="125" t="s">
        <v>7821</v>
      </c>
      <c r="I298" t="s">
        <v>7806</v>
      </c>
    </row>
    <row r="299">
      <c r="A299" s="125" t="s">
        <v>1549</v>
      </c>
      <c r="B299" s="526" t="s">
        <v>1548</v>
      </c>
      <c r="C299" s="527">
        <v>316.0</v>
      </c>
      <c r="D299" s="527">
        <v>243.15</v>
      </c>
      <c r="E299" s="528">
        <v>0.7695</v>
      </c>
      <c r="F299" s="36" t="s">
        <v>7798</v>
      </c>
      <c r="G299" s="125" t="s">
        <v>913</v>
      </c>
      <c r="H299" s="125" t="s">
        <v>7821</v>
      </c>
      <c r="I299" t="s">
        <v>7806</v>
      </c>
    </row>
    <row r="300">
      <c r="A300" s="125" t="s">
        <v>1551</v>
      </c>
      <c r="B300" s="526" t="s">
        <v>1550</v>
      </c>
      <c r="C300" s="527">
        <v>60.0</v>
      </c>
      <c r="D300" s="527">
        <v>47.25</v>
      </c>
      <c r="E300" s="528">
        <v>0.7875</v>
      </c>
      <c r="F300" s="36" t="s">
        <v>7798</v>
      </c>
      <c r="G300" s="125" t="s">
        <v>913</v>
      </c>
      <c r="H300" s="125" t="s">
        <v>7821</v>
      </c>
      <c r="I300" t="s">
        <v>7806</v>
      </c>
    </row>
    <row r="301">
      <c r="A301" s="125" t="s">
        <v>1553</v>
      </c>
      <c r="B301" s="526" t="s">
        <v>1552</v>
      </c>
      <c r="C301" s="527">
        <v>209.0</v>
      </c>
      <c r="D301" s="527">
        <v>162.22</v>
      </c>
      <c r="E301" s="528">
        <v>0.7762</v>
      </c>
      <c r="F301" s="36" t="s">
        <v>7798</v>
      </c>
      <c r="G301" s="125" t="s">
        <v>913</v>
      </c>
      <c r="H301" s="125" t="s">
        <v>7821</v>
      </c>
      <c r="I301" t="s">
        <v>7806</v>
      </c>
    </row>
    <row r="302">
      <c r="A302" s="125" t="s">
        <v>1555</v>
      </c>
      <c r="B302" s="526" t="s">
        <v>1554</v>
      </c>
      <c r="C302" s="527">
        <v>316.0</v>
      </c>
      <c r="D302" s="527">
        <v>240.16</v>
      </c>
      <c r="E302" s="528">
        <v>0.76</v>
      </c>
      <c r="F302" s="36" t="s">
        <v>7798</v>
      </c>
      <c r="G302" s="125" t="s">
        <v>913</v>
      </c>
      <c r="H302" s="125" t="s">
        <v>7821</v>
      </c>
      <c r="I302" t="s">
        <v>7806</v>
      </c>
    </row>
    <row r="303">
      <c r="A303" s="125" t="s">
        <v>1557</v>
      </c>
      <c r="B303" s="526" t="s">
        <v>1556</v>
      </c>
      <c r="C303" s="527">
        <v>664.0</v>
      </c>
      <c r="D303" s="527">
        <v>504.64</v>
      </c>
      <c r="E303" s="528">
        <v>0.76</v>
      </c>
      <c r="F303" s="36" t="s">
        <v>7798</v>
      </c>
      <c r="G303" s="125" t="s">
        <v>913</v>
      </c>
      <c r="H303" s="125" t="s">
        <v>7821</v>
      </c>
      <c r="I303" t="s">
        <v>7806</v>
      </c>
    </row>
    <row r="304">
      <c r="A304" s="125" t="s">
        <v>1559</v>
      </c>
      <c r="B304" s="526" t="s">
        <v>1558</v>
      </c>
      <c r="C304" s="527">
        <v>64.0</v>
      </c>
      <c r="D304" s="527">
        <v>50.09</v>
      </c>
      <c r="E304" s="528">
        <v>0.7827</v>
      </c>
      <c r="F304" s="36" t="s">
        <v>7798</v>
      </c>
      <c r="G304" s="125" t="s">
        <v>913</v>
      </c>
      <c r="H304" s="125" t="s">
        <v>7821</v>
      </c>
      <c r="I304" t="s">
        <v>7806</v>
      </c>
    </row>
    <row r="305">
      <c r="A305" s="125" t="s">
        <v>1561</v>
      </c>
      <c r="B305" s="526" t="s">
        <v>1560</v>
      </c>
      <c r="C305" s="527">
        <v>480.0</v>
      </c>
      <c r="D305" s="527">
        <v>364.8</v>
      </c>
      <c r="E305" s="528">
        <v>0.76</v>
      </c>
      <c r="F305" s="36" t="s">
        <v>7798</v>
      </c>
      <c r="G305" s="125" t="s">
        <v>913</v>
      </c>
      <c r="H305" s="125" t="s">
        <v>7821</v>
      </c>
      <c r="I305" t="s">
        <v>7806</v>
      </c>
    </row>
    <row r="306">
      <c r="A306" s="125" t="s">
        <v>1563</v>
      </c>
      <c r="B306" s="526" t="s">
        <v>1562</v>
      </c>
      <c r="C306" s="527">
        <v>1366.0</v>
      </c>
      <c r="D306" s="527">
        <v>1038.16</v>
      </c>
      <c r="E306" s="528">
        <v>0.76</v>
      </c>
      <c r="F306" s="36" t="s">
        <v>7798</v>
      </c>
      <c r="G306" s="125" t="s">
        <v>913</v>
      </c>
      <c r="H306" s="125" t="s">
        <v>7821</v>
      </c>
      <c r="I306" t="s">
        <v>7806</v>
      </c>
    </row>
    <row r="307">
      <c r="A307" s="125" t="s">
        <v>1565</v>
      </c>
      <c r="B307" s="526" t="s">
        <v>1564</v>
      </c>
      <c r="C307" s="527">
        <v>102.0</v>
      </c>
      <c r="D307" s="527">
        <v>79.65</v>
      </c>
      <c r="E307" s="528">
        <v>0.7809</v>
      </c>
      <c r="F307" s="36" t="s">
        <v>7798</v>
      </c>
      <c r="G307" s="125" t="s">
        <v>913</v>
      </c>
      <c r="H307" s="125" t="s">
        <v>7821</v>
      </c>
      <c r="I307" t="s">
        <v>7806</v>
      </c>
    </row>
    <row r="308">
      <c r="A308" s="125" t="s">
        <v>1567</v>
      </c>
      <c r="B308" s="526" t="s">
        <v>1566</v>
      </c>
      <c r="C308" s="527">
        <v>451.0</v>
      </c>
      <c r="D308" s="527">
        <v>351.24</v>
      </c>
      <c r="E308" s="528">
        <v>0.7788</v>
      </c>
      <c r="F308" s="36" t="s">
        <v>7798</v>
      </c>
      <c r="G308" s="125" t="s">
        <v>913</v>
      </c>
      <c r="H308" s="125" t="s">
        <v>7821</v>
      </c>
      <c r="I308" t="s">
        <v>7806</v>
      </c>
    </row>
    <row r="309">
      <c r="A309" s="125" t="s">
        <v>1569</v>
      </c>
      <c r="B309" s="526" t="s">
        <v>1568</v>
      </c>
      <c r="C309" s="527">
        <v>558.0</v>
      </c>
      <c r="D309" s="527">
        <v>424.08</v>
      </c>
      <c r="E309" s="528">
        <v>0.76</v>
      </c>
      <c r="F309" s="36" t="s">
        <v>7798</v>
      </c>
      <c r="G309" s="125" t="s">
        <v>913</v>
      </c>
      <c r="H309" s="125" t="s">
        <v>7821</v>
      </c>
      <c r="I309" t="s">
        <v>7806</v>
      </c>
    </row>
    <row r="310">
      <c r="A310" s="125" t="s">
        <v>1571</v>
      </c>
      <c r="B310" s="526" t="s">
        <v>1570</v>
      </c>
      <c r="C310" s="527">
        <v>120.0</v>
      </c>
      <c r="D310" s="527">
        <v>93.86</v>
      </c>
      <c r="E310" s="528">
        <v>0.7822</v>
      </c>
      <c r="F310" s="36" t="s">
        <v>7798</v>
      </c>
      <c r="G310" s="125" t="s">
        <v>913</v>
      </c>
      <c r="H310" s="125" t="s">
        <v>7821</v>
      </c>
      <c r="I310" t="s">
        <v>7806</v>
      </c>
    </row>
    <row r="311">
      <c r="A311" s="125" t="s">
        <v>1573</v>
      </c>
      <c r="B311" s="526" t="s">
        <v>1572</v>
      </c>
      <c r="C311" s="527">
        <v>174.0</v>
      </c>
      <c r="D311" s="527">
        <v>132.24</v>
      </c>
      <c r="E311" s="528">
        <v>0.76</v>
      </c>
      <c r="F311" s="36" t="s">
        <v>7798</v>
      </c>
      <c r="G311" s="125" t="s">
        <v>913</v>
      </c>
      <c r="H311" s="125" t="s">
        <v>7821</v>
      </c>
      <c r="I311" t="s">
        <v>7806</v>
      </c>
    </row>
    <row r="312">
      <c r="A312" s="125" t="s">
        <v>1575</v>
      </c>
      <c r="B312" s="526" t="s">
        <v>1574</v>
      </c>
      <c r="C312" s="527">
        <v>713.0</v>
      </c>
      <c r="D312" s="527">
        <v>541.88</v>
      </c>
      <c r="E312" s="528">
        <v>0.76</v>
      </c>
      <c r="F312" s="36" t="s">
        <v>7798</v>
      </c>
      <c r="G312" s="125" t="s">
        <v>913</v>
      </c>
      <c r="H312" s="125" t="s">
        <v>7821</v>
      </c>
      <c r="I312" t="s">
        <v>7806</v>
      </c>
    </row>
    <row r="313">
      <c r="A313" s="125" t="s">
        <v>1577</v>
      </c>
      <c r="B313" s="526" t="s">
        <v>1576</v>
      </c>
      <c r="C313" s="527">
        <v>467.0</v>
      </c>
      <c r="D313" s="527">
        <v>364.57</v>
      </c>
      <c r="E313" s="528">
        <v>0.7807</v>
      </c>
      <c r="F313" s="36" t="s">
        <v>7798</v>
      </c>
      <c r="G313" s="125" t="s">
        <v>913</v>
      </c>
      <c r="H313" s="125" t="s">
        <v>7821</v>
      </c>
      <c r="I313" t="s">
        <v>7806</v>
      </c>
    </row>
    <row r="314">
      <c r="A314" s="125" t="s">
        <v>1579</v>
      </c>
      <c r="B314" s="526" t="s">
        <v>1578</v>
      </c>
      <c r="C314" s="527">
        <v>60.0</v>
      </c>
      <c r="D314" s="527">
        <v>47.25</v>
      </c>
      <c r="E314" s="528">
        <v>0.7875</v>
      </c>
      <c r="F314" s="36" t="s">
        <v>7798</v>
      </c>
      <c r="G314" s="125" t="s">
        <v>913</v>
      </c>
      <c r="H314" s="125" t="s">
        <v>7821</v>
      </c>
      <c r="I314" t="s">
        <v>7806</v>
      </c>
    </row>
    <row r="315">
      <c r="A315" s="125" t="s">
        <v>1581</v>
      </c>
      <c r="B315" s="526" t="s">
        <v>1580</v>
      </c>
      <c r="C315" s="527">
        <v>350.0</v>
      </c>
      <c r="D315" s="527">
        <v>273.27</v>
      </c>
      <c r="E315" s="528">
        <v>0.7808</v>
      </c>
      <c r="F315" s="36" t="s">
        <v>7798</v>
      </c>
      <c r="G315" s="125" t="s">
        <v>913</v>
      </c>
      <c r="H315" s="125" t="s">
        <v>7821</v>
      </c>
      <c r="I315" t="s">
        <v>7806</v>
      </c>
    </row>
    <row r="316">
      <c r="A316" s="125" t="s">
        <v>1583</v>
      </c>
      <c r="B316" s="526" t="s">
        <v>1582</v>
      </c>
      <c r="C316" s="527">
        <v>529.0</v>
      </c>
      <c r="D316" s="527">
        <v>411.38</v>
      </c>
      <c r="E316" s="528">
        <v>0.7777</v>
      </c>
      <c r="F316" s="36" t="s">
        <v>7798</v>
      </c>
      <c r="G316" s="125" t="s">
        <v>913</v>
      </c>
      <c r="H316" s="125" t="s">
        <v>7821</v>
      </c>
      <c r="I316" t="s">
        <v>7806</v>
      </c>
    </row>
    <row r="317">
      <c r="A317" s="125" t="s">
        <v>1585</v>
      </c>
      <c r="B317" s="526" t="s">
        <v>1584</v>
      </c>
      <c r="C317" s="527">
        <v>129.0</v>
      </c>
      <c r="D317" s="527">
        <v>100.72</v>
      </c>
      <c r="E317" s="528">
        <v>0.7808</v>
      </c>
      <c r="F317" s="36" t="s">
        <v>7798</v>
      </c>
      <c r="G317" s="125" t="s">
        <v>913</v>
      </c>
      <c r="H317" s="125" t="s">
        <v>7821</v>
      </c>
      <c r="I317" t="s">
        <v>7806</v>
      </c>
    </row>
    <row r="318">
      <c r="A318" s="125" t="s">
        <v>1587</v>
      </c>
      <c r="B318" s="526" t="s">
        <v>1586</v>
      </c>
      <c r="C318" s="527">
        <v>159.0</v>
      </c>
      <c r="D318" s="527">
        <v>124.28</v>
      </c>
      <c r="E318" s="528">
        <v>0.7816</v>
      </c>
      <c r="F318" s="36" t="s">
        <v>7798</v>
      </c>
      <c r="G318" s="125" t="s">
        <v>913</v>
      </c>
      <c r="H318" s="125" t="s">
        <v>7821</v>
      </c>
      <c r="I318" t="s">
        <v>7806</v>
      </c>
    </row>
    <row r="319">
      <c r="A319" s="125" t="s">
        <v>1589</v>
      </c>
      <c r="B319" s="526" t="s">
        <v>1588</v>
      </c>
      <c r="C319" s="527">
        <v>480.0</v>
      </c>
      <c r="D319" s="527">
        <v>367.54</v>
      </c>
      <c r="E319" s="528">
        <v>0.7657</v>
      </c>
      <c r="F319" s="36" t="s">
        <v>7798</v>
      </c>
      <c r="G319" s="125" t="s">
        <v>913</v>
      </c>
      <c r="H319" s="125" t="s">
        <v>7821</v>
      </c>
      <c r="I319" t="s">
        <v>7806</v>
      </c>
    </row>
    <row r="320">
      <c r="A320" s="125" t="s">
        <v>1591</v>
      </c>
      <c r="B320" s="526" t="s">
        <v>1590</v>
      </c>
      <c r="C320" s="527">
        <v>302.0</v>
      </c>
      <c r="D320" s="527">
        <v>235.81</v>
      </c>
      <c r="E320" s="528">
        <v>0.7808</v>
      </c>
      <c r="F320" s="36" t="s">
        <v>7798</v>
      </c>
      <c r="G320" s="125" t="s">
        <v>913</v>
      </c>
      <c r="H320" s="125" t="s">
        <v>7821</v>
      </c>
      <c r="I320" t="s">
        <v>7806</v>
      </c>
    </row>
    <row r="321">
      <c r="A321" s="125" t="s">
        <v>1593</v>
      </c>
      <c r="B321" s="526" t="s">
        <v>1592</v>
      </c>
      <c r="C321" s="527">
        <v>330.0</v>
      </c>
      <c r="D321" s="527">
        <v>255.39</v>
      </c>
      <c r="E321" s="528">
        <v>0.7739</v>
      </c>
      <c r="F321" s="36" t="s">
        <v>7798</v>
      </c>
      <c r="G321" s="125" t="s">
        <v>913</v>
      </c>
      <c r="H321" s="125" t="s">
        <v>7821</v>
      </c>
      <c r="I321" t="s">
        <v>7806</v>
      </c>
    </row>
    <row r="322">
      <c r="A322" s="125" t="s">
        <v>1595</v>
      </c>
      <c r="B322" s="526" t="s">
        <v>1594</v>
      </c>
      <c r="C322" s="527">
        <v>58.0</v>
      </c>
      <c r="D322" s="527">
        <v>45.33</v>
      </c>
      <c r="E322" s="528">
        <v>0.7816</v>
      </c>
      <c r="F322" s="36" t="s">
        <v>7798</v>
      </c>
      <c r="G322" s="125" t="s">
        <v>913</v>
      </c>
      <c r="H322" s="125" t="s">
        <v>7821</v>
      </c>
      <c r="I322" t="s">
        <v>7806</v>
      </c>
    </row>
    <row r="323">
      <c r="A323" s="125" t="s">
        <v>1597</v>
      </c>
      <c r="B323" s="526" t="s">
        <v>1596</v>
      </c>
      <c r="C323" s="527">
        <v>161.0</v>
      </c>
      <c r="D323" s="527">
        <v>125.8</v>
      </c>
      <c r="E323" s="528">
        <v>0.7814</v>
      </c>
      <c r="F323" s="36" t="s">
        <v>7798</v>
      </c>
      <c r="G323" s="125" t="s">
        <v>913</v>
      </c>
      <c r="H323" s="125" t="s">
        <v>7821</v>
      </c>
      <c r="I323" t="s">
        <v>7806</v>
      </c>
    </row>
    <row r="324">
      <c r="A324" s="125" t="s">
        <v>1599</v>
      </c>
      <c r="B324" s="526" t="s">
        <v>1598</v>
      </c>
      <c r="C324" s="527">
        <v>544.0</v>
      </c>
      <c r="D324" s="527">
        <v>413.44</v>
      </c>
      <c r="E324" s="528">
        <v>0.76</v>
      </c>
      <c r="F324" s="36" t="s">
        <v>7798</v>
      </c>
      <c r="G324" s="125" t="s">
        <v>913</v>
      </c>
      <c r="H324" s="125" t="s">
        <v>7821</v>
      </c>
      <c r="I324" t="s">
        <v>7806</v>
      </c>
    </row>
    <row r="325">
      <c r="A325" s="125" t="s">
        <v>1601</v>
      </c>
      <c r="B325" s="526" t="s">
        <v>1600</v>
      </c>
      <c r="C325" s="527">
        <v>187.0</v>
      </c>
      <c r="D325" s="527">
        <v>146.12</v>
      </c>
      <c r="E325" s="528">
        <v>0.7814</v>
      </c>
      <c r="F325" s="36" t="s">
        <v>7798</v>
      </c>
      <c r="G325" s="125" t="s">
        <v>913</v>
      </c>
      <c r="H325" s="125" t="s">
        <v>7821</v>
      </c>
      <c r="I325" t="s">
        <v>7806</v>
      </c>
    </row>
    <row r="326">
      <c r="A326" s="125" t="s">
        <v>1603</v>
      </c>
      <c r="B326" s="526" t="s">
        <v>1602</v>
      </c>
      <c r="C326" s="527">
        <v>482.0</v>
      </c>
      <c r="D326" s="527">
        <v>370.56</v>
      </c>
      <c r="E326" s="528">
        <v>0.7688</v>
      </c>
      <c r="F326" s="36" t="s">
        <v>7798</v>
      </c>
      <c r="G326" s="125" t="s">
        <v>913</v>
      </c>
      <c r="H326" s="125" t="s">
        <v>7821</v>
      </c>
      <c r="I326" t="s">
        <v>7806</v>
      </c>
    </row>
    <row r="327">
      <c r="A327" s="125" t="s">
        <v>1605</v>
      </c>
      <c r="B327" s="526" t="s">
        <v>1604</v>
      </c>
      <c r="C327" s="527">
        <v>459.0</v>
      </c>
      <c r="D327" s="527">
        <v>351.83</v>
      </c>
      <c r="E327" s="528">
        <v>0.7665</v>
      </c>
      <c r="F327" s="36" t="s">
        <v>7798</v>
      </c>
      <c r="G327" s="125" t="s">
        <v>913</v>
      </c>
      <c r="H327" s="125" t="s">
        <v>7821</v>
      </c>
      <c r="I327" t="s">
        <v>7806</v>
      </c>
    </row>
    <row r="328">
      <c r="A328" s="125" t="s">
        <v>1607</v>
      </c>
      <c r="B328" s="526" t="s">
        <v>1606</v>
      </c>
      <c r="C328" s="527">
        <v>309.0</v>
      </c>
      <c r="D328" s="527">
        <v>239.0</v>
      </c>
      <c r="E328" s="528">
        <v>0.7735</v>
      </c>
      <c r="F328" s="36" t="s">
        <v>7798</v>
      </c>
      <c r="G328" s="125" t="s">
        <v>913</v>
      </c>
      <c r="H328" s="125" t="s">
        <v>7821</v>
      </c>
      <c r="I328" t="s">
        <v>7806</v>
      </c>
    </row>
    <row r="329">
      <c r="A329" s="125" t="s">
        <v>1609</v>
      </c>
      <c r="B329" s="526" t="s">
        <v>1608</v>
      </c>
      <c r="C329" s="527">
        <v>625.0</v>
      </c>
      <c r="D329" s="527">
        <v>479.36</v>
      </c>
      <c r="E329" s="528">
        <v>0.767</v>
      </c>
      <c r="F329" s="36" t="s">
        <v>7798</v>
      </c>
      <c r="G329" s="125" t="s">
        <v>913</v>
      </c>
      <c r="H329" s="125" t="s">
        <v>7821</v>
      </c>
      <c r="I329" t="s">
        <v>7806</v>
      </c>
    </row>
    <row r="330">
      <c r="A330" s="125" t="s">
        <v>1611</v>
      </c>
      <c r="B330" s="526" t="s">
        <v>1610</v>
      </c>
      <c r="C330" s="527">
        <v>300.0</v>
      </c>
      <c r="D330" s="527">
        <v>228.0</v>
      </c>
      <c r="E330" s="528">
        <v>0.76</v>
      </c>
      <c r="F330" s="36" t="s">
        <v>7798</v>
      </c>
      <c r="G330" s="125" t="s">
        <v>913</v>
      </c>
      <c r="H330" s="125" t="s">
        <v>7821</v>
      </c>
      <c r="I330" t="s">
        <v>7806</v>
      </c>
    </row>
    <row r="331">
      <c r="A331" s="125" t="s">
        <v>1613</v>
      </c>
      <c r="B331" s="526" t="s">
        <v>1612</v>
      </c>
      <c r="C331" s="527">
        <v>488.0</v>
      </c>
      <c r="D331" s="527">
        <v>373.37</v>
      </c>
      <c r="E331" s="528">
        <v>0.7651</v>
      </c>
      <c r="F331" s="36" t="s">
        <v>7798</v>
      </c>
      <c r="G331" s="125" t="s">
        <v>913</v>
      </c>
      <c r="H331" s="125" t="s">
        <v>7821</v>
      </c>
      <c r="I331" t="s">
        <v>7806</v>
      </c>
    </row>
    <row r="332">
      <c r="A332" s="125" t="s">
        <v>1615</v>
      </c>
      <c r="B332" s="526" t="s">
        <v>1614</v>
      </c>
      <c r="C332" s="527">
        <v>162.0</v>
      </c>
      <c r="D332" s="527">
        <v>123.12</v>
      </c>
      <c r="E332" s="528">
        <v>0.76</v>
      </c>
      <c r="F332" s="36" t="s">
        <v>7798</v>
      </c>
      <c r="G332" s="125" t="s">
        <v>913</v>
      </c>
      <c r="H332" s="125" t="s">
        <v>7821</v>
      </c>
      <c r="I332" t="s">
        <v>7806</v>
      </c>
    </row>
    <row r="333">
      <c r="A333" s="125" t="s">
        <v>1617</v>
      </c>
      <c r="B333" s="526" t="s">
        <v>1616</v>
      </c>
      <c r="C333" s="527">
        <v>541.0</v>
      </c>
      <c r="D333" s="527">
        <v>411.16</v>
      </c>
      <c r="E333" s="528">
        <v>0.76</v>
      </c>
      <c r="F333" s="36" t="s">
        <v>7798</v>
      </c>
      <c r="G333" s="125" t="s">
        <v>913</v>
      </c>
      <c r="H333" s="125" t="s">
        <v>7821</v>
      </c>
      <c r="I333" t="s">
        <v>7806</v>
      </c>
    </row>
    <row r="334">
      <c r="A334" s="125" t="s">
        <v>1619</v>
      </c>
      <c r="B334" s="526" t="s">
        <v>1618</v>
      </c>
      <c r="C334" s="527">
        <v>399.0</v>
      </c>
      <c r="D334" s="527">
        <v>311.53</v>
      </c>
      <c r="E334" s="528">
        <v>0.7808</v>
      </c>
      <c r="F334" s="36" t="s">
        <v>7798</v>
      </c>
      <c r="G334" s="125" t="s">
        <v>913</v>
      </c>
      <c r="H334" s="125" t="s">
        <v>7821</v>
      </c>
      <c r="I334" t="s">
        <v>7806</v>
      </c>
    </row>
    <row r="335">
      <c r="A335" s="125" t="s">
        <v>1621</v>
      </c>
      <c r="B335" s="526" t="s">
        <v>1620</v>
      </c>
      <c r="C335" s="527">
        <v>390.0</v>
      </c>
      <c r="D335" s="527">
        <v>296.4</v>
      </c>
      <c r="E335" s="528">
        <v>0.76</v>
      </c>
      <c r="F335" s="36" t="s">
        <v>7798</v>
      </c>
      <c r="G335" s="125" t="s">
        <v>913</v>
      </c>
      <c r="H335" s="125" t="s">
        <v>7821</v>
      </c>
      <c r="I335" t="s">
        <v>7806</v>
      </c>
    </row>
    <row r="336">
      <c r="A336" s="125" t="s">
        <v>1623</v>
      </c>
      <c r="B336" s="526" t="s">
        <v>1622</v>
      </c>
      <c r="C336" s="527">
        <v>529.0</v>
      </c>
      <c r="D336" s="527">
        <v>402.04</v>
      </c>
      <c r="E336" s="528">
        <v>0.76</v>
      </c>
      <c r="F336" s="36" t="s">
        <v>7798</v>
      </c>
      <c r="G336" s="125" t="s">
        <v>913</v>
      </c>
      <c r="H336" s="125" t="s">
        <v>7821</v>
      </c>
      <c r="I336" t="s">
        <v>7806</v>
      </c>
    </row>
    <row r="337">
      <c r="A337" s="125" t="s">
        <v>1625</v>
      </c>
      <c r="B337" s="526" t="s">
        <v>1624</v>
      </c>
      <c r="C337" s="527">
        <v>240.0</v>
      </c>
      <c r="D337" s="527">
        <v>187.49</v>
      </c>
      <c r="E337" s="528">
        <v>0.7812</v>
      </c>
      <c r="F337" s="36" t="s">
        <v>7798</v>
      </c>
      <c r="G337" s="125" t="s">
        <v>913</v>
      </c>
      <c r="H337" s="125" t="s">
        <v>7821</v>
      </c>
      <c r="I337" t="s">
        <v>7806</v>
      </c>
    </row>
    <row r="338">
      <c r="A338" s="125" t="s">
        <v>1629</v>
      </c>
      <c r="B338" s="526" t="s">
        <v>1628</v>
      </c>
      <c r="C338" s="527">
        <v>3.0</v>
      </c>
      <c r="D338" s="527">
        <v>3.0</v>
      </c>
      <c r="E338" s="528">
        <v>1.0</v>
      </c>
      <c r="F338" s="36" t="s">
        <v>7798</v>
      </c>
      <c r="G338" s="125" t="s">
        <v>893</v>
      </c>
      <c r="H338" s="125" t="s">
        <v>7821</v>
      </c>
      <c r="I338" t="s">
        <v>7815</v>
      </c>
    </row>
    <row r="339">
      <c r="A339" s="125" t="s">
        <v>1639</v>
      </c>
      <c r="B339" s="526" t="s">
        <v>1638</v>
      </c>
      <c r="C339" s="527">
        <v>0.0</v>
      </c>
      <c r="D339" s="527">
        <v>0.0</v>
      </c>
      <c r="F339" s="36" t="s">
        <v>7798</v>
      </c>
      <c r="G339" s="125" t="s">
        <v>893</v>
      </c>
      <c r="H339" s="125" t="s">
        <v>7821</v>
      </c>
      <c r="I339" t="s">
        <v>7815</v>
      </c>
    </row>
    <row r="340">
      <c r="A340" s="125" t="s">
        <v>1653</v>
      </c>
      <c r="B340" s="526" t="s">
        <v>1652</v>
      </c>
      <c r="C340" s="527">
        <v>0.0</v>
      </c>
      <c r="D340" s="527">
        <v>0.0</v>
      </c>
      <c r="F340" s="36" t="s">
        <v>7798</v>
      </c>
      <c r="G340" s="125" t="s">
        <v>913</v>
      </c>
      <c r="H340" s="125" t="s">
        <v>7821</v>
      </c>
      <c r="I340" t="s">
        <v>7830</v>
      </c>
    </row>
    <row r="341">
      <c r="A341" s="125" t="s">
        <v>1655</v>
      </c>
      <c r="B341" s="526" t="s">
        <v>1654</v>
      </c>
      <c r="C341" s="527">
        <v>66.0</v>
      </c>
      <c r="D341" s="527">
        <v>53.89</v>
      </c>
      <c r="E341" s="528">
        <v>0.8165</v>
      </c>
      <c r="F341" s="36" t="s">
        <v>7798</v>
      </c>
      <c r="G341" s="125" t="s">
        <v>913</v>
      </c>
      <c r="H341" s="125" t="s">
        <v>7821</v>
      </c>
      <c r="I341" t="s">
        <v>7831</v>
      </c>
    </row>
    <row r="342">
      <c r="A342" s="125" t="s">
        <v>1657</v>
      </c>
      <c r="B342" s="526" t="s">
        <v>1656</v>
      </c>
      <c r="C342" s="527">
        <v>54.0</v>
      </c>
      <c r="D342" s="527">
        <v>44.08</v>
      </c>
      <c r="E342" s="528">
        <v>0.8163</v>
      </c>
      <c r="F342" s="36" t="s">
        <v>7798</v>
      </c>
      <c r="G342" s="125" t="s">
        <v>913</v>
      </c>
      <c r="H342" s="125" t="s">
        <v>7821</v>
      </c>
      <c r="I342" t="s">
        <v>7831</v>
      </c>
    </row>
    <row r="343">
      <c r="A343" s="125" t="s">
        <v>1659</v>
      </c>
      <c r="B343" s="526" t="s">
        <v>1658</v>
      </c>
      <c r="C343" s="527">
        <v>132.0</v>
      </c>
      <c r="D343" s="527">
        <v>107.91</v>
      </c>
      <c r="E343" s="528">
        <v>0.8175</v>
      </c>
      <c r="F343" s="36" t="s">
        <v>7798</v>
      </c>
      <c r="G343" s="125" t="s">
        <v>913</v>
      </c>
      <c r="H343" s="125" t="s">
        <v>7821</v>
      </c>
      <c r="I343" t="s">
        <v>7831</v>
      </c>
    </row>
    <row r="344">
      <c r="A344" s="125" t="s">
        <v>1661</v>
      </c>
      <c r="B344" s="526" t="s">
        <v>1660</v>
      </c>
      <c r="C344" s="527">
        <v>135.0</v>
      </c>
      <c r="D344" s="527">
        <v>110.45</v>
      </c>
      <c r="E344" s="528">
        <v>0.8181</v>
      </c>
      <c r="F344" s="36" t="s">
        <v>7798</v>
      </c>
      <c r="G344" s="125" t="s">
        <v>913</v>
      </c>
      <c r="H344" s="125" t="s">
        <v>7821</v>
      </c>
      <c r="I344" t="s">
        <v>7831</v>
      </c>
    </row>
    <row r="345">
      <c r="A345" s="125" t="s">
        <v>1663</v>
      </c>
      <c r="B345" s="526" t="s">
        <v>1662</v>
      </c>
      <c r="C345" s="527">
        <v>180.0</v>
      </c>
      <c r="D345" s="527">
        <v>147.09</v>
      </c>
      <c r="E345" s="528">
        <v>0.8172</v>
      </c>
      <c r="F345" s="36" t="s">
        <v>7798</v>
      </c>
      <c r="G345" s="125" t="s">
        <v>913</v>
      </c>
      <c r="H345" s="125" t="s">
        <v>7821</v>
      </c>
      <c r="I345" t="s">
        <v>7831</v>
      </c>
    </row>
    <row r="346">
      <c r="A346" s="125" t="s">
        <v>1665</v>
      </c>
      <c r="B346" s="526" t="s">
        <v>1664</v>
      </c>
      <c r="C346" s="527">
        <v>35.0</v>
      </c>
      <c r="D346" s="527">
        <v>28.58</v>
      </c>
      <c r="E346" s="528">
        <v>0.8166</v>
      </c>
      <c r="F346" s="36" t="s">
        <v>7798</v>
      </c>
      <c r="G346" s="125" t="s">
        <v>913</v>
      </c>
      <c r="H346" s="125" t="s">
        <v>7821</v>
      </c>
      <c r="I346" t="s">
        <v>7831</v>
      </c>
    </row>
    <row r="347">
      <c r="A347" s="125" t="s">
        <v>1667</v>
      </c>
      <c r="B347" s="526" t="s">
        <v>1666</v>
      </c>
      <c r="C347" s="527">
        <v>120.0</v>
      </c>
      <c r="D347" s="527">
        <v>98.15</v>
      </c>
      <c r="E347" s="528">
        <v>0.8179</v>
      </c>
      <c r="F347" s="36" t="s">
        <v>7798</v>
      </c>
      <c r="G347" s="125" t="s">
        <v>913</v>
      </c>
      <c r="H347" s="125" t="s">
        <v>7821</v>
      </c>
      <c r="I347" t="s">
        <v>7830</v>
      </c>
    </row>
    <row r="348">
      <c r="A348" s="125" t="s">
        <v>1669</v>
      </c>
      <c r="B348" s="526" t="s">
        <v>1668</v>
      </c>
      <c r="C348" s="527">
        <v>78.0</v>
      </c>
      <c r="D348" s="527">
        <v>63.72</v>
      </c>
      <c r="E348" s="528">
        <v>0.8169</v>
      </c>
      <c r="F348" s="36" t="s">
        <v>7798</v>
      </c>
      <c r="G348" s="125" t="s">
        <v>913</v>
      </c>
      <c r="H348" s="125" t="s">
        <v>7821</v>
      </c>
      <c r="I348" t="s">
        <v>7830</v>
      </c>
    </row>
    <row r="349">
      <c r="A349" s="125" t="s">
        <v>1671</v>
      </c>
      <c r="B349" s="526" t="s">
        <v>1670</v>
      </c>
      <c r="C349" s="527">
        <v>18.0</v>
      </c>
      <c r="D349" s="527">
        <v>14.63</v>
      </c>
      <c r="E349" s="528">
        <v>0.8128</v>
      </c>
      <c r="F349" s="36" t="s">
        <v>7798</v>
      </c>
      <c r="G349" s="125" t="s">
        <v>913</v>
      </c>
      <c r="H349" s="125" t="s">
        <v>7821</v>
      </c>
      <c r="I349" t="s">
        <v>7830</v>
      </c>
    </row>
    <row r="350">
      <c r="A350" s="125" t="s">
        <v>1673</v>
      </c>
      <c r="B350" s="526" t="s">
        <v>1672</v>
      </c>
      <c r="C350" s="527">
        <v>120.0</v>
      </c>
      <c r="D350" s="527">
        <v>98.19</v>
      </c>
      <c r="E350" s="528">
        <v>0.8183</v>
      </c>
      <c r="F350" s="36" t="s">
        <v>7798</v>
      </c>
      <c r="G350" s="125" t="s">
        <v>913</v>
      </c>
      <c r="H350" s="125" t="s">
        <v>7821</v>
      </c>
      <c r="I350" t="s">
        <v>7832</v>
      </c>
    </row>
    <row r="351">
      <c r="A351" s="125" t="s">
        <v>1675</v>
      </c>
      <c r="B351" s="526" t="s">
        <v>1674</v>
      </c>
      <c r="C351" s="527">
        <v>54.0</v>
      </c>
      <c r="D351" s="527">
        <v>44.18</v>
      </c>
      <c r="E351" s="528">
        <v>0.8181</v>
      </c>
      <c r="F351" s="36" t="s">
        <v>7798</v>
      </c>
      <c r="G351" s="125" t="s">
        <v>913</v>
      </c>
      <c r="H351" s="125" t="s">
        <v>7821</v>
      </c>
      <c r="I351" t="s">
        <v>7832</v>
      </c>
    </row>
    <row r="352">
      <c r="A352" s="125" t="s">
        <v>1677</v>
      </c>
      <c r="B352" s="526" t="s">
        <v>1676</v>
      </c>
      <c r="C352" s="527">
        <v>214.0</v>
      </c>
      <c r="D352" s="527">
        <v>175.01</v>
      </c>
      <c r="E352" s="528">
        <v>0.8178</v>
      </c>
      <c r="F352" s="36" t="s">
        <v>7798</v>
      </c>
      <c r="G352" s="125" t="s">
        <v>913</v>
      </c>
      <c r="H352" s="125" t="s">
        <v>7821</v>
      </c>
      <c r="I352" t="s">
        <v>7832</v>
      </c>
    </row>
    <row r="353">
      <c r="A353" s="125" t="s">
        <v>1679</v>
      </c>
      <c r="B353" s="526" t="s">
        <v>1678</v>
      </c>
      <c r="C353" s="527">
        <v>228.0</v>
      </c>
      <c r="D353" s="527">
        <v>186.35</v>
      </c>
      <c r="E353" s="528">
        <v>0.8173</v>
      </c>
      <c r="F353" s="36" t="s">
        <v>7798</v>
      </c>
      <c r="G353" s="125" t="s">
        <v>913</v>
      </c>
      <c r="H353" s="125" t="s">
        <v>7821</v>
      </c>
      <c r="I353" t="s">
        <v>7832</v>
      </c>
    </row>
    <row r="354">
      <c r="A354" s="125" t="s">
        <v>1681</v>
      </c>
      <c r="B354" s="526" t="s">
        <v>1680</v>
      </c>
      <c r="C354" s="527">
        <v>264.0</v>
      </c>
      <c r="D354" s="527">
        <v>215.9</v>
      </c>
      <c r="E354" s="528">
        <v>0.8178</v>
      </c>
      <c r="F354" s="36" t="s">
        <v>7798</v>
      </c>
      <c r="G354" s="125" t="s">
        <v>913</v>
      </c>
      <c r="H354" s="125" t="s">
        <v>7821</v>
      </c>
      <c r="I354" t="s">
        <v>7832</v>
      </c>
    </row>
    <row r="355">
      <c r="A355" s="125" t="s">
        <v>1683</v>
      </c>
      <c r="B355" s="526" t="s">
        <v>1682</v>
      </c>
      <c r="C355" s="527">
        <v>117.0</v>
      </c>
      <c r="D355" s="527">
        <v>95.72</v>
      </c>
      <c r="E355" s="528">
        <v>0.8181</v>
      </c>
      <c r="F355" s="36" t="s">
        <v>7798</v>
      </c>
      <c r="G355" s="125" t="s">
        <v>913</v>
      </c>
      <c r="H355" s="125" t="s">
        <v>7821</v>
      </c>
      <c r="I355" t="s">
        <v>7832</v>
      </c>
    </row>
    <row r="356">
      <c r="A356" s="125" t="s">
        <v>1685</v>
      </c>
      <c r="B356" s="526" t="s">
        <v>1684</v>
      </c>
      <c r="C356" s="527">
        <v>149.0</v>
      </c>
      <c r="D356" s="527">
        <v>121.91</v>
      </c>
      <c r="E356" s="528">
        <v>0.8182</v>
      </c>
      <c r="F356" s="36" t="s">
        <v>7798</v>
      </c>
      <c r="G356" s="125" t="s">
        <v>913</v>
      </c>
      <c r="H356" s="125" t="s">
        <v>7821</v>
      </c>
      <c r="I356" t="s">
        <v>7830</v>
      </c>
    </row>
    <row r="357">
      <c r="A357" s="125" t="s">
        <v>1693</v>
      </c>
      <c r="B357" s="526" t="s">
        <v>1692</v>
      </c>
      <c r="C357" s="527">
        <v>159.0</v>
      </c>
      <c r="D357" s="527">
        <v>129.97</v>
      </c>
      <c r="E357" s="528">
        <v>0.8174</v>
      </c>
      <c r="F357" s="36" t="s">
        <v>7798</v>
      </c>
      <c r="G357" s="125" t="s">
        <v>913</v>
      </c>
      <c r="H357" s="125" t="s">
        <v>7821</v>
      </c>
      <c r="I357" t="s">
        <v>7833</v>
      </c>
    </row>
    <row r="358">
      <c r="A358" s="125" t="s">
        <v>1695</v>
      </c>
      <c r="B358" s="526" t="s">
        <v>1694</v>
      </c>
      <c r="C358" s="527">
        <v>57.0</v>
      </c>
      <c r="D358" s="527">
        <v>46.56</v>
      </c>
      <c r="E358" s="528">
        <v>0.8168</v>
      </c>
      <c r="F358" s="36" t="s">
        <v>7798</v>
      </c>
      <c r="G358" s="125" t="s">
        <v>913</v>
      </c>
      <c r="H358" s="125" t="s">
        <v>7821</v>
      </c>
      <c r="I358" t="s">
        <v>7833</v>
      </c>
    </row>
    <row r="359">
      <c r="A359" s="125" t="s">
        <v>1699</v>
      </c>
      <c r="B359" s="526" t="s">
        <v>1698</v>
      </c>
      <c r="C359" s="527">
        <v>144.0</v>
      </c>
      <c r="D359" s="527">
        <v>117.74</v>
      </c>
      <c r="E359" s="528">
        <v>0.8176</v>
      </c>
      <c r="F359" s="36" t="s">
        <v>7798</v>
      </c>
      <c r="G359" s="125" t="s">
        <v>913</v>
      </c>
      <c r="H359" s="125" t="s">
        <v>7821</v>
      </c>
      <c r="I359" t="s">
        <v>7833</v>
      </c>
    </row>
    <row r="360">
      <c r="A360" s="125" t="s">
        <v>1711</v>
      </c>
      <c r="B360" s="526" t="s">
        <v>1710</v>
      </c>
      <c r="C360" s="527">
        <v>173.0</v>
      </c>
      <c r="D360" s="527">
        <v>141.47</v>
      </c>
      <c r="E360" s="528">
        <v>0.8177</v>
      </c>
      <c r="F360" s="36" t="s">
        <v>7798</v>
      </c>
      <c r="G360" s="125" t="s">
        <v>913</v>
      </c>
      <c r="H360" s="125" t="s">
        <v>7821</v>
      </c>
      <c r="I360" t="s">
        <v>7833</v>
      </c>
    </row>
    <row r="361">
      <c r="A361" s="125" t="s">
        <v>1713</v>
      </c>
      <c r="B361" s="526" t="s">
        <v>1712</v>
      </c>
      <c r="C361" s="527">
        <v>66.0</v>
      </c>
      <c r="D361" s="527">
        <v>53.96</v>
      </c>
      <c r="E361" s="528">
        <v>0.8176</v>
      </c>
      <c r="F361" s="36" t="s">
        <v>7798</v>
      </c>
      <c r="G361" s="125" t="s">
        <v>913</v>
      </c>
      <c r="H361" s="125" t="s">
        <v>7821</v>
      </c>
      <c r="I361" t="s">
        <v>7833</v>
      </c>
    </row>
    <row r="362">
      <c r="A362" s="125" t="s">
        <v>1715</v>
      </c>
      <c r="B362" s="526" t="s">
        <v>1714</v>
      </c>
      <c r="C362" s="527">
        <v>9.0</v>
      </c>
      <c r="D362" s="527">
        <v>7.29</v>
      </c>
      <c r="E362" s="528">
        <v>0.81</v>
      </c>
      <c r="F362" s="36" t="s">
        <v>7798</v>
      </c>
      <c r="G362" s="125" t="s">
        <v>913</v>
      </c>
      <c r="H362" s="125" t="s">
        <v>7821</v>
      </c>
      <c r="I362" t="s">
        <v>7833</v>
      </c>
    </row>
    <row r="363">
      <c r="A363" s="125" t="s">
        <v>1721</v>
      </c>
      <c r="B363" s="526" t="s">
        <v>1720</v>
      </c>
      <c r="C363" s="527">
        <v>97.0</v>
      </c>
      <c r="D363" s="527">
        <v>79.34</v>
      </c>
      <c r="E363" s="528">
        <v>0.8179</v>
      </c>
      <c r="F363" s="36" t="s">
        <v>7798</v>
      </c>
      <c r="G363" s="125" t="s">
        <v>913</v>
      </c>
      <c r="H363" s="125" t="s">
        <v>7821</v>
      </c>
      <c r="I363" t="s">
        <v>7830</v>
      </c>
    </row>
    <row r="364">
      <c r="A364" s="125" t="s">
        <v>1723</v>
      </c>
      <c r="B364" s="526" t="s">
        <v>1722</v>
      </c>
      <c r="C364" s="527">
        <v>1.0</v>
      </c>
      <c r="D364" s="527">
        <v>152.48</v>
      </c>
      <c r="E364" s="528">
        <v>152.48</v>
      </c>
      <c r="F364" s="36" t="s">
        <v>7807</v>
      </c>
      <c r="G364" s="125" t="s">
        <v>913</v>
      </c>
      <c r="H364" s="125" t="s">
        <v>7821</v>
      </c>
      <c r="I364" t="s">
        <v>489</v>
      </c>
    </row>
    <row r="365">
      <c r="A365" s="125" t="s">
        <v>1725</v>
      </c>
      <c r="B365" s="526" t="s">
        <v>1724</v>
      </c>
      <c r="C365" s="527">
        <v>57.0</v>
      </c>
      <c r="D365" s="527">
        <v>64.41</v>
      </c>
      <c r="E365" s="528">
        <v>1.13</v>
      </c>
      <c r="F365" s="36" t="s">
        <v>7798</v>
      </c>
      <c r="G365" s="125" t="s">
        <v>913</v>
      </c>
      <c r="I365" t="s">
        <v>45</v>
      </c>
    </row>
    <row r="366">
      <c r="A366" s="125" t="s">
        <v>1727</v>
      </c>
      <c r="B366" s="526" t="s">
        <v>1726</v>
      </c>
      <c r="C366" s="527">
        <v>6.0</v>
      </c>
      <c r="D366" s="527">
        <v>4.2</v>
      </c>
      <c r="E366" s="528">
        <v>0.7</v>
      </c>
      <c r="F366" s="36" t="s">
        <v>7798</v>
      </c>
      <c r="G366" s="125" t="s">
        <v>913</v>
      </c>
      <c r="H366" s="125" t="s">
        <v>7821</v>
      </c>
      <c r="I366" t="s">
        <v>7834</v>
      </c>
    </row>
    <row r="367">
      <c r="A367" s="125" t="s">
        <v>1731</v>
      </c>
      <c r="B367" s="526" t="s">
        <v>1730</v>
      </c>
      <c r="C367" s="527">
        <v>4.0</v>
      </c>
      <c r="D367" s="527">
        <v>2.36</v>
      </c>
      <c r="E367" s="528">
        <v>0.59</v>
      </c>
      <c r="F367" s="36" t="s">
        <v>7798</v>
      </c>
      <c r="G367" s="125" t="s">
        <v>913</v>
      </c>
      <c r="H367" s="125" t="s">
        <v>7821</v>
      </c>
      <c r="I367" t="s">
        <v>7834</v>
      </c>
    </row>
    <row r="368">
      <c r="A368" s="125" t="s">
        <v>1733</v>
      </c>
      <c r="B368" s="526" t="s">
        <v>1732</v>
      </c>
      <c r="C368" s="527">
        <v>180.0</v>
      </c>
      <c r="D368" s="527">
        <v>106.2</v>
      </c>
      <c r="E368" s="528">
        <v>0.59</v>
      </c>
      <c r="F368" s="36" t="s">
        <v>7798</v>
      </c>
      <c r="G368" s="125" t="s">
        <v>913</v>
      </c>
      <c r="H368" s="125" t="s">
        <v>7821</v>
      </c>
      <c r="I368" t="s">
        <v>7834</v>
      </c>
    </row>
    <row r="369">
      <c r="A369" s="125" t="s">
        <v>1735</v>
      </c>
      <c r="B369" s="526" t="s">
        <v>1734</v>
      </c>
      <c r="C369" s="527">
        <v>78.0</v>
      </c>
      <c r="D369" s="527">
        <v>31.2</v>
      </c>
      <c r="E369" s="528">
        <v>0.4</v>
      </c>
      <c r="F369" s="36" t="s">
        <v>7798</v>
      </c>
      <c r="G369" s="125" t="s">
        <v>913</v>
      </c>
      <c r="H369" s="125" t="s">
        <v>7821</v>
      </c>
      <c r="I369" t="s">
        <v>7834</v>
      </c>
    </row>
    <row r="370">
      <c r="A370" s="125" t="s">
        <v>1737</v>
      </c>
      <c r="B370" s="526" t="s">
        <v>1736</v>
      </c>
      <c r="C370" s="527">
        <v>5.0</v>
      </c>
      <c r="D370" s="527">
        <v>3.2</v>
      </c>
      <c r="E370" s="528">
        <v>0.64</v>
      </c>
      <c r="F370" s="36" t="s">
        <v>7798</v>
      </c>
      <c r="G370" s="125" t="s">
        <v>913</v>
      </c>
      <c r="H370" s="125" t="s">
        <v>7821</v>
      </c>
      <c r="I370" t="s">
        <v>7834</v>
      </c>
    </row>
    <row r="371">
      <c r="A371" s="125" t="s">
        <v>1739</v>
      </c>
      <c r="B371" s="526" t="s">
        <v>1738</v>
      </c>
      <c r="C371" s="527">
        <v>192.0</v>
      </c>
      <c r="D371" s="527">
        <v>113.28</v>
      </c>
      <c r="E371" s="528">
        <v>0.59</v>
      </c>
      <c r="F371" s="36" t="s">
        <v>7798</v>
      </c>
      <c r="G371" s="125" t="s">
        <v>913</v>
      </c>
      <c r="H371" s="125" t="s">
        <v>7821</v>
      </c>
      <c r="I371" t="s">
        <v>7834</v>
      </c>
    </row>
    <row r="372">
      <c r="A372" s="125" t="s">
        <v>1741</v>
      </c>
      <c r="B372" s="526" t="s">
        <v>1740</v>
      </c>
      <c r="C372" s="527">
        <v>6.0</v>
      </c>
      <c r="D372" s="527">
        <v>4.02</v>
      </c>
      <c r="E372" s="528">
        <v>0.67</v>
      </c>
      <c r="F372" s="36" t="s">
        <v>7798</v>
      </c>
      <c r="G372" s="125" t="s">
        <v>913</v>
      </c>
      <c r="H372" s="125" t="s">
        <v>7821</v>
      </c>
      <c r="I372" t="s">
        <v>7834</v>
      </c>
    </row>
    <row r="373">
      <c r="A373" s="125" t="s">
        <v>1745</v>
      </c>
      <c r="B373" s="526" t="s">
        <v>1744</v>
      </c>
      <c r="C373" s="527">
        <v>30.0</v>
      </c>
      <c r="D373" s="527">
        <v>21.0</v>
      </c>
      <c r="E373" s="528">
        <v>0.7</v>
      </c>
      <c r="F373" s="36" t="s">
        <v>7798</v>
      </c>
      <c r="G373" s="125" t="s">
        <v>913</v>
      </c>
      <c r="H373" s="125" t="s">
        <v>7821</v>
      </c>
      <c r="I373" t="s">
        <v>7834</v>
      </c>
    </row>
    <row r="374">
      <c r="A374" s="125" t="s">
        <v>1747</v>
      </c>
      <c r="B374" s="526" t="s">
        <v>1746</v>
      </c>
      <c r="C374" s="527">
        <v>78.0</v>
      </c>
      <c r="D374" s="527">
        <v>52.26</v>
      </c>
      <c r="E374" s="528">
        <v>0.67</v>
      </c>
      <c r="F374" s="36" t="s">
        <v>7798</v>
      </c>
      <c r="G374" s="125" t="s">
        <v>913</v>
      </c>
      <c r="H374" s="125" t="s">
        <v>7821</v>
      </c>
      <c r="I374" t="s">
        <v>7834</v>
      </c>
    </row>
    <row r="375">
      <c r="A375" s="125" t="s">
        <v>1755</v>
      </c>
      <c r="B375" s="526" t="s">
        <v>1754</v>
      </c>
      <c r="C375" s="527">
        <v>36.0</v>
      </c>
      <c r="D375" s="527">
        <v>19.44</v>
      </c>
      <c r="E375" s="528">
        <v>0.54</v>
      </c>
      <c r="F375" s="36" t="s">
        <v>7798</v>
      </c>
      <c r="G375" s="125" t="s">
        <v>913</v>
      </c>
      <c r="H375" s="125" t="s">
        <v>7821</v>
      </c>
      <c r="I375" t="s">
        <v>7834</v>
      </c>
    </row>
    <row r="376">
      <c r="A376" s="125" t="s">
        <v>1757</v>
      </c>
      <c r="B376" s="526" t="s">
        <v>1756</v>
      </c>
      <c r="C376" s="527">
        <v>22.0</v>
      </c>
      <c r="D376" s="527">
        <v>17.38</v>
      </c>
      <c r="E376" s="528">
        <v>0.79</v>
      </c>
      <c r="F376" s="36" t="s">
        <v>7798</v>
      </c>
      <c r="G376" s="125" t="s">
        <v>913</v>
      </c>
      <c r="H376" s="125" t="s">
        <v>7821</v>
      </c>
      <c r="I376" t="s">
        <v>7834</v>
      </c>
    </row>
    <row r="377">
      <c r="A377" s="125" t="s">
        <v>1759</v>
      </c>
      <c r="B377" s="526" t="s">
        <v>1758</v>
      </c>
      <c r="C377" s="527">
        <v>12.0</v>
      </c>
      <c r="D377" s="527">
        <v>7.08</v>
      </c>
      <c r="E377" s="528">
        <v>0.59</v>
      </c>
      <c r="F377" s="36" t="s">
        <v>7798</v>
      </c>
      <c r="G377" s="125" t="s">
        <v>913</v>
      </c>
      <c r="H377" s="125" t="s">
        <v>7821</v>
      </c>
      <c r="I377" t="s">
        <v>7834</v>
      </c>
    </row>
    <row r="378">
      <c r="A378" s="125" t="s">
        <v>1761</v>
      </c>
      <c r="B378" s="526" t="s">
        <v>1760</v>
      </c>
      <c r="C378" s="527">
        <v>216.0</v>
      </c>
      <c r="D378" s="527">
        <v>110.16</v>
      </c>
      <c r="E378" s="528">
        <v>0.51</v>
      </c>
      <c r="F378" s="36" t="s">
        <v>7798</v>
      </c>
      <c r="G378" s="125" t="s">
        <v>913</v>
      </c>
      <c r="H378" s="125" t="s">
        <v>7821</v>
      </c>
      <c r="I378" t="s">
        <v>7834</v>
      </c>
    </row>
    <row r="379">
      <c r="A379" s="125" t="s">
        <v>1763</v>
      </c>
      <c r="B379" s="526" t="s">
        <v>1762</v>
      </c>
      <c r="C379" s="527">
        <v>144.0</v>
      </c>
      <c r="D379" s="527">
        <v>96.48</v>
      </c>
      <c r="E379" s="528">
        <v>0.67</v>
      </c>
      <c r="F379" s="36" t="s">
        <v>7798</v>
      </c>
      <c r="G379" s="125" t="s">
        <v>913</v>
      </c>
      <c r="H379" s="125" t="s">
        <v>7821</v>
      </c>
      <c r="I379" t="s">
        <v>7834</v>
      </c>
    </row>
    <row r="380">
      <c r="A380" s="125" t="s">
        <v>1765</v>
      </c>
      <c r="B380" s="526" t="s">
        <v>1764</v>
      </c>
      <c r="C380" s="527">
        <v>312.0</v>
      </c>
      <c r="D380" s="527">
        <v>118.56</v>
      </c>
      <c r="E380" s="528">
        <v>0.38</v>
      </c>
      <c r="F380" s="36" t="s">
        <v>7798</v>
      </c>
      <c r="G380" s="125" t="s">
        <v>913</v>
      </c>
      <c r="H380" s="125" t="s">
        <v>7821</v>
      </c>
      <c r="I380" t="s">
        <v>7834</v>
      </c>
    </row>
    <row r="381">
      <c r="A381" s="125" t="s">
        <v>1767</v>
      </c>
      <c r="B381" s="526" t="s">
        <v>1766</v>
      </c>
      <c r="C381" s="527">
        <v>222.0</v>
      </c>
      <c r="D381" s="527">
        <v>130.98</v>
      </c>
      <c r="E381" s="528">
        <v>0.59</v>
      </c>
      <c r="F381" s="36" t="s">
        <v>7798</v>
      </c>
      <c r="G381" s="125" t="s">
        <v>913</v>
      </c>
      <c r="H381" s="125" t="s">
        <v>7821</v>
      </c>
      <c r="I381" t="s">
        <v>7834</v>
      </c>
    </row>
    <row r="382">
      <c r="A382" s="125" t="s">
        <v>1769</v>
      </c>
      <c r="B382" s="526" t="s">
        <v>1768</v>
      </c>
      <c r="C382" s="527">
        <v>96.0</v>
      </c>
      <c r="D382" s="527">
        <v>56.64</v>
      </c>
      <c r="E382" s="528">
        <v>0.59</v>
      </c>
      <c r="F382" s="36" t="s">
        <v>7798</v>
      </c>
      <c r="G382" s="125" t="s">
        <v>913</v>
      </c>
      <c r="H382" s="125" t="s">
        <v>7821</v>
      </c>
      <c r="I382" t="s">
        <v>7834</v>
      </c>
    </row>
    <row r="383">
      <c r="A383" s="125" t="s">
        <v>1771</v>
      </c>
      <c r="B383" s="526" t="s">
        <v>1770</v>
      </c>
      <c r="C383" s="527">
        <v>22.0</v>
      </c>
      <c r="D383" s="527">
        <v>17.38</v>
      </c>
      <c r="E383" s="528">
        <v>0.79</v>
      </c>
      <c r="F383" s="36" t="s">
        <v>7798</v>
      </c>
      <c r="G383" s="125" t="s">
        <v>913</v>
      </c>
      <c r="H383" s="125" t="s">
        <v>7821</v>
      </c>
      <c r="I383" t="s">
        <v>7834</v>
      </c>
    </row>
    <row r="384">
      <c r="A384" s="125" t="s">
        <v>1773</v>
      </c>
      <c r="B384" s="526" t="s">
        <v>1772</v>
      </c>
      <c r="C384" s="527">
        <v>192.0</v>
      </c>
      <c r="D384" s="527">
        <v>151.68</v>
      </c>
      <c r="E384" s="528">
        <v>0.79</v>
      </c>
      <c r="F384" s="36" t="s">
        <v>7798</v>
      </c>
      <c r="G384" s="125" t="s">
        <v>913</v>
      </c>
      <c r="H384" s="125" t="s">
        <v>7821</v>
      </c>
      <c r="I384" t="s">
        <v>7834</v>
      </c>
    </row>
    <row r="385">
      <c r="A385" s="125" t="s">
        <v>1775</v>
      </c>
      <c r="B385" s="526" t="s">
        <v>1774</v>
      </c>
      <c r="C385" s="527">
        <v>168.0</v>
      </c>
      <c r="D385" s="527">
        <v>132.72</v>
      </c>
      <c r="E385" s="528">
        <v>0.79</v>
      </c>
      <c r="F385" s="36" t="s">
        <v>7798</v>
      </c>
      <c r="G385" s="125" t="s">
        <v>913</v>
      </c>
      <c r="H385" s="125" t="s">
        <v>7821</v>
      </c>
      <c r="I385" t="s">
        <v>7834</v>
      </c>
    </row>
    <row r="386">
      <c r="A386" s="125" t="s">
        <v>1777</v>
      </c>
      <c r="B386" s="526" t="s">
        <v>1776</v>
      </c>
      <c r="C386" s="527">
        <v>156.0</v>
      </c>
      <c r="D386" s="527">
        <v>92.04</v>
      </c>
      <c r="E386" s="528">
        <v>0.59</v>
      </c>
      <c r="F386" s="36" t="s">
        <v>7798</v>
      </c>
      <c r="G386" s="125" t="s">
        <v>913</v>
      </c>
      <c r="H386" s="125" t="s">
        <v>7821</v>
      </c>
      <c r="I386" t="s">
        <v>7834</v>
      </c>
    </row>
    <row r="387">
      <c r="A387" s="125" t="s">
        <v>1779</v>
      </c>
      <c r="B387" s="526" t="s">
        <v>1778</v>
      </c>
      <c r="C387" s="527">
        <v>83.0</v>
      </c>
      <c r="D387" s="527">
        <v>65.57</v>
      </c>
      <c r="E387" s="528">
        <v>0.79</v>
      </c>
      <c r="F387" s="36" t="s">
        <v>7798</v>
      </c>
      <c r="G387" s="125" t="s">
        <v>913</v>
      </c>
      <c r="H387" s="125" t="s">
        <v>7821</v>
      </c>
      <c r="I387" t="s">
        <v>7834</v>
      </c>
    </row>
    <row r="388">
      <c r="A388" s="125" t="s">
        <v>1781</v>
      </c>
      <c r="B388" s="526" t="s">
        <v>1780</v>
      </c>
      <c r="C388" s="527">
        <v>72.0</v>
      </c>
      <c r="D388" s="527">
        <v>42.48</v>
      </c>
      <c r="E388" s="528">
        <v>0.59</v>
      </c>
      <c r="F388" s="36" t="s">
        <v>7798</v>
      </c>
      <c r="G388" s="125" t="s">
        <v>913</v>
      </c>
      <c r="H388" s="125" t="s">
        <v>7821</v>
      </c>
      <c r="I388" t="s">
        <v>7834</v>
      </c>
    </row>
    <row r="389">
      <c r="A389" s="125" t="s">
        <v>1783</v>
      </c>
      <c r="B389" s="526" t="s">
        <v>1782</v>
      </c>
      <c r="C389" s="527">
        <v>270.0</v>
      </c>
      <c r="D389" s="527">
        <v>159.3</v>
      </c>
      <c r="E389" s="528">
        <v>0.59</v>
      </c>
      <c r="F389" s="36" t="s">
        <v>7798</v>
      </c>
      <c r="G389" s="125" t="s">
        <v>913</v>
      </c>
      <c r="H389" s="125" t="s">
        <v>7821</v>
      </c>
      <c r="I389" t="s">
        <v>7834</v>
      </c>
    </row>
    <row r="390">
      <c r="A390" s="125" t="s">
        <v>1785</v>
      </c>
      <c r="B390" s="526" t="s">
        <v>1784</v>
      </c>
      <c r="C390" s="527">
        <v>120.0</v>
      </c>
      <c r="D390" s="527">
        <v>70.8</v>
      </c>
      <c r="E390" s="528">
        <v>0.59</v>
      </c>
      <c r="F390" s="36" t="s">
        <v>7798</v>
      </c>
      <c r="G390" s="125" t="s">
        <v>913</v>
      </c>
      <c r="H390" s="125" t="s">
        <v>7821</v>
      </c>
      <c r="I390" t="s">
        <v>7834</v>
      </c>
    </row>
    <row r="391">
      <c r="A391" s="125" t="s">
        <v>1787</v>
      </c>
      <c r="B391" s="526" t="s">
        <v>1786</v>
      </c>
      <c r="C391" s="527">
        <v>24.0</v>
      </c>
      <c r="D391" s="527">
        <v>16.8</v>
      </c>
      <c r="E391" s="528">
        <v>0.7</v>
      </c>
      <c r="F391" s="36" t="s">
        <v>7798</v>
      </c>
      <c r="G391" s="125" t="s">
        <v>913</v>
      </c>
      <c r="H391" s="125" t="s">
        <v>7821</v>
      </c>
      <c r="I391" t="s">
        <v>7834</v>
      </c>
    </row>
    <row r="392">
      <c r="A392" s="125" t="s">
        <v>1789</v>
      </c>
      <c r="B392" s="526" t="s">
        <v>1788</v>
      </c>
      <c r="C392" s="527">
        <v>240.0</v>
      </c>
      <c r="D392" s="527">
        <v>115.2</v>
      </c>
      <c r="E392" s="528">
        <v>0.48</v>
      </c>
      <c r="F392" s="36" t="s">
        <v>7798</v>
      </c>
      <c r="G392" s="125" t="s">
        <v>913</v>
      </c>
      <c r="H392" s="125" t="s">
        <v>7821</v>
      </c>
      <c r="I392" t="s">
        <v>7834</v>
      </c>
    </row>
    <row r="393">
      <c r="A393" s="125" t="s">
        <v>1791</v>
      </c>
      <c r="B393" s="526" t="s">
        <v>1790</v>
      </c>
      <c r="C393" s="527">
        <v>276.0</v>
      </c>
      <c r="D393" s="527">
        <v>184.92</v>
      </c>
      <c r="E393" s="528">
        <v>0.67</v>
      </c>
      <c r="F393" s="36" t="s">
        <v>7798</v>
      </c>
      <c r="G393" s="125" t="s">
        <v>913</v>
      </c>
      <c r="H393" s="125" t="s">
        <v>7821</v>
      </c>
      <c r="I393" t="s">
        <v>7834</v>
      </c>
    </row>
    <row r="394">
      <c r="A394" s="125" t="s">
        <v>1793</v>
      </c>
      <c r="B394" s="526" t="s">
        <v>1792</v>
      </c>
      <c r="C394" s="527">
        <v>107.0</v>
      </c>
      <c r="D394" s="527">
        <v>54.57</v>
      </c>
      <c r="E394" s="528">
        <v>0.51</v>
      </c>
      <c r="F394" s="36" t="s">
        <v>7798</v>
      </c>
      <c r="G394" s="125" t="s">
        <v>913</v>
      </c>
      <c r="H394" s="125" t="s">
        <v>7821</v>
      </c>
      <c r="I394" t="s">
        <v>7834</v>
      </c>
    </row>
    <row r="395">
      <c r="A395" s="125" t="s">
        <v>1795</v>
      </c>
      <c r="B395" s="526" t="s">
        <v>1794</v>
      </c>
      <c r="C395" s="527">
        <v>0.0</v>
      </c>
      <c r="D395" s="527">
        <v>0.0</v>
      </c>
      <c r="F395" s="36" t="s">
        <v>7798</v>
      </c>
      <c r="G395" s="125" t="s">
        <v>913</v>
      </c>
      <c r="H395" s="125" t="s">
        <v>7821</v>
      </c>
      <c r="I395" t="s">
        <v>7834</v>
      </c>
    </row>
    <row r="396">
      <c r="A396" s="125" t="s">
        <v>1801</v>
      </c>
      <c r="B396" s="526" t="s">
        <v>1800</v>
      </c>
      <c r="C396" s="527">
        <v>2.0</v>
      </c>
      <c r="D396" s="527">
        <v>279.09</v>
      </c>
      <c r="E396" s="528">
        <v>139.545</v>
      </c>
      <c r="F396" s="36" t="s">
        <v>7807</v>
      </c>
      <c r="G396" s="125" t="s">
        <v>913</v>
      </c>
      <c r="H396" s="125" t="s">
        <v>7808</v>
      </c>
      <c r="I396" t="s">
        <v>163</v>
      </c>
    </row>
    <row r="397">
      <c r="A397" s="125" t="s">
        <v>1803</v>
      </c>
      <c r="B397" s="526" t="s">
        <v>1802</v>
      </c>
      <c r="C397" s="527">
        <v>2.0</v>
      </c>
      <c r="D397" s="527">
        <v>433.45</v>
      </c>
      <c r="E397" s="528">
        <v>216.725</v>
      </c>
      <c r="F397" s="36" t="s">
        <v>7807</v>
      </c>
      <c r="G397" s="125" t="s">
        <v>913</v>
      </c>
      <c r="H397" s="125" t="s">
        <v>7808</v>
      </c>
      <c r="I397" t="s">
        <v>163</v>
      </c>
    </row>
    <row r="398">
      <c r="A398" s="125" t="s">
        <v>1805</v>
      </c>
      <c r="B398" s="526" t="s">
        <v>1804</v>
      </c>
      <c r="C398" s="527">
        <v>126.0</v>
      </c>
      <c r="D398" s="527">
        <v>364.85</v>
      </c>
      <c r="E398" s="528">
        <v>2.8956</v>
      </c>
      <c r="F398" s="36" t="s">
        <v>7798</v>
      </c>
      <c r="G398" s="125" t="s">
        <v>913</v>
      </c>
      <c r="H398" s="125" t="s">
        <v>7808</v>
      </c>
      <c r="I398" t="s">
        <v>163</v>
      </c>
    </row>
    <row r="399">
      <c r="A399" s="125" t="s">
        <v>1807</v>
      </c>
      <c r="B399" s="526" t="s">
        <v>1806</v>
      </c>
      <c r="C399" s="527">
        <v>89.0</v>
      </c>
      <c r="D399" s="527">
        <v>257.59</v>
      </c>
      <c r="E399" s="528">
        <v>2.8943</v>
      </c>
      <c r="F399" s="36" t="s">
        <v>7798</v>
      </c>
      <c r="G399" s="125" t="s">
        <v>913</v>
      </c>
      <c r="H399" s="125" t="s">
        <v>7808</v>
      </c>
      <c r="I399" t="s">
        <v>163</v>
      </c>
    </row>
    <row r="400">
      <c r="A400" s="125" t="s">
        <v>1809</v>
      </c>
      <c r="B400" s="526" t="s">
        <v>1808</v>
      </c>
      <c r="C400" s="527">
        <v>186.0</v>
      </c>
      <c r="D400" s="527">
        <v>594.2</v>
      </c>
      <c r="E400" s="528">
        <v>3.1946</v>
      </c>
      <c r="F400" s="36" t="s">
        <v>7798</v>
      </c>
      <c r="G400" s="125" t="s">
        <v>913</v>
      </c>
      <c r="H400" s="125" t="s">
        <v>7808</v>
      </c>
      <c r="I400" t="s">
        <v>163</v>
      </c>
    </row>
    <row r="401">
      <c r="A401" s="125" t="s">
        <v>1811</v>
      </c>
      <c r="B401" s="526" t="s">
        <v>1810</v>
      </c>
      <c r="C401" s="527">
        <v>1111.0</v>
      </c>
      <c r="D401" s="527">
        <v>3472.01</v>
      </c>
      <c r="E401" s="528">
        <v>3.1251</v>
      </c>
      <c r="F401" s="36" t="s">
        <v>7798</v>
      </c>
      <c r="G401" s="125" t="s">
        <v>913</v>
      </c>
      <c r="H401" s="125" t="s">
        <v>7808</v>
      </c>
      <c r="I401" t="s">
        <v>163</v>
      </c>
    </row>
    <row r="402">
      <c r="A402" s="125" t="s">
        <v>1813</v>
      </c>
      <c r="B402" s="526" t="s">
        <v>1812</v>
      </c>
      <c r="C402" s="527">
        <v>245.0</v>
      </c>
      <c r="D402" s="527">
        <v>782.51</v>
      </c>
      <c r="E402" s="528">
        <v>3.1939</v>
      </c>
      <c r="F402" s="36" t="s">
        <v>7798</v>
      </c>
      <c r="G402" s="125" t="s">
        <v>913</v>
      </c>
      <c r="H402" s="125" t="s">
        <v>7808</v>
      </c>
      <c r="I402" t="s">
        <v>163</v>
      </c>
    </row>
    <row r="403">
      <c r="A403" s="125" t="s">
        <v>1815</v>
      </c>
      <c r="B403" s="526" t="s">
        <v>1814</v>
      </c>
      <c r="C403" s="527">
        <v>62.0</v>
      </c>
      <c r="D403" s="527">
        <v>180.57</v>
      </c>
      <c r="E403" s="528">
        <v>2.9124</v>
      </c>
      <c r="F403" s="36" t="s">
        <v>7798</v>
      </c>
      <c r="G403" s="125" t="s">
        <v>913</v>
      </c>
      <c r="H403" s="125" t="s">
        <v>7808</v>
      </c>
      <c r="I403" t="s">
        <v>163</v>
      </c>
    </row>
    <row r="404">
      <c r="A404" s="125" t="s">
        <v>1817</v>
      </c>
      <c r="B404" s="526" t="s">
        <v>1816</v>
      </c>
      <c r="C404" s="527">
        <v>114.0</v>
      </c>
      <c r="D404" s="527">
        <v>376.99</v>
      </c>
      <c r="E404" s="528">
        <v>3.3069</v>
      </c>
      <c r="F404" s="36" t="s">
        <v>7798</v>
      </c>
      <c r="G404" s="125" t="s">
        <v>913</v>
      </c>
      <c r="H404" s="125" t="s">
        <v>7808</v>
      </c>
      <c r="I404" t="s">
        <v>163</v>
      </c>
    </row>
    <row r="405">
      <c r="A405" s="125" t="s">
        <v>1819</v>
      </c>
      <c r="B405" s="526" t="s">
        <v>1818</v>
      </c>
      <c r="C405" s="527">
        <v>144.0</v>
      </c>
      <c r="D405" s="527">
        <v>473.43</v>
      </c>
      <c r="E405" s="528">
        <v>3.2877</v>
      </c>
      <c r="F405" s="36" t="s">
        <v>7798</v>
      </c>
      <c r="G405" s="125" t="s">
        <v>913</v>
      </c>
      <c r="H405" s="125" t="s">
        <v>7808</v>
      </c>
      <c r="I405" t="s">
        <v>163</v>
      </c>
    </row>
    <row r="406">
      <c r="A406" s="125" t="s">
        <v>1821</v>
      </c>
      <c r="B406" s="526" t="s">
        <v>1820</v>
      </c>
      <c r="C406" s="527">
        <v>201.0</v>
      </c>
      <c r="D406" s="527">
        <v>728.34</v>
      </c>
      <c r="E406" s="528">
        <v>3.6236</v>
      </c>
      <c r="F406" s="36" t="s">
        <v>7798</v>
      </c>
      <c r="G406" s="125" t="s">
        <v>913</v>
      </c>
      <c r="H406" s="125" t="s">
        <v>7808</v>
      </c>
      <c r="I406" t="s">
        <v>163</v>
      </c>
    </row>
    <row r="407">
      <c r="A407" s="125" t="s">
        <v>1823</v>
      </c>
      <c r="B407" s="526" t="s">
        <v>1822</v>
      </c>
      <c r="C407" s="527">
        <v>292.0</v>
      </c>
      <c r="D407" s="527">
        <v>1058.01</v>
      </c>
      <c r="E407" s="528">
        <v>3.6233</v>
      </c>
      <c r="F407" s="36" t="s">
        <v>7798</v>
      </c>
      <c r="G407" s="125" t="s">
        <v>913</v>
      </c>
      <c r="H407" s="125" t="s">
        <v>7808</v>
      </c>
      <c r="I407" t="s">
        <v>163</v>
      </c>
    </row>
    <row r="408">
      <c r="A408" s="125" t="s">
        <v>1825</v>
      </c>
      <c r="B408" s="526" t="s">
        <v>1824</v>
      </c>
      <c r="C408" s="527">
        <v>221.0</v>
      </c>
      <c r="D408" s="527">
        <v>800.72</v>
      </c>
      <c r="E408" s="528">
        <v>3.6232</v>
      </c>
      <c r="F408" s="36" t="s">
        <v>7798</v>
      </c>
      <c r="G408" s="125" t="s">
        <v>913</v>
      </c>
      <c r="H408" s="125" t="s">
        <v>7808</v>
      </c>
      <c r="I408" t="s">
        <v>163</v>
      </c>
    </row>
    <row r="409">
      <c r="A409" s="125" t="s">
        <v>1827</v>
      </c>
      <c r="B409" s="526" t="s">
        <v>1826</v>
      </c>
      <c r="C409" s="527">
        <v>121.0</v>
      </c>
      <c r="D409" s="527">
        <v>397.5</v>
      </c>
      <c r="E409" s="528">
        <v>3.2851</v>
      </c>
      <c r="F409" s="36" t="s">
        <v>7798</v>
      </c>
      <c r="G409" s="125" t="s">
        <v>913</v>
      </c>
      <c r="H409" s="125" t="s">
        <v>7808</v>
      </c>
      <c r="I409" t="s">
        <v>163</v>
      </c>
    </row>
    <row r="410">
      <c r="A410" s="125" t="s">
        <v>1829</v>
      </c>
      <c r="B410" s="526" t="s">
        <v>1828</v>
      </c>
      <c r="C410" s="527">
        <v>150.0</v>
      </c>
      <c r="D410" s="527">
        <v>578.92</v>
      </c>
      <c r="E410" s="528">
        <v>3.8595</v>
      </c>
      <c r="F410" s="36" t="s">
        <v>7798</v>
      </c>
      <c r="G410" s="125" t="s">
        <v>913</v>
      </c>
      <c r="H410" s="125" t="s">
        <v>7808</v>
      </c>
      <c r="I410" t="s">
        <v>163</v>
      </c>
    </row>
    <row r="411">
      <c r="A411" s="125" t="s">
        <v>1831</v>
      </c>
      <c r="B411" s="526" t="s">
        <v>1830</v>
      </c>
      <c r="C411" s="527">
        <v>92.0</v>
      </c>
      <c r="D411" s="527">
        <v>354.99</v>
      </c>
      <c r="E411" s="528">
        <v>3.8586</v>
      </c>
      <c r="F411" s="36" t="s">
        <v>7798</v>
      </c>
      <c r="G411" s="125" t="s">
        <v>913</v>
      </c>
      <c r="H411" s="125" t="s">
        <v>7808</v>
      </c>
      <c r="I411" t="s">
        <v>163</v>
      </c>
    </row>
    <row r="412">
      <c r="A412" s="125" t="s">
        <v>1833</v>
      </c>
      <c r="B412" s="526" t="s">
        <v>1832</v>
      </c>
      <c r="C412" s="527">
        <v>182.0</v>
      </c>
      <c r="D412" s="527">
        <v>741.43</v>
      </c>
      <c r="E412" s="528">
        <v>4.0738</v>
      </c>
      <c r="F412" s="36" t="s">
        <v>7798</v>
      </c>
      <c r="G412" s="125" t="s">
        <v>913</v>
      </c>
      <c r="H412" s="125" t="s">
        <v>7808</v>
      </c>
      <c r="I412" t="s">
        <v>163</v>
      </c>
    </row>
    <row r="413">
      <c r="A413" s="125" t="s">
        <v>1835</v>
      </c>
      <c r="B413" s="526" t="s">
        <v>1834</v>
      </c>
      <c r="C413" s="527">
        <v>114.0</v>
      </c>
      <c r="D413" s="527">
        <v>469.81</v>
      </c>
      <c r="E413" s="528">
        <v>4.1211</v>
      </c>
      <c r="F413" s="36" t="s">
        <v>7798</v>
      </c>
      <c r="G413" s="125" t="s">
        <v>913</v>
      </c>
      <c r="H413" s="125" t="s">
        <v>7808</v>
      </c>
      <c r="I413" t="s">
        <v>163</v>
      </c>
    </row>
    <row r="414">
      <c r="A414" s="125" t="s">
        <v>1837</v>
      </c>
      <c r="B414" s="526" t="s">
        <v>1836</v>
      </c>
      <c r="C414" s="527">
        <v>158.0</v>
      </c>
      <c r="D414" s="527">
        <v>649.52</v>
      </c>
      <c r="E414" s="528">
        <v>4.1109</v>
      </c>
      <c r="F414" s="36" t="s">
        <v>7798</v>
      </c>
      <c r="G414" s="125" t="s">
        <v>913</v>
      </c>
      <c r="H414" s="125" t="s">
        <v>7808</v>
      </c>
      <c r="I414" t="s">
        <v>163</v>
      </c>
    </row>
    <row r="415">
      <c r="A415" s="125" t="s">
        <v>1839</v>
      </c>
      <c r="B415" s="526" t="s">
        <v>1838</v>
      </c>
      <c r="C415" s="527">
        <v>158.0</v>
      </c>
      <c r="D415" s="527">
        <v>649.66</v>
      </c>
      <c r="E415" s="528">
        <v>4.1118</v>
      </c>
      <c r="F415" s="36" t="s">
        <v>7798</v>
      </c>
      <c r="G415" s="125" t="s">
        <v>913</v>
      </c>
      <c r="H415" s="125" t="s">
        <v>7808</v>
      </c>
      <c r="I415" t="s">
        <v>163</v>
      </c>
    </row>
    <row r="416">
      <c r="A416" s="125" t="s">
        <v>1841</v>
      </c>
      <c r="B416" s="526" t="s">
        <v>1840</v>
      </c>
      <c r="C416" s="527">
        <v>99.0</v>
      </c>
      <c r="D416" s="527">
        <v>424.72</v>
      </c>
      <c r="E416" s="528">
        <v>4.2901</v>
      </c>
      <c r="F416" s="36" t="s">
        <v>7798</v>
      </c>
      <c r="G416" s="125" t="s">
        <v>913</v>
      </c>
      <c r="H416" s="125" t="s">
        <v>7808</v>
      </c>
      <c r="I416" t="s">
        <v>163</v>
      </c>
    </row>
    <row r="417">
      <c r="A417" s="125" t="s">
        <v>1843</v>
      </c>
      <c r="B417" s="526" t="s">
        <v>1842</v>
      </c>
      <c r="C417" s="527">
        <v>214.0</v>
      </c>
      <c r="D417" s="527">
        <v>956.12</v>
      </c>
      <c r="E417" s="528">
        <v>4.4679</v>
      </c>
      <c r="F417" s="36" t="s">
        <v>7798</v>
      </c>
      <c r="G417" s="125" t="s">
        <v>913</v>
      </c>
      <c r="H417" s="125" t="s">
        <v>7808</v>
      </c>
      <c r="I417" t="s">
        <v>163</v>
      </c>
    </row>
    <row r="418">
      <c r="A418" s="125" t="s">
        <v>1845</v>
      </c>
      <c r="B418" s="526" t="s">
        <v>1844</v>
      </c>
      <c r="C418" s="527">
        <v>120.0</v>
      </c>
      <c r="D418" s="527">
        <v>546.35</v>
      </c>
      <c r="E418" s="528">
        <v>4.5529</v>
      </c>
      <c r="F418" s="36" t="s">
        <v>7798</v>
      </c>
      <c r="G418" s="125" t="s">
        <v>913</v>
      </c>
      <c r="H418" s="125" t="s">
        <v>7808</v>
      </c>
      <c r="I418" t="s">
        <v>163</v>
      </c>
    </row>
    <row r="419">
      <c r="A419" s="125" t="s">
        <v>1847</v>
      </c>
      <c r="B419" s="526" t="s">
        <v>1846</v>
      </c>
      <c r="C419" s="527">
        <v>1103.0</v>
      </c>
      <c r="D419" s="527">
        <v>5078.29</v>
      </c>
      <c r="E419" s="528">
        <v>4.6041</v>
      </c>
      <c r="F419" s="36" t="s">
        <v>7798</v>
      </c>
      <c r="G419" s="125" t="s">
        <v>913</v>
      </c>
      <c r="H419" s="125" t="s">
        <v>7808</v>
      </c>
      <c r="I419" t="s">
        <v>163</v>
      </c>
    </row>
    <row r="420">
      <c r="A420" s="125" t="s">
        <v>1849</v>
      </c>
      <c r="B420" s="526" t="s">
        <v>1848</v>
      </c>
      <c r="C420" s="527">
        <v>101.0</v>
      </c>
      <c r="D420" s="527">
        <v>459.86</v>
      </c>
      <c r="E420" s="528">
        <v>4.5531</v>
      </c>
      <c r="F420" s="36" t="s">
        <v>7798</v>
      </c>
      <c r="G420" s="125" t="s">
        <v>913</v>
      </c>
      <c r="H420" s="125" t="s">
        <v>7808</v>
      </c>
      <c r="I420" t="s">
        <v>163</v>
      </c>
    </row>
    <row r="421">
      <c r="A421" s="125" t="s">
        <v>1851</v>
      </c>
      <c r="B421" s="526" t="s">
        <v>1850</v>
      </c>
      <c r="C421" s="527">
        <v>218.0</v>
      </c>
      <c r="D421" s="527">
        <v>973.43</v>
      </c>
      <c r="E421" s="528">
        <v>4.4653</v>
      </c>
      <c r="F421" s="36" t="s">
        <v>7798</v>
      </c>
      <c r="G421" s="125" t="s">
        <v>913</v>
      </c>
      <c r="H421" s="125" t="s">
        <v>7808</v>
      </c>
      <c r="I421" t="s">
        <v>163</v>
      </c>
    </row>
    <row r="422">
      <c r="A422" s="125" t="s">
        <v>1853</v>
      </c>
      <c r="B422" s="526" t="s">
        <v>1852</v>
      </c>
      <c r="C422" s="527">
        <v>19.0</v>
      </c>
      <c r="D422" s="527">
        <v>1549.32</v>
      </c>
      <c r="E422" s="528">
        <v>81.5432</v>
      </c>
      <c r="F422" s="36" t="s">
        <v>7798</v>
      </c>
      <c r="G422" s="125" t="s">
        <v>913</v>
      </c>
      <c r="H422" s="125" t="s">
        <v>7808</v>
      </c>
      <c r="I422" t="s">
        <v>45</v>
      </c>
    </row>
    <row r="423">
      <c r="A423" s="125" t="s">
        <v>1855</v>
      </c>
      <c r="B423" s="526" t="s">
        <v>1854</v>
      </c>
      <c r="C423" s="527">
        <v>193.0</v>
      </c>
      <c r="D423" s="527">
        <v>792.17</v>
      </c>
      <c r="E423" s="528">
        <v>4.1045</v>
      </c>
      <c r="F423" s="36" t="s">
        <v>7798</v>
      </c>
      <c r="G423" s="125" t="s">
        <v>913</v>
      </c>
      <c r="H423" s="125" t="s">
        <v>7808</v>
      </c>
      <c r="I423" t="s">
        <v>163</v>
      </c>
    </row>
    <row r="424">
      <c r="A424" s="125" t="s">
        <v>1857</v>
      </c>
      <c r="B424" s="526" t="s">
        <v>1856</v>
      </c>
      <c r="C424" s="527">
        <v>157.0</v>
      </c>
      <c r="D424" s="527">
        <v>644.48</v>
      </c>
      <c r="E424" s="528">
        <v>4.105</v>
      </c>
      <c r="F424" s="36" t="s">
        <v>7798</v>
      </c>
      <c r="G424" s="125" t="s">
        <v>913</v>
      </c>
      <c r="H424" s="125" t="s">
        <v>7808</v>
      </c>
      <c r="I424" t="s">
        <v>163</v>
      </c>
    </row>
    <row r="425">
      <c r="A425" s="125" t="s">
        <v>1858</v>
      </c>
      <c r="B425" s="526" t="s">
        <v>1798</v>
      </c>
      <c r="C425" s="527">
        <v>97.0</v>
      </c>
      <c r="D425" s="527">
        <v>398.23</v>
      </c>
      <c r="E425" s="528">
        <v>4.1055</v>
      </c>
      <c r="F425" s="36" t="s">
        <v>7798</v>
      </c>
      <c r="G425" s="125" t="s">
        <v>913</v>
      </c>
      <c r="H425" s="125" t="s">
        <v>7808</v>
      </c>
      <c r="I425" t="s">
        <v>163</v>
      </c>
    </row>
    <row r="426">
      <c r="A426" s="125" t="s">
        <v>1860</v>
      </c>
      <c r="B426" s="526" t="s">
        <v>1859</v>
      </c>
      <c r="C426" s="527">
        <v>238.0</v>
      </c>
      <c r="D426" s="527">
        <v>945.18</v>
      </c>
      <c r="E426" s="528">
        <v>3.9713</v>
      </c>
      <c r="F426" s="36" t="s">
        <v>7798</v>
      </c>
      <c r="G426" s="125" t="s">
        <v>913</v>
      </c>
      <c r="H426" s="125" t="s">
        <v>7808</v>
      </c>
      <c r="I426" t="s">
        <v>163</v>
      </c>
    </row>
    <row r="427">
      <c r="A427" s="125" t="s">
        <v>1862</v>
      </c>
      <c r="B427" s="526" t="s">
        <v>1861</v>
      </c>
      <c r="C427" s="527">
        <v>266.0</v>
      </c>
      <c r="D427" s="527">
        <v>1071.95</v>
      </c>
      <c r="E427" s="528">
        <v>4.0299</v>
      </c>
      <c r="F427" s="36" t="s">
        <v>7798</v>
      </c>
      <c r="G427" s="125" t="s">
        <v>913</v>
      </c>
      <c r="H427" s="125" t="s">
        <v>7808</v>
      </c>
      <c r="I427" t="s">
        <v>163</v>
      </c>
    </row>
    <row r="428">
      <c r="A428" s="125" t="s">
        <v>1864</v>
      </c>
      <c r="B428" s="526" t="s">
        <v>1863</v>
      </c>
      <c r="C428" s="527">
        <v>1074.0</v>
      </c>
      <c r="D428" s="527">
        <v>4312.88</v>
      </c>
      <c r="E428" s="528">
        <v>4.0157</v>
      </c>
      <c r="F428" s="36" t="s">
        <v>7798</v>
      </c>
      <c r="G428" s="125" t="s">
        <v>913</v>
      </c>
      <c r="H428" s="125" t="s">
        <v>7808</v>
      </c>
      <c r="I428" t="s">
        <v>163</v>
      </c>
    </row>
    <row r="429">
      <c r="A429" s="125" t="s">
        <v>1866</v>
      </c>
      <c r="B429" s="526" t="s">
        <v>1865</v>
      </c>
      <c r="C429" s="527">
        <v>292.0</v>
      </c>
      <c r="D429" s="527">
        <v>1245.63</v>
      </c>
      <c r="E429" s="528">
        <v>4.2659</v>
      </c>
      <c r="F429" s="36" t="s">
        <v>7798</v>
      </c>
      <c r="G429" s="125" t="s">
        <v>913</v>
      </c>
      <c r="H429" s="125" t="s">
        <v>7808</v>
      </c>
      <c r="I429" t="s">
        <v>163</v>
      </c>
    </row>
    <row r="430">
      <c r="A430" s="125" t="s">
        <v>1868</v>
      </c>
      <c r="B430" s="526" t="s">
        <v>1867</v>
      </c>
      <c r="C430" s="527">
        <v>180.0</v>
      </c>
      <c r="D430" s="527">
        <v>782.04</v>
      </c>
      <c r="E430" s="528">
        <v>4.3447</v>
      </c>
      <c r="F430" s="36" t="s">
        <v>7798</v>
      </c>
      <c r="G430" s="125" t="s">
        <v>913</v>
      </c>
      <c r="H430" s="125" t="s">
        <v>7808</v>
      </c>
      <c r="I430" t="s">
        <v>163</v>
      </c>
    </row>
    <row r="431">
      <c r="A431" s="125" t="s">
        <v>1870</v>
      </c>
      <c r="B431" s="526" t="s">
        <v>1869</v>
      </c>
      <c r="C431" s="527">
        <v>203.0</v>
      </c>
      <c r="D431" s="527">
        <v>890.49</v>
      </c>
      <c r="E431" s="528">
        <v>4.3867</v>
      </c>
      <c r="F431" s="36" t="s">
        <v>7798</v>
      </c>
      <c r="G431" s="125" t="s">
        <v>913</v>
      </c>
      <c r="H431" s="125" t="s">
        <v>7808</v>
      </c>
      <c r="I431" t="s">
        <v>163</v>
      </c>
    </row>
    <row r="432">
      <c r="A432" s="125" t="s">
        <v>1872</v>
      </c>
      <c r="B432" s="526" t="s">
        <v>1871</v>
      </c>
      <c r="C432" s="527">
        <v>177.0</v>
      </c>
      <c r="D432" s="527">
        <v>802.5</v>
      </c>
      <c r="E432" s="528">
        <v>4.5339</v>
      </c>
      <c r="F432" s="36" t="s">
        <v>7798</v>
      </c>
      <c r="G432" s="125" t="s">
        <v>913</v>
      </c>
      <c r="H432" s="125" t="s">
        <v>7808</v>
      </c>
      <c r="I432" t="s">
        <v>163</v>
      </c>
    </row>
    <row r="433">
      <c r="A433" s="125" t="s">
        <v>1874</v>
      </c>
      <c r="B433" s="526" t="s">
        <v>1873</v>
      </c>
      <c r="C433" s="527">
        <v>168.0</v>
      </c>
      <c r="D433" s="527">
        <v>761.67</v>
      </c>
      <c r="E433" s="528">
        <v>4.5338</v>
      </c>
      <c r="F433" s="36" t="s">
        <v>7798</v>
      </c>
      <c r="G433" s="125" t="s">
        <v>913</v>
      </c>
      <c r="H433" s="125" t="s">
        <v>7808</v>
      </c>
      <c r="I433" t="s">
        <v>163</v>
      </c>
    </row>
    <row r="434">
      <c r="A434" s="125" t="s">
        <v>1876</v>
      </c>
      <c r="B434" s="526" t="s">
        <v>1875</v>
      </c>
      <c r="C434" s="527">
        <v>207.0</v>
      </c>
      <c r="D434" s="527">
        <v>908.02</v>
      </c>
      <c r="E434" s="528">
        <v>4.3866</v>
      </c>
      <c r="F434" s="36" t="s">
        <v>7798</v>
      </c>
      <c r="G434" s="125" t="s">
        <v>913</v>
      </c>
      <c r="H434" s="125" t="s">
        <v>7808</v>
      </c>
      <c r="I434" t="s">
        <v>163</v>
      </c>
    </row>
    <row r="435">
      <c r="A435" s="125" t="s">
        <v>1878</v>
      </c>
      <c r="B435" s="526" t="s">
        <v>1877</v>
      </c>
      <c r="C435" s="527">
        <v>49.0</v>
      </c>
      <c r="D435" s="527">
        <v>768.49</v>
      </c>
      <c r="E435" s="528">
        <v>15.6835</v>
      </c>
      <c r="F435" s="36" t="s">
        <v>7798</v>
      </c>
      <c r="G435" s="125" t="s">
        <v>913</v>
      </c>
      <c r="H435" s="125" t="s">
        <v>7808</v>
      </c>
      <c r="I435" t="s">
        <v>163</v>
      </c>
    </row>
    <row r="436">
      <c r="A436" s="125" t="s">
        <v>439</v>
      </c>
      <c r="B436" s="526" t="s">
        <v>440</v>
      </c>
      <c r="C436" s="527">
        <v>1.0</v>
      </c>
      <c r="D436" s="527">
        <v>25.09</v>
      </c>
      <c r="E436" s="528">
        <v>25.09</v>
      </c>
      <c r="F436" s="36" t="s">
        <v>7798</v>
      </c>
      <c r="G436" s="125" t="s">
        <v>913</v>
      </c>
      <c r="H436" s="125" t="s">
        <v>7809</v>
      </c>
      <c r="I436" t="s">
        <v>438</v>
      </c>
    </row>
    <row r="437">
      <c r="A437" s="125" t="s">
        <v>1879</v>
      </c>
      <c r="B437" s="526" t="s">
        <v>546</v>
      </c>
      <c r="C437" s="527">
        <v>1.0</v>
      </c>
      <c r="D437" s="527">
        <v>23.32</v>
      </c>
      <c r="E437" s="528">
        <v>23.32</v>
      </c>
      <c r="F437" s="36" t="s">
        <v>7798</v>
      </c>
      <c r="G437" s="125" t="s">
        <v>913</v>
      </c>
      <c r="H437" s="125" t="s">
        <v>7809</v>
      </c>
      <c r="I437" t="s">
        <v>438</v>
      </c>
    </row>
    <row r="438">
      <c r="A438" s="125" t="s">
        <v>1881</v>
      </c>
      <c r="B438" s="526" t="s">
        <v>1880</v>
      </c>
      <c r="C438" s="527">
        <v>0.0</v>
      </c>
      <c r="D438" s="527">
        <v>0.0</v>
      </c>
      <c r="F438" s="36" t="s">
        <v>7798</v>
      </c>
      <c r="G438" s="125" t="s">
        <v>893</v>
      </c>
      <c r="H438" s="125" t="s">
        <v>7801</v>
      </c>
      <c r="I438" t="s">
        <v>7835</v>
      </c>
    </row>
    <row r="439">
      <c r="A439" s="125" t="s">
        <v>1883</v>
      </c>
      <c r="B439" s="526" t="s">
        <v>1882</v>
      </c>
      <c r="C439" s="527">
        <v>0.0</v>
      </c>
      <c r="D439" s="527">
        <v>0.0</v>
      </c>
      <c r="F439" s="36" t="s">
        <v>7798</v>
      </c>
      <c r="G439" s="125" t="s">
        <v>893</v>
      </c>
      <c r="H439" s="125" t="s">
        <v>7801</v>
      </c>
      <c r="I439" t="s">
        <v>7835</v>
      </c>
    </row>
    <row r="440">
      <c r="A440" s="125" t="s">
        <v>1885</v>
      </c>
      <c r="B440" s="526" t="s">
        <v>1884</v>
      </c>
      <c r="C440" s="527">
        <v>147.0</v>
      </c>
      <c r="D440" s="527">
        <v>177.13</v>
      </c>
      <c r="E440" s="528">
        <v>1.205</v>
      </c>
      <c r="F440" s="36" t="s">
        <v>7798</v>
      </c>
      <c r="G440" s="125" t="s">
        <v>913</v>
      </c>
      <c r="H440" s="125" t="s">
        <v>7801</v>
      </c>
      <c r="I440" t="s">
        <v>7835</v>
      </c>
    </row>
    <row r="441">
      <c r="A441" s="125" t="s">
        <v>1887</v>
      </c>
      <c r="B441" s="526" t="s">
        <v>1886</v>
      </c>
      <c r="C441" s="527">
        <v>306.0</v>
      </c>
      <c r="D441" s="527">
        <v>367.24</v>
      </c>
      <c r="E441" s="528">
        <v>1.2001</v>
      </c>
      <c r="F441" s="36" t="s">
        <v>7798</v>
      </c>
      <c r="G441" s="125" t="s">
        <v>913</v>
      </c>
      <c r="H441" s="125" t="s">
        <v>7801</v>
      </c>
      <c r="I441" t="s">
        <v>7835</v>
      </c>
    </row>
    <row r="442">
      <c r="A442" s="125" t="s">
        <v>1889</v>
      </c>
      <c r="B442" s="526" t="s">
        <v>1888</v>
      </c>
      <c r="C442" s="527">
        <v>322.0</v>
      </c>
      <c r="D442" s="527">
        <v>386.36</v>
      </c>
      <c r="E442" s="528">
        <v>1.1999</v>
      </c>
      <c r="F442" s="36" t="s">
        <v>7798</v>
      </c>
      <c r="G442" s="125" t="s">
        <v>913</v>
      </c>
      <c r="H442" s="125" t="s">
        <v>7801</v>
      </c>
      <c r="I442" t="s">
        <v>7835</v>
      </c>
    </row>
    <row r="443">
      <c r="A443" s="125" t="s">
        <v>1891</v>
      </c>
      <c r="B443" s="526" t="s">
        <v>1890</v>
      </c>
      <c r="C443" s="527">
        <v>0.0</v>
      </c>
      <c r="D443" s="527">
        <v>0.0</v>
      </c>
      <c r="F443" s="36" t="s">
        <v>7798</v>
      </c>
      <c r="G443" s="125" t="s">
        <v>893</v>
      </c>
      <c r="H443" s="125" t="s">
        <v>7801</v>
      </c>
      <c r="I443" t="s">
        <v>7835</v>
      </c>
    </row>
    <row r="444">
      <c r="A444" s="125" t="s">
        <v>1893</v>
      </c>
      <c r="B444" s="526" t="s">
        <v>1892</v>
      </c>
      <c r="C444" s="527">
        <v>12.0</v>
      </c>
      <c r="D444" s="527">
        <v>15.06</v>
      </c>
      <c r="E444" s="528">
        <v>1.255</v>
      </c>
      <c r="F444" s="36" t="s">
        <v>7798</v>
      </c>
      <c r="G444" s="125" t="s">
        <v>913</v>
      </c>
      <c r="H444" s="125" t="s">
        <v>7801</v>
      </c>
      <c r="I444" t="s">
        <v>7835</v>
      </c>
    </row>
    <row r="445">
      <c r="A445" s="125" t="s">
        <v>1895</v>
      </c>
      <c r="B445" s="526" t="s">
        <v>1894</v>
      </c>
      <c r="C445" s="527">
        <v>0.0</v>
      </c>
      <c r="D445" s="527">
        <v>0.0</v>
      </c>
      <c r="F445" s="36" t="s">
        <v>7798</v>
      </c>
      <c r="G445" s="125" t="s">
        <v>893</v>
      </c>
      <c r="H445" s="125" t="s">
        <v>7801</v>
      </c>
      <c r="I445" t="s">
        <v>7835</v>
      </c>
    </row>
    <row r="446">
      <c r="A446" s="125" t="s">
        <v>1897</v>
      </c>
      <c r="B446" s="526" t="s">
        <v>1896</v>
      </c>
      <c r="C446" s="527">
        <v>0.0</v>
      </c>
      <c r="D446" s="527">
        <v>0.0</v>
      </c>
      <c r="F446" s="36" t="s">
        <v>7798</v>
      </c>
      <c r="G446" s="125" t="s">
        <v>893</v>
      </c>
      <c r="H446" s="125" t="s">
        <v>7801</v>
      </c>
      <c r="I446" t="s">
        <v>7835</v>
      </c>
    </row>
    <row r="447">
      <c r="A447" s="125" t="s">
        <v>1901</v>
      </c>
      <c r="B447" s="526" t="s">
        <v>1900</v>
      </c>
      <c r="C447" s="527">
        <v>66.0</v>
      </c>
      <c r="D447" s="527">
        <v>2083.6</v>
      </c>
      <c r="E447" s="528">
        <v>31.5697</v>
      </c>
      <c r="F447" s="36" t="s">
        <v>7798</v>
      </c>
      <c r="G447" s="125" t="s">
        <v>913</v>
      </c>
      <c r="H447" s="125" t="s">
        <v>7801</v>
      </c>
      <c r="I447" t="s">
        <v>45</v>
      </c>
    </row>
    <row r="448">
      <c r="A448" s="125" t="s">
        <v>1903</v>
      </c>
      <c r="B448" s="526" t="s">
        <v>1902</v>
      </c>
      <c r="C448" s="527">
        <v>200.0</v>
      </c>
      <c r="D448" s="527">
        <v>1055.97</v>
      </c>
      <c r="E448" s="528">
        <v>5.2799</v>
      </c>
      <c r="F448" s="36" t="s">
        <v>7798</v>
      </c>
      <c r="G448" s="125" t="s">
        <v>913</v>
      </c>
      <c r="H448" s="125" t="s">
        <v>7801</v>
      </c>
      <c r="I448" t="s">
        <v>7835</v>
      </c>
    </row>
    <row r="449">
      <c r="A449" s="125" t="s">
        <v>1905</v>
      </c>
      <c r="B449" s="526" t="s">
        <v>1904</v>
      </c>
      <c r="C449" s="527">
        <v>0.0</v>
      </c>
      <c r="D449" s="527">
        <v>0.0</v>
      </c>
      <c r="F449" s="36" t="s">
        <v>7798</v>
      </c>
      <c r="G449" s="125" t="s">
        <v>893</v>
      </c>
      <c r="H449" s="125" t="s">
        <v>7801</v>
      </c>
      <c r="I449" t="s">
        <v>7835</v>
      </c>
    </row>
    <row r="450">
      <c r="A450" s="125" t="s">
        <v>1907</v>
      </c>
      <c r="B450" s="526" t="s">
        <v>1906</v>
      </c>
      <c r="C450" s="527">
        <v>0.0</v>
      </c>
      <c r="D450" s="527">
        <v>0.0</v>
      </c>
      <c r="F450" s="36" t="s">
        <v>7798</v>
      </c>
      <c r="G450" s="125" t="s">
        <v>913</v>
      </c>
      <c r="H450" s="125" t="s">
        <v>7801</v>
      </c>
    </row>
    <row r="451">
      <c r="A451" s="125" t="s">
        <v>1909</v>
      </c>
      <c r="B451" s="526" t="s">
        <v>1908</v>
      </c>
      <c r="C451" s="527">
        <v>369.0</v>
      </c>
      <c r="D451" s="527">
        <v>1362.12</v>
      </c>
      <c r="E451" s="528">
        <v>3.6914</v>
      </c>
      <c r="F451" s="36" t="s">
        <v>7798</v>
      </c>
      <c r="G451" s="125" t="s">
        <v>913</v>
      </c>
      <c r="H451" s="125" t="s">
        <v>7801</v>
      </c>
      <c r="I451" t="s">
        <v>7836</v>
      </c>
    </row>
    <row r="452">
      <c r="A452" s="125" t="s">
        <v>1911</v>
      </c>
      <c r="B452" s="526" t="s">
        <v>1910</v>
      </c>
      <c r="C452" s="527">
        <v>746.0</v>
      </c>
      <c r="D452" s="527">
        <v>2746.4</v>
      </c>
      <c r="E452" s="528">
        <v>3.6815</v>
      </c>
      <c r="F452" s="36" t="s">
        <v>7798</v>
      </c>
      <c r="G452" s="125" t="s">
        <v>913</v>
      </c>
      <c r="H452" s="125" t="s">
        <v>7801</v>
      </c>
      <c r="I452" t="s">
        <v>7836</v>
      </c>
    </row>
    <row r="453">
      <c r="A453" s="125" t="s">
        <v>1913</v>
      </c>
      <c r="B453" s="526" t="s">
        <v>1912</v>
      </c>
      <c r="C453" s="527">
        <v>749.0</v>
      </c>
      <c r="D453" s="527">
        <v>2756.3</v>
      </c>
      <c r="E453" s="528">
        <v>3.68</v>
      </c>
      <c r="F453" s="36" t="s">
        <v>7798</v>
      </c>
      <c r="G453" s="125" t="s">
        <v>913</v>
      </c>
      <c r="H453" s="125" t="s">
        <v>7801</v>
      </c>
      <c r="I453" t="s">
        <v>7836</v>
      </c>
    </row>
    <row r="454">
      <c r="A454" s="125" t="s">
        <v>1915</v>
      </c>
      <c r="B454" s="526" t="s">
        <v>1914</v>
      </c>
      <c r="C454" s="527">
        <v>688.0</v>
      </c>
      <c r="D454" s="527">
        <v>2533.63</v>
      </c>
      <c r="E454" s="528">
        <v>3.6826</v>
      </c>
      <c r="F454" s="36" t="s">
        <v>7798</v>
      </c>
      <c r="G454" s="125" t="s">
        <v>913</v>
      </c>
      <c r="H454" s="125" t="s">
        <v>7801</v>
      </c>
      <c r="I454" t="s">
        <v>7836</v>
      </c>
    </row>
    <row r="455">
      <c r="A455" s="125" t="s">
        <v>1917</v>
      </c>
      <c r="B455" s="526" t="s">
        <v>1916</v>
      </c>
      <c r="C455" s="527">
        <v>406.0</v>
      </c>
      <c r="D455" s="527">
        <v>1497.84</v>
      </c>
      <c r="E455" s="528">
        <v>3.6893</v>
      </c>
      <c r="F455" s="36" t="s">
        <v>7798</v>
      </c>
      <c r="G455" s="125" t="s">
        <v>913</v>
      </c>
      <c r="H455" s="125" t="s">
        <v>7801</v>
      </c>
      <c r="I455" t="s">
        <v>7836</v>
      </c>
    </row>
    <row r="456">
      <c r="A456" s="125" t="s">
        <v>1919</v>
      </c>
      <c r="B456" s="526" t="s">
        <v>1918</v>
      </c>
      <c r="C456" s="527">
        <v>541.0</v>
      </c>
      <c r="D456" s="527">
        <v>1993.81</v>
      </c>
      <c r="E456" s="528">
        <v>3.6854</v>
      </c>
      <c r="F456" s="36" t="s">
        <v>7798</v>
      </c>
      <c r="G456" s="125" t="s">
        <v>913</v>
      </c>
      <c r="H456" s="125" t="s">
        <v>7801</v>
      </c>
      <c r="I456" t="s">
        <v>7836</v>
      </c>
    </row>
    <row r="457">
      <c r="A457" s="125" t="s">
        <v>1921</v>
      </c>
      <c r="B457" s="526" t="s">
        <v>1920</v>
      </c>
      <c r="C457" s="527">
        <v>6.0</v>
      </c>
      <c r="D457" s="527">
        <v>10.27</v>
      </c>
      <c r="E457" s="528">
        <v>1.7117</v>
      </c>
      <c r="F457" s="36" t="s">
        <v>7798</v>
      </c>
      <c r="G457" s="125" t="s">
        <v>893</v>
      </c>
      <c r="H457" s="125" t="s">
        <v>7801</v>
      </c>
      <c r="I457" t="s">
        <v>7837</v>
      </c>
    </row>
    <row r="458">
      <c r="A458" s="125" t="s">
        <v>1923</v>
      </c>
      <c r="B458" s="526" t="s">
        <v>1922</v>
      </c>
      <c r="C458" s="527">
        <v>102.0</v>
      </c>
      <c r="D458" s="527">
        <v>138.77</v>
      </c>
      <c r="E458" s="528">
        <v>1.3605</v>
      </c>
      <c r="F458" s="36" t="s">
        <v>7798</v>
      </c>
      <c r="G458" s="125" t="s">
        <v>913</v>
      </c>
      <c r="H458" s="125" t="s">
        <v>7801</v>
      </c>
      <c r="I458" t="s">
        <v>7837</v>
      </c>
    </row>
    <row r="459">
      <c r="A459" s="125" t="s">
        <v>1925</v>
      </c>
      <c r="B459" s="526" t="s">
        <v>1924</v>
      </c>
      <c r="C459" s="527">
        <v>0.0</v>
      </c>
      <c r="D459" s="527">
        <v>0.0</v>
      </c>
      <c r="F459" s="36" t="s">
        <v>7798</v>
      </c>
      <c r="G459" s="125" t="s">
        <v>913</v>
      </c>
      <c r="H459" s="125" t="s">
        <v>7801</v>
      </c>
      <c r="I459" t="s">
        <v>7837</v>
      </c>
    </row>
    <row r="460">
      <c r="A460" s="125" t="s">
        <v>1927</v>
      </c>
      <c r="B460" s="526" t="s">
        <v>1926</v>
      </c>
      <c r="C460" s="527">
        <v>71.0</v>
      </c>
      <c r="D460" s="527">
        <v>121.29</v>
      </c>
      <c r="E460" s="528">
        <v>1.7083</v>
      </c>
      <c r="F460" s="36" t="s">
        <v>7798</v>
      </c>
      <c r="G460" s="125" t="s">
        <v>913</v>
      </c>
      <c r="H460" s="125" t="s">
        <v>7801</v>
      </c>
      <c r="I460" t="s">
        <v>7837</v>
      </c>
    </row>
    <row r="461">
      <c r="A461" s="125" t="s">
        <v>1929</v>
      </c>
      <c r="B461" s="526" t="s">
        <v>1928</v>
      </c>
      <c r="C461" s="527">
        <v>0.0</v>
      </c>
      <c r="D461" s="527">
        <v>0.0</v>
      </c>
      <c r="F461" s="36" t="s">
        <v>7798</v>
      </c>
      <c r="G461" s="125" t="s">
        <v>893</v>
      </c>
      <c r="H461" s="125" t="s">
        <v>7801</v>
      </c>
      <c r="I461" t="s">
        <v>7837</v>
      </c>
    </row>
    <row r="462">
      <c r="A462" s="125" t="s">
        <v>1931</v>
      </c>
      <c r="B462" s="526" t="s">
        <v>1930</v>
      </c>
      <c r="C462" s="527">
        <v>6.0</v>
      </c>
      <c r="D462" s="527">
        <v>10.26</v>
      </c>
      <c r="E462" s="528">
        <v>1.71</v>
      </c>
      <c r="F462" s="36" t="s">
        <v>7798</v>
      </c>
      <c r="G462" s="125" t="s">
        <v>893</v>
      </c>
      <c r="H462" s="125" t="s">
        <v>7801</v>
      </c>
      <c r="I462" t="s">
        <v>7837</v>
      </c>
    </row>
    <row r="463">
      <c r="A463" s="125" t="s">
        <v>1933</v>
      </c>
      <c r="B463" s="526" t="s">
        <v>1932</v>
      </c>
      <c r="C463" s="527">
        <v>0.0</v>
      </c>
      <c r="D463" s="527">
        <v>0.0</v>
      </c>
      <c r="F463" s="36" t="s">
        <v>7798</v>
      </c>
      <c r="G463" s="125" t="s">
        <v>893</v>
      </c>
      <c r="H463" s="125" t="s">
        <v>7801</v>
      </c>
      <c r="I463" t="s">
        <v>7837</v>
      </c>
    </row>
    <row r="464">
      <c r="A464" s="125" t="s">
        <v>1935</v>
      </c>
      <c r="B464" s="526" t="s">
        <v>1934</v>
      </c>
      <c r="C464" s="527">
        <v>6.0</v>
      </c>
      <c r="D464" s="527">
        <v>10.27</v>
      </c>
      <c r="E464" s="528">
        <v>1.7117</v>
      </c>
      <c r="F464" s="36" t="s">
        <v>7798</v>
      </c>
      <c r="G464" s="125" t="s">
        <v>893</v>
      </c>
      <c r="H464" s="125" t="s">
        <v>7801</v>
      </c>
      <c r="I464" t="s">
        <v>7837</v>
      </c>
    </row>
    <row r="465">
      <c r="A465" s="125" t="s">
        <v>1937</v>
      </c>
      <c r="B465" s="526" t="s">
        <v>1936</v>
      </c>
      <c r="C465" s="527">
        <v>3.0</v>
      </c>
      <c r="D465" s="527">
        <v>85.95</v>
      </c>
      <c r="E465" s="528">
        <v>28.65</v>
      </c>
      <c r="F465" s="36" t="s">
        <v>7798</v>
      </c>
      <c r="G465" s="125" t="s">
        <v>913</v>
      </c>
      <c r="H465" s="125" t="s">
        <v>7801</v>
      </c>
      <c r="I465" t="s">
        <v>45</v>
      </c>
    </row>
    <row r="466">
      <c r="A466" s="125" t="s">
        <v>1939</v>
      </c>
      <c r="B466" s="526" t="s">
        <v>1938</v>
      </c>
      <c r="C466" s="527">
        <v>0.0</v>
      </c>
      <c r="D466" s="527">
        <v>0.0</v>
      </c>
      <c r="F466" s="36" t="s">
        <v>7798</v>
      </c>
      <c r="G466" s="125" t="s">
        <v>893</v>
      </c>
      <c r="H466" s="125" t="s">
        <v>7801</v>
      </c>
      <c r="I466" t="s">
        <v>7837</v>
      </c>
    </row>
    <row r="467">
      <c r="A467" s="125" t="s">
        <v>1941</v>
      </c>
      <c r="B467" s="526" t="s">
        <v>1940</v>
      </c>
      <c r="C467" s="527">
        <v>0.0</v>
      </c>
      <c r="D467" s="527">
        <v>0.0</v>
      </c>
      <c r="F467" s="36" t="s">
        <v>7798</v>
      </c>
      <c r="G467" s="125" t="s">
        <v>893</v>
      </c>
      <c r="H467" s="125" t="s">
        <v>7799</v>
      </c>
      <c r="I467" t="s">
        <v>7804</v>
      </c>
    </row>
    <row r="468">
      <c r="A468" s="125" t="s">
        <v>181</v>
      </c>
      <c r="B468" s="526" t="s">
        <v>182</v>
      </c>
      <c r="C468" s="527">
        <v>6.0</v>
      </c>
      <c r="D468" s="527">
        <v>6.86</v>
      </c>
      <c r="E468" s="528">
        <v>1.1433</v>
      </c>
      <c r="F468" s="36" t="s">
        <v>7798</v>
      </c>
      <c r="G468" s="125" t="s">
        <v>913</v>
      </c>
      <c r="H468" s="125" t="s">
        <v>569</v>
      </c>
      <c r="I468" t="s">
        <v>180</v>
      </c>
    </row>
    <row r="469">
      <c r="A469" s="125" t="s">
        <v>1943</v>
      </c>
      <c r="B469" s="526" t="s">
        <v>1942</v>
      </c>
      <c r="C469" s="527">
        <v>0.0</v>
      </c>
      <c r="D469" s="527">
        <v>0.0</v>
      </c>
      <c r="F469" s="36" t="s">
        <v>7798</v>
      </c>
      <c r="G469" s="125" t="s">
        <v>893</v>
      </c>
      <c r="H469" s="125" t="s">
        <v>7801</v>
      </c>
      <c r="I469" t="s">
        <v>180</v>
      </c>
    </row>
    <row r="470">
      <c r="A470" s="125" t="s">
        <v>1945</v>
      </c>
      <c r="B470" s="526" t="s">
        <v>1944</v>
      </c>
      <c r="C470" s="527">
        <v>452.0</v>
      </c>
      <c r="D470" s="527">
        <v>516.39</v>
      </c>
      <c r="E470" s="528">
        <v>1.1425</v>
      </c>
      <c r="F470" s="36" t="s">
        <v>7798</v>
      </c>
      <c r="G470" s="125" t="s">
        <v>913</v>
      </c>
      <c r="H470" s="125" t="s">
        <v>7808</v>
      </c>
      <c r="I470" t="s">
        <v>180</v>
      </c>
    </row>
    <row r="471">
      <c r="A471" s="125" t="s">
        <v>183</v>
      </c>
      <c r="B471" s="526" t="s">
        <v>184</v>
      </c>
      <c r="C471" s="527">
        <v>439.0</v>
      </c>
      <c r="D471" s="527">
        <v>501.58</v>
      </c>
      <c r="E471" s="528">
        <v>1.1426</v>
      </c>
      <c r="F471" s="36" t="s">
        <v>7798</v>
      </c>
      <c r="G471" s="125" t="s">
        <v>913</v>
      </c>
      <c r="H471" s="125" t="s">
        <v>569</v>
      </c>
      <c r="I471" t="s">
        <v>180</v>
      </c>
    </row>
    <row r="472">
      <c r="A472" s="125" t="s">
        <v>1947</v>
      </c>
      <c r="B472" s="526" t="s">
        <v>1946</v>
      </c>
      <c r="C472" s="527">
        <v>475.0</v>
      </c>
      <c r="D472" s="527">
        <v>554.88</v>
      </c>
      <c r="E472" s="528">
        <v>1.1682</v>
      </c>
      <c r="F472" s="36" t="s">
        <v>7798</v>
      </c>
      <c r="G472" s="125" t="s">
        <v>913</v>
      </c>
      <c r="H472" s="125" t="s">
        <v>7801</v>
      </c>
      <c r="I472" t="s">
        <v>180</v>
      </c>
    </row>
    <row r="473">
      <c r="A473" s="125" t="s">
        <v>1949</v>
      </c>
      <c r="B473" s="526" t="s">
        <v>1948</v>
      </c>
      <c r="C473" s="527">
        <v>0.0</v>
      </c>
      <c r="D473" s="527">
        <v>0.0</v>
      </c>
      <c r="F473" s="36" t="s">
        <v>7798</v>
      </c>
      <c r="G473" s="125" t="s">
        <v>913</v>
      </c>
      <c r="H473" s="125" t="s">
        <v>7801</v>
      </c>
      <c r="I473" t="s">
        <v>180</v>
      </c>
    </row>
    <row r="474">
      <c r="A474" s="125" t="s">
        <v>1951</v>
      </c>
      <c r="B474" s="526" t="s">
        <v>1950</v>
      </c>
      <c r="C474" s="527">
        <v>42.0</v>
      </c>
      <c r="D474" s="527">
        <v>49.0</v>
      </c>
      <c r="E474" s="528">
        <v>1.1667</v>
      </c>
      <c r="F474" s="36" t="s">
        <v>7798</v>
      </c>
      <c r="G474" s="125" t="s">
        <v>913</v>
      </c>
      <c r="H474" s="125" t="s">
        <v>7801</v>
      </c>
      <c r="I474" t="s">
        <v>180</v>
      </c>
    </row>
    <row r="475">
      <c r="A475" s="125" t="s">
        <v>1953</v>
      </c>
      <c r="B475" s="526" t="s">
        <v>1952</v>
      </c>
      <c r="C475" s="527">
        <v>521.0</v>
      </c>
      <c r="D475" s="527">
        <v>619.6</v>
      </c>
      <c r="E475" s="528">
        <v>1.1893</v>
      </c>
      <c r="F475" s="36" t="s">
        <v>7798</v>
      </c>
      <c r="G475" s="125" t="s">
        <v>913</v>
      </c>
      <c r="H475" s="125" t="s">
        <v>7808</v>
      </c>
      <c r="I475" t="s">
        <v>180</v>
      </c>
    </row>
    <row r="476">
      <c r="A476" s="125" t="s">
        <v>1955</v>
      </c>
      <c r="B476" s="526" t="s">
        <v>1954</v>
      </c>
      <c r="C476" s="527">
        <v>0.0</v>
      </c>
      <c r="D476" s="527">
        <v>0.0</v>
      </c>
      <c r="F476" s="36" t="s">
        <v>7798</v>
      </c>
      <c r="G476" s="125" t="s">
        <v>893</v>
      </c>
      <c r="H476" s="125" t="s">
        <v>7801</v>
      </c>
      <c r="I476" t="s">
        <v>180</v>
      </c>
    </row>
    <row r="477">
      <c r="A477" s="125" t="s">
        <v>1957</v>
      </c>
      <c r="B477" s="526" t="s">
        <v>1956</v>
      </c>
      <c r="C477" s="527">
        <v>0.0</v>
      </c>
      <c r="D477" s="527">
        <v>0.0</v>
      </c>
      <c r="F477" s="36" t="s">
        <v>7798</v>
      </c>
      <c r="G477" s="125" t="s">
        <v>913</v>
      </c>
      <c r="H477" s="125" t="s">
        <v>7808</v>
      </c>
      <c r="I477" t="s">
        <v>180</v>
      </c>
    </row>
    <row r="478">
      <c r="A478" s="125" t="s">
        <v>1959</v>
      </c>
      <c r="B478" s="526" t="s">
        <v>1958</v>
      </c>
      <c r="C478" s="527">
        <v>157.0</v>
      </c>
      <c r="D478" s="527">
        <v>176.98</v>
      </c>
      <c r="E478" s="528">
        <v>1.1273</v>
      </c>
      <c r="F478" s="36" t="s">
        <v>7798</v>
      </c>
      <c r="G478" s="125" t="s">
        <v>913</v>
      </c>
      <c r="H478" s="125" t="s">
        <v>7801</v>
      </c>
      <c r="I478" t="s">
        <v>180</v>
      </c>
    </row>
    <row r="479">
      <c r="A479" s="125" t="s">
        <v>778</v>
      </c>
      <c r="B479" s="526" t="s">
        <v>779</v>
      </c>
      <c r="C479" s="527">
        <v>220.0</v>
      </c>
      <c r="D479" s="527">
        <v>250.58</v>
      </c>
      <c r="E479" s="528">
        <v>1.139</v>
      </c>
      <c r="F479" s="36" t="s">
        <v>7798</v>
      </c>
      <c r="G479" s="125" t="s">
        <v>913</v>
      </c>
      <c r="H479" s="125" t="s">
        <v>569</v>
      </c>
      <c r="I479" t="s">
        <v>180</v>
      </c>
    </row>
    <row r="480">
      <c r="A480" s="125" t="s">
        <v>1961</v>
      </c>
      <c r="B480" s="526" t="s">
        <v>1960</v>
      </c>
      <c r="C480" s="527">
        <v>455.0</v>
      </c>
      <c r="D480" s="527">
        <v>541.07</v>
      </c>
      <c r="E480" s="528">
        <v>1.1892</v>
      </c>
      <c r="F480" s="36" t="s">
        <v>7798</v>
      </c>
      <c r="G480" s="125" t="s">
        <v>913</v>
      </c>
      <c r="H480" s="125" t="s">
        <v>7801</v>
      </c>
      <c r="I480" t="s">
        <v>180</v>
      </c>
    </row>
    <row r="481">
      <c r="A481" s="125" t="s">
        <v>1963</v>
      </c>
      <c r="B481" s="526" t="s">
        <v>1962</v>
      </c>
      <c r="C481" s="527">
        <v>0.0</v>
      </c>
      <c r="D481" s="527">
        <v>0.0</v>
      </c>
      <c r="F481" s="36" t="s">
        <v>7798</v>
      </c>
      <c r="G481" s="125" t="s">
        <v>913</v>
      </c>
      <c r="H481" s="125" t="s">
        <v>7801</v>
      </c>
      <c r="I481" t="s">
        <v>180</v>
      </c>
    </row>
    <row r="482">
      <c r="A482" s="125" t="s">
        <v>1965</v>
      </c>
      <c r="B482" s="526" t="s">
        <v>1964</v>
      </c>
      <c r="C482" s="527">
        <v>0.0</v>
      </c>
      <c r="D482" s="527">
        <v>0.0</v>
      </c>
      <c r="F482" s="36" t="s">
        <v>7798</v>
      </c>
      <c r="G482" s="125" t="s">
        <v>893</v>
      </c>
      <c r="H482" s="125" t="s">
        <v>7799</v>
      </c>
      <c r="I482" t="s">
        <v>180</v>
      </c>
    </row>
    <row r="483">
      <c r="A483" s="125" t="s">
        <v>1967</v>
      </c>
      <c r="B483" s="526" t="s">
        <v>1966</v>
      </c>
      <c r="C483" s="527">
        <v>0.0</v>
      </c>
      <c r="D483" s="527">
        <v>0.0</v>
      </c>
      <c r="F483" s="36" t="s">
        <v>7798</v>
      </c>
      <c r="G483" s="125" t="s">
        <v>893</v>
      </c>
      <c r="H483" s="125" t="s">
        <v>7799</v>
      </c>
      <c r="I483" t="s">
        <v>180</v>
      </c>
    </row>
    <row r="484">
      <c r="A484" s="125" t="s">
        <v>1970</v>
      </c>
      <c r="B484" s="526" t="s">
        <v>1969</v>
      </c>
      <c r="C484" s="527">
        <v>0.0</v>
      </c>
      <c r="D484" s="527">
        <v>0.0</v>
      </c>
      <c r="F484" s="36" t="s">
        <v>7798</v>
      </c>
      <c r="G484" s="125" t="s">
        <v>893</v>
      </c>
      <c r="H484" s="125" t="s">
        <v>7799</v>
      </c>
      <c r="I484" t="s">
        <v>180</v>
      </c>
    </row>
    <row r="485">
      <c r="A485" s="125" t="s">
        <v>1972</v>
      </c>
      <c r="B485" s="526" t="s">
        <v>1971</v>
      </c>
      <c r="C485" s="527">
        <v>0.0</v>
      </c>
      <c r="D485" s="527">
        <v>0.0</v>
      </c>
      <c r="F485" s="36" t="s">
        <v>7798</v>
      </c>
      <c r="G485" s="125" t="s">
        <v>913</v>
      </c>
      <c r="H485" s="125" t="s">
        <v>7808</v>
      </c>
      <c r="I485" t="s">
        <v>180</v>
      </c>
    </row>
    <row r="486">
      <c r="A486" s="125" t="s">
        <v>1974</v>
      </c>
      <c r="B486" s="526" t="s">
        <v>1973</v>
      </c>
      <c r="C486" s="527">
        <v>3.0</v>
      </c>
      <c r="D486" s="527">
        <v>132.53</v>
      </c>
      <c r="E486" s="528">
        <v>44.1767</v>
      </c>
      <c r="F486" s="36" t="s">
        <v>7798</v>
      </c>
      <c r="G486" s="125" t="s">
        <v>913</v>
      </c>
      <c r="H486" s="125" t="s">
        <v>7808</v>
      </c>
      <c r="I486" t="s">
        <v>180</v>
      </c>
    </row>
    <row r="487">
      <c r="A487" s="125" t="s">
        <v>1976</v>
      </c>
      <c r="B487" s="526" t="s">
        <v>1975</v>
      </c>
      <c r="C487" s="527">
        <v>0.0</v>
      </c>
      <c r="D487" s="527">
        <v>0.0</v>
      </c>
      <c r="F487" s="36" t="s">
        <v>7798</v>
      </c>
      <c r="G487" s="125" t="s">
        <v>913</v>
      </c>
      <c r="H487" s="125" t="s">
        <v>7808</v>
      </c>
      <c r="I487" t="s">
        <v>180</v>
      </c>
    </row>
    <row r="488">
      <c r="A488" s="125" t="s">
        <v>1978</v>
      </c>
      <c r="B488" s="526" t="s">
        <v>1977</v>
      </c>
      <c r="C488" s="527">
        <v>32.0</v>
      </c>
      <c r="D488" s="527">
        <v>131.59</v>
      </c>
      <c r="E488" s="528">
        <v>4.1122</v>
      </c>
      <c r="F488" s="36" t="s">
        <v>7798</v>
      </c>
      <c r="G488" s="125" t="s">
        <v>913</v>
      </c>
      <c r="H488" s="125" t="s">
        <v>7808</v>
      </c>
      <c r="I488" t="s">
        <v>45</v>
      </c>
    </row>
    <row r="489">
      <c r="A489" s="125" t="s">
        <v>1980</v>
      </c>
      <c r="B489" s="526" t="s">
        <v>1979</v>
      </c>
      <c r="C489" s="527">
        <v>2.0</v>
      </c>
      <c r="D489" s="527">
        <v>4.19</v>
      </c>
      <c r="E489" s="528">
        <v>2.095</v>
      </c>
      <c r="F489" s="36" t="s">
        <v>7798</v>
      </c>
      <c r="G489" s="125" t="s">
        <v>913</v>
      </c>
      <c r="I489" t="s">
        <v>45</v>
      </c>
    </row>
    <row r="490">
      <c r="A490" s="125" t="s">
        <v>1982</v>
      </c>
      <c r="B490" s="526" t="s">
        <v>1981</v>
      </c>
      <c r="C490" s="527">
        <v>0.0</v>
      </c>
      <c r="D490" s="527">
        <v>0.0</v>
      </c>
      <c r="F490" s="36" t="s">
        <v>7798</v>
      </c>
      <c r="G490" s="125" t="s">
        <v>893</v>
      </c>
      <c r="H490" s="125" t="s">
        <v>7801</v>
      </c>
      <c r="I490" t="s">
        <v>33</v>
      </c>
    </row>
    <row r="491">
      <c r="A491" s="125" t="s">
        <v>1984</v>
      </c>
      <c r="B491" s="526" t="s">
        <v>1983</v>
      </c>
      <c r="C491" s="527">
        <v>564.0</v>
      </c>
      <c r="D491" s="527">
        <v>310.2</v>
      </c>
      <c r="E491" s="528">
        <v>0.55</v>
      </c>
      <c r="F491" s="36" t="s">
        <v>7798</v>
      </c>
      <c r="G491" s="125" t="s">
        <v>913</v>
      </c>
      <c r="H491" s="125" t="s">
        <v>7821</v>
      </c>
      <c r="I491" t="s">
        <v>7823</v>
      </c>
    </row>
    <row r="492">
      <c r="A492" s="125" t="s">
        <v>1986</v>
      </c>
      <c r="B492" s="526" t="s">
        <v>1985</v>
      </c>
      <c r="C492" s="527">
        <v>252.0</v>
      </c>
      <c r="D492" s="527">
        <v>126.0</v>
      </c>
      <c r="E492" s="528">
        <v>0.5</v>
      </c>
      <c r="F492" s="36" t="s">
        <v>7798</v>
      </c>
      <c r="G492" s="125" t="s">
        <v>913</v>
      </c>
      <c r="H492" s="125" t="s">
        <v>7821</v>
      </c>
      <c r="I492" t="s">
        <v>7838</v>
      </c>
    </row>
    <row r="493">
      <c r="A493" s="125" t="s">
        <v>1988</v>
      </c>
      <c r="B493" s="526" t="s">
        <v>1987</v>
      </c>
      <c r="C493" s="527">
        <v>0.0</v>
      </c>
      <c r="D493" s="527">
        <v>0.0</v>
      </c>
      <c r="F493" s="36" t="s">
        <v>7798</v>
      </c>
      <c r="G493" s="125" t="s">
        <v>893</v>
      </c>
      <c r="H493" s="125" t="s">
        <v>7799</v>
      </c>
      <c r="I493" t="s">
        <v>7839</v>
      </c>
    </row>
    <row r="494">
      <c r="A494" s="125" t="s">
        <v>1990</v>
      </c>
      <c r="B494" s="526" t="s">
        <v>1989</v>
      </c>
      <c r="C494" s="527">
        <v>0.0</v>
      </c>
      <c r="D494" s="527">
        <v>0.0</v>
      </c>
      <c r="F494" s="36" t="s">
        <v>7798</v>
      </c>
      <c r="G494" s="125" t="s">
        <v>893</v>
      </c>
      <c r="H494" s="125" t="s">
        <v>7799</v>
      </c>
      <c r="I494" t="s">
        <v>7839</v>
      </c>
    </row>
    <row r="495">
      <c r="A495" s="125" t="s">
        <v>1992</v>
      </c>
      <c r="B495" s="526" t="s">
        <v>1991</v>
      </c>
      <c r="C495" s="527">
        <v>854.0</v>
      </c>
      <c r="D495" s="527">
        <v>357.55</v>
      </c>
      <c r="E495" s="528">
        <v>0.4187</v>
      </c>
      <c r="F495" s="36" t="s">
        <v>7827</v>
      </c>
      <c r="G495" s="125" t="s">
        <v>913</v>
      </c>
      <c r="H495" s="125" t="s">
        <v>7840</v>
      </c>
    </row>
    <row r="496">
      <c r="A496" s="125" t="s">
        <v>1994</v>
      </c>
      <c r="B496" s="526" t="s">
        <v>1993</v>
      </c>
      <c r="C496" s="527">
        <v>800.0</v>
      </c>
      <c r="D496" s="527">
        <v>2382.07</v>
      </c>
      <c r="E496" s="528">
        <v>2.9776</v>
      </c>
      <c r="F496" s="36" t="s">
        <v>7827</v>
      </c>
      <c r="G496" s="125" t="s">
        <v>913</v>
      </c>
      <c r="H496" s="125" t="s">
        <v>7840</v>
      </c>
    </row>
    <row r="497">
      <c r="A497" s="125" t="s">
        <v>1996</v>
      </c>
      <c r="B497" s="526" t="s">
        <v>1995</v>
      </c>
      <c r="C497" s="527">
        <v>22.232</v>
      </c>
      <c r="D497" s="527">
        <v>132.39</v>
      </c>
      <c r="E497" s="528">
        <v>5.9549</v>
      </c>
      <c r="F497" s="36" t="s">
        <v>7827</v>
      </c>
      <c r="G497" s="125" t="s">
        <v>913</v>
      </c>
      <c r="H497" s="125" t="s">
        <v>7840</v>
      </c>
    </row>
    <row r="498">
      <c r="A498" s="125" t="s">
        <v>1998</v>
      </c>
      <c r="B498" s="526" t="s">
        <v>1997</v>
      </c>
      <c r="C498" s="527">
        <v>0.0</v>
      </c>
      <c r="D498" s="527">
        <v>0.0</v>
      </c>
      <c r="F498" s="36" t="s">
        <v>7827</v>
      </c>
      <c r="G498" s="125" t="s">
        <v>913</v>
      </c>
      <c r="H498" s="125" t="s">
        <v>7840</v>
      </c>
    </row>
    <row r="499">
      <c r="A499" s="125" t="s">
        <v>2000</v>
      </c>
      <c r="B499" s="526" t="s">
        <v>1999</v>
      </c>
      <c r="C499" s="527">
        <v>300.0</v>
      </c>
      <c r="D499" s="527">
        <v>1062.69</v>
      </c>
      <c r="E499" s="528">
        <v>3.5423</v>
      </c>
      <c r="F499" s="36" t="s">
        <v>7827</v>
      </c>
      <c r="G499" s="125" t="s">
        <v>913</v>
      </c>
      <c r="H499" s="125" t="s">
        <v>7840</v>
      </c>
    </row>
    <row r="500">
      <c r="A500" s="125" t="s">
        <v>2002</v>
      </c>
      <c r="B500" s="526" t="s">
        <v>2001</v>
      </c>
      <c r="C500" s="527">
        <v>728.97</v>
      </c>
      <c r="D500" s="527">
        <v>5018.41</v>
      </c>
      <c r="E500" s="528">
        <v>6.8842</v>
      </c>
      <c r="F500" s="36" t="s">
        <v>7827</v>
      </c>
      <c r="G500" s="125" t="s">
        <v>913</v>
      </c>
      <c r="H500" s="125" t="s">
        <v>7840</v>
      </c>
    </row>
    <row r="501">
      <c r="A501" s="125" t="s">
        <v>2004</v>
      </c>
      <c r="B501" s="526" t="s">
        <v>2003</v>
      </c>
      <c r="C501" s="527">
        <v>277.97</v>
      </c>
      <c r="D501" s="527">
        <v>2942.2</v>
      </c>
      <c r="E501" s="528">
        <v>10.5846</v>
      </c>
      <c r="F501" s="36" t="s">
        <v>7827</v>
      </c>
      <c r="G501" s="125" t="s">
        <v>913</v>
      </c>
      <c r="H501" s="125" t="s">
        <v>7840</v>
      </c>
    </row>
    <row r="502">
      <c r="A502" s="125" t="s">
        <v>2006</v>
      </c>
      <c r="B502" s="526" t="s">
        <v>2005</v>
      </c>
      <c r="C502" s="527">
        <v>0.0</v>
      </c>
      <c r="D502" s="527">
        <v>0.0</v>
      </c>
      <c r="F502" s="36" t="s">
        <v>7827</v>
      </c>
      <c r="G502" s="125" t="s">
        <v>913</v>
      </c>
      <c r="H502" s="125" t="s">
        <v>7840</v>
      </c>
    </row>
    <row r="503">
      <c r="A503" s="125" t="s">
        <v>2008</v>
      </c>
      <c r="B503" s="526" t="s">
        <v>2007</v>
      </c>
      <c r="C503" s="527">
        <v>401.233</v>
      </c>
      <c r="D503" s="527">
        <v>3704.55</v>
      </c>
      <c r="E503" s="528">
        <v>9.2329</v>
      </c>
      <c r="F503" s="36" t="s">
        <v>7827</v>
      </c>
      <c r="G503" s="125" t="s">
        <v>913</v>
      </c>
      <c r="H503" s="125" t="s">
        <v>7840</v>
      </c>
    </row>
    <row r="504">
      <c r="A504" s="125" t="s">
        <v>2010</v>
      </c>
      <c r="B504" s="526" t="s">
        <v>2009</v>
      </c>
      <c r="C504" s="527">
        <v>292.728</v>
      </c>
      <c r="D504" s="527">
        <v>4976.01</v>
      </c>
      <c r="E504" s="528">
        <v>16.9987</v>
      </c>
      <c r="F504" s="36" t="s">
        <v>7827</v>
      </c>
      <c r="G504" s="125" t="s">
        <v>913</v>
      </c>
      <c r="H504" s="125" t="s">
        <v>7840</v>
      </c>
    </row>
    <row r="505">
      <c r="A505" s="125" t="s">
        <v>2016</v>
      </c>
      <c r="B505" s="526" t="s">
        <v>2015</v>
      </c>
      <c r="C505" s="527">
        <v>400.0</v>
      </c>
      <c r="D505" s="527">
        <v>1149.97</v>
      </c>
      <c r="E505" s="528">
        <v>2.8749</v>
      </c>
      <c r="F505" s="36" t="s">
        <v>7827</v>
      </c>
      <c r="G505" s="125" t="s">
        <v>913</v>
      </c>
      <c r="H505" s="125" t="s">
        <v>7840</v>
      </c>
    </row>
    <row r="506">
      <c r="A506" s="125" t="s">
        <v>2018</v>
      </c>
      <c r="B506" s="526" t="s">
        <v>2017</v>
      </c>
      <c r="C506" s="527">
        <v>275.0</v>
      </c>
      <c r="D506" s="527">
        <v>350.28</v>
      </c>
      <c r="E506" s="528">
        <v>1.2737</v>
      </c>
      <c r="F506" s="36" t="s">
        <v>7798</v>
      </c>
      <c r="G506" s="125" t="s">
        <v>913</v>
      </c>
      <c r="H506" s="125" t="s">
        <v>7808</v>
      </c>
      <c r="I506" t="s">
        <v>725</v>
      </c>
    </row>
    <row r="507">
      <c r="A507" s="125" t="s">
        <v>2020</v>
      </c>
      <c r="B507" s="526" t="s">
        <v>2019</v>
      </c>
      <c r="C507" s="527">
        <v>200.0</v>
      </c>
      <c r="D507" s="527">
        <v>359.97</v>
      </c>
      <c r="E507" s="528">
        <v>1.7999</v>
      </c>
      <c r="F507" s="36" t="s">
        <v>7798</v>
      </c>
      <c r="G507" s="125" t="s">
        <v>913</v>
      </c>
      <c r="H507" s="125" t="s">
        <v>7808</v>
      </c>
      <c r="I507" t="s">
        <v>725</v>
      </c>
    </row>
    <row r="508">
      <c r="A508" s="125" t="s">
        <v>776</v>
      </c>
      <c r="B508" s="526" t="s">
        <v>777</v>
      </c>
      <c r="C508" s="527">
        <v>799.0</v>
      </c>
      <c r="D508" s="527">
        <v>1536.87</v>
      </c>
      <c r="E508" s="528">
        <v>1.9235</v>
      </c>
      <c r="F508" s="36" t="s">
        <v>7798</v>
      </c>
      <c r="G508" s="125" t="s">
        <v>913</v>
      </c>
      <c r="H508" s="125" t="s">
        <v>569</v>
      </c>
      <c r="I508" t="s">
        <v>725</v>
      </c>
    </row>
    <row r="509">
      <c r="A509" s="125" t="s">
        <v>2028</v>
      </c>
      <c r="B509" s="526" t="s">
        <v>2027</v>
      </c>
      <c r="C509" s="527">
        <v>646.0</v>
      </c>
      <c r="D509" s="527">
        <v>1286.84</v>
      </c>
      <c r="E509" s="528">
        <v>1.992</v>
      </c>
      <c r="F509" s="36" t="s">
        <v>7798</v>
      </c>
      <c r="G509" s="125" t="s">
        <v>913</v>
      </c>
      <c r="H509" s="125" t="s">
        <v>7808</v>
      </c>
      <c r="I509" t="s">
        <v>725</v>
      </c>
    </row>
    <row r="510">
      <c r="A510" s="125" t="s">
        <v>774</v>
      </c>
      <c r="B510" s="526" t="s">
        <v>775</v>
      </c>
      <c r="C510" s="527">
        <v>912.0</v>
      </c>
      <c r="D510" s="527">
        <v>1754.38</v>
      </c>
      <c r="E510" s="528">
        <v>1.9237</v>
      </c>
      <c r="F510" s="36" t="s">
        <v>7798</v>
      </c>
      <c r="G510" s="125" t="s">
        <v>913</v>
      </c>
      <c r="H510" s="125" t="s">
        <v>569</v>
      </c>
      <c r="I510" t="s">
        <v>725</v>
      </c>
    </row>
    <row r="511">
      <c r="A511" s="125" t="s">
        <v>2030</v>
      </c>
      <c r="B511" s="526" t="s">
        <v>2029</v>
      </c>
      <c r="C511" s="527">
        <v>567.0</v>
      </c>
      <c r="D511" s="527">
        <v>1129.43</v>
      </c>
      <c r="E511" s="528">
        <v>1.9919</v>
      </c>
      <c r="F511" s="36" t="s">
        <v>7798</v>
      </c>
      <c r="G511" s="125" t="s">
        <v>913</v>
      </c>
      <c r="H511" s="125" t="s">
        <v>7808</v>
      </c>
      <c r="I511" t="s">
        <v>725</v>
      </c>
    </row>
    <row r="512">
      <c r="A512" s="125" t="s">
        <v>2032</v>
      </c>
      <c r="B512" s="526" t="s">
        <v>2031</v>
      </c>
      <c r="C512" s="527">
        <v>449.0</v>
      </c>
      <c r="D512" s="527">
        <v>894.32</v>
      </c>
      <c r="E512" s="528">
        <v>1.9918</v>
      </c>
      <c r="F512" s="36" t="s">
        <v>7798</v>
      </c>
      <c r="G512" s="125" t="s">
        <v>913</v>
      </c>
      <c r="H512" s="125" t="s">
        <v>7808</v>
      </c>
      <c r="I512" t="s">
        <v>725</v>
      </c>
    </row>
    <row r="513">
      <c r="A513" s="125" t="s">
        <v>772</v>
      </c>
      <c r="B513" s="526" t="s">
        <v>773</v>
      </c>
      <c r="C513" s="527">
        <v>964.0</v>
      </c>
      <c r="D513" s="527">
        <v>1854.46</v>
      </c>
      <c r="E513" s="528">
        <v>1.9237</v>
      </c>
      <c r="F513" s="36" t="s">
        <v>7798</v>
      </c>
      <c r="G513" s="125" t="s">
        <v>913</v>
      </c>
      <c r="H513" s="125" t="s">
        <v>569</v>
      </c>
      <c r="I513" t="s">
        <v>725</v>
      </c>
    </row>
    <row r="514">
      <c r="A514" s="125" t="s">
        <v>2034</v>
      </c>
      <c r="B514" s="526" t="s">
        <v>2033</v>
      </c>
      <c r="C514" s="527">
        <v>574.0</v>
      </c>
      <c r="D514" s="527">
        <v>1143.38</v>
      </c>
      <c r="E514" s="528">
        <v>1.992</v>
      </c>
      <c r="F514" s="36" t="s">
        <v>7798</v>
      </c>
      <c r="G514" s="125" t="s">
        <v>913</v>
      </c>
      <c r="H514" s="125" t="s">
        <v>7801</v>
      </c>
      <c r="I514" t="s">
        <v>725</v>
      </c>
    </row>
    <row r="515">
      <c r="A515" s="125" t="s">
        <v>191</v>
      </c>
      <c r="B515" s="526" t="s">
        <v>192</v>
      </c>
      <c r="C515" s="527">
        <v>381.0</v>
      </c>
      <c r="D515" s="527">
        <v>2380.19</v>
      </c>
      <c r="E515" s="528">
        <v>6.2472</v>
      </c>
      <c r="F515" s="36" t="s">
        <v>7798</v>
      </c>
      <c r="G515" s="125" t="s">
        <v>913</v>
      </c>
      <c r="H515" s="125" t="s">
        <v>569</v>
      </c>
      <c r="I515" t="s">
        <v>33</v>
      </c>
    </row>
    <row r="516">
      <c r="A516" s="125" t="s">
        <v>2038</v>
      </c>
      <c r="B516" s="526" t="s">
        <v>2037</v>
      </c>
      <c r="C516" s="527">
        <v>0.0</v>
      </c>
      <c r="D516" s="527">
        <v>0.0</v>
      </c>
      <c r="F516" s="36" t="s">
        <v>7798</v>
      </c>
      <c r="G516" s="125" t="s">
        <v>893</v>
      </c>
      <c r="H516" s="125" t="s">
        <v>7801</v>
      </c>
      <c r="I516" t="s">
        <v>33</v>
      </c>
    </row>
    <row r="517">
      <c r="A517" s="125" t="s">
        <v>193</v>
      </c>
      <c r="B517" s="526" t="s">
        <v>194</v>
      </c>
      <c r="C517" s="527">
        <v>361.0</v>
      </c>
      <c r="D517" s="527">
        <v>2255.25</v>
      </c>
      <c r="E517" s="528">
        <v>6.2472</v>
      </c>
      <c r="F517" s="36" t="s">
        <v>7798</v>
      </c>
      <c r="G517" s="125" t="s">
        <v>913</v>
      </c>
      <c r="H517" s="125" t="s">
        <v>569</v>
      </c>
      <c r="I517" t="s">
        <v>33</v>
      </c>
    </row>
    <row r="518">
      <c r="A518" s="125" t="s">
        <v>185</v>
      </c>
      <c r="B518" s="526" t="s">
        <v>186</v>
      </c>
      <c r="C518" s="527">
        <v>94.0</v>
      </c>
      <c r="D518" s="527">
        <v>555.17</v>
      </c>
      <c r="E518" s="528">
        <v>5.9061</v>
      </c>
      <c r="F518" s="36" t="s">
        <v>7798</v>
      </c>
      <c r="G518" s="125" t="s">
        <v>913</v>
      </c>
      <c r="H518" s="125" t="s">
        <v>569</v>
      </c>
      <c r="I518" t="s">
        <v>33</v>
      </c>
    </row>
    <row r="519">
      <c r="A519" s="125" t="s">
        <v>195</v>
      </c>
      <c r="B519" s="526" t="s">
        <v>196</v>
      </c>
      <c r="C519" s="527">
        <v>2.0</v>
      </c>
      <c r="D519" s="527">
        <v>61.79</v>
      </c>
      <c r="E519" s="528">
        <v>30.895</v>
      </c>
      <c r="F519" s="36" t="s">
        <v>7798</v>
      </c>
      <c r="G519" s="125" t="s">
        <v>913</v>
      </c>
      <c r="H519" s="125" t="s">
        <v>569</v>
      </c>
      <c r="I519" t="s">
        <v>33</v>
      </c>
    </row>
    <row r="520">
      <c r="A520" s="125" t="s">
        <v>187</v>
      </c>
      <c r="B520" s="526" t="s">
        <v>188</v>
      </c>
      <c r="C520" s="527">
        <v>263.0</v>
      </c>
      <c r="D520" s="527">
        <v>1643.18</v>
      </c>
      <c r="E520" s="528">
        <v>6.2478</v>
      </c>
      <c r="F520" s="36" t="s">
        <v>7798</v>
      </c>
      <c r="G520" s="125" t="s">
        <v>913</v>
      </c>
      <c r="H520" s="125" t="s">
        <v>569</v>
      </c>
      <c r="I520" t="s">
        <v>33</v>
      </c>
    </row>
    <row r="521">
      <c r="A521" s="125" t="s">
        <v>2040</v>
      </c>
      <c r="B521" s="526" t="s">
        <v>2039</v>
      </c>
      <c r="C521" s="527">
        <v>0.0</v>
      </c>
      <c r="D521" s="527">
        <v>0.0</v>
      </c>
      <c r="F521" s="36" t="s">
        <v>7798</v>
      </c>
      <c r="G521" s="125" t="s">
        <v>893</v>
      </c>
      <c r="H521" s="125" t="s">
        <v>7801</v>
      </c>
      <c r="I521" t="s">
        <v>33</v>
      </c>
    </row>
    <row r="522">
      <c r="A522" s="125" t="s">
        <v>189</v>
      </c>
      <c r="B522" s="526" t="s">
        <v>190</v>
      </c>
      <c r="C522" s="527">
        <v>311.0</v>
      </c>
      <c r="D522" s="527">
        <v>1942.95</v>
      </c>
      <c r="E522" s="528">
        <v>6.2474</v>
      </c>
      <c r="F522" s="36" t="s">
        <v>7798</v>
      </c>
      <c r="G522" s="125" t="s">
        <v>913</v>
      </c>
      <c r="H522" s="125" t="s">
        <v>7801</v>
      </c>
      <c r="I522" t="s">
        <v>33</v>
      </c>
    </row>
    <row r="523">
      <c r="A523" s="125" t="s">
        <v>2042</v>
      </c>
      <c r="B523" s="526" t="s">
        <v>2041</v>
      </c>
      <c r="C523" s="527">
        <v>1.0</v>
      </c>
      <c r="D523" s="527">
        <v>0.0</v>
      </c>
      <c r="E523" s="528">
        <v>0.0</v>
      </c>
      <c r="F523" s="36" t="s">
        <v>7798</v>
      </c>
      <c r="G523" s="125" t="s">
        <v>913</v>
      </c>
      <c r="H523" s="125" t="s">
        <v>7821</v>
      </c>
    </row>
    <row r="524">
      <c r="A524" s="125" t="s">
        <v>2046</v>
      </c>
      <c r="B524" s="526" t="s">
        <v>2045</v>
      </c>
      <c r="C524" s="527">
        <v>0.0</v>
      </c>
      <c r="D524" s="527">
        <v>0.0</v>
      </c>
      <c r="F524" s="36" t="s">
        <v>7798</v>
      </c>
      <c r="G524" s="125" t="s">
        <v>893</v>
      </c>
      <c r="H524" s="125" t="s">
        <v>7799</v>
      </c>
      <c r="I524" t="s">
        <v>7841</v>
      </c>
    </row>
    <row r="525">
      <c r="A525" s="125" t="s">
        <v>2048</v>
      </c>
      <c r="B525" s="526" t="s">
        <v>2047</v>
      </c>
      <c r="C525" s="527">
        <v>0.0</v>
      </c>
      <c r="D525" s="527">
        <v>0.0</v>
      </c>
      <c r="F525" s="36" t="s">
        <v>7798</v>
      </c>
      <c r="G525" s="125" t="s">
        <v>893</v>
      </c>
      <c r="H525" s="125" t="s">
        <v>7799</v>
      </c>
      <c r="I525" t="s">
        <v>7841</v>
      </c>
    </row>
    <row r="526">
      <c r="A526" s="125" t="s">
        <v>2050</v>
      </c>
      <c r="B526" s="526" t="s">
        <v>2049</v>
      </c>
      <c r="C526" s="527">
        <v>0.0</v>
      </c>
      <c r="D526" s="527">
        <v>0.0</v>
      </c>
      <c r="F526" s="36" t="s">
        <v>7798</v>
      </c>
      <c r="G526" s="125" t="s">
        <v>893</v>
      </c>
      <c r="H526" s="125" t="s">
        <v>7799</v>
      </c>
      <c r="I526" t="s">
        <v>7841</v>
      </c>
    </row>
    <row r="527">
      <c r="A527" s="125" t="s">
        <v>2052</v>
      </c>
      <c r="B527" s="526" t="s">
        <v>2051</v>
      </c>
      <c r="C527" s="527">
        <v>0.0</v>
      </c>
      <c r="D527" s="527">
        <v>0.0</v>
      </c>
      <c r="F527" s="36" t="s">
        <v>7798</v>
      </c>
      <c r="G527" s="125" t="s">
        <v>893</v>
      </c>
      <c r="H527" s="125" t="s">
        <v>7799</v>
      </c>
      <c r="I527" t="s">
        <v>7841</v>
      </c>
    </row>
    <row r="528">
      <c r="A528" s="125" t="s">
        <v>2054</v>
      </c>
      <c r="B528" s="526" t="s">
        <v>2053</v>
      </c>
      <c r="C528" s="527">
        <v>0.0</v>
      </c>
      <c r="D528" s="527">
        <v>0.0</v>
      </c>
      <c r="F528" s="36" t="s">
        <v>7798</v>
      </c>
      <c r="G528" s="125" t="s">
        <v>893</v>
      </c>
      <c r="H528" s="125" t="s">
        <v>7799</v>
      </c>
      <c r="I528" t="s">
        <v>7841</v>
      </c>
    </row>
    <row r="529">
      <c r="A529" s="125" t="s">
        <v>2056</v>
      </c>
      <c r="B529" s="526" t="s">
        <v>2055</v>
      </c>
      <c r="C529" s="527">
        <v>0.0</v>
      </c>
      <c r="D529" s="527">
        <v>0.0</v>
      </c>
      <c r="F529" s="36" t="s">
        <v>7798</v>
      </c>
      <c r="G529" s="125" t="s">
        <v>893</v>
      </c>
      <c r="H529" s="125" t="s">
        <v>7799</v>
      </c>
      <c r="I529" t="s">
        <v>7841</v>
      </c>
    </row>
    <row r="530">
      <c r="A530" s="125" t="s">
        <v>2058</v>
      </c>
      <c r="B530" s="526" t="s">
        <v>2057</v>
      </c>
      <c r="C530" s="527">
        <v>0.0</v>
      </c>
      <c r="D530" s="527">
        <v>0.0</v>
      </c>
      <c r="F530" s="36" t="s">
        <v>7798</v>
      </c>
      <c r="G530" s="125" t="s">
        <v>893</v>
      </c>
      <c r="H530" s="125" t="s">
        <v>7799</v>
      </c>
      <c r="I530" t="s">
        <v>7841</v>
      </c>
    </row>
    <row r="531">
      <c r="A531" s="125" t="s">
        <v>2060</v>
      </c>
      <c r="B531" s="526" t="s">
        <v>2059</v>
      </c>
      <c r="C531" s="527">
        <v>0.0</v>
      </c>
      <c r="D531" s="527">
        <v>0.0</v>
      </c>
      <c r="F531" s="36" t="s">
        <v>7798</v>
      </c>
      <c r="G531" s="125" t="s">
        <v>893</v>
      </c>
      <c r="H531" s="125" t="s">
        <v>7799</v>
      </c>
      <c r="I531" t="s">
        <v>7841</v>
      </c>
    </row>
    <row r="532">
      <c r="A532" s="125" t="s">
        <v>2062</v>
      </c>
      <c r="B532" s="526" t="s">
        <v>2061</v>
      </c>
      <c r="C532" s="527">
        <v>0.0</v>
      </c>
      <c r="D532" s="527">
        <v>0.0</v>
      </c>
      <c r="F532" s="36" t="s">
        <v>7827</v>
      </c>
      <c r="G532" s="125" t="s">
        <v>913</v>
      </c>
      <c r="H532" s="125" t="s">
        <v>7828</v>
      </c>
    </row>
    <row r="533">
      <c r="A533" s="125" t="s">
        <v>2064</v>
      </c>
      <c r="B533" s="526" t="s">
        <v>2063</v>
      </c>
      <c r="C533" s="527">
        <v>0.0</v>
      </c>
      <c r="D533" s="527">
        <v>0.0</v>
      </c>
      <c r="F533" s="36" t="s">
        <v>7798</v>
      </c>
      <c r="G533" s="125" t="s">
        <v>893</v>
      </c>
      <c r="H533" s="125" t="s">
        <v>7799</v>
      </c>
      <c r="I533" t="s">
        <v>7842</v>
      </c>
    </row>
    <row r="534">
      <c r="A534" s="125" t="s">
        <v>2066</v>
      </c>
      <c r="B534" s="526" t="s">
        <v>2065</v>
      </c>
      <c r="C534" s="527">
        <v>12.0</v>
      </c>
      <c r="D534" s="527">
        <v>6.48</v>
      </c>
      <c r="E534" s="528">
        <v>0.54</v>
      </c>
      <c r="F534" s="36" t="s">
        <v>7798</v>
      </c>
      <c r="G534" s="125" t="s">
        <v>913</v>
      </c>
      <c r="H534" s="125" t="s">
        <v>7821</v>
      </c>
      <c r="I534" t="s">
        <v>7834</v>
      </c>
    </row>
    <row r="535">
      <c r="A535" s="125" t="s">
        <v>2068</v>
      </c>
      <c r="B535" s="526" t="s">
        <v>2067</v>
      </c>
      <c r="C535" s="527">
        <v>108.0</v>
      </c>
      <c r="D535" s="527">
        <v>58.32</v>
      </c>
      <c r="E535" s="528">
        <v>0.54</v>
      </c>
      <c r="F535" s="36" t="s">
        <v>7798</v>
      </c>
      <c r="G535" s="125" t="s">
        <v>913</v>
      </c>
      <c r="H535" s="125" t="s">
        <v>7821</v>
      </c>
      <c r="I535" t="s">
        <v>7834</v>
      </c>
    </row>
    <row r="536">
      <c r="A536" s="125" t="s">
        <v>2070</v>
      </c>
      <c r="B536" s="526" t="s">
        <v>2069</v>
      </c>
      <c r="C536" s="527">
        <v>930.0</v>
      </c>
      <c r="D536" s="527">
        <v>391.4</v>
      </c>
      <c r="E536" s="528">
        <v>0.4209</v>
      </c>
      <c r="F536" s="36" t="s">
        <v>7827</v>
      </c>
      <c r="G536" s="125" t="s">
        <v>913</v>
      </c>
      <c r="H536" s="125" t="s">
        <v>7840</v>
      </c>
    </row>
    <row r="537">
      <c r="A537" s="125" t="s">
        <v>2072</v>
      </c>
      <c r="B537" s="526" t="s">
        <v>2071</v>
      </c>
      <c r="C537" s="527">
        <v>0.0</v>
      </c>
      <c r="D537" s="527">
        <v>0.0</v>
      </c>
      <c r="F537" s="36" t="s">
        <v>7798</v>
      </c>
      <c r="G537" s="125" t="s">
        <v>893</v>
      </c>
      <c r="H537" s="125" t="s">
        <v>7799</v>
      </c>
      <c r="I537" t="s">
        <v>7841</v>
      </c>
    </row>
    <row r="538">
      <c r="A538" s="125" t="s">
        <v>2074</v>
      </c>
      <c r="B538" s="526" t="s">
        <v>2073</v>
      </c>
      <c r="C538" s="527">
        <v>0.0</v>
      </c>
      <c r="D538" s="527">
        <v>0.0</v>
      </c>
      <c r="F538" s="36" t="s">
        <v>7798</v>
      </c>
      <c r="G538" s="125" t="s">
        <v>893</v>
      </c>
      <c r="H538" s="125" t="s">
        <v>7799</v>
      </c>
      <c r="I538" t="s">
        <v>7841</v>
      </c>
    </row>
    <row r="539">
      <c r="A539" s="125" t="s">
        <v>2076</v>
      </c>
      <c r="B539" s="526" t="s">
        <v>2075</v>
      </c>
      <c r="C539" s="527">
        <v>0.0</v>
      </c>
      <c r="D539" s="527">
        <v>0.0</v>
      </c>
      <c r="F539" s="36" t="s">
        <v>7798</v>
      </c>
      <c r="G539" s="125" t="s">
        <v>893</v>
      </c>
      <c r="H539" s="125" t="s">
        <v>7799</v>
      </c>
      <c r="I539" t="s">
        <v>7841</v>
      </c>
    </row>
    <row r="540">
      <c r="A540" s="125" t="s">
        <v>2078</v>
      </c>
      <c r="B540" s="526" t="s">
        <v>2077</v>
      </c>
      <c r="C540" s="527">
        <v>0.0</v>
      </c>
      <c r="D540" s="527">
        <v>0.0</v>
      </c>
      <c r="F540" s="36" t="s">
        <v>7798</v>
      </c>
      <c r="G540" s="125" t="s">
        <v>893</v>
      </c>
      <c r="H540" s="125" t="s">
        <v>7799</v>
      </c>
      <c r="I540" t="s">
        <v>7804</v>
      </c>
    </row>
    <row r="541">
      <c r="A541" s="125" t="s">
        <v>2080</v>
      </c>
      <c r="B541" s="526" t="s">
        <v>2079</v>
      </c>
      <c r="C541" s="527">
        <v>0.0</v>
      </c>
      <c r="D541" s="527">
        <v>0.0</v>
      </c>
      <c r="F541" s="36" t="s">
        <v>7798</v>
      </c>
      <c r="G541" s="125" t="s">
        <v>893</v>
      </c>
      <c r="H541" s="125" t="s">
        <v>7799</v>
      </c>
      <c r="I541" t="s">
        <v>7843</v>
      </c>
    </row>
    <row r="542">
      <c r="A542" s="125" t="s">
        <v>2082</v>
      </c>
      <c r="B542" s="526" t="s">
        <v>2081</v>
      </c>
      <c r="C542" s="527">
        <v>0.0</v>
      </c>
      <c r="D542" s="527">
        <v>0.0</v>
      </c>
      <c r="F542" s="36" t="s">
        <v>7798</v>
      </c>
      <c r="G542" s="125" t="s">
        <v>893</v>
      </c>
      <c r="H542" s="125" t="s">
        <v>7799</v>
      </c>
      <c r="I542" t="s">
        <v>7843</v>
      </c>
    </row>
    <row r="543">
      <c r="A543" s="125" t="s">
        <v>2084</v>
      </c>
      <c r="B543" s="526" t="s">
        <v>2083</v>
      </c>
      <c r="C543" s="527">
        <v>0.0</v>
      </c>
      <c r="D543" s="527">
        <v>0.0</v>
      </c>
      <c r="F543" s="36" t="s">
        <v>7798</v>
      </c>
      <c r="G543" s="125" t="s">
        <v>893</v>
      </c>
      <c r="H543" s="125" t="s">
        <v>7799</v>
      </c>
      <c r="I543" t="s">
        <v>7843</v>
      </c>
    </row>
    <row r="544">
      <c r="A544" s="125" t="s">
        <v>2086</v>
      </c>
      <c r="B544" s="526" t="s">
        <v>2085</v>
      </c>
      <c r="C544" s="527">
        <v>0.0</v>
      </c>
      <c r="D544" s="527">
        <v>0.0</v>
      </c>
      <c r="F544" s="36" t="s">
        <v>7798</v>
      </c>
      <c r="G544" s="125" t="s">
        <v>893</v>
      </c>
      <c r="H544" s="125" t="s">
        <v>7799</v>
      </c>
      <c r="I544" t="s">
        <v>7843</v>
      </c>
    </row>
    <row r="545">
      <c r="A545" s="125" t="s">
        <v>2088</v>
      </c>
      <c r="B545" s="526" t="s">
        <v>2087</v>
      </c>
      <c r="C545" s="527">
        <v>0.0</v>
      </c>
      <c r="D545" s="527">
        <v>0.0</v>
      </c>
      <c r="F545" s="36" t="s">
        <v>7798</v>
      </c>
      <c r="G545" s="125" t="s">
        <v>893</v>
      </c>
      <c r="H545" s="125" t="s">
        <v>7799</v>
      </c>
      <c r="I545" t="s">
        <v>7843</v>
      </c>
    </row>
    <row r="546">
      <c r="A546" s="125" t="s">
        <v>2090</v>
      </c>
      <c r="B546" s="526" t="s">
        <v>2089</v>
      </c>
      <c r="C546" s="527">
        <v>0.0</v>
      </c>
      <c r="D546" s="527">
        <v>0.0</v>
      </c>
      <c r="F546" s="36" t="s">
        <v>7798</v>
      </c>
      <c r="G546" s="125" t="s">
        <v>893</v>
      </c>
      <c r="H546" s="125" t="s">
        <v>7799</v>
      </c>
      <c r="I546" t="s">
        <v>7843</v>
      </c>
    </row>
    <row r="547">
      <c r="A547" s="125" t="s">
        <v>2092</v>
      </c>
      <c r="B547" s="526" t="s">
        <v>2091</v>
      </c>
      <c r="C547" s="527">
        <v>0.0</v>
      </c>
      <c r="D547" s="527">
        <v>0.0</v>
      </c>
      <c r="F547" s="36" t="s">
        <v>7798</v>
      </c>
      <c r="G547" s="125" t="s">
        <v>893</v>
      </c>
      <c r="H547" s="125" t="s">
        <v>7799</v>
      </c>
      <c r="I547" t="s">
        <v>7843</v>
      </c>
    </row>
    <row r="548">
      <c r="A548" s="125" t="s">
        <v>2094</v>
      </c>
      <c r="B548" s="526" t="s">
        <v>2093</v>
      </c>
      <c r="C548" s="527">
        <v>0.0</v>
      </c>
      <c r="D548" s="527">
        <v>0.0</v>
      </c>
      <c r="F548" s="36" t="s">
        <v>7798</v>
      </c>
      <c r="G548" s="125" t="s">
        <v>893</v>
      </c>
      <c r="H548" s="125" t="s">
        <v>7799</v>
      </c>
      <c r="I548" t="s">
        <v>7843</v>
      </c>
    </row>
    <row r="549">
      <c r="A549" s="125" t="s">
        <v>2096</v>
      </c>
      <c r="B549" s="526" t="s">
        <v>2095</v>
      </c>
      <c r="C549" s="527">
        <v>0.0</v>
      </c>
      <c r="D549" s="527">
        <v>0.0</v>
      </c>
      <c r="F549" s="36" t="s">
        <v>7798</v>
      </c>
      <c r="G549" s="125" t="s">
        <v>893</v>
      </c>
      <c r="H549" s="125" t="s">
        <v>7799</v>
      </c>
      <c r="I549" t="s">
        <v>7843</v>
      </c>
    </row>
    <row r="550">
      <c r="A550" s="125" t="s">
        <v>2098</v>
      </c>
      <c r="B550" s="526" t="s">
        <v>2097</v>
      </c>
      <c r="C550" s="527">
        <v>0.0</v>
      </c>
      <c r="D550" s="527">
        <v>0.0</v>
      </c>
      <c r="F550" s="36" t="s">
        <v>7798</v>
      </c>
      <c r="G550" s="125" t="s">
        <v>893</v>
      </c>
      <c r="H550" s="125" t="s">
        <v>7799</v>
      </c>
      <c r="I550" t="s">
        <v>7843</v>
      </c>
    </row>
    <row r="551">
      <c r="A551" s="125" t="s">
        <v>2100</v>
      </c>
      <c r="B551" s="526" t="s">
        <v>2099</v>
      </c>
      <c r="C551" s="527">
        <v>0.0</v>
      </c>
      <c r="D551" s="527">
        <v>0.0</v>
      </c>
      <c r="F551" s="36" t="s">
        <v>7798</v>
      </c>
      <c r="G551" s="125" t="s">
        <v>893</v>
      </c>
      <c r="H551" s="125" t="s">
        <v>7799</v>
      </c>
      <c r="I551" t="s">
        <v>7843</v>
      </c>
    </row>
    <row r="552">
      <c r="A552" s="125" t="s">
        <v>2102</v>
      </c>
      <c r="B552" s="526" t="s">
        <v>2101</v>
      </c>
      <c r="C552" s="527">
        <v>0.0</v>
      </c>
      <c r="D552" s="527">
        <v>0.0</v>
      </c>
      <c r="F552" s="36" t="s">
        <v>7798</v>
      </c>
      <c r="G552" s="125" t="s">
        <v>893</v>
      </c>
      <c r="H552" s="125" t="s">
        <v>7799</v>
      </c>
      <c r="I552" t="s">
        <v>7843</v>
      </c>
    </row>
    <row r="553">
      <c r="A553" s="125" t="s">
        <v>2104</v>
      </c>
      <c r="B553" s="526" t="s">
        <v>2103</v>
      </c>
      <c r="C553" s="527">
        <v>0.0</v>
      </c>
      <c r="D553" s="527">
        <v>0.0</v>
      </c>
      <c r="F553" s="36" t="s">
        <v>7798</v>
      </c>
      <c r="G553" s="125" t="s">
        <v>893</v>
      </c>
      <c r="H553" s="125" t="s">
        <v>7799</v>
      </c>
      <c r="I553" t="s">
        <v>7843</v>
      </c>
    </row>
    <row r="554">
      <c r="A554" s="125" t="s">
        <v>2106</v>
      </c>
      <c r="B554" s="526" t="s">
        <v>2105</v>
      </c>
      <c r="C554" s="527">
        <v>0.0</v>
      </c>
      <c r="D554" s="527">
        <v>0.0</v>
      </c>
      <c r="F554" s="36" t="s">
        <v>7798</v>
      </c>
      <c r="G554" s="125" t="s">
        <v>893</v>
      </c>
      <c r="H554" s="125" t="s">
        <v>7799</v>
      </c>
      <c r="I554" t="s">
        <v>7843</v>
      </c>
    </row>
    <row r="555">
      <c r="A555" s="125" t="s">
        <v>2108</v>
      </c>
      <c r="B555" s="526" t="s">
        <v>2107</v>
      </c>
      <c r="C555" s="527">
        <v>0.0</v>
      </c>
      <c r="D555" s="527">
        <v>0.0</v>
      </c>
      <c r="F555" s="36" t="s">
        <v>7798</v>
      </c>
      <c r="G555" s="125" t="s">
        <v>893</v>
      </c>
      <c r="H555" s="125" t="s">
        <v>7799</v>
      </c>
      <c r="I555" t="s">
        <v>7843</v>
      </c>
    </row>
    <row r="556">
      <c r="A556" s="125" t="s">
        <v>2110</v>
      </c>
      <c r="B556" s="526" t="s">
        <v>2109</v>
      </c>
      <c r="C556" s="527">
        <v>0.0</v>
      </c>
      <c r="D556" s="527">
        <v>0.0</v>
      </c>
      <c r="F556" s="36" t="s">
        <v>7798</v>
      </c>
      <c r="G556" s="125" t="s">
        <v>893</v>
      </c>
      <c r="H556" s="125" t="s">
        <v>7799</v>
      </c>
      <c r="I556" t="s">
        <v>7843</v>
      </c>
    </row>
    <row r="557">
      <c r="A557" s="125" t="s">
        <v>2112</v>
      </c>
      <c r="B557" s="526" t="s">
        <v>2111</v>
      </c>
      <c r="C557" s="527">
        <v>0.0</v>
      </c>
      <c r="D557" s="527">
        <v>0.0</v>
      </c>
      <c r="F557" s="36" t="s">
        <v>7798</v>
      </c>
      <c r="G557" s="125" t="s">
        <v>893</v>
      </c>
      <c r="H557" s="125" t="s">
        <v>7799</v>
      </c>
      <c r="I557" t="s">
        <v>7843</v>
      </c>
    </row>
    <row r="558">
      <c r="A558" s="125" t="s">
        <v>2114</v>
      </c>
      <c r="B558" s="526" t="s">
        <v>2113</v>
      </c>
      <c r="C558" s="527">
        <v>0.0</v>
      </c>
      <c r="D558" s="527">
        <v>0.0</v>
      </c>
      <c r="F558" s="36" t="s">
        <v>7798</v>
      </c>
      <c r="G558" s="125" t="s">
        <v>893</v>
      </c>
      <c r="H558" s="125" t="s">
        <v>7799</v>
      </c>
      <c r="I558" t="s">
        <v>7843</v>
      </c>
    </row>
    <row r="559">
      <c r="A559" s="125" t="s">
        <v>2116</v>
      </c>
      <c r="B559" s="526" t="s">
        <v>2115</v>
      </c>
      <c r="C559" s="527">
        <v>0.0</v>
      </c>
      <c r="D559" s="527">
        <v>0.0</v>
      </c>
      <c r="F559" s="36" t="s">
        <v>7798</v>
      </c>
      <c r="G559" s="125" t="s">
        <v>893</v>
      </c>
      <c r="H559" s="125" t="s">
        <v>7799</v>
      </c>
      <c r="I559" t="s">
        <v>7843</v>
      </c>
    </row>
    <row r="560">
      <c r="A560" s="125" t="s">
        <v>2118</v>
      </c>
      <c r="B560" s="526" t="s">
        <v>2117</v>
      </c>
      <c r="C560" s="527">
        <v>0.0</v>
      </c>
      <c r="D560" s="527">
        <v>0.0</v>
      </c>
      <c r="F560" s="36" t="s">
        <v>7798</v>
      </c>
      <c r="G560" s="125" t="s">
        <v>893</v>
      </c>
      <c r="H560" s="125" t="s">
        <v>7799</v>
      </c>
      <c r="I560" t="s">
        <v>7843</v>
      </c>
    </row>
    <row r="561">
      <c r="A561" s="125" t="s">
        <v>2120</v>
      </c>
      <c r="B561" s="526" t="s">
        <v>2119</v>
      </c>
      <c r="C561" s="527">
        <v>0.0</v>
      </c>
      <c r="D561" s="527">
        <v>0.0</v>
      </c>
      <c r="F561" s="36" t="s">
        <v>7798</v>
      </c>
      <c r="G561" s="125" t="s">
        <v>893</v>
      </c>
      <c r="H561" s="125" t="s">
        <v>7799</v>
      </c>
      <c r="I561" t="s">
        <v>7843</v>
      </c>
    </row>
    <row r="562">
      <c r="A562" s="125" t="s">
        <v>2122</v>
      </c>
      <c r="B562" s="526" t="s">
        <v>2121</v>
      </c>
      <c r="C562" s="527">
        <v>0.0</v>
      </c>
      <c r="D562" s="527">
        <v>0.0</v>
      </c>
      <c r="F562" s="36" t="s">
        <v>7798</v>
      </c>
      <c r="G562" s="125" t="s">
        <v>893</v>
      </c>
      <c r="H562" s="125" t="s">
        <v>7799</v>
      </c>
      <c r="I562" t="s">
        <v>7843</v>
      </c>
    </row>
    <row r="563">
      <c r="A563" s="125" t="s">
        <v>2124</v>
      </c>
      <c r="B563" s="526" t="s">
        <v>2123</v>
      </c>
      <c r="C563" s="527">
        <v>0.0</v>
      </c>
      <c r="D563" s="527">
        <v>0.0</v>
      </c>
      <c r="F563" s="36" t="s">
        <v>7798</v>
      </c>
      <c r="G563" s="125" t="s">
        <v>893</v>
      </c>
      <c r="H563" s="125" t="s">
        <v>7799</v>
      </c>
      <c r="I563" t="s">
        <v>7843</v>
      </c>
    </row>
    <row r="564">
      <c r="A564" s="125" t="s">
        <v>2126</v>
      </c>
      <c r="B564" s="526" t="s">
        <v>2125</v>
      </c>
      <c r="C564" s="527">
        <v>0.0</v>
      </c>
      <c r="D564" s="527">
        <v>0.0</v>
      </c>
      <c r="F564" s="36" t="s">
        <v>7798</v>
      </c>
      <c r="G564" s="125" t="s">
        <v>893</v>
      </c>
      <c r="H564" s="125" t="s">
        <v>7799</v>
      </c>
      <c r="I564" t="s">
        <v>7843</v>
      </c>
    </row>
    <row r="565">
      <c r="A565" s="125" t="s">
        <v>2128</v>
      </c>
      <c r="B565" s="526" t="s">
        <v>2127</v>
      </c>
      <c r="C565" s="527">
        <v>0.0</v>
      </c>
      <c r="D565" s="527">
        <v>0.0</v>
      </c>
      <c r="F565" s="36" t="s">
        <v>7798</v>
      </c>
      <c r="G565" s="125" t="s">
        <v>893</v>
      </c>
      <c r="H565" s="125" t="s">
        <v>7799</v>
      </c>
      <c r="I565" t="s">
        <v>7843</v>
      </c>
    </row>
    <row r="566">
      <c r="A566" s="125" t="s">
        <v>2130</v>
      </c>
      <c r="B566" s="526" t="s">
        <v>2129</v>
      </c>
      <c r="C566" s="527">
        <v>0.0</v>
      </c>
      <c r="D566" s="527">
        <v>0.0</v>
      </c>
      <c r="F566" s="36" t="s">
        <v>7798</v>
      </c>
      <c r="G566" s="125" t="s">
        <v>893</v>
      </c>
      <c r="H566" s="125" t="s">
        <v>7799</v>
      </c>
      <c r="I566" t="s">
        <v>7843</v>
      </c>
    </row>
    <row r="567">
      <c r="A567" s="125" t="s">
        <v>2132</v>
      </c>
      <c r="B567" s="526" t="s">
        <v>2131</v>
      </c>
      <c r="C567" s="527">
        <v>0.0</v>
      </c>
      <c r="D567" s="527">
        <v>0.0</v>
      </c>
      <c r="F567" s="36" t="s">
        <v>7798</v>
      </c>
      <c r="G567" s="125" t="s">
        <v>893</v>
      </c>
      <c r="H567" s="125" t="s">
        <v>7799</v>
      </c>
      <c r="I567" t="s">
        <v>7843</v>
      </c>
    </row>
    <row r="568">
      <c r="A568" s="125" t="s">
        <v>2134</v>
      </c>
      <c r="B568" s="526" t="s">
        <v>2133</v>
      </c>
      <c r="C568" s="527">
        <v>0.0</v>
      </c>
      <c r="D568" s="527">
        <v>0.0</v>
      </c>
      <c r="F568" s="36" t="s">
        <v>7798</v>
      </c>
      <c r="G568" s="125" t="s">
        <v>893</v>
      </c>
      <c r="H568" s="125" t="s">
        <v>7799</v>
      </c>
      <c r="I568" t="s">
        <v>7843</v>
      </c>
    </row>
    <row r="569">
      <c r="A569" s="125" t="s">
        <v>2136</v>
      </c>
      <c r="B569" s="526" t="s">
        <v>2135</v>
      </c>
      <c r="C569" s="527">
        <v>0.0</v>
      </c>
      <c r="D569" s="527">
        <v>0.0</v>
      </c>
      <c r="F569" s="36" t="s">
        <v>7798</v>
      </c>
      <c r="G569" s="125" t="s">
        <v>893</v>
      </c>
      <c r="H569" s="125" t="s">
        <v>7799</v>
      </c>
      <c r="I569" t="s">
        <v>7843</v>
      </c>
    </row>
    <row r="570">
      <c r="A570" s="125" t="s">
        <v>2138</v>
      </c>
      <c r="B570" s="526" t="s">
        <v>2137</v>
      </c>
      <c r="C570" s="527">
        <v>0.0</v>
      </c>
      <c r="D570" s="527">
        <v>0.0</v>
      </c>
      <c r="F570" s="36" t="s">
        <v>7798</v>
      </c>
      <c r="G570" s="125" t="s">
        <v>893</v>
      </c>
      <c r="H570" s="125" t="s">
        <v>7799</v>
      </c>
      <c r="I570" t="s">
        <v>7843</v>
      </c>
    </row>
    <row r="571">
      <c r="A571" s="125" t="s">
        <v>2140</v>
      </c>
      <c r="B571" s="526" t="s">
        <v>2139</v>
      </c>
      <c r="C571" s="527">
        <v>0.0</v>
      </c>
      <c r="D571" s="527">
        <v>0.0</v>
      </c>
      <c r="F571" s="36" t="s">
        <v>7798</v>
      </c>
      <c r="G571" s="125" t="s">
        <v>893</v>
      </c>
      <c r="H571" s="125" t="s">
        <v>7799</v>
      </c>
      <c r="I571" t="s">
        <v>7843</v>
      </c>
    </row>
    <row r="572">
      <c r="A572" s="125" t="s">
        <v>2142</v>
      </c>
      <c r="B572" s="526" t="s">
        <v>2141</v>
      </c>
      <c r="C572" s="527">
        <v>0.0</v>
      </c>
      <c r="D572" s="527">
        <v>0.0</v>
      </c>
      <c r="F572" s="36" t="s">
        <v>7798</v>
      </c>
      <c r="G572" s="125" t="s">
        <v>893</v>
      </c>
      <c r="H572" s="125" t="s">
        <v>7799</v>
      </c>
      <c r="I572" t="s">
        <v>7843</v>
      </c>
    </row>
    <row r="573">
      <c r="A573" s="125" t="s">
        <v>2144</v>
      </c>
      <c r="B573" s="526" t="s">
        <v>2143</v>
      </c>
      <c r="C573" s="527">
        <v>0.0</v>
      </c>
      <c r="D573" s="527">
        <v>0.0</v>
      </c>
      <c r="F573" s="36" t="s">
        <v>7798</v>
      </c>
      <c r="G573" s="125" t="s">
        <v>893</v>
      </c>
      <c r="H573" s="125" t="s">
        <v>7799</v>
      </c>
      <c r="I573" t="s">
        <v>7843</v>
      </c>
    </row>
    <row r="574">
      <c r="A574" s="125" t="s">
        <v>2146</v>
      </c>
      <c r="B574" s="526" t="s">
        <v>2145</v>
      </c>
      <c r="C574" s="527">
        <v>0.0</v>
      </c>
      <c r="D574" s="527">
        <v>0.0</v>
      </c>
      <c r="F574" s="36" t="s">
        <v>7798</v>
      </c>
      <c r="G574" s="125" t="s">
        <v>893</v>
      </c>
      <c r="H574" s="125" t="s">
        <v>7799</v>
      </c>
      <c r="I574" t="s">
        <v>7843</v>
      </c>
    </row>
    <row r="575">
      <c r="A575" s="125" t="s">
        <v>2148</v>
      </c>
      <c r="B575" s="526" t="s">
        <v>2147</v>
      </c>
      <c r="C575" s="527">
        <v>0.0</v>
      </c>
      <c r="D575" s="527">
        <v>0.0</v>
      </c>
      <c r="F575" s="36" t="s">
        <v>7798</v>
      </c>
      <c r="G575" s="125" t="s">
        <v>893</v>
      </c>
      <c r="H575" s="125" t="s">
        <v>7799</v>
      </c>
      <c r="I575" t="s">
        <v>7843</v>
      </c>
    </row>
    <row r="576">
      <c r="A576" s="125" t="s">
        <v>2150</v>
      </c>
      <c r="B576" s="526" t="s">
        <v>2149</v>
      </c>
      <c r="C576" s="527">
        <v>0.0</v>
      </c>
      <c r="D576" s="527">
        <v>0.0</v>
      </c>
      <c r="F576" s="36" t="s">
        <v>7798</v>
      </c>
      <c r="G576" s="125" t="s">
        <v>893</v>
      </c>
      <c r="H576" s="125" t="s">
        <v>7799</v>
      </c>
      <c r="I576" t="s">
        <v>7843</v>
      </c>
    </row>
    <row r="577">
      <c r="A577" s="125" t="s">
        <v>2152</v>
      </c>
      <c r="B577" s="526" t="s">
        <v>2151</v>
      </c>
      <c r="C577" s="527">
        <v>0.0</v>
      </c>
      <c r="D577" s="527">
        <v>0.0</v>
      </c>
      <c r="F577" s="36" t="s">
        <v>7798</v>
      </c>
      <c r="G577" s="125" t="s">
        <v>893</v>
      </c>
      <c r="H577" s="125" t="s">
        <v>7799</v>
      </c>
      <c r="I577" t="s">
        <v>7843</v>
      </c>
    </row>
    <row r="578">
      <c r="A578" s="125" t="s">
        <v>2154</v>
      </c>
      <c r="B578" s="526" t="s">
        <v>2153</v>
      </c>
      <c r="C578" s="527">
        <v>0.0</v>
      </c>
      <c r="D578" s="527">
        <v>0.0</v>
      </c>
      <c r="F578" s="36" t="s">
        <v>7798</v>
      </c>
      <c r="G578" s="125" t="s">
        <v>893</v>
      </c>
      <c r="H578" s="125" t="s">
        <v>7799</v>
      </c>
      <c r="I578" t="s">
        <v>7843</v>
      </c>
    </row>
    <row r="579">
      <c r="A579" s="125" t="s">
        <v>2156</v>
      </c>
      <c r="B579" s="526" t="s">
        <v>2155</v>
      </c>
      <c r="C579" s="527">
        <v>0.0</v>
      </c>
      <c r="D579" s="527">
        <v>0.0</v>
      </c>
      <c r="F579" s="36" t="s">
        <v>7798</v>
      </c>
      <c r="G579" s="125" t="s">
        <v>893</v>
      </c>
      <c r="H579" s="125" t="s">
        <v>7799</v>
      </c>
      <c r="I579" t="s">
        <v>7843</v>
      </c>
    </row>
    <row r="580">
      <c r="A580" s="125" t="s">
        <v>2158</v>
      </c>
      <c r="B580" s="526" t="s">
        <v>2157</v>
      </c>
      <c r="C580" s="527">
        <v>0.0</v>
      </c>
      <c r="D580" s="527">
        <v>0.0</v>
      </c>
      <c r="F580" s="36" t="s">
        <v>7798</v>
      </c>
      <c r="G580" s="125" t="s">
        <v>893</v>
      </c>
      <c r="H580" s="125" t="s">
        <v>7799</v>
      </c>
      <c r="I580" t="s">
        <v>7843</v>
      </c>
    </row>
    <row r="581">
      <c r="A581" s="125" t="s">
        <v>2160</v>
      </c>
      <c r="B581" s="526" t="s">
        <v>2159</v>
      </c>
      <c r="C581" s="527">
        <v>0.0</v>
      </c>
      <c r="D581" s="527">
        <v>0.0</v>
      </c>
      <c r="F581" s="36" t="s">
        <v>7798</v>
      </c>
      <c r="G581" s="125" t="s">
        <v>893</v>
      </c>
      <c r="H581" s="125" t="s">
        <v>7799</v>
      </c>
      <c r="I581" t="s">
        <v>7843</v>
      </c>
    </row>
    <row r="582">
      <c r="A582" s="125" t="s">
        <v>2162</v>
      </c>
      <c r="B582" s="526" t="s">
        <v>2161</v>
      </c>
      <c r="C582" s="527">
        <v>0.0</v>
      </c>
      <c r="D582" s="527">
        <v>0.0</v>
      </c>
      <c r="F582" s="36" t="s">
        <v>7798</v>
      </c>
      <c r="G582" s="125" t="s">
        <v>893</v>
      </c>
      <c r="H582" s="125" t="s">
        <v>7799</v>
      </c>
      <c r="I582" t="s">
        <v>7843</v>
      </c>
    </row>
    <row r="583">
      <c r="A583" s="125" t="s">
        <v>2164</v>
      </c>
      <c r="B583" s="526" t="s">
        <v>2163</v>
      </c>
      <c r="C583" s="527">
        <v>0.0</v>
      </c>
      <c r="D583" s="527">
        <v>0.0</v>
      </c>
      <c r="F583" s="36" t="s">
        <v>7798</v>
      </c>
      <c r="G583" s="125" t="s">
        <v>893</v>
      </c>
      <c r="H583" s="125" t="s">
        <v>7799</v>
      </c>
      <c r="I583" t="s">
        <v>7843</v>
      </c>
    </row>
    <row r="584">
      <c r="A584" s="125" t="s">
        <v>2166</v>
      </c>
      <c r="B584" s="526" t="s">
        <v>2165</v>
      </c>
      <c r="C584" s="527">
        <v>0.0</v>
      </c>
      <c r="D584" s="527">
        <v>0.0</v>
      </c>
      <c r="F584" s="36" t="s">
        <v>7798</v>
      </c>
      <c r="G584" s="125" t="s">
        <v>893</v>
      </c>
      <c r="H584" s="125" t="s">
        <v>7799</v>
      </c>
      <c r="I584" t="s">
        <v>7843</v>
      </c>
    </row>
    <row r="585">
      <c r="A585" s="125" t="s">
        <v>2168</v>
      </c>
      <c r="B585" s="526" t="s">
        <v>2167</v>
      </c>
      <c r="C585" s="527">
        <v>0.0</v>
      </c>
      <c r="D585" s="527">
        <v>0.0</v>
      </c>
      <c r="F585" s="36" t="s">
        <v>7798</v>
      </c>
      <c r="G585" s="125" t="s">
        <v>893</v>
      </c>
      <c r="H585" s="125" t="s">
        <v>7799</v>
      </c>
      <c r="I585" t="s">
        <v>7843</v>
      </c>
    </row>
    <row r="586">
      <c r="A586" s="125" t="s">
        <v>2170</v>
      </c>
      <c r="B586" s="526" t="s">
        <v>2169</v>
      </c>
      <c r="C586" s="527">
        <v>0.0</v>
      </c>
      <c r="D586" s="527">
        <v>0.0</v>
      </c>
      <c r="F586" s="36" t="s">
        <v>7798</v>
      </c>
      <c r="G586" s="125" t="s">
        <v>893</v>
      </c>
      <c r="H586" s="125" t="s">
        <v>7799</v>
      </c>
      <c r="I586" t="s">
        <v>7843</v>
      </c>
    </row>
    <row r="587">
      <c r="A587" s="125" t="s">
        <v>2172</v>
      </c>
      <c r="B587" s="526" t="s">
        <v>2171</v>
      </c>
      <c r="C587" s="527">
        <v>0.0</v>
      </c>
      <c r="D587" s="527">
        <v>0.0</v>
      </c>
      <c r="F587" s="36" t="s">
        <v>7798</v>
      </c>
      <c r="G587" s="125" t="s">
        <v>893</v>
      </c>
      <c r="H587" s="125" t="s">
        <v>7799</v>
      </c>
      <c r="I587" t="s">
        <v>7843</v>
      </c>
    </row>
    <row r="588">
      <c r="A588" s="125" t="s">
        <v>2174</v>
      </c>
      <c r="B588" s="526" t="s">
        <v>2173</v>
      </c>
      <c r="C588" s="527">
        <v>0.0</v>
      </c>
      <c r="D588" s="527">
        <v>0.0</v>
      </c>
      <c r="F588" s="36" t="s">
        <v>7798</v>
      </c>
      <c r="G588" s="125" t="s">
        <v>893</v>
      </c>
      <c r="H588" s="125" t="s">
        <v>7799</v>
      </c>
      <c r="I588" t="s">
        <v>7843</v>
      </c>
    </row>
    <row r="589">
      <c r="A589" s="125" t="s">
        <v>2176</v>
      </c>
      <c r="B589" s="526" t="s">
        <v>2175</v>
      </c>
      <c r="C589" s="527">
        <v>0.0</v>
      </c>
      <c r="D589" s="527">
        <v>0.0</v>
      </c>
      <c r="F589" s="36" t="s">
        <v>7798</v>
      </c>
      <c r="G589" s="125" t="s">
        <v>893</v>
      </c>
      <c r="H589" s="125" t="s">
        <v>7799</v>
      </c>
      <c r="I589" t="s">
        <v>7843</v>
      </c>
    </row>
    <row r="590">
      <c r="A590" s="125" t="s">
        <v>2178</v>
      </c>
      <c r="B590" s="526" t="s">
        <v>2177</v>
      </c>
      <c r="C590" s="527">
        <v>0.0</v>
      </c>
      <c r="D590" s="527">
        <v>0.0</v>
      </c>
      <c r="F590" s="36" t="s">
        <v>7798</v>
      </c>
      <c r="G590" s="125" t="s">
        <v>893</v>
      </c>
      <c r="H590" s="125" t="s">
        <v>7799</v>
      </c>
      <c r="I590" t="s">
        <v>7843</v>
      </c>
    </row>
    <row r="591">
      <c r="A591" s="125" t="s">
        <v>2180</v>
      </c>
      <c r="B591" s="526" t="s">
        <v>2179</v>
      </c>
      <c r="C591" s="527">
        <v>0.0</v>
      </c>
      <c r="D591" s="527">
        <v>0.0</v>
      </c>
      <c r="F591" s="36" t="s">
        <v>7798</v>
      </c>
      <c r="G591" s="125" t="s">
        <v>893</v>
      </c>
      <c r="H591" s="125" t="s">
        <v>7799</v>
      </c>
      <c r="I591" t="s">
        <v>7843</v>
      </c>
    </row>
    <row r="592">
      <c r="A592" s="125" t="s">
        <v>2182</v>
      </c>
      <c r="B592" s="526" t="s">
        <v>2181</v>
      </c>
      <c r="C592" s="527">
        <v>0.0</v>
      </c>
      <c r="D592" s="527">
        <v>0.0</v>
      </c>
      <c r="F592" s="36" t="s">
        <v>7798</v>
      </c>
      <c r="G592" s="125" t="s">
        <v>893</v>
      </c>
      <c r="H592" s="125" t="s">
        <v>7799</v>
      </c>
      <c r="I592" t="s">
        <v>7843</v>
      </c>
    </row>
    <row r="593">
      <c r="A593" s="125" t="s">
        <v>2184</v>
      </c>
      <c r="B593" s="526" t="s">
        <v>2183</v>
      </c>
      <c r="C593" s="527">
        <v>0.0</v>
      </c>
      <c r="D593" s="527">
        <v>0.0</v>
      </c>
      <c r="F593" s="36" t="s">
        <v>7798</v>
      </c>
      <c r="G593" s="125" t="s">
        <v>893</v>
      </c>
      <c r="H593" s="125" t="s">
        <v>7799</v>
      </c>
      <c r="I593" t="s">
        <v>7843</v>
      </c>
    </row>
    <row r="594">
      <c r="A594" s="125" t="s">
        <v>2186</v>
      </c>
      <c r="B594" s="526" t="s">
        <v>2185</v>
      </c>
      <c r="C594" s="527">
        <v>0.0</v>
      </c>
      <c r="D594" s="527">
        <v>0.0</v>
      </c>
      <c r="F594" s="36" t="s">
        <v>7798</v>
      </c>
      <c r="G594" s="125" t="s">
        <v>893</v>
      </c>
      <c r="H594" s="125" t="s">
        <v>7799</v>
      </c>
      <c r="I594" t="s">
        <v>7843</v>
      </c>
    </row>
    <row r="595">
      <c r="A595" s="125" t="s">
        <v>2188</v>
      </c>
      <c r="B595" s="526" t="s">
        <v>2187</v>
      </c>
      <c r="C595" s="527">
        <v>0.0</v>
      </c>
      <c r="D595" s="527">
        <v>0.0</v>
      </c>
      <c r="F595" s="36" t="s">
        <v>7798</v>
      </c>
      <c r="G595" s="125" t="s">
        <v>893</v>
      </c>
      <c r="H595" s="125" t="s">
        <v>7799</v>
      </c>
      <c r="I595" t="s">
        <v>7843</v>
      </c>
    </row>
    <row r="596">
      <c r="A596" s="125" t="s">
        <v>2190</v>
      </c>
      <c r="B596" s="526" t="s">
        <v>2189</v>
      </c>
      <c r="C596" s="527">
        <v>0.0</v>
      </c>
      <c r="D596" s="527">
        <v>0.0</v>
      </c>
      <c r="F596" s="36" t="s">
        <v>7798</v>
      </c>
      <c r="G596" s="125" t="s">
        <v>893</v>
      </c>
      <c r="H596" s="125" t="s">
        <v>7799</v>
      </c>
      <c r="I596" t="s">
        <v>7843</v>
      </c>
    </row>
    <row r="597">
      <c r="A597" s="125" t="s">
        <v>2192</v>
      </c>
      <c r="B597" s="526" t="s">
        <v>2191</v>
      </c>
      <c r="C597" s="527">
        <v>0.0</v>
      </c>
      <c r="D597" s="527">
        <v>0.0</v>
      </c>
      <c r="F597" s="36" t="s">
        <v>7798</v>
      </c>
      <c r="G597" s="125" t="s">
        <v>893</v>
      </c>
      <c r="H597" s="125" t="s">
        <v>7799</v>
      </c>
      <c r="I597" t="s">
        <v>7843</v>
      </c>
    </row>
    <row r="598">
      <c r="A598" s="125" t="s">
        <v>2194</v>
      </c>
      <c r="B598" s="526" t="s">
        <v>2193</v>
      </c>
      <c r="C598" s="527">
        <v>0.0</v>
      </c>
      <c r="D598" s="527">
        <v>0.0</v>
      </c>
      <c r="F598" s="36" t="s">
        <v>7798</v>
      </c>
      <c r="G598" s="125" t="s">
        <v>893</v>
      </c>
      <c r="H598" s="125" t="s">
        <v>7799</v>
      </c>
      <c r="I598" t="s">
        <v>7843</v>
      </c>
    </row>
    <row r="599">
      <c r="A599" s="125" t="s">
        <v>2196</v>
      </c>
      <c r="B599" s="526" t="s">
        <v>2195</v>
      </c>
      <c r="C599" s="527">
        <v>0.0</v>
      </c>
      <c r="D599" s="527">
        <v>0.0</v>
      </c>
      <c r="F599" s="36" t="s">
        <v>7798</v>
      </c>
      <c r="G599" s="125" t="s">
        <v>893</v>
      </c>
      <c r="H599" s="125" t="s">
        <v>7799</v>
      </c>
      <c r="I599" t="s">
        <v>7843</v>
      </c>
    </row>
    <row r="600">
      <c r="A600" s="125" t="s">
        <v>2198</v>
      </c>
      <c r="B600" s="526" t="s">
        <v>2197</v>
      </c>
      <c r="C600" s="527">
        <v>0.0</v>
      </c>
      <c r="D600" s="527">
        <v>0.0</v>
      </c>
      <c r="F600" s="36" t="s">
        <v>7798</v>
      </c>
      <c r="G600" s="125" t="s">
        <v>893</v>
      </c>
      <c r="H600" s="125" t="s">
        <v>7799</v>
      </c>
      <c r="I600" t="s">
        <v>7843</v>
      </c>
    </row>
    <row r="601">
      <c r="A601" s="125" t="s">
        <v>2200</v>
      </c>
      <c r="B601" s="526" t="s">
        <v>2199</v>
      </c>
      <c r="C601" s="527">
        <v>0.0</v>
      </c>
      <c r="D601" s="527">
        <v>0.0</v>
      </c>
      <c r="F601" s="36" t="s">
        <v>7798</v>
      </c>
      <c r="G601" s="125" t="s">
        <v>893</v>
      </c>
      <c r="H601" s="125" t="s">
        <v>7799</v>
      </c>
      <c r="I601" t="s">
        <v>7843</v>
      </c>
    </row>
    <row r="602">
      <c r="A602" s="125" t="s">
        <v>2202</v>
      </c>
      <c r="B602" s="526" t="s">
        <v>2201</v>
      </c>
      <c r="C602" s="527">
        <v>0.0</v>
      </c>
      <c r="D602" s="527">
        <v>0.0</v>
      </c>
      <c r="F602" s="36" t="s">
        <v>7798</v>
      </c>
      <c r="G602" s="125" t="s">
        <v>893</v>
      </c>
      <c r="H602" s="125" t="s">
        <v>7799</v>
      </c>
      <c r="I602" t="s">
        <v>7843</v>
      </c>
    </row>
    <row r="603">
      <c r="A603" s="125" t="s">
        <v>2204</v>
      </c>
      <c r="B603" s="526" t="s">
        <v>2203</v>
      </c>
      <c r="C603" s="527">
        <v>0.0</v>
      </c>
      <c r="D603" s="527">
        <v>0.0</v>
      </c>
      <c r="F603" s="36" t="s">
        <v>7798</v>
      </c>
      <c r="G603" s="125" t="s">
        <v>893</v>
      </c>
      <c r="H603" s="125" t="s">
        <v>7799</v>
      </c>
      <c r="I603" t="s">
        <v>7843</v>
      </c>
    </row>
    <row r="604">
      <c r="A604" s="125" t="s">
        <v>2206</v>
      </c>
      <c r="B604" s="526" t="s">
        <v>2205</v>
      </c>
      <c r="C604" s="527">
        <v>0.0</v>
      </c>
      <c r="D604" s="527">
        <v>0.0</v>
      </c>
      <c r="F604" s="36" t="s">
        <v>7798</v>
      </c>
      <c r="G604" s="125" t="s">
        <v>893</v>
      </c>
      <c r="H604" s="125" t="s">
        <v>7799</v>
      </c>
      <c r="I604" t="s">
        <v>7843</v>
      </c>
    </row>
    <row r="605">
      <c r="A605" s="125" t="s">
        <v>2208</v>
      </c>
      <c r="B605" s="526" t="s">
        <v>2207</v>
      </c>
      <c r="C605" s="527">
        <v>0.0</v>
      </c>
      <c r="D605" s="527">
        <v>0.0</v>
      </c>
      <c r="F605" s="36" t="s">
        <v>7798</v>
      </c>
      <c r="G605" s="125" t="s">
        <v>893</v>
      </c>
      <c r="H605" s="125" t="s">
        <v>7799</v>
      </c>
      <c r="I605" t="s">
        <v>7843</v>
      </c>
    </row>
    <row r="606">
      <c r="A606" s="125" t="s">
        <v>2210</v>
      </c>
      <c r="B606" s="526" t="s">
        <v>2209</v>
      </c>
      <c r="C606" s="527">
        <v>0.0</v>
      </c>
      <c r="D606" s="527">
        <v>0.0</v>
      </c>
      <c r="F606" s="36" t="s">
        <v>7798</v>
      </c>
      <c r="G606" s="125" t="s">
        <v>893</v>
      </c>
      <c r="H606" s="125" t="s">
        <v>7799</v>
      </c>
      <c r="I606" t="s">
        <v>7843</v>
      </c>
    </row>
    <row r="607">
      <c r="A607" s="125" t="s">
        <v>2212</v>
      </c>
      <c r="B607" s="526" t="s">
        <v>2211</v>
      </c>
      <c r="C607" s="527">
        <v>0.0</v>
      </c>
      <c r="D607" s="527">
        <v>0.0</v>
      </c>
      <c r="F607" s="36" t="s">
        <v>7798</v>
      </c>
      <c r="G607" s="125" t="s">
        <v>893</v>
      </c>
      <c r="H607" s="125" t="s">
        <v>7799</v>
      </c>
      <c r="I607" t="s">
        <v>7843</v>
      </c>
    </row>
    <row r="608">
      <c r="A608" s="125" t="s">
        <v>2214</v>
      </c>
      <c r="B608" s="526" t="s">
        <v>2213</v>
      </c>
      <c r="C608" s="527">
        <v>0.0</v>
      </c>
      <c r="D608" s="527">
        <v>0.0</v>
      </c>
      <c r="F608" s="36" t="s">
        <v>7798</v>
      </c>
      <c r="G608" s="125" t="s">
        <v>893</v>
      </c>
      <c r="H608" s="125" t="s">
        <v>7799</v>
      </c>
      <c r="I608" t="s">
        <v>7843</v>
      </c>
    </row>
    <row r="609">
      <c r="A609" s="125" t="s">
        <v>2216</v>
      </c>
      <c r="B609" s="526" t="s">
        <v>2215</v>
      </c>
      <c r="C609" s="527">
        <v>0.0</v>
      </c>
      <c r="D609" s="527">
        <v>0.0</v>
      </c>
      <c r="F609" s="36" t="s">
        <v>7798</v>
      </c>
      <c r="G609" s="125" t="s">
        <v>893</v>
      </c>
      <c r="H609" s="125" t="s">
        <v>7799</v>
      </c>
      <c r="I609" t="s">
        <v>7843</v>
      </c>
    </row>
    <row r="610">
      <c r="A610" s="125" t="s">
        <v>2218</v>
      </c>
      <c r="B610" s="526" t="s">
        <v>2217</v>
      </c>
      <c r="C610" s="527">
        <v>0.0</v>
      </c>
      <c r="D610" s="527">
        <v>0.0</v>
      </c>
      <c r="F610" s="36" t="s">
        <v>7798</v>
      </c>
      <c r="G610" s="125" t="s">
        <v>893</v>
      </c>
      <c r="H610" s="125" t="s">
        <v>7799</v>
      </c>
      <c r="I610" t="s">
        <v>7843</v>
      </c>
    </row>
    <row r="611">
      <c r="A611" s="125" t="s">
        <v>2220</v>
      </c>
      <c r="B611" s="526" t="s">
        <v>2219</v>
      </c>
      <c r="C611" s="527">
        <v>0.0</v>
      </c>
      <c r="D611" s="527">
        <v>0.0</v>
      </c>
      <c r="F611" s="36" t="s">
        <v>7798</v>
      </c>
      <c r="G611" s="125" t="s">
        <v>893</v>
      </c>
      <c r="H611" s="125" t="s">
        <v>7799</v>
      </c>
      <c r="I611" t="s">
        <v>7843</v>
      </c>
    </row>
    <row r="612">
      <c r="A612" s="125" t="s">
        <v>2222</v>
      </c>
      <c r="B612" s="526" t="s">
        <v>2221</v>
      </c>
      <c r="C612" s="527">
        <v>0.0</v>
      </c>
      <c r="D612" s="527">
        <v>0.0</v>
      </c>
      <c r="F612" s="36" t="s">
        <v>7798</v>
      </c>
      <c r="G612" s="125" t="s">
        <v>893</v>
      </c>
      <c r="H612" s="125" t="s">
        <v>7799</v>
      </c>
      <c r="I612" t="s">
        <v>7843</v>
      </c>
    </row>
    <row r="613">
      <c r="A613" s="125" t="s">
        <v>2226</v>
      </c>
      <c r="B613" s="526" t="s">
        <v>2225</v>
      </c>
      <c r="C613" s="527">
        <v>0.0</v>
      </c>
      <c r="D613" s="527">
        <v>0.0</v>
      </c>
      <c r="F613" s="36" t="s">
        <v>7798</v>
      </c>
      <c r="G613" s="125" t="s">
        <v>893</v>
      </c>
      <c r="H613" s="125" t="s">
        <v>7799</v>
      </c>
    </row>
    <row r="614">
      <c r="A614" s="125" t="s">
        <v>770</v>
      </c>
      <c r="B614" s="526" t="s">
        <v>771</v>
      </c>
      <c r="C614" s="527">
        <v>93.0</v>
      </c>
      <c r="D614" s="527">
        <v>11261.08</v>
      </c>
      <c r="E614" s="528">
        <v>121.0869</v>
      </c>
      <c r="F614" s="36" t="s">
        <v>7798</v>
      </c>
      <c r="G614" s="125" t="s">
        <v>913</v>
      </c>
      <c r="H614" s="125" t="s">
        <v>569</v>
      </c>
      <c r="I614" t="s">
        <v>45</v>
      </c>
    </row>
    <row r="615">
      <c r="A615" s="125" t="s">
        <v>2230</v>
      </c>
      <c r="B615" s="526" t="s">
        <v>2229</v>
      </c>
      <c r="C615" s="527">
        <v>0.0</v>
      </c>
      <c r="D615" s="527">
        <v>0.0</v>
      </c>
      <c r="F615" s="36" t="s">
        <v>7798</v>
      </c>
      <c r="G615" s="125" t="s">
        <v>893</v>
      </c>
      <c r="H615" s="125" t="s">
        <v>7799</v>
      </c>
      <c r="I615" t="s">
        <v>45</v>
      </c>
    </row>
    <row r="616">
      <c r="A616" s="125" t="s">
        <v>2232</v>
      </c>
      <c r="B616" s="526" t="s">
        <v>2231</v>
      </c>
      <c r="C616" s="527">
        <v>0.0</v>
      </c>
      <c r="D616" s="527">
        <v>0.0</v>
      </c>
      <c r="F616" s="36" t="s">
        <v>7798</v>
      </c>
      <c r="G616" s="125" t="s">
        <v>893</v>
      </c>
      <c r="H616" s="125" t="s">
        <v>7799</v>
      </c>
      <c r="I616" t="s">
        <v>7812</v>
      </c>
    </row>
    <row r="617">
      <c r="A617" s="125" t="s">
        <v>2234</v>
      </c>
      <c r="B617" s="526" t="s">
        <v>2233</v>
      </c>
      <c r="C617" s="527">
        <v>0.0</v>
      </c>
      <c r="D617" s="527">
        <v>0.0</v>
      </c>
      <c r="F617" s="36" t="s">
        <v>7798</v>
      </c>
      <c r="G617" s="125" t="s">
        <v>893</v>
      </c>
      <c r="H617" s="125" t="s">
        <v>7799</v>
      </c>
      <c r="I617" t="s">
        <v>7812</v>
      </c>
    </row>
    <row r="618">
      <c r="A618" s="125" t="s">
        <v>2236</v>
      </c>
      <c r="B618" s="526" t="s">
        <v>2235</v>
      </c>
      <c r="C618" s="527">
        <v>0.0</v>
      </c>
      <c r="D618" s="527">
        <v>0.0</v>
      </c>
      <c r="F618" s="36" t="s">
        <v>7798</v>
      </c>
      <c r="G618" s="125" t="s">
        <v>893</v>
      </c>
      <c r="H618" s="125" t="s">
        <v>7799</v>
      </c>
      <c r="I618" t="s">
        <v>7812</v>
      </c>
    </row>
    <row r="619">
      <c r="A619" s="125" t="s">
        <v>2237</v>
      </c>
      <c r="B619" s="526">
        <v>35306.0</v>
      </c>
      <c r="C619" s="527">
        <v>0.0</v>
      </c>
      <c r="D619" s="527">
        <v>0.0</v>
      </c>
      <c r="F619" s="36" t="s">
        <v>7798</v>
      </c>
      <c r="G619" s="125" t="s">
        <v>893</v>
      </c>
      <c r="H619" s="125" t="s">
        <v>7799</v>
      </c>
      <c r="I619" t="s">
        <v>7844</v>
      </c>
    </row>
    <row r="620">
      <c r="A620" s="125" t="s">
        <v>2239</v>
      </c>
      <c r="B620" s="526">
        <v>35301.0</v>
      </c>
      <c r="C620" s="527">
        <v>0.0</v>
      </c>
      <c r="D620" s="527">
        <v>0.0</v>
      </c>
      <c r="F620" s="36" t="s">
        <v>7798</v>
      </c>
      <c r="G620" s="125" t="s">
        <v>893</v>
      </c>
      <c r="H620" s="125" t="s">
        <v>7799</v>
      </c>
      <c r="I620" t="s">
        <v>7844</v>
      </c>
    </row>
    <row r="621">
      <c r="A621" s="125" t="s">
        <v>2240</v>
      </c>
      <c r="B621" s="526">
        <v>35305.0</v>
      </c>
      <c r="C621" s="527">
        <v>0.0</v>
      </c>
      <c r="D621" s="527">
        <v>0.0</v>
      </c>
      <c r="F621" s="36" t="s">
        <v>7798</v>
      </c>
      <c r="G621" s="125" t="s">
        <v>893</v>
      </c>
      <c r="H621" s="125" t="s">
        <v>7799</v>
      </c>
      <c r="I621" t="s">
        <v>7844</v>
      </c>
    </row>
    <row r="622">
      <c r="A622" s="125" t="s">
        <v>2241</v>
      </c>
      <c r="B622" s="526">
        <v>35304.0</v>
      </c>
      <c r="C622" s="527">
        <v>0.0</v>
      </c>
      <c r="D622" s="527">
        <v>0.0</v>
      </c>
      <c r="F622" s="36" t="s">
        <v>7798</v>
      </c>
      <c r="G622" s="125" t="s">
        <v>893</v>
      </c>
      <c r="H622" s="125" t="s">
        <v>7799</v>
      </c>
      <c r="I622" t="s">
        <v>7844</v>
      </c>
    </row>
    <row r="623">
      <c r="A623" s="125" t="s">
        <v>2242</v>
      </c>
      <c r="B623" s="526">
        <v>35303.0</v>
      </c>
      <c r="C623" s="527">
        <v>0.0</v>
      </c>
      <c r="D623" s="527">
        <v>0.0</v>
      </c>
      <c r="F623" s="36" t="s">
        <v>7798</v>
      </c>
      <c r="G623" s="125" t="s">
        <v>893</v>
      </c>
      <c r="H623" s="125" t="s">
        <v>7799</v>
      </c>
      <c r="I623" t="s">
        <v>7844</v>
      </c>
    </row>
    <row r="624">
      <c r="A624" s="125" t="s">
        <v>2244</v>
      </c>
      <c r="B624" s="526" t="s">
        <v>2243</v>
      </c>
      <c r="C624" s="527">
        <v>0.0</v>
      </c>
      <c r="D624" s="527">
        <v>0.0</v>
      </c>
      <c r="F624" s="36" t="s">
        <v>7798</v>
      </c>
      <c r="G624" s="125" t="s">
        <v>893</v>
      </c>
      <c r="H624" s="125" t="s">
        <v>7801</v>
      </c>
      <c r="I624" t="s">
        <v>7845</v>
      </c>
    </row>
    <row r="625">
      <c r="A625" s="125" t="s">
        <v>2246</v>
      </c>
      <c r="B625" s="526" t="s">
        <v>2245</v>
      </c>
      <c r="C625" s="527">
        <v>317.0</v>
      </c>
      <c r="D625" s="527">
        <v>610.07</v>
      </c>
      <c r="E625" s="528">
        <v>1.9245</v>
      </c>
      <c r="F625" s="36" t="s">
        <v>7798</v>
      </c>
      <c r="G625" s="125" t="s">
        <v>913</v>
      </c>
      <c r="H625" s="125" t="s">
        <v>7801</v>
      </c>
      <c r="I625" t="s">
        <v>7846</v>
      </c>
    </row>
    <row r="626">
      <c r="A626" s="125" t="s">
        <v>2248</v>
      </c>
      <c r="B626" s="526" t="s">
        <v>2247</v>
      </c>
      <c r="C626" s="527">
        <v>603.0</v>
      </c>
      <c r="D626" s="527">
        <v>1358.36</v>
      </c>
      <c r="E626" s="528">
        <v>2.2527</v>
      </c>
      <c r="F626" s="36" t="s">
        <v>7798</v>
      </c>
      <c r="G626" s="125" t="s">
        <v>913</v>
      </c>
      <c r="H626" s="125" t="s">
        <v>7801</v>
      </c>
      <c r="I626" t="s">
        <v>7847</v>
      </c>
    </row>
    <row r="627">
      <c r="A627" s="125" t="s">
        <v>2250</v>
      </c>
      <c r="B627" s="526" t="s">
        <v>2249</v>
      </c>
      <c r="C627" s="527">
        <v>116.0</v>
      </c>
      <c r="D627" s="527">
        <v>261.32</v>
      </c>
      <c r="E627" s="528">
        <v>2.2528</v>
      </c>
      <c r="F627" s="36" t="s">
        <v>7798</v>
      </c>
      <c r="G627" s="125" t="s">
        <v>913</v>
      </c>
      <c r="H627" s="125" t="s">
        <v>7801</v>
      </c>
      <c r="I627" t="s">
        <v>7848</v>
      </c>
    </row>
    <row r="628">
      <c r="A628" s="125" t="s">
        <v>2252</v>
      </c>
      <c r="B628" s="526" t="s">
        <v>2251</v>
      </c>
      <c r="C628" s="527">
        <v>0.0</v>
      </c>
      <c r="D628" s="527">
        <v>0.0</v>
      </c>
      <c r="F628" s="36" t="s">
        <v>7798</v>
      </c>
      <c r="G628" s="125" t="s">
        <v>893</v>
      </c>
      <c r="H628" s="125" t="s">
        <v>7801</v>
      </c>
      <c r="I628" t="s">
        <v>7849</v>
      </c>
    </row>
    <row r="629">
      <c r="A629" s="125" t="s">
        <v>2254</v>
      </c>
      <c r="B629" s="526" t="s">
        <v>2253</v>
      </c>
      <c r="C629" s="527">
        <v>0.0</v>
      </c>
      <c r="D629" s="527">
        <v>0.0</v>
      </c>
      <c r="F629" s="36" t="s">
        <v>7798</v>
      </c>
      <c r="G629" s="125" t="s">
        <v>893</v>
      </c>
      <c r="H629" s="125" t="s">
        <v>7801</v>
      </c>
      <c r="I629" t="s">
        <v>7850</v>
      </c>
    </row>
    <row r="630">
      <c r="A630" s="125" t="s">
        <v>2256</v>
      </c>
      <c r="B630" s="526" t="s">
        <v>2255</v>
      </c>
      <c r="C630" s="527">
        <v>176.0</v>
      </c>
      <c r="D630" s="527">
        <v>674.92</v>
      </c>
      <c r="E630" s="528">
        <v>3.8348</v>
      </c>
      <c r="F630" s="36" t="s">
        <v>7798</v>
      </c>
      <c r="G630" s="125" t="s">
        <v>913</v>
      </c>
      <c r="H630" s="125" t="s">
        <v>7801</v>
      </c>
      <c r="I630" t="s">
        <v>7851</v>
      </c>
    </row>
    <row r="631">
      <c r="A631" s="125" t="s">
        <v>2258</v>
      </c>
      <c r="B631" s="526" t="s">
        <v>2257</v>
      </c>
      <c r="C631" s="527">
        <v>169.0</v>
      </c>
      <c r="D631" s="527">
        <v>331.63</v>
      </c>
      <c r="E631" s="528">
        <v>1.9623</v>
      </c>
      <c r="F631" s="36" t="s">
        <v>7798</v>
      </c>
      <c r="G631" s="125" t="s">
        <v>913</v>
      </c>
      <c r="H631" s="125" t="s">
        <v>7801</v>
      </c>
      <c r="I631" t="s">
        <v>7852</v>
      </c>
    </row>
    <row r="632">
      <c r="A632" s="125" t="s">
        <v>2260</v>
      </c>
      <c r="B632" s="526" t="s">
        <v>2259</v>
      </c>
      <c r="C632" s="527">
        <v>455.0</v>
      </c>
      <c r="D632" s="527">
        <v>1130.52</v>
      </c>
      <c r="E632" s="528">
        <v>2.4847</v>
      </c>
      <c r="F632" s="36" t="s">
        <v>7798</v>
      </c>
      <c r="G632" s="125" t="s">
        <v>913</v>
      </c>
      <c r="H632" s="125" t="s">
        <v>7801</v>
      </c>
      <c r="I632" t="s">
        <v>7853</v>
      </c>
    </row>
    <row r="633">
      <c r="A633" s="125" t="s">
        <v>2262</v>
      </c>
      <c r="B633" s="526" t="s">
        <v>2261</v>
      </c>
      <c r="C633" s="527">
        <v>224.0</v>
      </c>
      <c r="D633" s="527">
        <v>598.12</v>
      </c>
      <c r="E633" s="528">
        <v>2.6702</v>
      </c>
      <c r="F633" s="36" t="s">
        <v>7798</v>
      </c>
      <c r="G633" s="125" t="s">
        <v>913</v>
      </c>
      <c r="H633" s="125" t="s">
        <v>7801</v>
      </c>
      <c r="I633" t="s">
        <v>7845</v>
      </c>
    </row>
    <row r="634">
      <c r="A634" s="125" t="s">
        <v>2264</v>
      </c>
      <c r="B634" s="526" t="s">
        <v>2263</v>
      </c>
      <c r="C634" s="527">
        <v>280.0</v>
      </c>
      <c r="D634" s="527">
        <v>1582.72</v>
      </c>
      <c r="E634" s="528">
        <v>5.6526</v>
      </c>
      <c r="F634" s="36" t="s">
        <v>7798</v>
      </c>
      <c r="G634" s="125" t="s">
        <v>913</v>
      </c>
      <c r="H634" s="125" t="s">
        <v>7808</v>
      </c>
      <c r="I634" t="s">
        <v>7849</v>
      </c>
    </row>
    <row r="635">
      <c r="A635" s="125" t="s">
        <v>2266</v>
      </c>
      <c r="B635" s="526" t="s">
        <v>2265</v>
      </c>
      <c r="C635" s="527">
        <v>390.0</v>
      </c>
      <c r="D635" s="527">
        <v>1182.86</v>
      </c>
      <c r="E635" s="528">
        <v>3.033</v>
      </c>
      <c r="F635" s="36" t="s">
        <v>7798</v>
      </c>
      <c r="G635" s="125" t="s">
        <v>913</v>
      </c>
      <c r="H635" s="125" t="s">
        <v>7801</v>
      </c>
      <c r="I635" t="s">
        <v>7853</v>
      </c>
    </row>
    <row r="636">
      <c r="A636" s="125" t="s">
        <v>2268</v>
      </c>
      <c r="B636" s="526" t="s">
        <v>2267</v>
      </c>
      <c r="C636" s="527">
        <v>137.0</v>
      </c>
      <c r="D636" s="527">
        <v>389.83</v>
      </c>
      <c r="E636" s="528">
        <v>2.8455</v>
      </c>
      <c r="F636" s="36" t="s">
        <v>7798</v>
      </c>
      <c r="G636" s="125" t="s">
        <v>913</v>
      </c>
      <c r="H636" s="125" t="s">
        <v>7801</v>
      </c>
      <c r="I636" t="s">
        <v>7853</v>
      </c>
    </row>
    <row r="637">
      <c r="A637" s="125" t="s">
        <v>2270</v>
      </c>
      <c r="B637" s="526" t="s">
        <v>2269</v>
      </c>
      <c r="C637" s="527">
        <v>74.0</v>
      </c>
      <c r="D637" s="527">
        <v>197.05</v>
      </c>
      <c r="E637" s="528">
        <v>2.6628</v>
      </c>
      <c r="F637" s="36" t="s">
        <v>7798</v>
      </c>
      <c r="G637" s="125" t="s">
        <v>913</v>
      </c>
      <c r="H637" s="125" t="s">
        <v>7801</v>
      </c>
      <c r="I637" t="s">
        <v>7845</v>
      </c>
    </row>
    <row r="638">
      <c r="A638" s="125" t="s">
        <v>2272</v>
      </c>
      <c r="B638" s="526" t="s">
        <v>2271</v>
      </c>
      <c r="C638" s="527">
        <v>63.0</v>
      </c>
      <c r="D638" s="527">
        <v>356.15</v>
      </c>
      <c r="E638" s="528">
        <v>5.6532</v>
      </c>
      <c r="F638" s="36" t="s">
        <v>7798</v>
      </c>
      <c r="G638" s="125" t="s">
        <v>913</v>
      </c>
      <c r="H638" s="125" t="s">
        <v>7808</v>
      </c>
      <c r="I638" t="s">
        <v>7849</v>
      </c>
    </row>
    <row r="639">
      <c r="A639" s="125" t="s">
        <v>2274</v>
      </c>
      <c r="B639" s="526" t="s">
        <v>2273</v>
      </c>
      <c r="C639" s="527">
        <v>0.0</v>
      </c>
      <c r="D639" s="527">
        <v>0.0</v>
      </c>
      <c r="F639" s="36" t="s">
        <v>7798</v>
      </c>
      <c r="G639" s="125" t="s">
        <v>913</v>
      </c>
      <c r="H639" s="125" t="s">
        <v>7801</v>
      </c>
      <c r="I639" t="s">
        <v>7848</v>
      </c>
    </row>
    <row r="640">
      <c r="A640" s="125" t="s">
        <v>2276</v>
      </c>
      <c r="B640" s="526" t="s">
        <v>2275</v>
      </c>
      <c r="C640" s="527">
        <v>0.0</v>
      </c>
      <c r="D640" s="527">
        <v>0.0</v>
      </c>
      <c r="F640" s="36" t="s">
        <v>7798</v>
      </c>
      <c r="G640" s="125" t="s">
        <v>893</v>
      </c>
      <c r="H640" s="125" t="s">
        <v>7801</v>
      </c>
      <c r="I640" t="s">
        <v>7845</v>
      </c>
    </row>
    <row r="641">
      <c r="A641" s="125" t="s">
        <v>2278</v>
      </c>
      <c r="B641" s="526" t="s">
        <v>2277</v>
      </c>
      <c r="C641" s="527">
        <v>148.0</v>
      </c>
      <c r="D641" s="527">
        <v>284.73</v>
      </c>
      <c r="E641" s="528">
        <v>1.9239</v>
      </c>
      <c r="F641" s="36" t="s">
        <v>7798</v>
      </c>
      <c r="G641" s="125" t="s">
        <v>913</v>
      </c>
      <c r="H641" s="125" t="s">
        <v>7801</v>
      </c>
      <c r="I641" t="s">
        <v>7846</v>
      </c>
    </row>
    <row r="642">
      <c r="A642" s="125" t="s">
        <v>2280</v>
      </c>
      <c r="B642" s="526" t="s">
        <v>2279</v>
      </c>
      <c r="C642" s="527">
        <v>423.0</v>
      </c>
      <c r="D642" s="527">
        <v>952.91</v>
      </c>
      <c r="E642" s="528">
        <v>2.2527</v>
      </c>
      <c r="F642" s="36" t="s">
        <v>7798</v>
      </c>
      <c r="G642" s="125" t="s">
        <v>913</v>
      </c>
      <c r="H642" s="125" t="s">
        <v>7801</v>
      </c>
      <c r="I642" t="s">
        <v>7847</v>
      </c>
    </row>
    <row r="643">
      <c r="A643" s="125" t="s">
        <v>2282</v>
      </c>
      <c r="B643" s="526" t="s">
        <v>2281</v>
      </c>
      <c r="C643" s="527">
        <v>0.0</v>
      </c>
      <c r="D643" s="527">
        <v>0.0</v>
      </c>
      <c r="F643" s="36" t="s">
        <v>7798</v>
      </c>
      <c r="G643" s="125" t="s">
        <v>893</v>
      </c>
      <c r="H643" s="125" t="s">
        <v>7801</v>
      </c>
      <c r="I643" t="s">
        <v>7848</v>
      </c>
    </row>
    <row r="644">
      <c r="A644" s="125" t="s">
        <v>2284</v>
      </c>
      <c r="B644" s="526" t="s">
        <v>2283</v>
      </c>
      <c r="C644" s="527">
        <v>0.0</v>
      </c>
      <c r="D644" s="527">
        <v>0.0</v>
      </c>
      <c r="F644" s="36" t="s">
        <v>7798</v>
      </c>
      <c r="G644" s="125" t="s">
        <v>893</v>
      </c>
      <c r="H644" s="125" t="s">
        <v>7801</v>
      </c>
      <c r="I644" t="s">
        <v>7849</v>
      </c>
    </row>
    <row r="645">
      <c r="A645" s="125" t="s">
        <v>2286</v>
      </c>
      <c r="B645" s="526" t="s">
        <v>2285</v>
      </c>
      <c r="C645" s="527">
        <v>0.0</v>
      </c>
      <c r="D645" s="527">
        <v>0.0</v>
      </c>
      <c r="F645" s="36" t="s">
        <v>7798</v>
      </c>
      <c r="G645" s="125" t="s">
        <v>893</v>
      </c>
      <c r="H645" s="125" t="s">
        <v>7801</v>
      </c>
      <c r="I645" t="s">
        <v>7850</v>
      </c>
    </row>
    <row r="646">
      <c r="A646" s="125" t="s">
        <v>2288</v>
      </c>
      <c r="B646" s="526" t="s">
        <v>2287</v>
      </c>
      <c r="C646" s="527">
        <v>15.0</v>
      </c>
      <c r="D646" s="527">
        <v>56.82</v>
      </c>
      <c r="E646" s="528">
        <v>3.788</v>
      </c>
      <c r="F646" s="36" t="s">
        <v>7798</v>
      </c>
      <c r="G646" s="125" t="s">
        <v>913</v>
      </c>
      <c r="H646" s="125" t="s">
        <v>7801</v>
      </c>
      <c r="I646" t="s">
        <v>7851</v>
      </c>
    </row>
    <row r="647">
      <c r="A647" s="125" t="s">
        <v>2290</v>
      </c>
      <c r="B647" s="526" t="s">
        <v>2289</v>
      </c>
      <c r="C647" s="527">
        <v>0.0</v>
      </c>
      <c r="D647" s="527">
        <v>0.0</v>
      </c>
      <c r="F647" s="36" t="s">
        <v>7798</v>
      </c>
      <c r="G647" s="125" t="s">
        <v>893</v>
      </c>
      <c r="H647" s="125" t="s">
        <v>7801</v>
      </c>
      <c r="I647" t="s">
        <v>7852</v>
      </c>
    </row>
    <row r="648">
      <c r="A648" s="125" t="s">
        <v>2292</v>
      </c>
      <c r="B648" s="526" t="s">
        <v>2291</v>
      </c>
      <c r="C648" s="527">
        <v>0.0</v>
      </c>
      <c r="D648" s="527">
        <v>0.0</v>
      </c>
      <c r="F648" s="36" t="s">
        <v>7798</v>
      </c>
      <c r="G648" s="125" t="s">
        <v>893</v>
      </c>
      <c r="H648" s="125" t="s">
        <v>7801</v>
      </c>
      <c r="I648" t="s">
        <v>7845</v>
      </c>
    </row>
    <row r="649">
      <c r="A649" s="125" t="s">
        <v>2294</v>
      </c>
      <c r="B649" s="526" t="s">
        <v>2293</v>
      </c>
      <c r="C649" s="527">
        <v>129.0</v>
      </c>
      <c r="D649" s="527">
        <v>248.17</v>
      </c>
      <c r="E649" s="528">
        <v>1.9238</v>
      </c>
      <c r="F649" s="36" t="s">
        <v>7798</v>
      </c>
      <c r="G649" s="125" t="s">
        <v>913</v>
      </c>
      <c r="H649" s="125" t="s">
        <v>7801</v>
      </c>
      <c r="I649" t="s">
        <v>7846</v>
      </c>
    </row>
    <row r="650">
      <c r="A650" s="125" t="s">
        <v>2296</v>
      </c>
      <c r="B650" s="526" t="s">
        <v>2295</v>
      </c>
      <c r="C650" s="527">
        <v>0.0</v>
      </c>
      <c r="D650" s="527">
        <v>0.0</v>
      </c>
      <c r="F650" s="36" t="s">
        <v>7798</v>
      </c>
      <c r="G650" s="125" t="s">
        <v>893</v>
      </c>
      <c r="H650" s="125" t="s">
        <v>7801</v>
      </c>
      <c r="I650" t="s">
        <v>7849</v>
      </c>
    </row>
    <row r="651">
      <c r="A651" s="125" t="s">
        <v>2298</v>
      </c>
      <c r="B651" s="526" t="s">
        <v>2297</v>
      </c>
      <c r="C651" s="527">
        <v>0.0</v>
      </c>
      <c r="D651" s="527">
        <v>0.0</v>
      </c>
      <c r="F651" s="36" t="s">
        <v>7798</v>
      </c>
      <c r="G651" s="125" t="s">
        <v>893</v>
      </c>
      <c r="H651" s="125" t="s">
        <v>7801</v>
      </c>
      <c r="I651" t="s">
        <v>7850</v>
      </c>
    </row>
    <row r="652">
      <c r="A652" s="125" t="s">
        <v>2300</v>
      </c>
      <c r="B652" s="526" t="s">
        <v>2299</v>
      </c>
      <c r="C652" s="527">
        <v>0.0</v>
      </c>
      <c r="D652" s="527">
        <v>0.0</v>
      </c>
      <c r="F652" s="36" t="s">
        <v>7798</v>
      </c>
      <c r="G652" s="125" t="s">
        <v>893</v>
      </c>
      <c r="H652" s="125" t="s">
        <v>7801</v>
      </c>
      <c r="I652" t="s">
        <v>7851</v>
      </c>
    </row>
    <row r="653">
      <c r="A653" s="125" t="s">
        <v>2302</v>
      </c>
      <c r="B653" s="526" t="s">
        <v>2301</v>
      </c>
      <c r="C653" s="527">
        <v>448.0</v>
      </c>
      <c r="D653" s="527">
        <v>1009.23</v>
      </c>
      <c r="E653" s="528">
        <v>2.2527</v>
      </c>
      <c r="F653" s="36" t="s">
        <v>7798</v>
      </c>
      <c r="G653" s="125" t="s">
        <v>913</v>
      </c>
      <c r="H653" s="125" t="s">
        <v>7801</v>
      </c>
      <c r="I653" t="s">
        <v>7847</v>
      </c>
    </row>
    <row r="654">
      <c r="A654" s="125" t="s">
        <v>2304</v>
      </c>
      <c r="B654" s="526" t="s">
        <v>2303</v>
      </c>
      <c r="C654" s="527">
        <v>0.0</v>
      </c>
      <c r="D654" s="527">
        <v>0.0</v>
      </c>
      <c r="F654" s="36" t="s">
        <v>7798</v>
      </c>
      <c r="G654" s="125" t="s">
        <v>893</v>
      </c>
      <c r="H654" s="125" t="s">
        <v>7801</v>
      </c>
      <c r="I654" t="s">
        <v>7845</v>
      </c>
    </row>
    <row r="655">
      <c r="A655" s="125" t="s">
        <v>2306</v>
      </c>
      <c r="B655" s="526" t="s">
        <v>2305</v>
      </c>
      <c r="C655" s="527">
        <v>288.0</v>
      </c>
      <c r="D655" s="527">
        <v>554.24</v>
      </c>
      <c r="E655" s="528">
        <v>1.9244</v>
      </c>
      <c r="F655" s="36" t="s">
        <v>7798</v>
      </c>
      <c r="G655" s="125" t="s">
        <v>913</v>
      </c>
      <c r="H655" s="125" t="s">
        <v>7801</v>
      </c>
      <c r="I655" t="s">
        <v>7846</v>
      </c>
    </row>
    <row r="656">
      <c r="A656" s="125" t="s">
        <v>2308</v>
      </c>
      <c r="B656" s="526" t="s">
        <v>2307</v>
      </c>
      <c r="C656" s="527">
        <v>188.0</v>
      </c>
      <c r="D656" s="527">
        <v>423.01</v>
      </c>
      <c r="E656" s="528">
        <v>2.2501</v>
      </c>
      <c r="F656" s="36" t="s">
        <v>7798</v>
      </c>
      <c r="G656" s="125" t="s">
        <v>913</v>
      </c>
      <c r="H656" s="125" t="s">
        <v>7801</v>
      </c>
      <c r="I656" t="s">
        <v>7848</v>
      </c>
    </row>
    <row r="657">
      <c r="A657" s="125" t="s">
        <v>2310</v>
      </c>
      <c r="B657" s="526" t="s">
        <v>2309</v>
      </c>
      <c r="C657" s="527">
        <v>0.0</v>
      </c>
      <c r="D657" s="527">
        <v>0.0</v>
      </c>
      <c r="F657" s="36" t="s">
        <v>7798</v>
      </c>
      <c r="G657" s="125" t="s">
        <v>893</v>
      </c>
      <c r="H657" s="125" t="s">
        <v>7801</v>
      </c>
      <c r="I657" t="s">
        <v>7849</v>
      </c>
    </row>
    <row r="658">
      <c r="A658" s="125" t="s">
        <v>2312</v>
      </c>
      <c r="B658" s="526" t="s">
        <v>2311</v>
      </c>
      <c r="C658" s="527">
        <v>0.0</v>
      </c>
      <c r="D658" s="527">
        <v>0.0</v>
      </c>
      <c r="F658" s="36" t="s">
        <v>7798</v>
      </c>
      <c r="G658" s="125" t="s">
        <v>893</v>
      </c>
      <c r="H658" s="125" t="s">
        <v>7801</v>
      </c>
      <c r="I658" t="s">
        <v>7850</v>
      </c>
    </row>
    <row r="659">
      <c r="A659" s="125" t="s">
        <v>2314</v>
      </c>
      <c r="B659" s="526" t="s">
        <v>2313</v>
      </c>
      <c r="C659" s="527">
        <v>205.0</v>
      </c>
      <c r="D659" s="527">
        <v>786.32</v>
      </c>
      <c r="E659" s="528">
        <v>3.8357</v>
      </c>
      <c r="F659" s="36" t="s">
        <v>7798</v>
      </c>
      <c r="G659" s="125" t="s">
        <v>913</v>
      </c>
      <c r="H659" s="125" t="s">
        <v>7801</v>
      </c>
      <c r="I659" t="s">
        <v>7851</v>
      </c>
    </row>
    <row r="660">
      <c r="A660" s="125" t="s">
        <v>2316</v>
      </c>
      <c r="B660" s="526" t="s">
        <v>2315</v>
      </c>
      <c r="C660" s="527">
        <v>138.0</v>
      </c>
      <c r="D660" s="527">
        <v>270.78</v>
      </c>
      <c r="E660" s="528">
        <v>1.9622</v>
      </c>
      <c r="F660" s="36" t="s">
        <v>7798</v>
      </c>
      <c r="G660" s="125" t="s">
        <v>913</v>
      </c>
      <c r="H660" s="125" t="s">
        <v>7801</v>
      </c>
      <c r="I660" t="s">
        <v>7852</v>
      </c>
    </row>
    <row r="661">
      <c r="A661" s="125" t="s">
        <v>2318</v>
      </c>
      <c r="B661" s="526" t="s">
        <v>2317</v>
      </c>
      <c r="C661" s="527">
        <v>540.0</v>
      </c>
      <c r="D661" s="527">
        <v>1216.45</v>
      </c>
      <c r="E661" s="528">
        <v>2.2527</v>
      </c>
      <c r="F661" s="36" t="s">
        <v>7798</v>
      </c>
      <c r="G661" s="125" t="s">
        <v>913</v>
      </c>
      <c r="H661" s="125" t="s">
        <v>7801</v>
      </c>
      <c r="I661" t="s">
        <v>7847</v>
      </c>
    </row>
    <row r="662">
      <c r="A662" s="125" t="s">
        <v>2320</v>
      </c>
      <c r="B662" s="526" t="s">
        <v>2319</v>
      </c>
      <c r="C662" s="527">
        <v>292.0</v>
      </c>
      <c r="D662" s="527">
        <v>1794.56</v>
      </c>
      <c r="E662" s="528">
        <v>6.1458</v>
      </c>
      <c r="F662" s="36" t="s">
        <v>7798</v>
      </c>
      <c r="G662" s="125" t="s">
        <v>913</v>
      </c>
      <c r="H662" s="125" t="s">
        <v>7801</v>
      </c>
      <c r="I662" t="s">
        <v>7853</v>
      </c>
    </row>
    <row r="663">
      <c r="A663" s="125" t="s">
        <v>2322</v>
      </c>
      <c r="B663" s="526" t="s">
        <v>2321</v>
      </c>
      <c r="C663" s="527">
        <v>0.0</v>
      </c>
      <c r="D663" s="527">
        <v>0.0</v>
      </c>
      <c r="F663" s="36" t="s">
        <v>7798</v>
      </c>
      <c r="G663" s="125" t="s">
        <v>893</v>
      </c>
      <c r="H663" s="125" t="s">
        <v>7799</v>
      </c>
      <c r="I663" t="s">
        <v>7854</v>
      </c>
    </row>
    <row r="664">
      <c r="A664" s="125" t="s">
        <v>2324</v>
      </c>
      <c r="B664" s="526" t="s">
        <v>2323</v>
      </c>
      <c r="C664" s="527">
        <v>0.0</v>
      </c>
      <c r="D664" s="527">
        <v>0.0</v>
      </c>
      <c r="F664" s="36" t="s">
        <v>7798</v>
      </c>
      <c r="G664" s="125" t="s">
        <v>893</v>
      </c>
      <c r="H664" s="125" t="s">
        <v>7799</v>
      </c>
      <c r="I664" t="s">
        <v>7854</v>
      </c>
    </row>
    <row r="665">
      <c r="A665" s="125" t="s">
        <v>2326</v>
      </c>
      <c r="B665" s="526" t="s">
        <v>2325</v>
      </c>
      <c r="C665" s="527">
        <v>330.0</v>
      </c>
      <c r="D665" s="527">
        <v>666.38</v>
      </c>
      <c r="E665" s="528">
        <v>2.0193</v>
      </c>
      <c r="F665" s="36" t="s">
        <v>7798</v>
      </c>
      <c r="G665" s="125" t="s">
        <v>913</v>
      </c>
      <c r="H665" s="125" t="s">
        <v>7801</v>
      </c>
      <c r="I665" t="s">
        <v>273</v>
      </c>
    </row>
    <row r="666">
      <c r="A666" s="125" t="s">
        <v>2328</v>
      </c>
      <c r="B666" s="526" t="s">
        <v>2327</v>
      </c>
      <c r="C666" s="527">
        <v>23.0</v>
      </c>
      <c r="D666" s="527">
        <v>40.69</v>
      </c>
      <c r="E666" s="528">
        <v>1.7691</v>
      </c>
      <c r="F666" s="36" t="s">
        <v>7798</v>
      </c>
      <c r="G666" s="125" t="s">
        <v>913</v>
      </c>
      <c r="H666" s="125" t="s">
        <v>7801</v>
      </c>
      <c r="I666" t="s">
        <v>273</v>
      </c>
    </row>
    <row r="667">
      <c r="A667" s="125" t="s">
        <v>2330</v>
      </c>
      <c r="B667" s="526" t="s">
        <v>2329</v>
      </c>
      <c r="C667" s="527">
        <v>0.0</v>
      </c>
      <c r="D667" s="527">
        <v>0.0</v>
      </c>
      <c r="F667" s="36" t="s">
        <v>7798</v>
      </c>
      <c r="G667" s="125" t="s">
        <v>893</v>
      </c>
      <c r="H667" s="125" t="s">
        <v>7799</v>
      </c>
      <c r="I667" t="s">
        <v>180</v>
      </c>
    </row>
    <row r="668">
      <c r="A668" s="125" t="s">
        <v>2332</v>
      </c>
      <c r="B668" s="526" t="s">
        <v>2331</v>
      </c>
      <c r="C668" s="527">
        <v>0.0</v>
      </c>
      <c r="D668" s="527">
        <v>0.0</v>
      </c>
      <c r="F668" s="36" t="s">
        <v>7798</v>
      </c>
      <c r="G668" s="125" t="s">
        <v>893</v>
      </c>
      <c r="H668" s="125" t="s">
        <v>7799</v>
      </c>
      <c r="I668" t="s">
        <v>7855</v>
      </c>
    </row>
    <row r="669">
      <c r="A669" s="125" t="s">
        <v>2334</v>
      </c>
      <c r="B669" s="526" t="s">
        <v>2333</v>
      </c>
      <c r="C669" s="527">
        <v>0.0</v>
      </c>
      <c r="D669" s="527">
        <v>0.0</v>
      </c>
      <c r="F669" s="36" t="s">
        <v>7798</v>
      </c>
      <c r="G669" s="125" t="s">
        <v>893</v>
      </c>
      <c r="H669" s="125" t="s">
        <v>7799</v>
      </c>
      <c r="I669" t="s">
        <v>361</v>
      </c>
    </row>
    <row r="670">
      <c r="A670" s="125" t="s">
        <v>2336</v>
      </c>
      <c r="B670" s="526" t="s">
        <v>2335</v>
      </c>
      <c r="C670" s="527">
        <v>0.0</v>
      </c>
      <c r="D670" s="527">
        <v>0.0</v>
      </c>
      <c r="F670" s="36" t="s">
        <v>7798</v>
      </c>
      <c r="G670" s="125" t="s">
        <v>893</v>
      </c>
      <c r="H670" s="125" t="s">
        <v>7801</v>
      </c>
      <c r="I670" t="s">
        <v>7856</v>
      </c>
    </row>
    <row r="671">
      <c r="A671" s="125" t="s">
        <v>2338</v>
      </c>
      <c r="B671" s="526" t="s">
        <v>2337</v>
      </c>
      <c r="C671" s="527">
        <v>0.0</v>
      </c>
      <c r="D671" s="527">
        <v>0.0</v>
      </c>
      <c r="F671" s="36" t="s">
        <v>7798</v>
      </c>
      <c r="G671" s="125" t="s">
        <v>893</v>
      </c>
      <c r="H671" s="125" t="s">
        <v>7799</v>
      </c>
      <c r="I671" t="s">
        <v>7856</v>
      </c>
    </row>
    <row r="672">
      <c r="A672" s="125" t="s">
        <v>2340</v>
      </c>
      <c r="B672" s="526" t="s">
        <v>2339</v>
      </c>
      <c r="C672" s="527">
        <v>18.0</v>
      </c>
      <c r="D672" s="527">
        <v>1489.27</v>
      </c>
      <c r="E672" s="528">
        <v>82.7372</v>
      </c>
      <c r="F672" s="36" t="s">
        <v>7798</v>
      </c>
      <c r="G672" s="125" t="s">
        <v>913</v>
      </c>
      <c r="H672" s="125" t="s">
        <v>7808</v>
      </c>
      <c r="I672" t="s">
        <v>45</v>
      </c>
    </row>
    <row r="673">
      <c r="A673" s="125" t="s">
        <v>2342</v>
      </c>
      <c r="B673" s="526" t="s">
        <v>2341</v>
      </c>
      <c r="C673" s="527">
        <v>0.0</v>
      </c>
      <c r="D673" s="527">
        <v>0.0</v>
      </c>
      <c r="F673" s="36" t="s">
        <v>7798</v>
      </c>
      <c r="G673" s="125" t="s">
        <v>893</v>
      </c>
      <c r="H673" s="125" t="s">
        <v>7799</v>
      </c>
      <c r="I673" t="s">
        <v>262</v>
      </c>
    </row>
    <row r="674">
      <c r="A674" s="125" t="s">
        <v>2344</v>
      </c>
      <c r="B674" s="526" t="s">
        <v>2343</v>
      </c>
      <c r="C674" s="527">
        <v>0.0</v>
      </c>
      <c r="D674" s="527">
        <v>0.0</v>
      </c>
      <c r="F674" s="36" t="s">
        <v>7798</v>
      </c>
      <c r="G674" s="125" t="s">
        <v>893</v>
      </c>
      <c r="H674" s="125" t="s">
        <v>7799</v>
      </c>
      <c r="I674" t="s">
        <v>262</v>
      </c>
    </row>
    <row r="675">
      <c r="A675" s="125" t="s">
        <v>2346</v>
      </c>
      <c r="B675" s="526" t="s">
        <v>2345</v>
      </c>
      <c r="C675" s="527">
        <v>0.0</v>
      </c>
      <c r="D675" s="527">
        <v>0.0</v>
      </c>
      <c r="F675" s="36" t="s">
        <v>7798</v>
      </c>
      <c r="G675" s="125" t="s">
        <v>893</v>
      </c>
      <c r="H675" s="125" t="s">
        <v>7799</v>
      </c>
    </row>
    <row r="676">
      <c r="A676" s="125" t="s">
        <v>2348</v>
      </c>
      <c r="B676" s="526" t="s">
        <v>2347</v>
      </c>
      <c r="C676" s="527">
        <v>0.0</v>
      </c>
      <c r="D676" s="527">
        <v>0.0</v>
      </c>
      <c r="F676" s="36" t="s">
        <v>7798</v>
      </c>
      <c r="G676" s="125" t="s">
        <v>893</v>
      </c>
      <c r="H676" s="125" t="s">
        <v>7799</v>
      </c>
      <c r="I676" t="s">
        <v>278</v>
      </c>
    </row>
    <row r="677">
      <c r="A677" s="125" t="s">
        <v>2350</v>
      </c>
      <c r="B677" s="526" t="s">
        <v>2349</v>
      </c>
      <c r="C677" s="527">
        <v>0.0</v>
      </c>
      <c r="D677" s="527">
        <v>0.0</v>
      </c>
      <c r="F677" s="36" t="s">
        <v>7798</v>
      </c>
      <c r="G677" s="125" t="s">
        <v>893</v>
      </c>
      <c r="H677" s="125" t="s">
        <v>7799</v>
      </c>
      <c r="I677" t="s">
        <v>278</v>
      </c>
    </row>
    <row r="678">
      <c r="A678" s="125" t="s">
        <v>2352</v>
      </c>
      <c r="B678" s="526" t="s">
        <v>2351</v>
      </c>
      <c r="C678" s="527">
        <v>0.0</v>
      </c>
      <c r="D678" s="527">
        <v>0.0</v>
      </c>
      <c r="F678" s="36" t="s">
        <v>7798</v>
      </c>
      <c r="G678" s="125" t="s">
        <v>893</v>
      </c>
      <c r="H678" s="125" t="s">
        <v>7799</v>
      </c>
      <c r="I678" t="s">
        <v>356</v>
      </c>
    </row>
    <row r="679">
      <c r="A679" s="125" t="s">
        <v>2354</v>
      </c>
      <c r="B679" s="526" t="s">
        <v>2353</v>
      </c>
      <c r="C679" s="527">
        <v>0.0</v>
      </c>
      <c r="D679" s="527">
        <v>0.0</v>
      </c>
      <c r="F679" s="36" t="s">
        <v>7798</v>
      </c>
      <c r="G679" s="125" t="s">
        <v>893</v>
      </c>
      <c r="H679" s="125" t="s">
        <v>7801</v>
      </c>
      <c r="I679" t="s">
        <v>7857</v>
      </c>
    </row>
    <row r="680">
      <c r="A680" s="125" t="s">
        <v>2356</v>
      </c>
      <c r="B680" s="526" t="s">
        <v>2355</v>
      </c>
      <c r="C680" s="527">
        <v>0.0</v>
      </c>
      <c r="D680" s="527">
        <v>0.0</v>
      </c>
      <c r="F680" s="36" t="s">
        <v>7798</v>
      </c>
      <c r="G680" s="125" t="s">
        <v>893</v>
      </c>
      <c r="H680" s="125" t="s">
        <v>7799</v>
      </c>
      <c r="I680" t="s">
        <v>7857</v>
      </c>
    </row>
    <row r="681">
      <c r="A681" s="125" t="s">
        <v>2358</v>
      </c>
      <c r="B681" s="526" t="s">
        <v>2357</v>
      </c>
      <c r="C681" s="527">
        <v>0.0</v>
      </c>
      <c r="D681" s="527">
        <v>0.0</v>
      </c>
      <c r="F681" s="36" t="s">
        <v>7798</v>
      </c>
      <c r="G681" s="125" t="s">
        <v>893</v>
      </c>
      <c r="H681" s="125" t="s">
        <v>7799</v>
      </c>
      <c r="I681" t="s">
        <v>630</v>
      </c>
    </row>
    <row r="682">
      <c r="A682" s="125" t="s">
        <v>2360</v>
      </c>
      <c r="B682" s="526" t="s">
        <v>2359</v>
      </c>
      <c r="C682" s="527">
        <v>0.0</v>
      </c>
      <c r="D682" s="527">
        <v>0.0</v>
      </c>
      <c r="F682" s="36" t="s">
        <v>7798</v>
      </c>
      <c r="G682" s="125" t="s">
        <v>893</v>
      </c>
      <c r="H682" s="125" t="s">
        <v>7799</v>
      </c>
      <c r="I682" t="s">
        <v>630</v>
      </c>
    </row>
    <row r="683">
      <c r="A683" s="125" t="s">
        <v>2376</v>
      </c>
      <c r="B683" s="526" t="s">
        <v>2375</v>
      </c>
      <c r="C683" s="527">
        <v>0.0</v>
      </c>
      <c r="D683" s="527">
        <v>0.0</v>
      </c>
      <c r="F683" s="36" t="s">
        <v>7798</v>
      </c>
      <c r="G683" s="125" t="s">
        <v>893</v>
      </c>
      <c r="H683" s="125" t="s">
        <v>7799</v>
      </c>
      <c r="I683" t="s">
        <v>278</v>
      </c>
    </row>
    <row r="684">
      <c r="A684" s="125" t="s">
        <v>2378</v>
      </c>
      <c r="B684" s="526" t="s">
        <v>2377</v>
      </c>
      <c r="C684" s="527">
        <v>0.0</v>
      </c>
      <c r="D684" s="527">
        <v>0.0</v>
      </c>
      <c r="F684" s="36" t="s">
        <v>7798</v>
      </c>
      <c r="G684" s="125" t="s">
        <v>893</v>
      </c>
      <c r="H684" s="125" t="s">
        <v>7799</v>
      </c>
      <c r="I684" t="s">
        <v>278</v>
      </c>
    </row>
    <row r="685">
      <c r="A685" s="125" t="s">
        <v>2383</v>
      </c>
      <c r="B685" s="526">
        <v>34801.0</v>
      </c>
      <c r="C685" s="527">
        <v>0.0</v>
      </c>
      <c r="D685" s="527">
        <v>0.0</v>
      </c>
      <c r="F685" s="36" t="s">
        <v>7798</v>
      </c>
      <c r="G685" s="125" t="s">
        <v>893</v>
      </c>
      <c r="H685" s="125" t="s">
        <v>7799</v>
      </c>
      <c r="I685" t="s">
        <v>7858</v>
      </c>
    </row>
    <row r="686">
      <c r="A686" s="125" t="s">
        <v>2384</v>
      </c>
      <c r="B686" s="526">
        <v>34802.0</v>
      </c>
      <c r="C686" s="527">
        <v>0.0</v>
      </c>
      <c r="D686" s="527">
        <v>0.0</v>
      </c>
      <c r="F686" s="36" t="s">
        <v>7798</v>
      </c>
      <c r="G686" s="125" t="s">
        <v>893</v>
      </c>
      <c r="H686" s="125" t="s">
        <v>7799</v>
      </c>
      <c r="I686" t="s">
        <v>7858</v>
      </c>
    </row>
    <row r="687">
      <c r="A687" s="125" t="s">
        <v>2385</v>
      </c>
      <c r="B687" s="526">
        <v>34803.0</v>
      </c>
      <c r="C687" s="527">
        <v>0.0</v>
      </c>
      <c r="D687" s="527">
        <v>0.0</v>
      </c>
      <c r="F687" s="36" t="s">
        <v>7798</v>
      </c>
      <c r="G687" s="125" t="s">
        <v>893</v>
      </c>
      <c r="H687" s="125" t="s">
        <v>7799</v>
      </c>
      <c r="I687" t="s">
        <v>7858</v>
      </c>
    </row>
    <row r="688">
      <c r="A688" s="125" t="s">
        <v>2386</v>
      </c>
      <c r="B688" s="526">
        <v>34804.0</v>
      </c>
      <c r="C688" s="527">
        <v>0.0</v>
      </c>
      <c r="D688" s="527">
        <v>0.0</v>
      </c>
      <c r="F688" s="36" t="s">
        <v>7798</v>
      </c>
      <c r="G688" s="125" t="s">
        <v>893</v>
      </c>
      <c r="H688" s="125" t="s">
        <v>7799</v>
      </c>
      <c r="I688" t="s">
        <v>7858</v>
      </c>
    </row>
    <row r="689">
      <c r="A689" s="125" t="s">
        <v>2388</v>
      </c>
      <c r="B689" s="526" t="s">
        <v>2387</v>
      </c>
      <c r="C689" s="527">
        <v>181.0</v>
      </c>
      <c r="D689" s="527">
        <v>0.0</v>
      </c>
      <c r="E689" s="528">
        <v>0.0</v>
      </c>
      <c r="F689" s="36" t="s">
        <v>7798</v>
      </c>
      <c r="G689" s="125" t="s">
        <v>893</v>
      </c>
      <c r="H689" s="125" t="s">
        <v>7799</v>
      </c>
      <c r="I689" t="s">
        <v>7859</v>
      </c>
    </row>
    <row r="690">
      <c r="A690" s="125" t="s">
        <v>2390</v>
      </c>
      <c r="B690" s="526" t="s">
        <v>2389</v>
      </c>
      <c r="C690" s="527">
        <v>0.0</v>
      </c>
      <c r="D690" s="527">
        <v>0.0</v>
      </c>
      <c r="F690" s="36" t="s">
        <v>7807</v>
      </c>
      <c r="G690" s="125" t="s">
        <v>893</v>
      </c>
      <c r="H690" s="125" t="s">
        <v>7799</v>
      </c>
    </row>
    <row r="691">
      <c r="A691" s="125" t="s">
        <v>2391</v>
      </c>
      <c r="B691" s="526">
        <v>92601.0</v>
      </c>
      <c r="C691" s="527">
        <v>0.0</v>
      </c>
      <c r="D691" s="527">
        <v>0.0</v>
      </c>
      <c r="F691" s="36" t="s">
        <v>7798</v>
      </c>
      <c r="G691" s="125" t="s">
        <v>893</v>
      </c>
      <c r="H691" s="125" t="s">
        <v>7801</v>
      </c>
      <c r="I691" t="s">
        <v>7806</v>
      </c>
    </row>
    <row r="692">
      <c r="A692" s="125" t="s">
        <v>2392</v>
      </c>
      <c r="B692" s="526">
        <v>92602.0</v>
      </c>
      <c r="C692" s="527">
        <v>0.0</v>
      </c>
      <c r="D692" s="527">
        <v>0.0</v>
      </c>
      <c r="F692" s="36" t="s">
        <v>7798</v>
      </c>
      <c r="G692" s="125" t="s">
        <v>893</v>
      </c>
      <c r="H692" s="125" t="s">
        <v>7801</v>
      </c>
      <c r="I692" t="s">
        <v>7806</v>
      </c>
    </row>
    <row r="693">
      <c r="A693" s="125" t="s">
        <v>2393</v>
      </c>
      <c r="B693" s="526">
        <v>92603.0</v>
      </c>
      <c r="C693" s="527">
        <v>0.0</v>
      </c>
      <c r="D693" s="527">
        <v>0.0</v>
      </c>
      <c r="F693" s="36" t="s">
        <v>7798</v>
      </c>
      <c r="G693" s="125" t="s">
        <v>893</v>
      </c>
      <c r="H693" s="125" t="s">
        <v>7801</v>
      </c>
      <c r="I693" t="s">
        <v>7806</v>
      </c>
    </row>
    <row r="694">
      <c r="A694" s="125" t="s">
        <v>2394</v>
      </c>
      <c r="B694" s="526">
        <v>92604.0</v>
      </c>
      <c r="C694" s="527">
        <v>0.0</v>
      </c>
      <c r="D694" s="527">
        <v>0.0</v>
      </c>
      <c r="F694" s="36" t="s">
        <v>7798</v>
      </c>
      <c r="G694" s="125" t="s">
        <v>893</v>
      </c>
      <c r="H694" s="125" t="s">
        <v>7801</v>
      </c>
      <c r="I694" t="s">
        <v>7806</v>
      </c>
    </row>
    <row r="695">
      <c r="A695" s="125" t="s">
        <v>2395</v>
      </c>
      <c r="B695" s="526">
        <v>92605.0</v>
      </c>
      <c r="C695" s="527">
        <v>0.0</v>
      </c>
      <c r="D695" s="527">
        <v>0.0</v>
      </c>
      <c r="F695" s="36" t="s">
        <v>7798</v>
      </c>
      <c r="G695" s="125" t="s">
        <v>893</v>
      </c>
      <c r="H695" s="125" t="s">
        <v>7801</v>
      </c>
      <c r="I695" t="s">
        <v>7806</v>
      </c>
    </row>
    <row r="696">
      <c r="A696" s="125" t="s">
        <v>2396</v>
      </c>
      <c r="B696" s="526">
        <v>92606.0</v>
      </c>
      <c r="C696" s="527">
        <v>0.0</v>
      </c>
      <c r="D696" s="527">
        <v>0.0</v>
      </c>
      <c r="F696" s="36" t="s">
        <v>7798</v>
      </c>
      <c r="G696" s="125" t="s">
        <v>893</v>
      </c>
      <c r="H696" s="125" t="s">
        <v>7801</v>
      </c>
      <c r="I696" t="s">
        <v>7806</v>
      </c>
    </row>
    <row r="697">
      <c r="A697" s="125" t="s">
        <v>2397</v>
      </c>
      <c r="B697" s="526">
        <v>92607.0</v>
      </c>
      <c r="C697" s="527">
        <v>0.0</v>
      </c>
      <c r="D697" s="527">
        <v>0.0</v>
      </c>
      <c r="F697" s="36" t="s">
        <v>7798</v>
      </c>
      <c r="G697" s="125" t="s">
        <v>893</v>
      </c>
      <c r="I697" t="s">
        <v>7806</v>
      </c>
    </row>
    <row r="698">
      <c r="A698" s="125" t="s">
        <v>2398</v>
      </c>
      <c r="B698" s="526">
        <v>92608.0</v>
      </c>
      <c r="C698" s="527">
        <v>0.0</v>
      </c>
      <c r="D698" s="527">
        <v>0.0</v>
      </c>
      <c r="F698" s="36" t="s">
        <v>7798</v>
      </c>
      <c r="G698" s="125" t="s">
        <v>893</v>
      </c>
      <c r="H698" s="125" t="s">
        <v>7801</v>
      </c>
      <c r="I698" t="s">
        <v>7806</v>
      </c>
    </row>
    <row r="699">
      <c r="A699" s="125" t="s">
        <v>2399</v>
      </c>
      <c r="B699" s="526">
        <v>92609.0</v>
      </c>
      <c r="C699" s="527">
        <v>0.0</v>
      </c>
      <c r="D699" s="527">
        <v>0.0</v>
      </c>
      <c r="F699" s="36" t="s">
        <v>7798</v>
      </c>
      <c r="G699" s="125" t="s">
        <v>893</v>
      </c>
      <c r="I699" t="s">
        <v>7806</v>
      </c>
    </row>
    <row r="700">
      <c r="A700" s="125" t="s">
        <v>2400</v>
      </c>
      <c r="B700" s="526">
        <v>92610.0</v>
      </c>
      <c r="C700" s="527">
        <v>0.0</v>
      </c>
      <c r="D700" s="527">
        <v>0.0</v>
      </c>
      <c r="F700" s="36" t="s">
        <v>7798</v>
      </c>
      <c r="G700" s="125" t="s">
        <v>893</v>
      </c>
      <c r="H700" s="125" t="s">
        <v>7801</v>
      </c>
      <c r="I700" t="s">
        <v>7806</v>
      </c>
    </row>
    <row r="701">
      <c r="A701" s="125" t="s">
        <v>2401</v>
      </c>
      <c r="B701" s="526">
        <v>92611.0</v>
      </c>
      <c r="C701" s="527">
        <v>0.0</v>
      </c>
      <c r="D701" s="527">
        <v>0.0</v>
      </c>
      <c r="F701" s="36" t="s">
        <v>7798</v>
      </c>
      <c r="G701" s="125" t="s">
        <v>893</v>
      </c>
      <c r="H701" s="125" t="s">
        <v>7801</v>
      </c>
      <c r="I701" t="s">
        <v>7806</v>
      </c>
    </row>
    <row r="702">
      <c r="A702" s="125" t="s">
        <v>2402</v>
      </c>
      <c r="B702" s="526">
        <v>92612.0</v>
      </c>
      <c r="C702" s="527">
        <v>0.0</v>
      </c>
      <c r="D702" s="527">
        <v>0.0</v>
      </c>
      <c r="F702" s="36" t="s">
        <v>7798</v>
      </c>
      <c r="G702" s="125" t="s">
        <v>893</v>
      </c>
      <c r="H702" s="125" t="s">
        <v>7801</v>
      </c>
      <c r="I702" t="s">
        <v>7806</v>
      </c>
    </row>
    <row r="703">
      <c r="A703" s="125" t="s">
        <v>2403</v>
      </c>
      <c r="B703" s="526">
        <v>92613.0</v>
      </c>
      <c r="C703" s="527">
        <v>0.0</v>
      </c>
      <c r="D703" s="527">
        <v>0.0</v>
      </c>
      <c r="F703" s="36" t="s">
        <v>7798</v>
      </c>
      <c r="G703" s="125" t="s">
        <v>893</v>
      </c>
      <c r="H703" s="125" t="s">
        <v>7801</v>
      </c>
      <c r="I703" t="s">
        <v>7806</v>
      </c>
    </row>
    <row r="704">
      <c r="A704" s="125" t="s">
        <v>2404</v>
      </c>
      <c r="B704" s="526">
        <v>92614.0</v>
      </c>
      <c r="C704" s="527">
        <v>0.0</v>
      </c>
      <c r="D704" s="527">
        <v>0.0</v>
      </c>
      <c r="F704" s="36" t="s">
        <v>7798</v>
      </c>
      <c r="G704" s="125" t="s">
        <v>893</v>
      </c>
      <c r="I704" t="s">
        <v>7806</v>
      </c>
    </row>
    <row r="705">
      <c r="A705" s="125" t="s">
        <v>2405</v>
      </c>
      <c r="B705" s="526">
        <v>92615.0</v>
      </c>
      <c r="C705" s="527">
        <v>0.0</v>
      </c>
      <c r="D705" s="527">
        <v>0.0</v>
      </c>
      <c r="F705" s="36" t="s">
        <v>7798</v>
      </c>
      <c r="G705" s="125" t="s">
        <v>893</v>
      </c>
      <c r="I705" t="s">
        <v>7806</v>
      </c>
    </row>
    <row r="706">
      <c r="A706" s="125" t="s">
        <v>2406</v>
      </c>
      <c r="B706" s="526">
        <v>92616.0</v>
      </c>
      <c r="C706" s="527">
        <v>0.0</v>
      </c>
      <c r="D706" s="527">
        <v>0.0</v>
      </c>
      <c r="F706" s="36" t="s">
        <v>7798</v>
      </c>
      <c r="G706" s="125" t="s">
        <v>893</v>
      </c>
      <c r="I706" t="s">
        <v>7806</v>
      </c>
    </row>
    <row r="707">
      <c r="A707" s="125" t="s">
        <v>2407</v>
      </c>
      <c r="B707" s="526">
        <v>92618.0</v>
      </c>
      <c r="C707" s="527">
        <v>0.0</v>
      </c>
      <c r="D707" s="527">
        <v>0.0</v>
      </c>
      <c r="F707" s="36" t="s">
        <v>7798</v>
      </c>
      <c r="G707" s="125" t="s">
        <v>893</v>
      </c>
      <c r="H707" s="125" t="s">
        <v>7801</v>
      </c>
      <c r="I707" t="s">
        <v>7806</v>
      </c>
    </row>
    <row r="708">
      <c r="A708" s="125" t="s">
        <v>2408</v>
      </c>
      <c r="B708" s="526">
        <v>92619.0</v>
      </c>
      <c r="C708" s="527">
        <v>0.0</v>
      </c>
      <c r="D708" s="527">
        <v>0.0</v>
      </c>
      <c r="F708" s="36" t="s">
        <v>7798</v>
      </c>
      <c r="G708" s="125" t="s">
        <v>893</v>
      </c>
      <c r="H708" s="125" t="s">
        <v>7801</v>
      </c>
      <c r="I708" t="s">
        <v>7806</v>
      </c>
    </row>
    <row r="709">
      <c r="A709" s="125" t="s">
        <v>2409</v>
      </c>
      <c r="B709" s="526">
        <v>92620.0</v>
      </c>
      <c r="C709" s="527">
        <v>0.0</v>
      </c>
      <c r="D709" s="527">
        <v>0.0</v>
      </c>
      <c r="F709" s="36" t="s">
        <v>7798</v>
      </c>
      <c r="G709" s="125" t="s">
        <v>893</v>
      </c>
      <c r="I709" t="s">
        <v>7806</v>
      </c>
    </row>
    <row r="710">
      <c r="A710" s="125" t="s">
        <v>2410</v>
      </c>
      <c r="B710" s="526">
        <v>92621.0</v>
      </c>
      <c r="C710" s="527">
        <v>0.0</v>
      </c>
      <c r="D710" s="527">
        <v>0.0</v>
      </c>
      <c r="F710" s="36" t="s">
        <v>7798</v>
      </c>
      <c r="G710" s="125" t="s">
        <v>893</v>
      </c>
      <c r="H710" s="125" t="s">
        <v>7801</v>
      </c>
      <c r="I710" t="s">
        <v>7806</v>
      </c>
    </row>
    <row r="711">
      <c r="A711" s="125" t="s">
        <v>2411</v>
      </c>
      <c r="B711" s="526">
        <v>92622.0</v>
      </c>
      <c r="C711" s="527">
        <v>0.0</v>
      </c>
      <c r="D711" s="527">
        <v>0.0</v>
      </c>
      <c r="F711" s="36" t="s">
        <v>7798</v>
      </c>
      <c r="G711" s="125" t="s">
        <v>893</v>
      </c>
      <c r="I711" t="s">
        <v>7806</v>
      </c>
    </row>
    <row r="712">
      <c r="A712" s="125" t="s">
        <v>2412</v>
      </c>
      <c r="B712" s="526">
        <v>92623.0</v>
      </c>
      <c r="C712" s="527">
        <v>0.0</v>
      </c>
      <c r="D712" s="527">
        <v>0.0</v>
      </c>
      <c r="F712" s="36" t="s">
        <v>7798</v>
      </c>
      <c r="G712" s="125" t="s">
        <v>893</v>
      </c>
      <c r="I712" t="s">
        <v>7806</v>
      </c>
    </row>
    <row r="713">
      <c r="A713" s="125" t="s">
        <v>2413</v>
      </c>
      <c r="B713" s="526">
        <v>92625.0</v>
      </c>
      <c r="C713" s="527">
        <v>0.0</v>
      </c>
      <c r="D713" s="527">
        <v>0.0</v>
      </c>
      <c r="F713" s="36" t="s">
        <v>7798</v>
      </c>
      <c r="G713" s="125" t="s">
        <v>893</v>
      </c>
      <c r="I713" t="s">
        <v>7806</v>
      </c>
    </row>
    <row r="714">
      <c r="A714" s="125" t="s">
        <v>2414</v>
      </c>
      <c r="B714" s="526">
        <v>92626.0</v>
      </c>
      <c r="C714" s="527">
        <v>0.0</v>
      </c>
      <c r="D714" s="527">
        <v>0.0</v>
      </c>
      <c r="F714" s="36" t="s">
        <v>7798</v>
      </c>
      <c r="G714" s="125" t="s">
        <v>893</v>
      </c>
      <c r="I714" t="s">
        <v>7806</v>
      </c>
    </row>
    <row r="715">
      <c r="A715" s="125" t="s">
        <v>2416</v>
      </c>
      <c r="B715" s="526" t="s">
        <v>2415</v>
      </c>
      <c r="C715" s="527">
        <v>0.0</v>
      </c>
      <c r="D715" s="527">
        <v>0.0</v>
      </c>
      <c r="F715" s="36" t="s">
        <v>7807</v>
      </c>
      <c r="G715" s="125" t="s">
        <v>893</v>
      </c>
      <c r="H715" s="125" t="s">
        <v>7799</v>
      </c>
      <c r="I715" t="s">
        <v>7806</v>
      </c>
    </row>
    <row r="716">
      <c r="A716" s="125" t="s">
        <v>2418</v>
      </c>
      <c r="B716" s="526" t="s">
        <v>2417</v>
      </c>
      <c r="C716" s="527">
        <v>465.0</v>
      </c>
      <c r="D716" s="527">
        <v>178.02</v>
      </c>
      <c r="E716" s="528">
        <v>0.3828</v>
      </c>
      <c r="F716" s="36" t="s">
        <v>7798</v>
      </c>
      <c r="G716" s="125" t="s">
        <v>913</v>
      </c>
      <c r="H716" s="125" t="s">
        <v>7801</v>
      </c>
      <c r="I716" t="s">
        <v>7806</v>
      </c>
    </row>
    <row r="717">
      <c r="A717" s="125" t="s">
        <v>2420</v>
      </c>
      <c r="B717" s="526" t="s">
        <v>2419</v>
      </c>
      <c r="C717" s="527">
        <v>354.0</v>
      </c>
      <c r="D717" s="527">
        <v>135.46</v>
      </c>
      <c r="E717" s="528">
        <v>0.3827</v>
      </c>
      <c r="F717" s="36" t="s">
        <v>7798</v>
      </c>
      <c r="G717" s="125" t="s">
        <v>913</v>
      </c>
      <c r="H717" s="125" t="s">
        <v>7801</v>
      </c>
      <c r="I717" t="s">
        <v>7806</v>
      </c>
    </row>
    <row r="718">
      <c r="A718" s="125" t="s">
        <v>2422</v>
      </c>
      <c r="B718" s="526" t="s">
        <v>2421</v>
      </c>
      <c r="C718" s="527">
        <v>204.0</v>
      </c>
      <c r="D718" s="527">
        <v>77.98</v>
      </c>
      <c r="E718" s="528">
        <v>0.3823</v>
      </c>
      <c r="F718" s="36" t="s">
        <v>7798</v>
      </c>
      <c r="G718" s="125" t="s">
        <v>913</v>
      </c>
      <c r="H718" s="125" t="s">
        <v>7801</v>
      </c>
      <c r="I718" t="s">
        <v>7806</v>
      </c>
    </row>
    <row r="719">
      <c r="A719" s="125" t="s">
        <v>2424</v>
      </c>
      <c r="B719" s="526" t="s">
        <v>2423</v>
      </c>
      <c r="C719" s="527">
        <v>366.0</v>
      </c>
      <c r="D719" s="527">
        <v>140.07</v>
      </c>
      <c r="E719" s="528">
        <v>0.3827</v>
      </c>
      <c r="F719" s="36" t="s">
        <v>7798</v>
      </c>
      <c r="G719" s="125" t="s">
        <v>913</v>
      </c>
      <c r="H719" s="125" t="s">
        <v>7801</v>
      </c>
      <c r="I719" t="s">
        <v>7806</v>
      </c>
    </row>
    <row r="720">
      <c r="A720" s="125" t="s">
        <v>2426</v>
      </c>
      <c r="B720" s="526" t="s">
        <v>2425</v>
      </c>
      <c r="C720" s="527">
        <v>192.0</v>
      </c>
      <c r="D720" s="527">
        <v>72.72</v>
      </c>
      <c r="E720" s="528">
        <v>0.3788</v>
      </c>
      <c r="F720" s="36" t="s">
        <v>7798</v>
      </c>
      <c r="G720" s="125" t="s">
        <v>913</v>
      </c>
      <c r="H720" s="125" t="s">
        <v>7801</v>
      </c>
      <c r="I720" t="s">
        <v>7806</v>
      </c>
    </row>
    <row r="721">
      <c r="A721" s="125" t="s">
        <v>2428</v>
      </c>
      <c r="B721" s="526" t="s">
        <v>2427</v>
      </c>
      <c r="C721" s="527">
        <v>90.0</v>
      </c>
      <c r="D721" s="527">
        <v>34.2</v>
      </c>
      <c r="E721" s="528">
        <v>0.38</v>
      </c>
      <c r="F721" s="36" t="s">
        <v>7798</v>
      </c>
      <c r="G721" s="125" t="s">
        <v>913</v>
      </c>
      <c r="H721" s="125" t="s">
        <v>7801</v>
      </c>
      <c r="I721" t="s">
        <v>7806</v>
      </c>
    </row>
    <row r="722">
      <c r="A722" s="125" t="s">
        <v>2430</v>
      </c>
      <c r="B722" s="526" t="s">
        <v>2429</v>
      </c>
      <c r="C722" s="527">
        <v>0.0</v>
      </c>
      <c r="D722" s="527">
        <v>0.0</v>
      </c>
      <c r="F722" s="36" t="s">
        <v>7798</v>
      </c>
      <c r="G722" s="125" t="s">
        <v>893</v>
      </c>
      <c r="H722" s="125" t="s">
        <v>7801</v>
      </c>
      <c r="I722" t="s">
        <v>7806</v>
      </c>
    </row>
    <row r="723">
      <c r="A723" s="125" t="s">
        <v>2432</v>
      </c>
      <c r="B723" s="526" t="s">
        <v>2431</v>
      </c>
      <c r="C723" s="527">
        <v>0.0</v>
      </c>
      <c r="D723" s="527">
        <v>0.0</v>
      </c>
      <c r="F723" s="36" t="s">
        <v>7798</v>
      </c>
      <c r="G723" s="125" t="s">
        <v>893</v>
      </c>
      <c r="H723" s="125" t="s">
        <v>7801</v>
      </c>
      <c r="I723" t="s">
        <v>7806</v>
      </c>
    </row>
    <row r="724">
      <c r="A724" s="125" t="s">
        <v>2434</v>
      </c>
      <c r="B724" s="526" t="s">
        <v>2433</v>
      </c>
      <c r="C724" s="527">
        <v>204.0</v>
      </c>
      <c r="D724" s="527">
        <v>77.98</v>
      </c>
      <c r="E724" s="528">
        <v>0.3823</v>
      </c>
      <c r="F724" s="36" t="s">
        <v>7798</v>
      </c>
      <c r="G724" s="125" t="s">
        <v>913</v>
      </c>
      <c r="H724" s="125" t="s">
        <v>7801</v>
      </c>
      <c r="I724" t="s">
        <v>7806</v>
      </c>
    </row>
    <row r="725">
      <c r="A725" s="125" t="s">
        <v>2436</v>
      </c>
      <c r="B725" s="526" t="s">
        <v>2435</v>
      </c>
      <c r="C725" s="527">
        <v>0.0</v>
      </c>
      <c r="D725" s="527">
        <v>0.0</v>
      </c>
      <c r="F725" s="36" t="s">
        <v>7798</v>
      </c>
      <c r="G725" s="125" t="s">
        <v>893</v>
      </c>
      <c r="H725" s="125" t="s">
        <v>7801</v>
      </c>
      <c r="I725" t="s">
        <v>7806</v>
      </c>
    </row>
    <row r="726">
      <c r="A726" s="125" t="s">
        <v>2438</v>
      </c>
      <c r="B726" s="526" t="s">
        <v>2437</v>
      </c>
      <c r="C726" s="527">
        <v>0.0</v>
      </c>
      <c r="D726" s="527">
        <v>0.0</v>
      </c>
      <c r="F726" s="36" t="s">
        <v>7798</v>
      </c>
      <c r="G726" s="125" t="s">
        <v>893</v>
      </c>
      <c r="H726" s="125" t="s">
        <v>7801</v>
      </c>
      <c r="I726" t="s">
        <v>7806</v>
      </c>
    </row>
    <row r="727">
      <c r="A727" s="125" t="s">
        <v>2440</v>
      </c>
      <c r="B727" s="526" t="s">
        <v>2439</v>
      </c>
      <c r="C727" s="527">
        <v>276.0</v>
      </c>
      <c r="D727" s="527">
        <v>105.59</v>
      </c>
      <c r="E727" s="528">
        <v>0.3826</v>
      </c>
      <c r="F727" s="36" t="s">
        <v>7798</v>
      </c>
      <c r="G727" s="125" t="s">
        <v>913</v>
      </c>
      <c r="H727" s="125" t="s">
        <v>7801</v>
      </c>
      <c r="I727" t="s">
        <v>7806</v>
      </c>
    </row>
    <row r="728">
      <c r="A728" s="125" t="s">
        <v>2442</v>
      </c>
      <c r="B728" s="526" t="s">
        <v>2441</v>
      </c>
      <c r="C728" s="527">
        <v>0.0</v>
      </c>
      <c r="D728" s="527">
        <v>0.0</v>
      </c>
      <c r="F728" s="36" t="s">
        <v>7807</v>
      </c>
      <c r="G728" s="125" t="s">
        <v>893</v>
      </c>
      <c r="H728" s="125" t="s">
        <v>7799</v>
      </c>
      <c r="I728" t="s">
        <v>7806</v>
      </c>
    </row>
    <row r="729">
      <c r="A729" s="125" t="s">
        <v>2444</v>
      </c>
      <c r="B729" s="526" t="s">
        <v>2443</v>
      </c>
      <c r="C729" s="527">
        <v>0.0</v>
      </c>
      <c r="D729" s="527">
        <v>0.0</v>
      </c>
      <c r="F729" s="36" t="s">
        <v>7798</v>
      </c>
      <c r="G729" s="125" t="s">
        <v>893</v>
      </c>
      <c r="H729" s="125" t="s">
        <v>7799</v>
      </c>
      <c r="I729" t="s">
        <v>7860</v>
      </c>
    </row>
    <row r="730">
      <c r="A730" s="125" t="s">
        <v>2446</v>
      </c>
      <c r="B730" s="526" t="s">
        <v>2445</v>
      </c>
      <c r="C730" s="527">
        <v>1.0</v>
      </c>
      <c r="D730" s="527">
        <v>38.34</v>
      </c>
      <c r="E730" s="528">
        <v>38.34</v>
      </c>
      <c r="F730" s="36" t="s">
        <v>7807</v>
      </c>
      <c r="G730" s="125" t="s">
        <v>913</v>
      </c>
      <c r="H730" s="125" t="s">
        <v>7821</v>
      </c>
      <c r="I730" t="s">
        <v>7831</v>
      </c>
    </row>
    <row r="731">
      <c r="A731" s="125" t="s">
        <v>2454</v>
      </c>
      <c r="B731" s="526" t="s">
        <v>2453</v>
      </c>
      <c r="C731" s="527">
        <v>0.0</v>
      </c>
      <c r="D731" s="527">
        <v>0.0</v>
      </c>
      <c r="F731" s="36" t="s">
        <v>7798</v>
      </c>
      <c r="G731" s="125" t="s">
        <v>893</v>
      </c>
      <c r="H731" s="125" t="s">
        <v>7799</v>
      </c>
      <c r="I731" t="s">
        <v>33</v>
      </c>
    </row>
    <row r="732">
      <c r="A732" s="125" t="s">
        <v>2457</v>
      </c>
      <c r="B732" s="526">
        <v>96801.0</v>
      </c>
      <c r="C732" s="527">
        <v>0.0</v>
      </c>
      <c r="D732" s="527">
        <v>0.0</v>
      </c>
      <c r="F732" s="36" t="s">
        <v>7798</v>
      </c>
      <c r="G732" s="125" t="s">
        <v>893</v>
      </c>
      <c r="H732" s="125" t="s">
        <v>7799</v>
      </c>
      <c r="I732" t="s">
        <v>7806</v>
      </c>
    </row>
    <row r="733">
      <c r="A733" s="125" t="s">
        <v>2458</v>
      </c>
      <c r="B733" s="526">
        <v>96803.0</v>
      </c>
      <c r="C733" s="527">
        <v>0.0</v>
      </c>
      <c r="D733" s="527">
        <v>0.0</v>
      </c>
      <c r="F733" s="36" t="s">
        <v>7798</v>
      </c>
      <c r="G733" s="125" t="s">
        <v>893</v>
      </c>
      <c r="H733" s="125" t="s">
        <v>7799</v>
      </c>
      <c r="I733" t="s">
        <v>7806</v>
      </c>
    </row>
    <row r="734">
      <c r="A734" s="125" t="s">
        <v>2459</v>
      </c>
      <c r="B734" s="526">
        <v>96802.0</v>
      </c>
      <c r="C734" s="527">
        <v>0.0</v>
      </c>
      <c r="D734" s="527">
        <v>0.0</v>
      </c>
      <c r="F734" s="36" t="s">
        <v>7798</v>
      </c>
      <c r="G734" s="125" t="s">
        <v>893</v>
      </c>
      <c r="H734" s="125" t="s">
        <v>7799</v>
      </c>
      <c r="I734" t="s">
        <v>7806</v>
      </c>
    </row>
    <row r="735">
      <c r="A735" s="125" t="s">
        <v>2460</v>
      </c>
      <c r="B735" s="526">
        <v>96805.0</v>
      </c>
      <c r="C735" s="527">
        <v>0.0</v>
      </c>
      <c r="D735" s="527">
        <v>0.0</v>
      </c>
      <c r="F735" s="36" t="s">
        <v>7798</v>
      </c>
      <c r="G735" s="125" t="s">
        <v>893</v>
      </c>
      <c r="H735" s="125" t="s">
        <v>7799</v>
      </c>
      <c r="I735" t="s">
        <v>7806</v>
      </c>
    </row>
    <row r="736">
      <c r="A736" s="125" t="s">
        <v>2461</v>
      </c>
      <c r="B736" s="526">
        <v>96804.0</v>
      </c>
      <c r="C736" s="527">
        <v>0.0</v>
      </c>
      <c r="D736" s="527">
        <v>0.0</v>
      </c>
      <c r="F736" s="36" t="s">
        <v>7798</v>
      </c>
      <c r="G736" s="125" t="s">
        <v>893</v>
      </c>
      <c r="H736" s="125" t="s">
        <v>7799</v>
      </c>
      <c r="I736" t="s">
        <v>7806</v>
      </c>
    </row>
    <row r="737">
      <c r="A737" s="125" t="s">
        <v>2462</v>
      </c>
      <c r="B737" s="526">
        <v>96806.0</v>
      </c>
      <c r="C737" s="527">
        <v>0.0</v>
      </c>
      <c r="D737" s="527">
        <v>0.0</v>
      </c>
      <c r="F737" s="36" t="s">
        <v>7798</v>
      </c>
      <c r="G737" s="125" t="s">
        <v>893</v>
      </c>
      <c r="H737" s="125" t="s">
        <v>7799</v>
      </c>
      <c r="I737" t="s">
        <v>7806</v>
      </c>
    </row>
    <row r="738">
      <c r="A738" s="125" t="s">
        <v>2464</v>
      </c>
      <c r="B738" s="526" t="s">
        <v>2463</v>
      </c>
      <c r="C738" s="527">
        <v>0.0</v>
      </c>
      <c r="D738" s="527">
        <v>0.0</v>
      </c>
      <c r="F738" s="36" t="s">
        <v>7798</v>
      </c>
      <c r="G738" s="125" t="s">
        <v>893</v>
      </c>
      <c r="H738" s="125" t="s">
        <v>7799</v>
      </c>
      <c r="I738" t="s">
        <v>45</v>
      </c>
    </row>
    <row r="739">
      <c r="A739" s="125" t="s">
        <v>2466</v>
      </c>
      <c r="B739" s="526" t="s">
        <v>2465</v>
      </c>
      <c r="C739" s="527">
        <v>0.0</v>
      </c>
      <c r="D739" s="527">
        <v>0.0</v>
      </c>
      <c r="F739" s="36" t="s">
        <v>7807</v>
      </c>
      <c r="G739" s="125" t="s">
        <v>893</v>
      </c>
      <c r="H739" s="125" t="s">
        <v>7799</v>
      </c>
      <c r="I739" t="s">
        <v>7806</v>
      </c>
    </row>
    <row r="740">
      <c r="A740" s="125" t="s">
        <v>2467</v>
      </c>
      <c r="B740" s="526" t="s">
        <v>98</v>
      </c>
      <c r="C740" s="527">
        <v>0.0</v>
      </c>
      <c r="D740" s="527">
        <v>0.0</v>
      </c>
      <c r="F740" s="36" t="s">
        <v>7807</v>
      </c>
      <c r="G740" s="125" t="s">
        <v>893</v>
      </c>
      <c r="H740" s="125" t="s">
        <v>7801</v>
      </c>
      <c r="I740" t="s">
        <v>81</v>
      </c>
    </row>
    <row r="741">
      <c r="A741" s="125" t="s">
        <v>2468</v>
      </c>
      <c r="B741" s="526" t="s">
        <v>76</v>
      </c>
      <c r="C741" s="527">
        <v>0.0</v>
      </c>
      <c r="D741" s="527">
        <v>0.0</v>
      </c>
      <c r="F741" s="36" t="s">
        <v>7798</v>
      </c>
      <c r="G741" s="125" t="s">
        <v>913</v>
      </c>
      <c r="H741" s="125" t="s">
        <v>32</v>
      </c>
      <c r="I741" t="s">
        <v>74</v>
      </c>
    </row>
    <row r="742">
      <c r="A742" s="125" t="s">
        <v>80</v>
      </c>
      <c r="B742" s="526">
        <v>43332.0</v>
      </c>
      <c r="C742" s="527">
        <v>0.0</v>
      </c>
      <c r="D742" s="527">
        <v>0.0</v>
      </c>
      <c r="F742" s="36" t="s">
        <v>7798</v>
      </c>
      <c r="G742" s="125" t="s">
        <v>913</v>
      </c>
      <c r="H742" s="125" t="s">
        <v>32</v>
      </c>
      <c r="I742" t="s">
        <v>74</v>
      </c>
    </row>
    <row r="743">
      <c r="A743" s="125" t="s">
        <v>77</v>
      </c>
      <c r="B743" s="526">
        <v>43301.0</v>
      </c>
      <c r="C743" s="527">
        <v>0.0</v>
      </c>
      <c r="D743" s="527">
        <v>0.0</v>
      </c>
      <c r="F743" s="36" t="s">
        <v>7798</v>
      </c>
      <c r="G743" s="125" t="s">
        <v>913</v>
      </c>
      <c r="H743" s="125" t="s">
        <v>7801</v>
      </c>
      <c r="I743" t="s">
        <v>74</v>
      </c>
    </row>
    <row r="744">
      <c r="A744" s="125" t="s">
        <v>78</v>
      </c>
      <c r="B744" s="526">
        <v>43302.0</v>
      </c>
      <c r="C744" s="527">
        <v>0.0</v>
      </c>
      <c r="D744" s="527">
        <v>0.0</v>
      </c>
      <c r="F744" s="36" t="s">
        <v>7798</v>
      </c>
      <c r="G744" s="125" t="s">
        <v>913</v>
      </c>
      <c r="H744" s="125" t="s">
        <v>7801</v>
      </c>
      <c r="I744" t="s">
        <v>74</v>
      </c>
    </row>
    <row r="745">
      <c r="A745" s="125" t="s">
        <v>2470</v>
      </c>
      <c r="B745" s="526">
        <v>43303.0</v>
      </c>
      <c r="C745" s="527">
        <v>0.0</v>
      </c>
      <c r="D745" s="527">
        <v>0.0</v>
      </c>
      <c r="F745" s="36" t="s">
        <v>7798</v>
      </c>
      <c r="G745" s="125" t="s">
        <v>893</v>
      </c>
      <c r="H745" s="125" t="s">
        <v>7801</v>
      </c>
      <c r="I745" t="s">
        <v>74</v>
      </c>
    </row>
    <row r="746">
      <c r="A746" s="125" t="s">
        <v>79</v>
      </c>
      <c r="B746" s="526">
        <v>43304.0</v>
      </c>
      <c r="C746" s="527">
        <v>0.0</v>
      </c>
      <c r="D746" s="527">
        <v>0.0</v>
      </c>
      <c r="F746" s="36" t="s">
        <v>7798</v>
      </c>
      <c r="G746" s="125" t="s">
        <v>893</v>
      </c>
      <c r="H746" s="125" t="s">
        <v>32</v>
      </c>
      <c r="I746" t="s">
        <v>74</v>
      </c>
    </row>
    <row r="747">
      <c r="A747" s="125" t="s">
        <v>109</v>
      </c>
      <c r="B747" s="526">
        <v>992432.0</v>
      </c>
      <c r="C747" s="527">
        <v>297.0</v>
      </c>
      <c r="D747" s="527">
        <v>17.73</v>
      </c>
      <c r="E747" s="528">
        <v>0.0597</v>
      </c>
      <c r="F747" s="36" t="s">
        <v>7798</v>
      </c>
      <c r="G747" s="125" t="s">
        <v>913</v>
      </c>
      <c r="H747" s="125" t="s">
        <v>32</v>
      </c>
      <c r="I747" t="s">
        <v>81</v>
      </c>
    </row>
    <row r="748">
      <c r="A748" s="125" t="s">
        <v>2471</v>
      </c>
      <c r="B748" s="526">
        <v>992431.0</v>
      </c>
      <c r="C748" s="527">
        <v>335.0</v>
      </c>
      <c r="D748" s="527">
        <v>103.65</v>
      </c>
      <c r="E748" s="528">
        <v>0.3094</v>
      </c>
      <c r="F748" s="36" t="s">
        <v>7798</v>
      </c>
      <c r="G748" s="125" t="s">
        <v>913</v>
      </c>
      <c r="H748" s="125" t="s">
        <v>32</v>
      </c>
      <c r="I748" t="s">
        <v>81</v>
      </c>
    </row>
    <row r="749">
      <c r="A749" s="125" t="s">
        <v>68</v>
      </c>
      <c r="B749" s="526">
        <v>41201.0</v>
      </c>
      <c r="C749" s="527">
        <v>0.0</v>
      </c>
      <c r="D749" s="527">
        <v>0.0</v>
      </c>
      <c r="F749" s="36" t="s">
        <v>7798</v>
      </c>
      <c r="G749" s="125" t="s">
        <v>913</v>
      </c>
      <c r="H749" s="125" t="s">
        <v>7801</v>
      </c>
      <c r="I749" t="s">
        <v>63</v>
      </c>
    </row>
    <row r="750">
      <c r="A750" s="125" t="s">
        <v>69</v>
      </c>
      <c r="B750" s="526">
        <v>41202.0</v>
      </c>
      <c r="C750" s="527">
        <v>0.0</v>
      </c>
      <c r="D750" s="527">
        <v>0.0</v>
      </c>
      <c r="F750" s="36" t="s">
        <v>7798</v>
      </c>
      <c r="G750" s="125" t="s">
        <v>913</v>
      </c>
      <c r="H750" s="125" t="s">
        <v>7801</v>
      </c>
      <c r="I750" t="s">
        <v>63</v>
      </c>
    </row>
    <row r="751">
      <c r="A751" s="125" t="s">
        <v>71</v>
      </c>
      <c r="B751" s="526">
        <v>41233.0</v>
      </c>
      <c r="C751" s="527">
        <v>0.0</v>
      </c>
      <c r="D751" s="527">
        <v>0.0</v>
      </c>
      <c r="F751" s="36" t="s">
        <v>7798</v>
      </c>
      <c r="G751" s="125" t="s">
        <v>913</v>
      </c>
      <c r="H751" s="125" t="s">
        <v>7801</v>
      </c>
      <c r="I751" t="s">
        <v>63</v>
      </c>
    </row>
    <row r="752">
      <c r="A752" s="125" t="s">
        <v>72</v>
      </c>
      <c r="B752" s="526">
        <v>41234.0</v>
      </c>
      <c r="C752" s="527">
        <v>0.0</v>
      </c>
      <c r="D752" s="527">
        <v>0.0</v>
      </c>
      <c r="F752" s="36" t="s">
        <v>7798</v>
      </c>
      <c r="G752" s="125" t="s">
        <v>913</v>
      </c>
      <c r="H752" s="125" t="s">
        <v>32</v>
      </c>
      <c r="I752" t="s">
        <v>63</v>
      </c>
    </row>
    <row r="753">
      <c r="A753" s="125" t="s">
        <v>70</v>
      </c>
      <c r="B753" s="526">
        <v>41205.0</v>
      </c>
      <c r="C753" s="527">
        <v>0.0</v>
      </c>
      <c r="D753" s="527">
        <v>0.0</v>
      </c>
      <c r="F753" s="36" t="s">
        <v>7798</v>
      </c>
      <c r="G753" s="125" t="s">
        <v>913</v>
      </c>
      <c r="H753" s="125" t="s">
        <v>7801</v>
      </c>
      <c r="I753" t="s">
        <v>63</v>
      </c>
    </row>
    <row r="754">
      <c r="A754" s="125" t="s">
        <v>2472</v>
      </c>
      <c r="B754" s="526">
        <v>41203.0</v>
      </c>
      <c r="C754" s="527">
        <v>0.0</v>
      </c>
      <c r="D754" s="527">
        <v>0.0</v>
      </c>
      <c r="F754" s="36" t="s">
        <v>7798</v>
      </c>
      <c r="G754" s="125" t="s">
        <v>893</v>
      </c>
      <c r="H754" s="125" t="s">
        <v>7801</v>
      </c>
      <c r="I754" t="s">
        <v>63</v>
      </c>
    </row>
    <row r="755">
      <c r="A755" s="125" t="s">
        <v>2473</v>
      </c>
      <c r="B755" s="526">
        <v>41204.0</v>
      </c>
      <c r="C755" s="527">
        <v>0.0</v>
      </c>
      <c r="D755" s="527">
        <v>0.0</v>
      </c>
      <c r="F755" s="36" t="s">
        <v>7798</v>
      </c>
      <c r="G755" s="125" t="s">
        <v>893</v>
      </c>
      <c r="H755" s="125" t="s">
        <v>7801</v>
      </c>
      <c r="I755" t="s">
        <v>63</v>
      </c>
    </row>
    <row r="756">
      <c r="A756" s="125" t="s">
        <v>64</v>
      </c>
      <c r="B756" s="526" t="s">
        <v>65</v>
      </c>
      <c r="C756" s="527">
        <v>0.0</v>
      </c>
      <c r="D756" s="527">
        <v>0.0</v>
      </c>
      <c r="F756" s="36" t="s">
        <v>7798</v>
      </c>
      <c r="G756" s="125" t="s">
        <v>893</v>
      </c>
      <c r="H756" s="125" t="s">
        <v>32</v>
      </c>
      <c r="I756" t="s">
        <v>63</v>
      </c>
    </row>
    <row r="757">
      <c r="A757" s="125" t="s">
        <v>66</v>
      </c>
      <c r="B757" s="526" t="s">
        <v>67</v>
      </c>
      <c r="C757" s="527">
        <v>0.0</v>
      </c>
      <c r="D757" s="527">
        <v>0.0</v>
      </c>
      <c r="F757" s="36" t="s">
        <v>7798</v>
      </c>
      <c r="G757" s="125" t="s">
        <v>893</v>
      </c>
      <c r="H757" s="125" t="s">
        <v>32</v>
      </c>
      <c r="I757" t="s">
        <v>63</v>
      </c>
    </row>
    <row r="758">
      <c r="A758" s="125" t="s">
        <v>148</v>
      </c>
      <c r="B758" s="526">
        <v>79602.0</v>
      </c>
      <c r="C758" s="527">
        <v>96.0</v>
      </c>
      <c r="D758" s="527">
        <v>308.0</v>
      </c>
      <c r="E758" s="528">
        <v>3.2083</v>
      </c>
      <c r="F758" s="36" t="s">
        <v>7798</v>
      </c>
      <c r="G758" s="125" t="s">
        <v>913</v>
      </c>
      <c r="H758" s="125" t="s">
        <v>7801</v>
      </c>
      <c r="I758" t="s">
        <v>144</v>
      </c>
    </row>
    <row r="759">
      <c r="A759" s="125" t="s">
        <v>151</v>
      </c>
      <c r="B759" s="526">
        <v>79605.0</v>
      </c>
      <c r="C759" s="527">
        <v>93.0</v>
      </c>
      <c r="D759" s="527">
        <v>298.38</v>
      </c>
      <c r="E759" s="528">
        <v>3.2084</v>
      </c>
      <c r="F759" s="36" t="s">
        <v>7798</v>
      </c>
      <c r="G759" s="125" t="s">
        <v>913</v>
      </c>
      <c r="H759" s="125" t="s">
        <v>7801</v>
      </c>
      <c r="I759" t="s">
        <v>144</v>
      </c>
    </row>
    <row r="760">
      <c r="A760" s="125" t="s">
        <v>149</v>
      </c>
      <c r="B760" s="526">
        <v>79603.0</v>
      </c>
      <c r="C760" s="527">
        <v>95.0</v>
      </c>
      <c r="D760" s="527">
        <v>304.79</v>
      </c>
      <c r="E760" s="528">
        <v>3.2083</v>
      </c>
      <c r="F760" s="36" t="s">
        <v>7798</v>
      </c>
      <c r="G760" s="125" t="s">
        <v>913</v>
      </c>
      <c r="H760" s="125" t="s">
        <v>7801</v>
      </c>
      <c r="I760" t="s">
        <v>144</v>
      </c>
    </row>
    <row r="761">
      <c r="A761" s="125" t="s">
        <v>150</v>
      </c>
      <c r="B761" s="526">
        <v>79604.0</v>
      </c>
      <c r="C761" s="527">
        <v>0.0</v>
      </c>
      <c r="D761" s="527">
        <v>0.0</v>
      </c>
      <c r="F761" s="36" t="s">
        <v>7798</v>
      </c>
      <c r="G761" s="125" t="s">
        <v>913</v>
      </c>
      <c r="H761" s="125" t="s">
        <v>7801</v>
      </c>
      <c r="I761" t="s">
        <v>144</v>
      </c>
    </row>
    <row r="762">
      <c r="A762" s="125" t="s">
        <v>152</v>
      </c>
      <c r="B762" s="526">
        <v>79606.0</v>
      </c>
      <c r="C762" s="527">
        <v>100.0</v>
      </c>
      <c r="D762" s="527">
        <v>320.82</v>
      </c>
      <c r="E762" s="528">
        <v>3.2082</v>
      </c>
      <c r="F762" s="36" t="s">
        <v>7798</v>
      </c>
      <c r="G762" s="125" t="s">
        <v>913</v>
      </c>
      <c r="H762" s="125" t="s">
        <v>7801</v>
      </c>
      <c r="I762" t="s">
        <v>144</v>
      </c>
    </row>
    <row r="763">
      <c r="A763" s="125" t="s">
        <v>147</v>
      </c>
      <c r="B763" s="526">
        <v>79601.0</v>
      </c>
      <c r="C763" s="527">
        <v>124.0</v>
      </c>
      <c r="D763" s="527">
        <v>397.8</v>
      </c>
      <c r="E763" s="528">
        <v>3.2081</v>
      </c>
      <c r="F763" s="36" t="s">
        <v>7798</v>
      </c>
      <c r="G763" s="125" t="s">
        <v>913</v>
      </c>
      <c r="H763" s="125" t="s">
        <v>7801</v>
      </c>
      <c r="I763" t="s">
        <v>144</v>
      </c>
    </row>
    <row r="764">
      <c r="A764" s="125" t="s">
        <v>2475</v>
      </c>
      <c r="B764" s="526" t="s">
        <v>2474</v>
      </c>
      <c r="C764" s="527">
        <v>125.0</v>
      </c>
      <c r="D764" s="527">
        <v>0.0</v>
      </c>
      <c r="E764" s="528">
        <v>0.0</v>
      </c>
      <c r="F764" s="36" t="s">
        <v>7798</v>
      </c>
      <c r="G764" s="125" t="s">
        <v>913</v>
      </c>
      <c r="H764" s="125" t="s">
        <v>7801</v>
      </c>
      <c r="I764" t="s">
        <v>45</v>
      </c>
    </row>
    <row r="765">
      <c r="A765" s="125" t="s">
        <v>145</v>
      </c>
      <c r="B765" s="526" t="s">
        <v>146</v>
      </c>
      <c r="C765" s="527">
        <v>1.0</v>
      </c>
      <c r="D765" s="527">
        <v>96.37</v>
      </c>
      <c r="E765" s="528">
        <v>96.37</v>
      </c>
      <c r="F765" s="36" t="s">
        <v>7807</v>
      </c>
      <c r="G765" s="125" t="s">
        <v>913</v>
      </c>
      <c r="H765" s="125" t="s">
        <v>7801</v>
      </c>
      <c r="I765" t="s">
        <v>144</v>
      </c>
    </row>
    <row r="766">
      <c r="A766" s="125" t="s">
        <v>2476</v>
      </c>
      <c r="B766" s="526">
        <v>40601.0</v>
      </c>
      <c r="C766" s="527">
        <v>0.0</v>
      </c>
      <c r="D766" s="527">
        <v>0.0</v>
      </c>
      <c r="F766" s="36" t="s">
        <v>7798</v>
      </c>
      <c r="G766" s="125" t="s">
        <v>893</v>
      </c>
      <c r="H766" s="125" t="s">
        <v>7801</v>
      </c>
      <c r="I766" t="s">
        <v>7861</v>
      </c>
    </row>
    <row r="767">
      <c r="A767" s="125" t="s">
        <v>2477</v>
      </c>
      <c r="B767" s="526">
        <v>40602.0</v>
      </c>
      <c r="C767" s="527">
        <v>0.0</v>
      </c>
      <c r="D767" s="527">
        <v>0.0</v>
      </c>
      <c r="F767" s="36" t="s">
        <v>7798</v>
      </c>
      <c r="G767" s="125" t="s">
        <v>893</v>
      </c>
      <c r="H767" s="125" t="s">
        <v>7801</v>
      </c>
      <c r="I767" t="s">
        <v>7861</v>
      </c>
    </row>
    <row r="768">
      <c r="A768" s="125" t="s">
        <v>2478</v>
      </c>
      <c r="B768" s="526">
        <v>40603.0</v>
      </c>
      <c r="C768" s="527">
        <v>0.0</v>
      </c>
      <c r="D768" s="527">
        <v>0.0</v>
      </c>
      <c r="F768" s="36" t="s">
        <v>7798</v>
      </c>
      <c r="G768" s="125" t="s">
        <v>893</v>
      </c>
      <c r="H768" s="125" t="s">
        <v>7801</v>
      </c>
      <c r="I768" t="s">
        <v>7861</v>
      </c>
    </row>
    <row r="769">
      <c r="A769" s="125" t="s">
        <v>2479</v>
      </c>
      <c r="B769" s="526">
        <v>40604.0</v>
      </c>
      <c r="C769" s="527">
        <v>0.0</v>
      </c>
      <c r="D769" s="527">
        <v>0.0</v>
      </c>
      <c r="F769" s="36" t="s">
        <v>7798</v>
      </c>
      <c r="G769" s="125" t="s">
        <v>893</v>
      </c>
      <c r="H769" s="125" t="s">
        <v>7801</v>
      </c>
      <c r="I769" t="s">
        <v>7861</v>
      </c>
    </row>
    <row r="770">
      <c r="A770" s="125" t="s">
        <v>2481</v>
      </c>
      <c r="B770" s="526" t="s">
        <v>2480</v>
      </c>
      <c r="C770" s="527">
        <v>0.0</v>
      </c>
      <c r="D770" s="527">
        <v>0.0</v>
      </c>
      <c r="F770" s="36" t="s">
        <v>7798</v>
      </c>
      <c r="G770" s="125" t="s">
        <v>893</v>
      </c>
      <c r="H770" s="125" t="s">
        <v>7801</v>
      </c>
      <c r="I770" t="s">
        <v>7861</v>
      </c>
    </row>
    <row r="771">
      <c r="A771" s="125" t="s">
        <v>2483</v>
      </c>
      <c r="B771" s="526" t="s">
        <v>2482</v>
      </c>
      <c r="C771" s="527">
        <v>0.0</v>
      </c>
      <c r="D771" s="527">
        <v>0.0</v>
      </c>
      <c r="F771" s="36" t="s">
        <v>7798</v>
      </c>
      <c r="G771" s="125" t="s">
        <v>893</v>
      </c>
      <c r="H771" s="125" t="s">
        <v>7799</v>
      </c>
      <c r="I771" t="s">
        <v>7861</v>
      </c>
    </row>
    <row r="772">
      <c r="A772" s="125" t="s">
        <v>102</v>
      </c>
      <c r="B772" s="526">
        <v>43203.0</v>
      </c>
      <c r="C772" s="527">
        <v>0.0</v>
      </c>
      <c r="D772" s="527">
        <v>0.0</v>
      </c>
      <c r="F772" s="36" t="s">
        <v>7798</v>
      </c>
      <c r="G772" s="125" t="s">
        <v>913</v>
      </c>
      <c r="H772" s="125" t="s">
        <v>7801</v>
      </c>
      <c r="I772" t="s">
        <v>81</v>
      </c>
    </row>
    <row r="773">
      <c r="A773" s="125" t="s">
        <v>108</v>
      </c>
      <c r="B773" s="526">
        <v>43232.0</v>
      </c>
      <c r="C773" s="527">
        <v>27.0</v>
      </c>
      <c r="D773" s="527">
        <v>129.8</v>
      </c>
      <c r="E773" s="528">
        <v>4.8074</v>
      </c>
      <c r="F773" s="36" t="s">
        <v>7798</v>
      </c>
      <c r="G773" s="125" t="s">
        <v>913</v>
      </c>
      <c r="H773" s="125" t="s">
        <v>7801</v>
      </c>
      <c r="I773" t="s">
        <v>81</v>
      </c>
    </row>
    <row r="774">
      <c r="A774" s="125" t="s">
        <v>106</v>
      </c>
      <c r="B774" s="526">
        <v>43206.0</v>
      </c>
      <c r="C774" s="527">
        <v>0.0</v>
      </c>
      <c r="D774" s="527">
        <v>0.0</v>
      </c>
      <c r="F774" s="36" t="s">
        <v>7798</v>
      </c>
      <c r="G774" s="125" t="s">
        <v>893</v>
      </c>
      <c r="H774" s="125" t="s">
        <v>7801</v>
      </c>
      <c r="I774" t="s">
        <v>81</v>
      </c>
    </row>
    <row r="775">
      <c r="A775" s="125" t="s">
        <v>107</v>
      </c>
      <c r="B775" s="526">
        <v>43215.0</v>
      </c>
      <c r="C775" s="527">
        <v>0.0</v>
      </c>
      <c r="D775" s="527">
        <v>0.0</v>
      </c>
      <c r="F775" s="36" t="s">
        <v>7798</v>
      </c>
      <c r="G775" s="125" t="s">
        <v>893</v>
      </c>
      <c r="H775" s="125" t="s">
        <v>32</v>
      </c>
      <c r="I775" t="s">
        <v>81</v>
      </c>
    </row>
    <row r="776">
      <c r="A776" s="125" t="s">
        <v>103</v>
      </c>
      <c r="B776" s="526">
        <v>43213.0</v>
      </c>
      <c r="C776" s="527">
        <v>45.0</v>
      </c>
      <c r="D776" s="527">
        <v>195.57</v>
      </c>
      <c r="E776" s="528">
        <v>4.346</v>
      </c>
      <c r="F776" s="36" t="s">
        <v>7798</v>
      </c>
      <c r="G776" s="125" t="s">
        <v>913</v>
      </c>
      <c r="H776" s="125" t="s">
        <v>7801</v>
      </c>
      <c r="I776" t="s">
        <v>81</v>
      </c>
    </row>
    <row r="777">
      <c r="A777" s="125" t="s">
        <v>2485</v>
      </c>
      <c r="B777" s="526">
        <v>43212.0</v>
      </c>
      <c r="C777" s="527">
        <v>0.0</v>
      </c>
      <c r="D777" s="527">
        <v>0.0</v>
      </c>
      <c r="F777" s="36" t="s">
        <v>7798</v>
      </c>
      <c r="G777" s="125" t="s">
        <v>893</v>
      </c>
      <c r="H777" s="125" t="s">
        <v>7801</v>
      </c>
      <c r="I777" t="s">
        <v>81</v>
      </c>
    </row>
    <row r="778">
      <c r="A778" s="125" t="s">
        <v>104</v>
      </c>
      <c r="B778" s="526">
        <v>43245.0</v>
      </c>
      <c r="C778" s="527">
        <v>0.0</v>
      </c>
      <c r="D778" s="527">
        <v>0.0</v>
      </c>
      <c r="F778" s="36" t="s">
        <v>7798</v>
      </c>
      <c r="G778" s="125" t="s">
        <v>893</v>
      </c>
      <c r="H778" s="125" t="s">
        <v>7801</v>
      </c>
      <c r="I778" t="s">
        <v>81</v>
      </c>
    </row>
    <row r="779">
      <c r="A779" s="125" t="s">
        <v>2486</v>
      </c>
      <c r="B779" s="526">
        <v>43205.0</v>
      </c>
      <c r="C779" s="527">
        <v>0.0</v>
      </c>
      <c r="D779" s="527">
        <v>0.0</v>
      </c>
      <c r="F779" s="36" t="s">
        <v>7798</v>
      </c>
      <c r="G779" s="125" t="s">
        <v>893</v>
      </c>
      <c r="H779" s="125" t="s">
        <v>7801</v>
      </c>
      <c r="I779" t="s">
        <v>81</v>
      </c>
    </row>
    <row r="780">
      <c r="A780" s="125" t="s">
        <v>105</v>
      </c>
      <c r="B780" s="526">
        <v>43204.0</v>
      </c>
      <c r="C780" s="527">
        <v>58.0</v>
      </c>
      <c r="D780" s="527">
        <v>252.07</v>
      </c>
      <c r="E780" s="528">
        <v>4.346</v>
      </c>
      <c r="F780" s="36" t="s">
        <v>7798</v>
      </c>
      <c r="G780" s="125" t="s">
        <v>913</v>
      </c>
      <c r="H780" s="125" t="s">
        <v>7801</v>
      </c>
      <c r="I780" t="s">
        <v>81</v>
      </c>
    </row>
    <row r="781">
      <c r="A781" s="125" t="s">
        <v>101</v>
      </c>
      <c r="B781" s="526">
        <v>43201.0</v>
      </c>
      <c r="C781" s="527">
        <v>0.0</v>
      </c>
      <c r="D781" s="527">
        <v>0.0</v>
      </c>
      <c r="F781" s="36" t="s">
        <v>7798</v>
      </c>
      <c r="G781" s="125" t="s">
        <v>913</v>
      </c>
      <c r="H781" s="125" t="s">
        <v>7801</v>
      </c>
      <c r="I781" t="s">
        <v>81</v>
      </c>
    </row>
    <row r="782">
      <c r="A782" s="125" t="s">
        <v>99</v>
      </c>
      <c r="B782" s="526" t="s">
        <v>100</v>
      </c>
      <c r="C782" s="527">
        <v>0.0</v>
      </c>
      <c r="D782" s="527">
        <v>0.0</v>
      </c>
      <c r="F782" s="36" t="s">
        <v>7798</v>
      </c>
      <c r="G782" s="125" t="s">
        <v>893</v>
      </c>
      <c r="H782" s="125" t="s">
        <v>7801</v>
      </c>
      <c r="I782" t="s">
        <v>81</v>
      </c>
    </row>
    <row r="783">
      <c r="A783" s="125" t="s">
        <v>2487</v>
      </c>
      <c r="B783" s="526">
        <v>40902.0</v>
      </c>
      <c r="C783" s="527">
        <v>0.0</v>
      </c>
      <c r="D783" s="527">
        <v>0.0</v>
      </c>
      <c r="F783" s="36" t="s">
        <v>7798</v>
      </c>
      <c r="G783" s="125" t="s">
        <v>893</v>
      </c>
      <c r="H783" s="125" t="s">
        <v>7801</v>
      </c>
      <c r="I783" t="s">
        <v>7862</v>
      </c>
    </row>
    <row r="784">
      <c r="A784" s="125" t="s">
        <v>2488</v>
      </c>
      <c r="B784" s="526">
        <v>40904.0</v>
      </c>
      <c r="C784" s="527">
        <v>6.0</v>
      </c>
      <c r="D784" s="527">
        <v>43.61</v>
      </c>
      <c r="E784" s="528">
        <v>7.2683</v>
      </c>
      <c r="F784" s="36" t="s">
        <v>7798</v>
      </c>
      <c r="G784" s="125" t="s">
        <v>913</v>
      </c>
      <c r="H784" s="125" t="s">
        <v>7801</v>
      </c>
      <c r="I784" t="s">
        <v>7862</v>
      </c>
    </row>
    <row r="785">
      <c r="A785" s="125" t="s">
        <v>2489</v>
      </c>
      <c r="B785" s="526">
        <v>40903.0</v>
      </c>
      <c r="C785" s="527">
        <v>0.0</v>
      </c>
      <c r="D785" s="527">
        <v>0.0</v>
      </c>
      <c r="F785" s="36" t="s">
        <v>7798</v>
      </c>
      <c r="G785" s="125" t="s">
        <v>893</v>
      </c>
      <c r="H785" s="125" t="s">
        <v>7801</v>
      </c>
      <c r="I785" t="s">
        <v>7862</v>
      </c>
    </row>
    <row r="786">
      <c r="A786" s="125" t="s">
        <v>2490</v>
      </c>
      <c r="B786" s="526">
        <v>40901.0</v>
      </c>
      <c r="C786" s="527">
        <v>0.0</v>
      </c>
      <c r="D786" s="527">
        <v>0.0</v>
      </c>
      <c r="F786" s="36" t="s">
        <v>7798</v>
      </c>
      <c r="G786" s="125" t="s">
        <v>893</v>
      </c>
      <c r="H786" s="125" t="s">
        <v>7801</v>
      </c>
      <c r="I786" t="s">
        <v>7862</v>
      </c>
    </row>
    <row r="787">
      <c r="A787" s="125" t="s">
        <v>2491</v>
      </c>
      <c r="B787" s="526">
        <v>40905.0</v>
      </c>
      <c r="C787" s="527">
        <v>0.0</v>
      </c>
      <c r="D787" s="527">
        <v>0.0</v>
      </c>
      <c r="F787" s="36" t="s">
        <v>7798</v>
      </c>
      <c r="G787" s="125" t="s">
        <v>893</v>
      </c>
      <c r="H787" s="125" t="s">
        <v>7801</v>
      </c>
      <c r="I787" t="s">
        <v>7862</v>
      </c>
    </row>
    <row r="788">
      <c r="A788" s="125" t="s">
        <v>2493</v>
      </c>
      <c r="B788" s="526" t="s">
        <v>2492</v>
      </c>
      <c r="C788" s="527">
        <v>0.0</v>
      </c>
      <c r="D788" s="527">
        <v>0.0</v>
      </c>
      <c r="F788" s="36" t="s">
        <v>7798</v>
      </c>
      <c r="G788" s="125" t="s">
        <v>893</v>
      </c>
      <c r="H788" s="125" t="s">
        <v>7801</v>
      </c>
      <c r="I788" t="s">
        <v>7862</v>
      </c>
    </row>
    <row r="789">
      <c r="A789" s="125" t="s">
        <v>2495</v>
      </c>
      <c r="B789" s="526" t="s">
        <v>2494</v>
      </c>
      <c r="C789" s="527">
        <v>0.0</v>
      </c>
      <c r="D789" s="527">
        <v>0.0</v>
      </c>
      <c r="F789" s="36" t="s">
        <v>7807</v>
      </c>
      <c r="G789" s="125" t="s">
        <v>893</v>
      </c>
      <c r="H789" s="125" t="s">
        <v>7799</v>
      </c>
      <c r="I789" t="s">
        <v>7862</v>
      </c>
    </row>
    <row r="790">
      <c r="A790" s="125" t="s">
        <v>125</v>
      </c>
      <c r="B790" s="526">
        <v>43110.0</v>
      </c>
      <c r="C790" s="527">
        <v>9.0</v>
      </c>
      <c r="D790" s="527">
        <v>23.67</v>
      </c>
      <c r="E790" s="528">
        <v>2.63</v>
      </c>
      <c r="F790" s="36" t="s">
        <v>7798</v>
      </c>
      <c r="G790" s="125" t="s">
        <v>913</v>
      </c>
      <c r="H790" s="125" t="s">
        <v>32</v>
      </c>
      <c r="I790" t="s">
        <v>110</v>
      </c>
    </row>
    <row r="791">
      <c r="A791" s="125" t="s">
        <v>128</v>
      </c>
      <c r="B791" s="526">
        <v>43133.0</v>
      </c>
      <c r="C791" s="527">
        <v>42.0</v>
      </c>
      <c r="D791" s="527">
        <v>116.37</v>
      </c>
      <c r="E791" s="528">
        <v>2.7707</v>
      </c>
      <c r="F791" s="36" t="s">
        <v>7798</v>
      </c>
      <c r="G791" s="125" t="s">
        <v>913</v>
      </c>
      <c r="H791" s="125" t="s">
        <v>32</v>
      </c>
      <c r="I791" t="s">
        <v>110</v>
      </c>
    </row>
    <row r="792">
      <c r="A792" s="125" t="s">
        <v>132</v>
      </c>
      <c r="B792" s="526">
        <v>43150.0</v>
      </c>
      <c r="C792" s="527">
        <v>66.0</v>
      </c>
      <c r="D792" s="527">
        <v>178.93</v>
      </c>
      <c r="E792" s="528">
        <v>2.7111</v>
      </c>
      <c r="F792" s="36" t="s">
        <v>7798</v>
      </c>
      <c r="G792" s="125" t="s">
        <v>913</v>
      </c>
      <c r="H792" s="125" t="s">
        <v>32</v>
      </c>
      <c r="I792" t="s">
        <v>110</v>
      </c>
    </row>
    <row r="793">
      <c r="A793" s="125" t="s">
        <v>130</v>
      </c>
      <c r="B793" s="526">
        <v>43134.0</v>
      </c>
      <c r="C793" s="527">
        <v>45.0</v>
      </c>
      <c r="D793" s="527">
        <v>124.71</v>
      </c>
      <c r="E793" s="528">
        <v>2.7713</v>
      </c>
      <c r="F793" s="36" t="s">
        <v>7798</v>
      </c>
      <c r="G793" s="125" t="s">
        <v>913</v>
      </c>
      <c r="H793" s="125" t="s">
        <v>32</v>
      </c>
      <c r="I793" t="s">
        <v>110</v>
      </c>
    </row>
    <row r="794">
      <c r="A794" s="125" t="s">
        <v>131</v>
      </c>
      <c r="B794" s="526">
        <v>43145.0</v>
      </c>
      <c r="C794" s="527">
        <v>94.0</v>
      </c>
      <c r="D794" s="527">
        <v>258.35</v>
      </c>
      <c r="E794" s="528">
        <v>2.7484</v>
      </c>
      <c r="F794" s="36" t="s">
        <v>7798</v>
      </c>
      <c r="G794" s="125" t="s">
        <v>913</v>
      </c>
      <c r="H794" s="125" t="s">
        <v>32</v>
      </c>
      <c r="I794" t="s">
        <v>110</v>
      </c>
    </row>
    <row r="795">
      <c r="A795" s="125" t="s">
        <v>2496</v>
      </c>
      <c r="B795" s="526">
        <v>43108.0</v>
      </c>
      <c r="C795" s="527">
        <v>0.0</v>
      </c>
      <c r="D795" s="527">
        <v>0.0</v>
      </c>
      <c r="F795" s="36" t="s">
        <v>7798</v>
      </c>
      <c r="G795" s="125" t="s">
        <v>893</v>
      </c>
      <c r="H795" s="125" t="s">
        <v>7801</v>
      </c>
      <c r="I795" t="s">
        <v>110</v>
      </c>
    </row>
    <row r="796">
      <c r="A796" s="125" t="s">
        <v>126</v>
      </c>
      <c r="B796" s="526">
        <v>43111.0</v>
      </c>
      <c r="C796" s="527">
        <v>81.0</v>
      </c>
      <c r="D796" s="527">
        <v>224.08</v>
      </c>
      <c r="E796" s="528">
        <v>2.7664</v>
      </c>
      <c r="F796" s="36" t="s">
        <v>7798</v>
      </c>
      <c r="G796" s="125" t="s">
        <v>913</v>
      </c>
      <c r="H796" s="125" t="s">
        <v>32</v>
      </c>
      <c r="I796" t="s">
        <v>110</v>
      </c>
    </row>
    <row r="797">
      <c r="A797" s="125" t="s">
        <v>120</v>
      </c>
      <c r="B797" s="526">
        <v>43101.0</v>
      </c>
      <c r="C797" s="527">
        <v>107.0</v>
      </c>
      <c r="D797" s="527">
        <v>296.53</v>
      </c>
      <c r="E797" s="528">
        <v>2.7713</v>
      </c>
      <c r="F797" s="36" t="s">
        <v>7798</v>
      </c>
      <c r="G797" s="125" t="s">
        <v>913</v>
      </c>
      <c r="H797" s="125" t="s">
        <v>32</v>
      </c>
      <c r="I797" t="s">
        <v>110</v>
      </c>
    </row>
    <row r="798">
      <c r="A798" s="125" t="s">
        <v>2497</v>
      </c>
      <c r="B798" s="526">
        <v>43103.0</v>
      </c>
      <c r="C798" s="527">
        <v>0.0</v>
      </c>
      <c r="D798" s="527">
        <v>0.0</v>
      </c>
      <c r="F798" s="36" t="s">
        <v>7798</v>
      </c>
      <c r="G798" s="125" t="s">
        <v>893</v>
      </c>
      <c r="H798" s="125" t="s">
        <v>7801</v>
      </c>
      <c r="I798" t="s">
        <v>110</v>
      </c>
    </row>
    <row r="799">
      <c r="A799" s="125" t="s">
        <v>123</v>
      </c>
      <c r="B799" s="526">
        <v>43106.0</v>
      </c>
      <c r="C799" s="527">
        <v>39.0</v>
      </c>
      <c r="D799" s="527">
        <v>108.13</v>
      </c>
      <c r="E799" s="528">
        <v>2.7726</v>
      </c>
      <c r="F799" s="36" t="s">
        <v>7798</v>
      </c>
      <c r="G799" s="125" t="s">
        <v>913</v>
      </c>
      <c r="H799" s="125" t="s">
        <v>32</v>
      </c>
      <c r="I799" t="s">
        <v>110</v>
      </c>
    </row>
    <row r="800">
      <c r="A800" s="125" t="s">
        <v>122</v>
      </c>
      <c r="B800" s="526">
        <v>43105.0</v>
      </c>
      <c r="C800" s="527">
        <v>78.0</v>
      </c>
      <c r="D800" s="527">
        <v>208.17</v>
      </c>
      <c r="E800" s="528">
        <v>2.6688</v>
      </c>
      <c r="F800" s="36" t="s">
        <v>7798</v>
      </c>
      <c r="G800" s="125" t="s">
        <v>913</v>
      </c>
      <c r="H800" s="125" t="s">
        <v>32</v>
      </c>
      <c r="I800" t="s">
        <v>110</v>
      </c>
    </row>
    <row r="801">
      <c r="A801" s="125" t="s">
        <v>121</v>
      </c>
      <c r="B801" s="526">
        <v>43104.0</v>
      </c>
      <c r="C801" s="527">
        <v>42.0</v>
      </c>
      <c r="D801" s="527">
        <v>116.42</v>
      </c>
      <c r="E801" s="528">
        <v>2.7719</v>
      </c>
      <c r="F801" s="36" t="s">
        <v>7798</v>
      </c>
      <c r="G801" s="125" t="s">
        <v>913</v>
      </c>
      <c r="H801" s="125" t="s">
        <v>32</v>
      </c>
      <c r="I801" t="s">
        <v>110</v>
      </c>
    </row>
    <row r="802">
      <c r="A802" s="125" t="s">
        <v>127</v>
      </c>
      <c r="B802" s="526">
        <v>43112.0</v>
      </c>
      <c r="C802" s="527">
        <v>164.0</v>
      </c>
      <c r="D802" s="527">
        <v>449.37</v>
      </c>
      <c r="E802" s="528">
        <v>2.7401</v>
      </c>
      <c r="F802" s="36" t="s">
        <v>7798</v>
      </c>
      <c r="G802" s="125" t="s">
        <v>913</v>
      </c>
      <c r="H802" s="125" t="s">
        <v>32</v>
      </c>
      <c r="I802" t="s">
        <v>110</v>
      </c>
    </row>
    <row r="803">
      <c r="A803" s="125" t="s">
        <v>124</v>
      </c>
      <c r="B803" s="526">
        <v>43107.0</v>
      </c>
      <c r="C803" s="527">
        <v>105.0</v>
      </c>
      <c r="D803" s="527">
        <v>288.15</v>
      </c>
      <c r="E803" s="528">
        <v>2.7443</v>
      </c>
      <c r="F803" s="36" t="s">
        <v>7798</v>
      </c>
      <c r="G803" s="125" t="s">
        <v>913</v>
      </c>
      <c r="H803" s="125" t="s">
        <v>32</v>
      </c>
      <c r="I803" t="s">
        <v>110</v>
      </c>
    </row>
    <row r="804">
      <c r="A804" s="125" t="s">
        <v>118</v>
      </c>
      <c r="B804" s="526" t="s">
        <v>119</v>
      </c>
      <c r="C804" s="527">
        <v>0.0</v>
      </c>
      <c r="D804" s="527">
        <v>0.0</v>
      </c>
      <c r="F804" s="36" t="s">
        <v>7798</v>
      </c>
      <c r="G804" s="125" t="s">
        <v>893</v>
      </c>
      <c r="H804" s="125" t="s">
        <v>32</v>
      </c>
      <c r="I804" t="s">
        <v>45</v>
      </c>
    </row>
    <row r="805">
      <c r="A805" s="125" t="s">
        <v>139</v>
      </c>
      <c r="B805" s="526">
        <v>40701.0</v>
      </c>
      <c r="C805" s="527">
        <v>0.0</v>
      </c>
      <c r="D805" s="527">
        <v>0.0</v>
      </c>
      <c r="F805" s="36" t="s">
        <v>7798</v>
      </c>
      <c r="G805" s="125" t="s">
        <v>913</v>
      </c>
      <c r="H805" s="125" t="s">
        <v>7801</v>
      </c>
      <c r="I805" t="s">
        <v>134</v>
      </c>
    </row>
    <row r="806">
      <c r="A806" s="125" t="s">
        <v>141</v>
      </c>
      <c r="B806" s="526">
        <v>40732.0</v>
      </c>
      <c r="C806" s="527">
        <v>0.0</v>
      </c>
      <c r="D806" s="527">
        <v>0.0</v>
      </c>
      <c r="F806" s="36" t="s">
        <v>7798</v>
      </c>
      <c r="G806" s="125" t="s">
        <v>893</v>
      </c>
      <c r="H806" s="125" t="s">
        <v>32</v>
      </c>
      <c r="I806" t="s">
        <v>134</v>
      </c>
    </row>
    <row r="807">
      <c r="A807" s="125" t="s">
        <v>140</v>
      </c>
      <c r="B807" s="526">
        <v>40702.0</v>
      </c>
      <c r="C807" s="527">
        <v>0.0</v>
      </c>
      <c r="D807" s="527">
        <v>0.0</v>
      </c>
      <c r="F807" s="36" t="s">
        <v>7798</v>
      </c>
      <c r="G807" s="125" t="s">
        <v>913</v>
      </c>
      <c r="H807" s="125" t="s">
        <v>7801</v>
      </c>
      <c r="I807" t="s">
        <v>134</v>
      </c>
    </row>
    <row r="808">
      <c r="A808" s="125" t="s">
        <v>142</v>
      </c>
      <c r="B808" s="526">
        <v>40734.0</v>
      </c>
      <c r="C808" s="527">
        <v>0.0</v>
      </c>
      <c r="D808" s="527">
        <v>0.0</v>
      </c>
      <c r="F808" s="36" t="s">
        <v>7798</v>
      </c>
      <c r="G808" s="125" t="s">
        <v>893</v>
      </c>
      <c r="H808" s="125" t="s">
        <v>32</v>
      </c>
      <c r="I808" t="s">
        <v>134</v>
      </c>
    </row>
    <row r="809">
      <c r="A809" s="125" t="s">
        <v>2498</v>
      </c>
      <c r="B809" s="526">
        <v>40735.0</v>
      </c>
      <c r="C809" s="527">
        <v>0.0</v>
      </c>
      <c r="D809" s="527">
        <v>0.0</v>
      </c>
      <c r="F809" s="36" t="s">
        <v>7798</v>
      </c>
      <c r="G809" s="125" t="s">
        <v>893</v>
      </c>
      <c r="H809" s="125" t="s">
        <v>7801</v>
      </c>
      <c r="I809" t="s">
        <v>134</v>
      </c>
    </row>
    <row r="810">
      <c r="A810" s="125" t="s">
        <v>2499</v>
      </c>
      <c r="B810" s="526">
        <v>40706.0</v>
      </c>
      <c r="C810" s="527">
        <v>0.0</v>
      </c>
      <c r="D810" s="527">
        <v>0.0</v>
      </c>
      <c r="F810" s="36" t="s">
        <v>7798</v>
      </c>
      <c r="G810" s="125" t="s">
        <v>893</v>
      </c>
      <c r="H810" s="125" t="s">
        <v>7799</v>
      </c>
      <c r="I810" t="s">
        <v>134</v>
      </c>
    </row>
    <row r="811">
      <c r="A811" s="125" t="s">
        <v>2500</v>
      </c>
      <c r="B811" s="526">
        <v>40708.0</v>
      </c>
      <c r="C811" s="527">
        <v>0.0</v>
      </c>
      <c r="D811" s="527">
        <v>0.0</v>
      </c>
      <c r="F811" s="36" t="s">
        <v>7798</v>
      </c>
      <c r="G811" s="125" t="s">
        <v>893</v>
      </c>
      <c r="H811" s="125" t="s">
        <v>7799</v>
      </c>
      <c r="I811" t="s">
        <v>134</v>
      </c>
    </row>
    <row r="812">
      <c r="A812" s="125" t="s">
        <v>143</v>
      </c>
      <c r="B812" s="526">
        <v>40746.0</v>
      </c>
      <c r="C812" s="527">
        <v>0.0</v>
      </c>
      <c r="D812" s="527">
        <v>0.0</v>
      </c>
      <c r="F812" s="36" t="s">
        <v>7798</v>
      </c>
      <c r="G812" s="125" t="s">
        <v>893</v>
      </c>
      <c r="H812" s="125" t="s">
        <v>7801</v>
      </c>
      <c r="I812" t="s">
        <v>134</v>
      </c>
    </row>
    <row r="813">
      <c r="A813" s="125" t="s">
        <v>2501</v>
      </c>
      <c r="B813" s="526">
        <v>40703.0</v>
      </c>
      <c r="C813" s="527">
        <v>0.0</v>
      </c>
      <c r="D813" s="527">
        <v>0.0</v>
      </c>
      <c r="F813" s="36" t="s">
        <v>7798</v>
      </c>
      <c r="G813" s="125" t="s">
        <v>893</v>
      </c>
      <c r="H813" s="125" t="s">
        <v>7801</v>
      </c>
      <c r="I813" t="s">
        <v>134</v>
      </c>
    </row>
    <row r="814">
      <c r="A814" s="125" t="s">
        <v>2502</v>
      </c>
      <c r="B814" s="526">
        <v>40704.0</v>
      </c>
      <c r="C814" s="527">
        <v>0.0</v>
      </c>
      <c r="D814" s="527">
        <v>0.0</v>
      </c>
      <c r="F814" s="36" t="s">
        <v>7798</v>
      </c>
      <c r="G814" s="125" t="s">
        <v>893</v>
      </c>
      <c r="H814" s="125" t="s">
        <v>7801</v>
      </c>
      <c r="I814" t="s">
        <v>134</v>
      </c>
    </row>
    <row r="815">
      <c r="A815" s="125" t="s">
        <v>2503</v>
      </c>
      <c r="B815" s="526">
        <v>40707.0</v>
      </c>
      <c r="C815" s="527">
        <v>0.0</v>
      </c>
      <c r="D815" s="527">
        <v>0.0</v>
      </c>
      <c r="F815" s="36" t="s">
        <v>7798</v>
      </c>
      <c r="G815" s="125" t="s">
        <v>893</v>
      </c>
      <c r="H815" s="125" t="s">
        <v>7799</v>
      </c>
      <c r="I815" t="s">
        <v>134</v>
      </c>
    </row>
    <row r="816">
      <c r="A816" s="125" t="s">
        <v>2504</v>
      </c>
      <c r="B816" s="526">
        <v>40705.0</v>
      </c>
      <c r="C816" s="527">
        <v>0.0</v>
      </c>
      <c r="D816" s="527">
        <v>0.0</v>
      </c>
      <c r="F816" s="36" t="s">
        <v>7798</v>
      </c>
      <c r="G816" s="125" t="s">
        <v>893</v>
      </c>
      <c r="H816" s="125" t="s">
        <v>7801</v>
      </c>
      <c r="I816" t="s">
        <v>134</v>
      </c>
    </row>
    <row r="817">
      <c r="A817" s="125" t="s">
        <v>137</v>
      </c>
      <c r="B817" s="526" t="s">
        <v>138</v>
      </c>
      <c r="C817" s="527">
        <v>0.0</v>
      </c>
      <c r="D817" s="527">
        <v>0.0</v>
      </c>
      <c r="F817" s="36" t="s">
        <v>7798</v>
      </c>
      <c r="G817" s="125" t="s">
        <v>893</v>
      </c>
      <c r="H817" s="125" t="s">
        <v>7801</v>
      </c>
      <c r="I817" t="s">
        <v>134</v>
      </c>
    </row>
    <row r="818">
      <c r="A818" s="125" t="s">
        <v>135</v>
      </c>
      <c r="B818" s="526" t="s">
        <v>136</v>
      </c>
      <c r="C818" s="527">
        <v>0.0</v>
      </c>
      <c r="D818" s="527">
        <v>0.0</v>
      </c>
      <c r="F818" s="36" t="s">
        <v>7807</v>
      </c>
      <c r="G818" s="125" t="s">
        <v>893</v>
      </c>
      <c r="H818" s="125" t="s">
        <v>7801</v>
      </c>
      <c r="I818" t="s">
        <v>134</v>
      </c>
    </row>
    <row r="819">
      <c r="A819" s="125" t="s">
        <v>133</v>
      </c>
      <c r="B819" s="526">
        <v>43190.0</v>
      </c>
      <c r="C819" s="527">
        <v>0.0</v>
      </c>
      <c r="D819" s="527">
        <v>0.0</v>
      </c>
      <c r="F819" s="36" t="s">
        <v>7798</v>
      </c>
      <c r="G819" s="125" t="s">
        <v>913</v>
      </c>
      <c r="H819" s="125" t="s">
        <v>32</v>
      </c>
      <c r="I819" t="s">
        <v>110</v>
      </c>
    </row>
    <row r="820">
      <c r="A820" s="125" t="s">
        <v>2505</v>
      </c>
      <c r="B820" s="526" t="s">
        <v>117</v>
      </c>
      <c r="C820" s="527">
        <v>2.0</v>
      </c>
      <c r="D820" s="527">
        <v>177.97</v>
      </c>
      <c r="E820" s="528">
        <v>88.985</v>
      </c>
      <c r="F820" s="36" t="s">
        <v>7798</v>
      </c>
      <c r="G820" s="125" t="s">
        <v>913</v>
      </c>
      <c r="H820" s="125" t="s">
        <v>32</v>
      </c>
      <c r="I820" t="s">
        <v>110</v>
      </c>
    </row>
    <row r="821">
      <c r="A821" s="125" t="s">
        <v>2506</v>
      </c>
      <c r="B821" s="526">
        <v>53822.0</v>
      </c>
      <c r="C821" s="527">
        <v>0.0</v>
      </c>
      <c r="D821" s="527">
        <v>0.0</v>
      </c>
      <c r="F821" s="36" t="s">
        <v>7798</v>
      </c>
      <c r="G821" s="125" t="s">
        <v>893</v>
      </c>
      <c r="H821" s="125" t="s">
        <v>7801</v>
      </c>
      <c r="I821" t="s">
        <v>7863</v>
      </c>
    </row>
    <row r="822">
      <c r="A822" s="125" t="s">
        <v>2507</v>
      </c>
      <c r="B822" s="526">
        <v>53833.0</v>
      </c>
      <c r="C822" s="527">
        <v>21.0</v>
      </c>
      <c r="D822" s="527">
        <v>163.71</v>
      </c>
      <c r="E822" s="528">
        <v>7.7957</v>
      </c>
      <c r="F822" s="36" t="s">
        <v>7798</v>
      </c>
      <c r="G822" s="125" t="s">
        <v>913</v>
      </c>
      <c r="H822" s="125" t="s">
        <v>7801</v>
      </c>
      <c r="I822" t="s">
        <v>7863</v>
      </c>
    </row>
    <row r="823">
      <c r="A823" s="125" t="s">
        <v>2508</v>
      </c>
      <c r="B823" s="526">
        <v>53834.0</v>
      </c>
      <c r="C823" s="527">
        <v>71.0</v>
      </c>
      <c r="D823" s="527">
        <v>553.39</v>
      </c>
      <c r="E823" s="528">
        <v>7.7942</v>
      </c>
      <c r="F823" s="36" t="s">
        <v>7798</v>
      </c>
      <c r="G823" s="125" t="s">
        <v>913</v>
      </c>
      <c r="H823" s="125" t="s">
        <v>7801</v>
      </c>
      <c r="I823" t="s">
        <v>7863</v>
      </c>
    </row>
    <row r="824">
      <c r="A824" s="125" t="s">
        <v>2509</v>
      </c>
      <c r="B824" s="526">
        <v>53845.0</v>
      </c>
      <c r="C824" s="527">
        <v>87.0</v>
      </c>
      <c r="D824" s="527">
        <v>678.08</v>
      </c>
      <c r="E824" s="528">
        <v>7.794</v>
      </c>
      <c r="F824" s="36" t="s">
        <v>7798</v>
      </c>
      <c r="G824" s="125" t="s">
        <v>913</v>
      </c>
      <c r="H824" s="125" t="s">
        <v>7801</v>
      </c>
      <c r="I824" t="s">
        <v>7863</v>
      </c>
    </row>
    <row r="825">
      <c r="A825" s="125" t="s">
        <v>2510</v>
      </c>
      <c r="B825" s="526">
        <v>53852.0</v>
      </c>
      <c r="C825" s="527">
        <v>6.0</v>
      </c>
      <c r="D825" s="527">
        <v>46.77</v>
      </c>
      <c r="E825" s="528">
        <v>7.795</v>
      </c>
      <c r="F825" s="36" t="s">
        <v>7798</v>
      </c>
      <c r="G825" s="125" t="s">
        <v>913</v>
      </c>
      <c r="H825" s="125" t="s">
        <v>7801</v>
      </c>
      <c r="I825" t="s">
        <v>7863</v>
      </c>
    </row>
    <row r="826">
      <c r="A826" s="125" t="s">
        <v>2512</v>
      </c>
      <c r="B826" s="526" t="s">
        <v>2511</v>
      </c>
      <c r="C826" s="527">
        <v>1.0</v>
      </c>
      <c r="D826" s="527">
        <v>94.23</v>
      </c>
      <c r="E826" s="528">
        <v>94.23</v>
      </c>
      <c r="F826" s="36" t="s">
        <v>7807</v>
      </c>
      <c r="G826" s="125" t="s">
        <v>913</v>
      </c>
      <c r="H826" s="125" t="s">
        <v>7801</v>
      </c>
      <c r="I826" t="s">
        <v>134</v>
      </c>
    </row>
    <row r="827">
      <c r="A827" s="125" t="s">
        <v>158</v>
      </c>
      <c r="B827" s="526">
        <v>40501.0</v>
      </c>
      <c r="C827" s="527">
        <v>0.0</v>
      </c>
      <c r="D827" s="527">
        <v>0.0</v>
      </c>
      <c r="F827" s="36" t="s">
        <v>7798</v>
      </c>
      <c r="G827" s="125" t="s">
        <v>913</v>
      </c>
      <c r="H827" s="125" t="s">
        <v>32</v>
      </c>
      <c r="I827" t="s">
        <v>153</v>
      </c>
    </row>
    <row r="828">
      <c r="A828" s="125" t="s">
        <v>159</v>
      </c>
      <c r="B828" s="526">
        <v>40502.0</v>
      </c>
      <c r="C828" s="527">
        <v>0.0</v>
      </c>
      <c r="D828" s="527">
        <v>0.0</v>
      </c>
      <c r="F828" s="36" t="s">
        <v>7798</v>
      </c>
      <c r="G828" s="125" t="s">
        <v>913</v>
      </c>
      <c r="H828" s="125" t="s">
        <v>32</v>
      </c>
      <c r="I828" t="s">
        <v>153</v>
      </c>
    </row>
    <row r="829">
      <c r="A829" s="125" t="s">
        <v>161</v>
      </c>
      <c r="B829" s="526">
        <v>40533.0</v>
      </c>
      <c r="C829" s="527">
        <v>19.0</v>
      </c>
      <c r="D829" s="527">
        <v>100.31</v>
      </c>
      <c r="E829" s="528">
        <v>5.2795</v>
      </c>
      <c r="F829" s="36" t="s">
        <v>7798</v>
      </c>
      <c r="G829" s="125" t="s">
        <v>913</v>
      </c>
      <c r="H829" s="125" t="s">
        <v>32</v>
      </c>
      <c r="I829" t="s">
        <v>153</v>
      </c>
    </row>
    <row r="830">
      <c r="A830" s="125" t="s">
        <v>162</v>
      </c>
      <c r="B830" s="526">
        <v>40534.0</v>
      </c>
      <c r="C830" s="527">
        <v>3.0</v>
      </c>
      <c r="D830" s="527">
        <v>15.86</v>
      </c>
      <c r="E830" s="528">
        <v>5.2867</v>
      </c>
      <c r="F830" s="36" t="s">
        <v>7798</v>
      </c>
      <c r="G830" s="125" t="s">
        <v>913</v>
      </c>
      <c r="H830" s="125" t="s">
        <v>32</v>
      </c>
      <c r="I830" t="s">
        <v>153</v>
      </c>
    </row>
    <row r="831">
      <c r="A831" s="125" t="s">
        <v>160</v>
      </c>
      <c r="B831" s="526">
        <v>40523.0</v>
      </c>
      <c r="C831" s="527">
        <v>0.0</v>
      </c>
      <c r="D831" s="527">
        <v>0.0</v>
      </c>
      <c r="F831" s="36" t="s">
        <v>7798</v>
      </c>
      <c r="G831" s="125" t="s">
        <v>913</v>
      </c>
      <c r="H831" s="125" t="s">
        <v>32</v>
      </c>
      <c r="I831" t="s">
        <v>153</v>
      </c>
    </row>
    <row r="832">
      <c r="A832" s="125" t="s">
        <v>2513</v>
      </c>
      <c r="B832" s="526">
        <v>40504.0</v>
      </c>
      <c r="C832" s="527">
        <v>0.0</v>
      </c>
      <c r="D832" s="527">
        <v>0.0</v>
      </c>
      <c r="F832" s="36" t="s">
        <v>7798</v>
      </c>
      <c r="G832" s="125" t="s">
        <v>893</v>
      </c>
      <c r="H832" s="125" t="s">
        <v>7801</v>
      </c>
      <c r="I832" t="s">
        <v>153</v>
      </c>
    </row>
    <row r="833">
      <c r="A833" s="125" t="s">
        <v>2514</v>
      </c>
      <c r="B833" s="526">
        <v>40503.0</v>
      </c>
      <c r="C833" s="527">
        <v>0.0</v>
      </c>
      <c r="D833" s="527">
        <v>0.0</v>
      </c>
      <c r="F833" s="36" t="s">
        <v>7798</v>
      </c>
      <c r="G833" s="125" t="s">
        <v>893</v>
      </c>
      <c r="H833" s="125" t="s">
        <v>7801</v>
      </c>
      <c r="I833" t="s">
        <v>153</v>
      </c>
    </row>
    <row r="834">
      <c r="A834" s="125" t="s">
        <v>156</v>
      </c>
      <c r="B834" s="526" t="s">
        <v>157</v>
      </c>
      <c r="C834" s="527">
        <v>0.0</v>
      </c>
      <c r="D834" s="527">
        <v>0.0</v>
      </c>
      <c r="F834" s="36" t="s">
        <v>7798</v>
      </c>
      <c r="G834" s="125" t="s">
        <v>893</v>
      </c>
      <c r="H834" s="125" t="s">
        <v>32</v>
      </c>
      <c r="I834" t="s">
        <v>153</v>
      </c>
    </row>
    <row r="835">
      <c r="A835" s="125" t="s">
        <v>154</v>
      </c>
      <c r="B835" s="526" t="s">
        <v>155</v>
      </c>
      <c r="C835" s="527">
        <v>2.0</v>
      </c>
      <c r="D835" s="527">
        <v>158.33</v>
      </c>
      <c r="E835" s="528">
        <v>79.165</v>
      </c>
      <c r="F835" s="36" t="s">
        <v>7798</v>
      </c>
      <c r="G835" s="125" t="s">
        <v>913</v>
      </c>
      <c r="H835" s="125" t="s">
        <v>32</v>
      </c>
      <c r="I835" t="s">
        <v>153</v>
      </c>
    </row>
    <row r="836">
      <c r="A836" s="125" t="s">
        <v>91</v>
      </c>
      <c r="B836" s="526">
        <v>43010.0</v>
      </c>
      <c r="C836" s="527">
        <v>0.0</v>
      </c>
      <c r="D836" s="527">
        <v>0.0</v>
      </c>
      <c r="F836" s="36" t="s">
        <v>7798</v>
      </c>
      <c r="G836" s="125" t="s">
        <v>913</v>
      </c>
      <c r="H836" s="125" t="s">
        <v>7801</v>
      </c>
      <c r="I836" t="s">
        <v>81</v>
      </c>
    </row>
    <row r="837">
      <c r="A837" s="125" t="s">
        <v>94</v>
      </c>
      <c r="B837" s="526">
        <v>43032.0</v>
      </c>
      <c r="C837" s="527">
        <v>130.0</v>
      </c>
      <c r="D837" s="527">
        <v>575.67</v>
      </c>
      <c r="E837" s="528">
        <v>4.4282</v>
      </c>
      <c r="F837" s="36" t="s">
        <v>7798</v>
      </c>
      <c r="G837" s="125" t="s">
        <v>913</v>
      </c>
      <c r="H837" s="125" t="s">
        <v>7801</v>
      </c>
      <c r="I837" t="s">
        <v>81</v>
      </c>
    </row>
    <row r="838">
      <c r="A838" s="125" t="s">
        <v>92</v>
      </c>
      <c r="B838" s="526">
        <v>43011.0</v>
      </c>
      <c r="C838" s="527">
        <v>0.0</v>
      </c>
      <c r="D838" s="527">
        <v>0.0</v>
      </c>
      <c r="F838" s="36" t="s">
        <v>7798</v>
      </c>
      <c r="G838" s="125" t="s">
        <v>893</v>
      </c>
      <c r="H838" s="125" t="s">
        <v>7801</v>
      </c>
      <c r="I838" t="s">
        <v>81</v>
      </c>
    </row>
    <row r="839">
      <c r="A839" s="125" t="s">
        <v>95</v>
      </c>
      <c r="B839" s="526">
        <v>43033.0</v>
      </c>
      <c r="C839" s="527">
        <v>136.0</v>
      </c>
      <c r="D839" s="527">
        <v>606.6</v>
      </c>
      <c r="E839" s="528">
        <v>4.4603</v>
      </c>
      <c r="F839" s="36" t="s">
        <v>7798</v>
      </c>
      <c r="G839" s="125" t="s">
        <v>913</v>
      </c>
      <c r="H839" s="125" t="s">
        <v>7801</v>
      </c>
      <c r="I839" t="s">
        <v>81</v>
      </c>
    </row>
    <row r="840">
      <c r="A840" s="125" t="s">
        <v>96</v>
      </c>
      <c r="B840" s="526">
        <v>43034.0</v>
      </c>
      <c r="C840" s="527">
        <v>148.0</v>
      </c>
      <c r="D840" s="527">
        <v>668.43</v>
      </c>
      <c r="E840" s="528">
        <v>4.5164</v>
      </c>
      <c r="F840" s="36" t="s">
        <v>7798</v>
      </c>
      <c r="G840" s="125" t="s">
        <v>913</v>
      </c>
      <c r="H840" s="125" t="s">
        <v>7801</v>
      </c>
      <c r="I840" t="s">
        <v>81</v>
      </c>
    </row>
    <row r="841">
      <c r="A841" s="125" t="s">
        <v>2515</v>
      </c>
      <c r="B841" s="526">
        <v>43008.0</v>
      </c>
      <c r="C841" s="527">
        <v>0.0</v>
      </c>
      <c r="D841" s="527">
        <v>0.0</v>
      </c>
      <c r="F841" s="36" t="s">
        <v>7798</v>
      </c>
      <c r="G841" s="125" t="s">
        <v>893</v>
      </c>
      <c r="H841" s="125" t="s">
        <v>7801</v>
      </c>
      <c r="I841" t="s">
        <v>81</v>
      </c>
    </row>
    <row r="842">
      <c r="A842" s="125" t="s">
        <v>86</v>
      </c>
      <c r="B842" s="526">
        <v>43001.0</v>
      </c>
      <c r="C842" s="527">
        <v>1.0</v>
      </c>
      <c r="D842" s="527">
        <v>4.04</v>
      </c>
      <c r="E842" s="528">
        <v>4.04</v>
      </c>
      <c r="F842" s="36" t="s">
        <v>7798</v>
      </c>
      <c r="G842" s="125" t="s">
        <v>913</v>
      </c>
      <c r="H842" s="125" t="s">
        <v>7801</v>
      </c>
      <c r="I842" t="s">
        <v>81</v>
      </c>
    </row>
    <row r="843">
      <c r="A843" s="125" t="s">
        <v>88</v>
      </c>
      <c r="B843" s="526">
        <v>43003.0</v>
      </c>
      <c r="C843" s="527">
        <v>146.0</v>
      </c>
      <c r="D843" s="527">
        <v>493.47</v>
      </c>
      <c r="E843" s="528">
        <v>3.3799</v>
      </c>
      <c r="F843" s="36" t="s">
        <v>7798</v>
      </c>
      <c r="G843" s="125" t="s">
        <v>913</v>
      </c>
      <c r="H843" s="125" t="s">
        <v>7801</v>
      </c>
      <c r="I843" t="s">
        <v>81</v>
      </c>
    </row>
    <row r="844">
      <c r="A844" s="125" t="s">
        <v>90</v>
      </c>
      <c r="B844" s="526">
        <v>43006.0</v>
      </c>
      <c r="C844" s="527">
        <v>0.0</v>
      </c>
      <c r="D844" s="527">
        <v>0.0</v>
      </c>
      <c r="F844" s="36" t="s">
        <v>7798</v>
      </c>
      <c r="G844" s="125" t="s">
        <v>893</v>
      </c>
      <c r="H844" s="125" t="s">
        <v>7801</v>
      </c>
      <c r="I844" t="s">
        <v>81</v>
      </c>
    </row>
    <row r="845">
      <c r="A845" s="125" t="s">
        <v>89</v>
      </c>
      <c r="B845" s="526">
        <v>43004.0</v>
      </c>
      <c r="C845" s="527">
        <v>148.0</v>
      </c>
      <c r="D845" s="527">
        <v>500.21</v>
      </c>
      <c r="E845" s="528">
        <v>3.3798</v>
      </c>
      <c r="F845" s="36" t="s">
        <v>7798</v>
      </c>
      <c r="G845" s="125" t="s">
        <v>913</v>
      </c>
      <c r="H845" s="125" t="s">
        <v>7801</v>
      </c>
      <c r="I845" t="s">
        <v>81</v>
      </c>
    </row>
    <row r="846">
      <c r="A846" s="125" t="s">
        <v>93</v>
      </c>
      <c r="B846" s="526">
        <v>43012.0</v>
      </c>
      <c r="C846" s="527">
        <v>39.0</v>
      </c>
      <c r="D846" s="527">
        <v>131.71</v>
      </c>
      <c r="E846" s="528">
        <v>3.3772</v>
      </c>
      <c r="F846" s="36" t="s">
        <v>7798</v>
      </c>
      <c r="G846" s="125" t="s">
        <v>913</v>
      </c>
      <c r="H846" s="125" t="s">
        <v>7801</v>
      </c>
      <c r="I846" t="s">
        <v>81</v>
      </c>
    </row>
    <row r="847">
      <c r="A847" s="125" t="s">
        <v>84</v>
      </c>
      <c r="B847" s="526" t="s">
        <v>85</v>
      </c>
      <c r="C847" s="527">
        <v>0.0</v>
      </c>
      <c r="D847" s="527">
        <v>0.0</v>
      </c>
      <c r="F847" s="36" t="s">
        <v>7798</v>
      </c>
      <c r="G847" s="125" t="s">
        <v>913</v>
      </c>
      <c r="H847" s="125" t="s">
        <v>7801</v>
      </c>
      <c r="I847" t="s">
        <v>81</v>
      </c>
    </row>
    <row r="848">
      <c r="A848" s="125" t="s">
        <v>82</v>
      </c>
      <c r="B848" s="526" t="s">
        <v>83</v>
      </c>
      <c r="C848" s="527">
        <v>1.0</v>
      </c>
      <c r="D848" s="527">
        <v>51.21</v>
      </c>
      <c r="E848" s="528">
        <v>51.21</v>
      </c>
      <c r="F848" s="36" t="s">
        <v>7807</v>
      </c>
      <c r="G848" s="125" t="s">
        <v>913</v>
      </c>
      <c r="H848" s="125" t="s">
        <v>7801</v>
      </c>
      <c r="I848" t="s">
        <v>81</v>
      </c>
    </row>
    <row r="849">
      <c r="A849" s="125" t="s">
        <v>2516</v>
      </c>
      <c r="B849" s="526">
        <v>992412.0</v>
      </c>
      <c r="C849" s="527">
        <v>40.0</v>
      </c>
      <c r="D849" s="527">
        <v>0.0</v>
      </c>
      <c r="E849" s="528">
        <v>0.0</v>
      </c>
      <c r="F849" s="36" t="s">
        <v>7798</v>
      </c>
      <c r="G849" s="125" t="s">
        <v>893</v>
      </c>
      <c r="H849" s="125" t="s">
        <v>32</v>
      </c>
      <c r="I849" t="s">
        <v>45</v>
      </c>
    </row>
    <row r="850">
      <c r="A850" s="125" t="s">
        <v>2517</v>
      </c>
      <c r="B850" s="526">
        <v>992401.0</v>
      </c>
      <c r="C850" s="527">
        <v>160.0</v>
      </c>
      <c r="D850" s="527">
        <v>0.0</v>
      </c>
      <c r="E850" s="528">
        <v>0.0</v>
      </c>
      <c r="F850" s="36" t="s">
        <v>7798</v>
      </c>
      <c r="G850" s="125" t="s">
        <v>893</v>
      </c>
      <c r="H850" s="125" t="s">
        <v>32</v>
      </c>
      <c r="I850" t="s">
        <v>45</v>
      </c>
    </row>
    <row r="851">
      <c r="A851" s="125" t="s">
        <v>2518</v>
      </c>
      <c r="B851" s="526">
        <v>41101.0</v>
      </c>
      <c r="C851" s="527">
        <v>0.0</v>
      </c>
      <c r="D851" s="527">
        <v>0.0</v>
      </c>
      <c r="F851" s="36" t="s">
        <v>7798</v>
      </c>
      <c r="G851" s="125" t="s">
        <v>893</v>
      </c>
      <c r="H851" s="125" t="s">
        <v>7801</v>
      </c>
      <c r="I851" t="s">
        <v>7864</v>
      </c>
    </row>
    <row r="852">
      <c r="A852" s="125" t="s">
        <v>2519</v>
      </c>
      <c r="B852" s="526">
        <v>41103.0</v>
      </c>
      <c r="C852" s="527">
        <v>99.0</v>
      </c>
      <c r="D852" s="527">
        <v>347.92</v>
      </c>
      <c r="E852" s="528">
        <v>3.5143</v>
      </c>
      <c r="F852" s="36" t="s">
        <v>7798</v>
      </c>
      <c r="G852" s="125" t="s">
        <v>913</v>
      </c>
      <c r="H852" s="125" t="s">
        <v>7801</v>
      </c>
      <c r="I852" t="s">
        <v>7864</v>
      </c>
    </row>
    <row r="853">
      <c r="A853" s="125" t="s">
        <v>2520</v>
      </c>
      <c r="B853" s="526">
        <v>41102.0</v>
      </c>
      <c r="C853" s="527">
        <v>60.0</v>
      </c>
      <c r="D853" s="527">
        <v>210.77</v>
      </c>
      <c r="E853" s="528">
        <v>3.5128</v>
      </c>
      <c r="F853" s="36" t="s">
        <v>7798</v>
      </c>
      <c r="G853" s="125" t="s">
        <v>913</v>
      </c>
      <c r="H853" s="125" t="s">
        <v>7801</v>
      </c>
      <c r="I853" t="s">
        <v>7864</v>
      </c>
    </row>
    <row r="854">
      <c r="A854" s="125" t="s">
        <v>2521</v>
      </c>
      <c r="B854" s="526">
        <v>41104.0</v>
      </c>
      <c r="C854" s="527">
        <v>0.0</v>
      </c>
      <c r="D854" s="527">
        <v>0.0</v>
      </c>
      <c r="F854" s="36" t="s">
        <v>7798</v>
      </c>
      <c r="G854" s="125" t="s">
        <v>893</v>
      </c>
      <c r="H854" s="125" t="s">
        <v>7801</v>
      </c>
      <c r="I854" t="s">
        <v>7864</v>
      </c>
    </row>
    <row r="855">
      <c r="A855" s="125" t="s">
        <v>2523</v>
      </c>
      <c r="B855" s="526" t="s">
        <v>2522</v>
      </c>
      <c r="C855" s="527">
        <v>48.0</v>
      </c>
      <c r="D855" s="527">
        <v>0.0</v>
      </c>
      <c r="E855" s="528">
        <v>0.0</v>
      </c>
      <c r="F855" s="36" t="s">
        <v>7798</v>
      </c>
      <c r="G855" s="125" t="s">
        <v>913</v>
      </c>
      <c r="H855" s="125" t="s">
        <v>7801</v>
      </c>
      <c r="I855" t="s">
        <v>7864</v>
      </c>
    </row>
    <row r="856">
      <c r="A856" s="125" t="s">
        <v>2525</v>
      </c>
      <c r="B856" s="526" t="s">
        <v>2524</v>
      </c>
      <c r="C856" s="527">
        <v>0.0</v>
      </c>
      <c r="D856" s="527">
        <v>0.0</v>
      </c>
      <c r="F856" s="36" t="s">
        <v>7798</v>
      </c>
      <c r="G856" s="125" t="s">
        <v>913</v>
      </c>
      <c r="H856" s="125" t="s">
        <v>7801</v>
      </c>
      <c r="I856" t="s">
        <v>7864</v>
      </c>
    </row>
    <row r="857">
      <c r="A857" s="125" t="s">
        <v>171</v>
      </c>
      <c r="B857" s="526">
        <v>41001.0</v>
      </c>
      <c r="C857" s="527">
        <v>24.0</v>
      </c>
      <c r="D857" s="527">
        <v>395.86</v>
      </c>
      <c r="E857" s="528">
        <v>16.4942</v>
      </c>
      <c r="F857" s="36" t="s">
        <v>7798</v>
      </c>
      <c r="G857" s="125" t="s">
        <v>913</v>
      </c>
      <c r="H857" s="125" t="s">
        <v>32</v>
      </c>
      <c r="I857" t="s">
        <v>170</v>
      </c>
    </row>
    <row r="858">
      <c r="A858" s="125" t="s">
        <v>172</v>
      </c>
      <c r="B858" s="526">
        <v>41002.0</v>
      </c>
      <c r="C858" s="527">
        <v>5.0</v>
      </c>
      <c r="D858" s="527">
        <v>82.47</v>
      </c>
      <c r="E858" s="528">
        <v>16.494</v>
      </c>
      <c r="F858" s="36" t="s">
        <v>7798</v>
      </c>
      <c r="G858" s="125" t="s">
        <v>913</v>
      </c>
      <c r="H858" s="125" t="s">
        <v>32</v>
      </c>
      <c r="I858" t="s">
        <v>170</v>
      </c>
    </row>
    <row r="859">
      <c r="A859" s="125" t="s">
        <v>2526</v>
      </c>
      <c r="B859" s="526">
        <v>41005.0</v>
      </c>
      <c r="C859" s="527">
        <v>0.0</v>
      </c>
      <c r="D859" s="527">
        <v>0.0</v>
      </c>
      <c r="F859" s="36" t="s">
        <v>7798</v>
      </c>
      <c r="G859" s="125" t="s">
        <v>893</v>
      </c>
      <c r="H859" s="125" t="s">
        <v>7801</v>
      </c>
      <c r="I859" t="s">
        <v>170</v>
      </c>
    </row>
    <row r="860">
      <c r="A860" s="125" t="s">
        <v>174</v>
      </c>
      <c r="B860" s="526">
        <v>41034.0</v>
      </c>
      <c r="C860" s="527">
        <v>53.0</v>
      </c>
      <c r="D860" s="527">
        <v>688.31</v>
      </c>
      <c r="E860" s="528">
        <v>12.987</v>
      </c>
      <c r="F860" s="36" t="s">
        <v>7798</v>
      </c>
      <c r="G860" s="125" t="s">
        <v>913</v>
      </c>
      <c r="H860" s="125" t="s">
        <v>7801</v>
      </c>
      <c r="I860" t="s">
        <v>170</v>
      </c>
    </row>
    <row r="861">
      <c r="A861" s="125" t="s">
        <v>173</v>
      </c>
      <c r="B861" s="526">
        <v>41023.0</v>
      </c>
      <c r="C861" s="527">
        <v>8.0</v>
      </c>
      <c r="D861" s="527">
        <v>145.67</v>
      </c>
      <c r="E861" s="528">
        <v>18.2088</v>
      </c>
      <c r="F861" s="36" t="s">
        <v>7798</v>
      </c>
      <c r="G861" s="125" t="s">
        <v>913</v>
      </c>
      <c r="H861" s="125" t="s">
        <v>7801</v>
      </c>
      <c r="I861" t="s">
        <v>170</v>
      </c>
    </row>
    <row r="862">
      <c r="A862" s="125" t="s">
        <v>2527</v>
      </c>
      <c r="B862" s="526">
        <v>41004.0</v>
      </c>
      <c r="C862" s="527">
        <v>0.0</v>
      </c>
      <c r="D862" s="527">
        <v>0.0</v>
      </c>
      <c r="F862" s="36" t="s">
        <v>7798</v>
      </c>
      <c r="G862" s="125" t="s">
        <v>893</v>
      </c>
      <c r="H862" s="125" t="s">
        <v>7801</v>
      </c>
      <c r="I862" t="s">
        <v>170</v>
      </c>
    </row>
    <row r="863">
      <c r="A863" s="125" t="s">
        <v>2528</v>
      </c>
      <c r="B863" s="526">
        <v>41003.0</v>
      </c>
      <c r="C863" s="527">
        <v>0.0</v>
      </c>
      <c r="D863" s="527">
        <v>0.0</v>
      </c>
      <c r="F863" s="36" t="s">
        <v>7798</v>
      </c>
      <c r="G863" s="125" t="s">
        <v>893</v>
      </c>
      <c r="H863" s="125" t="s">
        <v>7801</v>
      </c>
      <c r="I863" t="s">
        <v>170</v>
      </c>
    </row>
    <row r="864">
      <c r="A864" s="125" t="s">
        <v>2530</v>
      </c>
      <c r="B864" s="526" t="s">
        <v>2529</v>
      </c>
      <c r="C864" s="527">
        <v>0.0</v>
      </c>
      <c r="D864" s="527">
        <v>0.0</v>
      </c>
      <c r="F864" s="36" t="s">
        <v>7798</v>
      </c>
      <c r="G864" s="125" t="s">
        <v>893</v>
      </c>
      <c r="H864" s="125" t="s">
        <v>7801</v>
      </c>
      <c r="I864" t="s">
        <v>7842</v>
      </c>
    </row>
    <row r="865">
      <c r="A865" s="125" t="s">
        <v>2532</v>
      </c>
      <c r="B865" s="526" t="s">
        <v>2531</v>
      </c>
      <c r="C865" s="527">
        <v>21.0</v>
      </c>
      <c r="D865" s="527">
        <v>0.18</v>
      </c>
      <c r="E865" s="528">
        <v>0.0086</v>
      </c>
      <c r="F865" s="36" t="s">
        <v>7798</v>
      </c>
      <c r="G865" s="125" t="s">
        <v>893</v>
      </c>
      <c r="H865" s="125" t="s">
        <v>7801</v>
      </c>
      <c r="I865" t="s">
        <v>45</v>
      </c>
    </row>
    <row r="866">
      <c r="A866" s="125" t="s">
        <v>2534</v>
      </c>
      <c r="B866" s="526" t="s">
        <v>2533</v>
      </c>
      <c r="C866" s="527">
        <v>0.0</v>
      </c>
      <c r="D866" s="527">
        <v>0.0</v>
      </c>
      <c r="F866" s="36" t="s">
        <v>7807</v>
      </c>
      <c r="G866" s="125" t="s">
        <v>913</v>
      </c>
      <c r="H866" s="125" t="s">
        <v>7801</v>
      </c>
      <c r="I866" t="s">
        <v>7806</v>
      </c>
    </row>
    <row r="867">
      <c r="A867" s="125" t="s">
        <v>2536</v>
      </c>
      <c r="B867" s="526" t="s">
        <v>2535</v>
      </c>
      <c r="C867" s="527">
        <v>0.0</v>
      </c>
      <c r="D867" s="527">
        <v>0.0</v>
      </c>
      <c r="F867" s="36" t="s">
        <v>7798</v>
      </c>
      <c r="G867" s="125" t="s">
        <v>913</v>
      </c>
      <c r="H867" s="125" t="s">
        <v>7821</v>
      </c>
      <c r="I867" t="s">
        <v>7806</v>
      </c>
    </row>
    <row r="868">
      <c r="A868" s="125" t="s">
        <v>2538</v>
      </c>
      <c r="B868" s="526" t="s">
        <v>2537</v>
      </c>
      <c r="C868" s="527">
        <v>29.0</v>
      </c>
      <c r="D868" s="527">
        <v>674.25</v>
      </c>
      <c r="E868" s="528">
        <v>23.25</v>
      </c>
      <c r="F868" s="36" t="s">
        <v>7798</v>
      </c>
      <c r="G868" s="125" t="s">
        <v>913</v>
      </c>
      <c r="H868" s="125" t="s">
        <v>7821</v>
      </c>
      <c r="I868" t="s">
        <v>45</v>
      </c>
    </row>
    <row r="869">
      <c r="A869" s="125" t="s">
        <v>2540</v>
      </c>
      <c r="B869" s="526" t="s">
        <v>2539</v>
      </c>
      <c r="C869" s="527">
        <v>167.0</v>
      </c>
      <c r="D869" s="527">
        <v>3668.85</v>
      </c>
      <c r="E869" s="528">
        <v>21.9692</v>
      </c>
      <c r="F869" s="36" t="s">
        <v>7798</v>
      </c>
      <c r="G869" s="125" t="s">
        <v>913</v>
      </c>
      <c r="H869" s="125" t="s">
        <v>7808</v>
      </c>
      <c r="I869" t="s">
        <v>45</v>
      </c>
    </row>
    <row r="870">
      <c r="A870" s="125" t="s">
        <v>2542</v>
      </c>
      <c r="B870" s="526" t="s">
        <v>2541</v>
      </c>
      <c r="C870" s="527">
        <v>0.0</v>
      </c>
      <c r="D870" s="527">
        <v>0.0</v>
      </c>
      <c r="F870" s="36" t="s">
        <v>7798</v>
      </c>
      <c r="G870" s="125" t="s">
        <v>913</v>
      </c>
      <c r="H870" s="125" t="s">
        <v>7840</v>
      </c>
      <c r="I870" t="s">
        <v>7817</v>
      </c>
    </row>
    <row r="871">
      <c r="A871" s="125" t="s">
        <v>2544</v>
      </c>
      <c r="B871" s="526" t="s">
        <v>2543</v>
      </c>
      <c r="C871" s="527">
        <v>22.0</v>
      </c>
      <c r="D871" s="527">
        <v>0.0</v>
      </c>
      <c r="E871" s="528">
        <v>0.0</v>
      </c>
      <c r="F871" s="36" t="s">
        <v>7798</v>
      </c>
      <c r="G871" s="125" t="s">
        <v>913</v>
      </c>
      <c r="H871" s="125" t="s">
        <v>7821</v>
      </c>
      <c r="I871" t="s">
        <v>45</v>
      </c>
    </row>
    <row r="872">
      <c r="A872" s="125" t="s">
        <v>2546</v>
      </c>
      <c r="B872" s="526" t="s">
        <v>2545</v>
      </c>
      <c r="C872" s="527">
        <v>947.0</v>
      </c>
      <c r="D872" s="527">
        <v>402.01</v>
      </c>
      <c r="E872" s="528">
        <v>0.4245</v>
      </c>
      <c r="F872" s="36" t="s">
        <v>7827</v>
      </c>
      <c r="G872" s="125" t="s">
        <v>913</v>
      </c>
      <c r="H872" s="125" t="s">
        <v>7840</v>
      </c>
    </row>
    <row r="873">
      <c r="A873" s="125" t="s">
        <v>2548</v>
      </c>
      <c r="B873" s="526" t="s">
        <v>2547</v>
      </c>
      <c r="C873" s="527">
        <v>114.0</v>
      </c>
      <c r="D873" s="527">
        <v>54.72</v>
      </c>
      <c r="E873" s="528">
        <v>0.48</v>
      </c>
      <c r="F873" s="36" t="s">
        <v>7798</v>
      </c>
      <c r="G873" s="125" t="s">
        <v>913</v>
      </c>
      <c r="H873" s="125" t="s">
        <v>7821</v>
      </c>
      <c r="I873" t="s">
        <v>7834</v>
      </c>
    </row>
    <row r="874">
      <c r="A874" s="125" t="s">
        <v>2550</v>
      </c>
      <c r="B874" s="526" t="s">
        <v>2549</v>
      </c>
      <c r="C874" s="527">
        <v>0.0</v>
      </c>
      <c r="D874" s="527">
        <v>0.0</v>
      </c>
      <c r="F874" s="36" t="s">
        <v>7798</v>
      </c>
      <c r="G874" s="125" t="s">
        <v>893</v>
      </c>
      <c r="H874" s="125" t="s">
        <v>7799</v>
      </c>
      <c r="I874" t="s">
        <v>7865</v>
      </c>
    </row>
    <row r="875">
      <c r="A875" s="125" t="s">
        <v>2552</v>
      </c>
      <c r="B875" s="526" t="s">
        <v>2551</v>
      </c>
      <c r="C875" s="527">
        <v>0.0</v>
      </c>
      <c r="D875" s="527">
        <v>0.0</v>
      </c>
      <c r="F875" s="36" t="s">
        <v>7798</v>
      </c>
      <c r="G875" s="125" t="s">
        <v>893</v>
      </c>
      <c r="H875" s="125" t="s">
        <v>7799</v>
      </c>
      <c r="I875" t="s">
        <v>7865</v>
      </c>
    </row>
    <row r="876">
      <c r="A876" s="125" t="s">
        <v>2556</v>
      </c>
      <c r="B876" s="526" t="s">
        <v>2555</v>
      </c>
      <c r="C876" s="527">
        <v>588.0</v>
      </c>
      <c r="D876" s="527">
        <v>323.4</v>
      </c>
      <c r="E876" s="528">
        <v>0.55</v>
      </c>
      <c r="F876" s="36" t="s">
        <v>7798</v>
      </c>
      <c r="G876" s="125" t="s">
        <v>913</v>
      </c>
      <c r="H876" s="125" t="s">
        <v>7821</v>
      </c>
      <c r="I876" t="s">
        <v>7823</v>
      </c>
    </row>
    <row r="877">
      <c r="A877" s="125" t="s">
        <v>2558</v>
      </c>
      <c r="B877" s="526" t="s">
        <v>2557</v>
      </c>
      <c r="C877" s="527">
        <v>344.0</v>
      </c>
      <c r="D877" s="527">
        <v>172.0</v>
      </c>
      <c r="E877" s="528">
        <v>0.5</v>
      </c>
      <c r="F877" s="36" t="s">
        <v>7798</v>
      </c>
      <c r="G877" s="125" t="s">
        <v>913</v>
      </c>
      <c r="H877" s="125" t="s">
        <v>7821</v>
      </c>
      <c r="I877" t="s">
        <v>7838</v>
      </c>
    </row>
    <row r="878">
      <c r="A878" s="125" t="s">
        <v>2559</v>
      </c>
      <c r="B878" s="526">
        <v>78360.0</v>
      </c>
      <c r="C878" s="527">
        <v>0.0</v>
      </c>
      <c r="D878" s="527">
        <v>0.0</v>
      </c>
      <c r="F878" s="36" t="s">
        <v>7798</v>
      </c>
      <c r="G878" s="125" t="s">
        <v>893</v>
      </c>
      <c r="H878" s="125" t="s">
        <v>7799</v>
      </c>
      <c r="I878" t="s">
        <v>7866</v>
      </c>
    </row>
    <row r="879">
      <c r="A879" s="125" t="s">
        <v>2560</v>
      </c>
      <c r="B879" s="526">
        <v>78798.0</v>
      </c>
      <c r="C879" s="527">
        <v>0.0</v>
      </c>
      <c r="D879" s="527">
        <v>0.0</v>
      </c>
      <c r="F879" s="36" t="s">
        <v>7798</v>
      </c>
      <c r="G879" s="125" t="s">
        <v>893</v>
      </c>
      <c r="H879" s="125" t="s">
        <v>7799</v>
      </c>
      <c r="I879" t="s">
        <v>7866</v>
      </c>
    </row>
    <row r="880">
      <c r="A880" s="125" t="s">
        <v>2562</v>
      </c>
      <c r="B880" s="526" t="s">
        <v>2561</v>
      </c>
      <c r="C880" s="527">
        <v>0.0</v>
      </c>
      <c r="D880" s="527">
        <v>0.0</v>
      </c>
      <c r="F880" s="36" t="s">
        <v>7798</v>
      </c>
      <c r="G880" s="125" t="s">
        <v>913</v>
      </c>
      <c r="H880" s="125" t="s">
        <v>7828</v>
      </c>
    </row>
    <row r="881">
      <c r="A881" s="125" t="s">
        <v>2564</v>
      </c>
      <c r="B881" s="526" t="s">
        <v>2563</v>
      </c>
      <c r="C881" s="527">
        <v>1000.0</v>
      </c>
      <c r="D881" s="527">
        <v>2081.1</v>
      </c>
      <c r="E881" s="528">
        <v>2.0811</v>
      </c>
      <c r="F881" s="36" t="s">
        <v>7798</v>
      </c>
      <c r="G881" s="125" t="s">
        <v>913</v>
      </c>
      <c r="H881" s="125" t="s">
        <v>7828</v>
      </c>
    </row>
    <row r="882">
      <c r="A882" s="125" t="s">
        <v>2566</v>
      </c>
      <c r="B882" s="526" t="s">
        <v>2565</v>
      </c>
      <c r="C882" s="527">
        <v>2000.0</v>
      </c>
      <c r="D882" s="527">
        <v>3882.37</v>
      </c>
      <c r="E882" s="528">
        <v>1.9412</v>
      </c>
      <c r="F882" s="36" t="s">
        <v>7798</v>
      </c>
      <c r="G882" s="125" t="s">
        <v>913</v>
      </c>
      <c r="H882" s="125" t="s">
        <v>7828</v>
      </c>
    </row>
    <row r="883">
      <c r="A883" s="125" t="s">
        <v>2568</v>
      </c>
      <c r="B883" s="526" t="s">
        <v>2567</v>
      </c>
      <c r="C883" s="527">
        <v>0.0</v>
      </c>
      <c r="D883" s="527">
        <v>0.0</v>
      </c>
      <c r="F883" s="36" t="s">
        <v>7798</v>
      </c>
      <c r="G883" s="125" t="s">
        <v>913</v>
      </c>
      <c r="H883" s="125" t="s">
        <v>7828</v>
      </c>
    </row>
    <row r="884">
      <c r="A884" s="125" t="s">
        <v>2580</v>
      </c>
      <c r="B884" s="526" t="s">
        <v>2579</v>
      </c>
      <c r="C884" s="527">
        <v>0.0</v>
      </c>
      <c r="D884" s="527">
        <v>0.0</v>
      </c>
      <c r="F884" s="36" t="s">
        <v>7798</v>
      </c>
      <c r="G884" s="125" t="s">
        <v>893</v>
      </c>
      <c r="H884" s="125" t="s">
        <v>7799</v>
      </c>
      <c r="I884" t="s">
        <v>278</v>
      </c>
    </row>
    <row r="885">
      <c r="A885" s="125" t="s">
        <v>2582</v>
      </c>
      <c r="B885" s="526" t="s">
        <v>2581</v>
      </c>
      <c r="C885" s="527">
        <v>336.0</v>
      </c>
      <c r="D885" s="527">
        <v>174.72</v>
      </c>
      <c r="E885" s="528">
        <v>0.52</v>
      </c>
      <c r="F885" s="36" t="s">
        <v>7798</v>
      </c>
      <c r="G885" s="125" t="s">
        <v>913</v>
      </c>
      <c r="H885" s="125" t="s">
        <v>7821</v>
      </c>
      <c r="I885" t="s">
        <v>7834</v>
      </c>
    </row>
    <row r="886">
      <c r="A886" s="125" t="s">
        <v>2583</v>
      </c>
      <c r="B886" s="526">
        <v>96001.0</v>
      </c>
      <c r="C886" s="527">
        <v>0.0</v>
      </c>
      <c r="D886" s="527">
        <v>0.0</v>
      </c>
      <c r="F886" s="36" t="s">
        <v>7798</v>
      </c>
      <c r="G886" s="125" t="s">
        <v>893</v>
      </c>
      <c r="H886" s="125" t="s">
        <v>7799</v>
      </c>
      <c r="I886" t="s">
        <v>33</v>
      </c>
    </row>
    <row r="887">
      <c r="A887" s="125" t="s">
        <v>2585</v>
      </c>
      <c r="B887" s="526">
        <v>96005.0</v>
      </c>
      <c r="C887" s="527">
        <v>0.0</v>
      </c>
      <c r="D887" s="527">
        <v>0.0</v>
      </c>
      <c r="F887" s="36" t="s">
        <v>7798</v>
      </c>
      <c r="G887" s="125" t="s">
        <v>893</v>
      </c>
      <c r="H887" s="125" t="s">
        <v>7799</v>
      </c>
      <c r="I887" t="s">
        <v>33</v>
      </c>
    </row>
    <row r="888">
      <c r="A888" s="125" t="s">
        <v>2587</v>
      </c>
      <c r="B888" s="526" t="s">
        <v>2586</v>
      </c>
      <c r="C888" s="527">
        <v>0.0</v>
      </c>
      <c r="D888" s="527">
        <v>0.0</v>
      </c>
      <c r="F888" s="36" t="s">
        <v>7798</v>
      </c>
      <c r="G888" s="125" t="s">
        <v>893</v>
      </c>
      <c r="H888" s="125" t="s">
        <v>7799</v>
      </c>
      <c r="I888" t="s">
        <v>45</v>
      </c>
    </row>
    <row r="889">
      <c r="A889" s="125" t="s">
        <v>2588</v>
      </c>
      <c r="B889" s="526">
        <v>96003.0</v>
      </c>
      <c r="C889" s="527">
        <v>0.0</v>
      </c>
      <c r="D889" s="527">
        <v>0.0</v>
      </c>
      <c r="F889" s="36" t="s">
        <v>7798</v>
      </c>
      <c r="G889" s="125" t="s">
        <v>893</v>
      </c>
      <c r="H889" s="125" t="s">
        <v>7799</v>
      </c>
      <c r="I889" t="s">
        <v>33</v>
      </c>
    </row>
    <row r="890">
      <c r="A890" s="125" t="s">
        <v>2589</v>
      </c>
      <c r="B890" s="526">
        <v>96004.0</v>
      </c>
      <c r="C890" s="527">
        <v>0.0</v>
      </c>
      <c r="D890" s="527">
        <v>0.0</v>
      </c>
      <c r="F890" s="36" t="s">
        <v>7798</v>
      </c>
      <c r="G890" s="125" t="s">
        <v>893</v>
      </c>
      <c r="H890" s="125" t="s">
        <v>7799</v>
      </c>
      <c r="I890" t="s">
        <v>33</v>
      </c>
    </row>
    <row r="891">
      <c r="A891" s="125" t="s">
        <v>2591</v>
      </c>
      <c r="B891" s="526" t="s">
        <v>2590</v>
      </c>
      <c r="C891" s="527">
        <v>0.0</v>
      </c>
      <c r="D891" s="527">
        <v>0.0</v>
      </c>
      <c r="F891" s="36" t="s">
        <v>7798</v>
      </c>
      <c r="G891" s="125" t="s">
        <v>893</v>
      </c>
      <c r="H891" s="125" t="s">
        <v>7799</v>
      </c>
      <c r="I891" t="s">
        <v>7867</v>
      </c>
    </row>
    <row r="892">
      <c r="A892" s="125" t="s">
        <v>434</v>
      </c>
      <c r="B892" s="526" t="s">
        <v>435</v>
      </c>
      <c r="C892" s="527">
        <v>879.0</v>
      </c>
      <c r="D892" s="527">
        <v>5871.54</v>
      </c>
      <c r="E892" s="528">
        <v>6.6798</v>
      </c>
      <c r="F892" s="36" t="s">
        <v>7798</v>
      </c>
      <c r="G892" s="125" t="s">
        <v>913</v>
      </c>
      <c r="H892" s="125" t="s">
        <v>7809</v>
      </c>
      <c r="I892" t="s">
        <v>431</v>
      </c>
    </row>
    <row r="893">
      <c r="A893" s="125" t="s">
        <v>2593</v>
      </c>
      <c r="B893" s="526" t="s">
        <v>2592</v>
      </c>
      <c r="C893" s="527">
        <v>920.0</v>
      </c>
      <c r="D893" s="527">
        <v>385.14</v>
      </c>
      <c r="E893" s="528">
        <v>0.4186</v>
      </c>
      <c r="F893" s="36" t="s">
        <v>7827</v>
      </c>
      <c r="G893" s="125" t="s">
        <v>913</v>
      </c>
      <c r="H893" s="125" t="s">
        <v>7840</v>
      </c>
    </row>
    <row r="894">
      <c r="A894" s="125" t="s">
        <v>2601</v>
      </c>
      <c r="B894" s="526" t="s">
        <v>2600</v>
      </c>
      <c r="C894" s="527">
        <v>582.0</v>
      </c>
      <c r="D894" s="527">
        <v>320.1</v>
      </c>
      <c r="E894" s="528">
        <v>0.55</v>
      </c>
      <c r="F894" s="36" t="s">
        <v>7798</v>
      </c>
      <c r="G894" s="125" t="s">
        <v>913</v>
      </c>
      <c r="H894" s="125" t="s">
        <v>7821</v>
      </c>
      <c r="I894" t="s">
        <v>7823</v>
      </c>
    </row>
    <row r="895">
      <c r="A895" s="125" t="s">
        <v>2603</v>
      </c>
      <c r="B895" s="526" t="s">
        <v>2602</v>
      </c>
      <c r="C895" s="527">
        <v>570.0</v>
      </c>
      <c r="D895" s="527">
        <v>285.0</v>
      </c>
      <c r="E895" s="528">
        <v>0.5</v>
      </c>
      <c r="F895" s="36" t="s">
        <v>7798</v>
      </c>
      <c r="G895" s="125" t="s">
        <v>913</v>
      </c>
      <c r="H895" s="125" t="s">
        <v>7821</v>
      </c>
      <c r="I895" t="s">
        <v>7838</v>
      </c>
    </row>
    <row r="896">
      <c r="A896" s="125" t="s">
        <v>2605</v>
      </c>
      <c r="B896" s="526" t="s">
        <v>2604</v>
      </c>
      <c r="C896" s="527">
        <v>0.0</v>
      </c>
      <c r="D896" s="527">
        <v>0.0</v>
      </c>
      <c r="F896" s="36" t="s">
        <v>7798</v>
      </c>
      <c r="G896" s="125" t="s">
        <v>893</v>
      </c>
      <c r="H896" s="125" t="s">
        <v>7801</v>
      </c>
      <c r="I896" t="s">
        <v>7868</v>
      </c>
    </row>
    <row r="897">
      <c r="A897" s="125" t="s">
        <v>2607</v>
      </c>
      <c r="B897" s="526" t="s">
        <v>2606</v>
      </c>
      <c r="C897" s="527">
        <v>396.0</v>
      </c>
      <c r="D897" s="527">
        <v>1539.4</v>
      </c>
      <c r="E897" s="528">
        <v>3.8874</v>
      </c>
      <c r="F897" s="36" t="s">
        <v>7798</v>
      </c>
      <c r="G897" s="125" t="s">
        <v>913</v>
      </c>
      <c r="H897" s="125" t="s">
        <v>7801</v>
      </c>
      <c r="I897" t="s">
        <v>7868</v>
      </c>
    </row>
    <row r="898">
      <c r="A898" s="125" t="s">
        <v>2609</v>
      </c>
      <c r="B898" s="526" t="s">
        <v>2608</v>
      </c>
      <c r="C898" s="527">
        <v>350.0</v>
      </c>
      <c r="D898" s="527">
        <v>1351.91</v>
      </c>
      <c r="E898" s="528">
        <v>3.8626</v>
      </c>
      <c r="F898" s="36" t="s">
        <v>7798</v>
      </c>
      <c r="G898" s="125" t="s">
        <v>913</v>
      </c>
      <c r="H898" s="125" t="s">
        <v>7801</v>
      </c>
      <c r="I898" t="s">
        <v>7868</v>
      </c>
    </row>
    <row r="899">
      <c r="A899" s="125" t="s">
        <v>2611</v>
      </c>
      <c r="B899" s="526" t="s">
        <v>2610</v>
      </c>
      <c r="C899" s="527">
        <v>0.0</v>
      </c>
      <c r="D899" s="527">
        <v>0.0</v>
      </c>
      <c r="F899" s="36" t="s">
        <v>7798</v>
      </c>
      <c r="G899" s="125" t="s">
        <v>893</v>
      </c>
      <c r="H899" s="125" t="s">
        <v>7801</v>
      </c>
      <c r="I899" t="s">
        <v>7868</v>
      </c>
    </row>
    <row r="900">
      <c r="A900" s="125" t="s">
        <v>2617</v>
      </c>
      <c r="B900" s="526" t="s">
        <v>2616</v>
      </c>
      <c r="C900" s="527">
        <v>0.0</v>
      </c>
      <c r="D900" s="527">
        <v>0.0</v>
      </c>
      <c r="F900" s="36" t="s">
        <v>7798</v>
      </c>
      <c r="G900" s="125" t="s">
        <v>913</v>
      </c>
      <c r="H900" s="125" t="s">
        <v>7801</v>
      </c>
      <c r="I900" t="s">
        <v>7804</v>
      </c>
    </row>
    <row r="901">
      <c r="A901" s="125" t="s">
        <v>2619</v>
      </c>
      <c r="B901" s="526" t="s">
        <v>2618</v>
      </c>
      <c r="C901" s="527">
        <v>0.0</v>
      </c>
      <c r="D901" s="527">
        <v>0.0</v>
      </c>
      <c r="F901" s="36" t="s">
        <v>7798</v>
      </c>
      <c r="G901" s="125" t="s">
        <v>893</v>
      </c>
      <c r="H901" s="125" t="s">
        <v>7801</v>
      </c>
      <c r="I901" t="s">
        <v>7804</v>
      </c>
    </row>
    <row r="902">
      <c r="A902" s="125" t="s">
        <v>2623</v>
      </c>
      <c r="B902" s="526" t="s">
        <v>2622</v>
      </c>
      <c r="C902" s="527">
        <v>0.0</v>
      </c>
      <c r="D902" s="527">
        <v>0.0</v>
      </c>
      <c r="F902" s="36" t="s">
        <v>7798</v>
      </c>
      <c r="G902" s="125" t="s">
        <v>893</v>
      </c>
      <c r="H902" s="125" t="s">
        <v>7799</v>
      </c>
      <c r="I902" t="s">
        <v>7869</v>
      </c>
    </row>
    <row r="903">
      <c r="A903" s="125" t="s">
        <v>2625</v>
      </c>
      <c r="B903" s="526" t="s">
        <v>2624</v>
      </c>
      <c r="C903" s="527">
        <v>0.0</v>
      </c>
      <c r="D903" s="527">
        <v>0.0</v>
      </c>
      <c r="F903" s="36" t="s">
        <v>7798</v>
      </c>
      <c r="G903" s="125" t="s">
        <v>893</v>
      </c>
      <c r="H903" s="125" t="s">
        <v>7799</v>
      </c>
      <c r="I903" t="s">
        <v>7839</v>
      </c>
    </row>
    <row r="904">
      <c r="A904" s="125" t="s">
        <v>2627</v>
      </c>
      <c r="B904" s="526" t="s">
        <v>2626</v>
      </c>
      <c r="C904" s="527">
        <v>3937.0</v>
      </c>
      <c r="D904" s="527">
        <v>0.01</v>
      </c>
      <c r="E904" s="528">
        <v>0.0</v>
      </c>
      <c r="F904" s="36" t="s">
        <v>7827</v>
      </c>
      <c r="G904" s="125" t="s">
        <v>913</v>
      </c>
      <c r="H904" s="125" t="s">
        <v>7801</v>
      </c>
    </row>
    <row r="905">
      <c r="A905" s="125" t="s">
        <v>2629</v>
      </c>
      <c r="B905" s="526" t="s">
        <v>2628</v>
      </c>
      <c r="C905" s="527">
        <v>1620.0</v>
      </c>
      <c r="D905" s="527">
        <v>324.0</v>
      </c>
      <c r="E905" s="528">
        <v>0.2</v>
      </c>
      <c r="F905" s="36" t="s">
        <v>7827</v>
      </c>
      <c r="G905" s="125" t="s">
        <v>913</v>
      </c>
      <c r="H905" s="125" t="s">
        <v>7828</v>
      </c>
    </row>
    <row r="906">
      <c r="A906" s="125" t="s">
        <v>198</v>
      </c>
      <c r="B906" s="526" t="s">
        <v>199</v>
      </c>
      <c r="C906" s="527">
        <v>0.0</v>
      </c>
      <c r="D906" s="527">
        <v>0.0</v>
      </c>
      <c r="F906" s="36" t="s">
        <v>7798</v>
      </c>
      <c r="G906" s="125" t="s">
        <v>913</v>
      </c>
      <c r="H906" s="125" t="s">
        <v>7801</v>
      </c>
      <c r="I906" t="s">
        <v>197</v>
      </c>
    </row>
    <row r="907">
      <c r="A907" s="125" t="s">
        <v>200</v>
      </c>
      <c r="B907" s="526" t="s">
        <v>201</v>
      </c>
      <c r="C907" s="527">
        <v>8.0</v>
      </c>
      <c r="D907" s="527">
        <v>41.83</v>
      </c>
      <c r="E907" s="528">
        <v>5.2288</v>
      </c>
      <c r="F907" s="36" t="s">
        <v>7798</v>
      </c>
      <c r="G907" s="125" t="s">
        <v>913</v>
      </c>
      <c r="H907" s="125" t="s">
        <v>7801</v>
      </c>
      <c r="I907" t="s">
        <v>197</v>
      </c>
    </row>
    <row r="908">
      <c r="A908" s="125" t="s">
        <v>204</v>
      </c>
      <c r="B908" s="526" t="s">
        <v>205</v>
      </c>
      <c r="C908" s="527">
        <v>279.0</v>
      </c>
      <c r="D908" s="527">
        <v>1444.85</v>
      </c>
      <c r="E908" s="528">
        <v>5.1787</v>
      </c>
      <c r="F908" s="36" t="s">
        <v>7798</v>
      </c>
      <c r="G908" s="125" t="s">
        <v>913</v>
      </c>
      <c r="H908" s="125" t="s">
        <v>7801</v>
      </c>
      <c r="I908" t="s">
        <v>197</v>
      </c>
    </row>
    <row r="909">
      <c r="A909" s="125" t="s">
        <v>202</v>
      </c>
      <c r="B909" s="526" t="s">
        <v>203</v>
      </c>
      <c r="C909" s="527">
        <v>66.0</v>
      </c>
      <c r="D909" s="527">
        <v>342.06</v>
      </c>
      <c r="E909" s="528">
        <v>5.1827</v>
      </c>
      <c r="F909" s="36" t="s">
        <v>7798</v>
      </c>
      <c r="G909" s="125" t="s">
        <v>913</v>
      </c>
      <c r="H909" s="125" t="s">
        <v>7801</v>
      </c>
      <c r="I909" t="s">
        <v>197</v>
      </c>
    </row>
    <row r="910">
      <c r="A910" s="125" t="s">
        <v>206</v>
      </c>
      <c r="B910" s="526" t="s">
        <v>207</v>
      </c>
      <c r="C910" s="527">
        <v>276.0</v>
      </c>
      <c r="D910" s="527">
        <v>1429.3</v>
      </c>
      <c r="E910" s="528">
        <v>5.1786</v>
      </c>
      <c r="F910" s="36" t="s">
        <v>7798</v>
      </c>
      <c r="G910" s="125" t="s">
        <v>913</v>
      </c>
      <c r="H910" s="125" t="s">
        <v>7801</v>
      </c>
      <c r="I910" t="s">
        <v>197</v>
      </c>
    </row>
    <row r="911">
      <c r="A911" s="125" t="s">
        <v>2633</v>
      </c>
      <c r="B911" s="526" t="s">
        <v>2632</v>
      </c>
      <c r="C911" s="527">
        <v>568.0</v>
      </c>
      <c r="D911" s="527">
        <v>312.4</v>
      </c>
      <c r="E911" s="528">
        <v>0.55</v>
      </c>
      <c r="F911" s="36" t="s">
        <v>7798</v>
      </c>
      <c r="G911" s="125" t="s">
        <v>913</v>
      </c>
      <c r="H911" s="125" t="s">
        <v>7821</v>
      </c>
      <c r="I911" t="s">
        <v>7823</v>
      </c>
    </row>
    <row r="912">
      <c r="A912" s="125" t="s">
        <v>2635</v>
      </c>
      <c r="B912" s="526" t="s">
        <v>2634</v>
      </c>
      <c r="C912" s="527">
        <v>512.0</v>
      </c>
      <c r="D912" s="527">
        <v>256.0</v>
      </c>
      <c r="E912" s="528">
        <v>0.5</v>
      </c>
      <c r="F912" s="36" t="s">
        <v>7798</v>
      </c>
      <c r="G912" s="125" t="s">
        <v>913</v>
      </c>
      <c r="H912" s="125" t="s">
        <v>7821</v>
      </c>
      <c r="I912" t="s">
        <v>7838</v>
      </c>
    </row>
    <row r="913">
      <c r="A913" s="125" t="s">
        <v>2639</v>
      </c>
      <c r="B913" s="526" t="s">
        <v>2638</v>
      </c>
      <c r="C913" s="527">
        <v>348.0</v>
      </c>
      <c r="D913" s="527">
        <v>191.4</v>
      </c>
      <c r="E913" s="528">
        <v>0.55</v>
      </c>
      <c r="F913" s="36" t="s">
        <v>7798</v>
      </c>
      <c r="G913" s="125" t="s">
        <v>913</v>
      </c>
      <c r="H913" s="125" t="s">
        <v>7821</v>
      </c>
      <c r="I913" t="s">
        <v>7823</v>
      </c>
    </row>
    <row r="914">
      <c r="A914" s="125" t="s">
        <v>2641</v>
      </c>
      <c r="B914" s="526" t="s">
        <v>2640</v>
      </c>
      <c r="C914" s="527">
        <v>630.0</v>
      </c>
      <c r="D914" s="527">
        <v>315.0</v>
      </c>
      <c r="E914" s="528">
        <v>0.5</v>
      </c>
      <c r="F914" s="36" t="s">
        <v>7798</v>
      </c>
      <c r="G914" s="125" t="s">
        <v>913</v>
      </c>
      <c r="H914" s="125" t="s">
        <v>7821</v>
      </c>
      <c r="I914" t="s">
        <v>7838</v>
      </c>
    </row>
    <row r="915">
      <c r="A915" s="125" t="s">
        <v>2643</v>
      </c>
      <c r="B915" s="526" t="s">
        <v>2642</v>
      </c>
      <c r="C915" s="527">
        <v>168.0</v>
      </c>
      <c r="D915" s="527">
        <v>80.64</v>
      </c>
      <c r="E915" s="528">
        <v>0.48</v>
      </c>
      <c r="F915" s="36" t="s">
        <v>7798</v>
      </c>
      <c r="G915" s="125" t="s">
        <v>913</v>
      </c>
      <c r="H915" s="125" t="s">
        <v>7821</v>
      </c>
      <c r="I915" t="s">
        <v>7834</v>
      </c>
    </row>
    <row r="916">
      <c r="A916" s="125" t="s">
        <v>2645</v>
      </c>
      <c r="B916" s="526" t="s">
        <v>2644</v>
      </c>
      <c r="C916" s="527">
        <v>0.0</v>
      </c>
      <c r="D916" s="527">
        <v>0.0</v>
      </c>
      <c r="F916" s="36" t="s">
        <v>7798</v>
      </c>
      <c r="G916" s="125" t="s">
        <v>893</v>
      </c>
      <c r="H916" s="125" t="s">
        <v>7801</v>
      </c>
      <c r="I916" t="s">
        <v>7870</v>
      </c>
    </row>
    <row r="917">
      <c r="A917" s="125" t="s">
        <v>2649</v>
      </c>
      <c r="B917" s="526" t="s">
        <v>2648</v>
      </c>
      <c r="C917" s="527">
        <v>0.0</v>
      </c>
      <c r="D917" s="527">
        <v>0.0</v>
      </c>
      <c r="F917" s="36" t="s">
        <v>7798</v>
      </c>
      <c r="G917" s="125" t="s">
        <v>893</v>
      </c>
      <c r="H917" s="125" t="s">
        <v>7799</v>
      </c>
      <c r="I917" t="s">
        <v>7871</v>
      </c>
    </row>
    <row r="918">
      <c r="A918" s="125" t="s">
        <v>2651</v>
      </c>
      <c r="B918" s="526" t="s">
        <v>2650</v>
      </c>
      <c r="C918" s="527">
        <v>0.0</v>
      </c>
      <c r="D918" s="527">
        <v>0.0</v>
      </c>
      <c r="F918" s="36" t="s">
        <v>7798</v>
      </c>
      <c r="G918" s="125" t="s">
        <v>893</v>
      </c>
      <c r="H918" s="125" t="s">
        <v>7799</v>
      </c>
      <c r="I918" t="s">
        <v>7841</v>
      </c>
    </row>
    <row r="919">
      <c r="A919" s="125" t="s">
        <v>2653</v>
      </c>
      <c r="B919" s="526" t="s">
        <v>2652</v>
      </c>
      <c r="C919" s="527">
        <v>0.0</v>
      </c>
      <c r="D919" s="527">
        <v>0.0</v>
      </c>
      <c r="F919" s="36" t="s">
        <v>7798</v>
      </c>
      <c r="G919" s="125" t="s">
        <v>893</v>
      </c>
      <c r="H919" s="125" t="s">
        <v>7799</v>
      </c>
      <c r="I919" t="s">
        <v>7841</v>
      </c>
    </row>
    <row r="920">
      <c r="A920" s="125" t="s">
        <v>2655</v>
      </c>
      <c r="B920" s="526" t="s">
        <v>2654</v>
      </c>
      <c r="C920" s="527">
        <v>0.0</v>
      </c>
      <c r="D920" s="527">
        <v>0.0</v>
      </c>
      <c r="F920" s="36" t="s">
        <v>7798</v>
      </c>
      <c r="G920" s="125" t="s">
        <v>893</v>
      </c>
      <c r="H920" s="125" t="s">
        <v>7799</v>
      </c>
      <c r="I920" t="s">
        <v>7871</v>
      </c>
    </row>
    <row r="921">
      <c r="A921" s="125" t="s">
        <v>2657</v>
      </c>
      <c r="B921" s="526" t="s">
        <v>2656</v>
      </c>
      <c r="C921" s="527">
        <v>0.0</v>
      </c>
      <c r="D921" s="527">
        <v>0.0</v>
      </c>
      <c r="F921" s="36" t="s">
        <v>7798</v>
      </c>
      <c r="G921" s="125" t="s">
        <v>893</v>
      </c>
      <c r="H921" s="125" t="s">
        <v>7799</v>
      </c>
      <c r="I921" t="s">
        <v>7841</v>
      </c>
    </row>
    <row r="922">
      <c r="A922" s="125" t="s">
        <v>2659</v>
      </c>
      <c r="B922" s="526" t="s">
        <v>2658</v>
      </c>
      <c r="C922" s="527">
        <v>0.0</v>
      </c>
      <c r="D922" s="527">
        <v>0.0</v>
      </c>
      <c r="F922" s="36" t="s">
        <v>7798</v>
      </c>
      <c r="G922" s="125" t="s">
        <v>893</v>
      </c>
      <c r="H922" s="125" t="s">
        <v>7799</v>
      </c>
      <c r="I922" t="s">
        <v>7871</v>
      </c>
    </row>
    <row r="923">
      <c r="A923" s="125" t="s">
        <v>2661</v>
      </c>
      <c r="B923" s="526" t="s">
        <v>2660</v>
      </c>
      <c r="C923" s="527">
        <v>0.0</v>
      </c>
      <c r="D923" s="527">
        <v>0.0</v>
      </c>
      <c r="F923" s="36" t="s">
        <v>7798</v>
      </c>
      <c r="G923" s="125" t="s">
        <v>893</v>
      </c>
      <c r="H923" s="125" t="s">
        <v>7799</v>
      </c>
      <c r="I923" t="s">
        <v>7871</v>
      </c>
    </row>
    <row r="924">
      <c r="A924" s="125" t="s">
        <v>2663</v>
      </c>
      <c r="B924" s="526" t="s">
        <v>2662</v>
      </c>
      <c r="C924" s="527">
        <v>0.0</v>
      </c>
      <c r="D924" s="527">
        <v>0.0</v>
      </c>
      <c r="F924" s="36" t="s">
        <v>7798</v>
      </c>
      <c r="G924" s="125" t="s">
        <v>893</v>
      </c>
      <c r="H924" s="125" t="s">
        <v>7799</v>
      </c>
      <c r="I924" t="s">
        <v>7871</v>
      </c>
    </row>
    <row r="925">
      <c r="A925" s="125" t="s">
        <v>2665</v>
      </c>
      <c r="B925" s="526" t="s">
        <v>2664</v>
      </c>
      <c r="C925" s="527">
        <v>0.0</v>
      </c>
      <c r="D925" s="527">
        <v>0.0</v>
      </c>
      <c r="F925" s="36" t="s">
        <v>7798</v>
      </c>
      <c r="G925" s="125" t="s">
        <v>893</v>
      </c>
      <c r="H925" s="125" t="s">
        <v>7799</v>
      </c>
      <c r="I925" t="s">
        <v>7871</v>
      </c>
    </row>
    <row r="926">
      <c r="A926" s="125" t="s">
        <v>2667</v>
      </c>
      <c r="B926" s="526" t="s">
        <v>2666</v>
      </c>
      <c r="C926" s="527">
        <v>0.0</v>
      </c>
      <c r="D926" s="527">
        <v>0.0</v>
      </c>
      <c r="F926" s="36" t="s">
        <v>7798</v>
      </c>
      <c r="G926" s="125" t="s">
        <v>893</v>
      </c>
      <c r="H926" s="125" t="s">
        <v>7799</v>
      </c>
      <c r="I926" t="s">
        <v>7871</v>
      </c>
    </row>
    <row r="927">
      <c r="A927" s="125" t="s">
        <v>2669</v>
      </c>
      <c r="B927" s="526" t="s">
        <v>2668</v>
      </c>
      <c r="C927" s="527">
        <v>0.0</v>
      </c>
      <c r="D927" s="527">
        <v>0.0</v>
      </c>
      <c r="F927" s="36" t="s">
        <v>7798</v>
      </c>
      <c r="G927" s="125" t="s">
        <v>893</v>
      </c>
      <c r="H927" s="125" t="s">
        <v>7799</v>
      </c>
      <c r="I927" t="s">
        <v>7871</v>
      </c>
    </row>
    <row r="928">
      <c r="A928" s="125" t="s">
        <v>2671</v>
      </c>
      <c r="B928" s="526" t="s">
        <v>2670</v>
      </c>
      <c r="C928" s="527">
        <v>0.0</v>
      </c>
      <c r="D928" s="527">
        <v>0.0</v>
      </c>
      <c r="F928" s="36" t="s">
        <v>7798</v>
      </c>
      <c r="G928" s="125" t="s">
        <v>893</v>
      </c>
      <c r="H928" s="125" t="s">
        <v>7799</v>
      </c>
      <c r="I928" t="s">
        <v>7871</v>
      </c>
    </row>
    <row r="929">
      <c r="A929" s="125" t="s">
        <v>2673</v>
      </c>
      <c r="B929" s="526" t="s">
        <v>2672</v>
      </c>
      <c r="C929" s="527">
        <v>1.0</v>
      </c>
      <c r="D929" s="527">
        <v>0.01</v>
      </c>
      <c r="E929" s="528">
        <v>0.01</v>
      </c>
      <c r="F929" s="36" t="s">
        <v>7798</v>
      </c>
      <c r="G929" s="125" t="s">
        <v>913</v>
      </c>
      <c r="H929" s="125" t="s">
        <v>7801</v>
      </c>
      <c r="I929" t="s">
        <v>7871</v>
      </c>
    </row>
    <row r="930">
      <c r="A930" s="125" t="s">
        <v>2675</v>
      </c>
      <c r="B930" s="526" t="s">
        <v>2674</v>
      </c>
      <c r="C930" s="527">
        <v>24.0</v>
      </c>
      <c r="D930" s="527">
        <v>0.01</v>
      </c>
      <c r="E930" s="528">
        <v>4.0E-4</v>
      </c>
      <c r="F930" s="36" t="s">
        <v>7798</v>
      </c>
      <c r="G930" s="125" t="s">
        <v>913</v>
      </c>
      <c r="H930" s="125" t="s">
        <v>7801</v>
      </c>
      <c r="I930" t="s">
        <v>7871</v>
      </c>
    </row>
    <row r="931">
      <c r="A931" s="125" t="s">
        <v>2677</v>
      </c>
      <c r="B931" s="526" t="s">
        <v>2676</v>
      </c>
      <c r="C931" s="527">
        <v>0.0</v>
      </c>
      <c r="D931" s="527">
        <v>0.0</v>
      </c>
      <c r="F931" s="36" t="s">
        <v>7798</v>
      </c>
      <c r="G931" s="125" t="s">
        <v>893</v>
      </c>
      <c r="H931" s="125" t="s">
        <v>7801</v>
      </c>
      <c r="I931" t="s">
        <v>7871</v>
      </c>
    </row>
    <row r="932">
      <c r="A932" s="125" t="s">
        <v>2679</v>
      </c>
      <c r="B932" s="526" t="s">
        <v>2678</v>
      </c>
      <c r="C932" s="527">
        <v>0.0</v>
      </c>
      <c r="D932" s="527">
        <v>0.0</v>
      </c>
      <c r="F932" s="36" t="s">
        <v>7798</v>
      </c>
      <c r="G932" s="125" t="s">
        <v>893</v>
      </c>
      <c r="H932" s="125" t="s">
        <v>7801</v>
      </c>
      <c r="I932" t="s">
        <v>7871</v>
      </c>
    </row>
    <row r="933">
      <c r="A933" s="125" t="s">
        <v>2681</v>
      </c>
      <c r="B933" s="526" t="s">
        <v>2680</v>
      </c>
      <c r="C933" s="527">
        <v>0.0</v>
      </c>
      <c r="D933" s="527">
        <v>0.0</v>
      </c>
      <c r="F933" s="36" t="s">
        <v>7798</v>
      </c>
      <c r="G933" s="125" t="s">
        <v>893</v>
      </c>
      <c r="H933" s="125" t="s">
        <v>7801</v>
      </c>
      <c r="I933" t="s">
        <v>7871</v>
      </c>
    </row>
    <row r="934">
      <c r="A934" s="125" t="s">
        <v>2683</v>
      </c>
      <c r="B934" s="526" t="s">
        <v>2682</v>
      </c>
      <c r="C934" s="527">
        <v>0.0</v>
      </c>
      <c r="D934" s="527">
        <v>0.0</v>
      </c>
      <c r="F934" s="36" t="s">
        <v>7798</v>
      </c>
      <c r="G934" s="125" t="s">
        <v>893</v>
      </c>
      <c r="H934" s="125" t="s">
        <v>7801</v>
      </c>
      <c r="I934" t="s">
        <v>7871</v>
      </c>
    </row>
    <row r="935">
      <c r="A935" s="125" t="s">
        <v>2685</v>
      </c>
      <c r="B935" s="526" t="s">
        <v>2684</v>
      </c>
      <c r="C935" s="527">
        <v>0.0</v>
      </c>
      <c r="D935" s="527">
        <v>0.0</v>
      </c>
      <c r="F935" s="36" t="s">
        <v>7798</v>
      </c>
      <c r="G935" s="125" t="s">
        <v>893</v>
      </c>
      <c r="H935" s="125" t="s">
        <v>7801</v>
      </c>
      <c r="I935" t="s">
        <v>7871</v>
      </c>
    </row>
    <row r="936">
      <c r="A936" s="125" t="s">
        <v>2687</v>
      </c>
      <c r="B936" s="526" t="s">
        <v>2686</v>
      </c>
      <c r="C936" s="527">
        <v>0.0</v>
      </c>
      <c r="D936" s="527">
        <v>0.0</v>
      </c>
      <c r="F936" s="36" t="s">
        <v>7798</v>
      </c>
      <c r="G936" s="125" t="s">
        <v>893</v>
      </c>
      <c r="H936" s="125" t="s">
        <v>7801</v>
      </c>
      <c r="I936" t="s">
        <v>7871</v>
      </c>
    </row>
    <row r="937">
      <c r="A937" s="125" t="s">
        <v>2689</v>
      </c>
      <c r="B937" s="526" t="s">
        <v>2688</v>
      </c>
      <c r="C937" s="527">
        <v>0.0</v>
      </c>
      <c r="D937" s="527">
        <v>0.0</v>
      </c>
      <c r="F937" s="36" t="s">
        <v>7798</v>
      </c>
      <c r="G937" s="125" t="s">
        <v>893</v>
      </c>
      <c r="H937" s="125" t="s">
        <v>7801</v>
      </c>
      <c r="I937" t="s">
        <v>7871</v>
      </c>
    </row>
    <row r="938">
      <c r="A938" s="125" t="s">
        <v>2691</v>
      </c>
      <c r="B938" s="526" t="s">
        <v>2690</v>
      </c>
      <c r="C938" s="527">
        <v>0.0</v>
      </c>
      <c r="D938" s="527">
        <v>0.0</v>
      </c>
      <c r="F938" s="36" t="s">
        <v>7798</v>
      </c>
      <c r="G938" s="125" t="s">
        <v>893</v>
      </c>
      <c r="H938" s="125" t="s">
        <v>7801</v>
      </c>
      <c r="I938" t="s">
        <v>7871</v>
      </c>
    </row>
    <row r="939">
      <c r="A939" s="125" t="s">
        <v>2693</v>
      </c>
      <c r="B939" s="526" t="s">
        <v>2692</v>
      </c>
      <c r="C939" s="527">
        <v>9.0</v>
      </c>
      <c r="D939" s="527">
        <v>0.01</v>
      </c>
      <c r="E939" s="528">
        <v>0.0011</v>
      </c>
      <c r="F939" s="36" t="s">
        <v>7798</v>
      </c>
      <c r="G939" s="125" t="s">
        <v>913</v>
      </c>
      <c r="H939" s="125" t="s">
        <v>7801</v>
      </c>
      <c r="I939" t="s">
        <v>7871</v>
      </c>
    </row>
    <row r="940">
      <c r="A940" s="125" t="s">
        <v>2695</v>
      </c>
      <c r="B940" s="526" t="s">
        <v>2694</v>
      </c>
      <c r="C940" s="527">
        <v>18.0</v>
      </c>
      <c r="D940" s="527">
        <v>0.01</v>
      </c>
      <c r="E940" s="528">
        <v>6.0E-4</v>
      </c>
      <c r="F940" s="36" t="s">
        <v>7798</v>
      </c>
      <c r="G940" s="125" t="s">
        <v>913</v>
      </c>
      <c r="H940" s="125" t="s">
        <v>7801</v>
      </c>
      <c r="I940" t="s">
        <v>7871</v>
      </c>
    </row>
    <row r="941">
      <c r="A941" s="125" t="s">
        <v>2697</v>
      </c>
      <c r="B941" s="526" t="s">
        <v>2696</v>
      </c>
      <c r="C941" s="527">
        <v>0.0</v>
      </c>
      <c r="D941" s="527">
        <v>0.0</v>
      </c>
      <c r="F941" s="36" t="s">
        <v>7798</v>
      </c>
      <c r="G941" s="125" t="s">
        <v>893</v>
      </c>
      <c r="H941" s="125" t="s">
        <v>7801</v>
      </c>
      <c r="I941" t="s">
        <v>7871</v>
      </c>
    </row>
    <row r="942">
      <c r="A942" s="125" t="s">
        <v>2699</v>
      </c>
      <c r="B942" s="526" t="s">
        <v>2698</v>
      </c>
      <c r="C942" s="527">
        <v>0.0</v>
      </c>
      <c r="D942" s="527">
        <v>0.0</v>
      </c>
      <c r="F942" s="36" t="s">
        <v>7798</v>
      </c>
      <c r="G942" s="125" t="s">
        <v>893</v>
      </c>
      <c r="H942" s="125" t="s">
        <v>7801</v>
      </c>
      <c r="I942" t="s">
        <v>7871</v>
      </c>
    </row>
    <row r="943">
      <c r="A943" s="125" t="s">
        <v>2701</v>
      </c>
      <c r="B943" s="526" t="s">
        <v>2700</v>
      </c>
      <c r="C943" s="527">
        <v>0.0</v>
      </c>
      <c r="D943" s="527">
        <v>0.0</v>
      </c>
      <c r="F943" s="36" t="s">
        <v>7798</v>
      </c>
      <c r="G943" s="125" t="s">
        <v>893</v>
      </c>
      <c r="H943" s="125" t="s">
        <v>7801</v>
      </c>
      <c r="I943" t="s">
        <v>7871</v>
      </c>
    </row>
    <row r="944">
      <c r="A944" s="125" t="s">
        <v>2703</v>
      </c>
      <c r="B944" s="526" t="s">
        <v>2702</v>
      </c>
      <c r="C944" s="527">
        <v>0.0</v>
      </c>
      <c r="D944" s="527">
        <v>0.0</v>
      </c>
      <c r="F944" s="36" t="s">
        <v>7798</v>
      </c>
      <c r="G944" s="125" t="s">
        <v>893</v>
      </c>
      <c r="H944" s="125" t="s">
        <v>7801</v>
      </c>
      <c r="I944" t="s">
        <v>7871</v>
      </c>
    </row>
    <row r="945">
      <c r="A945" s="125" t="s">
        <v>2705</v>
      </c>
      <c r="B945" s="526" t="s">
        <v>2704</v>
      </c>
      <c r="C945" s="527">
        <v>0.0</v>
      </c>
      <c r="D945" s="527">
        <v>0.0</v>
      </c>
      <c r="F945" s="36" t="s">
        <v>7798</v>
      </c>
      <c r="G945" s="125" t="s">
        <v>893</v>
      </c>
      <c r="H945" s="125" t="s">
        <v>7801</v>
      </c>
      <c r="I945" t="s">
        <v>7871</v>
      </c>
    </row>
    <row r="946">
      <c r="A946" s="125" t="s">
        <v>2707</v>
      </c>
      <c r="B946" s="526" t="s">
        <v>2706</v>
      </c>
      <c r="C946" s="527">
        <v>5.0</v>
      </c>
      <c r="D946" s="527">
        <v>0.01</v>
      </c>
      <c r="E946" s="528">
        <v>0.002</v>
      </c>
      <c r="F946" s="36" t="s">
        <v>7798</v>
      </c>
      <c r="G946" s="125" t="s">
        <v>913</v>
      </c>
      <c r="H946" s="125" t="s">
        <v>7801</v>
      </c>
      <c r="I946" t="s">
        <v>7871</v>
      </c>
    </row>
    <row r="947">
      <c r="A947" s="125" t="s">
        <v>2709</v>
      </c>
      <c r="B947" s="526" t="s">
        <v>2708</v>
      </c>
      <c r="C947" s="527">
        <v>3.0</v>
      </c>
      <c r="D947" s="527">
        <v>0.01</v>
      </c>
      <c r="E947" s="528">
        <v>0.0033</v>
      </c>
      <c r="F947" s="36" t="s">
        <v>7798</v>
      </c>
      <c r="G947" s="125" t="s">
        <v>913</v>
      </c>
      <c r="H947" s="125" t="s">
        <v>7801</v>
      </c>
      <c r="I947" t="s">
        <v>7871</v>
      </c>
    </row>
    <row r="948">
      <c r="A948" s="125" t="s">
        <v>2711</v>
      </c>
      <c r="B948" s="526" t="s">
        <v>2710</v>
      </c>
      <c r="C948" s="527">
        <v>0.0</v>
      </c>
      <c r="D948" s="527">
        <v>0.0</v>
      </c>
      <c r="F948" s="36" t="s">
        <v>7798</v>
      </c>
      <c r="G948" s="125" t="s">
        <v>893</v>
      </c>
      <c r="H948" s="125" t="s">
        <v>7801</v>
      </c>
      <c r="I948" t="s">
        <v>7871</v>
      </c>
    </row>
    <row r="949">
      <c r="A949" s="125" t="s">
        <v>2713</v>
      </c>
      <c r="B949" s="526" t="s">
        <v>2712</v>
      </c>
      <c r="C949" s="527">
        <v>0.0</v>
      </c>
      <c r="D949" s="527">
        <v>0.0</v>
      </c>
      <c r="F949" s="36" t="s">
        <v>7798</v>
      </c>
      <c r="G949" s="125" t="s">
        <v>893</v>
      </c>
      <c r="H949" s="125" t="s">
        <v>7801</v>
      </c>
      <c r="I949" t="s">
        <v>7871</v>
      </c>
    </row>
    <row r="950">
      <c r="A950" s="125" t="s">
        <v>2715</v>
      </c>
      <c r="B950" s="526" t="s">
        <v>2714</v>
      </c>
      <c r="C950" s="527">
        <v>37.0</v>
      </c>
      <c r="D950" s="527">
        <v>0.01</v>
      </c>
      <c r="E950" s="528">
        <v>3.0E-4</v>
      </c>
      <c r="F950" s="36" t="s">
        <v>7798</v>
      </c>
      <c r="G950" s="125" t="s">
        <v>913</v>
      </c>
      <c r="H950" s="125" t="s">
        <v>7801</v>
      </c>
      <c r="I950" t="s">
        <v>7871</v>
      </c>
    </row>
    <row r="951">
      <c r="A951" s="125" t="s">
        <v>2717</v>
      </c>
      <c r="B951" s="526" t="s">
        <v>2716</v>
      </c>
      <c r="C951" s="527">
        <v>0.0</v>
      </c>
      <c r="D951" s="527">
        <v>0.0</v>
      </c>
      <c r="F951" s="36" t="s">
        <v>7798</v>
      </c>
      <c r="G951" s="125" t="s">
        <v>893</v>
      </c>
      <c r="H951" s="125" t="s">
        <v>7801</v>
      </c>
      <c r="I951" t="s">
        <v>7871</v>
      </c>
    </row>
    <row r="952">
      <c r="A952" s="125" t="s">
        <v>2719</v>
      </c>
      <c r="B952" s="526" t="s">
        <v>2718</v>
      </c>
      <c r="C952" s="527">
        <v>0.0</v>
      </c>
      <c r="D952" s="527">
        <v>0.0</v>
      </c>
      <c r="F952" s="36" t="s">
        <v>7798</v>
      </c>
      <c r="G952" s="125" t="s">
        <v>893</v>
      </c>
      <c r="H952" s="125" t="s">
        <v>7801</v>
      </c>
      <c r="I952" t="s">
        <v>7871</v>
      </c>
    </row>
    <row r="953">
      <c r="A953" s="125" t="s">
        <v>2721</v>
      </c>
      <c r="B953" s="526" t="s">
        <v>2720</v>
      </c>
      <c r="C953" s="527">
        <v>0.0</v>
      </c>
      <c r="D953" s="527">
        <v>0.0</v>
      </c>
      <c r="F953" s="36" t="s">
        <v>7798</v>
      </c>
      <c r="G953" s="125" t="s">
        <v>893</v>
      </c>
      <c r="H953" s="125" t="s">
        <v>7801</v>
      </c>
      <c r="I953" t="s">
        <v>7871</v>
      </c>
    </row>
    <row r="954">
      <c r="A954" s="125" t="s">
        <v>2723</v>
      </c>
      <c r="B954" s="526" t="s">
        <v>2722</v>
      </c>
      <c r="C954" s="527">
        <v>0.0</v>
      </c>
      <c r="D954" s="527">
        <v>0.0</v>
      </c>
      <c r="F954" s="36" t="s">
        <v>7798</v>
      </c>
      <c r="G954" s="125" t="s">
        <v>893</v>
      </c>
      <c r="H954" s="125" t="s">
        <v>7801</v>
      </c>
      <c r="I954" t="s">
        <v>7871</v>
      </c>
    </row>
    <row r="955">
      <c r="A955" s="125" t="s">
        <v>2725</v>
      </c>
      <c r="B955" s="526" t="s">
        <v>2724</v>
      </c>
      <c r="C955" s="527">
        <v>0.0</v>
      </c>
      <c r="D955" s="527">
        <v>0.0</v>
      </c>
      <c r="F955" s="36" t="s">
        <v>7798</v>
      </c>
      <c r="G955" s="125" t="s">
        <v>893</v>
      </c>
      <c r="H955" s="125" t="s">
        <v>7801</v>
      </c>
      <c r="I955" t="s">
        <v>7871</v>
      </c>
    </row>
    <row r="956">
      <c r="A956" s="125" t="s">
        <v>2727</v>
      </c>
      <c r="B956" s="526" t="s">
        <v>2726</v>
      </c>
      <c r="C956" s="527">
        <v>4.0</v>
      </c>
      <c r="D956" s="527">
        <v>0.01</v>
      </c>
      <c r="E956" s="528">
        <v>0.0025</v>
      </c>
      <c r="F956" s="36" t="s">
        <v>7798</v>
      </c>
      <c r="G956" s="125" t="s">
        <v>913</v>
      </c>
      <c r="H956" s="125" t="s">
        <v>7801</v>
      </c>
      <c r="I956" t="s">
        <v>7871</v>
      </c>
    </row>
    <row r="957">
      <c r="A957" s="125" t="s">
        <v>2729</v>
      </c>
      <c r="B957" s="526" t="s">
        <v>2728</v>
      </c>
      <c r="C957" s="527">
        <v>1.0</v>
      </c>
      <c r="D957" s="527">
        <v>0.01</v>
      </c>
      <c r="E957" s="528">
        <v>0.01</v>
      </c>
      <c r="F957" s="36" t="s">
        <v>7798</v>
      </c>
      <c r="G957" s="125" t="s">
        <v>913</v>
      </c>
      <c r="H957" s="125" t="s">
        <v>7801</v>
      </c>
      <c r="I957" t="s">
        <v>7871</v>
      </c>
    </row>
    <row r="958">
      <c r="A958" s="125" t="s">
        <v>2731</v>
      </c>
      <c r="B958" s="526" t="s">
        <v>2730</v>
      </c>
      <c r="C958" s="527">
        <v>0.0</v>
      </c>
      <c r="D958" s="527">
        <v>0.0</v>
      </c>
      <c r="F958" s="36" t="s">
        <v>7798</v>
      </c>
      <c r="G958" s="125" t="s">
        <v>893</v>
      </c>
      <c r="H958" s="125" t="s">
        <v>7801</v>
      </c>
      <c r="I958" t="s">
        <v>7871</v>
      </c>
    </row>
    <row r="959">
      <c r="A959" s="125" t="s">
        <v>2733</v>
      </c>
      <c r="B959" s="526" t="s">
        <v>2732</v>
      </c>
      <c r="C959" s="527">
        <v>26.0</v>
      </c>
      <c r="D959" s="527">
        <v>0.01</v>
      </c>
      <c r="E959" s="528">
        <v>4.0E-4</v>
      </c>
      <c r="F959" s="36" t="s">
        <v>7798</v>
      </c>
      <c r="G959" s="125" t="s">
        <v>913</v>
      </c>
      <c r="H959" s="125" t="s">
        <v>7801</v>
      </c>
      <c r="I959" t="s">
        <v>7871</v>
      </c>
    </row>
    <row r="960">
      <c r="A960" s="125" t="s">
        <v>2735</v>
      </c>
      <c r="B960" s="526" t="s">
        <v>2734</v>
      </c>
      <c r="C960" s="527">
        <v>17.0</v>
      </c>
      <c r="D960" s="527">
        <v>0.01</v>
      </c>
      <c r="E960" s="528">
        <v>6.0E-4</v>
      </c>
      <c r="F960" s="36" t="s">
        <v>7798</v>
      </c>
      <c r="G960" s="125" t="s">
        <v>913</v>
      </c>
      <c r="H960" s="125" t="s">
        <v>7801</v>
      </c>
      <c r="I960" t="s">
        <v>7871</v>
      </c>
    </row>
    <row r="961">
      <c r="A961" s="125" t="s">
        <v>2737</v>
      </c>
      <c r="B961" s="526" t="s">
        <v>2736</v>
      </c>
      <c r="C961" s="527">
        <v>0.0</v>
      </c>
      <c r="D961" s="527">
        <v>0.0</v>
      </c>
      <c r="F961" s="36" t="s">
        <v>7798</v>
      </c>
      <c r="G961" s="125" t="s">
        <v>893</v>
      </c>
      <c r="H961" s="125" t="s">
        <v>7801</v>
      </c>
      <c r="I961" t="s">
        <v>7871</v>
      </c>
    </row>
    <row r="962">
      <c r="A962" s="125" t="s">
        <v>2739</v>
      </c>
      <c r="B962" s="526" t="s">
        <v>2738</v>
      </c>
      <c r="C962" s="527">
        <v>0.0</v>
      </c>
      <c r="D962" s="527">
        <v>0.0</v>
      </c>
      <c r="F962" s="36" t="s">
        <v>7798</v>
      </c>
      <c r="G962" s="125" t="s">
        <v>893</v>
      </c>
      <c r="H962" s="125" t="s">
        <v>7801</v>
      </c>
      <c r="I962" t="s">
        <v>7871</v>
      </c>
    </row>
    <row r="963">
      <c r="A963" s="125" t="s">
        <v>2741</v>
      </c>
      <c r="B963" s="526" t="s">
        <v>2740</v>
      </c>
      <c r="C963" s="527">
        <v>2.0</v>
      </c>
      <c r="D963" s="527">
        <v>0.01</v>
      </c>
      <c r="E963" s="528">
        <v>0.005</v>
      </c>
      <c r="F963" s="36" t="s">
        <v>7798</v>
      </c>
      <c r="G963" s="125" t="s">
        <v>913</v>
      </c>
      <c r="H963" s="125" t="s">
        <v>7801</v>
      </c>
      <c r="I963" t="s">
        <v>7871</v>
      </c>
    </row>
    <row r="964">
      <c r="A964" s="125" t="s">
        <v>2743</v>
      </c>
      <c r="B964" s="526" t="s">
        <v>2742</v>
      </c>
      <c r="C964" s="527">
        <v>0.0</v>
      </c>
      <c r="D964" s="527">
        <v>0.0</v>
      </c>
      <c r="F964" s="36" t="s">
        <v>7798</v>
      </c>
      <c r="G964" s="125" t="s">
        <v>893</v>
      </c>
      <c r="H964" s="125" t="s">
        <v>7801</v>
      </c>
      <c r="I964" t="s">
        <v>7871</v>
      </c>
    </row>
    <row r="965">
      <c r="A965" s="125" t="s">
        <v>2745</v>
      </c>
      <c r="B965" s="526" t="s">
        <v>2744</v>
      </c>
      <c r="C965" s="527">
        <v>0.0</v>
      </c>
      <c r="D965" s="527">
        <v>0.0</v>
      </c>
      <c r="F965" s="36" t="s">
        <v>7798</v>
      </c>
      <c r="G965" s="125" t="s">
        <v>893</v>
      </c>
      <c r="H965" s="125" t="s">
        <v>7801</v>
      </c>
      <c r="I965" t="s">
        <v>7871</v>
      </c>
    </row>
    <row r="966">
      <c r="A966" s="125" t="s">
        <v>2747</v>
      </c>
      <c r="B966" s="526" t="s">
        <v>2746</v>
      </c>
      <c r="C966" s="527">
        <v>0.0</v>
      </c>
      <c r="D966" s="527">
        <v>0.0</v>
      </c>
      <c r="F966" s="36" t="s">
        <v>7798</v>
      </c>
      <c r="G966" s="125" t="s">
        <v>893</v>
      </c>
      <c r="H966" s="125" t="s">
        <v>7801</v>
      </c>
      <c r="I966" t="s">
        <v>7871</v>
      </c>
    </row>
    <row r="967">
      <c r="A967" s="125" t="s">
        <v>2749</v>
      </c>
      <c r="B967" s="526" t="s">
        <v>2748</v>
      </c>
      <c r="C967" s="527">
        <v>0.0</v>
      </c>
      <c r="D967" s="527">
        <v>0.0</v>
      </c>
      <c r="F967" s="36" t="s">
        <v>7798</v>
      </c>
      <c r="G967" s="125" t="s">
        <v>893</v>
      </c>
      <c r="H967" s="125" t="s">
        <v>7801</v>
      </c>
      <c r="I967" t="s">
        <v>7871</v>
      </c>
    </row>
    <row r="968">
      <c r="A968" s="125" t="s">
        <v>2751</v>
      </c>
      <c r="B968" s="526" t="s">
        <v>2750</v>
      </c>
      <c r="C968" s="527">
        <v>0.0</v>
      </c>
      <c r="D968" s="527">
        <v>0.0</v>
      </c>
      <c r="F968" s="36" t="s">
        <v>7798</v>
      </c>
      <c r="G968" s="125" t="s">
        <v>893</v>
      </c>
      <c r="H968" s="125" t="s">
        <v>7801</v>
      </c>
      <c r="I968" t="s">
        <v>7871</v>
      </c>
    </row>
    <row r="969">
      <c r="A969" s="125" t="s">
        <v>2753</v>
      </c>
      <c r="B969" s="526" t="s">
        <v>2752</v>
      </c>
      <c r="C969" s="527">
        <v>3.0</v>
      </c>
      <c r="D969" s="527">
        <v>0.0</v>
      </c>
      <c r="E969" s="528">
        <v>0.0</v>
      </c>
      <c r="F969" s="36" t="s">
        <v>7798</v>
      </c>
      <c r="G969" s="125" t="s">
        <v>913</v>
      </c>
      <c r="H969" s="125" t="s">
        <v>7801</v>
      </c>
      <c r="I969" t="s">
        <v>7871</v>
      </c>
    </row>
    <row r="970">
      <c r="A970" s="125" t="s">
        <v>2755</v>
      </c>
      <c r="B970" s="526" t="s">
        <v>2754</v>
      </c>
      <c r="C970" s="527">
        <v>2.0</v>
      </c>
      <c r="D970" s="527">
        <v>0.01</v>
      </c>
      <c r="E970" s="528">
        <v>0.005</v>
      </c>
      <c r="F970" s="36" t="s">
        <v>7798</v>
      </c>
      <c r="G970" s="125" t="s">
        <v>913</v>
      </c>
      <c r="H970" s="125" t="s">
        <v>7801</v>
      </c>
      <c r="I970" t="s">
        <v>7871</v>
      </c>
    </row>
    <row r="971">
      <c r="A971" s="125" t="s">
        <v>2757</v>
      </c>
      <c r="B971" s="526" t="s">
        <v>2756</v>
      </c>
      <c r="C971" s="527">
        <v>0.0</v>
      </c>
      <c r="D971" s="527">
        <v>0.0</v>
      </c>
      <c r="F971" s="36" t="s">
        <v>7798</v>
      </c>
      <c r="G971" s="125" t="s">
        <v>893</v>
      </c>
      <c r="H971" s="125" t="s">
        <v>7801</v>
      </c>
      <c r="I971" t="s">
        <v>7871</v>
      </c>
    </row>
    <row r="972">
      <c r="A972" s="125" t="s">
        <v>2759</v>
      </c>
      <c r="B972" s="526" t="s">
        <v>2758</v>
      </c>
      <c r="C972" s="527">
        <v>0.0</v>
      </c>
      <c r="D972" s="527">
        <v>0.0</v>
      </c>
      <c r="F972" s="36" t="s">
        <v>7798</v>
      </c>
      <c r="G972" s="125" t="s">
        <v>893</v>
      </c>
      <c r="H972" s="125" t="s">
        <v>7801</v>
      </c>
      <c r="I972" t="s">
        <v>7871</v>
      </c>
    </row>
    <row r="973">
      <c r="A973" s="125" t="s">
        <v>2761</v>
      </c>
      <c r="B973" s="526" t="s">
        <v>2760</v>
      </c>
      <c r="C973" s="527">
        <v>0.0</v>
      </c>
      <c r="D973" s="527">
        <v>0.0</v>
      </c>
      <c r="F973" s="36" t="s">
        <v>7798</v>
      </c>
      <c r="G973" s="125" t="s">
        <v>893</v>
      </c>
      <c r="H973" s="125" t="s">
        <v>7801</v>
      </c>
      <c r="I973" t="s">
        <v>7871</v>
      </c>
    </row>
    <row r="974">
      <c r="A974" s="125" t="s">
        <v>2763</v>
      </c>
      <c r="B974" s="526" t="s">
        <v>2762</v>
      </c>
      <c r="C974" s="527">
        <v>1.0</v>
      </c>
      <c r="D974" s="527">
        <v>0.0</v>
      </c>
      <c r="E974" s="528">
        <v>0.0</v>
      </c>
      <c r="F974" s="36" t="s">
        <v>7798</v>
      </c>
      <c r="G974" s="125" t="s">
        <v>913</v>
      </c>
      <c r="H974" s="125" t="s">
        <v>7801</v>
      </c>
      <c r="I974" t="s">
        <v>7871</v>
      </c>
    </row>
    <row r="975">
      <c r="A975" s="125" t="s">
        <v>2765</v>
      </c>
      <c r="B975" s="526" t="s">
        <v>2764</v>
      </c>
      <c r="C975" s="527">
        <v>0.0</v>
      </c>
      <c r="D975" s="527">
        <v>0.0</v>
      </c>
      <c r="F975" s="36" t="s">
        <v>7798</v>
      </c>
      <c r="G975" s="125" t="s">
        <v>893</v>
      </c>
      <c r="H975" s="125" t="s">
        <v>7801</v>
      </c>
      <c r="I975" t="s">
        <v>7871</v>
      </c>
    </row>
    <row r="976">
      <c r="A976" s="125" t="s">
        <v>2767</v>
      </c>
      <c r="B976" s="526" t="s">
        <v>2766</v>
      </c>
      <c r="C976" s="527">
        <v>0.0</v>
      </c>
      <c r="D976" s="527">
        <v>0.0</v>
      </c>
      <c r="F976" s="36" t="s">
        <v>7798</v>
      </c>
      <c r="G976" s="125" t="s">
        <v>893</v>
      </c>
      <c r="H976" s="125" t="s">
        <v>7801</v>
      </c>
      <c r="I976" t="s">
        <v>7871</v>
      </c>
    </row>
    <row r="977">
      <c r="A977" s="125" t="s">
        <v>2769</v>
      </c>
      <c r="B977" s="526" t="s">
        <v>2768</v>
      </c>
      <c r="C977" s="527">
        <v>0.0</v>
      </c>
      <c r="D977" s="527">
        <v>0.0</v>
      </c>
      <c r="F977" s="36" t="s">
        <v>7798</v>
      </c>
      <c r="G977" s="125" t="s">
        <v>893</v>
      </c>
      <c r="H977" s="125" t="s">
        <v>7801</v>
      </c>
      <c r="I977" t="s">
        <v>7871</v>
      </c>
    </row>
    <row r="978">
      <c r="A978" s="125" t="s">
        <v>2771</v>
      </c>
      <c r="B978" s="526" t="s">
        <v>2770</v>
      </c>
      <c r="C978" s="527">
        <v>2.0</v>
      </c>
      <c r="D978" s="527">
        <v>0.01</v>
      </c>
      <c r="E978" s="528">
        <v>0.005</v>
      </c>
      <c r="F978" s="36" t="s">
        <v>7798</v>
      </c>
      <c r="G978" s="125" t="s">
        <v>913</v>
      </c>
      <c r="H978" s="125" t="s">
        <v>7801</v>
      </c>
      <c r="I978" t="s">
        <v>7871</v>
      </c>
    </row>
    <row r="979">
      <c r="A979" s="125" t="s">
        <v>2773</v>
      </c>
      <c r="B979" s="526" t="s">
        <v>2772</v>
      </c>
      <c r="C979" s="527">
        <v>9.0</v>
      </c>
      <c r="D979" s="527">
        <v>0.01</v>
      </c>
      <c r="E979" s="528">
        <v>0.0011</v>
      </c>
      <c r="F979" s="36" t="s">
        <v>7798</v>
      </c>
      <c r="G979" s="125" t="s">
        <v>913</v>
      </c>
      <c r="H979" s="125" t="s">
        <v>7801</v>
      </c>
      <c r="I979" t="s">
        <v>7871</v>
      </c>
    </row>
    <row r="980">
      <c r="A980" s="125" t="s">
        <v>2775</v>
      </c>
      <c r="B980" s="526" t="s">
        <v>2774</v>
      </c>
      <c r="C980" s="527">
        <v>6.0</v>
      </c>
      <c r="D980" s="527">
        <v>0.01</v>
      </c>
      <c r="E980" s="528">
        <v>0.0017</v>
      </c>
      <c r="F980" s="36" t="s">
        <v>7798</v>
      </c>
      <c r="G980" s="125" t="s">
        <v>913</v>
      </c>
      <c r="H980" s="125" t="s">
        <v>7801</v>
      </c>
      <c r="I980" t="s">
        <v>7871</v>
      </c>
    </row>
    <row r="981">
      <c r="A981" s="125" t="s">
        <v>2777</v>
      </c>
      <c r="B981" s="526" t="s">
        <v>2776</v>
      </c>
      <c r="C981" s="527">
        <v>0.0</v>
      </c>
      <c r="D981" s="527">
        <v>0.0</v>
      </c>
      <c r="F981" s="36" t="s">
        <v>7798</v>
      </c>
      <c r="G981" s="125" t="s">
        <v>893</v>
      </c>
      <c r="H981" s="125" t="s">
        <v>7801</v>
      </c>
      <c r="I981" t="s">
        <v>7871</v>
      </c>
    </row>
    <row r="982">
      <c r="A982" s="125" t="s">
        <v>2779</v>
      </c>
      <c r="B982" s="526" t="s">
        <v>2778</v>
      </c>
      <c r="C982" s="527">
        <v>0.0</v>
      </c>
      <c r="D982" s="527">
        <v>0.0</v>
      </c>
      <c r="F982" s="36" t="s">
        <v>7798</v>
      </c>
      <c r="G982" s="125" t="s">
        <v>893</v>
      </c>
      <c r="H982" s="125" t="s">
        <v>7801</v>
      </c>
      <c r="I982" t="s">
        <v>7871</v>
      </c>
    </row>
    <row r="983">
      <c r="A983" s="125" t="s">
        <v>2781</v>
      </c>
      <c r="B983" s="526" t="s">
        <v>2780</v>
      </c>
      <c r="C983" s="527">
        <v>0.0</v>
      </c>
      <c r="D983" s="527">
        <v>0.0</v>
      </c>
      <c r="F983" s="36" t="s">
        <v>7798</v>
      </c>
      <c r="G983" s="125" t="s">
        <v>893</v>
      </c>
      <c r="H983" s="125" t="s">
        <v>7801</v>
      </c>
      <c r="I983" t="s">
        <v>7871</v>
      </c>
    </row>
    <row r="984">
      <c r="A984" s="125" t="s">
        <v>2783</v>
      </c>
      <c r="B984" s="526" t="s">
        <v>2782</v>
      </c>
      <c r="C984" s="527">
        <v>0.0</v>
      </c>
      <c r="D984" s="527">
        <v>0.0</v>
      </c>
      <c r="F984" s="36" t="s">
        <v>7798</v>
      </c>
      <c r="G984" s="125" t="s">
        <v>893</v>
      </c>
      <c r="H984" s="125" t="s">
        <v>7801</v>
      </c>
      <c r="I984" t="s">
        <v>7871</v>
      </c>
    </row>
    <row r="985">
      <c r="A985" s="125" t="s">
        <v>2785</v>
      </c>
      <c r="B985" s="526" t="s">
        <v>2784</v>
      </c>
      <c r="C985" s="527">
        <v>0.0</v>
      </c>
      <c r="D985" s="527">
        <v>0.0</v>
      </c>
      <c r="F985" s="36" t="s">
        <v>7798</v>
      </c>
      <c r="G985" s="125" t="s">
        <v>893</v>
      </c>
      <c r="H985" s="125" t="s">
        <v>7801</v>
      </c>
      <c r="I985" t="s">
        <v>7871</v>
      </c>
    </row>
    <row r="986">
      <c r="A986" s="125" t="s">
        <v>2787</v>
      </c>
      <c r="B986" s="526" t="s">
        <v>2786</v>
      </c>
      <c r="C986" s="527">
        <v>2.0</v>
      </c>
      <c r="D986" s="527">
        <v>0.01</v>
      </c>
      <c r="E986" s="528">
        <v>0.005</v>
      </c>
      <c r="F986" s="36" t="s">
        <v>7798</v>
      </c>
      <c r="G986" s="125" t="s">
        <v>913</v>
      </c>
      <c r="H986" s="125" t="s">
        <v>7801</v>
      </c>
      <c r="I986" t="s">
        <v>7871</v>
      </c>
    </row>
    <row r="987">
      <c r="A987" s="125" t="s">
        <v>2789</v>
      </c>
      <c r="B987" s="526" t="s">
        <v>2788</v>
      </c>
      <c r="C987" s="527">
        <v>4.0</v>
      </c>
      <c r="D987" s="527">
        <v>0.0</v>
      </c>
      <c r="E987" s="528">
        <v>0.0</v>
      </c>
      <c r="F987" s="36" t="s">
        <v>7798</v>
      </c>
      <c r="G987" s="125" t="s">
        <v>913</v>
      </c>
      <c r="H987" s="125" t="s">
        <v>7801</v>
      </c>
      <c r="I987" t="s">
        <v>7871</v>
      </c>
    </row>
    <row r="988">
      <c r="A988" s="125" t="s">
        <v>2791</v>
      </c>
      <c r="B988" s="526" t="s">
        <v>2790</v>
      </c>
      <c r="C988" s="527">
        <v>6.0</v>
      </c>
      <c r="D988" s="527">
        <v>0.01</v>
      </c>
      <c r="E988" s="528">
        <v>0.0017</v>
      </c>
      <c r="F988" s="36" t="s">
        <v>7798</v>
      </c>
      <c r="G988" s="125" t="s">
        <v>913</v>
      </c>
      <c r="H988" s="125" t="s">
        <v>7801</v>
      </c>
      <c r="I988" t="s">
        <v>7871</v>
      </c>
    </row>
    <row r="989">
      <c r="A989" s="125" t="s">
        <v>2793</v>
      </c>
      <c r="B989" s="526" t="s">
        <v>2792</v>
      </c>
      <c r="C989" s="527">
        <v>9.0</v>
      </c>
      <c r="D989" s="527">
        <v>0.0</v>
      </c>
      <c r="E989" s="528">
        <v>0.0</v>
      </c>
      <c r="F989" s="36" t="s">
        <v>7798</v>
      </c>
      <c r="G989" s="125" t="s">
        <v>913</v>
      </c>
      <c r="H989" s="125" t="s">
        <v>7801</v>
      </c>
      <c r="I989" t="s">
        <v>7871</v>
      </c>
    </row>
    <row r="990">
      <c r="A990" s="125" t="s">
        <v>2795</v>
      </c>
      <c r="B990" s="526" t="s">
        <v>2794</v>
      </c>
      <c r="C990" s="527">
        <v>0.0</v>
      </c>
      <c r="D990" s="527">
        <v>0.0</v>
      </c>
      <c r="F990" s="36" t="s">
        <v>7798</v>
      </c>
      <c r="G990" s="125" t="s">
        <v>893</v>
      </c>
      <c r="H990" s="125" t="s">
        <v>7801</v>
      </c>
      <c r="I990" t="s">
        <v>7871</v>
      </c>
    </row>
    <row r="991">
      <c r="A991" s="125" t="s">
        <v>2797</v>
      </c>
      <c r="B991" s="526" t="s">
        <v>2796</v>
      </c>
      <c r="C991" s="527">
        <v>0.0</v>
      </c>
      <c r="D991" s="527">
        <v>0.0</v>
      </c>
      <c r="F991" s="36" t="s">
        <v>7798</v>
      </c>
      <c r="G991" s="125" t="s">
        <v>893</v>
      </c>
      <c r="H991" s="125" t="s">
        <v>7801</v>
      </c>
      <c r="I991" t="s">
        <v>7871</v>
      </c>
    </row>
    <row r="992">
      <c r="A992" s="125" t="s">
        <v>2799</v>
      </c>
      <c r="B992" s="526" t="s">
        <v>2798</v>
      </c>
      <c r="C992" s="527">
        <v>0.0</v>
      </c>
      <c r="D992" s="527">
        <v>0.0</v>
      </c>
      <c r="F992" s="36" t="s">
        <v>7798</v>
      </c>
      <c r="G992" s="125" t="s">
        <v>893</v>
      </c>
      <c r="H992" s="125" t="s">
        <v>7799</v>
      </c>
      <c r="I992" t="s">
        <v>81</v>
      </c>
    </row>
    <row r="993">
      <c r="A993" s="125" t="s">
        <v>2801</v>
      </c>
      <c r="B993" s="526" t="s">
        <v>2800</v>
      </c>
      <c r="C993" s="527">
        <v>0.0</v>
      </c>
      <c r="D993" s="527">
        <v>0.0</v>
      </c>
      <c r="F993" s="36" t="s">
        <v>7798</v>
      </c>
      <c r="G993" s="125" t="s">
        <v>893</v>
      </c>
      <c r="H993" s="125" t="s">
        <v>7799</v>
      </c>
      <c r="I993" t="s">
        <v>81</v>
      </c>
    </row>
    <row r="994">
      <c r="A994" s="125" t="s">
        <v>2803</v>
      </c>
      <c r="B994" s="526" t="s">
        <v>2802</v>
      </c>
      <c r="C994" s="527">
        <v>0.0</v>
      </c>
      <c r="D994" s="527">
        <v>0.0</v>
      </c>
      <c r="F994" s="36" t="s">
        <v>7798</v>
      </c>
      <c r="G994" s="125" t="s">
        <v>893</v>
      </c>
      <c r="H994" s="125" t="s">
        <v>7799</v>
      </c>
      <c r="I994" t="s">
        <v>81</v>
      </c>
    </row>
    <row r="995">
      <c r="A995" s="125" t="s">
        <v>2805</v>
      </c>
      <c r="B995" s="526" t="s">
        <v>2804</v>
      </c>
      <c r="C995" s="527">
        <v>0.0</v>
      </c>
      <c r="D995" s="527">
        <v>0.0</v>
      </c>
      <c r="F995" s="36" t="s">
        <v>7798</v>
      </c>
      <c r="G995" s="125" t="s">
        <v>893</v>
      </c>
      <c r="H995" s="125" t="s">
        <v>7799</v>
      </c>
      <c r="I995" t="s">
        <v>81</v>
      </c>
    </row>
    <row r="996">
      <c r="A996" s="125" t="s">
        <v>2807</v>
      </c>
      <c r="B996" s="526" t="s">
        <v>2806</v>
      </c>
      <c r="C996" s="527">
        <v>0.0</v>
      </c>
      <c r="D996" s="527">
        <v>0.0</v>
      </c>
      <c r="F996" s="36" t="s">
        <v>7798</v>
      </c>
      <c r="G996" s="125" t="s">
        <v>893</v>
      </c>
      <c r="H996" s="125" t="s">
        <v>7799</v>
      </c>
      <c r="I996" t="s">
        <v>7839</v>
      </c>
    </row>
    <row r="997">
      <c r="A997" s="125" t="s">
        <v>2809</v>
      </c>
      <c r="B997" s="526" t="s">
        <v>2808</v>
      </c>
      <c r="C997" s="527">
        <v>36.0</v>
      </c>
      <c r="D997" s="527">
        <v>485.64</v>
      </c>
      <c r="E997" s="528">
        <v>13.49</v>
      </c>
      <c r="F997" s="36" t="s">
        <v>7798</v>
      </c>
      <c r="G997" s="125" t="s">
        <v>913</v>
      </c>
      <c r="I997" t="s">
        <v>45</v>
      </c>
    </row>
    <row r="998">
      <c r="A998" s="125" t="s">
        <v>2811</v>
      </c>
      <c r="B998" s="526" t="s">
        <v>2810</v>
      </c>
      <c r="C998" s="527">
        <v>1089.0</v>
      </c>
      <c r="D998" s="527">
        <v>1359.61</v>
      </c>
      <c r="E998" s="528">
        <v>1.2485</v>
      </c>
      <c r="F998" s="36" t="s">
        <v>7798</v>
      </c>
      <c r="G998" s="125" t="s">
        <v>893</v>
      </c>
      <c r="H998" s="125" t="s">
        <v>7821</v>
      </c>
      <c r="I998" t="s">
        <v>45</v>
      </c>
    </row>
    <row r="999">
      <c r="A999" s="125" t="s">
        <v>2813</v>
      </c>
      <c r="B999" s="526" t="s">
        <v>2812</v>
      </c>
      <c r="C999" s="527">
        <v>64.0</v>
      </c>
      <c r="D999" s="527">
        <v>863.36</v>
      </c>
      <c r="E999" s="528">
        <v>13.49</v>
      </c>
      <c r="F999" s="36" t="s">
        <v>7798</v>
      </c>
      <c r="G999" s="125" t="s">
        <v>913</v>
      </c>
      <c r="I999" t="s">
        <v>45</v>
      </c>
    </row>
    <row r="1000">
      <c r="A1000" s="125" t="s">
        <v>2815</v>
      </c>
      <c r="B1000" s="526" t="s">
        <v>2814</v>
      </c>
      <c r="C1000" s="527">
        <v>0.0</v>
      </c>
      <c r="D1000" s="527">
        <v>0.0</v>
      </c>
      <c r="F1000" s="36" t="s">
        <v>7798</v>
      </c>
      <c r="G1000" s="125" t="s">
        <v>893</v>
      </c>
      <c r="H1000" s="125" t="s">
        <v>7801</v>
      </c>
      <c r="I1000" t="s">
        <v>7815</v>
      </c>
    </row>
    <row r="1001">
      <c r="A1001" s="125" t="s">
        <v>2817</v>
      </c>
      <c r="B1001" s="526" t="s">
        <v>2816</v>
      </c>
      <c r="C1001" s="527">
        <v>0.0</v>
      </c>
      <c r="D1001" s="527">
        <v>0.0</v>
      </c>
      <c r="F1001" s="36" t="s">
        <v>7798</v>
      </c>
      <c r="G1001" s="125" t="s">
        <v>893</v>
      </c>
      <c r="H1001" s="125" t="s">
        <v>7801</v>
      </c>
      <c r="I1001" t="s">
        <v>7815</v>
      </c>
    </row>
    <row r="1002">
      <c r="A1002" s="125" t="s">
        <v>2819</v>
      </c>
      <c r="B1002" s="526" t="s">
        <v>2818</v>
      </c>
      <c r="C1002" s="527">
        <v>228.0</v>
      </c>
      <c r="D1002" s="527">
        <v>153.85</v>
      </c>
      <c r="E1002" s="528">
        <v>0.6748</v>
      </c>
      <c r="F1002" s="36" t="s">
        <v>7798</v>
      </c>
      <c r="G1002" s="125" t="s">
        <v>913</v>
      </c>
      <c r="H1002" s="125" t="s">
        <v>7801</v>
      </c>
      <c r="I1002" t="s">
        <v>7815</v>
      </c>
    </row>
    <row r="1003">
      <c r="A1003" s="125" t="s">
        <v>2821</v>
      </c>
      <c r="B1003" s="526" t="s">
        <v>2820</v>
      </c>
      <c r="C1003" s="527">
        <v>60.0</v>
      </c>
      <c r="D1003" s="527">
        <v>40.12</v>
      </c>
      <c r="E1003" s="528">
        <v>0.6687</v>
      </c>
      <c r="F1003" s="36" t="s">
        <v>7798</v>
      </c>
      <c r="G1003" s="125" t="s">
        <v>913</v>
      </c>
      <c r="H1003" s="125" t="s">
        <v>7801</v>
      </c>
      <c r="I1003" t="s">
        <v>7815</v>
      </c>
    </row>
    <row r="1004">
      <c r="A1004" s="125" t="s">
        <v>2823</v>
      </c>
      <c r="B1004" s="526" t="s">
        <v>2822</v>
      </c>
      <c r="C1004" s="527">
        <v>0.0</v>
      </c>
      <c r="D1004" s="527">
        <v>0.0</v>
      </c>
      <c r="F1004" s="36" t="s">
        <v>7798</v>
      </c>
      <c r="G1004" s="125" t="s">
        <v>893</v>
      </c>
      <c r="H1004" s="125" t="s">
        <v>7801</v>
      </c>
      <c r="I1004" t="s">
        <v>7815</v>
      </c>
    </row>
    <row r="1005">
      <c r="A1005" s="125" t="s">
        <v>2825</v>
      </c>
      <c r="B1005" s="526" t="s">
        <v>2824</v>
      </c>
      <c r="C1005" s="527">
        <v>90.0</v>
      </c>
      <c r="D1005" s="527">
        <v>60.5</v>
      </c>
      <c r="E1005" s="528">
        <v>0.6722</v>
      </c>
      <c r="F1005" s="36" t="s">
        <v>7798</v>
      </c>
      <c r="G1005" s="125" t="s">
        <v>913</v>
      </c>
      <c r="H1005" s="125" t="s">
        <v>7801</v>
      </c>
      <c r="I1005" t="s">
        <v>7815</v>
      </c>
    </row>
    <row r="1006">
      <c r="A1006" s="125" t="s">
        <v>2827</v>
      </c>
      <c r="B1006" s="526" t="s">
        <v>2826</v>
      </c>
      <c r="C1006" s="527">
        <v>0.0</v>
      </c>
      <c r="D1006" s="527">
        <v>0.0</v>
      </c>
      <c r="F1006" s="36" t="s">
        <v>7798</v>
      </c>
      <c r="G1006" s="125" t="s">
        <v>893</v>
      </c>
      <c r="H1006" s="125" t="s">
        <v>7801</v>
      </c>
      <c r="I1006" t="s">
        <v>7815</v>
      </c>
    </row>
    <row r="1007">
      <c r="A1007" s="125" t="s">
        <v>2829</v>
      </c>
      <c r="B1007" s="526" t="s">
        <v>2828</v>
      </c>
      <c r="C1007" s="527">
        <v>330.0</v>
      </c>
      <c r="D1007" s="527">
        <v>222.84</v>
      </c>
      <c r="E1007" s="528">
        <v>0.6753</v>
      </c>
      <c r="F1007" s="36" t="s">
        <v>7798</v>
      </c>
      <c r="G1007" s="125" t="s">
        <v>913</v>
      </c>
      <c r="H1007" s="125" t="s">
        <v>7801</v>
      </c>
      <c r="I1007" t="s">
        <v>7815</v>
      </c>
    </row>
    <row r="1008">
      <c r="A1008" s="125" t="s">
        <v>2831</v>
      </c>
      <c r="B1008" s="526" t="s">
        <v>2830</v>
      </c>
      <c r="C1008" s="527">
        <v>30.0</v>
      </c>
      <c r="D1008" s="527">
        <v>19.9</v>
      </c>
      <c r="E1008" s="528">
        <v>0.6633</v>
      </c>
      <c r="F1008" s="36" t="s">
        <v>7798</v>
      </c>
      <c r="G1008" s="125" t="s">
        <v>913</v>
      </c>
      <c r="H1008" s="125" t="s">
        <v>7801</v>
      </c>
      <c r="I1008" t="s">
        <v>7815</v>
      </c>
    </row>
    <row r="1009">
      <c r="A1009" s="125" t="s">
        <v>2833</v>
      </c>
      <c r="B1009" s="526" t="s">
        <v>2832</v>
      </c>
      <c r="C1009" s="527">
        <v>1.0</v>
      </c>
      <c r="D1009" s="527">
        <v>59.68</v>
      </c>
      <c r="E1009" s="528">
        <v>59.68</v>
      </c>
      <c r="F1009" s="36" t="s">
        <v>7807</v>
      </c>
      <c r="G1009" s="125" t="s">
        <v>893</v>
      </c>
      <c r="H1009" s="125" t="s">
        <v>7801</v>
      </c>
      <c r="I1009" t="s">
        <v>7815</v>
      </c>
    </row>
    <row r="1010">
      <c r="A1010" s="125" t="s">
        <v>2835</v>
      </c>
      <c r="B1010" s="526" t="s">
        <v>2834</v>
      </c>
      <c r="C1010" s="527">
        <v>835.0</v>
      </c>
      <c r="D1010" s="527">
        <v>842.44</v>
      </c>
      <c r="E1010" s="528">
        <v>1.0089</v>
      </c>
      <c r="F1010" s="36" t="s">
        <v>7798</v>
      </c>
      <c r="G1010" s="125" t="s">
        <v>913</v>
      </c>
      <c r="H1010" s="125" t="s">
        <v>7872</v>
      </c>
      <c r="I1010" t="s">
        <v>7837</v>
      </c>
    </row>
    <row r="1011">
      <c r="A1011" s="125" t="s">
        <v>2837</v>
      </c>
      <c r="B1011" s="526" t="s">
        <v>2836</v>
      </c>
      <c r="C1011" s="527">
        <v>840.0</v>
      </c>
      <c r="D1011" s="527">
        <v>847.47</v>
      </c>
      <c r="E1011" s="528">
        <v>1.0089</v>
      </c>
      <c r="F1011" s="36" t="s">
        <v>7798</v>
      </c>
      <c r="G1011" s="125" t="s">
        <v>913</v>
      </c>
      <c r="H1011" s="125" t="s">
        <v>7872</v>
      </c>
      <c r="I1011" t="s">
        <v>7837</v>
      </c>
    </row>
    <row r="1012">
      <c r="A1012" s="125" t="s">
        <v>2839</v>
      </c>
      <c r="B1012" s="526" t="s">
        <v>2838</v>
      </c>
      <c r="C1012" s="527">
        <v>785.0</v>
      </c>
      <c r="D1012" s="527">
        <v>791.93</v>
      </c>
      <c r="E1012" s="528">
        <v>1.0088</v>
      </c>
      <c r="F1012" s="36" t="s">
        <v>7798</v>
      </c>
      <c r="G1012" s="125" t="s">
        <v>913</v>
      </c>
      <c r="H1012" s="125" t="s">
        <v>7872</v>
      </c>
      <c r="I1012" t="s">
        <v>7837</v>
      </c>
    </row>
    <row r="1013">
      <c r="A1013" s="125" t="s">
        <v>2841</v>
      </c>
      <c r="B1013" s="526" t="s">
        <v>2840</v>
      </c>
      <c r="C1013" s="527">
        <v>799.0</v>
      </c>
      <c r="D1013" s="527">
        <v>806.06</v>
      </c>
      <c r="E1013" s="528">
        <v>1.0088</v>
      </c>
      <c r="F1013" s="36" t="s">
        <v>7798</v>
      </c>
      <c r="G1013" s="125" t="s">
        <v>913</v>
      </c>
      <c r="H1013" s="125" t="s">
        <v>7872</v>
      </c>
      <c r="I1013" t="s">
        <v>7837</v>
      </c>
    </row>
    <row r="1014">
      <c r="A1014" s="125" t="s">
        <v>2843</v>
      </c>
      <c r="B1014" s="526" t="s">
        <v>2842</v>
      </c>
      <c r="C1014" s="527">
        <v>821.0</v>
      </c>
      <c r="D1014" s="527">
        <v>828.27</v>
      </c>
      <c r="E1014" s="528">
        <v>1.0089</v>
      </c>
      <c r="F1014" s="36" t="s">
        <v>7798</v>
      </c>
      <c r="G1014" s="125" t="s">
        <v>913</v>
      </c>
      <c r="H1014" s="125" t="s">
        <v>7872</v>
      </c>
      <c r="I1014" t="s">
        <v>7837</v>
      </c>
    </row>
    <row r="1015">
      <c r="A1015" s="125" t="s">
        <v>2845</v>
      </c>
      <c r="B1015" s="526" t="s">
        <v>2844</v>
      </c>
      <c r="C1015" s="527">
        <v>845.0</v>
      </c>
      <c r="D1015" s="527">
        <v>852.52</v>
      </c>
      <c r="E1015" s="528">
        <v>1.0089</v>
      </c>
      <c r="F1015" s="36" t="s">
        <v>7798</v>
      </c>
      <c r="G1015" s="125" t="s">
        <v>913</v>
      </c>
      <c r="H1015" s="125" t="s">
        <v>7872</v>
      </c>
      <c r="I1015" t="s">
        <v>7837</v>
      </c>
    </row>
    <row r="1016">
      <c r="A1016" s="125" t="s">
        <v>2847</v>
      </c>
      <c r="B1016" s="526" t="s">
        <v>2846</v>
      </c>
      <c r="C1016" s="527">
        <v>931.0</v>
      </c>
      <c r="D1016" s="527">
        <v>939.32</v>
      </c>
      <c r="E1016" s="528">
        <v>1.0089</v>
      </c>
      <c r="F1016" s="36" t="s">
        <v>7798</v>
      </c>
      <c r="G1016" s="125" t="s">
        <v>913</v>
      </c>
      <c r="H1016" s="125" t="s">
        <v>7872</v>
      </c>
      <c r="I1016" t="s">
        <v>7837</v>
      </c>
    </row>
    <row r="1017">
      <c r="A1017" s="125" t="s">
        <v>2849</v>
      </c>
      <c r="B1017" s="526" t="s">
        <v>2848</v>
      </c>
      <c r="C1017" s="527">
        <v>17.0</v>
      </c>
      <c r="D1017" s="527">
        <v>72.63</v>
      </c>
      <c r="E1017" s="528">
        <v>4.2724</v>
      </c>
      <c r="F1017" s="36" t="s">
        <v>7798</v>
      </c>
      <c r="G1017" s="125" t="s">
        <v>913</v>
      </c>
      <c r="I1017" t="s">
        <v>45</v>
      </c>
    </row>
    <row r="1018">
      <c r="A1018" s="125" t="s">
        <v>2851</v>
      </c>
      <c r="B1018" s="526" t="s">
        <v>2850</v>
      </c>
      <c r="C1018" s="527">
        <v>5.0</v>
      </c>
      <c r="D1018" s="527">
        <v>162.91</v>
      </c>
      <c r="E1018" s="528">
        <v>32.582</v>
      </c>
      <c r="F1018" s="36" t="s">
        <v>7798</v>
      </c>
      <c r="G1018" s="125" t="s">
        <v>913</v>
      </c>
      <c r="H1018" s="125" t="s">
        <v>7872</v>
      </c>
      <c r="I1018" t="s">
        <v>7837</v>
      </c>
    </row>
    <row r="1019">
      <c r="A1019" s="125" t="s">
        <v>2853</v>
      </c>
      <c r="B1019" s="526" t="s">
        <v>2852</v>
      </c>
      <c r="C1019" s="527">
        <v>162.0</v>
      </c>
      <c r="D1019" s="527">
        <v>16.2</v>
      </c>
      <c r="E1019" s="528">
        <v>0.1</v>
      </c>
      <c r="F1019" s="36" t="s">
        <v>7827</v>
      </c>
      <c r="G1019" s="125" t="s">
        <v>913</v>
      </c>
      <c r="H1019" s="125" t="s">
        <v>7840</v>
      </c>
    </row>
    <row r="1020">
      <c r="A1020" s="125" t="s">
        <v>2855</v>
      </c>
      <c r="B1020" s="526" t="s">
        <v>2854</v>
      </c>
      <c r="C1020" s="527">
        <v>0.0</v>
      </c>
      <c r="D1020" s="527">
        <v>0.0</v>
      </c>
      <c r="F1020" s="36" t="s">
        <v>7798</v>
      </c>
      <c r="G1020" s="125" t="s">
        <v>913</v>
      </c>
      <c r="H1020" s="125" t="s">
        <v>7801</v>
      </c>
    </row>
    <row r="1021">
      <c r="A1021" s="125" t="s">
        <v>2856</v>
      </c>
      <c r="B1021" s="526">
        <v>26414.0</v>
      </c>
      <c r="C1021" s="527">
        <v>0.0</v>
      </c>
      <c r="D1021" s="527">
        <v>0.0</v>
      </c>
      <c r="F1021" s="36" t="s">
        <v>7798</v>
      </c>
      <c r="G1021" s="125" t="s">
        <v>893</v>
      </c>
      <c r="H1021" s="125" t="s">
        <v>7799</v>
      </c>
      <c r="I1021" t="s">
        <v>7866</v>
      </c>
    </row>
    <row r="1022">
      <c r="A1022" s="125" t="s">
        <v>2857</v>
      </c>
      <c r="B1022" s="526">
        <v>30049.0</v>
      </c>
      <c r="C1022" s="527">
        <v>0.0</v>
      </c>
      <c r="D1022" s="527">
        <v>0.0</v>
      </c>
      <c r="F1022" s="36" t="s">
        <v>7798</v>
      </c>
      <c r="G1022" s="125" t="s">
        <v>893</v>
      </c>
      <c r="H1022" s="125" t="s">
        <v>7799</v>
      </c>
      <c r="I1022" t="s">
        <v>7866</v>
      </c>
    </row>
    <row r="1023">
      <c r="A1023" s="125" t="s">
        <v>2861</v>
      </c>
      <c r="B1023" s="526" t="s">
        <v>2860</v>
      </c>
      <c r="C1023" s="527">
        <v>0.0</v>
      </c>
      <c r="D1023" s="527">
        <v>0.0</v>
      </c>
      <c r="F1023" s="36" t="s">
        <v>7798</v>
      </c>
      <c r="G1023" s="125" t="s">
        <v>893</v>
      </c>
      <c r="H1023" s="125" t="s">
        <v>7799</v>
      </c>
      <c r="I1023" t="s">
        <v>7859</v>
      </c>
    </row>
    <row r="1024">
      <c r="A1024" s="125" t="s">
        <v>2863</v>
      </c>
      <c r="B1024" s="526" t="s">
        <v>2862</v>
      </c>
      <c r="C1024" s="527">
        <v>0.0</v>
      </c>
      <c r="D1024" s="527">
        <v>0.0</v>
      </c>
      <c r="F1024" s="36" t="s">
        <v>7798</v>
      </c>
      <c r="G1024" s="125" t="s">
        <v>893</v>
      </c>
      <c r="H1024" s="125" t="s">
        <v>7799</v>
      </c>
      <c r="I1024" t="s">
        <v>7805</v>
      </c>
    </row>
    <row r="1025">
      <c r="A1025" s="125" t="s">
        <v>2865</v>
      </c>
      <c r="B1025" s="526" t="s">
        <v>2864</v>
      </c>
      <c r="C1025" s="527">
        <v>0.0</v>
      </c>
      <c r="D1025" s="527">
        <v>0.0</v>
      </c>
      <c r="F1025" s="36" t="s">
        <v>7807</v>
      </c>
      <c r="G1025" s="125" t="s">
        <v>893</v>
      </c>
      <c r="H1025" s="125" t="s">
        <v>7801</v>
      </c>
      <c r="I1025" t="s">
        <v>7841</v>
      </c>
    </row>
    <row r="1026">
      <c r="A1026" s="125" t="s">
        <v>2867</v>
      </c>
      <c r="B1026" s="526" t="s">
        <v>2866</v>
      </c>
      <c r="C1026" s="527">
        <v>0.0</v>
      </c>
      <c r="D1026" s="527">
        <v>0.0</v>
      </c>
      <c r="F1026" s="36" t="s">
        <v>7807</v>
      </c>
      <c r="G1026" s="125" t="s">
        <v>893</v>
      </c>
      <c r="H1026" s="125" t="s">
        <v>7801</v>
      </c>
      <c r="I1026" t="s">
        <v>7873</v>
      </c>
    </row>
    <row r="1027">
      <c r="A1027" s="125" t="s">
        <v>2869</v>
      </c>
      <c r="B1027" s="526" t="s">
        <v>2868</v>
      </c>
      <c r="C1027" s="527">
        <v>0.0</v>
      </c>
      <c r="D1027" s="527">
        <v>0.0</v>
      </c>
      <c r="F1027" s="36" t="s">
        <v>7798</v>
      </c>
      <c r="G1027" s="125" t="s">
        <v>893</v>
      </c>
      <c r="H1027" s="125" t="s">
        <v>7801</v>
      </c>
      <c r="I1027" t="s">
        <v>7814</v>
      </c>
    </row>
    <row r="1028">
      <c r="A1028" s="125" t="s">
        <v>2871</v>
      </c>
      <c r="B1028" s="526" t="s">
        <v>2870</v>
      </c>
      <c r="C1028" s="527">
        <v>0.0</v>
      </c>
      <c r="D1028" s="527">
        <v>0.0</v>
      </c>
      <c r="F1028" s="36" t="s">
        <v>7798</v>
      </c>
      <c r="G1028" s="125" t="s">
        <v>893</v>
      </c>
      <c r="H1028" s="125" t="s">
        <v>7799</v>
      </c>
      <c r="I1028" t="s">
        <v>7841</v>
      </c>
    </row>
    <row r="1029">
      <c r="A1029" s="125" t="s">
        <v>2873</v>
      </c>
      <c r="B1029" s="526" t="s">
        <v>2872</v>
      </c>
      <c r="C1029" s="527">
        <v>0.0</v>
      </c>
      <c r="D1029" s="527">
        <v>0.0</v>
      </c>
      <c r="F1029" s="36" t="s">
        <v>7798</v>
      </c>
      <c r="G1029" s="125" t="s">
        <v>893</v>
      </c>
      <c r="H1029" s="125" t="s">
        <v>7799</v>
      </c>
      <c r="I1029" t="s">
        <v>7841</v>
      </c>
    </row>
    <row r="1030">
      <c r="A1030" s="125" t="s">
        <v>2875</v>
      </c>
      <c r="B1030" s="526" t="s">
        <v>2874</v>
      </c>
      <c r="C1030" s="527">
        <v>0.0</v>
      </c>
      <c r="D1030" s="527">
        <v>0.0</v>
      </c>
      <c r="F1030" s="36" t="s">
        <v>7798</v>
      </c>
      <c r="G1030" s="125" t="s">
        <v>893</v>
      </c>
      <c r="H1030" s="125" t="s">
        <v>7799</v>
      </c>
      <c r="I1030" t="s">
        <v>7841</v>
      </c>
    </row>
    <row r="1031">
      <c r="A1031" s="125" t="s">
        <v>2877</v>
      </c>
      <c r="B1031" s="526" t="s">
        <v>2876</v>
      </c>
      <c r="C1031" s="527">
        <v>0.0</v>
      </c>
      <c r="D1031" s="527">
        <v>0.0</v>
      </c>
      <c r="F1031" s="36" t="s">
        <v>7798</v>
      </c>
      <c r="G1031" s="125" t="s">
        <v>893</v>
      </c>
      <c r="H1031" s="125" t="s">
        <v>7799</v>
      </c>
      <c r="I1031" t="s">
        <v>7841</v>
      </c>
    </row>
    <row r="1032">
      <c r="A1032" s="125" t="s">
        <v>2879</v>
      </c>
      <c r="B1032" s="526" t="s">
        <v>2878</v>
      </c>
      <c r="C1032" s="527">
        <v>0.0</v>
      </c>
      <c r="D1032" s="527">
        <v>0.0</v>
      </c>
      <c r="F1032" s="36" t="s">
        <v>7798</v>
      </c>
      <c r="G1032" s="125" t="s">
        <v>893</v>
      </c>
      <c r="H1032" s="125" t="s">
        <v>7799</v>
      </c>
      <c r="I1032" t="s">
        <v>7841</v>
      </c>
    </row>
    <row r="1033">
      <c r="A1033" s="125" t="s">
        <v>2881</v>
      </c>
      <c r="B1033" s="526" t="s">
        <v>2880</v>
      </c>
      <c r="C1033" s="527">
        <v>0.0</v>
      </c>
      <c r="D1033" s="527">
        <v>0.0</v>
      </c>
      <c r="F1033" s="36" t="s">
        <v>7798</v>
      </c>
      <c r="G1033" s="125" t="s">
        <v>893</v>
      </c>
      <c r="H1033" s="125" t="s">
        <v>7799</v>
      </c>
      <c r="I1033" t="s">
        <v>7841</v>
      </c>
    </row>
    <row r="1034">
      <c r="A1034" s="125" t="s">
        <v>2883</v>
      </c>
      <c r="B1034" s="526" t="s">
        <v>2882</v>
      </c>
      <c r="C1034" s="527">
        <v>0.0</v>
      </c>
      <c r="D1034" s="527">
        <v>0.0</v>
      </c>
      <c r="F1034" s="36" t="s">
        <v>7798</v>
      </c>
      <c r="G1034" s="125" t="s">
        <v>893</v>
      </c>
      <c r="H1034" s="125" t="s">
        <v>7799</v>
      </c>
      <c r="I1034" t="s">
        <v>7841</v>
      </c>
    </row>
    <row r="1035">
      <c r="A1035" s="125" t="s">
        <v>2885</v>
      </c>
      <c r="B1035" s="526" t="s">
        <v>2884</v>
      </c>
      <c r="C1035" s="527">
        <v>0.0</v>
      </c>
      <c r="D1035" s="527">
        <v>0.0</v>
      </c>
      <c r="F1035" s="36" t="s">
        <v>7807</v>
      </c>
      <c r="G1035" s="125" t="s">
        <v>893</v>
      </c>
      <c r="H1035" s="125" t="s">
        <v>7799</v>
      </c>
      <c r="I1035" t="s">
        <v>7806</v>
      </c>
    </row>
    <row r="1036">
      <c r="A1036" s="125" t="s">
        <v>2887</v>
      </c>
      <c r="B1036" s="526" t="s">
        <v>2886</v>
      </c>
      <c r="C1036" s="527">
        <v>0.0</v>
      </c>
      <c r="D1036" s="527">
        <v>0.0</v>
      </c>
      <c r="F1036" s="36" t="s">
        <v>7798</v>
      </c>
      <c r="G1036" s="125" t="s">
        <v>893</v>
      </c>
      <c r="H1036" s="125" t="s">
        <v>7799</v>
      </c>
      <c r="I1036" t="s">
        <v>45</v>
      </c>
    </row>
    <row r="1037">
      <c r="A1037" s="125" t="s">
        <v>2890</v>
      </c>
      <c r="B1037" s="526" t="s">
        <v>2889</v>
      </c>
      <c r="C1037" s="527">
        <v>0.0</v>
      </c>
      <c r="D1037" s="527">
        <v>0.0</v>
      </c>
      <c r="F1037" s="36" t="s">
        <v>7798</v>
      </c>
      <c r="G1037" s="125" t="s">
        <v>893</v>
      </c>
      <c r="H1037" s="125" t="s">
        <v>7799</v>
      </c>
      <c r="I1037" t="s">
        <v>7825</v>
      </c>
    </row>
    <row r="1038">
      <c r="A1038" s="125" t="s">
        <v>2892</v>
      </c>
      <c r="B1038" s="526" t="s">
        <v>2891</v>
      </c>
      <c r="C1038" s="527">
        <v>0.0</v>
      </c>
      <c r="D1038" s="527">
        <v>0.0</v>
      </c>
      <c r="F1038" s="36" t="s">
        <v>7798</v>
      </c>
      <c r="G1038" s="125" t="s">
        <v>893</v>
      </c>
      <c r="H1038" s="125" t="s">
        <v>7799</v>
      </c>
      <c r="I1038" t="s">
        <v>7825</v>
      </c>
    </row>
    <row r="1039">
      <c r="A1039" s="125" t="s">
        <v>2894</v>
      </c>
      <c r="B1039" s="526" t="s">
        <v>2893</v>
      </c>
      <c r="C1039" s="527">
        <v>0.0</v>
      </c>
      <c r="D1039" s="527">
        <v>0.0</v>
      </c>
      <c r="F1039" s="36" t="s">
        <v>7798</v>
      </c>
      <c r="G1039" s="125" t="s">
        <v>893</v>
      </c>
      <c r="H1039" s="125" t="s">
        <v>7799</v>
      </c>
      <c r="I1039" t="s">
        <v>7825</v>
      </c>
    </row>
    <row r="1040">
      <c r="A1040" s="125" t="s">
        <v>2896</v>
      </c>
      <c r="B1040" s="526" t="s">
        <v>2895</v>
      </c>
      <c r="C1040" s="527">
        <v>0.0</v>
      </c>
      <c r="D1040" s="527">
        <v>0.0</v>
      </c>
      <c r="F1040" s="36" t="s">
        <v>7798</v>
      </c>
      <c r="G1040" s="125" t="s">
        <v>893</v>
      </c>
      <c r="H1040" s="125" t="s">
        <v>7799</v>
      </c>
      <c r="I1040" t="s">
        <v>7825</v>
      </c>
    </row>
    <row r="1041">
      <c r="A1041" s="125" t="s">
        <v>2898</v>
      </c>
      <c r="B1041" s="526" t="s">
        <v>2897</v>
      </c>
      <c r="C1041" s="527">
        <v>0.0</v>
      </c>
      <c r="D1041" s="527">
        <v>0.0</v>
      </c>
      <c r="F1041" s="36" t="s">
        <v>7798</v>
      </c>
      <c r="G1041" s="125" t="s">
        <v>893</v>
      </c>
      <c r="H1041" s="125" t="s">
        <v>7799</v>
      </c>
      <c r="I1041" t="s">
        <v>7815</v>
      </c>
    </row>
    <row r="1042">
      <c r="A1042" s="125" t="s">
        <v>2900</v>
      </c>
      <c r="B1042" s="526" t="s">
        <v>2899</v>
      </c>
      <c r="C1042" s="527">
        <v>78.0</v>
      </c>
      <c r="D1042" s="527">
        <v>52.56</v>
      </c>
      <c r="E1042" s="528">
        <v>0.6738</v>
      </c>
      <c r="F1042" s="36" t="s">
        <v>7798</v>
      </c>
      <c r="G1042" s="125" t="s">
        <v>913</v>
      </c>
      <c r="H1042" s="125" t="s">
        <v>7801</v>
      </c>
      <c r="I1042" t="s">
        <v>7815</v>
      </c>
    </row>
    <row r="1043">
      <c r="A1043" s="125" t="s">
        <v>2902</v>
      </c>
      <c r="B1043" s="526" t="s">
        <v>2901</v>
      </c>
      <c r="C1043" s="527">
        <v>0.0</v>
      </c>
      <c r="D1043" s="527">
        <v>0.0</v>
      </c>
      <c r="F1043" s="36" t="s">
        <v>7798</v>
      </c>
      <c r="G1043" s="125" t="s">
        <v>893</v>
      </c>
      <c r="H1043" s="125" t="s">
        <v>7799</v>
      </c>
      <c r="I1043" t="s">
        <v>7815</v>
      </c>
    </row>
    <row r="1044">
      <c r="A1044" s="125" t="s">
        <v>2906</v>
      </c>
      <c r="B1044" s="526" t="s">
        <v>2905</v>
      </c>
      <c r="C1044" s="527">
        <v>0.0</v>
      </c>
      <c r="D1044" s="527">
        <v>0.0</v>
      </c>
      <c r="F1044" s="36" t="s">
        <v>7798</v>
      </c>
      <c r="G1044" s="125" t="s">
        <v>893</v>
      </c>
      <c r="H1044" s="125" t="s">
        <v>7801</v>
      </c>
      <c r="I1044" t="s">
        <v>7815</v>
      </c>
    </row>
    <row r="1045">
      <c r="A1045" s="125" t="s">
        <v>2908</v>
      </c>
      <c r="B1045" s="526" t="s">
        <v>2907</v>
      </c>
      <c r="C1045" s="527">
        <v>0.0</v>
      </c>
      <c r="D1045" s="527">
        <v>0.0</v>
      </c>
      <c r="F1045" s="36" t="s">
        <v>7798</v>
      </c>
      <c r="G1045" s="125" t="s">
        <v>893</v>
      </c>
      <c r="H1045" s="125" t="s">
        <v>7799</v>
      </c>
      <c r="I1045" t="s">
        <v>7815</v>
      </c>
    </row>
    <row r="1046">
      <c r="A1046" s="125" t="s">
        <v>2910</v>
      </c>
      <c r="B1046" s="526" t="s">
        <v>2909</v>
      </c>
      <c r="C1046" s="527">
        <v>0.0</v>
      </c>
      <c r="D1046" s="527">
        <v>0.0</v>
      </c>
      <c r="F1046" s="36" t="s">
        <v>7798</v>
      </c>
      <c r="G1046" s="125" t="s">
        <v>893</v>
      </c>
      <c r="H1046" s="125" t="s">
        <v>7799</v>
      </c>
      <c r="I1046" t="s">
        <v>7815</v>
      </c>
    </row>
    <row r="1047">
      <c r="A1047" s="125" t="s">
        <v>2912</v>
      </c>
      <c r="B1047" s="526" t="s">
        <v>2911</v>
      </c>
      <c r="C1047" s="527">
        <v>0.0</v>
      </c>
      <c r="D1047" s="527">
        <v>0.0</v>
      </c>
      <c r="F1047" s="36" t="s">
        <v>7798</v>
      </c>
      <c r="G1047" s="125" t="s">
        <v>893</v>
      </c>
      <c r="H1047" s="125" t="s">
        <v>7799</v>
      </c>
      <c r="I1047" t="s">
        <v>7874</v>
      </c>
    </row>
    <row r="1048">
      <c r="A1048" s="125" t="s">
        <v>2914</v>
      </c>
      <c r="B1048" s="526" t="s">
        <v>2913</v>
      </c>
      <c r="C1048" s="527">
        <v>0.0</v>
      </c>
      <c r="D1048" s="527">
        <v>0.0</v>
      </c>
      <c r="F1048" s="36" t="s">
        <v>7798</v>
      </c>
      <c r="G1048" s="125" t="s">
        <v>893</v>
      </c>
      <c r="H1048" s="125" t="s">
        <v>7799</v>
      </c>
      <c r="I1048" t="s">
        <v>7815</v>
      </c>
    </row>
    <row r="1049">
      <c r="A1049" s="125" t="s">
        <v>2916</v>
      </c>
      <c r="B1049" s="526" t="s">
        <v>2915</v>
      </c>
      <c r="C1049" s="527">
        <v>0.0</v>
      </c>
      <c r="D1049" s="527">
        <v>0.0</v>
      </c>
      <c r="F1049" s="36" t="s">
        <v>7798</v>
      </c>
      <c r="G1049" s="125" t="s">
        <v>893</v>
      </c>
      <c r="H1049" s="125" t="s">
        <v>7799</v>
      </c>
      <c r="I1049" t="s">
        <v>7815</v>
      </c>
    </row>
    <row r="1050">
      <c r="A1050" s="125" t="s">
        <v>2918</v>
      </c>
      <c r="B1050" s="526" t="s">
        <v>2917</v>
      </c>
      <c r="C1050" s="527">
        <v>0.0</v>
      </c>
      <c r="D1050" s="527">
        <v>0.0</v>
      </c>
      <c r="F1050" s="36" t="s">
        <v>7798</v>
      </c>
      <c r="G1050" s="125" t="s">
        <v>893</v>
      </c>
      <c r="H1050" s="125" t="s">
        <v>7801</v>
      </c>
      <c r="I1050" t="s">
        <v>7815</v>
      </c>
    </row>
    <row r="1051">
      <c r="A1051" s="125" t="s">
        <v>2920</v>
      </c>
      <c r="B1051" s="526" t="s">
        <v>2919</v>
      </c>
      <c r="C1051" s="527">
        <v>0.0</v>
      </c>
      <c r="D1051" s="527">
        <v>0.0</v>
      </c>
      <c r="F1051" s="36" t="s">
        <v>7798</v>
      </c>
      <c r="G1051" s="125" t="s">
        <v>893</v>
      </c>
      <c r="H1051" s="125" t="s">
        <v>7799</v>
      </c>
      <c r="I1051" t="s">
        <v>7815</v>
      </c>
    </row>
    <row r="1052">
      <c r="A1052" s="125" t="s">
        <v>2922</v>
      </c>
      <c r="B1052" s="526" t="s">
        <v>2921</v>
      </c>
      <c r="C1052" s="527">
        <v>0.0</v>
      </c>
      <c r="D1052" s="527">
        <v>0.0</v>
      </c>
      <c r="F1052" s="36" t="s">
        <v>7798</v>
      </c>
      <c r="G1052" s="125" t="s">
        <v>893</v>
      </c>
      <c r="H1052" s="125" t="s">
        <v>7799</v>
      </c>
      <c r="I1052" t="s">
        <v>7815</v>
      </c>
    </row>
    <row r="1053">
      <c r="A1053" s="125" t="s">
        <v>2924</v>
      </c>
      <c r="B1053" s="526" t="s">
        <v>2923</v>
      </c>
      <c r="C1053" s="527">
        <v>0.0</v>
      </c>
      <c r="D1053" s="527">
        <v>0.0</v>
      </c>
      <c r="F1053" s="36" t="s">
        <v>7798</v>
      </c>
      <c r="G1053" s="125" t="s">
        <v>893</v>
      </c>
      <c r="H1053" s="125" t="s">
        <v>7799</v>
      </c>
      <c r="I1053" t="s">
        <v>7815</v>
      </c>
    </row>
    <row r="1054">
      <c r="A1054" s="125" t="s">
        <v>2926</v>
      </c>
      <c r="B1054" s="526" t="s">
        <v>2925</v>
      </c>
      <c r="C1054" s="527">
        <v>0.0</v>
      </c>
      <c r="D1054" s="527">
        <v>0.0</v>
      </c>
      <c r="F1054" s="36" t="s">
        <v>7798</v>
      </c>
      <c r="G1054" s="125" t="s">
        <v>893</v>
      </c>
      <c r="H1054" s="125" t="s">
        <v>7799</v>
      </c>
      <c r="I1054" t="s">
        <v>7815</v>
      </c>
    </row>
    <row r="1055">
      <c r="A1055" s="125" t="s">
        <v>2928</v>
      </c>
      <c r="B1055" s="526" t="s">
        <v>2927</v>
      </c>
      <c r="C1055" s="527">
        <v>0.0</v>
      </c>
      <c r="D1055" s="527">
        <v>0.0</v>
      </c>
      <c r="F1055" s="36" t="s">
        <v>7798</v>
      </c>
      <c r="G1055" s="125" t="s">
        <v>893</v>
      </c>
      <c r="H1055" s="125" t="s">
        <v>7799</v>
      </c>
      <c r="I1055" t="s">
        <v>7815</v>
      </c>
    </row>
    <row r="1056">
      <c r="A1056" s="125" t="s">
        <v>2930</v>
      </c>
      <c r="B1056" s="526" t="s">
        <v>2929</v>
      </c>
      <c r="C1056" s="527">
        <v>0.0</v>
      </c>
      <c r="D1056" s="527">
        <v>0.0</v>
      </c>
      <c r="F1056" s="36" t="s">
        <v>7798</v>
      </c>
      <c r="G1056" s="125" t="s">
        <v>893</v>
      </c>
      <c r="H1056" s="125" t="s">
        <v>7799</v>
      </c>
      <c r="I1056" t="s">
        <v>7815</v>
      </c>
    </row>
    <row r="1057">
      <c r="A1057" s="125" t="s">
        <v>2932</v>
      </c>
      <c r="B1057" s="526" t="s">
        <v>2931</v>
      </c>
      <c r="C1057" s="527">
        <v>408.0</v>
      </c>
      <c r="D1057" s="527">
        <v>275.86</v>
      </c>
      <c r="E1057" s="528">
        <v>0.6761</v>
      </c>
      <c r="F1057" s="36" t="s">
        <v>7798</v>
      </c>
      <c r="G1057" s="125" t="s">
        <v>913</v>
      </c>
      <c r="H1057" s="125" t="s">
        <v>7801</v>
      </c>
      <c r="I1057" t="s">
        <v>7815</v>
      </c>
    </row>
    <row r="1058">
      <c r="A1058" s="125" t="s">
        <v>2934</v>
      </c>
      <c r="B1058" s="526" t="s">
        <v>2933</v>
      </c>
      <c r="C1058" s="527">
        <v>0.0</v>
      </c>
      <c r="D1058" s="527">
        <v>0.0</v>
      </c>
      <c r="F1058" s="36" t="s">
        <v>7798</v>
      </c>
      <c r="G1058" s="125" t="s">
        <v>893</v>
      </c>
      <c r="H1058" s="125" t="s">
        <v>7799</v>
      </c>
      <c r="I1058" t="s">
        <v>7815</v>
      </c>
    </row>
    <row r="1059">
      <c r="A1059" s="125" t="s">
        <v>2936</v>
      </c>
      <c r="B1059" s="526" t="s">
        <v>2935</v>
      </c>
      <c r="C1059" s="527">
        <v>0.0</v>
      </c>
      <c r="D1059" s="527">
        <v>0.0</v>
      </c>
      <c r="F1059" s="36" t="s">
        <v>7798</v>
      </c>
      <c r="G1059" s="125" t="s">
        <v>893</v>
      </c>
      <c r="H1059" s="125" t="s">
        <v>7799</v>
      </c>
      <c r="I1059" t="s">
        <v>7815</v>
      </c>
    </row>
    <row r="1060">
      <c r="A1060" s="125" t="s">
        <v>2938</v>
      </c>
      <c r="B1060" s="526" t="s">
        <v>2937</v>
      </c>
      <c r="C1060" s="527">
        <v>0.0</v>
      </c>
      <c r="D1060" s="527">
        <v>0.0</v>
      </c>
      <c r="F1060" s="36" t="s">
        <v>7798</v>
      </c>
      <c r="G1060" s="125" t="s">
        <v>893</v>
      </c>
      <c r="H1060" s="125" t="s">
        <v>7799</v>
      </c>
      <c r="I1060" t="s">
        <v>7815</v>
      </c>
    </row>
    <row r="1061">
      <c r="A1061" s="125" t="s">
        <v>2940</v>
      </c>
      <c r="B1061" s="526" t="s">
        <v>2939</v>
      </c>
      <c r="C1061" s="527">
        <v>0.0</v>
      </c>
      <c r="D1061" s="527">
        <v>0.0</v>
      </c>
      <c r="F1061" s="36" t="s">
        <v>7798</v>
      </c>
      <c r="G1061" s="125" t="s">
        <v>893</v>
      </c>
      <c r="H1061" s="125" t="s">
        <v>7799</v>
      </c>
      <c r="I1061" t="s">
        <v>7815</v>
      </c>
    </row>
    <row r="1062">
      <c r="A1062" s="125" t="s">
        <v>2942</v>
      </c>
      <c r="B1062" s="526" t="s">
        <v>2941</v>
      </c>
      <c r="C1062" s="527">
        <v>0.0</v>
      </c>
      <c r="D1062" s="527">
        <v>0.0</v>
      </c>
      <c r="F1062" s="36" t="s">
        <v>7798</v>
      </c>
      <c r="G1062" s="125" t="s">
        <v>893</v>
      </c>
      <c r="H1062" s="125" t="s">
        <v>7799</v>
      </c>
      <c r="I1062" t="s">
        <v>7815</v>
      </c>
    </row>
    <row r="1063">
      <c r="A1063" s="125" t="s">
        <v>2944</v>
      </c>
      <c r="B1063" s="526" t="s">
        <v>2943</v>
      </c>
      <c r="C1063" s="527">
        <v>174.0</v>
      </c>
      <c r="D1063" s="527">
        <v>117.53</v>
      </c>
      <c r="E1063" s="528">
        <v>0.6755</v>
      </c>
      <c r="F1063" s="36" t="s">
        <v>7798</v>
      </c>
      <c r="G1063" s="125" t="s">
        <v>913</v>
      </c>
      <c r="H1063" s="125" t="s">
        <v>7801</v>
      </c>
      <c r="I1063" t="s">
        <v>7815</v>
      </c>
    </row>
    <row r="1064">
      <c r="A1064" s="125" t="s">
        <v>2946</v>
      </c>
      <c r="B1064" s="526" t="s">
        <v>2945</v>
      </c>
      <c r="C1064" s="527">
        <v>0.0</v>
      </c>
      <c r="D1064" s="527">
        <v>0.0</v>
      </c>
      <c r="F1064" s="36" t="s">
        <v>7798</v>
      </c>
      <c r="G1064" s="125" t="s">
        <v>893</v>
      </c>
      <c r="H1064" s="125" t="s">
        <v>7799</v>
      </c>
      <c r="I1064" t="s">
        <v>7815</v>
      </c>
    </row>
    <row r="1065">
      <c r="A1065" s="125" t="s">
        <v>2948</v>
      </c>
      <c r="B1065" s="526" t="s">
        <v>2947</v>
      </c>
      <c r="C1065" s="527">
        <v>0.0</v>
      </c>
      <c r="D1065" s="527">
        <v>0.0</v>
      </c>
      <c r="F1065" s="36" t="s">
        <v>7798</v>
      </c>
      <c r="G1065" s="125" t="s">
        <v>893</v>
      </c>
      <c r="H1065" s="125" t="s">
        <v>7801</v>
      </c>
      <c r="I1065" t="s">
        <v>7815</v>
      </c>
    </row>
    <row r="1066">
      <c r="A1066" s="125" t="s">
        <v>2950</v>
      </c>
      <c r="B1066" s="526" t="s">
        <v>2949</v>
      </c>
      <c r="C1066" s="527">
        <v>0.0</v>
      </c>
      <c r="D1066" s="527">
        <v>0.0</v>
      </c>
      <c r="F1066" s="36" t="s">
        <v>7798</v>
      </c>
      <c r="G1066" s="125" t="s">
        <v>893</v>
      </c>
      <c r="H1066" s="125" t="s">
        <v>7799</v>
      </c>
      <c r="I1066" t="s">
        <v>7815</v>
      </c>
    </row>
    <row r="1067">
      <c r="A1067" s="125" t="s">
        <v>2952</v>
      </c>
      <c r="B1067" s="526" t="s">
        <v>2951</v>
      </c>
      <c r="C1067" s="527">
        <v>0.0</v>
      </c>
      <c r="D1067" s="527">
        <v>0.0</v>
      </c>
      <c r="F1067" s="36" t="s">
        <v>7798</v>
      </c>
      <c r="G1067" s="125" t="s">
        <v>893</v>
      </c>
      <c r="H1067" s="125" t="s">
        <v>7799</v>
      </c>
      <c r="I1067" t="s">
        <v>7815</v>
      </c>
    </row>
    <row r="1068">
      <c r="A1068" s="125" t="s">
        <v>2954</v>
      </c>
      <c r="B1068" s="526" t="s">
        <v>2953</v>
      </c>
      <c r="C1068" s="527">
        <v>0.0</v>
      </c>
      <c r="D1068" s="527">
        <v>0.0</v>
      </c>
      <c r="F1068" s="36" t="s">
        <v>7798</v>
      </c>
      <c r="G1068" s="125" t="s">
        <v>893</v>
      </c>
      <c r="H1068" s="125" t="s">
        <v>7799</v>
      </c>
      <c r="I1068" t="s">
        <v>7815</v>
      </c>
    </row>
    <row r="1069">
      <c r="A1069" s="125" t="s">
        <v>2956</v>
      </c>
      <c r="B1069" s="526" t="s">
        <v>2955</v>
      </c>
      <c r="C1069" s="527">
        <v>0.0</v>
      </c>
      <c r="D1069" s="527">
        <v>0.0</v>
      </c>
      <c r="F1069" s="36" t="s">
        <v>7798</v>
      </c>
      <c r="G1069" s="125" t="s">
        <v>893</v>
      </c>
      <c r="H1069" s="125" t="s">
        <v>7799</v>
      </c>
      <c r="I1069" t="s">
        <v>7815</v>
      </c>
    </row>
    <row r="1070">
      <c r="A1070" s="125" t="s">
        <v>2958</v>
      </c>
      <c r="B1070" s="526" t="s">
        <v>2957</v>
      </c>
      <c r="C1070" s="527">
        <v>0.0</v>
      </c>
      <c r="D1070" s="527">
        <v>0.0</v>
      </c>
      <c r="F1070" s="36" t="s">
        <v>7798</v>
      </c>
      <c r="G1070" s="125" t="s">
        <v>893</v>
      </c>
      <c r="H1070" s="125" t="s">
        <v>7799</v>
      </c>
      <c r="I1070" t="s">
        <v>7815</v>
      </c>
    </row>
    <row r="1071">
      <c r="A1071" s="125" t="s">
        <v>2960</v>
      </c>
      <c r="B1071" s="526" t="s">
        <v>2959</v>
      </c>
      <c r="C1071" s="527">
        <v>0.0</v>
      </c>
      <c r="D1071" s="527">
        <v>0.0</v>
      </c>
      <c r="F1071" s="36" t="s">
        <v>7798</v>
      </c>
      <c r="G1071" s="125" t="s">
        <v>893</v>
      </c>
      <c r="H1071" s="125" t="s">
        <v>7799</v>
      </c>
      <c r="I1071" t="s">
        <v>7815</v>
      </c>
    </row>
    <row r="1072">
      <c r="A1072" s="125" t="s">
        <v>2962</v>
      </c>
      <c r="B1072" s="526" t="s">
        <v>2961</v>
      </c>
      <c r="C1072" s="527">
        <v>0.0</v>
      </c>
      <c r="D1072" s="527">
        <v>0.0</v>
      </c>
      <c r="F1072" s="36" t="s">
        <v>7798</v>
      </c>
      <c r="G1072" s="125" t="s">
        <v>893</v>
      </c>
      <c r="H1072" s="125" t="s">
        <v>7799</v>
      </c>
      <c r="I1072" t="s">
        <v>7815</v>
      </c>
    </row>
    <row r="1073">
      <c r="A1073" s="125" t="s">
        <v>2966</v>
      </c>
      <c r="B1073" s="526" t="s">
        <v>2965</v>
      </c>
      <c r="C1073" s="527">
        <v>0.0</v>
      </c>
      <c r="D1073" s="527">
        <v>0.0</v>
      </c>
      <c r="F1073" s="36" t="s">
        <v>7798</v>
      </c>
      <c r="G1073" s="125" t="s">
        <v>893</v>
      </c>
      <c r="H1073" s="125" t="s">
        <v>7799</v>
      </c>
      <c r="I1073" t="s">
        <v>7815</v>
      </c>
    </row>
    <row r="1074">
      <c r="A1074" s="125" t="s">
        <v>2968</v>
      </c>
      <c r="B1074" s="526" t="s">
        <v>2967</v>
      </c>
      <c r="C1074" s="527">
        <v>0.0</v>
      </c>
      <c r="D1074" s="527">
        <v>0.0</v>
      </c>
      <c r="F1074" s="36" t="s">
        <v>7798</v>
      </c>
      <c r="G1074" s="125" t="s">
        <v>893</v>
      </c>
      <c r="H1074" s="125" t="s">
        <v>7799</v>
      </c>
      <c r="I1074" t="s">
        <v>7874</v>
      </c>
    </row>
    <row r="1075">
      <c r="A1075" s="125" t="s">
        <v>2972</v>
      </c>
      <c r="B1075" s="526" t="s">
        <v>2971</v>
      </c>
      <c r="C1075" s="527">
        <v>0.0</v>
      </c>
      <c r="D1075" s="527">
        <v>0.0</v>
      </c>
      <c r="F1075" s="36" t="s">
        <v>7798</v>
      </c>
      <c r="G1075" s="125" t="s">
        <v>893</v>
      </c>
      <c r="H1075" s="125" t="s">
        <v>7799</v>
      </c>
      <c r="I1075" t="s">
        <v>7874</v>
      </c>
    </row>
    <row r="1076">
      <c r="A1076" s="125" t="s">
        <v>2976</v>
      </c>
      <c r="B1076" s="526" t="s">
        <v>2975</v>
      </c>
      <c r="C1076" s="527">
        <v>0.0</v>
      </c>
      <c r="D1076" s="527">
        <v>0.0</v>
      </c>
      <c r="F1076" s="36" t="s">
        <v>7798</v>
      </c>
      <c r="G1076" s="125" t="s">
        <v>893</v>
      </c>
      <c r="H1076" s="125" t="s">
        <v>7799</v>
      </c>
      <c r="I1076" t="s">
        <v>7874</v>
      </c>
    </row>
    <row r="1077">
      <c r="A1077" s="125" t="s">
        <v>2978</v>
      </c>
      <c r="B1077" s="526" t="s">
        <v>2977</v>
      </c>
      <c r="C1077" s="527">
        <v>6.0</v>
      </c>
      <c r="D1077" s="527">
        <v>4.06</v>
      </c>
      <c r="E1077" s="528">
        <v>0.6767</v>
      </c>
      <c r="F1077" s="36" t="s">
        <v>7798</v>
      </c>
      <c r="G1077" s="125" t="s">
        <v>893</v>
      </c>
      <c r="H1077" s="125" t="s">
        <v>7801</v>
      </c>
      <c r="I1077" t="s">
        <v>7815</v>
      </c>
    </row>
    <row r="1078">
      <c r="A1078" s="125" t="s">
        <v>2980</v>
      </c>
      <c r="B1078" s="526" t="s">
        <v>2979</v>
      </c>
      <c r="C1078" s="527">
        <v>0.0</v>
      </c>
      <c r="D1078" s="527">
        <v>0.0</v>
      </c>
      <c r="F1078" s="36" t="s">
        <v>7798</v>
      </c>
      <c r="G1078" s="125" t="s">
        <v>893</v>
      </c>
      <c r="H1078" s="125" t="s">
        <v>7799</v>
      </c>
      <c r="I1078" t="s">
        <v>7815</v>
      </c>
    </row>
    <row r="1079">
      <c r="A1079" s="125" t="s">
        <v>2984</v>
      </c>
      <c r="B1079" s="526" t="s">
        <v>2983</v>
      </c>
      <c r="C1079" s="527">
        <v>0.0</v>
      </c>
      <c r="D1079" s="527">
        <v>0.0</v>
      </c>
      <c r="F1079" s="36" t="s">
        <v>7798</v>
      </c>
      <c r="G1079" s="125" t="s">
        <v>893</v>
      </c>
      <c r="H1079" s="125" t="s">
        <v>7799</v>
      </c>
      <c r="I1079" t="s">
        <v>7815</v>
      </c>
    </row>
    <row r="1080">
      <c r="A1080" s="125" t="s">
        <v>2986</v>
      </c>
      <c r="B1080" s="526" t="s">
        <v>2985</v>
      </c>
      <c r="C1080" s="527">
        <v>0.0</v>
      </c>
      <c r="D1080" s="527">
        <v>0.0</v>
      </c>
      <c r="F1080" s="36" t="s">
        <v>7798</v>
      </c>
      <c r="G1080" s="125" t="s">
        <v>893</v>
      </c>
      <c r="H1080" s="125" t="s">
        <v>7799</v>
      </c>
      <c r="I1080" t="s">
        <v>7815</v>
      </c>
    </row>
    <row r="1081">
      <c r="A1081" s="125" t="s">
        <v>2988</v>
      </c>
      <c r="B1081" s="526" t="s">
        <v>2987</v>
      </c>
      <c r="C1081" s="527">
        <v>360.0</v>
      </c>
      <c r="D1081" s="527">
        <v>243.36</v>
      </c>
      <c r="E1081" s="528">
        <v>0.676</v>
      </c>
      <c r="F1081" s="36" t="s">
        <v>7798</v>
      </c>
      <c r="G1081" s="125" t="s">
        <v>913</v>
      </c>
      <c r="H1081" s="125" t="s">
        <v>7801</v>
      </c>
      <c r="I1081" t="s">
        <v>7815</v>
      </c>
    </row>
    <row r="1082">
      <c r="A1082" s="125" t="s">
        <v>2990</v>
      </c>
      <c r="B1082" s="526" t="s">
        <v>2989</v>
      </c>
      <c r="C1082" s="527">
        <v>0.0</v>
      </c>
      <c r="D1082" s="527">
        <v>0.0</v>
      </c>
      <c r="F1082" s="36" t="s">
        <v>7798</v>
      </c>
      <c r="G1082" s="125" t="s">
        <v>893</v>
      </c>
      <c r="H1082" s="125" t="s">
        <v>7799</v>
      </c>
      <c r="I1082" t="s">
        <v>7815</v>
      </c>
    </row>
    <row r="1083">
      <c r="A1083" s="125" t="s">
        <v>2994</v>
      </c>
      <c r="B1083" s="526" t="s">
        <v>2993</v>
      </c>
      <c r="C1083" s="527">
        <v>0.0</v>
      </c>
      <c r="D1083" s="527">
        <v>0.0</v>
      </c>
      <c r="F1083" s="36" t="s">
        <v>7798</v>
      </c>
      <c r="G1083" s="125" t="s">
        <v>893</v>
      </c>
      <c r="H1083" s="125" t="s">
        <v>7801</v>
      </c>
      <c r="I1083" t="s">
        <v>7815</v>
      </c>
    </row>
    <row r="1084">
      <c r="A1084" s="125" t="s">
        <v>2996</v>
      </c>
      <c r="B1084" s="526" t="s">
        <v>2995</v>
      </c>
      <c r="C1084" s="527">
        <v>0.0</v>
      </c>
      <c r="D1084" s="527">
        <v>0.0</v>
      </c>
      <c r="F1084" s="36" t="s">
        <v>7798</v>
      </c>
      <c r="G1084" s="125" t="s">
        <v>893</v>
      </c>
      <c r="H1084" s="125" t="s">
        <v>7799</v>
      </c>
      <c r="I1084" t="s">
        <v>7815</v>
      </c>
    </row>
    <row r="1085">
      <c r="A1085" s="125" t="s">
        <v>2998</v>
      </c>
      <c r="B1085" s="526" t="s">
        <v>2997</v>
      </c>
      <c r="C1085" s="527">
        <v>0.0</v>
      </c>
      <c r="D1085" s="527">
        <v>0.0</v>
      </c>
      <c r="F1085" s="36" t="s">
        <v>7798</v>
      </c>
      <c r="G1085" s="125" t="s">
        <v>893</v>
      </c>
      <c r="H1085" s="125" t="s">
        <v>7799</v>
      </c>
      <c r="I1085" t="s">
        <v>7815</v>
      </c>
    </row>
    <row r="1086">
      <c r="A1086" s="125" t="s">
        <v>3000</v>
      </c>
      <c r="B1086" s="526" t="s">
        <v>2999</v>
      </c>
      <c r="C1086" s="527">
        <v>0.0</v>
      </c>
      <c r="D1086" s="527">
        <v>0.0</v>
      </c>
      <c r="F1086" s="36" t="s">
        <v>7798</v>
      </c>
      <c r="G1086" s="125" t="s">
        <v>893</v>
      </c>
      <c r="H1086" s="125" t="s">
        <v>7799</v>
      </c>
      <c r="I1086" t="s">
        <v>7826</v>
      </c>
    </row>
    <row r="1087">
      <c r="A1087" s="125" t="s">
        <v>3004</v>
      </c>
      <c r="B1087" s="526" t="s">
        <v>3003</v>
      </c>
      <c r="C1087" s="527">
        <v>0.0</v>
      </c>
      <c r="D1087" s="527">
        <v>0.0</v>
      </c>
      <c r="F1087" s="36" t="s">
        <v>7807</v>
      </c>
      <c r="G1087" s="125" t="s">
        <v>893</v>
      </c>
      <c r="H1087" s="125" t="s">
        <v>7799</v>
      </c>
      <c r="I1087" t="s">
        <v>45</v>
      </c>
    </row>
    <row r="1088">
      <c r="A1088" s="125" t="s">
        <v>3006</v>
      </c>
      <c r="B1088" s="526" t="s">
        <v>3005</v>
      </c>
      <c r="C1088" s="527">
        <v>0.0</v>
      </c>
      <c r="D1088" s="527">
        <v>0.0</v>
      </c>
      <c r="F1088" s="36" t="s">
        <v>7798</v>
      </c>
      <c r="G1088" s="125" t="s">
        <v>893</v>
      </c>
      <c r="H1088" s="125" t="s">
        <v>7799</v>
      </c>
      <c r="I1088" t="s">
        <v>7815</v>
      </c>
    </row>
    <row r="1089">
      <c r="A1089" s="125" t="s">
        <v>3008</v>
      </c>
      <c r="B1089" s="526" t="s">
        <v>3007</v>
      </c>
      <c r="C1089" s="527">
        <v>0.0</v>
      </c>
      <c r="D1089" s="527">
        <v>0.0</v>
      </c>
      <c r="F1089" s="36" t="s">
        <v>7798</v>
      </c>
      <c r="G1089" s="125" t="s">
        <v>893</v>
      </c>
      <c r="H1089" s="125" t="s">
        <v>7799</v>
      </c>
      <c r="I1089" t="s">
        <v>7874</v>
      </c>
    </row>
    <row r="1090">
      <c r="A1090" s="125" t="s">
        <v>3010</v>
      </c>
      <c r="B1090" s="526" t="s">
        <v>3009</v>
      </c>
      <c r="C1090" s="527">
        <v>0.0</v>
      </c>
      <c r="D1090" s="527">
        <v>0.0</v>
      </c>
      <c r="F1090" s="36" t="s">
        <v>7798</v>
      </c>
      <c r="G1090" s="125" t="s">
        <v>893</v>
      </c>
      <c r="H1090" s="125" t="s">
        <v>7799</v>
      </c>
      <c r="I1090" t="s">
        <v>7815</v>
      </c>
    </row>
    <row r="1091">
      <c r="A1091" s="125" t="s">
        <v>3012</v>
      </c>
      <c r="B1091" s="526" t="s">
        <v>3011</v>
      </c>
      <c r="C1091" s="527">
        <v>0.0</v>
      </c>
      <c r="D1091" s="527">
        <v>0.0</v>
      </c>
      <c r="F1091" s="36" t="s">
        <v>7798</v>
      </c>
      <c r="G1091" s="125" t="s">
        <v>893</v>
      </c>
      <c r="H1091" s="125" t="s">
        <v>7799</v>
      </c>
      <c r="I1091" t="s">
        <v>7815</v>
      </c>
    </row>
    <row r="1092">
      <c r="A1092" s="125" t="s">
        <v>3014</v>
      </c>
      <c r="B1092" s="526" t="s">
        <v>3013</v>
      </c>
      <c r="C1092" s="527">
        <v>0.0</v>
      </c>
      <c r="D1092" s="527">
        <v>0.0</v>
      </c>
      <c r="F1092" s="36" t="s">
        <v>7798</v>
      </c>
      <c r="G1092" s="125" t="s">
        <v>893</v>
      </c>
      <c r="H1092" s="125" t="s">
        <v>7799</v>
      </c>
      <c r="I1092" t="s">
        <v>7874</v>
      </c>
    </row>
    <row r="1093">
      <c r="A1093" s="125" t="s">
        <v>3018</v>
      </c>
      <c r="B1093" s="526" t="s">
        <v>3017</v>
      </c>
      <c r="C1093" s="527">
        <v>0.0</v>
      </c>
      <c r="D1093" s="527">
        <v>0.0</v>
      </c>
      <c r="F1093" s="36" t="s">
        <v>7798</v>
      </c>
      <c r="G1093" s="125" t="s">
        <v>893</v>
      </c>
      <c r="H1093" s="125" t="s">
        <v>7799</v>
      </c>
      <c r="I1093" t="s">
        <v>7812</v>
      </c>
    </row>
    <row r="1094">
      <c r="A1094" s="125" t="s">
        <v>3020</v>
      </c>
      <c r="B1094" s="526" t="s">
        <v>3019</v>
      </c>
      <c r="C1094" s="527">
        <v>0.0</v>
      </c>
      <c r="D1094" s="527">
        <v>0.0</v>
      </c>
      <c r="F1094" s="36" t="s">
        <v>7798</v>
      </c>
      <c r="G1094" s="125" t="s">
        <v>893</v>
      </c>
      <c r="H1094" s="125" t="s">
        <v>7799</v>
      </c>
      <c r="I1094" t="s">
        <v>7811</v>
      </c>
    </row>
    <row r="1095">
      <c r="A1095" s="125" t="s">
        <v>3022</v>
      </c>
      <c r="B1095" s="526" t="s">
        <v>3021</v>
      </c>
      <c r="C1095" s="527">
        <v>0.0</v>
      </c>
      <c r="D1095" s="527">
        <v>0.0</v>
      </c>
      <c r="F1095" s="36" t="s">
        <v>7798</v>
      </c>
      <c r="G1095" s="125" t="s">
        <v>893</v>
      </c>
      <c r="H1095" s="125" t="s">
        <v>7799</v>
      </c>
      <c r="I1095" t="s">
        <v>7811</v>
      </c>
    </row>
    <row r="1096">
      <c r="A1096" s="125" t="s">
        <v>3024</v>
      </c>
      <c r="B1096" s="526" t="s">
        <v>3023</v>
      </c>
      <c r="C1096" s="527">
        <v>0.0</v>
      </c>
      <c r="D1096" s="527">
        <v>0.0</v>
      </c>
      <c r="F1096" s="36" t="s">
        <v>7798</v>
      </c>
      <c r="G1096" s="125" t="s">
        <v>893</v>
      </c>
      <c r="H1096" s="125" t="s">
        <v>7799</v>
      </c>
      <c r="I1096" t="s">
        <v>7811</v>
      </c>
    </row>
    <row r="1097">
      <c r="A1097" s="125" t="s">
        <v>3026</v>
      </c>
      <c r="B1097" s="526" t="s">
        <v>3025</v>
      </c>
      <c r="C1097" s="527">
        <v>0.0</v>
      </c>
      <c r="D1097" s="527">
        <v>0.0</v>
      </c>
      <c r="F1097" s="36" t="s">
        <v>7798</v>
      </c>
      <c r="G1097" s="125" t="s">
        <v>893</v>
      </c>
      <c r="H1097" s="125" t="s">
        <v>7799</v>
      </c>
      <c r="I1097" t="s">
        <v>7811</v>
      </c>
    </row>
    <row r="1098">
      <c r="A1098" s="125" t="s">
        <v>3028</v>
      </c>
      <c r="B1098" s="526" t="s">
        <v>3027</v>
      </c>
      <c r="C1098" s="527">
        <v>0.0</v>
      </c>
      <c r="D1098" s="527">
        <v>0.0</v>
      </c>
      <c r="F1098" s="36" t="s">
        <v>7798</v>
      </c>
      <c r="G1098" s="125" t="s">
        <v>893</v>
      </c>
      <c r="H1098" s="125" t="s">
        <v>7799</v>
      </c>
      <c r="I1098" t="s">
        <v>7811</v>
      </c>
    </row>
    <row r="1099">
      <c r="A1099" s="125" t="s">
        <v>3030</v>
      </c>
      <c r="B1099" s="526" t="s">
        <v>3029</v>
      </c>
      <c r="C1099" s="527">
        <v>0.0</v>
      </c>
      <c r="D1099" s="527">
        <v>0.0</v>
      </c>
      <c r="F1099" s="36" t="s">
        <v>7798</v>
      </c>
      <c r="G1099" s="125" t="s">
        <v>893</v>
      </c>
      <c r="H1099" s="125" t="s">
        <v>7799</v>
      </c>
      <c r="I1099" t="s">
        <v>7811</v>
      </c>
    </row>
    <row r="1100">
      <c r="A1100" s="125" t="s">
        <v>3032</v>
      </c>
      <c r="B1100" s="526" t="s">
        <v>3031</v>
      </c>
      <c r="C1100" s="527">
        <v>0.0</v>
      </c>
      <c r="D1100" s="527">
        <v>0.0</v>
      </c>
      <c r="F1100" s="36" t="s">
        <v>7807</v>
      </c>
      <c r="G1100" s="125" t="s">
        <v>893</v>
      </c>
      <c r="H1100" s="125" t="s">
        <v>7801</v>
      </c>
      <c r="I1100" t="s">
        <v>7815</v>
      </c>
    </row>
    <row r="1101">
      <c r="A1101" s="125" t="s">
        <v>3034</v>
      </c>
      <c r="B1101" s="526" t="s">
        <v>3033</v>
      </c>
      <c r="C1101" s="527">
        <v>189.0</v>
      </c>
      <c r="D1101" s="527">
        <v>103.95</v>
      </c>
      <c r="E1101" s="528">
        <v>0.55</v>
      </c>
      <c r="F1101" s="36" t="s">
        <v>7798</v>
      </c>
      <c r="G1101" s="125" t="s">
        <v>913</v>
      </c>
      <c r="H1101" s="125" t="s">
        <v>7821</v>
      </c>
      <c r="I1101" t="s">
        <v>7823</v>
      </c>
    </row>
    <row r="1102">
      <c r="A1102" s="125" t="s">
        <v>3036</v>
      </c>
      <c r="B1102" s="526" t="s">
        <v>3035</v>
      </c>
      <c r="C1102" s="527">
        <v>474.0</v>
      </c>
      <c r="D1102" s="527">
        <v>237.0</v>
      </c>
      <c r="E1102" s="528">
        <v>0.5</v>
      </c>
      <c r="F1102" s="36" t="s">
        <v>7798</v>
      </c>
      <c r="G1102" s="125" t="s">
        <v>913</v>
      </c>
      <c r="H1102" s="125" t="s">
        <v>7821</v>
      </c>
      <c r="I1102" t="s">
        <v>7838</v>
      </c>
    </row>
    <row r="1103">
      <c r="A1103" s="125" t="s">
        <v>3038</v>
      </c>
      <c r="B1103" s="526" t="s">
        <v>3037</v>
      </c>
      <c r="C1103" s="527">
        <v>24.0</v>
      </c>
      <c r="D1103" s="527">
        <v>12.96</v>
      </c>
      <c r="E1103" s="528">
        <v>0.54</v>
      </c>
      <c r="F1103" s="36" t="s">
        <v>7798</v>
      </c>
      <c r="G1103" s="125" t="s">
        <v>913</v>
      </c>
      <c r="H1103" s="125" t="s">
        <v>7821</v>
      </c>
      <c r="I1103" t="s">
        <v>7834</v>
      </c>
    </row>
    <row r="1104">
      <c r="A1104" s="125" t="s">
        <v>3040</v>
      </c>
      <c r="B1104" s="526" t="s">
        <v>3039</v>
      </c>
      <c r="C1104" s="527">
        <v>0.0</v>
      </c>
      <c r="D1104" s="527">
        <v>0.0</v>
      </c>
      <c r="F1104" s="36" t="s">
        <v>7798</v>
      </c>
      <c r="G1104" s="125" t="s">
        <v>893</v>
      </c>
      <c r="H1104" s="125" t="s">
        <v>7799</v>
      </c>
      <c r="I1104" t="s">
        <v>361</v>
      </c>
    </row>
    <row r="1105">
      <c r="A1105" s="125" t="s">
        <v>3042</v>
      </c>
      <c r="B1105" s="526" t="s">
        <v>3041</v>
      </c>
      <c r="C1105" s="527">
        <v>0.0</v>
      </c>
      <c r="D1105" s="527">
        <v>0.0</v>
      </c>
      <c r="F1105" s="36" t="s">
        <v>7798</v>
      </c>
      <c r="G1105" s="125" t="s">
        <v>893</v>
      </c>
      <c r="H1105" s="125" t="s">
        <v>7799</v>
      </c>
      <c r="I1105" t="s">
        <v>361</v>
      </c>
    </row>
    <row r="1106">
      <c r="A1106" s="125" t="s">
        <v>3044</v>
      </c>
      <c r="B1106" s="526" t="s">
        <v>3043</v>
      </c>
      <c r="C1106" s="527">
        <v>0.0</v>
      </c>
      <c r="D1106" s="527">
        <v>0.0</v>
      </c>
      <c r="F1106" s="36" t="s">
        <v>7798</v>
      </c>
      <c r="G1106" s="125" t="s">
        <v>893</v>
      </c>
      <c r="H1106" s="125" t="s">
        <v>7799</v>
      </c>
      <c r="I1106" t="s">
        <v>361</v>
      </c>
    </row>
    <row r="1107">
      <c r="A1107" s="125" t="s">
        <v>3046</v>
      </c>
      <c r="B1107" s="526" t="s">
        <v>3045</v>
      </c>
      <c r="C1107" s="527">
        <v>0.0</v>
      </c>
      <c r="D1107" s="527">
        <v>0.0</v>
      </c>
      <c r="F1107" s="36" t="s">
        <v>7798</v>
      </c>
      <c r="G1107" s="125" t="s">
        <v>893</v>
      </c>
      <c r="H1107" s="125" t="s">
        <v>7799</v>
      </c>
      <c r="I1107" t="s">
        <v>7855</v>
      </c>
    </row>
    <row r="1108">
      <c r="A1108" s="125" t="s">
        <v>3048</v>
      </c>
      <c r="B1108" s="526" t="s">
        <v>3047</v>
      </c>
      <c r="C1108" s="527">
        <v>0.0</v>
      </c>
      <c r="D1108" s="527">
        <v>0.0</v>
      </c>
      <c r="F1108" s="36" t="s">
        <v>7798</v>
      </c>
      <c r="G1108" s="125" t="s">
        <v>893</v>
      </c>
      <c r="H1108" s="125" t="s">
        <v>7799</v>
      </c>
      <c r="I1108" t="s">
        <v>7855</v>
      </c>
    </row>
    <row r="1109">
      <c r="A1109" s="125" t="s">
        <v>3050</v>
      </c>
      <c r="B1109" s="526" t="s">
        <v>3049</v>
      </c>
      <c r="C1109" s="527">
        <v>0.0</v>
      </c>
      <c r="D1109" s="527">
        <v>0.0</v>
      </c>
      <c r="F1109" s="36" t="s">
        <v>7798</v>
      </c>
      <c r="G1109" s="125" t="s">
        <v>893</v>
      </c>
      <c r="H1109" s="125" t="s">
        <v>7799</v>
      </c>
      <c r="I1109" t="s">
        <v>7813</v>
      </c>
    </row>
    <row r="1110">
      <c r="A1110" s="125" t="s">
        <v>768</v>
      </c>
      <c r="B1110" s="526" t="s">
        <v>769</v>
      </c>
      <c r="C1110" s="527">
        <v>6.0</v>
      </c>
      <c r="D1110" s="527">
        <v>6.03</v>
      </c>
      <c r="E1110" s="528">
        <v>1.005</v>
      </c>
      <c r="F1110" s="36" t="s">
        <v>7798</v>
      </c>
      <c r="G1110" s="125" t="s">
        <v>913</v>
      </c>
      <c r="H1110" s="125" t="s">
        <v>569</v>
      </c>
      <c r="I1110" t="s">
        <v>620</v>
      </c>
    </row>
    <row r="1111">
      <c r="A1111" s="125" t="s">
        <v>766</v>
      </c>
      <c r="B1111" s="526" t="s">
        <v>767</v>
      </c>
      <c r="C1111" s="527">
        <v>54.0</v>
      </c>
      <c r="D1111" s="527">
        <v>54.3</v>
      </c>
      <c r="E1111" s="528">
        <v>1.0056</v>
      </c>
      <c r="F1111" s="36" t="s">
        <v>7798</v>
      </c>
      <c r="G1111" s="125" t="s">
        <v>913</v>
      </c>
      <c r="H1111" s="125" t="s">
        <v>569</v>
      </c>
      <c r="I1111" t="s">
        <v>620</v>
      </c>
    </row>
    <row r="1112">
      <c r="A1112" s="125" t="s">
        <v>883</v>
      </c>
      <c r="B1112" s="526" t="s">
        <v>884</v>
      </c>
      <c r="C1112" s="527">
        <v>6.0</v>
      </c>
      <c r="D1112" s="527">
        <v>6.03</v>
      </c>
      <c r="E1112" s="528">
        <v>1.005</v>
      </c>
      <c r="F1112" s="36" t="s">
        <v>7798</v>
      </c>
      <c r="G1112" s="125" t="s">
        <v>913</v>
      </c>
      <c r="H1112" s="125" t="s">
        <v>7808</v>
      </c>
      <c r="I1112" t="s">
        <v>620</v>
      </c>
    </row>
    <row r="1113">
      <c r="A1113" s="125" t="s">
        <v>621</v>
      </c>
      <c r="B1113" s="526" t="s">
        <v>622</v>
      </c>
      <c r="C1113" s="527">
        <v>54.0</v>
      </c>
      <c r="D1113" s="527">
        <v>54.28</v>
      </c>
      <c r="E1113" s="528">
        <v>1.0052</v>
      </c>
      <c r="F1113" s="36" t="s">
        <v>7798</v>
      </c>
      <c r="G1113" s="125" t="s">
        <v>913</v>
      </c>
      <c r="H1113" s="125" t="s">
        <v>569</v>
      </c>
      <c r="I1113" t="s">
        <v>620</v>
      </c>
    </row>
    <row r="1114">
      <c r="A1114" s="125" t="s">
        <v>764</v>
      </c>
      <c r="B1114" s="526" t="s">
        <v>765</v>
      </c>
      <c r="C1114" s="527">
        <v>24.0</v>
      </c>
      <c r="D1114" s="527">
        <v>24.13</v>
      </c>
      <c r="E1114" s="528">
        <v>1.0054</v>
      </c>
      <c r="F1114" s="36" t="s">
        <v>7798</v>
      </c>
      <c r="G1114" s="125" t="s">
        <v>913</v>
      </c>
      <c r="H1114" s="125" t="s">
        <v>569</v>
      </c>
      <c r="I1114" t="s">
        <v>620</v>
      </c>
    </row>
    <row r="1115">
      <c r="A1115" s="125" t="s">
        <v>623</v>
      </c>
      <c r="B1115" s="526" t="s">
        <v>624</v>
      </c>
      <c r="C1115" s="527">
        <v>78.0</v>
      </c>
      <c r="D1115" s="527">
        <v>78.42</v>
      </c>
      <c r="E1115" s="528">
        <v>1.0054</v>
      </c>
      <c r="F1115" s="36" t="s">
        <v>7798</v>
      </c>
      <c r="G1115" s="125" t="s">
        <v>913</v>
      </c>
      <c r="H1115" s="125" t="s">
        <v>569</v>
      </c>
      <c r="I1115" t="s">
        <v>620</v>
      </c>
    </row>
    <row r="1116">
      <c r="A1116" s="125" t="s">
        <v>885</v>
      </c>
      <c r="B1116" s="526" t="s">
        <v>886</v>
      </c>
      <c r="C1116" s="527">
        <v>0.0</v>
      </c>
      <c r="D1116" s="527">
        <v>0.0</v>
      </c>
      <c r="F1116" s="36" t="s">
        <v>7798</v>
      </c>
      <c r="G1116" s="125" t="s">
        <v>913</v>
      </c>
      <c r="H1116" s="125" t="s">
        <v>7808</v>
      </c>
      <c r="I1116" t="s">
        <v>620</v>
      </c>
    </row>
    <row r="1117">
      <c r="A1117" s="125" t="s">
        <v>3058</v>
      </c>
      <c r="B1117" s="526" t="s">
        <v>3057</v>
      </c>
      <c r="C1117" s="527">
        <v>0.0</v>
      </c>
      <c r="D1117" s="527">
        <v>0.0</v>
      </c>
      <c r="F1117" s="36" t="s">
        <v>7798</v>
      </c>
      <c r="G1117" s="125" t="s">
        <v>893</v>
      </c>
      <c r="H1117" s="125" t="s">
        <v>7801</v>
      </c>
    </row>
    <row r="1118">
      <c r="A1118" s="125" t="s">
        <v>3060</v>
      </c>
      <c r="B1118" s="526" t="s">
        <v>3059</v>
      </c>
      <c r="C1118" s="527">
        <v>0.0</v>
      </c>
      <c r="D1118" s="527">
        <v>0.0</v>
      </c>
      <c r="F1118" s="36" t="s">
        <v>7798</v>
      </c>
      <c r="G1118" s="125" t="s">
        <v>893</v>
      </c>
      <c r="H1118" s="125" t="s">
        <v>7801</v>
      </c>
    </row>
    <row r="1119">
      <c r="A1119" s="125" t="s">
        <v>762</v>
      </c>
      <c r="B1119" s="526" t="s">
        <v>763</v>
      </c>
      <c r="C1119" s="527">
        <v>37.0</v>
      </c>
      <c r="D1119" s="527">
        <v>1037.81</v>
      </c>
      <c r="E1119" s="528">
        <v>28.0489</v>
      </c>
      <c r="F1119" s="36" t="s">
        <v>7798</v>
      </c>
      <c r="G1119" s="125" t="s">
        <v>913</v>
      </c>
      <c r="H1119" s="125" t="s">
        <v>569</v>
      </c>
      <c r="I1119" t="s">
        <v>620</v>
      </c>
    </row>
    <row r="1120">
      <c r="A1120" s="125" t="s">
        <v>3062</v>
      </c>
      <c r="B1120" s="526" t="s">
        <v>3061</v>
      </c>
      <c r="C1120" s="527">
        <v>0.0</v>
      </c>
      <c r="D1120" s="527">
        <v>0.0</v>
      </c>
      <c r="F1120" s="36" t="s">
        <v>7798</v>
      </c>
      <c r="G1120" s="125" t="s">
        <v>893</v>
      </c>
      <c r="H1120" s="125" t="s">
        <v>7801</v>
      </c>
      <c r="I1120" t="s">
        <v>7875</v>
      </c>
    </row>
    <row r="1121">
      <c r="A1121" s="125" t="s">
        <v>348</v>
      </c>
      <c r="B1121" s="526" t="s">
        <v>349</v>
      </c>
      <c r="C1121" s="527">
        <v>0.0</v>
      </c>
      <c r="D1121" s="527">
        <v>0.0</v>
      </c>
      <c r="F1121" s="36" t="s">
        <v>7798</v>
      </c>
      <c r="G1121" s="125" t="s">
        <v>893</v>
      </c>
      <c r="H1121" s="125" t="s">
        <v>569</v>
      </c>
      <c r="I1121" t="s">
        <v>347</v>
      </c>
    </row>
    <row r="1122">
      <c r="A1122" s="125" t="s">
        <v>351</v>
      </c>
      <c r="B1122" s="526" t="s">
        <v>352</v>
      </c>
      <c r="C1122" s="527">
        <v>61.0</v>
      </c>
      <c r="D1122" s="527">
        <v>1614.23</v>
      </c>
      <c r="E1122" s="528">
        <v>26.4628</v>
      </c>
      <c r="F1122" s="36" t="s">
        <v>7798</v>
      </c>
      <c r="G1122" s="125" t="s">
        <v>913</v>
      </c>
      <c r="H1122" s="125" t="s">
        <v>569</v>
      </c>
      <c r="I1122" t="s">
        <v>347</v>
      </c>
    </row>
    <row r="1123">
      <c r="A1123" s="125" t="s">
        <v>353</v>
      </c>
      <c r="B1123" s="526" t="s">
        <v>354</v>
      </c>
      <c r="C1123" s="527">
        <v>0.0</v>
      </c>
      <c r="D1123" s="527">
        <v>0.0</v>
      </c>
      <c r="F1123" s="36" t="s">
        <v>7798</v>
      </c>
      <c r="G1123" s="125" t="s">
        <v>893</v>
      </c>
      <c r="H1123" s="125" t="s">
        <v>569</v>
      </c>
      <c r="I1123" t="s">
        <v>347</v>
      </c>
    </row>
    <row r="1124">
      <c r="A1124" s="125" t="s">
        <v>3064</v>
      </c>
      <c r="B1124" s="526" t="s">
        <v>3063</v>
      </c>
      <c r="C1124" s="527">
        <v>0.0</v>
      </c>
      <c r="D1124" s="527">
        <v>0.0</v>
      </c>
      <c r="F1124" s="36" t="s">
        <v>7798</v>
      </c>
      <c r="G1124" s="125" t="s">
        <v>893</v>
      </c>
      <c r="H1124" s="125" t="s">
        <v>7801</v>
      </c>
      <c r="I1124" t="s">
        <v>7845</v>
      </c>
    </row>
    <row r="1125">
      <c r="A1125" s="125" t="s">
        <v>3066</v>
      </c>
      <c r="B1125" s="526" t="s">
        <v>3065</v>
      </c>
      <c r="C1125" s="527">
        <v>0.0</v>
      </c>
      <c r="D1125" s="527">
        <v>0.0</v>
      </c>
      <c r="F1125" s="36" t="s">
        <v>7798</v>
      </c>
      <c r="G1125" s="125" t="s">
        <v>913</v>
      </c>
      <c r="H1125" s="125" t="s">
        <v>7801</v>
      </c>
      <c r="I1125" t="s">
        <v>7848</v>
      </c>
    </row>
    <row r="1126">
      <c r="A1126" s="125" t="s">
        <v>3068</v>
      </c>
      <c r="B1126" s="526" t="s">
        <v>3067</v>
      </c>
      <c r="C1126" s="527">
        <v>0.0</v>
      </c>
      <c r="D1126" s="527">
        <v>0.0</v>
      </c>
      <c r="F1126" s="36" t="s">
        <v>7798</v>
      </c>
      <c r="G1126" s="125" t="s">
        <v>893</v>
      </c>
      <c r="H1126" s="125" t="s">
        <v>7801</v>
      </c>
      <c r="I1126" t="s">
        <v>7876</v>
      </c>
    </row>
    <row r="1127">
      <c r="A1127" s="125" t="s">
        <v>3070</v>
      </c>
      <c r="B1127" s="526" t="s">
        <v>3069</v>
      </c>
      <c r="C1127" s="527">
        <v>0.0</v>
      </c>
      <c r="D1127" s="527">
        <v>0.0</v>
      </c>
      <c r="F1127" s="36" t="s">
        <v>7798</v>
      </c>
      <c r="G1127" s="125" t="s">
        <v>913</v>
      </c>
      <c r="H1127" s="125" t="s">
        <v>7801</v>
      </c>
      <c r="I1127" t="s">
        <v>7876</v>
      </c>
    </row>
    <row r="1128">
      <c r="A1128" s="125" t="s">
        <v>3072</v>
      </c>
      <c r="B1128" s="526" t="s">
        <v>3071</v>
      </c>
      <c r="C1128" s="527">
        <v>0.0</v>
      </c>
      <c r="D1128" s="527">
        <v>0.0</v>
      </c>
      <c r="F1128" s="36" t="s">
        <v>7798</v>
      </c>
      <c r="G1128" s="125" t="s">
        <v>913</v>
      </c>
      <c r="H1128" s="125" t="s">
        <v>7801</v>
      </c>
      <c r="I1128" t="s">
        <v>7851</v>
      </c>
    </row>
    <row r="1129">
      <c r="A1129" s="125" t="s">
        <v>3074</v>
      </c>
      <c r="B1129" s="526" t="s">
        <v>3073</v>
      </c>
      <c r="C1129" s="527">
        <v>0.0</v>
      </c>
      <c r="D1129" s="527">
        <v>0.0</v>
      </c>
      <c r="F1129" s="36" t="s">
        <v>7798</v>
      </c>
      <c r="G1129" s="125" t="s">
        <v>913</v>
      </c>
      <c r="H1129" s="125" t="s">
        <v>7801</v>
      </c>
      <c r="I1129" t="s">
        <v>7876</v>
      </c>
    </row>
    <row r="1130">
      <c r="A1130" s="125" t="s">
        <v>3076</v>
      </c>
      <c r="B1130" s="526" t="s">
        <v>3075</v>
      </c>
      <c r="C1130" s="527">
        <v>0.0</v>
      </c>
      <c r="D1130" s="527">
        <v>0.0</v>
      </c>
      <c r="F1130" s="36" t="s">
        <v>7798</v>
      </c>
      <c r="G1130" s="125" t="s">
        <v>893</v>
      </c>
      <c r="H1130" s="125" t="s">
        <v>7801</v>
      </c>
      <c r="I1130" t="s">
        <v>7876</v>
      </c>
    </row>
    <row r="1131">
      <c r="A1131" s="125" t="s">
        <v>3078</v>
      </c>
      <c r="B1131" s="526" t="s">
        <v>3077</v>
      </c>
      <c r="C1131" s="527">
        <v>0.0</v>
      </c>
      <c r="D1131" s="527">
        <v>0.0</v>
      </c>
      <c r="F1131" s="36" t="s">
        <v>7798</v>
      </c>
      <c r="G1131" s="125" t="s">
        <v>893</v>
      </c>
      <c r="H1131" s="125" t="s">
        <v>7801</v>
      </c>
      <c r="I1131" t="s">
        <v>7847</v>
      </c>
    </row>
    <row r="1132">
      <c r="A1132" s="125" t="s">
        <v>3080</v>
      </c>
      <c r="B1132" s="526" t="s">
        <v>3079</v>
      </c>
      <c r="C1132" s="527">
        <v>0.0</v>
      </c>
      <c r="D1132" s="527">
        <v>0.0</v>
      </c>
      <c r="F1132" s="36" t="s">
        <v>7798</v>
      </c>
      <c r="G1132" s="125" t="s">
        <v>913</v>
      </c>
      <c r="H1132" s="125" t="s">
        <v>7801</v>
      </c>
      <c r="I1132" t="s">
        <v>7876</v>
      </c>
    </row>
    <row r="1133">
      <c r="A1133" s="125" t="s">
        <v>3082</v>
      </c>
      <c r="B1133" s="526" t="s">
        <v>3081</v>
      </c>
      <c r="C1133" s="527">
        <v>0.0</v>
      </c>
      <c r="D1133" s="527">
        <v>0.0</v>
      </c>
      <c r="F1133" s="36" t="s">
        <v>7798</v>
      </c>
      <c r="G1133" s="125" t="s">
        <v>913</v>
      </c>
      <c r="H1133" s="125" t="s">
        <v>7801</v>
      </c>
      <c r="I1133" t="s">
        <v>7876</v>
      </c>
    </row>
    <row r="1134">
      <c r="A1134" s="125" t="s">
        <v>3084</v>
      </c>
      <c r="B1134" s="526" t="s">
        <v>3083</v>
      </c>
      <c r="C1134" s="527">
        <v>0.0</v>
      </c>
      <c r="D1134" s="527">
        <v>0.0</v>
      </c>
      <c r="F1134" s="36" t="s">
        <v>7798</v>
      </c>
      <c r="G1134" s="125" t="s">
        <v>913</v>
      </c>
      <c r="H1134" s="125" t="s">
        <v>7801</v>
      </c>
      <c r="I1134" t="s">
        <v>7876</v>
      </c>
    </row>
    <row r="1135">
      <c r="A1135" s="125" t="s">
        <v>3086</v>
      </c>
      <c r="B1135" s="526" t="s">
        <v>3085</v>
      </c>
      <c r="C1135" s="527">
        <v>0.0</v>
      </c>
      <c r="D1135" s="527">
        <v>0.0</v>
      </c>
      <c r="F1135" s="36" t="s">
        <v>7798</v>
      </c>
      <c r="G1135" s="125" t="s">
        <v>893</v>
      </c>
      <c r="H1135" s="125" t="s">
        <v>7801</v>
      </c>
      <c r="I1135" t="s">
        <v>7845</v>
      </c>
    </row>
    <row r="1136">
      <c r="A1136" s="125" t="s">
        <v>3088</v>
      </c>
      <c r="B1136" s="526" t="s">
        <v>3087</v>
      </c>
      <c r="C1136" s="527">
        <v>0.0</v>
      </c>
      <c r="D1136" s="527">
        <v>0.0</v>
      </c>
      <c r="F1136" s="36" t="s">
        <v>7798</v>
      </c>
      <c r="G1136" s="125" t="s">
        <v>893</v>
      </c>
      <c r="H1136" s="125" t="s">
        <v>7801</v>
      </c>
      <c r="I1136" t="s">
        <v>7848</v>
      </c>
    </row>
    <row r="1137">
      <c r="A1137" s="125" t="s">
        <v>3090</v>
      </c>
      <c r="B1137" s="526" t="s">
        <v>3089</v>
      </c>
      <c r="C1137" s="527">
        <v>0.0</v>
      </c>
      <c r="D1137" s="527">
        <v>0.0</v>
      </c>
      <c r="F1137" s="36" t="s">
        <v>7798</v>
      </c>
      <c r="G1137" s="125" t="s">
        <v>893</v>
      </c>
      <c r="H1137" s="125" t="s">
        <v>7801</v>
      </c>
      <c r="I1137" t="s">
        <v>7876</v>
      </c>
    </row>
    <row r="1138">
      <c r="A1138" s="125" t="s">
        <v>3092</v>
      </c>
      <c r="B1138" s="526" t="s">
        <v>3091</v>
      </c>
      <c r="C1138" s="527">
        <v>0.0</v>
      </c>
      <c r="D1138" s="527">
        <v>0.0</v>
      </c>
      <c r="F1138" s="36" t="s">
        <v>7798</v>
      </c>
      <c r="G1138" s="125" t="s">
        <v>893</v>
      </c>
      <c r="H1138" s="125" t="s">
        <v>7801</v>
      </c>
      <c r="I1138" t="s">
        <v>7876</v>
      </c>
    </row>
    <row r="1139">
      <c r="A1139" s="125" t="s">
        <v>3094</v>
      </c>
      <c r="B1139" s="526" t="s">
        <v>3093</v>
      </c>
      <c r="C1139" s="527">
        <v>0.0</v>
      </c>
      <c r="D1139" s="527">
        <v>0.0</v>
      </c>
      <c r="F1139" s="36" t="s">
        <v>7798</v>
      </c>
      <c r="G1139" s="125" t="s">
        <v>913</v>
      </c>
      <c r="H1139" s="125" t="s">
        <v>7801</v>
      </c>
      <c r="I1139" t="s">
        <v>7851</v>
      </c>
    </row>
    <row r="1140">
      <c r="A1140" s="125" t="s">
        <v>3096</v>
      </c>
      <c r="B1140" s="526" t="s">
        <v>3095</v>
      </c>
      <c r="C1140" s="527">
        <v>0.0</v>
      </c>
      <c r="D1140" s="527">
        <v>0.0</v>
      </c>
      <c r="F1140" s="36" t="s">
        <v>7798</v>
      </c>
      <c r="G1140" s="125" t="s">
        <v>893</v>
      </c>
      <c r="H1140" s="125" t="s">
        <v>7801</v>
      </c>
      <c r="I1140" t="s">
        <v>7876</v>
      </c>
    </row>
    <row r="1141">
      <c r="A1141" s="125" t="s">
        <v>3098</v>
      </c>
      <c r="B1141" s="526" t="s">
        <v>3097</v>
      </c>
      <c r="C1141" s="527">
        <v>0.0</v>
      </c>
      <c r="D1141" s="527">
        <v>0.0</v>
      </c>
      <c r="F1141" s="36" t="s">
        <v>7798</v>
      </c>
      <c r="G1141" s="125" t="s">
        <v>913</v>
      </c>
      <c r="H1141" s="125" t="s">
        <v>7801</v>
      </c>
      <c r="I1141" t="s">
        <v>7876</v>
      </c>
    </row>
    <row r="1142">
      <c r="A1142" s="125" t="s">
        <v>3100</v>
      </c>
      <c r="B1142" s="526" t="s">
        <v>3099</v>
      </c>
      <c r="C1142" s="527">
        <v>0.0</v>
      </c>
      <c r="D1142" s="527">
        <v>0.0</v>
      </c>
      <c r="F1142" s="36" t="s">
        <v>7798</v>
      </c>
      <c r="G1142" s="125" t="s">
        <v>893</v>
      </c>
      <c r="H1142" s="125" t="s">
        <v>7801</v>
      </c>
      <c r="I1142" t="s">
        <v>7847</v>
      </c>
    </row>
    <row r="1143">
      <c r="A1143" s="125" t="s">
        <v>3102</v>
      </c>
      <c r="B1143" s="526" t="s">
        <v>3101</v>
      </c>
      <c r="C1143" s="527">
        <v>0.0</v>
      </c>
      <c r="D1143" s="527">
        <v>0.0</v>
      </c>
      <c r="F1143" s="36" t="s">
        <v>7798</v>
      </c>
      <c r="G1143" s="125" t="s">
        <v>893</v>
      </c>
      <c r="H1143" s="125" t="s">
        <v>7801</v>
      </c>
      <c r="I1143" t="s">
        <v>7845</v>
      </c>
    </row>
    <row r="1144">
      <c r="A1144" s="125" t="s">
        <v>3104</v>
      </c>
      <c r="B1144" s="526" t="s">
        <v>3103</v>
      </c>
      <c r="C1144" s="527">
        <v>0.0</v>
      </c>
      <c r="D1144" s="527">
        <v>0.0</v>
      </c>
      <c r="F1144" s="36" t="s">
        <v>7798</v>
      </c>
      <c r="G1144" s="125" t="s">
        <v>913</v>
      </c>
      <c r="H1144" s="125" t="s">
        <v>7801</v>
      </c>
      <c r="I1144" t="s">
        <v>7848</v>
      </c>
    </row>
    <row r="1145">
      <c r="A1145" s="125" t="s">
        <v>3106</v>
      </c>
      <c r="B1145" s="526" t="s">
        <v>3105</v>
      </c>
      <c r="C1145" s="527">
        <v>0.0</v>
      </c>
      <c r="D1145" s="527">
        <v>0.0</v>
      </c>
      <c r="F1145" s="36" t="s">
        <v>7798</v>
      </c>
      <c r="G1145" s="125" t="s">
        <v>893</v>
      </c>
      <c r="H1145" s="125" t="s">
        <v>7801</v>
      </c>
      <c r="I1145" t="s">
        <v>7876</v>
      </c>
    </row>
    <row r="1146">
      <c r="A1146" s="125" t="s">
        <v>3108</v>
      </c>
      <c r="B1146" s="526" t="s">
        <v>3107</v>
      </c>
      <c r="C1146" s="527">
        <v>0.0</v>
      </c>
      <c r="D1146" s="527">
        <v>0.0</v>
      </c>
      <c r="F1146" s="36" t="s">
        <v>7798</v>
      </c>
      <c r="G1146" s="125" t="s">
        <v>893</v>
      </c>
      <c r="H1146" s="125" t="s">
        <v>7801</v>
      </c>
      <c r="I1146" t="s">
        <v>7876</v>
      </c>
    </row>
    <row r="1147">
      <c r="A1147" s="125" t="s">
        <v>3110</v>
      </c>
      <c r="B1147" s="526" t="s">
        <v>3109</v>
      </c>
      <c r="C1147" s="527">
        <v>0.0</v>
      </c>
      <c r="D1147" s="527">
        <v>0.0</v>
      </c>
      <c r="F1147" s="36" t="s">
        <v>7798</v>
      </c>
      <c r="G1147" s="125" t="s">
        <v>893</v>
      </c>
      <c r="H1147" s="125" t="s">
        <v>7801</v>
      </c>
      <c r="I1147" t="s">
        <v>7851</v>
      </c>
    </row>
    <row r="1148">
      <c r="A1148" s="125" t="s">
        <v>3112</v>
      </c>
      <c r="B1148" s="526" t="s">
        <v>3111</v>
      </c>
      <c r="C1148" s="527">
        <v>0.0</v>
      </c>
      <c r="D1148" s="527">
        <v>0.0</v>
      </c>
      <c r="F1148" s="36" t="s">
        <v>7798</v>
      </c>
      <c r="G1148" s="125" t="s">
        <v>893</v>
      </c>
      <c r="H1148" s="125" t="s">
        <v>7801</v>
      </c>
      <c r="I1148" t="s">
        <v>7876</v>
      </c>
    </row>
    <row r="1149">
      <c r="A1149" s="125" t="s">
        <v>3114</v>
      </c>
      <c r="B1149" s="526" t="s">
        <v>3113</v>
      </c>
      <c r="C1149" s="527">
        <v>0.0</v>
      </c>
      <c r="D1149" s="527">
        <v>0.0</v>
      </c>
      <c r="F1149" s="36" t="s">
        <v>7798</v>
      </c>
      <c r="G1149" s="125" t="s">
        <v>893</v>
      </c>
      <c r="H1149" s="125" t="s">
        <v>7801</v>
      </c>
      <c r="I1149" t="s">
        <v>7876</v>
      </c>
    </row>
    <row r="1150">
      <c r="A1150" s="125" t="s">
        <v>3116</v>
      </c>
      <c r="B1150" s="526" t="s">
        <v>3115</v>
      </c>
      <c r="C1150" s="527">
        <v>0.0</v>
      </c>
      <c r="D1150" s="527">
        <v>0.0</v>
      </c>
      <c r="F1150" s="36" t="s">
        <v>7798</v>
      </c>
      <c r="G1150" s="125" t="s">
        <v>893</v>
      </c>
      <c r="H1150" s="125" t="s">
        <v>7801</v>
      </c>
      <c r="I1150" t="s">
        <v>7847</v>
      </c>
    </row>
    <row r="1151">
      <c r="A1151" s="125" t="s">
        <v>3118</v>
      </c>
      <c r="B1151" s="526" t="s">
        <v>3117</v>
      </c>
      <c r="C1151" s="527">
        <v>0.0</v>
      </c>
      <c r="D1151" s="527">
        <v>0.0</v>
      </c>
      <c r="F1151" s="36" t="s">
        <v>7798</v>
      </c>
      <c r="G1151" s="125" t="s">
        <v>893</v>
      </c>
      <c r="H1151" s="125" t="s">
        <v>7801</v>
      </c>
      <c r="I1151" t="s">
        <v>7845</v>
      </c>
    </row>
    <row r="1152">
      <c r="A1152" s="125" t="s">
        <v>3120</v>
      </c>
      <c r="B1152" s="526" t="s">
        <v>3119</v>
      </c>
      <c r="C1152" s="527">
        <v>0.0</v>
      </c>
      <c r="D1152" s="527">
        <v>0.0</v>
      </c>
      <c r="F1152" s="36" t="s">
        <v>7798</v>
      </c>
      <c r="G1152" s="125" t="s">
        <v>893</v>
      </c>
      <c r="H1152" s="125" t="s">
        <v>7801</v>
      </c>
      <c r="I1152" t="s">
        <v>7848</v>
      </c>
    </row>
    <row r="1153">
      <c r="A1153" s="125" t="s">
        <v>3122</v>
      </c>
      <c r="B1153" s="526" t="s">
        <v>3121</v>
      </c>
      <c r="C1153" s="527">
        <v>0.0</v>
      </c>
      <c r="D1153" s="527">
        <v>0.0</v>
      </c>
      <c r="F1153" s="36" t="s">
        <v>7798</v>
      </c>
      <c r="G1153" s="125" t="s">
        <v>893</v>
      </c>
      <c r="H1153" s="125" t="s">
        <v>7801</v>
      </c>
      <c r="I1153" t="s">
        <v>7876</v>
      </c>
    </row>
    <row r="1154">
      <c r="A1154" s="125" t="s">
        <v>3124</v>
      </c>
      <c r="B1154" s="526" t="s">
        <v>3123</v>
      </c>
      <c r="C1154" s="527">
        <v>0.0</v>
      </c>
      <c r="D1154" s="527">
        <v>0.0</v>
      </c>
      <c r="F1154" s="36" t="s">
        <v>7798</v>
      </c>
      <c r="G1154" s="125" t="s">
        <v>893</v>
      </c>
      <c r="H1154" s="125" t="s">
        <v>7801</v>
      </c>
      <c r="I1154" t="s">
        <v>7876</v>
      </c>
    </row>
    <row r="1155">
      <c r="A1155" s="125" t="s">
        <v>3126</v>
      </c>
      <c r="B1155" s="526" t="s">
        <v>3125</v>
      </c>
      <c r="C1155" s="527">
        <v>0.0</v>
      </c>
      <c r="D1155" s="527">
        <v>0.0</v>
      </c>
      <c r="F1155" s="36" t="s">
        <v>7798</v>
      </c>
      <c r="G1155" s="125" t="s">
        <v>913</v>
      </c>
      <c r="H1155" s="125" t="s">
        <v>7801</v>
      </c>
      <c r="I1155" t="s">
        <v>7851</v>
      </c>
    </row>
    <row r="1156">
      <c r="A1156" s="125" t="s">
        <v>3128</v>
      </c>
      <c r="B1156" s="526" t="s">
        <v>3127</v>
      </c>
      <c r="C1156" s="527">
        <v>0.0</v>
      </c>
      <c r="D1156" s="527">
        <v>0.0</v>
      </c>
      <c r="F1156" s="36" t="s">
        <v>7798</v>
      </c>
      <c r="G1156" s="125" t="s">
        <v>893</v>
      </c>
      <c r="H1156" s="125" t="s">
        <v>7801</v>
      </c>
      <c r="I1156" t="s">
        <v>7876</v>
      </c>
    </row>
    <row r="1157">
      <c r="A1157" s="125" t="s">
        <v>3130</v>
      </c>
      <c r="B1157" s="526" t="s">
        <v>3129</v>
      </c>
      <c r="C1157" s="527">
        <v>0.0</v>
      </c>
      <c r="D1157" s="527">
        <v>0.0</v>
      </c>
      <c r="F1157" s="36" t="s">
        <v>7798</v>
      </c>
      <c r="G1157" s="125" t="s">
        <v>893</v>
      </c>
      <c r="H1157" s="125" t="s">
        <v>7801</v>
      </c>
      <c r="I1157" t="s">
        <v>7876</v>
      </c>
    </row>
    <row r="1158">
      <c r="A1158" s="125" t="s">
        <v>3132</v>
      </c>
      <c r="B1158" s="526" t="s">
        <v>3131</v>
      </c>
      <c r="C1158" s="527">
        <v>0.0</v>
      </c>
      <c r="D1158" s="527">
        <v>0.0</v>
      </c>
      <c r="F1158" s="36" t="s">
        <v>7798</v>
      </c>
      <c r="G1158" s="125" t="s">
        <v>893</v>
      </c>
      <c r="H1158" s="125" t="s">
        <v>7801</v>
      </c>
      <c r="I1158" t="s">
        <v>7847</v>
      </c>
    </row>
    <row r="1159">
      <c r="A1159" s="125" t="s">
        <v>3134</v>
      </c>
      <c r="B1159" s="526" t="s">
        <v>3133</v>
      </c>
      <c r="C1159" s="527">
        <v>0.0</v>
      </c>
      <c r="D1159" s="527">
        <v>0.0</v>
      </c>
      <c r="F1159" s="36" t="s">
        <v>7798</v>
      </c>
      <c r="G1159" s="125" t="s">
        <v>913</v>
      </c>
      <c r="H1159" s="125" t="s">
        <v>7801</v>
      </c>
      <c r="I1159" t="s">
        <v>7876</v>
      </c>
    </row>
    <row r="1160">
      <c r="A1160" s="125" t="s">
        <v>3137</v>
      </c>
      <c r="B1160" s="526">
        <v>78797.0</v>
      </c>
      <c r="C1160" s="527">
        <v>0.0</v>
      </c>
      <c r="D1160" s="527">
        <v>0.0</v>
      </c>
      <c r="F1160" s="36" t="s">
        <v>7798</v>
      </c>
      <c r="G1160" s="125" t="s">
        <v>893</v>
      </c>
      <c r="H1160" s="125" t="s">
        <v>7799</v>
      </c>
      <c r="I1160" t="s">
        <v>7866</v>
      </c>
    </row>
    <row r="1161">
      <c r="A1161" s="125" t="s">
        <v>221</v>
      </c>
      <c r="B1161" s="526" t="s">
        <v>222</v>
      </c>
      <c r="C1161" s="527">
        <v>324.0</v>
      </c>
      <c r="D1161" s="527">
        <v>1571.91</v>
      </c>
      <c r="E1161" s="528">
        <v>4.8516</v>
      </c>
      <c r="F1161" s="36" t="s">
        <v>7798</v>
      </c>
      <c r="G1161" s="125" t="s">
        <v>913</v>
      </c>
      <c r="H1161" s="125" t="s">
        <v>569</v>
      </c>
      <c r="I1161" t="s">
        <v>208</v>
      </c>
    </row>
    <row r="1162">
      <c r="A1162" s="125" t="s">
        <v>211</v>
      </c>
      <c r="B1162" s="526" t="s">
        <v>212</v>
      </c>
      <c r="C1162" s="527">
        <v>261.0</v>
      </c>
      <c r="D1162" s="527">
        <v>1298.48</v>
      </c>
      <c r="E1162" s="528">
        <v>4.975</v>
      </c>
      <c r="F1162" s="36" t="s">
        <v>7798</v>
      </c>
      <c r="G1162" s="125" t="s">
        <v>913</v>
      </c>
      <c r="H1162" s="125" t="s">
        <v>569</v>
      </c>
      <c r="I1162" t="s">
        <v>208</v>
      </c>
    </row>
    <row r="1163">
      <c r="A1163" s="125" t="s">
        <v>223</v>
      </c>
      <c r="B1163" s="526" t="s">
        <v>224</v>
      </c>
      <c r="C1163" s="527">
        <v>643.0</v>
      </c>
      <c r="D1163" s="527">
        <v>3157.11</v>
      </c>
      <c r="E1163" s="528">
        <v>4.91</v>
      </c>
      <c r="F1163" s="36" t="s">
        <v>7798</v>
      </c>
      <c r="G1163" s="125" t="s">
        <v>913</v>
      </c>
      <c r="H1163" s="125" t="s">
        <v>569</v>
      </c>
      <c r="I1163" t="s">
        <v>208</v>
      </c>
    </row>
    <row r="1164">
      <c r="A1164" s="125" t="s">
        <v>215</v>
      </c>
      <c r="B1164" s="526" t="s">
        <v>216</v>
      </c>
      <c r="C1164" s="527">
        <v>330.0</v>
      </c>
      <c r="D1164" s="527">
        <v>1641.65</v>
      </c>
      <c r="E1164" s="528">
        <v>4.9747</v>
      </c>
      <c r="F1164" s="36" t="s">
        <v>7798</v>
      </c>
      <c r="G1164" s="125" t="s">
        <v>913</v>
      </c>
      <c r="H1164" s="125" t="s">
        <v>569</v>
      </c>
      <c r="I1164" t="s">
        <v>208</v>
      </c>
    </row>
    <row r="1165">
      <c r="A1165" s="125" t="s">
        <v>213</v>
      </c>
      <c r="B1165" s="526" t="s">
        <v>214</v>
      </c>
      <c r="C1165" s="527">
        <v>183.0</v>
      </c>
      <c r="D1165" s="527">
        <v>910.57</v>
      </c>
      <c r="E1165" s="528">
        <v>4.9758</v>
      </c>
      <c r="F1165" s="36" t="s">
        <v>7798</v>
      </c>
      <c r="G1165" s="125" t="s">
        <v>913</v>
      </c>
      <c r="H1165" s="125" t="s">
        <v>569</v>
      </c>
      <c r="I1165" t="s">
        <v>208</v>
      </c>
    </row>
    <row r="1166">
      <c r="A1166" s="125" t="s">
        <v>3141</v>
      </c>
      <c r="B1166" s="526" t="s">
        <v>3140</v>
      </c>
      <c r="C1166" s="527">
        <v>0.0</v>
      </c>
      <c r="D1166" s="527">
        <v>0.0</v>
      </c>
      <c r="F1166" s="36" t="s">
        <v>7798</v>
      </c>
      <c r="G1166" s="125" t="s">
        <v>893</v>
      </c>
      <c r="H1166" s="125" t="s">
        <v>7799</v>
      </c>
      <c r="I1166" t="s">
        <v>7856</v>
      </c>
    </row>
    <row r="1167">
      <c r="A1167" s="125" t="s">
        <v>3145</v>
      </c>
      <c r="B1167" s="526" t="s">
        <v>3144</v>
      </c>
      <c r="C1167" s="527">
        <v>0.0</v>
      </c>
      <c r="D1167" s="527">
        <v>0.0</v>
      </c>
      <c r="F1167" s="36" t="s">
        <v>7798</v>
      </c>
      <c r="G1167" s="125" t="s">
        <v>893</v>
      </c>
      <c r="H1167" s="125" t="s">
        <v>7799</v>
      </c>
      <c r="I1167" t="s">
        <v>7856</v>
      </c>
    </row>
    <row r="1168">
      <c r="A1168" s="125" t="s">
        <v>3147</v>
      </c>
      <c r="B1168" s="526" t="s">
        <v>3146</v>
      </c>
      <c r="C1168" s="527">
        <v>0.0</v>
      </c>
      <c r="D1168" s="527">
        <v>0.0</v>
      </c>
      <c r="F1168" s="36" t="s">
        <v>7798</v>
      </c>
      <c r="G1168" s="125" t="s">
        <v>893</v>
      </c>
      <c r="H1168" s="125" t="s">
        <v>7799</v>
      </c>
      <c r="I1168" t="s">
        <v>7856</v>
      </c>
    </row>
    <row r="1169">
      <c r="A1169" s="125" t="s">
        <v>209</v>
      </c>
      <c r="B1169" s="526" t="s">
        <v>210</v>
      </c>
      <c r="C1169" s="527">
        <v>349.0</v>
      </c>
      <c r="D1169" s="527">
        <v>1820.89</v>
      </c>
      <c r="E1169" s="528">
        <v>5.2174</v>
      </c>
      <c r="F1169" s="36" t="s">
        <v>7798</v>
      </c>
      <c r="G1169" s="125" t="s">
        <v>913</v>
      </c>
      <c r="H1169" s="125" t="s">
        <v>569</v>
      </c>
      <c r="I1169" t="s">
        <v>208</v>
      </c>
    </row>
    <row r="1170">
      <c r="A1170" s="125" t="s">
        <v>217</v>
      </c>
      <c r="B1170" s="526" t="s">
        <v>218</v>
      </c>
      <c r="C1170" s="527">
        <v>501.0</v>
      </c>
      <c r="D1170" s="527">
        <v>2613.82</v>
      </c>
      <c r="E1170" s="528">
        <v>5.2172</v>
      </c>
      <c r="F1170" s="36" t="s">
        <v>7798</v>
      </c>
      <c r="G1170" s="125" t="s">
        <v>913</v>
      </c>
      <c r="H1170" s="125" t="s">
        <v>7801</v>
      </c>
      <c r="I1170" t="s">
        <v>208</v>
      </c>
    </row>
    <row r="1171">
      <c r="A1171" s="125" t="s">
        <v>570</v>
      </c>
      <c r="B1171" s="526" t="s">
        <v>571</v>
      </c>
      <c r="C1171" s="527">
        <v>426.0</v>
      </c>
      <c r="D1171" s="527">
        <v>2066.62</v>
      </c>
      <c r="E1171" s="528">
        <v>4.8512</v>
      </c>
      <c r="F1171" s="36" t="s">
        <v>7798</v>
      </c>
      <c r="G1171" s="125" t="s">
        <v>913</v>
      </c>
      <c r="H1171" s="125" t="s">
        <v>569</v>
      </c>
      <c r="I1171" t="s">
        <v>208</v>
      </c>
    </row>
    <row r="1172">
      <c r="A1172" s="125" t="s">
        <v>219</v>
      </c>
      <c r="B1172" s="526" t="s">
        <v>220</v>
      </c>
      <c r="C1172" s="527">
        <v>526.0</v>
      </c>
      <c r="D1172" s="527">
        <v>2740.07</v>
      </c>
      <c r="E1172" s="528">
        <v>5.2093</v>
      </c>
      <c r="F1172" s="36" t="s">
        <v>7798</v>
      </c>
      <c r="G1172" s="125" t="s">
        <v>913</v>
      </c>
      <c r="H1172" s="125" t="s">
        <v>569</v>
      </c>
      <c r="I1172" t="s">
        <v>208</v>
      </c>
    </row>
    <row r="1173">
      <c r="A1173" s="125" t="s">
        <v>3149</v>
      </c>
      <c r="B1173" s="526" t="s">
        <v>3148</v>
      </c>
      <c r="C1173" s="527">
        <v>0.0</v>
      </c>
      <c r="D1173" s="527">
        <v>0.0</v>
      </c>
      <c r="F1173" s="36" t="s">
        <v>7798</v>
      </c>
      <c r="G1173" s="125" t="s">
        <v>893</v>
      </c>
      <c r="H1173" s="125" t="s">
        <v>7799</v>
      </c>
      <c r="I1173" t="s">
        <v>7856</v>
      </c>
    </row>
    <row r="1174">
      <c r="A1174" s="125" t="s">
        <v>3151</v>
      </c>
      <c r="B1174" s="526" t="s">
        <v>3150</v>
      </c>
      <c r="C1174" s="527">
        <v>158.0</v>
      </c>
      <c r="D1174" s="527">
        <v>630.19</v>
      </c>
      <c r="E1174" s="528">
        <v>3.9885</v>
      </c>
      <c r="F1174" s="36" t="s">
        <v>7798</v>
      </c>
      <c r="G1174" s="125" t="s">
        <v>913</v>
      </c>
      <c r="H1174" s="125" t="s">
        <v>7801</v>
      </c>
      <c r="I1174" t="s">
        <v>208</v>
      </c>
    </row>
    <row r="1175">
      <c r="A1175" s="125" t="s">
        <v>3153</v>
      </c>
      <c r="B1175" s="526" t="s">
        <v>3152</v>
      </c>
      <c r="C1175" s="527">
        <v>0.0</v>
      </c>
      <c r="D1175" s="527">
        <v>0.0</v>
      </c>
      <c r="F1175" s="36" t="s">
        <v>7798</v>
      </c>
      <c r="G1175" s="125" t="s">
        <v>893</v>
      </c>
      <c r="H1175" s="125" t="s">
        <v>7799</v>
      </c>
      <c r="I1175" t="s">
        <v>7856</v>
      </c>
    </row>
    <row r="1176">
      <c r="A1176" s="125" t="s">
        <v>3155</v>
      </c>
      <c r="B1176" s="526" t="s">
        <v>3154</v>
      </c>
      <c r="C1176" s="527">
        <v>0.0</v>
      </c>
      <c r="D1176" s="527">
        <v>0.0</v>
      </c>
      <c r="F1176" s="36" t="s">
        <v>7798</v>
      </c>
      <c r="G1176" s="125" t="s">
        <v>893</v>
      </c>
      <c r="H1176" s="125" t="s">
        <v>7801</v>
      </c>
      <c r="I1176" t="s">
        <v>7856</v>
      </c>
    </row>
    <row r="1177">
      <c r="A1177" s="125" t="s">
        <v>3159</v>
      </c>
      <c r="B1177" s="526" t="s">
        <v>3158</v>
      </c>
      <c r="C1177" s="527">
        <v>0.0</v>
      </c>
      <c r="D1177" s="527">
        <v>0.0</v>
      </c>
      <c r="F1177" s="36" t="s">
        <v>7798</v>
      </c>
      <c r="G1177" s="125" t="s">
        <v>893</v>
      </c>
      <c r="H1177" s="125" t="s">
        <v>7799</v>
      </c>
      <c r="I1177" t="s">
        <v>7804</v>
      </c>
    </row>
    <row r="1178">
      <c r="A1178" s="125" t="s">
        <v>3161</v>
      </c>
      <c r="B1178" s="526" t="s">
        <v>3160</v>
      </c>
      <c r="C1178" s="527">
        <v>0.0</v>
      </c>
      <c r="D1178" s="527">
        <v>0.0</v>
      </c>
      <c r="F1178" s="36" t="s">
        <v>7798</v>
      </c>
      <c r="G1178" s="125" t="s">
        <v>893</v>
      </c>
      <c r="H1178" s="125" t="s">
        <v>7801</v>
      </c>
      <c r="I1178" t="s">
        <v>7842</v>
      </c>
    </row>
    <row r="1179">
      <c r="A1179" s="125" t="s">
        <v>3165</v>
      </c>
      <c r="B1179" s="526" t="s">
        <v>3164</v>
      </c>
      <c r="C1179" s="527">
        <v>0.0</v>
      </c>
      <c r="D1179" s="527">
        <v>0.0</v>
      </c>
      <c r="F1179" s="36" t="s">
        <v>7798</v>
      </c>
      <c r="G1179" s="125" t="s">
        <v>893</v>
      </c>
      <c r="H1179" s="125" t="s">
        <v>7801</v>
      </c>
      <c r="I1179" t="s">
        <v>7842</v>
      </c>
    </row>
    <row r="1180">
      <c r="A1180" s="125" t="s">
        <v>3167</v>
      </c>
      <c r="B1180" s="526" t="s">
        <v>3166</v>
      </c>
      <c r="C1180" s="527">
        <v>491.0</v>
      </c>
      <c r="D1180" s="527">
        <v>2408.63</v>
      </c>
      <c r="E1180" s="528">
        <v>4.9056</v>
      </c>
      <c r="F1180" s="36" t="s">
        <v>7798</v>
      </c>
      <c r="G1180" s="125" t="s">
        <v>913</v>
      </c>
      <c r="H1180" s="125" t="s">
        <v>7808</v>
      </c>
      <c r="I1180" t="s">
        <v>7842</v>
      </c>
    </row>
    <row r="1181">
      <c r="A1181" s="125" t="s">
        <v>3169</v>
      </c>
      <c r="B1181" s="526" t="s">
        <v>3168</v>
      </c>
      <c r="C1181" s="527">
        <v>188.0</v>
      </c>
      <c r="D1181" s="527">
        <v>1112.7</v>
      </c>
      <c r="E1181" s="528">
        <v>5.9186</v>
      </c>
      <c r="F1181" s="36" t="s">
        <v>7798</v>
      </c>
      <c r="G1181" s="125" t="s">
        <v>913</v>
      </c>
      <c r="H1181" s="125" t="s">
        <v>7808</v>
      </c>
      <c r="I1181" t="s">
        <v>7842</v>
      </c>
    </row>
    <row r="1182">
      <c r="A1182" s="125" t="s">
        <v>3171</v>
      </c>
      <c r="B1182" s="526" t="s">
        <v>3170</v>
      </c>
      <c r="C1182" s="527">
        <v>593.0</v>
      </c>
      <c r="D1182" s="527">
        <v>2742.41</v>
      </c>
      <c r="E1182" s="528">
        <v>4.6246</v>
      </c>
      <c r="F1182" s="36" t="s">
        <v>7798</v>
      </c>
      <c r="G1182" s="125" t="s">
        <v>913</v>
      </c>
      <c r="H1182" s="125" t="s">
        <v>7808</v>
      </c>
      <c r="I1182" t="s">
        <v>7842</v>
      </c>
    </row>
    <row r="1183">
      <c r="A1183" s="125" t="s">
        <v>3173</v>
      </c>
      <c r="B1183" s="526" t="s">
        <v>3172</v>
      </c>
      <c r="C1183" s="527">
        <v>248.0</v>
      </c>
      <c r="D1183" s="527">
        <v>1300.46</v>
      </c>
      <c r="E1183" s="528">
        <v>5.2438</v>
      </c>
      <c r="F1183" s="36" t="s">
        <v>7798</v>
      </c>
      <c r="G1183" s="125" t="s">
        <v>913</v>
      </c>
      <c r="H1183" s="125" t="s">
        <v>7808</v>
      </c>
      <c r="I1183" t="s">
        <v>7842</v>
      </c>
    </row>
    <row r="1184">
      <c r="A1184" s="125" t="s">
        <v>3175</v>
      </c>
      <c r="B1184" s="526" t="s">
        <v>3174</v>
      </c>
      <c r="C1184" s="527">
        <v>0.0</v>
      </c>
      <c r="D1184" s="527">
        <v>0.0</v>
      </c>
      <c r="F1184" s="36" t="s">
        <v>7798</v>
      </c>
      <c r="G1184" s="125" t="s">
        <v>913</v>
      </c>
      <c r="H1184" s="125" t="s">
        <v>7801</v>
      </c>
      <c r="I1184" t="s">
        <v>7842</v>
      </c>
    </row>
    <row r="1185">
      <c r="A1185" s="125" t="s">
        <v>3177</v>
      </c>
      <c r="B1185" s="526" t="s">
        <v>3176</v>
      </c>
      <c r="C1185" s="527">
        <v>728.0</v>
      </c>
      <c r="D1185" s="527">
        <v>3353.92</v>
      </c>
      <c r="E1185" s="528">
        <v>4.607</v>
      </c>
      <c r="F1185" s="36" t="s">
        <v>7798</v>
      </c>
      <c r="G1185" s="125" t="s">
        <v>913</v>
      </c>
      <c r="H1185" s="125" t="s">
        <v>7808</v>
      </c>
      <c r="I1185" t="s">
        <v>7842</v>
      </c>
    </row>
    <row r="1186">
      <c r="A1186" s="125" t="s">
        <v>3181</v>
      </c>
      <c r="B1186" s="526" t="s">
        <v>3180</v>
      </c>
      <c r="C1186" s="527">
        <v>0.0</v>
      </c>
      <c r="D1186" s="527">
        <v>0.0</v>
      </c>
      <c r="F1186" s="36" t="s">
        <v>7798</v>
      </c>
      <c r="G1186" s="125" t="s">
        <v>893</v>
      </c>
      <c r="H1186" s="125" t="s">
        <v>7821</v>
      </c>
    </row>
    <row r="1187">
      <c r="A1187" s="125" t="s">
        <v>3183</v>
      </c>
      <c r="B1187" s="526" t="s">
        <v>3182</v>
      </c>
      <c r="C1187" s="527">
        <v>1.0</v>
      </c>
      <c r="D1187" s="527">
        <v>0.0</v>
      </c>
      <c r="E1187" s="528">
        <v>0.0</v>
      </c>
      <c r="F1187" s="36" t="s">
        <v>7827</v>
      </c>
      <c r="G1187" s="125" t="s">
        <v>913</v>
      </c>
      <c r="H1187" s="125" t="s">
        <v>7801</v>
      </c>
    </row>
    <row r="1188">
      <c r="A1188" s="125" t="s">
        <v>3188</v>
      </c>
      <c r="B1188" s="526" t="s">
        <v>3187</v>
      </c>
      <c r="C1188" s="527">
        <v>0.0</v>
      </c>
      <c r="D1188" s="527">
        <v>0.0</v>
      </c>
      <c r="F1188" s="36" t="s">
        <v>7798</v>
      </c>
      <c r="G1188" s="125" t="s">
        <v>893</v>
      </c>
      <c r="H1188" s="125" t="s">
        <v>7799</v>
      </c>
      <c r="I1188" t="s">
        <v>7813</v>
      </c>
    </row>
    <row r="1189">
      <c r="A1189" s="125" t="s">
        <v>3190</v>
      </c>
      <c r="B1189" s="526" t="s">
        <v>3189</v>
      </c>
      <c r="C1189" s="527">
        <v>0.0</v>
      </c>
      <c r="D1189" s="527">
        <v>0.0</v>
      </c>
      <c r="F1189" s="36" t="s">
        <v>7798</v>
      </c>
      <c r="G1189" s="125" t="s">
        <v>893</v>
      </c>
      <c r="H1189" s="125" t="s">
        <v>7799</v>
      </c>
      <c r="I1189" t="s">
        <v>7877</v>
      </c>
    </row>
    <row r="1190">
      <c r="A1190" s="125" t="s">
        <v>3192</v>
      </c>
      <c r="B1190" s="526" t="s">
        <v>3191</v>
      </c>
      <c r="C1190" s="527">
        <v>0.0</v>
      </c>
      <c r="D1190" s="527">
        <v>0.0</v>
      </c>
      <c r="F1190" s="36" t="s">
        <v>7798</v>
      </c>
      <c r="G1190" s="125" t="s">
        <v>893</v>
      </c>
      <c r="H1190" s="125" t="s">
        <v>7799</v>
      </c>
      <c r="I1190" t="s">
        <v>7877</v>
      </c>
    </row>
    <row r="1191">
      <c r="A1191" s="125" t="s">
        <v>3194</v>
      </c>
      <c r="B1191" s="526" t="s">
        <v>3193</v>
      </c>
      <c r="C1191" s="527">
        <v>8.0</v>
      </c>
      <c r="D1191" s="527">
        <v>43.6</v>
      </c>
      <c r="E1191" s="528">
        <v>5.45</v>
      </c>
      <c r="F1191" s="36" t="s">
        <v>7798</v>
      </c>
      <c r="G1191" s="125" t="s">
        <v>913</v>
      </c>
      <c r="H1191" s="125" t="s">
        <v>7801</v>
      </c>
      <c r="I1191" t="s">
        <v>45</v>
      </c>
    </row>
    <row r="1192">
      <c r="A1192" s="125" t="s">
        <v>3196</v>
      </c>
      <c r="B1192" s="526" t="s">
        <v>3195</v>
      </c>
      <c r="C1192" s="527">
        <v>684.0</v>
      </c>
      <c r="D1192" s="527">
        <v>1086.43</v>
      </c>
      <c r="E1192" s="528">
        <v>1.5883</v>
      </c>
      <c r="F1192" s="36" t="s">
        <v>7798</v>
      </c>
      <c r="G1192" s="125" t="s">
        <v>913</v>
      </c>
      <c r="H1192" s="125" t="s">
        <v>7801</v>
      </c>
      <c r="I1192" t="s">
        <v>7837</v>
      </c>
    </row>
    <row r="1193">
      <c r="A1193" s="125" t="s">
        <v>3198</v>
      </c>
      <c r="B1193" s="526" t="s">
        <v>3197</v>
      </c>
      <c r="C1193" s="527">
        <v>655.0</v>
      </c>
      <c r="D1193" s="527">
        <v>1040.37</v>
      </c>
      <c r="E1193" s="528">
        <v>1.5884</v>
      </c>
      <c r="F1193" s="36" t="s">
        <v>7798</v>
      </c>
      <c r="G1193" s="125" t="s">
        <v>913</v>
      </c>
      <c r="H1193" s="125" t="s">
        <v>7801</v>
      </c>
      <c r="I1193" t="s">
        <v>7837</v>
      </c>
    </row>
    <row r="1194">
      <c r="A1194" s="125" t="s">
        <v>3200</v>
      </c>
      <c r="B1194" s="526" t="s">
        <v>3199</v>
      </c>
      <c r="C1194" s="527">
        <v>42.0</v>
      </c>
      <c r="D1194" s="527">
        <v>74.92</v>
      </c>
      <c r="E1194" s="528">
        <v>1.7838</v>
      </c>
      <c r="F1194" s="36" t="s">
        <v>7798</v>
      </c>
      <c r="G1194" s="125" t="s">
        <v>913</v>
      </c>
      <c r="H1194" s="125" t="s">
        <v>7801</v>
      </c>
      <c r="I1194" t="s">
        <v>7837</v>
      </c>
    </row>
    <row r="1195">
      <c r="A1195" s="125" t="s">
        <v>3202</v>
      </c>
      <c r="B1195" s="526" t="s">
        <v>3201</v>
      </c>
      <c r="C1195" s="527">
        <v>210.0</v>
      </c>
      <c r="D1195" s="527">
        <v>333.23</v>
      </c>
      <c r="E1195" s="528">
        <v>1.5868</v>
      </c>
      <c r="F1195" s="36" t="s">
        <v>7798</v>
      </c>
      <c r="G1195" s="125" t="s">
        <v>913</v>
      </c>
      <c r="H1195" s="125" t="s">
        <v>7808</v>
      </c>
      <c r="I1195" t="s">
        <v>7837</v>
      </c>
    </row>
    <row r="1196">
      <c r="A1196" s="125" t="s">
        <v>3204</v>
      </c>
      <c r="B1196" s="526" t="s">
        <v>3203</v>
      </c>
      <c r="C1196" s="527">
        <v>360.0</v>
      </c>
      <c r="D1196" s="527">
        <v>571.81</v>
      </c>
      <c r="E1196" s="528">
        <v>1.5884</v>
      </c>
      <c r="F1196" s="36" t="s">
        <v>7798</v>
      </c>
      <c r="G1196" s="125" t="s">
        <v>913</v>
      </c>
      <c r="H1196" s="125" t="s">
        <v>7801</v>
      </c>
      <c r="I1196" t="s">
        <v>7837</v>
      </c>
    </row>
    <row r="1197">
      <c r="A1197" s="125" t="s">
        <v>3206</v>
      </c>
      <c r="B1197" s="526" t="s">
        <v>3205</v>
      </c>
      <c r="C1197" s="527">
        <v>52.0</v>
      </c>
      <c r="D1197" s="527">
        <v>93.09</v>
      </c>
      <c r="E1197" s="528">
        <v>1.7902</v>
      </c>
      <c r="F1197" s="36" t="s">
        <v>7798</v>
      </c>
      <c r="G1197" s="125" t="s">
        <v>913</v>
      </c>
      <c r="H1197" s="125" t="s">
        <v>7801</v>
      </c>
      <c r="I1197" t="s">
        <v>7837</v>
      </c>
    </row>
    <row r="1198">
      <c r="A1198" s="125" t="s">
        <v>3208</v>
      </c>
      <c r="B1198" s="526" t="s">
        <v>3207</v>
      </c>
      <c r="C1198" s="527">
        <v>3.0</v>
      </c>
      <c r="D1198" s="527">
        <v>166.36</v>
      </c>
      <c r="E1198" s="528">
        <v>55.4533</v>
      </c>
      <c r="F1198" s="36" t="s">
        <v>7798</v>
      </c>
      <c r="G1198" s="125" t="s">
        <v>913</v>
      </c>
      <c r="H1198" s="125" t="s">
        <v>7808</v>
      </c>
      <c r="I1198" t="s">
        <v>7837</v>
      </c>
    </row>
    <row r="1199">
      <c r="A1199" s="125" t="s">
        <v>3210</v>
      </c>
      <c r="B1199" s="526" t="s">
        <v>3209</v>
      </c>
      <c r="C1199" s="527">
        <v>0.0</v>
      </c>
      <c r="D1199" s="527">
        <v>0.0</v>
      </c>
      <c r="F1199" s="36" t="s">
        <v>7798</v>
      </c>
      <c r="G1199" s="125" t="s">
        <v>893</v>
      </c>
      <c r="H1199" s="125" t="s">
        <v>7799</v>
      </c>
      <c r="I1199" t="s">
        <v>7878</v>
      </c>
    </row>
    <row r="1200">
      <c r="A1200" s="125" t="s">
        <v>3212</v>
      </c>
      <c r="B1200" s="526" t="s">
        <v>3211</v>
      </c>
      <c r="C1200" s="527">
        <v>0.0</v>
      </c>
      <c r="D1200" s="527">
        <v>0.0</v>
      </c>
      <c r="F1200" s="36" t="s">
        <v>7798</v>
      </c>
      <c r="G1200" s="125" t="s">
        <v>893</v>
      </c>
      <c r="H1200" s="125" t="s">
        <v>7799</v>
      </c>
      <c r="I1200" t="s">
        <v>7878</v>
      </c>
    </row>
    <row r="1201">
      <c r="A1201" s="125" t="s">
        <v>3214</v>
      </c>
      <c r="B1201" s="526" t="s">
        <v>3213</v>
      </c>
      <c r="C1201" s="527">
        <v>0.0</v>
      </c>
      <c r="D1201" s="527">
        <v>0.0</v>
      </c>
      <c r="F1201" s="36" t="s">
        <v>7798</v>
      </c>
      <c r="G1201" s="125" t="s">
        <v>893</v>
      </c>
      <c r="H1201" s="125" t="s">
        <v>7799</v>
      </c>
      <c r="I1201" t="s">
        <v>7878</v>
      </c>
    </row>
    <row r="1202">
      <c r="A1202" s="125" t="s">
        <v>3216</v>
      </c>
      <c r="B1202" s="526" t="s">
        <v>3215</v>
      </c>
      <c r="C1202" s="527">
        <v>0.0</v>
      </c>
      <c r="D1202" s="527">
        <v>0.0</v>
      </c>
      <c r="F1202" s="36" t="s">
        <v>7798</v>
      </c>
      <c r="G1202" s="125" t="s">
        <v>893</v>
      </c>
      <c r="H1202" s="125" t="s">
        <v>7799</v>
      </c>
      <c r="I1202" t="s">
        <v>7878</v>
      </c>
    </row>
    <row r="1203">
      <c r="A1203" s="125" t="s">
        <v>3218</v>
      </c>
      <c r="B1203" s="526" t="s">
        <v>3217</v>
      </c>
      <c r="C1203" s="527">
        <v>0.0</v>
      </c>
      <c r="D1203" s="527">
        <v>0.0</v>
      </c>
      <c r="F1203" s="36" t="s">
        <v>7798</v>
      </c>
      <c r="G1203" s="125" t="s">
        <v>893</v>
      </c>
      <c r="H1203" s="125" t="s">
        <v>7799</v>
      </c>
      <c r="I1203" t="s">
        <v>7878</v>
      </c>
    </row>
    <row r="1204">
      <c r="A1204" s="125" t="s">
        <v>3220</v>
      </c>
      <c r="B1204" s="526" t="s">
        <v>3219</v>
      </c>
      <c r="C1204" s="527">
        <v>0.0</v>
      </c>
      <c r="D1204" s="527">
        <v>0.0</v>
      </c>
      <c r="F1204" s="36" t="s">
        <v>7798</v>
      </c>
      <c r="G1204" s="125" t="s">
        <v>893</v>
      </c>
      <c r="H1204" s="125" t="s">
        <v>7799</v>
      </c>
      <c r="I1204" t="s">
        <v>7878</v>
      </c>
    </row>
    <row r="1205">
      <c r="A1205" s="125" t="s">
        <v>3222</v>
      </c>
      <c r="B1205" s="526" t="s">
        <v>3221</v>
      </c>
      <c r="C1205" s="527">
        <v>0.0</v>
      </c>
      <c r="D1205" s="527">
        <v>0.0</v>
      </c>
      <c r="F1205" s="36" t="s">
        <v>7798</v>
      </c>
      <c r="G1205" s="125" t="s">
        <v>893</v>
      </c>
      <c r="H1205" s="125" t="s">
        <v>7799</v>
      </c>
      <c r="I1205" t="s">
        <v>7804</v>
      </c>
    </row>
    <row r="1206">
      <c r="A1206" s="125" t="s">
        <v>3224</v>
      </c>
      <c r="B1206" s="526" t="s">
        <v>3223</v>
      </c>
      <c r="C1206" s="527">
        <v>0.0</v>
      </c>
      <c r="D1206" s="527">
        <v>0.0</v>
      </c>
      <c r="F1206" s="36" t="s">
        <v>7798</v>
      </c>
      <c r="G1206" s="125" t="s">
        <v>893</v>
      </c>
      <c r="H1206" s="125" t="s">
        <v>7799</v>
      </c>
      <c r="I1206" t="s">
        <v>53</v>
      </c>
    </row>
    <row r="1207">
      <c r="A1207" s="125" t="s">
        <v>3226</v>
      </c>
      <c r="B1207" s="526" t="s">
        <v>3225</v>
      </c>
      <c r="C1207" s="527">
        <v>1.0</v>
      </c>
      <c r="D1207" s="527">
        <v>244.56</v>
      </c>
      <c r="E1207" s="528">
        <v>244.56</v>
      </c>
      <c r="F1207" s="36" t="s">
        <v>7798</v>
      </c>
      <c r="G1207" s="125" t="s">
        <v>913</v>
      </c>
      <c r="H1207" s="125" t="s">
        <v>7801</v>
      </c>
      <c r="I1207" t="s">
        <v>81</v>
      </c>
    </row>
    <row r="1208">
      <c r="A1208" s="125" t="s">
        <v>3230</v>
      </c>
      <c r="B1208" s="526" t="s">
        <v>3229</v>
      </c>
      <c r="C1208" s="527">
        <v>0.0</v>
      </c>
      <c r="D1208" s="527">
        <v>0.0</v>
      </c>
      <c r="F1208" s="36" t="s">
        <v>7798</v>
      </c>
      <c r="G1208" s="125" t="s">
        <v>893</v>
      </c>
      <c r="H1208" s="125" t="s">
        <v>7799</v>
      </c>
      <c r="I1208" t="s">
        <v>53</v>
      </c>
    </row>
    <row r="1209">
      <c r="A1209" s="125" t="s">
        <v>3234</v>
      </c>
      <c r="B1209" s="526" t="s">
        <v>3233</v>
      </c>
      <c r="C1209" s="527">
        <v>0.0</v>
      </c>
      <c r="D1209" s="527">
        <v>0.0</v>
      </c>
      <c r="F1209" s="36" t="s">
        <v>7798</v>
      </c>
      <c r="G1209" s="125" t="s">
        <v>893</v>
      </c>
      <c r="H1209" s="125" t="s">
        <v>7799</v>
      </c>
      <c r="I1209" t="s">
        <v>53</v>
      </c>
    </row>
    <row r="1210">
      <c r="A1210" s="125" t="s">
        <v>474</v>
      </c>
      <c r="B1210" s="526" t="s">
        <v>475</v>
      </c>
      <c r="C1210" s="527">
        <v>713.0</v>
      </c>
      <c r="D1210" s="527">
        <v>4595.6</v>
      </c>
      <c r="E1210" s="528">
        <v>6.4454</v>
      </c>
      <c r="F1210" s="36" t="s">
        <v>7798</v>
      </c>
      <c r="G1210" s="125" t="s">
        <v>913</v>
      </c>
      <c r="H1210" s="125" t="s">
        <v>7809</v>
      </c>
      <c r="I1210" t="s">
        <v>53</v>
      </c>
    </row>
    <row r="1211">
      <c r="A1211" s="125" t="s">
        <v>3238</v>
      </c>
      <c r="B1211" s="526" t="s">
        <v>3237</v>
      </c>
      <c r="C1211" s="527">
        <v>0.0</v>
      </c>
      <c r="D1211" s="527">
        <v>0.0</v>
      </c>
      <c r="F1211" s="36" t="s">
        <v>7798</v>
      </c>
      <c r="G1211" s="125" t="s">
        <v>893</v>
      </c>
      <c r="H1211" s="125" t="s">
        <v>7799</v>
      </c>
      <c r="I1211" t="s">
        <v>53</v>
      </c>
    </row>
    <row r="1212">
      <c r="A1212" s="125" t="s">
        <v>456</v>
      </c>
      <c r="B1212" s="526" t="s">
        <v>457</v>
      </c>
      <c r="C1212" s="527">
        <v>279.0</v>
      </c>
      <c r="D1212" s="527">
        <v>1217.49</v>
      </c>
      <c r="E1212" s="528">
        <v>4.3638</v>
      </c>
      <c r="F1212" s="36" t="s">
        <v>7798</v>
      </c>
      <c r="G1212" s="125" t="s">
        <v>913</v>
      </c>
      <c r="H1212" s="125" t="s">
        <v>7809</v>
      </c>
      <c r="I1212" t="s">
        <v>438</v>
      </c>
    </row>
    <row r="1213">
      <c r="A1213" s="125" t="s">
        <v>460</v>
      </c>
      <c r="B1213" s="526" t="s">
        <v>461</v>
      </c>
      <c r="C1213" s="527">
        <v>323.0</v>
      </c>
      <c r="D1213" s="527">
        <v>1448.31</v>
      </c>
      <c r="E1213" s="528">
        <v>4.4839</v>
      </c>
      <c r="F1213" s="36" t="s">
        <v>7798</v>
      </c>
      <c r="G1213" s="125" t="s">
        <v>913</v>
      </c>
      <c r="H1213" s="125" t="s">
        <v>7809</v>
      </c>
      <c r="I1213" t="s">
        <v>438</v>
      </c>
    </row>
    <row r="1214">
      <c r="A1214" s="125" t="s">
        <v>476</v>
      </c>
      <c r="B1214" s="526" t="s">
        <v>477</v>
      </c>
      <c r="C1214" s="527">
        <v>370.0</v>
      </c>
      <c r="D1214" s="527">
        <v>2255.47</v>
      </c>
      <c r="E1214" s="528">
        <v>6.0959</v>
      </c>
      <c r="F1214" s="36" t="s">
        <v>7798</v>
      </c>
      <c r="G1214" s="125" t="s">
        <v>913</v>
      </c>
      <c r="H1214" s="125" t="s">
        <v>7809</v>
      </c>
      <c r="I1214" t="s">
        <v>53</v>
      </c>
    </row>
    <row r="1215">
      <c r="A1215" s="125" t="s">
        <v>3242</v>
      </c>
      <c r="B1215" s="526" t="s">
        <v>3241</v>
      </c>
      <c r="C1215" s="527">
        <v>0.0</v>
      </c>
      <c r="D1215" s="527">
        <v>0.0</v>
      </c>
      <c r="F1215" s="36" t="s">
        <v>7798</v>
      </c>
      <c r="G1215" s="125" t="s">
        <v>893</v>
      </c>
      <c r="H1215" s="125" t="s">
        <v>7799</v>
      </c>
      <c r="I1215" t="s">
        <v>53</v>
      </c>
    </row>
    <row r="1216">
      <c r="A1216" s="125" t="s">
        <v>478</v>
      </c>
      <c r="B1216" s="526" t="s">
        <v>479</v>
      </c>
      <c r="C1216" s="527">
        <v>800.0</v>
      </c>
      <c r="D1216" s="527">
        <v>5043.47</v>
      </c>
      <c r="E1216" s="528">
        <v>6.3043</v>
      </c>
      <c r="F1216" s="36" t="s">
        <v>7798</v>
      </c>
      <c r="G1216" s="125" t="s">
        <v>913</v>
      </c>
      <c r="H1216" s="125" t="s">
        <v>7809</v>
      </c>
      <c r="I1216" t="s">
        <v>53</v>
      </c>
    </row>
    <row r="1217">
      <c r="A1217" s="125" t="s">
        <v>3244</v>
      </c>
      <c r="B1217" s="526" t="s">
        <v>3243</v>
      </c>
      <c r="C1217" s="527">
        <v>0.0</v>
      </c>
      <c r="D1217" s="527">
        <v>0.0</v>
      </c>
      <c r="F1217" s="36" t="s">
        <v>7798</v>
      </c>
      <c r="G1217" s="125" t="s">
        <v>893</v>
      </c>
      <c r="H1217" s="125" t="s">
        <v>7799</v>
      </c>
      <c r="I1217" t="s">
        <v>53</v>
      </c>
    </row>
    <row r="1218">
      <c r="A1218" s="125" t="s">
        <v>481</v>
      </c>
      <c r="B1218" s="526" t="s">
        <v>482</v>
      </c>
      <c r="C1218" s="527">
        <v>948.0</v>
      </c>
      <c r="D1218" s="527">
        <v>5999.64</v>
      </c>
      <c r="E1218" s="528">
        <v>6.3287</v>
      </c>
      <c r="F1218" s="36" t="s">
        <v>7798</v>
      </c>
      <c r="G1218" s="125" t="s">
        <v>913</v>
      </c>
      <c r="H1218" s="125" t="s">
        <v>7809</v>
      </c>
      <c r="I1218" t="s">
        <v>53</v>
      </c>
    </row>
    <row r="1219">
      <c r="A1219" s="125" t="s">
        <v>3246</v>
      </c>
      <c r="B1219" s="526" t="s">
        <v>3245</v>
      </c>
      <c r="C1219" s="527">
        <v>0.0</v>
      </c>
      <c r="D1219" s="527">
        <v>0.0</v>
      </c>
      <c r="F1219" s="36" t="s">
        <v>7798</v>
      </c>
      <c r="G1219" s="125" t="s">
        <v>893</v>
      </c>
      <c r="H1219" s="125" t="s">
        <v>7799</v>
      </c>
      <c r="I1219" t="s">
        <v>53</v>
      </c>
    </row>
    <row r="1220">
      <c r="A1220" s="125" t="s">
        <v>454</v>
      </c>
      <c r="B1220" s="526" t="s">
        <v>455</v>
      </c>
      <c r="C1220" s="527">
        <v>171.0</v>
      </c>
      <c r="D1220" s="527">
        <v>734.9</v>
      </c>
      <c r="E1220" s="528">
        <v>4.2977</v>
      </c>
      <c r="F1220" s="36" t="s">
        <v>7798</v>
      </c>
      <c r="G1220" s="125" t="s">
        <v>913</v>
      </c>
      <c r="H1220" s="125" t="s">
        <v>7809</v>
      </c>
      <c r="I1220" t="s">
        <v>438</v>
      </c>
    </row>
    <row r="1221">
      <c r="A1221" s="125" t="s">
        <v>458</v>
      </c>
      <c r="B1221" s="526" t="s">
        <v>459</v>
      </c>
      <c r="C1221" s="527">
        <v>289.0</v>
      </c>
      <c r="D1221" s="527">
        <v>1242.17</v>
      </c>
      <c r="E1221" s="528">
        <v>4.2982</v>
      </c>
      <c r="F1221" s="36" t="s">
        <v>7798</v>
      </c>
      <c r="G1221" s="125" t="s">
        <v>913</v>
      </c>
      <c r="H1221" s="125" t="s">
        <v>7809</v>
      </c>
      <c r="I1221" t="s">
        <v>438</v>
      </c>
    </row>
    <row r="1222">
      <c r="A1222" s="125" t="s">
        <v>3252</v>
      </c>
      <c r="B1222" s="526" t="s">
        <v>3251</v>
      </c>
      <c r="C1222" s="527">
        <v>0.0</v>
      </c>
      <c r="D1222" s="527">
        <v>0.0</v>
      </c>
      <c r="F1222" s="36" t="s">
        <v>7798</v>
      </c>
      <c r="G1222" s="125" t="s">
        <v>893</v>
      </c>
      <c r="H1222" s="125" t="s">
        <v>7799</v>
      </c>
    </row>
    <row r="1223">
      <c r="A1223" s="125" t="s">
        <v>3256</v>
      </c>
      <c r="B1223" s="526" t="s">
        <v>3255</v>
      </c>
      <c r="C1223" s="527">
        <v>0.0</v>
      </c>
      <c r="D1223" s="527">
        <v>0.0</v>
      </c>
      <c r="F1223" s="36" t="s">
        <v>7798</v>
      </c>
      <c r="G1223" s="125" t="s">
        <v>893</v>
      </c>
      <c r="H1223" s="125" t="s">
        <v>7799</v>
      </c>
      <c r="I1223" t="s">
        <v>7879</v>
      </c>
    </row>
    <row r="1224">
      <c r="A1224" s="125" t="s">
        <v>3262</v>
      </c>
      <c r="B1224" s="526" t="s">
        <v>3261</v>
      </c>
      <c r="C1224" s="527">
        <v>856.0</v>
      </c>
      <c r="D1224" s="527">
        <v>358.2</v>
      </c>
      <c r="E1224" s="528">
        <v>0.4185</v>
      </c>
      <c r="F1224" s="36" t="s">
        <v>7827</v>
      </c>
      <c r="G1224" s="125" t="s">
        <v>913</v>
      </c>
      <c r="H1224" s="125" t="s">
        <v>7840</v>
      </c>
    </row>
    <row r="1225">
      <c r="A1225" s="125" t="s">
        <v>3265</v>
      </c>
      <c r="B1225" s="526" t="s">
        <v>3264</v>
      </c>
      <c r="C1225" s="527">
        <v>0.0</v>
      </c>
      <c r="D1225" s="527">
        <v>0.0</v>
      </c>
      <c r="F1225" s="36" t="s">
        <v>7798</v>
      </c>
      <c r="G1225" s="125" t="s">
        <v>893</v>
      </c>
      <c r="H1225" s="125" t="s">
        <v>7799</v>
      </c>
      <c r="I1225" t="s">
        <v>45</v>
      </c>
    </row>
    <row r="1226">
      <c r="A1226" s="125" t="s">
        <v>3267</v>
      </c>
      <c r="B1226" s="526" t="s">
        <v>3266</v>
      </c>
      <c r="C1226" s="527">
        <v>0.0</v>
      </c>
      <c r="D1226" s="527">
        <v>0.0</v>
      </c>
      <c r="F1226" s="36" t="s">
        <v>7798</v>
      </c>
      <c r="G1226" s="125" t="s">
        <v>893</v>
      </c>
      <c r="H1226" s="125" t="s">
        <v>7799</v>
      </c>
      <c r="I1226" t="s">
        <v>45</v>
      </c>
    </row>
    <row r="1227">
      <c r="A1227" s="125" t="s">
        <v>3268</v>
      </c>
      <c r="B1227" s="526">
        <v>37406.0</v>
      </c>
      <c r="C1227" s="527">
        <v>0.0</v>
      </c>
      <c r="D1227" s="527">
        <v>0.0</v>
      </c>
      <c r="F1227" s="36" t="s">
        <v>7798</v>
      </c>
      <c r="G1227" s="125" t="s">
        <v>893</v>
      </c>
      <c r="H1227" s="125" t="s">
        <v>7799</v>
      </c>
      <c r="I1227" t="s">
        <v>7806</v>
      </c>
    </row>
    <row r="1228">
      <c r="A1228" s="125" t="s">
        <v>3269</v>
      </c>
      <c r="B1228" s="526">
        <v>37404.0</v>
      </c>
      <c r="C1228" s="527">
        <v>0.0</v>
      </c>
      <c r="D1228" s="527">
        <v>0.0</v>
      </c>
      <c r="F1228" s="36" t="s">
        <v>7798</v>
      </c>
      <c r="G1228" s="125" t="s">
        <v>893</v>
      </c>
      <c r="H1228" s="125" t="s">
        <v>7799</v>
      </c>
      <c r="I1228" t="s">
        <v>7806</v>
      </c>
    </row>
    <row r="1229">
      <c r="A1229" s="125" t="s">
        <v>3270</v>
      </c>
      <c r="B1229" s="526">
        <v>37403.0</v>
      </c>
      <c r="C1229" s="527">
        <v>0.0</v>
      </c>
      <c r="D1229" s="527">
        <v>0.0</v>
      </c>
      <c r="F1229" s="36" t="s">
        <v>7798</v>
      </c>
      <c r="G1229" s="125" t="s">
        <v>893</v>
      </c>
      <c r="H1229" s="125" t="s">
        <v>7799</v>
      </c>
      <c r="I1229" t="s">
        <v>7806</v>
      </c>
    </row>
    <row r="1230">
      <c r="A1230" s="125" t="s">
        <v>3271</v>
      </c>
      <c r="B1230" s="526">
        <v>37401.0</v>
      </c>
      <c r="C1230" s="527">
        <v>0.0</v>
      </c>
      <c r="D1230" s="527">
        <v>0.0</v>
      </c>
      <c r="F1230" s="36" t="s">
        <v>7798</v>
      </c>
      <c r="G1230" s="125" t="s">
        <v>893</v>
      </c>
      <c r="H1230" s="125" t="s">
        <v>7799</v>
      </c>
      <c r="I1230" t="s">
        <v>7806</v>
      </c>
    </row>
    <row r="1231">
      <c r="A1231" s="125" t="s">
        <v>3272</v>
      </c>
      <c r="B1231" s="526">
        <v>37402.0</v>
      </c>
      <c r="C1231" s="527">
        <v>0.0</v>
      </c>
      <c r="D1231" s="527">
        <v>0.0</v>
      </c>
      <c r="F1231" s="36" t="s">
        <v>7798</v>
      </c>
      <c r="G1231" s="125" t="s">
        <v>893</v>
      </c>
      <c r="H1231" s="125" t="s">
        <v>7799</v>
      </c>
      <c r="I1231" t="s">
        <v>7806</v>
      </c>
    </row>
    <row r="1232">
      <c r="A1232" s="125" t="s">
        <v>3273</v>
      </c>
      <c r="B1232" s="526">
        <v>37405.0</v>
      </c>
      <c r="C1232" s="527">
        <v>0.0</v>
      </c>
      <c r="D1232" s="527">
        <v>0.0</v>
      </c>
      <c r="F1232" s="36" t="s">
        <v>7798</v>
      </c>
      <c r="G1232" s="125" t="s">
        <v>893</v>
      </c>
      <c r="H1232" s="125" t="s">
        <v>7799</v>
      </c>
      <c r="I1232" t="s">
        <v>7806</v>
      </c>
    </row>
    <row r="1233">
      <c r="A1233" s="125" t="s">
        <v>3277</v>
      </c>
      <c r="B1233" s="526" t="s">
        <v>3276</v>
      </c>
      <c r="C1233" s="527">
        <v>0.0</v>
      </c>
      <c r="D1233" s="527">
        <v>0.0</v>
      </c>
      <c r="F1233" s="36" t="s">
        <v>7798</v>
      </c>
      <c r="G1233" s="125" t="s">
        <v>893</v>
      </c>
      <c r="H1233" s="125" t="s">
        <v>7799</v>
      </c>
      <c r="I1233" t="s">
        <v>7860</v>
      </c>
    </row>
    <row r="1234">
      <c r="A1234" s="125" t="s">
        <v>3279</v>
      </c>
      <c r="B1234" s="526" t="s">
        <v>3278</v>
      </c>
      <c r="C1234" s="527">
        <v>1.0</v>
      </c>
      <c r="D1234" s="527">
        <v>8.67</v>
      </c>
      <c r="E1234" s="528">
        <v>8.67</v>
      </c>
      <c r="F1234" s="36" t="s">
        <v>7798</v>
      </c>
      <c r="G1234" s="125" t="s">
        <v>913</v>
      </c>
      <c r="I1234" t="s">
        <v>45</v>
      </c>
    </row>
    <row r="1235">
      <c r="A1235" s="125" t="s">
        <v>3283</v>
      </c>
      <c r="B1235" s="526" t="s">
        <v>3282</v>
      </c>
      <c r="C1235" s="527">
        <v>30.0</v>
      </c>
      <c r="D1235" s="527">
        <v>388.16</v>
      </c>
      <c r="E1235" s="528">
        <v>12.9387</v>
      </c>
      <c r="F1235" s="36" t="s">
        <v>7827</v>
      </c>
      <c r="G1235" s="125" t="s">
        <v>913</v>
      </c>
      <c r="H1235" s="125" t="s">
        <v>7829</v>
      </c>
    </row>
    <row r="1236">
      <c r="A1236" s="125" t="s">
        <v>3285</v>
      </c>
      <c r="B1236" s="526" t="s">
        <v>3284</v>
      </c>
      <c r="C1236" s="527">
        <v>20.0</v>
      </c>
      <c r="D1236" s="527">
        <v>1293.87</v>
      </c>
      <c r="E1236" s="528">
        <v>64.6935</v>
      </c>
      <c r="F1236" s="36" t="s">
        <v>7827</v>
      </c>
      <c r="G1236" s="125" t="s">
        <v>913</v>
      </c>
      <c r="H1236" s="125" t="s">
        <v>7829</v>
      </c>
    </row>
    <row r="1237">
      <c r="A1237" s="125" t="s">
        <v>3287</v>
      </c>
      <c r="B1237" s="526" t="s">
        <v>3286</v>
      </c>
      <c r="C1237" s="527">
        <v>5.0</v>
      </c>
      <c r="D1237" s="527">
        <v>129.38</v>
      </c>
      <c r="E1237" s="528">
        <v>25.876</v>
      </c>
      <c r="F1237" s="36" t="s">
        <v>7827</v>
      </c>
      <c r="G1237" s="125" t="s">
        <v>913</v>
      </c>
      <c r="H1237" s="125" t="s">
        <v>7829</v>
      </c>
    </row>
    <row r="1238">
      <c r="A1238" s="125" t="s">
        <v>3289</v>
      </c>
      <c r="B1238" s="526" t="s">
        <v>3288</v>
      </c>
      <c r="C1238" s="527">
        <v>5.0</v>
      </c>
      <c r="D1238" s="527">
        <v>129.38</v>
      </c>
      <c r="E1238" s="528">
        <v>25.876</v>
      </c>
      <c r="F1238" s="36" t="s">
        <v>7827</v>
      </c>
      <c r="G1238" s="125" t="s">
        <v>913</v>
      </c>
      <c r="H1238" s="125" t="s">
        <v>7829</v>
      </c>
    </row>
    <row r="1239">
      <c r="A1239" s="125" t="s">
        <v>3291</v>
      </c>
      <c r="B1239" s="526" t="s">
        <v>3290</v>
      </c>
      <c r="C1239" s="527">
        <v>5.0</v>
      </c>
      <c r="D1239" s="527">
        <v>129.38</v>
      </c>
      <c r="E1239" s="528">
        <v>25.876</v>
      </c>
      <c r="F1239" s="36" t="s">
        <v>7827</v>
      </c>
      <c r="G1239" s="125" t="s">
        <v>913</v>
      </c>
      <c r="H1239" s="125" t="s">
        <v>7829</v>
      </c>
    </row>
    <row r="1240">
      <c r="A1240" s="125" t="s">
        <v>3293</v>
      </c>
      <c r="B1240" s="526" t="s">
        <v>3292</v>
      </c>
      <c r="C1240" s="527">
        <v>20.0</v>
      </c>
      <c r="D1240" s="527">
        <v>517.53</v>
      </c>
      <c r="E1240" s="528">
        <v>25.8765</v>
      </c>
      <c r="F1240" s="36" t="s">
        <v>7827</v>
      </c>
      <c r="G1240" s="125" t="s">
        <v>913</v>
      </c>
      <c r="H1240" s="125" t="s">
        <v>7829</v>
      </c>
    </row>
    <row r="1241">
      <c r="A1241" s="125" t="s">
        <v>3295</v>
      </c>
      <c r="B1241" s="526" t="s">
        <v>3294</v>
      </c>
      <c r="C1241" s="527">
        <v>5.0</v>
      </c>
      <c r="D1241" s="527">
        <v>129.38</v>
      </c>
      <c r="E1241" s="528">
        <v>25.876</v>
      </c>
      <c r="F1241" s="36" t="s">
        <v>7827</v>
      </c>
      <c r="G1241" s="125" t="s">
        <v>913</v>
      </c>
      <c r="H1241" s="125" t="s">
        <v>7829</v>
      </c>
    </row>
    <row r="1242">
      <c r="A1242" s="125" t="s">
        <v>3299</v>
      </c>
      <c r="B1242" s="526" t="s">
        <v>3298</v>
      </c>
      <c r="C1242" s="527">
        <v>0.0</v>
      </c>
      <c r="D1242" s="527">
        <v>0.0</v>
      </c>
      <c r="F1242" s="36" t="s">
        <v>7798</v>
      </c>
      <c r="G1242" s="125" t="s">
        <v>893</v>
      </c>
      <c r="H1242" s="125" t="s">
        <v>7799</v>
      </c>
      <c r="I1242" t="s">
        <v>7880</v>
      </c>
    </row>
    <row r="1243">
      <c r="A1243" s="125" t="s">
        <v>3303</v>
      </c>
      <c r="B1243" s="526" t="s">
        <v>3302</v>
      </c>
      <c r="C1243" s="527">
        <v>0.0</v>
      </c>
      <c r="D1243" s="527">
        <v>0.0</v>
      </c>
      <c r="F1243" s="36" t="s">
        <v>7798</v>
      </c>
      <c r="G1243" s="125" t="s">
        <v>893</v>
      </c>
      <c r="H1243" s="125" t="s">
        <v>7801</v>
      </c>
      <c r="I1243" t="s">
        <v>7880</v>
      </c>
    </row>
    <row r="1244">
      <c r="A1244" s="125" t="s">
        <v>3305</v>
      </c>
      <c r="B1244" s="526" t="s">
        <v>3304</v>
      </c>
      <c r="C1244" s="527">
        <v>0.0</v>
      </c>
      <c r="D1244" s="527">
        <v>0.0</v>
      </c>
      <c r="F1244" s="36" t="s">
        <v>7798</v>
      </c>
      <c r="G1244" s="125" t="s">
        <v>893</v>
      </c>
      <c r="H1244" s="125" t="s">
        <v>7801</v>
      </c>
      <c r="I1244" t="s">
        <v>7873</v>
      </c>
    </row>
    <row r="1245">
      <c r="A1245" s="125" t="s">
        <v>3307</v>
      </c>
      <c r="B1245" s="526" t="s">
        <v>3306</v>
      </c>
      <c r="C1245" s="527">
        <v>0.0</v>
      </c>
      <c r="D1245" s="527">
        <v>0.0</v>
      </c>
      <c r="F1245" s="36" t="s">
        <v>7798</v>
      </c>
      <c r="G1245" s="125" t="s">
        <v>893</v>
      </c>
      <c r="H1245" s="125" t="s">
        <v>7801</v>
      </c>
      <c r="I1245" t="s">
        <v>7873</v>
      </c>
    </row>
    <row r="1246">
      <c r="A1246" s="125" t="s">
        <v>3309</v>
      </c>
      <c r="B1246" s="526" t="s">
        <v>3308</v>
      </c>
      <c r="C1246" s="527">
        <v>0.0</v>
      </c>
      <c r="D1246" s="527">
        <v>0.0</v>
      </c>
      <c r="F1246" s="36" t="s">
        <v>7798</v>
      </c>
      <c r="G1246" s="125" t="s">
        <v>893</v>
      </c>
      <c r="H1246" s="125" t="s">
        <v>7801</v>
      </c>
      <c r="I1246" t="s">
        <v>7873</v>
      </c>
    </row>
    <row r="1247">
      <c r="A1247" s="125" t="s">
        <v>3311</v>
      </c>
      <c r="B1247" s="526" t="s">
        <v>3310</v>
      </c>
      <c r="C1247" s="527">
        <v>0.0</v>
      </c>
      <c r="D1247" s="527">
        <v>0.0</v>
      </c>
      <c r="F1247" s="36" t="s">
        <v>7798</v>
      </c>
      <c r="G1247" s="125" t="s">
        <v>893</v>
      </c>
      <c r="H1247" s="125" t="s">
        <v>7801</v>
      </c>
      <c r="I1247" t="s">
        <v>7873</v>
      </c>
    </row>
    <row r="1248">
      <c r="A1248" s="125" t="s">
        <v>3313</v>
      </c>
      <c r="B1248" s="526" t="s">
        <v>3312</v>
      </c>
      <c r="C1248" s="527">
        <v>0.0</v>
      </c>
      <c r="D1248" s="527">
        <v>0.0</v>
      </c>
      <c r="F1248" s="36" t="s">
        <v>7798</v>
      </c>
      <c r="G1248" s="125" t="s">
        <v>893</v>
      </c>
      <c r="H1248" s="125" t="s">
        <v>7801</v>
      </c>
      <c r="I1248" t="s">
        <v>7873</v>
      </c>
    </row>
    <row r="1249">
      <c r="A1249" s="125" t="s">
        <v>3315</v>
      </c>
      <c r="B1249" s="526" t="s">
        <v>3314</v>
      </c>
      <c r="C1249" s="527">
        <v>0.0</v>
      </c>
      <c r="D1249" s="527">
        <v>0.0</v>
      </c>
      <c r="F1249" s="36" t="s">
        <v>7798</v>
      </c>
      <c r="G1249" s="125" t="s">
        <v>893</v>
      </c>
      <c r="H1249" s="125" t="s">
        <v>7801</v>
      </c>
      <c r="I1249" t="s">
        <v>7880</v>
      </c>
    </row>
    <row r="1250">
      <c r="A1250" s="125" t="s">
        <v>3317</v>
      </c>
      <c r="B1250" s="526" t="s">
        <v>3316</v>
      </c>
      <c r="C1250" s="527">
        <v>0.0</v>
      </c>
      <c r="D1250" s="527">
        <v>0.0</v>
      </c>
      <c r="F1250" s="36" t="s">
        <v>7798</v>
      </c>
      <c r="G1250" s="125" t="s">
        <v>893</v>
      </c>
      <c r="H1250" s="125" t="s">
        <v>7801</v>
      </c>
      <c r="I1250" t="s">
        <v>7880</v>
      </c>
    </row>
    <row r="1251">
      <c r="A1251" s="125" t="s">
        <v>3319</v>
      </c>
      <c r="B1251" s="526" t="s">
        <v>3318</v>
      </c>
      <c r="C1251" s="527">
        <v>0.0</v>
      </c>
      <c r="D1251" s="527">
        <v>0.0</v>
      </c>
      <c r="F1251" s="36" t="s">
        <v>7798</v>
      </c>
      <c r="G1251" s="125" t="s">
        <v>893</v>
      </c>
      <c r="H1251" s="125" t="s">
        <v>7801</v>
      </c>
      <c r="I1251" t="s">
        <v>7873</v>
      </c>
    </row>
    <row r="1252">
      <c r="A1252" s="125" t="s">
        <v>3321</v>
      </c>
      <c r="B1252" s="526" t="s">
        <v>3320</v>
      </c>
      <c r="C1252" s="527">
        <v>0.0</v>
      </c>
      <c r="D1252" s="527">
        <v>0.0</v>
      </c>
      <c r="F1252" s="36" t="s">
        <v>7798</v>
      </c>
      <c r="G1252" s="125" t="s">
        <v>893</v>
      </c>
      <c r="H1252" s="125" t="s">
        <v>7801</v>
      </c>
      <c r="I1252" t="s">
        <v>7873</v>
      </c>
    </row>
    <row r="1253">
      <c r="A1253" s="125" t="s">
        <v>3323</v>
      </c>
      <c r="B1253" s="526" t="s">
        <v>3322</v>
      </c>
      <c r="C1253" s="527">
        <v>0.0</v>
      </c>
      <c r="D1253" s="527">
        <v>0.0</v>
      </c>
      <c r="F1253" s="36" t="s">
        <v>7798</v>
      </c>
      <c r="G1253" s="125" t="s">
        <v>893</v>
      </c>
      <c r="H1253" s="125" t="s">
        <v>7801</v>
      </c>
      <c r="I1253" t="s">
        <v>7873</v>
      </c>
    </row>
    <row r="1254">
      <c r="A1254" s="125" t="s">
        <v>3325</v>
      </c>
      <c r="B1254" s="526" t="s">
        <v>3324</v>
      </c>
      <c r="C1254" s="527">
        <v>0.0</v>
      </c>
      <c r="D1254" s="527">
        <v>0.0</v>
      </c>
      <c r="F1254" s="36" t="s">
        <v>7798</v>
      </c>
      <c r="G1254" s="125" t="s">
        <v>893</v>
      </c>
      <c r="H1254" s="125" t="s">
        <v>7801</v>
      </c>
      <c r="I1254" t="s">
        <v>7873</v>
      </c>
    </row>
    <row r="1255">
      <c r="A1255" s="125" t="s">
        <v>3327</v>
      </c>
      <c r="B1255" s="526" t="s">
        <v>3326</v>
      </c>
      <c r="C1255" s="527">
        <v>0.0</v>
      </c>
      <c r="D1255" s="527">
        <v>0.0</v>
      </c>
      <c r="F1255" s="36" t="s">
        <v>7798</v>
      </c>
      <c r="G1255" s="125" t="s">
        <v>893</v>
      </c>
      <c r="H1255" s="125" t="s">
        <v>7801</v>
      </c>
      <c r="I1255" t="s">
        <v>7873</v>
      </c>
    </row>
    <row r="1256">
      <c r="A1256" s="125" t="s">
        <v>3329</v>
      </c>
      <c r="B1256" s="526" t="s">
        <v>3328</v>
      </c>
      <c r="C1256" s="527">
        <v>9.0</v>
      </c>
      <c r="D1256" s="527">
        <v>0.01</v>
      </c>
      <c r="E1256" s="528">
        <v>0.0011</v>
      </c>
      <c r="F1256" s="36" t="s">
        <v>7798</v>
      </c>
      <c r="G1256" s="125" t="s">
        <v>913</v>
      </c>
      <c r="H1256" s="125" t="s">
        <v>7801</v>
      </c>
      <c r="I1256" t="s">
        <v>7873</v>
      </c>
    </row>
    <row r="1257">
      <c r="A1257" s="125" t="s">
        <v>3331</v>
      </c>
      <c r="B1257" s="526" t="s">
        <v>3330</v>
      </c>
      <c r="C1257" s="527">
        <v>23.0</v>
      </c>
      <c r="D1257" s="527">
        <v>0.01</v>
      </c>
      <c r="E1257" s="528">
        <v>4.0E-4</v>
      </c>
      <c r="F1257" s="36" t="s">
        <v>7798</v>
      </c>
      <c r="G1257" s="125" t="s">
        <v>913</v>
      </c>
      <c r="H1257" s="125" t="s">
        <v>7801</v>
      </c>
      <c r="I1257" t="s">
        <v>7873</v>
      </c>
    </row>
    <row r="1258">
      <c r="A1258" s="125" t="s">
        <v>3333</v>
      </c>
      <c r="B1258" s="526" t="s">
        <v>3332</v>
      </c>
      <c r="C1258" s="527">
        <v>0.0</v>
      </c>
      <c r="D1258" s="527">
        <v>0.0</v>
      </c>
      <c r="F1258" s="36" t="s">
        <v>7798</v>
      </c>
      <c r="G1258" s="125" t="s">
        <v>893</v>
      </c>
      <c r="H1258" s="125" t="s">
        <v>7801</v>
      </c>
      <c r="I1258" t="s">
        <v>7873</v>
      </c>
    </row>
    <row r="1259">
      <c r="A1259" s="125" t="s">
        <v>3335</v>
      </c>
      <c r="B1259" s="526" t="s">
        <v>3334</v>
      </c>
      <c r="C1259" s="527">
        <v>4.0</v>
      </c>
      <c r="D1259" s="527">
        <v>0.01</v>
      </c>
      <c r="E1259" s="528">
        <v>0.0025</v>
      </c>
      <c r="F1259" s="36" t="s">
        <v>7798</v>
      </c>
      <c r="G1259" s="125" t="s">
        <v>913</v>
      </c>
      <c r="H1259" s="125" t="s">
        <v>7801</v>
      </c>
      <c r="I1259" t="s">
        <v>7873</v>
      </c>
    </row>
    <row r="1260">
      <c r="A1260" s="125" t="s">
        <v>3337</v>
      </c>
      <c r="B1260" s="526" t="s">
        <v>3336</v>
      </c>
      <c r="C1260" s="527">
        <v>0.0</v>
      </c>
      <c r="D1260" s="527">
        <v>0.0</v>
      </c>
      <c r="F1260" s="36" t="s">
        <v>7798</v>
      </c>
      <c r="G1260" s="125" t="s">
        <v>893</v>
      </c>
      <c r="H1260" s="125" t="s">
        <v>7801</v>
      </c>
      <c r="I1260" t="s">
        <v>7873</v>
      </c>
    </row>
    <row r="1261">
      <c r="A1261" s="125" t="s">
        <v>3339</v>
      </c>
      <c r="B1261" s="526" t="s">
        <v>3338</v>
      </c>
      <c r="C1261" s="527">
        <v>2.0</v>
      </c>
      <c r="D1261" s="527">
        <v>0.01</v>
      </c>
      <c r="E1261" s="528">
        <v>0.005</v>
      </c>
      <c r="F1261" s="36" t="s">
        <v>7798</v>
      </c>
      <c r="G1261" s="125" t="s">
        <v>913</v>
      </c>
      <c r="H1261" s="125" t="s">
        <v>7801</v>
      </c>
      <c r="I1261" t="s">
        <v>7873</v>
      </c>
    </row>
    <row r="1262">
      <c r="A1262" s="125" t="s">
        <v>3341</v>
      </c>
      <c r="B1262" s="526" t="s">
        <v>3340</v>
      </c>
      <c r="C1262" s="527">
        <v>9.0</v>
      </c>
      <c r="D1262" s="527">
        <v>0.01</v>
      </c>
      <c r="E1262" s="528">
        <v>0.0011</v>
      </c>
      <c r="F1262" s="36" t="s">
        <v>7798</v>
      </c>
      <c r="G1262" s="125" t="s">
        <v>913</v>
      </c>
      <c r="H1262" s="125" t="s">
        <v>7801</v>
      </c>
      <c r="I1262" t="s">
        <v>7873</v>
      </c>
    </row>
    <row r="1263">
      <c r="A1263" s="125" t="s">
        <v>3343</v>
      </c>
      <c r="B1263" s="526" t="s">
        <v>3342</v>
      </c>
      <c r="C1263" s="527">
        <v>2.0</v>
      </c>
      <c r="D1263" s="527">
        <v>0.01</v>
      </c>
      <c r="E1263" s="528">
        <v>0.005</v>
      </c>
      <c r="F1263" s="36" t="s">
        <v>7798</v>
      </c>
      <c r="G1263" s="125" t="s">
        <v>913</v>
      </c>
      <c r="H1263" s="125" t="s">
        <v>7801</v>
      </c>
      <c r="I1263" t="s">
        <v>7873</v>
      </c>
    </row>
    <row r="1264">
      <c r="A1264" s="125" t="s">
        <v>3345</v>
      </c>
      <c r="B1264" s="526" t="s">
        <v>3344</v>
      </c>
      <c r="C1264" s="527">
        <v>7.0</v>
      </c>
      <c r="D1264" s="527">
        <v>0.01</v>
      </c>
      <c r="E1264" s="528">
        <v>0.0014</v>
      </c>
      <c r="F1264" s="36" t="s">
        <v>7798</v>
      </c>
      <c r="G1264" s="125" t="s">
        <v>913</v>
      </c>
      <c r="H1264" s="125" t="s">
        <v>7801</v>
      </c>
      <c r="I1264" t="s">
        <v>7873</v>
      </c>
    </row>
    <row r="1265">
      <c r="A1265" s="125" t="s">
        <v>3347</v>
      </c>
      <c r="B1265" s="526" t="s">
        <v>3346</v>
      </c>
      <c r="C1265" s="527">
        <v>1.0</v>
      </c>
      <c r="D1265" s="527">
        <v>0.01</v>
      </c>
      <c r="E1265" s="528">
        <v>0.01</v>
      </c>
      <c r="F1265" s="36" t="s">
        <v>7798</v>
      </c>
      <c r="G1265" s="125" t="s">
        <v>913</v>
      </c>
      <c r="H1265" s="125" t="s">
        <v>7801</v>
      </c>
      <c r="I1265" t="s">
        <v>7873</v>
      </c>
    </row>
    <row r="1266">
      <c r="A1266" s="125" t="s">
        <v>3349</v>
      </c>
      <c r="B1266" s="526" t="s">
        <v>3348</v>
      </c>
      <c r="C1266" s="527">
        <v>30.0</v>
      </c>
      <c r="D1266" s="527">
        <v>0.01</v>
      </c>
      <c r="E1266" s="528">
        <v>3.0E-4</v>
      </c>
      <c r="F1266" s="36" t="s">
        <v>7798</v>
      </c>
      <c r="G1266" s="125" t="s">
        <v>913</v>
      </c>
      <c r="H1266" s="125" t="s">
        <v>7801</v>
      </c>
      <c r="I1266" t="s">
        <v>7873</v>
      </c>
    </row>
    <row r="1267">
      <c r="A1267" s="125" t="s">
        <v>3351</v>
      </c>
      <c r="B1267" s="526" t="s">
        <v>3350</v>
      </c>
      <c r="C1267" s="527">
        <v>19.0</v>
      </c>
      <c r="D1267" s="527">
        <v>0.01</v>
      </c>
      <c r="E1267" s="528">
        <v>5.0E-4</v>
      </c>
      <c r="F1267" s="36" t="s">
        <v>7798</v>
      </c>
      <c r="G1267" s="125" t="s">
        <v>913</v>
      </c>
      <c r="H1267" s="125" t="s">
        <v>7801</v>
      </c>
      <c r="I1267" t="s">
        <v>7873</v>
      </c>
    </row>
    <row r="1268">
      <c r="A1268" s="125" t="s">
        <v>3353</v>
      </c>
      <c r="B1268" s="526" t="s">
        <v>3352</v>
      </c>
      <c r="C1268" s="527">
        <v>0.0</v>
      </c>
      <c r="D1268" s="527">
        <v>0.0</v>
      </c>
      <c r="F1268" s="36" t="s">
        <v>7798</v>
      </c>
      <c r="G1268" s="125" t="s">
        <v>893</v>
      </c>
      <c r="H1268" s="125" t="s">
        <v>7801</v>
      </c>
      <c r="I1268" t="s">
        <v>7873</v>
      </c>
    </row>
    <row r="1269">
      <c r="A1269" s="125" t="s">
        <v>3355</v>
      </c>
      <c r="B1269" s="526" t="s">
        <v>3354</v>
      </c>
      <c r="C1269" s="527">
        <v>5.0</v>
      </c>
      <c r="D1269" s="527">
        <v>0.01</v>
      </c>
      <c r="E1269" s="528">
        <v>0.002</v>
      </c>
      <c r="F1269" s="36" t="s">
        <v>7798</v>
      </c>
      <c r="G1269" s="125" t="s">
        <v>913</v>
      </c>
      <c r="H1269" s="125" t="s">
        <v>7801</v>
      </c>
      <c r="I1269" t="s">
        <v>7873</v>
      </c>
    </row>
    <row r="1270">
      <c r="A1270" s="125" t="s">
        <v>3357</v>
      </c>
      <c r="B1270" s="526" t="s">
        <v>3356</v>
      </c>
      <c r="C1270" s="527">
        <v>4.0</v>
      </c>
      <c r="D1270" s="527">
        <v>0.01</v>
      </c>
      <c r="E1270" s="528">
        <v>0.0025</v>
      </c>
      <c r="F1270" s="36" t="s">
        <v>7798</v>
      </c>
      <c r="G1270" s="125" t="s">
        <v>913</v>
      </c>
      <c r="H1270" s="125" t="s">
        <v>7801</v>
      </c>
      <c r="I1270" t="s">
        <v>7873</v>
      </c>
    </row>
    <row r="1271">
      <c r="A1271" s="125" t="s">
        <v>3359</v>
      </c>
      <c r="B1271" s="526" t="s">
        <v>3358</v>
      </c>
      <c r="C1271" s="527">
        <v>4.0</v>
      </c>
      <c r="D1271" s="527">
        <v>0.01</v>
      </c>
      <c r="E1271" s="528">
        <v>0.0025</v>
      </c>
      <c r="F1271" s="36" t="s">
        <v>7798</v>
      </c>
      <c r="G1271" s="125" t="s">
        <v>913</v>
      </c>
      <c r="H1271" s="125" t="s">
        <v>7801</v>
      </c>
      <c r="I1271" t="s">
        <v>7873</v>
      </c>
    </row>
    <row r="1272">
      <c r="A1272" s="125" t="s">
        <v>3361</v>
      </c>
      <c r="B1272" s="526" t="s">
        <v>3360</v>
      </c>
      <c r="C1272" s="527">
        <v>7.0</v>
      </c>
      <c r="D1272" s="527">
        <v>0.01</v>
      </c>
      <c r="E1272" s="528">
        <v>0.0014</v>
      </c>
      <c r="F1272" s="36" t="s">
        <v>7798</v>
      </c>
      <c r="G1272" s="125" t="s">
        <v>913</v>
      </c>
      <c r="H1272" s="125" t="s">
        <v>7801</v>
      </c>
      <c r="I1272" t="s">
        <v>7873</v>
      </c>
    </row>
    <row r="1273">
      <c r="A1273" s="125" t="s">
        <v>3363</v>
      </c>
      <c r="B1273" s="526" t="s">
        <v>3362</v>
      </c>
      <c r="C1273" s="527">
        <v>4.0</v>
      </c>
      <c r="D1273" s="527">
        <v>0.01</v>
      </c>
      <c r="E1273" s="528">
        <v>0.0025</v>
      </c>
      <c r="F1273" s="36" t="s">
        <v>7798</v>
      </c>
      <c r="G1273" s="125" t="s">
        <v>913</v>
      </c>
      <c r="H1273" s="125" t="s">
        <v>7801</v>
      </c>
      <c r="I1273" t="s">
        <v>7873</v>
      </c>
    </row>
    <row r="1274">
      <c r="A1274" s="125" t="s">
        <v>3365</v>
      </c>
      <c r="B1274" s="526" t="s">
        <v>3364</v>
      </c>
      <c r="C1274" s="527">
        <v>8.0</v>
      </c>
      <c r="D1274" s="527">
        <v>0.01</v>
      </c>
      <c r="E1274" s="528">
        <v>0.0013</v>
      </c>
      <c r="F1274" s="36" t="s">
        <v>7798</v>
      </c>
      <c r="G1274" s="125" t="s">
        <v>913</v>
      </c>
      <c r="H1274" s="125" t="s">
        <v>7801</v>
      </c>
      <c r="I1274" t="s">
        <v>7873</v>
      </c>
    </row>
    <row r="1275">
      <c r="A1275" s="125" t="s">
        <v>3367</v>
      </c>
      <c r="B1275" s="526" t="s">
        <v>3366</v>
      </c>
      <c r="C1275" s="527">
        <v>7.0</v>
      </c>
      <c r="D1275" s="527">
        <v>0.01</v>
      </c>
      <c r="E1275" s="528">
        <v>0.0014</v>
      </c>
      <c r="F1275" s="36" t="s">
        <v>7798</v>
      </c>
      <c r="G1275" s="125" t="s">
        <v>913</v>
      </c>
      <c r="H1275" s="125" t="s">
        <v>7801</v>
      </c>
      <c r="I1275" t="s">
        <v>7873</v>
      </c>
    </row>
    <row r="1276">
      <c r="A1276" s="125" t="s">
        <v>3369</v>
      </c>
      <c r="B1276" s="526" t="s">
        <v>3368</v>
      </c>
      <c r="C1276" s="527">
        <v>15.0</v>
      </c>
      <c r="D1276" s="527">
        <v>0.01</v>
      </c>
      <c r="E1276" s="528">
        <v>7.0E-4</v>
      </c>
      <c r="F1276" s="36" t="s">
        <v>7798</v>
      </c>
      <c r="G1276" s="125" t="s">
        <v>913</v>
      </c>
      <c r="H1276" s="125" t="s">
        <v>7801</v>
      </c>
      <c r="I1276" t="s">
        <v>7873</v>
      </c>
    </row>
    <row r="1277">
      <c r="A1277" s="125" t="s">
        <v>3371</v>
      </c>
      <c r="B1277" s="526" t="s">
        <v>3370</v>
      </c>
      <c r="C1277" s="527">
        <v>20.0</v>
      </c>
      <c r="D1277" s="527">
        <v>0.01</v>
      </c>
      <c r="E1277" s="528">
        <v>5.0E-4</v>
      </c>
      <c r="F1277" s="36" t="s">
        <v>7798</v>
      </c>
      <c r="G1277" s="125" t="s">
        <v>913</v>
      </c>
      <c r="H1277" s="125" t="s">
        <v>7801</v>
      </c>
      <c r="I1277" t="s">
        <v>7873</v>
      </c>
    </row>
    <row r="1278">
      <c r="A1278" s="125" t="s">
        <v>3373</v>
      </c>
      <c r="B1278" s="526" t="s">
        <v>3372</v>
      </c>
      <c r="C1278" s="527">
        <v>0.0</v>
      </c>
      <c r="D1278" s="527">
        <v>0.0</v>
      </c>
      <c r="F1278" s="36" t="s">
        <v>7798</v>
      </c>
      <c r="G1278" s="125" t="s">
        <v>893</v>
      </c>
      <c r="H1278" s="125" t="s">
        <v>7801</v>
      </c>
      <c r="I1278" t="s">
        <v>7873</v>
      </c>
    </row>
    <row r="1279">
      <c r="A1279" s="125" t="s">
        <v>3375</v>
      </c>
      <c r="B1279" s="526" t="s">
        <v>3374</v>
      </c>
      <c r="C1279" s="527">
        <v>1.0</v>
      </c>
      <c r="D1279" s="527">
        <v>0.01</v>
      </c>
      <c r="E1279" s="528">
        <v>0.01</v>
      </c>
      <c r="F1279" s="36" t="s">
        <v>7798</v>
      </c>
      <c r="G1279" s="125" t="s">
        <v>913</v>
      </c>
      <c r="H1279" s="125" t="s">
        <v>7801</v>
      </c>
      <c r="I1279" t="s">
        <v>7873</v>
      </c>
    </row>
    <row r="1280">
      <c r="A1280" s="125" t="s">
        <v>3377</v>
      </c>
      <c r="B1280" s="526" t="s">
        <v>3376</v>
      </c>
      <c r="C1280" s="527">
        <v>5.0</v>
      </c>
      <c r="D1280" s="527">
        <v>0.01</v>
      </c>
      <c r="E1280" s="528">
        <v>0.002</v>
      </c>
      <c r="F1280" s="36" t="s">
        <v>7798</v>
      </c>
      <c r="G1280" s="125" t="s">
        <v>913</v>
      </c>
      <c r="H1280" s="125" t="s">
        <v>7801</v>
      </c>
      <c r="I1280" t="s">
        <v>7873</v>
      </c>
    </row>
    <row r="1281">
      <c r="A1281" s="125" t="s">
        <v>3379</v>
      </c>
      <c r="B1281" s="526" t="s">
        <v>3378</v>
      </c>
      <c r="C1281" s="527">
        <v>3.0</v>
      </c>
      <c r="D1281" s="527">
        <v>0.01</v>
      </c>
      <c r="E1281" s="528">
        <v>0.0033</v>
      </c>
      <c r="F1281" s="36" t="s">
        <v>7798</v>
      </c>
      <c r="G1281" s="125" t="s">
        <v>913</v>
      </c>
      <c r="H1281" s="125" t="s">
        <v>7801</v>
      </c>
      <c r="I1281" t="s">
        <v>7873</v>
      </c>
    </row>
    <row r="1282">
      <c r="A1282" s="125" t="s">
        <v>3381</v>
      </c>
      <c r="B1282" s="526" t="s">
        <v>3380</v>
      </c>
      <c r="C1282" s="527">
        <v>0.0</v>
      </c>
      <c r="D1282" s="527">
        <v>0.0</v>
      </c>
      <c r="F1282" s="36" t="s">
        <v>7798</v>
      </c>
      <c r="G1282" s="125" t="s">
        <v>893</v>
      </c>
      <c r="H1282" s="125" t="s">
        <v>7801</v>
      </c>
      <c r="I1282" t="s">
        <v>7873</v>
      </c>
    </row>
    <row r="1283">
      <c r="A1283" s="125" t="s">
        <v>3383</v>
      </c>
      <c r="B1283" s="526" t="s">
        <v>3382</v>
      </c>
      <c r="C1283" s="527">
        <v>9.0</v>
      </c>
      <c r="D1283" s="527">
        <v>0.01</v>
      </c>
      <c r="E1283" s="528">
        <v>0.0011</v>
      </c>
      <c r="F1283" s="36" t="s">
        <v>7798</v>
      </c>
      <c r="G1283" s="125" t="s">
        <v>913</v>
      </c>
      <c r="H1283" s="125" t="s">
        <v>7801</v>
      </c>
      <c r="I1283" t="s">
        <v>7873</v>
      </c>
    </row>
    <row r="1284">
      <c r="A1284" s="125" t="s">
        <v>3385</v>
      </c>
      <c r="B1284" s="526" t="s">
        <v>3384</v>
      </c>
      <c r="C1284" s="527">
        <v>5.0</v>
      </c>
      <c r="D1284" s="527">
        <v>0.01</v>
      </c>
      <c r="E1284" s="528">
        <v>0.002</v>
      </c>
      <c r="F1284" s="36" t="s">
        <v>7798</v>
      </c>
      <c r="G1284" s="125" t="s">
        <v>913</v>
      </c>
      <c r="H1284" s="125" t="s">
        <v>7801</v>
      </c>
      <c r="I1284" t="s">
        <v>7873</v>
      </c>
    </row>
    <row r="1285">
      <c r="A1285" s="125" t="s">
        <v>3387</v>
      </c>
      <c r="B1285" s="526" t="s">
        <v>3386</v>
      </c>
      <c r="C1285" s="527">
        <v>6.0</v>
      </c>
      <c r="D1285" s="527">
        <v>0.01</v>
      </c>
      <c r="E1285" s="528">
        <v>0.0017</v>
      </c>
      <c r="F1285" s="36" t="s">
        <v>7798</v>
      </c>
      <c r="G1285" s="125" t="s">
        <v>913</v>
      </c>
      <c r="H1285" s="125" t="s">
        <v>7801</v>
      </c>
      <c r="I1285" t="s">
        <v>7873</v>
      </c>
    </row>
    <row r="1286">
      <c r="A1286" s="125" t="s">
        <v>3389</v>
      </c>
      <c r="B1286" s="526" t="s">
        <v>3388</v>
      </c>
      <c r="C1286" s="527">
        <v>49.0</v>
      </c>
      <c r="D1286" s="527">
        <v>0.01</v>
      </c>
      <c r="E1286" s="528">
        <v>2.0E-4</v>
      </c>
      <c r="F1286" s="36" t="s">
        <v>7798</v>
      </c>
      <c r="G1286" s="125" t="s">
        <v>913</v>
      </c>
      <c r="H1286" s="125" t="s">
        <v>7801</v>
      </c>
      <c r="I1286" t="s">
        <v>7873</v>
      </c>
    </row>
    <row r="1287">
      <c r="A1287" s="125" t="s">
        <v>3391</v>
      </c>
      <c r="B1287" s="526" t="s">
        <v>3390</v>
      </c>
      <c r="C1287" s="527">
        <v>13.0</v>
      </c>
      <c r="D1287" s="527">
        <v>0.01</v>
      </c>
      <c r="E1287" s="528">
        <v>8.0E-4</v>
      </c>
      <c r="F1287" s="36" t="s">
        <v>7798</v>
      </c>
      <c r="G1287" s="125" t="s">
        <v>913</v>
      </c>
      <c r="H1287" s="125" t="s">
        <v>7801</v>
      </c>
      <c r="I1287" t="s">
        <v>7873</v>
      </c>
    </row>
    <row r="1288">
      <c r="A1288" s="125" t="s">
        <v>3393</v>
      </c>
      <c r="B1288" s="526" t="s">
        <v>3392</v>
      </c>
      <c r="C1288" s="527">
        <v>0.0</v>
      </c>
      <c r="D1288" s="527">
        <v>0.0</v>
      </c>
      <c r="F1288" s="36" t="s">
        <v>7798</v>
      </c>
      <c r="G1288" s="125" t="s">
        <v>893</v>
      </c>
      <c r="H1288" s="125" t="s">
        <v>7801</v>
      </c>
      <c r="I1288" t="s">
        <v>7873</v>
      </c>
    </row>
    <row r="1289">
      <c r="A1289" s="125" t="s">
        <v>3395</v>
      </c>
      <c r="B1289" s="526" t="s">
        <v>3394</v>
      </c>
      <c r="C1289" s="527">
        <v>0.0</v>
      </c>
      <c r="D1289" s="527">
        <v>0.0</v>
      </c>
      <c r="F1289" s="36" t="s">
        <v>7798</v>
      </c>
      <c r="G1289" s="125" t="s">
        <v>913</v>
      </c>
      <c r="H1289" s="125" t="s">
        <v>7801</v>
      </c>
      <c r="I1289" t="s">
        <v>7873</v>
      </c>
    </row>
    <row r="1290">
      <c r="A1290" s="125" t="s">
        <v>3397</v>
      </c>
      <c r="B1290" s="526" t="s">
        <v>3396</v>
      </c>
      <c r="C1290" s="527">
        <v>3.0</v>
      </c>
      <c r="D1290" s="527">
        <v>0.01</v>
      </c>
      <c r="E1290" s="528">
        <v>0.0033</v>
      </c>
      <c r="F1290" s="36" t="s">
        <v>7798</v>
      </c>
      <c r="G1290" s="125" t="s">
        <v>913</v>
      </c>
      <c r="H1290" s="125" t="s">
        <v>7801</v>
      </c>
      <c r="I1290" t="s">
        <v>7873</v>
      </c>
    </row>
    <row r="1291">
      <c r="A1291" s="125" t="s">
        <v>3399</v>
      </c>
      <c r="B1291" s="526" t="s">
        <v>3398</v>
      </c>
      <c r="C1291" s="527">
        <v>7.0</v>
      </c>
      <c r="D1291" s="527">
        <v>0.01</v>
      </c>
      <c r="E1291" s="528">
        <v>0.0014</v>
      </c>
      <c r="F1291" s="36" t="s">
        <v>7798</v>
      </c>
      <c r="G1291" s="125" t="s">
        <v>913</v>
      </c>
      <c r="H1291" s="125" t="s">
        <v>7801</v>
      </c>
      <c r="I1291" t="s">
        <v>7873</v>
      </c>
    </row>
    <row r="1292">
      <c r="A1292" s="125" t="s">
        <v>3401</v>
      </c>
      <c r="B1292" s="526" t="s">
        <v>3400</v>
      </c>
      <c r="C1292" s="527">
        <v>5.0</v>
      </c>
      <c r="D1292" s="527">
        <v>0.01</v>
      </c>
      <c r="E1292" s="528">
        <v>0.002</v>
      </c>
      <c r="F1292" s="36" t="s">
        <v>7798</v>
      </c>
      <c r="G1292" s="125" t="s">
        <v>913</v>
      </c>
      <c r="H1292" s="125" t="s">
        <v>7801</v>
      </c>
      <c r="I1292" t="s">
        <v>7873</v>
      </c>
    </row>
    <row r="1293">
      <c r="A1293" s="125" t="s">
        <v>3403</v>
      </c>
      <c r="B1293" s="526" t="s">
        <v>3402</v>
      </c>
      <c r="C1293" s="527">
        <v>11.0</v>
      </c>
      <c r="D1293" s="527">
        <v>0.01</v>
      </c>
      <c r="E1293" s="528">
        <v>9.0E-4</v>
      </c>
      <c r="F1293" s="36" t="s">
        <v>7798</v>
      </c>
      <c r="G1293" s="125" t="s">
        <v>913</v>
      </c>
      <c r="H1293" s="125" t="s">
        <v>7801</v>
      </c>
      <c r="I1293" t="s">
        <v>7873</v>
      </c>
    </row>
    <row r="1294">
      <c r="A1294" s="125" t="s">
        <v>3405</v>
      </c>
      <c r="B1294" s="526" t="s">
        <v>3404</v>
      </c>
      <c r="C1294" s="527">
        <v>11.0</v>
      </c>
      <c r="D1294" s="527">
        <v>0.01</v>
      </c>
      <c r="E1294" s="528">
        <v>9.0E-4</v>
      </c>
      <c r="F1294" s="36" t="s">
        <v>7798</v>
      </c>
      <c r="G1294" s="125" t="s">
        <v>913</v>
      </c>
      <c r="H1294" s="125" t="s">
        <v>7801</v>
      </c>
      <c r="I1294" t="s">
        <v>7873</v>
      </c>
    </row>
    <row r="1295">
      <c r="A1295" s="125" t="s">
        <v>3407</v>
      </c>
      <c r="B1295" s="526" t="s">
        <v>3406</v>
      </c>
      <c r="C1295" s="527">
        <v>10.0</v>
      </c>
      <c r="D1295" s="527">
        <v>0.01</v>
      </c>
      <c r="E1295" s="528">
        <v>0.001</v>
      </c>
      <c r="F1295" s="36" t="s">
        <v>7798</v>
      </c>
      <c r="G1295" s="125" t="s">
        <v>913</v>
      </c>
      <c r="H1295" s="125" t="s">
        <v>7801</v>
      </c>
      <c r="I1295" t="s">
        <v>7873</v>
      </c>
    </row>
    <row r="1296">
      <c r="A1296" s="125" t="s">
        <v>3409</v>
      </c>
      <c r="B1296" s="526" t="s">
        <v>3408</v>
      </c>
      <c r="C1296" s="527">
        <v>20.0</v>
      </c>
      <c r="D1296" s="527">
        <v>0.01</v>
      </c>
      <c r="E1296" s="528">
        <v>5.0E-4</v>
      </c>
      <c r="F1296" s="36" t="s">
        <v>7798</v>
      </c>
      <c r="G1296" s="125" t="s">
        <v>913</v>
      </c>
      <c r="H1296" s="125" t="s">
        <v>7801</v>
      </c>
      <c r="I1296" t="s">
        <v>7873</v>
      </c>
    </row>
    <row r="1297">
      <c r="A1297" s="125" t="s">
        <v>3411</v>
      </c>
      <c r="B1297" s="526" t="s">
        <v>3410</v>
      </c>
      <c r="C1297" s="527">
        <v>12.0</v>
      </c>
      <c r="D1297" s="527">
        <v>0.01</v>
      </c>
      <c r="E1297" s="528">
        <v>8.0E-4</v>
      </c>
      <c r="F1297" s="36" t="s">
        <v>7798</v>
      </c>
      <c r="G1297" s="125" t="s">
        <v>913</v>
      </c>
      <c r="H1297" s="125" t="s">
        <v>7801</v>
      </c>
      <c r="I1297" t="s">
        <v>7873</v>
      </c>
    </row>
    <row r="1298">
      <c r="A1298" s="125" t="s">
        <v>3413</v>
      </c>
      <c r="B1298" s="526" t="s">
        <v>3412</v>
      </c>
      <c r="C1298" s="527">
        <v>0.0</v>
      </c>
      <c r="D1298" s="527">
        <v>0.0</v>
      </c>
      <c r="F1298" s="36" t="s">
        <v>7798</v>
      </c>
      <c r="G1298" s="125" t="s">
        <v>893</v>
      </c>
      <c r="H1298" s="125" t="s">
        <v>7801</v>
      </c>
      <c r="I1298" t="s">
        <v>7873</v>
      </c>
    </row>
    <row r="1299">
      <c r="A1299" s="125" t="s">
        <v>3415</v>
      </c>
      <c r="B1299" s="526" t="s">
        <v>3414</v>
      </c>
      <c r="C1299" s="527">
        <v>7.0</v>
      </c>
      <c r="D1299" s="527">
        <v>0.01</v>
      </c>
      <c r="E1299" s="528">
        <v>0.0014</v>
      </c>
      <c r="F1299" s="36" t="s">
        <v>7798</v>
      </c>
      <c r="G1299" s="125" t="s">
        <v>913</v>
      </c>
      <c r="H1299" s="125" t="s">
        <v>7801</v>
      </c>
      <c r="I1299" t="s">
        <v>7873</v>
      </c>
    </row>
    <row r="1300">
      <c r="A1300" s="125" t="s">
        <v>3417</v>
      </c>
      <c r="B1300" s="526" t="s">
        <v>3416</v>
      </c>
      <c r="C1300" s="527">
        <v>3.0</v>
      </c>
      <c r="D1300" s="527">
        <v>0.01</v>
      </c>
      <c r="E1300" s="528">
        <v>0.0033</v>
      </c>
      <c r="F1300" s="36" t="s">
        <v>7798</v>
      </c>
      <c r="G1300" s="125" t="s">
        <v>913</v>
      </c>
      <c r="H1300" s="125" t="s">
        <v>7801</v>
      </c>
      <c r="I1300" t="s">
        <v>7873</v>
      </c>
    </row>
    <row r="1301">
      <c r="A1301" s="125" t="s">
        <v>3419</v>
      </c>
      <c r="B1301" s="526" t="s">
        <v>3418</v>
      </c>
      <c r="C1301" s="527">
        <v>5.0</v>
      </c>
      <c r="D1301" s="527">
        <v>0.01</v>
      </c>
      <c r="E1301" s="528">
        <v>0.002</v>
      </c>
      <c r="F1301" s="36" t="s">
        <v>7798</v>
      </c>
      <c r="G1301" s="125" t="s">
        <v>913</v>
      </c>
      <c r="H1301" s="125" t="s">
        <v>7801</v>
      </c>
      <c r="I1301" t="s">
        <v>7873</v>
      </c>
    </row>
    <row r="1302">
      <c r="A1302" s="125" t="s">
        <v>3421</v>
      </c>
      <c r="B1302" s="526" t="s">
        <v>3420</v>
      </c>
      <c r="C1302" s="527">
        <v>3.0</v>
      </c>
      <c r="D1302" s="527">
        <v>0.01</v>
      </c>
      <c r="E1302" s="528">
        <v>0.0033</v>
      </c>
      <c r="F1302" s="36" t="s">
        <v>7798</v>
      </c>
      <c r="G1302" s="125" t="s">
        <v>913</v>
      </c>
      <c r="H1302" s="125" t="s">
        <v>7801</v>
      </c>
      <c r="I1302" t="s">
        <v>7873</v>
      </c>
    </row>
    <row r="1303">
      <c r="A1303" s="125" t="s">
        <v>3423</v>
      </c>
      <c r="B1303" s="526" t="s">
        <v>3422</v>
      </c>
      <c r="C1303" s="527">
        <v>3.0</v>
      </c>
      <c r="D1303" s="527">
        <v>0.01</v>
      </c>
      <c r="E1303" s="528">
        <v>0.0033</v>
      </c>
      <c r="F1303" s="36" t="s">
        <v>7798</v>
      </c>
      <c r="G1303" s="125" t="s">
        <v>913</v>
      </c>
      <c r="H1303" s="125" t="s">
        <v>7801</v>
      </c>
      <c r="I1303" t="s">
        <v>7873</v>
      </c>
    </row>
    <row r="1304">
      <c r="A1304" s="125" t="s">
        <v>3425</v>
      </c>
      <c r="B1304" s="526" t="s">
        <v>3424</v>
      </c>
      <c r="C1304" s="527">
        <v>0.0</v>
      </c>
      <c r="D1304" s="527">
        <v>0.0</v>
      </c>
      <c r="F1304" s="36" t="s">
        <v>7798</v>
      </c>
      <c r="G1304" s="125" t="s">
        <v>893</v>
      </c>
      <c r="H1304" s="125" t="s">
        <v>7801</v>
      </c>
      <c r="I1304" t="s">
        <v>7873</v>
      </c>
    </row>
    <row r="1305">
      <c r="A1305" s="125" t="s">
        <v>3427</v>
      </c>
      <c r="B1305" s="526" t="s">
        <v>3426</v>
      </c>
      <c r="C1305" s="527">
        <v>5.0</v>
      </c>
      <c r="D1305" s="527">
        <v>0.01</v>
      </c>
      <c r="E1305" s="528">
        <v>0.002</v>
      </c>
      <c r="F1305" s="36" t="s">
        <v>7798</v>
      </c>
      <c r="G1305" s="125" t="s">
        <v>913</v>
      </c>
      <c r="H1305" s="125" t="s">
        <v>7801</v>
      </c>
      <c r="I1305" t="s">
        <v>7873</v>
      </c>
    </row>
    <row r="1306">
      <c r="A1306" s="125" t="s">
        <v>3429</v>
      </c>
      <c r="B1306" s="526" t="s">
        <v>3428</v>
      </c>
      <c r="C1306" s="527">
        <v>19.0</v>
      </c>
      <c r="D1306" s="527">
        <v>0.01</v>
      </c>
      <c r="E1306" s="528">
        <v>5.0E-4</v>
      </c>
      <c r="F1306" s="36" t="s">
        <v>7798</v>
      </c>
      <c r="G1306" s="125" t="s">
        <v>913</v>
      </c>
      <c r="H1306" s="125" t="s">
        <v>7801</v>
      </c>
      <c r="I1306" t="s">
        <v>7873</v>
      </c>
    </row>
    <row r="1307">
      <c r="A1307" s="125" t="s">
        <v>3431</v>
      </c>
      <c r="B1307" s="526" t="s">
        <v>3430</v>
      </c>
      <c r="C1307" s="527">
        <v>23.0</v>
      </c>
      <c r="D1307" s="527">
        <v>0.01</v>
      </c>
      <c r="E1307" s="528">
        <v>4.0E-4</v>
      </c>
      <c r="F1307" s="36" t="s">
        <v>7798</v>
      </c>
      <c r="G1307" s="125" t="s">
        <v>913</v>
      </c>
      <c r="H1307" s="125" t="s">
        <v>7801</v>
      </c>
      <c r="I1307" t="s">
        <v>7873</v>
      </c>
    </row>
    <row r="1308">
      <c r="A1308" s="125" t="s">
        <v>3433</v>
      </c>
      <c r="B1308" s="526" t="s">
        <v>3432</v>
      </c>
      <c r="C1308" s="527">
        <v>0.0</v>
      </c>
      <c r="D1308" s="527">
        <v>0.0</v>
      </c>
      <c r="F1308" s="36" t="s">
        <v>7798</v>
      </c>
      <c r="G1308" s="125" t="s">
        <v>893</v>
      </c>
      <c r="H1308" s="125" t="s">
        <v>7801</v>
      </c>
      <c r="I1308" t="s">
        <v>7873</v>
      </c>
    </row>
    <row r="1309">
      <c r="A1309" s="125" t="s">
        <v>3435</v>
      </c>
      <c r="B1309" s="526" t="s">
        <v>3434</v>
      </c>
      <c r="C1309" s="527">
        <v>0.0</v>
      </c>
      <c r="D1309" s="527">
        <v>0.0</v>
      </c>
      <c r="F1309" s="36" t="s">
        <v>7798</v>
      </c>
      <c r="G1309" s="125" t="s">
        <v>893</v>
      </c>
      <c r="H1309" s="125" t="s">
        <v>7799</v>
      </c>
      <c r="I1309" t="s">
        <v>7880</v>
      </c>
    </row>
    <row r="1310">
      <c r="A1310" s="125" t="s">
        <v>3437</v>
      </c>
      <c r="B1310" s="526" t="s">
        <v>3436</v>
      </c>
      <c r="C1310" s="527">
        <v>0.0</v>
      </c>
      <c r="D1310" s="527">
        <v>0.0</v>
      </c>
      <c r="F1310" s="36" t="s">
        <v>7798</v>
      </c>
      <c r="G1310" s="125" t="s">
        <v>893</v>
      </c>
      <c r="H1310" s="125" t="s">
        <v>7799</v>
      </c>
      <c r="I1310" t="s">
        <v>7880</v>
      </c>
    </row>
    <row r="1311">
      <c r="A1311" s="125" t="s">
        <v>3439</v>
      </c>
      <c r="B1311" s="526" t="s">
        <v>3438</v>
      </c>
      <c r="C1311" s="527">
        <v>0.0</v>
      </c>
      <c r="D1311" s="527">
        <v>0.0</v>
      </c>
      <c r="F1311" s="36" t="s">
        <v>7798</v>
      </c>
      <c r="G1311" s="125" t="s">
        <v>893</v>
      </c>
      <c r="H1311" s="125" t="s">
        <v>7799</v>
      </c>
      <c r="I1311" t="s">
        <v>7880</v>
      </c>
    </row>
    <row r="1312">
      <c r="A1312" s="125" t="s">
        <v>3441</v>
      </c>
      <c r="B1312" s="526" t="s">
        <v>3440</v>
      </c>
      <c r="C1312" s="527">
        <v>0.0</v>
      </c>
      <c r="D1312" s="527">
        <v>0.0</v>
      </c>
      <c r="F1312" s="36" t="s">
        <v>7798</v>
      </c>
      <c r="G1312" s="125" t="s">
        <v>893</v>
      </c>
      <c r="H1312" s="125" t="s">
        <v>7799</v>
      </c>
      <c r="I1312" t="s">
        <v>7880</v>
      </c>
    </row>
    <row r="1313">
      <c r="A1313" s="125" t="s">
        <v>432</v>
      </c>
      <c r="B1313" s="526" t="s">
        <v>433</v>
      </c>
      <c r="C1313" s="527">
        <v>50.0</v>
      </c>
      <c r="D1313" s="527">
        <v>315.39</v>
      </c>
      <c r="E1313" s="528">
        <v>6.3078</v>
      </c>
      <c r="F1313" s="36" t="s">
        <v>7798</v>
      </c>
      <c r="G1313" s="125" t="s">
        <v>913</v>
      </c>
      <c r="H1313" s="125" t="s">
        <v>7809</v>
      </c>
      <c r="I1313" t="s">
        <v>431</v>
      </c>
    </row>
    <row r="1314">
      <c r="A1314" s="125" t="s">
        <v>3447</v>
      </c>
      <c r="B1314" s="526" t="s">
        <v>3446</v>
      </c>
      <c r="C1314" s="527">
        <v>912.0</v>
      </c>
      <c r="D1314" s="527">
        <v>501.69</v>
      </c>
      <c r="E1314" s="528">
        <v>0.5501</v>
      </c>
      <c r="F1314" s="36" t="s">
        <v>7798</v>
      </c>
      <c r="G1314" s="125" t="s">
        <v>913</v>
      </c>
      <c r="H1314" s="125" t="s">
        <v>7821</v>
      </c>
      <c r="I1314" t="s">
        <v>7823</v>
      </c>
    </row>
    <row r="1315">
      <c r="A1315" s="125" t="s">
        <v>3449</v>
      </c>
      <c r="B1315" s="526" t="s">
        <v>3448</v>
      </c>
      <c r="C1315" s="527">
        <v>318.0</v>
      </c>
      <c r="D1315" s="527">
        <v>159.0</v>
      </c>
      <c r="E1315" s="528">
        <v>0.5</v>
      </c>
      <c r="F1315" s="36" t="s">
        <v>7798</v>
      </c>
      <c r="G1315" s="125" t="s">
        <v>913</v>
      </c>
      <c r="H1315" s="125" t="s">
        <v>7821</v>
      </c>
      <c r="I1315" t="s">
        <v>7838</v>
      </c>
    </row>
    <row r="1316">
      <c r="A1316" s="125" t="s">
        <v>3451</v>
      </c>
      <c r="B1316" s="526" t="s">
        <v>3450</v>
      </c>
      <c r="C1316" s="527">
        <v>36.0</v>
      </c>
      <c r="D1316" s="527">
        <v>19.44</v>
      </c>
      <c r="E1316" s="528">
        <v>0.54</v>
      </c>
      <c r="F1316" s="36" t="s">
        <v>7798</v>
      </c>
      <c r="G1316" s="125" t="s">
        <v>913</v>
      </c>
      <c r="H1316" s="125" t="s">
        <v>7821</v>
      </c>
      <c r="I1316" t="s">
        <v>7834</v>
      </c>
    </row>
    <row r="1317">
      <c r="A1317" s="125" t="s">
        <v>540</v>
      </c>
      <c r="B1317" s="526" t="s">
        <v>541</v>
      </c>
      <c r="C1317" s="527">
        <v>77.0</v>
      </c>
      <c r="D1317" s="527">
        <v>11520.81</v>
      </c>
      <c r="E1317" s="528">
        <v>149.6209</v>
      </c>
      <c r="F1317" s="36" t="s">
        <v>7798</v>
      </c>
      <c r="G1317" s="125" t="s">
        <v>913</v>
      </c>
      <c r="H1317" s="125" t="s">
        <v>32</v>
      </c>
      <c r="I1317" t="s">
        <v>110</v>
      </c>
    </row>
    <row r="1318">
      <c r="A1318" s="125" t="s">
        <v>3452</v>
      </c>
      <c r="B1318" s="526" t="s">
        <v>534</v>
      </c>
      <c r="C1318" s="527">
        <v>61.0</v>
      </c>
      <c r="D1318" s="527">
        <v>9.8</v>
      </c>
      <c r="E1318" s="528">
        <v>0.1607</v>
      </c>
      <c r="F1318" s="36" t="s">
        <v>7798</v>
      </c>
      <c r="G1318" s="125" t="s">
        <v>913</v>
      </c>
      <c r="H1318" s="125" t="s">
        <v>32</v>
      </c>
      <c r="I1318" t="s">
        <v>81</v>
      </c>
    </row>
    <row r="1319">
      <c r="A1319" s="125" t="s">
        <v>3453</v>
      </c>
      <c r="B1319" s="526">
        <v>37601.0</v>
      </c>
      <c r="C1319" s="527">
        <v>0.0</v>
      </c>
      <c r="D1319" s="527">
        <v>0.0</v>
      </c>
      <c r="F1319" s="36" t="s">
        <v>7798</v>
      </c>
      <c r="G1319" s="125" t="s">
        <v>913</v>
      </c>
      <c r="H1319" s="125" t="s">
        <v>32</v>
      </c>
      <c r="I1319" t="s">
        <v>81</v>
      </c>
    </row>
    <row r="1320">
      <c r="A1320" s="125" t="s">
        <v>3454</v>
      </c>
      <c r="B1320" s="526">
        <v>37602.0</v>
      </c>
      <c r="C1320" s="527">
        <v>3.0</v>
      </c>
      <c r="D1320" s="527">
        <v>10.4</v>
      </c>
      <c r="E1320" s="528">
        <v>3.4667</v>
      </c>
      <c r="F1320" s="36" t="s">
        <v>7798</v>
      </c>
      <c r="G1320" s="125" t="s">
        <v>913</v>
      </c>
      <c r="H1320" s="125" t="s">
        <v>32</v>
      </c>
      <c r="I1320" t="s">
        <v>81</v>
      </c>
    </row>
    <row r="1321">
      <c r="A1321" s="125" t="s">
        <v>537</v>
      </c>
      <c r="B1321" s="526">
        <v>37603.0</v>
      </c>
      <c r="C1321" s="527">
        <v>425.0</v>
      </c>
      <c r="D1321" s="527">
        <v>1450.73</v>
      </c>
      <c r="E1321" s="528">
        <v>3.4135</v>
      </c>
      <c r="F1321" s="36" t="s">
        <v>7798</v>
      </c>
      <c r="G1321" s="125" t="s">
        <v>913</v>
      </c>
      <c r="H1321" s="125" t="s">
        <v>32</v>
      </c>
      <c r="I1321" t="s">
        <v>81</v>
      </c>
    </row>
    <row r="1322">
      <c r="A1322" s="125" t="s">
        <v>538</v>
      </c>
      <c r="B1322" s="526">
        <v>37604.0</v>
      </c>
      <c r="C1322" s="527">
        <v>485.0</v>
      </c>
      <c r="D1322" s="527">
        <v>1669.57</v>
      </c>
      <c r="E1322" s="528">
        <v>3.4424</v>
      </c>
      <c r="F1322" s="36" t="s">
        <v>7798</v>
      </c>
      <c r="G1322" s="125" t="s">
        <v>913</v>
      </c>
      <c r="H1322" s="125" t="s">
        <v>32</v>
      </c>
      <c r="I1322" t="s">
        <v>81</v>
      </c>
    </row>
    <row r="1323">
      <c r="A1323" s="125" t="s">
        <v>531</v>
      </c>
      <c r="B1323" s="526" t="s">
        <v>532</v>
      </c>
      <c r="C1323" s="527">
        <v>0.0</v>
      </c>
      <c r="D1323" s="527">
        <v>0.0</v>
      </c>
      <c r="F1323" s="36" t="s">
        <v>7798</v>
      </c>
      <c r="G1323" s="125" t="s">
        <v>913</v>
      </c>
      <c r="H1323" s="125" t="s">
        <v>32</v>
      </c>
      <c r="I1323" t="s">
        <v>81</v>
      </c>
    </row>
    <row r="1324">
      <c r="A1324" s="125" t="s">
        <v>3459</v>
      </c>
      <c r="B1324" s="526">
        <v>45202.0</v>
      </c>
      <c r="C1324" s="527">
        <v>0.0</v>
      </c>
      <c r="D1324" s="527">
        <v>0.0</v>
      </c>
      <c r="F1324" s="36" t="s">
        <v>7798</v>
      </c>
      <c r="G1324" s="125" t="s">
        <v>893</v>
      </c>
      <c r="H1324" s="125" t="s">
        <v>7799</v>
      </c>
      <c r="I1324" t="s">
        <v>7859</v>
      </c>
    </row>
    <row r="1325">
      <c r="A1325" s="125" t="s">
        <v>3460</v>
      </c>
      <c r="B1325" s="526">
        <v>45203.0</v>
      </c>
      <c r="C1325" s="527">
        <v>0.0</v>
      </c>
      <c r="D1325" s="527">
        <v>0.0</v>
      </c>
      <c r="F1325" s="36" t="s">
        <v>7798</v>
      </c>
      <c r="G1325" s="125" t="s">
        <v>893</v>
      </c>
      <c r="H1325" s="125" t="s">
        <v>7799</v>
      </c>
      <c r="I1325" t="s">
        <v>7859</v>
      </c>
    </row>
    <row r="1326">
      <c r="A1326" s="125" t="s">
        <v>3461</v>
      </c>
      <c r="B1326" s="526">
        <v>45201.0</v>
      </c>
      <c r="C1326" s="527">
        <v>0.0</v>
      </c>
      <c r="D1326" s="527">
        <v>0.0</v>
      </c>
      <c r="F1326" s="36" t="s">
        <v>7798</v>
      </c>
      <c r="G1326" s="125" t="s">
        <v>893</v>
      </c>
      <c r="H1326" s="125" t="s">
        <v>7799</v>
      </c>
      <c r="I1326" t="s">
        <v>7859</v>
      </c>
    </row>
    <row r="1327">
      <c r="A1327" s="125" t="s">
        <v>3473</v>
      </c>
      <c r="B1327" s="526" t="s">
        <v>3472</v>
      </c>
      <c r="C1327" s="527">
        <v>300.0</v>
      </c>
      <c r="D1327" s="527">
        <v>165.0</v>
      </c>
      <c r="E1327" s="528">
        <v>0.55</v>
      </c>
      <c r="F1327" s="36" t="s">
        <v>7798</v>
      </c>
      <c r="G1327" s="125" t="s">
        <v>913</v>
      </c>
      <c r="H1327" s="125" t="s">
        <v>7821</v>
      </c>
      <c r="I1327" t="s">
        <v>7823</v>
      </c>
    </row>
    <row r="1328">
      <c r="A1328" s="125" t="s">
        <v>3475</v>
      </c>
      <c r="B1328" s="526" t="s">
        <v>3474</v>
      </c>
      <c r="C1328" s="527">
        <v>664.0</v>
      </c>
      <c r="D1328" s="527">
        <v>332.0</v>
      </c>
      <c r="E1328" s="528">
        <v>0.5</v>
      </c>
      <c r="F1328" s="36" t="s">
        <v>7798</v>
      </c>
      <c r="G1328" s="125" t="s">
        <v>913</v>
      </c>
      <c r="H1328" s="125" t="s">
        <v>7821</v>
      </c>
      <c r="I1328" t="s">
        <v>7838</v>
      </c>
    </row>
    <row r="1329">
      <c r="A1329" s="125" t="s">
        <v>3477</v>
      </c>
      <c r="B1329" s="526" t="s">
        <v>3476</v>
      </c>
      <c r="C1329" s="527">
        <v>270.0</v>
      </c>
      <c r="D1329" s="527">
        <v>129.6</v>
      </c>
      <c r="E1329" s="528">
        <v>0.48</v>
      </c>
      <c r="F1329" s="36" t="s">
        <v>7798</v>
      </c>
      <c r="G1329" s="125" t="s">
        <v>913</v>
      </c>
      <c r="H1329" s="125" t="s">
        <v>7821</v>
      </c>
      <c r="I1329" t="s">
        <v>7834</v>
      </c>
    </row>
    <row r="1330">
      <c r="A1330" s="125" t="s">
        <v>3479</v>
      </c>
      <c r="B1330" s="526" t="s">
        <v>3478</v>
      </c>
      <c r="C1330" s="527">
        <v>0.0</v>
      </c>
      <c r="D1330" s="527">
        <v>0.0</v>
      </c>
      <c r="F1330" s="36" t="s">
        <v>7798</v>
      </c>
      <c r="G1330" s="125" t="s">
        <v>893</v>
      </c>
      <c r="H1330" s="125" t="s">
        <v>7799</v>
      </c>
      <c r="I1330" t="s">
        <v>278</v>
      </c>
    </row>
    <row r="1331">
      <c r="A1331" s="125" t="s">
        <v>451</v>
      </c>
      <c r="B1331" s="526" t="s">
        <v>452</v>
      </c>
      <c r="C1331" s="527">
        <v>186.0</v>
      </c>
      <c r="D1331" s="527">
        <v>1044.99</v>
      </c>
      <c r="E1331" s="528">
        <v>5.6182</v>
      </c>
      <c r="F1331" s="36" t="s">
        <v>7798</v>
      </c>
      <c r="G1331" s="125" t="s">
        <v>913</v>
      </c>
      <c r="H1331" s="125" t="s">
        <v>7809</v>
      </c>
      <c r="I1331" t="s">
        <v>438</v>
      </c>
    </row>
    <row r="1332">
      <c r="A1332" s="125" t="s">
        <v>256</v>
      </c>
      <c r="B1332" s="526" t="s">
        <v>257</v>
      </c>
      <c r="C1332" s="527">
        <v>310.0</v>
      </c>
      <c r="D1332" s="527">
        <v>1542.14</v>
      </c>
      <c r="E1332" s="528">
        <v>4.9746</v>
      </c>
      <c r="F1332" s="36" t="s">
        <v>7798</v>
      </c>
      <c r="G1332" s="125" t="s">
        <v>913</v>
      </c>
      <c r="H1332" s="125" t="s">
        <v>569</v>
      </c>
      <c r="I1332" t="s">
        <v>252</v>
      </c>
    </row>
    <row r="1333">
      <c r="A1333" s="125" t="s">
        <v>260</v>
      </c>
      <c r="B1333" s="526" t="s">
        <v>261</v>
      </c>
      <c r="C1333" s="527">
        <v>248.0</v>
      </c>
      <c r="D1333" s="527">
        <v>1233.79</v>
      </c>
      <c r="E1333" s="528">
        <v>4.975</v>
      </c>
      <c r="F1333" s="36" t="s">
        <v>7798</v>
      </c>
      <c r="G1333" s="125" t="s">
        <v>913</v>
      </c>
      <c r="H1333" s="125" t="s">
        <v>569</v>
      </c>
      <c r="I1333" t="s">
        <v>252</v>
      </c>
    </row>
    <row r="1334">
      <c r="A1334" s="125" t="s">
        <v>253</v>
      </c>
      <c r="B1334" s="526" t="s">
        <v>254</v>
      </c>
      <c r="C1334" s="527">
        <v>73.0</v>
      </c>
      <c r="D1334" s="527">
        <v>363.46</v>
      </c>
      <c r="E1334" s="528">
        <v>4.9789</v>
      </c>
      <c r="F1334" s="36" t="s">
        <v>7798</v>
      </c>
      <c r="G1334" s="125" t="s">
        <v>913</v>
      </c>
      <c r="H1334" s="125" t="s">
        <v>569</v>
      </c>
      <c r="I1334" t="s">
        <v>252</v>
      </c>
    </row>
    <row r="1335">
      <c r="A1335" s="125" t="s">
        <v>258</v>
      </c>
      <c r="B1335" s="526" t="s">
        <v>259</v>
      </c>
      <c r="C1335" s="527">
        <v>233.0</v>
      </c>
      <c r="D1335" s="527">
        <v>1159.19</v>
      </c>
      <c r="E1335" s="528">
        <v>4.9751</v>
      </c>
      <c r="F1335" s="36" t="s">
        <v>7798</v>
      </c>
      <c r="G1335" s="125" t="s">
        <v>913</v>
      </c>
      <c r="H1335" s="125" t="s">
        <v>569</v>
      </c>
      <c r="I1335" t="s">
        <v>252</v>
      </c>
    </row>
    <row r="1336">
      <c r="A1336" s="125" t="s">
        <v>3501</v>
      </c>
      <c r="B1336" s="526" t="s">
        <v>3500</v>
      </c>
      <c r="C1336" s="527">
        <v>3.0</v>
      </c>
      <c r="D1336" s="527">
        <v>144.37</v>
      </c>
      <c r="E1336" s="528">
        <v>48.1233</v>
      </c>
      <c r="F1336" s="36" t="s">
        <v>7798</v>
      </c>
      <c r="G1336" s="125" t="s">
        <v>913</v>
      </c>
      <c r="H1336" s="125" t="s">
        <v>7801</v>
      </c>
      <c r="I1336" t="s">
        <v>7881</v>
      </c>
    </row>
    <row r="1337">
      <c r="A1337" s="125" t="s">
        <v>3503</v>
      </c>
      <c r="B1337" s="526" t="s">
        <v>3502</v>
      </c>
      <c r="C1337" s="527">
        <v>5.0</v>
      </c>
      <c r="D1337" s="527">
        <v>57.7</v>
      </c>
      <c r="E1337" s="528">
        <v>11.54</v>
      </c>
      <c r="F1337" s="36" t="s">
        <v>7798</v>
      </c>
      <c r="G1337" s="125" t="s">
        <v>913</v>
      </c>
      <c r="I1337" t="s">
        <v>45</v>
      </c>
    </row>
    <row r="1338">
      <c r="A1338" s="125" t="s">
        <v>3507</v>
      </c>
      <c r="B1338" s="526" t="s">
        <v>3506</v>
      </c>
      <c r="C1338" s="527">
        <v>0.0</v>
      </c>
      <c r="D1338" s="527">
        <v>0.0</v>
      </c>
      <c r="F1338" s="36" t="s">
        <v>7798</v>
      </c>
      <c r="G1338" s="125" t="s">
        <v>893</v>
      </c>
      <c r="H1338" s="125" t="s">
        <v>7840</v>
      </c>
      <c r="I1338" t="s">
        <v>7848</v>
      </c>
    </row>
    <row r="1339">
      <c r="A1339" s="125" t="s">
        <v>3509</v>
      </c>
      <c r="B1339" s="526" t="s">
        <v>3508</v>
      </c>
      <c r="C1339" s="527">
        <v>0.0</v>
      </c>
      <c r="D1339" s="527">
        <v>0.0</v>
      </c>
      <c r="F1339" s="36" t="s">
        <v>7827</v>
      </c>
      <c r="G1339" s="125" t="s">
        <v>913</v>
      </c>
      <c r="H1339" s="125" t="s">
        <v>7840</v>
      </c>
      <c r="I1339" t="s">
        <v>7848</v>
      </c>
    </row>
    <row r="1340">
      <c r="A1340" s="125" t="s">
        <v>3511</v>
      </c>
      <c r="B1340" s="526" t="s">
        <v>3510</v>
      </c>
      <c r="C1340" s="527">
        <v>0.0</v>
      </c>
      <c r="D1340" s="527">
        <v>0.0</v>
      </c>
      <c r="F1340" s="36" t="s">
        <v>7827</v>
      </c>
      <c r="G1340" s="125" t="s">
        <v>913</v>
      </c>
      <c r="H1340" s="125" t="s">
        <v>7840</v>
      </c>
      <c r="I1340" t="s">
        <v>7848</v>
      </c>
    </row>
    <row r="1341">
      <c r="A1341" s="125" t="s">
        <v>3513</v>
      </c>
      <c r="B1341" s="526" t="s">
        <v>3512</v>
      </c>
      <c r="C1341" s="527">
        <v>0.0</v>
      </c>
      <c r="D1341" s="527">
        <v>0.0</v>
      </c>
      <c r="F1341" s="36" t="s">
        <v>7827</v>
      </c>
      <c r="G1341" s="125" t="s">
        <v>893</v>
      </c>
      <c r="H1341" s="125" t="s">
        <v>7840</v>
      </c>
      <c r="I1341" t="s">
        <v>7848</v>
      </c>
    </row>
    <row r="1342">
      <c r="A1342" s="125" t="s">
        <v>3515</v>
      </c>
      <c r="B1342" s="526" t="s">
        <v>3514</v>
      </c>
      <c r="C1342" s="527">
        <v>0.0</v>
      </c>
      <c r="D1342" s="527">
        <v>0.0</v>
      </c>
      <c r="F1342" s="36" t="s">
        <v>7827</v>
      </c>
      <c r="G1342" s="125" t="s">
        <v>893</v>
      </c>
      <c r="H1342" s="125" t="s">
        <v>7840</v>
      </c>
      <c r="I1342" t="s">
        <v>7848</v>
      </c>
    </row>
    <row r="1343">
      <c r="A1343" s="125" t="s">
        <v>113</v>
      </c>
      <c r="B1343" s="526" t="s">
        <v>114</v>
      </c>
      <c r="C1343" s="527">
        <v>71.0</v>
      </c>
      <c r="D1343" s="527">
        <v>850.9</v>
      </c>
      <c r="E1343" s="528">
        <v>11.9845</v>
      </c>
      <c r="F1343" s="36" t="s">
        <v>7798</v>
      </c>
      <c r="G1343" s="125" t="s">
        <v>913</v>
      </c>
      <c r="H1343" s="125" t="s">
        <v>32</v>
      </c>
      <c r="I1343" t="s">
        <v>110</v>
      </c>
    </row>
    <row r="1344">
      <c r="A1344" s="125" t="s">
        <v>3517</v>
      </c>
      <c r="B1344" s="526" t="s">
        <v>3516</v>
      </c>
      <c r="C1344" s="527">
        <v>2.0</v>
      </c>
      <c r="D1344" s="527">
        <v>127.26</v>
      </c>
      <c r="E1344" s="528">
        <v>63.63</v>
      </c>
      <c r="F1344" s="36" t="s">
        <v>7798</v>
      </c>
      <c r="G1344" s="125" t="s">
        <v>913</v>
      </c>
      <c r="H1344" s="125" t="s">
        <v>7808</v>
      </c>
      <c r="I1344" t="s">
        <v>81</v>
      </c>
    </row>
    <row r="1345">
      <c r="A1345" s="125" t="s">
        <v>115</v>
      </c>
      <c r="B1345" s="526">
        <v>34101.0</v>
      </c>
      <c r="C1345" s="527">
        <v>1828.0</v>
      </c>
      <c r="D1345" s="527">
        <v>8865.07</v>
      </c>
      <c r="E1345" s="528">
        <v>4.8496</v>
      </c>
      <c r="F1345" s="36" t="s">
        <v>7798</v>
      </c>
      <c r="G1345" s="125" t="s">
        <v>913</v>
      </c>
      <c r="H1345" s="125" t="s">
        <v>32</v>
      </c>
      <c r="I1345" t="s">
        <v>110</v>
      </c>
    </row>
    <row r="1346">
      <c r="A1346" s="125" t="s">
        <v>111</v>
      </c>
      <c r="B1346" s="526" t="s">
        <v>112</v>
      </c>
      <c r="C1346" s="527">
        <v>3.0</v>
      </c>
      <c r="D1346" s="527">
        <v>198.12</v>
      </c>
      <c r="E1346" s="528">
        <v>66.04</v>
      </c>
      <c r="F1346" s="36" t="s">
        <v>7807</v>
      </c>
      <c r="G1346" s="125" t="s">
        <v>913</v>
      </c>
      <c r="H1346" s="125" t="s">
        <v>32</v>
      </c>
      <c r="I1346" t="s">
        <v>110</v>
      </c>
    </row>
    <row r="1347">
      <c r="A1347" s="125" t="s">
        <v>3523</v>
      </c>
      <c r="B1347" s="526" t="s">
        <v>3522</v>
      </c>
      <c r="C1347" s="527">
        <v>906.0</v>
      </c>
      <c r="D1347" s="527">
        <v>376.53</v>
      </c>
      <c r="E1347" s="528">
        <v>0.4156</v>
      </c>
      <c r="F1347" s="36" t="s">
        <v>7827</v>
      </c>
      <c r="G1347" s="125" t="s">
        <v>913</v>
      </c>
      <c r="H1347" s="125" t="s">
        <v>7840</v>
      </c>
    </row>
    <row r="1348">
      <c r="A1348" s="125" t="s">
        <v>3525</v>
      </c>
      <c r="B1348" s="526" t="s">
        <v>3524</v>
      </c>
      <c r="C1348" s="527">
        <v>270.0</v>
      </c>
      <c r="D1348" s="527">
        <v>148.75</v>
      </c>
      <c r="E1348" s="528">
        <v>0.5509</v>
      </c>
      <c r="F1348" s="36" t="s">
        <v>7798</v>
      </c>
      <c r="G1348" s="125" t="s">
        <v>913</v>
      </c>
      <c r="H1348" s="125" t="s">
        <v>7821</v>
      </c>
      <c r="I1348" t="s">
        <v>7823</v>
      </c>
    </row>
    <row r="1349">
      <c r="A1349" s="125" t="s">
        <v>3527</v>
      </c>
      <c r="B1349" s="526" t="s">
        <v>3526</v>
      </c>
      <c r="C1349" s="527">
        <v>474.0</v>
      </c>
      <c r="D1349" s="527">
        <v>237.0</v>
      </c>
      <c r="E1349" s="528">
        <v>0.5</v>
      </c>
      <c r="F1349" s="36" t="s">
        <v>7798</v>
      </c>
      <c r="G1349" s="125" t="s">
        <v>913</v>
      </c>
      <c r="H1349" s="125" t="s">
        <v>7821</v>
      </c>
      <c r="I1349" t="s">
        <v>7838</v>
      </c>
    </row>
    <row r="1350">
      <c r="A1350" s="125" t="s">
        <v>3531</v>
      </c>
      <c r="B1350" s="526" t="s">
        <v>3530</v>
      </c>
      <c r="C1350" s="527">
        <v>0.0</v>
      </c>
      <c r="D1350" s="527">
        <v>0.0</v>
      </c>
      <c r="F1350" s="36" t="s">
        <v>7798</v>
      </c>
      <c r="G1350" s="125" t="s">
        <v>913</v>
      </c>
      <c r="H1350" s="125" t="s">
        <v>7808</v>
      </c>
      <c r="I1350" t="s">
        <v>7842</v>
      </c>
    </row>
    <row r="1351">
      <c r="A1351" s="125" t="s">
        <v>3533</v>
      </c>
      <c r="B1351" s="526" t="s">
        <v>3532</v>
      </c>
      <c r="C1351" s="527">
        <v>0.0</v>
      </c>
      <c r="D1351" s="527">
        <v>0.0</v>
      </c>
      <c r="F1351" s="36" t="s">
        <v>7798</v>
      </c>
      <c r="G1351" s="125" t="s">
        <v>913</v>
      </c>
      <c r="H1351" s="125" t="s">
        <v>7808</v>
      </c>
      <c r="I1351" t="s">
        <v>7842</v>
      </c>
    </row>
    <row r="1352">
      <c r="A1352" s="125" t="s">
        <v>3535</v>
      </c>
      <c r="B1352" s="526" t="s">
        <v>3534</v>
      </c>
      <c r="C1352" s="527">
        <v>0.0</v>
      </c>
      <c r="D1352" s="527">
        <v>0.0</v>
      </c>
      <c r="F1352" s="36" t="s">
        <v>7798</v>
      </c>
      <c r="G1352" s="125" t="s">
        <v>913</v>
      </c>
      <c r="H1352" s="125" t="s">
        <v>7808</v>
      </c>
      <c r="I1352" t="s">
        <v>7842</v>
      </c>
    </row>
    <row r="1353">
      <c r="A1353" s="125" t="s">
        <v>3537</v>
      </c>
      <c r="B1353" s="526" t="s">
        <v>3536</v>
      </c>
      <c r="C1353" s="527">
        <v>0.0</v>
      </c>
      <c r="D1353" s="527">
        <v>0.0</v>
      </c>
      <c r="F1353" s="36" t="s">
        <v>7807</v>
      </c>
      <c r="G1353" s="125" t="s">
        <v>913</v>
      </c>
      <c r="H1353" s="125" t="s">
        <v>7819</v>
      </c>
      <c r="I1353" t="s">
        <v>7817</v>
      </c>
    </row>
    <row r="1354">
      <c r="A1354" s="125" t="s">
        <v>3539</v>
      </c>
      <c r="B1354" s="526" t="s">
        <v>3538</v>
      </c>
      <c r="C1354" s="527">
        <v>0.0</v>
      </c>
      <c r="D1354" s="527">
        <v>0.0</v>
      </c>
      <c r="F1354" s="36" t="s">
        <v>7807</v>
      </c>
      <c r="G1354" s="125" t="s">
        <v>893</v>
      </c>
      <c r="H1354" s="125" t="s">
        <v>7801</v>
      </c>
      <c r="I1354" t="s">
        <v>7817</v>
      </c>
    </row>
    <row r="1355">
      <c r="A1355" s="125" t="s">
        <v>3541</v>
      </c>
      <c r="B1355" s="526" t="s">
        <v>3540</v>
      </c>
      <c r="C1355" s="527">
        <v>3.0</v>
      </c>
      <c r="D1355" s="527">
        <v>274.59</v>
      </c>
      <c r="E1355" s="528">
        <v>91.53</v>
      </c>
      <c r="F1355" s="36" t="s">
        <v>7807</v>
      </c>
      <c r="G1355" s="125" t="s">
        <v>913</v>
      </c>
      <c r="H1355" s="125" t="s">
        <v>7819</v>
      </c>
      <c r="I1355" t="s">
        <v>7817</v>
      </c>
    </row>
    <row r="1356">
      <c r="A1356" s="125" t="s">
        <v>3543</v>
      </c>
      <c r="B1356" s="526" t="s">
        <v>3542</v>
      </c>
      <c r="C1356" s="527">
        <v>0.0</v>
      </c>
      <c r="D1356" s="527">
        <v>0.0</v>
      </c>
      <c r="F1356" s="36" t="s">
        <v>7807</v>
      </c>
      <c r="G1356" s="125" t="s">
        <v>913</v>
      </c>
      <c r="H1356" s="125" t="s">
        <v>7821</v>
      </c>
      <c r="I1356" t="s">
        <v>7806</v>
      </c>
    </row>
    <row r="1357">
      <c r="A1357" s="125" t="s">
        <v>3545</v>
      </c>
      <c r="B1357" s="526" t="s">
        <v>3544</v>
      </c>
      <c r="C1357" s="527">
        <v>2.0</v>
      </c>
      <c r="D1357" s="527">
        <v>144.0</v>
      </c>
      <c r="E1357" s="528">
        <v>72.0</v>
      </c>
      <c r="F1357" s="36" t="s">
        <v>7807</v>
      </c>
      <c r="G1357" s="125" t="s">
        <v>913</v>
      </c>
      <c r="H1357" s="125" t="s">
        <v>7821</v>
      </c>
      <c r="I1357" t="s">
        <v>7822</v>
      </c>
    </row>
    <row r="1358">
      <c r="A1358" s="125" t="s">
        <v>3547</v>
      </c>
      <c r="B1358" s="526" t="s">
        <v>3546</v>
      </c>
      <c r="C1358" s="527">
        <v>3.0</v>
      </c>
      <c r="D1358" s="527">
        <v>334.14</v>
      </c>
      <c r="E1358" s="528">
        <v>111.38</v>
      </c>
      <c r="F1358" s="36" t="s">
        <v>7807</v>
      </c>
      <c r="G1358" s="125" t="s">
        <v>913</v>
      </c>
      <c r="H1358" s="125" t="s">
        <v>7821</v>
      </c>
      <c r="I1358" t="s">
        <v>7823</v>
      </c>
    </row>
    <row r="1359">
      <c r="A1359" s="125" t="s">
        <v>3555</v>
      </c>
      <c r="B1359" s="526" t="s">
        <v>3554</v>
      </c>
      <c r="C1359" s="527">
        <v>3.0</v>
      </c>
      <c r="D1359" s="527">
        <v>114.89</v>
      </c>
      <c r="E1359" s="528">
        <v>38.2967</v>
      </c>
      <c r="F1359" s="36" t="s">
        <v>7807</v>
      </c>
      <c r="G1359" s="125" t="s">
        <v>913</v>
      </c>
      <c r="H1359" s="125" t="s">
        <v>7821</v>
      </c>
      <c r="I1359" t="s">
        <v>489</v>
      </c>
    </row>
    <row r="1360">
      <c r="A1360" s="125" t="s">
        <v>3557</v>
      </c>
      <c r="B1360" s="526" t="s">
        <v>3556</v>
      </c>
      <c r="C1360" s="527">
        <v>0.0</v>
      </c>
      <c r="D1360" s="527">
        <v>0.0</v>
      </c>
      <c r="F1360" s="36" t="s">
        <v>7798</v>
      </c>
      <c r="G1360" s="125" t="s">
        <v>893</v>
      </c>
      <c r="H1360" s="125" t="s">
        <v>7801</v>
      </c>
      <c r="I1360" t="s">
        <v>33</v>
      </c>
    </row>
    <row r="1361">
      <c r="A1361" s="125" t="s">
        <v>3559</v>
      </c>
      <c r="B1361" s="526" t="s">
        <v>3558</v>
      </c>
      <c r="C1361" s="527">
        <v>0.0</v>
      </c>
      <c r="D1361" s="527">
        <v>0.0</v>
      </c>
      <c r="F1361" s="36" t="s">
        <v>7798</v>
      </c>
      <c r="G1361" s="125" t="s">
        <v>893</v>
      </c>
      <c r="H1361" s="125" t="s">
        <v>7801</v>
      </c>
      <c r="I1361" t="s">
        <v>33</v>
      </c>
    </row>
    <row r="1362">
      <c r="A1362" s="125" t="s">
        <v>3561</v>
      </c>
      <c r="B1362" s="526" t="s">
        <v>3560</v>
      </c>
      <c r="C1362" s="527">
        <v>0.0</v>
      </c>
      <c r="D1362" s="527">
        <v>0.0</v>
      </c>
      <c r="F1362" s="36" t="s">
        <v>7798</v>
      </c>
      <c r="G1362" s="125" t="s">
        <v>893</v>
      </c>
      <c r="H1362" s="125" t="s">
        <v>7801</v>
      </c>
      <c r="I1362" t="s">
        <v>33</v>
      </c>
    </row>
    <row r="1363">
      <c r="A1363" s="125" t="s">
        <v>3563</v>
      </c>
      <c r="B1363" s="526" t="s">
        <v>3562</v>
      </c>
      <c r="C1363" s="527">
        <v>0.0</v>
      </c>
      <c r="D1363" s="527">
        <v>0.0</v>
      </c>
      <c r="F1363" s="36" t="s">
        <v>7798</v>
      </c>
      <c r="G1363" s="125" t="s">
        <v>893</v>
      </c>
      <c r="H1363" s="125" t="s">
        <v>7801</v>
      </c>
      <c r="I1363" t="s">
        <v>33</v>
      </c>
    </row>
    <row r="1364">
      <c r="A1364" s="125" t="s">
        <v>3565</v>
      </c>
      <c r="B1364" s="526" t="s">
        <v>3564</v>
      </c>
      <c r="C1364" s="527">
        <v>0.0</v>
      </c>
      <c r="D1364" s="527">
        <v>0.0</v>
      </c>
      <c r="F1364" s="36" t="s">
        <v>7798</v>
      </c>
      <c r="G1364" s="125" t="s">
        <v>893</v>
      </c>
      <c r="H1364" s="125" t="s">
        <v>7799</v>
      </c>
      <c r="I1364" t="s">
        <v>33</v>
      </c>
    </row>
    <row r="1365">
      <c r="A1365" s="125" t="s">
        <v>3567</v>
      </c>
      <c r="B1365" s="526" t="s">
        <v>3566</v>
      </c>
      <c r="C1365" s="527">
        <v>5.0</v>
      </c>
      <c r="D1365" s="527">
        <v>57.45</v>
      </c>
      <c r="E1365" s="528">
        <v>11.49</v>
      </c>
      <c r="F1365" s="36" t="s">
        <v>7798</v>
      </c>
      <c r="G1365" s="125" t="s">
        <v>913</v>
      </c>
      <c r="I1365" t="s">
        <v>45</v>
      </c>
    </row>
    <row r="1366">
      <c r="A1366" s="125" t="s">
        <v>3569</v>
      </c>
      <c r="B1366" s="526" t="s">
        <v>3568</v>
      </c>
      <c r="C1366" s="527">
        <v>2.0</v>
      </c>
      <c r="D1366" s="527">
        <v>354.09</v>
      </c>
      <c r="E1366" s="528">
        <v>177.045</v>
      </c>
      <c r="F1366" s="36" t="s">
        <v>7798</v>
      </c>
      <c r="G1366" s="125" t="s">
        <v>913</v>
      </c>
      <c r="H1366" s="125" t="s">
        <v>7808</v>
      </c>
      <c r="I1366" t="s">
        <v>7837</v>
      </c>
    </row>
    <row r="1367">
      <c r="A1367" s="125" t="s">
        <v>3571</v>
      </c>
      <c r="B1367" s="526" t="s">
        <v>3570</v>
      </c>
      <c r="C1367" s="527">
        <v>601.0</v>
      </c>
      <c r="D1367" s="527">
        <v>1185.31</v>
      </c>
      <c r="E1367" s="528">
        <v>1.9722</v>
      </c>
      <c r="F1367" s="36" t="s">
        <v>7798</v>
      </c>
      <c r="G1367" s="125" t="s">
        <v>913</v>
      </c>
      <c r="H1367" s="125" t="s">
        <v>7808</v>
      </c>
      <c r="I1367" t="s">
        <v>7837</v>
      </c>
    </row>
    <row r="1368">
      <c r="A1368" s="125" t="s">
        <v>3573</v>
      </c>
      <c r="B1368" s="526" t="s">
        <v>3572</v>
      </c>
      <c r="C1368" s="527">
        <v>1081.0</v>
      </c>
      <c r="D1368" s="527">
        <v>2276.01</v>
      </c>
      <c r="E1368" s="528">
        <v>2.1055</v>
      </c>
      <c r="F1368" s="36" t="s">
        <v>7798</v>
      </c>
      <c r="G1368" s="125" t="s">
        <v>913</v>
      </c>
      <c r="H1368" s="125" t="s">
        <v>7808</v>
      </c>
      <c r="I1368" t="s">
        <v>7837</v>
      </c>
    </row>
    <row r="1369">
      <c r="A1369" s="125" t="s">
        <v>3575</v>
      </c>
      <c r="B1369" s="526" t="s">
        <v>3574</v>
      </c>
      <c r="C1369" s="527">
        <v>1292.0</v>
      </c>
      <c r="D1369" s="527">
        <v>2507.29</v>
      </c>
      <c r="E1369" s="528">
        <v>1.9406</v>
      </c>
      <c r="F1369" s="36" t="s">
        <v>7798</v>
      </c>
      <c r="G1369" s="125" t="s">
        <v>913</v>
      </c>
      <c r="H1369" s="125" t="s">
        <v>7808</v>
      </c>
      <c r="I1369" t="s">
        <v>7837</v>
      </c>
    </row>
    <row r="1370">
      <c r="A1370" s="125" t="s">
        <v>3577</v>
      </c>
      <c r="B1370" s="526" t="s">
        <v>3576</v>
      </c>
      <c r="C1370" s="527">
        <v>654.0</v>
      </c>
      <c r="D1370" s="527">
        <v>1330.99</v>
      </c>
      <c r="E1370" s="528">
        <v>2.0352</v>
      </c>
      <c r="F1370" s="36" t="s">
        <v>7798</v>
      </c>
      <c r="G1370" s="125" t="s">
        <v>913</v>
      </c>
      <c r="H1370" s="125" t="s">
        <v>7808</v>
      </c>
      <c r="I1370" t="s">
        <v>7837</v>
      </c>
    </row>
    <row r="1371">
      <c r="A1371" s="125" t="s">
        <v>3579</v>
      </c>
      <c r="B1371" s="526" t="s">
        <v>3578</v>
      </c>
      <c r="C1371" s="527">
        <v>836.0</v>
      </c>
      <c r="D1371" s="527">
        <v>1727.75</v>
      </c>
      <c r="E1371" s="528">
        <v>2.0667</v>
      </c>
      <c r="F1371" s="36" t="s">
        <v>7798</v>
      </c>
      <c r="G1371" s="125" t="s">
        <v>913</v>
      </c>
      <c r="H1371" s="125" t="s">
        <v>7808</v>
      </c>
      <c r="I1371" t="s">
        <v>7837</v>
      </c>
    </row>
    <row r="1372">
      <c r="A1372" s="125" t="s">
        <v>3581</v>
      </c>
      <c r="B1372" s="526" t="s">
        <v>3580</v>
      </c>
      <c r="C1372" s="527">
        <v>1062.0</v>
      </c>
      <c r="D1372" s="527">
        <v>2225.05</v>
      </c>
      <c r="E1372" s="528">
        <v>2.0952</v>
      </c>
      <c r="F1372" s="36" t="s">
        <v>7798</v>
      </c>
      <c r="G1372" s="125" t="s">
        <v>913</v>
      </c>
      <c r="H1372" s="125" t="s">
        <v>7808</v>
      </c>
      <c r="I1372" t="s">
        <v>7837</v>
      </c>
    </row>
    <row r="1373">
      <c r="A1373" s="125" t="s">
        <v>3583</v>
      </c>
      <c r="B1373" s="526" t="s">
        <v>3582</v>
      </c>
      <c r="C1373" s="527">
        <v>957.0</v>
      </c>
      <c r="D1373" s="527">
        <v>1917.41</v>
      </c>
      <c r="E1373" s="528">
        <v>2.0036</v>
      </c>
      <c r="F1373" s="36" t="s">
        <v>7798</v>
      </c>
      <c r="G1373" s="125" t="s">
        <v>913</v>
      </c>
      <c r="H1373" s="125" t="s">
        <v>7808</v>
      </c>
      <c r="I1373" t="s">
        <v>7837</v>
      </c>
    </row>
    <row r="1374">
      <c r="A1374" s="125" t="s">
        <v>3585</v>
      </c>
      <c r="B1374" s="526" t="s">
        <v>3584</v>
      </c>
      <c r="C1374" s="527">
        <v>1281.0</v>
      </c>
      <c r="D1374" s="527">
        <v>2758.4</v>
      </c>
      <c r="E1374" s="528">
        <v>2.1533</v>
      </c>
      <c r="F1374" s="36" t="s">
        <v>7798</v>
      </c>
      <c r="G1374" s="125" t="s">
        <v>913</v>
      </c>
      <c r="H1374" s="125" t="s">
        <v>7808</v>
      </c>
      <c r="I1374" t="s">
        <v>7837</v>
      </c>
    </row>
    <row r="1375">
      <c r="A1375" s="125" t="s">
        <v>3587</v>
      </c>
      <c r="B1375" s="526" t="s">
        <v>3586</v>
      </c>
      <c r="C1375" s="527">
        <v>1458.0</v>
      </c>
      <c r="D1375" s="527">
        <v>3296.81</v>
      </c>
      <c r="E1375" s="528">
        <v>2.2612</v>
      </c>
      <c r="F1375" s="36" t="s">
        <v>7798</v>
      </c>
      <c r="G1375" s="125" t="s">
        <v>913</v>
      </c>
      <c r="H1375" s="125" t="s">
        <v>7808</v>
      </c>
      <c r="I1375" t="s">
        <v>7837</v>
      </c>
    </row>
    <row r="1376">
      <c r="A1376" s="125" t="s">
        <v>3591</v>
      </c>
      <c r="B1376" s="526" t="s">
        <v>3590</v>
      </c>
      <c r="C1376" s="527">
        <v>99.0</v>
      </c>
      <c r="D1376" s="527">
        <v>333.31</v>
      </c>
      <c r="E1376" s="528">
        <v>3.3668</v>
      </c>
      <c r="F1376" s="36" t="s">
        <v>7798</v>
      </c>
      <c r="G1376" s="125" t="s">
        <v>913</v>
      </c>
      <c r="H1376" s="125" t="s">
        <v>7808</v>
      </c>
      <c r="I1376" t="s">
        <v>725</v>
      </c>
    </row>
    <row r="1377">
      <c r="A1377" s="125" t="s">
        <v>3593</v>
      </c>
      <c r="B1377" s="526" t="s">
        <v>3592</v>
      </c>
      <c r="C1377" s="527">
        <v>816.0</v>
      </c>
      <c r="D1377" s="527">
        <v>2739.33</v>
      </c>
      <c r="E1377" s="528">
        <v>3.357</v>
      </c>
      <c r="F1377" s="36" t="s">
        <v>7798</v>
      </c>
      <c r="G1377" s="125" t="s">
        <v>913</v>
      </c>
      <c r="H1377" s="125" t="s">
        <v>7808</v>
      </c>
      <c r="I1377" t="s">
        <v>725</v>
      </c>
    </row>
    <row r="1378">
      <c r="A1378" s="125" t="s">
        <v>3595</v>
      </c>
      <c r="B1378" s="526" t="s">
        <v>3594</v>
      </c>
      <c r="C1378" s="527">
        <v>0.0</v>
      </c>
      <c r="D1378" s="527">
        <v>0.0</v>
      </c>
      <c r="F1378" s="36" t="s">
        <v>7798</v>
      </c>
      <c r="G1378" s="125" t="s">
        <v>913</v>
      </c>
      <c r="H1378" s="125" t="s">
        <v>7808</v>
      </c>
      <c r="I1378" t="s">
        <v>7882</v>
      </c>
    </row>
    <row r="1379">
      <c r="A1379" s="125" t="s">
        <v>3597</v>
      </c>
      <c r="B1379" s="526" t="s">
        <v>3596</v>
      </c>
      <c r="C1379" s="527">
        <v>0.0</v>
      </c>
      <c r="D1379" s="527">
        <v>0.0</v>
      </c>
      <c r="F1379" s="36" t="s">
        <v>7798</v>
      </c>
      <c r="G1379" s="125" t="s">
        <v>913</v>
      </c>
      <c r="H1379" s="125" t="s">
        <v>7808</v>
      </c>
      <c r="I1379" t="s">
        <v>7882</v>
      </c>
    </row>
    <row r="1380">
      <c r="A1380" s="125" t="s">
        <v>3599</v>
      </c>
      <c r="B1380" s="526" t="s">
        <v>3598</v>
      </c>
      <c r="C1380" s="527">
        <v>2.0</v>
      </c>
      <c r="D1380" s="527">
        <v>157.73</v>
      </c>
      <c r="E1380" s="528">
        <v>78.865</v>
      </c>
      <c r="F1380" s="36" t="s">
        <v>7798</v>
      </c>
      <c r="G1380" s="125" t="s">
        <v>913</v>
      </c>
      <c r="H1380" s="125" t="s">
        <v>7808</v>
      </c>
      <c r="I1380" t="s">
        <v>7882</v>
      </c>
    </row>
    <row r="1381">
      <c r="A1381" s="125" t="s">
        <v>3601</v>
      </c>
      <c r="B1381" s="526" t="s">
        <v>3600</v>
      </c>
      <c r="C1381" s="527">
        <v>1.0</v>
      </c>
      <c r="D1381" s="527">
        <v>81.43</v>
      </c>
      <c r="E1381" s="528">
        <v>81.43</v>
      </c>
      <c r="F1381" s="36" t="s">
        <v>7798</v>
      </c>
      <c r="G1381" s="125" t="s">
        <v>913</v>
      </c>
      <c r="H1381" s="125" t="s">
        <v>7808</v>
      </c>
      <c r="I1381" t="s">
        <v>7882</v>
      </c>
    </row>
    <row r="1382">
      <c r="A1382" s="125" t="s">
        <v>3603</v>
      </c>
      <c r="B1382" s="526" t="s">
        <v>3602</v>
      </c>
      <c r="C1382" s="527">
        <v>0.0</v>
      </c>
      <c r="D1382" s="527">
        <v>0.0</v>
      </c>
      <c r="F1382" s="36" t="s">
        <v>7798</v>
      </c>
      <c r="G1382" s="125" t="s">
        <v>913</v>
      </c>
      <c r="H1382" s="125" t="s">
        <v>7808</v>
      </c>
      <c r="I1382" t="s">
        <v>7882</v>
      </c>
    </row>
    <row r="1383">
      <c r="A1383" s="125" t="s">
        <v>3605</v>
      </c>
      <c r="B1383" s="526" t="s">
        <v>3604</v>
      </c>
      <c r="C1383" s="527">
        <v>0.0</v>
      </c>
      <c r="D1383" s="527">
        <v>0.0</v>
      </c>
      <c r="F1383" s="36" t="s">
        <v>7798</v>
      </c>
      <c r="G1383" s="125" t="s">
        <v>913</v>
      </c>
      <c r="H1383" s="125" t="s">
        <v>7808</v>
      </c>
      <c r="I1383" t="s">
        <v>7882</v>
      </c>
    </row>
    <row r="1384">
      <c r="A1384" s="125" t="s">
        <v>3607</v>
      </c>
      <c r="B1384" s="526" t="s">
        <v>3606</v>
      </c>
      <c r="C1384" s="527">
        <v>1.0</v>
      </c>
      <c r="D1384" s="527">
        <v>105.25</v>
      </c>
      <c r="E1384" s="528">
        <v>105.25</v>
      </c>
      <c r="F1384" s="36" t="s">
        <v>7798</v>
      </c>
      <c r="G1384" s="125" t="s">
        <v>913</v>
      </c>
      <c r="H1384" s="125" t="s">
        <v>7808</v>
      </c>
      <c r="I1384" t="s">
        <v>7882</v>
      </c>
    </row>
    <row r="1385">
      <c r="A1385" s="125" t="s">
        <v>3609</v>
      </c>
      <c r="B1385" s="526" t="s">
        <v>3608</v>
      </c>
      <c r="C1385" s="527">
        <v>1.0</v>
      </c>
      <c r="D1385" s="527">
        <v>104.84</v>
      </c>
      <c r="E1385" s="528">
        <v>104.84</v>
      </c>
      <c r="F1385" s="36" t="s">
        <v>7798</v>
      </c>
      <c r="G1385" s="125" t="s">
        <v>913</v>
      </c>
      <c r="H1385" s="125" t="s">
        <v>7808</v>
      </c>
      <c r="I1385" t="s">
        <v>7882</v>
      </c>
    </row>
    <row r="1386">
      <c r="A1386" s="125" t="s">
        <v>3611</v>
      </c>
      <c r="B1386" s="526" t="s">
        <v>3610</v>
      </c>
      <c r="C1386" s="527">
        <v>1.0</v>
      </c>
      <c r="D1386" s="527">
        <v>106.17</v>
      </c>
      <c r="E1386" s="528">
        <v>106.17</v>
      </c>
      <c r="F1386" s="36" t="s">
        <v>7798</v>
      </c>
      <c r="G1386" s="125" t="s">
        <v>913</v>
      </c>
      <c r="H1386" s="125" t="s">
        <v>7808</v>
      </c>
      <c r="I1386" t="s">
        <v>7882</v>
      </c>
    </row>
    <row r="1387">
      <c r="A1387" s="125" t="s">
        <v>3613</v>
      </c>
      <c r="B1387" s="526" t="s">
        <v>3612</v>
      </c>
      <c r="C1387" s="527">
        <v>1.0</v>
      </c>
      <c r="D1387" s="527">
        <v>104.58</v>
      </c>
      <c r="E1387" s="528">
        <v>104.58</v>
      </c>
      <c r="F1387" s="36" t="s">
        <v>7798</v>
      </c>
      <c r="G1387" s="125" t="s">
        <v>913</v>
      </c>
      <c r="H1387" s="125" t="s">
        <v>7808</v>
      </c>
      <c r="I1387" t="s">
        <v>7882</v>
      </c>
    </row>
    <row r="1388">
      <c r="A1388" s="125" t="s">
        <v>3615</v>
      </c>
      <c r="B1388" s="526" t="s">
        <v>3614</v>
      </c>
      <c r="C1388" s="527">
        <v>201.0</v>
      </c>
      <c r="D1388" s="527">
        <v>97.64</v>
      </c>
      <c r="E1388" s="528">
        <v>0.4858</v>
      </c>
      <c r="F1388" s="36" t="s">
        <v>7827</v>
      </c>
      <c r="G1388" s="125" t="s">
        <v>913</v>
      </c>
      <c r="H1388" s="125" t="s">
        <v>7840</v>
      </c>
    </row>
    <row r="1389">
      <c r="A1389" s="125" t="s">
        <v>3617</v>
      </c>
      <c r="B1389" s="526" t="s">
        <v>3616</v>
      </c>
      <c r="C1389" s="527">
        <v>277.0</v>
      </c>
      <c r="D1389" s="527">
        <v>134.12</v>
      </c>
      <c r="E1389" s="528">
        <v>0.4842</v>
      </c>
      <c r="F1389" s="36" t="s">
        <v>7827</v>
      </c>
      <c r="G1389" s="125" t="s">
        <v>913</v>
      </c>
      <c r="H1389" s="125" t="s">
        <v>7840</v>
      </c>
    </row>
    <row r="1390">
      <c r="A1390" s="125" t="s">
        <v>3619</v>
      </c>
      <c r="B1390" s="526" t="s">
        <v>3618</v>
      </c>
      <c r="C1390" s="527">
        <v>280.0</v>
      </c>
      <c r="D1390" s="527">
        <v>135.56</v>
      </c>
      <c r="E1390" s="528">
        <v>0.4841</v>
      </c>
      <c r="F1390" s="36" t="s">
        <v>7827</v>
      </c>
      <c r="G1390" s="125" t="s">
        <v>913</v>
      </c>
      <c r="H1390" s="125" t="s">
        <v>7840</v>
      </c>
    </row>
    <row r="1391">
      <c r="A1391" s="125" t="s">
        <v>3621</v>
      </c>
      <c r="B1391" s="526" t="s">
        <v>3620</v>
      </c>
      <c r="C1391" s="527">
        <v>239.0</v>
      </c>
      <c r="D1391" s="527">
        <v>115.88</v>
      </c>
      <c r="E1391" s="528">
        <v>0.4849</v>
      </c>
      <c r="F1391" s="36" t="s">
        <v>7827</v>
      </c>
      <c r="G1391" s="125" t="s">
        <v>913</v>
      </c>
      <c r="H1391" s="125" t="s">
        <v>7840</v>
      </c>
    </row>
    <row r="1392">
      <c r="A1392" s="125" t="s">
        <v>3623</v>
      </c>
      <c r="B1392" s="526" t="s">
        <v>3622</v>
      </c>
      <c r="C1392" s="527">
        <v>0.0</v>
      </c>
      <c r="D1392" s="527">
        <v>0.0</v>
      </c>
      <c r="F1392" s="36" t="s">
        <v>7798</v>
      </c>
      <c r="G1392" s="125" t="s">
        <v>893</v>
      </c>
      <c r="H1392" s="125" t="s">
        <v>7799</v>
      </c>
      <c r="I1392" t="s">
        <v>45</v>
      </c>
    </row>
    <row r="1393">
      <c r="A1393" s="125" t="s">
        <v>3625</v>
      </c>
      <c r="B1393" s="526" t="s">
        <v>3624</v>
      </c>
      <c r="C1393" s="527">
        <v>0.0</v>
      </c>
      <c r="D1393" s="527">
        <v>0.0</v>
      </c>
      <c r="F1393" s="36" t="s">
        <v>7798</v>
      </c>
      <c r="G1393" s="125" t="s">
        <v>893</v>
      </c>
      <c r="H1393" s="125" t="s">
        <v>7799</v>
      </c>
      <c r="I1393" t="s">
        <v>45</v>
      </c>
    </row>
    <row r="1394">
      <c r="A1394" s="125" t="s">
        <v>3627</v>
      </c>
      <c r="B1394" s="526" t="s">
        <v>3626</v>
      </c>
      <c r="C1394" s="527">
        <v>0.0</v>
      </c>
      <c r="D1394" s="527">
        <v>0.0</v>
      </c>
      <c r="F1394" s="36" t="s">
        <v>7798</v>
      </c>
      <c r="G1394" s="125" t="s">
        <v>893</v>
      </c>
      <c r="H1394" s="125" t="s">
        <v>7799</v>
      </c>
      <c r="I1394" t="s">
        <v>7883</v>
      </c>
    </row>
    <row r="1395">
      <c r="A1395" s="125" t="s">
        <v>3629</v>
      </c>
      <c r="B1395" s="526" t="s">
        <v>3628</v>
      </c>
      <c r="C1395" s="527">
        <v>4.0</v>
      </c>
      <c r="D1395" s="527">
        <v>0.13</v>
      </c>
      <c r="E1395" s="528">
        <v>0.0325</v>
      </c>
      <c r="F1395" s="36" t="s">
        <v>7798</v>
      </c>
      <c r="G1395" s="125" t="s">
        <v>913</v>
      </c>
      <c r="H1395" s="125" t="s">
        <v>7821</v>
      </c>
    </row>
    <row r="1396">
      <c r="A1396" s="125" t="s">
        <v>3635</v>
      </c>
      <c r="B1396" s="526" t="s">
        <v>3634</v>
      </c>
      <c r="C1396" s="527">
        <v>180.0</v>
      </c>
      <c r="D1396" s="527">
        <v>99.0</v>
      </c>
      <c r="E1396" s="528">
        <v>0.55</v>
      </c>
      <c r="F1396" s="36" t="s">
        <v>7798</v>
      </c>
      <c r="G1396" s="125" t="s">
        <v>913</v>
      </c>
      <c r="H1396" s="125" t="s">
        <v>7821</v>
      </c>
      <c r="I1396" t="s">
        <v>7823</v>
      </c>
    </row>
    <row r="1397">
      <c r="A1397" s="125" t="s">
        <v>3637</v>
      </c>
      <c r="B1397" s="526" t="s">
        <v>3636</v>
      </c>
      <c r="C1397" s="527">
        <v>451.0</v>
      </c>
      <c r="D1397" s="527">
        <v>225.5</v>
      </c>
      <c r="E1397" s="528">
        <v>0.5</v>
      </c>
      <c r="F1397" s="36" t="s">
        <v>7798</v>
      </c>
      <c r="G1397" s="125" t="s">
        <v>913</v>
      </c>
      <c r="H1397" s="125" t="s">
        <v>7821</v>
      </c>
      <c r="I1397" t="s">
        <v>7838</v>
      </c>
    </row>
    <row r="1398">
      <c r="A1398" s="125" t="s">
        <v>3641</v>
      </c>
      <c r="B1398" s="526" t="s">
        <v>3640</v>
      </c>
      <c r="C1398" s="527">
        <v>0.0</v>
      </c>
      <c r="D1398" s="527">
        <v>0.0</v>
      </c>
      <c r="F1398" s="36" t="s">
        <v>7798</v>
      </c>
      <c r="G1398" s="125" t="s">
        <v>893</v>
      </c>
      <c r="H1398" s="125" t="s">
        <v>7799</v>
      </c>
      <c r="I1398" t="s">
        <v>7884</v>
      </c>
    </row>
    <row r="1399">
      <c r="A1399" s="125" t="s">
        <v>3643</v>
      </c>
      <c r="B1399" s="526" t="s">
        <v>3642</v>
      </c>
      <c r="C1399" s="527">
        <v>0.0</v>
      </c>
      <c r="D1399" s="527">
        <v>0.0</v>
      </c>
      <c r="F1399" s="36" t="s">
        <v>7798</v>
      </c>
      <c r="G1399" s="125" t="s">
        <v>893</v>
      </c>
      <c r="H1399" s="125" t="s">
        <v>7799</v>
      </c>
      <c r="I1399" t="s">
        <v>7842</v>
      </c>
    </row>
    <row r="1400">
      <c r="A1400" s="125" t="s">
        <v>3645</v>
      </c>
      <c r="B1400" s="526" t="s">
        <v>3644</v>
      </c>
      <c r="C1400" s="527">
        <v>0.0</v>
      </c>
      <c r="D1400" s="527">
        <v>0.0</v>
      </c>
      <c r="F1400" s="36" t="s">
        <v>7798</v>
      </c>
      <c r="G1400" s="125" t="s">
        <v>893</v>
      </c>
      <c r="H1400" s="125" t="s">
        <v>7799</v>
      </c>
      <c r="I1400" t="s">
        <v>7804</v>
      </c>
    </row>
    <row r="1401">
      <c r="A1401" s="125" t="s">
        <v>3647</v>
      </c>
      <c r="B1401" s="526">
        <v>92402.0</v>
      </c>
      <c r="C1401" s="527">
        <v>0.0</v>
      </c>
      <c r="D1401" s="527">
        <v>0.0</v>
      </c>
      <c r="F1401" s="36" t="s">
        <v>7798</v>
      </c>
      <c r="G1401" s="125" t="s">
        <v>893</v>
      </c>
      <c r="H1401" s="125" t="s">
        <v>7799</v>
      </c>
      <c r="I1401" t="s">
        <v>7844</v>
      </c>
    </row>
    <row r="1402">
      <c r="A1402" s="125" t="s">
        <v>3649</v>
      </c>
      <c r="B1402" s="526">
        <v>92404.0</v>
      </c>
      <c r="C1402" s="527">
        <v>0.0</v>
      </c>
      <c r="D1402" s="527">
        <v>0.0</v>
      </c>
      <c r="F1402" s="36" t="s">
        <v>7798</v>
      </c>
      <c r="G1402" s="125" t="s">
        <v>893</v>
      </c>
      <c r="H1402" s="125" t="s">
        <v>7799</v>
      </c>
      <c r="I1402" t="s">
        <v>7844</v>
      </c>
    </row>
    <row r="1403">
      <c r="A1403" s="125" t="s">
        <v>3661</v>
      </c>
      <c r="B1403" s="526" t="s">
        <v>3660</v>
      </c>
      <c r="C1403" s="527">
        <v>0.0</v>
      </c>
      <c r="D1403" s="527">
        <v>0.0</v>
      </c>
      <c r="F1403" s="36" t="s">
        <v>7798</v>
      </c>
      <c r="G1403" s="125" t="s">
        <v>893</v>
      </c>
      <c r="H1403" s="125" t="s">
        <v>7799</v>
      </c>
      <c r="I1403" t="s">
        <v>7839</v>
      </c>
    </row>
    <row r="1404">
      <c r="A1404" s="125" t="s">
        <v>3663</v>
      </c>
      <c r="B1404" s="526" t="s">
        <v>3662</v>
      </c>
      <c r="C1404" s="527">
        <v>0.0</v>
      </c>
      <c r="D1404" s="527">
        <v>0.0</v>
      </c>
      <c r="F1404" s="36" t="s">
        <v>7798</v>
      </c>
      <c r="G1404" s="125" t="s">
        <v>893</v>
      </c>
      <c r="H1404" s="125" t="s">
        <v>7799</v>
      </c>
      <c r="I1404" t="s">
        <v>7839</v>
      </c>
    </row>
    <row r="1405">
      <c r="A1405" s="125" t="s">
        <v>3665</v>
      </c>
      <c r="B1405" s="526" t="s">
        <v>3664</v>
      </c>
      <c r="C1405" s="527">
        <v>0.0</v>
      </c>
      <c r="D1405" s="527">
        <v>0.0</v>
      </c>
      <c r="F1405" s="36" t="s">
        <v>7798</v>
      </c>
      <c r="G1405" s="125" t="s">
        <v>893</v>
      </c>
      <c r="H1405" s="125" t="s">
        <v>7799</v>
      </c>
      <c r="I1405" t="s">
        <v>7811</v>
      </c>
    </row>
    <row r="1406">
      <c r="A1406" s="125" t="s">
        <v>3667</v>
      </c>
      <c r="B1406" s="526" t="s">
        <v>3666</v>
      </c>
      <c r="C1406" s="527">
        <v>0.0</v>
      </c>
      <c r="D1406" s="527">
        <v>0.0</v>
      </c>
      <c r="F1406" s="36" t="s">
        <v>7798</v>
      </c>
      <c r="G1406" s="125" t="s">
        <v>893</v>
      </c>
      <c r="H1406" s="125" t="s">
        <v>7799</v>
      </c>
      <c r="I1406" t="s">
        <v>7839</v>
      </c>
    </row>
    <row r="1407">
      <c r="A1407" s="125" t="s">
        <v>3669</v>
      </c>
      <c r="B1407" s="526" t="s">
        <v>3668</v>
      </c>
      <c r="C1407" s="527">
        <v>0.0</v>
      </c>
      <c r="D1407" s="527">
        <v>0.0</v>
      </c>
      <c r="F1407" s="36" t="s">
        <v>7798</v>
      </c>
      <c r="G1407" s="125" t="s">
        <v>893</v>
      </c>
      <c r="H1407" s="125" t="s">
        <v>7799</v>
      </c>
      <c r="I1407" t="s">
        <v>7839</v>
      </c>
    </row>
    <row r="1408">
      <c r="A1408" s="125" t="s">
        <v>3671</v>
      </c>
      <c r="B1408" s="526" t="s">
        <v>3670</v>
      </c>
      <c r="C1408" s="527">
        <v>0.0</v>
      </c>
      <c r="D1408" s="527">
        <v>0.0</v>
      </c>
      <c r="F1408" s="36" t="s">
        <v>7798</v>
      </c>
      <c r="G1408" s="125" t="s">
        <v>893</v>
      </c>
      <c r="H1408" s="125" t="s">
        <v>7799</v>
      </c>
      <c r="I1408" t="s">
        <v>7839</v>
      </c>
    </row>
    <row r="1409">
      <c r="A1409" s="125" t="s">
        <v>3673</v>
      </c>
      <c r="B1409" s="526" t="s">
        <v>3672</v>
      </c>
      <c r="C1409" s="527">
        <v>0.0</v>
      </c>
      <c r="D1409" s="527">
        <v>0.0</v>
      </c>
      <c r="F1409" s="36" t="s">
        <v>7798</v>
      </c>
      <c r="G1409" s="125" t="s">
        <v>893</v>
      </c>
      <c r="H1409" s="125" t="s">
        <v>7799</v>
      </c>
      <c r="I1409" t="s">
        <v>7839</v>
      </c>
    </row>
    <row r="1410">
      <c r="A1410" s="125" t="s">
        <v>3675</v>
      </c>
      <c r="B1410" s="526" t="s">
        <v>3674</v>
      </c>
      <c r="C1410" s="527">
        <v>0.0</v>
      </c>
      <c r="D1410" s="527">
        <v>0.0</v>
      </c>
      <c r="F1410" s="36" t="s">
        <v>7798</v>
      </c>
      <c r="G1410" s="125" t="s">
        <v>893</v>
      </c>
      <c r="H1410" s="125" t="s">
        <v>7799</v>
      </c>
      <c r="I1410" t="s">
        <v>7839</v>
      </c>
    </row>
    <row r="1411">
      <c r="A1411" s="125" t="s">
        <v>3677</v>
      </c>
      <c r="B1411" s="526" t="s">
        <v>3676</v>
      </c>
      <c r="C1411" s="527">
        <v>0.0</v>
      </c>
      <c r="D1411" s="527">
        <v>0.0</v>
      </c>
      <c r="F1411" s="36" t="s">
        <v>7798</v>
      </c>
      <c r="G1411" s="125" t="s">
        <v>893</v>
      </c>
      <c r="H1411" s="125" t="s">
        <v>7799</v>
      </c>
      <c r="I1411" t="s">
        <v>7839</v>
      </c>
    </row>
    <row r="1412">
      <c r="A1412" s="125" t="s">
        <v>3679</v>
      </c>
      <c r="B1412" s="526" t="s">
        <v>3678</v>
      </c>
      <c r="C1412" s="527">
        <v>0.0</v>
      </c>
      <c r="D1412" s="527">
        <v>0.0</v>
      </c>
      <c r="F1412" s="36" t="s">
        <v>7798</v>
      </c>
      <c r="G1412" s="125" t="s">
        <v>893</v>
      </c>
      <c r="H1412" s="125" t="s">
        <v>7799</v>
      </c>
      <c r="I1412" t="s">
        <v>7839</v>
      </c>
    </row>
    <row r="1413">
      <c r="A1413" s="125" t="s">
        <v>3681</v>
      </c>
      <c r="B1413" s="526" t="s">
        <v>3680</v>
      </c>
      <c r="C1413" s="527">
        <v>0.0</v>
      </c>
      <c r="D1413" s="527">
        <v>0.0</v>
      </c>
      <c r="F1413" s="36" t="s">
        <v>7798</v>
      </c>
      <c r="G1413" s="125" t="s">
        <v>893</v>
      </c>
      <c r="H1413" s="125" t="s">
        <v>7799</v>
      </c>
      <c r="I1413" t="s">
        <v>7839</v>
      </c>
    </row>
    <row r="1414">
      <c r="A1414" s="125" t="s">
        <v>3683</v>
      </c>
      <c r="B1414" s="526" t="s">
        <v>3682</v>
      </c>
      <c r="C1414" s="527">
        <v>0.0</v>
      </c>
      <c r="D1414" s="527">
        <v>0.0</v>
      </c>
      <c r="F1414" s="36" t="s">
        <v>7798</v>
      </c>
      <c r="G1414" s="125" t="s">
        <v>893</v>
      </c>
      <c r="H1414" s="125" t="s">
        <v>7799</v>
      </c>
      <c r="I1414" t="s">
        <v>53</v>
      </c>
    </row>
    <row r="1415">
      <c r="A1415" s="125" t="s">
        <v>3685</v>
      </c>
      <c r="B1415" s="526" t="s">
        <v>3684</v>
      </c>
      <c r="C1415" s="527">
        <v>0.0</v>
      </c>
      <c r="D1415" s="527">
        <v>0.0</v>
      </c>
      <c r="F1415" s="36" t="s">
        <v>7798</v>
      </c>
      <c r="G1415" s="125" t="s">
        <v>893</v>
      </c>
      <c r="H1415" s="125" t="s">
        <v>7801</v>
      </c>
      <c r="I1415" t="s">
        <v>53</v>
      </c>
    </row>
    <row r="1416">
      <c r="A1416" s="125" t="s">
        <v>3687</v>
      </c>
      <c r="B1416" s="526" t="s">
        <v>3686</v>
      </c>
      <c r="C1416" s="527">
        <v>0.0</v>
      </c>
      <c r="D1416" s="527">
        <v>0.0</v>
      </c>
      <c r="F1416" s="36" t="s">
        <v>7798</v>
      </c>
      <c r="G1416" s="125" t="s">
        <v>893</v>
      </c>
      <c r="H1416" s="125" t="s">
        <v>7801</v>
      </c>
      <c r="I1416" t="s">
        <v>53</v>
      </c>
    </row>
    <row r="1417">
      <c r="A1417" s="125" t="s">
        <v>3689</v>
      </c>
      <c r="B1417" s="526" t="s">
        <v>3688</v>
      </c>
      <c r="C1417" s="527">
        <v>0.0</v>
      </c>
      <c r="D1417" s="527">
        <v>0.0</v>
      </c>
      <c r="F1417" s="36" t="s">
        <v>7798</v>
      </c>
      <c r="G1417" s="125" t="s">
        <v>893</v>
      </c>
      <c r="H1417" s="125" t="s">
        <v>7799</v>
      </c>
      <c r="I1417" t="s">
        <v>7839</v>
      </c>
    </row>
    <row r="1418">
      <c r="A1418" s="125" t="s">
        <v>3691</v>
      </c>
      <c r="B1418" s="526" t="s">
        <v>3690</v>
      </c>
      <c r="C1418" s="527">
        <v>0.0</v>
      </c>
      <c r="D1418" s="527">
        <v>0.0</v>
      </c>
      <c r="F1418" s="36" t="s">
        <v>7798</v>
      </c>
      <c r="G1418" s="125" t="s">
        <v>893</v>
      </c>
      <c r="H1418" s="125" t="s">
        <v>7799</v>
      </c>
      <c r="I1418" t="s">
        <v>7839</v>
      </c>
    </row>
    <row r="1419">
      <c r="A1419" s="125" t="s">
        <v>3695</v>
      </c>
      <c r="B1419" s="526" t="s">
        <v>3694</v>
      </c>
      <c r="C1419" s="527">
        <v>0.0</v>
      </c>
      <c r="D1419" s="527">
        <v>0.0</v>
      </c>
      <c r="F1419" s="36" t="s">
        <v>7798</v>
      </c>
      <c r="G1419" s="125" t="s">
        <v>893</v>
      </c>
      <c r="H1419" s="125" t="s">
        <v>7799</v>
      </c>
      <c r="I1419" t="s">
        <v>7839</v>
      </c>
    </row>
    <row r="1420">
      <c r="A1420" s="125" t="s">
        <v>3697</v>
      </c>
      <c r="B1420" s="526" t="s">
        <v>3696</v>
      </c>
      <c r="C1420" s="527">
        <v>0.0</v>
      </c>
      <c r="D1420" s="527">
        <v>0.0</v>
      </c>
      <c r="F1420" s="36" t="s">
        <v>7798</v>
      </c>
      <c r="G1420" s="125" t="s">
        <v>893</v>
      </c>
      <c r="H1420" s="125" t="s">
        <v>7799</v>
      </c>
      <c r="I1420" t="s">
        <v>7839</v>
      </c>
    </row>
    <row r="1421">
      <c r="A1421" s="125" t="s">
        <v>3699</v>
      </c>
      <c r="B1421" s="526" t="s">
        <v>3698</v>
      </c>
      <c r="C1421" s="527">
        <v>0.0</v>
      </c>
      <c r="D1421" s="527">
        <v>0.0</v>
      </c>
      <c r="F1421" s="36" t="s">
        <v>7798</v>
      </c>
      <c r="G1421" s="125" t="s">
        <v>893</v>
      </c>
      <c r="H1421" s="125" t="s">
        <v>7799</v>
      </c>
      <c r="I1421" t="s">
        <v>7839</v>
      </c>
    </row>
    <row r="1422">
      <c r="A1422" s="125" t="s">
        <v>3703</v>
      </c>
      <c r="B1422" s="526" t="s">
        <v>3702</v>
      </c>
      <c r="C1422" s="527">
        <v>0.0</v>
      </c>
      <c r="D1422" s="527">
        <v>0.0</v>
      </c>
      <c r="F1422" s="36" t="s">
        <v>7798</v>
      </c>
      <c r="G1422" s="125" t="s">
        <v>893</v>
      </c>
      <c r="H1422" s="125" t="s">
        <v>7799</v>
      </c>
      <c r="I1422" t="s">
        <v>7839</v>
      </c>
    </row>
    <row r="1423">
      <c r="A1423" s="125" t="s">
        <v>3705</v>
      </c>
      <c r="B1423" s="526" t="s">
        <v>3704</v>
      </c>
      <c r="C1423" s="527">
        <v>0.0</v>
      </c>
      <c r="D1423" s="527">
        <v>0.0</v>
      </c>
      <c r="F1423" s="36" t="s">
        <v>7798</v>
      </c>
      <c r="G1423" s="125" t="s">
        <v>893</v>
      </c>
      <c r="H1423" s="125" t="s">
        <v>7799</v>
      </c>
      <c r="I1423" t="s">
        <v>7839</v>
      </c>
    </row>
    <row r="1424">
      <c r="A1424" s="125" t="s">
        <v>3707</v>
      </c>
      <c r="B1424" s="526" t="s">
        <v>3706</v>
      </c>
      <c r="C1424" s="527">
        <v>0.0</v>
      </c>
      <c r="D1424" s="527">
        <v>0.0</v>
      </c>
      <c r="F1424" s="36" t="s">
        <v>7798</v>
      </c>
      <c r="G1424" s="125" t="s">
        <v>893</v>
      </c>
      <c r="H1424" s="125" t="s">
        <v>7799</v>
      </c>
      <c r="I1424" t="s">
        <v>7811</v>
      </c>
    </row>
    <row r="1425">
      <c r="A1425" s="125" t="s">
        <v>3709</v>
      </c>
      <c r="B1425" s="526" t="s">
        <v>3708</v>
      </c>
      <c r="C1425" s="527">
        <v>0.0</v>
      </c>
      <c r="D1425" s="527">
        <v>0.0</v>
      </c>
      <c r="F1425" s="36" t="s">
        <v>7798</v>
      </c>
      <c r="G1425" s="125" t="s">
        <v>893</v>
      </c>
      <c r="H1425" s="125" t="s">
        <v>7799</v>
      </c>
      <c r="I1425" t="s">
        <v>7839</v>
      </c>
    </row>
    <row r="1426">
      <c r="A1426" s="125" t="s">
        <v>3711</v>
      </c>
      <c r="B1426" s="526" t="s">
        <v>3710</v>
      </c>
      <c r="C1426" s="527">
        <v>0.0</v>
      </c>
      <c r="D1426" s="527">
        <v>0.0</v>
      </c>
      <c r="F1426" s="36" t="s">
        <v>7798</v>
      </c>
      <c r="G1426" s="125" t="s">
        <v>893</v>
      </c>
      <c r="H1426" s="125" t="s">
        <v>7799</v>
      </c>
      <c r="I1426" t="s">
        <v>7839</v>
      </c>
    </row>
    <row r="1427">
      <c r="A1427" s="125" t="s">
        <v>3715</v>
      </c>
      <c r="B1427" s="526" t="s">
        <v>3714</v>
      </c>
      <c r="C1427" s="527">
        <v>0.0</v>
      </c>
      <c r="D1427" s="527">
        <v>0.0</v>
      </c>
      <c r="F1427" s="36" t="s">
        <v>7798</v>
      </c>
      <c r="G1427" s="125" t="s">
        <v>893</v>
      </c>
      <c r="H1427" s="125" t="s">
        <v>7799</v>
      </c>
      <c r="I1427" t="s">
        <v>7839</v>
      </c>
    </row>
    <row r="1428">
      <c r="A1428" s="125" t="s">
        <v>3717</v>
      </c>
      <c r="B1428" s="526" t="s">
        <v>3716</v>
      </c>
      <c r="C1428" s="527">
        <v>0.0</v>
      </c>
      <c r="D1428" s="527">
        <v>0.0</v>
      </c>
      <c r="F1428" s="36" t="s">
        <v>7798</v>
      </c>
      <c r="G1428" s="125" t="s">
        <v>893</v>
      </c>
      <c r="H1428" s="125" t="s">
        <v>7799</v>
      </c>
      <c r="I1428" t="s">
        <v>7839</v>
      </c>
    </row>
    <row r="1429">
      <c r="A1429" s="125" t="s">
        <v>3719</v>
      </c>
      <c r="B1429" s="526" t="s">
        <v>3718</v>
      </c>
      <c r="C1429" s="527">
        <v>0.0</v>
      </c>
      <c r="D1429" s="527">
        <v>0.0</v>
      </c>
      <c r="F1429" s="36" t="s">
        <v>7798</v>
      </c>
      <c r="G1429" s="125" t="s">
        <v>893</v>
      </c>
      <c r="H1429" s="125" t="s">
        <v>7799</v>
      </c>
      <c r="I1429" t="s">
        <v>7811</v>
      </c>
    </row>
    <row r="1430">
      <c r="A1430" s="125" t="s">
        <v>3721</v>
      </c>
      <c r="B1430" s="526" t="s">
        <v>3720</v>
      </c>
      <c r="C1430" s="527">
        <v>0.0</v>
      </c>
      <c r="D1430" s="527">
        <v>0.0</v>
      </c>
      <c r="F1430" s="36" t="s">
        <v>7798</v>
      </c>
      <c r="G1430" s="125" t="s">
        <v>893</v>
      </c>
      <c r="H1430" s="125" t="s">
        <v>7799</v>
      </c>
      <c r="I1430" t="s">
        <v>7839</v>
      </c>
    </row>
    <row r="1431">
      <c r="A1431" s="125" t="s">
        <v>3723</v>
      </c>
      <c r="B1431" s="526" t="s">
        <v>3722</v>
      </c>
      <c r="C1431" s="527">
        <v>0.0</v>
      </c>
      <c r="D1431" s="527">
        <v>0.0</v>
      </c>
      <c r="F1431" s="36" t="s">
        <v>7798</v>
      </c>
      <c r="G1431" s="125" t="s">
        <v>893</v>
      </c>
      <c r="H1431" s="125" t="s">
        <v>7799</v>
      </c>
      <c r="I1431" t="s">
        <v>278</v>
      </c>
    </row>
    <row r="1432">
      <c r="A1432" s="125" t="s">
        <v>3725</v>
      </c>
      <c r="B1432" s="526" t="s">
        <v>3724</v>
      </c>
      <c r="C1432" s="527">
        <v>0.0</v>
      </c>
      <c r="D1432" s="527">
        <v>0.0</v>
      </c>
      <c r="F1432" s="36" t="s">
        <v>7798</v>
      </c>
      <c r="G1432" s="125" t="s">
        <v>893</v>
      </c>
      <c r="H1432" s="125" t="s">
        <v>7799</v>
      </c>
      <c r="I1432" t="s">
        <v>278</v>
      </c>
    </row>
    <row r="1433">
      <c r="A1433" s="125" t="s">
        <v>3727</v>
      </c>
      <c r="B1433" s="526" t="s">
        <v>3726</v>
      </c>
      <c r="C1433" s="527">
        <v>84.0</v>
      </c>
      <c r="D1433" s="527">
        <v>778.8</v>
      </c>
      <c r="E1433" s="528">
        <v>9.2714</v>
      </c>
      <c r="F1433" s="36" t="s">
        <v>7798</v>
      </c>
      <c r="G1433" s="125" t="s">
        <v>913</v>
      </c>
      <c r="H1433" s="125" t="s">
        <v>7801</v>
      </c>
      <c r="I1433" t="s">
        <v>278</v>
      </c>
    </row>
    <row r="1434">
      <c r="A1434" s="125" t="s">
        <v>3729</v>
      </c>
      <c r="B1434" s="526" t="s">
        <v>3728</v>
      </c>
      <c r="C1434" s="527">
        <v>0.0</v>
      </c>
      <c r="D1434" s="527">
        <v>0.0</v>
      </c>
      <c r="F1434" s="36" t="s">
        <v>7798</v>
      </c>
      <c r="G1434" s="125" t="s">
        <v>893</v>
      </c>
      <c r="H1434" s="125" t="s">
        <v>7799</v>
      </c>
      <c r="I1434" t="s">
        <v>278</v>
      </c>
    </row>
    <row r="1435">
      <c r="A1435" s="125" t="s">
        <v>3731</v>
      </c>
      <c r="B1435" s="526" t="s">
        <v>3730</v>
      </c>
      <c r="C1435" s="527">
        <v>0.0</v>
      </c>
      <c r="D1435" s="527">
        <v>0.0</v>
      </c>
      <c r="F1435" s="36" t="s">
        <v>7798</v>
      </c>
      <c r="G1435" s="125" t="s">
        <v>893</v>
      </c>
      <c r="H1435" s="125" t="s">
        <v>7799</v>
      </c>
      <c r="I1435" t="s">
        <v>278</v>
      </c>
    </row>
    <row r="1436">
      <c r="A1436" s="125" t="s">
        <v>3733</v>
      </c>
      <c r="B1436" s="526" t="s">
        <v>3732</v>
      </c>
      <c r="C1436" s="527">
        <v>0.0</v>
      </c>
      <c r="D1436" s="527">
        <v>0.0</v>
      </c>
      <c r="F1436" s="36" t="s">
        <v>7798</v>
      </c>
      <c r="G1436" s="125" t="s">
        <v>893</v>
      </c>
      <c r="H1436" s="125" t="s">
        <v>7799</v>
      </c>
      <c r="I1436" t="s">
        <v>278</v>
      </c>
    </row>
    <row r="1437">
      <c r="A1437" s="125" t="s">
        <v>3735</v>
      </c>
      <c r="B1437" s="526" t="s">
        <v>3734</v>
      </c>
      <c r="C1437" s="527">
        <v>0.0</v>
      </c>
      <c r="D1437" s="527">
        <v>0.0</v>
      </c>
      <c r="F1437" s="36" t="s">
        <v>7798</v>
      </c>
      <c r="G1437" s="125" t="s">
        <v>893</v>
      </c>
      <c r="H1437" s="125" t="s">
        <v>7799</v>
      </c>
      <c r="I1437" t="s">
        <v>278</v>
      </c>
    </row>
    <row r="1438">
      <c r="A1438" s="125" t="s">
        <v>50</v>
      </c>
      <c r="B1438" s="526">
        <v>36804.0</v>
      </c>
      <c r="C1438" s="527">
        <v>48.0</v>
      </c>
      <c r="D1438" s="527">
        <v>299.3</v>
      </c>
      <c r="E1438" s="528">
        <v>6.2354</v>
      </c>
      <c r="F1438" s="36" t="s">
        <v>7798</v>
      </c>
      <c r="G1438" s="125" t="s">
        <v>913</v>
      </c>
      <c r="H1438" s="125" t="s">
        <v>32</v>
      </c>
      <c r="I1438" t="s">
        <v>33</v>
      </c>
    </row>
    <row r="1439">
      <c r="A1439" s="125" t="s">
        <v>52</v>
      </c>
      <c r="B1439" s="526">
        <v>36806.0</v>
      </c>
      <c r="C1439" s="527">
        <v>48.0</v>
      </c>
      <c r="D1439" s="527">
        <v>299.3</v>
      </c>
      <c r="E1439" s="528">
        <v>6.2354</v>
      </c>
      <c r="F1439" s="36" t="s">
        <v>7798</v>
      </c>
      <c r="G1439" s="125" t="s">
        <v>913</v>
      </c>
      <c r="H1439" s="125" t="s">
        <v>32</v>
      </c>
      <c r="I1439" t="s">
        <v>33</v>
      </c>
    </row>
    <row r="1440">
      <c r="A1440" s="125" t="s">
        <v>51</v>
      </c>
      <c r="B1440" s="526">
        <v>36805.0</v>
      </c>
      <c r="C1440" s="527">
        <v>87.0</v>
      </c>
      <c r="D1440" s="527">
        <v>542.51</v>
      </c>
      <c r="E1440" s="528">
        <v>6.2357</v>
      </c>
      <c r="F1440" s="36" t="s">
        <v>7798</v>
      </c>
      <c r="G1440" s="125" t="s">
        <v>913</v>
      </c>
      <c r="H1440" s="125" t="s">
        <v>32</v>
      </c>
      <c r="I1440" t="s">
        <v>33</v>
      </c>
    </row>
    <row r="1441">
      <c r="A1441" s="125" t="s">
        <v>48</v>
      </c>
      <c r="B1441" s="526">
        <v>36801.0</v>
      </c>
      <c r="C1441" s="527">
        <v>112.0</v>
      </c>
      <c r="D1441" s="527">
        <v>698.41</v>
      </c>
      <c r="E1441" s="528">
        <v>6.2358</v>
      </c>
      <c r="F1441" s="36" t="s">
        <v>7798</v>
      </c>
      <c r="G1441" s="125" t="s">
        <v>913</v>
      </c>
      <c r="H1441" s="125" t="s">
        <v>32</v>
      </c>
      <c r="I1441" t="s">
        <v>33</v>
      </c>
    </row>
    <row r="1442">
      <c r="A1442" s="125" t="s">
        <v>49</v>
      </c>
      <c r="B1442" s="526">
        <v>36803.0</v>
      </c>
      <c r="C1442" s="527">
        <v>63.0</v>
      </c>
      <c r="D1442" s="527">
        <v>392.84</v>
      </c>
      <c r="E1442" s="528">
        <v>6.2356</v>
      </c>
      <c r="F1442" s="36" t="s">
        <v>7798</v>
      </c>
      <c r="G1442" s="125" t="s">
        <v>913</v>
      </c>
      <c r="H1442" s="125" t="s">
        <v>32</v>
      </c>
      <c r="I1442" t="s">
        <v>33</v>
      </c>
    </row>
    <row r="1443">
      <c r="A1443" s="125" t="s">
        <v>3736</v>
      </c>
      <c r="B1443" s="526">
        <v>36802.0</v>
      </c>
      <c r="C1443" s="527">
        <v>0.0</v>
      </c>
      <c r="D1443" s="527">
        <v>0.0</v>
      </c>
      <c r="F1443" s="36" t="s">
        <v>7798</v>
      </c>
      <c r="G1443" s="125" t="s">
        <v>893</v>
      </c>
      <c r="H1443" s="125" t="s">
        <v>7799</v>
      </c>
      <c r="I1443" t="s">
        <v>33</v>
      </c>
    </row>
    <row r="1444">
      <c r="A1444" s="125" t="s">
        <v>46</v>
      </c>
      <c r="B1444" s="526" t="s">
        <v>47</v>
      </c>
      <c r="C1444" s="527">
        <v>32.0</v>
      </c>
      <c r="D1444" s="527">
        <v>371.12</v>
      </c>
      <c r="E1444" s="528">
        <v>11.5975</v>
      </c>
      <c r="F1444" s="36" t="s">
        <v>7798</v>
      </c>
      <c r="G1444" s="125" t="s">
        <v>913</v>
      </c>
      <c r="H1444" s="125" t="s">
        <v>32</v>
      </c>
      <c r="I1444" t="s">
        <v>45</v>
      </c>
    </row>
    <row r="1445">
      <c r="A1445" s="125" t="s">
        <v>43</v>
      </c>
      <c r="B1445" s="526" t="s">
        <v>44</v>
      </c>
      <c r="C1445" s="527">
        <v>3.0</v>
      </c>
      <c r="D1445" s="527">
        <v>313.54</v>
      </c>
      <c r="E1445" s="528">
        <v>104.5133</v>
      </c>
      <c r="F1445" s="36" t="s">
        <v>7807</v>
      </c>
      <c r="G1445" s="125" t="s">
        <v>913</v>
      </c>
      <c r="H1445" s="125" t="s">
        <v>32</v>
      </c>
      <c r="I1445" t="s">
        <v>33</v>
      </c>
    </row>
    <row r="1446">
      <c r="A1446" s="125" t="s">
        <v>3737</v>
      </c>
      <c r="B1446" s="526">
        <v>90403.0</v>
      </c>
      <c r="C1446" s="527">
        <v>0.0</v>
      </c>
      <c r="D1446" s="527">
        <v>0.0</v>
      </c>
      <c r="F1446" s="36" t="s">
        <v>7798</v>
      </c>
      <c r="G1446" s="125" t="s">
        <v>893</v>
      </c>
      <c r="H1446" s="125" t="s">
        <v>7799</v>
      </c>
      <c r="I1446" t="s">
        <v>33</v>
      </c>
    </row>
    <row r="1447">
      <c r="A1447" s="125" t="s">
        <v>3738</v>
      </c>
      <c r="B1447" s="526">
        <v>87307.0</v>
      </c>
      <c r="C1447" s="527">
        <v>0.0</v>
      </c>
      <c r="D1447" s="527">
        <v>0.0</v>
      </c>
      <c r="F1447" s="36" t="s">
        <v>7798</v>
      </c>
      <c r="G1447" s="125" t="s">
        <v>893</v>
      </c>
      <c r="H1447" s="125" t="s">
        <v>7799</v>
      </c>
      <c r="I1447" t="s">
        <v>7866</v>
      </c>
    </row>
    <row r="1448">
      <c r="A1448" s="125" t="s">
        <v>225</v>
      </c>
      <c r="B1448" s="526" t="s">
        <v>226</v>
      </c>
      <c r="C1448" s="527">
        <v>0.0</v>
      </c>
      <c r="D1448" s="527">
        <v>0.0</v>
      </c>
      <c r="F1448" s="36" t="s">
        <v>7798</v>
      </c>
      <c r="G1448" s="125" t="s">
        <v>913</v>
      </c>
      <c r="H1448" s="125" t="s">
        <v>569</v>
      </c>
      <c r="I1448" t="s">
        <v>63</v>
      </c>
    </row>
    <row r="1449">
      <c r="A1449" s="125" t="s">
        <v>3742</v>
      </c>
      <c r="B1449" s="526" t="s">
        <v>3741</v>
      </c>
      <c r="C1449" s="527">
        <v>14.0</v>
      </c>
      <c r="D1449" s="527">
        <v>21.8</v>
      </c>
      <c r="E1449" s="528">
        <v>1.5571</v>
      </c>
      <c r="F1449" s="36" t="s">
        <v>7798</v>
      </c>
      <c r="G1449" s="125" t="s">
        <v>913</v>
      </c>
      <c r="H1449" s="125" t="s">
        <v>7801</v>
      </c>
      <c r="I1449" t="s">
        <v>63</v>
      </c>
    </row>
    <row r="1450">
      <c r="A1450" s="125" t="s">
        <v>3744</v>
      </c>
      <c r="B1450" s="526" t="s">
        <v>3743</v>
      </c>
      <c r="C1450" s="527">
        <v>226.0</v>
      </c>
      <c r="D1450" s="527">
        <v>359.39</v>
      </c>
      <c r="E1450" s="528">
        <v>1.5902</v>
      </c>
      <c r="F1450" s="36" t="s">
        <v>7798</v>
      </c>
      <c r="G1450" s="125" t="s">
        <v>913</v>
      </c>
      <c r="H1450" s="125" t="s">
        <v>7801</v>
      </c>
      <c r="I1450" t="s">
        <v>63</v>
      </c>
    </row>
    <row r="1451">
      <c r="A1451" s="125" t="s">
        <v>227</v>
      </c>
      <c r="B1451" s="526" t="s">
        <v>228</v>
      </c>
      <c r="C1451" s="527">
        <v>294.0</v>
      </c>
      <c r="D1451" s="527">
        <v>457.53</v>
      </c>
      <c r="E1451" s="528">
        <v>1.5562</v>
      </c>
      <c r="F1451" s="36" t="s">
        <v>7798</v>
      </c>
      <c r="G1451" s="125" t="s">
        <v>913</v>
      </c>
      <c r="H1451" s="125" t="s">
        <v>569</v>
      </c>
      <c r="I1451" t="s">
        <v>63</v>
      </c>
    </row>
    <row r="1452">
      <c r="A1452" s="125" t="s">
        <v>3746</v>
      </c>
      <c r="B1452" s="526" t="s">
        <v>3745</v>
      </c>
      <c r="C1452" s="527">
        <v>448.0</v>
      </c>
      <c r="D1452" s="527">
        <v>661.29</v>
      </c>
      <c r="E1452" s="528">
        <v>1.4761</v>
      </c>
      <c r="F1452" s="36" t="s">
        <v>7798</v>
      </c>
      <c r="G1452" s="125" t="s">
        <v>913</v>
      </c>
      <c r="H1452" s="125" t="s">
        <v>7808</v>
      </c>
      <c r="I1452" t="s">
        <v>63</v>
      </c>
    </row>
    <row r="1453">
      <c r="A1453" s="125" t="s">
        <v>3748</v>
      </c>
      <c r="B1453" s="526" t="s">
        <v>3747</v>
      </c>
      <c r="C1453" s="527">
        <v>0.0</v>
      </c>
      <c r="D1453" s="527">
        <v>0.0</v>
      </c>
      <c r="F1453" s="36" t="s">
        <v>7798</v>
      </c>
      <c r="G1453" s="125" t="s">
        <v>893</v>
      </c>
      <c r="H1453" s="125" t="s">
        <v>7801</v>
      </c>
      <c r="I1453" t="s">
        <v>63</v>
      </c>
    </row>
    <row r="1454">
      <c r="A1454" s="125" t="s">
        <v>3750</v>
      </c>
      <c r="B1454" s="526" t="s">
        <v>3749</v>
      </c>
      <c r="C1454" s="527">
        <v>15.0</v>
      </c>
      <c r="D1454" s="527">
        <v>21.55</v>
      </c>
      <c r="E1454" s="528">
        <v>1.4367</v>
      </c>
      <c r="F1454" s="36" t="s">
        <v>7798</v>
      </c>
      <c r="G1454" s="125" t="s">
        <v>913</v>
      </c>
      <c r="H1454" s="125" t="s">
        <v>7801</v>
      </c>
      <c r="I1454" t="s">
        <v>63</v>
      </c>
    </row>
    <row r="1455">
      <c r="A1455" s="125" t="s">
        <v>3752</v>
      </c>
      <c r="B1455" s="526" t="s">
        <v>3751</v>
      </c>
      <c r="C1455" s="527">
        <v>0.0</v>
      </c>
      <c r="D1455" s="527">
        <v>0.0</v>
      </c>
      <c r="F1455" s="36" t="s">
        <v>7798</v>
      </c>
      <c r="G1455" s="125" t="s">
        <v>893</v>
      </c>
      <c r="H1455" s="125" t="s">
        <v>7801</v>
      </c>
      <c r="I1455" t="s">
        <v>63</v>
      </c>
    </row>
    <row r="1456">
      <c r="A1456" s="125" t="s">
        <v>3754</v>
      </c>
      <c r="B1456" s="526" t="s">
        <v>3753</v>
      </c>
      <c r="C1456" s="527">
        <v>0.0</v>
      </c>
      <c r="D1456" s="527">
        <v>0.0</v>
      </c>
      <c r="F1456" s="36" t="s">
        <v>7798</v>
      </c>
      <c r="G1456" s="125" t="s">
        <v>913</v>
      </c>
      <c r="H1456" s="125" t="s">
        <v>7801</v>
      </c>
      <c r="I1456" t="s">
        <v>63</v>
      </c>
    </row>
    <row r="1457">
      <c r="A1457" s="125" t="s">
        <v>3756</v>
      </c>
      <c r="B1457" s="526" t="s">
        <v>3755</v>
      </c>
      <c r="C1457" s="527">
        <v>0.0</v>
      </c>
      <c r="D1457" s="527">
        <v>0.0</v>
      </c>
      <c r="F1457" s="36" t="s">
        <v>7798</v>
      </c>
      <c r="G1457" s="125" t="s">
        <v>913</v>
      </c>
      <c r="H1457" s="125" t="s">
        <v>7801</v>
      </c>
      <c r="I1457" t="s">
        <v>63</v>
      </c>
    </row>
    <row r="1458">
      <c r="A1458" s="125" t="s">
        <v>3758</v>
      </c>
      <c r="B1458" s="526" t="s">
        <v>3757</v>
      </c>
      <c r="C1458" s="527">
        <v>0.0</v>
      </c>
      <c r="D1458" s="527">
        <v>0.0</v>
      </c>
      <c r="F1458" s="36" t="s">
        <v>7798</v>
      </c>
      <c r="G1458" s="125" t="s">
        <v>893</v>
      </c>
      <c r="H1458" s="125" t="s">
        <v>7801</v>
      </c>
      <c r="I1458" t="s">
        <v>63</v>
      </c>
    </row>
    <row r="1459">
      <c r="A1459" s="125" t="s">
        <v>3760</v>
      </c>
      <c r="B1459" s="526" t="s">
        <v>3759</v>
      </c>
      <c r="C1459" s="527">
        <v>0.0</v>
      </c>
      <c r="D1459" s="527">
        <v>0.0</v>
      </c>
      <c r="F1459" s="36" t="s">
        <v>7798</v>
      </c>
      <c r="G1459" s="125" t="s">
        <v>893</v>
      </c>
      <c r="H1459" s="125" t="s">
        <v>7799</v>
      </c>
      <c r="I1459" t="s">
        <v>7811</v>
      </c>
    </row>
    <row r="1460">
      <c r="A1460" s="125" t="s">
        <v>3766</v>
      </c>
      <c r="B1460" s="526" t="s">
        <v>3765</v>
      </c>
      <c r="C1460" s="527">
        <v>0.0</v>
      </c>
      <c r="D1460" s="527">
        <v>0.0</v>
      </c>
      <c r="F1460" s="36" t="s">
        <v>7798</v>
      </c>
      <c r="G1460" s="125" t="s">
        <v>913</v>
      </c>
      <c r="H1460" s="125" t="s">
        <v>7808</v>
      </c>
      <c r="I1460" t="s">
        <v>63</v>
      </c>
    </row>
    <row r="1461">
      <c r="A1461" s="125" t="s">
        <v>572</v>
      </c>
      <c r="B1461" s="526" t="s">
        <v>573</v>
      </c>
      <c r="C1461" s="527">
        <v>188.0</v>
      </c>
      <c r="D1461" s="527">
        <v>292.52</v>
      </c>
      <c r="E1461" s="528">
        <v>1.556</v>
      </c>
      <c r="F1461" s="36" t="s">
        <v>7798</v>
      </c>
      <c r="G1461" s="125" t="s">
        <v>913</v>
      </c>
      <c r="H1461" s="125" t="s">
        <v>569</v>
      </c>
      <c r="I1461" t="s">
        <v>63</v>
      </c>
    </row>
    <row r="1462">
      <c r="A1462" s="125" t="s">
        <v>3768</v>
      </c>
      <c r="B1462" s="526" t="s">
        <v>3767</v>
      </c>
      <c r="C1462" s="527">
        <v>0.0</v>
      </c>
      <c r="D1462" s="527">
        <v>0.0</v>
      </c>
      <c r="F1462" s="36" t="s">
        <v>7798</v>
      </c>
      <c r="G1462" s="125" t="s">
        <v>913</v>
      </c>
      <c r="H1462" s="125" t="s">
        <v>7801</v>
      </c>
      <c r="I1462" t="s">
        <v>63</v>
      </c>
    </row>
    <row r="1463">
      <c r="A1463" s="125" t="s">
        <v>3770</v>
      </c>
      <c r="B1463" s="526" t="s">
        <v>3769</v>
      </c>
      <c r="C1463" s="527">
        <v>0.0</v>
      </c>
      <c r="D1463" s="527">
        <v>0.0</v>
      </c>
      <c r="F1463" s="36" t="s">
        <v>7798</v>
      </c>
      <c r="G1463" s="125" t="s">
        <v>893</v>
      </c>
      <c r="H1463" s="125" t="s">
        <v>7801</v>
      </c>
      <c r="I1463" t="s">
        <v>63</v>
      </c>
    </row>
    <row r="1464">
      <c r="A1464" s="125" t="s">
        <v>3772</v>
      </c>
      <c r="B1464" s="526" t="s">
        <v>3771</v>
      </c>
      <c r="C1464" s="527">
        <v>0.0</v>
      </c>
      <c r="D1464" s="527">
        <v>0.0</v>
      </c>
      <c r="F1464" s="36" t="s">
        <v>7798</v>
      </c>
      <c r="G1464" s="125" t="s">
        <v>893</v>
      </c>
      <c r="H1464" s="125" t="s">
        <v>7799</v>
      </c>
      <c r="I1464" t="s">
        <v>7812</v>
      </c>
    </row>
    <row r="1465">
      <c r="A1465" s="125" t="s">
        <v>3774</v>
      </c>
      <c r="B1465" s="526" t="s">
        <v>3773</v>
      </c>
      <c r="C1465" s="527">
        <v>0.0</v>
      </c>
      <c r="D1465" s="527">
        <v>0.0</v>
      </c>
      <c r="F1465" s="36" t="s">
        <v>7798</v>
      </c>
      <c r="G1465" s="125" t="s">
        <v>893</v>
      </c>
      <c r="H1465" s="125" t="s">
        <v>7799</v>
      </c>
      <c r="I1465" t="s">
        <v>7812</v>
      </c>
    </row>
    <row r="1466">
      <c r="A1466" s="125" t="s">
        <v>3776</v>
      </c>
      <c r="B1466" s="526" t="s">
        <v>3775</v>
      </c>
      <c r="C1466" s="527">
        <v>0.0</v>
      </c>
      <c r="D1466" s="527">
        <v>0.0</v>
      </c>
      <c r="F1466" s="36" t="s">
        <v>7798</v>
      </c>
      <c r="G1466" s="125" t="s">
        <v>913</v>
      </c>
      <c r="H1466" s="125" t="s">
        <v>7808</v>
      </c>
      <c r="I1466" t="s">
        <v>63</v>
      </c>
    </row>
    <row r="1467">
      <c r="A1467" s="125" t="s">
        <v>3778</v>
      </c>
      <c r="B1467" s="526" t="s">
        <v>3777</v>
      </c>
      <c r="C1467" s="527">
        <v>8.0</v>
      </c>
      <c r="D1467" s="527">
        <v>69.36</v>
      </c>
      <c r="E1467" s="528">
        <v>8.67</v>
      </c>
      <c r="F1467" s="36" t="s">
        <v>7798</v>
      </c>
      <c r="G1467" s="125" t="s">
        <v>913</v>
      </c>
      <c r="I1467" t="s">
        <v>45</v>
      </c>
    </row>
    <row r="1468">
      <c r="A1468" s="125" t="s">
        <v>3780</v>
      </c>
      <c r="B1468" s="526" t="s">
        <v>3779</v>
      </c>
      <c r="C1468" s="527">
        <v>50.0</v>
      </c>
      <c r="D1468" s="527">
        <v>0.01</v>
      </c>
      <c r="E1468" s="528">
        <v>2.0E-4</v>
      </c>
      <c r="F1468" s="36" t="s">
        <v>7798</v>
      </c>
      <c r="G1468" s="125" t="s">
        <v>913</v>
      </c>
      <c r="H1468" s="125" t="s">
        <v>7885</v>
      </c>
      <c r="I1468" t="s">
        <v>7886</v>
      </c>
    </row>
    <row r="1469">
      <c r="A1469" s="125" t="s">
        <v>3784</v>
      </c>
      <c r="B1469" s="526" t="s">
        <v>3783</v>
      </c>
      <c r="C1469" s="527">
        <v>55.0</v>
      </c>
      <c r="D1469" s="527">
        <v>0.01</v>
      </c>
      <c r="E1469" s="528">
        <v>2.0E-4</v>
      </c>
      <c r="F1469" s="36" t="s">
        <v>7798</v>
      </c>
      <c r="G1469" s="125" t="s">
        <v>913</v>
      </c>
      <c r="H1469" s="125" t="s">
        <v>7885</v>
      </c>
      <c r="I1469" t="s">
        <v>7886</v>
      </c>
    </row>
    <row r="1470">
      <c r="A1470" s="125" t="s">
        <v>3786</v>
      </c>
      <c r="B1470" s="526" t="s">
        <v>3785</v>
      </c>
      <c r="C1470" s="527">
        <v>1.0</v>
      </c>
      <c r="D1470" s="527">
        <v>1138.57</v>
      </c>
      <c r="E1470" s="528">
        <v>1138.57</v>
      </c>
      <c r="F1470" s="36" t="s">
        <v>7798</v>
      </c>
      <c r="G1470" s="125" t="s">
        <v>913</v>
      </c>
      <c r="H1470" s="125" t="s">
        <v>7885</v>
      </c>
      <c r="I1470" t="s">
        <v>7886</v>
      </c>
    </row>
    <row r="1471">
      <c r="A1471" s="125" t="s">
        <v>3788</v>
      </c>
      <c r="B1471" s="526" t="s">
        <v>3787</v>
      </c>
      <c r="C1471" s="527">
        <v>50.0</v>
      </c>
      <c r="D1471" s="527">
        <v>0.01</v>
      </c>
      <c r="E1471" s="528">
        <v>2.0E-4</v>
      </c>
      <c r="F1471" s="36" t="s">
        <v>7798</v>
      </c>
      <c r="G1471" s="125" t="s">
        <v>913</v>
      </c>
      <c r="H1471" s="125" t="s">
        <v>7885</v>
      </c>
      <c r="I1471" t="s">
        <v>7886</v>
      </c>
    </row>
    <row r="1472">
      <c r="A1472" s="125" t="s">
        <v>3790</v>
      </c>
      <c r="B1472" s="526" t="s">
        <v>3789</v>
      </c>
      <c r="C1472" s="527">
        <v>0.0</v>
      </c>
      <c r="D1472" s="527">
        <v>0.0</v>
      </c>
      <c r="F1472" s="36" t="s">
        <v>7798</v>
      </c>
      <c r="G1472" s="125" t="s">
        <v>913</v>
      </c>
      <c r="H1472" s="125" t="s">
        <v>7885</v>
      </c>
      <c r="I1472" t="s">
        <v>7886</v>
      </c>
    </row>
    <row r="1473">
      <c r="A1473" s="125" t="s">
        <v>3792</v>
      </c>
      <c r="B1473" s="526" t="s">
        <v>3791</v>
      </c>
      <c r="C1473" s="527">
        <v>50.0</v>
      </c>
      <c r="D1473" s="527">
        <v>0.01</v>
      </c>
      <c r="E1473" s="528">
        <v>2.0E-4</v>
      </c>
      <c r="F1473" s="36" t="s">
        <v>7798</v>
      </c>
      <c r="G1473" s="125" t="s">
        <v>913</v>
      </c>
      <c r="H1473" s="125" t="s">
        <v>7885</v>
      </c>
      <c r="I1473" t="s">
        <v>7886</v>
      </c>
    </row>
    <row r="1474">
      <c r="A1474" s="125" t="s">
        <v>3794</v>
      </c>
      <c r="B1474" s="526" t="s">
        <v>3793</v>
      </c>
      <c r="C1474" s="527">
        <v>0.0</v>
      </c>
      <c r="D1474" s="527">
        <v>0.0</v>
      </c>
      <c r="F1474" s="36" t="s">
        <v>7798</v>
      </c>
      <c r="G1474" s="125" t="s">
        <v>893</v>
      </c>
      <c r="H1474" s="125" t="s">
        <v>7799</v>
      </c>
      <c r="I1474" t="s">
        <v>7886</v>
      </c>
    </row>
    <row r="1475">
      <c r="A1475" s="125" t="s">
        <v>3796</v>
      </c>
      <c r="B1475" s="526" t="s">
        <v>3795</v>
      </c>
      <c r="C1475" s="527">
        <v>50.0</v>
      </c>
      <c r="D1475" s="527">
        <v>0.01</v>
      </c>
      <c r="E1475" s="528">
        <v>2.0E-4</v>
      </c>
      <c r="F1475" s="36" t="s">
        <v>7798</v>
      </c>
      <c r="G1475" s="125" t="s">
        <v>913</v>
      </c>
      <c r="H1475" s="125" t="s">
        <v>7885</v>
      </c>
      <c r="I1475" t="s">
        <v>7886</v>
      </c>
    </row>
    <row r="1476">
      <c r="A1476" s="125" t="s">
        <v>3798</v>
      </c>
      <c r="B1476" s="526" t="s">
        <v>3797</v>
      </c>
      <c r="C1476" s="527">
        <v>0.0</v>
      </c>
      <c r="D1476" s="527">
        <v>0.0</v>
      </c>
      <c r="F1476" s="36" t="s">
        <v>7798</v>
      </c>
      <c r="G1476" s="125" t="s">
        <v>913</v>
      </c>
      <c r="H1476" s="125" t="s">
        <v>7885</v>
      </c>
      <c r="I1476" t="s">
        <v>7886</v>
      </c>
    </row>
    <row r="1477">
      <c r="A1477" s="125" t="s">
        <v>3802</v>
      </c>
      <c r="B1477" s="526" t="s">
        <v>3801</v>
      </c>
      <c r="C1477" s="527">
        <v>43.0</v>
      </c>
      <c r="D1477" s="527">
        <v>119.97</v>
      </c>
      <c r="E1477" s="528">
        <v>2.79</v>
      </c>
      <c r="F1477" s="36" t="s">
        <v>7798</v>
      </c>
      <c r="G1477" s="125" t="s">
        <v>913</v>
      </c>
      <c r="H1477" s="125" t="s">
        <v>7885</v>
      </c>
      <c r="I1477" t="s">
        <v>7886</v>
      </c>
    </row>
    <row r="1478">
      <c r="A1478" s="125" t="s">
        <v>3806</v>
      </c>
      <c r="B1478" s="526" t="s">
        <v>3805</v>
      </c>
      <c r="C1478" s="527">
        <v>0.0</v>
      </c>
      <c r="D1478" s="527">
        <v>0.0</v>
      </c>
      <c r="F1478" s="36" t="s">
        <v>7798</v>
      </c>
      <c r="G1478" s="125" t="s">
        <v>893</v>
      </c>
      <c r="H1478" s="125" t="s">
        <v>7799</v>
      </c>
      <c r="I1478" t="s">
        <v>7886</v>
      </c>
    </row>
    <row r="1479">
      <c r="A1479" s="125" t="s">
        <v>3808</v>
      </c>
      <c r="B1479" s="526" t="s">
        <v>3807</v>
      </c>
      <c r="C1479" s="527">
        <v>50.0</v>
      </c>
      <c r="D1479" s="527">
        <v>0.01</v>
      </c>
      <c r="E1479" s="528">
        <v>2.0E-4</v>
      </c>
      <c r="F1479" s="36" t="s">
        <v>7798</v>
      </c>
      <c r="G1479" s="125" t="s">
        <v>913</v>
      </c>
      <c r="H1479" s="125" t="s">
        <v>7885</v>
      </c>
      <c r="I1479" t="s">
        <v>7886</v>
      </c>
    </row>
    <row r="1480">
      <c r="A1480" s="125" t="s">
        <v>3810</v>
      </c>
      <c r="B1480" s="526" t="s">
        <v>3809</v>
      </c>
      <c r="C1480" s="527">
        <v>0.0</v>
      </c>
      <c r="D1480" s="527">
        <v>0.0</v>
      </c>
      <c r="F1480" s="36" t="s">
        <v>7798</v>
      </c>
      <c r="G1480" s="125" t="s">
        <v>893</v>
      </c>
      <c r="H1480" s="125" t="s">
        <v>7799</v>
      </c>
      <c r="I1480" t="s">
        <v>7886</v>
      </c>
    </row>
    <row r="1481">
      <c r="A1481" s="125" t="s">
        <v>3812</v>
      </c>
      <c r="B1481" s="526" t="s">
        <v>3811</v>
      </c>
      <c r="C1481" s="527">
        <v>0.0</v>
      </c>
      <c r="D1481" s="527">
        <v>0.0</v>
      </c>
      <c r="F1481" s="36" t="s">
        <v>7798</v>
      </c>
      <c r="G1481" s="125" t="s">
        <v>893</v>
      </c>
      <c r="H1481" s="125" t="s">
        <v>7799</v>
      </c>
      <c r="I1481" t="s">
        <v>7884</v>
      </c>
    </row>
    <row r="1482">
      <c r="A1482" s="125" t="s">
        <v>3814</v>
      </c>
      <c r="B1482" s="526" t="s">
        <v>3813</v>
      </c>
      <c r="C1482" s="527">
        <v>0.0</v>
      </c>
      <c r="D1482" s="527">
        <v>0.0</v>
      </c>
      <c r="F1482" s="36" t="s">
        <v>7798</v>
      </c>
      <c r="G1482" s="125" t="s">
        <v>893</v>
      </c>
      <c r="H1482" s="125" t="s">
        <v>7799</v>
      </c>
      <c r="I1482" t="s">
        <v>7884</v>
      </c>
    </row>
    <row r="1483">
      <c r="A1483" s="125" t="s">
        <v>3816</v>
      </c>
      <c r="B1483" s="526" t="s">
        <v>3815</v>
      </c>
      <c r="C1483" s="527">
        <v>23310.0</v>
      </c>
      <c r="D1483" s="527">
        <v>780.35</v>
      </c>
      <c r="E1483" s="528">
        <v>0.0335</v>
      </c>
      <c r="F1483" s="36" t="s">
        <v>7827</v>
      </c>
      <c r="G1483" s="125" t="s">
        <v>913</v>
      </c>
      <c r="H1483" s="125" t="s">
        <v>7840</v>
      </c>
    </row>
    <row r="1484">
      <c r="A1484" s="125" t="s">
        <v>3818</v>
      </c>
      <c r="B1484" s="526" t="s">
        <v>3817</v>
      </c>
      <c r="C1484" s="527">
        <v>528.0</v>
      </c>
      <c r="D1484" s="527">
        <v>290.4</v>
      </c>
      <c r="E1484" s="528">
        <v>0.55</v>
      </c>
      <c r="F1484" s="36" t="s">
        <v>7798</v>
      </c>
      <c r="G1484" s="125" t="s">
        <v>913</v>
      </c>
      <c r="H1484" s="125" t="s">
        <v>7821</v>
      </c>
      <c r="I1484" t="s">
        <v>7823</v>
      </c>
    </row>
    <row r="1485">
      <c r="A1485" s="125" t="s">
        <v>3820</v>
      </c>
      <c r="B1485" s="526" t="s">
        <v>3819</v>
      </c>
      <c r="C1485" s="527">
        <v>420.0</v>
      </c>
      <c r="D1485" s="527">
        <v>210.0</v>
      </c>
      <c r="E1485" s="528">
        <v>0.5</v>
      </c>
      <c r="F1485" s="36" t="s">
        <v>7798</v>
      </c>
      <c r="G1485" s="125" t="s">
        <v>913</v>
      </c>
      <c r="H1485" s="125" t="s">
        <v>7821</v>
      </c>
      <c r="I1485" t="s">
        <v>7838</v>
      </c>
    </row>
    <row r="1486">
      <c r="A1486" s="125" t="s">
        <v>3822</v>
      </c>
      <c r="B1486" s="526" t="s">
        <v>3821</v>
      </c>
      <c r="C1486" s="527">
        <v>0.0</v>
      </c>
      <c r="D1486" s="527">
        <v>0.0</v>
      </c>
      <c r="F1486" s="36" t="s">
        <v>7798</v>
      </c>
      <c r="G1486" s="125" t="s">
        <v>893</v>
      </c>
      <c r="H1486" s="125" t="s">
        <v>7799</v>
      </c>
      <c r="I1486" t="s">
        <v>53</v>
      </c>
    </row>
    <row r="1487">
      <c r="A1487" s="125" t="s">
        <v>3824</v>
      </c>
      <c r="B1487" s="526" t="s">
        <v>3823</v>
      </c>
      <c r="C1487" s="527">
        <v>0.0</v>
      </c>
      <c r="D1487" s="527">
        <v>0.0</v>
      </c>
      <c r="F1487" s="36" t="s">
        <v>7798</v>
      </c>
      <c r="G1487" s="125" t="s">
        <v>893</v>
      </c>
      <c r="H1487" s="125" t="s">
        <v>7799</v>
      </c>
      <c r="I1487" t="s">
        <v>53</v>
      </c>
    </row>
    <row r="1488">
      <c r="A1488" s="125" t="s">
        <v>3826</v>
      </c>
      <c r="B1488" s="526" t="s">
        <v>3825</v>
      </c>
      <c r="C1488" s="527">
        <v>0.0</v>
      </c>
      <c r="D1488" s="527">
        <v>0.0</v>
      </c>
      <c r="F1488" s="36" t="s">
        <v>7798</v>
      </c>
      <c r="G1488" s="125" t="s">
        <v>893</v>
      </c>
      <c r="H1488" s="125" t="s">
        <v>7799</v>
      </c>
      <c r="I1488" t="s">
        <v>7820</v>
      </c>
    </row>
    <row r="1489">
      <c r="A1489" s="125" t="s">
        <v>3828</v>
      </c>
      <c r="B1489" s="526" t="s">
        <v>3827</v>
      </c>
      <c r="C1489" s="527">
        <v>0.0</v>
      </c>
      <c r="D1489" s="527">
        <v>0.0</v>
      </c>
      <c r="F1489" s="36" t="s">
        <v>7798</v>
      </c>
      <c r="G1489" s="125" t="s">
        <v>913</v>
      </c>
      <c r="I1489" t="s">
        <v>45</v>
      </c>
    </row>
    <row r="1490">
      <c r="A1490" s="125" t="s">
        <v>3830</v>
      </c>
      <c r="B1490" s="526" t="s">
        <v>3829</v>
      </c>
      <c r="C1490" s="527">
        <v>0.0</v>
      </c>
      <c r="D1490" s="527">
        <v>0.0</v>
      </c>
      <c r="F1490" s="36" t="s">
        <v>7798</v>
      </c>
      <c r="G1490" s="125" t="s">
        <v>913</v>
      </c>
      <c r="I1490" t="s">
        <v>45</v>
      </c>
    </row>
    <row r="1491">
      <c r="A1491" s="125" t="s">
        <v>3832</v>
      </c>
      <c r="B1491" s="526" t="s">
        <v>3831</v>
      </c>
      <c r="C1491" s="527">
        <v>24.0</v>
      </c>
      <c r="D1491" s="527">
        <v>18.24</v>
      </c>
      <c r="E1491" s="528">
        <v>0.76</v>
      </c>
      <c r="F1491" s="36" t="s">
        <v>7798</v>
      </c>
      <c r="G1491" s="125" t="s">
        <v>913</v>
      </c>
      <c r="H1491" s="125" t="s">
        <v>7821</v>
      </c>
      <c r="I1491" t="s">
        <v>7806</v>
      </c>
    </row>
    <row r="1492">
      <c r="A1492" s="125" t="s">
        <v>3834</v>
      </c>
      <c r="B1492" s="526" t="s">
        <v>3833</v>
      </c>
      <c r="C1492" s="527">
        <v>30.0</v>
      </c>
      <c r="D1492" s="527">
        <v>22.8</v>
      </c>
      <c r="E1492" s="528">
        <v>0.76</v>
      </c>
      <c r="F1492" s="36" t="s">
        <v>7798</v>
      </c>
      <c r="G1492" s="125" t="s">
        <v>913</v>
      </c>
      <c r="H1492" s="125" t="s">
        <v>7821</v>
      </c>
      <c r="I1492" t="s">
        <v>7806</v>
      </c>
    </row>
    <row r="1493">
      <c r="A1493" s="125" t="s">
        <v>3836</v>
      </c>
      <c r="B1493" s="526" t="s">
        <v>3835</v>
      </c>
      <c r="C1493" s="527">
        <v>18.0</v>
      </c>
      <c r="D1493" s="527">
        <v>13.68</v>
      </c>
      <c r="E1493" s="528">
        <v>0.76</v>
      </c>
      <c r="F1493" s="36" t="s">
        <v>7798</v>
      </c>
      <c r="G1493" s="125" t="s">
        <v>913</v>
      </c>
      <c r="H1493" s="125" t="s">
        <v>7821</v>
      </c>
      <c r="I1493" t="s">
        <v>7806</v>
      </c>
    </row>
    <row r="1494">
      <c r="A1494" s="125" t="s">
        <v>3838</v>
      </c>
      <c r="B1494" s="526" t="s">
        <v>3837</v>
      </c>
      <c r="C1494" s="527">
        <v>30.0</v>
      </c>
      <c r="D1494" s="527">
        <v>22.8</v>
      </c>
      <c r="E1494" s="528">
        <v>0.76</v>
      </c>
      <c r="F1494" s="36" t="s">
        <v>7798</v>
      </c>
      <c r="G1494" s="125" t="s">
        <v>913</v>
      </c>
      <c r="H1494" s="125" t="s">
        <v>7821</v>
      </c>
      <c r="I1494" t="s">
        <v>7806</v>
      </c>
    </row>
    <row r="1495">
      <c r="A1495" s="125" t="s">
        <v>3840</v>
      </c>
      <c r="B1495" s="526" t="s">
        <v>3839</v>
      </c>
      <c r="C1495" s="527">
        <v>30.0</v>
      </c>
      <c r="D1495" s="527">
        <v>22.8</v>
      </c>
      <c r="E1495" s="528">
        <v>0.76</v>
      </c>
      <c r="F1495" s="36" t="s">
        <v>7798</v>
      </c>
      <c r="G1495" s="125" t="s">
        <v>913</v>
      </c>
      <c r="H1495" s="125" t="s">
        <v>7821</v>
      </c>
      <c r="I1495" t="s">
        <v>7806</v>
      </c>
    </row>
    <row r="1496">
      <c r="A1496" s="125" t="s">
        <v>3842</v>
      </c>
      <c r="B1496" s="526" t="s">
        <v>3841</v>
      </c>
      <c r="C1496" s="527">
        <v>150.0</v>
      </c>
      <c r="D1496" s="527">
        <v>114.0</v>
      </c>
      <c r="E1496" s="528">
        <v>0.76</v>
      </c>
      <c r="F1496" s="36" t="s">
        <v>7798</v>
      </c>
      <c r="G1496" s="125" t="s">
        <v>913</v>
      </c>
      <c r="H1496" s="125" t="s">
        <v>7821</v>
      </c>
      <c r="I1496" t="s">
        <v>7806</v>
      </c>
    </row>
    <row r="1497">
      <c r="A1497" s="125" t="s">
        <v>3844</v>
      </c>
      <c r="B1497" s="526" t="s">
        <v>3843</v>
      </c>
      <c r="C1497" s="527">
        <v>0.0</v>
      </c>
      <c r="D1497" s="527">
        <v>0.0</v>
      </c>
      <c r="F1497" s="36" t="s">
        <v>7798</v>
      </c>
      <c r="G1497" s="125" t="s">
        <v>893</v>
      </c>
      <c r="H1497" s="125" t="s">
        <v>7799</v>
      </c>
      <c r="I1497" t="s">
        <v>7860</v>
      </c>
    </row>
    <row r="1498">
      <c r="A1498" s="125" t="s">
        <v>3846</v>
      </c>
      <c r="B1498" s="526" t="s">
        <v>3845</v>
      </c>
      <c r="C1498" s="527">
        <v>0.0</v>
      </c>
      <c r="D1498" s="527">
        <v>0.0</v>
      </c>
      <c r="F1498" s="36" t="s">
        <v>7798</v>
      </c>
      <c r="G1498" s="125" t="s">
        <v>893</v>
      </c>
      <c r="H1498" s="125" t="s">
        <v>7799</v>
      </c>
      <c r="I1498" t="s">
        <v>7810</v>
      </c>
    </row>
    <row r="1499">
      <c r="A1499" s="125" t="s">
        <v>3848</v>
      </c>
      <c r="B1499" s="526" t="s">
        <v>3847</v>
      </c>
      <c r="C1499" s="527">
        <v>0.0</v>
      </c>
      <c r="D1499" s="527">
        <v>0.0</v>
      </c>
      <c r="F1499" s="36" t="s">
        <v>7798</v>
      </c>
      <c r="G1499" s="125" t="s">
        <v>893</v>
      </c>
      <c r="H1499" s="125" t="s">
        <v>7799</v>
      </c>
      <c r="I1499" t="s">
        <v>278</v>
      </c>
    </row>
    <row r="1500">
      <c r="A1500" s="125" t="s">
        <v>3850</v>
      </c>
      <c r="B1500" s="526" t="s">
        <v>3849</v>
      </c>
      <c r="C1500" s="527">
        <v>0.0</v>
      </c>
      <c r="D1500" s="527">
        <v>0.0</v>
      </c>
      <c r="F1500" s="36" t="s">
        <v>7798</v>
      </c>
      <c r="G1500" s="125" t="s">
        <v>893</v>
      </c>
      <c r="H1500" s="125" t="s">
        <v>7799</v>
      </c>
      <c r="I1500" t="s">
        <v>7826</v>
      </c>
    </row>
    <row r="1501">
      <c r="A1501" s="125" t="s">
        <v>3854</v>
      </c>
      <c r="B1501" s="526" t="s">
        <v>3853</v>
      </c>
      <c r="C1501" s="527">
        <v>340.0</v>
      </c>
      <c r="D1501" s="527">
        <v>876.86</v>
      </c>
      <c r="E1501" s="528">
        <v>2.579</v>
      </c>
      <c r="F1501" s="36" t="s">
        <v>7798</v>
      </c>
      <c r="G1501" s="125" t="s">
        <v>913</v>
      </c>
      <c r="H1501" s="125" t="s">
        <v>7808</v>
      </c>
      <c r="I1501" t="s">
        <v>7845</v>
      </c>
    </row>
    <row r="1502">
      <c r="A1502" s="125" t="s">
        <v>3856</v>
      </c>
      <c r="B1502" s="526" t="s">
        <v>3855</v>
      </c>
      <c r="C1502" s="527">
        <v>320.0</v>
      </c>
      <c r="D1502" s="527">
        <v>825.3</v>
      </c>
      <c r="E1502" s="528">
        <v>2.5791</v>
      </c>
      <c r="F1502" s="36" t="s">
        <v>7798</v>
      </c>
      <c r="G1502" s="125" t="s">
        <v>913</v>
      </c>
      <c r="H1502" s="125" t="s">
        <v>7808</v>
      </c>
      <c r="I1502" t="s">
        <v>7845</v>
      </c>
    </row>
    <row r="1503">
      <c r="A1503" s="125" t="s">
        <v>3858</v>
      </c>
      <c r="B1503" s="526" t="s">
        <v>3857</v>
      </c>
      <c r="C1503" s="527">
        <v>124.0</v>
      </c>
      <c r="D1503" s="527">
        <v>319.61</v>
      </c>
      <c r="E1503" s="528">
        <v>2.5775</v>
      </c>
      <c r="F1503" s="36" t="s">
        <v>7798</v>
      </c>
      <c r="G1503" s="125" t="s">
        <v>913</v>
      </c>
      <c r="H1503" s="125" t="s">
        <v>7801</v>
      </c>
      <c r="I1503" t="s">
        <v>7845</v>
      </c>
    </row>
    <row r="1504">
      <c r="A1504" s="125" t="s">
        <v>3860</v>
      </c>
      <c r="B1504" s="526" t="s">
        <v>3859</v>
      </c>
      <c r="C1504" s="527">
        <v>60.0</v>
      </c>
      <c r="D1504" s="527">
        <v>154.53</v>
      </c>
      <c r="E1504" s="528">
        <v>2.5755</v>
      </c>
      <c r="F1504" s="36" t="s">
        <v>7798</v>
      </c>
      <c r="G1504" s="125" t="s">
        <v>913</v>
      </c>
      <c r="H1504" s="125" t="s">
        <v>7801</v>
      </c>
      <c r="I1504" t="s">
        <v>7845</v>
      </c>
    </row>
    <row r="1505">
      <c r="A1505" s="125" t="s">
        <v>3862</v>
      </c>
      <c r="B1505" s="526" t="s">
        <v>3861</v>
      </c>
      <c r="C1505" s="527">
        <v>83.0</v>
      </c>
      <c r="D1505" s="527">
        <v>219.27</v>
      </c>
      <c r="E1505" s="528">
        <v>2.6418</v>
      </c>
      <c r="F1505" s="36" t="s">
        <v>7798</v>
      </c>
      <c r="G1505" s="125" t="s">
        <v>913</v>
      </c>
      <c r="H1505" s="125" t="s">
        <v>7801</v>
      </c>
      <c r="I1505" t="s">
        <v>7845</v>
      </c>
    </row>
    <row r="1506">
      <c r="A1506" s="125" t="s">
        <v>3864</v>
      </c>
      <c r="B1506" s="526" t="s">
        <v>3863</v>
      </c>
      <c r="C1506" s="527">
        <v>351.0</v>
      </c>
      <c r="D1506" s="527">
        <v>905.28</v>
      </c>
      <c r="E1506" s="528">
        <v>2.5791</v>
      </c>
      <c r="F1506" s="36" t="s">
        <v>7798</v>
      </c>
      <c r="G1506" s="125" t="s">
        <v>913</v>
      </c>
      <c r="H1506" s="125" t="s">
        <v>7801</v>
      </c>
      <c r="I1506" t="s">
        <v>7845</v>
      </c>
    </row>
    <row r="1507">
      <c r="A1507" s="125" t="s">
        <v>3866</v>
      </c>
      <c r="B1507" s="526" t="s">
        <v>3865</v>
      </c>
      <c r="C1507" s="527">
        <v>11.0</v>
      </c>
      <c r="D1507" s="527">
        <v>28.05</v>
      </c>
      <c r="E1507" s="528">
        <v>2.55</v>
      </c>
      <c r="F1507" s="36" t="s">
        <v>7798</v>
      </c>
      <c r="G1507" s="125" t="s">
        <v>913</v>
      </c>
      <c r="H1507" s="125" t="s">
        <v>7808</v>
      </c>
      <c r="I1507" t="s">
        <v>7845</v>
      </c>
    </row>
    <row r="1508">
      <c r="A1508" s="125" t="s">
        <v>3868</v>
      </c>
      <c r="B1508" s="526" t="s">
        <v>3867</v>
      </c>
      <c r="C1508" s="527">
        <v>347.0</v>
      </c>
      <c r="D1508" s="527">
        <v>894.96</v>
      </c>
      <c r="E1508" s="528">
        <v>2.5791</v>
      </c>
      <c r="F1508" s="36" t="s">
        <v>7798</v>
      </c>
      <c r="G1508" s="125" t="s">
        <v>913</v>
      </c>
      <c r="H1508" s="125" t="s">
        <v>7801</v>
      </c>
      <c r="I1508" t="s">
        <v>7845</v>
      </c>
    </row>
    <row r="1509">
      <c r="A1509" s="125" t="s">
        <v>3870</v>
      </c>
      <c r="B1509" s="526" t="s">
        <v>3869</v>
      </c>
      <c r="C1509" s="527">
        <v>170.0</v>
      </c>
      <c r="D1509" s="527">
        <v>449.38</v>
      </c>
      <c r="E1509" s="528">
        <v>2.6434</v>
      </c>
      <c r="F1509" s="36" t="s">
        <v>7798</v>
      </c>
      <c r="G1509" s="125" t="s">
        <v>913</v>
      </c>
      <c r="H1509" s="125" t="s">
        <v>7801</v>
      </c>
      <c r="I1509" t="s">
        <v>7845</v>
      </c>
    </row>
    <row r="1510">
      <c r="A1510" s="125" t="s">
        <v>3872</v>
      </c>
      <c r="B1510" s="526" t="s">
        <v>3871</v>
      </c>
      <c r="C1510" s="527">
        <v>0.0</v>
      </c>
      <c r="D1510" s="527">
        <v>0.0</v>
      </c>
      <c r="F1510" s="36" t="s">
        <v>7798</v>
      </c>
      <c r="G1510" s="125" t="s">
        <v>893</v>
      </c>
      <c r="H1510" s="125" t="s">
        <v>7799</v>
      </c>
      <c r="I1510" t="s">
        <v>7845</v>
      </c>
    </row>
    <row r="1511">
      <c r="A1511" s="125" t="s">
        <v>3874</v>
      </c>
      <c r="B1511" s="526" t="s">
        <v>3873</v>
      </c>
      <c r="C1511" s="527">
        <v>0.0</v>
      </c>
      <c r="D1511" s="527">
        <v>0.0</v>
      </c>
      <c r="F1511" s="36" t="s">
        <v>7798</v>
      </c>
      <c r="G1511" s="125" t="s">
        <v>893</v>
      </c>
      <c r="H1511" s="125" t="s">
        <v>7821</v>
      </c>
      <c r="I1511" t="s">
        <v>45</v>
      </c>
    </row>
    <row r="1512">
      <c r="A1512" s="125" t="s">
        <v>760</v>
      </c>
      <c r="B1512" s="526" t="s">
        <v>761</v>
      </c>
      <c r="C1512" s="527">
        <v>1060.0</v>
      </c>
      <c r="D1512" s="527">
        <v>2790.46</v>
      </c>
      <c r="E1512" s="528">
        <v>2.6325</v>
      </c>
      <c r="F1512" s="36" t="s">
        <v>7798</v>
      </c>
      <c r="G1512" s="125" t="s">
        <v>913</v>
      </c>
      <c r="H1512" s="125" t="s">
        <v>569</v>
      </c>
      <c r="I1512" t="s">
        <v>725</v>
      </c>
    </row>
    <row r="1513">
      <c r="A1513" s="125" t="s">
        <v>3878</v>
      </c>
      <c r="B1513" s="526" t="s">
        <v>3877</v>
      </c>
      <c r="C1513" s="527">
        <v>4.0</v>
      </c>
      <c r="D1513" s="527">
        <v>10.8</v>
      </c>
      <c r="E1513" s="528">
        <v>2.7</v>
      </c>
      <c r="F1513" s="36" t="s">
        <v>7798</v>
      </c>
      <c r="G1513" s="125" t="s">
        <v>913</v>
      </c>
      <c r="H1513" s="125" t="s">
        <v>7801</v>
      </c>
      <c r="I1513" t="s">
        <v>725</v>
      </c>
    </row>
    <row r="1514">
      <c r="A1514" s="125" t="s">
        <v>758</v>
      </c>
      <c r="B1514" s="526" t="s">
        <v>759</v>
      </c>
      <c r="C1514" s="527">
        <v>1416.0</v>
      </c>
      <c r="D1514" s="527">
        <v>3727.62</v>
      </c>
      <c r="E1514" s="528">
        <v>2.6325</v>
      </c>
      <c r="F1514" s="36" t="s">
        <v>7798</v>
      </c>
      <c r="G1514" s="125" t="s">
        <v>913</v>
      </c>
      <c r="H1514" s="125" t="s">
        <v>569</v>
      </c>
      <c r="I1514" t="s">
        <v>725</v>
      </c>
    </row>
    <row r="1515">
      <c r="A1515" s="125" t="s">
        <v>3882</v>
      </c>
      <c r="B1515" s="526" t="s">
        <v>3881</v>
      </c>
      <c r="C1515" s="527">
        <v>965.0</v>
      </c>
      <c r="D1515" s="527">
        <v>2730.89</v>
      </c>
      <c r="E1515" s="528">
        <v>2.8299</v>
      </c>
      <c r="F1515" s="36" t="s">
        <v>7798</v>
      </c>
      <c r="G1515" s="125" t="s">
        <v>913</v>
      </c>
      <c r="H1515" s="125" t="s">
        <v>7808</v>
      </c>
      <c r="I1515" t="s">
        <v>725</v>
      </c>
    </row>
    <row r="1516">
      <c r="A1516" s="125" t="s">
        <v>3888</v>
      </c>
      <c r="B1516" s="526" t="s">
        <v>3887</v>
      </c>
      <c r="C1516" s="527">
        <v>47.0</v>
      </c>
      <c r="D1516" s="527">
        <v>132.95</v>
      </c>
      <c r="E1516" s="528">
        <v>2.8287</v>
      </c>
      <c r="F1516" s="36" t="s">
        <v>7798</v>
      </c>
      <c r="G1516" s="125" t="s">
        <v>913</v>
      </c>
      <c r="H1516" s="125" t="s">
        <v>7808</v>
      </c>
      <c r="I1516" t="s">
        <v>725</v>
      </c>
    </row>
    <row r="1517">
      <c r="A1517" s="125" t="s">
        <v>756</v>
      </c>
      <c r="B1517" s="526" t="s">
        <v>757</v>
      </c>
      <c r="C1517" s="527">
        <v>1595.0</v>
      </c>
      <c r="D1517" s="527">
        <v>4198.84</v>
      </c>
      <c r="E1517" s="528">
        <v>2.6325</v>
      </c>
      <c r="F1517" s="36" t="s">
        <v>7798</v>
      </c>
      <c r="G1517" s="125" t="s">
        <v>913</v>
      </c>
      <c r="H1517" s="125" t="s">
        <v>569</v>
      </c>
      <c r="I1517" t="s">
        <v>725</v>
      </c>
    </row>
    <row r="1518">
      <c r="A1518" s="125" t="s">
        <v>3890</v>
      </c>
      <c r="B1518" s="526" t="s">
        <v>3889</v>
      </c>
      <c r="C1518" s="527">
        <v>861.0</v>
      </c>
      <c r="D1518" s="527">
        <v>2436.57</v>
      </c>
      <c r="E1518" s="528">
        <v>2.8299</v>
      </c>
      <c r="F1518" s="36" t="s">
        <v>7798</v>
      </c>
      <c r="G1518" s="125" t="s">
        <v>913</v>
      </c>
      <c r="H1518" s="125" t="s">
        <v>7801</v>
      </c>
      <c r="I1518" t="s">
        <v>725</v>
      </c>
    </row>
    <row r="1519">
      <c r="A1519" s="125" t="s">
        <v>3892</v>
      </c>
      <c r="B1519" s="526" t="s">
        <v>3891</v>
      </c>
      <c r="C1519" s="527">
        <v>2.0</v>
      </c>
      <c r="D1519" s="527">
        <v>2.44</v>
      </c>
      <c r="E1519" s="528">
        <v>1.22</v>
      </c>
      <c r="F1519" s="36" t="s">
        <v>7798</v>
      </c>
      <c r="G1519" s="125" t="s">
        <v>913</v>
      </c>
      <c r="H1519" s="125" t="s">
        <v>7808</v>
      </c>
      <c r="I1519" t="s">
        <v>725</v>
      </c>
    </row>
    <row r="1520">
      <c r="A1520" s="125" t="s">
        <v>3894</v>
      </c>
      <c r="B1520" s="526" t="s">
        <v>3893</v>
      </c>
      <c r="C1520" s="527">
        <v>1.0</v>
      </c>
      <c r="D1520" s="527">
        <v>1.22</v>
      </c>
      <c r="E1520" s="528">
        <v>1.22</v>
      </c>
      <c r="F1520" s="36" t="s">
        <v>7798</v>
      </c>
      <c r="G1520" s="125" t="s">
        <v>913</v>
      </c>
      <c r="H1520" s="125" t="s">
        <v>7808</v>
      </c>
      <c r="I1520" t="s">
        <v>725</v>
      </c>
    </row>
    <row r="1521">
      <c r="A1521" s="125" t="s">
        <v>3896</v>
      </c>
      <c r="B1521" s="526" t="s">
        <v>3895</v>
      </c>
      <c r="C1521" s="527">
        <v>1.0</v>
      </c>
      <c r="D1521" s="527">
        <v>1.22</v>
      </c>
      <c r="E1521" s="528">
        <v>1.22</v>
      </c>
      <c r="F1521" s="36" t="s">
        <v>7798</v>
      </c>
      <c r="G1521" s="125" t="s">
        <v>913</v>
      </c>
      <c r="H1521" s="125" t="s">
        <v>7808</v>
      </c>
      <c r="I1521" t="s">
        <v>725</v>
      </c>
    </row>
    <row r="1522">
      <c r="A1522" s="125" t="s">
        <v>3898</v>
      </c>
      <c r="B1522" s="526" t="s">
        <v>3897</v>
      </c>
      <c r="C1522" s="527">
        <v>2.0</v>
      </c>
      <c r="D1522" s="527">
        <v>2.44</v>
      </c>
      <c r="E1522" s="528">
        <v>1.22</v>
      </c>
      <c r="F1522" s="36" t="s">
        <v>7798</v>
      </c>
      <c r="G1522" s="125" t="s">
        <v>913</v>
      </c>
      <c r="H1522" s="125" t="s">
        <v>7808</v>
      </c>
      <c r="I1522" t="s">
        <v>725</v>
      </c>
    </row>
    <row r="1523">
      <c r="A1523" s="125" t="s">
        <v>3900</v>
      </c>
      <c r="B1523" s="526" t="s">
        <v>3899</v>
      </c>
      <c r="C1523" s="527">
        <v>0.0</v>
      </c>
      <c r="D1523" s="527">
        <v>0.0</v>
      </c>
      <c r="F1523" s="36" t="s">
        <v>7798</v>
      </c>
      <c r="G1523" s="125" t="s">
        <v>913</v>
      </c>
      <c r="H1523" s="125" t="s">
        <v>7808</v>
      </c>
      <c r="I1523" t="s">
        <v>725</v>
      </c>
    </row>
    <row r="1524">
      <c r="A1524" s="125" t="s">
        <v>3904</v>
      </c>
      <c r="B1524" s="526" t="s">
        <v>3903</v>
      </c>
      <c r="C1524" s="527">
        <v>0.0</v>
      </c>
      <c r="D1524" s="527">
        <v>0.0</v>
      </c>
      <c r="F1524" s="36" t="s">
        <v>7798</v>
      </c>
      <c r="G1524" s="125" t="s">
        <v>913</v>
      </c>
      <c r="H1524" s="125" t="s">
        <v>7808</v>
      </c>
      <c r="I1524" t="s">
        <v>725</v>
      </c>
    </row>
    <row r="1525">
      <c r="A1525" s="125" t="s">
        <v>3906</v>
      </c>
      <c r="B1525" s="526" t="s">
        <v>3905</v>
      </c>
      <c r="C1525" s="527">
        <v>1.0</v>
      </c>
      <c r="D1525" s="527">
        <v>1.22</v>
      </c>
      <c r="E1525" s="528">
        <v>1.22</v>
      </c>
      <c r="F1525" s="36" t="s">
        <v>7798</v>
      </c>
      <c r="G1525" s="125" t="s">
        <v>913</v>
      </c>
      <c r="H1525" s="125" t="s">
        <v>7808</v>
      </c>
      <c r="I1525" t="s">
        <v>725</v>
      </c>
    </row>
    <row r="1526">
      <c r="A1526" s="125" t="s">
        <v>3908</v>
      </c>
      <c r="B1526" s="526" t="s">
        <v>3907</v>
      </c>
      <c r="C1526" s="527">
        <v>0.0</v>
      </c>
      <c r="D1526" s="527">
        <v>0.0</v>
      </c>
      <c r="F1526" s="36" t="s">
        <v>7798</v>
      </c>
      <c r="G1526" s="125" t="s">
        <v>913</v>
      </c>
      <c r="H1526" s="125" t="s">
        <v>7808</v>
      </c>
      <c r="I1526" t="s">
        <v>725</v>
      </c>
    </row>
    <row r="1527">
      <c r="A1527" s="125" t="s">
        <v>3916</v>
      </c>
      <c r="B1527" s="526" t="s">
        <v>3915</v>
      </c>
      <c r="C1527" s="527">
        <v>0.0</v>
      </c>
      <c r="D1527" s="527">
        <v>0.0</v>
      </c>
      <c r="F1527" s="36" t="s">
        <v>7798</v>
      </c>
      <c r="G1527" s="125" t="s">
        <v>893</v>
      </c>
      <c r="H1527" s="125" t="s">
        <v>7799</v>
      </c>
      <c r="I1527" t="s">
        <v>7824</v>
      </c>
    </row>
    <row r="1528">
      <c r="A1528" s="125" t="s">
        <v>3918</v>
      </c>
      <c r="B1528" s="526" t="s">
        <v>3917</v>
      </c>
      <c r="C1528" s="527">
        <v>0.0</v>
      </c>
      <c r="D1528" s="527">
        <v>0.0</v>
      </c>
      <c r="F1528" s="36" t="s">
        <v>7798</v>
      </c>
      <c r="G1528" s="125" t="s">
        <v>893</v>
      </c>
      <c r="H1528" s="125" t="s">
        <v>7799</v>
      </c>
      <c r="I1528" t="s">
        <v>7824</v>
      </c>
    </row>
    <row r="1529">
      <c r="A1529" s="125" t="s">
        <v>3920</v>
      </c>
      <c r="B1529" s="526" t="s">
        <v>3919</v>
      </c>
      <c r="C1529" s="527">
        <v>0.0</v>
      </c>
      <c r="D1529" s="527">
        <v>0.0</v>
      </c>
      <c r="F1529" s="36" t="s">
        <v>7807</v>
      </c>
      <c r="G1529" s="125" t="s">
        <v>893</v>
      </c>
      <c r="H1529" s="125" t="s">
        <v>7799</v>
      </c>
    </row>
    <row r="1530">
      <c r="A1530" s="125" t="s">
        <v>3922</v>
      </c>
      <c r="B1530" s="526" t="s">
        <v>3921</v>
      </c>
      <c r="C1530" s="527">
        <v>325.0</v>
      </c>
      <c r="D1530" s="527">
        <v>390.3</v>
      </c>
      <c r="E1530" s="528">
        <v>1.2009</v>
      </c>
      <c r="F1530" s="36" t="s">
        <v>7798</v>
      </c>
      <c r="G1530" s="125" t="s">
        <v>913</v>
      </c>
      <c r="H1530" s="125" t="s">
        <v>7808</v>
      </c>
      <c r="I1530" t="s">
        <v>7804</v>
      </c>
    </row>
    <row r="1531">
      <c r="A1531" s="125" t="s">
        <v>3924</v>
      </c>
      <c r="B1531" s="526" t="s">
        <v>3923</v>
      </c>
      <c r="C1531" s="527">
        <v>0.0</v>
      </c>
      <c r="D1531" s="527">
        <v>0.0</v>
      </c>
      <c r="F1531" s="36" t="s">
        <v>7798</v>
      </c>
      <c r="G1531" s="125" t="s">
        <v>893</v>
      </c>
      <c r="H1531" s="125" t="s">
        <v>7799</v>
      </c>
      <c r="I1531" t="s">
        <v>7879</v>
      </c>
    </row>
    <row r="1532">
      <c r="A1532" s="125" t="s">
        <v>3926</v>
      </c>
      <c r="B1532" s="526" t="s">
        <v>3925</v>
      </c>
      <c r="C1532" s="527">
        <v>54.0</v>
      </c>
      <c r="D1532" s="527">
        <v>211.68</v>
      </c>
      <c r="E1532" s="528">
        <v>3.92</v>
      </c>
      <c r="F1532" s="36" t="s">
        <v>7798</v>
      </c>
      <c r="G1532" s="125" t="s">
        <v>913</v>
      </c>
      <c r="H1532" s="125" t="s">
        <v>7801</v>
      </c>
      <c r="I1532" t="s">
        <v>7804</v>
      </c>
    </row>
    <row r="1533">
      <c r="A1533" s="125" t="s">
        <v>3928</v>
      </c>
      <c r="B1533" s="526" t="s">
        <v>3927</v>
      </c>
      <c r="C1533" s="527">
        <v>0.0</v>
      </c>
      <c r="D1533" s="527">
        <v>0.0</v>
      </c>
      <c r="F1533" s="36" t="s">
        <v>7798</v>
      </c>
      <c r="G1533" s="125" t="s">
        <v>893</v>
      </c>
      <c r="H1533" s="125" t="s">
        <v>7801</v>
      </c>
      <c r="I1533" t="s">
        <v>7804</v>
      </c>
    </row>
    <row r="1534">
      <c r="A1534" s="125" t="s">
        <v>3930</v>
      </c>
      <c r="B1534" s="526" t="s">
        <v>3929</v>
      </c>
      <c r="C1534" s="527">
        <v>684.0</v>
      </c>
      <c r="D1534" s="527">
        <v>5120.62</v>
      </c>
      <c r="E1534" s="528">
        <v>7.4863</v>
      </c>
      <c r="F1534" s="36" t="s">
        <v>7798</v>
      </c>
      <c r="G1534" s="125" t="s">
        <v>913</v>
      </c>
      <c r="H1534" s="125" t="s">
        <v>7808</v>
      </c>
      <c r="I1534" t="s">
        <v>7804</v>
      </c>
    </row>
    <row r="1535">
      <c r="A1535" s="125" t="s">
        <v>3932</v>
      </c>
      <c r="B1535" s="526" t="s">
        <v>3931</v>
      </c>
      <c r="C1535" s="527">
        <v>150.0</v>
      </c>
      <c r="D1535" s="527">
        <v>991.05</v>
      </c>
      <c r="E1535" s="528">
        <v>6.607</v>
      </c>
      <c r="F1535" s="36" t="s">
        <v>7798</v>
      </c>
      <c r="G1535" s="125" t="s">
        <v>913</v>
      </c>
      <c r="H1535" s="125" t="s">
        <v>7808</v>
      </c>
      <c r="I1535" t="s">
        <v>7804</v>
      </c>
    </row>
    <row r="1536">
      <c r="A1536" s="125" t="s">
        <v>3934</v>
      </c>
      <c r="B1536" s="526" t="s">
        <v>3933</v>
      </c>
      <c r="C1536" s="527">
        <v>102.0</v>
      </c>
      <c r="D1536" s="527">
        <v>734.46</v>
      </c>
      <c r="E1536" s="528">
        <v>7.2006</v>
      </c>
      <c r="F1536" s="36" t="s">
        <v>7798</v>
      </c>
      <c r="G1536" s="125" t="s">
        <v>913</v>
      </c>
      <c r="H1536" s="125" t="s">
        <v>7801</v>
      </c>
      <c r="I1536" t="s">
        <v>7804</v>
      </c>
    </row>
    <row r="1537">
      <c r="A1537" s="125" t="s">
        <v>3936</v>
      </c>
      <c r="B1537" s="526" t="s">
        <v>3935</v>
      </c>
      <c r="C1537" s="527">
        <v>0.0</v>
      </c>
      <c r="D1537" s="527">
        <v>0.0</v>
      </c>
      <c r="F1537" s="36" t="s">
        <v>7798</v>
      </c>
      <c r="G1537" s="125" t="s">
        <v>893</v>
      </c>
      <c r="H1537" s="125" t="s">
        <v>7801</v>
      </c>
      <c r="I1537" t="s">
        <v>7804</v>
      </c>
    </row>
    <row r="1538">
      <c r="A1538" s="125" t="s">
        <v>3938</v>
      </c>
      <c r="B1538" s="526" t="s">
        <v>3937</v>
      </c>
      <c r="C1538" s="527">
        <v>250.0</v>
      </c>
      <c r="D1538" s="527">
        <v>315.85</v>
      </c>
      <c r="E1538" s="528">
        <v>1.2634</v>
      </c>
      <c r="F1538" s="36" t="s">
        <v>7798</v>
      </c>
      <c r="G1538" s="125" t="s">
        <v>913</v>
      </c>
      <c r="H1538" s="125" t="s">
        <v>7808</v>
      </c>
      <c r="I1538" t="s">
        <v>7804</v>
      </c>
    </row>
    <row r="1539">
      <c r="A1539" s="125" t="s">
        <v>3940</v>
      </c>
      <c r="B1539" s="526" t="s">
        <v>3939</v>
      </c>
      <c r="C1539" s="527">
        <v>0.0</v>
      </c>
      <c r="D1539" s="527">
        <v>0.0</v>
      </c>
      <c r="F1539" s="36" t="s">
        <v>7798</v>
      </c>
      <c r="G1539" s="125" t="s">
        <v>893</v>
      </c>
      <c r="H1539" s="125" t="s">
        <v>7808</v>
      </c>
      <c r="I1539" t="s">
        <v>7804</v>
      </c>
    </row>
    <row r="1540">
      <c r="A1540" s="125" t="s">
        <v>3942</v>
      </c>
      <c r="B1540" s="526" t="s">
        <v>3941</v>
      </c>
      <c r="C1540" s="527">
        <v>302.0</v>
      </c>
      <c r="D1540" s="527">
        <v>424.91</v>
      </c>
      <c r="E1540" s="528">
        <v>1.407</v>
      </c>
      <c r="F1540" s="36" t="s">
        <v>7798</v>
      </c>
      <c r="G1540" s="125" t="s">
        <v>913</v>
      </c>
      <c r="H1540" s="125" t="s">
        <v>7808</v>
      </c>
      <c r="I1540" t="s">
        <v>7804</v>
      </c>
    </row>
    <row r="1541">
      <c r="A1541" s="125" t="s">
        <v>3944</v>
      </c>
      <c r="B1541" s="526" t="s">
        <v>3943</v>
      </c>
      <c r="C1541" s="527">
        <v>757.0</v>
      </c>
      <c r="D1541" s="527">
        <v>1639.03</v>
      </c>
      <c r="E1541" s="528">
        <v>2.1652</v>
      </c>
      <c r="F1541" s="36" t="s">
        <v>7798</v>
      </c>
      <c r="G1541" s="125" t="s">
        <v>913</v>
      </c>
      <c r="H1541" s="125" t="s">
        <v>7808</v>
      </c>
      <c r="I1541" t="s">
        <v>7804</v>
      </c>
    </row>
    <row r="1542">
      <c r="A1542" s="125" t="s">
        <v>3946</v>
      </c>
      <c r="B1542" s="526" t="s">
        <v>3945</v>
      </c>
      <c r="C1542" s="527">
        <v>761.0</v>
      </c>
      <c r="D1542" s="527">
        <v>1140.66</v>
      </c>
      <c r="E1542" s="528">
        <v>1.4989</v>
      </c>
      <c r="F1542" s="36" t="s">
        <v>7798</v>
      </c>
      <c r="G1542" s="125" t="s">
        <v>913</v>
      </c>
      <c r="H1542" s="125" t="s">
        <v>7808</v>
      </c>
      <c r="I1542" t="s">
        <v>7804</v>
      </c>
    </row>
    <row r="1543">
      <c r="A1543" s="125" t="s">
        <v>3948</v>
      </c>
      <c r="B1543" s="526" t="s">
        <v>3947</v>
      </c>
      <c r="C1543" s="527">
        <v>44.0</v>
      </c>
      <c r="D1543" s="527">
        <v>120.71</v>
      </c>
      <c r="E1543" s="528">
        <v>2.7434</v>
      </c>
      <c r="F1543" s="36" t="s">
        <v>7798</v>
      </c>
      <c r="G1543" s="125" t="s">
        <v>913</v>
      </c>
      <c r="H1543" s="125" t="s">
        <v>7801</v>
      </c>
      <c r="I1543" t="s">
        <v>7804</v>
      </c>
    </row>
    <row r="1544">
      <c r="A1544" s="125" t="s">
        <v>3950</v>
      </c>
      <c r="B1544" s="526" t="s">
        <v>3949</v>
      </c>
      <c r="C1544" s="527">
        <v>877.0</v>
      </c>
      <c r="D1544" s="527">
        <v>4882.78</v>
      </c>
      <c r="E1544" s="528">
        <v>5.5676</v>
      </c>
      <c r="F1544" s="36" t="s">
        <v>7798</v>
      </c>
      <c r="G1544" s="125" t="s">
        <v>913</v>
      </c>
      <c r="H1544" s="125" t="s">
        <v>7808</v>
      </c>
      <c r="I1544" t="s">
        <v>7804</v>
      </c>
    </row>
    <row r="1545">
      <c r="A1545" s="125" t="s">
        <v>3952</v>
      </c>
      <c r="B1545" s="526" t="s">
        <v>3951</v>
      </c>
      <c r="C1545" s="527">
        <v>126.0</v>
      </c>
      <c r="D1545" s="527">
        <v>213.98</v>
      </c>
      <c r="E1545" s="528">
        <v>1.6983</v>
      </c>
      <c r="F1545" s="36" t="s">
        <v>7798</v>
      </c>
      <c r="G1545" s="125" t="s">
        <v>913</v>
      </c>
      <c r="H1545" s="125" t="s">
        <v>7808</v>
      </c>
      <c r="I1545" t="s">
        <v>7804</v>
      </c>
    </row>
    <row r="1546">
      <c r="A1546" s="125" t="s">
        <v>3954</v>
      </c>
      <c r="B1546" s="526" t="s">
        <v>3953</v>
      </c>
      <c r="C1546" s="527">
        <v>527.0</v>
      </c>
      <c r="D1546" s="527">
        <v>921.41</v>
      </c>
      <c r="E1546" s="528">
        <v>1.7484</v>
      </c>
      <c r="F1546" s="36" t="s">
        <v>7798</v>
      </c>
      <c r="G1546" s="125" t="s">
        <v>913</v>
      </c>
      <c r="H1546" s="125" t="s">
        <v>7808</v>
      </c>
      <c r="I1546" t="s">
        <v>7804</v>
      </c>
    </row>
    <row r="1547">
      <c r="A1547" s="125" t="s">
        <v>3956</v>
      </c>
      <c r="B1547" s="526" t="s">
        <v>3955</v>
      </c>
      <c r="C1547" s="527">
        <v>859.0</v>
      </c>
      <c r="D1547" s="527">
        <v>3905.58</v>
      </c>
      <c r="E1547" s="528">
        <v>4.5467</v>
      </c>
      <c r="F1547" s="36" t="s">
        <v>7798</v>
      </c>
      <c r="G1547" s="125" t="s">
        <v>913</v>
      </c>
      <c r="H1547" s="125" t="s">
        <v>7808</v>
      </c>
      <c r="I1547" t="s">
        <v>7804</v>
      </c>
    </row>
    <row r="1548">
      <c r="A1548" s="125" t="s">
        <v>3958</v>
      </c>
      <c r="B1548" s="526" t="s">
        <v>3957</v>
      </c>
      <c r="C1548" s="527">
        <v>595.0</v>
      </c>
      <c r="D1548" s="527">
        <v>1134.64</v>
      </c>
      <c r="E1548" s="528">
        <v>1.907</v>
      </c>
      <c r="F1548" s="36" t="s">
        <v>7798</v>
      </c>
      <c r="G1548" s="125" t="s">
        <v>913</v>
      </c>
      <c r="H1548" s="125" t="s">
        <v>7808</v>
      </c>
      <c r="I1548" t="s">
        <v>7804</v>
      </c>
    </row>
    <row r="1549">
      <c r="A1549" s="125" t="s">
        <v>3960</v>
      </c>
      <c r="B1549" s="526" t="s">
        <v>3959</v>
      </c>
      <c r="C1549" s="527">
        <v>0.0</v>
      </c>
      <c r="D1549" s="527">
        <v>0.0</v>
      </c>
      <c r="F1549" s="36" t="s">
        <v>7798</v>
      </c>
      <c r="G1549" s="125" t="s">
        <v>893</v>
      </c>
      <c r="H1549" s="125" t="s">
        <v>7801</v>
      </c>
      <c r="I1549" t="s">
        <v>7804</v>
      </c>
    </row>
    <row r="1550">
      <c r="A1550" s="125" t="s">
        <v>3962</v>
      </c>
      <c r="B1550" s="526" t="s">
        <v>3961</v>
      </c>
      <c r="C1550" s="527">
        <v>383.0</v>
      </c>
      <c r="D1550" s="527">
        <v>605.83</v>
      </c>
      <c r="E1550" s="528">
        <v>1.5818</v>
      </c>
      <c r="F1550" s="36" t="s">
        <v>7798</v>
      </c>
      <c r="G1550" s="125" t="s">
        <v>913</v>
      </c>
      <c r="H1550" s="125" t="s">
        <v>7808</v>
      </c>
      <c r="I1550" t="s">
        <v>7804</v>
      </c>
    </row>
    <row r="1551">
      <c r="A1551" s="125" t="s">
        <v>3964</v>
      </c>
      <c r="B1551" s="526" t="s">
        <v>3963</v>
      </c>
      <c r="C1551" s="527">
        <v>439.0</v>
      </c>
      <c r="D1551" s="527">
        <v>419.05</v>
      </c>
      <c r="E1551" s="528">
        <v>0.9546</v>
      </c>
      <c r="F1551" s="36" t="s">
        <v>7798</v>
      </c>
      <c r="G1551" s="125" t="s">
        <v>913</v>
      </c>
      <c r="H1551" s="125" t="s">
        <v>7808</v>
      </c>
      <c r="I1551" t="s">
        <v>7804</v>
      </c>
    </row>
    <row r="1552">
      <c r="A1552" s="125" t="s">
        <v>3966</v>
      </c>
      <c r="B1552" s="526" t="s">
        <v>3965</v>
      </c>
      <c r="C1552" s="527">
        <v>0.0</v>
      </c>
      <c r="D1552" s="527">
        <v>0.0</v>
      </c>
      <c r="F1552" s="36" t="s">
        <v>7798</v>
      </c>
      <c r="G1552" s="125" t="s">
        <v>893</v>
      </c>
      <c r="H1552" s="125" t="s">
        <v>7801</v>
      </c>
      <c r="I1552" t="s">
        <v>7804</v>
      </c>
    </row>
    <row r="1553">
      <c r="A1553" s="125" t="s">
        <v>3968</v>
      </c>
      <c r="B1553" s="526" t="s">
        <v>3967</v>
      </c>
      <c r="C1553" s="527">
        <v>50.0</v>
      </c>
      <c r="D1553" s="527">
        <v>201.23</v>
      </c>
      <c r="E1553" s="528">
        <v>4.0246</v>
      </c>
      <c r="F1553" s="36" t="s">
        <v>7798</v>
      </c>
      <c r="G1553" s="125" t="s">
        <v>913</v>
      </c>
      <c r="H1553" s="125" t="s">
        <v>7808</v>
      </c>
      <c r="I1553" t="s">
        <v>7804</v>
      </c>
    </row>
    <row r="1554">
      <c r="A1554" s="125" t="s">
        <v>3970</v>
      </c>
      <c r="B1554" s="526" t="s">
        <v>3969</v>
      </c>
      <c r="C1554" s="527">
        <v>1.0</v>
      </c>
      <c r="D1554" s="527">
        <v>312.68</v>
      </c>
      <c r="E1554" s="528">
        <v>312.68</v>
      </c>
      <c r="F1554" s="36" t="s">
        <v>7798</v>
      </c>
      <c r="G1554" s="125" t="s">
        <v>913</v>
      </c>
      <c r="H1554" s="125" t="s">
        <v>7808</v>
      </c>
      <c r="I1554" t="s">
        <v>7804</v>
      </c>
    </row>
    <row r="1555">
      <c r="A1555" s="125" t="s">
        <v>3972</v>
      </c>
      <c r="B1555" s="526" t="s">
        <v>3971</v>
      </c>
      <c r="C1555" s="527">
        <v>201.0</v>
      </c>
      <c r="D1555" s="527">
        <v>329.11</v>
      </c>
      <c r="E1555" s="528">
        <v>1.6374</v>
      </c>
      <c r="F1555" s="36" t="s">
        <v>7798</v>
      </c>
      <c r="G1555" s="125" t="s">
        <v>913</v>
      </c>
      <c r="H1555" s="125" t="s">
        <v>7808</v>
      </c>
      <c r="I1555" t="s">
        <v>7804</v>
      </c>
    </row>
    <row r="1556">
      <c r="A1556" s="125" t="s">
        <v>3974</v>
      </c>
      <c r="B1556" s="526" t="s">
        <v>3973</v>
      </c>
      <c r="C1556" s="527">
        <v>0.0</v>
      </c>
      <c r="D1556" s="527">
        <v>0.0</v>
      </c>
      <c r="F1556" s="36" t="s">
        <v>7798</v>
      </c>
      <c r="G1556" s="125" t="s">
        <v>893</v>
      </c>
      <c r="H1556" s="125" t="s">
        <v>7799</v>
      </c>
    </row>
    <row r="1557">
      <c r="A1557" s="125" t="s">
        <v>3976</v>
      </c>
      <c r="B1557" s="526" t="s">
        <v>3975</v>
      </c>
      <c r="C1557" s="527">
        <v>0.0</v>
      </c>
      <c r="D1557" s="527">
        <v>0.0</v>
      </c>
      <c r="F1557" s="36" t="s">
        <v>7798</v>
      </c>
      <c r="G1557" s="125" t="s">
        <v>893</v>
      </c>
      <c r="H1557" s="125" t="s">
        <v>7799</v>
      </c>
    </row>
    <row r="1558">
      <c r="A1558" s="125" t="s">
        <v>3980</v>
      </c>
      <c r="B1558" s="526" t="s">
        <v>3979</v>
      </c>
      <c r="C1558" s="527">
        <v>0.0</v>
      </c>
      <c r="D1558" s="527">
        <v>0.0</v>
      </c>
      <c r="F1558" s="36" t="s">
        <v>7798</v>
      </c>
      <c r="G1558" s="125" t="s">
        <v>893</v>
      </c>
      <c r="H1558" s="125" t="s">
        <v>7801</v>
      </c>
      <c r="I1558" t="s">
        <v>7804</v>
      </c>
    </row>
    <row r="1559">
      <c r="A1559" s="125" t="s">
        <v>3982</v>
      </c>
      <c r="B1559" s="526" t="s">
        <v>3981</v>
      </c>
      <c r="C1559" s="527">
        <v>0.0</v>
      </c>
      <c r="D1559" s="527">
        <v>0.0</v>
      </c>
      <c r="F1559" s="36" t="s">
        <v>7798</v>
      </c>
      <c r="G1559" s="125" t="s">
        <v>893</v>
      </c>
      <c r="H1559" s="125" t="s">
        <v>7801</v>
      </c>
      <c r="I1559" t="s">
        <v>7804</v>
      </c>
    </row>
    <row r="1560">
      <c r="A1560" s="125" t="s">
        <v>3984</v>
      </c>
      <c r="B1560" s="526" t="s">
        <v>3983</v>
      </c>
      <c r="C1560" s="527">
        <v>708.0</v>
      </c>
      <c r="D1560" s="527">
        <v>1379.7</v>
      </c>
      <c r="E1560" s="528">
        <v>1.9487</v>
      </c>
      <c r="F1560" s="36" t="s">
        <v>7798</v>
      </c>
      <c r="G1560" s="125" t="s">
        <v>913</v>
      </c>
      <c r="H1560" s="125" t="s">
        <v>7808</v>
      </c>
      <c r="I1560" t="s">
        <v>7804</v>
      </c>
    </row>
    <row r="1561">
      <c r="A1561" s="125" t="s">
        <v>3986</v>
      </c>
      <c r="B1561" s="526" t="s">
        <v>3985</v>
      </c>
      <c r="C1561" s="527">
        <v>1.0</v>
      </c>
      <c r="D1561" s="527">
        <v>30.81</v>
      </c>
      <c r="E1561" s="528">
        <v>30.81</v>
      </c>
      <c r="F1561" s="36" t="s">
        <v>7798</v>
      </c>
      <c r="G1561" s="125" t="s">
        <v>913</v>
      </c>
      <c r="H1561" s="125" t="s">
        <v>7801</v>
      </c>
      <c r="I1561" t="s">
        <v>7846</v>
      </c>
    </row>
    <row r="1562">
      <c r="A1562" s="125" t="s">
        <v>3988</v>
      </c>
      <c r="B1562" s="526" t="s">
        <v>3987</v>
      </c>
      <c r="C1562" s="527">
        <v>0.0</v>
      </c>
      <c r="D1562" s="527">
        <v>0.0</v>
      </c>
      <c r="F1562" s="36" t="s">
        <v>7798</v>
      </c>
      <c r="G1562" s="125" t="s">
        <v>893</v>
      </c>
      <c r="H1562" s="125" t="s">
        <v>7801</v>
      </c>
      <c r="I1562" t="s">
        <v>7846</v>
      </c>
    </row>
    <row r="1563">
      <c r="A1563" s="125" t="s">
        <v>3990</v>
      </c>
      <c r="B1563" s="526" t="s">
        <v>3989</v>
      </c>
      <c r="C1563" s="527">
        <v>6.0</v>
      </c>
      <c r="D1563" s="527">
        <v>29.76</v>
      </c>
      <c r="E1563" s="528">
        <v>4.96</v>
      </c>
      <c r="F1563" s="36" t="s">
        <v>7798</v>
      </c>
      <c r="G1563" s="125" t="s">
        <v>913</v>
      </c>
      <c r="I1563" t="s">
        <v>45</v>
      </c>
    </row>
    <row r="1564">
      <c r="A1564" s="125" t="s">
        <v>3992</v>
      </c>
      <c r="B1564" s="526" t="s">
        <v>3991</v>
      </c>
      <c r="C1564" s="527">
        <v>0.0</v>
      </c>
      <c r="D1564" s="527">
        <v>0.0</v>
      </c>
      <c r="F1564" s="36" t="s">
        <v>7798</v>
      </c>
      <c r="G1564" s="125" t="s">
        <v>893</v>
      </c>
      <c r="H1564" s="125" t="s">
        <v>7799</v>
      </c>
      <c r="I1564" t="s">
        <v>45</v>
      </c>
    </row>
    <row r="1565">
      <c r="A1565" s="125" t="s">
        <v>3994</v>
      </c>
      <c r="B1565" s="526" t="s">
        <v>3993</v>
      </c>
      <c r="C1565" s="527">
        <v>0.0</v>
      </c>
      <c r="D1565" s="527">
        <v>0.0</v>
      </c>
      <c r="F1565" s="36" t="s">
        <v>7798</v>
      </c>
      <c r="G1565" s="125" t="s">
        <v>893</v>
      </c>
      <c r="H1565" s="125" t="s">
        <v>7799</v>
      </c>
    </row>
    <row r="1566">
      <c r="A1566" s="125" t="s">
        <v>3996</v>
      </c>
      <c r="B1566" s="526" t="s">
        <v>3995</v>
      </c>
      <c r="C1566" s="527">
        <v>0.0</v>
      </c>
      <c r="D1566" s="527">
        <v>0.0</v>
      </c>
      <c r="F1566" s="36" t="s">
        <v>7807</v>
      </c>
      <c r="G1566" s="125" t="s">
        <v>893</v>
      </c>
      <c r="H1566" s="125" t="s">
        <v>7799</v>
      </c>
    </row>
    <row r="1567">
      <c r="A1567" s="125" t="s">
        <v>3998</v>
      </c>
      <c r="B1567" s="526" t="s">
        <v>3997</v>
      </c>
      <c r="C1567" s="527">
        <v>0.0</v>
      </c>
      <c r="D1567" s="527">
        <v>0.0</v>
      </c>
      <c r="F1567" s="36" t="s">
        <v>7807</v>
      </c>
      <c r="G1567" s="125" t="s">
        <v>893</v>
      </c>
      <c r="H1567" s="125" t="s">
        <v>7799</v>
      </c>
    </row>
    <row r="1568">
      <c r="A1568" s="125" t="s">
        <v>3999</v>
      </c>
      <c r="B1568" s="526">
        <v>92901.0</v>
      </c>
      <c r="C1568" s="527">
        <v>0.0</v>
      </c>
      <c r="D1568" s="527">
        <v>0.0</v>
      </c>
      <c r="F1568" s="36" t="s">
        <v>7798</v>
      </c>
      <c r="G1568" s="125" t="s">
        <v>893</v>
      </c>
      <c r="H1568" s="125" t="s">
        <v>7799</v>
      </c>
      <c r="I1568" t="s">
        <v>7806</v>
      </c>
    </row>
    <row r="1569">
      <c r="A1569" s="125" t="s">
        <v>4000</v>
      </c>
      <c r="B1569" s="526">
        <v>92902.0</v>
      </c>
      <c r="C1569" s="527">
        <v>0.0</v>
      </c>
      <c r="D1569" s="527">
        <v>0.0</v>
      </c>
      <c r="F1569" s="36" t="s">
        <v>7798</v>
      </c>
      <c r="G1569" s="125" t="s">
        <v>893</v>
      </c>
      <c r="H1569" s="125" t="s">
        <v>7799</v>
      </c>
      <c r="I1569" t="s">
        <v>7806</v>
      </c>
    </row>
    <row r="1570">
      <c r="A1570" s="125" t="s">
        <v>4001</v>
      </c>
      <c r="B1570" s="526">
        <v>92903.0</v>
      </c>
      <c r="C1570" s="527">
        <v>0.0</v>
      </c>
      <c r="D1570" s="527">
        <v>0.0</v>
      </c>
      <c r="F1570" s="36" t="s">
        <v>7798</v>
      </c>
      <c r="G1570" s="125" t="s">
        <v>893</v>
      </c>
      <c r="H1570" s="125" t="s">
        <v>7799</v>
      </c>
      <c r="I1570" t="s">
        <v>7806</v>
      </c>
    </row>
    <row r="1571">
      <c r="A1571" s="125" t="s">
        <v>4002</v>
      </c>
      <c r="B1571" s="526">
        <v>92904.0</v>
      </c>
      <c r="C1571" s="527">
        <v>0.0</v>
      </c>
      <c r="D1571" s="527">
        <v>0.0</v>
      </c>
      <c r="F1571" s="36" t="s">
        <v>7798</v>
      </c>
      <c r="G1571" s="125" t="s">
        <v>893</v>
      </c>
      <c r="H1571" s="125" t="s">
        <v>7799</v>
      </c>
      <c r="I1571" t="s">
        <v>7806</v>
      </c>
    </row>
    <row r="1572">
      <c r="A1572" s="125" t="s">
        <v>4003</v>
      </c>
      <c r="B1572" s="526">
        <v>92905.0</v>
      </c>
      <c r="C1572" s="527">
        <v>0.0</v>
      </c>
      <c r="D1572" s="527">
        <v>0.0</v>
      </c>
      <c r="F1572" s="36" t="s">
        <v>7798</v>
      </c>
      <c r="G1572" s="125" t="s">
        <v>893</v>
      </c>
      <c r="H1572" s="125" t="s">
        <v>7799</v>
      </c>
      <c r="I1572" t="s">
        <v>7806</v>
      </c>
    </row>
    <row r="1573">
      <c r="A1573" s="125" t="s">
        <v>4004</v>
      </c>
      <c r="B1573" s="526">
        <v>92906.0</v>
      </c>
      <c r="C1573" s="527">
        <v>0.0</v>
      </c>
      <c r="D1573" s="527">
        <v>0.0</v>
      </c>
      <c r="F1573" s="36" t="s">
        <v>7798</v>
      </c>
      <c r="G1573" s="125" t="s">
        <v>893</v>
      </c>
      <c r="H1573" s="125" t="s">
        <v>7799</v>
      </c>
      <c r="I1573" t="s">
        <v>7806</v>
      </c>
    </row>
    <row r="1574">
      <c r="A1574" s="125" t="s">
        <v>4005</v>
      </c>
      <c r="B1574" s="526">
        <v>92907.0</v>
      </c>
      <c r="C1574" s="527">
        <v>0.0</v>
      </c>
      <c r="D1574" s="527">
        <v>0.0</v>
      </c>
      <c r="F1574" s="36" t="s">
        <v>7798</v>
      </c>
      <c r="G1574" s="125" t="s">
        <v>893</v>
      </c>
      <c r="H1574" s="125" t="s">
        <v>7799</v>
      </c>
      <c r="I1574" t="s">
        <v>7806</v>
      </c>
    </row>
    <row r="1575">
      <c r="A1575" s="125" t="s">
        <v>4006</v>
      </c>
      <c r="B1575" s="526">
        <v>92908.0</v>
      </c>
      <c r="C1575" s="527">
        <v>0.0</v>
      </c>
      <c r="D1575" s="527">
        <v>0.0</v>
      </c>
      <c r="F1575" s="36" t="s">
        <v>7798</v>
      </c>
      <c r="G1575" s="125" t="s">
        <v>893</v>
      </c>
      <c r="H1575" s="125" t="s">
        <v>7799</v>
      </c>
      <c r="I1575" t="s">
        <v>7806</v>
      </c>
    </row>
    <row r="1576">
      <c r="A1576" s="125" t="s">
        <v>4007</v>
      </c>
      <c r="B1576" s="526">
        <v>92909.0</v>
      </c>
      <c r="C1576" s="527">
        <v>0.0</v>
      </c>
      <c r="D1576" s="527">
        <v>0.0</v>
      </c>
      <c r="F1576" s="36" t="s">
        <v>7798</v>
      </c>
      <c r="G1576" s="125" t="s">
        <v>893</v>
      </c>
      <c r="H1576" s="125" t="s">
        <v>7799</v>
      </c>
      <c r="I1576" t="s">
        <v>7806</v>
      </c>
    </row>
    <row r="1577">
      <c r="A1577" s="125" t="s">
        <v>4008</v>
      </c>
      <c r="B1577" s="526">
        <v>92910.0</v>
      </c>
      <c r="C1577" s="527">
        <v>0.0</v>
      </c>
      <c r="D1577" s="527">
        <v>0.0</v>
      </c>
      <c r="F1577" s="36" t="s">
        <v>7798</v>
      </c>
      <c r="G1577" s="125" t="s">
        <v>893</v>
      </c>
      <c r="H1577" s="125" t="s">
        <v>7799</v>
      </c>
      <c r="I1577" t="s">
        <v>7806</v>
      </c>
    </row>
    <row r="1578">
      <c r="A1578" s="125" t="s">
        <v>4009</v>
      </c>
      <c r="B1578" s="526">
        <v>92911.0</v>
      </c>
      <c r="C1578" s="527">
        <v>0.0</v>
      </c>
      <c r="D1578" s="527">
        <v>0.0</v>
      </c>
      <c r="F1578" s="36" t="s">
        <v>7798</v>
      </c>
      <c r="G1578" s="125" t="s">
        <v>893</v>
      </c>
      <c r="H1578" s="125" t="s">
        <v>7799</v>
      </c>
      <c r="I1578" t="s">
        <v>7806</v>
      </c>
    </row>
    <row r="1579">
      <c r="A1579" s="125" t="s">
        <v>4010</v>
      </c>
      <c r="B1579" s="526">
        <v>92912.0</v>
      </c>
      <c r="C1579" s="527">
        <v>0.0</v>
      </c>
      <c r="D1579" s="527">
        <v>0.0</v>
      </c>
      <c r="F1579" s="36" t="s">
        <v>7798</v>
      </c>
      <c r="G1579" s="125" t="s">
        <v>893</v>
      </c>
      <c r="H1579" s="125" t="s">
        <v>7799</v>
      </c>
      <c r="I1579" t="s">
        <v>7806</v>
      </c>
    </row>
    <row r="1580">
      <c r="A1580" s="125" t="s">
        <v>4011</v>
      </c>
      <c r="B1580" s="526">
        <v>92913.0</v>
      </c>
      <c r="C1580" s="527">
        <v>0.0</v>
      </c>
      <c r="D1580" s="527">
        <v>0.0</v>
      </c>
      <c r="F1580" s="36" t="s">
        <v>7798</v>
      </c>
      <c r="G1580" s="125" t="s">
        <v>893</v>
      </c>
      <c r="H1580" s="125" t="s">
        <v>7799</v>
      </c>
      <c r="I1580" t="s">
        <v>7806</v>
      </c>
    </row>
    <row r="1581">
      <c r="A1581" s="125" t="s">
        <v>4012</v>
      </c>
      <c r="B1581" s="526">
        <v>92914.0</v>
      </c>
      <c r="C1581" s="527">
        <v>0.0</v>
      </c>
      <c r="D1581" s="527">
        <v>0.0</v>
      </c>
      <c r="F1581" s="36" t="s">
        <v>7798</v>
      </c>
      <c r="G1581" s="125" t="s">
        <v>893</v>
      </c>
      <c r="H1581" s="125" t="s">
        <v>7799</v>
      </c>
      <c r="I1581" t="s">
        <v>7806</v>
      </c>
    </row>
    <row r="1582">
      <c r="A1582" s="125" t="s">
        <v>4013</v>
      </c>
      <c r="B1582" s="526">
        <v>92915.0</v>
      </c>
      <c r="C1582" s="527">
        <v>0.0</v>
      </c>
      <c r="D1582" s="527">
        <v>0.0</v>
      </c>
      <c r="F1582" s="36" t="s">
        <v>7798</v>
      </c>
      <c r="G1582" s="125" t="s">
        <v>893</v>
      </c>
      <c r="H1582" s="125" t="s">
        <v>7799</v>
      </c>
      <c r="I1582" t="s">
        <v>7806</v>
      </c>
    </row>
    <row r="1583">
      <c r="A1583" s="125" t="s">
        <v>4014</v>
      </c>
      <c r="B1583" s="526">
        <v>92916.0</v>
      </c>
      <c r="C1583" s="527">
        <v>0.0</v>
      </c>
      <c r="D1583" s="527">
        <v>0.0</v>
      </c>
      <c r="F1583" s="36" t="s">
        <v>7798</v>
      </c>
      <c r="G1583" s="125" t="s">
        <v>893</v>
      </c>
      <c r="H1583" s="125" t="s">
        <v>7799</v>
      </c>
      <c r="I1583" t="s">
        <v>7806</v>
      </c>
    </row>
    <row r="1584">
      <c r="A1584" s="125" t="s">
        <v>4015</v>
      </c>
      <c r="B1584" s="526">
        <v>92918.0</v>
      </c>
      <c r="C1584" s="527">
        <v>0.0</v>
      </c>
      <c r="D1584" s="527">
        <v>0.0</v>
      </c>
      <c r="F1584" s="36" t="s">
        <v>7798</v>
      </c>
      <c r="G1584" s="125" t="s">
        <v>893</v>
      </c>
      <c r="H1584" s="125" t="s">
        <v>7799</v>
      </c>
      <c r="I1584" t="s">
        <v>7806</v>
      </c>
    </row>
    <row r="1585">
      <c r="A1585" s="125" t="s">
        <v>4016</v>
      </c>
      <c r="B1585" s="526">
        <v>92919.0</v>
      </c>
      <c r="C1585" s="527">
        <v>0.0</v>
      </c>
      <c r="D1585" s="527">
        <v>0.0</v>
      </c>
      <c r="F1585" s="36" t="s">
        <v>7798</v>
      </c>
      <c r="G1585" s="125" t="s">
        <v>893</v>
      </c>
      <c r="H1585" s="125" t="s">
        <v>7799</v>
      </c>
      <c r="I1585" t="s">
        <v>7806</v>
      </c>
    </row>
    <row r="1586">
      <c r="A1586" s="125" t="s">
        <v>4018</v>
      </c>
      <c r="B1586" s="526" t="s">
        <v>4017</v>
      </c>
      <c r="C1586" s="527">
        <v>0.0</v>
      </c>
      <c r="D1586" s="527">
        <v>0.0</v>
      </c>
      <c r="F1586" s="36" t="s">
        <v>7798</v>
      </c>
      <c r="G1586" s="125" t="s">
        <v>893</v>
      </c>
      <c r="H1586" s="125" t="s">
        <v>7799</v>
      </c>
      <c r="I1586" t="s">
        <v>7806</v>
      </c>
    </row>
    <row r="1587">
      <c r="A1587" s="125" t="s">
        <v>4019</v>
      </c>
      <c r="B1587" s="526">
        <v>92920.0</v>
      </c>
      <c r="C1587" s="527">
        <v>0.0</v>
      </c>
      <c r="D1587" s="527">
        <v>0.0</v>
      </c>
      <c r="F1587" s="36" t="s">
        <v>7798</v>
      </c>
      <c r="G1587" s="125" t="s">
        <v>893</v>
      </c>
      <c r="H1587" s="125" t="s">
        <v>7799</v>
      </c>
      <c r="I1587" t="s">
        <v>7806</v>
      </c>
    </row>
    <row r="1588">
      <c r="A1588" s="125" t="s">
        <v>4020</v>
      </c>
      <c r="B1588" s="526">
        <v>92921.0</v>
      </c>
      <c r="C1588" s="527">
        <v>0.0</v>
      </c>
      <c r="D1588" s="527">
        <v>0.0</v>
      </c>
      <c r="F1588" s="36" t="s">
        <v>7798</v>
      </c>
      <c r="G1588" s="125" t="s">
        <v>893</v>
      </c>
      <c r="H1588" s="125" t="s">
        <v>7799</v>
      </c>
      <c r="I1588" t="s">
        <v>7806</v>
      </c>
    </row>
    <row r="1589">
      <c r="A1589" s="125" t="s">
        <v>4021</v>
      </c>
      <c r="B1589" s="526">
        <v>92922.0</v>
      </c>
      <c r="C1589" s="527">
        <v>0.0</v>
      </c>
      <c r="D1589" s="527">
        <v>0.0</v>
      </c>
      <c r="F1589" s="36" t="s">
        <v>7798</v>
      </c>
      <c r="G1589" s="125" t="s">
        <v>893</v>
      </c>
      <c r="H1589" s="125" t="s">
        <v>7799</v>
      </c>
      <c r="I1589" t="s">
        <v>7806</v>
      </c>
    </row>
    <row r="1590">
      <c r="A1590" s="125" t="s">
        <v>4022</v>
      </c>
      <c r="B1590" s="526">
        <v>92923.0</v>
      </c>
      <c r="C1590" s="527">
        <v>0.0</v>
      </c>
      <c r="D1590" s="527">
        <v>0.0</v>
      </c>
      <c r="F1590" s="36" t="s">
        <v>7798</v>
      </c>
      <c r="G1590" s="125" t="s">
        <v>893</v>
      </c>
      <c r="H1590" s="125" t="s">
        <v>7799</v>
      </c>
      <c r="I1590" t="s">
        <v>7806</v>
      </c>
    </row>
    <row r="1591">
      <c r="A1591" s="125" t="s">
        <v>4023</v>
      </c>
      <c r="B1591" s="526">
        <v>92925.0</v>
      </c>
      <c r="C1591" s="527">
        <v>0.0</v>
      </c>
      <c r="D1591" s="527">
        <v>0.0</v>
      </c>
      <c r="F1591" s="36" t="s">
        <v>7798</v>
      </c>
      <c r="G1591" s="125" t="s">
        <v>893</v>
      </c>
      <c r="H1591" s="125" t="s">
        <v>7799</v>
      </c>
      <c r="I1591" t="s">
        <v>7806</v>
      </c>
    </row>
    <row r="1592">
      <c r="A1592" s="125" t="s">
        <v>4024</v>
      </c>
      <c r="B1592" s="526">
        <v>92926.0</v>
      </c>
      <c r="C1592" s="527">
        <v>0.0</v>
      </c>
      <c r="D1592" s="527">
        <v>0.0</v>
      </c>
      <c r="F1592" s="36" t="s">
        <v>7798</v>
      </c>
      <c r="G1592" s="125" t="s">
        <v>893</v>
      </c>
      <c r="H1592" s="125" t="s">
        <v>7799</v>
      </c>
      <c r="I1592" t="s">
        <v>7806</v>
      </c>
    </row>
    <row r="1593">
      <c r="A1593" s="125" t="s">
        <v>4027</v>
      </c>
      <c r="B1593" s="526" t="s">
        <v>4026</v>
      </c>
      <c r="C1593" s="527">
        <v>0.0</v>
      </c>
      <c r="D1593" s="527">
        <v>0.0</v>
      </c>
      <c r="F1593" s="36" t="s">
        <v>7798</v>
      </c>
      <c r="G1593" s="125" t="s">
        <v>893</v>
      </c>
      <c r="H1593" s="125" t="s">
        <v>7799</v>
      </c>
      <c r="I1593" t="s">
        <v>7883</v>
      </c>
    </row>
    <row r="1594">
      <c r="A1594" s="125" t="s">
        <v>4029</v>
      </c>
      <c r="B1594" s="526" t="s">
        <v>4028</v>
      </c>
      <c r="C1594" s="527">
        <v>0.0</v>
      </c>
      <c r="D1594" s="527">
        <v>0.0</v>
      </c>
      <c r="F1594" s="36" t="s">
        <v>7798</v>
      </c>
      <c r="G1594" s="125" t="s">
        <v>893</v>
      </c>
      <c r="H1594" s="125" t="s">
        <v>7799</v>
      </c>
      <c r="I1594" t="s">
        <v>7883</v>
      </c>
    </row>
    <row r="1595">
      <c r="A1595" s="125" t="s">
        <v>4031</v>
      </c>
      <c r="B1595" s="526" t="s">
        <v>4030</v>
      </c>
      <c r="C1595" s="527">
        <v>0.0</v>
      </c>
      <c r="D1595" s="527">
        <v>0.0</v>
      </c>
      <c r="F1595" s="36" t="s">
        <v>7798</v>
      </c>
      <c r="G1595" s="125" t="s">
        <v>893</v>
      </c>
      <c r="H1595" s="125" t="s">
        <v>7799</v>
      </c>
      <c r="I1595" t="s">
        <v>7883</v>
      </c>
    </row>
    <row r="1596">
      <c r="A1596" s="125" t="s">
        <v>4033</v>
      </c>
      <c r="B1596" s="526" t="s">
        <v>4032</v>
      </c>
      <c r="C1596" s="527">
        <v>0.0</v>
      </c>
      <c r="D1596" s="527">
        <v>0.0</v>
      </c>
      <c r="F1596" s="36" t="s">
        <v>7798</v>
      </c>
      <c r="G1596" s="125" t="s">
        <v>893</v>
      </c>
      <c r="H1596" s="125" t="s">
        <v>7799</v>
      </c>
      <c r="I1596" t="s">
        <v>7883</v>
      </c>
    </row>
    <row r="1597">
      <c r="A1597" s="125" t="s">
        <v>4035</v>
      </c>
      <c r="B1597" s="526" t="s">
        <v>4034</v>
      </c>
      <c r="C1597" s="527">
        <v>0.0</v>
      </c>
      <c r="D1597" s="527">
        <v>0.0</v>
      </c>
      <c r="F1597" s="36" t="s">
        <v>7798</v>
      </c>
      <c r="G1597" s="125" t="s">
        <v>893</v>
      </c>
      <c r="H1597" s="125" t="s">
        <v>7799</v>
      </c>
      <c r="I1597" t="s">
        <v>7883</v>
      </c>
    </row>
    <row r="1598">
      <c r="A1598" s="125" t="s">
        <v>4037</v>
      </c>
      <c r="B1598" s="526" t="s">
        <v>4036</v>
      </c>
      <c r="C1598" s="527">
        <v>0.0</v>
      </c>
      <c r="D1598" s="527">
        <v>0.0</v>
      </c>
      <c r="F1598" s="36" t="s">
        <v>7798</v>
      </c>
      <c r="G1598" s="125" t="s">
        <v>893</v>
      </c>
      <c r="H1598" s="125" t="s">
        <v>7799</v>
      </c>
      <c r="I1598" t="s">
        <v>7883</v>
      </c>
    </row>
    <row r="1599">
      <c r="A1599" s="125" t="s">
        <v>4039</v>
      </c>
      <c r="B1599" s="526" t="s">
        <v>4038</v>
      </c>
      <c r="C1599" s="527">
        <v>0.0</v>
      </c>
      <c r="D1599" s="527">
        <v>0.0</v>
      </c>
      <c r="F1599" s="36" t="s">
        <v>7798</v>
      </c>
      <c r="G1599" s="125" t="s">
        <v>893</v>
      </c>
      <c r="H1599" s="125" t="s">
        <v>7799</v>
      </c>
      <c r="I1599" t="s">
        <v>7883</v>
      </c>
    </row>
    <row r="1600">
      <c r="A1600" s="125" t="s">
        <v>4041</v>
      </c>
      <c r="B1600" s="526" t="s">
        <v>4040</v>
      </c>
      <c r="C1600" s="527">
        <v>0.0</v>
      </c>
      <c r="D1600" s="527">
        <v>0.0</v>
      </c>
      <c r="F1600" s="36" t="s">
        <v>7798</v>
      </c>
      <c r="G1600" s="125" t="s">
        <v>893</v>
      </c>
      <c r="H1600" s="125" t="s">
        <v>7799</v>
      </c>
      <c r="I1600" t="s">
        <v>7883</v>
      </c>
    </row>
    <row r="1601">
      <c r="A1601" s="125" t="s">
        <v>4043</v>
      </c>
      <c r="B1601" s="526" t="s">
        <v>4042</v>
      </c>
      <c r="C1601" s="527">
        <v>0.0</v>
      </c>
      <c r="D1601" s="527">
        <v>0.0</v>
      </c>
      <c r="F1601" s="36" t="s">
        <v>7798</v>
      </c>
      <c r="G1601" s="125" t="s">
        <v>893</v>
      </c>
      <c r="H1601" s="125" t="s">
        <v>7799</v>
      </c>
      <c r="I1601" t="s">
        <v>7883</v>
      </c>
    </row>
    <row r="1602">
      <c r="A1602" s="125" t="s">
        <v>4045</v>
      </c>
      <c r="B1602" s="526" t="s">
        <v>4044</v>
      </c>
      <c r="C1602" s="527">
        <v>0.0</v>
      </c>
      <c r="D1602" s="527">
        <v>0.0</v>
      </c>
      <c r="F1602" s="36" t="s">
        <v>7798</v>
      </c>
      <c r="G1602" s="125" t="s">
        <v>893</v>
      </c>
      <c r="H1602" s="125" t="s">
        <v>7799</v>
      </c>
      <c r="I1602" t="s">
        <v>7883</v>
      </c>
    </row>
    <row r="1603">
      <c r="A1603" s="125" t="s">
        <v>4047</v>
      </c>
      <c r="B1603" s="526" t="s">
        <v>4046</v>
      </c>
      <c r="C1603" s="527">
        <v>0.0</v>
      </c>
      <c r="D1603" s="527">
        <v>0.0</v>
      </c>
      <c r="F1603" s="36" t="s">
        <v>7798</v>
      </c>
      <c r="G1603" s="125" t="s">
        <v>893</v>
      </c>
      <c r="H1603" s="125" t="s">
        <v>7799</v>
      </c>
      <c r="I1603" t="s">
        <v>7883</v>
      </c>
    </row>
    <row r="1604">
      <c r="A1604" s="125" t="s">
        <v>4049</v>
      </c>
      <c r="B1604" s="526" t="s">
        <v>4048</v>
      </c>
      <c r="C1604" s="527">
        <v>0.0</v>
      </c>
      <c r="D1604" s="527">
        <v>0.0</v>
      </c>
      <c r="F1604" s="36" t="s">
        <v>7798</v>
      </c>
      <c r="G1604" s="125" t="s">
        <v>893</v>
      </c>
      <c r="H1604" s="125" t="s">
        <v>7799</v>
      </c>
      <c r="I1604" t="s">
        <v>7883</v>
      </c>
    </row>
    <row r="1605">
      <c r="A1605" s="125" t="s">
        <v>4051</v>
      </c>
      <c r="B1605" s="526" t="s">
        <v>4050</v>
      </c>
      <c r="C1605" s="527">
        <v>0.0</v>
      </c>
      <c r="D1605" s="527">
        <v>0.0</v>
      </c>
      <c r="F1605" s="36" t="s">
        <v>7798</v>
      </c>
      <c r="G1605" s="125" t="s">
        <v>893</v>
      </c>
      <c r="H1605" s="125" t="s">
        <v>7799</v>
      </c>
      <c r="I1605" t="s">
        <v>7883</v>
      </c>
    </row>
    <row r="1606">
      <c r="A1606" s="125" t="s">
        <v>4053</v>
      </c>
      <c r="B1606" s="526" t="s">
        <v>4052</v>
      </c>
      <c r="C1606" s="527">
        <v>0.0</v>
      </c>
      <c r="D1606" s="527">
        <v>0.0</v>
      </c>
      <c r="F1606" s="36" t="s">
        <v>7798</v>
      </c>
      <c r="G1606" s="125" t="s">
        <v>893</v>
      </c>
      <c r="H1606" s="125" t="s">
        <v>7799</v>
      </c>
      <c r="I1606" t="s">
        <v>7883</v>
      </c>
    </row>
    <row r="1607">
      <c r="A1607" s="125" t="s">
        <v>4055</v>
      </c>
      <c r="B1607" s="526" t="s">
        <v>4054</v>
      </c>
      <c r="C1607" s="527">
        <v>0.0</v>
      </c>
      <c r="D1607" s="527">
        <v>0.0</v>
      </c>
      <c r="F1607" s="36" t="s">
        <v>7798</v>
      </c>
      <c r="G1607" s="125" t="s">
        <v>893</v>
      </c>
      <c r="H1607" s="125" t="s">
        <v>7799</v>
      </c>
      <c r="I1607" t="s">
        <v>7883</v>
      </c>
    </row>
    <row r="1608">
      <c r="A1608" s="125" t="s">
        <v>4057</v>
      </c>
      <c r="B1608" s="526" t="s">
        <v>4056</v>
      </c>
      <c r="C1608" s="527">
        <v>0.0</v>
      </c>
      <c r="D1608" s="527">
        <v>0.0</v>
      </c>
      <c r="F1608" s="36" t="s">
        <v>7798</v>
      </c>
      <c r="G1608" s="125" t="s">
        <v>893</v>
      </c>
      <c r="H1608" s="125" t="s">
        <v>7799</v>
      </c>
      <c r="I1608" t="s">
        <v>7883</v>
      </c>
    </row>
    <row r="1609">
      <c r="A1609" s="125" t="s">
        <v>4059</v>
      </c>
      <c r="B1609" s="526" t="s">
        <v>4058</v>
      </c>
      <c r="C1609" s="527">
        <v>0.0</v>
      </c>
      <c r="D1609" s="527">
        <v>0.0</v>
      </c>
      <c r="F1609" s="36" t="s">
        <v>7798</v>
      </c>
      <c r="G1609" s="125" t="s">
        <v>893</v>
      </c>
      <c r="H1609" s="125" t="s">
        <v>7799</v>
      </c>
      <c r="I1609" t="s">
        <v>7883</v>
      </c>
    </row>
    <row r="1610">
      <c r="A1610" s="125" t="s">
        <v>4061</v>
      </c>
      <c r="B1610" s="526" t="s">
        <v>4060</v>
      </c>
      <c r="C1610" s="527">
        <v>0.0</v>
      </c>
      <c r="D1610" s="527">
        <v>0.0</v>
      </c>
      <c r="F1610" s="36" t="s">
        <v>7798</v>
      </c>
      <c r="G1610" s="125" t="s">
        <v>893</v>
      </c>
      <c r="H1610" s="125" t="s">
        <v>7799</v>
      </c>
      <c r="I1610" t="s">
        <v>7883</v>
      </c>
    </row>
    <row r="1611">
      <c r="A1611" s="125" t="s">
        <v>4063</v>
      </c>
      <c r="B1611" s="526" t="s">
        <v>4062</v>
      </c>
      <c r="C1611" s="527">
        <v>0.0</v>
      </c>
      <c r="D1611" s="527">
        <v>0.0</v>
      </c>
      <c r="F1611" s="36" t="s">
        <v>7798</v>
      </c>
      <c r="G1611" s="125" t="s">
        <v>893</v>
      </c>
      <c r="H1611" s="125" t="s">
        <v>7799</v>
      </c>
      <c r="I1611" t="s">
        <v>7883</v>
      </c>
    </row>
    <row r="1612">
      <c r="A1612" s="125" t="s">
        <v>4065</v>
      </c>
      <c r="B1612" s="526" t="s">
        <v>4064</v>
      </c>
      <c r="C1612" s="527">
        <v>0.0</v>
      </c>
      <c r="D1612" s="527">
        <v>0.0</v>
      </c>
      <c r="F1612" s="36" t="s">
        <v>7798</v>
      </c>
      <c r="G1612" s="125" t="s">
        <v>893</v>
      </c>
      <c r="H1612" s="125" t="s">
        <v>7799</v>
      </c>
      <c r="I1612" t="s">
        <v>7883</v>
      </c>
    </row>
    <row r="1613">
      <c r="A1613" s="125" t="s">
        <v>4067</v>
      </c>
      <c r="B1613" s="526" t="s">
        <v>4066</v>
      </c>
      <c r="C1613" s="527">
        <v>0.0</v>
      </c>
      <c r="D1613" s="527">
        <v>0.0</v>
      </c>
      <c r="F1613" s="36" t="s">
        <v>7798</v>
      </c>
      <c r="G1613" s="125" t="s">
        <v>893</v>
      </c>
      <c r="H1613" s="125" t="s">
        <v>7799</v>
      </c>
      <c r="I1613" t="s">
        <v>7883</v>
      </c>
    </row>
    <row r="1614">
      <c r="A1614" s="125" t="s">
        <v>4069</v>
      </c>
      <c r="B1614" s="526" t="s">
        <v>4068</v>
      </c>
      <c r="C1614" s="527">
        <v>0.0</v>
      </c>
      <c r="D1614" s="527">
        <v>0.0</v>
      </c>
      <c r="F1614" s="36" t="s">
        <v>7798</v>
      </c>
      <c r="G1614" s="125" t="s">
        <v>893</v>
      </c>
      <c r="H1614" s="125" t="s">
        <v>7799</v>
      </c>
      <c r="I1614" t="s">
        <v>7883</v>
      </c>
    </row>
    <row r="1615">
      <c r="A1615" s="125" t="s">
        <v>4071</v>
      </c>
      <c r="B1615" s="526" t="s">
        <v>4070</v>
      </c>
      <c r="C1615" s="527">
        <v>0.0</v>
      </c>
      <c r="D1615" s="527">
        <v>0.0</v>
      </c>
      <c r="F1615" s="36" t="s">
        <v>7798</v>
      </c>
      <c r="G1615" s="125" t="s">
        <v>893</v>
      </c>
      <c r="H1615" s="125" t="s">
        <v>7799</v>
      </c>
      <c r="I1615" t="s">
        <v>7883</v>
      </c>
    </row>
    <row r="1616">
      <c r="A1616" s="125" t="s">
        <v>4073</v>
      </c>
      <c r="B1616" s="526" t="s">
        <v>4072</v>
      </c>
      <c r="C1616" s="527">
        <v>0.0</v>
      </c>
      <c r="D1616" s="527">
        <v>0.0</v>
      </c>
      <c r="F1616" s="36" t="s">
        <v>7798</v>
      </c>
      <c r="G1616" s="125" t="s">
        <v>893</v>
      </c>
      <c r="H1616" s="125" t="s">
        <v>7799</v>
      </c>
      <c r="I1616" t="s">
        <v>7883</v>
      </c>
    </row>
    <row r="1617">
      <c r="A1617" s="125" t="s">
        <v>4075</v>
      </c>
      <c r="B1617" s="526" t="s">
        <v>4074</v>
      </c>
      <c r="C1617" s="527">
        <v>0.0</v>
      </c>
      <c r="D1617" s="527">
        <v>0.0</v>
      </c>
      <c r="F1617" s="36" t="s">
        <v>7798</v>
      </c>
      <c r="G1617" s="125" t="s">
        <v>893</v>
      </c>
      <c r="H1617" s="125" t="s">
        <v>7799</v>
      </c>
      <c r="I1617" t="s">
        <v>7883</v>
      </c>
    </row>
    <row r="1618">
      <c r="A1618" s="125" t="s">
        <v>4077</v>
      </c>
      <c r="B1618" s="526" t="s">
        <v>4076</v>
      </c>
      <c r="C1618" s="527">
        <v>0.0</v>
      </c>
      <c r="D1618" s="527">
        <v>0.0</v>
      </c>
      <c r="F1618" s="36" t="s">
        <v>7798</v>
      </c>
      <c r="G1618" s="125" t="s">
        <v>893</v>
      </c>
      <c r="H1618" s="125" t="s">
        <v>7799</v>
      </c>
      <c r="I1618" t="s">
        <v>7883</v>
      </c>
    </row>
    <row r="1619">
      <c r="A1619" s="125" t="s">
        <v>4079</v>
      </c>
      <c r="B1619" s="526" t="s">
        <v>4078</v>
      </c>
      <c r="C1619" s="527">
        <v>0.0</v>
      </c>
      <c r="D1619" s="527">
        <v>0.0</v>
      </c>
      <c r="F1619" s="36" t="s">
        <v>7798</v>
      </c>
      <c r="G1619" s="125" t="s">
        <v>893</v>
      </c>
      <c r="H1619" s="125" t="s">
        <v>7799</v>
      </c>
      <c r="I1619" t="s">
        <v>7883</v>
      </c>
    </row>
    <row r="1620">
      <c r="A1620" s="125" t="s">
        <v>4081</v>
      </c>
      <c r="B1620" s="526" t="s">
        <v>4080</v>
      </c>
      <c r="C1620" s="527">
        <v>0.0</v>
      </c>
      <c r="D1620" s="527">
        <v>0.0</v>
      </c>
      <c r="F1620" s="36" t="s">
        <v>7798</v>
      </c>
      <c r="G1620" s="125" t="s">
        <v>893</v>
      </c>
      <c r="H1620" s="125" t="s">
        <v>7799</v>
      </c>
      <c r="I1620" t="s">
        <v>7883</v>
      </c>
    </row>
    <row r="1621">
      <c r="A1621" s="125" t="s">
        <v>4083</v>
      </c>
      <c r="B1621" s="526" t="s">
        <v>4082</v>
      </c>
      <c r="C1621" s="527">
        <v>0.0</v>
      </c>
      <c r="D1621" s="527">
        <v>0.0</v>
      </c>
      <c r="F1621" s="36" t="s">
        <v>7798</v>
      </c>
      <c r="G1621" s="125" t="s">
        <v>893</v>
      </c>
      <c r="H1621" s="125" t="s">
        <v>7799</v>
      </c>
      <c r="I1621" t="s">
        <v>7883</v>
      </c>
    </row>
    <row r="1622">
      <c r="A1622" s="125" t="s">
        <v>4085</v>
      </c>
      <c r="B1622" s="526" t="s">
        <v>4084</v>
      </c>
      <c r="C1622" s="527">
        <v>0.0</v>
      </c>
      <c r="D1622" s="527">
        <v>0.0</v>
      </c>
      <c r="F1622" s="36" t="s">
        <v>7798</v>
      </c>
      <c r="G1622" s="125" t="s">
        <v>893</v>
      </c>
      <c r="H1622" s="125" t="s">
        <v>7799</v>
      </c>
      <c r="I1622" t="s">
        <v>7883</v>
      </c>
    </row>
    <row r="1623">
      <c r="A1623" s="125" t="s">
        <v>4087</v>
      </c>
      <c r="B1623" s="526" t="s">
        <v>4086</v>
      </c>
      <c r="C1623" s="527">
        <v>0.0</v>
      </c>
      <c r="D1623" s="527">
        <v>0.0</v>
      </c>
      <c r="F1623" s="36" t="s">
        <v>7798</v>
      </c>
      <c r="G1623" s="125" t="s">
        <v>893</v>
      </c>
      <c r="H1623" s="125" t="s">
        <v>7799</v>
      </c>
      <c r="I1623" t="s">
        <v>7883</v>
      </c>
    </row>
    <row r="1624">
      <c r="A1624" s="125" t="s">
        <v>4089</v>
      </c>
      <c r="B1624" s="526" t="s">
        <v>4088</v>
      </c>
      <c r="C1624" s="527">
        <v>0.0</v>
      </c>
      <c r="D1624" s="527">
        <v>0.0</v>
      </c>
      <c r="F1624" s="36" t="s">
        <v>7798</v>
      </c>
      <c r="G1624" s="125" t="s">
        <v>893</v>
      </c>
      <c r="H1624" s="125" t="s">
        <v>7799</v>
      </c>
      <c r="I1624" t="s">
        <v>7883</v>
      </c>
    </row>
    <row r="1625">
      <c r="A1625" s="125" t="s">
        <v>4091</v>
      </c>
      <c r="B1625" s="526" t="s">
        <v>4090</v>
      </c>
      <c r="C1625" s="527">
        <v>0.0</v>
      </c>
      <c r="D1625" s="527">
        <v>0.0</v>
      </c>
      <c r="F1625" s="36" t="s">
        <v>7798</v>
      </c>
      <c r="G1625" s="125" t="s">
        <v>893</v>
      </c>
      <c r="H1625" s="125" t="s">
        <v>7799</v>
      </c>
      <c r="I1625" t="s">
        <v>7883</v>
      </c>
    </row>
    <row r="1626">
      <c r="A1626" s="125" t="s">
        <v>4093</v>
      </c>
      <c r="B1626" s="526" t="s">
        <v>4092</v>
      </c>
      <c r="C1626" s="527">
        <v>0.0</v>
      </c>
      <c r="D1626" s="527">
        <v>0.0</v>
      </c>
      <c r="F1626" s="36" t="s">
        <v>7798</v>
      </c>
      <c r="G1626" s="125" t="s">
        <v>893</v>
      </c>
      <c r="H1626" s="125" t="s">
        <v>7799</v>
      </c>
      <c r="I1626" t="s">
        <v>7883</v>
      </c>
    </row>
    <row r="1627">
      <c r="A1627" s="125" t="s">
        <v>4095</v>
      </c>
      <c r="B1627" s="526" t="s">
        <v>4094</v>
      </c>
      <c r="C1627" s="527">
        <v>0.0</v>
      </c>
      <c r="D1627" s="527">
        <v>0.0</v>
      </c>
      <c r="F1627" s="36" t="s">
        <v>7798</v>
      </c>
      <c r="G1627" s="125" t="s">
        <v>893</v>
      </c>
      <c r="H1627" s="125" t="s">
        <v>7799</v>
      </c>
      <c r="I1627" t="s">
        <v>7883</v>
      </c>
    </row>
    <row r="1628">
      <c r="A1628" s="125" t="s">
        <v>4097</v>
      </c>
      <c r="B1628" s="526" t="s">
        <v>4096</v>
      </c>
      <c r="C1628" s="527">
        <v>0.0</v>
      </c>
      <c r="D1628" s="527">
        <v>0.0</v>
      </c>
      <c r="F1628" s="36" t="s">
        <v>7798</v>
      </c>
      <c r="G1628" s="125" t="s">
        <v>893</v>
      </c>
      <c r="H1628" s="125" t="s">
        <v>7799</v>
      </c>
      <c r="I1628" t="s">
        <v>7883</v>
      </c>
    </row>
    <row r="1629">
      <c r="A1629" s="125" t="s">
        <v>4099</v>
      </c>
      <c r="B1629" s="526" t="s">
        <v>4098</v>
      </c>
      <c r="C1629" s="527">
        <v>0.0</v>
      </c>
      <c r="D1629" s="527">
        <v>0.0</v>
      </c>
      <c r="F1629" s="36" t="s">
        <v>7798</v>
      </c>
      <c r="G1629" s="125" t="s">
        <v>893</v>
      </c>
      <c r="H1629" s="125" t="s">
        <v>7799</v>
      </c>
      <c r="I1629" t="s">
        <v>7883</v>
      </c>
    </row>
    <row r="1630">
      <c r="A1630" s="125" t="s">
        <v>4101</v>
      </c>
      <c r="B1630" s="526" t="s">
        <v>4100</v>
      </c>
      <c r="C1630" s="527">
        <v>0.0</v>
      </c>
      <c r="D1630" s="527">
        <v>0.0</v>
      </c>
      <c r="F1630" s="36" t="s">
        <v>7798</v>
      </c>
      <c r="G1630" s="125" t="s">
        <v>893</v>
      </c>
      <c r="H1630" s="125" t="s">
        <v>7799</v>
      </c>
      <c r="I1630" t="s">
        <v>7883</v>
      </c>
    </row>
    <row r="1631">
      <c r="A1631" s="125" t="s">
        <v>4103</v>
      </c>
      <c r="B1631" s="526" t="s">
        <v>4102</v>
      </c>
      <c r="C1631" s="527">
        <v>0.0</v>
      </c>
      <c r="D1631" s="527">
        <v>0.0</v>
      </c>
      <c r="F1631" s="36" t="s">
        <v>7798</v>
      </c>
      <c r="G1631" s="125" t="s">
        <v>893</v>
      </c>
      <c r="H1631" s="125" t="s">
        <v>7799</v>
      </c>
      <c r="I1631" t="s">
        <v>7883</v>
      </c>
    </row>
    <row r="1632">
      <c r="A1632" s="125" t="s">
        <v>4105</v>
      </c>
      <c r="B1632" s="526" t="s">
        <v>4104</v>
      </c>
      <c r="C1632" s="527">
        <v>0.0</v>
      </c>
      <c r="D1632" s="527">
        <v>0.0</v>
      </c>
      <c r="F1632" s="36" t="s">
        <v>7798</v>
      </c>
      <c r="G1632" s="125" t="s">
        <v>893</v>
      </c>
      <c r="H1632" s="125" t="s">
        <v>7799</v>
      </c>
      <c r="I1632" t="s">
        <v>7883</v>
      </c>
    </row>
    <row r="1633">
      <c r="A1633" s="125" t="s">
        <v>4107</v>
      </c>
      <c r="B1633" s="526" t="s">
        <v>4106</v>
      </c>
      <c r="C1633" s="527">
        <v>0.0</v>
      </c>
      <c r="D1633" s="527">
        <v>0.0</v>
      </c>
      <c r="F1633" s="36" t="s">
        <v>7798</v>
      </c>
      <c r="G1633" s="125" t="s">
        <v>893</v>
      </c>
      <c r="H1633" s="125" t="s">
        <v>7799</v>
      </c>
      <c r="I1633" t="s">
        <v>7883</v>
      </c>
    </row>
    <row r="1634">
      <c r="A1634" s="125" t="s">
        <v>4109</v>
      </c>
      <c r="B1634" s="526" t="s">
        <v>4108</v>
      </c>
      <c r="C1634" s="527">
        <v>0.0</v>
      </c>
      <c r="D1634" s="527">
        <v>0.0</v>
      </c>
      <c r="F1634" s="36" t="s">
        <v>7798</v>
      </c>
      <c r="G1634" s="125" t="s">
        <v>893</v>
      </c>
      <c r="H1634" s="125" t="s">
        <v>7799</v>
      </c>
      <c r="I1634" t="s">
        <v>7883</v>
      </c>
    </row>
    <row r="1635">
      <c r="A1635" s="125" t="s">
        <v>4111</v>
      </c>
      <c r="B1635" s="526" t="s">
        <v>4110</v>
      </c>
      <c r="C1635" s="527">
        <v>0.0</v>
      </c>
      <c r="D1635" s="527">
        <v>0.0</v>
      </c>
      <c r="F1635" s="36" t="s">
        <v>7798</v>
      </c>
      <c r="G1635" s="125" t="s">
        <v>893</v>
      </c>
      <c r="H1635" s="125" t="s">
        <v>7799</v>
      </c>
      <c r="I1635" t="s">
        <v>7883</v>
      </c>
    </row>
    <row r="1636">
      <c r="A1636" s="125" t="s">
        <v>4113</v>
      </c>
      <c r="B1636" s="526" t="s">
        <v>4112</v>
      </c>
      <c r="C1636" s="527">
        <v>0.0</v>
      </c>
      <c r="D1636" s="527">
        <v>0.0</v>
      </c>
      <c r="F1636" s="36" t="s">
        <v>7798</v>
      </c>
      <c r="G1636" s="125" t="s">
        <v>893</v>
      </c>
      <c r="H1636" s="125" t="s">
        <v>7799</v>
      </c>
      <c r="I1636" t="s">
        <v>7883</v>
      </c>
    </row>
    <row r="1637">
      <c r="A1637" s="125" t="s">
        <v>4115</v>
      </c>
      <c r="B1637" s="526" t="s">
        <v>4114</v>
      </c>
      <c r="C1637" s="527">
        <v>0.0</v>
      </c>
      <c r="D1637" s="527">
        <v>0.0</v>
      </c>
      <c r="F1637" s="36" t="s">
        <v>7798</v>
      </c>
      <c r="G1637" s="125" t="s">
        <v>893</v>
      </c>
      <c r="H1637" s="125" t="s">
        <v>7799</v>
      </c>
      <c r="I1637" t="s">
        <v>7883</v>
      </c>
    </row>
    <row r="1638">
      <c r="A1638" s="125" t="s">
        <v>4117</v>
      </c>
      <c r="B1638" s="526" t="s">
        <v>4116</v>
      </c>
      <c r="C1638" s="527">
        <v>0.0</v>
      </c>
      <c r="D1638" s="527">
        <v>0.0</v>
      </c>
      <c r="F1638" s="36" t="s">
        <v>7798</v>
      </c>
      <c r="G1638" s="125" t="s">
        <v>893</v>
      </c>
      <c r="H1638" s="125" t="s">
        <v>7799</v>
      </c>
      <c r="I1638" t="s">
        <v>7883</v>
      </c>
    </row>
    <row r="1639">
      <c r="A1639" s="125" t="s">
        <v>4119</v>
      </c>
      <c r="B1639" s="526" t="s">
        <v>4118</v>
      </c>
      <c r="C1639" s="527">
        <v>0.0</v>
      </c>
      <c r="D1639" s="527">
        <v>0.0</v>
      </c>
      <c r="F1639" s="36" t="s">
        <v>7798</v>
      </c>
      <c r="G1639" s="125" t="s">
        <v>893</v>
      </c>
      <c r="H1639" s="125" t="s">
        <v>7799</v>
      </c>
      <c r="I1639" t="s">
        <v>7883</v>
      </c>
    </row>
    <row r="1640">
      <c r="A1640" s="125" t="s">
        <v>4121</v>
      </c>
      <c r="B1640" s="526" t="s">
        <v>4120</v>
      </c>
      <c r="C1640" s="527">
        <v>0.0</v>
      </c>
      <c r="D1640" s="527">
        <v>0.0</v>
      </c>
      <c r="F1640" s="36" t="s">
        <v>7798</v>
      </c>
      <c r="G1640" s="125" t="s">
        <v>893</v>
      </c>
      <c r="H1640" s="125" t="s">
        <v>7799</v>
      </c>
      <c r="I1640" t="s">
        <v>7883</v>
      </c>
    </row>
    <row r="1641">
      <c r="A1641" s="125" t="s">
        <v>4123</v>
      </c>
      <c r="B1641" s="526" t="s">
        <v>4122</v>
      </c>
      <c r="C1641" s="527">
        <v>0.0</v>
      </c>
      <c r="D1641" s="527">
        <v>0.0</v>
      </c>
      <c r="F1641" s="36" t="s">
        <v>7798</v>
      </c>
      <c r="G1641" s="125" t="s">
        <v>893</v>
      </c>
      <c r="H1641" s="125" t="s">
        <v>7799</v>
      </c>
      <c r="I1641" t="s">
        <v>7883</v>
      </c>
    </row>
    <row r="1642">
      <c r="A1642" s="125" t="s">
        <v>4125</v>
      </c>
      <c r="B1642" s="526" t="s">
        <v>4124</v>
      </c>
      <c r="C1642" s="527">
        <v>0.0</v>
      </c>
      <c r="D1642" s="527">
        <v>0.0</v>
      </c>
      <c r="F1642" s="36" t="s">
        <v>7798</v>
      </c>
      <c r="G1642" s="125" t="s">
        <v>893</v>
      </c>
      <c r="H1642" s="125" t="s">
        <v>7799</v>
      </c>
      <c r="I1642" t="s">
        <v>7826</v>
      </c>
    </row>
    <row r="1643">
      <c r="A1643" s="125" t="s">
        <v>4127</v>
      </c>
      <c r="B1643" s="526" t="s">
        <v>4126</v>
      </c>
      <c r="C1643" s="527">
        <v>0.0</v>
      </c>
      <c r="D1643" s="527">
        <v>0.0</v>
      </c>
      <c r="F1643" s="36" t="s">
        <v>7798</v>
      </c>
      <c r="G1643" s="125" t="s">
        <v>913</v>
      </c>
      <c r="H1643" s="125" t="s">
        <v>7801</v>
      </c>
      <c r="I1643" t="s">
        <v>7842</v>
      </c>
    </row>
    <row r="1644">
      <c r="A1644" s="125" t="s">
        <v>4129</v>
      </c>
      <c r="B1644" s="526" t="s">
        <v>4128</v>
      </c>
      <c r="C1644" s="527">
        <v>0.0</v>
      </c>
      <c r="D1644" s="527">
        <v>0.0</v>
      </c>
      <c r="F1644" s="36" t="s">
        <v>7798</v>
      </c>
      <c r="G1644" s="125" t="s">
        <v>893</v>
      </c>
      <c r="H1644" s="125" t="s">
        <v>7799</v>
      </c>
      <c r="I1644" t="s">
        <v>7842</v>
      </c>
    </row>
    <row r="1645">
      <c r="A1645" s="125" t="s">
        <v>4133</v>
      </c>
      <c r="B1645" s="526" t="s">
        <v>4132</v>
      </c>
      <c r="C1645" s="527">
        <v>0.0</v>
      </c>
      <c r="D1645" s="527">
        <v>0.0</v>
      </c>
      <c r="F1645" s="36" t="s">
        <v>7798</v>
      </c>
      <c r="G1645" s="125" t="s">
        <v>893</v>
      </c>
      <c r="H1645" s="125" t="s">
        <v>7799</v>
      </c>
      <c r="I1645" t="s">
        <v>7860</v>
      </c>
    </row>
    <row r="1646">
      <c r="A1646" s="125" t="s">
        <v>4135</v>
      </c>
      <c r="B1646" s="526" t="s">
        <v>4134</v>
      </c>
      <c r="C1646" s="527">
        <v>0.0</v>
      </c>
      <c r="D1646" s="527">
        <v>0.0</v>
      </c>
      <c r="F1646" s="36" t="s">
        <v>7798</v>
      </c>
      <c r="G1646" s="125" t="s">
        <v>893</v>
      </c>
      <c r="H1646" s="125" t="s">
        <v>7799</v>
      </c>
      <c r="I1646" t="s">
        <v>7860</v>
      </c>
    </row>
    <row r="1647">
      <c r="A1647" s="125" t="s">
        <v>4137</v>
      </c>
      <c r="B1647" s="526" t="s">
        <v>4136</v>
      </c>
      <c r="C1647" s="527">
        <v>0.0</v>
      </c>
      <c r="D1647" s="527">
        <v>0.0</v>
      </c>
      <c r="F1647" s="36" t="s">
        <v>7798</v>
      </c>
      <c r="G1647" s="125" t="s">
        <v>893</v>
      </c>
      <c r="H1647" s="125" t="s">
        <v>7799</v>
      </c>
      <c r="I1647" t="s">
        <v>7860</v>
      </c>
    </row>
    <row r="1648">
      <c r="A1648" s="125" t="s">
        <v>4139</v>
      </c>
      <c r="B1648" s="526" t="s">
        <v>4138</v>
      </c>
      <c r="C1648" s="527">
        <v>0.0</v>
      </c>
      <c r="D1648" s="527">
        <v>0.0</v>
      </c>
      <c r="F1648" s="36" t="s">
        <v>7798</v>
      </c>
      <c r="G1648" s="125" t="s">
        <v>893</v>
      </c>
      <c r="H1648" s="125" t="s">
        <v>7799</v>
      </c>
    </row>
    <row r="1649">
      <c r="A1649" s="125" t="s">
        <v>4141</v>
      </c>
      <c r="B1649" s="526" t="s">
        <v>4140</v>
      </c>
      <c r="C1649" s="527">
        <v>0.0</v>
      </c>
      <c r="D1649" s="527">
        <v>0.0</v>
      </c>
      <c r="F1649" s="36" t="s">
        <v>7798</v>
      </c>
      <c r="G1649" s="125" t="s">
        <v>893</v>
      </c>
      <c r="H1649" s="125" t="s">
        <v>7801</v>
      </c>
      <c r="I1649" t="s">
        <v>7887</v>
      </c>
    </row>
    <row r="1650">
      <c r="A1650" s="125" t="s">
        <v>4143</v>
      </c>
      <c r="B1650" s="526" t="s">
        <v>4142</v>
      </c>
      <c r="C1650" s="527">
        <v>0.0</v>
      </c>
      <c r="D1650" s="527">
        <v>0.0</v>
      </c>
      <c r="F1650" s="36" t="s">
        <v>7798</v>
      </c>
      <c r="G1650" s="125" t="s">
        <v>893</v>
      </c>
      <c r="H1650" s="125" t="s">
        <v>7801</v>
      </c>
      <c r="I1650" t="s">
        <v>7887</v>
      </c>
    </row>
    <row r="1651">
      <c r="A1651" s="125" t="s">
        <v>4145</v>
      </c>
      <c r="B1651" s="526" t="s">
        <v>4144</v>
      </c>
      <c r="C1651" s="527">
        <v>0.0</v>
      </c>
      <c r="D1651" s="527">
        <v>0.0</v>
      </c>
      <c r="F1651" s="36" t="s">
        <v>7798</v>
      </c>
      <c r="G1651" s="125" t="s">
        <v>893</v>
      </c>
      <c r="H1651" s="125" t="s">
        <v>7801</v>
      </c>
      <c r="I1651" t="s">
        <v>7887</v>
      </c>
    </row>
    <row r="1652">
      <c r="A1652" s="125" t="s">
        <v>464</v>
      </c>
      <c r="B1652" s="526" t="s">
        <v>465</v>
      </c>
      <c r="C1652" s="527">
        <v>219.0</v>
      </c>
      <c r="D1652" s="527">
        <v>1052.67</v>
      </c>
      <c r="E1652" s="528">
        <v>4.8067</v>
      </c>
      <c r="F1652" s="36" t="s">
        <v>7798</v>
      </c>
      <c r="G1652" s="125" t="s">
        <v>913</v>
      </c>
      <c r="H1652" s="125" t="s">
        <v>7809</v>
      </c>
      <c r="I1652" t="s">
        <v>438</v>
      </c>
    </row>
    <row r="1653">
      <c r="A1653" s="125" t="s">
        <v>4147</v>
      </c>
      <c r="B1653" s="526" t="s">
        <v>4146</v>
      </c>
      <c r="C1653" s="527">
        <v>909.0</v>
      </c>
      <c r="D1653" s="527">
        <v>378.3</v>
      </c>
      <c r="E1653" s="528">
        <v>0.4162</v>
      </c>
      <c r="F1653" s="36" t="s">
        <v>7827</v>
      </c>
      <c r="G1653" s="125" t="s">
        <v>913</v>
      </c>
      <c r="H1653" s="125" t="s">
        <v>7840</v>
      </c>
    </row>
    <row r="1654">
      <c r="A1654" s="125" t="s">
        <v>4149</v>
      </c>
      <c r="B1654" s="526" t="s">
        <v>4148</v>
      </c>
      <c r="C1654" s="527">
        <v>546.0</v>
      </c>
      <c r="D1654" s="527">
        <v>300.3</v>
      </c>
      <c r="E1654" s="528">
        <v>0.55</v>
      </c>
      <c r="F1654" s="36" t="s">
        <v>7798</v>
      </c>
      <c r="G1654" s="125" t="s">
        <v>913</v>
      </c>
      <c r="H1654" s="125" t="s">
        <v>7821</v>
      </c>
      <c r="I1654" t="s">
        <v>7823</v>
      </c>
    </row>
    <row r="1655">
      <c r="A1655" s="125" t="s">
        <v>4151</v>
      </c>
      <c r="B1655" s="526" t="s">
        <v>4150</v>
      </c>
      <c r="C1655" s="527">
        <v>372.0</v>
      </c>
      <c r="D1655" s="527">
        <v>186.0</v>
      </c>
      <c r="E1655" s="528">
        <v>0.5</v>
      </c>
      <c r="F1655" s="36" t="s">
        <v>7798</v>
      </c>
      <c r="G1655" s="125" t="s">
        <v>913</v>
      </c>
      <c r="H1655" s="125" t="s">
        <v>7821</v>
      </c>
      <c r="I1655" t="s">
        <v>7838</v>
      </c>
    </row>
    <row r="1656">
      <c r="A1656" s="125" t="s">
        <v>4153</v>
      </c>
      <c r="B1656" s="526" t="s">
        <v>4152</v>
      </c>
      <c r="C1656" s="527">
        <v>2.0</v>
      </c>
      <c r="D1656" s="527">
        <v>161.5</v>
      </c>
      <c r="E1656" s="528">
        <v>80.75</v>
      </c>
      <c r="F1656" s="36" t="s">
        <v>7798</v>
      </c>
      <c r="G1656" s="125" t="s">
        <v>913</v>
      </c>
      <c r="H1656" s="125" t="s">
        <v>7808</v>
      </c>
      <c r="I1656" t="s">
        <v>725</v>
      </c>
    </row>
    <row r="1657">
      <c r="A1657" s="125" t="s">
        <v>4155</v>
      </c>
      <c r="B1657" s="526" t="s">
        <v>4154</v>
      </c>
      <c r="C1657" s="527">
        <v>2.0</v>
      </c>
      <c r="D1657" s="527">
        <v>120.09</v>
      </c>
      <c r="E1657" s="528">
        <v>60.045</v>
      </c>
      <c r="F1657" s="36" t="s">
        <v>7798</v>
      </c>
      <c r="G1657" s="125" t="s">
        <v>913</v>
      </c>
      <c r="H1657" s="125" t="s">
        <v>7808</v>
      </c>
      <c r="I1657" t="s">
        <v>725</v>
      </c>
    </row>
    <row r="1658">
      <c r="A1658" s="125" t="s">
        <v>4157</v>
      </c>
      <c r="B1658" s="526" t="s">
        <v>4156</v>
      </c>
      <c r="C1658" s="527">
        <v>1.0</v>
      </c>
      <c r="D1658" s="527">
        <v>83.96</v>
      </c>
      <c r="E1658" s="528">
        <v>83.96</v>
      </c>
      <c r="F1658" s="36" t="s">
        <v>7798</v>
      </c>
      <c r="G1658" s="125" t="s">
        <v>913</v>
      </c>
      <c r="H1658" s="125" t="s">
        <v>7808</v>
      </c>
      <c r="I1658" t="s">
        <v>725</v>
      </c>
    </row>
    <row r="1659">
      <c r="A1659" s="125" t="s">
        <v>4159</v>
      </c>
      <c r="B1659" s="526" t="s">
        <v>4158</v>
      </c>
      <c r="C1659" s="527">
        <v>2.0</v>
      </c>
      <c r="D1659" s="527">
        <v>126.24</v>
      </c>
      <c r="E1659" s="528">
        <v>63.12</v>
      </c>
      <c r="F1659" s="36" t="s">
        <v>7798</v>
      </c>
      <c r="G1659" s="125" t="s">
        <v>913</v>
      </c>
      <c r="H1659" s="125" t="s">
        <v>7808</v>
      </c>
      <c r="I1659" t="s">
        <v>725</v>
      </c>
    </row>
    <row r="1660">
      <c r="A1660" s="125" t="s">
        <v>4161</v>
      </c>
      <c r="B1660" s="526" t="s">
        <v>4160</v>
      </c>
      <c r="C1660" s="527">
        <v>1.0</v>
      </c>
      <c r="D1660" s="527">
        <v>84.57</v>
      </c>
      <c r="E1660" s="528">
        <v>84.57</v>
      </c>
      <c r="F1660" s="36" t="s">
        <v>7798</v>
      </c>
      <c r="G1660" s="125" t="s">
        <v>913</v>
      </c>
      <c r="H1660" s="125" t="s">
        <v>7801</v>
      </c>
      <c r="I1660" t="s">
        <v>725</v>
      </c>
    </row>
    <row r="1661">
      <c r="A1661" s="125" t="s">
        <v>4163</v>
      </c>
      <c r="B1661" s="526" t="s">
        <v>4162</v>
      </c>
      <c r="C1661" s="527">
        <v>15.0</v>
      </c>
      <c r="D1661" s="527">
        <v>260.1</v>
      </c>
      <c r="E1661" s="528">
        <v>17.34</v>
      </c>
      <c r="F1661" s="36" t="s">
        <v>7798</v>
      </c>
      <c r="G1661" s="125" t="s">
        <v>913</v>
      </c>
      <c r="I1661" t="s">
        <v>45</v>
      </c>
    </row>
    <row r="1662">
      <c r="A1662" s="125" t="s">
        <v>485</v>
      </c>
      <c r="B1662" s="526" t="s">
        <v>486</v>
      </c>
      <c r="C1662" s="527">
        <v>109.0</v>
      </c>
      <c r="D1662" s="527">
        <v>468.48</v>
      </c>
      <c r="E1662" s="528">
        <v>4.298</v>
      </c>
      <c r="F1662" s="36" t="s">
        <v>7798</v>
      </c>
      <c r="G1662" s="125" t="s">
        <v>913</v>
      </c>
      <c r="H1662" s="125" t="s">
        <v>7809</v>
      </c>
      <c r="I1662" t="s">
        <v>53</v>
      </c>
    </row>
    <row r="1663">
      <c r="A1663" s="125" t="s">
        <v>723</v>
      </c>
      <c r="B1663" s="526" t="s">
        <v>724</v>
      </c>
      <c r="C1663" s="527">
        <v>0.0</v>
      </c>
      <c r="D1663" s="527">
        <v>0.0</v>
      </c>
      <c r="F1663" s="36" t="s">
        <v>7798</v>
      </c>
      <c r="G1663" s="125" t="s">
        <v>913</v>
      </c>
      <c r="H1663" s="125" t="s">
        <v>569</v>
      </c>
      <c r="I1663" t="s">
        <v>712</v>
      </c>
    </row>
    <row r="1664">
      <c r="A1664" s="125" t="s">
        <v>721</v>
      </c>
      <c r="B1664" s="526" t="s">
        <v>722</v>
      </c>
      <c r="C1664" s="527">
        <v>117.0</v>
      </c>
      <c r="D1664" s="527">
        <v>226.01</v>
      </c>
      <c r="E1664" s="528">
        <v>1.9317</v>
      </c>
      <c r="F1664" s="36" t="s">
        <v>7798</v>
      </c>
      <c r="G1664" s="125" t="s">
        <v>913</v>
      </c>
      <c r="H1664" s="125" t="s">
        <v>569</v>
      </c>
      <c r="I1664" t="s">
        <v>712</v>
      </c>
    </row>
    <row r="1665">
      <c r="A1665" s="125" t="s">
        <v>719</v>
      </c>
      <c r="B1665" s="526" t="s">
        <v>720</v>
      </c>
      <c r="C1665" s="527">
        <v>69.0</v>
      </c>
      <c r="D1665" s="527">
        <v>132.89</v>
      </c>
      <c r="E1665" s="528">
        <v>1.9259</v>
      </c>
      <c r="F1665" s="36" t="s">
        <v>7798</v>
      </c>
      <c r="G1665" s="125" t="s">
        <v>913</v>
      </c>
      <c r="H1665" s="125" t="s">
        <v>569</v>
      </c>
      <c r="I1665" t="s">
        <v>712</v>
      </c>
    </row>
    <row r="1666">
      <c r="A1666" s="125" t="s">
        <v>717</v>
      </c>
      <c r="B1666" s="526" t="s">
        <v>718</v>
      </c>
      <c r="C1666" s="527">
        <v>57.0</v>
      </c>
      <c r="D1666" s="527">
        <v>109.61</v>
      </c>
      <c r="E1666" s="528">
        <v>1.923</v>
      </c>
      <c r="F1666" s="36" t="s">
        <v>7798</v>
      </c>
      <c r="G1666" s="125" t="s">
        <v>913</v>
      </c>
      <c r="H1666" s="125" t="s">
        <v>569</v>
      </c>
      <c r="I1666" t="s">
        <v>712</v>
      </c>
    </row>
    <row r="1667">
      <c r="A1667" s="125" t="s">
        <v>715</v>
      </c>
      <c r="B1667" s="526" t="s">
        <v>716</v>
      </c>
      <c r="C1667" s="527">
        <v>118.0</v>
      </c>
      <c r="D1667" s="527">
        <v>227.95</v>
      </c>
      <c r="E1667" s="528">
        <v>1.9318</v>
      </c>
      <c r="F1667" s="36" t="s">
        <v>7798</v>
      </c>
      <c r="G1667" s="125" t="s">
        <v>913</v>
      </c>
      <c r="H1667" s="125" t="s">
        <v>569</v>
      </c>
      <c r="I1667" t="s">
        <v>712</v>
      </c>
    </row>
    <row r="1668">
      <c r="A1668" s="125" t="s">
        <v>713</v>
      </c>
      <c r="B1668" s="526" t="s">
        <v>714</v>
      </c>
      <c r="C1668" s="527">
        <v>209.0</v>
      </c>
      <c r="D1668" s="527">
        <v>404.49</v>
      </c>
      <c r="E1668" s="528">
        <v>1.9354</v>
      </c>
      <c r="F1668" s="36" t="s">
        <v>7798</v>
      </c>
      <c r="G1668" s="125" t="s">
        <v>913</v>
      </c>
      <c r="H1668" s="125" t="s">
        <v>569</v>
      </c>
      <c r="I1668" t="s">
        <v>712</v>
      </c>
    </row>
    <row r="1669">
      <c r="A1669" s="125" t="s">
        <v>4169</v>
      </c>
      <c r="B1669" s="526" t="s">
        <v>4168</v>
      </c>
      <c r="C1669" s="527">
        <v>0.0</v>
      </c>
      <c r="D1669" s="527">
        <v>0.0</v>
      </c>
      <c r="F1669" s="36" t="s">
        <v>7798</v>
      </c>
      <c r="G1669" s="125" t="s">
        <v>893</v>
      </c>
      <c r="H1669" s="125" t="s">
        <v>7799</v>
      </c>
      <c r="I1669" t="s">
        <v>7826</v>
      </c>
    </row>
    <row r="1670">
      <c r="A1670" s="125" t="s">
        <v>4171</v>
      </c>
      <c r="B1670" s="526" t="s">
        <v>4170</v>
      </c>
      <c r="C1670" s="527">
        <v>0.0</v>
      </c>
      <c r="D1670" s="527">
        <v>0.0</v>
      </c>
      <c r="F1670" s="36" t="s">
        <v>7798</v>
      </c>
      <c r="G1670" s="125" t="s">
        <v>893</v>
      </c>
      <c r="H1670" s="125" t="s">
        <v>7799</v>
      </c>
      <c r="I1670" t="s">
        <v>7826</v>
      </c>
    </row>
    <row r="1671">
      <c r="A1671" s="125" t="s">
        <v>4179</v>
      </c>
      <c r="B1671" s="526" t="s">
        <v>4178</v>
      </c>
      <c r="C1671" s="527">
        <v>0.0</v>
      </c>
      <c r="D1671" s="527">
        <v>0.0</v>
      </c>
      <c r="F1671" s="36" t="s">
        <v>7798</v>
      </c>
      <c r="G1671" s="125" t="s">
        <v>893</v>
      </c>
      <c r="H1671" s="125" t="s">
        <v>7799</v>
      </c>
      <c r="I1671" t="s">
        <v>7804</v>
      </c>
    </row>
    <row r="1672">
      <c r="A1672" s="125" t="s">
        <v>4183</v>
      </c>
      <c r="B1672" s="526" t="s">
        <v>4182</v>
      </c>
      <c r="C1672" s="527">
        <v>0.0</v>
      </c>
      <c r="D1672" s="527">
        <v>0.0</v>
      </c>
      <c r="F1672" s="36" t="s">
        <v>7798</v>
      </c>
      <c r="G1672" s="125" t="s">
        <v>893</v>
      </c>
      <c r="H1672" s="125" t="s">
        <v>7799</v>
      </c>
      <c r="I1672" t="s">
        <v>7826</v>
      </c>
    </row>
    <row r="1673">
      <c r="A1673" s="125" t="s">
        <v>4185</v>
      </c>
      <c r="B1673" s="526" t="s">
        <v>4184</v>
      </c>
      <c r="C1673" s="527">
        <v>0.0</v>
      </c>
      <c r="D1673" s="527">
        <v>0.0</v>
      </c>
      <c r="F1673" s="36" t="s">
        <v>7798</v>
      </c>
      <c r="G1673" s="125" t="s">
        <v>893</v>
      </c>
      <c r="H1673" s="125" t="s">
        <v>7799</v>
      </c>
      <c r="I1673" t="s">
        <v>7826</v>
      </c>
    </row>
    <row r="1674">
      <c r="A1674" s="125" t="s">
        <v>4187</v>
      </c>
      <c r="B1674" s="526" t="s">
        <v>4186</v>
      </c>
      <c r="C1674" s="527">
        <v>0.0</v>
      </c>
      <c r="D1674" s="527">
        <v>0.0</v>
      </c>
      <c r="F1674" s="36" t="s">
        <v>7798</v>
      </c>
      <c r="G1674" s="125" t="s">
        <v>893</v>
      </c>
      <c r="H1674" s="125" t="s">
        <v>7799</v>
      </c>
      <c r="I1674" t="s">
        <v>7826</v>
      </c>
    </row>
    <row r="1675">
      <c r="A1675" s="125" t="s">
        <v>4189</v>
      </c>
      <c r="B1675" s="526" t="s">
        <v>4188</v>
      </c>
      <c r="C1675" s="527">
        <v>0.0</v>
      </c>
      <c r="D1675" s="527">
        <v>0.0</v>
      </c>
      <c r="F1675" s="36" t="s">
        <v>7798</v>
      </c>
      <c r="G1675" s="125" t="s">
        <v>893</v>
      </c>
      <c r="H1675" s="125" t="s">
        <v>7799</v>
      </c>
      <c r="I1675" t="s">
        <v>7826</v>
      </c>
    </row>
    <row r="1676">
      <c r="A1676" s="125" t="s">
        <v>4191</v>
      </c>
      <c r="B1676" s="526" t="s">
        <v>4190</v>
      </c>
      <c r="C1676" s="527">
        <v>0.0</v>
      </c>
      <c r="D1676" s="527">
        <v>0.0</v>
      </c>
      <c r="F1676" s="36" t="s">
        <v>7798</v>
      </c>
      <c r="G1676" s="125" t="s">
        <v>893</v>
      </c>
      <c r="H1676" s="125" t="s">
        <v>7799</v>
      </c>
      <c r="I1676" t="s">
        <v>7826</v>
      </c>
    </row>
    <row r="1677">
      <c r="A1677" s="125" t="s">
        <v>4193</v>
      </c>
      <c r="B1677" s="526" t="s">
        <v>4192</v>
      </c>
      <c r="C1677" s="527">
        <v>0.0</v>
      </c>
      <c r="D1677" s="527">
        <v>0.0</v>
      </c>
      <c r="F1677" s="36" t="s">
        <v>7798</v>
      </c>
      <c r="G1677" s="125" t="s">
        <v>893</v>
      </c>
      <c r="H1677" s="125" t="s">
        <v>7799</v>
      </c>
      <c r="I1677" t="s">
        <v>7811</v>
      </c>
    </row>
    <row r="1678">
      <c r="A1678" s="125" t="s">
        <v>313</v>
      </c>
      <c r="B1678" s="526" t="s">
        <v>314</v>
      </c>
      <c r="C1678" s="527">
        <v>9.0</v>
      </c>
      <c r="D1678" s="527">
        <v>38.81</v>
      </c>
      <c r="E1678" s="528">
        <v>4.3122</v>
      </c>
      <c r="F1678" s="36" t="s">
        <v>7798</v>
      </c>
      <c r="G1678" s="125" t="s">
        <v>913</v>
      </c>
      <c r="H1678" s="125" t="s">
        <v>569</v>
      </c>
      <c r="I1678" t="s">
        <v>81</v>
      </c>
    </row>
    <row r="1679">
      <c r="A1679" s="125" t="s">
        <v>4195</v>
      </c>
      <c r="B1679" s="526" t="s">
        <v>4194</v>
      </c>
      <c r="C1679" s="527">
        <v>333.0</v>
      </c>
      <c r="D1679" s="527">
        <v>1391.3</v>
      </c>
      <c r="E1679" s="528">
        <v>4.1781</v>
      </c>
      <c r="F1679" s="36" t="s">
        <v>7798</v>
      </c>
      <c r="G1679" s="125" t="s">
        <v>913</v>
      </c>
      <c r="H1679" s="125" t="s">
        <v>7808</v>
      </c>
      <c r="I1679" t="s">
        <v>81</v>
      </c>
    </row>
    <row r="1680">
      <c r="A1680" s="125" t="s">
        <v>4197</v>
      </c>
      <c r="B1680" s="526" t="s">
        <v>4196</v>
      </c>
      <c r="C1680" s="527">
        <v>375.0</v>
      </c>
      <c r="D1680" s="527">
        <v>1566.74</v>
      </c>
      <c r="E1680" s="528">
        <v>4.178</v>
      </c>
      <c r="F1680" s="36" t="s">
        <v>7798</v>
      </c>
      <c r="G1680" s="125" t="s">
        <v>913</v>
      </c>
      <c r="H1680" s="125" t="s">
        <v>7808</v>
      </c>
      <c r="I1680" t="s">
        <v>81</v>
      </c>
    </row>
    <row r="1681">
      <c r="A1681" s="125" t="s">
        <v>802</v>
      </c>
      <c r="B1681" s="526" t="s">
        <v>803</v>
      </c>
      <c r="C1681" s="527">
        <v>273.0</v>
      </c>
      <c r="D1681" s="527">
        <v>1407.35</v>
      </c>
      <c r="E1681" s="528">
        <v>5.1551</v>
      </c>
      <c r="F1681" s="36" t="s">
        <v>7798</v>
      </c>
      <c r="G1681" s="125" t="s">
        <v>913</v>
      </c>
      <c r="H1681" s="125" t="s">
        <v>569</v>
      </c>
      <c r="I1681" t="s">
        <v>81</v>
      </c>
    </row>
    <row r="1682">
      <c r="A1682" s="125" t="s">
        <v>800</v>
      </c>
      <c r="B1682" s="526" t="s">
        <v>801</v>
      </c>
      <c r="C1682" s="527">
        <v>140.0</v>
      </c>
      <c r="D1682" s="527">
        <v>721.68</v>
      </c>
      <c r="E1682" s="528">
        <v>5.1549</v>
      </c>
      <c r="F1682" s="36" t="s">
        <v>7798</v>
      </c>
      <c r="G1682" s="125" t="s">
        <v>913</v>
      </c>
      <c r="H1682" s="125" t="s">
        <v>569</v>
      </c>
      <c r="I1682" t="s">
        <v>81</v>
      </c>
    </row>
    <row r="1683">
      <c r="A1683" s="125" t="s">
        <v>4199</v>
      </c>
      <c r="B1683" s="526" t="s">
        <v>4198</v>
      </c>
      <c r="C1683" s="527">
        <v>241.0</v>
      </c>
      <c r="D1683" s="527">
        <v>1007.0</v>
      </c>
      <c r="E1683" s="528">
        <v>4.1784</v>
      </c>
      <c r="F1683" s="36" t="s">
        <v>7798</v>
      </c>
      <c r="G1683" s="125" t="s">
        <v>913</v>
      </c>
      <c r="H1683" s="125" t="s">
        <v>7808</v>
      </c>
      <c r="I1683" t="s">
        <v>81</v>
      </c>
    </row>
    <row r="1684">
      <c r="A1684" s="125" t="s">
        <v>4201</v>
      </c>
      <c r="B1684" s="526" t="s">
        <v>4200</v>
      </c>
      <c r="C1684" s="527">
        <v>0.0</v>
      </c>
      <c r="D1684" s="527">
        <v>0.0</v>
      </c>
      <c r="F1684" s="36" t="s">
        <v>7798</v>
      </c>
      <c r="G1684" s="125" t="s">
        <v>913</v>
      </c>
      <c r="H1684" s="125" t="s">
        <v>7801</v>
      </c>
      <c r="I1684" t="s">
        <v>81</v>
      </c>
    </row>
    <row r="1685">
      <c r="A1685" s="125" t="s">
        <v>4203</v>
      </c>
      <c r="B1685" s="526" t="s">
        <v>4202</v>
      </c>
      <c r="C1685" s="527">
        <v>4.0</v>
      </c>
      <c r="D1685" s="527">
        <v>15.62</v>
      </c>
      <c r="E1685" s="528">
        <v>3.905</v>
      </c>
      <c r="F1685" s="36" t="s">
        <v>7798</v>
      </c>
      <c r="G1685" s="125" t="s">
        <v>913</v>
      </c>
      <c r="H1685" s="125" t="s">
        <v>7801</v>
      </c>
      <c r="I1685" t="s">
        <v>81</v>
      </c>
    </row>
    <row r="1686">
      <c r="A1686" s="125" t="s">
        <v>315</v>
      </c>
      <c r="B1686" s="526" t="s">
        <v>316</v>
      </c>
      <c r="C1686" s="527">
        <v>183.0</v>
      </c>
      <c r="D1686" s="527">
        <v>797.98</v>
      </c>
      <c r="E1686" s="528">
        <v>4.3605</v>
      </c>
      <c r="F1686" s="36" t="s">
        <v>7798</v>
      </c>
      <c r="G1686" s="125" t="s">
        <v>913</v>
      </c>
      <c r="H1686" s="125" t="s">
        <v>569</v>
      </c>
      <c r="I1686" t="s">
        <v>81</v>
      </c>
    </row>
    <row r="1687">
      <c r="A1687" s="125" t="s">
        <v>4205</v>
      </c>
      <c r="B1687" s="526" t="s">
        <v>4204</v>
      </c>
      <c r="C1687" s="527">
        <v>391.0</v>
      </c>
      <c r="D1687" s="527">
        <v>1527.05</v>
      </c>
      <c r="E1687" s="528">
        <v>3.9055</v>
      </c>
      <c r="F1687" s="36" t="s">
        <v>7798</v>
      </c>
      <c r="G1687" s="125" t="s">
        <v>913</v>
      </c>
      <c r="H1687" s="125" t="s">
        <v>7808</v>
      </c>
      <c r="I1687" t="s">
        <v>81</v>
      </c>
    </row>
    <row r="1688">
      <c r="A1688" s="125" t="s">
        <v>798</v>
      </c>
      <c r="B1688" s="526" t="s">
        <v>799</v>
      </c>
      <c r="C1688" s="527">
        <v>187.0</v>
      </c>
      <c r="D1688" s="527">
        <v>963.96</v>
      </c>
      <c r="E1688" s="528">
        <v>5.1549</v>
      </c>
      <c r="F1688" s="36" t="s">
        <v>7798</v>
      </c>
      <c r="G1688" s="125" t="s">
        <v>913</v>
      </c>
      <c r="H1688" s="125" t="s">
        <v>569</v>
      </c>
      <c r="I1688" t="s">
        <v>81</v>
      </c>
    </row>
    <row r="1689">
      <c r="A1689" s="125" t="s">
        <v>796</v>
      </c>
      <c r="B1689" s="526" t="s">
        <v>797</v>
      </c>
      <c r="C1689" s="527">
        <v>223.0</v>
      </c>
      <c r="D1689" s="527">
        <v>1149.58</v>
      </c>
      <c r="E1689" s="528">
        <v>5.1551</v>
      </c>
      <c r="F1689" s="36" t="s">
        <v>7798</v>
      </c>
      <c r="G1689" s="125" t="s">
        <v>913</v>
      </c>
      <c r="H1689" s="125" t="s">
        <v>569</v>
      </c>
      <c r="I1689" t="s">
        <v>81</v>
      </c>
    </row>
    <row r="1690">
      <c r="A1690" s="125" t="s">
        <v>4207</v>
      </c>
      <c r="B1690" s="526" t="s">
        <v>4206</v>
      </c>
      <c r="C1690" s="527">
        <v>79.0</v>
      </c>
      <c r="D1690" s="527">
        <v>309.16</v>
      </c>
      <c r="E1690" s="528">
        <v>3.9134</v>
      </c>
      <c r="F1690" s="36" t="s">
        <v>7798</v>
      </c>
      <c r="G1690" s="125" t="s">
        <v>913</v>
      </c>
      <c r="H1690" s="125" t="s">
        <v>7801</v>
      </c>
      <c r="I1690" t="s">
        <v>81</v>
      </c>
    </row>
    <row r="1691">
      <c r="A1691" s="125" t="s">
        <v>4209</v>
      </c>
      <c r="B1691" s="526" t="s">
        <v>4208</v>
      </c>
      <c r="C1691" s="527">
        <v>474.0</v>
      </c>
      <c r="D1691" s="527">
        <v>2279.57</v>
      </c>
      <c r="E1691" s="528">
        <v>4.8092</v>
      </c>
      <c r="F1691" s="36" t="s">
        <v>7798</v>
      </c>
      <c r="G1691" s="125" t="s">
        <v>913</v>
      </c>
      <c r="H1691" s="125" t="s">
        <v>7808</v>
      </c>
      <c r="I1691" t="s">
        <v>81</v>
      </c>
    </row>
    <row r="1692">
      <c r="A1692" s="125" t="s">
        <v>4211</v>
      </c>
      <c r="B1692" s="526" t="s">
        <v>4210</v>
      </c>
      <c r="C1692" s="527">
        <v>1.0</v>
      </c>
      <c r="D1692" s="527">
        <v>3.91</v>
      </c>
      <c r="E1692" s="528">
        <v>3.91</v>
      </c>
      <c r="F1692" s="36" t="s">
        <v>7798</v>
      </c>
      <c r="G1692" s="125" t="s">
        <v>893</v>
      </c>
      <c r="H1692" s="125" t="s">
        <v>7801</v>
      </c>
      <c r="I1692" t="s">
        <v>81</v>
      </c>
    </row>
    <row r="1693">
      <c r="A1693" s="125" t="s">
        <v>4213</v>
      </c>
      <c r="B1693" s="526" t="s">
        <v>4212</v>
      </c>
      <c r="C1693" s="527">
        <v>356.0</v>
      </c>
      <c r="D1693" s="527">
        <v>1390.35</v>
      </c>
      <c r="E1693" s="528">
        <v>3.9055</v>
      </c>
      <c r="F1693" s="36" t="s">
        <v>7798</v>
      </c>
      <c r="G1693" s="125" t="s">
        <v>913</v>
      </c>
      <c r="H1693" s="125" t="s">
        <v>7808</v>
      </c>
      <c r="I1693" t="s">
        <v>81</v>
      </c>
    </row>
    <row r="1694">
      <c r="A1694" s="125" t="s">
        <v>4215</v>
      </c>
      <c r="B1694" s="526" t="s">
        <v>4214</v>
      </c>
      <c r="C1694" s="527">
        <v>250.0</v>
      </c>
      <c r="D1694" s="527">
        <v>1044.58</v>
      </c>
      <c r="E1694" s="528">
        <v>4.1783</v>
      </c>
      <c r="F1694" s="36" t="s">
        <v>7798</v>
      </c>
      <c r="G1694" s="125" t="s">
        <v>913</v>
      </c>
      <c r="H1694" s="125" t="s">
        <v>7808</v>
      </c>
      <c r="I1694" t="s">
        <v>81</v>
      </c>
    </row>
    <row r="1695">
      <c r="A1695" s="125" t="s">
        <v>794</v>
      </c>
      <c r="B1695" s="526" t="s">
        <v>795</v>
      </c>
      <c r="C1695" s="527">
        <v>178.0</v>
      </c>
      <c r="D1695" s="527">
        <v>917.55</v>
      </c>
      <c r="E1695" s="528">
        <v>5.1548</v>
      </c>
      <c r="F1695" s="36" t="s">
        <v>7798</v>
      </c>
      <c r="G1695" s="125" t="s">
        <v>913</v>
      </c>
      <c r="H1695" s="125" t="s">
        <v>569</v>
      </c>
      <c r="I1695" t="s">
        <v>81</v>
      </c>
    </row>
    <row r="1696">
      <c r="A1696" s="125" t="s">
        <v>4217</v>
      </c>
      <c r="B1696" s="526" t="s">
        <v>4216</v>
      </c>
      <c r="C1696" s="527">
        <v>178.0</v>
      </c>
      <c r="D1696" s="527">
        <v>695.53</v>
      </c>
      <c r="E1696" s="528">
        <v>3.9075</v>
      </c>
      <c r="F1696" s="36" t="s">
        <v>7798</v>
      </c>
      <c r="G1696" s="125" t="s">
        <v>913</v>
      </c>
      <c r="H1696" s="125" t="s">
        <v>7801</v>
      </c>
      <c r="I1696" t="s">
        <v>81</v>
      </c>
    </row>
    <row r="1697">
      <c r="A1697" s="125" t="s">
        <v>4219</v>
      </c>
      <c r="B1697" s="526" t="s">
        <v>4218</v>
      </c>
      <c r="C1697" s="527">
        <v>361.0</v>
      </c>
      <c r="D1697" s="527">
        <v>1544.39</v>
      </c>
      <c r="E1697" s="528">
        <v>4.2781</v>
      </c>
      <c r="F1697" s="36" t="s">
        <v>7798</v>
      </c>
      <c r="G1697" s="125" t="s">
        <v>913</v>
      </c>
      <c r="H1697" s="125" t="s">
        <v>7808</v>
      </c>
      <c r="I1697" t="s">
        <v>81</v>
      </c>
    </row>
    <row r="1698">
      <c r="A1698" s="125" t="s">
        <v>792</v>
      </c>
      <c r="B1698" s="526" t="s">
        <v>793</v>
      </c>
      <c r="C1698" s="527">
        <v>234.0</v>
      </c>
      <c r="D1698" s="527">
        <v>1206.31</v>
      </c>
      <c r="E1698" s="528">
        <v>5.1552</v>
      </c>
      <c r="F1698" s="36" t="s">
        <v>7798</v>
      </c>
      <c r="G1698" s="125" t="s">
        <v>913</v>
      </c>
      <c r="H1698" s="125" t="s">
        <v>569</v>
      </c>
      <c r="I1698" t="s">
        <v>81</v>
      </c>
    </row>
    <row r="1699">
      <c r="A1699" s="125" t="s">
        <v>790</v>
      </c>
      <c r="B1699" s="526" t="s">
        <v>791</v>
      </c>
      <c r="C1699" s="527">
        <v>252.0</v>
      </c>
      <c r="D1699" s="527">
        <v>1299.14</v>
      </c>
      <c r="E1699" s="528">
        <v>5.1553</v>
      </c>
      <c r="F1699" s="36" t="s">
        <v>7798</v>
      </c>
      <c r="G1699" s="125" t="s">
        <v>913</v>
      </c>
      <c r="H1699" s="125" t="s">
        <v>569</v>
      </c>
      <c r="I1699" t="s">
        <v>81</v>
      </c>
    </row>
    <row r="1700">
      <c r="A1700" s="125" t="s">
        <v>4221</v>
      </c>
      <c r="B1700" s="526" t="s">
        <v>4220</v>
      </c>
      <c r="C1700" s="527">
        <v>180.0</v>
      </c>
      <c r="D1700" s="527">
        <v>789.39</v>
      </c>
      <c r="E1700" s="528">
        <v>4.3855</v>
      </c>
      <c r="F1700" s="36" t="s">
        <v>7798</v>
      </c>
      <c r="G1700" s="125" t="s">
        <v>913</v>
      </c>
      <c r="H1700" s="125" t="s">
        <v>7801</v>
      </c>
      <c r="I1700" t="s">
        <v>81</v>
      </c>
    </row>
    <row r="1701">
      <c r="A1701" s="125" t="s">
        <v>4223</v>
      </c>
      <c r="B1701" s="526" t="s">
        <v>4222</v>
      </c>
      <c r="C1701" s="527">
        <v>0.0</v>
      </c>
      <c r="D1701" s="527">
        <v>0.0</v>
      </c>
      <c r="F1701" s="36" t="s">
        <v>7798</v>
      </c>
      <c r="G1701" s="125" t="s">
        <v>913</v>
      </c>
      <c r="H1701" s="125" t="s">
        <v>7808</v>
      </c>
      <c r="I1701" t="s">
        <v>81</v>
      </c>
    </row>
    <row r="1702">
      <c r="A1702" s="125" t="s">
        <v>4225</v>
      </c>
      <c r="B1702" s="526" t="s">
        <v>4224</v>
      </c>
      <c r="C1702" s="527">
        <v>301.0</v>
      </c>
      <c r="D1702" s="527">
        <v>1320.17</v>
      </c>
      <c r="E1702" s="528">
        <v>4.3859</v>
      </c>
      <c r="F1702" s="36" t="s">
        <v>7798</v>
      </c>
      <c r="G1702" s="125" t="s">
        <v>913</v>
      </c>
      <c r="H1702" s="125" t="s">
        <v>7801</v>
      </c>
      <c r="I1702" t="s">
        <v>81</v>
      </c>
    </row>
    <row r="1703">
      <c r="A1703" s="125" t="s">
        <v>4227</v>
      </c>
      <c r="B1703" s="526" t="s">
        <v>4226</v>
      </c>
      <c r="C1703" s="527">
        <v>5.0</v>
      </c>
      <c r="D1703" s="527">
        <v>24.05</v>
      </c>
      <c r="E1703" s="528">
        <v>4.81</v>
      </c>
      <c r="F1703" s="36" t="s">
        <v>7798</v>
      </c>
      <c r="G1703" s="125" t="s">
        <v>913</v>
      </c>
      <c r="H1703" s="125" t="s">
        <v>7801</v>
      </c>
      <c r="I1703" t="s">
        <v>81</v>
      </c>
    </row>
    <row r="1704">
      <c r="A1704" s="125" t="s">
        <v>697</v>
      </c>
      <c r="B1704" s="526" t="s">
        <v>698</v>
      </c>
      <c r="C1704" s="527">
        <v>342.0</v>
      </c>
      <c r="D1704" s="527">
        <v>1491.69</v>
      </c>
      <c r="E1704" s="528">
        <v>4.3617</v>
      </c>
      <c r="F1704" s="36" t="s">
        <v>7798</v>
      </c>
      <c r="G1704" s="125" t="s">
        <v>913</v>
      </c>
      <c r="H1704" s="125" t="s">
        <v>569</v>
      </c>
      <c r="I1704" t="s">
        <v>81</v>
      </c>
    </row>
    <row r="1705">
      <c r="A1705" s="125" t="s">
        <v>4229</v>
      </c>
      <c r="B1705" s="526" t="s">
        <v>4228</v>
      </c>
      <c r="C1705" s="527">
        <v>104.0</v>
      </c>
      <c r="D1705" s="527">
        <v>444.43</v>
      </c>
      <c r="E1705" s="528">
        <v>4.2734</v>
      </c>
      <c r="F1705" s="36" t="s">
        <v>7798</v>
      </c>
      <c r="G1705" s="125" t="s">
        <v>913</v>
      </c>
      <c r="H1705" s="125" t="s">
        <v>7808</v>
      </c>
      <c r="I1705" t="s">
        <v>81</v>
      </c>
    </row>
    <row r="1706">
      <c r="A1706" s="125" t="s">
        <v>4231</v>
      </c>
      <c r="B1706" s="526" t="s">
        <v>4230</v>
      </c>
      <c r="C1706" s="527">
        <v>113.0</v>
      </c>
      <c r="D1706" s="527">
        <v>441.46</v>
      </c>
      <c r="E1706" s="528">
        <v>3.9067</v>
      </c>
      <c r="F1706" s="36" t="s">
        <v>7798</v>
      </c>
      <c r="G1706" s="125" t="s">
        <v>913</v>
      </c>
      <c r="H1706" s="125" t="s">
        <v>7801</v>
      </c>
      <c r="I1706" t="s">
        <v>81</v>
      </c>
    </row>
    <row r="1707">
      <c r="A1707" s="125" t="s">
        <v>317</v>
      </c>
      <c r="B1707" s="526" t="s">
        <v>318</v>
      </c>
      <c r="C1707" s="527">
        <v>452.0</v>
      </c>
      <c r="D1707" s="527">
        <v>1232.61</v>
      </c>
      <c r="E1707" s="528">
        <v>2.727</v>
      </c>
      <c r="F1707" s="36" t="s">
        <v>7798</v>
      </c>
      <c r="G1707" s="125" t="s">
        <v>913</v>
      </c>
      <c r="H1707" s="125" t="s">
        <v>569</v>
      </c>
      <c r="I1707" t="s">
        <v>81</v>
      </c>
    </row>
    <row r="1708">
      <c r="A1708" s="125" t="s">
        <v>4233</v>
      </c>
      <c r="B1708" s="526" t="s">
        <v>4232</v>
      </c>
      <c r="C1708" s="527">
        <v>267.0</v>
      </c>
      <c r="D1708" s="527">
        <v>788.94</v>
      </c>
      <c r="E1708" s="528">
        <v>2.9548</v>
      </c>
      <c r="F1708" s="36" t="s">
        <v>7798</v>
      </c>
      <c r="G1708" s="125" t="s">
        <v>913</v>
      </c>
      <c r="H1708" s="125" t="s">
        <v>7801</v>
      </c>
      <c r="I1708" t="s">
        <v>81</v>
      </c>
    </row>
    <row r="1709">
      <c r="A1709" s="125" t="s">
        <v>320</v>
      </c>
      <c r="B1709" s="526" t="s">
        <v>321</v>
      </c>
      <c r="C1709" s="527">
        <v>530.0</v>
      </c>
      <c r="D1709" s="527">
        <v>1445.62</v>
      </c>
      <c r="E1709" s="528">
        <v>2.7276</v>
      </c>
      <c r="F1709" s="36" t="s">
        <v>7798</v>
      </c>
      <c r="G1709" s="125" t="s">
        <v>913</v>
      </c>
      <c r="H1709" s="125" t="s">
        <v>569</v>
      </c>
      <c r="I1709" t="s">
        <v>81</v>
      </c>
    </row>
    <row r="1710">
      <c r="A1710" s="125" t="s">
        <v>4235</v>
      </c>
      <c r="B1710" s="526" t="s">
        <v>4234</v>
      </c>
      <c r="C1710" s="527">
        <v>462.0</v>
      </c>
      <c r="D1710" s="527">
        <v>1364.92</v>
      </c>
      <c r="E1710" s="528">
        <v>2.9544</v>
      </c>
      <c r="F1710" s="36" t="s">
        <v>7798</v>
      </c>
      <c r="G1710" s="125" t="s">
        <v>913</v>
      </c>
      <c r="H1710" s="125" t="s">
        <v>7801</v>
      </c>
      <c r="I1710" t="s">
        <v>81</v>
      </c>
    </row>
    <row r="1711">
      <c r="A1711" s="125" t="s">
        <v>4237</v>
      </c>
      <c r="B1711" s="526" t="s">
        <v>4236</v>
      </c>
      <c r="C1711" s="527">
        <v>218.0</v>
      </c>
      <c r="D1711" s="527">
        <v>644.24</v>
      </c>
      <c r="E1711" s="528">
        <v>2.9552</v>
      </c>
      <c r="F1711" s="36" t="s">
        <v>7798</v>
      </c>
      <c r="G1711" s="125" t="s">
        <v>913</v>
      </c>
      <c r="H1711" s="125" t="s">
        <v>7801</v>
      </c>
      <c r="I1711" t="s">
        <v>81</v>
      </c>
    </row>
    <row r="1712">
      <c r="A1712" s="125" t="s">
        <v>4239</v>
      </c>
      <c r="B1712" s="526" t="s">
        <v>4238</v>
      </c>
      <c r="C1712" s="527">
        <v>0.0</v>
      </c>
      <c r="D1712" s="527">
        <v>0.0</v>
      </c>
      <c r="F1712" s="36" t="s">
        <v>7798</v>
      </c>
      <c r="G1712" s="125" t="s">
        <v>913</v>
      </c>
      <c r="H1712" s="125" t="s">
        <v>7808</v>
      </c>
      <c r="I1712" t="s">
        <v>81</v>
      </c>
    </row>
    <row r="1713">
      <c r="A1713" s="125" t="s">
        <v>4241</v>
      </c>
      <c r="B1713" s="526" t="s">
        <v>4240</v>
      </c>
      <c r="C1713" s="527">
        <v>281.0</v>
      </c>
      <c r="D1713" s="527">
        <v>830.28</v>
      </c>
      <c r="E1713" s="528">
        <v>2.9547</v>
      </c>
      <c r="F1713" s="36" t="s">
        <v>7798</v>
      </c>
      <c r="G1713" s="125" t="s">
        <v>913</v>
      </c>
      <c r="H1713" s="125" t="s">
        <v>7801</v>
      </c>
      <c r="I1713" t="s">
        <v>81</v>
      </c>
    </row>
    <row r="1714">
      <c r="A1714" s="125" t="s">
        <v>4243</v>
      </c>
      <c r="B1714" s="526" t="s">
        <v>4242</v>
      </c>
      <c r="C1714" s="527">
        <v>304.0</v>
      </c>
      <c r="D1714" s="527">
        <v>898.44</v>
      </c>
      <c r="E1714" s="528">
        <v>2.9554</v>
      </c>
      <c r="F1714" s="36" t="s">
        <v>7798</v>
      </c>
      <c r="G1714" s="125" t="s">
        <v>913</v>
      </c>
      <c r="H1714" s="125" t="s">
        <v>7801</v>
      </c>
      <c r="I1714" t="s">
        <v>81</v>
      </c>
    </row>
    <row r="1715">
      <c r="A1715" s="125" t="s">
        <v>695</v>
      </c>
      <c r="B1715" s="526" t="s">
        <v>696</v>
      </c>
      <c r="C1715" s="527">
        <v>271.0</v>
      </c>
      <c r="D1715" s="527">
        <v>739.05</v>
      </c>
      <c r="E1715" s="528">
        <v>2.7271</v>
      </c>
      <c r="F1715" s="36" t="s">
        <v>7798</v>
      </c>
      <c r="G1715" s="125" t="s">
        <v>913</v>
      </c>
      <c r="H1715" s="125" t="s">
        <v>569</v>
      </c>
      <c r="I1715" t="s">
        <v>81</v>
      </c>
    </row>
    <row r="1716">
      <c r="A1716" s="125" t="s">
        <v>4245</v>
      </c>
      <c r="B1716" s="526" t="s">
        <v>4244</v>
      </c>
      <c r="C1716" s="527">
        <v>30.0</v>
      </c>
      <c r="D1716" s="527">
        <v>88.94</v>
      </c>
      <c r="E1716" s="528">
        <v>2.9647</v>
      </c>
      <c r="F1716" s="36" t="s">
        <v>7798</v>
      </c>
      <c r="G1716" s="125" t="s">
        <v>913</v>
      </c>
      <c r="H1716" s="125" t="s">
        <v>7801</v>
      </c>
      <c r="I1716" t="s">
        <v>81</v>
      </c>
    </row>
    <row r="1717">
      <c r="A1717" s="125" t="s">
        <v>691</v>
      </c>
      <c r="B1717" s="526" t="s">
        <v>692</v>
      </c>
      <c r="C1717" s="527">
        <v>0.0</v>
      </c>
      <c r="D1717" s="527">
        <v>0.0</v>
      </c>
      <c r="F1717" s="36" t="s">
        <v>7798</v>
      </c>
      <c r="G1717" s="125" t="s">
        <v>913</v>
      </c>
      <c r="H1717" s="125" t="s">
        <v>569</v>
      </c>
      <c r="I1717" t="s">
        <v>81</v>
      </c>
    </row>
    <row r="1718">
      <c r="A1718" s="125" t="s">
        <v>689</v>
      </c>
      <c r="B1718" s="526" t="s">
        <v>690</v>
      </c>
      <c r="C1718" s="527">
        <v>0.0</v>
      </c>
      <c r="D1718" s="527">
        <v>0.0</v>
      </c>
      <c r="F1718" s="36" t="s">
        <v>7798</v>
      </c>
      <c r="G1718" s="125" t="s">
        <v>913</v>
      </c>
      <c r="H1718" s="125" t="s">
        <v>569</v>
      </c>
      <c r="I1718" t="s">
        <v>81</v>
      </c>
    </row>
    <row r="1719">
      <c r="A1719" s="125" t="s">
        <v>687</v>
      </c>
      <c r="B1719" s="526" t="s">
        <v>688</v>
      </c>
      <c r="C1719" s="527">
        <v>0.0</v>
      </c>
      <c r="D1719" s="527">
        <v>0.0</v>
      </c>
      <c r="F1719" s="36" t="s">
        <v>7798</v>
      </c>
      <c r="G1719" s="125" t="s">
        <v>913</v>
      </c>
      <c r="H1719" s="125" t="s">
        <v>569</v>
      </c>
      <c r="I1719" t="s">
        <v>81</v>
      </c>
    </row>
    <row r="1720">
      <c r="A1720" s="125" t="s">
        <v>685</v>
      </c>
      <c r="B1720" s="526" t="s">
        <v>686</v>
      </c>
      <c r="C1720" s="527">
        <v>33.0</v>
      </c>
      <c r="D1720" s="527">
        <v>78.59</v>
      </c>
      <c r="E1720" s="528">
        <v>2.3815</v>
      </c>
      <c r="F1720" s="36" t="s">
        <v>7798</v>
      </c>
      <c r="G1720" s="125" t="s">
        <v>913</v>
      </c>
      <c r="H1720" s="125" t="s">
        <v>7801</v>
      </c>
      <c r="I1720" t="s">
        <v>81</v>
      </c>
    </row>
    <row r="1721">
      <c r="A1721" s="125" t="s">
        <v>683</v>
      </c>
      <c r="B1721" s="526" t="s">
        <v>684</v>
      </c>
      <c r="C1721" s="527">
        <v>0.0</v>
      </c>
      <c r="D1721" s="527">
        <v>0.0</v>
      </c>
      <c r="F1721" s="36" t="s">
        <v>7798</v>
      </c>
      <c r="G1721" s="125" t="s">
        <v>913</v>
      </c>
      <c r="H1721" s="125" t="s">
        <v>569</v>
      </c>
      <c r="I1721" t="s">
        <v>81</v>
      </c>
    </row>
    <row r="1722">
      <c r="A1722" s="125" t="s">
        <v>681</v>
      </c>
      <c r="B1722" s="526" t="s">
        <v>682</v>
      </c>
      <c r="C1722" s="527">
        <v>3.0</v>
      </c>
      <c r="D1722" s="527">
        <v>7.19</v>
      </c>
      <c r="E1722" s="528">
        <v>2.3967</v>
      </c>
      <c r="F1722" s="36" t="s">
        <v>7798</v>
      </c>
      <c r="G1722" s="125" t="s">
        <v>913</v>
      </c>
      <c r="H1722" s="125" t="s">
        <v>569</v>
      </c>
      <c r="I1722" t="s">
        <v>81</v>
      </c>
    </row>
    <row r="1723">
      <c r="A1723" s="125" t="s">
        <v>4273</v>
      </c>
      <c r="B1723" s="526" t="s">
        <v>4272</v>
      </c>
      <c r="C1723" s="527">
        <v>0.0</v>
      </c>
      <c r="D1723" s="527">
        <v>0.0</v>
      </c>
      <c r="F1723" s="36" t="s">
        <v>7798</v>
      </c>
      <c r="G1723" s="125" t="s">
        <v>893</v>
      </c>
      <c r="H1723" s="125" t="s">
        <v>7799</v>
      </c>
      <c r="I1723" t="s">
        <v>7839</v>
      </c>
    </row>
    <row r="1724">
      <c r="A1724" s="125" t="s">
        <v>4275</v>
      </c>
      <c r="B1724" s="526" t="s">
        <v>4274</v>
      </c>
      <c r="C1724" s="527">
        <v>0.0</v>
      </c>
      <c r="D1724" s="527">
        <v>0.0</v>
      </c>
      <c r="F1724" s="36" t="s">
        <v>7798</v>
      </c>
      <c r="G1724" s="125" t="s">
        <v>893</v>
      </c>
      <c r="H1724" s="125" t="s">
        <v>7799</v>
      </c>
      <c r="I1724" t="s">
        <v>7839</v>
      </c>
    </row>
    <row r="1725">
      <c r="A1725" s="125" t="s">
        <v>62</v>
      </c>
      <c r="B1725" s="526">
        <v>71501.0</v>
      </c>
      <c r="C1725" s="527">
        <v>214.0</v>
      </c>
      <c r="D1725" s="527">
        <v>2054.91</v>
      </c>
      <c r="E1725" s="528">
        <v>9.6024</v>
      </c>
      <c r="F1725" s="36" t="s">
        <v>7798</v>
      </c>
      <c r="G1725" s="125" t="s">
        <v>913</v>
      </c>
      <c r="H1725" s="125" t="s">
        <v>32</v>
      </c>
      <c r="I1725" t="s">
        <v>53</v>
      </c>
    </row>
    <row r="1726">
      <c r="A1726" s="125" t="s">
        <v>59</v>
      </c>
      <c r="B1726" s="526">
        <v>71201.0</v>
      </c>
      <c r="C1726" s="527">
        <v>258.0</v>
      </c>
      <c r="D1726" s="527">
        <v>1859.42</v>
      </c>
      <c r="E1726" s="528">
        <v>7.2071</v>
      </c>
      <c r="F1726" s="36" t="s">
        <v>7798</v>
      </c>
      <c r="G1726" s="125" t="s">
        <v>913</v>
      </c>
      <c r="H1726" s="125" t="s">
        <v>32</v>
      </c>
      <c r="I1726" t="s">
        <v>53</v>
      </c>
    </row>
    <row r="1727">
      <c r="A1727" s="125" t="s">
        <v>60</v>
      </c>
      <c r="B1727" s="526">
        <v>71301.0</v>
      </c>
      <c r="C1727" s="527">
        <v>65.0</v>
      </c>
      <c r="D1727" s="527">
        <v>572.66</v>
      </c>
      <c r="E1727" s="528">
        <v>8.8102</v>
      </c>
      <c r="F1727" s="36" t="s">
        <v>7798</v>
      </c>
      <c r="G1727" s="125" t="s">
        <v>913</v>
      </c>
      <c r="H1727" s="125" t="s">
        <v>32</v>
      </c>
      <c r="I1727" t="s">
        <v>53</v>
      </c>
    </row>
    <row r="1728">
      <c r="A1728" s="125" t="s">
        <v>58</v>
      </c>
      <c r="B1728" s="526">
        <v>71101.0</v>
      </c>
      <c r="C1728" s="527">
        <v>127.0</v>
      </c>
      <c r="D1728" s="527">
        <v>1104.73</v>
      </c>
      <c r="E1728" s="528">
        <v>8.6987</v>
      </c>
      <c r="F1728" s="36" t="s">
        <v>7798</v>
      </c>
      <c r="G1728" s="125" t="s">
        <v>913</v>
      </c>
      <c r="H1728" s="125" t="s">
        <v>32</v>
      </c>
      <c r="I1728" t="s">
        <v>53</v>
      </c>
    </row>
    <row r="1729">
      <c r="A1729" s="125" t="s">
        <v>61</v>
      </c>
      <c r="B1729" s="526">
        <v>71401.0</v>
      </c>
      <c r="C1729" s="527">
        <v>94.0</v>
      </c>
      <c r="D1729" s="527">
        <v>859.68</v>
      </c>
      <c r="E1729" s="528">
        <v>9.1455</v>
      </c>
      <c r="F1729" s="36" t="s">
        <v>7798</v>
      </c>
      <c r="G1729" s="125" t="s">
        <v>913</v>
      </c>
      <c r="H1729" s="125" t="s">
        <v>32</v>
      </c>
      <c r="I1729" t="s">
        <v>53</v>
      </c>
    </row>
    <row r="1730">
      <c r="A1730" s="125" t="s">
        <v>54</v>
      </c>
      <c r="B1730" s="526" t="s">
        <v>55</v>
      </c>
      <c r="C1730" s="527">
        <v>105.0</v>
      </c>
      <c r="D1730" s="527">
        <v>100.88</v>
      </c>
      <c r="E1730" s="528">
        <v>0.9608</v>
      </c>
      <c r="F1730" s="36" t="s">
        <v>7798</v>
      </c>
      <c r="G1730" s="125" t="s">
        <v>913</v>
      </c>
      <c r="H1730" s="125" t="s">
        <v>32</v>
      </c>
    </row>
    <row r="1731">
      <c r="A1731" s="125" t="s">
        <v>56</v>
      </c>
      <c r="B1731" s="526" t="s">
        <v>57</v>
      </c>
      <c r="C1731" s="527">
        <v>3.0</v>
      </c>
      <c r="D1731" s="527">
        <v>403.62</v>
      </c>
      <c r="E1731" s="528">
        <v>134.54</v>
      </c>
      <c r="F1731" s="36" t="s">
        <v>7807</v>
      </c>
      <c r="G1731" s="125" t="s">
        <v>913</v>
      </c>
      <c r="H1731" s="125" t="s">
        <v>32</v>
      </c>
      <c r="I1731" t="s">
        <v>53</v>
      </c>
    </row>
    <row r="1732">
      <c r="A1732" s="125" t="s">
        <v>4277</v>
      </c>
      <c r="B1732" s="526" t="s">
        <v>4276</v>
      </c>
      <c r="C1732" s="527">
        <v>72.0</v>
      </c>
      <c r="D1732" s="527">
        <v>39.6</v>
      </c>
      <c r="E1732" s="528">
        <v>0.55</v>
      </c>
      <c r="F1732" s="36" t="s">
        <v>7798</v>
      </c>
      <c r="G1732" s="125" t="s">
        <v>913</v>
      </c>
      <c r="H1732" s="125" t="s">
        <v>7821</v>
      </c>
      <c r="I1732" t="s">
        <v>7823</v>
      </c>
    </row>
    <row r="1733">
      <c r="A1733" s="125" t="s">
        <v>4279</v>
      </c>
      <c r="B1733" s="526" t="s">
        <v>4278</v>
      </c>
      <c r="C1733" s="527">
        <v>362.0</v>
      </c>
      <c r="D1733" s="527">
        <v>181.0</v>
      </c>
      <c r="E1733" s="528">
        <v>0.5</v>
      </c>
      <c r="F1733" s="36" t="s">
        <v>7798</v>
      </c>
      <c r="G1733" s="125" t="s">
        <v>913</v>
      </c>
      <c r="H1733" s="125" t="s">
        <v>7821</v>
      </c>
      <c r="I1733" t="s">
        <v>7838</v>
      </c>
    </row>
    <row r="1734">
      <c r="A1734" s="125" t="s">
        <v>4281</v>
      </c>
      <c r="B1734" s="526" t="s">
        <v>4280</v>
      </c>
      <c r="C1734" s="527">
        <v>18.0</v>
      </c>
      <c r="D1734" s="527">
        <v>8.64</v>
      </c>
      <c r="E1734" s="528">
        <v>0.48</v>
      </c>
      <c r="F1734" s="36" t="s">
        <v>7798</v>
      </c>
      <c r="G1734" s="125" t="s">
        <v>913</v>
      </c>
      <c r="H1734" s="125" t="s">
        <v>7821</v>
      </c>
      <c r="I1734" t="s">
        <v>7834</v>
      </c>
    </row>
    <row r="1735">
      <c r="A1735" s="125" t="s">
        <v>4283</v>
      </c>
      <c r="B1735" s="526" t="s">
        <v>4282</v>
      </c>
      <c r="C1735" s="527">
        <v>288.0</v>
      </c>
      <c r="D1735" s="527">
        <v>138.24</v>
      </c>
      <c r="E1735" s="528">
        <v>0.48</v>
      </c>
      <c r="F1735" s="36" t="s">
        <v>7798</v>
      </c>
      <c r="G1735" s="125" t="s">
        <v>913</v>
      </c>
      <c r="H1735" s="125" t="s">
        <v>7821</v>
      </c>
      <c r="I1735" t="s">
        <v>7834</v>
      </c>
    </row>
    <row r="1736">
      <c r="A1736" s="125" t="s">
        <v>4285</v>
      </c>
      <c r="B1736" s="526" t="s">
        <v>4284</v>
      </c>
      <c r="C1736" s="527">
        <v>732.0</v>
      </c>
      <c r="D1736" s="527">
        <v>402.6</v>
      </c>
      <c r="E1736" s="528">
        <v>0.55</v>
      </c>
      <c r="F1736" s="36" t="s">
        <v>7798</v>
      </c>
      <c r="G1736" s="125" t="s">
        <v>913</v>
      </c>
      <c r="H1736" s="125" t="s">
        <v>7821</v>
      </c>
      <c r="I1736" t="s">
        <v>7823</v>
      </c>
    </row>
    <row r="1737">
      <c r="A1737" s="125" t="s">
        <v>4287</v>
      </c>
      <c r="B1737" s="526" t="s">
        <v>4286</v>
      </c>
      <c r="C1737" s="527">
        <v>462.0</v>
      </c>
      <c r="D1737" s="527">
        <v>231.0</v>
      </c>
      <c r="E1737" s="528">
        <v>0.5</v>
      </c>
      <c r="F1737" s="36" t="s">
        <v>7798</v>
      </c>
      <c r="G1737" s="125" t="s">
        <v>913</v>
      </c>
      <c r="H1737" s="125" t="s">
        <v>7821</v>
      </c>
      <c r="I1737" t="s">
        <v>7838</v>
      </c>
    </row>
    <row r="1738">
      <c r="A1738" s="125" t="s">
        <v>4291</v>
      </c>
      <c r="B1738" s="526" t="s">
        <v>4290</v>
      </c>
      <c r="C1738" s="527">
        <v>5.0</v>
      </c>
      <c r="D1738" s="527">
        <v>16.85</v>
      </c>
      <c r="E1738" s="528">
        <v>3.37</v>
      </c>
      <c r="F1738" s="36" t="s">
        <v>7798</v>
      </c>
      <c r="G1738" s="125" t="s">
        <v>913</v>
      </c>
      <c r="I1738" t="s">
        <v>45</v>
      </c>
    </row>
    <row r="1739">
      <c r="A1739" s="125" t="s">
        <v>4293</v>
      </c>
      <c r="B1739" s="526" t="s">
        <v>4292</v>
      </c>
      <c r="C1739" s="527">
        <v>16440.0</v>
      </c>
      <c r="D1739" s="527">
        <v>3608.59</v>
      </c>
      <c r="E1739" s="528">
        <v>0.2195</v>
      </c>
      <c r="F1739" s="36" t="s">
        <v>7827</v>
      </c>
      <c r="G1739" s="125" t="s">
        <v>913</v>
      </c>
      <c r="H1739" s="125" t="s">
        <v>7840</v>
      </c>
    </row>
    <row r="1740">
      <c r="A1740" s="125" t="s">
        <v>4299</v>
      </c>
      <c r="B1740" s="526" t="s">
        <v>4298</v>
      </c>
      <c r="C1740" s="527">
        <v>0.0</v>
      </c>
      <c r="D1740" s="527">
        <v>0.0</v>
      </c>
      <c r="F1740" s="36" t="s">
        <v>7798</v>
      </c>
      <c r="G1740" s="125" t="s">
        <v>893</v>
      </c>
      <c r="H1740" s="125" t="s">
        <v>7799</v>
      </c>
      <c r="I1740" t="s">
        <v>7814</v>
      </c>
    </row>
    <row r="1741">
      <c r="A1741" s="125" t="s">
        <v>4303</v>
      </c>
      <c r="B1741" s="526" t="s">
        <v>4302</v>
      </c>
      <c r="C1741" s="527">
        <v>0.0</v>
      </c>
      <c r="D1741" s="527">
        <v>0.0</v>
      </c>
      <c r="F1741" s="36" t="s">
        <v>7798</v>
      </c>
      <c r="G1741" s="125" t="s">
        <v>893</v>
      </c>
      <c r="H1741" s="125" t="s">
        <v>7799</v>
      </c>
      <c r="I1741" t="s">
        <v>7860</v>
      </c>
    </row>
    <row r="1742">
      <c r="A1742" s="125" t="s">
        <v>4305</v>
      </c>
      <c r="B1742" s="526" t="s">
        <v>4304</v>
      </c>
      <c r="C1742" s="527">
        <v>0.0</v>
      </c>
      <c r="D1742" s="527">
        <v>0.0</v>
      </c>
      <c r="F1742" s="36" t="s">
        <v>7798</v>
      </c>
      <c r="G1742" s="125" t="s">
        <v>893</v>
      </c>
      <c r="H1742" s="125" t="s">
        <v>7885</v>
      </c>
      <c r="I1742" t="s">
        <v>7860</v>
      </c>
    </row>
    <row r="1743">
      <c r="A1743" s="125" t="s">
        <v>4307</v>
      </c>
      <c r="B1743" s="526" t="s">
        <v>4306</v>
      </c>
      <c r="C1743" s="527">
        <v>0.0</v>
      </c>
      <c r="D1743" s="527">
        <v>0.0</v>
      </c>
      <c r="F1743" s="36" t="s">
        <v>7798</v>
      </c>
      <c r="G1743" s="125" t="s">
        <v>893</v>
      </c>
      <c r="H1743" s="125" t="s">
        <v>7799</v>
      </c>
      <c r="I1743" t="s">
        <v>7860</v>
      </c>
    </row>
    <row r="1744">
      <c r="A1744" s="125" t="s">
        <v>4309</v>
      </c>
      <c r="B1744" s="526" t="s">
        <v>4308</v>
      </c>
      <c r="C1744" s="527">
        <v>18.0</v>
      </c>
      <c r="D1744" s="527">
        <v>9.72</v>
      </c>
      <c r="E1744" s="528">
        <v>0.54</v>
      </c>
      <c r="F1744" s="36" t="s">
        <v>7798</v>
      </c>
      <c r="G1744" s="125" t="s">
        <v>913</v>
      </c>
      <c r="H1744" s="125" t="s">
        <v>7821</v>
      </c>
      <c r="I1744" t="s">
        <v>7834</v>
      </c>
    </row>
    <row r="1745">
      <c r="A1745" s="125" t="s">
        <v>4311</v>
      </c>
      <c r="B1745" s="526" t="s">
        <v>4310</v>
      </c>
      <c r="C1745" s="527">
        <v>204.0</v>
      </c>
      <c r="D1745" s="527">
        <v>112.2</v>
      </c>
      <c r="E1745" s="528">
        <v>0.55</v>
      </c>
      <c r="F1745" s="36" t="s">
        <v>7798</v>
      </c>
      <c r="G1745" s="125" t="s">
        <v>913</v>
      </c>
      <c r="H1745" s="125" t="s">
        <v>7821</v>
      </c>
      <c r="I1745" t="s">
        <v>7823</v>
      </c>
    </row>
    <row r="1746">
      <c r="A1746" s="125" t="s">
        <v>4313</v>
      </c>
      <c r="B1746" s="526" t="s">
        <v>4312</v>
      </c>
      <c r="C1746" s="527">
        <v>245.0</v>
      </c>
      <c r="D1746" s="527">
        <v>122.5</v>
      </c>
      <c r="E1746" s="528">
        <v>0.5</v>
      </c>
      <c r="F1746" s="36" t="s">
        <v>7798</v>
      </c>
      <c r="G1746" s="125" t="s">
        <v>913</v>
      </c>
      <c r="H1746" s="125" t="s">
        <v>7821</v>
      </c>
      <c r="I1746" t="s">
        <v>7838</v>
      </c>
    </row>
    <row r="1747">
      <c r="A1747" s="125" t="s">
        <v>4317</v>
      </c>
      <c r="B1747" s="526" t="s">
        <v>4316</v>
      </c>
      <c r="C1747" s="527">
        <v>239.0</v>
      </c>
      <c r="D1747" s="527">
        <v>129.06</v>
      </c>
      <c r="E1747" s="528">
        <v>0.54</v>
      </c>
      <c r="F1747" s="36" t="s">
        <v>7798</v>
      </c>
      <c r="G1747" s="125" t="s">
        <v>913</v>
      </c>
      <c r="H1747" s="125" t="s">
        <v>7821</v>
      </c>
      <c r="I1747" t="s">
        <v>7834</v>
      </c>
    </row>
    <row r="1748">
      <c r="A1748" s="125" t="s">
        <v>4319</v>
      </c>
      <c r="B1748" s="526" t="s">
        <v>4318</v>
      </c>
      <c r="C1748" s="527">
        <v>6.0</v>
      </c>
      <c r="D1748" s="527">
        <v>3.24</v>
      </c>
      <c r="E1748" s="528">
        <v>0.54</v>
      </c>
      <c r="F1748" s="36" t="s">
        <v>7798</v>
      </c>
      <c r="G1748" s="125" t="s">
        <v>913</v>
      </c>
      <c r="H1748" s="125" t="s">
        <v>7821</v>
      </c>
      <c r="I1748" t="s">
        <v>7834</v>
      </c>
    </row>
    <row r="1749">
      <c r="A1749" s="125" t="s">
        <v>4321</v>
      </c>
      <c r="B1749" s="526" t="s">
        <v>4320</v>
      </c>
      <c r="C1749" s="527">
        <v>528.0</v>
      </c>
      <c r="D1749" s="527">
        <v>290.4</v>
      </c>
      <c r="E1749" s="528">
        <v>0.55</v>
      </c>
      <c r="F1749" s="36" t="s">
        <v>7798</v>
      </c>
      <c r="G1749" s="125" t="s">
        <v>913</v>
      </c>
      <c r="H1749" s="125" t="s">
        <v>7821</v>
      </c>
      <c r="I1749" t="s">
        <v>7823</v>
      </c>
    </row>
    <row r="1750">
      <c r="A1750" s="125" t="s">
        <v>4323</v>
      </c>
      <c r="B1750" s="526" t="s">
        <v>4322</v>
      </c>
      <c r="C1750" s="527">
        <v>0.0</v>
      </c>
      <c r="D1750" s="527">
        <v>0.0</v>
      </c>
      <c r="F1750" s="36" t="s">
        <v>7798</v>
      </c>
      <c r="G1750" s="125" t="s">
        <v>893</v>
      </c>
      <c r="H1750" s="125" t="s">
        <v>7821</v>
      </c>
      <c r="I1750" t="s">
        <v>7838</v>
      </c>
    </row>
    <row r="1751">
      <c r="A1751" s="125" t="s">
        <v>4325</v>
      </c>
      <c r="B1751" s="526" t="s">
        <v>4324</v>
      </c>
      <c r="C1751" s="527">
        <v>12.0</v>
      </c>
      <c r="D1751" s="527">
        <v>6.48</v>
      </c>
      <c r="E1751" s="528">
        <v>0.54</v>
      </c>
      <c r="F1751" s="36" t="s">
        <v>7798</v>
      </c>
      <c r="G1751" s="125" t="s">
        <v>913</v>
      </c>
      <c r="H1751" s="125" t="s">
        <v>7821</v>
      </c>
      <c r="I1751" t="s">
        <v>7834</v>
      </c>
    </row>
    <row r="1752">
      <c r="A1752" s="125" t="s">
        <v>4327</v>
      </c>
      <c r="B1752" s="526" t="s">
        <v>4326</v>
      </c>
      <c r="C1752" s="527">
        <v>435.0</v>
      </c>
      <c r="D1752" s="527">
        <v>217.5</v>
      </c>
      <c r="E1752" s="528">
        <v>0.5</v>
      </c>
      <c r="F1752" s="36" t="s">
        <v>7798</v>
      </c>
      <c r="G1752" s="125" t="s">
        <v>913</v>
      </c>
      <c r="H1752" s="125" t="s">
        <v>7821</v>
      </c>
      <c r="I1752" t="s">
        <v>7838</v>
      </c>
    </row>
    <row r="1753">
      <c r="A1753" s="125" t="s">
        <v>4329</v>
      </c>
      <c r="B1753" s="526" t="s">
        <v>4328</v>
      </c>
      <c r="C1753" s="527">
        <v>0.0</v>
      </c>
      <c r="D1753" s="527">
        <v>0.0</v>
      </c>
      <c r="F1753" s="36" t="s">
        <v>7798</v>
      </c>
      <c r="G1753" s="125" t="s">
        <v>913</v>
      </c>
      <c r="H1753" s="125" t="s">
        <v>7801</v>
      </c>
      <c r="I1753" t="s">
        <v>7842</v>
      </c>
    </row>
    <row r="1754">
      <c r="A1754" s="125" t="s">
        <v>4331</v>
      </c>
      <c r="B1754" s="526" t="s">
        <v>4330</v>
      </c>
      <c r="C1754" s="527">
        <v>0.0</v>
      </c>
      <c r="D1754" s="527">
        <v>0.0</v>
      </c>
      <c r="F1754" s="36" t="s">
        <v>7798</v>
      </c>
      <c r="G1754" s="125" t="s">
        <v>913</v>
      </c>
      <c r="H1754" s="125" t="s">
        <v>7801</v>
      </c>
      <c r="I1754" t="s">
        <v>7842</v>
      </c>
    </row>
    <row r="1755">
      <c r="A1755" s="125" t="s">
        <v>4333</v>
      </c>
      <c r="B1755" s="526" t="s">
        <v>4332</v>
      </c>
      <c r="C1755" s="527">
        <v>161.0</v>
      </c>
      <c r="D1755" s="527">
        <v>350.11</v>
      </c>
      <c r="E1755" s="528">
        <v>2.1746</v>
      </c>
      <c r="F1755" s="36" t="s">
        <v>7798</v>
      </c>
      <c r="G1755" s="125" t="s">
        <v>913</v>
      </c>
      <c r="H1755" s="125" t="s">
        <v>7808</v>
      </c>
      <c r="I1755" t="s">
        <v>7842</v>
      </c>
    </row>
    <row r="1756">
      <c r="A1756" s="125" t="s">
        <v>4335</v>
      </c>
      <c r="B1756" s="526" t="s">
        <v>4334</v>
      </c>
      <c r="C1756" s="527">
        <v>351.0</v>
      </c>
      <c r="D1756" s="527">
        <v>880.67</v>
      </c>
      <c r="E1756" s="528">
        <v>2.509</v>
      </c>
      <c r="F1756" s="36" t="s">
        <v>7798</v>
      </c>
      <c r="G1756" s="125" t="s">
        <v>913</v>
      </c>
      <c r="H1756" s="125" t="s">
        <v>7808</v>
      </c>
      <c r="I1756" t="s">
        <v>7842</v>
      </c>
    </row>
    <row r="1757">
      <c r="A1757" s="125" t="s">
        <v>4337</v>
      </c>
      <c r="B1757" s="526" t="s">
        <v>4336</v>
      </c>
      <c r="C1757" s="527">
        <v>384.0</v>
      </c>
      <c r="D1757" s="527">
        <v>963.5</v>
      </c>
      <c r="E1757" s="528">
        <v>2.5091</v>
      </c>
      <c r="F1757" s="36" t="s">
        <v>7798</v>
      </c>
      <c r="G1757" s="125" t="s">
        <v>913</v>
      </c>
      <c r="H1757" s="125" t="s">
        <v>7808</v>
      </c>
      <c r="I1757" t="s">
        <v>7842</v>
      </c>
    </row>
    <row r="1758">
      <c r="A1758" s="125" t="s">
        <v>4339</v>
      </c>
      <c r="B1758" s="526" t="s">
        <v>4338</v>
      </c>
      <c r="C1758" s="527">
        <v>364.0</v>
      </c>
      <c r="D1758" s="527">
        <v>913.3</v>
      </c>
      <c r="E1758" s="528">
        <v>2.5091</v>
      </c>
      <c r="F1758" s="36" t="s">
        <v>7798</v>
      </c>
      <c r="G1758" s="125" t="s">
        <v>913</v>
      </c>
      <c r="H1758" s="125" t="s">
        <v>7808</v>
      </c>
      <c r="I1758" t="s">
        <v>7842</v>
      </c>
    </row>
    <row r="1759">
      <c r="A1759" s="125" t="s">
        <v>4341</v>
      </c>
      <c r="B1759" s="526" t="s">
        <v>4340</v>
      </c>
      <c r="C1759" s="527">
        <v>339.0</v>
      </c>
      <c r="D1759" s="527">
        <v>368.57</v>
      </c>
      <c r="E1759" s="528">
        <v>1.0872</v>
      </c>
      <c r="F1759" s="36" t="s">
        <v>7798</v>
      </c>
      <c r="G1759" s="125" t="s">
        <v>913</v>
      </c>
      <c r="H1759" s="125" t="s">
        <v>7808</v>
      </c>
      <c r="I1759" t="s">
        <v>7842</v>
      </c>
    </row>
    <row r="1760">
      <c r="A1760" s="125" t="s">
        <v>4345</v>
      </c>
      <c r="B1760" s="526" t="s">
        <v>4344</v>
      </c>
      <c r="C1760" s="527">
        <v>225.0</v>
      </c>
      <c r="D1760" s="527">
        <v>594.81</v>
      </c>
      <c r="E1760" s="528">
        <v>2.6436</v>
      </c>
      <c r="F1760" s="36" t="s">
        <v>7798</v>
      </c>
      <c r="G1760" s="125" t="s">
        <v>913</v>
      </c>
      <c r="H1760" s="125" t="s">
        <v>7808</v>
      </c>
      <c r="I1760" t="s">
        <v>7842</v>
      </c>
    </row>
    <row r="1761">
      <c r="A1761" s="125" t="s">
        <v>4347</v>
      </c>
      <c r="B1761" s="526" t="s">
        <v>4346</v>
      </c>
      <c r="C1761" s="527">
        <v>280.0</v>
      </c>
      <c r="D1761" s="527">
        <v>740.19</v>
      </c>
      <c r="E1761" s="528">
        <v>2.6435</v>
      </c>
      <c r="F1761" s="36" t="s">
        <v>7798</v>
      </c>
      <c r="G1761" s="125" t="s">
        <v>913</v>
      </c>
      <c r="H1761" s="125" t="s">
        <v>7808</v>
      </c>
      <c r="I1761" t="s">
        <v>7842</v>
      </c>
    </row>
    <row r="1762">
      <c r="A1762" s="125" t="s">
        <v>4349</v>
      </c>
      <c r="B1762" s="526" t="s">
        <v>4348</v>
      </c>
      <c r="C1762" s="527">
        <v>249.0</v>
      </c>
      <c r="D1762" s="527">
        <v>658.25</v>
      </c>
      <c r="E1762" s="528">
        <v>2.6436</v>
      </c>
      <c r="F1762" s="36" t="s">
        <v>7798</v>
      </c>
      <c r="G1762" s="125" t="s">
        <v>913</v>
      </c>
      <c r="H1762" s="125" t="s">
        <v>7808</v>
      </c>
      <c r="I1762" t="s">
        <v>7842</v>
      </c>
    </row>
    <row r="1763">
      <c r="A1763" s="125" t="s">
        <v>4351</v>
      </c>
      <c r="B1763" s="526" t="s">
        <v>4350</v>
      </c>
      <c r="C1763" s="527">
        <v>134.0</v>
      </c>
      <c r="D1763" s="527">
        <v>643.21</v>
      </c>
      <c r="E1763" s="528">
        <v>4.8001</v>
      </c>
      <c r="F1763" s="36" t="s">
        <v>7798</v>
      </c>
      <c r="G1763" s="125" t="s">
        <v>913</v>
      </c>
      <c r="H1763" s="125" t="s">
        <v>7808</v>
      </c>
      <c r="I1763" t="s">
        <v>7842</v>
      </c>
    </row>
    <row r="1764">
      <c r="A1764" s="125" t="s">
        <v>4353</v>
      </c>
      <c r="B1764" s="526" t="s">
        <v>4352</v>
      </c>
      <c r="C1764" s="527">
        <v>313.0</v>
      </c>
      <c r="D1764" s="527">
        <v>1780.85</v>
      </c>
      <c r="E1764" s="528">
        <v>5.6896</v>
      </c>
      <c r="F1764" s="36" t="s">
        <v>7798</v>
      </c>
      <c r="G1764" s="125" t="s">
        <v>913</v>
      </c>
      <c r="H1764" s="125" t="s">
        <v>7808</v>
      </c>
      <c r="I1764" t="s">
        <v>7842</v>
      </c>
    </row>
    <row r="1765">
      <c r="A1765" s="125" t="s">
        <v>4355</v>
      </c>
      <c r="B1765" s="526" t="s">
        <v>4354</v>
      </c>
      <c r="C1765" s="527">
        <v>0.0</v>
      </c>
      <c r="D1765" s="527">
        <v>0.0</v>
      </c>
      <c r="F1765" s="36" t="s">
        <v>7798</v>
      </c>
      <c r="G1765" s="125" t="s">
        <v>913</v>
      </c>
      <c r="H1765" s="125" t="s">
        <v>7801</v>
      </c>
      <c r="I1765" t="s">
        <v>7842</v>
      </c>
    </row>
    <row r="1766">
      <c r="A1766" s="125" t="s">
        <v>4357</v>
      </c>
      <c r="B1766" s="526" t="s">
        <v>4356</v>
      </c>
      <c r="C1766" s="527">
        <v>34.0</v>
      </c>
      <c r="D1766" s="527">
        <v>127.78</v>
      </c>
      <c r="E1766" s="528">
        <v>3.7582</v>
      </c>
      <c r="F1766" s="36" t="s">
        <v>7798</v>
      </c>
      <c r="G1766" s="125" t="s">
        <v>913</v>
      </c>
      <c r="H1766" s="125" t="s">
        <v>7808</v>
      </c>
      <c r="I1766" t="s">
        <v>7842</v>
      </c>
    </row>
    <row r="1767">
      <c r="A1767" s="125" t="s">
        <v>4359</v>
      </c>
      <c r="B1767" s="526" t="s">
        <v>4358</v>
      </c>
      <c r="C1767" s="527">
        <v>424.0</v>
      </c>
      <c r="D1767" s="527">
        <v>2624.06</v>
      </c>
      <c r="E1767" s="528">
        <v>6.1888</v>
      </c>
      <c r="F1767" s="36" t="s">
        <v>7798</v>
      </c>
      <c r="G1767" s="125" t="s">
        <v>913</v>
      </c>
      <c r="H1767" s="125" t="s">
        <v>7808</v>
      </c>
      <c r="I1767" t="s">
        <v>7842</v>
      </c>
    </row>
    <row r="1768">
      <c r="A1768" s="125" t="s">
        <v>4361</v>
      </c>
      <c r="B1768" s="526" t="s">
        <v>4360</v>
      </c>
      <c r="C1768" s="527">
        <v>0.0</v>
      </c>
      <c r="D1768" s="527">
        <v>0.0</v>
      </c>
      <c r="F1768" s="36" t="s">
        <v>7798</v>
      </c>
      <c r="G1768" s="125" t="s">
        <v>913</v>
      </c>
      <c r="H1768" s="125" t="s">
        <v>7821</v>
      </c>
    </row>
    <row r="1769">
      <c r="A1769" s="125" t="s">
        <v>4363</v>
      </c>
      <c r="B1769" s="526" t="s">
        <v>4362</v>
      </c>
      <c r="C1769" s="527">
        <v>0.0</v>
      </c>
      <c r="D1769" s="527">
        <v>0.0</v>
      </c>
      <c r="F1769" s="36" t="s">
        <v>7798</v>
      </c>
      <c r="G1769" s="125" t="s">
        <v>893</v>
      </c>
      <c r="H1769" s="125" t="s">
        <v>7808</v>
      </c>
      <c r="I1769" t="s">
        <v>7842</v>
      </c>
    </row>
    <row r="1770">
      <c r="A1770" s="125" t="s">
        <v>4365</v>
      </c>
      <c r="B1770" s="526" t="s">
        <v>4364</v>
      </c>
      <c r="C1770" s="527">
        <v>10140.0</v>
      </c>
      <c r="D1770" s="527">
        <v>594.19</v>
      </c>
      <c r="E1770" s="528">
        <v>0.0586</v>
      </c>
      <c r="F1770" s="36" t="s">
        <v>7827</v>
      </c>
      <c r="G1770" s="125" t="s">
        <v>913</v>
      </c>
      <c r="H1770" s="125" t="s">
        <v>7829</v>
      </c>
    </row>
    <row r="1771">
      <c r="A1771" s="125" t="s">
        <v>4367</v>
      </c>
      <c r="B1771" s="526" t="s">
        <v>4366</v>
      </c>
      <c r="C1771" s="527">
        <v>1.0</v>
      </c>
      <c r="D1771" s="527">
        <v>5.75</v>
      </c>
      <c r="E1771" s="528">
        <v>5.75</v>
      </c>
      <c r="F1771" s="36" t="s">
        <v>7827</v>
      </c>
      <c r="G1771" s="125" t="s">
        <v>913</v>
      </c>
      <c r="H1771" s="125" t="s">
        <v>7829</v>
      </c>
    </row>
    <row r="1772">
      <c r="A1772" s="125" t="s">
        <v>4369</v>
      </c>
      <c r="B1772" s="526" t="s">
        <v>4368</v>
      </c>
      <c r="C1772" s="527">
        <v>0.0</v>
      </c>
      <c r="D1772" s="527">
        <v>0.0</v>
      </c>
      <c r="F1772" s="36" t="s">
        <v>7827</v>
      </c>
      <c r="G1772" s="125" t="s">
        <v>913</v>
      </c>
      <c r="H1772" s="125" t="s">
        <v>7829</v>
      </c>
    </row>
    <row r="1773">
      <c r="A1773" s="125" t="s">
        <v>4371</v>
      </c>
      <c r="B1773" s="526" t="s">
        <v>4370</v>
      </c>
      <c r="C1773" s="527">
        <v>133.0</v>
      </c>
      <c r="D1773" s="527">
        <v>4650.79</v>
      </c>
      <c r="E1773" s="528">
        <v>34.9683</v>
      </c>
      <c r="F1773" s="36" t="s">
        <v>7798</v>
      </c>
      <c r="G1773" s="125" t="s">
        <v>913</v>
      </c>
      <c r="H1773" s="125" t="s">
        <v>7808</v>
      </c>
      <c r="I1773" t="s">
        <v>45</v>
      </c>
    </row>
    <row r="1774">
      <c r="A1774" s="125" t="s">
        <v>4373</v>
      </c>
      <c r="B1774" s="526" t="s">
        <v>4372</v>
      </c>
      <c r="C1774" s="527">
        <v>2.0</v>
      </c>
      <c r="D1774" s="527">
        <v>404.8</v>
      </c>
      <c r="E1774" s="528">
        <v>202.4</v>
      </c>
      <c r="F1774" s="36" t="s">
        <v>7807</v>
      </c>
      <c r="G1774" s="125" t="s">
        <v>913</v>
      </c>
      <c r="H1774" s="125" t="s">
        <v>7821</v>
      </c>
      <c r="I1774" t="s">
        <v>7806</v>
      </c>
    </row>
    <row r="1775">
      <c r="A1775" s="125" t="s">
        <v>754</v>
      </c>
      <c r="B1775" s="526" t="s">
        <v>755</v>
      </c>
      <c r="C1775" s="527">
        <v>1233.0</v>
      </c>
      <c r="D1775" s="527">
        <v>2101.33</v>
      </c>
      <c r="E1775" s="528">
        <v>1.7042</v>
      </c>
      <c r="F1775" s="36" t="s">
        <v>7798</v>
      </c>
      <c r="G1775" s="125" t="s">
        <v>913</v>
      </c>
      <c r="H1775" s="125" t="s">
        <v>569</v>
      </c>
      <c r="I1775" t="s">
        <v>725</v>
      </c>
    </row>
    <row r="1776">
      <c r="A1776" s="125" t="s">
        <v>4387</v>
      </c>
      <c r="B1776" s="526" t="s">
        <v>4386</v>
      </c>
      <c r="C1776" s="527">
        <v>433.0</v>
      </c>
      <c r="D1776" s="527">
        <v>737.84</v>
      </c>
      <c r="E1776" s="528">
        <v>1.704</v>
      </c>
      <c r="F1776" s="36" t="s">
        <v>7798</v>
      </c>
      <c r="G1776" s="125" t="s">
        <v>913</v>
      </c>
      <c r="H1776" s="125" t="s">
        <v>7808</v>
      </c>
      <c r="I1776" t="s">
        <v>725</v>
      </c>
    </row>
    <row r="1777">
      <c r="A1777" s="125" t="s">
        <v>752</v>
      </c>
      <c r="B1777" s="526" t="s">
        <v>753</v>
      </c>
      <c r="C1777" s="527">
        <v>1453.0</v>
      </c>
      <c r="D1777" s="527">
        <v>2476.38</v>
      </c>
      <c r="E1777" s="528">
        <v>1.7043</v>
      </c>
      <c r="F1777" s="36" t="s">
        <v>7798</v>
      </c>
      <c r="G1777" s="125" t="s">
        <v>913</v>
      </c>
      <c r="H1777" s="125" t="s">
        <v>569</v>
      </c>
      <c r="I1777" t="s">
        <v>725</v>
      </c>
    </row>
    <row r="1778">
      <c r="A1778" s="125" t="s">
        <v>4389</v>
      </c>
      <c r="B1778" s="526" t="s">
        <v>4388</v>
      </c>
      <c r="C1778" s="527">
        <v>413.0</v>
      </c>
      <c r="D1778" s="527">
        <v>756.65</v>
      </c>
      <c r="E1778" s="528">
        <v>1.8321</v>
      </c>
      <c r="F1778" s="36" t="s">
        <v>7798</v>
      </c>
      <c r="G1778" s="125" t="s">
        <v>913</v>
      </c>
      <c r="H1778" s="125" t="s">
        <v>7808</v>
      </c>
      <c r="I1778" t="s">
        <v>725</v>
      </c>
    </row>
    <row r="1779">
      <c r="A1779" s="125" t="s">
        <v>4393</v>
      </c>
      <c r="B1779" s="526" t="s">
        <v>4392</v>
      </c>
      <c r="C1779" s="527">
        <v>806.0</v>
      </c>
      <c r="D1779" s="527">
        <v>1373.7</v>
      </c>
      <c r="E1779" s="528">
        <v>1.7043</v>
      </c>
      <c r="F1779" s="36" t="s">
        <v>7798</v>
      </c>
      <c r="G1779" s="125" t="s">
        <v>913</v>
      </c>
      <c r="H1779" s="125" t="s">
        <v>7808</v>
      </c>
      <c r="I1779" t="s">
        <v>725</v>
      </c>
    </row>
    <row r="1780">
      <c r="A1780" s="125" t="s">
        <v>750</v>
      </c>
      <c r="B1780" s="526" t="s">
        <v>751</v>
      </c>
      <c r="C1780" s="527">
        <v>1537.0</v>
      </c>
      <c r="D1780" s="527">
        <v>2619.58</v>
      </c>
      <c r="E1780" s="528">
        <v>1.7043</v>
      </c>
      <c r="F1780" s="36" t="s">
        <v>7798</v>
      </c>
      <c r="G1780" s="125" t="s">
        <v>913</v>
      </c>
      <c r="H1780" s="125" t="s">
        <v>569</v>
      </c>
      <c r="I1780" t="s">
        <v>725</v>
      </c>
    </row>
    <row r="1781">
      <c r="A1781" s="125" t="s">
        <v>4395</v>
      </c>
      <c r="B1781" s="526" t="s">
        <v>4394</v>
      </c>
      <c r="C1781" s="527">
        <v>327.0</v>
      </c>
      <c r="D1781" s="527">
        <v>599.05</v>
      </c>
      <c r="E1781" s="528">
        <v>1.832</v>
      </c>
      <c r="F1781" s="36" t="s">
        <v>7798</v>
      </c>
      <c r="G1781" s="125" t="s">
        <v>913</v>
      </c>
      <c r="H1781" s="125" t="s">
        <v>7801</v>
      </c>
      <c r="I1781" t="s">
        <v>725</v>
      </c>
    </row>
    <row r="1782">
      <c r="A1782" s="125" t="s">
        <v>4397</v>
      </c>
      <c r="B1782" s="526" t="s">
        <v>4396</v>
      </c>
      <c r="C1782" s="527">
        <v>4.0</v>
      </c>
      <c r="D1782" s="527">
        <v>19.44</v>
      </c>
      <c r="E1782" s="528">
        <v>4.86</v>
      </c>
      <c r="F1782" s="36" t="s">
        <v>7798</v>
      </c>
      <c r="G1782" s="125" t="s">
        <v>913</v>
      </c>
      <c r="I1782" t="s">
        <v>45</v>
      </c>
    </row>
    <row r="1783">
      <c r="A1783" s="125" t="s">
        <v>4399</v>
      </c>
      <c r="B1783" s="526" t="s">
        <v>4398</v>
      </c>
      <c r="C1783" s="527">
        <v>5.0</v>
      </c>
      <c r="D1783" s="527">
        <v>201.11</v>
      </c>
      <c r="E1783" s="528">
        <v>40.222</v>
      </c>
      <c r="F1783" s="36" t="s">
        <v>7798</v>
      </c>
      <c r="G1783" s="125" t="s">
        <v>913</v>
      </c>
      <c r="H1783" s="125" t="s">
        <v>7808</v>
      </c>
      <c r="I1783" t="s">
        <v>725</v>
      </c>
    </row>
    <row r="1784">
      <c r="A1784" s="125" t="s">
        <v>4401</v>
      </c>
      <c r="B1784" s="526" t="s">
        <v>4400</v>
      </c>
      <c r="C1784" s="527">
        <v>267.0</v>
      </c>
      <c r="D1784" s="527">
        <v>1350.38</v>
      </c>
      <c r="E1784" s="528">
        <v>5.0576</v>
      </c>
      <c r="F1784" s="36" t="s">
        <v>7798</v>
      </c>
      <c r="G1784" s="125" t="s">
        <v>913</v>
      </c>
      <c r="H1784" s="125" t="s">
        <v>7801</v>
      </c>
      <c r="I1784" t="s">
        <v>74</v>
      </c>
    </row>
    <row r="1785">
      <c r="A1785" s="125" t="s">
        <v>4403</v>
      </c>
      <c r="B1785" s="526" t="s">
        <v>4402</v>
      </c>
      <c r="C1785" s="527">
        <v>336.0</v>
      </c>
      <c r="D1785" s="527">
        <v>1699.28</v>
      </c>
      <c r="E1785" s="528">
        <v>5.0574</v>
      </c>
      <c r="F1785" s="36" t="s">
        <v>7798</v>
      </c>
      <c r="G1785" s="125" t="s">
        <v>913</v>
      </c>
      <c r="H1785" s="125" t="s">
        <v>7801</v>
      </c>
      <c r="I1785" t="s">
        <v>74</v>
      </c>
    </row>
    <row r="1786">
      <c r="A1786" s="125" t="s">
        <v>4405</v>
      </c>
      <c r="B1786" s="526" t="s">
        <v>4404</v>
      </c>
      <c r="C1786" s="527">
        <v>232.0</v>
      </c>
      <c r="D1786" s="527">
        <v>1173.4</v>
      </c>
      <c r="E1786" s="528">
        <v>5.0578</v>
      </c>
      <c r="F1786" s="36" t="s">
        <v>7798</v>
      </c>
      <c r="G1786" s="125" t="s">
        <v>913</v>
      </c>
      <c r="H1786" s="125" t="s">
        <v>7801</v>
      </c>
      <c r="I1786" t="s">
        <v>74</v>
      </c>
    </row>
    <row r="1787">
      <c r="A1787" s="125" t="s">
        <v>4407</v>
      </c>
      <c r="B1787" s="526" t="s">
        <v>4406</v>
      </c>
      <c r="C1787" s="527">
        <v>0.0</v>
      </c>
      <c r="D1787" s="527">
        <v>0.0</v>
      </c>
      <c r="F1787" s="36" t="s">
        <v>7798</v>
      </c>
      <c r="G1787" s="125" t="s">
        <v>893</v>
      </c>
      <c r="H1787" s="125" t="s">
        <v>7801</v>
      </c>
      <c r="I1787" t="s">
        <v>74</v>
      </c>
    </row>
    <row r="1788">
      <c r="A1788" s="125" t="s">
        <v>4409</v>
      </c>
      <c r="B1788" s="526" t="s">
        <v>4408</v>
      </c>
      <c r="C1788" s="527">
        <v>82.0</v>
      </c>
      <c r="D1788" s="527">
        <v>414.89</v>
      </c>
      <c r="E1788" s="528">
        <v>5.0596</v>
      </c>
      <c r="F1788" s="36" t="s">
        <v>7798</v>
      </c>
      <c r="G1788" s="125" t="s">
        <v>913</v>
      </c>
      <c r="H1788" s="125" t="s">
        <v>7801</v>
      </c>
      <c r="I1788" t="s">
        <v>74</v>
      </c>
    </row>
    <row r="1789">
      <c r="A1789" s="125" t="s">
        <v>4411</v>
      </c>
      <c r="B1789" s="526" t="s">
        <v>4410</v>
      </c>
      <c r="C1789" s="527">
        <v>145.0</v>
      </c>
      <c r="D1789" s="527">
        <v>733.47</v>
      </c>
      <c r="E1789" s="528">
        <v>5.0584</v>
      </c>
      <c r="F1789" s="36" t="s">
        <v>7798</v>
      </c>
      <c r="G1789" s="125" t="s">
        <v>913</v>
      </c>
      <c r="H1789" s="125" t="s">
        <v>7801</v>
      </c>
      <c r="I1789" t="s">
        <v>74</v>
      </c>
    </row>
    <row r="1790">
      <c r="A1790" s="125" t="s">
        <v>4413</v>
      </c>
      <c r="B1790" s="526" t="s">
        <v>4412</v>
      </c>
      <c r="C1790" s="527">
        <v>0.0</v>
      </c>
      <c r="D1790" s="527">
        <v>0.0</v>
      </c>
      <c r="F1790" s="36" t="s">
        <v>7798</v>
      </c>
      <c r="G1790" s="125" t="s">
        <v>893</v>
      </c>
      <c r="H1790" s="125" t="s">
        <v>7799</v>
      </c>
      <c r="I1790" t="s">
        <v>81</v>
      </c>
    </row>
    <row r="1791">
      <c r="A1791" s="125" t="s">
        <v>4415</v>
      </c>
      <c r="B1791" s="526" t="s">
        <v>4414</v>
      </c>
      <c r="C1791" s="527">
        <v>0.0</v>
      </c>
      <c r="D1791" s="527">
        <v>0.0</v>
      </c>
      <c r="F1791" s="36" t="s">
        <v>7798</v>
      </c>
      <c r="G1791" s="125" t="s">
        <v>893</v>
      </c>
      <c r="H1791" s="125" t="s">
        <v>7799</v>
      </c>
      <c r="I1791" t="s">
        <v>81</v>
      </c>
    </row>
    <row r="1792">
      <c r="A1792" s="125" t="s">
        <v>4417</v>
      </c>
      <c r="B1792" s="526" t="s">
        <v>4416</v>
      </c>
      <c r="C1792" s="527">
        <v>0.0</v>
      </c>
      <c r="D1792" s="527">
        <v>0.0</v>
      </c>
      <c r="F1792" s="36" t="s">
        <v>7798</v>
      </c>
      <c r="G1792" s="125" t="s">
        <v>893</v>
      </c>
      <c r="H1792" s="125" t="s">
        <v>7799</v>
      </c>
      <c r="I1792" t="s">
        <v>81</v>
      </c>
    </row>
    <row r="1793">
      <c r="A1793" s="125" t="s">
        <v>4419</v>
      </c>
      <c r="B1793" s="526" t="s">
        <v>4418</v>
      </c>
      <c r="C1793" s="527">
        <v>0.0</v>
      </c>
      <c r="D1793" s="527">
        <v>0.0</v>
      </c>
      <c r="F1793" s="36" t="s">
        <v>7798</v>
      </c>
      <c r="G1793" s="125" t="s">
        <v>893</v>
      </c>
      <c r="H1793" s="125" t="s">
        <v>7799</v>
      </c>
      <c r="I1793" t="s">
        <v>81</v>
      </c>
    </row>
    <row r="1794">
      <c r="A1794" s="125" t="s">
        <v>4421</v>
      </c>
      <c r="B1794" s="526" t="s">
        <v>4420</v>
      </c>
      <c r="C1794" s="527">
        <v>0.0</v>
      </c>
      <c r="D1794" s="527">
        <v>0.0</v>
      </c>
      <c r="F1794" s="36" t="s">
        <v>7798</v>
      </c>
      <c r="G1794" s="125" t="s">
        <v>893</v>
      </c>
      <c r="H1794" s="125" t="s">
        <v>7799</v>
      </c>
      <c r="I1794" t="s">
        <v>81</v>
      </c>
    </row>
    <row r="1795">
      <c r="A1795" s="125" t="s">
        <v>4423</v>
      </c>
      <c r="B1795" s="526" t="s">
        <v>4422</v>
      </c>
      <c r="C1795" s="527">
        <v>0.0</v>
      </c>
      <c r="D1795" s="527">
        <v>0.0</v>
      </c>
      <c r="F1795" s="36" t="s">
        <v>7798</v>
      </c>
      <c r="G1795" s="125" t="s">
        <v>893</v>
      </c>
      <c r="H1795" s="125" t="s">
        <v>7799</v>
      </c>
      <c r="I1795" t="s">
        <v>81</v>
      </c>
    </row>
    <row r="1796">
      <c r="A1796" s="125" t="s">
        <v>4425</v>
      </c>
      <c r="B1796" s="526" t="s">
        <v>4424</v>
      </c>
      <c r="C1796" s="527">
        <v>0.0</v>
      </c>
      <c r="D1796" s="527">
        <v>0.0</v>
      </c>
      <c r="F1796" s="36" t="s">
        <v>7807</v>
      </c>
      <c r="G1796" s="125" t="s">
        <v>893</v>
      </c>
      <c r="H1796" s="125" t="s">
        <v>7799</v>
      </c>
      <c r="I1796" t="s">
        <v>81</v>
      </c>
    </row>
    <row r="1797">
      <c r="A1797" s="125" t="s">
        <v>616</v>
      </c>
      <c r="B1797" s="526" t="s">
        <v>617</v>
      </c>
      <c r="C1797" s="527">
        <v>202.0</v>
      </c>
      <c r="D1797" s="527">
        <v>1814.06</v>
      </c>
      <c r="E1797" s="528">
        <v>8.9805</v>
      </c>
      <c r="F1797" s="36" t="s">
        <v>7798</v>
      </c>
      <c r="G1797" s="125" t="s">
        <v>913</v>
      </c>
      <c r="H1797" s="125" t="s">
        <v>569</v>
      </c>
      <c r="I1797" t="s">
        <v>414</v>
      </c>
    </row>
    <row r="1798">
      <c r="A1798" s="125" t="s">
        <v>618</v>
      </c>
      <c r="B1798" s="526" t="s">
        <v>619</v>
      </c>
      <c r="C1798" s="527">
        <v>344.0</v>
      </c>
      <c r="D1798" s="527">
        <v>3088.12</v>
      </c>
      <c r="E1798" s="528">
        <v>8.9771</v>
      </c>
      <c r="F1798" s="36" t="s">
        <v>7798</v>
      </c>
      <c r="G1798" s="125" t="s">
        <v>913</v>
      </c>
      <c r="H1798" s="125" t="s">
        <v>569</v>
      </c>
      <c r="I1798" t="s">
        <v>414</v>
      </c>
    </row>
    <row r="1799">
      <c r="A1799" s="125" t="s">
        <v>612</v>
      </c>
      <c r="B1799" s="526" t="s">
        <v>613</v>
      </c>
      <c r="C1799" s="527">
        <v>441.0</v>
      </c>
      <c r="D1799" s="527">
        <v>3959.5</v>
      </c>
      <c r="E1799" s="528">
        <v>8.9785</v>
      </c>
      <c r="F1799" s="36" t="s">
        <v>7798</v>
      </c>
      <c r="G1799" s="125" t="s">
        <v>913</v>
      </c>
      <c r="H1799" s="125" t="s">
        <v>569</v>
      </c>
      <c r="I1799" t="s">
        <v>414</v>
      </c>
    </row>
    <row r="1800">
      <c r="A1800" s="125" t="s">
        <v>610</v>
      </c>
      <c r="B1800" s="526" t="s">
        <v>611</v>
      </c>
      <c r="C1800" s="527">
        <v>370.0</v>
      </c>
      <c r="D1800" s="527">
        <v>3322.14</v>
      </c>
      <c r="E1800" s="528">
        <v>8.9788</v>
      </c>
      <c r="F1800" s="36" t="s">
        <v>7798</v>
      </c>
      <c r="G1800" s="125" t="s">
        <v>913</v>
      </c>
      <c r="H1800" s="125" t="s">
        <v>569</v>
      </c>
      <c r="I1800" t="s">
        <v>414</v>
      </c>
    </row>
    <row r="1801">
      <c r="A1801" s="125" t="s">
        <v>614</v>
      </c>
      <c r="B1801" s="526" t="s">
        <v>615</v>
      </c>
      <c r="C1801" s="527">
        <v>421.0</v>
      </c>
      <c r="D1801" s="527">
        <v>3779.96</v>
      </c>
      <c r="E1801" s="528">
        <v>8.9785</v>
      </c>
      <c r="F1801" s="36" t="s">
        <v>7798</v>
      </c>
      <c r="G1801" s="125" t="s">
        <v>913</v>
      </c>
      <c r="H1801" s="125" t="s">
        <v>7801</v>
      </c>
      <c r="I1801" t="s">
        <v>414</v>
      </c>
    </row>
    <row r="1802">
      <c r="A1802" s="125" t="s">
        <v>4433</v>
      </c>
      <c r="B1802" s="526" t="s">
        <v>4432</v>
      </c>
      <c r="C1802" s="527">
        <v>228.0</v>
      </c>
      <c r="D1802" s="527">
        <v>687.22</v>
      </c>
      <c r="E1802" s="528">
        <v>3.0141</v>
      </c>
      <c r="F1802" s="36" t="s">
        <v>7798</v>
      </c>
      <c r="G1802" s="125" t="s">
        <v>913</v>
      </c>
      <c r="H1802" s="125" t="s">
        <v>7801</v>
      </c>
      <c r="I1802" t="s">
        <v>7848</v>
      </c>
    </row>
    <row r="1803">
      <c r="A1803" s="125" t="s">
        <v>4435</v>
      </c>
      <c r="B1803" s="526" t="s">
        <v>4434</v>
      </c>
      <c r="C1803" s="527">
        <v>420.0</v>
      </c>
      <c r="D1803" s="527">
        <v>1255.22</v>
      </c>
      <c r="E1803" s="528">
        <v>2.9886</v>
      </c>
      <c r="F1803" s="36" t="s">
        <v>7798</v>
      </c>
      <c r="G1803" s="125" t="s">
        <v>913</v>
      </c>
      <c r="H1803" s="125" t="s">
        <v>7801</v>
      </c>
      <c r="I1803" t="s">
        <v>7848</v>
      </c>
    </row>
    <row r="1804">
      <c r="A1804" s="125" t="s">
        <v>4437</v>
      </c>
      <c r="B1804" s="526" t="s">
        <v>4436</v>
      </c>
      <c r="C1804" s="527">
        <v>172.0</v>
      </c>
      <c r="D1804" s="527">
        <v>514.3</v>
      </c>
      <c r="E1804" s="528">
        <v>2.9901</v>
      </c>
      <c r="F1804" s="36" t="s">
        <v>7798</v>
      </c>
      <c r="G1804" s="125" t="s">
        <v>913</v>
      </c>
      <c r="H1804" s="125" t="s">
        <v>7801</v>
      </c>
      <c r="I1804" t="s">
        <v>7848</v>
      </c>
    </row>
    <row r="1805">
      <c r="A1805" s="125" t="s">
        <v>4439</v>
      </c>
      <c r="B1805" s="526" t="s">
        <v>4438</v>
      </c>
      <c r="C1805" s="527">
        <v>264.0</v>
      </c>
      <c r="D1805" s="527">
        <v>795.6</v>
      </c>
      <c r="E1805" s="528">
        <v>3.0136</v>
      </c>
      <c r="F1805" s="36" t="s">
        <v>7798</v>
      </c>
      <c r="G1805" s="125" t="s">
        <v>913</v>
      </c>
      <c r="H1805" s="125" t="s">
        <v>7801</v>
      </c>
      <c r="I1805" t="s">
        <v>7848</v>
      </c>
    </row>
    <row r="1806">
      <c r="A1806" s="125" t="s">
        <v>4441</v>
      </c>
      <c r="B1806" s="526" t="s">
        <v>4440</v>
      </c>
      <c r="C1806" s="527">
        <v>76.0</v>
      </c>
      <c r="D1806" s="527">
        <v>229.34</v>
      </c>
      <c r="E1806" s="528">
        <v>3.0176</v>
      </c>
      <c r="F1806" s="36" t="s">
        <v>7798</v>
      </c>
      <c r="G1806" s="125" t="s">
        <v>913</v>
      </c>
      <c r="H1806" s="125" t="s">
        <v>7801</v>
      </c>
      <c r="I1806" t="s">
        <v>7848</v>
      </c>
    </row>
    <row r="1807">
      <c r="A1807" s="125" t="s">
        <v>4443</v>
      </c>
      <c r="B1807" s="526" t="s">
        <v>4442</v>
      </c>
      <c r="C1807" s="527">
        <v>80.0</v>
      </c>
      <c r="D1807" s="527">
        <v>241.38</v>
      </c>
      <c r="E1807" s="528">
        <v>3.0173</v>
      </c>
      <c r="F1807" s="36" t="s">
        <v>7798</v>
      </c>
      <c r="G1807" s="125" t="s">
        <v>913</v>
      </c>
      <c r="H1807" s="125" t="s">
        <v>7801</v>
      </c>
      <c r="I1807" t="s">
        <v>7848</v>
      </c>
    </row>
    <row r="1808">
      <c r="A1808" s="125" t="s">
        <v>4447</v>
      </c>
      <c r="B1808" s="526" t="s">
        <v>4446</v>
      </c>
      <c r="C1808" s="527">
        <v>392.0</v>
      </c>
      <c r="D1808" s="527">
        <v>1181.27</v>
      </c>
      <c r="E1808" s="528">
        <v>3.0134</v>
      </c>
      <c r="F1808" s="36" t="s">
        <v>7798</v>
      </c>
      <c r="G1808" s="125" t="s">
        <v>913</v>
      </c>
      <c r="H1808" s="125" t="s">
        <v>7801</v>
      </c>
      <c r="I1808" t="s">
        <v>7848</v>
      </c>
    </row>
    <row r="1809">
      <c r="A1809" s="125" t="s">
        <v>4449</v>
      </c>
      <c r="B1809" s="526" t="s">
        <v>4448</v>
      </c>
      <c r="C1809" s="527">
        <v>182.0</v>
      </c>
      <c r="D1809" s="527">
        <v>548.81</v>
      </c>
      <c r="E1809" s="528">
        <v>3.0154</v>
      </c>
      <c r="F1809" s="36" t="s">
        <v>7798</v>
      </c>
      <c r="G1809" s="125" t="s">
        <v>913</v>
      </c>
      <c r="H1809" s="125" t="s">
        <v>7801</v>
      </c>
      <c r="I1809" t="s">
        <v>7848</v>
      </c>
    </row>
    <row r="1810">
      <c r="A1810" s="125" t="s">
        <v>4451</v>
      </c>
      <c r="B1810" s="526" t="s">
        <v>4450</v>
      </c>
      <c r="C1810" s="527">
        <v>183.0</v>
      </c>
      <c r="D1810" s="527">
        <v>547.14</v>
      </c>
      <c r="E1810" s="528">
        <v>2.9898</v>
      </c>
      <c r="F1810" s="36" t="s">
        <v>7798</v>
      </c>
      <c r="G1810" s="125" t="s">
        <v>913</v>
      </c>
      <c r="H1810" s="125" t="s">
        <v>7801</v>
      </c>
      <c r="I1810" t="s">
        <v>7848</v>
      </c>
    </row>
    <row r="1811">
      <c r="A1811" s="125" t="s">
        <v>4453</v>
      </c>
      <c r="B1811" s="526" t="s">
        <v>4452</v>
      </c>
      <c r="C1811" s="527">
        <v>235.0</v>
      </c>
      <c r="D1811" s="527">
        <v>708.31</v>
      </c>
      <c r="E1811" s="528">
        <v>3.0141</v>
      </c>
      <c r="F1811" s="36" t="s">
        <v>7798</v>
      </c>
      <c r="G1811" s="125" t="s">
        <v>913</v>
      </c>
      <c r="H1811" s="125" t="s">
        <v>7801</v>
      </c>
      <c r="I1811" t="s">
        <v>7848</v>
      </c>
    </row>
    <row r="1812">
      <c r="A1812" s="125" t="s">
        <v>4455</v>
      </c>
      <c r="B1812" s="526" t="s">
        <v>4454</v>
      </c>
      <c r="C1812" s="527">
        <v>0.0</v>
      </c>
      <c r="D1812" s="527">
        <v>0.0</v>
      </c>
      <c r="F1812" s="36" t="s">
        <v>7798</v>
      </c>
      <c r="G1812" s="125" t="s">
        <v>913</v>
      </c>
      <c r="H1812" s="125" t="s">
        <v>7821</v>
      </c>
    </row>
    <row r="1813">
      <c r="A1813" s="125" t="s">
        <v>4456</v>
      </c>
      <c r="B1813" s="526">
        <v>41501.0</v>
      </c>
      <c r="C1813" s="527">
        <v>0.0</v>
      </c>
      <c r="D1813" s="527">
        <v>0.0</v>
      </c>
      <c r="F1813" s="36" t="s">
        <v>7798</v>
      </c>
      <c r="G1813" s="125" t="s">
        <v>893</v>
      </c>
      <c r="H1813" s="125" t="s">
        <v>7799</v>
      </c>
      <c r="I1813" t="s">
        <v>7859</v>
      </c>
    </row>
    <row r="1814">
      <c r="A1814" s="125" t="s">
        <v>4457</v>
      </c>
      <c r="B1814" s="526">
        <v>41502.0</v>
      </c>
      <c r="C1814" s="527">
        <v>0.0</v>
      </c>
      <c r="D1814" s="527">
        <v>0.0</v>
      </c>
      <c r="F1814" s="36" t="s">
        <v>7798</v>
      </c>
      <c r="G1814" s="125" t="s">
        <v>893</v>
      </c>
      <c r="H1814" s="125" t="s">
        <v>7799</v>
      </c>
      <c r="I1814" t="s">
        <v>7859</v>
      </c>
    </row>
    <row r="1815">
      <c r="A1815" s="125" t="s">
        <v>4458</v>
      </c>
      <c r="B1815" s="526">
        <v>41503.0</v>
      </c>
      <c r="C1815" s="527">
        <v>0.0</v>
      </c>
      <c r="D1815" s="527">
        <v>0.0</v>
      </c>
      <c r="F1815" s="36" t="s">
        <v>7798</v>
      </c>
      <c r="G1815" s="125" t="s">
        <v>893</v>
      </c>
      <c r="H1815" s="125" t="s">
        <v>7799</v>
      </c>
      <c r="I1815" t="s">
        <v>7859</v>
      </c>
    </row>
    <row r="1816">
      <c r="A1816" s="125" t="s">
        <v>4459</v>
      </c>
      <c r="B1816" s="526">
        <v>41504.0</v>
      </c>
      <c r="C1816" s="527">
        <v>0.0</v>
      </c>
      <c r="D1816" s="527">
        <v>0.0</v>
      </c>
      <c r="F1816" s="36" t="s">
        <v>7798</v>
      </c>
      <c r="G1816" s="125" t="s">
        <v>893</v>
      </c>
      <c r="H1816" s="125" t="s">
        <v>7799</v>
      </c>
      <c r="I1816" t="s">
        <v>7859</v>
      </c>
    </row>
    <row r="1817">
      <c r="A1817" s="125" t="s">
        <v>4460</v>
      </c>
      <c r="B1817" s="526">
        <v>41505.0</v>
      </c>
      <c r="C1817" s="527">
        <v>0.0</v>
      </c>
      <c r="D1817" s="527">
        <v>0.0</v>
      </c>
      <c r="F1817" s="36" t="s">
        <v>7798</v>
      </c>
      <c r="G1817" s="125" t="s">
        <v>893</v>
      </c>
      <c r="H1817" s="125" t="s">
        <v>7799</v>
      </c>
      <c r="I1817" t="s">
        <v>7859</v>
      </c>
    </row>
    <row r="1818">
      <c r="A1818" s="125" t="s">
        <v>4461</v>
      </c>
      <c r="B1818" s="526">
        <v>41508.0</v>
      </c>
      <c r="C1818" s="527">
        <v>0.0</v>
      </c>
      <c r="D1818" s="527">
        <v>0.0</v>
      </c>
      <c r="F1818" s="36" t="s">
        <v>7798</v>
      </c>
      <c r="G1818" s="125" t="s">
        <v>893</v>
      </c>
      <c r="H1818" s="125" t="s">
        <v>7799</v>
      </c>
      <c r="I1818" t="s">
        <v>7859</v>
      </c>
    </row>
    <row r="1819">
      <c r="A1819" s="125" t="s">
        <v>4462</v>
      </c>
      <c r="B1819" s="526">
        <v>41510.0</v>
      </c>
      <c r="C1819" s="527">
        <v>0.0</v>
      </c>
      <c r="D1819" s="527">
        <v>0.0</v>
      </c>
      <c r="F1819" s="36" t="s">
        <v>7798</v>
      </c>
      <c r="G1819" s="125" t="s">
        <v>893</v>
      </c>
      <c r="H1819" s="125" t="s">
        <v>7799</v>
      </c>
      <c r="I1819" t="s">
        <v>7859</v>
      </c>
    </row>
    <row r="1820">
      <c r="A1820" s="125" t="s">
        <v>4463</v>
      </c>
      <c r="B1820" s="526">
        <v>41511.0</v>
      </c>
      <c r="C1820" s="527">
        <v>0.0</v>
      </c>
      <c r="D1820" s="527">
        <v>0.0</v>
      </c>
      <c r="F1820" s="36" t="s">
        <v>7798</v>
      </c>
      <c r="G1820" s="125" t="s">
        <v>893</v>
      </c>
      <c r="H1820" s="125" t="s">
        <v>7799</v>
      </c>
      <c r="I1820" t="s">
        <v>7859</v>
      </c>
    </row>
    <row r="1821">
      <c r="A1821" s="125" t="s">
        <v>4464</v>
      </c>
      <c r="B1821" s="526">
        <v>41512.0</v>
      </c>
      <c r="C1821" s="527">
        <v>0.0</v>
      </c>
      <c r="D1821" s="527">
        <v>0.0</v>
      </c>
      <c r="F1821" s="36" t="s">
        <v>7798</v>
      </c>
      <c r="G1821" s="125" t="s">
        <v>893</v>
      </c>
      <c r="H1821" s="125" t="s">
        <v>7799</v>
      </c>
      <c r="I1821" t="s">
        <v>7859</v>
      </c>
    </row>
    <row r="1822">
      <c r="A1822" s="125" t="s">
        <v>4465</v>
      </c>
      <c r="B1822" s="526">
        <v>41513.0</v>
      </c>
      <c r="C1822" s="527">
        <v>0.0</v>
      </c>
      <c r="D1822" s="527">
        <v>0.0</v>
      </c>
      <c r="F1822" s="36" t="s">
        <v>7798</v>
      </c>
      <c r="G1822" s="125" t="s">
        <v>893</v>
      </c>
      <c r="H1822" s="125" t="s">
        <v>7799</v>
      </c>
      <c r="I1822" t="s">
        <v>7859</v>
      </c>
    </row>
    <row r="1823">
      <c r="A1823" s="125" t="s">
        <v>4466</v>
      </c>
      <c r="B1823" s="526">
        <v>41518.0</v>
      </c>
      <c r="C1823" s="527">
        <v>0.0</v>
      </c>
      <c r="D1823" s="527">
        <v>0.0</v>
      </c>
      <c r="F1823" s="36" t="s">
        <v>7798</v>
      </c>
      <c r="G1823" s="125" t="s">
        <v>893</v>
      </c>
      <c r="H1823" s="125" t="s">
        <v>7799</v>
      </c>
      <c r="I1823" t="s">
        <v>7859</v>
      </c>
    </row>
    <row r="1824">
      <c r="A1824" s="125" t="s">
        <v>4467</v>
      </c>
      <c r="B1824" s="526">
        <v>41519.0</v>
      </c>
      <c r="C1824" s="527">
        <v>0.0</v>
      </c>
      <c r="D1824" s="527">
        <v>0.0</v>
      </c>
      <c r="F1824" s="36" t="s">
        <v>7798</v>
      </c>
      <c r="G1824" s="125" t="s">
        <v>893</v>
      </c>
      <c r="H1824" s="125" t="s">
        <v>7799</v>
      </c>
      <c r="I1824" t="s">
        <v>7859</v>
      </c>
    </row>
    <row r="1825">
      <c r="A1825" s="125" t="s">
        <v>4469</v>
      </c>
      <c r="B1825" s="526" t="s">
        <v>4468</v>
      </c>
      <c r="C1825" s="527">
        <v>0.0</v>
      </c>
      <c r="D1825" s="527">
        <v>0.0</v>
      </c>
      <c r="F1825" s="36" t="s">
        <v>7798</v>
      </c>
      <c r="G1825" s="125" t="s">
        <v>893</v>
      </c>
      <c r="H1825" s="125" t="s">
        <v>7799</v>
      </c>
      <c r="I1825" t="s">
        <v>7859</v>
      </c>
    </row>
    <row r="1826">
      <c r="A1826" s="125" t="s">
        <v>4471</v>
      </c>
      <c r="B1826" s="526" t="s">
        <v>4470</v>
      </c>
      <c r="C1826" s="527">
        <v>0.0</v>
      </c>
      <c r="D1826" s="527">
        <v>0.0</v>
      </c>
      <c r="F1826" s="36" t="s">
        <v>7807</v>
      </c>
      <c r="G1826" s="125" t="s">
        <v>893</v>
      </c>
      <c r="H1826" s="125" t="s">
        <v>7799</v>
      </c>
      <c r="I1826" t="s">
        <v>7859</v>
      </c>
    </row>
    <row r="1827">
      <c r="A1827" s="125" t="s">
        <v>4473</v>
      </c>
      <c r="B1827" s="526">
        <v>7006.0</v>
      </c>
      <c r="C1827" s="527">
        <v>0.0</v>
      </c>
      <c r="D1827" s="527">
        <v>0.0</v>
      </c>
      <c r="F1827" s="36" t="s">
        <v>7798</v>
      </c>
      <c r="G1827" s="125" t="s">
        <v>893</v>
      </c>
      <c r="H1827" s="125" t="s">
        <v>7799</v>
      </c>
      <c r="I1827" t="s">
        <v>33</v>
      </c>
    </row>
    <row r="1828">
      <c r="A1828" s="125" t="s">
        <v>4474</v>
      </c>
      <c r="B1828" s="526">
        <v>7009.0</v>
      </c>
      <c r="C1828" s="527">
        <v>0.0</v>
      </c>
      <c r="D1828" s="527">
        <v>0.0</v>
      </c>
      <c r="F1828" s="36" t="s">
        <v>7798</v>
      </c>
      <c r="G1828" s="125" t="s">
        <v>893</v>
      </c>
      <c r="H1828" s="125" t="s">
        <v>7799</v>
      </c>
      <c r="I1828" t="s">
        <v>33</v>
      </c>
    </row>
    <row r="1829">
      <c r="A1829" s="125" t="s">
        <v>4475</v>
      </c>
      <c r="B1829" s="526">
        <v>7008.0</v>
      </c>
      <c r="C1829" s="527">
        <v>0.0</v>
      </c>
      <c r="D1829" s="527">
        <v>0.0</v>
      </c>
      <c r="F1829" s="36" t="s">
        <v>7798</v>
      </c>
      <c r="G1829" s="125" t="s">
        <v>893</v>
      </c>
      <c r="H1829" s="125" t="s">
        <v>7799</v>
      </c>
      <c r="I1829" t="s">
        <v>33</v>
      </c>
    </row>
    <row r="1830">
      <c r="A1830" s="125" t="s">
        <v>4476</v>
      </c>
      <c r="B1830" s="526">
        <v>7007.0</v>
      </c>
      <c r="C1830" s="527">
        <v>0.0</v>
      </c>
      <c r="D1830" s="527">
        <v>0.0</v>
      </c>
      <c r="F1830" s="36" t="s">
        <v>7798</v>
      </c>
      <c r="G1830" s="125" t="s">
        <v>893</v>
      </c>
      <c r="H1830" s="125" t="s">
        <v>7799</v>
      </c>
      <c r="I1830" t="s">
        <v>33</v>
      </c>
    </row>
    <row r="1831">
      <c r="A1831" s="125" t="s">
        <v>4477</v>
      </c>
      <c r="B1831" s="526">
        <v>7003.0</v>
      </c>
      <c r="C1831" s="527">
        <v>0.0</v>
      </c>
      <c r="D1831" s="527">
        <v>0.0</v>
      </c>
      <c r="F1831" s="36" t="s">
        <v>7798</v>
      </c>
      <c r="G1831" s="125" t="s">
        <v>893</v>
      </c>
      <c r="H1831" s="125" t="s">
        <v>7799</v>
      </c>
      <c r="I1831" t="s">
        <v>33</v>
      </c>
    </row>
    <row r="1832">
      <c r="A1832" s="125" t="s">
        <v>4480</v>
      </c>
      <c r="B1832" s="526" t="s">
        <v>4479</v>
      </c>
      <c r="C1832" s="527">
        <v>0.0</v>
      </c>
      <c r="D1832" s="527">
        <v>0.0</v>
      </c>
      <c r="F1832" s="36" t="s">
        <v>7807</v>
      </c>
      <c r="G1832" s="125" t="s">
        <v>893</v>
      </c>
      <c r="H1832" s="125" t="s">
        <v>7799</v>
      </c>
      <c r="I1832" t="s">
        <v>33</v>
      </c>
    </row>
    <row r="1833">
      <c r="A1833" s="125" t="s">
        <v>4482</v>
      </c>
      <c r="B1833" s="526" t="s">
        <v>4481</v>
      </c>
      <c r="C1833" s="527">
        <v>0.0</v>
      </c>
      <c r="D1833" s="527">
        <v>0.0</v>
      </c>
      <c r="F1833" s="36" t="s">
        <v>7798</v>
      </c>
      <c r="G1833" s="125" t="s">
        <v>893</v>
      </c>
      <c r="H1833" s="125" t="s">
        <v>7799</v>
      </c>
      <c r="I1833" t="s">
        <v>7859</v>
      </c>
    </row>
    <row r="1834">
      <c r="A1834" s="125" t="s">
        <v>4484</v>
      </c>
      <c r="B1834" s="526" t="s">
        <v>4483</v>
      </c>
      <c r="C1834" s="527">
        <v>0.0</v>
      </c>
      <c r="D1834" s="527">
        <v>0.0</v>
      </c>
      <c r="F1834" s="36" t="s">
        <v>7798</v>
      </c>
      <c r="G1834" s="125" t="s">
        <v>893</v>
      </c>
      <c r="H1834" s="125" t="s">
        <v>7799</v>
      </c>
      <c r="I1834" t="s">
        <v>7860</v>
      </c>
    </row>
    <row r="1835">
      <c r="A1835" s="125" t="s">
        <v>4488</v>
      </c>
      <c r="B1835" s="526" t="s">
        <v>4487</v>
      </c>
      <c r="C1835" s="527">
        <v>394.0</v>
      </c>
      <c r="D1835" s="527">
        <v>732.11</v>
      </c>
      <c r="E1835" s="528">
        <v>1.8581</v>
      </c>
      <c r="F1835" s="36" t="s">
        <v>7798</v>
      </c>
      <c r="G1835" s="125" t="s">
        <v>913</v>
      </c>
      <c r="H1835" s="125" t="s">
        <v>7808</v>
      </c>
      <c r="I1835" t="s">
        <v>489</v>
      </c>
    </row>
    <row r="1836">
      <c r="A1836" s="125" t="s">
        <v>4492</v>
      </c>
      <c r="B1836" s="526" t="s">
        <v>4491</v>
      </c>
      <c r="C1836" s="527">
        <v>254.0</v>
      </c>
      <c r="D1836" s="527">
        <v>353.45</v>
      </c>
      <c r="E1836" s="528">
        <v>1.3915</v>
      </c>
      <c r="F1836" s="36" t="s">
        <v>7798</v>
      </c>
      <c r="G1836" s="125" t="s">
        <v>913</v>
      </c>
      <c r="H1836" s="125" t="s">
        <v>7808</v>
      </c>
      <c r="I1836" t="s">
        <v>489</v>
      </c>
    </row>
    <row r="1837">
      <c r="A1837" s="125" t="s">
        <v>4496</v>
      </c>
      <c r="B1837" s="526" t="s">
        <v>4495</v>
      </c>
      <c r="C1837" s="527">
        <v>0.0</v>
      </c>
      <c r="D1837" s="527">
        <v>0.0</v>
      </c>
      <c r="F1837" s="36" t="s">
        <v>7798</v>
      </c>
      <c r="G1837" s="125" t="s">
        <v>913</v>
      </c>
      <c r="H1837" s="125" t="s">
        <v>7801</v>
      </c>
      <c r="I1837" t="s">
        <v>489</v>
      </c>
    </row>
    <row r="1838">
      <c r="A1838" s="125" t="s">
        <v>4498</v>
      </c>
      <c r="B1838" s="526" t="s">
        <v>4497</v>
      </c>
      <c r="C1838" s="527">
        <v>5.0</v>
      </c>
      <c r="D1838" s="527">
        <v>9.15</v>
      </c>
      <c r="E1838" s="528">
        <v>1.83</v>
      </c>
      <c r="F1838" s="36" t="s">
        <v>7798</v>
      </c>
      <c r="G1838" s="125" t="s">
        <v>913</v>
      </c>
      <c r="H1838" s="125" t="s">
        <v>7801</v>
      </c>
      <c r="I1838" t="s">
        <v>489</v>
      </c>
    </row>
    <row r="1839">
      <c r="A1839" s="125" t="s">
        <v>4500</v>
      </c>
      <c r="B1839" s="526" t="s">
        <v>4499</v>
      </c>
      <c r="C1839" s="527">
        <v>425.0</v>
      </c>
      <c r="D1839" s="527">
        <v>789.72</v>
      </c>
      <c r="E1839" s="528">
        <v>1.8582</v>
      </c>
      <c r="F1839" s="36" t="s">
        <v>7798</v>
      </c>
      <c r="G1839" s="125" t="s">
        <v>913</v>
      </c>
      <c r="H1839" s="125" t="s">
        <v>7808</v>
      </c>
      <c r="I1839" t="s">
        <v>489</v>
      </c>
    </row>
    <row r="1840">
      <c r="A1840" s="125" t="s">
        <v>4502</v>
      </c>
      <c r="B1840" s="526" t="s">
        <v>4501</v>
      </c>
      <c r="C1840" s="527">
        <v>536.0</v>
      </c>
      <c r="D1840" s="527">
        <v>981.67</v>
      </c>
      <c r="E1840" s="528">
        <v>1.8315</v>
      </c>
      <c r="F1840" s="36" t="s">
        <v>7798</v>
      </c>
      <c r="G1840" s="125" t="s">
        <v>913</v>
      </c>
      <c r="H1840" s="125" t="s">
        <v>7808</v>
      </c>
      <c r="I1840" t="s">
        <v>489</v>
      </c>
    </row>
    <row r="1841">
      <c r="A1841" s="125" t="s">
        <v>4504</v>
      </c>
      <c r="B1841" s="526" t="s">
        <v>4503</v>
      </c>
      <c r="C1841" s="527">
        <v>740.0</v>
      </c>
      <c r="D1841" s="527">
        <v>1566.15</v>
      </c>
      <c r="E1841" s="528">
        <v>2.1164</v>
      </c>
      <c r="F1841" s="36" t="s">
        <v>7798</v>
      </c>
      <c r="G1841" s="125" t="s">
        <v>913</v>
      </c>
      <c r="H1841" s="125" t="s">
        <v>7808</v>
      </c>
      <c r="I1841" t="s">
        <v>489</v>
      </c>
    </row>
    <row r="1842">
      <c r="A1842" s="125" t="s">
        <v>4506</v>
      </c>
      <c r="B1842" s="526" t="s">
        <v>4505</v>
      </c>
      <c r="C1842" s="527">
        <v>939.0</v>
      </c>
      <c r="D1842" s="527">
        <v>1987.34</v>
      </c>
      <c r="E1842" s="528">
        <v>2.1164</v>
      </c>
      <c r="F1842" s="36" t="s">
        <v>7798</v>
      </c>
      <c r="G1842" s="125" t="s">
        <v>913</v>
      </c>
      <c r="H1842" s="125" t="s">
        <v>7808</v>
      </c>
      <c r="I1842" t="s">
        <v>489</v>
      </c>
    </row>
    <row r="1843">
      <c r="A1843" s="125" t="s">
        <v>4508</v>
      </c>
      <c r="B1843" s="526" t="s">
        <v>4507</v>
      </c>
      <c r="C1843" s="527">
        <v>990.0</v>
      </c>
      <c r="D1843" s="527">
        <v>2095.29</v>
      </c>
      <c r="E1843" s="528">
        <v>2.1165</v>
      </c>
      <c r="F1843" s="36" t="s">
        <v>7798</v>
      </c>
      <c r="G1843" s="125" t="s">
        <v>913</v>
      </c>
      <c r="H1843" s="125" t="s">
        <v>7808</v>
      </c>
      <c r="I1843" t="s">
        <v>489</v>
      </c>
    </row>
    <row r="1844">
      <c r="A1844" s="125" t="s">
        <v>4510</v>
      </c>
      <c r="B1844" s="526" t="s">
        <v>4509</v>
      </c>
      <c r="C1844" s="527">
        <v>912.0</v>
      </c>
      <c r="D1844" s="527">
        <v>1930.19</v>
      </c>
      <c r="E1844" s="528">
        <v>2.1164</v>
      </c>
      <c r="F1844" s="36" t="s">
        <v>7798</v>
      </c>
      <c r="G1844" s="125" t="s">
        <v>913</v>
      </c>
      <c r="H1844" s="125" t="s">
        <v>7808</v>
      </c>
      <c r="I1844" t="s">
        <v>489</v>
      </c>
    </row>
    <row r="1845">
      <c r="A1845" s="125" t="s">
        <v>4512</v>
      </c>
      <c r="B1845" s="526" t="s">
        <v>4511</v>
      </c>
      <c r="C1845" s="527">
        <v>903.0</v>
      </c>
      <c r="D1845" s="527">
        <v>1911.14</v>
      </c>
      <c r="E1845" s="528">
        <v>2.1164</v>
      </c>
      <c r="F1845" s="36" t="s">
        <v>7798</v>
      </c>
      <c r="G1845" s="125" t="s">
        <v>913</v>
      </c>
      <c r="H1845" s="125" t="s">
        <v>7808</v>
      </c>
      <c r="I1845" t="s">
        <v>489</v>
      </c>
    </row>
    <row r="1846">
      <c r="A1846" s="125" t="s">
        <v>4514</v>
      </c>
      <c r="B1846" s="526" t="s">
        <v>4513</v>
      </c>
      <c r="C1846" s="527">
        <v>891.0</v>
      </c>
      <c r="D1846" s="527">
        <v>1885.74</v>
      </c>
      <c r="E1846" s="528">
        <v>2.1164</v>
      </c>
      <c r="F1846" s="36" t="s">
        <v>7798</v>
      </c>
      <c r="G1846" s="125" t="s">
        <v>913</v>
      </c>
      <c r="H1846" s="125" t="s">
        <v>7808</v>
      </c>
      <c r="I1846" t="s">
        <v>489</v>
      </c>
    </row>
    <row r="1847">
      <c r="A1847" s="125" t="s">
        <v>4516</v>
      </c>
      <c r="B1847" s="526" t="s">
        <v>4515</v>
      </c>
      <c r="C1847" s="527">
        <v>903.0</v>
      </c>
      <c r="D1847" s="527">
        <v>1911.14</v>
      </c>
      <c r="E1847" s="528">
        <v>2.1164</v>
      </c>
      <c r="F1847" s="36" t="s">
        <v>7798</v>
      </c>
      <c r="G1847" s="125" t="s">
        <v>913</v>
      </c>
      <c r="H1847" s="125" t="s">
        <v>7808</v>
      </c>
      <c r="I1847" t="s">
        <v>489</v>
      </c>
    </row>
    <row r="1848">
      <c r="A1848" s="125" t="s">
        <v>4518</v>
      </c>
      <c r="B1848" s="526" t="s">
        <v>4517</v>
      </c>
      <c r="C1848" s="527">
        <v>906.0</v>
      </c>
      <c r="D1848" s="527">
        <v>1917.48</v>
      </c>
      <c r="E1848" s="528">
        <v>2.1164</v>
      </c>
      <c r="F1848" s="36" t="s">
        <v>7798</v>
      </c>
      <c r="G1848" s="125" t="s">
        <v>913</v>
      </c>
      <c r="H1848" s="125" t="s">
        <v>7808</v>
      </c>
      <c r="I1848" t="s">
        <v>489</v>
      </c>
    </row>
    <row r="1849">
      <c r="A1849" s="125" t="s">
        <v>4520</v>
      </c>
      <c r="B1849" s="526" t="s">
        <v>4519</v>
      </c>
      <c r="C1849" s="527">
        <v>930.0</v>
      </c>
      <c r="D1849" s="527">
        <v>1968.3</v>
      </c>
      <c r="E1849" s="528">
        <v>2.1165</v>
      </c>
      <c r="F1849" s="36" t="s">
        <v>7798</v>
      </c>
      <c r="G1849" s="125" t="s">
        <v>913</v>
      </c>
      <c r="H1849" s="125" t="s">
        <v>7808</v>
      </c>
      <c r="I1849" t="s">
        <v>489</v>
      </c>
    </row>
    <row r="1850">
      <c r="A1850" s="125" t="s">
        <v>4522</v>
      </c>
      <c r="B1850" s="526" t="s">
        <v>4521</v>
      </c>
      <c r="C1850" s="527">
        <v>535.0</v>
      </c>
      <c r="D1850" s="527">
        <v>993.95</v>
      </c>
      <c r="E1850" s="528">
        <v>1.8579</v>
      </c>
      <c r="F1850" s="36" t="s">
        <v>7798</v>
      </c>
      <c r="G1850" s="125" t="s">
        <v>913</v>
      </c>
      <c r="H1850" s="125" t="s">
        <v>7808</v>
      </c>
      <c r="I1850" t="s">
        <v>489</v>
      </c>
    </row>
    <row r="1851">
      <c r="A1851" s="125" t="s">
        <v>4524</v>
      </c>
      <c r="B1851" s="526" t="s">
        <v>4523</v>
      </c>
      <c r="C1851" s="527">
        <v>499.0</v>
      </c>
      <c r="D1851" s="527">
        <v>913.74</v>
      </c>
      <c r="E1851" s="528">
        <v>1.8311</v>
      </c>
      <c r="F1851" s="36" t="s">
        <v>7798</v>
      </c>
      <c r="G1851" s="125" t="s">
        <v>913</v>
      </c>
      <c r="H1851" s="125" t="s">
        <v>7808</v>
      </c>
      <c r="I1851" t="s">
        <v>489</v>
      </c>
    </row>
    <row r="1852">
      <c r="A1852" s="125" t="s">
        <v>4526</v>
      </c>
      <c r="B1852" s="526" t="s">
        <v>4525</v>
      </c>
      <c r="C1852" s="527">
        <v>519.0</v>
      </c>
      <c r="D1852" s="527">
        <v>964.19</v>
      </c>
      <c r="E1852" s="528">
        <v>1.8578</v>
      </c>
      <c r="F1852" s="36" t="s">
        <v>7798</v>
      </c>
      <c r="G1852" s="125" t="s">
        <v>913</v>
      </c>
      <c r="H1852" s="125" t="s">
        <v>7808</v>
      </c>
      <c r="I1852" t="s">
        <v>489</v>
      </c>
    </row>
    <row r="1853">
      <c r="A1853" s="125" t="s">
        <v>4528</v>
      </c>
      <c r="B1853" s="526" t="s">
        <v>4527</v>
      </c>
      <c r="C1853" s="527">
        <v>144.0</v>
      </c>
      <c r="D1853" s="527">
        <v>267.75</v>
      </c>
      <c r="E1853" s="528">
        <v>1.8594</v>
      </c>
      <c r="F1853" s="36" t="s">
        <v>7798</v>
      </c>
      <c r="G1853" s="125" t="s">
        <v>913</v>
      </c>
      <c r="H1853" s="125" t="s">
        <v>7808</v>
      </c>
      <c r="I1853" t="s">
        <v>489</v>
      </c>
    </row>
    <row r="1854">
      <c r="A1854" s="125" t="s">
        <v>4530</v>
      </c>
      <c r="B1854" s="526" t="s">
        <v>4529</v>
      </c>
      <c r="C1854" s="527">
        <v>0.0</v>
      </c>
      <c r="D1854" s="527">
        <v>0.0</v>
      </c>
      <c r="F1854" s="36" t="s">
        <v>7798</v>
      </c>
      <c r="G1854" s="125" t="s">
        <v>913</v>
      </c>
      <c r="H1854" s="125" t="s">
        <v>7801</v>
      </c>
      <c r="I1854" t="s">
        <v>489</v>
      </c>
    </row>
    <row r="1855">
      <c r="A1855" s="125" t="s">
        <v>4532</v>
      </c>
      <c r="B1855" s="526" t="s">
        <v>4531</v>
      </c>
      <c r="C1855" s="527">
        <v>696.0</v>
      </c>
      <c r="D1855" s="527">
        <v>1292.94</v>
      </c>
      <c r="E1855" s="528">
        <v>1.8577</v>
      </c>
      <c r="F1855" s="36" t="s">
        <v>7798</v>
      </c>
      <c r="G1855" s="125" t="s">
        <v>913</v>
      </c>
      <c r="H1855" s="125" t="s">
        <v>7808</v>
      </c>
      <c r="I1855" t="s">
        <v>489</v>
      </c>
    </row>
    <row r="1856">
      <c r="A1856" s="125" t="s">
        <v>4534</v>
      </c>
      <c r="B1856" s="526" t="s">
        <v>4533</v>
      </c>
      <c r="C1856" s="527">
        <v>0.0</v>
      </c>
      <c r="D1856" s="527">
        <v>0.0</v>
      </c>
      <c r="F1856" s="36" t="s">
        <v>7798</v>
      </c>
      <c r="G1856" s="125" t="s">
        <v>913</v>
      </c>
      <c r="H1856" s="125" t="s">
        <v>7801</v>
      </c>
      <c r="I1856" t="s">
        <v>489</v>
      </c>
    </row>
    <row r="1857">
      <c r="A1857" s="125" t="s">
        <v>4538</v>
      </c>
      <c r="B1857" s="526" t="s">
        <v>4537</v>
      </c>
      <c r="C1857" s="527">
        <v>0.0</v>
      </c>
      <c r="D1857" s="527">
        <v>0.0</v>
      </c>
      <c r="F1857" s="36" t="s">
        <v>7798</v>
      </c>
      <c r="G1857" s="125" t="s">
        <v>913</v>
      </c>
      <c r="H1857" s="125" t="s">
        <v>7801</v>
      </c>
      <c r="I1857" t="s">
        <v>489</v>
      </c>
    </row>
    <row r="1858">
      <c r="A1858" s="125" t="s">
        <v>4540</v>
      </c>
      <c r="B1858" s="526" t="s">
        <v>4539</v>
      </c>
      <c r="C1858" s="527">
        <v>0.0</v>
      </c>
      <c r="D1858" s="527">
        <v>0.0</v>
      </c>
      <c r="F1858" s="36" t="s">
        <v>7798</v>
      </c>
      <c r="G1858" s="125" t="s">
        <v>893</v>
      </c>
      <c r="H1858" s="125" t="s">
        <v>7799</v>
      </c>
      <c r="I1858" t="s">
        <v>7888</v>
      </c>
    </row>
    <row r="1859">
      <c r="A1859" s="125" t="s">
        <v>4542</v>
      </c>
      <c r="B1859" s="526" t="s">
        <v>4541</v>
      </c>
      <c r="C1859" s="527">
        <v>0.0</v>
      </c>
      <c r="D1859" s="527">
        <v>0.0</v>
      </c>
      <c r="F1859" s="36" t="s">
        <v>7798</v>
      </c>
      <c r="G1859" s="125" t="s">
        <v>913</v>
      </c>
      <c r="H1859" s="125" t="s">
        <v>7801</v>
      </c>
      <c r="I1859" t="s">
        <v>489</v>
      </c>
    </row>
    <row r="1860">
      <c r="A1860" s="125" t="s">
        <v>4544</v>
      </c>
      <c r="B1860" s="526" t="s">
        <v>4543</v>
      </c>
      <c r="C1860" s="527">
        <v>559.0</v>
      </c>
      <c r="D1860" s="527">
        <v>1038.56</v>
      </c>
      <c r="E1860" s="528">
        <v>1.8579</v>
      </c>
      <c r="F1860" s="36" t="s">
        <v>7798</v>
      </c>
      <c r="G1860" s="125" t="s">
        <v>913</v>
      </c>
      <c r="H1860" s="125" t="s">
        <v>7808</v>
      </c>
      <c r="I1860" t="s">
        <v>489</v>
      </c>
    </row>
    <row r="1861">
      <c r="A1861" s="125" t="s">
        <v>4546</v>
      </c>
      <c r="B1861" s="526" t="s">
        <v>4545</v>
      </c>
      <c r="C1861" s="527">
        <v>483.0</v>
      </c>
      <c r="D1861" s="527">
        <v>897.41</v>
      </c>
      <c r="E1861" s="528">
        <v>1.858</v>
      </c>
      <c r="F1861" s="36" t="s">
        <v>7798</v>
      </c>
      <c r="G1861" s="125" t="s">
        <v>913</v>
      </c>
      <c r="H1861" s="125" t="s">
        <v>7808</v>
      </c>
      <c r="I1861" t="s">
        <v>489</v>
      </c>
    </row>
    <row r="1862">
      <c r="A1862" s="125" t="s">
        <v>4548</v>
      </c>
      <c r="B1862" s="526" t="s">
        <v>4547</v>
      </c>
      <c r="C1862" s="527">
        <v>186.0</v>
      </c>
      <c r="D1862" s="527">
        <v>340.33</v>
      </c>
      <c r="E1862" s="528">
        <v>1.8297</v>
      </c>
      <c r="F1862" s="36" t="s">
        <v>7798</v>
      </c>
      <c r="G1862" s="125" t="s">
        <v>913</v>
      </c>
      <c r="H1862" s="125" t="s">
        <v>7808</v>
      </c>
      <c r="I1862" t="s">
        <v>489</v>
      </c>
    </row>
    <row r="1863">
      <c r="A1863" s="125" t="s">
        <v>4550</v>
      </c>
      <c r="B1863" s="526" t="s">
        <v>4549</v>
      </c>
      <c r="C1863" s="527">
        <v>0.0</v>
      </c>
      <c r="D1863" s="527">
        <v>0.0</v>
      </c>
      <c r="F1863" s="36" t="s">
        <v>7798</v>
      </c>
      <c r="G1863" s="125" t="s">
        <v>913</v>
      </c>
      <c r="H1863" s="125" t="s">
        <v>7801</v>
      </c>
      <c r="I1863" t="s">
        <v>489</v>
      </c>
    </row>
    <row r="1864">
      <c r="A1864" s="125" t="s">
        <v>4552</v>
      </c>
      <c r="B1864" s="526" t="s">
        <v>4551</v>
      </c>
      <c r="C1864" s="527">
        <v>460.0</v>
      </c>
      <c r="D1864" s="527">
        <v>854.71</v>
      </c>
      <c r="E1864" s="528">
        <v>1.8581</v>
      </c>
      <c r="F1864" s="36" t="s">
        <v>7798</v>
      </c>
      <c r="G1864" s="125" t="s">
        <v>913</v>
      </c>
      <c r="H1864" s="125" t="s">
        <v>7808</v>
      </c>
      <c r="I1864" t="s">
        <v>489</v>
      </c>
    </row>
    <row r="1865">
      <c r="A1865" s="125" t="s">
        <v>4554</v>
      </c>
      <c r="B1865" s="526" t="s">
        <v>4553</v>
      </c>
      <c r="C1865" s="527">
        <v>0.0</v>
      </c>
      <c r="D1865" s="527">
        <v>0.0</v>
      </c>
      <c r="F1865" s="36" t="s">
        <v>7798</v>
      </c>
      <c r="G1865" s="125" t="s">
        <v>913</v>
      </c>
      <c r="H1865" s="125" t="s">
        <v>7801</v>
      </c>
      <c r="I1865" t="s">
        <v>489</v>
      </c>
    </row>
    <row r="1866">
      <c r="A1866" s="125" t="s">
        <v>4556</v>
      </c>
      <c r="B1866" s="526" t="s">
        <v>4555</v>
      </c>
      <c r="C1866" s="527">
        <v>4.0</v>
      </c>
      <c r="D1866" s="527">
        <v>6.11</v>
      </c>
      <c r="E1866" s="528">
        <v>1.5275</v>
      </c>
      <c r="F1866" s="36" t="s">
        <v>7798</v>
      </c>
      <c r="G1866" s="125" t="s">
        <v>913</v>
      </c>
      <c r="H1866" s="125" t="s">
        <v>7801</v>
      </c>
      <c r="I1866" t="s">
        <v>489</v>
      </c>
    </row>
    <row r="1867">
      <c r="A1867" s="125" t="s">
        <v>4558</v>
      </c>
      <c r="B1867" s="526" t="s">
        <v>4557</v>
      </c>
      <c r="C1867" s="527">
        <v>0.0</v>
      </c>
      <c r="D1867" s="527">
        <v>0.0</v>
      </c>
      <c r="F1867" s="36" t="s">
        <v>7798</v>
      </c>
      <c r="G1867" s="125" t="s">
        <v>913</v>
      </c>
      <c r="H1867" s="125" t="s">
        <v>7801</v>
      </c>
      <c r="I1867" t="s">
        <v>489</v>
      </c>
    </row>
    <row r="1868">
      <c r="A1868" s="125" t="s">
        <v>4560</v>
      </c>
      <c r="B1868" s="526" t="s">
        <v>4559</v>
      </c>
      <c r="C1868" s="527">
        <v>0.0</v>
      </c>
      <c r="D1868" s="527">
        <v>0.0</v>
      </c>
      <c r="F1868" s="36" t="s">
        <v>7798</v>
      </c>
      <c r="G1868" s="125" t="s">
        <v>913</v>
      </c>
      <c r="H1868" s="125" t="s">
        <v>7799</v>
      </c>
      <c r="I1868" t="s">
        <v>7888</v>
      </c>
    </row>
    <row r="1869">
      <c r="A1869" s="125" t="s">
        <v>4562</v>
      </c>
      <c r="B1869" s="526" t="s">
        <v>4561</v>
      </c>
      <c r="C1869" s="527">
        <v>1.0</v>
      </c>
      <c r="D1869" s="527">
        <v>1.81</v>
      </c>
      <c r="E1869" s="528">
        <v>1.81</v>
      </c>
      <c r="F1869" s="36" t="s">
        <v>7798</v>
      </c>
      <c r="G1869" s="125" t="s">
        <v>913</v>
      </c>
      <c r="H1869" s="125" t="s">
        <v>7801</v>
      </c>
      <c r="I1869" t="s">
        <v>489</v>
      </c>
    </row>
    <row r="1870">
      <c r="A1870" s="125" t="s">
        <v>4564</v>
      </c>
      <c r="B1870" s="526" t="s">
        <v>4563</v>
      </c>
      <c r="C1870" s="527">
        <v>562.0</v>
      </c>
      <c r="D1870" s="527">
        <v>1044.08</v>
      </c>
      <c r="E1870" s="528">
        <v>1.8578</v>
      </c>
      <c r="F1870" s="36" t="s">
        <v>7798</v>
      </c>
      <c r="G1870" s="125" t="s">
        <v>913</v>
      </c>
      <c r="H1870" s="125" t="s">
        <v>7808</v>
      </c>
      <c r="I1870" t="s">
        <v>489</v>
      </c>
    </row>
    <row r="1871">
      <c r="A1871" s="125" t="s">
        <v>4566</v>
      </c>
      <c r="B1871" s="526" t="s">
        <v>4565</v>
      </c>
      <c r="C1871" s="527">
        <v>0.0</v>
      </c>
      <c r="D1871" s="527">
        <v>0.0</v>
      </c>
      <c r="F1871" s="36" t="s">
        <v>7798</v>
      </c>
      <c r="G1871" s="125" t="s">
        <v>913</v>
      </c>
      <c r="H1871" s="125" t="s">
        <v>7801</v>
      </c>
      <c r="I1871" t="s">
        <v>489</v>
      </c>
    </row>
    <row r="1872">
      <c r="A1872" s="125" t="s">
        <v>4568</v>
      </c>
      <c r="B1872" s="526" t="s">
        <v>4567</v>
      </c>
      <c r="C1872" s="527">
        <v>153.0</v>
      </c>
      <c r="D1872" s="527">
        <v>274.69</v>
      </c>
      <c r="E1872" s="528">
        <v>1.7954</v>
      </c>
      <c r="F1872" s="36" t="s">
        <v>7798</v>
      </c>
      <c r="G1872" s="125" t="s">
        <v>913</v>
      </c>
      <c r="H1872" s="125" t="s">
        <v>7808</v>
      </c>
      <c r="I1872" t="s">
        <v>489</v>
      </c>
    </row>
    <row r="1873">
      <c r="A1873" s="125" t="s">
        <v>4570</v>
      </c>
      <c r="B1873" s="526" t="s">
        <v>4569</v>
      </c>
      <c r="C1873" s="527">
        <v>395.0</v>
      </c>
      <c r="D1873" s="527">
        <v>733.81</v>
      </c>
      <c r="E1873" s="528">
        <v>1.8577</v>
      </c>
      <c r="F1873" s="36" t="s">
        <v>7798</v>
      </c>
      <c r="G1873" s="125" t="s">
        <v>913</v>
      </c>
      <c r="H1873" s="125" t="s">
        <v>7808</v>
      </c>
      <c r="I1873" t="s">
        <v>489</v>
      </c>
    </row>
    <row r="1874">
      <c r="A1874" s="125" t="s">
        <v>4572</v>
      </c>
      <c r="B1874" s="526" t="s">
        <v>4571</v>
      </c>
      <c r="C1874" s="527">
        <v>489.0</v>
      </c>
      <c r="D1874" s="527">
        <v>895.54</v>
      </c>
      <c r="E1874" s="528">
        <v>1.8314</v>
      </c>
      <c r="F1874" s="36" t="s">
        <v>7798</v>
      </c>
      <c r="G1874" s="125" t="s">
        <v>913</v>
      </c>
      <c r="H1874" s="125" t="s">
        <v>7808</v>
      </c>
      <c r="I1874" t="s">
        <v>489</v>
      </c>
    </row>
    <row r="1875">
      <c r="A1875" s="125" t="s">
        <v>4574</v>
      </c>
      <c r="B1875" s="526" t="s">
        <v>4573</v>
      </c>
      <c r="C1875" s="527">
        <v>3.0</v>
      </c>
      <c r="D1875" s="527">
        <v>5.49</v>
      </c>
      <c r="E1875" s="528">
        <v>1.83</v>
      </c>
      <c r="F1875" s="36" t="s">
        <v>7798</v>
      </c>
      <c r="G1875" s="125" t="s">
        <v>913</v>
      </c>
      <c r="H1875" s="125" t="s">
        <v>7801</v>
      </c>
      <c r="I1875" t="s">
        <v>489</v>
      </c>
    </row>
    <row r="1876">
      <c r="A1876" s="125" t="s">
        <v>4576</v>
      </c>
      <c r="B1876" s="526" t="s">
        <v>4575</v>
      </c>
      <c r="C1876" s="527">
        <v>40.0</v>
      </c>
      <c r="D1876" s="527">
        <v>73.23</v>
      </c>
      <c r="E1876" s="528">
        <v>1.8308</v>
      </c>
      <c r="F1876" s="36" t="s">
        <v>7798</v>
      </c>
      <c r="G1876" s="125" t="s">
        <v>913</v>
      </c>
      <c r="H1876" s="125" t="s">
        <v>7808</v>
      </c>
      <c r="I1876" t="s">
        <v>489</v>
      </c>
    </row>
    <row r="1877">
      <c r="A1877" s="125" t="s">
        <v>4578</v>
      </c>
      <c r="B1877" s="526" t="s">
        <v>4577</v>
      </c>
      <c r="C1877" s="527">
        <v>430.0</v>
      </c>
      <c r="D1877" s="527">
        <v>787.26</v>
      </c>
      <c r="E1877" s="528">
        <v>1.8308</v>
      </c>
      <c r="F1877" s="36" t="s">
        <v>7798</v>
      </c>
      <c r="G1877" s="125" t="s">
        <v>913</v>
      </c>
      <c r="H1877" s="125" t="s">
        <v>7808</v>
      </c>
      <c r="I1877" t="s">
        <v>489</v>
      </c>
    </row>
    <row r="1878">
      <c r="A1878" s="125" t="s">
        <v>4580</v>
      </c>
      <c r="B1878" s="526" t="s">
        <v>4579</v>
      </c>
      <c r="C1878" s="527">
        <v>3.0</v>
      </c>
      <c r="D1878" s="527">
        <v>5.44</v>
      </c>
      <c r="E1878" s="528">
        <v>1.8133</v>
      </c>
      <c r="F1878" s="36" t="s">
        <v>7798</v>
      </c>
      <c r="G1878" s="125" t="s">
        <v>913</v>
      </c>
      <c r="H1878" s="125" t="s">
        <v>7801</v>
      </c>
      <c r="I1878" t="s">
        <v>489</v>
      </c>
    </row>
    <row r="1879">
      <c r="A1879" s="125" t="s">
        <v>4582</v>
      </c>
      <c r="B1879" s="526" t="s">
        <v>4581</v>
      </c>
      <c r="C1879" s="527">
        <v>713.0</v>
      </c>
      <c r="D1879" s="527">
        <v>1645.07</v>
      </c>
      <c r="E1879" s="528">
        <v>2.3073</v>
      </c>
      <c r="F1879" s="36" t="s">
        <v>7798</v>
      </c>
      <c r="G1879" s="125" t="s">
        <v>913</v>
      </c>
      <c r="H1879" s="125" t="s">
        <v>7808</v>
      </c>
      <c r="I1879" t="s">
        <v>489</v>
      </c>
    </row>
    <row r="1880">
      <c r="A1880" s="125" t="s">
        <v>4584</v>
      </c>
      <c r="B1880" s="526" t="s">
        <v>4583</v>
      </c>
      <c r="C1880" s="527">
        <v>1.0</v>
      </c>
      <c r="D1880" s="527">
        <v>309.05</v>
      </c>
      <c r="E1880" s="528">
        <v>309.05</v>
      </c>
      <c r="F1880" s="36" t="s">
        <v>7798</v>
      </c>
      <c r="G1880" s="125" t="s">
        <v>913</v>
      </c>
      <c r="H1880" s="125" t="s">
        <v>7808</v>
      </c>
      <c r="I1880" t="s">
        <v>489</v>
      </c>
    </row>
    <row r="1881">
      <c r="A1881" s="125" t="s">
        <v>4586</v>
      </c>
      <c r="B1881" s="526" t="s">
        <v>4585</v>
      </c>
      <c r="C1881" s="527">
        <v>60.0</v>
      </c>
      <c r="D1881" s="527">
        <v>5146.29</v>
      </c>
      <c r="E1881" s="528">
        <v>85.7715</v>
      </c>
      <c r="F1881" s="36" t="s">
        <v>7798</v>
      </c>
      <c r="G1881" s="125" t="s">
        <v>913</v>
      </c>
      <c r="H1881" s="125" t="s">
        <v>7808</v>
      </c>
      <c r="I1881" t="s">
        <v>45</v>
      </c>
    </row>
    <row r="1882">
      <c r="A1882" s="125" t="s">
        <v>4588</v>
      </c>
      <c r="B1882" s="526" t="s">
        <v>4587</v>
      </c>
      <c r="C1882" s="527">
        <v>0.0</v>
      </c>
      <c r="D1882" s="527">
        <v>0.0</v>
      </c>
      <c r="F1882" s="36" t="s">
        <v>7798</v>
      </c>
      <c r="G1882" s="125" t="s">
        <v>893</v>
      </c>
      <c r="H1882" s="125" t="s">
        <v>7799</v>
      </c>
      <c r="I1882" t="s">
        <v>53</v>
      </c>
    </row>
    <row r="1883">
      <c r="A1883" s="125" t="s">
        <v>4600</v>
      </c>
      <c r="B1883" s="526" t="s">
        <v>4599</v>
      </c>
      <c r="C1883" s="527">
        <v>0.0</v>
      </c>
      <c r="D1883" s="527">
        <v>0.0</v>
      </c>
      <c r="F1883" s="36" t="s">
        <v>7798</v>
      </c>
      <c r="G1883" s="125" t="s">
        <v>893</v>
      </c>
      <c r="H1883" s="125" t="s">
        <v>7799</v>
      </c>
      <c r="I1883" t="s">
        <v>33</v>
      </c>
    </row>
    <row r="1884">
      <c r="A1884" s="125" t="s">
        <v>263</v>
      </c>
      <c r="B1884" s="526" t="s">
        <v>264</v>
      </c>
      <c r="C1884" s="527">
        <v>416.0</v>
      </c>
      <c r="D1884" s="527">
        <v>1978.88</v>
      </c>
      <c r="E1884" s="528">
        <v>4.7569</v>
      </c>
      <c r="F1884" s="36" t="s">
        <v>7798</v>
      </c>
      <c r="G1884" s="125" t="s">
        <v>913</v>
      </c>
      <c r="H1884" s="125" t="s">
        <v>569</v>
      </c>
      <c r="I1884" t="s">
        <v>262</v>
      </c>
    </row>
    <row r="1885">
      <c r="A1885" s="125" t="s">
        <v>4602</v>
      </c>
      <c r="B1885" s="526" t="s">
        <v>4601</v>
      </c>
      <c r="C1885" s="527">
        <v>0.0</v>
      </c>
      <c r="D1885" s="527">
        <v>0.0</v>
      </c>
      <c r="F1885" s="36" t="s">
        <v>7798</v>
      </c>
      <c r="G1885" s="125" t="s">
        <v>893</v>
      </c>
      <c r="H1885" s="125" t="s">
        <v>7799</v>
      </c>
      <c r="I1885" t="s">
        <v>262</v>
      </c>
    </row>
    <row r="1886">
      <c r="A1886" s="125" t="s">
        <v>265</v>
      </c>
      <c r="B1886" s="526" t="s">
        <v>266</v>
      </c>
      <c r="C1886" s="527">
        <v>595.0</v>
      </c>
      <c r="D1886" s="527">
        <v>2829.84</v>
      </c>
      <c r="E1886" s="528">
        <v>4.756</v>
      </c>
      <c r="F1886" s="36" t="s">
        <v>7798</v>
      </c>
      <c r="G1886" s="125" t="s">
        <v>913</v>
      </c>
      <c r="H1886" s="125" t="s">
        <v>569</v>
      </c>
      <c r="I1886" t="s">
        <v>262</v>
      </c>
    </row>
    <row r="1887">
      <c r="A1887" s="125" t="s">
        <v>4604</v>
      </c>
      <c r="B1887" s="526" t="s">
        <v>4603</v>
      </c>
      <c r="C1887" s="527">
        <v>0.0</v>
      </c>
      <c r="D1887" s="527">
        <v>0.0</v>
      </c>
      <c r="F1887" s="36" t="s">
        <v>7798</v>
      </c>
      <c r="G1887" s="125" t="s">
        <v>893</v>
      </c>
      <c r="H1887" s="125" t="s">
        <v>7799</v>
      </c>
      <c r="I1887" t="s">
        <v>262</v>
      </c>
    </row>
    <row r="1888">
      <c r="A1888" s="125" t="s">
        <v>4606</v>
      </c>
      <c r="B1888" s="526" t="s">
        <v>4605</v>
      </c>
      <c r="C1888" s="527">
        <v>115.0</v>
      </c>
      <c r="D1888" s="527">
        <v>554.69</v>
      </c>
      <c r="E1888" s="528">
        <v>4.8234</v>
      </c>
      <c r="F1888" s="36" t="s">
        <v>7798</v>
      </c>
      <c r="G1888" s="125" t="s">
        <v>913</v>
      </c>
      <c r="H1888" s="125" t="s">
        <v>7801</v>
      </c>
      <c r="I1888" t="s">
        <v>262</v>
      </c>
    </row>
    <row r="1889">
      <c r="A1889" s="125" t="s">
        <v>269</v>
      </c>
      <c r="B1889" s="526" t="s">
        <v>270</v>
      </c>
      <c r="C1889" s="527">
        <v>346.0</v>
      </c>
      <c r="D1889" s="527">
        <v>1848.09</v>
      </c>
      <c r="E1889" s="528">
        <v>5.3413</v>
      </c>
      <c r="F1889" s="36" t="s">
        <v>7798</v>
      </c>
      <c r="G1889" s="125" t="s">
        <v>913</v>
      </c>
      <c r="H1889" s="125" t="s">
        <v>569</v>
      </c>
      <c r="I1889" t="s">
        <v>262</v>
      </c>
    </row>
    <row r="1890">
      <c r="A1890" s="125" t="s">
        <v>4608</v>
      </c>
      <c r="B1890" s="526" t="s">
        <v>4607</v>
      </c>
      <c r="C1890" s="527">
        <v>0.0</v>
      </c>
      <c r="D1890" s="527">
        <v>0.0</v>
      </c>
      <c r="F1890" s="36" t="s">
        <v>7798</v>
      </c>
      <c r="G1890" s="125" t="s">
        <v>893</v>
      </c>
      <c r="H1890" s="125" t="s">
        <v>7801</v>
      </c>
      <c r="I1890" t="s">
        <v>262</v>
      </c>
    </row>
    <row r="1891">
      <c r="A1891" s="125" t="s">
        <v>4610</v>
      </c>
      <c r="B1891" s="526" t="s">
        <v>4609</v>
      </c>
      <c r="C1891" s="527">
        <v>0.0</v>
      </c>
      <c r="D1891" s="527">
        <v>0.0</v>
      </c>
      <c r="F1891" s="36" t="s">
        <v>7798</v>
      </c>
      <c r="G1891" s="125" t="s">
        <v>893</v>
      </c>
      <c r="H1891" s="125" t="s">
        <v>7799</v>
      </c>
      <c r="I1891" t="s">
        <v>262</v>
      </c>
    </row>
    <row r="1892">
      <c r="A1892" s="125" t="s">
        <v>267</v>
      </c>
      <c r="B1892" s="526" t="s">
        <v>268</v>
      </c>
      <c r="C1892" s="527">
        <v>253.0</v>
      </c>
      <c r="D1892" s="527">
        <v>1351.26</v>
      </c>
      <c r="E1892" s="528">
        <v>5.3409</v>
      </c>
      <c r="F1892" s="36" t="s">
        <v>7798</v>
      </c>
      <c r="G1892" s="125" t="s">
        <v>913</v>
      </c>
      <c r="H1892" s="125" t="s">
        <v>569</v>
      </c>
      <c r="I1892" t="s">
        <v>262</v>
      </c>
    </row>
    <row r="1893">
      <c r="A1893" s="125" t="s">
        <v>578</v>
      </c>
      <c r="B1893" s="526" t="s">
        <v>579</v>
      </c>
      <c r="C1893" s="527">
        <v>325.0</v>
      </c>
      <c r="D1893" s="527">
        <v>1545.85</v>
      </c>
      <c r="E1893" s="528">
        <v>4.7565</v>
      </c>
      <c r="F1893" s="36" t="s">
        <v>7798</v>
      </c>
      <c r="G1893" s="125" t="s">
        <v>913</v>
      </c>
      <c r="H1893" s="125" t="s">
        <v>569</v>
      </c>
      <c r="I1893" t="s">
        <v>262</v>
      </c>
    </row>
    <row r="1894">
      <c r="A1894" s="125" t="s">
        <v>271</v>
      </c>
      <c r="B1894" s="526" t="s">
        <v>272</v>
      </c>
      <c r="C1894" s="527">
        <v>392.0</v>
      </c>
      <c r="D1894" s="527">
        <v>2093.84</v>
      </c>
      <c r="E1894" s="528">
        <v>5.3414</v>
      </c>
      <c r="F1894" s="36" t="s">
        <v>7798</v>
      </c>
      <c r="G1894" s="125" t="s">
        <v>913</v>
      </c>
      <c r="H1894" s="125" t="s">
        <v>7801</v>
      </c>
      <c r="I1894" t="s">
        <v>262</v>
      </c>
    </row>
    <row r="1895">
      <c r="A1895" s="125" t="s">
        <v>4612</v>
      </c>
      <c r="B1895" s="526" t="s">
        <v>4611</v>
      </c>
      <c r="C1895" s="527">
        <v>55.0</v>
      </c>
      <c r="D1895" s="527">
        <v>265.5</v>
      </c>
      <c r="E1895" s="528">
        <v>4.8273</v>
      </c>
      <c r="F1895" s="36" t="s">
        <v>7798</v>
      </c>
      <c r="G1895" s="125" t="s">
        <v>913</v>
      </c>
      <c r="H1895" s="125" t="s">
        <v>7801</v>
      </c>
      <c r="I1895" t="s">
        <v>262</v>
      </c>
    </row>
    <row r="1896">
      <c r="A1896" s="125" t="s">
        <v>4614</v>
      </c>
      <c r="B1896" s="526" t="s">
        <v>4613</v>
      </c>
      <c r="C1896" s="527">
        <v>0.0</v>
      </c>
      <c r="D1896" s="527">
        <v>0.0</v>
      </c>
      <c r="F1896" s="36" t="s">
        <v>7798</v>
      </c>
      <c r="G1896" s="125" t="s">
        <v>893</v>
      </c>
      <c r="H1896" s="125" t="s">
        <v>7799</v>
      </c>
      <c r="I1896" t="s">
        <v>262</v>
      </c>
    </row>
    <row r="1897">
      <c r="A1897" s="125" t="s">
        <v>4616</v>
      </c>
      <c r="B1897" s="526" t="s">
        <v>4615</v>
      </c>
      <c r="C1897" s="527">
        <v>0.0</v>
      </c>
      <c r="D1897" s="527">
        <v>0.0</v>
      </c>
      <c r="F1897" s="36" t="s">
        <v>7798</v>
      </c>
      <c r="G1897" s="125" t="s">
        <v>893</v>
      </c>
      <c r="H1897" s="125" t="s">
        <v>7799</v>
      </c>
      <c r="I1897" t="s">
        <v>262</v>
      </c>
    </row>
    <row r="1898">
      <c r="A1898" s="125" t="s">
        <v>4618</v>
      </c>
      <c r="B1898" s="526" t="s">
        <v>4617</v>
      </c>
      <c r="C1898" s="527">
        <v>0.0</v>
      </c>
      <c r="D1898" s="527">
        <v>0.0</v>
      </c>
      <c r="F1898" s="36" t="s">
        <v>7798</v>
      </c>
      <c r="G1898" s="125" t="s">
        <v>893</v>
      </c>
      <c r="H1898" s="125" t="s">
        <v>7799</v>
      </c>
      <c r="I1898" t="s">
        <v>262</v>
      </c>
    </row>
    <row r="1899">
      <c r="A1899" s="125" t="s">
        <v>4620</v>
      </c>
      <c r="B1899" s="526" t="s">
        <v>4619</v>
      </c>
      <c r="C1899" s="527">
        <v>0.0</v>
      </c>
      <c r="D1899" s="527">
        <v>0.0</v>
      </c>
      <c r="F1899" s="36" t="s">
        <v>7798</v>
      </c>
      <c r="G1899" s="125" t="s">
        <v>893</v>
      </c>
      <c r="H1899" s="125" t="s">
        <v>7801</v>
      </c>
      <c r="I1899" t="s">
        <v>262</v>
      </c>
    </row>
    <row r="1900">
      <c r="A1900" s="125" t="s">
        <v>4622</v>
      </c>
      <c r="B1900" s="526" t="s">
        <v>4621</v>
      </c>
      <c r="C1900" s="527">
        <v>0.0</v>
      </c>
      <c r="D1900" s="527">
        <v>0.0</v>
      </c>
      <c r="F1900" s="36" t="s">
        <v>7798</v>
      </c>
      <c r="G1900" s="125" t="s">
        <v>913</v>
      </c>
      <c r="H1900" s="125" t="s">
        <v>7801</v>
      </c>
      <c r="I1900" t="s">
        <v>262</v>
      </c>
    </row>
    <row r="1901">
      <c r="A1901" s="125" t="s">
        <v>4648</v>
      </c>
      <c r="B1901" s="526" t="s">
        <v>4647</v>
      </c>
      <c r="C1901" s="527">
        <v>0.0</v>
      </c>
      <c r="D1901" s="527">
        <v>0.0</v>
      </c>
      <c r="F1901" s="36" t="s">
        <v>7798</v>
      </c>
      <c r="G1901" s="125" t="s">
        <v>893</v>
      </c>
      <c r="H1901" s="125" t="s">
        <v>7799</v>
      </c>
      <c r="I1901" t="s">
        <v>7804</v>
      </c>
    </row>
    <row r="1902">
      <c r="A1902" s="125" t="s">
        <v>4650</v>
      </c>
      <c r="B1902" s="526" t="s">
        <v>4649</v>
      </c>
      <c r="C1902" s="527">
        <v>0.0</v>
      </c>
      <c r="D1902" s="527">
        <v>0.0</v>
      </c>
      <c r="F1902" s="36" t="s">
        <v>7798</v>
      </c>
      <c r="G1902" s="125" t="s">
        <v>893</v>
      </c>
      <c r="H1902" s="125" t="s">
        <v>7799</v>
      </c>
      <c r="I1902" t="s">
        <v>7804</v>
      </c>
    </row>
    <row r="1903">
      <c r="A1903" s="125" t="s">
        <v>4652</v>
      </c>
      <c r="B1903" s="526" t="s">
        <v>4651</v>
      </c>
      <c r="C1903" s="527">
        <v>0.0</v>
      </c>
      <c r="D1903" s="527">
        <v>0.0</v>
      </c>
      <c r="F1903" s="36" t="s">
        <v>7798</v>
      </c>
      <c r="G1903" s="125" t="s">
        <v>893</v>
      </c>
      <c r="H1903" s="125" t="s">
        <v>7799</v>
      </c>
      <c r="I1903" t="s">
        <v>7804</v>
      </c>
    </row>
    <row r="1904">
      <c r="A1904" s="125" t="s">
        <v>4654</v>
      </c>
      <c r="B1904" s="526" t="s">
        <v>4653</v>
      </c>
      <c r="C1904" s="527">
        <v>0.0</v>
      </c>
      <c r="D1904" s="527">
        <v>0.0</v>
      </c>
      <c r="F1904" s="36" t="s">
        <v>7798</v>
      </c>
      <c r="G1904" s="125" t="s">
        <v>893</v>
      </c>
      <c r="H1904" s="125" t="s">
        <v>7799</v>
      </c>
      <c r="I1904" t="s">
        <v>7804</v>
      </c>
    </row>
    <row r="1905">
      <c r="A1905" s="125" t="s">
        <v>4656</v>
      </c>
      <c r="B1905" s="526" t="s">
        <v>4655</v>
      </c>
      <c r="C1905" s="527">
        <v>0.0</v>
      </c>
      <c r="D1905" s="527">
        <v>0.0</v>
      </c>
      <c r="F1905" s="36" t="s">
        <v>7798</v>
      </c>
      <c r="G1905" s="125" t="s">
        <v>893</v>
      </c>
      <c r="H1905" s="125" t="s">
        <v>7799</v>
      </c>
      <c r="I1905" t="s">
        <v>7804</v>
      </c>
    </row>
    <row r="1906">
      <c r="A1906" s="125" t="s">
        <v>4658</v>
      </c>
      <c r="B1906" s="526" t="s">
        <v>4657</v>
      </c>
      <c r="C1906" s="527">
        <v>0.0</v>
      </c>
      <c r="D1906" s="527">
        <v>0.0</v>
      </c>
      <c r="F1906" s="36" t="s">
        <v>7798</v>
      </c>
      <c r="G1906" s="125" t="s">
        <v>893</v>
      </c>
      <c r="H1906" s="125" t="s">
        <v>7799</v>
      </c>
      <c r="I1906" t="s">
        <v>7823</v>
      </c>
    </row>
    <row r="1907">
      <c r="A1907" s="125" t="s">
        <v>4660</v>
      </c>
      <c r="B1907" s="526" t="s">
        <v>4659</v>
      </c>
      <c r="C1907" s="527">
        <v>0.0</v>
      </c>
      <c r="D1907" s="527">
        <v>0.0</v>
      </c>
      <c r="F1907" s="36" t="s">
        <v>7798</v>
      </c>
      <c r="G1907" s="125" t="s">
        <v>893</v>
      </c>
      <c r="H1907" s="125" t="s">
        <v>7799</v>
      </c>
      <c r="I1907" t="s">
        <v>7823</v>
      </c>
    </row>
    <row r="1908">
      <c r="A1908" s="125" t="s">
        <v>4666</v>
      </c>
      <c r="B1908" s="526" t="s">
        <v>4665</v>
      </c>
      <c r="C1908" s="527">
        <v>0.0</v>
      </c>
      <c r="D1908" s="527">
        <v>0.0</v>
      </c>
      <c r="F1908" s="36" t="s">
        <v>7798</v>
      </c>
      <c r="G1908" s="125" t="s">
        <v>893</v>
      </c>
      <c r="H1908" s="125" t="s">
        <v>7799</v>
      </c>
      <c r="I1908" t="s">
        <v>7823</v>
      </c>
    </row>
    <row r="1909">
      <c r="A1909" s="125" t="s">
        <v>4670</v>
      </c>
      <c r="B1909" s="526" t="s">
        <v>4669</v>
      </c>
      <c r="C1909" s="527">
        <v>0.0</v>
      </c>
      <c r="D1909" s="527">
        <v>0.0</v>
      </c>
      <c r="F1909" s="36" t="s">
        <v>7798</v>
      </c>
      <c r="G1909" s="125" t="s">
        <v>893</v>
      </c>
      <c r="H1909" s="125" t="s">
        <v>7799</v>
      </c>
      <c r="I1909" t="s">
        <v>7823</v>
      </c>
    </row>
    <row r="1910">
      <c r="A1910" s="125" t="s">
        <v>4672</v>
      </c>
      <c r="B1910" s="526" t="s">
        <v>4671</v>
      </c>
      <c r="C1910" s="527">
        <v>0.0</v>
      </c>
      <c r="D1910" s="527">
        <v>0.0</v>
      </c>
      <c r="F1910" s="36" t="s">
        <v>7798</v>
      </c>
      <c r="G1910" s="125" t="s">
        <v>893</v>
      </c>
      <c r="H1910" s="125" t="s">
        <v>7799</v>
      </c>
      <c r="I1910" t="s">
        <v>7823</v>
      </c>
    </row>
    <row r="1911">
      <c r="A1911" s="125" t="s">
        <v>4676</v>
      </c>
      <c r="B1911" s="526" t="s">
        <v>4675</v>
      </c>
      <c r="C1911" s="527">
        <v>0.0</v>
      </c>
      <c r="D1911" s="527">
        <v>0.0</v>
      </c>
      <c r="F1911" s="36" t="s">
        <v>7798</v>
      </c>
      <c r="G1911" s="125" t="s">
        <v>893</v>
      </c>
      <c r="H1911" s="125" t="s">
        <v>7799</v>
      </c>
      <c r="I1911" t="s">
        <v>7823</v>
      </c>
    </row>
    <row r="1912">
      <c r="A1912" s="125" t="s">
        <v>4678</v>
      </c>
      <c r="B1912" s="526" t="s">
        <v>4677</v>
      </c>
      <c r="C1912" s="527">
        <v>0.0</v>
      </c>
      <c r="D1912" s="527">
        <v>0.0</v>
      </c>
      <c r="F1912" s="36" t="s">
        <v>7798</v>
      </c>
      <c r="G1912" s="125" t="s">
        <v>893</v>
      </c>
      <c r="H1912" s="125" t="s">
        <v>7799</v>
      </c>
      <c r="I1912" t="s">
        <v>7823</v>
      </c>
    </row>
    <row r="1913">
      <c r="A1913" s="125" t="s">
        <v>4680</v>
      </c>
      <c r="B1913" s="526" t="s">
        <v>4679</v>
      </c>
      <c r="C1913" s="527">
        <v>0.0</v>
      </c>
      <c r="D1913" s="527">
        <v>0.0</v>
      </c>
      <c r="F1913" s="36" t="s">
        <v>7798</v>
      </c>
      <c r="G1913" s="125" t="s">
        <v>893</v>
      </c>
      <c r="H1913" s="125" t="s">
        <v>7799</v>
      </c>
      <c r="I1913" t="s">
        <v>7823</v>
      </c>
    </row>
    <row r="1914">
      <c r="A1914" s="125" t="s">
        <v>4682</v>
      </c>
      <c r="B1914" s="526" t="s">
        <v>4681</v>
      </c>
      <c r="C1914" s="527">
        <v>0.0</v>
      </c>
      <c r="D1914" s="527">
        <v>0.0</v>
      </c>
      <c r="F1914" s="36" t="s">
        <v>7798</v>
      </c>
      <c r="G1914" s="125" t="s">
        <v>893</v>
      </c>
      <c r="H1914" s="125" t="s">
        <v>7799</v>
      </c>
      <c r="I1914" t="s">
        <v>7823</v>
      </c>
    </row>
    <row r="1915">
      <c r="A1915" s="125" t="s">
        <v>4684</v>
      </c>
      <c r="B1915" s="526" t="s">
        <v>4683</v>
      </c>
      <c r="C1915" s="527">
        <v>0.0</v>
      </c>
      <c r="D1915" s="527">
        <v>0.0</v>
      </c>
      <c r="F1915" s="36" t="s">
        <v>7798</v>
      </c>
      <c r="G1915" s="125" t="s">
        <v>893</v>
      </c>
      <c r="H1915" s="125" t="s">
        <v>7799</v>
      </c>
      <c r="I1915" t="s">
        <v>7823</v>
      </c>
    </row>
    <row r="1916">
      <c r="A1916" s="125" t="s">
        <v>4686</v>
      </c>
      <c r="B1916" s="526" t="s">
        <v>4685</v>
      </c>
      <c r="C1916" s="527">
        <v>0.0</v>
      </c>
      <c r="D1916" s="527">
        <v>0.0</v>
      </c>
      <c r="F1916" s="36" t="s">
        <v>7798</v>
      </c>
      <c r="G1916" s="125" t="s">
        <v>893</v>
      </c>
      <c r="H1916" s="125" t="s">
        <v>7799</v>
      </c>
      <c r="I1916" t="s">
        <v>7823</v>
      </c>
    </row>
    <row r="1917">
      <c r="A1917" s="125" t="s">
        <v>4688</v>
      </c>
      <c r="B1917" s="526" t="s">
        <v>4687</v>
      </c>
      <c r="C1917" s="527">
        <v>0.0</v>
      </c>
      <c r="D1917" s="527">
        <v>0.0</v>
      </c>
      <c r="F1917" s="36" t="s">
        <v>7798</v>
      </c>
      <c r="G1917" s="125" t="s">
        <v>893</v>
      </c>
      <c r="H1917" s="125" t="s">
        <v>7799</v>
      </c>
      <c r="I1917" t="s">
        <v>7823</v>
      </c>
    </row>
    <row r="1918">
      <c r="A1918" s="125" t="s">
        <v>4690</v>
      </c>
      <c r="B1918" s="526" t="s">
        <v>4689</v>
      </c>
      <c r="C1918" s="527">
        <v>0.0</v>
      </c>
      <c r="D1918" s="527">
        <v>0.0</v>
      </c>
      <c r="F1918" s="36" t="s">
        <v>7798</v>
      </c>
      <c r="G1918" s="125" t="s">
        <v>893</v>
      </c>
      <c r="H1918" s="125" t="s">
        <v>7799</v>
      </c>
      <c r="I1918" t="s">
        <v>7823</v>
      </c>
    </row>
    <row r="1919">
      <c r="A1919" s="125" t="s">
        <v>4694</v>
      </c>
      <c r="B1919" s="526" t="s">
        <v>4693</v>
      </c>
      <c r="C1919" s="527">
        <v>0.0</v>
      </c>
      <c r="D1919" s="527">
        <v>0.0</v>
      </c>
      <c r="F1919" s="36" t="s">
        <v>7798</v>
      </c>
      <c r="G1919" s="125" t="s">
        <v>893</v>
      </c>
      <c r="H1919" s="125" t="s">
        <v>7799</v>
      </c>
      <c r="I1919" t="s">
        <v>7823</v>
      </c>
    </row>
    <row r="1920">
      <c r="A1920" s="125" t="s">
        <v>4700</v>
      </c>
      <c r="B1920" s="526" t="s">
        <v>4699</v>
      </c>
      <c r="C1920" s="527">
        <v>0.0</v>
      </c>
      <c r="D1920" s="527">
        <v>0.0</v>
      </c>
      <c r="F1920" s="36" t="s">
        <v>7798</v>
      </c>
      <c r="G1920" s="125" t="s">
        <v>893</v>
      </c>
      <c r="H1920" s="125" t="s">
        <v>7799</v>
      </c>
      <c r="I1920" t="s">
        <v>7823</v>
      </c>
    </row>
    <row r="1921">
      <c r="A1921" s="125" t="s">
        <v>4702</v>
      </c>
      <c r="B1921" s="526" t="s">
        <v>4701</v>
      </c>
      <c r="C1921" s="527">
        <v>0.0</v>
      </c>
      <c r="D1921" s="527">
        <v>0.0</v>
      </c>
      <c r="F1921" s="36" t="s">
        <v>7798</v>
      </c>
      <c r="G1921" s="125" t="s">
        <v>893</v>
      </c>
      <c r="H1921" s="125" t="s">
        <v>7799</v>
      </c>
      <c r="I1921" t="s">
        <v>7823</v>
      </c>
    </row>
    <row r="1922">
      <c r="A1922" s="125" t="s">
        <v>4704</v>
      </c>
      <c r="B1922" s="526" t="s">
        <v>4703</v>
      </c>
      <c r="C1922" s="527">
        <v>0.0</v>
      </c>
      <c r="D1922" s="527">
        <v>0.0</v>
      </c>
      <c r="F1922" s="36" t="s">
        <v>7798</v>
      </c>
      <c r="G1922" s="125" t="s">
        <v>893</v>
      </c>
      <c r="H1922" s="125" t="s">
        <v>7799</v>
      </c>
      <c r="I1922" t="s">
        <v>7823</v>
      </c>
    </row>
    <row r="1923">
      <c r="A1923" s="125" t="s">
        <v>4706</v>
      </c>
      <c r="B1923" s="526" t="s">
        <v>4705</v>
      </c>
      <c r="C1923" s="527">
        <v>0.0</v>
      </c>
      <c r="D1923" s="527">
        <v>0.0</v>
      </c>
      <c r="F1923" s="36" t="s">
        <v>7798</v>
      </c>
      <c r="G1923" s="125" t="s">
        <v>893</v>
      </c>
      <c r="H1923" s="125" t="s">
        <v>7799</v>
      </c>
      <c r="I1923" t="s">
        <v>7823</v>
      </c>
    </row>
    <row r="1924">
      <c r="A1924" s="125" t="s">
        <v>4712</v>
      </c>
      <c r="B1924" s="526" t="s">
        <v>4711</v>
      </c>
      <c r="C1924" s="527">
        <v>0.0</v>
      </c>
      <c r="D1924" s="527">
        <v>0.0</v>
      </c>
      <c r="F1924" s="36" t="s">
        <v>7798</v>
      </c>
      <c r="G1924" s="125" t="s">
        <v>893</v>
      </c>
      <c r="H1924" s="125" t="s">
        <v>7799</v>
      </c>
      <c r="I1924" t="s">
        <v>7823</v>
      </c>
    </row>
    <row r="1925">
      <c r="A1925" s="125" t="s">
        <v>4714</v>
      </c>
      <c r="B1925" s="526" t="s">
        <v>4713</v>
      </c>
      <c r="C1925" s="527">
        <v>0.0</v>
      </c>
      <c r="D1925" s="527">
        <v>0.0</v>
      </c>
      <c r="F1925" s="36" t="s">
        <v>7798</v>
      </c>
      <c r="G1925" s="125" t="s">
        <v>893</v>
      </c>
      <c r="H1925" s="125" t="s">
        <v>7799</v>
      </c>
      <c r="I1925" t="s">
        <v>7823</v>
      </c>
    </row>
    <row r="1926">
      <c r="A1926" s="125" t="s">
        <v>4718</v>
      </c>
      <c r="B1926" s="526" t="s">
        <v>4717</v>
      </c>
      <c r="C1926" s="527">
        <v>0.0</v>
      </c>
      <c r="D1926" s="527">
        <v>0.0</v>
      </c>
      <c r="F1926" s="36" t="s">
        <v>7798</v>
      </c>
      <c r="G1926" s="125" t="s">
        <v>893</v>
      </c>
      <c r="H1926" s="125" t="s">
        <v>7799</v>
      </c>
      <c r="I1926" t="s">
        <v>7823</v>
      </c>
    </row>
    <row r="1927">
      <c r="A1927" s="125" t="s">
        <v>4720</v>
      </c>
      <c r="B1927" s="526" t="s">
        <v>4719</v>
      </c>
      <c r="C1927" s="527">
        <v>0.0</v>
      </c>
      <c r="D1927" s="527">
        <v>0.0</v>
      </c>
      <c r="F1927" s="36" t="s">
        <v>7798</v>
      </c>
      <c r="G1927" s="125" t="s">
        <v>893</v>
      </c>
      <c r="H1927" s="125" t="s">
        <v>7799</v>
      </c>
      <c r="I1927" t="s">
        <v>7823</v>
      </c>
    </row>
    <row r="1928">
      <c r="A1928" s="125" t="s">
        <v>4722</v>
      </c>
      <c r="B1928" s="526" t="s">
        <v>4721</v>
      </c>
      <c r="C1928" s="527">
        <v>0.0</v>
      </c>
      <c r="D1928" s="527">
        <v>0.0</v>
      </c>
      <c r="F1928" s="36" t="s">
        <v>7798</v>
      </c>
      <c r="G1928" s="125" t="s">
        <v>893</v>
      </c>
      <c r="H1928" s="125" t="s">
        <v>7799</v>
      </c>
      <c r="I1928" t="s">
        <v>7823</v>
      </c>
    </row>
    <row r="1929">
      <c r="A1929" s="125" t="s">
        <v>4726</v>
      </c>
      <c r="B1929" s="526" t="s">
        <v>4725</v>
      </c>
      <c r="C1929" s="527">
        <v>0.0</v>
      </c>
      <c r="D1929" s="527">
        <v>0.0</v>
      </c>
      <c r="F1929" s="36" t="s">
        <v>7798</v>
      </c>
      <c r="G1929" s="125" t="s">
        <v>893</v>
      </c>
      <c r="H1929" s="125" t="s">
        <v>7799</v>
      </c>
      <c r="I1929" t="s">
        <v>7823</v>
      </c>
    </row>
    <row r="1930">
      <c r="A1930" s="125" t="s">
        <v>4730</v>
      </c>
      <c r="B1930" s="526" t="s">
        <v>4729</v>
      </c>
      <c r="C1930" s="527">
        <v>0.0</v>
      </c>
      <c r="D1930" s="527">
        <v>0.0</v>
      </c>
      <c r="F1930" s="36" t="s">
        <v>7798</v>
      </c>
      <c r="G1930" s="125" t="s">
        <v>893</v>
      </c>
      <c r="H1930" s="125" t="s">
        <v>7799</v>
      </c>
      <c r="I1930" t="s">
        <v>7823</v>
      </c>
    </row>
    <row r="1931">
      <c r="A1931" s="125" t="s">
        <v>4734</v>
      </c>
      <c r="B1931" s="526" t="s">
        <v>4733</v>
      </c>
      <c r="C1931" s="527">
        <v>0.0</v>
      </c>
      <c r="D1931" s="527">
        <v>0.0</v>
      </c>
      <c r="F1931" s="36" t="s">
        <v>7798</v>
      </c>
      <c r="G1931" s="125" t="s">
        <v>893</v>
      </c>
      <c r="H1931" s="125" t="s">
        <v>7799</v>
      </c>
      <c r="I1931" t="s">
        <v>7823</v>
      </c>
    </row>
    <row r="1932">
      <c r="A1932" s="125" t="s">
        <v>4740</v>
      </c>
      <c r="B1932" s="526" t="s">
        <v>4739</v>
      </c>
      <c r="C1932" s="527">
        <v>20990.0</v>
      </c>
      <c r="D1932" s="527">
        <v>1890.03</v>
      </c>
      <c r="E1932" s="528">
        <v>0.09</v>
      </c>
      <c r="F1932" s="36" t="s">
        <v>7827</v>
      </c>
      <c r="G1932" s="125" t="s">
        <v>913</v>
      </c>
      <c r="H1932" s="125" t="s">
        <v>7840</v>
      </c>
    </row>
    <row r="1933">
      <c r="A1933" s="125" t="s">
        <v>4742</v>
      </c>
      <c r="B1933" s="526" t="s">
        <v>4741</v>
      </c>
      <c r="C1933" s="527">
        <v>0.0</v>
      </c>
      <c r="D1933" s="527">
        <v>0.0</v>
      </c>
      <c r="F1933" s="36" t="s">
        <v>7798</v>
      </c>
      <c r="G1933" s="125" t="s">
        <v>913</v>
      </c>
      <c r="H1933" s="125" t="s">
        <v>7821</v>
      </c>
      <c r="I1933" t="s">
        <v>7889</v>
      </c>
    </row>
    <row r="1934">
      <c r="A1934" s="125" t="s">
        <v>4746</v>
      </c>
      <c r="B1934" s="526" t="s">
        <v>4745</v>
      </c>
      <c r="C1934" s="527">
        <v>9.0</v>
      </c>
      <c r="D1934" s="527">
        <v>121.41</v>
      </c>
      <c r="E1934" s="528">
        <v>13.49</v>
      </c>
      <c r="F1934" s="36" t="s">
        <v>7798</v>
      </c>
      <c r="G1934" s="125" t="s">
        <v>913</v>
      </c>
      <c r="I1934" t="s">
        <v>45</v>
      </c>
    </row>
    <row r="1935">
      <c r="A1935" s="125" t="s">
        <v>4754</v>
      </c>
      <c r="B1935" s="526" t="s">
        <v>4753</v>
      </c>
      <c r="C1935" s="527">
        <v>0.0</v>
      </c>
      <c r="D1935" s="527">
        <v>0.0</v>
      </c>
      <c r="F1935" s="36" t="s">
        <v>7798</v>
      </c>
      <c r="G1935" s="125" t="s">
        <v>893</v>
      </c>
      <c r="H1935" s="125" t="s">
        <v>7799</v>
      </c>
      <c r="I1935" t="s">
        <v>7823</v>
      </c>
    </row>
    <row r="1936">
      <c r="A1936" s="125" t="s">
        <v>4756</v>
      </c>
      <c r="B1936" s="526" t="s">
        <v>4755</v>
      </c>
      <c r="C1936" s="527">
        <v>0.0</v>
      </c>
      <c r="D1936" s="527">
        <v>0.0</v>
      </c>
      <c r="F1936" s="36" t="s">
        <v>7798</v>
      </c>
      <c r="G1936" s="125" t="s">
        <v>893</v>
      </c>
      <c r="H1936" s="125" t="s">
        <v>7799</v>
      </c>
      <c r="I1936" t="s">
        <v>7823</v>
      </c>
    </row>
    <row r="1937">
      <c r="A1937" s="125" t="s">
        <v>4758</v>
      </c>
      <c r="B1937" s="526" t="s">
        <v>4757</v>
      </c>
      <c r="C1937" s="527">
        <v>0.0</v>
      </c>
      <c r="D1937" s="527">
        <v>0.0</v>
      </c>
      <c r="F1937" s="36" t="s">
        <v>7798</v>
      </c>
      <c r="G1937" s="125" t="s">
        <v>893</v>
      </c>
      <c r="H1937" s="125" t="s">
        <v>7799</v>
      </c>
      <c r="I1937" t="s">
        <v>7823</v>
      </c>
    </row>
    <row r="1938">
      <c r="A1938" s="125" t="s">
        <v>4760</v>
      </c>
      <c r="B1938" s="526" t="s">
        <v>4759</v>
      </c>
      <c r="C1938" s="527">
        <v>0.0</v>
      </c>
      <c r="D1938" s="527">
        <v>0.0</v>
      </c>
      <c r="F1938" s="36" t="s">
        <v>7798</v>
      </c>
      <c r="G1938" s="125" t="s">
        <v>893</v>
      </c>
      <c r="H1938" s="125" t="s">
        <v>7799</v>
      </c>
      <c r="I1938" t="s">
        <v>7823</v>
      </c>
    </row>
    <row r="1939">
      <c r="A1939" s="125" t="s">
        <v>4762</v>
      </c>
      <c r="B1939" s="526" t="s">
        <v>4761</v>
      </c>
      <c r="C1939" s="527">
        <v>0.0</v>
      </c>
      <c r="D1939" s="527">
        <v>0.0</v>
      </c>
      <c r="F1939" s="36" t="s">
        <v>7798</v>
      </c>
      <c r="G1939" s="125" t="s">
        <v>893</v>
      </c>
      <c r="H1939" s="125" t="s">
        <v>7799</v>
      </c>
      <c r="I1939" t="s">
        <v>7823</v>
      </c>
    </row>
    <row r="1940">
      <c r="A1940" s="125" t="s">
        <v>4764</v>
      </c>
      <c r="B1940" s="526" t="s">
        <v>4763</v>
      </c>
      <c r="C1940" s="527">
        <v>0.0</v>
      </c>
      <c r="D1940" s="527">
        <v>0.0</v>
      </c>
      <c r="F1940" s="36" t="s">
        <v>7798</v>
      </c>
      <c r="G1940" s="125" t="s">
        <v>893</v>
      </c>
      <c r="H1940" s="125" t="s">
        <v>7799</v>
      </c>
      <c r="I1940" t="s">
        <v>7804</v>
      </c>
    </row>
    <row r="1941">
      <c r="A1941" s="125" t="s">
        <v>4770</v>
      </c>
      <c r="B1941" s="526" t="s">
        <v>4769</v>
      </c>
      <c r="C1941" s="527">
        <v>0.0</v>
      </c>
      <c r="D1941" s="527">
        <v>0.0</v>
      </c>
      <c r="F1941" s="36" t="s">
        <v>7798</v>
      </c>
      <c r="G1941" s="125" t="s">
        <v>893</v>
      </c>
      <c r="H1941" s="125" t="s">
        <v>7799</v>
      </c>
      <c r="I1941" t="s">
        <v>7842</v>
      </c>
    </row>
    <row r="1942">
      <c r="A1942" s="125" t="s">
        <v>4779</v>
      </c>
      <c r="B1942" s="526" t="s">
        <v>4778</v>
      </c>
      <c r="C1942" s="527">
        <v>0.0</v>
      </c>
      <c r="D1942" s="527">
        <v>0.0</v>
      </c>
      <c r="F1942" s="36" t="s">
        <v>7798</v>
      </c>
      <c r="G1942" s="125" t="s">
        <v>893</v>
      </c>
      <c r="H1942" s="125" t="s">
        <v>7799</v>
      </c>
      <c r="I1942" t="s">
        <v>7826</v>
      </c>
    </row>
    <row r="1943">
      <c r="A1943" s="125" t="s">
        <v>4781</v>
      </c>
      <c r="B1943" s="526" t="s">
        <v>4780</v>
      </c>
      <c r="C1943" s="527">
        <v>0.0</v>
      </c>
      <c r="D1943" s="527">
        <v>0.0</v>
      </c>
      <c r="F1943" s="36" t="s">
        <v>7798</v>
      </c>
      <c r="G1943" s="125" t="s">
        <v>913</v>
      </c>
      <c r="H1943" s="125" t="s">
        <v>7808</v>
      </c>
      <c r="I1943" t="s">
        <v>45</v>
      </c>
    </row>
    <row r="1944">
      <c r="A1944" s="125" t="s">
        <v>274</v>
      </c>
      <c r="B1944" s="526" t="s">
        <v>275</v>
      </c>
      <c r="C1944" s="527">
        <v>344.0</v>
      </c>
      <c r="D1944" s="527">
        <v>861.74</v>
      </c>
      <c r="E1944" s="528">
        <v>2.5051</v>
      </c>
      <c r="F1944" s="36" t="s">
        <v>7798</v>
      </c>
      <c r="G1944" s="125" t="s">
        <v>913</v>
      </c>
      <c r="H1944" s="125" t="s">
        <v>569</v>
      </c>
      <c r="I1944" t="s">
        <v>273</v>
      </c>
    </row>
    <row r="1945">
      <c r="A1945" s="125" t="s">
        <v>4783</v>
      </c>
      <c r="B1945" s="526" t="s">
        <v>4782</v>
      </c>
      <c r="C1945" s="527">
        <v>681.0</v>
      </c>
      <c r="D1945" s="527">
        <v>1215.15</v>
      </c>
      <c r="E1945" s="528">
        <v>1.7844</v>
      </c>
      <c r="F1945" s="36" t="s">
        <v>7798</v>
      </c>
      <c r="G1945" s="125" t="s">
        <v>913</v>
      </c>
      <c r="H1945" s="125" t="s">
        <v>7808</v>
      </c>
      <c r="I1945" t="s">
        <v>273</v>
      </c>
    </row>
    <row r="1946">
      <c r="A1946" s="125" t="s">
        <v>4785</v>
      </c>
      <c r="B1946" s="526" t="s">
        <v>4784</v>
      </c>
      <c r="C1946" s="527">
        <v>796.0</v>
      </c>
      <c r="D1946" s="527">
        <v>1420.31</v>
      </c>
      <c r="E1946" s="528">
        <v>1.7843</v>
      </c>
      <c r="F1946" s="36" t="s">
        <v>7798</v>
      </c>
      <c r="G1946" s="125" t="s">
        <v>913</v>
      </c>
      <c r="H1946" s="125" t="s">
        <v>7808</v>
      </c>
      <c r="I1946" t="s">
        <v>273</v>
      </c>
    </row>
    <row r="1947">
      <c r="A1947" s="125" t="s">
        <v>4787</v>
      </c>
      <c r="B1947" s="526" t="s">
        <v>4786</v>
      </c>
      <c r="C1947" s="527">
        <v>315.0</v>
      </c>
      <c r="D1947" s="527">
        <v>561.89</v>
      </c>
      <c r="E1947" s="528">
        <v>1.7838</v>
      </c>
      <c r="F1947" s="36" t="s">
        <v>7798</v>
      </c>
      <c r="G1947" s="125" t="s">
        <v>913</v>
      </c>
      <c r="H1947" s="125" t="s">
        <v>7808</v>
      </c>
      <c r="I1947" t="s">
        <v>273</v>
      </c>
    </row>
    <row r="1948">
      <c r="A1948" s="125" t="s">
        <v>276</v>
      </c>
      <c r="B1948" s="526" t="s">
        <v>277</v>
      </c>
      <c r="C1948" s="527">
        <v>585.0</v>
      </c>
      <c r="D1948" s="527">
        <v>1463.49</v>
      </c>
      <c r="E1948" s="528">
        <v>2.5017</v>
      </c>
      <c r="F1948" s="36" t="s">
        <v>7798</v>
      </c>
      <c r="G1948" s="125" t="s">
        <v>913</v>
      </c>
      <c r="H1948" s="125" t="s">
        <v>569</v>
      </c>
      <c r="I1948" t="s">
        <v>273</v>
      </c>
    </row>
    <row r="1949">
      <c r="A1949" s="125" t="s">
        <v>4789</v>
      </c>
      <c r="B1949" s="526" t="s">
        <v>4788</v>
      </c>
      <c r="C1949" s="527">
        <v>363.0</v>
      </c>
      <c r="D1949" s="527">
        <v>733.73</v>
      </c>
      <c r="E1949" s="528">
        <v>2.0213</v>
      </c>
      <c r="F1949" s="36" t="s">
        <v>7798</v>
      </c>
      <c r="G1949" s="125" t="s">
        <v>913</v>
      </c>
      <c r="H1949" s="125" t="s">
        <v>7808</v>
      </c>
      <c r="I1949" t="s">
        <v>273</v>
      </c>
    </row>
    <row r="1950">
      <c r="A1950" s="125" t="s">
        <v>4791</v>
      </c>
      <c r="B1950" s="526" t="s">
        <v>4790</v>
      </c>
      <c r="C1950" s="527">
        <v>841.0</v>
      </c>
      <c r="D1950" s="527">
        <v>1701.31</v>
      </c>
      <c r="E1950" s="528">
        <v>2.023</v>
      </c>
      <c r="F1950" s="36" t="s">
        <v>7798</v>
      </c>
      <c r="G1950" s="125" t="s">
        <v>913</v>
      </c>
      <c r="H1950" s="125" t="s">
        <v>7801</v>
      </c>
      <c r="I1950" t="s">
        <v>273</v>
      </c>
    </row>
    <row r="1951">
      <c r="A1951" s="125" t="s">
        <v>4793</v>
      </c>
      <c r="B1951" s="526" t="s">
        <v>4792</v>
      </c>
      <c r="C1951" s="527">
        <v>370.0</v>
      </c>
      <c r="D1951" s="527">
        <v>660.06</v>
      </c>
      <c r="E1951" s="528">
        <v>1.7839</v>
      </c>
      <c r="F1951" s="36" t="s">
        <v>7798</v>
      </c>
      <c r="G1951" s="125" t="s">
        <v>913</v>
      </c>
      <c r="H1951" s="125" t="s">
        <v>7801</v>
      </c>
      <c r="I1951" t="s">
        <v>273</v>
      </c>
    </row>
    <row r="1952">
      <c r="A1952" s="125" t="s">
        <v>4795</v>
      </c>
      <c r="B1952" s="526" t="s">
        <v>4794</v>
      </c>
      <c r="C1952" s="527">
        <v>297.0</v>
      </c>
      <c r="D1952" s="527">
        <v>689.9</v>
      </c>
      <c r="E1952" s="528">
        <v>2.3229</v>
      </c>
      <c r="F1952" s="36" t="s">
        <v>7798</v>
      </c>
      <c r="G1952" s="125" t="s">
        <v>913</v>
      </c>
      <c r="H1952" s="125" t="s">
        <v>7808</v>
      </c>
      <c r="I1952" t="s">
        <v>273</v>
      </c>
    </row>
    <row r="1953">
      <c r="A1953" s="125" t="s">
        <v>4797</v>
      </c>
      <c r="B1953" s="526" t="s">
        <v>4796</v>
      </c>
      <c r="C1953" s="527">
        <v>408.0</v>
      </c>
      <c r="D1953" s="527">
        <v>948.21</v>
      </c>
      <c r="E1953" s="528">
        <v>2.324</v>
      </c>
      <c r="F1953" s="36" t="s">
        <v>7798</v>
      </c>
      <c r="G1953" s="125" t="s">
        <v>913</v>
      </c>
      <c r="H1953" s="125" t="s">
        <v>7801</v>
      </c>
      <c r="I1953" t="s">
        <v>273</v>
      </c>
    </row>
    <row r="1954">
      <c r="A1954" s="125" t="s">
        <v>4799</v>
      </c>
      <c r="B1954" s="526" t="s">
        <v>4798</v>
      </c>
      <c r="C1954" s="527">
        <v>377.0</v>
      </c>
      <c r="D1954" s="527">
        <v>876.16</v>
      </c>
      <c r="E1954" s="528">
        <v>2.324</v>
      </c>
      <c r="F1954" s="36" t="s">
        <v>7798</v>
      </c>
      <c r="G1954" s="125" t="s">
        <v>913</v>
      </c>
      <c r="H1954" s="125" t="s">
        <v>7808</v>
      </c>
      <c r="I1954" t="s">
        <v>273</v>
      </c>
    </row>
    <row r="1955">
      <c r="A1955" s="125" t="s">
        <v>4801</v>
      </c>
      <c r="B1955" s="526" t="s">
        <v>4800</v>
      </c>
      <c r="C1955" s="527">
        <v>579.0</v>
      </c>
      <c r="D1955" s="527">
        <v>1170.77</v>
      </c>
      <c r="E1955" s="528">
        <v>2.0221</v>
      </c>
      <c r="F1955" s="36" t="s">
        <v>7798</v>
      </c>
      <c r="G1955" s="125" t="s">
        <v>913</v>
      </c>
      <c r="H1955" s="125" t="s">
        <v>7801</v>
      </c>
      <c r="I1955" t="s">
        <v>273</v>
      </c>
    </row>
    <row r="1956">
      <c r="A1956" s="125" t="s">
        <v>4803</v>
      </c>
      <c r="B1956" s="526" t="s">
        <v>4802</v>
      </c>
      <c r="C1956" s="527">
        <v>0.0</v>
      </c>
      <c r="D1956" s="527">
        <v>0.0</v>
      </c>
      <c r="F1956" s="36" t="s">
        <v>7798</v>
      </c>
      <c r="G1956" s="125" t="s">
        <v>893</v>
      </c>
      <c r="H1956" s="125" t="s">
        <v>7799</v>
      </c>
      <c r="I1956" t="s">
        <v>273</v>
      </c>
    </row>
    <row r="1957">
      <c r="A1957" s="125" t="s">
        <v>4805</v>
      </c>
      <c r="B1957" s="526" t="s">
        <v>4804</v>
      </c>
      <c r="C1957" s="527">
        <v>564.0</v>
      </c>
      <c r="D1957" s="527">
        <v>1140.32</v>
      </c>
      <c r="E1957" s="528">
        <v>2.0218</v>
      </c>
      <c r="F1957" s="36" t="s">
        <v>7798</v>
      </c>
      <c r="G1957" s="125" t="s">
        <v>913</v>
      </c>
      <c r="H1957" s="125" t="s">
        <v>7808</v>
      </c>
      <c r="I1957" t="s">
        <v>273</v>
      </c>
    </row>
    <row r="1958">
      <c r="A1958" s="125" t="s">
        <v>4807</v>
      </c>
      <c r="B1958" s="526" t="s">
        <v>4806</v>
      </c>
      <c r="C1958" s="527">
        <v>0.0</v>
      </c>
      <c r="D1958" s="527">
        <v>0.0</v>
      </c>
      <c r="F1958" s="36" t="s">
        <v>7798</v>
      </c>
      <c r="G1958" s="125" t="s">
        <v>893</v>
      </c>
      <c r="H1958" s="125" t="s">
        <v>7799</v>
      </c>
      <c r="I1958" t="s">
        <v>273</v>
      </c>
    </row>
    <row r="1959">
      <c r="A1959" s="125" t="s">
        <v>4809</v>
      </c>
      <c r="B1959" s="526" t="s">
        <v>4808</v>
      </c>
      <c r="C1959" s="527">
        <v>0.0</v>
      </c>
      <c r="D1959" s="527">
        <v>0.0</v>
      </c>
      <c r="F1959" s="36" t="s">
        <v>7798</v>
      </c>
      <c r="G1959" s="125" t="s">
        <v>893</v>
      </c>
      <c r="H1959" s="125" t="s">
        <v>7799</v>
      </c>
      <c r="I1959" t="s">
        <v>273</v>
      </c>
    </row>
    <row r="1960">
      <c r="A1960" s="125" t="s">
        <v>4811</v>
      </c>
      <c r="B1960" s="526" t="s">
        <v>4810</v>
      </c>
      <c r="C1960" s="527">
        <v>0.0</v>
      </c>
      <c r="D1960" s="527">
        <v>0.0</v>
      </c>
      <c r="F1960" s="36" t="s">
        <v>7798</v>
      </c>
      <c r="G1960" s="125" t="s">
        <v>913</v>
      </c>
      <c r="H1960" s="125" t="s">
        <v>7808</v>
      </c>
      <c r="I1960" t="s">
        <v>273</v>
      </c>
    </row>
    <row r="1961">
      <c r="A1961" s="125" t="s">
        <v>4813</v>
      </c>
      <c r="B1961" s="526" t="s">
        <v>4812</v>
      </c>
      <c r="C1961" s="527">
        <v>4.0</v>
      </c>
      <c r="D1961" s="527">
        <v>46.16</v>
      </c>
      <c r="E1961" s="528">
        <v>11.54</v>
      </c>
      <c r="F1961" s="36" t="s">
        <v>7798</v>
      </c>
      <c r="G1961" s="125" t="s">
        <v>913</v>
      </c>
      <c r="I1961" t="s">
        <v>45</v>
      </c>
    </row>
    <row r="1962">
      <c r="A1962" s="125" t="s">
        <v>4915</v>
      </c>
      <c r="B1962" s="526" t="s">
        <v>4914</v>
      </c>
      <c r="C1962" s="527">
        <v>0.0</v>
      </c>
      <c r="D1962" s="527">
        <v>0.0</v>
      </c>
      <c r="F1962" s="36" t="s">
        <v>7798</v>
      </c>
      <c r="G1962" s="125" t="s">
        <v>893</v>
      </c>
      <c r="H1962" s="125" t="s">
        <v>7801</v>
      </c>
      <c r="I1962" t="s">
        <v>7806</v>
      </c>
    </row>
    <row r="1963">
      <c r="A1963" s="125" t="s">
        <v>4917</v>
      </c>
      <c r="B1963" s="526" t="s">
        <v>4916</v>
      </c>
      <c r="C1963" s="527">
        <v>0.0</v>
      </c>
      <c r="D1963" s="527">
        <v>0.0</v>
      </c>
      <c r="F1963" s="36" t="s">
        <v>7798</v>
      </c>
      <c r="G1963" s="125" t="s">
        <v>893</v>
      </c>
      <c r="H1963" s="125" t="s">
        <v>7801</v>
      </c>
      <c r="I1963" t="s">
        <v>7806</v>
      </c>
    </row>
    <row r="1964">
      <c r="A1964" s="125" t="s">
        <v>4919</v>
      </c>
      <c r="B1964" s="526" t="s">
        <v>4918</v>
      </c>
      <c r="C1964" s="527">
        <v>0.0</v>
      </c>
      <c r="D1964" s="527">
        <v>0.0</v>
      </c>
      <c r="F1964" s="36" t="s">
        <v>7798</v>
      </c>
      <c r="G1964" s="125" t="s">
        <v>893</v>
      </c>
      <c r="H1964" s="125" t="s">
        <v>7801</v>
      </c>
      <c r="I1964" t="s">
        <v>7806</v>
      </c>
    </row>
    <row r="1965">
      <c r="A1965" s="125" t="s">
        <v>4921</v>
      </c>
      <c r="B1965" s="526" t="s">
        <v>4920</v>
      </c>
      <c r="C1965" s="527">
        <v>0.0</v>
      </c>
      <c r="D1965" s="527">
        <v>0.0</v>
      </c>
      <c r="F1965" s="36" t="s">
        <v>7798</v>
      </c>
      <c r="G1965" s="125" t="s">
        <v>893</v>
      </c>
      <c r="H1965" s="125" t="s">
        <v>7801</v>
      </c>
      <c r="I1965" t="s">
        <v>7806</v>
      </c>
    </row>
    <row r="1966">
      <c r="A1966" s="125" t="s">
        <v>4923</v>
      </c>
      <c r="B1966" s="526" t="s">
        <v>4922</v>
      </c>
      <c r="C1966" s="527">
        <v>0.0</v>
      </c>
      <c r="D1966" s="527">
        <v>0.0</v>
      </c>
      <c r="F1966" s="36" t="s">
        <v>7798</v>
      </c>
      <c r="G1966" s="125" t="s">
        <v>893</v>
      </c>
      <c r="H1966" s="125" t="s">
        <v>7801</v>
      </c>
      <c r="I1966" t="s">
        <v>7806</v>
      </c>
    </row>
    <row r="1967">
      <c r="A1967" s="125" t="s">
        <v>4925</v>
      </c>
      <c r="B1967" s="526" t="s">
        <v>4924</v>
      </c>
      <c r="C1967" s="527">
        <v>0.0</v>
      </c>
      <c r="D1967" s="527">
        <v>0.0</v>
      </c>
      <c r="F1967" s="36" t="s">
        <v>7798</v>
      </c>
      <c r="G1967" s="125" t="s">
        <v>893</v>
      </c>
      <c r="H1967" s="125" t="s">
        <v>7801</v>
      </c>
      <c r="I1967" t="s">
        <v>7806</v>
      </c>
    </row>
    <row r="1968">
      <c r="A1968" s="125" t="s">
        <v>4927</v>
      </c>
      <c r="B1968" s="526" t="s">
        <v>4926</v>
      </c>
      <c r="C1968" s="527">
        <v>0.0</v>
      </c>
      <c r="D1968" s="527">
        <v>0.0</v>
      </c>
      <c r="F1968" s="36" t="s">
        <v>7798</v>
      </c>
      <c r="G1968" s="125" t="s">
        <v>893</v>
      </c>
      <c r="H1968" s="125" t="s">
        <v>7801</v>
      </c>
      <c r="I1968" t="s">
        <v>7806</v>
      </c>
    </row>
    <row r="1969">
      <c r="A1969" s="125" t="s">
        <v>4929</v>
      </c>
      <c r="B1969" s="526" t="s">
        <v>4928</v>
      </c>
      <c r="C1969" s="527">
        <v>0.0</v>
      </c>
      <c r="D1969" s="527">
        <v>0.0</v>
      </c>
      <c r="F1969" s="36" t="s">
        <v>7798</v>
      </c>
      <c r="G1969" s="125" t="s">
        <v>893</v>
      </c>
      <c r="H1969" s="125" t="s">
        <v>7801</v>
      </c>
      <c r="I1969" t="s">
        <v>7806</v>
      </c>
    </row>
    <row r="1970">
      <c r="A1970" s="125" t="s">
        <v>4931</v>
      </c>
      <c r="B1970" s="526" t="s">
        <v>4930</v>
      </c>
      <c r="C1970" s="527">
        <v>0.0</v>
      </c>
      <c r="D1970" s="527">
        <v>0.0</v>
      </c>
      <c r="F1970" s="36" t="s">
        <v>7798</v>
      </c>
      <c r="G1970" s="125" t="s">
        <v>893</v>
      </c>
      <c r="H1970" s="125" t="s">
        <v>7801</v>
      </c>
      <c r="I1970" t="s">
        <v>7806</v>
      </c>
    </row>
    <row r="1971">
      <c r="A1971" s="125" t="s">
        <v>4933</v>
      </c>
      <c r="B1971" s="526" t="s">
        <v>4932</v>
      </c>
      <c r="C1971" s="527">
        <v>0.0</v>
      </c>
      <c r="D1971" s="527">
        <v>0.0</v>
      </c>
      <c r="F1971" s="36" t="s">
        <v>7798</v>
      </c>
      <c r="G1971" s="125" t="s">
        <v>893</v>
      </c>
      <c r="H1971" s="125" t="s">
        <v>7801</v>
      </c>
      <c r="I1971" t="s">
        <v>7806</v>
      </c>
    </row>
    <row r="1972">
      <c r="A1972" s="125" t="s">
        <v>4935</v>
      </c>
      <c r="B1972" s="526" t="s">
        <v>4934</v>
      </c>
      <c r="C1972" s="527">
        <v>0.0</v>
      </c>
      <c r="D1972" s="527">
        <v>0.0</v>
      </c>
      <c r="F1972" s="36" t="s">
        <v>7807</v>
      </c>
      <c r="G1972" s="125" t="s">
        <v>893</v>
      </c>
      <c r="H1972" s="125" t="s">
        <v>7799</v>
      </c>
      <c r="I1972" t="s">
        <v>7806</v>
      </c>
    </row>
    <row r="1973">
      <c r="A1973" s="125" t="s">
        <v>4937</v>
      </c>
      <c r="B1973" s="526" t="s">
        <v>4936</v>
      </c>
      <c r="C1973" s="527">
        <v>0.0</v>
      </c>
      <c r="D1973" s="527">
        <v>0.0</v>
      </c>
      <c r="F1973" s="36" t="s">
        <v>7798</v>
      </c>
      <c r="G1973" s="125" t="s">
        <v>893</v>
      </c>
      <c r="H1973" s="125" t="s">
        <v>7799</v>
      </c>
      <c r="I1973" t="s">
        <v>45</v>
      </c>
    </row>
    <row r="1974">
      <c r="A1974" s="125" t="s">
        <v>4939</v>
      </c>
      <c r="B1974" s="526" t="s">
        <v>4938</v>
      </c>
      <c r="C1974" s="527">
        <v>0.0</v>
      </c>
      <c r="D1974" s="527">
        <v>0.0</v>
      </c>
      <c r="F1974" s="36" t="s">
        <v>7798</v>
      </c>
      <c r="G1974" s="125" t="s">
        <v>893</v>
      </c>
      <c r="H1974" s="125" t="s">
        <v>7799</v>
      </c>
      <c r="I1974" t="s">
        <v>45</v>
      </c>
    </row>
    <row r="1975">
      <c r="A1975" s="125" t="s">
        <v>4943</v>
      </c>
      <c r="B1975" s="526" t="s">
        <v>4942</v>
      </c>
      <c r="C1975" s="527">
        <v>0.0</v>
      </c>
      <c r="D1975" s="527">
        <v>0.0</v>
      </c>
      <c r="F1975" s="36" t="s">
        <v>7798</v>
      </c>
      <c r="G1975" s="125" t="s">
        <v>893</v>
      </c>
      <c r="H1975" s="125" t="s">
        <v>7799</v>
      </c>
      <c r="I1975" t="s">
        <v>7890</v>
      </c>
    </row>
    <row r="1976">
      <c r="A1976" s="125" t="s">
        <v>4945</v>
      </c>
      <c r="B1976" s="526" t="s">
        <v>4944</v>
      </c>
      <c r="C1976" s="527">
        <v>0.0</v>
      </c>
      <c r="D1976" s="527">
        <v>0.0</v>
      </c>
      <c r="F1976" s="36" t="s">
        <v>7798</v>
      </c>
      <c r="G1976" s="125" t="s">
        <v>893</v>
      </c>
      <c r="H1976" s="125" t="s">
        <v>7799</v>
      </c>
      <c r="I1976" t="s">
        <v>45</v>
      </c>
    </row>
    <row r="1977">
      <c r="A1977" s="125" t="s">
        <v>4947</v>
      </c>
      <c r="B1977" s="526" t="s">
        <v>4946</v>
      </c>
      <c r="C1977" s="527">
        <v>714.0</v>
      </c>
      <c r="D1977" s="527">
        <v>2399.63</v>
      </c>
      <c r="E1977" s="528">
        <v>3.3608</v>
      </c>
      <c r="F1977" s="36" t="s">
        <v>7798</v>
      </c>
      <c r="G1977" s="125" t="s">
        <v>913</v>
      </c>
      <c r="H1977" s="125" t="s">
        <v>7801</v>
      </c>
      <c r="I1977" t="s">
        <v>438</v>
      </c>
    </row>
    <row r="1978">
      <c r="A1978" s="125" t="s">
        <v>4955</v>
      </c>
      <c r="B1978" s="526" t="s">
        <v>4954</v>
      </c>
      <c r="C1978" s="527">
        <v>0.0</v>
      </c>
      <c r="D1978" s="527">
        <v>0.0</v>
      </c>
      <c r="F1978" s="36" t="s">
        <v>7798</v>
      </c>
      <c r="G1978" s="125" t="s">
        <v>893</v>
      </c>
      <c r="H1978" s="125" t="s">
        <v>7799</v>
      </c>
      <c r="I1978" t="s">
        <v>7890</v>
      </c>
    </row>
    <row r="1979">
      <c r="A1979" s="125" t="s">
        <v>4959</v>
      </c>
      <c r="B1979" s="526" t="s">
        <v>4958</v>
      </c>
      <c r="C1979" s="527">
        <v>0.0</v>
      </c>
      <c r="D1979" s="527">
        <v>0.0</v>
      </c>
      <c r="F1979" s="36" t="s">
        <v>7798</v>
      </c>
      <c r="G1979" s="125" t="s">
        <v>893</v>
      </c>
      <c r="H1979" s="125" t="s">
        <v>7799</v>
      </c>
      <c r="I1979" t="s">
        <v>7890</v>
      </c>
    </row>
    <row r="1980">
      <c r="A1980" s="125" t="s">
        <v>4961</v>
      </c>
      <c r="B1980" s="526" t="s">
        <v>4960</v>
      </c>
      <c r="C1980" s="527">
        <v>0.0</v>
      </c>
      <c r="D1980" s="527">
        <v>0.0</v>
      </c>
      <c r="F1980" s="36" t="s">
        <v>7798</v>
      </c>
      <c r="G1980" s="125" t="s">
        <v>893</v>
      </c>
      <c r="H1980" s="125" t="s">
        <v>7799</v>
      </c>
      <c r="I1980" t="s">
        <v>7890</v>
      </c>
    </row>
    <row r="1981">
      <c r="A1981" s="125" t="s">
        <v>4963</v>
      </c>
      <c r="B1981" s="526" t="s">
        <v>4962</v>
      </c>
      <c r="C1981" s="527">
        <v>0.0</v>
      </c>
      <c r="D1981" s="527">
        <v>0.0</v>
      </c>
      <c r="F1981" s="36" t="s">
        <v>7798</v>
      </c>
      <c r="G1981" s="125" t="s">
        <v>893</v>
      </c>
      <c r="H1981" s="125" t="s">
        <v>7799</v>
      </c>
      <c r="I1981" t="s">
        <v>7890</v>
      </c>
    </row>
    <row r="1982">
      <c r="A1982" s="125" t="s">
        <v>4965</v>
      </c>
      <c r="B1982" s="526" t="s">
        <v>4964</v>
      </c>
      <c r="C1982" s="527">
        <v>0.0</v>
      </c>
      <c r="D1982" s="527">
        <v>0.0</v>
      </c>
      <c r="F1982" s="36" t="s">
        <v>7798</v>
      </c>
      <c r="G1982" s="125" t="s">
        <v>893</v>
      </c>
      <c r="H1982" s="125" t="s">
        <v>7799</v>
      </c>
      <c r="I1982" t="s">
        <v>7890</v>
      </c>
    </row>
    <row r="1983">
      <c r="A1983" s="125" t="s">
        <v>4967</v>
      </c>
      <c r="B1983" s="526" t="s">
        <v>4966</v>
      </c>
      <c r="C1983" s="527">
        <v>0.0</v>
      </c>
      <c r="D1983" s="527">
        <v>0.0</v>
      </c>
      <c r="F1983" s="36" t="s">
        <v>7798</v>
      </c>
      <c r="G1983" s="125" t="s">
        <v>893</v>
      </c>
      <c r="H1983" s="125" t="s">
        <v>7799</v>
      </c>
      <c r="I1983" t="s">
        <v>7890</v>
      </c>
    </row>
    <row r="1984">
      <c r="A1984" s="125" t="s">
        <v>4969</v>
      </c>
      <c r="B1984" s="526" t="s">
        <v>4968</v>
      </c>
      <c r="C1984" s="527">
        <v>0.0</v>
      </c>
      <c r="D1984" s="527">
        <v>0.0</v>
      </c>
      <c r="F1984" s="36" t="s">
        <v>7798</v>
      </c>
      <c r="G1984" s="125" t="s">
        <v>893</v>
      </c>
      <c r="H1984" s="125" t="s">
        <v>7799</v>
      </c>
      <c r="I1984" t="s">
        <v>7890</v>
      </c>
    </row>
    <row r="1985">
      <c r="A1985" s="125" t="s">
        <v>4971</v>
      </c>
      <c r="B1985" s="526" t="s">
        <v>4970</v>
      </c>
      <c r="C1985" s="527">
        <v>0.0</v>
      </c>
      <c r="D1985" s="527">
        <v>0.0</v>
      </c>
      <c r="F1985" s="36" t="s">
        <v>7798</v>
      </c>
      <c r="G1985" s="125" t="s">
        <v>893</v>
      </c>
      <c r="H1985" s="125" t="s">
        <v>7799</v>
      </c>
      <c r="I1985" t="s">
        <v>7890</v>
      </c>
    </row>
    <row r="1986">
      <c r="A1986" s="125" t="s">
        <v>4973</v>
      </c>
      <c r="B1986" s="526" t="s">
        <v>4972</v>
      </c>
      <c r="C1986" s="527">
        <v>0.0</v>
      </c>
      <c r="D1986" s="527">
        <v>0.0</v>
      </c>
      <c r="F1986" s="36" t="s">
        <v>7798</v>
      </c>
      <c r="G1986" s="125" t="s">
        <v>893</v>
      </c>
      <c r="H1986" s="125" t="s">
        <v>7799</v>
      </c>
      <c r="I1986" t="s">
        <v>7890</v>
      </c>
    </row>
    <row r="1987">
      <c r="A1987" s="125" t="s">
        <v>4975</v>
      </c>
      <c r="B1987" s="526" t="s">
        <v>4974</v>
      </c>
      <c r="C1987" s="527">
        <v>0.0</v>
      </c>
      <c r="D1987" s="527">
        <v>0.0</v>
      </c>
      <c r="F1987" s="36" t="s">
        <v>7798</v>
      </c>
      <c r="G1987" s="125" t="s">
        <v>893</v>
      </c>
      <c r="H1987" s="125" t="s">
        <v>7799</v>
      </c>
      <c r="I1987" t="s">
        <v>7890</v>
      </c>
    </row>
    <row r="1988">
      <c r="A1988" s="125" t="s">
        <v>4977</v>
      </c>
      <c r="B1988" s="526" t="s">
        <v>4976</v>
      </c>
      <c r="C1988" s="527">
        <v>0.0</v>
      </c>
      <c r="D1988" s="527">
        <v>0.0</v>
      </c>
      <c r="F1988" s="36" t="s">
        <v>7798</v>
      </c>
      <c r="G1988" s="125" t="s">
        <v>893</v>
      </c>
      <c r="H1988" s="125" t="s">
        <v>7799</v>
      </c>
      <c r="I1988" t="s">
        <v>7890</v>
      </c>
    </row>
    <row r="1989">
      <c r="A1989" s="125" t="s">
        <v>4979</v>
      </c>
      <c r="B1989" s="526" t="s">
        <v>4978</v>
      </c>
      <c r="C1989" s="527">
        <v>0.0</v>
      </c>
      <c r="D1989" s="527">
        <v>0.0</v>
      </c>
      <c r="F1989" s="36" t="s">
        <v>7798</v>
      </c>
      <c r="G1989" s="125" t="s">
        <v>893</v>
      </c>
      <c r="H1989" s="125" t="s">
        <v>7799</v>
      </c>
      <c r="I1989" t="s">
        <v>7890</v>
      </c>
    </row>
    <row r="1990">
      <c r="A1990" s="125" t="s">
        <v>4981</v>
      </c>
      <c r="B1990" s="526" t="s">
        <v>4980</v>
      </c>
      <c r="C1990" s="527">
        <v>0.0</v>
      </c>
      <c r="D1990" s="527">
        <v>0.0</v>
      </c>
      <c r="F1990" s="36" t="s">
        <v>7798</v>
      </c>
      <c r="G1990" s="125" t="s">
        <v>893</v>
      </c>
      <c r="H1990" s="125" t="s">
        <v>7799</v>
      </c>
      <c r="I1990" t="s">
        <v>7890</v>
      </c>
    </row>
    <row r="1991">
      <c r="A1991" s="125" t="s">
        <v>4983</v>
      </c>
      <c r="B1991" s="526" t="s">
        <v>4982</v>
      </c>
      <c r="C1991" s="527">
        <v>0.0</v>
      </c>
      <c r="D1991" s="527">
        <v>0.0</v>
      </c>
      <c r="F1991" s="36" t="s">
        <v>7798</v>
      </c>
      <c r="G1991" s="125" t="s">
        <v>893</v>
      </c>
      <c r="H1991" s="125" t="s">
        <v>7799</v>
      </c>
      <c r="I1991" t="s">
        <v>7890</v>
      </c>
    </row>
    <row r="1992">
      <c r="A1992" s="125" t="s">
        <v>4985</v>
      </c>
      <c r="B1992" s="526" t="s">
        <v>4984</v>
      </c>
      <c r="C1992" s="527">
        <v>0.0</v>
      </c>
      <c r="D1992" s="527">
        <v>0.0</v>
      </c>
      <c r="F1992" s="36" t="s">
        <v>7798</v>
      </c>
      <c r="G1992" s="125" t="s">
        <v>893</v>
      </c>
      <c r="H1992" s="125" t="s">
        <v>7799</v>
      </c>
      <c r="I1992" t="s">
        <v>7890</v>
      </c>
    </row>
    <row r="1993">
      <c r="A1993" s="125" t="s">
        <v>4987</v>
      </c>
      <c r="B1993" s="526" t="s">
        <v>4986</v>
      </c>
      <c r="C1993" s="527">
        <v>0.0</v>
      </c>
      <c r="D1993" s="527">
        <v>0.0</v>
      </c>
      <c r="F1993" s="36" t="s">
        <v>7798</v>
      </c>
      <c r="G1993" s="125" t="s">
        <v>893</v>
      </c>
      <c r="H1993" s="125" t="s">
        <v>7799</v>
      </c>
      <c r="I1993" t="s">
        <v>7890</v>
      </c>
    </row>
    <row r="1994">
      <c r="A1994" s="125" t="s">
        <v>4989</v>
      </c>
      <c r="B1994" s="526" t="s">
        <v>4988</v>
      </c>
      <c r="C1994" s="527">
        <v>0.0</v>
      </c>
      <c r="D1994" s="527">
        <v>0.0</v>
      </c>
      <c r="F1994" s="36" t="s">
        <v>7798</v>
      </c>
      <c r="G1994" s="125" t="s">
        <v>893</v>
      </c>
      <c r="H1994" s="125" t="s">
        <v>7799</v>
      </c>
      <c r="I1994" t="s">
        <v>7890</v>
      </c>
    </row>
    <row r="1995">
      <c r="A1995" s="125" t="s">
        <v>4991</v>
      </c>
      <c r="B1995" s="526" t="s">
        <v>4990</v>
      </c>
      <c r="C1995" s="527">
        <v>0.0</v>
      </c>
      <c r="D1995" s="527">
        <v>0.0</v>
      </c>
      <c r="F1995" s="36" t="s">
        <v>7798</v>
      </c>
      <c r="G1995" s="125" t="s">
        <v>893</v>
      </c>
      <c r="H1995" s="125" t="s">
        <v>7799</v>
      </c>
      <c r="I1995" t="s">
        <v>7890</v>
      </c>
    </row>
    <row r="1996">
      <c r="A1996" s="125" t="s">
        <v>4993</v>
      </c>
      <c r="B1996" s="526" t="s">
        <v>4992</v>
      </c>
      <c r="C1996" s="527">
        <v>0.0</v>
      </c>
      <c r="D1996" s="527">
        <v>0.0</v>
      </c>
      <c r="F1996" s="36" t="s">
        <v>7798</v>
      </c>
      <c r="G1996" s="125" t="s">
        <v>893</v>
      </c>
      <c r="H1996" s="125" t="s">
        <v>7799</v>
      </c>
      <c r="I1996" t="s">
        <v>7890</v>
      </c>
    </row>
    <row r="1997">
      <c r="A1997" s="125" t="s">
        <v>4995</v>
      </c>
      <c r="B1997" s="526" t="s">
        <v>4994</v>
      </c>
      <c r="C1997" s="527">
        <v>0.0</v>
      </c>
      <c r="D1997" s="527">
        <v>0.0</v>
      </c>
      <c r="F1997" s="36" t="s">
        <v>7798</v>
      </c>
      <c r="G1997" s="125" t="s">
        <v>893</v>
      </c>
      <c r="H1997" s="125" t="s">
        <v>7799</v>
      </c>
      <c r="I1997" t="s">
        <v>7890</v>
      </c>
    </row>
    <row r="1998">
      <c r="A1998" s="125" t="s">
        <v>4997</v>
      </c>
      <c r="B1998" s="526" t="s">
        <v>4996</v>
      </c>
      <c r="C1998" s="527">
        <v>0.0</v>
      </c>
      <c r="D1998" s="527">
        <v>0.0</v>
      </c>
      <c r="F1998" s="36" t="s">
        <v>7798</v>
      </c>
      <c r="G1998" s="125" t="s">
        <v>893</v>
      </c>
      <c r="H1998" s="125" t="s">
        <v>7799</v>
      </c>
      <c r="I1998" t="s">
        <v>7890</v>
      </c>
    </row>
    <row r="1999">
      <c r="A1999" s="125" t="s">
        <v>4999</v>
      </c>
      <c r="B1999" s="526" t="s">
        <v>4998</v>
      </c>
      <c r="C1999" s="527">
        <v>0.0</v>
      </c>
      <c r="D1999" s="527">
        <v>0.0</v>
      </c>
      <c r="F1999" s="36" t="s">
        <v>7798</v>
      </c>
      <c r="G1999" s="125" t="s">
        <v>893</v>
      </c>
      <c r="H1999" s="125" t="s">
        <v>7799</v>
      </c>
      <c r="I1999" t="s">
        <v>7890</v>
      </c>
    </row>
    <row r="2000">
      <c r="A2000" s="125" t="s">
        <v>5001</v>
      </c>
      <c r="B2000" s="526" t="s">
        <v>5000</v>
      </c>
      <c r="C2000" s="527">
        <v>0.0</v>
      </c>
      <c r="D2000" s="527">
        <v>0.0</v>
      </c>
      <c r="F2000" s="36" t="s">
        <v>7798</v>
      </c>
      <c r="G2000" s="125" t="s">
        <v>893</v>
      </c>
      <c r="H2000" s="125" t="s">
        <v>7799</v>
      </c>
      <c r="I2000" t="s">
        <v>7890</v>
      </c>
    </row>
    <row r="2001">
      <c r="A2001" s="125" t="s">
        <v>5003</v>
      </c>
      <c r="B2001" s="526" t="s">
        <v>5002</v>
      </c>
      <c r="C2001" s="527">
        <v>0.0</v>
      </c>
      <c r="D2001" s="527">
        <v>0.0</v>
      </c>
      <c r="F2001" s="36" t="s">
        <v>7798</v>
      </c>
      <c r="G2001" s="125" t="s">
        <v>893</v>
      </c>
      <c r="H2001" s="125" t="s">
        <v>7799</v>
      </c>
      <c r="I2001" t="s">
        <v>7890</v>
      </c>
    </row>
    <row r="2002">
      <c r="A2002" s="125" t="s">
        <v>5005</v>
      </c>
      <c r="B2002" s="526" t="s">
        <v>5004</v>
      </c>
      <c r="C2002" s="527">
        <v>0.0</v>
      </c>
      <c r="D2002" s="527">
        <v>0.0</v>
      </c>
      <c r="F2002" s="36" t="s">
        <v>7798</v>
      </c>
      <c r="G2002" s="125" t="s">
        <v>893</v>
      </c>
      <c r="H2002" s="125" t="s">
        <v>7799</v>
      </c>
      <c r="I2002" t="s">
        <v>7890</v>
      </c>
    </row>
    <row r="2003">
      <c r="A2003" s="125" t="s">
        <v>5007</v>
      </c>
      <c r="B2003" s="526" t="s">
        <v>5006</v>
      </c>
      <c r="C2003" s="527">
        <v>0.0</v>
      </c>
      <c r="D2003" s="527">
        <v>0.0</v>
      </c>
      <c r="F2003" s="36" t="s">
        <v>7798</v>
      </c>
      <c r="G2003" s="125" t="s">
        <v>893</v>
      </c>
      <c r="H2003" s="125" t="s">
        <v>7799</v>
      </c>
      <c r="I2003" t="s">
        <v>7890</v>
      </c>
    </row>
    <row r="2004">
      <c r="A2004" s="125" t="s">
        <v>5009</v>
      </c>
      <c r="B2004" s="526" t="s">
        <v>5008</v>
      </c>
      <c r="C2004" s="527">
        <v>0.0</v>
      </c>
      <c r="D2004" s="527">
        <v>0.0</v>
      </c>
      <c r="F2004" s="36" t="s">
        <v>7798</v>
      </c>
      <c r="G2004" s="125" t="s">
        <v>893</v>
      </c>
      <c r="H2004" s="125" t="s">
        <v>7799</v>
      </c>
      <c r="I2004" t="s">
        <v>7890</v>
      </c>
    </row>
    <row r="2005">
      <c r="A2005" s="125" t="s">
        <v>5011</v>
      </c>
      <c r="B2005" s="526" t="s">
        <v>5010</v>
      </c>
      <c r="C2005" s="527">
        <v>0.0</v>
      </c>
      <c r="D2005" s="527">
        <v>0.0</v>
      </c>
      <c r="F2005" s="36" t="s">
        <v>7798</v>
      </c>
      <c r="G2005" s="125" t="s">
        <v>893</v>
      </c>
      <c r="H2005" s="125" t="s">
        <v>7799</v>
      </c>
      <c r="I2005" t="s">
        <v>7890</v>
      </c>
    </row>
    <row r="2006">
      <c r="A2006" s="125" t="s">
        <v>5013</v>
      </c>
      <c r="B2006" s="526" t="s">
        <v>5012</v>
      </c>
      <c r="C2006" s="527">
        <v>0.0</v>
      </c>
      <c r="D2006" s="527">
        <v>0.0</v>
      </c>
      <c r="F2006" s="36" t="s">
        <v>7798</v>
      </c>
      <c r="G2006" s="125" t="s">
        <v>893</v>
      </c>
      <c r="H2006" s="125" t="s">
        <v>7799</v>
      </c>
      <c r="I2006" t="s">
        <v>7890</v>
      </c>
    </row>
    <row r="2007">
      <c r="A2007" s="125" t="s">
        <v>5015</v>
      </c>
      <c r="B2007" s="526" t="s">
        <v>5014</v>
      </c>
      <c r="C2007" s="527">
        <v>0.0</v>
      </c>
      <c r="D2007" s="527">
        <v>0.0</v>
      </c>
      <c r="F2007" s="36" t="s">
        <v>7798</v>
      </c>
      <c r="G2007" s="125" t="s">
        <v>893</v>
      </c>
      <c r="H2007" s="125" t="s">
        <v>7799</v>
      </c>
      <c r="I2007" t="s">
        <v>7890</v>
      </c>
    </row>
    <row r="2008">
      <c r="A2008" s="125" t="s">
        <v>5017</v>
      </c>
      <c r="B2008" s="526" t="s">
        <v>5016</v>
      </c>
      <c r="C2008" s="527">
        <v>0.0</v>
      </c>
      <c r="D2008" s="527">
        <v>0.0</v>
      </c>
      <c r="F2008" s="36" t="s">
        <v>7798</v>
      </c>
      <c r="G2008" s="125" t="s">
        <v>893</v>
      </c>
      <c r="H2008" s="125" t="s">
        <v>7799</v>
      </c>
      <c r="I2008" t="s">
        <v>7890</v>
      </c>
    </row>
    <row r="2009">
      <c r="A2009" s="125" t="s">
        <v>5019</v>
      </c>
      <c r="B2009" s="526" t="s">
        <v>5018</v>
      </c>
      <c r="C2009" s="527">
        <v>2.0</v>
      </c>
      <c r="D2009" s="527">
        <v>124.58</v>
      </c>
      <c r="E2009" s="528">
        <v>62.29</v>
      </c>
      <c r="F2009" s="36" t="s">
        <v>7798</v>
      </c>
      <c r="G2009" s="125" t="s">
        <v>913</v>
      </c>
      <c r="H2009" s="125" t="s">
        <v>7808</v>
      </c>
      <c r="I2009" t="s">
        <v>7845</v>
      </c>
    </row>
    <row r="2010">
      <c r="A2010" s="125" t="s">
        <v>5021</v>
      </c>
      <c r="B2010" s="526" t="s">
        <v>5020</v>
      </c>
      <c r="C2010" s="527">
        <v>0.0</v>
      </c>
      <c r="D2010" s="527">
        <v>0.0</v>
      </c>
      <c r="F2010" s="36" t="s">
        <v>7798</v>
      </c>
      <c r="G2010" s="125" t="s">
        <v>893</v>
      </c>
      <c r="H2010" s="125" t="s">
        <v>7799</v>
      </c>
      <c r="I2010" t="s">
        <v>7804</v>
      </c>
    </row>
    <row r="2011">
      <c r="A2011" s="125" t="s">
        <v>5023</v>
      </c>
      <c r="B2011" s="526" t="s">
        <v>5022</v>
      </c>
      <c r="C2011" s="527">
        <v>0.0</v>
      </c>
      <c r="D2011" s="527">
        <v>0.0</v>
      </c>
      <c r="F2011" s="36" t="s">
        <v>7798</v>
      </c>
      <c r="G2011" s="125" t="s">
        <v>893</v>
      </c>
      <c r="H2011" s="125" t="s">
        <v>7799</v>
      </c>
      <c r="I2011" t="s">
        <v>7860</v>
      </c>
    </row>
    <row r="2012">
      <c r="A2012" s="125" t="s">
        <v>5028</v>
      </c>
      <c r="B2012" s="526">
        <v>2502.0</v>
      </c>
      <c r="C2012" s="527">
        <v>0.0</v>
      </c>
      <c r="D2012" s="527">
        <v>0.0</v>
      </c>
      <c r="F2012" s="36" t="s">
        <v>7798</v>
      </c>
      <c r="G2012" s="125" t="s">
        <v>893</v>
      </c>
      <c r="H2012" s="125" t="s">
        <v>7799</v>
      </c>
      <c r="I2012" t="s">
        <v>7806</v>
      </c>
    </row>
    <row r="2013">
      <c r="A2013" s="125" t="s">
        <v>5029</v>
      </c>
      <c r="B2013" s="526">
        <v>2509.0</v>
      </c>
      <c r="C2013" s="527">
        <v>0.0</v>
      </c>
      <c r="D2013" s="527">
        <v>0.0</v>
      </c>
      <c r="F2013" s="36" t="s">
        <v>7798</v>
      </c>
      <c r="G2013" s="125" t="s">
        <v>893</v>
      </c>
      <c r="H2013" s="125" t="s">
        <v>7799</v>
      </c>
      <c r="I2013" t="s">
        <v>7806</v>
      </c>
    </row>
    <row r="2014">
      <c r="A2014" s="125" t="s">
        <v>5030</v>
      </c>
      <c r="B2014" s="526">
        <v>2512.0</v>
      </c>
      <c r="C2014" s="527">
        <v>0.0</v>
      </c>
      <c r="D2014" s="527">
        <v>0.0</v>
      </c>
      <c r="F2014" s="36" t="s">
        <v>7798</v>
      </c>
      <c r="G2014" s="125" t="s">
        <v>893</v>
      </c>
      <c r="H2014" s="125" t="s">
        <v>7799</v>
      </c>
      <c r="I2014" t="s">
        <v>7806</v>
      </c>
    </row>
    <row r="2015">
      <c r="A2015" s="125" t="s">
        <v>5031</v>
      </c>
      <c r="B2015" s="526">
        <v>2505.0</v>
      </c>
      <c r="C2015" s="527">
        <v>0.0</v>
      </c>
      <c r="D2015" s="527">
        <v>0.0</v>
      </c>
      <c r="F2015" s="36" t="s">
        <v>7798</v>
      </c>
      <c r="G2015" s="125" t="s">
        <v>893</v>
      </c>
      <c r="H2015" s="125" t="s">
        <v>7799</v>
      </c>
      <c r="I2015" t="s">
        <v>7806</v>
      </c>
    </row>
    <row r="2016">
      <c r="A2016" s="125" t="s">
        <v>5032</v>
      </c>
      <c r="B2016" s="526">
        <v>2506.0</v>
      </c>
      <c r="C2016" s="527">
        <v>0.0</v>
      </c>
      <c r="D2016" s="527">
        <v>0.0</v>
      </c>
      <c r="F2016" s="36" t="s">
        <v>7798</v>
      </c>
      <c r="G2016" s="125" t="s">
        <v>893</v>
      </c>
      <c r="H2016" s="125" t="s">
        <v>7799</v>
      </c>
      <c r="I2016" t="s">
        <v>7806</v>
      </c>
    </row>
    <row r="2017">
      <c r="A2017" s="125" t="s">
        <v>5033</v>
      </c>
      <c r="B2017" s="526">
        <v>2510.0</v>
      </c>
      <c r="C2017" s="527">
        <v>0.0</v>
      </c>
      <c r="D2017" s="527">
        <v>0.0</v>
      </c>
      <c r="F2017" s="36" t="s">
        <v>7798</v>
      </c>
      <c r="G2017" s="125" t="s">
        <v>893</v>
      </c>
      <c r="H2017" s="125" t="s">
        <v>7799</v>
      </c>
      <c r="I2017" t="s">
        <v>7806</v>
      </c>
    </row>
    <row r="2018">
      <c r="A2018" s="125" t="s">
        <v>5034</v>
      </c>
      <c r="B2018" s="526">
        <v>2511.0</v>
      </c>
      <c r="C2018" s="527">
        <v>0.0</v>
      </c>
      <c r="D2018" s="527">
        <v>0.0</v>
      </c>
      <c r="F2018" s="36" t="s">
        <v>7798</v>
      </c>
      <c r="G2018" s="125" t="s">
        <v>893</v>
      </c>
      <c r="H2018" s="125" t="s">
        <v>7799</v>
      </c>
      <c r="I2018" t="s">
        <v>7806</v>
      </c>
    </row>
    <row r="2019">
      <c r="A2019" s="125" t="s">
        <v>5035</v>
      </c>
      <c r="B2019" s="526">
        <v>2507.0</v>
      </c>
      <c r="C2019" s="527">
        <v>0.0</v>
      </c>
      <c r="D2019" s="527">
        <v>0.0</v>
      </c>
      <c r="F2019" s="36" t="s">
        <v>7798</v>
      </c>
      <c r="G2019" s="125" t="s">
        <v>893</v>
      </c>
      <c r="H2019" s="125" t="s">
        <v>7799</v>
      </c>
      <c r="I2019" t="s">
        <v>7806</v>
      </c>
    </row>
    <row r="2020">
      <c r="A2020" s="125" t="s">
        <v>5036</v>
      </c>
      <c r="B2020" s="526">
        <v>2508.0</v>
      </c>
      <c r="C2020" s="527">
        <v>0.0</v>
      </c>
      <c r="D2020" s="527">
        <v>0.0</v>
      </c>
      <c r="F2020" s="36" t="s">
        <v>7798</v>
      </c>
      <c r="G2020" s="125" t="s">
        <v>893</v>
      </c>
      <c r="H2020" s="125" t="s">
        <v>7799</v>
      </c>
      <c r="I2020" t="s">
        <v>7806</v>
      </c>
    </row>
    <row r="2021">
      <c r="A2021" s="125" t="s">
        <v>5038</v>
      </c>
      <c r="B2021" s="526" t="s">
        <v>5037</v>
      </c>
      <c r="C2021" s="527">
        <v>0.0</v>
      </c>
      <c r="D2021" s="527">
        <v>0.0</v>
      </c>
      <c r="F2021" s="36" t="s">
        <v>7798</v>
      </c>
      <c r="G2021" s="125" t="s">
        <v>893</v>
      </c>
      <c r="H2021" s="125" t="s">
        <v>7799</v>
      </c>
      <c r="I2021" t="s">
        <v>7804</v>
      </c>
    </row>
    <row r="2022">
      <c r="A2022" s="125" t="s">
        <v>5040</v>
      </c>
      <c r="B2022" s="526" t="s">
        <v>5039</v>
      </c>
      <c r="C2022" s="527">
        <v>0.0</v>
      </c>
      <c r="D2022" s="527">
        <v>0.0</v>
      </c>
      <c r="F2022" s="36" t="s">
        <v>7798</v>
      </c>
      <c r="G2022" s="125" t="s">
        <v>893</v>
      </c>
      <c r="H2022" s="125" t="s">
        <v>7799</v>
      </c>
      <c r="I2022" t="s">
        <v>7826</v>
      </c>
    </row>
    <row r="2023">
      <c r="A2023" s="125" t="s">
        <v>5046</v>
      </c>
      <c r="B2023" s="526" t="s">
        <v>5045</v>
      </c>
      <c r="C2023" s="527">
        <v>0.0</v>
      </c>
      <c r="D2023" s="527">
        <v>0.0</v>
      </c>
      <c r="F2023" s="36" t="s">
        <v>7798</v>
      </c>
      <c r="G2023" s="125" t="s">
        <v>893</v>
      </c>
      <c r="H2023" s="125" t="s">
        <v>7799</v>
      </c>
      <c r="I2023" t="s">
        <v>7826</v>
      </c>
    </row>
    <row r="2024">
      <c r="A2024" s="125" t="s">
        <v>5048</v>
      </c>
      <c r="B2024" s="526" t="s">
        <v>5047</v>
      </c>
      <c r="C2024" s="527">
        <v>0.0</v>
      </c>
      <c r="D2024" s="527">
        <v>0.0</v>
      </c>
      <c r="F2024" s="36" t="s">
        <v>7798</v>
      </c>
      <c r="G2024" s="125" t="s">
        <v>893</v>
      </c>
      <c r="H2024" s="125" t="s">
        <v>7799</v>
      </c>
      <c r="I2024" t="s">
        <v>7826</v>
      </c>
    </row>
    <row r="2025">
      <c r="A2025" s="125" t="s">
        <v>5050</v>
      </c>
      <c r="B2025" s="526" t="s">
        <v>5049</v>
      </c>
      <c r="C2025" s="527">
        <v>0.0</v>
      </c>
      <c r="D2025" s="527">
        <v>0.0</v>
      </c>
      <c r="F2025" s="36" t="s">
        <v>7798</v>
      </c>
      <c r="G2025" s="125" t="s">
        <v>893</v>
      </c>
      <c r="H2025" s="125" t="s">
        <v>7799</v>
      </c>
      <c r="I2025" t="s">
        <v>7826</v>
      </c>
    </row>
    <row r="2026">
      <c r="A2026" s="125" t="s">
        <v>5052</v>
      </c>
      <c r="B2026" s="526" t="s">
        <v>5051</v>
      </c>
      <c r="C2026" s="527">
        <v>0.0</v>
      </c>
      <c r="D2026" s="527">
        <v>0.0</v>
      </c>
      <c r="F2026" s="36" t="s">
        <v>7798</v>
      </c>
      <c r="G2026" s="125" t="s">
        <v>893</v>
      </c>
      <c r="H2026" s="125" t="s">
        <v>7799</v>
      </c>
      <c r="I2026" t="s">
        <v>7826</v>
      </c>
    </row>
    <row r="2027">
      <c r="A2027" s="125" t="s">
        <v>5054</v>
      </c>
      <c r="B2027" s="526" t="s">
        <v>5053</v>
      </c>
      <c r="C2027" s="527">
        <v>364.0</v>
      </c>
      <c r="D2027" s="527">
        <v>2112.8</v>
      </c>
      <c r="E2027" s="528">
        <v>5.8044</v>
      </c>
      <c r="F2027" s="36" t="s">
        <v>7798</v>
      </c>
      <c r="G2027" s="125" t="s">
        <v>913</v>
      </c>
      <c r="H2027" s="125" t="s">
        <v>7801</v>
      </c>
      <c r="I2027" t="s">
        <v>7812</v>
      </c>
    </row>
    <row r="2028">
      <c r="A2028" s="125" t="s">
        <v>5056</v>
      </c>
      <c r="B2028" s="526" t="s">
        <v>5055</v>
      </c>
      <c r="C2028" s="527">
        <v>0.0</v>
      </c>
      <c r="D2028" s="527">
        <v>0.0</v>
      </c>
      <c r="F2028" s="36" t="s">
        <v>7798</v>
      </c>
      <c r="G2028" s="125" t="s">
        <v>893</v>
      </c>
      <c r="H2028" s="125" t="s">
        <v>7799</v>
      </c>
      <c r="I2028" t="s">
        <v>7824</v>
      </c>
    </row>
    <row r="2029">
      <c r="A2029" s="125" t="s">
        <v>5058</v>
      </c>
      <c r="B2029" s="526" t="s">
        <v>5057</v>
      </c>
      <c r="C2029" s="527">
        <v>0.0</v>
      </c>
      <c r="D2029" s="527">
        <v>0.0</v>
      </c>
      <c r="F2029" s="36" t="s">
        <v>7798</v>
      </c>
      <c r="G2029" s="125" t="s">
        <v>893</v>
      </c>
      <c r="H2029" s="125" t="s">
        <v>7799</v>
      </c>
      <c r="I2029" t="s">
        <v>7820</v>
      </c>
    </row>
    <row r="2030">
      <c r="A2030" s="125" t="s">
        <v>5060</v>
      </c>
      <c r="B2030" s="526" t="s">
        <v>5059</v>
      </c>
      <c r="C2030" s="527">
        <v>0.0</v>
      </c>
      <c r="D2030" s="527">
        <v>0.0</v>
      </c>
      <c r="F2030" s="36" t="s">
        <v>7798</v>
      </c>
      <c r="G2030" s="125" t="s">
        <v>893</v>
      </c>
      <c r="H2030" s="125" t="s">
        <v>7799</v>
      </c>
      <c r="I2030" t="s">
        <v>81</v>
      </c>
    </row>
    <row r="2031">
      <c r="A2031" s="125" t="s">
        <v>5062</v>
      </c>
      <c r="B2031" s="526" t="s">
        <v>5061</v>
      </c>
      <c r="C2031" s="527">
        <v>0.0</v>
      </c>
      <c r="D2031" s="527">
        <v>0.0</v>
      </c>
      <c r="F2031" s="36" t="s">
        <v>7798</v>
      </c>
      <c r="G2031" s="125" t="s">
        <v>893</v>
      </c>
      <c r="H2031" s="125" t="s">
        <v>7799</v>
      </c>
      <c r="I2031" t="s">
        <v>81</v>
      </c>
    </row>
    <row r="2032">
      <c r="A2032" s="125" t="s">
        <v>5064</v>
      </c>
      <c r="B2032" s="526" t="s">
        <v>5063</v>
      </c>
      <c r="C2032" s="527">
        <v>0.0</v>
      </c>
      <c r="D2032" s="527">
        <v>0.0</v>
      </c>
      <c r="F2032" s="36" t="s">
        <v>7798</v>
      </c>
      <c r="G2032" s="125" t="s">
        <v>893</v>
      </c>
      <c r="H2032" s="125" t="s">
        <v>7799</v>
      </c>
      <c r="I2032" t="s">
        <v>81</v>
      </c>
    </row>
    <row r="2033">
      <c r="A2033" s="125" t="s">
        <v>5066</v>
      </c>
      <c r="B2033" s="526" t="s">
        <v>5065</v>
      </c>
      <c r="C2033" s="527">
        <v>0.0</v>
      </c>
      <c r="D2033" s="527">
        <v>0.0</v>
      </c>
      <c r="F2033" s="36" t="s">
        <v>7798</v>
      </c>
      <c r="G2033" s="125" t="s">
        <v>893</v>
      </c>
      <c r="H2033" s="125" t="s">
        <v>7799</v>
      </c>
      <c r="I2033" t="s">
        <v>81</v>
      </c>
    </row>
    <row r="2034">
      <c r="A2034" s="125" t="s">
        <v>5070</v>
      </c>
      <c r="B2034" s="526" t="s">
        <v>5069</v>
      </c>
      <c r="C2034" s="527">
        <v>0.0</v>
      </c>
      <c r="D2034" s="527">
        <v>0.0</v>
      </c>
      <c r="F2034" s="36" t="s">
        <v>7798</v>
      </c>
      <c r="G2034" s="125" t="s">
        <v>893</v>
      </c>
      <c r="H2034" s="125" t="s">
        <v>7801</v>
      </c>
      <c r="I2034" t="s">
        <v>81</v>
      </c>
    </row>
    <row r="2035">
      <c r="A2035" s="125" t="s">
        <v>5072</v>
      </c>
      <c r="B2035" s="526" t="s">
        <v>5071</v>
      </c>
      <c r="C2035" s="527">
        <v>0.0</v>
      </c>
      <c r="D2035" s="527">
        <v>0.0</v>
      </c>
      <c r="F2035" s="36" t="s">
        <v>7798</v>
      </c>
      <c r="G2035" s="125" t="s">
        <v>893</v>
      </c>
      <c r="H2035" s="125" t="s">
        <v>7799</v>
      </c>
      <c r="I2035" t="s">
        <v>81</v>
      </c>
    </row>
    <row r="2036">
      <c r="A2036" s="125" t="s">
        <v>5074</v>
      </c>
      <c r="B2036" s="526" t="s">
        <v>5073</v>
      </c>
      <c r="C2036" s="527">
        <v>0.0</v>
      </c>
      <c r="D2036" s="527">
        <v>0.0</v>
      </c>
      <c r="F2036" s="36" t="s">
        <v>7798</v>
      </c>
      <c r="G2036" s="125" t="s">
        <v>893</v>
      </c>
      <c r="H2036" s="125" t="s">
        <v>7799</v>
      </c>
      <c r="I2036" t="s">
        <v>81</v>
      </c>
    </row>
    <row r="2037">
      <c r="A2037" s="125" t="s">
        <v>5076</v>
      </c>
      <c r="B2037" s="526" t="s">
        <v>5075</v>
      </c>
      <c r="C2037" s="527">
        <v>0.0</v>
      </c>
      <c r="D2037" s="527">
        <v>0.0</v>
      </c>
      <c r="F2037" s="36" t="s">
        <v>7798</v>
      </c>
      <c r="G2037" s="125" t="s">
        <v>893</v>
      </c>
      <c r="H2037" s="125" t="s">
        <v>7801</v>
      </c>
      <c r="I2037" t="s">
        <v>81</v>
      </c>
    </row>
    <row r="2038">
      <c r="A2038" s="125" t="s">
        <v>5078</v>
      </c>
      <c r="B2038" s="526" t="s">
        <v>5077</v>
      </c>
      <c r="C2038" s="527">
        <v>0.0</v>
      </c>
      <c r="D2038" s="527">
        <v>0.0</v>
      </c>
      <c r="F2038" s="36" t="s">
        <v>7807</v>
      </c>
      <c r="G2038" s="125" t="s">
        <v>893</v>
      </c>
      <c r="H2038" s="125" t="s">
        <v>7799</v>
      </c>
      <c r="I2038" t="s">
        <v>81</v>
      </c>
    </row>
    <row r="2039">
      <c r="A2039" s="125" t="s">
        <v>5080</v>
      </c>
      <c r="B2039" s="526" t="s">
        <v>5079</v>
      </c>
      <c r="C2039" s="527">
        <v>0.0</v>
      </c>
      <c r="D2039" s="527">
        <v>0.0</v>
      </c>
      <c r="F2039" s="36" t="s">
        <v>7798</v>
      </c>
      <c r="G2039" s="125" t="s">
        <v>893</v>
      </c>
      <c r="H2039" s="125" t="s">
        <v>7799</v>
      </c>
      <c r="I2039" t="s">
        <v>7891</v>
      </c>
    </row>
    <row r="2040">
      <c r="A2040" s="125" t="s">
        <v>5082</v>
      </c>
      <c r="B2040" s="526" t="s">
        <v>5081</v>
      </c>
      <c r="C2040" s="527">
        <v>0.0</v>
      </c>
      <c r="D2040" s="527">
        <v>0.0</v>
      </c>
      <c r="F2040" s="36" t="s">
        <v>7798</v>
      </c>
      <c r="G2040" s="125" t="s">
        <v>893</v>
      </c>
      <c r="H2040" s="125" t="s">
        <v>7799</v>
      </c>
      <c r="I2040" t="s">
        <v>7891</v>
      </c>
    </row>
    <row r="2041">
      <c r="A2041" s="125" t="s">
        <v>5084</v>
      </c>
      <c r="B2041" s="526" t="s">
        <v>5083</v>
      </c>
      <c r="C2041" s="527">
        <v>0.0</v>
      </c>
      <c r="D2041" s="527">
        <v>0.0</v>
      </c>
      <c r="F2041" s="36" t="s">
        <v>7798</v>
      </c>
      <c r="G2041" s="125" t="s">
        <v>893</v>
      </c>
      <c r="H2041" s="125" t="s">
        <v>7799</v>
      </c>
      <c r="I2041" t="s">
        <v>7891</v>
      </c>
    </row>
    <row r="2042">
      <c r="A2042" s="125" t="s">
        <v>5086</v>
      </c>
      <c r="B2042" s="526" t="s">
        <v>5085</v>
      </c>
      <c r="C2042" s="527">
        <v>0.0</v>
      </c>
      <c r="D2042" s="527">
        <v>0.0</v>
      </c>
      <c r="F2042" s="36" t="s">
        <v>7798</v>
      </c>
      <c r="G2042" s="125" t="s">
        <v>893</v>
      </c>
      <c r="H2042" s="125" t="s">
        <v>7799</v>
      </c>
      <c r="I2042" t="s">
        <v>7891</v>
      </c>
    </row>
    <row r="2043">
      <c r="A2043" s="125" t="s">
        <v>5090</v>
      </c>
      <c r="B2043" s="526" t="s">
        <v>5089</v>
      </c>
      <c r="C2043" s="527">
        <v>0.0</v>
      </c>
      <c r="D2043" s="527">
        <v>0.0</v>
      </c>
      <c r="F2043" s="36" t="s">
        <v>7798</v>
      </c>
      <c r="G2043" s="125" t="s">
        <v>893</v>
      </c>
      <c r="H2043" s="125" t="s">
        <v>7799</v>
      </c>
      <c r="I2043" t="s">
        <v>7891</v>
      </c>
    </row>
    <row r="2044">
      <c r="A2044" s="125" t="s">
        <v>5096</v>
      </c>
      <c r="B2044" s="526" t="s">
        <v>5095</v>
      </c>
      <c r="C2044" s="527">
        <v>0.0</v>
      </c>
      <c r="D2044" s="527">
        <v>0.0</v>
      </c>
      <c r="F2044" s="36" t="s">
        <v>7798</v>
      </c>
      <c r="G2044" s="125" t="s">
        <v>893</v>
      </c>
      <c r="H2044" s="125" t="s">
        <v>7799</v>
      </c>
      <c r="I2044" t="s">
        <v>278</v>
      </c>
    </row>
    <row r="2045">
      <c r="A2045" s="125" t="s">
        <v>5098</v>
      </c>
      <c r="B2045" s="526" t="s">
        <v>5097</v>
      </c>
      <c r="C2045" s="527">
        <v>0.0</v>
      </c>
      <c r="D2045" s="527">
        <v>0.0</v>
      </c>
      <c r="F2045" s="36" t="s">
        <v>7798</v>
      </c>
      <c r="G2045" s="125" t="s">
        <v>893</v>
      </c>
      <c r="H2045" s="125" t="s">
        <v>7799</v>
      </c>
      <c r="I2045" t="s">
        <v>278</v>
      </c>
    </row>
    <row r="2046">
      <c r="A2046" s="125" t="s">
        <v>5100</v>
      </c>
      <c r="B2046" s="526" t="s">
        <v>5099</v>
      </c>
      <c r="C2046" s="527">
        <v>0.0</v>
      </c>
      <c r="D2046" s="527">
        <v>0.0</v>
      </c>
      <c r="F2046" s="36" t="s">
        <v>7807</v>
      </c>
      <c r="G2046" s="125" t="s">
        <v>893</v>
      </c>
      <c r="H2046" s="125" t="s">
        <v>7799</v>
      </c>
      <c r="I2046" t="s">
        <v>278</v>
      </c>
    </row>
    <row r="2047">
      <c r="A2047" s="125" t="s">
        <v>5102</v>
      </c>
      <c r="B2047" s="526" t="s">
        <v>5101</v>
      </c>
      <c r="C2047" s="527">
        <v>0.0</v>
      </c>
      <c r="D2047" s="527">
        <v>0.0</v>
      </c>
      <c r="F2047" s="36" t="s">
        <v>7807</v>
      </c>
      <c r="G2047" s="125" t="s">
        <v>893</v>
      </c>
      <c r="H2047" s="125" t="s">
        <v>7799</v>
      </c>
      <c r="I2047" t="s">
        <v>278</v>
      </c>
    </row>
    <row r="2048">
      <c r="A2048" s="125" t="s">
        <v>5104</v>
      </c>
      <c r="B2048" s="526" t="s">
        <v>5103</v>
      </c>
      <c r="C2048" s="527">
        <v>0.0</v>
      </c>
      <c r="D2048" s="527">
        <v>0.0</v>
      </c>
      <c r="F2048" s="36" t="s">
        <v>7798</v>
      </c>
      <c r="G2048" s="125" t="s">
        <v>893</v>
      </c>
      <c r="H2048" s="125" t="s">
        <v>7799</v>
      </c>
      <c r="I2048" t="s">
        <v>278</v>
      </c>
    </row>
    <row r="2049">
      <c r="A2049" s="125" t="s">
        <v>5106</v>
      </c>
      <c r="B2049" s="526" t="s">
        <v>5105</v>
      </c>
      <c r="C2049" s="527">
        <v>0.0</v>
      </c>
      <c r="D2049" s="527">
        <v>0.0</v>
      </c>
      <c r="F2049" s="36" t="s">
        <v>7798</v>
      </c>
      <c r="G2049" s="125" t="s">
        <v>893</v>
      </c>
      <c r="H2049" s="125" t="s">
        <v>7799</v>
      </c>
      <c r="I2049" t="s">
        <v>278</v>
      </c>
    </row>
    <row r="2050">
      <c r="A2050" s="125" t="s">
        <v>5108</v>
      </c>
      <c r="B2050" s="526" t="s">
        <v>5107</v>
      </c>
      <c r="C2050" s="527">
        <v>0.0</v>
      </c>
      <c r="D2050" s="527">
        <v>0.0</v>
      </c>
      <c r="F2050" s="36" t="s">
        <v>7798</v>
      </c>
      <c r="G2050" s="125" t="s">
        <v>893</v>
      </c>
      <c r="H2050" s="125" t="s">
        <v>7801</v>
      </c>
      <c r="I2050" t="s">
        <v>278</v>
      </c>
    </row>
    <row r="2051">
      <c r="A2051" s="125" t="s">
        <v>5110</v>
      </c>
      <c r="B2051" s="526" t="s">
        <v>5109</v>
      </c>
      <c r="C2051" s="527">
        <v>0.0</v>
      </c>
      <c r="D2051" s="527">
        <v>0.0</v>
      </c>
      <c r="F2051" s="36" t="s">
        <v>7798</v>
      </c>
      <c r="G2051" s="125" t="s">
        <v>893</v>
      </c>
      <c r="H2051" s="125" t="s">
        <v>7799</v>
      </c>
      <c r="I2051" t="s">
        <v>278</v>
      </c>
    </row>
    <row r="2052">
      <c r="A2052" s="125" t="s">
        <v>5112</v>
      </c>
      <c r="B2052" s="526" t="s">
        <v>5111</v>
      </c>
      <c r="C2052" s="527">
        <v>0.0</v>
      </c>
      <c r="D2052" s="527">
        <v>0.0</v>
      </c>
      <c r="F2052" s="36" t="s">
        <v>7798</v>
      </c>
      <c r="G2052" s="125" t="s">
        <v>893</v>
      </c>
      <c r="H2052" s="125" t="s">
        <v>7801</v>
      </c>
      <c r="I2052" t="s">
        <v>278</v>
      </c>
    </row>
    <row r="2053">
      <c r="A2053" s="125" t="s">
        <v>5114</v>
      </c>
      <c r="B2053" s="526" t="s">
        <v>5113</v>
      </c>
      <c r="C2053" s="527">
        <v>0.0</v>
      </c>
      <c r="D2053" s="527">
        <v>0.0</v>
      </c>
      <c r="F2053" s="36" t="s">
        <v>7798</v>
      </c>
      <c r="G2053" s="125" t="s">
        <v>893</v>
      </c>
      <c r="H2053" s="125" t="s">
        <v>7799</v>
      </c>
      <c r="I2053" t="s">
        <v>53</v>
      </c>
    </row>
    <row r="2054">
      <c r="A2054" s="125" t="s">
        <v>487</v>
      </c>
      <c r="B2054" s="526" t="s">
        <v>488</v>
      </c>
      <c r="C2054" s="527">
        <v>180.0</v>
      </c>
      <c r="D2054" s="527">
        <v>879.34</v>
      </c>
      <c r="E2054" s="528">
        <v>4.8852</v>
      </c>
      <c r="F2054" s="36" t="s">
        <v>7798</v>
      </c>
      <c r="G2054" s="125" t="s">
        <v>913</v>
      </c>
      <c r="H2054" s="125" t="s">
        <v>7809</v>
      </c>
      <c r="I2054" t="s">
        <v>53</v>
      </c>
    </row>
    <row r="2055">
      <c r="A2055" s="125" t="s">
        <v>5118</v>
      </c>
      <c r="B2055" s="526" t="s">
        <v>5117</v>
      </c>
      <c r="C2055" s="527">
        <v>0.0</v>
      </c>
      <c r="D2055" s="527">
        <v>0.0</v>
      </c>
      <c r="F2055" s="36" t="s">
        <v>7798</v>
      </c>
      <c r="G2055" s="125" t="s">
        <v>893</v>
      </c>
      <c r="H2055" s="125" t="s">
        <v>7799</v>
      </c>
      <c r="I2055" t="s">
        <v>7804</v>
      </c>
    </row>
    <row r="2056">
      <c r="A2056" s="125" t="s">
        <v>5120</v>
      </c>
      <c r="B2056" s="526" t="s">
        <v>5119</v>
      </c>
      <c r="C2056" s="527">
        <v>2281.0</v>
      </c>
      <c r="D2056" s="527">
        <v>9999.05</v>
      </c>
      <c r="E2056" s="528">
        <v>4.3836</v>
      </c>
      <c r="F2056" s="36" t="s">
        <v>7798</v>
      </c>
      <c r="G2056" s="125" t="s">
        <v>913</v>
      </c>
      <c r="H2056" s="125" t="s">
        <v>7808</v>
      </c>
      <c r="I2056" t="s">
        <v>7892</v>
      </c>
    </row>
    <row r="2057">
      <c r="A2057" s="125" t="s">
        <v>5122</v>
      </c>
      <c r="B2057" s="526" t="s">
        <v>5121</v>
      </c>
      <c r="C2057" s="527">
        <v>3000.0</v>
      </c>
      <c r="D2057" s="527">
        <v>772.92</v>
      </c>
      <c r="E2057" s="528">
        <v>0.2576</v>
      </c>
      <c r="F2057" s="36" t="s">
        <v>7827</v>
      </c>
      <c r="G2057" s="125" t="s">
        <v>913</v>
      </c>
      <c r="H2057" s="125" t="s">
        <v>7828</v>
      </c>
    </row>
    <row r="2058">
      <c r="A2058" s="125" t="s">
        <v>5124</v>
      </c>
      <c r="B2058" s="526" t="s">
        <v>5123</v>
      </c>
      <c r="C2058" s="527">
        <v>4733.0</v>
      </c>
      <c r="D2058" s="527">
        <v>16495.91</v>
      </c>
      <c r="E2058" s="528">
        <v>3.4853</v>
      </c>
      <c r="F2058" s="36" t="s">
        <v>7798</v>
      </c>
      <c r="G2058" s="125" t="s">
        <v>913</v>
      </c>
      <c r="H2058" s="125" t="s">
        <v>7819</v>
      </c>
      <c r="I2058" t="s">
        <v>7817</v>
      </c>
    </row>
    <row r="2059">
      <c r="A2059" s="125" t="s">
        <v>5126</v>
      </c>
      <c r="B2059" s="526" t="s">
        <v>5125</v>
      </c>
      <c r="C2059" s="527">
        <v>2863.0</v>
      </c>
      <c r="D2059" s="527">
        <v>10012.09</v>
      </c>
      <c r="E2059" s="528">
        <v>3.4971</v>
      </c>
      <c r="F2059" s="36" t="s">
        <v>7798</v>
      </c>
      <c r="G2059" s="125" t="s">
        <v>913</v>
      </c>
      <c r="H2059" s="125" t="s">
        <v>7819</v>
      </c>
      <c r="I2059" t="s">
        <v>7817</v>
      </c>
    </row>
    <row r="2060">
      <c r="A2060" s="125" t="s">
        <v>5128</v>
      </c>
      <c r="B2060" s="526" t="s">
        <v>5127</v>
      </c>
      <c r="C2060" s="527">
        <v>2335.0</v>
      </c>
      <c r="D2060" s="527">
        <v>8088.19</v>
      </c>
      <c r="E2060" s="528">
        <v>3.4639</v>
      </c>
      <c r="F2060" s="36" t="s">
        <v>7798</v>
      </c>
      <c r="G2060" s="125" t="s">
        <v>913</v>
      </c>
      <c r="H2060" s="125" t="s">
        <v>7819</v>
      </c>
      <c r="I2060" t="s">
        <v>7817</v>
      </c>
    </row>
    <row r="2061">
      <c r="A2061" s="125" t="s">
        <v>5130</v>
      </c>
      <c r="B2061" s="526" t="s">
        <v>5129</v>
      </c>
      <c r="C2061" s="527">
        <v>1714.0</v>
      </c>
      <c r="D2061" s="527">
        <v>5937.33</v>
      </c>
      <c r="E2061" s="528">
        <v>3.464</v>
      </c>
      <c r="F2061" s="36" t="s">
        <v>7798</v>
      </c>
      <c r="G2061" s="125" t="s">
        <v>913</v>
      </c>
      <c r="H2061" s="125" t="s">
        <v>7819</v>
      </c>
      <c r="I2061" t="s">
        <v>7817</v>
      </c>
    </row>
    <row r="2062">
      <c r="A2062" s="125" t="s">
        <v>5132</v>
      </c>
      <c r="B2062" s="526" t="s">
        <v>5131</v>
      </c>
      <c r="C2062" s="527">
        <v>8.0</v>
      </c>
      <c r="D2062" s="527">
        <v>853.78</v>
      </c>
      <c r="E2062" s="528">
        <v>106.7225</v>
      </c>
      <c r="F2062" s="36" t="s">
        <v>7798</v>
      </c>
      <c r="G2062" s="125" t="s">
        <v>913</v>
      </c>
      <c r="H2062" s="125" t="s">
        <v>7819</v>
      </c>
      <c r="I2062" t="s">
        <v>7817</v>
      </c>
    </row>
    <row r="2063">
      <c r="A2063" s="125" t="s">
        <v>5135</v>
      </c>
      <c r="B2063" s="526">
        <v>51537.0</v>
      </c>
      <c r="C2063" s="527">
        <v>0.0</v>
      </c>
      <c r="D2063" s="527">
        <v>0.0</v>
      </c>
      <c r="F2063" s="36" t="s">
        <v>7798</v>
      </c>
      <c r="G2063" s="125" t="s">
        <v>893</v>
      </c>
      <c r="H2063" s="125" t="s">
        <v>7799</v>
      </c>
      <c r="I2063" t="s">
        <v>7866</v>
      </c>
    </row>
    <row r="2064">
      <c r="A2064" s="125" t="s">
        <v>5136</v>
      </c>
      <c r="B2064" s="526">
        <v>51536.0</v>
      </c>
      <c r="C2064" s="527">
        <v>0.0</v>
      </c>
      <c r="D2064" s="527">
        <v>0.0</v>
      </c>
      <c r="F2064" s="36" t="s">
        <v>7798</v>
      </c>
      <c r="G2064" s="125" t="s">
        <v>893</v>
      </c>
      <c r="H2064" s="125" t="s">
        <v>7799</v>
      </c>
      <c r="I2064" t="s">
        <v>7866</v>
      </c>
    </row>
    <row r="2065">
      <c r="A2065" s="125" t="s">
        <v>5137</v>
      </c>
      <c r="B2065" s="526">
        <v>51543.0</v>
      </c>
      <c r="C2065" s="527">
        <v>0.0</v>
      </c>
      <c r="D2065" s="527">
        <v>0.0</v>
      </c>
      <c r="F2065" s="36" t="s">
        <v>7798</v>
      </c>
      <c r="G2065" s="125" t="s">
        <v>893</v>
      </c>
      <c r="H2065" s="125" t="s">
        <v>7799</v>
      </c>
      <c r="I2065" t="s">
        <v>7866</v>
      </c>
    </row>
    <row r="2066">
      <c r="A2066" s="125" t="s">
        <v>5138</v>
      </c>
      <c r="B2066" s="526">
        <v>34601.0</v>
      </c>
      <c r="C2066" s="527">
        <v>0.0</v>
      </c>
      <c r="D2066" s="527">
        <v>0.0</v>
      </c>
      <c r="F2066" s="36" t="s">
        <v>7798</v>
      </c>
      <c r="G2066" s="125" t="s">
        <v>893</v>
      </c>
      <c r="H2066" s="125" t="s">
        <v>7799</v>
      </c>
      <c r="I2066" t="s">
        <v>7804</v>
      </c>
    </row>
    <row r="2067">
      <c r="A2067" s="125" t="s">
        <v>5139</v>
      </c>
      <c r="B2067" s="526">
        <v>34602.0</v>
      </c>
      <c r="C2067" s="527">
        <v>0.0</v>
      </c>
      <c r="D2067" s="527">
        <v>0.0</v>
      </c>
      <c r="F2067" s="36" t="s">
        <v>7798</v>
      </c>
      <c r="G2067" s="125" t="s">
        <v>893</v>
      </c>
      <c r="H2067" s="125" t="s">
        <v>7799</v>
      </c>
      <c r="I2067" t="s">
        <v>7804</v>
      </c>
    </row>
    <row r="2068">
      <c r="A2068" s="125" t="s">
        <v>5140</v>
      </c>
      <c r="B2068" s="526">
        <v>34603.0</v>
      </c>
      <c r="C2068" s="527">
        <v>0.0</v>
      </c>
      <c r="D2068" s="527">
        <v>0.0</v>
      </c>
      <c r="F2068" s="36" t="s">
        <v>7798</v>
      </c>
      <c r="G2068" s="125" t="s">
        <v>893</v>
      </c>
      <c r="H2068" s="125" t="s">
        <v>7799</v>
      </c>
      <c r="I2068" t="s">
        <v>7804</v>
      </c>
    </row>
    <row r="2069">
      <c r="A2069" s="125" t="s">
        <v>5141</v>
      </c>
      <c r="B2069" s="526">
        <v>34604.0</v>
      </c>
      <c r="C2069" s="527">
        <v>0.0</v>
      </c>
      <c r="D2069" s="527">
        <v>0.0</v>
      </c>
      <c r="F2069" s="36" t="s">
        <v>7798</v>
      </c>
      <c r="G2069" s="125" t="s">
        <v>893</v>
      </c>
      <c r="H2069" s="125" t="s">
        <v>7799</v>
      </c>
      <c r="I2069" t="s">
        <v>7804</v>
      </c>
    </row>
    <row r="2070">
      <c r="A2070" s="125" t="s">
        <v>5142</v>
      </c>
      <c r="B2070" s="526">
        <v>34605.0</v>
      </c>
      <c r="C2070" s="527">
        <v>0.0</v>
      </c>
      <c r="D2070" s="527">
        <v>0.0</v>
      </c>
      <c r="F2070" s="36" t="s">
        <v>7798</v>
      </c>
      <c r="G2070" s="125" t="s">
        <v>893</v>
      </c>
      <c r="H2070" s="125" t="s">
        <v>7799</v>
      </c>
      <c r="I2070" t="s">
        <v>7804</v>
      </c>
    </row>
    <row r="2071">
      <c r="A2071" s="125" t="s">
        <v>5143</v>
      </c>
      <c r="B2071" s="526">
        <v>34606.0</v>
      </c>
      <c r="C2071" s="527">
        <v>0.0</v>
      </c>
      <c r="D2071" s="527">
        <v>0.0</v>
      </c>
      <c r="F2071" s="36" t="s">
        <v>7798</v>
      </c>
      <c r="G2071" s="125" t="s">
        <v>893</v>
      </c>
      <c r="H2071" s="125" t="s">
        <v>7799</v>
      </c>
      <c r="I2071" t="s">
        <v>7804</v>
      </c>
    </row>
    <row r="2072">
      <c r="A2072" s="125" t="s">
        <v>5146</v>
      </c>
      <c r="B2072" s="526">
        <v>34505.0</v>
      </c>
      <c r="C2072" s="527">
        <v>0.0</v>
      </c>
      <c r="D2072" s="527">
        <v>0.0</v>
      </c>
      <c r="F2072" s="36" t="s">
        <v>7798</v>
      </c>
      <c r="G2072" s="125" t="s">
        <v>893</v>
      </c>
      <c r="H2072" s="125" t="s">
        <v>7799</v>
      </c>
      <c r="I2072" t="s">
        <v>7806</v>
      </c>
    </row>
    <row r="2073">
      <c r="A2073" s="125" t="s">
        <v>5148</v>
      </c>
      <c r="B2073" s="526">
        <v>34510.0</v>
      </c>
      <c r="C2073" s="527">
        <v>0.0</v>
      </c>
      <c r="D2073" s="527">
        <v>0.0</v>
      </c>
      <c r="F2073" s="36" t="s">
        <v>7798</v>
      </c>
      <c r="G2073" s="125" t="s">
        <v>893</v>
      </c>
      <c r="H2073" s="125" t="s">
        <v>7799</v>
      </c>
      <c r="I2073" t="s">
        <v>7806</v>
      </c>
    </row>
    <row r="2074">
      <c r="A2074" s="125" t="s">
        <v>5150</v>
      </c>
      <c r="B2074" s="526">
        <v>34519.0</v>
      </c>
      <c r="C2074" s="527">
        <v>0.0</v>
      </c>
      <c r="D2074" s="527">
        <v>0.0</v>
      </c>
      <c r="F2074" s="36" t="s">
        <v>7798</v>
      </c>
      <c r="G2074" s="125" t="s">
        <v>893</v>
      </c>
      <c r="H2074" s="125" t="s">
        <v>7799</v>
      </c>
      <c r="I2074" t="s">
        <v>7806</v>
      </c>
    </row>
    <row r="2075">
      <c r="A2075" s="125" t="s">
        <v>5151</v>
      </c>
      <c r="B2075" s="526">
        <v>34509.0</v>
      </c>
      <c r="C2075" s="527">
        <v>0.0</v>
      </c>
      <c r="D2075" s="527">
        <v>0.0</v>
      </c>
      <c r="F2075" s="36" t="s">
        <v>7798</v>
      </c>
      <c r="G2075" s="125" t="s">
        <v>893</v>
      </c>
      <c r="H2075" s="125" t="s">
        <v>7799</v>
      </c>
      <c r="I2075" t="s">
        <v>7806</v>
      </c>
    </row>
    <row r="2076">
      <c r="A2076" s="125" t="s">
        <v>5153</v>
      </c>
      <c r="B2076" s="526" t="s">
        <v>5152</v>
      </c>
      <c r="C2076" s="527">
        <v>0.0</v>
      </c>
      <c r="D2076" s="527">
        <v>0.0</v>
      </c>
      <c r="F2076" s="36" t="s">
        <v>7798</v>
      </c>
      <c r="G2076" s="125" t="s">
        <v>893</v>
      </c>
      <c r="H2076" s="125" t="s">
        <v>7799</v>
      </c>
      <c r="I2076" t="s">
        <v>7804</v>
      </c>
    </row>
    <row r="2077">
      <c r="A2077" s="125" t="s">
        <v>5155</v>
      </c>
      <c r="B2077" s="526" t="s">
        <v>5154</v>
      </c>
      <c r="C2077" s="527">
        <v>0.0</v>
      </c>
      <c r="D2077" s="527">
        <v>0.0</v>
      </c>
      <c r="F2077" s="36" t="s">
        <v>7798</v>
      </c>
      <c r="G2077" s="125" t="s">
        <v>893</v>
      </c>
      <c r="H2077" s="125" t="s">
        <v>7799</v>
      </c>
      <c r="I2077" t="s">
        <v>7806</v>
      </c>
    </row>
    <row r="2078">
      <c r="A2078" s="125" t="s">
        <v>5157</v>
      </c>
      <c r="B2078" s="526" t="s">
        <v>5156</v>
      </c>
      <c r="C2078" s="527">
        <v>0.0</v>
      </c>
      <c r="D2078" s="527">
        <v>0.0</v>
      </c>
      <c r="F2078" s="36" t="s">
        <v>7798</v>
      </c>
      <c r="G2078" s="125" t="s">
        <v>893</v>
      </c>
      <c r="H2078" s="125" t="s">
        <v>7799</v>
      </c>
      <c r="I2078" t="s">
        <v>7806</v>
      </c>
    </row>
    <row r="2079">
      <c r="A2079" s="125" t="s">
        <v>5159</v>
      </c>
      <c r="B2079" s="526" t="s">
        <v>5158</v>
      </c>
      <c r="C2079" s="527">
        <v>0.0</v>
      </c>
      <c r="D2079" s="527">
        <v>0.0</v>
      </c>
      <c r="F2079" s="36" t="s">
        <v>7798</v>
      </c>
      <c r="G2079" s="125" t="s">
        <v>893</v>
      </c>
      <c r="H2079" s="125" t="s">
        <v>7799</v>
      </c>
      <c r="I2079" t="s">
        <v>7806</v>
      </c>
    </row>
    <row r="2080">
      <c r="A2080" s="125" t="s">
        <v>5161</v>
      </c>
      <c r="B2080" s="526" t="s">
        <v>5160</v>
      </c>
      <c r="C2080" s="527">
        <v>0.0</v>
      </c>
      <c r="D2080" s="527">
        <v>0.0</v>
      </c>
      <c r="F2080" s="36" t="s">
        <v>7798</v>
      </c>
      <c r="G2080" s="125" t="s">
        <v>893</v>
      </c>
      <c r="H2080" s="125" t="s">
        <v>7799</v>
      </c>
      <c r="I2080" t="s">
        <v>7806</v>
      </c>
    </row>
    <row r="2081">
      <c r="A2081" s="125" t="s">
        <v>5163</v>
      </c>
      <c r="B2081" s="526" t="s">
        <v>5162</v>
      </c>
      <c r="C2081" s="527">
        <v>0.0</v>
      </c>
      <c r="D2081" s="527">
        <v>0.0</v>
      </c>
      <c r="F2081" s="36" t="s">
        <v>7798</v>
      </c>
      <c r="G2081" s="125" t="s">
        <v>893</v>
      </c>
      <c r="H2081" s="125" t="s">
        <v>7799</v>
      </c>
      <c r="I2081" t="s">
        <v>7806</v>
      </c>
    </row>
    <row r="2082">
      <c r="A2082" s="125" t="s">
        <v>5165</v>
      </c>
      <c r="B2082" s="526" t="s">
        <v>5164</v>
      </c>
      <c r="C2082" s="527">
        <v>0.0</v>
      </c>
      <c r="D2082" s="527">
        <v>0.0</v>
      </c>
      <c r="F2082" s="36" t="s">
        <v>7798</v>
      </c>
      <c r="G2082" s="125" t="s">
        <v>893</v>
      </c>
      <c r="H2082" s="125" t="s">
        <v>7799</v>
      </c>
      <c r="I2082" t="s">
        <v>7806</v>
      </c>
    </row>
    <row r="2083">
      <c r="A2083" s="125" t="s">
        <v>5167</v>
      </c>
      <c r="B2083" s="526" t="s">
        <v>5166</v>
      </c>
      <c r="C2083" s="527">
        <v>0.0</v>
      </c>
      <c r="D2083" s="527">
        <v>0.0</v>
      </c>
      <c r="F2083" s="36" t="s">
        <v>7798</v>
      </c>
      <c r="G2083" s="125" t="s">
        <v>893</v>
      </c>
      <c r="H2083" s="125" t="s">
        <v>7799</v>
      </c>
      <c r="I2083" t="s">
        <v>7806</v>
      </c>
    </row>
    <row r="2084">
      <c r="A2084" s="125" t="s">
        <v>5169</v>
      </c>
      <c r="B2084" s="526" t="s">
        <v>5168</v>
      </c>
      <c r="C2084" s="527">
        <v>0.0</v>
      </c>
      <c r="D2084" s="527">
        <v>0.0</v>
      </c>
      <c r="F2084" s="36" t="s">
        <v>7798</v>
      </c>
      <c r="G2084" s="125" t="s">
        <v>893</v>
      </c>
      <c r="H2084" s="125" t="s">
        <v>7799</v>
      </c>
      <c r="I2084" t="s">
        <v>7806</v>
      </c>
    </row>
    <row r="2085">
      <c r="A2085" s="125" t="s">
        <v>5171</v>
      </c>
      <c r="B2085" s="526" t="s">
        <v>5170</v>
      </c>
      <c r="C2085" s="527">
        <v>0.0</v>
      </c>
      <c r="D2085" s="527">
        <v>0.0</v>
      </c>
      <c r="F2085" s="36" t="s">
        <v>7798</v>
      </c>
      <c r="G2085" s="125" t="s">
        <v>893</v>
      </c>
      <c r="H2085" s="125" t="s">
        <v>7799</v>
      </c>
      <c r="I2085" t="s">
        <v>7806</v>
      </c>
    </row>
    <row r="2086">
      <c r="A2086" s="125" t="s">
        <v>5173</v>
      </c>
      <c r="B2086" s="526" t="s">
        <v>5172</v>
      </c>
      <c r="C2086" s="527">
        <v>0.0</v>
      </c>
      <c r="D2086" s="527">
        <v>0.0</v>
      </c>
      <c r="F2086" s="36" t="s">
        <v>7798</v>
      </c>
      <c r="G2086" s="125" t="s">
        <v>893</v>
      </c>
      <c r="H2086" s="125" t="s">
        <v>7799</v>
      </c>
      <c r="I2086" t="s">
        <v>7806</v>
      </c>
    </row>
    <row r="2087">
      <c r="A2087" s="125" t="s">
        <v>5175</v>
      </c>
      <c r="B2087" s="526" t="s">
        <v>5174</v>
      </c>
      <c r="C2087" s="527">
        <v>0.0</v>
      </c>
      <c r="D2087" s="527">
        <v>0.0</v>
      </c>
      <c r="F2087" s="36" t="s">
        <v>7798</v>
      </c>
      <c r="G2087" s="125" t="s">
        <v>893</v>
      </c>
      <c r="H2087" s="125" t="s">
        <v>7799</v>
      </c>
      <c r="I2087" t="s">
        <v>7806</v>
      </c>
    </row>
    <row r="2088">
      <c r="A2088" s="125" t="s">
        <v>5177</v>
      </c>
      <c r="B2088" s="526" t="s">
        <v>5176</v>
      </c>
      <c r="C2088" s="527">
        <v>0.0</v>
      </c>
      <c r="D2088" s="527">
        <v>0.0</v>
      </c>
      <c r="F2088" s="36" t="s">
        <v>7798</v>
      </c>
      <c r="G2088" s="125" t="s">
        <v>893</v>
      </c>
      <c r="H2088" s="125" t="s">
        <v>7799</v>
      </c>
      <c r="I2088" t="s">
        <v>7806</v>
      </c>
    </row>
    <row r="2089">
      <c r="A2089" s="125" t="s">
        <v>5179</v>
      </c>
      <c r="B2089" s="526" t="s">
        <v>5178</v>
      </c>
      <c r="C2089" s="527">
        <v>0.0</v>
      </c>
      <c r="D2089" s="527">
        <v>0.0</v>
      </c>
      <c r="F2089" s="36" t="s">
        <v>7807</v>
      </c>
      <c r="G2089" s="125" t="s">
        <v>893</v>
      </c>
      <c r="H2089" s="125" t="s">
        <v>7799</v>
      </c>
      <c r="I2089" t="s">
        <v>7806</v>
      </c>
    </row>
    <row r="2090">
      <c r="A2090" s="125" t="s">
        <v>5181</v>
      </c>
      <c r="B2090" s="526" t="s">
        <v>5180</v>
      </c>
      <c r="C2090" s="527">
        <v>0.0</v>
      </c>
      <c r="D2090" s="527">
        <v>0.0</v>
      </c>
      <c r="F2090" s="36" t="s">
        <v>7798</v>
      </c>
      <c r="G2090" s="125" t="s">
        <v>893</v>
      </c>
      <c r="H2090" s="125" t="s">
        <v>7799</v>
      </c>
      <c r="I2090" t="s">
        <v>45</v>
      </c>
    </row>
    <row r="2091">
      <c r="A2091" s="125" t="s">
        <v>5190</v>
      </c>
      <c r="B2091" s="526">
        <v>91801.0</v>
      </c>
      <c r="C2091" s="527">
        <v>0.0</v>
      </c>
      <c r="D2091" s="527">
        <v>0.0</v>
      </c>
      <c r="F2091" s="36" t="s">
        <v>7798</v>
      </c>
      <c r="G2091" s="125" t="s">
        <v>893</v>
      </c>
      <c r="H2091" s="125" t="s">
        <v>7799</v>
      </c>
      <c r="I2091" t="s">
        <v>7859</v>
      </c>
    </row>
    <row r="2092">
      <c r="A2092" s="125" t="s">
        <v>5191</v>
      </c>
      <c r="B2092" s="526">
        <v>91803.0</v>
      </c>
      <c r="C2092" s="527">
        <v>0.0</v>
      </c>
      <c r="D2092" s="527">
        <v>0.0</v>
      </c>
      <c r="F2092" s="36" t="s">
        <v>7798</v>
      </c>
      <c r="G2092" s="125" t="s">
        <v>893</v>
      </c>
      <c r="H2092" s="125" t="s">
        <v>7799</v>
      </c>
      <c r="I2092" t="s">
        <v>7859</v>
      </c>
    </row>
    <row r="2093">
      <c r="A2093" s="125" t="s">
        <v>5192</v>
      </c>
      <c r="B2093" s="526">
        <v>91804.0</v>
      </c>
      <c r="C2093" s="527">
        <v>0.0</v>
      </c>
      <c r="D2093" s="527">
        <v>0.0</v>
      </c>
      <c r="F2093" s="36" t="s">
        <v>7798</v>
      </c>
      <c r="G2093" s="125" t="s">
        <v>893</v>
      </c>
      <c r="H2093" s="125" t="s">
        <v>7799</v>
      </c>
      <c r="I2093" t="s">
        <v>7859</v>
      </c>
    </row>
    <row r="2094">
      <c r="A2094" s="125" t="s">
        <v>5193</v>
      </c>
      <c r="B2094" s="526">
        <v>91802.0</v>
      </c>
      <c r="C2094" s="527">
        <v>0.0</v>
      </c>
      <c r="D2094" s="527">
        <v>0.0</v>
      </c>
      <c r="F2094" s="36" t="s">
        <v>7798</v>
      </c>
      <c r="G2094" s="125" t="s">
        <v>893</v>
      </c>
      <c r="H2094" s="125" t="s">
        <v>7799</v>
      </c>
      <c r="I2094" t="s">
        <v>7859</v>
      </c>
    </row>
    <row r="2095">
      <c r="A2095" s="125" t="s">
        <v>5195</v>
      </c>
      <c r="B2095" s="526" t="s">
        <v>5194</v>
      </c>
      <c r="C2095" s="527">
        <v>0.0</v>
      </c>
      <c r="D2095" s="527">
        <v>0.0</v>
      </c>
      <c r="F2095" s="36" t="s">
        <v>7798</v>
      </c>
      <c r="G2095" s="125" t="s">
        <v>893</v>
      </c>
      <c r="H2095" s="125" t="s">
        <v>7799</v>
      </c>
      <c r="I2095" t="s">
        <v>45</v>
      </c>
    </row>
    <row r="2096">
      <c r="A2096" s="125" t="s">
        <v>5199</v>
      </c>
      <c r="B2096" s="526" t="s">
        <v>5198</v>
      </c>
      <c r="C2096" s="527">
        <v>12.0</v>
      </c>
      <c r="D2096" s="527">
        <v>6.48</v>
      </c>
      <c r="E2096" s="528">
        <v>0.54</v>
      </c>
      <c r="F2096" s="36" t="s">
        <v>7798</v>
      </c>
      <c r="G2096" s="125" t="s">
        <v>913</v>
      </c>
      <c r="H2096" s="125" t="s">
        <v>7821</v>
      </c>
      <c r="I2096" t="s">
        <v>7834</v>
      </c>
    </row>
    <row r="2097">
      <c r="A2097" s="125" t="s">
        <v>5201</v>
      </c>
      <c r="B2097" s="526" t="s">
        <v>5200</v>
      </c>
      <c r="C2097" s="527">
        <v>1.0</v>
      </c>
      <c r="D2097" s="527">
        <v>34.67</v>
      </c>
      <c r="E2097" s="528">
        <v>34.67</v>
      </c>
      <c r="F2097" s="36" t="s">
        <v>7798</v>
      </c>
      <c r="G2097" s="125" t="s">
        <v>913</v>
      </c>
      <c r="I2097" t="s">
        <v>45</v>
      </c>
    </row>
    <row r="2098">
      <c r="A2098" s="125" t="s">
        <v>5203</v>
      </c>
      <c r="B2098" s="526" t="s">
        <v>5202</v>
      </c>
      <c r="C2098" s="527">
        <v>0.0</v>
      </c>
      <c r="D2098" s="527">
        <v>0.0</v>
      </c>
      <c r="F2098" s="36" t="s">
        <v>7798</v>
      </c>
      <c r="G2098" s="125" t="s">
        <v>893</v>
      </c>
      <c r="H2098" s="125" t="s">
        <v>7801</v>
      </c>
      <c r="I2098" t="s">
        <v>7867</v>
      </c>
    </row>
    <row r="2099">
      <c r="A2099" s="125" t="s">
        <v>5205</v>
      </c>
      <c r="B2099" s="526" t="s">
        <v>5204</v>
      </c>
      <c r="C2099" s="527">
        <v>0.0</v>
      </c>
      <c r="D2099" s="527">
        <v>0.0</v>
      </c>
      <c r="F2099" s="36" t="s">
        <v>7798</v>
      </c>
      <c r="G2099" s="125" t="s">
        <v>893</v>
      </c>
      <c r="H2099" s="125" t="s">
        <v>7801</v>
      </c>
      <c r="I2099" t="s">
        <v>7867</v>
      </c>
    </row>
    <row r="2100">
      <c r="A2100" s="125" t="s">
        <v>679</v>
      </c>
      <c r="B2100" s="526" t="s">
        <v>680</v>
      </c>
      <c r="C2100" s="527">
        <v>340.0</v>
      </c>
      <c r="D2100" s="527">
        <v>903.03</v>
      </c>
      <c r="E2100" s="528">
        <v>2.656</v>
      </c>
      <c r="F2100" s="36" t="s">
        <v>7798</v>
      </c>
      <c r="G2100" s="125" t="s">
        <v>913</v>
      </c>
      <c r="H2100" s="125" t="s">
        <v>569</v>
      </c>
      <c r="I2100" t="s">
        <v>670</v>
      </c>
    </row>
    <row r="2101">
      <c r="A2101" s="125" t="s">
        <v>677</v>
      </c>
      <c r="B2101" s="526" t="s">
        <v>678</v>
      </c>
      <c r="C2101" s="527">
        <v>416.0</v>
      </c>
      <c r="D2101" s="527">
        <v>1105.0</v>
      </c>
      <c r="E2101" s="528">
        <v>2.6563</v>
      </c>
      <c r="F2101" s="36" t="s">
        <v>7798</v>
      </c>
      <c r="G2101" s="125" t="s">
        <v>913</v>
      </c>
      <c r="H2101" s="125" t="s">
        <v>569</v>
      </c>
      <c r="I2101" t="s">
        <v>670</v>
      </c>
    </row>
    <row r="2102">
      <c r="A2102" s="125" t="s">
        <v>675</v>
      </c>
      <c r="B2102" s="526" t="s">
        <v>676</v>
      </c>
      <c r="C2102" s="527">
        <v>456.0</v>
      </c>
      <c r="D2102" s="527">
        <v>1211.29</v>
      </c>
      <c r="E2102" s="528">
        <v>2.6563</v>
      </c>
      <c r="F2102" s="36" t="s">
        <v>7798</v>
      </c>
      <c r="G2102" s="125" t="s">
        <v>913</v>
      </c>
      <c r="H2102" s="125" t="s">
        <v>569</v>
      </c>
      <c r="I2102" t="s">
        <v>670</v>
      </c>
    </row>
    <row r="2103">
      <c r="A2103" s="125" t="s">
        <v>673</v>
      </c>
      <c r="B2103" s="526" t="s">
        <v>674</v>
      </c>
      <c r="C2103" s="527">
        <v>361.0</v>
      </c>
      <c r="D2103" s="527">
        <v>958.85</v>
      </c>
      <c r="E2103" s="528">
        <v>2.6561</v>
      </c>
      <c r="F2103" s="36" t="s">
        <v>7798</v>
      </c>
      <c r="G2103" s="125" t="s">
        <v>913</v>
      </c>
      <c r="H2103" s="125" t="s">
        <v>569</v>
      </c>
      <c r="I2103" t="s">
        <v>670</v>
      </c>
    </row>
    <row r="2104">
      <c r="A2104" s="125" t="s">
        <v>748</v>
      </c>
      <c r="B2104" s="526" t="s">
        <v>749</v>
      </c>
      <c r="C2104" s="527">
        <v>413.0</v>
      </c>
      <c r="D2104" s="527">
        <v>1097.0</v>
      </c>
      <c r="E2104" s="528">
        <v>2.6562</v>
      </c>
      <c r="F2104" s="36" t="s">
        <v>7798</v>
      </c>
      <c r="G2104" s="125" t="s">
        <v>913</v>
      </c>
      <c r="H2104" s="125" t="s">
        <v>569</v>
      </c>
      <c r="I2104" t="s">
        <v>670</v>
      </c>
    </row>
    <row r="2105">
      <c r="A2105" s="125" t="s">
        <v>671</v>
      </c>
      <c r="B2105" s="526" t="s">
        <v>672</v>
      </c>
      <c r="C2105" s="527">
        <v>360.0</v>
      </c>
      <c r="D2105" s="527">
        <v>956.23</v>
      </c>
      <c r="E2105" s="528">
        <v>2.6562</v>
      </c>
      <c r="F2105" s="36" t="s">
        <v>7798</v>
      </c>
      <c r="G2105" s="125" t="s">
        <v>913</v>
      </c>
      <c r="H2105" s="125" t="s">
        <v>569</v>
      </c>
      <c r="I2105" t="s">
        <v>670</v>
      </c>
    </row>
    <row r="2106">
      <c r="A2106" s="125" t="s">
        <v>5207</v>
      </c>
      <c r="B2106" s="526" t="s">
        <v>5206</v>
      </c>
      <c r="C2106" s="527">
        <v>0.0</v>
      </c>
      <c r="D2106" s="527">
        <v>0.0</v>
      </c>
      <c r="F2106" s="36" t="s">
        <v>7798</v>
      </c>
      <c r="G2106" s="125" t="s">
        <v>893</v>
      </c>
      <c r="H2106" s="125" t="s">
        <v>7799</v>
      </c>
      <c r="I2106" t="s">
        <v>7826</v>
      </c>
    </row>
    <row r="2107">
      <c r="A2107" s="125" t="s">
        <v>5209</v>
      </c>
      <c r="B2107" s="526" t="s">
        <v>5208</v>
      </c>
      <c r="C2107" s="527">
        <v>0.0</v>
      </c>
      <c r="D2107" s="527">
        <v>0.0</v>
      </c>
      <c r="F2107" s="36" t="s">
        <v>7798</v>
      </c>
      <c r="G2107" s="125" t="s">
        <v>893</v>
      </c>
      <c r="H2107" s="125" t="s">
        <v>7799</v>
      </c>
      <c r="I2107" t="s">
        <v>7826</v>
      </c>
    </row>
    <row r="2108">
      <c r="A2108" s="125" t="s">
        <v>5211</v>
      </c>
      <c r="B2108" s="526" t="s">
        <v>5210</v>
      </c>
      <c r="C2108" s="527">
        <v>0.0</v>
      </c>
      <c r="D2108" s="527">
        <v>0.0</v>
      </c>
      <c r="F2108" s="36" t="s">
        <v>7798</v>
      </c>
      <c r="G2108" s="125" t="s">
        <v>893</v>
      </c>
      <c r="H2108" s="125" t="s">
        <v>7799</v>
      </c>
      <c r="I2108" t="s">
        <v>7826</v>
      </c>
    </row>
    <row r="2109">
      <c r="A2109" s="125" t="s">
        <v>5213</v>
      </c>
      <c r="B2109" s="526" t="s">
        <v>5212</v>
      </c>
      <c r="C2109" s="527">
        <v>400.0</v>
      </c>
      <c r="D2109" s="527">
        <v>329.64</v>
      </c>
      <c r="E2109" s="528">
        <v>0.8241</v>
      </c>
      <c r="F2109" s="36" t="s">
        <v>7798</v>
      </c>
      <c r="G2109" s="125" t="s">
        <v>893</v>
      </c>
      <c r="H2109" s="125" t="s">
        <v>7801</v>
      </c>
      <c r="I2109" t="s">
        <v>7845</v>
      </c>
    </row>
    <row r="2110">
      <c r="A2110" s="125" t="s">
        <v>5215</v>
      </c>
      <c r="B2110" s="526" t="s">
        <v>5214</v>
      </c>
      <c r="C2110" s="527">
        <v>0.0</v>
      </c>
      <c r="D2110" s="527">
        <v>0.0</v>
      </c>
      <c r="F2110" s="36" t="s">
        <v>7798</v>
      </c>
      <c r="G2110" s="125" t="s">
        <v>913</v>
      </c>
      <c r="H2110" s="125" t="s">
        <v>7801</v>
      </c>
      <c r="I2110" t="s">
        <v>7848</v>
      </c>
    </row>
    <row r="2111">
      <c r="A2111" s="125" t="s">
        <v>5217</v>
      </c>
      <c r="B2111" s="526" t="s">
        <v>5216</v>
      </c>
      <c r="C2111" s="527">
        <v>0.0</v>
      </c>
      <c r="D2111" s="527">
        <v>0.0</v>
      </c>
      <c r="F2111" s="36" t="s">
        <v>7798</v>
      </c>
      <c r="G2111" s="125" t="s">
        <v>893</v>
      </c>
      <c r="H2111" s="125" t="s">
        <v>7801</v>
      </c>
      <c r="I2111" t="s">
        <v>7876</v>
      </c>
    </row>
    <row r="2112">
      <c r="A2112" s="125" t="s">
        <v>5219</v>
      </c>
      <c r="B2112" s="526" t="s">
        <v>5218</v>
      </c>
      <c r="C2112" s="527">
        <v>0.0</v>
      </c>
      <c r="D2112" s="527">
        <v>0.0</v>
      </c>
      <c r="F2112" s="36" t="s">
        <v>7798</v>
      </c>
      <c r="G2112" s="125" t="s">
        <v>893</v>
      </c>
      <c r="H2112" s="125" t="s">
        <v>7801</v>
      </c>
      <c r="I2112" t="s">
        <v>7876</v>
      </c>
    </row>
    <row r="2113">
      <c r="A2113" s="125" t="s">
        <v>5221</v>
      </c>
      <c r="B2113" s="526" t="s">
        <v>5220</v>
      </c>
      <c r="C2113" s="527">
        <v>0.0</v>
      </c>
      <c r="D2113" s="527">
        <v>0.0</v>
      </c>
      <c r="F2113" s="36" t="s">
        <v>7798</v>
      </c>
      <c r="G2113" s="125" t="s">
        <v>893</v>
      </c>
      <c r="H2113" s="125" t="s">
        <v>7801</v>
      </c>
      <c r="I2113" t="s">
        <v>7851</v>
      </c>
    </row>
    <row r="2114">
      <c r="A2114" s="125" t="s">
        <v>5223</v>
      </c>
      <c r="B2114" s="526" t="s">
        <v>5222</v>
      </c>
      <c r="C2114" s="527">
        <v>0.0</v>
      </c>
      <c r="D2114" s="527">
        <v>0.0</v>
      </c>
      <c r="F2114" s="36" t="s">
        <v>7798</v>
      </c>
      <c r="G2114" s="125" t="s">
        <v>913</v>
      </c>
      <c r="H2114" s="125" t="s">
        <v>7801</v>
      </c>
      <c r="I2114" t="s">
        <v>7876</v>
      </c>
    </row>
    <row r="2115">
      <c r="A2115" s="125" t="s">
        <v>5225</v>
      </c>
      <c r="B2115" s="526" t="s">
        <v>5224</v>
      </c>
      <c r="C2115" s="527">
        <v>0.0</v>
      </c>
      <c r="D2115" s="527">
        <v>0.0</v>
      </c>
      <c r="F2115" s="36" t="s">
        <v>7798</v>
      </c>
      <c r="G2115" s="125" t="s">
        <v>913</v>
      </c>
      <c r="H2115" s="125" t="s">
        <v>7801</v>
      </c>
      <c r="I2115" t="s">
        <v>7876</v>
      </c>
    </row>
    <row r="2116">
      <c r="A2116" s="125" t="s">
        <v>5227</v>
      </c>
      <c r="B2116" s="526" t="s">
        <v>5226</v>
      </c>
      <c r="C2116" s="527">
        <v>0.0</v>
      </c>
      <c r="D2116" s="527">
        <v>0.0</v>
      </c>
      <c r="F2116" s="36" t="s">
        <v>7798</v>
      </c>
      <c r="G2116" s="125" t="s">
        <v>913</v>
      </c>
      <c r="H2116" s="125" t="s">
        <v>7801</v>
      </c>
      <c r="I2116" t="s">
        <v>7847</v>
      </c>
    </row>
    <row r="2117">
      <c r="A2117" s="125" t="s">
        <v>5229</v>
      </c>
      <c r="B2117" s="526" t="s">
        <v>5228</v>
      </c>
      <c r="C2117" s="527">
        <v>0.0</v>
      </c>
      <c r="D2117" s="527">
        <v>0.0</v>
      </c>
      <c r="F2117" s="36" t="s">
        <v>7798</v>
      </c>
      <c r="G2117" s="125" t="s">
        <v>913</v>
      </c>
      <c r="H2117" s="125" t="s">
        <v>7801</v>
      </c>
      <c r="I2117" t="s">
        <v>7876</v>
      </c>
    </row>
    <row r="2118">
      <c r="A2118" s="125" t="s">
        <v>5231</v>
      </c>
      <c r="B2118" s="526" t="s">
        <v>5230</v>
      </c>
      <c r="C2118" s="527">
        <v>0.0</v>
      </c>
      <c r="D2118" s="527">
        <v>0.0</v>
      </c>
      <c r="F2118" s="36" t="s">
        <v>7798</v>
      </c>
      <c r="G2118" s="125" t="s">
        <v>913</v>
      </c>
      <c r="H2118" s="125" t="s">
        <v>7801</v>
      </c>
      <c r="I2118" t="s">
        <v>7876</v>
      </c>
    </row>
    <row r="2119">
      <c r="A2119" s="125" t="s">
        <v>5233</v>
      </c>
      <c r="B2119" s="526" t="s">
        <v>5232</v>
      </c>
      <c r="C2119" s="527">
        <v>0.0</v>
      </c>
      <c r="D2119" s="527">
        <v>0.0</v>
      </c>
      <c r="F2119" s="36" t="s">
        <v>7798</v>
      </c>
      <c r="G2119" s="125" t="s">
        <v>893</v>
      </c>
      <c r="H2119" s="125" t="s">
        <v>7801</v>
      </c>
      <c r="I2119" t="s">
        <v>7845</v>
      </c>
    </row>
    <row r="2120">
      <c r="A2120" s="125" t="s">
        <v>5235</v>
      </c>
      <c r="B2120" s="526" t="s">
        <v>5234</v>
      </c>
      <c r="C2120" s="527">
        <v>0.0</v>
      </c>
      <c r="D2120" s="527">
        <v>0.0</v>
      </c>
      <c r="F2120" s="36" t="s">
        <v>7798</v>
      </c>
      <c r="G2120" s="125" t="s">
        <v>893</v>
      </c>
      <c r="H2120" s="125" t="s">
        <v>7801</v>
      </c>
      <c r="I2120" t="s">
        <v>7848</v>
      </c>
    </row>
    <row r="2121">
      <c r="A2121" s="125" t="s">
        <v>5237</v>
      </c>
      <c r="B2121" s="526" t="s">
        <v>5236</v>
      </c>
      <c r="C2121" s="527">
        <v>0.0</v>
      </c>
      <c r="D2121" s="527">
        <v>0.0</v>
      </c>
      <c r="F2121" s="36" t="s">
        <v>7798</v>
      </c>
      <c r="G2121" s="125" t="s">
        <v>913</v>
      </c>
      <c r="H2121" s="125" t="s">
        <v>7801</v>
      </c>
      <c r="I2121" t="s">
        <v>7876</v>
      </c>
    </row>
    <row r="2122">
      <c r="A2122" s="125" t="s">
        <v>5239</v>
      </c>
      <c r="B2122" s="526" t="s">
        <v>5238</v>
      </c>
      <c r="C2122" s="527">
        <v>0.0</v>
      </c>
      <c r="D2122" s="527">
        <v>0.0</v>
      </c>
      <c r="F2122" s="36" t="s">
        <v>7798</v>
      </c>
      <c r="G2122" s="125" t="s">
        <v>893</v>
      </c>
      <c r="H2122" s="125" t="s">
        <v>7801</v>
      </c>
      <c r="I2122" t="s">
        <v>7876</v>
      </c>
    </row>
    <row r="2123">
      <c r="A2123" s="125" t="s">
        <v>5241</v>
      </c>
      <c r="B2123" s="526" t="s">
        <v>5240</v>
      </c>
      <c r="C2123" s="527">
        <v>0.0</v>
      </c>
      <c r="D2123" s="527">
        <v>0.0</v>
      </c>
      <c r="F2123" s="36" t="s">
        <v>7798</v>
      </c>
      <c r="G2123" s="125" t="s">
        <v>913</v>
      </c>
      <c r="H2123" s="125" t="s">
        <v>7801</v>
      </c>
      <c r="I2123" t="s">
        <v>7851</v>
      </c>
    </row>
    <row r="2124">
      <c r="A2124" s="125" t="s">
        <v>5243</v>
      </c>
      <c r="B2124" s="526" t="s">
        <v>5242</v>
      </c>
      <c r="C2124" s="527">
        <v>0.0</v>
      </c>
      <c r="D2124" s="527">
        <v>0.0</v>
      </c>
      <c r="F2124" s="36" t="s">
        <v>7798</v>
      </c>
      <c r="G2124" s="125" t="s">
        <v>893</v>
      </c>
      <c r="H2124" s="125" t="s">
        <v>7801</v>
      </c>
      <c r="I2124" t="s">
        <v>7876</v>
      </c>
    </row>
    <row r="2125">
      <c r="A2125" s="125" t="s">
        <v>5245</v>
      </c>
      <c r="B2125" s="526" t="s">
        <v>5244</v>
      </c>
      <c r="C2125" s="527">
        <v>0.0</v>
      </c>
      <c r="D2125" s="527">
        <v>0.0</v>
      </c>
      <c r="F2125" s="36" t="s">
        <v>7798</v>
      </c>
      <c r="G2125" s="125" t="s">
        <v>913</v>
      </c>
      <c r="H2125" s="125" t="s">
        <v>7801</v>
      </c>
      <c r="I2125" t="s">
        <v>7876</v>
      </c>
    </row>
    <row r="2126">
      <c r="A2126" s="125" t="s">
        <v>5247</v>
      </c>
      <c r="B2126" s="526" t="s">
        <v>5246</v>
      </c>
      <c r="C2126" s="527">
        <v>0.0</v>
      </c>
      <c r="D2126" s="527">
        <v>0.0</v>
      </c>
      <c r="F2126" s="36" t="s">
        <v>7798</v>
      </c>
      <c r="G2126" s="125" t="s">
        <v>913</v>
      </c>
      <c r="H2126" s="125" t="s">
        <v>7801</v>
      </c>
      <c r="I2126" t="s">
        <v>7847</v>
      </c>
    </row>
    <row r="2127">
      <c r="A2127" s="125" t="s">
        <v>5249</v>
      </c>
      <c r="B2127" s="526" t="s">
        <v>5248</v>
      </c>
      <c r="C2127" s="527">
        <v>0.0</v>
      </c>
      <c r="D2127" s="527">
        <v>0.0</v>
      </c>
      <c r="F2127" s="36" t="s">
        <v>7798</v>
      </c>
      <c r="G2127" s="125" t="s">
        <v>913</v>
      </c>
      <c r="H2127" s="125" t="s">
        <v>7801</v>
      </c>
      <c r="I2127" t="s">
        <v>7876</v>
      </c>
    </row>
    <row r="2128">
      <c r="A2128" s="125" t="s">
        <v>5251</v>
      </c>
      <c r="B2128" s="526" t="s">
        <v>5250</v>
      </c>
      <c r="C2128" s="527">
        <v>0.0</v>
      </c>
      <c r="D2128" s="527">
        <v>0.0</v>
      </c>
      <c r="F2128" s="36" t="s">
        <v>7798</v>
      </c>
      <c r="G2128" s="125" t="s">
        <v>893</v>
      </c>
      <c r="H2128" s="125" t="s">
        <v>7801</v>
      </c>
      <c r="I2128" t="s">
        <v>7845</v>
      </c>
    </row>
    <row r="2129">
      <c r="A2129" s="125" t="s">
        <v>5253</v>
      </c>
      <c r="B2129" s="526" t="s">
        <v>5252</v>
      </c>
      <c r="C2129" s="527">
        <v>100.0</v>
      </c>
      <c r="D2129" s="527">
        <v>63.34</v>
      </c>
      <c r="E2129" s="528">
        <v>0.6334</v>
      </c>
      <c r="F2129" s="36" t="s">
        <v>7798</v>
      </c>
      <c r="G2129" s="125" t="s">
        <v>913</v>
      </c>
      <c r="H2129" s="125" t="s">
        <v>7801</v>
      </c>
      <c r="I2129" t="s">
        <v>7848</v>
      </c>
    </row>
    <row r="2130">
      <c r="A2130" s="125" t="s">
        <v>5255</v>
      </c>
      <c r="B2130" s="526" t="s">
        <v>5254</v>
      </c>
      <c r="C2130" s="527">
        <v>0.0</v>
      </c>
      <c r="D2130" s="527">
        <v>0.0</v>
      </c>
      <c r="F2130" s="36" t="s">
        <v>7798</v>
      </c>
      <c r="G2130" s="125" t="s">
        <v>893</v>
      </c>
      <c r="H2130" s="125" t="s">
        <v>7801</v>
      </c>
      <c r="I2130" t="s">
        <v>7876</v>
      </c>
    </row>
    <row r="2131">
      <c r="A2131" s="125" t="s">
        <v>5257</v>
      </c>
      <c r="B2131" s="526" t="s">
        <v>5256</v>
      </c>
      <c r="C2131" s="527">
        <v>0.0</v>
      </c>
      <c r="D2131" s="527">
        <v>0.0</v>
      </c>
      <c r="F2131" s="36" t="s">
        <v>7798</v>
      </c>
      <c r="G2131" s="125" t="s">
        <v>893</v>
      </c>
      <c r="H2131" s="125" t="s">
        <v>7801</v>
      </c>
      <c r="I2131" t="s">
        <v>7876</v>
      </c>
    </row>
    <row r="2132">
      <c r="A2132" s="125" t="s">
        <v>5259</v>
      </c>
      <c r="B2132" s="526" t="s">
        <v>5258</v>
      </c>
      <c r="C2132" s="527">
        <v>300.0</v>
      </c>
      <c r="D2132" s="527">
        <v>239.27</v>
      </c>
      <c r="E2132" s="528">
        <v>0.7976</v>
      </c>
      <c r="F2132" s="36" t="s">
        <v>7798</v>
      </c>
      <c r="G2132" s="125" t="s">
        <v>893</v>
      </c>
      <c r="H2132" s="125" t="s">
        <v>7801</v>
      </c>
      <c r="I2132" t="s">
        <v>7851</v>
      </c>
    </row>
    <row r="2133">
      <c r="A2133" s="125" t="s">
        <v>5261</v>
      </c>
      <c r="B2133" s="526" t="s">
        <v>5260</v>
      </c>
      <c r="C2133" s="527">
        <v>0.0</v>
      </c>
      <c r="D2133" s="527">
        <v>0.0</v>
      </c>
      <c r="F2133" s="36" t="s">
        <v>7798</v>
      </c>
      <c r="G2133" s="125" t="s">
        <v>893</v>
      </c>
      <c r="H2133" s="125" t="s">
        <v>7801</v>
      </c>
      <c r="I2133" t="s">
        <v>7876</v>
      </c>
    </row>
    <row r="2134">
      <c r="A2134" s="125" t="s">
        <v>5263</v>
      </c>
      <c r="B2134" s="526" t="s">
        <v>5262</v>
      </c>
      <c r="C2134" s="527">
        <v>0.0</v>
      </c>
      <c r="D2134" s="527">
        <v>0.0</v>
      </c>
      <c r="F2134" s="36" t="s">
        <v>7798</v>
      </c>
      <c r="G2134" s="125" t="s">
        <v>893</v>
      </c>
      <c r="H2134" s="125" t="s">
        <v>7801</v>
      </c>
      <c r="I2134" t="s">
        <v>7876</v>
      </c>
    </row>
    <row r="2135">
      <c r="A2135" s="125" t="s">
        <v>5265</v>
      </c>
      <c r="B2135" s="526" t="s">
        <v>5264</v>
      </c>
      <c r="C2135" s="527">
        <v>0.0</v>
      </c>
      <c r="D2135" s="527">
        <v>0.0</v>
      </c>
      <c r="F2135" s="36" t="s">
        <v>7798</v>
      </c>
      <c r="G2135" s="125" t="s">
        <v>893</v>
      </c>
      <c r="H2135" s="125" t="s">
        <v>7801</v>
      </c>
      <c r="I2135" t="s">
        <v>7847</v>
      </c>
    </row>
    <row r="2136">
      <c r="A2136" s="125" t="s">
        <v>5267</v>
      </c>
      <c r="B2136" s="526" t="s">
        <v>5266</v>
      </c>
      <c r="C2136" s="527">
        <v>250.0</v>
      </c>
      <c r="D2136" s="527">
        <v>206.02</v>
      </c>
      <c r="E2136" s="528">
        <v>0.8241</v>
      </c>
      <c r="F2136" s="36" t="s">
        <v>7798</v>
      </c>
      <c r="G2136" s="125" t="s">
        <v>893</v>
      </c>
      <c r="H2136" s="125" t="s">
        <v>7801</v>
      </c>
      <c r="I2136" t="s">
        <v>7845</v>
      </c>
    </row>
    <row r="2137">
      <c r="A2137" s="125" t="s">
        <v>5269</v>
      </c>
      <c r="B2137" s="526" t="s">
        <v>5268</v>
      </c>
      <c r="C2137" s="527">
        <v>0.0</v>
      </c>
      <c r="D2137" s="527">
        <v>0.0</v>
      </c>
      <c r="F2137" s="36" t="s">
        <v>7798</v>
      </c>
      <c r="G2137" s="125" t="s">
        <v>893</v>
      </c>
      <c r="H2137" s="125" t="s">
        <v>7801</v>
      </c>
      <c r="I2137" t="s">
        <v>7848</v>
      </c>
    </row>
    <row r="2138">
      <c r="A2138" s="125" t="s">
        <v>5271</v>
      </c>
      <c r="B2138" s="526" t="s">
        <v>5270</v>
      </c>
      <c r="C2138" s="527">
        <v>0.0</v>
      </c>
      <c r="D2138" s="527">
        <v>0.0</v>
      </c>
      <c r="F2138" s="36" t="s">
        <v>7798</v>
      </c>
      <c r="G2138" s="125" t="s">
        <v>893</v>
      </c>
      <c r="H2138" s="125" t="s">
        <v>7801</v>
      </c>
      <c r="I2138" t="s">
        <v>7876</v>
      </c>
    </row>
    <row r="2139">
      <c r="A2139" s="125" t="s">
        <v>5273</v>
      </c>
      <c r="B2139" s="526" t="s">
        <v>5272</v>
      </c>
      <c r="C2139" s="527">
        <v>0.0</v>
      </c>
      <c r="D2139" s="527">
        <v>0.0</v>
      </c>
      <c r="F2139" s="36" t="s">
        <v>7798</v>
      </c>
      <c r="G2139" s="125" t="s">
        <v>893</v>
      </c>
      <c r="H2139" s="125" t="s">
        <v>7801</v>
      </c>
      <c r="I2139" t="s">
        <v>7876</v>
      </c>
    </row>
    <row r="2140">
      <c r="A2140" s="125" t="s">
        <v>5275</v>
      </c>
      <c r="B2140" s="526" t="s">
        <v>5274</v>
      </c>
      <c r="C2140" s="527">
        <v>0.0</v>
      </c>
      <c r="D2140" s="527">
        <v>0.0</v>
      </c>
      <c r="F2140" s="36" t="s">
        <v>7798</v>
      </c>
      <c r="G2140" s="125" t="s">
        <v>893</v>
      </c>
      <c r="H2140" s="125" t="s">
        <v>7801</v>
      </c>
      <c r="I2140" t="s">
        <v>7851</v>
      </c>
    </row>
    <row r="2141">
      <c r="A2141" s="125" t="s">
        <v>5277</v>
      </c>
      <c r="B2141" s="526" t="s">
        <v>5276</v>
      </c>
      <c r="C2141" s="527">
        <v>0.0</v>
      </c>
      <c r="D2141" s="527">
        <v>0.0</v>
      </c>
      <c r="F2141" s="36" t="s">
        <v>7798</v>
      </c>
      <c r="G2141" s="125" t="s">
        <v>893</v>
      </c>
      <c r="H2141" s="125" t="s">
        <v>7801</v>
      </c>
      <c r="I2141" t="s">
        <v>7876</v>
      </c>
    </row>
    <row r="2142">
      <c r="A2142" s="125" t="s">
        <v>5279</v>
      </c>
      <c r="B2142" s="526" t="s">
        <v>5278</v>
      </c>
      <c r="C2142" s="527">
        <v>0.0</v>
      </c>
      <c r="D2142" s="527">
        <v>0.0</v>
      </c>
      <c r="F2142" s="36" t="s">
        <v>7798</v>
      </c>
      <c r="G2142" s="125" t="s">
        <v>893</v>
      </c>
      <c r="H2142" s="125" t="s">
        <v>7801</v>
      </c>
      <c r="I2142" t="s">
        <v>7876</v>
      </c>
    </row>
    <row r="2143">
      <c r="A2143" s="125" t="s">
        <v>5281</v>
      </c>
      <c r="B2143" s="526" t="s">
        <v>5280</v>
      </c>
      <c r="C2143" s="527">
        <v>0.0</v>
      </c>
      <c r="D2143" s="527">
        <v>0.0</v>
      </c>
      <c r="F2143" s="36" t="s">
        <v>7798</v>
      </c>
      <c r="G2143" s="125" t="s">
        <v>893</v>
      </c>
      <c r="H2143" s="125" t="s">
        <v>7801</v>
      </c>
      <c r="I2143" t="s">
        <v>7847</v>
      </c>
    </row>
    <row r="2144">
      <c r="A2144" s="125" t="s">
        <v>5283</v>
      </c>
      <c r="B2144" s="526" t="s">
        <v>5282</v>
      </c>
      <c r="C2144" s="527">
        <v>0.0</v>
      </c>
      <c r="D2144" s="527">
        <v>0.0</v>
      </c>
      <c r="F2144" s="36" t="s">
        <v>7798</v>
      </c>
      <c r="G2144" s="125" t="s">
        <v>913</v>
      </c>
      <c r="H2144" s="125" t="s">
        <v>7801</v>
      </c>
      <c r="I2144" t="s">
        <v>7876</v>
      </c>
    </row>
    <row r="2145">
      <c r="A2145" s="125" t="s">
        <v>5285</v>
      </c>
      <c r="B2145" s="526" t="s">
        <v>5284</v>
      </c>
      <c r="C2145" s="527">
        <v>50.0</v>
      </c>
      <c r="D2145" s="527">
        <v>0.0</v>
      </c>
      <c r="E2145" s="528">
        <v>0.0</v>
      </c>
      <c r="F2145" s="36" t="s">
        <v>7827</v>
      </c>
      <c r="G2145" s="125" t="s">
        <v>913</v>
      </c>
      <c r="H2145" s="125" t="s">
        <v>7828</v>
      </c>
    </row>
    <row r="2146">
      <c r="A2146" s="125" t="s">
        <v>5287</v>
      </c>
      <c r="B2146" s="526" t="s">
        <v>5286</v>
      </c>
      <c r="C2146" s="527">
        <v>50.0</v>
      </c>
      <c r="D2146" s="527">
        <v>0.0</v>
      </c>
      <c r="E2146" s="528">
        <v>0.0</v>
      </c>
      <c r="F2146" s="36" t="s">
        <v>7827</v>
      </c>
      <c r="G2146" s="125" t="s">
        <v>913</v>
      </c>
      <c r="H2146" s="125" t="s">
        <v>7828</v>
      </c>
    </row>
    <row r="2147">
      <c r="A2147" s="125" t="s">
        <v>5301</v>
      </c>
      <c r="B2147" s="526" t="s">
        <v>5300</v>
      </c>
      <c r="C2147" s="527">
        <v>0.0</v>
      </c>
      <c r="D2147" s="527">
        <v>0.0</v>
      </c>
      <c r="F2147" s="36" t="s">
        <v>7827</v>
      </c>
      <c r="G2147" s="125" t="s">
        <v>913</v>
      </c>
      <c r="H2147" s="125" t="s">
        <v>7828</v>
      </c>
    </row>
    <row r="2148">
      <c r="A2148" s="125" t="s">
        <v>5303</v>
      </c>
      <c r="B2148" s="526" t="s">
        <v>5302</v>
      </c>
      <c r="C2148" s="527">
        <v>0.0</v>
      </c>
      <c r="D2148" s="527">
        <v>0.0</v>
      </c>
      <c r="F2148" s="36" t="s">
        <v>7827</v>
      </c>
      <c r="G2148" s="125" t="s">
        <v>913</v>
      </c>
      <c r="H2148" s="125" t="s">
        <v>7828</v>
      </c>
    </row>
    <row r="2149">
      <c r="A2149" s="125" t="s">
        <v>5305</v>
      </c>
      <c r="B2149" s="526" t="s">
        <v>5304</v>
      </c>
      <c r="C2149" s="527">
        <v>0.0</v>
      </c>
      <c r="D2149" s="527">
        <v>0.0</v>
      </c>
      <c r="F2149" s="36" t="s">
        <v>7827</v>
      </c>
      <c r="G2149" s="125" t="s">
        <v>913</v>
      </c>
      <c r="H2149" s="125" t="s">
        <v>7828</v>
      </c>
    </row>
    <row r="2150">
      <c r="A2150" s="125" t="s">
        <v>5307</v>
      </c>
      <c r="B2150" s="526" t="s">
        <v>5306</v>
      </c>
      <c r="C2150" s="527">
        <v>0.0</v>
      </c>
      <c r="D2150" s="527">
        <v>0.0</v>
      </c>
      <c r="F2150" s="36" t="s">
        <v>7827</v>
      </c>
      <c r="G2150" s="125" t="s">
        <v>913</v>
      </c>
      <c r="H2150" s="125" t="s">
        <v>7828</v>
      </c>
    </row>
    <row r="2151">
      <c r="A2151" s="125" t="s">
        <v>5309</v>
      </c>
      <c r="B2151" s="526" t="s">
        <v>5308</v>
      </c>
      <c r="C2151" s="527">
        <v>50.0</v>
      </c>
      <c r="D2151" s="527">
        <v>0.0</v>
      </c>
      <c r="E2151" s="528">
        <v>0.0</v>
      </c>
      <c r="F2151" s="36" t="s">
        <v>7827</v>
      </c>
      <c r="G2151" s="125" t="s">
        <v>913</v>
      </c>
      <c r="H2151" s="125" t="s">
        <v>7828</v>
      </c>
    </row>
    <row r="2152">
      <c r="A2152" s="125" t="s">
        <v>5311</v>
      </c>
      <c r="B2152" s="526" t="s">
        <v>5310</v>
      </c>
      <c r="C2152" s="527">
        <v>50.0</v>
      </c>
      <c r="D2152" s="527">
        <v>0.0</v>
      </c>
      <c r="E2152" s="528">
        <v>0.0</v>
      </c>
      <c r="F2152" s="36" t="s">
        <v>7827</v>
      </c>
      <c r="G2152" s="125" t="s">
        <v>913</v>
      </c>
      <c r="H2152" s="125" t="s">
        <v>7828</v>
      </c>
    </row>
    <row r="2153">
      <c r="A2153" s="125" t="s">
        <v>5313</v>
      </c>
      <c r="B2153" s="526" t="s">
        <v>5312</v>
      </c>
      <c r="C2153" s="527">
        <v>50.0</v>
      </c>
      <c r="D2153" s="527">
        <v>0.0</v>
      </c>
      <c r="E2153" s="528">
        <v>0.0</v>
      </c>
      <c r="F2153" s="36" t="s">
        <v>7827</v>
      </c>
      <c r="G2153" s="125" t="s">
        <v>913</v>
      </c>
      <c r="H2153" s="125" t="s">
        <v>7828</v>
      </c>
    </row>
    <row r="2154">
      <c r="A2154" s="125" t="s">
        <v>5315</v>
      </c>
      <c r="B2154" s="526" t="s">
        <v>5314</v>
      </c>
      <c r="C2154" s="527">
        <v>50.0</v>
      </c>
      <c r="D2154" s="527">
        <v>0.0</v>
      </c>
      <c r="E2154" s="528">
        <v>0.0</v>
      </c>
      <c r="F2154" s="36" t="s">
        <v>7827</v>
      </c>
      <c r="G2154" s="125" t="s">
        <v>913</v>
      </c>
      <c r="H2154" s="125" t="s">
        <v>7828</v>
      </c>
    </row>
    <row r="2155">
      <c r="A2155" s="125" t="s">
        <v>5317</v>
      </c>
      <c r="B2155" s="526" t="s">
        <v>5316</v>
      </c>
      <c r="C2155" s="527">
        <v>50.0</v>
      </c>
      <c r="D2155" s="527">
        <v>0.0</v>
      </c>
      <c r="E2155" s="528">
        <v>0.0</v>
      </c>
      <c r="F2155" s="36" t="s">
        <v>7827</v>
      </c>
      <c r="G2155" s="125" t="s">
        <v>913</v>
      </c>
      <c r="H2155" s="125" t="s">
        <v>7828</v>
      </c>
    </row>
    <row r="2156">
      <c r="A2156" s="125" t="s">
        <v>5319</v>
      </c>
      <c r="B2156" s="526" t="s">
        <v>5318</v>
      </c>
      <c r="C2156" s="527">
        <v>100.0</v>
      </c>
      <c r="D2156" s="527">
        <v>0.0</v>
      </c>
      <c r="E2156" s="528">
        <v>0.0</v>
      </c>
      <c r="F2156" s="36" t="s">
        <v>7827</v>
      </c>
      <c r="G2156" s="125" t="s">
        <v>913</v>
      </c>
      <c r="H2156" s="125" t="s">
        <v>7828</v>
      </c>
    </row>
    <row r="2157">
      <c r="A2157" s="125" t="s">
        <v>5321</v>
      </c>
      <c r="B2157" s="526" t="s">
        <v>5320</v>
      </c>
      <c r="C2157" s="527">
        <v>50.0</v>
      </c>
      <c r="D2157" s="527">
        <v>0.0</v>
      </c>
      <c r="E2157" s="528">
        <v>0.0</v>
      </c>
      <c r="F2157" s="36" t="s">
        <v>7827</v>
      </c>
      <c r="G2157" s="125" t="s">
        <v>913</v>
      </c>
      <c r="H2157" s="125" t="s">
        <v>7828</v>
      </c>
    </row>
    <row r="2158">
      <c r="A2158" s="125" t="s">
        <v>5323</v>
      </c>
      <c r="B2158" s="526" t="s">
        <v>5322</v>
      </c>
      <c r="C2158" s="527">
        <v>1000.0</v>
      </c>
      <c r="D2158" s="527">
        <v>677.83</v>
      </c>
      <c r="E2158" s="528">
        <v>0.6778</v>
      </c>
      <c r="F2158" s="36" t="s">
        <v>7827</v>
      </c>
      <c r="G2158" s="125" t="s">
        <v>913</v>
      </c>
      <c r="H2158" s="125" t="s">
        <v>7840</v>
      </c>
    </row>
    <row r="2159">
      <c r="A2159" s="125" t="s">
        <v>5325</v>
      </c>
      <c r="B2159" s="526" t="s">
        <v>5324</v>
      </c>
      <c r="C2159" s="527">
        <v>1000.0</v>
      </c>
      <c r="D2159" s="527">
        <v>677.91</v>
      </c>
      <c r="E2159" s="528">
        <v>0.6779</v>
      </c>
      <c r="F2159" s="36" t="s">
        <v>7827</v>
      </c>
      <c r="G2159" s="125" t="s">
        <v>913</v>
      </c>
      <c r="H2159" s="125" t="s">
        <v>7840</v>
      </c>
    </row>
    <row r="2160">
      <c r="A2160" s="125" t="s">
        <v>5327</v>
      </c>
      <c r="B2160" s="526" t="s">
        <v>5326</v>
      </c>
      <c r="C2160" s="527">
        <v>1000.0</v>
      </c>
      <c r="D2160" s="527">
        <v>677.91</v>
      </c>
      <c r="E2160" s="528">
        <v>0.6779</v>
      </c>
      <c r="F2160" s="36" t="s">
        <v>7827</v>
      </c>
      <c r="G2160" s="125" t="s">
        <v>913</v>
      </c>
      <c r="H2160" s="125" t="s">
        <v>7840</v>
      </c>
    </row>
    <row r="2161">
      <c r="A2161" s="125" t="s">
        <v>5329</v>
      </c>
      <c r="B2161" s="526" t="s">
        <v>5328</v>
      </c>
      <c r="C2161" s="527">
        <v>0.0</v>
      </c>
      <c r="D2161" s="527">
        <v>0.0</v>
      </c>
      <c r="F2161" s="36" t="s">
        <v>7827</v>
      </c>
      <c r="G2161" s="125" t="s">
        <v>893</v>
      </c>
      <c r="H2161" s="125" t="s">
        <v>7840</v>
      </c>
    </row>
    <row r="2162">
      <c r="A2162" s="125" t="s">
        <v>5331</v>
      </c>
      <c r="B2162" s="526" t="s">
        <v>5330</v>
      </c>
      <c r="C2162" s="527">
        <v>0.0</v>
      </c>
      <c r="D2162" s="527">
        <v>0.0</v>
      </c>
      <c r="F2162" s="36" t="s">
        <v>7827</v>
      </c>
      <c r="G2162" s="125" t="s">
        <v>893</v>
      </c>
      <c r="H2162" s="125" t="s">
        <v>7840</v>
      </c>
    </row>
    <row r="2163">
      <c r="A2163" s="125" t="s">
        <v>5333</v>
      </c>
      <c r="B2163" s="526" t="s">
        <v>5332</v>
      </c>
      <c r="C2163" s="527">
        <v>0.0</v>
      </c>
      <c r="D2163" s="527">
        <v>0.0</v>
      </c>
      <c r="F2163" s="36" t="s">
        <v>7827</v>
      </c>
      <c r="G2163" s="125" t="s">
        <v>893</v>
      </c>
      <c r="H2163" s="125" t="s">
        <v>7840</v>
      </c>
    </row>
    <row r="2164">
      <c r="A2164" s="125" t="s">
        <v>5335</v>
      </c>
      <c r="B2164" s="526" t="s">
        <v>5334</v>
      </c>
      <c r="C2164" s="527">
        <v>0.0</v>
      </c>
      <c r="D2164" s="527">
        <v>0.0</v>
      </c>
      <c r="F2164" s="36" t="s">
        <v>7827</v>
      </c>
      <c r="G2164" s="125" t="s">
        <v>893</v>
      </c>
      <c r="H2164" s="125" t="s">
        <v>7840</v>
      </c>
    </row>
    <row r="2165">
      <c r="A2165" s="125" t="s">
        <v>5337</v>
      </c>
      <c r="B2165" s="526" t="s">
        <v>5336</v>
      </c>
      <c r="C2165" s="527">
        <v>0.0</v>
      </c>
      <c r="D2165" s="527">
        <v>0.0</v>
      </c>
      <c r="F2165" s="36" t="s">
        <v>7827</v>
      </c>
      <c r="G2165" s="125" t="s">
        <v>893</v>
      </c>
      <c r="H2165" s="125" t="s">
        <v>7840</v>
      </c>
    </row>
    <row r="2166">
      <c r="A2166" s="125" t="s">
        <v>5339</v>
      </c>
      <c r="B2166" s="526" t="s">
        <v>5338</v>
      </c>
      <c r="C2166" s="527">
        <v>0.0</v>
      </c>
      <c r="D2166" s="527">
        <v>0.0</v>
      </c>
      <c r="F2166" s="36" t="s">
        <v>7827</v>
      </c>
      <c r="G2166" s="125" t="s">
        <v>893</v>
      </c>
      <c r="H2166" s="125" t="s">
        <v>7840</v>
      </c>
    </row>
    <row r="2167">
      <c r="A2167" s="125" t="s">
        <v>5341</v>
      </c>
      <c r="B2167" s="526" t="s">
        <v>5340</v>
      </c>
      <c r="C2167" s="527">
        <v>0.0</v>
      </c>
      <c r="D2167" s="527">
        <v>0.0</v>
      </c>
      <c r="F2167" s="36" t="s">
        <v>7827</v>
      </c>
      <c r="G2167" s="125" t="s">
        <v>893</v>
      </c>
      <c r="H2167" s="125" t="s">
        <v>7840</v>
      </c>
    </row>
    <row r="2168">
      <c r="A2168" s="125" t="s">
        <v>5343</v>
      </c>
      <c r="B2168" s="526" t="s">
        <v>5342</v>
      </c>
      <c r="C2168" s="527">
        <v>0.0</v>
      </c>
      <c r="D2168" s="527">
        <v>0.0</v>
      </c>
      <c r="F2168" s="36" t="s">
        <v>7827</v>
      </c>
      <c r="G2168" s="125" t="s">
        <v>893</v>
      </c>
      <c r="H2168" s="125" t="s">
        <v>7840</v>
      </c>
    </row>
    <row r="2169">
      <c r="A2169" s="125" t="s">
        <v>5345</v>
      </c>
      <c r="B2169" s="526" t="s">
        <v>5344</v>
      </c>
      <c r="C2169" s="527">
        <v>0.0</v>
      </c>
      <c r="D2169" s="527">
        <v>0.0</v>
      </c>
      <c r="F2169" s="36" t="s">
        <v>7827</v>
      </c>
      <c r="G2169" s="125" t="s">
        <v>893</v>
      </c>
      <c r="H2169" s="125" t="s">
        <v>7840</v>
      </c>
    </row>
    <row r="2170">
      <c r="A2170" s="125" t="s">
        <v>5347</v>
      </c>
      <c r="B2170" s="526" t="s">
        <v>5346</v>
      </c>
      <c r="C2170" s="527">
        <v>0.0</v>
      </c>
      <c r="D2170" s="527">
        <v>0.0</v>
      </c>
      <c r="F2170" s="36" t="s">
        <v>7827</v>
      </c>
      <c r="G2170" s="125" t="s">
        <v>893</v>
      </c>
      <c r="H2170" s="125" t="s">
        <v>7840</v>
      </c>
    </row>
    <row r="2171">
      <c r="A2171" s="125" t="s">
        <v>5349</v>
      </c>
      <c r="B2171" s="526" t="s">
        <v>5348</v>
      </c>
      <c r="C2171" s="527">
        <v>0.0</v>
      </c>
      <c r="D2171" s="527">
        <v>0.0</v>
      </c>
      <c r="F2171" s="36" t="s">
        <v>7827</v>
      </c>
      <c r="G2171" s="125" t="s">
        <v>893</v>
      </c>
      <c r="H2171" s="125" t="s">
        <v>7840</v>
      </c>
    </row>
    <row r="2172">
      <c r="A2172" s="125" t="s">
        <v>5351</v>
      </c>
      <c r="B2172" s="526" t="s">
        <v>5350</v>
      </c>
      <c r="C2172" s="527">
        <v>0.0</v>
      </c>
      <c r="D2172" s="527">
        <v>0.0</v>
      </c>
      <c r="F2172" s="36" t="s">
        <v>7827</v>
      </c>
      <c r="G2172" s="125" t="s">
        <v>893</v>
      </c>
      <c r="H2172" s="125" t="s">
        <v>7840</v>
      </c>
    </row>
    <row r="2173">
      <c r="A2173" s="125" t="s">
        <v>5353</v>
      </c>
      <c r="B2173" s="526" t="s">
        <v>5352</v>
      </c>
      <c r="C2173" s="527">
        <v>0.0</v>
      </c>
      <c r="D2173" s="527">
        <v>0.0</v>
      </c>
      <c r="F2173" s="36" t="s">
        <v>7827</v>
      </c>
      <c r="G2173" s="125" t="s">
        <v>893</v>
      </c>
      <c r="H2173" s="125" t="s">
        <v>7840</v>
      </c>
    </row>
    <row r="2174">
      <c r="A2174" s="125" t="s">
        <v>5355</v>
      </c>
      <c r="B2174" s="526" t="s">
        <v>5354</v>
      </c>
      <c r="C2174" s="527">
        <v>0.0</v>
      </c>
      <c r="D2174" s="527">
        <v>0.0</v>
      </c>
      <c r="F2174" s="36" t="s">
        <v>7827</v>
      </c>
      <c r="G2174" s="125" t="s">
        <v>893</v>
      </c>
      <c r="H2174" s="125" t="s">
        <v>7840</v>
      </c>
    </row>
    <row r="2175">
      <c r="A2175" s="125" t="s">
        <v>5357</v>
      </c>
      <c r="B2175" s="526" t="s">
        <v>5356</v>
      </c>
      <c r="C2175" s="527">
        <v>0.0</v>
      </c>
      <c r="D2175" s="527">
        <v>0.0</v>
      </c>
      <c r="F2175" s="36" t="s">
        <v>7827</v>
      </c>
      <c r="G2175" s="125" t="s">
        <v>893</v>
      </c>
      <c r="H2175" s="125" t="s">
        <v>7840</v>
      </c>
    </row>
    <row r="2176">
      <c r="A2176" s="125" t="s">
        <v>5359</v>
      </c>
      <c r="B2176" s="526" t="s">
        <v>5358</v>
      </c>
      <c r="C2176" s="527">
        <v>0.0</v>
      </c>
      <c r="D2176" s="527">
        <v>0.0</v>
      </c>
      <c r="F2176" s="36" t="s">
        <v>7827</v>
      </c>
      <c r="G2176" s="125" t="s">
        <v>893</v>
      </c>
      <c r="H2176" s="125" t="s">
        <v>7840</v>
      </c>
    </row>
    <row r="2177">
      <c r="A2177" s="125" t="s">
        <v>5361</v>
      </c>
      <c r="B2177" s="526" t="s">
        <v>5360</v>
      </c>
      <c r="C2177" s="527">
        <v>0.0</v>
      </c>
      <c r="D2177" s="527">
        <v>0.0</v>
      </c>
      <c r="F2177" s="36" t="s">
        <v>7827</v>
      </c>
      <c r="G2177" s="125" t="s">
        <v>893</v>
      </c>
      <c r="H2177" s="125" t="s">
        <v>7840</v>
      </c>
    </row>
    <row r="2178">
      <c r="A2178" s="125" t="s">
        <v>5363</v>
      </c>
      <c r="B2178" s="526" t="s">
        <v>5362</v>
      </c>
      <c r="C2178" s="527">
        <v>0.0</v>
      </c>
      <c r="D2178" s="527">
        <v>0.0</v>
      </c>
      <c r="F2178" s="36" t="s">
        <v>7827</v>
      </c>
      <c r="G2178" s="125" t="s">
        <v>893</v>
      </c>
      <c r="H2178" s="125" t="s">
        <v>7840</v>
      </c>
    </row>
    <row r="2179">
      <c r="A2179" s="125" t="s">
        <v>5365</v>
      </c>
      <c r="B2179" s="526" t="s">
        <v>5364</v>
      </c>
      <c r="C2179" s="527">
        <v>0.0</v>
      </c>
      <c r="D2179" s="527">
        <v>0.0</v>
      </c>
      <c r="F2179" s="36" t="s">
        <v>7827</v>
      </c>
      <c r="G2179" s="125" t="s">
        <v>893</v>
      </c>
      <c r="H2179" s="125" t="s">
        <v>7840</v>
      </c>
    </row>
    <row r="2180">
      <c r="A2180" s="125" t="s">
        <v>5367</v>
      </c>
      <c r="B2180" s="526" t="s">
        <v>5366</v>
      </c>
      <c r="C2180" s="527">
        <v>0.0</v>
      </c>
      <c r="D2180" s="527">
        <v>0.0</v>
      </c>
      <c r="F2180" s="36" t="s">
        <v>7827</v>
      </c>
      <c r="G2180" s="125" t="s">
        <v>893</v>
      </c>
      <c r="H2180" s="125" t="s">
        <v>7840</v>
      </c>
    </row>
    <row r="2181">
      <c r="A2181" s="125" t="s">
        <v>5369</v>
      </c>
      <c r="B2181" s="526" t="s">
        <v>5368</v>
      </c>
      <c r="C2181" s="527">
        <v>0.0</v>
      </c>
      <c r="D2181" s="527">
        <v>0.0</v>
      </c>
      <c r="F2181" s="36" t="s">
        <v>7827</v>
      </c>
      <c r="G2181" s="125" t="s">
        <v>893</v>
      </c>
      <c r="H2181" s="125" t="s">
        <v>7840</v>
      </c>
    </row>
    <row r="2182">
      <c r="A2182" s="125" t="s">
        <v>5371</v>
      </c>
      <c r="B2182" s="526" t="s">
        <v>5370</v>
      </c>
      <c r="C2182" s="527">
        <v>0.0</v>
      </c>
      <c r="D2182" s="527">
        <v>0.0</v>
      </c>
      <c r="F2182" s="36" t="s">
        <v>7827</v>
      </c>
      <c r="G2182" s="125" t="s">
        <v>893</v>
      </c>
      <c r="H2182" s="125" t="s">
        <v>7840</v>
      </c>
    </row>
    <row r="2183">
      <c r="A2183" s="125" t="s">
        <v>5373</v>
      </c>
      <c r="B2183" s="526" t="s">
        <v>5372</v>
      </c>
      <c r="C2183" s="527">
        <v>0.0</v>
      </c>
      <c r="D2183" s="527">
        <v>0.0</v>
      </c>
      <c r="F2183" s="36" t="s">
        <v>7827</v>
      </c>
      <c r="G2183" s="125" t="s">
        <v>893</v>
      </c>
      <c r="H2183" s="125" t="s">
        <v>7840</v>
      </c>
    </row>
    <row r="2184">
      <c r="A2184" s="125" t="s">
        <v>5377</v>
      </c>
      <c r="B2184" s="526">
        <v>32002.0</v>
      </c>
      <c r="C2184" s="527">
        <v>0.0</v>
      </c>
      <c r="D2184" s="527">
        <v>0.0</v>
      </c>
      <c r="F2184" s="36" t="s">
        <v>7798</v>
      </c>
      <c r="G2184" s="125" t="s">
        <v>893</v>
      </c>
      <c r="H2184" s="125" t="s">
        <v>7799</v>
      </c>
      <c r="I2184" t="s">
        <v>7806</v>
      </c>
    </row>
    <row r="2185">
      <c r="A2185" s="125" t="s">
        <v>5378</v>
      </c>
      <c r="B2185" s="526">
        <v>32006.0</v>
      </c>
      <c r="C2185" s="527">
        <v>0.0</v>
      </c>
      <c r="D2185" s="527">
        <v>0.0</v>
      </c>
      <c r="F2185" s="36" t="s">
        <v>7798</v>
      </c>
      <c r="G2185" s="125" t="s">
        <v>893</v>
      </c>
      <c r="H2185" s="125" t="s">
        <v>7799</v>
      </c>
      <c r="I2185" t="s">
        <v>7806</v>
      </c>
    </row>
    <row r="2186">
      <c r="A2186" s="125" t="s">
        <v>5379</v>
      </c>
      <c r="B2186" s="526">
        <v>32001.0</v>
      </c>
      <c r="C2186" s="527">
        <v>0.0</v>
      </c>
      <c r="D2186" s="527">
        <v>0.0</v>
      </c>
      <c r="F2186" s="36" t="s">
        <v>7798</v>
      </c>
      <c r="G2186" s="125" t="s">
        <v>893</v>
      </c>
      <c r="H2186" s="125" t="s">
        <v>7799</v>
      </c>
      <c r="I2186" t="s">
        <v>7806</v>
      </c>
    </row>
    <row r="2187">
      <c r="A2187" s="125" t="s">
        <v>5380</v>
      </c>
      <c r="B2187" s="526">
        <v>32005.0</v>
      </c>
      <c r="C2187" s="527">
        <v>0.0</v>
      </c>
      <c r="D2187" s="527">
        <v>0.0</v>
      </c>
      <c r="F2187" s="36" t="s">
        <v>7798</v>
      </c>
      <c r="G2187" s="125" t="s">
        <v>893</v>
      </c>
      <c r="H2187" s="125" t="s">
        <v>7799</v>
      </c>
      <c r="I2187" t="s">
        <v>7806</v>
      </c>
    </row>
    <row r="2188">
      <c r="A2188" s="125" t="s">
        <v>5381</v>
      </c>
      <c r="B2188" s="526">
        <v>32004.0</v>
      </c>
      <c r="C2188" s="527">
        <v>0.0</v>
      </c>
      <c r="D2188" s="527">
        <v>0.0</v>
      </c>
      <c r="F2188" s="36" t="s">
        <v>7798</v>
      </c>
      <c r="G2188" s="125" t="s">
        <v>893</v>
      </c>
      <c r="H2188" s="125" t="s">
        <v>7799</v>
      </c>
      <c r="I2188" t="s">
        <v>7806</v>
      </c>
    </row>
    <row r="2189">
      <c r="A2189" s="125" t="s">
        <v>5382</v>
      </c>
      <c r="B2189" s="526">
        <v>32003.0</v>
      </c>
      <c r="C2189" s="527">
        <v>0.0</v>
      </c>
      <c r="D2189" s="527">
        <v>0.0</v>
      </c>
      <c r="F2189" s="36" t="s">
        <v>7798</v>
      </c>
      <c r="G2189" s="125" t="s">
        <v>893</v>
      </c>
      <c r="H2189" s="125" t="s">
        <v>7799</v>
      </c>
      <c r="I2189" t="s">
        <v>7806</v>
      </c>
    </row>
    <row r="2190">
      <c r="A2190" s="125" t="s">
        <v>5384</v>
      </c>
      <c r="B2190" s="526" t="s">
        <v>5383</v>
      </c>
      <c r="C2190" s="527">
        <v>1.0</v>
      </c>
      <c r="D2190" s="527">
        <v>17.12</v>
      </c>
      <c r="E2190" s="528">
        <v>17.12</v>
      </c>
      <c r="F2190" s="36" t="s">
        <v>7798</v>
      </c>
      <c r="G2190" s="125" t="s">
        <v>913</v>
      </c>
      <c r="H2190" s="125" t="s">
        <v>7821</v>
      </c>
      <c r="I2190" t="s">
        <v>7887</v>
      </c>
    </row>
    <row r="2191">
      <c r="A2191" s="125" t="s">
        <v>5386</v>
      </c>
      <c r="B2191" s="526" t="s">
        <v>5385</v>
      </c>
      <c r="C2191" s="527">
        <v>0.0</v>
      </c>
      <c r="D2191" s="527">
        <v>0.0</v>
      </c>
      <c r="F2191" s="36" t="s">
        <v>7798</v>
      </c>
      <c r="G2191" s="125" t="s">
        <v>893</v>
      </c>
      <c r="H2191" s="125" t="s">
        <v>7821</v>
      </c>
      <c r="I2191" t="s">
        <v>7887</v>
      </c>
    </row>
    <row r="2192">
      <c r="A2192" s="125" t="s">
        <v>5388</v>
      </c>
      <c r="B2192" s="526" t="s">
        <v>5387</v>
      </c>
      <c r="C2192" s="527">
        <v>0.0</v>
      </c>
      <c r="D2192" s="527">
        <v>0.0</v>
      </c>
      <c r="F2192" s="36" t="s">
        <v>7798</v>
      </c>
      <c r="G2192" s="125" t="s">
        <v>913</v>
      </c>
      <c r="H2192" s="125" t="s">
        <v>7821</v>
      </c>
      <c r="I2192" t="s">
        <v>7887</v>
      </c>
    </row>
    <row r="2193">
      <c r="A2193" s="125" t="s">
        <v>5392</v>
      </c>
      <c r="B2193" s="526" t="s">
        <v>5391</v>
      </c>
      <c r="C2193" s="527">
        <v>1.0</v>
      </c>
      <c r="D2193" s="527">
        <v>17.11</v>
      </c>
      <c r="E2193" s="528">
        <v>17.11</v>
      </c>
      <c r="F2193" s="36" t="s">
        <v>7798</v>
      </c>
      <c r="G2193" s="125" t="s">
        <v>893</v>
      </c>
      <c r="H2193" s="125" t="s">
        <v>7801</v>
      </c>
      <c r="I2193" t="s">
        <v>7887</v>
      </c>
    </row>
    <row r="2194">
      <c r="A2194" s="125" t="s">
        <v>5394</v>
      </c>
      <c r="B2194" s="526" t="s">
        <v>5393</v>
      </c>
      <c r="C2194" s="527">
        <v>0.0</v>
      </c>
      <c r="D2194" s="527">
        <v>0.0</v>
      </c>
      <c r="F2194" s="36" t="s">
        <v>7798</v>
      </c>
      <c r="G2194" s="125" t="s">
        <v>893</v>
      </c>
      <c r="H2194" s="125" t="s">
        <v>7801</v>
      </c>
      <c r="I2194" t="s">
        <v>7887</v>
      </c>
    </row>
    <row r="2195">
      <c r="A2195" s="125" t="s">
        <v>5396</v>
      </c>
      <c r="B2195" s="526" t="s">
        <v>5395</v>
      </c>
      <c r="C2195" s="527">
        <v>0.0</v>
      </c>
      <c r="D2195" s="527">
        <v>0.0</v>
      </c>
      <c r="F2195" s="36" t="s">
        <v>7798</v>
      </c>
      <c r="G2195" s="125" t="s">
        <v>893</v>
      </c>
      <c r="H2195" s="125" t="s">
        <v>7801</v>
      </c>
      <c r="I2195" t="s">
        <v>7887</v>
      </c>
    </row>
    <row r="2196">
      <c r="A2196" s="125" t="s">
        <v>5398</v>
      </c>
      <c r="B2196" s="526" t="s">
        <v>5397</v>
      </c>
      <c r="C2196" s="527">
        <v>0.0</v>
      </c>
      <c r="D2196" s="527">
        <v>0.0</v>
      </c>
      <c r="F2196" s="36" t="s">
        <v>7798</v>
      </c>
      <c r="G2196" s="125" t="s">
        <v>913</v>
      </c>
      <c r="H2196" s="125" t="s">
        <v>7801</v>
      </c>
      <c r="I2196" t="s">
        <v>7887</v>
      </c>
    </row>
    <row r="2197">
      <c r="A2197" s="125" t="s">
        <v>5400</v>
      </c>
      <c r="B2197" s="526" t="s">
        <v>5399</v>
      </c>
      <c r="C2197" s="527">
        <v>0.0</v>
      </c>
      <c r="D2197" s="527">
        <v>0.0</v>
      </c>
      <c r="F2197" s="36" t="s">
        <v>7798</v>
      </c>
      <c r="G2197" s="125" t="s">
        <v>893</v>
      </c>
      <c r="H2197" s="125" t="s">
        <v>7801</v>
      </c>
      <c r="I2197" t="s">
        <v>7887</v>
      </c>
    </row>
    <row r="2198">
      <c r="A2198" s="125" t="s">
        <v>5402</v>
      </c>
      <c r="B2198" s="526" t="s">
        <v>5401</v>
      </c>
      <c r="C2198" s="527">
        <v>14.0</v>
      </c>
      <c r="D2198" s="527">
        <v>78.57</v>
      </c>
      <c r="E2198" s="528">
        <v>5.6121</v>
      </c>
      <c r="F2198" s="36" t="s">
        <v>7798</v>
      </c>
      <c r="G2198" s="125" t="s">
        <v>913</v>
      </c>
      <c r="H2198" s="125" t="s">
        <v>7821</v>
      </c>
      <c r="I2198" t="s">
        <v>7887</v>
      </c>
    </row>
    <row r="2199">
      <c r="A2199" s="125" t="s">
        <v>5404</v>
      </c>
      <c r="B2199" s="526" t="s">
        <v>5403</v>
      </c>
      <c r="C2199" s="527">
        <v>0.0</v>
      </c>
      <c r="D2199" s="527">
        <v>0.0</v>
      </c>
      <c r="F2199" s="36" t="s">
        <v>7798</v>
      </c>
      <c r="G2199" s="125" t="s">
        <v>893</v>
      </c>
      <c r="H2199" s="125" t="s">
        <v>7821</v>
      </c>
      <c r="I2199" t="s">
        <v>7887</v>
      </c>
    </row>
    <row r="2200">
      <c r="A2200" s="125" t="s">
        <v>5412</v>
      </c>
      <c r="B2200" s="526" t="s">
        <v>5411</v>
      </c>
      <c r="C2200" s="527">
        <v>13.0</v>
      </c>
      <c r="D2200" s="527">
        <v>67.08</v>
      </c>
      <c r="E2200" s="528">
        <v>5.16</v>
      </c>
      <c r="F2200" s="36" t="s">
        <v>7798</v>
      </c>
      <c r="G2200" s="125" t="s">
        <v>913</v>
      </c>
      <c r="H2200" s="125" t="s">
        <v>7821</v>
      </c>
      <c r="I2200" t="s">
        <v>7887</v>
      </c>
    </row>
    <row r="2201">
      <c r="A2201" s="125" t="s">
        <v>5414</v>
      </c>
      <c r="B2201" s="526" t="s">
        <v>5413</v>
      </c>
      <c r="C2201" s="527">
        <v>19.0</v>
      </c>
      <c r="D2201" s="527">
        <v>109.82</v>
      </c>
      <c r="E2201" s="528">
        <v>5.78</v>
      </c>
      <c r="F2201" s="36" t="s">
        <v>7798</v>
      </c>
      <c r="G2201" s="125" t="s">
        <v>913</v>
      </c>
      <c r="H2201" s="125" t="s">
        <v>7821</v>
      </c>
      <c r="I2201" t="s">
        <v>7887</v>
      </c>
    </row>
    <row r="2202">
      <c r="A2202" s="125" t="s">
        <v>5416</v>
      </c>
      <c r="B2202" s="526" t="s">
        <v>5415</v>
      </c>
      <c r="C2202" s="527">
        <v>0.0</v>
      </c>
      <c r="D2202" s="527">
        <v>0.0</v>
      </c>
      <c r="F2202" s="36" t="s">
        <v>7798</v>
      </c>
      <c r="G2202" s="125" t="s">
        <v>893</v>
      </c>
      <c r="H2202" s="125" t="s">
        <v>7821</v>
      </c>
      <c r="I2202" t="s">
        <v>7887</v>
      </c>
    </row>
    <row r="2203">
      <c r="A2203" s="125" t="s">
        <v>5418</v>
      </c>
      <c r="B2203" s="526" t="s">
        <v>5417</v>
      </c>
      <c r="C2203" s="527">
        <v>31.0</v>
      </c>
      <c r="D2203" s="527">
        <v>614.19</v>
      </c>
      <c r="E2203" s="528">
        <v>19.8126</v>
      </c>
      <c r="F2203" s="36" t="s">
        <v>7798</v>
      </c>
      <c r="G2203" s="125" t="s">
        <v>913</v>
      </c>
      <c r="H2203" s="125" t="s">
        <v>7821</v>
      </c>
      <c r="I2203" t="s">
        <v>7887</v>
      </c>
    </row>
    <row r="2204">
      <c r="A2204" s="125" t="s">
        <v>5420</v>
      </c>
      <c r="B2204" s="526" t="s">
        <v>5419</v>
      </c>
      <c r="C2204" s="527">
        <v>24.0</v>
      </c>
      <c r="D2204" s="527">
        <v>410.61</v>
      </c>
      <c r="E2204" s="528">
        <v>17.1088</v>
      </c>
      <c r="F2204" s="36" t="s">
        <v>7798</v>
      </c>
      <c r="G2204" s="125" t="s">
        <v>913</v>
      </c>
      <c r="H2204" s="125" t="s">
        <v>7801</v>
      </c>
      <c r="I2204" t="s">
        <v>7887</v>
      </c>
    </row>
    <row r="2205">
      <c r="A2205" s="125" t="s">
        <v>5422</v>
      </c>
      <c r="B2205" s="526" t="s">
        <v>5421</v>
      </c>
      <c r="C2205" s="527">
        <v>0.0</v>
      </c>
      <c r="D2205" s="527">
        <v>0.0</v>
      </c>
      <c r="F2205" s="36" t="s">
        <v>7798</v>
      </c>
      <c r="G2205" s="125" t="s">
        <v>893</v>
      </c>
      <c r="H2205" s="125" t="s">
        <v>7821</v>
      </c>
      <c r="I2205" t="s">
        <v>7887</v>
      </c>
    </row>
    <row r="2206">
      <c r="A2206" s="125" t="s">
        <v>5424</v>
      </c>
      <c r="B2206" s="526" t="s">
        <v>5423</v>
      </c>
      <c r="C2206" s="527">
        <v>11.0</v>
      </c>
      <c r="D2206" s="527">
        <v>55.44</v>
      </c>
      <c r="E2206" s="528">
        <v>5.04</v>
      </c>
      <c r="F2206" s="36" t="s">
        <v>7798</v>
      </c>
      <c r="G2206" s="125" t="s">
        <v>913</v>
      </c>
      <c r="H2206" s="125" t="s">
        <v>7801</v>
      </c>
      <c r="I2206" t="s">
        <v>7887</v>
      </c>
    </row>
    <row r="2207">
      <c r="A2207" s="125" t="s">
        <v>5426</v>
      </c>
      <c r="B2207" s="526" t="s">
        <v>5425</v>
      </c>
      <c r="C2207" s="527">
        <v>12.0</v>
      </c>
      <c r="D2207" s="527">
        <v>34.32</v>
      </c>
      <c r="E2207" s="528">
        <v>2.86</v>
      </c>
      <c r="F2207" s="36" t="s">
        <v>7798</v>
      </c>
      <c r="G2207" s="125" t="s">
        <v>913</v>
      </c>
      <c r="H2207" s="125" t="s">
        <v>7821</v>
      </c>
      <c r="I2207" t="s">
        <v>7887</v>
      </c>
    </row>
    <row r="2208">
      <c r="A2208" s="125" t="s">
        <v>5428</v>
      </c>
      <c r="B2208" s="526" t="s">
        <v>5427</v>
      </c>
      <c r="C2208" s="527">
        <v>10.0</v>
      </c>
      <c r="D2208" s="527">
        <v>28.6</v>
      </c>
      <c r="E2208" s="528">
        <v>2.86</v>
      </c>
      <c r="F2208" s="36" t="s">
        <v>7798</v>
      </c>
      <c r="G2208" s="125" t="s">
        <v>913</v>
      </c>
      <c r="H2208" s="125" t="s">
        <v>7821</v>
      </c>
      <c r="I2208" t="s">
        <v>7887</v>
      </c>
    </row>
    <row r="2209">
      <c r="A2209" s="125" t="s">
        <v>5430</v>
      </c>
      <c r="B2209" s="526" t="s">
        <v>5429</v>
      </c>
      <c r="C2209" s="527">
        <v>0.0</v>
      </c>
      <c r="D2209" s="527">
        <v>0.0</v>
      </c>
      <c r="F2209" s="36" t="s">
        <v>7798</v>
      </c>
      <c r="G2209" s="125" t="s">
        <v>893</v>
      </c>
      <c r="H2209" s="125" t="s">
        <v>7801</v>
      </c>
      <c r="I2209" t="s">
        <v>7887</v>
      </c>
    </row>
    <row r="2210">
      <c r="A2210" s="125" t="s">
        <v>5432</v>
      </c>
      <c r="B2210" s="526" t="s">
        <v>5431</v>
      </c>
      <c r="C2210" s="527">
        <v>0.0</v>
      </c>
      <c r="D2210" s="527">
        <v>0.0</v>
      </c>
      <c r="F2210" s="36" t="s">
        <v>7798</v>
      </c>
      <c r="G2210" s="125" t="s">
        <v>893</v>
      </c>
      <c r="H2210" s="125" t="s">
        <v>7821</v>
      </c>
      <c r="I2210" t="s">
        <v>7887</v>
      </c>
    </row>
    <row r="2211">
      <c r="A2211" s="125" t="s">
        <v>5434</v>
      </c>
      <c r="B2211" s="526" t="s">
        <v>5433</v>
      </c>
      <c r="C2211" s="527">
        <v>27.0</v>
      </c>
      <c r="D2211" s="527">
        <v>139.32</v>
      </c>
      <c r="E2211" s="528">
        <v>5.16</v>
      </c>
      <c r="F2211" s="36" t="s">
        <v>7798</v>
      </c>
      <c r="G2211" s="125" t="s">
        <v>913</v>
      </c>
      <c r="H2211" s="125" t="s">
        <v>7821</v>
      </c>
      <c r="I2211" t="s">
        <v>7887</v>
      </c>
    </row>
    <row r="2212">
      <c r="A2212" s="125" t="s">
        <v>5436</v>
      </c>
      <c r="B2212" s="526" t="s">
        <v>5435</v>
      </c>
      <c r="C2212" s="527">
        <v>125.0</v>
      </c>
      <c r="D2212" s="527">
        <v>221.26</v>
      </c>
      <c r="E2212" s="528">
        <v>1.7701</v>
      </c>
      <c r="F2212" s="36" t="s">
        <v>7798</v>
      </c>
      <c r="G2212" s="125" t="s">
        <v>913</v>
      </c>
      <c r="H2212" s="125" t="s">
        <v>7821</v>
      </c>
      <c r="I2212" t="s">
        <v>7887</v>
      </c>
    </row>
    <row r="2213">
      <c r="A2213" s="125" t="s">
        <v>5438</v>
      </c>
      <c r="B2213" s="526" t="s">
        <v>5437</v>
      </c>
      <c r="C2213" s="527">
        <v>67.0</v>
      </c>
      <c r="D2213" s="527">
        <v>118.6</v>
      </c>
      <c r="E2213" s="528">
        <v>1.7701</v>
      </c>
      <c r="F2213" s="36" t="s">
        <v>7798</v>
      </c>
      <c r="G2213" s="125" t="s">
        <v>913</v>
      </c>
      <c r="H2213" s="125" t="s">
        <v>7821</v>
      </c>
      <c r="I2213" t="s">
        <v>7887</v>
      </c>
    </row>
    <row r="2214">
      <c r="A2214" s="125" t="s">
        <v>5440</v>
      </c>
      <c r="B2214" s="526" t="s">
        <v>5439</v>
      </c>
      <c r="C2214" s="527">
        <v>38.0</v>
      </c>
      <c r="D2214" s="527">
        <v>67.27</v>
      </c>
      <c r="E2214" s="528">
        <v>1.7703</v>
      </c>
      <c r="F2214" s="36" t="s">
        <v>7798</v>
      </c>
      <c r="G2214" s="125" t="s">
        <v>913</v>
      </c>
      <c r="H2214" s="125" t="s">
        <v>7821</v>
      </c>
      <c r="I2214" t="s">
        <v>7887</v>
      </c>
    </row>
    <row r="2215">
      <c r="A2215" s="125" t="s">
        <v>5442</v>
      </c>
      <c r="B2215" s="526" t="s">
        <v>5441</v>
      </c>
      <c r="C2215" s="527">
        <v>0.0</v>
      </c>
      <c r="D2215" s="527">
        <v>0.0</v>
      </c>
      <c r="F2215" s="36" t="s">
        <v>7798</v>
      </c>
      <c r="G2215" s="125" t="s">
        <v>893</v>
      </c>
      <c r="H2215" s="125" t="s">
        <v>7801</v>
      </c>
      <c r="I2215" t="s">
        <v>7887</v>
      </c>
    </row>
    <row r="2216">
      <c r="A2216" s="125" t="s">
        <v>5444</v>
      </c>
      <c r="B2216" s="526" t="s">
        <v>5443</v>
      </c>
      <c r="C2216" s="527">
        <v>8.0</v>
      </c>
      <c r="D2216" s="527">
        <v>14.17</v>
      </c>
      <c r="E2216" s="528">
        <v>1.7713</v>
      </c>
      <c r="F2216" s="36" t="s">
        <v>7798</v>
      </c>
      <c r="G2216" s="125" t="s">
        <v>913</v>
      </c>
      <c r="H2216" s="125" t="s">
        <v>7821</v>
      </c>
      <c r="I2216" t="s">
        <v>7887</v>
      </c>
    </row>
    <row r="2217">
      <c r="A2217" s="125" t="s">
        <v>5446</v>
      </c>
      <c r="B2217" s="526" t="s">
        <v>5445</v>
      </c>
      <c r="C2217" s="527">
        <v>43.0</v>
      </c>
      <c r="D2217" s="527">
        <v>735.74</v>
      </c>
      <c r="E2217" s="528">
        <v>17.1102</v>
      </c>
      <c r="F2217" s="36" t="s">
        <v>7798</v>
      </c>
      <c r="G2217" s="125" t="s">
        <v>913</v>
      </c>
      <c r="H2217" s="125" t="s">
        <v>7821</v>
      </c>
      <c r="I2217" t="s">
        <v>7887</v>
      </c>
    </row>
    <row r="2218">
      <c r="A2218" s="125" t="s">
        <v>5448</v>
      </c>
      <c r="B2218" s="526" t="s">
        <v>5447</v>
      </c>
      <c r="C2218" s="527">
        <v>72.0</v>
      </c>
      <c r="D2218" s="527">
        <v>127.45</v>
      </c>
      <c r="E2218" s="528">
        <v>1.7701</v>
      </c>
      <c r="F2218" s="36" t="s">
        <v>7798</v>
      </c>
      <c r="G2218" s="125" t="s">
        <v>913</v>
      </c>
      <c r="H2218" s="125" t="s">
        <v>7821</v>
      </c>
      <c r="I2218" t="s">
        <v>7887</v>
      </c>
    </row>
    <row r="2219">
      <c r="A2219" s="125" t="s">
        <v>5450</v>
      </c>
      <c r="B2219" s="526" t="s">
        <v>5449</v>
      </c>
      <c r="C2219" s="527">
        <v>56.0</v>
      </c>
      <c r="D2219" s="527">
        <v>99.13</v>
      </c>
      <c r="E2219" s="528">
        <v>1.7702</v>
      </c>
      <c r="F2219" s="36" t="s">
        <v>7798</v>
      </c>
      <c r="G2219" s="125" t="s">
        <v>913</v>
      </c>
      <c r="H2219" s="125" t="s">
        <v>7821</v>
      </c>
      <c r="I2219" t="s">
        <v>7887</v>
      </c>
    </row>
    <row r="2220">
      <c r="A2220" s="125" t="s">
        <v>5454</v>
      </c>
      <c r="B2220" s="526" t="s">
        <v>5453</v>
      </c>
      <c r="C2220" s="527">
        <v>39.0</v>
      </c>
      <c r="D2220" s="527">
        <v>150.37</v>
      </c>
      <c r="E2220" s="528">
        <v>3.8556</v>
      </c>
      <c r="F2220" s="36" t="s">
        <v>7798</v>
      </c>
      <c r="G2220" s="125" t="s">
        <v>913</v>
      </c>
      <c r="H2220" s="125" t="s">
        <v>7821</v>
      </c>
      <c r="I2220" t="s">
        <v>7887</v>
      </c>
    </row>
    <row r="2221">
      <c r="A2221" s="125" t="s">
        <v>5456</v>
      </c>
      <c r="B2221" s="526" t="s">
        <v>5455</v>
      </c>
      <c r="C2221" s="527">
        <v>40.0</v>
      </c>
      <c r="D2221" s="527">
        <v>154.52</v>
      </c>
      <c r="E2221" s="528">
        <v>3.863</v>
      </c>
      <c r="F2221" s="36" t="s">
        <v>7798</v>
      </c>
      <c r="G2221" s="125" t="s">
        <v>913</v>
      </c>
      <c r="H2221" s="125" t="s">
        <v>7821</v>
      </c>
      <c r="I2221" t="s">
        <v>7887</v>
      </c>
    </row>
    <row r="2222">
      <c r="A2222" s="125" t="s">
        <v>5458</v>
      </c>
      <c r="B2222" s="526" t="s">
        <v>5457</v>
      </c>
      <c r="C2222" s="527">
        <v>42.0</v>
      </c>
      <c r="D2222" s="527">
        <v>161.36</v>
      </c>
      <c r="E2222" s="528">
        <v>3.8419</v>
      </c>
      <c r="F2222" s="36" t="s">
        <v>7798</v>
      </c>
      <c r="G2222" s="125" t="s">
        <v>913</v>
      </c>
      <c r="H2222" s="125" t="s">
        <v>7821</v>
      </c>
      <c r="I2222" t="s">
        <v>7887</v>
      </c>
    </row>
    <row r="2223">
      <c r="A2223" s="125" t="s">
        <v>5460</v>
      </c>
      <c r="B2223" s="526" t="s">
        <v>5459</v>
      </c>
      <c r="C2223" s="527">
        <v>26.0</v>
      </c>
      <c r="D2223" s="527">
        <v>106.64</v>
      </c>
      <c r="E2223" s="528">
        <v>4.1015</v>
      </c>
      <c r="F2223" s="36" t="s">
        <v>7798</v>
      </c>
      <c r="G2223" s="125" t="s">
        <v>913</v>
      </c>
      <c r="H2223" s="125" t="s">
        <v>7821</v>
      </c>
      <c r="I2223" t="s">
        <v>7887</v>
      </c>
    </row>
    <row r="2224">
      <c r="A2224" s="125" t="s">
        <v>5462</v>
      </c>
      <c r="B2224" s="526" t="s">
        <v>5461</v>
      </c>
      <c r="C2224" s="527">
        <v>0.0</v>
      </c>
      <c r="D2224" s="527">
        <v>0.0</v>
      </c>
      <c r="F2224" s="36" t="s">
        <v>7798</v>
      </c>
      <c r="G2224" s="125" t="s">
        <v>913</v>
      </c>
      <c r="H2224" s="125" t="s">
        <v>7821</v>
      </c>
      <c r="I2224" t="s">
        <v>7887</v>
      </c>
    </row>
    <row r="2225">
      <c r="A2225" s="125" t="s">
        <v>5464</v>
      </c>
      <c r="B2225" s="526" t="s">
        <v>5463</v>
      </c>
      <c r="C2225" s="527">
        <v>40.0</v>
      </c>
      <c r="D2225" s="527">
        <v>144.8</v>
      </c>
      <c r="E2225" s="528">
        <v>3.62</v>
      </c>
      <c r="F2225" s="36" t="s">
        <v>7798</v>
      </c>
      <c r="G2225" s="125" t="s">
        <v>913</v>
      </c>
      <c r="H2225" s="125" t="s">
        <v>7821</v>
      </c>
      <c r="I2225" t="s">
        <v>7887</v>
      </c>
    </row>
    <row r="2226">
      <c r="A2226" s="125" t="s">
        <v>5466</v>
      </c>
      <c r="B2226" s="526" t="s">
        <v>5465</v>
      </c>
      <c r="C2226" s="527">
        <v>0.0</v>
      </c>
      <c r="D2226" s="527">
        <v>0.0</v>
      </c>
      <c r="F2226" s="36" t="s">
        <v>7798</v>
      </c>
      <c r="G2226" s="125" t="s">
        <v>913</v>
      </c>
      <c r="H2226" s="125" t="s">
        <v>7821</v>
      </c>
      <c r="I2226" t="s">
        <v>7887</v>
      </c>
    </row>
    <row r="2227">
      <c r="A2227" s="125" t="s">
        <v>5468</v>
      </c>
      <c r="B2227" s="526" t="s">
        <v>5467</v>
      </c>
      <c r="C2227" s="527">
        <v>15.0</v>
      </c>
      <c r="D2227" s="527">
        <v>42.9</v>
      </c>
      <c r="E2227" s="528">
        <v>2.86</v>
      </c>
      <c r="F2227" s="36" t="s">
        <v>7798</v>
      </c>
      <c r="G2227" s="125" t="s">
        <v>913</v>
      </c>
      <c r="H2227" s="125" t="s">
        <v>7821</v>
      </c>
      <c r="I2227" t="s">
        <v>7887</v>
      </c>
    </row>
    <row r="2228">
      <c r="A2228" s="125" t="s">
        <v>5470</v>
      </c>
      <c r="B2228" s="526" t="s">
        <v>5469</v>
      </c>
      <c r="C2228" s="527">
        <v>6.0</v>
      </c>
      <c r="D2228" s="527">
        <v>17.16</v>
      </c>
      <c r="E2228" s="528">
        <v>2.86</v>
      </c>
      <c r="F2228" s="36" t="s">
        <v>7798</v>
      </c>
      <c r="G2228" s="125" t="s">
        <v>913</v>
      </c>
      <c r="H2228" s="125" t="s">
        <v>7821</v>
      </c>
      <c r="I2228" t="s">
        <v>7887</v>
      </c>
    </row>
    <row r="2229">
      <c r="A2229" s="125" t="s">
        <v>5472</v>
      </c>
      <c r="B2229" s="526" t="s">
        <v>5471</v>
      </c>
      <c r="C2229" s="527">
        <v>1.0</v>
      </c>
      <c r="D2229" s="527">
        <v>17.11</v>
      </c>
      <c r="E2229" s="528">
        <v>17.11</v>
      </c>
      <c r="F2229" s="36" t="s">
        <v>7798</v>
      </c>
      <c r="G2229" s="125" t="s">
        <v>913</v>
      </c>
      <c r="H2229" s="125" t="s">
        <v>7821</v>
      </c>
      <c r="I2229" t="s">
        <v>7887</v>
      </c>
    </row>
    <row r="2230">
      <c r="A2230" s="125" t="s">
        <v>5474</v>
      </c>
      <c r="B2230" s="526" t="s">
        <v>5473</v>
      </c>
      <c r="C2230" s="527">
        <v>1.0</v>
      </c>
      <c r="D2230" s="527">
        <v>2.86</v>
      </c>
      <c r="E2230" s="528">
        <v>2.86</v>
      </c>
      <c r="F2230" s="36" t="s">
        <v>7798</v>
      </c>
      <c r="G2230" s="125" t="s">
        <v>913</v>
      </c>
      <c r="H2230" s="125" t="s">
        <v>7821</v>
      </c>
      <c r="I2230" t="s">
        <v>7887</v>
      </c>
    </row>
    <row r="2231">
      <c r="A2231" s="125" t="s">
        <v>5476</v>
      </c>
      <c r="B2231" s="526" t="s">
        <v>5475</v>
      </c>
      <c r="C2231" s="527">
        <v>33.0</v>
      </c>
      <c r="D2231" s="527">
        <v>94.38</v>
      </c>
      <c r="E2231" s="528">
        <v>2.86</v>
      </c>
      <c r="F2231" s="36" t="s">
        <v>7798</v>
      </c>
      <c r="G2231" s="125" t="s">
        <v>913</v>
      </c>
      <c r="H2231" s="125" t="s">
        <v>7821</v>
      </c>
      <c r="I2231" t="s">
        <v>7887</v>
      </c>
    </row>
    <row r="2232">
      <c r="A2232" s="125" t="s">
        <v>5478</v>
      </c>
      <c r="B2232" s="526" t="s">
        <v>5477</v>
      </c>
      <c r="C2232" s="527">
        <v>1.0</v>
      </c>
      <c r="D2232" s="527">
        <v>2.86</v>
      </c>
      <c r="E2232" s="528">
        <v>2.86</v>
      </c>
      <c r="F2232" s="36" t="s">
        <v>7798</v>
      </c>
      <c r="G2232" s="125" t="s">
        <v>913</v>
      </c>
      <c r="H2232" s="125" t="s">
        <v>7821</v>
      </c>
      <c r="I2232" t="s">
        <v>7887</v>
      </c>
    </row>
    <row r="2233">
      <c r="A2233" s="125" t="s">
        <v>5480</v>
      </c>
      <c r="B2233" s="526" t="s">
        <v>5479</v>
      </c>
      <c r="C2233" s="527">
        <v>11.0</v>
      </c>
      <c r="D2233" s="527">
        <v>31.46</v>
      </c>
      <c r="E2233" s="528">
        <v>2.86</v>
      </c>
      <c r="F2233" s="36" t="s">
        <v>7798</v>
      </c>
      <c r="G2233" s="125" t="s">
        <v>913</v>
      </c>
      <c r="H2233" s="125" t="s">
        <v>7821</v>
      </c>
      <c r="I2233" t="s">
        <v>7887</v>
      </c>
    </row>
    <row r="2234">
      <c r="A2234" s="125" t="s">
        <v>5482</v>
      </c>
      <c r="B2234" s="526" t="s">
        <v>5481</v>
      </c>
      <c r="C2234" s="527">
        <v>26431.0</v>
      </c>
      <c r="D2234" s="527">
        <v>6585.98</v>
      </c>
      <c r="E2234" s="528">
        <v>0.2492</v>
      </c>
      <c r="F2234" s="36" t="s">
        <v>7827</v>
      </c>
      <c r="G2234" s="125" t="s">
        <v>913</v>
      </c>
      <c r="H2234" s="125" t="s">
        <v>7840</v>
      </c>
    </row>
    <row r="2235">
      <c r="A2235" s="125" t="s">
        <v>5483</v>
      </c>
      <c r="B2235" s="526" t="s">
        <v>5483</v>
      </c>
      <c r="C2235" s="527">
        <v>51.0</v>
      </c>
      <c r="D2235" s="527">
        <v>740.0</v>
      </c>
      <c r="E2235" s="528">
        <v>14.5098</v>
      </c>
      <c r="F2235" s="36" t="s">
        <v>7798</v>
      </c>
      <c r="G2235" s="125" t="s">
        <v>913</v>
      </c>
      <c r="H2235" s="125" t="s">
        <v>7828</v>
      </c>
    </row>
    <row r="2236">
      <c r="A2236" s="125" t="s">
        <v>5485</v>
      </c>
      <c r="B2236" s="526" t="s">
        <v>5484</v>
      </c>
      <c r="C2236" s="527">
        <v>4.0</v>
      </c>
      <c r="D2236" s="527">
        <v>307.42</v>
      </c>
      <c r="E2236" s="528">
        <v>76.855</v>
      </c>
      <c r="F2236" s="36" t="s">
        <v>7827</v>
      </c>
      <c r="G2236" s="125" t="s">
        <v>913</v>
      </c>
      <c r="H2236" s="125" t="s">
        <v>7829</v>
      </c>
    </row>
    <row r="2237">
      <c r="A2237" s="125" t="s">
        <v>5487</v>
      </c>
      <c r="B2237" s="526" t="s">
        <v>5486</v>
      </c>
      <c r="C2237" s="527">
        <v>4.0</v>
      </c>
      <c r="D2237" s="527">
        <v>307.42</v>
      </c>
      <c r="E2237" s="528">
        <v>76.855</v>
      </c>
      <c r="F2237" s="36" t="s">
        <v>7827</v>
      </c>
      <c r="G2237" s="125" t="s">
        <v>913</v>
      </c>
      <c r="H2237" s="125" t="s">
        <v>7829</v>
      </c>
    </row>
    <row r="2238">
      <c r="A2238" s="125" t="s">
        <v>5488</v>
      </c>
      <c r="B2238" s="526">
        <v>61285.0</v>
      </c>
      <c r="C2238" s="527">
        <v>0.0</v>
      </c>
      <c r="D2238" s="527">
        <v>0.0</v>
      </c>
      <c r="F2238" s="36" t="s">
        <v>7798</v>
      </c>
      <c r="G2238" s="125" t="s">
        <v>893</v>
      </c>
      <c r="H2238" s="125" t="s">
        <v>7799</v>
      </c>
      <c r="I2238" t="s">
        <v>7866</v>
      </c>
    </row>
    <row r="2239">
      <c r="A2239" s="125" t="s">
        <v>5489</v>
      </c>
      <c r="B2239" s="526">
        <v>61286.0</v>
      </c>
      <c r="C2239" s="527">
        <v>0.0</v>
      </c>
      <c r="D2239" s="527">
        <v>0.0</v>
      </c>
      <c r="F2239" s="36" t="s">
        <v>7798</v>
      </c>
      <c r="G2239" s="125" t="s">
        <v>893</v>
      </c>
      <c r="H2239" s="125" t="s">
        <v>7799</v>
      </c>
      <c r="I2239" t="s">
        <v>7866</v>
      </c>
    </row>
    <row r="2240">
      <c r="A2240" s="125" t="s">
        <v>5491</v>
      </c>
      <c r="B2240" s="526" t="s">
        <v>5490</v>
      </c>
      <c r="C2240" s="527">
        <v>180.0</v>
      </c>
      <c r="D2240" s="527">
        <v>99.06</v>
      </c>
      <c r="E2240" s="528">
        <v>0.5503</v>
      </c>
      <c r="F2240" s="36" t="s">
        <v>7798</v>
      </c>
      <c r="G2240" s="125" t="s">
        <v>913</v>
      </c>
      <c r="H2240" s="125" t="s">
        <v>7821</v>
      </c>
      <c r="I2240" t="s">
        <v>7823</v>
      </c>
    </row>
    <row r="2241">
      <c r="A2241" s="125" t="s">
        <v>5493</v>
      </c>
      <c r="B2241" s="526" t="s">
        <v>5492</v>
      </c>
      <c r="C2241" s="527">
        <v>388.0</v>
      </c>
      <c r="D2241" s="527">
        <v>1038.86</v>
      </c>
      <c r="E2241" s="528">
        <v>2.6775</v>
      </c>
      <c r="F2241" s="36" t="s">
        <v>7798</v>
      </c>
      <c r="G2241" s="125" t="s">
        <v>913</v>
      </c>
      <c r="H2241" s="125" t="s">
        <v>7808</v>
      </c>
      <c r="I2241" t="s">
        <v>134</v>
      </c>
    </row>
    <row r="2242">
      <c r="A2242" s="125" t="s">
        <v>5497</v>
      </c>
      <c r="B2242" s="526" t="s">
        <v>5496</v>
      </c>
      <c r="C2242" s="527">
        <v>474.0</v>
      </c>
      <c r="D2242" s="527">
        <v>1269.09</v>
      </c>
      <c r="E2242" s="528">
        <v>2.6774</v>
      </c>
      <c r="F2242" s="36" t="s">
        <v>7798</v>
      </c>
      <c r="G2242" s="125" t="s">
        <v>913</v>
      </c>
      <c r="H2242" s="125" t="s">
        <v>7808</v>
      </c>
      <c r="I2242" t="s">
        <v>134</v>
      </c>
    </row>
    <row r="2243">
      <c r="A2243" s="125" t="s">
        <v>5499</v>
      </c>
      <c r="B2243" s="526" t="s">
        <v>5498</v>
      </c>
      <c r="C2243" s="527">
        <v>459.0</v>
      </c>
      <c r="D2243" s="527">
        <v>1228.92</v>
      </c>
      <c r="E2243" s="528">
        <v>2.6774</v>
      </c>
      <c r="F2243" s="36" t="s">
        <v>7798</v>
      </c>
      <c r="G2243" s="125" t="s">
        <v>913</v>
      </c>
      <c r="H2243" s="125" t="s">
        <v>7808</v>
      </c>
      <c r="I2243" t="s">
        <v>134</v>
      </c>
    </row>
    <row r="2244">
      <c r="A2244" s="125" t="s">
        <v>5503</v>
      </c>
      <c r="B2244" s="526" t="s">
        <v>5502</v>
      </c>
      <c r="C2244" s="527">
        <v>420.0</v>
      </c>
      <c r="D2244" s="527">
        <v>1124.54</v>
      </c>
      <c r="E2244" s="528">
        <v>2.6775</v>
      </c>
      <c r="F2244" s="36" t="s">
        <v>7798</v>
      </c>
      <c r="G2244" s="125" t="s">
        <v>913</v>
      </c>
      <c r="H2244" s="125" t="s">
        <v>7808</v>
      </c>
      <c r="I2244" t="s">
        <v>134</v>
      </c>
    </row>
    <row r="2245">
      <c r="A2245" s="125" t="s">
        <v>5505</v>
      </c>
      <c r="B2245" s="526" t="s">
        <v>5504</v>
      </c>
      <c r="C2245" s="527">
        <v>437.0</v>
      </c>
      <c r="D2245" s="527">
        <v>1170.01</v>
      </c>
      <c r="E2245" s="528">
        <v>2.6774</v>
      </c>
      <c r="F2245" s="36" t="s">
        <v>7798</v>
      </c>
      <c r="G2245" s="125" t="s">
        <v>913</v>
      </c>
      <c r="H2245" s="125" t="s">
        <v>7808</v>
      </c>
      <c r="I2245" t="s">
        <v>134</v>
      </c>
    </row>
    <row r="2246">
      <c r="A2246" s="125" t="s">
        <v>5507</v>
      </c>
      <c r="B2246" s="526" t="s">
        <v>5506</v>
      </c>
      <c r="C2246" s="527">
        <v>528.0</v>
      </c>
      <c r="D2246" s="527">
        <v>1413.6</v>
      </c>
      <c r="E2246" s="528">
        <v>2.6773</v>
      </c>
      <c r="F2246" s="36" t="s">
        <v>7798</v>
      </c>
      <c r="G2246" s="125" t="s">
        <v>913</v>
      </c>
      <c r="H2246" s="125" t="s">
        <v>7808</v>
      </c>
      <c r="I2246" t="s">
        <v>134</v>
      </c>
    </row>
    <row r="2247">
      <c r="A2247" s="125" t="s">
        <v>5509</v>
      </c>
      <c r="B2247" s="526" t="s">
        <v>5508</v>
      </c>
      <c r="C2247" s="527">
        <v>0.0</v>
      </c>
      <c r="D2247" s="527">
        <v>0.0</v>
      </c>
      <c r="F2247" s="36" t="s">
        <v>7798</v>
      </c>
      <c r="G2247" s="125" t="s">
        <v>893</v>
      </c>
      <c r="H2247" s="125" t="s">
        <v>7799</v>
      </c>
      <c r="I2247" t="s">
        <v>7812</v>
      </c>
    </row>
    <row r="2248">
      <c r="A2248" s="125" t="s">
        <v>5511</v>
      </c>
      <c r="B2248" s="526" t="s">
        <v>5510</v>
      </c>
      <c r="C2248" s="527">
        <v>0.0</v>
      </c>
      <c r="D2248" s="527">
        <v>0.0</v>
      </c>
      <c r="F2248" s="36" t="s">
        <v>7798</v>
      </c>
      <c r="G2248" s="125" t="s">
        <v>893</v>
      </c>
      <c r="H2248" s="125" t="s">
        <v>7799</v>
      </c>
      <c r="I2248" t="s">
        <v>7856</v>
      </c>
    </row>
    <row r="2249">
      <c r="A2249" s="125" t="s">
        <v>5513</v>
      </c>
      <c r="B2249" s="526" t="s">
        <v>5512</v>
      </c>
      <c r="C2249" s="527">
        <v>0.0</v>
      </c>
      <c r="D2249" s="527">
        <v>0.0</v>
      </c>
      <c r="F2249" s="36" t="s">
        <v>7798</v>
      </c>
      <c r="G2249" s="125" t="s">
        <v>893</v>
      </c>
      <c r="H2249" s="125" t="s">
        <v>7799</v>
      </c>
      <c r="I2249" t="s">
        <v>7811</v>
      </c>
    </row>
    <row r="2250">
      <c r="A2250" s="125" t="s">
        <v>5515</v>
      </c>
      <c r="B2250" s="526" t="s">
        <v>5514</v>
      </c>
      <c r="C2250" s="527">
        <v>0.0</v>
      </c>
      <c r="D2250" s="527">
        <v>0.0</v>
      </c>
      <c r="F2250" s="36" t="s">
        <v>7798</v>
      </c>
      <c r="G2250" s="125" t="s">
        <v>893</v>
      </c>
      <c r="H2250" s="125" t="s">
        <v>7799</v>
      </c>
      <c r="I2250" t="s">
        <v>7813</v>
      </c>
    </row>
    <row r="2251">
      <c r="A2251" s="125" t="s">
        <v>5517</v>
      </c>
      <c r="B2251" s="526" t="s">
        <v>5516</v>
      </c>
      <c r="C2251" s="527">
        <v>2.0</v>
      </c>
      <c r="D2251" s="527">
        <v>0.01</v>
      </c>
      <c r="E2251" s="528">
        <v>0.005</v>
      </c>
      <c r="F2251" s="36" t="s">
        <v>7798</v>
      </c>
      <c r="G2251" s="125" t="s">
        <v>913</v>
      </c>
      <c r="H2251" s="125" t="s">
        <v>7821</v>
      </c>
    </row>
    <row r="2252">
      <c r="A2252" s="125" t="s">
        <v>5519</v>
      </c>
      <c r="B2252" s="526" t="s">
        <v>5518</v>
      </c>
      <c r="C2252" s="527">
        <v>68.0</v>
      </c>
      <c r="D2252" s="527">
        <v>211.93</v>
      </c>
      <c r="E2252" s="528">
        <v>3.1166</v>
      </c>
      <c r="F2252" s="36" t="s">
        <v>7798</v>
      </c>
      <c r="G2252" s="125" t="s">
        <v>913</v>
      </c>
      <c r="H2252" s="125" t="s">
        <v>7801</v>
      </c>
      <c r="I2252" t="s">
        <v>7893</v>
      </c>
    </row>
    <row r="2253">
      <c r="A2253" s="125" t="s">
        <v>5521</v>
      </c>
      <c r="B2253" s="526" t="s">
        <v>5520</v>
      </c>
      <c r="C2253" s="527">
        <v>57.0</v>
      </c>
      <c r="D2253" s="527">
        <v>0.01</v>
      </c>
      <c r="E2253" s="528">
        <v>2.0E-4</v>
      </c>
      <c r="F2253" s="36" t="s">
        <v>7798</v>
      </c>
      <c r="G2253" s="125" t="s">
        <v>913</v>
      </c>
      <c r="H2253" s="125" t="s">
        <v>7801</v>
      </c>
      <c r="I2253" t="s">
        <v>7893</v>
      </c>
    </row>
    <row r="2254">
      <c r="A2254" s="125" t="s">
        <v>5523</v>
      </c>
      <c r="B2254" s="526" t="s">
        <v>5522</v>
      </c>
      <c r="C2254" s="527">
        <v>0.0</v>
      </c>
      <c r="D2254" s="527">
        <v>0.0</v>
      </c>
      <c r="F2254" s="36" t="s">
        <v>7798</v>
      </c>
      <c r="G2254" s="125" t="s">
        <v>893</v>
      </c>
      <c r="H2254" s="125" t="s">
        <v>7799</v>
      </c>
      <c r="I2254" t="s">
        <v>7893</v>
      </c>
    </row>
    <row r="2255">
      <c r="A2255" s="125" t="s">
        <v>5525</v>
      </c>
      <c r="B2255" s="526" t="s">
        <v>5524</v>
      </c>
      <c r="C2255" s="527">
        <v>0.0</v>
      </c>
      <c r="D2255" s="527">
        <v>0.0</v>
      </c>
      <c r="F2255" s="36" t="s">
        <v>7798</v>
      </c>
      <c r="G2255" s="125" t="s">
        <v>893</v>
      </c>
      <c r="H2255" s="125" t="s">
        <v>7799</v>
      </c>
      <c r="I2255" t="s">
        <v>7893</v>
      </c>
    </row>
    <row r="2256">
      <c r="A2256" s="125" t="s">
        <v>5527</v>
      </c>
      <c r="B2256" s="526" t="s">
        <v>5526</v>
      </c>
      <c r="C2256" s="527">
        <v>0.0</v>
      </c>
      <c r="D2256" s="527">
        <v>0.0</v>
      </c>
      <c r="F2256" s="36" t="s">
        <v>7798</v>
      </c>
      <c r="G2256" s="125" t="s">
        <v>893</v>
      </c>
      <c r="H2256" s="125" t="s">
        <v>7799</v>
      </c>
      <c r="I2256" t="s">
        <v>7893</v>
      </c>
    </row>
    <row r="2257">
      <c r="A2257" s="125" t="s">
        <v>746</v>
      </c>
      <c r="B2257" s="526" t="s">
        <v>747</v>
      </c>
      <c r="C2257" s="527">
        <v>38.0</v>
      </c>
      <c r="D2257" s="527">
        <v>38.2</v>
      </c>
      <c r="E2257" s="528">
        <v>1.0053</v>
      </c>
      <c r="F2257" s="36" t="s">
        <v>7798</v>
      </c>
      <c r="G2257" s="125" t="s">
        <v>913</v>
      </c>
      <c r="H2257" s="125" t="s">
        <v>569</v>
      </c>
      <c r="I2257" t="s">
        <v>347</v>
      </c>
    </row>
    <row r="2258">
      <c r="A2258" s="125" t="s">
        <v>744</v>
      </c>
      <c r="B2258" s="526" t="s">
        <v>745</v>
      </c>
      <c r="C2258" s="527">
        <v>91.0</v>
      </c>
      <c r="D2258" s="527">
        <v>91.49</v>
      </c>
      <c r="E2258" s="528">
        <v>1.0054</v>
      </c>
      <c r="F2258" s="36" t="s">
        <v>7798</v>
      </c>
      <c r="G2258" s="125" t="s">
        <v>913</v>
      </c>
      <c r="H2258" s="125" t="s">
        <v>569</v>
      </c>
      <c r="I2258" t="s">
        <v>347</v>
      </c>
    </row>
    <row r="2259">
      <c r="A2259" s="125" t="s">
        <v>626</v>
      </c>
      <c r="B2259" s="526" t="s">
        <v>627</v>
      </c>
      <c r="C2259" s="527">
        <v>61.0</v>
      </c>
      <c r="D2259" s="527">
        <v>61.32</v>
      </c>
      <c r="E2259" s="528">
        <v>1.0052</v>
      </c>
      <c r="F2259" s="36" t="s">
        <v>7798</v>
      </c>
      <c r="G2259" s="125" t="s">
        <v>913</v>
      </c>
      <c r="H2259" s="125" t="s">
        <v>569</v>
      </c>
      <c r="I2259" t="s">
        <v>347</v>
      </c>
    </row>
    <row r="2260">
      <c r="A2260" s="125" t="s">
        <v>628</v>
      </c>
      <c r="B2260" s="526" t="s">
        <v>629</v>
      </c>
      <c r="C2260" s="527">
        <v>76.0</v>
      </c>
      <c r="D2260" s="527">
        <v>76.42</v>
      </c>
      <c r="E2260" s="528">
        <v>1.0055</v>
      </c>
      <c r="F2260" s="36" t="s">
        <v>7798</v>
      </c>
      <c r="G2260" s="125" t="s">
        <v>913</v>
      </c>
      <c r="H2260" s="125" t="s">
        <v>569</v>
      </c>
      <c r="I2260" t="s">
        <v>347</v>
      </c>
    </row>
    <row r="2261">
      <c r="A2261" s="125" t="s">
        <v>742</v>
      </c>
      <c r="B2261" s="526" t="s">
        <v>743</v>
      </c>
      <c r="C2261" s="527">
        <v>72.0</v>
      </c>
      <c r="D2261" s="527">
        <v>72.36</v>
      </c>
      <c r="E2261" s="528">
        <v>1.005</v>
      </c>
      <c r="F2261" s="36" t="s">
        <v>7798</v>
      </c>
      <c r="G2261" s="125" t="s">
        <v>913</v>
      </c>
      <c r="H2261" s="125" t="s">
        <v>569</v>
      </c>
      <c r="I2261" t="s">
        <v>347</v>
      </c>
    </row>
    <row r="2262">
      <c r="A2262" s="125" t="s">
        <v>740</v>
      </c>
      <c r="B2262" s="526" t="s">
        <v>741</v>
      </c>
      <c r="C2262" s="527">
        <v>103.0</v>
      </c>
      <c r="D2262" s="527">
        <v>103.55</v>
      </c>
      <c r="E2262" s="528">
        <v>1.0053</v>
      </c>
      <c r="F2262" s="36" t="s">
        <v>7798</v>
      </c>
      <c r="G2262" s="125" t="s">
        <v>913</v>
      </c>
      <c r="H2262" s="125" t="s">
        <v>569</v>
      </c>
      <c r="I2262" t="s">
        <v>347</v>
      </c>
    </row>
    <row r="2263">
      <c r="A2263" s="125" t="s">
        <v>880</v>
      </c>
      <c r="B2263" s="526" t="s">
        <v>881</v>
      </c>
      <c r="C2263" s="527">
        <v>0.0</v>
      </c>
      <c r="D2263" s="527">
        <v>0.0</v>
      </c>
      <c r="F2263" s="36" t="s">
        <v>7798</v>
      </c>
      <c r="G2263" s="125" t="s">
        <v>913</v>
      </c>
      <c r="H2263" s="125" t="s">
        <v>7808</v>
      </c>
      <c r="I2263" t="s">
        <v>625</v>
      </c>
    </row>
    <row r="2264">
      <c r="A2264" s="125" t="s">
        <v>5529</v>
      </c>
      <c r="B2264" s="526" t="s">
        <v>5528</v>
      </c>
      <c r="C2264" s="527">
        <v>0.0</v>
      </c>
      <c r="D2264" s="527">
        <v>0.0</v>
      </c>
      <c r="F2264" s="36" t="s">
        <v>7798</v>
      </c>
      <c r="G2264" s="125" t="s">
        <v>893</v>
      </c>
      <c r="H2264" s="125" t="s">
        <v>7801</v>
      </c>
    </row>
    <row r="2265">
      <c r="A2265" s="125" t="s">
        <v>5531</v>
      </c>
      <c r="B2265" s="526" t="s">
        <v>5530</v>
      </c>
      <c r="C2265" s="527">
        <v>0.0</v>
      </c>
      <c r="D2265" s="527">
        <v>0.0</v>
      </c>
      <c r="F2265" s="36" t="s">
        <v>7798</v>
      </c>
      <c r="G2265" s="125" t="s">
        <v>893</v>
      </c>
      <c r="H2265" s="125" t="s">
        <v>7801</v>
      </c>
    </row>
    <row r="2266">
      <c r="A2266" s="125" t="s">
        <v>5533</v>
      </c>
      <c r="B2266" s="526" t="s">
        <v>5532</v>
      </c>
      <c r="C2266" s="527">
        <v>0.0</v>
      </c>
      <c r="D2266" s="527">
        <v>0.0</v>
      </c>
      <c r="F2266" s="36" t="s">
        <v>7798</v>
      </c>
      <c r="G2266" s="125" t="s">
        <v>893</v>
      </c>
      <c r="H2266" s="125" t="s">
        <v>7801</v>
      </c>
    </row>
    <row r="2267">
      <c r="A2267" s="125" t="s">
        <v>738</v>
      </c>
      <c r="B2267" s="526" t="s">
        <v>739</v>
      </c>
      <c r="C2267" s="527">
        <v>24.0</v>
      </c>
      <c r="D2267" s="527">
        <v>673.17</v>
      </c>
      <c r="E2267" s="528">
        <v>28.0488</v>
      </c>
      <c r="F2267" s="36" t="s">
        <v>7798</v>
      </c>
      <c r="G2267" s="125" t="s">
        <v>913</v>
      </c>
      <c r="H2267" s="125" t="s">
        <v>569</v>
      </c>
      <c r="I2267" t="s">
        <v>347</v>
      </c>
    </row>
    <row r="2268">
      <c r="A2268" s="125" t="s">
        <v>5535</v>
      </c>
      <c r="B2268" s="526" t="s">
        <v>5534</v>
      </c>
      <c r="C2268" s="527">
        <v>0.0</v>
      </c>
      <c r="D2268" s="527">
        <v>0.0</v>
      </c>
      <c r="F2268" s="36" t="s">
        <v>7798</v>
      </c>
      <c r="G2268" s="125" t="s">
        <v>893</v>
      </c>
      <c r="H2268" s="125" t="s">
        <v>7799</v>
      </c>
      <c r="I2268" t="s">
        <v>347</v>
      </c>
    </row>
    <row r="2269">
      <c r="A2269" s="125" t="s">
        <v>5537</v>
      </c>
      <c r="B2269" s="526" t="s">
        <v>5536</v>
      </c>
      <c r="C2269" s="527">
        <v>282.0</v>
      </c>
      <c r="D2269" s="527">
        <v>155.1</v>
      </c>
      <c r="E2269" s="528">
        <v>0.55</v>
      </c>
      <c r="F2269" s="36" t="s">
        <v>7798</v>
      </c>
      <c r="G2269" s="125" t="s">
        <v>913</v>
      </c>
      <c r="H2269" s="125" t="s">
        <v>7821</v>
      </c>
      <c r="I2269" t="s">
        <v>7823</v>
      </c>
    </row>
    <row r="2270">
      <c r="A2270" s="125" t="s">
        <v>5539</v>
      </c>
      <c r="B2270" s="526" t="s">
        <v>5538</v>
      </c>
      <c r="C2270" s="527">
        <v>426.0</v>
      </c>
      <c r="D2270" s="527">
        <v>213.0</v>
      </c>
      <c r="E2270" s="528">
        <v>0.5</v>
      </c>
      <c r="F2270" s="36" t="s">
        <v>7798</v>
      </c>
      <c r="G2270" s="125" t="s">
        <v>913</v>
      </c>
      <c r="H2270" s="125" t="s">
        <v>7821</v>
      </c>
      <c r="I2270" t="s">
        <v>7838</v>
      </c>
    </row>
    <row r="2271">
      <c r="A2271" s="125" t="s">
        <v>5543</v>
      </c>
      <c r="B2271" s="526" t="s">
        <v>5542</v>
      </c>
      <c r="C2271" s="527">
        <v>0.0</v>
      </c>
      <c r="D2271" s="527">
        <v>0.0</v>
      </c>
      <c r="F2271" s="36" t="s">
        <v>7798</v>
      </c>
      <c r="G2271" s="125" t="s">
        <v>893</v>
      </c>
      <c r="H2271" s="125" t="s">
        <v>7799</v>
      </c>
      <c r="I2271" t="s">
        <v>45</v>
      </c>
    </row>
    <row r="2272">
      <c r="A2272" s="125" t="s">
        <v>5545</v>
      </c>
      <c r="B2272" s="526" t="s">
        <v>5544</v>
      </c>
      <c r="C2272" s="527">
        <v>0.0</v>
      </c>
      <c r="D2272" s="527">
        <v>0.0</v>
      </c>
      <c r="F2272" s="36" t="s">
        <v>7798</v>
      </c>
      <c r="G2272" s="125" t="s">
        <v>893</v>
      </c>
      <c r="H2272" s="125" t="s">
        <v>7799</v>
      </c>
      <c r="I2272" t="s">
        <v>7811</v>
      </c>
    </row>
    <row r="2273">
      <c r="A2273" s="125" t="s">
        <v>5547</v>
      </c>
      <c r="B2273" s="526" t="s">
        <v>5546</v>
      </c>
      <c r="C2273" s="527">
        <v>0.0</v>
      </c>
      <c r="D2273" s="527">
        <v>0.0</v>
      </c>
      <c r="F2273" s="36" t="s">
        <v>7798</v>
      </c>
      <c r="G2273" s="125" t="s">
        <v>913</v>
      </c>
      <c r="H2273" s="125" t="s">
        <v>7828</v>
      </c>
    </row>
    <row r="2274">
      <c r="A2274" s="125" t="s">
        <v>5549</v>
      </c>
      <c r="B2274" s="526" t="s">
        <v>5548</v>
      </c>
      <c r="C2274" s="527">
        <v>510.0</v>
      </c>
      <c r="D2274" s="527">
        <v>255.0</v>
      </c>
      <c r="E2274" s="528">
        <v>0.5</v>
      </c>
      <c r="F2274" s="36" t="s">
        <v>7798</v>
      </c>
      <c r="G2274" s="125" t="s">
        <v>913</v>
      </c>
      <c r="H2274" s="125" t="s">
        <v>7821</v>
      </c>
      <c r="I2274" t="s">
        <v>7838</v>
      </c>
    </row>
    <row r="2275">
      <c r="A2275" s="125" t="s">
        <v>5551</v>
      </c>
      <c r="B2275" s="526" t="s">
        <v>5550</v>
      </c>
      <c r="C2275" s="527">
        <v>186.0</v>
      </c>
      <c r="D2275" s="527">
        <v>89.28</v>
      </c>
      <c r="E2275" s="528">
        <v>0.48</v>
      </c>
      <c r="F2275" s="36" t="s">
        <v>7798</v>
      </c>
      <c r="G2275" s="125" t="s">
        <v>913</v>
      </c>
      <c r="H2275" s="125" t="s">
        <v>7821</v>
      </c>
      <c r="I2275" t="s">
        <v>7834</v>
      </c>
    </row>
    <row r="2276">
      <c r="A2276" s="125" t="s">
        <v>5553</v>
      </c>
      <c r="B2276" s="526" t="s">
        <v>5552</v>
      </c>
      <c r="C2276" s="527">
        <v>0.0</v>
      </c>
      <c r="D2276" s="527">
        <v>0.0</v>
      </c>
      <c r="F2276" s="36" t="s">
        <v>7798</v>
      </c>
      <c r="G2276" s="125" t="s">
        <v>893</v>
      </c>
      <c r="H2276" s="125" t="s">
        <v>7799</v>
      </c>
      <c r="I2276" t="s">
        <v>7842</v>
      </c>
    </row>
    <row r="2277">
      <c r="A2277" s="125" t="s">
        <v>5555</v>
      </c>
      <c r="B2277" s="526" t="s">
        <v>5554</v>
      </c>
      <c r="C2277" s="527">
        <v>411.0</v>
      </c>
      <c r="D2277" s="527">
        <v>1025.17</v>
      </c>
      <c r="E2277" s="528">
        <v>2.4943</v>
      </c>
      <c r="F2277" s="36" t="s">
        <v>7798</v>
      </c>
      <c r="G2277" s="125" t="s">
        <v>913</v>
      </c>
      <c r="H2277" s="125" t="s">
        <v>7808</v>
      </c>
      <c r="I2277" t="s">
        <v>7852</v>
      </c>
    </row>
    <row r="2278">
      <c r="A2278" s="125" t="s">
        <v>5557</v>
      </c>
      <c r="B2278" s="526" t="s">
        <v>5556</v>
      </c>
      <c r="C2278" s="527">
        <v>381.0</v>
      </c>
      <c r="D2278" s="527">
        <v>950.37</v>
      </c>
      <c r="E2278" s="528">
        <v>2.4944</v>
      </c>
      <c r="F2278" s="36" t="s">
        <v>7798</v>
      </c>
      <c r="G2278" s="125" t="s">
        <v>913</v>
      </c>
      <c r="H2278" s="125" t="s">
        <v>7808</v>
      </c>
      <c r="I2278" t="s">
        <v>7852</v>
      </c>
    </row>
    <row r="2279">
      <c r="A2279" s="125" t="s">
        <v>5559</v>
      </c>
      <c r="B2279" s="526" t="s">
        <v>5558</v>
      </c>
      <c r="C2279" s="527">
        <v>347.0</v>
      </c>
      <c r="D2279" s="527">
        <v>865.6</v>
      </c>
      <c r="E2279" s="528">
        <v>2.4945</v>
      </c>
      <c r="F2279" s="36" t="s">
        <v>7798</v>
      </c>
      <c r="G2279" s="125" t="s">
        <v>913</v>
      </c>
      <c r="H2279" s="125" t="s">
        <v>7808</v>
      </c>
      <c r="I2279" t="s">
        <v>7852</v>
      </c>
    </row>
    <row r="2280">
      <c r="A2280" s="125" t="s">
        <v>5561</v>
      </c>
      <c r="B2280" s="526" t="s">
        <v>5560</v>
      </c>
      <c r="C2280" s="527">
        <v>302.0</v>
      </c>
      <c r="D2280" s="527">
        <v>753.39</v>
      </c>
      <c r="E2280" s="528">
        <v>2.4947</v>
      </c>
      <c r="F2280" s="36" t="s">
        <v>7798</v>
      </c>
      <c r="G2280" s="125" t="s">
        <v>913</v>
      </c>
      <c r="H2280" s="125" t="s">
        <v>7808</v>
      </c>
      <c r="I2280" t="s">
        <v>7852</v>
      </c>
    </row>
    <row r="2281">
      <c r="A2281" s="125" t="s">
        <v>5563</v>
      </c>
      <c r="B2281" s="526" t="s">
        <v>5562</v>
      </c>
      <c r="C2281" s="527">
        <v>230.0</v>
      </c>
      <c r="D2281" s="527">
        <v>573.87</v>
      </c>
      <c r="E2281" s="528">
        <v>2.4951</v>
      </c>
      <c r="F2281" s="36" t="s">
        <v>7798</v>
      </c>
      <c r="G2281" s="125" t="s">
        <v>913</v>
      </c>
      <c r="H2281" s="125" t="s">
        <v>7808</v>
      </c>
      <c r="I2281" t="s">
        <v>7852</v>
      </c>
    </row>
    <row r="2282">
      <c r="A2282" s="125" t="s">
        <v>5565</v>
      </c>
      <c r="B2282" s="526" t="s">
        <v>5564</v>
      </c>
      <c r="C2282" s="527">
        <v>276.0</v>
      </c>
      <c r="D2282" s="527">
        <v>688.59</v>
      </c>
      <c r="E2282" s="528">
        <v>2.4949</v>
      </c>
      <c r="F2282" s="36" t="s">
        <v>7798</v>
      </c>
      <c r="G2282" s="125" t="s">
        <v>913</v>
      </c>
      <c r="H2282" s="125" t="s">
        <v>7808</v>
      </c>
      <c r="I2282" t="s">
        <v>7852</v>
      </c>
    </row>
    <row r="2283">
      <c r="A2283" s="125" t="s">
        <v>5567</v>
      </c>
      <c r="B2283" s="526" t="s">
        <v>5566</v>
      </c>
      <c r="C2283" s="527">
        <v>405.0</v>
      </c>
      <c r="D2283" s="527">
        <v>1010.15</v>
      </c>
      <c r="E2283" s="528">
        <v>2.4942</v>
      </c>
      <c r="F2283" s="36" t="s">
        <v>7798</v>
      </c>
      <c r="G2283" s="125" t="s">
        <v>913</v>
      </c>
      <c r="H2283" s="125" t="s">
        <v>7808</v>
      </c>
      <c r="I2283" t="s">
        <v>7852</v>
      </c>
    </row>
    <row r="2284">
      <c r="A2284" s="125" t="s">
        <v>5569</v>
      </c>
      <c r="B2284" s="526" t="s">
        <v>5568</v>
      </c>
      <c r="C2284" s="527">
        <v>426.0</v>
      </c>
      <c r="D2284" s="527">
        <v>1062.57</v>
      </c>
      <c r="E2284" s="528">
        <v>2.4943</v>
      </c>
      <c r="F2284" s="36" t="s">
        <v>7798</v>
      </c>
      <c r="G2284" s="125" t="s">
        <v>913</v>
      </c>
      <c r="H2284" s="125" t="s">
        <v>7808</v>
      </c>
      <c r="I2284" t="s">
        <v>7852</v>
      </c>
    </row>
    <row r="2285">
      <c r="A2285" s="125" t="s">
        <v>5571</v>
      </c>
      <c r="B2285" s="526" t="s">
        <v>5570</v>
      </c>
      <c r="C2285" s="527">
        <v>423.0</v>
      </c>
      <c r="D2285" s="527">
        <v>1055.09</v>
      </c>
      <c r="E2285" s="528">
        <v>2.4943</v>
      </c>
      <c r="F2285" s="36" t="s">
        <v>7798</v>
      </c>
      <c r="G2285" s="125" t="s">
        <v>913</v>
      </c>
      <c r="H2285" s="125" t="s">
        <v>7808</v>
      </c>
      <c r="I2285" t="s">
        <v>7852</v>
      </c>
    </row>
    <row r="2286">
      <c r="A2286" s="125" t="s">
        <v>5573</v>
      </c>
      <c r="B2286" s="526" t="s">
        <v>5572</v>
      </c>
      <c r="C2286" s="527">
        <v>390.0</v>
      </c>
      <c r="D2286" s="527">
        <v>972.81</v>
      </c>
      <c r="E2286" s="528">
        <v>2.4944</v>
      </c>
      <c r="F2286" s="36" t="s">
        <v>7798</v>
      </c>
      <c r="G2286" s="125" t="s">
        <v>913</v>
      </c>
      <c r="H2286" s="125" t="s">
        <v>7808</v>
      </c>
      <c r="I2286" t="s">
        <v>7852</v>
      </c>
    </row>
    <row r="2287">
      <c r="A2287" s="125" t="s">
        <v>5575</v>
      </c>
      <c r="B2287" s="526" t="s">
        <v>5574</v>
      </c>
      <c r="C2287" s="527">
        <v>327.0</v>
      </c>
      <c r="D2287" s="527">
        <v>815.75</v>
      </c>
      <c r="E2287" s="528">
        <v>2.4946</v>
      </c>
      <c r="F2287" s="36" t="s">
        <v>7798</v>
      </c>
      <c r="G2287" s="125" t="s">
        <v>913</v>
      </c>
      <c r="H2287" s="125" t="s">
        <v>7808</v>
      </c>
      <c r="I2287" t="s">
        <v>7852</v>
      </c>
    </row>
    <row r="2288">
      <c r="A2288" s="125" t="s">
        <v>5577</v>
      </c>
      <c r="B2288" s="526" t="s">
        <v>5576</v>
      </c>
      <c r="C2288" s="527">
        <v>363.0</v>
      </c>
      <c r="D2288" s="527">
        <v>905.44</v>
      </c>
      <c r="E2288" s="528">
        <v>2.4943</v>
      </c>
      <c r="F2288" s="36" t="s">
        <v>7798</v>
      </c>
      <c r="G2288" s="125" t="s">
        <v>913</v>
      </c>
      <c r="H2288" s="125" t="s">
        <v>7808</v>
      </c>
      <c r="I2288" t="s">
        <v>7852</v>
      </c>
    </row>
    <row r="2289">
      <c r="A2289" s="125" t="s">
        <v>5579</v>
      </c>
      <c r="B2289" s="526" t="s">
        <v>5578</v>
      </c>
      <c r="C2289" s="527">
        <v>0.0</v>
      </c>
      <c r="D2289" s="527">
        <v>0.0</v>
      </c>
      <c r="F2289" s="36" t="s">
        <v>7798</v>
      </c>
      <c r="G2289" s="125" t="s">
        <v>913</v>
      </c>
      <c r="H2289" s="125" t="s">
        <v>7801</v>
      </c>
      <c r="I2289" t="s">
        <v>7852</v>
      </c>
    </row>
    <row r="2290">
      <c r="A2290" s="125" t="s">
        <v>5581</v>
      </c>
      <c r="B2290" s="526" t="s">
        <v>5580</v>
      </c>
      <c r="C2290" s="527">
        <v>7.0</v>
      </c>
      <c r="D2290" s="527">
        <v>80.78</v>
      </c>
      <c r="E2290" s="528">
        <v>11.54</v>
      </c>
      <c r="F2290" s="36" t="s">
        <v>7798</v>
      </c>
      <c r="G2290" s="125" t="s">
        <v>913</v>
      </c>
      <c r="I2290" t="s">
        <v>45</v>
      </c>
    </row>
    <row r="2291">
      <c r="A2291" s="125" t="s">
        <v>5583</v>
      </c>
      <c r="B2291" s="526" t="s">
        <v>5582</v>
      </c>
      <c r="C2291" s="527">
        <v>0.0</v>
      </c>
      <c r="D2291" s="527">
        <v>0.0</v>
      </c>
      <c r="F2291" s="36" t="s">
        <v>7798</v>
      </c>
      <c r="G2291" s="125" t="s">
        <v>893</v>
      </c>
      <c r="H2291" s="125" t="s">
        <v>7799</v>
      </c>
      <c r="I2291" t="s">
        <v>7894</v>
      </c>
    </row>
    <row r="2292">
      <c r="A2292" s="125" t="s">
        <v>5585</v>
      </c>
      <c r="B2292" s="526" t="s">
        <v>5584</v>
      </c>
      <c r="C2292" s="527">
        <v>0.0</v>
      </c>
      <c r="D2292" s="527">
        <v>0.0</v>
      </c>
      <c r="F2292" s="36" t="s">
        <v>7798</v>
      </c>
      <c r="G2292" s="125" t="s">
        <v>893</v>
      </c>
      <c r="H2292" s="125" t="s">
        <v>7799</v>
      </c>
      <c r="I2292" t="s">
        <v>7894</v>
      </c>
    </row>
    <row r="2293">
      <c r="A2293" s="125" t="s">
        <v>5587</v>
      </c>
      <c r="B2293" s="526" t="s">
        <v>5586</v>
      </c>
      <c r="C2293" s="527">
        <v>0.0</v>
      </c>
      <c r="D2293" s="527">
        <v>0.0</v>
      </c>
      <c r="F2293" s="36" t="s">
        <v>7798</v>
      </c>
      <c r="G2293" s="125" t="s">
        <v>893</v>
      </c>
      <c r="H2293" s="125" t="s">
        <v>7799</v>
      </c>
      <c r="I2293" t="s">
        <v>7894</v>
      </c>
    </row>
    <row r="2294">
      <c r="A2294" s="125" t="s">
        <v>5589</v>
      </c>
      <c r="B2294" s="526" t="s">
        <v>5588</v>
      </c>
      <c r="C2294" s="527">
        <v>0.0</v>
      </c>
      <c r="D2294" s="527">
        <v>0.0</v>
      </c>
      <c r="F2294" s="36" t="s">
        <v>7798</v>
      </c>
      <c r="G2294" s="125" t="s">
        <v>893</v>
      </c>
      <c r="H2294" s="125" t="s">
        <v>7799</v>
      </c>
      <c r="I2294" t="s">
        <v>7894</v>
      </c>
    </row>
    <row r="2295">
      <c r="A2295" s="125" t="s">
        <v>5591</v>
      </c>
      <c r="B2295" s="526" t="s">
        <v>5590</v>
      </c>
      <c r="C2295" s="527">
        <v>0.0</v>
      </c>
      <c r="D2295" s="527">
        <v>0.0</v>
      </c>
      <c r="F2295" s="36" t="s">
        <v>7798</v>
      </c>
      <c r="G2295" s="125" t="s">
        <v>893</v>
      </c>
      <c r="H2295" s="125" t="s">
        <v>7799</v>
      </c>
      <c r="I2295" t="s">
        <v>7894</v>
      </c>
    </row>
    <row r="2296">
      <c r="A2296" s="125" t="s">
        <v>5593</v>
      </c>
      <c r="B2296" s="526" t="s">
        <v>5592</v>
      </c>
      <c r="C2296" s="527">
        <v>0.0</v>
      </c>
      <c r="D2296" s="527">
        <v>0.0</v>
      </c>
      <c r="F2296" s="36" t="s">
        <v>7798</v>
      </c>
      <c r="G2296" s="125" t="s">
        <v>893</v>
      </c>
      <c r="H2296" s="125" t="s">
        <v>7799</v>
      </c>
      <c r="I2296" t="s">
        <v>7894</v>
      </c>
    </row>
    <row r="2297">
      <c r="A2297" s="125" t="s">
        <v>5595</v>
      </c>
      <c r="B2297" s="526" t="s">
        <v>5594</v>
      </c>
      <c r="C2297" s="527">
        <v>0.0</v>
      </c>
      <c r="D2297" s="527">
        <v>0.0</v>
      </c>
      <c r="F2297" s="36" t="s">
        <v>7798</v>
      </c>
      <c r="G2297" s="125" t="s">
        <v>893</v>
      </c>
      <c r="H2297" s="125" t="s">
        <v>7799</v>
      </c>
      <c r="I2297" t="s">
        <v>7894</v>
      </c>
    </row>
    <row r="2298">
      <c r="A2298" s="125" t="s">
        <v>5597</v>
      </c>
      <c r="B2298" s="526" t="s">
        <v>5596</v>
      </c>
      <c r="C2298" s="527">
        <v>0.0</v>
      </c>
      <c r="D2298" s="527">
        <v>0.0</v>
      </c>
      <c r="F2298" s="36" t="s">
        <v>7798</v>
      </c>
      <c r="G2298" s="125" t="s">
        <v>893</v>
      </c>
      <c r="H2298" s="125" t="s">
        <v>7799</v>
      </c>
      <c r="I2298" t="s">
        <v>7894</v>
      </c>
    </row>
    <row r="2299">
      <c r="A2299" s="125" t="s">
        <v>5599</v>
      </c>
      <c r="B2299" s="526" t="s">
        <v>5598</v>
      </c>
      <c r="C2299" s="527">
        <v>0.0</v>
      </c>
      <c r="D2299" s="527">
        <v>0.0</v>
      </c>
      <c r="F2299" s="36" t="s">
        <v>7798</v>
      </c>
      <c r="G2299" s="125" t="s">
        <v>893</v>
      </c>
      <c r="H2299" s="125" t="s">
        <v>7799</v>
      </c>
      <c r="I2299" t="s">
        <v>7894</v>
      </c>
    </row>
    <row r="2300">
      <c r="A2300" s="125" t="s">
        <v>5601</v>
      </c>
      <c r="B2300" s="526" t="s">
        <v>5600</v>
      </c>
      <c r="C2300" s="527">
        <v>0.0</v>
      </c>
      <c r="D2300" s="527">
        <v>0.0</v>
      </c>
      <c r="F2300" s="36" t="s">
        <v>7798</v>
      </c>
      <c r="G2300" s="125" t="s">
        <v>893</v>
      </c>
      <c r="H2300" s="125" t="s">
        <v>7799</v>
      </c>
      <c r="I2300" t="s">
        <v>7894</v>
      </c>
    </row>
    <row r="2301">
      <c r="A2301" s="125" t="s">
        <v>5605</v>
      </c>
      <c r="B2301" s="526" t="s">
        <v>5604</v>
      </c>
      <c r="C2301" s="527">
        <v>0.0</v>
      </c>
      <c r="D2301" s="527">
        <v>0.0</v>
      </c>
      <c r="F2301" s="36" t="s">
        <v>7798</v>
      </c>
      <c r="G2301" s="125" t="s">
        <v>893</v>
      </c>
      <c r="H2301" s="125" t="s">
        <v>7799</v>
      </c>
      <c r="I2301" t="s">
        <v>81</v>
      </c>
    </row>
    <row r="2302">
      <c r="A2302" s="125" t="s">
        <v>5607</v>
      </c>
      <c r="B2302" s="526" t="s">
        <v>5606</v>
      </c>
      <c r="C2302" s="527">
        <v>0.0</v>
      </c>
      <c r="D2302" s="527">
        <v>0.0</v>
      </c>
      <c r="F2302" s="36" t="s">
        <v>7798</v>
      </c>
      <c r="G2302" s="125" t="s">
        <v>893</v>
      </c>
      <c r="H2302" s="125" t="s">
        <v>7799</v>
      </c>
      <c r="I2302" t="s">
        <v>81</v>
      </c>
    </row>
    <row r="2303">
      <c r="A2303" s="125" t="s">
        <v>5609</v>
      </c>
      <c r="B2303" s="526" t="s">
        <v>5608</v>
      </c>
      <c r="C2303" s="527">
        <v>0.0</v>
      </c>
      <c r="D2303" s="527">
        <v>0.0</v>
      </c>
      <c r="F2303" s="36" t="s">
        <v>7798</v>
      </c>
      <c r="G2303" s="125" t="s">
        <v>893</v>
      </c>
      <c r="H2303" s="125" t="s">
        <v>7799</v>
      </c>
      <c r="I2303" t="s">
        <v>81</v>
      </c>
    </row>
    <row r="2304">
      <c r="A2304" s="125" t="s">
        <v>5613</v>
      </c>
      <c r="B2304" s="526" t="s">
        <v>5612</v>
      </c>
      <c r="C2304" s="527">
        <v>0.0</v>
      </c>
      <c r="D2304" s="527">
        <v>0.0</v>
      </c>
      <c r="F2304" s="36" t="s">
        <v>7798</v>
      </c>
      <c r="G2304" s="125" t="s">
        <v>893</v>
      </c>
      <c r="H2304" s="125" t="s">
        <v>7799</v>
      </c>
      <c r="I2304" t="s">
        <v>81</v>
      </c>
    </row>
    <row r="2305">
      <c r="A2305" s="125" t="s">
        <v>5615</v>
      </c>
      <c r="B2305" s="526" t="s">
        <v>5614</v>
      </c>
      <c r="C2305" s="527">
        <v>0.0</v>
      </c>
      <c r="D2305" s="527">
        <v>0.0</v>
      </c>
      <c r="F2305" s="36" t="s">
        <v>7798</v>
      </c>
      <c r="G2305" s="125" t="s">
        <v>893</v>
      </c>
      <c r="H2305" s="125" t="s">
        <v>7799</v>
      </c>
      <c r="I2305" t="s">
        <v>7888</v>
      </c>
    </row>
    <row r="2306">
      <c r="A2306" s="125" t="s">
        <v>5619</v>
      </c>
      <c r="B2306" s="526" t="s">
        <v>5618</v>
      </c>
      <c r="C2306" s="527">
        <v>0.0</v>
      </c>
      <c r="D2306" s="527">
        <v>0.0</v>
      </c>
      <c r="F2306" s="36" t="s">
        <v>7798</v>
      </c>
      <c r="G2306" s="125" t="s">
        <v>893</v>
      </c>
      <c r="H2306" s="125" t="s">
        <v>7799</v>
      </c>
      <c r="I2306" t="s">
        <v>7888</v>
      </c>
    </row>
    <row r="2307">
      <c r="A2307" s="125" t="s">
        <v>5621</v>
      </c>
      <c r="B2307" s="526" t="s">
        <v>5620</v>
      </c>
      <c r="C2307" s="527">
        <v>0.0</v>
      </c>
      <c r="D2307" s="527">
        <v>0.0</v>
      </c>
      <c r="F2307" s="36" t="s">
        <v>7798</v>
      </c>
      <c r="G2307" s="125" t="s">
        <v>893</v>
      </c>
      <c r="H2307" s="125" t="s">
        <v>7799</v>
      </c>
      <c r="I2307" t="s">
        <v>7888</v>
      </c>
    </row>
    <row r="2308">
      <c r="A2308" s="125" t="s">
        <v>5625</v>
      </c>
      <c r="B2308" s="526" t="s">
        <v>5624</v>
      </c>
      <c r="C2308" s="527">
        <v>0.0</v>
      </c>
      <c r="D2308" s="527">
        <v>0.0</v>
      </c>
      <c r="F2308" s="36" t="s">
        <v>7798</v>
      </c>
      <c r="G2308" s="125" t="s">
        <v>893</v>
      </c>
      <c r="H2308" s="125" t="s">
        <v>7799</v>
      </c>
      <c r="I2308" t="s">
        <v>7888</v>
      </c>
    </row>
    <row r="2309">
      <c r="A2309" s="125" t="s">
        <v>5627</v>
      </c>
      <c r="B2309" s="526" t="s">
        <v>5626</v>
      </c>
      <c r="C2309" s="527">
        <v>0.0</v>
      </c>
      <c r="D2309" s="527">
        <v>0.0</v>
      </c>
      <c r="F2309" s="36" t="s">
        <v>7798</v>
      </c>
      <c r="G2309" s="125" t="s">
        <v>893</v>
      </c>
      <c r="H2309" s="125" t="s">
        <v>7799</v>
      </c>
      <c r="I2309" t="s">
        <v>7888</v>
      </c>
    </row>
    <row r="2310">
      <c r="A2310" s="125" t="s">
        <v>5629</v>
      </c>
      <c r="B2310" s="526" t="s">
        <v>5628</v>
      </c>
      <c r="C2310" s="527">
        <v>0.0</v>
      </c>
      <c r="D2310" s="527">
        <v>0.0</v>
      </c>
      <c r="F2310" s="36" t="s">
        <v>7798</v>
      </c>
      <c r="G2310" s="125" t="s">
        <v>893</v>
      </c>
      <c r="H2310" s="125" t="s">
        <v>7799</v>
      </c>
      <c r="I2310" t="s">
        <v>7888</v>
      </c>
    </row>
    <row r="2311">
      <c r="A2311" s="125" t="s">
        <v>5631</v>
      </c>
      <c r="B2311" s="526" t="s">
        <v>5630</v>
      </c>
      <c r="C2311" s="527">
        <v>0.0</v>
      </c>
      <c r="D2311" s="527">
        <v>0.0</v>
      </c>
      <c r="F2311" s="36" t="s">
        <v>7798</v>
      </c>
      <c r="G2311" s="125" t="s">
        <v>893</v>
      </c>
      <c r="H2311" s="125" t="s">
        <v>7799</v>
      </c>
      <c r="I2311" t="s">
        <v>45</v>
      </c>
    </row>
    <row r="2312">
      <c r="A2312" s="125" t="s">
        <v>5633</v>
      </c>
      <c r="B2312" s="526" t="s">
        <v>5632</v>
      </c>
      <c r="C2312" s="527">
        <v>171.0</v>
      </c>
      <c r="D2312" s="527">
        <v>643.26</v>
      </c>
      <c r="E2312" s="528">
        <v>3.7618</v>
      </c>
      <c r="F2312" s="36" t="s">
        <v>7827</v>
      </c>
      <c r="G2312" s="125" t="s">
        <v>913</v>
      </c>
      <c r="H2312" s="125" t="s">
        <v>7840</v>
      </c>
    </row>
    <row r="2313">
      <c r="A2313" s="125" t="s">
        <v>5636</v>
      </c>
      <c r="B2313" s="526" t="s">
        <v>5635</v>
      </c>
      <c r="C2313" s="527">
        <v>171.0</v>
      </c>
      <c r="D2313" s="527">
        <v>643.26</v>
      </c>
      <c r="E2313" s="528">
        <v>3.7618</v>
      </c>
      <c r="F2313" s="36" t="s">
        <v>7827</v>
      </c>
      <c r="G2313" s="125" t="s">
        <v>913</v>
      </c>
      <c r="H2313" s="125" t="s">
        <v>7840</v>
      </c>
    </row>
    <row r="2314">
      <c r="A2314" s="125" t="s">
        <v>5638</v>
      </c>
      <c r="B2314" s="526" t="s">
        <v>5637</v>
      </c>
      <c r="C2314" s="527">
        <v>171.0</v>
      </c>
      <c r="D2314" s="527">
        <v>643.26</v>
      </c>
      <c r="E2314" s="528">
        <v>3.7618</v>
      </c>
      <c r="F2314" s="36" t="s">
        <v>7827</v>
      </c>
      <c r="G2314" s="125" t="s">
        <v>913</v>
      </c>
      <c r="H2314" s="125" t="s">
        <v>7840</v>
      </c>
    </row>
    <row r="2315">
      <c r="A2315" s="125" t="s">
        <v>5640</v>
      </c>
      <c r="B2315" s="526" t="s">
        <v>5639</v>
      </c>
      <c r="C2315" s="527">
        <v>171.0</v>
      </c>
      <c r="D2315" s="527">
        <v>643.26</v>
      </c>
      <c r="E2315" s="528">
        <v>3.7618</v>
      </c>
      <c r="F2315" s="36" t="s">
        <v>7827</v>
      </c>
      <c r="G2315" s="125" t="s">
        <v>913</v>
      </c>
      <c r="H2315" s="125" t="s">
        <v>7840</v>
      </c>
    </row>
    <row r="2316">
      <c r="A2316" s="125" t="s">
        <v>5642</v>
      </c>
      <c r="B2316" s="526" t="s">
        <v>5641</v>
      </c>
      <c r="C2316" s="527">
        <v>171.0</v>
      </c>
      <c r="D2316" s="527">
        <v>643.26</v>
      </c>
      <c r="E2316" s="528">
        <v>3.7618</v>
      </c>
      <c r="F2316" s="36" t="s">
        <v>7827</v>
      </c>
      <c r="G2316" s="125" t="s">
        <v>913</v>
      </c>
      <c r="H2316" s="125" t="s">
        <v>7840</v>
      </c>
    </row>
    <row r="2317">
      <c r="A2317" s="125" t="s">
        <v>5648</v>
      </c>
      <c r="B2317" s="526" t="s">
        <v>5647</v>
      </c>
      <c r="C2317" s="527">
        <v>0.0</v>
      </c>
      <c r="D2317" s="527">
        <v>0.0</v>
      </c>
      <c r="F2317" s="36" t="s">
        <v>7807</v>
      </c>
      <c r="G2317" s="125" t="s">
        <v>893</v>
      </c>
      <c r="H2317" s="125" t="s">
        <v>7799</v>
      </c>
    </row>
    <row r="2318">
      <c r="A2318" s="125" t="s">
        <v>5650</v>
      </c>
      <c r="B2318" s="526" t="s">
        <v>5649</v>
      </c>
      <c r="C2318" s="527">
        <v>0.0</v>
      </c>
      <c r="D2318" s="527">
        <v>0.0</v>
      </c>
      <c r="F2318" s="36" t="s">
        <v>7807</v>
      </c>
      <c r="G2318" s="125" t="s">
        <v>893</v>
      </c>
      <c r="H2318" s="125" t="s">
        <v>7799</v>
      </c>
    </row>
    <row r="2319">
      <c r="A2319" s="125" t="s">
        <v>5652</v>
      </c>
      <c r="B2319" s="526" t="s">
        <v>5651</v>
      </c>
      <c r="C2319" s="527">
        <v>0.0</v>
      </c>
      <c r="D2319" s="527">
        <v>0.0</v>
      </c>
      <c r="F2319" s="36" t="s">
        <v>7807</v>
      </c>
      <c r="G2319" s="125" t="s">
        <v>893</v>
      </c>
      <c r="H2319" s="125" t="s">
        <v>7799</v>
      </c>
    </row>
    <row r="2320">
      <c r="A2320" s="125" t="s">
        <v>5654</v>
      </c>
      <c r="B2320" s="526" t="s">
        <v>5653</v>
      </c>
      <c r="C2320" s="527">
        <v>0.0</v>
      </c>
      <c r="D2320" s="527">
        <v>0.0</v>
      </c>
      <c r="F2320" s="36" t="s">
        <v>7807</v>
      </c>
      <c r="G2320" s="125" t="s">
        <v>893</v>
      </c>
      <c r="H2320" s="125" t="s">
        <v>7799</v>
      </c>
    </row>
    <row r="2321">
      <c r="A2321" s="125" t="s">
        <v>5656</v>
      </c>
      <c r="B2321" s="526" t="s">
        <v>5655</v>
      </c>
      <c r="C2321" s="527">
        <v>0.0</v>
      </c>
      <c r="D2321" s="527">
        <v>0.0</v>
      </c>
      <c r="F2321" s="36" t="s">
        <v>7798</v>
      </c>
      <c r="G2321" s="125" t="s">
        <v>893</v>
      </c>
      <c r="H2321" s="125" t="s">
        <v>7799</v>
      </c>
      <c r="I2321" t="s">
        <v>7805</v>
      </c>
    </row>
    <row r="2322">
      <c r="A2322" s="125" t="s">
        <v>5658</v>
      </c>
      <c r="B2322" s="526" t="s">
        <v>5657</v>
      </c>
      <c r="C2322" s="527">
        <v>0.0</v>
      </c>
      <c r="D2322" s="527">
        <v>0.0</v>
      </c>
      <c r="F2322" s="36" t="s">
        <v>7798</v>
      </c>
      <c r="G2322" s="125" t="s">
        <v>893</v>
      </c>
      <c r="H2322" s="125" t="s">
        <v>7799</v>
      </c>
      <c r="I2322" t="s">
        <v>7805</v>
      </c>
    </row>
    <row r="2323">
      <c r="A2323" s="125" t="s">
        <v>5660</v>
      </c>
      <c r="B2323" s="526" t="s">
        <v>5659</v>
      </c>
      <c r="C2323" s="527">
        <v>0.0</v>
      </c>
      <c r="D2323" s="527">
        <v>0.0</v>
      </c>
      <c r="F2323" s="36" t="s">
        <v>7798</v>
      </c>
      <c r="G2323" s="125" t="s">
        <v>893</v>
      </c>
      <c r="H2323" s="125" t="s">
        <v>7799</v>
      </c>
      <c r="I2323" t="s">
        <v>7805</v>
      </c>
    </row>
    <row r="2324">
      <c r="A2324" s="125" t="s">
        <v>5662</v>
      </c>
      <c r="B2324" s="526" t="s">
        <v>5661</v>
      </c>
      <c r="C2324" s="527">
        <v>20000.0</v>
      </c>
      <c r="D2324" s="527">
        <v>6267.43</v>
      </c>
      <c r="E2324" s="528">
        <v>0.3134</v>
      </c>
      <c r="F2324" s="36" t="s">
        <v>7827</v>
      </c>
      <c r="G2324" s="125" t="s">
        <v>913</v>
      </c>
      <c r="H2324" s="125" t="s">
        <v>7840</v>
      </c>
    </row>
    <row r="2325">
      <c r="A2325" s="125" t="s">
        <v>445</v>
      </c>
      <c r="B2325" s="526" t="s">
        <v>446</v>
      </c>
      <c r="C2325" s="527">
        <v>82.0</v>
      </c>
      <c r="D2325" s="527">
        <v>394.15</v>
      </c>
      <c r="E2325" s="528">
        <v>4.8067</v>
      </c>
      <c r="F2325" s="36" t="s">
        <v>7798</v>
      </c>
      <c r="G2325" s="125" t="s">
        <v>913</v>
      </c>
      <c r="H2325" s="125" t="s">
        <v>7809</v>
      </c>
      <c r="I2325" t="s">
        <v>438</v>
      </c>
    </row>
    <row r="2326">
      <c r="A2326" s="125" t="s">
        <v>5664</v>
      </c>
      <c r="B2326" s="526" t="s">
        <v>5663</v>
      </c>
      <c r="C2326" s="527">
        <v>196.2</v>
      </c>
      <c r="D2326" s="527">
        <v>1054.37</v>
      </c>
      <c r="E2326" s="528">
        <v>5.374</v>
      </c>
      <c r="F2326" s="36" t="s">
        <v>7827</v>
      </c>
      <c r="G2326" s="125" t="s">
        <v>913</v>
      </c>
      <c r="H2326" s="125" t="s">
        <v>7840</v>
      </c>
    </row>
    <row r="2327">
      <c r="A2327" s="125" t="s">
        <v>5666</v>
      </c>
      <c r="B2327" s="526" t="s">
        <v>5665</v>
      </c>
      <c r="C2327" s="527">
        <v>196.2</v>
      </c>
      <c r="D2327" s="527">
        <v>1054.37</v>
      </c>
      <c r="E2327" s="528">
        <v>5.374</v>
      </c>
      <c r="F2327" s="36" t="s">
        <v>7827</v>
      </c>
      <c r="G2327" s="125" t="s">
        <v>913</v>
      </c>
      <c r="H2327" s="125" t="s">
        <v>7840</v>
      </c>
    </row>
    <row r="2328">
      <c r="A2328" s="125" t="s">
        <v>5668</v>
      </c>
      <c r="B2328" s="526" t="s">
        <v>5667</v>
      </c>
      <c r="C2328" s="527">
        <v>196.2</v>
      </c>
      <c r="D2328" s="527">
        <v>1054.37</v>
      </c>
      <c r="E2328" s="528">
        <v>5.374</v>
      </c>
      <c r="F2328" s="36" t="s">
        <v>7827</v>
      </c>
      <c r="G2328" s="125" t="s">
        <v>913</v>
      </c>
      <c r="H2328" s="125" t="s">
        <v>7840</v>
      </c>
    </row>
    <row r="2329">
      <c r="A2329" s="125" t="s">
        <v>5670</v>
      </c>
      <c r="B2329" s="526" t="s">
        <v>5669</v>
      </c>
      <c r="C2329" s="527">
        <v>196.2</v>
      </c>
      <c r="D2329" s="527">
        <v>1054.37</v>
      </c>
      <c r="E2329" s="528">
        <v>5.374</v>
      </c>
      <c r="F2329" s="36" t="s">
        <v>7827</v>
      </c>
      <c r="G2329" s="125" t="s">
        <v>913</v>
      </c>
      <c r="H2329" s="125" t="s">
        <v>7840</v>
      </c>
    </row>
    <row r="2330">
      <c r="A2330" s="125" t="s">
        <v>5672</v>
      </c>
      <c r="B2330" s="526" t="s">
        <v>5671</v>
      </c>
      <c r="C2330" s="527">
        <v>196.2</v>
      </c>
      <c r="D2330" s="527">
        <v>1054.37</v>
      </c>
      <c r="E2330" s="528">
        <v>5.374</v>
      </c>
      <c r="F2330" s="36" t="s">
        <v>7827</v>
      </c>
      <c r="G2330" s="125" t="s">
        <v>913</v>
      </c>
      <c r="H2330" s="125" t="s">
        <v>7840</v>
      </c>
    </row>
    <row r="2331">
      <c r="A2331" s="125" t="s">
        <v>5676</v>
      </c>
      <c r="B2331" s="526" t="s">
        <v>5675</v>
      </c>
      <c r="C2331" s="527">
        <v>300.0</v>
      </c>
      <c r="D2331" s="527">
        <v>1535.47</v>
      </c>
      <c r="E2331" s="528">
        <v>5.1182</v>
      </c>
      <c r="F2331" s="36" t="s">
        <v>7827</v>
      </c>
      <c r="G2331" s="125" t="s">
        <v>913</v>
      </c>
      <c r="H2331" s="125" t="s">
        <v>7840</v>
      </c>
    </row>
    <row r="2332">
      <c r="A2332" s="125" t="s">
        <v>5678</v>
      </c>
      <c r="B2332" s="526" t="s">
        <v>5677</v>
      </c>
      <c r="C2332" s="527">
        <v>300.0</v>
      </c>
      <c r="D2332" s="527">
        <v>1535.46</v>
      </c>
      <c r="E2332" s="528">
        <v>5.1182</v>
      </c>
      <c r="F2332" s="36" t="s">
        <v>7827</v>
      </c>
      <c r="G2332" s="125" t="s">
        <v>913</v>
      </c>
      <c r="H2332" s="125" t="s">
        <v>7840</v>
      </c>
    </row>
    <row r="2333">
      <c r="A2333" s="125" t="s">
        <v>5680</v>
      </c>
      <c r="B2333" s="526" t="s">
        <v>5679</v>
      </c>
      <c r="C2333" s="527">
        <v>300.0</v>
      </c>
      <c r="D2333" s="527">
        <v>1766.6</v>
      </c>
      <c r="E2333" s="528">
        <v>5.8887</v>
      </c>
      <c r="F2333" s="36" t="s">
        <v>7827</v>
      </c>
      <c r="G2333" s="125" t="s">
        <v>913</v>
      </c>
      <c r="H2333" s="125" t="s">
        <v>7840</v>
      </c>
    </row>
    <row r="2334">
      <c r="A2334" s="125" t="s">
        <v>5682</v>
      </c>
      <c r="B2334" s="526" t="s">
        <v>5681</v>
      </c>
      <c r="C2334" s="527">
        <v>0.0</v>
      </c>
      <c r="D2334" s="527">
        <v>0.0</v>
      </c>
      <c r="F2334" s="36" t="s">
        <v>7798</v>
      </c>
      <c r="G2334" s="125" t="s">
        <v>893</v>
      </c>
      <c r="H2334" s="125" t="s">
        <v>7799</v>
      </c>
      <c r="I2334" t="s">
        <v>7842</v>
      </c>
    </row>
    <row r="2335">
      <c r="A2335" s="125" t="s">
        <v>5684</v>
      </c>
      <c r="B2335" s="526" t="s">
        <v>5683</v>
      </c>
      <c r="C2335" s="527">
        <v>0.0</v>
      </c>
      <c r="D2335" s="527">
        <v>0.0</v>
      </c>
      <c r="F2335" s="36" t="s">
        <v>7798</v>
      </c>
      <c r="G2335" s="125" t="s">
        <v>893</v>
      </c>
      <c r="H2335" s="125" t="s">
        <v>7799</v>
      </c>
      <c r="I2335" t="s">
        <v>7860</v>
      </c>
    </row>
    <row r="2336">
      <c r="A2336" s="125" t="s">
        <v>5686</v>
      </c>
      <c r="B2336" s="526" t="s">
        <v>5685</v>
      </c>
      <c r="C2336" s="527">
        <v>0.0</v>
      </c>
      <c r="D2336" s="527">
        <v>0.0</v>
      </c>
      <c r="F2336" s="36" t="s">
        <v>7798</v>
      </c>
      <c r="G2336" s="125" t="s">
        <v>913</v>
      </c>
      <c r="H2336" s="125" t="s">
        <v>7885</v>
      </c>
      <c r="I2336" t="s">
        <v>7860</v>
      </c>
    </row>
    <row r="2337">
      <c r="A2337" s="125" t="s">
        <v>5688</v>
      </c>
      <c r="B2337" s="526" t="s">
        <v>5687</v>
      </c>
      <c r="C2337" s="527">
        <v>0.0</v>
      </c>
      <c r="D2337" s="527">
        <v>0.0</v>
      </c>
      <c r="F2337" s="36" t="s">
        <v>7798</v>
      </c>
      <c r="G2337" s="125" t="s">
        <v>893</v>
      </c>
      <c r="H2337" s="125" t="s">
        <v>7799</v>
      </c>
      <c r="I2337" t="s">
        <v>7860</v>
      </c>
    </row>
    <row r="2338">
      <c r="A2338" s="125" t="s">
        <v>5690</v>
      </c>
      <c r="B2338" s="526" t="s">
        <v>5689</v>
      </c>
      <c r="C2338" s="527">
        <v>0.0</v>
      </c>
      <c r="D2338" s="527">
        <v>0.0</v>
      </c>
      <c r="F2338" s="36" t="s">
        <v>7798</v>
      </c>
      <c r="G2338" s="125" t="s">
        <v>893</v>
      </c>
      <c r="H2338" s="125" t="s">
        <v>7799</v>
      </c>
      <c r="I2338" t="s">
        <v>7820</v>
      </c>
    </row>
    <row r="2339">
      <c r="A2339" s="125" t="s">
        <v>5692</v>
      </c>
      <c r="B2339" s="526" t="s">
        <v>5691</v>
      </c>
      <c r="C2339" s="527">
        <v>0.0</v>
      </c>
      <c r="D2339" s="527">
        <v>0.0</v>
      </c>
      <c r="F2339" s="36" t="s">
        <v>7798</v>
      </c>
      <c r="G2339" s="125" t="s">
        <v>893</v>
      </c>
      <c r="H2339" s="125" t="s">
        <v>7799</v>
      </c>
      <c r="I2339" t="s">
        <v>7839</v>
      </c>
    </row>
    <row r="2340">
      <c r="A2340" s="125" t="s">
        <v>5696</v>
      </c>
      <c r="B2340" s="526" t="s">
        <v>5695</v>
      </c>
      <c r="C2340" s="527">
        <v>161.0</v>
      </c>
      <c r="D2340" s="527">
        <v>88.55</v>
      </c>
      <c r="E2340" s="528">
        <v>0.55</v>
      </c>
      <c r="F2340" s="36" t="s">
        <v>7798</v>
      </c>
      <c r="G2340" s="125" t="s">
        <v>913</v>
      </c>
      <c r="H2340" s="125" t="s">
        <v>7821</v>
      </c>
      <c r="I2340" t="s">
        <v>7823</v>
      </c>
    </row>
    <row r="2341">
      <c r="A2341" s="125" t="s">
        <v>5698</v>
      </c>
      <c r="B2341" s="526" t="s">
        <v>5697</v>
      </c>
      <c r="C2341" s="527">
        <v>504.0</v>
      </c>
      <c r="D2341" s="527">
        <v>252.0</v>
      </c>
      <c r="E2341" s="528">
        <v>0.5</v>
      </c>
      <c r="F2341" s="36" t="s">
        <v>7798</v>
      </c>
      <c r="G2341" s="125" t="s">
        <v>913</v>
      </c>
      <c r="H2341" s="125" t="s">
        <v>7821</v>
      </c>
      <c r="I2341" t="s">
        <v>7838</v>
      </c>
    </row>
    <row r="2342">
      <c r="A2342" s="125" t="s">
        <v>5700</v>
      </c>
      <c r="B2342" s="526" t="s">
        <v>5699</v>
      </c>
      <c r="C2342" s="527">
        <v>5.0</v>
      </c>
      <c r="D2342" s="527">
        <v>2.7</v>
      </c>
      <c r="E2342" s="528">
        <v>0.54</v>
      </c>
      <c r="F2342" s="36" t="s">
        <v>7798</v>
      </c>
      <c r="G2342" s="125" t="s">
        <v>913</v>
      </c>
      <c r="H2342" s="125" t="s">
        <v>7821</v>
      </c>
      <c r="I2342" t="s">
        <v>7834</v>
      </c>
    </row>
    <row r="2343">
      <c r="A2343" s="125" t="s">
        <v>5702</v>
      </c>
      <c r="B2343" s="526" t="s">
        <v>5701</v>
      </c>
      <c r="C2343" s="527">
        <v>0.0</v>
      </c>
      <c r="D2343" s="527">
        <v>0.0</v>
      </c>
      <c r="F2343" s="36" t="s">
        <v>7798</v>
      </c>
      <c r="G2343" s="125" t="s">
        <v>893</v>
      </c>
      <c r="H2343" s="125" t="s">
        <v>7799</v>
      </c>
      <c r="I2343" t="s">
        <v>7895</v>
      </c>
    </row>
    <row r="2344">
      <c r="A2344" s="125" t="s">
        <v>5704</v>
      </c>
      <c r="B2344" s="526" t="s">
        <v>5703</v>
      </c>
      <c r="C2344" s="527">
        <v>30.0</v>
      </c>
      <c r="D2344" s="527">
        <v>55.89</v>
      </c>
      <c r="E2344" s="528">
        <v>1.863</v>
      </c>
      <c r="F2344" s="36" t="s">
        <v>7798</v>
      </c>
      <c r="G2344" s="125" t="s">
        <v>913</v>
      </c>
      <c r="H2344" s="125" t="s">
        <v>7808</v>
      </c>
      <c r="I2344" t="s">
        <v>7896</v>
      </c>
    </row>
    <row r="2345">
      <c r="A2345" s="125" t="s">
        <v>5706</v>
      </c>
      <c r="B2345" s="526" t="s">
        <v>5705</v>
      </c>
      <c r="C2345" s="527">
        <v>359.0</v>
      </c>
      <c r="D2345" s="527">
        <v>767.51</v>
      </c>
      <c r="E2345" s="528">
        <v>2.1379</v>
      </c>
      <c r="F2345" s="36" t="s">
        <v>7798</v>
      </c>
      <c r="G2345" s="125" t="s">
        <v>913</v>
      </c>
      <c r="H2345" s="125" t="s">
        <v>7808</v>
      </c>
      <c r="I2345" t="s">
        <v>7896</v>
      </c>
    </row>
    <row r="2346">
      <c r="A2346" s="125" t="s">
        <v>5708</v>
      </c>
      <c r="B2346" s="526" t="s">
        <v>5707</v>
      </c>
      <c r="C2346" s="527">
        <v>503.0</v>
      </c>
      <c r="D2346" s="527">
        <v>977.86</v>
      </c>
      <c r="E2346" s="528">
        <v>1.9441</v>
      </c>
      <c r="F2346" s="36" t="s">
        <v>7798</v>
      </c>
      <c r="G2346" s="125" t="s">
        <v>913</v>
      </c>
      <c r="H2346" s="125" t="s">
        <v>7808</v>
      </c>
      <c r="I2346" t="s">
        <v>7896</v>
      </c>
    </row>
    <row r="2347">
      <c r="A2347" s="125" t="s">
        <v>5710</v>
      </c>
      <c r="B2347" s="526" t="s">
        <v>5709</v>
      </c>
      <c r="C2347" s="527">
        <v>641.0</v>
      </c>
      <c r="D2347" s="527">
        <v>1308.14</v>
      </c>
      <c r="E2347" s="528">
        <v>2.0408</v>
      </c>
      <c r="F2347" s="36" t="s">
        <v>7798</v>
      </c>
      <c r="G2347" s="125" t="s">
        <v>913</v>
      </c>
      <c r="H2347" s="125" t="s">
        <v>7808</v>
      </c>
      <c r="I2347" t="s">
        <v>7896</v>
      </c>
    </row>
    <row r="2348">
      <c r="A2348" s="125" t="s">
        <v>5712</v>
      </c>
      <c r="B2348" s="526" t="s">
        <v>5711</v>
      </c>
      <c r="C2348" s="527">
        <v>828.0</v>
      </c>
      <c r="D2348" s="527">
        <v>1770.38</v>
      </c>
      <c r="E2348" s="528">
        <v>2.1381</v>
      </c>
      <c r="F2348" s="36" t="s">
        <v>7798</v>
      </c>
      <c r="G2348" s="125" t="s">
        <v>913</v>
      </c>
      <c r="H2348" s="125" t="s">
        <v>7808</v>
      </c>
      <c r="I2348" t="s">
        <v>7896</v>
      </c>
    </row>
    <row r="2349">
      <c r="A2349" s="125" t="s">
        <v>5714</v>
      </c>
      <c r="B2349" s="526" t="s">
        <v>5713</v>
      </c>
      <c r="C2349" s="527">
        <v>968.0</v>
      </c>
      <c r="D2349" s="527">
        <v>2132.4</v>
      </c>
      <c r="E2349" s="528">
        <v>2.2029</v>
      </c>
      <c r="F2349" s="36" t="s">
        <v>7798</v>
      </c>
      <c r="G2349" s="125" t="s">
        <v>913</v>
      </c>
      <c r="H2349" s="125" t="s">
        <v>7808</v>
      </c>
      <c r="I2349" t="s">
        <v>7896</v>
      </c>
    </row>
    <row r="2350">
      <c r="A2350" s="125" t="s">
        <v>5716</v>
      </c>
      <c r="B2350" s="526" t="s">
        <v>5715</v>
      </c>
      <c r="C2350" s="527">
        <v>0.0</v>
      </c>
      <c r="D2350" s="527">
        <v>0.0</v>
      </c>
      <c r="F2350" s="36" t="s">
        <v>7798</v>
      </c>
      <c r="G2350" s="125" t="s">
        <v>893</v>
      </c>
      <c r="H2350" s="125" t="s">
        <v>7821</v>
      </c>
      <c r="I2350" t="s">
        <v>7897</v>
      </c>
    </row>
    <row r="2351">
      <c r="A2351" s="125" t="s">
        <v>5718</v>
      </c>
      <c r="B2351" s="526" t="s">
        <v>5717</v>
      </c>
      <c r="C2351" s="527">
        <v>1.0</v>
      </c>
      <c r="D2351" s="527">
        <v>96.91</v>
      </c>
      <c r="E2351" s="528">
        <v>96.91</v>
      </c>
      <c r="F2351" s="36" t="s">
        <v>7798</v>
      </c>
      <c r="G2351" s="125" t="s">
        <v>913</v>
      </c>
      <c r="H2351" s="125" t="s">
        <v>7808</v>
      </c>
      <c r="I2351" t="s">
        <v>7896</v>
      </c>
    </row>
    <row r="2352">
      <c r="A2352" s="125" t="s">
        <v>5720</v>
      </c>
      <c r="B2352" s="526" t="s">
        <v>5719</v>
      </c>
      <c r="C2352" s="527">
        <v>4.0</v>
      </c>
      <c r="D2352" s="527">
        <v>98.78</v>
      </c>
      <c r="E2352" s="528">
        <v>24.695</v>
      </c>
      <c r="F2352" s="36" t="s">
        <v>7798</v>
      </c>
      <c r="G2352" s="125" t="s">
        <v>913</v>
      </c>
      <c r="H2352" s="125" t="s">
        <v>7808</v>
      </c>
      <c r="I2352" t="s">
        <v>7896</v>
      </c>
    </row>
    <row r="2353">
      <c r="A2353" s="125" t="s">
        <v>5722</v>
      </c>
      <c r="B2353" s="526" t="s">
        <v>5721</v>
      </c>
      <c r="C2353" s="527">
        <v>0.0</v>
      </c>
      <c r="D2353" s="527">
        <v>0.0</v>
      </c>
      <c r="F2353" s="36" t="s">
        <v>7798</v>
      </c>
      <c r="G2353" s="125" t="s">
        <v>913</v>
      </c>
      <c r="H2353" s="125" t="s">
        <v>7801</v>
      </c>
      <c r="I2353" t="s">
        <v>7817</v>
      </c>
    </row>
    <row r="2354">
      <c r="A2354" s="125" t="s">
        <v>5726</v>
      </c>
      <c r="B2354" s="526" t="s">
        <v>5725</v>
      </c>
      <c r="C2354" s="527">
        <v>1180.0</v>
      </c>
      <c r="D2354" s="527">
        <v>1665.63</v>
      </c>
      <c r="E2354" s="528">
        <v>1.4116</v>
      </c>
      <c r="F2354" s="36" t="s">
        <v>7798</v>
      </c>
      <c r="G2354" s="125" t="s">
        <v>913</v>
      </c>
      <c r="H2354" s="125" t="s">
        <v>7819</v>
      </c>
      <c r="I2354" t="s">
        <v>7806</v>
      </c>
    </row>
    <row r="2355">
      <c r="A2355" s="125" t="s">
        <v>5728</v>
      </c>
      <c r="B2355" s="526" t="s">
        <v>5727</v>
      </c>
      <c r="C2355" s="527">
        <v>3393.0</v>
      </c>
      <c r="D2355" s="527">
        <v>4847.37</v>
      </c>
      <c r="E2355" s="528">
        <v>1.4286</v>
      </c>
      <c r="F2355" s="36" t="s">
        <v>7798</v>
      </c>
      <c r="G2355" s="125" t="s">
        <v>913</v>
      </c>
      <c r="H2355" s="125" t="s">
        <v>7819</v>
      </c>
      <c r="I2355" t="s">
        <v>7806</v>
      </c>
    </row>
    <row r="2356">
      <c r="A2356" s="125" t="s">
        <v>5730</v>
      </c>
      <c r="B2356" s="526" t="s">
        <v>5729</v>
      </c>
      <c r="C2356" s="527">
        <v>802.0</v>
      </c>
      <c r="D2356" s="527">
        <v>1182.19</v>
      </c>
      <c r="E2356" s="528">
        <v>1.4741</v>
      </c>
      <c r="F2356" s="36" t="s">
        <v>7798</v>
      </c>
      <c r="G2356" s="125" t="s">
        <v>913</v>
      </c>
      <c r="H2356" s="125" t="s">
        <v>7819</v>
      </c>
      <c r="I2356" t="s">
        <v>7806</v>
      </c>
    </row>
    <row r="2357">
      <c r="A2357" s="125" t="s">
        <v>5732</v>
      </c>
      <c r="B2357" s="526" t="s">
        <v>5731</v>
      </c>
      <c r="C2357" s="527">
        <v>4687.0</v>
      </c>
      <c r="D2357" s="527">
        <v>6696.77</v>
      </c>
      <c r="E2357" s="528">
        <v>1.4288</v>
      </c>
      <c r="F2357" s="36" t="s">
        <v>7798</v>
      </c>
      <c r="G2357" s="125" t="s">
        <v>913</v>
      </c>
      <c r="H2357" s="125" t="s">
        <v>7819</v>
      </c>
      <c r="I2357" t="s">
        <v>7806</v>
      </c>
    </row>
    <row r="2358">
      <c r="A2358" s="125" t="s">
        <v>5734</v>
      </c>
      <c r="B2358" s="526" t="s">
        <v>5733</v>
      </c>
      <c r="C2358" s="527">
        <v>4089.0</v>
      </c>
      <c r="D2358" s="527">
        <v>5807.01</v>
      </c>
      <c r="E2358" s="528">
        <v>1.4202</v>
      </c>
      <c r="F2358" s="36" t="s">
        <v>7798</v>
      </c>
      <c r="G2358" s="125" t="s">
        <v>913</v>
      </c>
      <c r="H2358" s="125" t="s">
        <v>7819</v>
      </c>
      <c r="I2358" t="s">
        <v>7806</v>
      </c>
    </row>
    <row r="2359">
      <c r="A2359" s="125" t="s">
        <v>5736</v>
      </c>
      <c r="B2359" s="526" t="s">
        <v>5735</v>
      </c>
      <c r="C2359" s="527">
        <v>1480.0</v>
      </c>
      <c r="D2359" s="527">
        <v>2092.17</v>
      </c>
      <c r="E2359" s="528">
        <v>1.4136</v>
      </c>
      <c r="F2359" s="36" t="s">
        <v>7798</v>
      </c>
      <c r="G2359" s="125" t="s">
        <v>913</v>
      </c>
      <c r="H2359" s="125" t="s">
        <v>7819</v>
      </c>
      <c r="I2359" t="s">
        <v>7806</v>
      </c>
    </row>
    <row r="2360">
      <c r="A2360" s="125" t="s">
        <v>5738</v>
      </c>
      <c r="B2360" s="526" t="s">
        <v>5737</v>
      </c>
      <c r="C2360" s="527">
        <v>1925.0</v>
      </c>
      <c r="D2360" s="527">
        <v>2772.48</v>
      </c>
      <c r="E2360" s="528">
        <v>1.4402</v>
      </c>
      <c r="F2360" s="36" t="s">
        <v>7798</v>
      </c>
      <c r="G2360" s="125" t="s">
        <v>913</v>
      </c>
      <c r="H2360" s="125" t="s">
        <v>7819</v>
      </c>
      <c r="I2360" t="s">
        <v>7806</v>
      </c>
    </row>
    <row r="2361">
      <c r="A2361" s="125" t="s">
        <v>5740</v>
      </c>
      <c r="B2361" s="526" t="s">
        <v>5739</v>
      </c>
      <c r="C2361" s="527">
        <v>1949.0</v>
      </c>
      <c r="D2361" s="527">
        <v>2747.18</v>
      </c>
      <c r="E2361" s="528">
        <v>1.4095</v>
      </c>
      <c r="F2361" s="36" t="s">
        <v>7798</v>
      </c>
      <c r="G2361" s="125" t="s">
        <v>913</v>
      </c>
      <c r="H2361" s="125" t="s">
        <v>7819</v>
      </c>
      <c r="I2361" t="s">
        <v>7806</v>
      </c>
    </row>
    <row r="2362">
      <c r="A2362" s="125" t="s">
        <v>5742</v>
      </c>
      <c r="B2362" s="526" t="s">
        <v>5741</v>
      </c>
      <c r="C2362" s="527">
        <v>803.0</v>
      </c>
      <c r="D2362" s="527">
        <v>1183.65</v>
      </c>
      <c r="E2362" s="528">
        <v>1.474</v>
      </c>
      <c r="F2362" s="36" t="s">
        <v>7798</v>
      </c>
      <c r="G2362" s="125" t="s">
        <v>913</v>
      </c>
      <c r="H2362" s="125" t="s">
        <v>7819</v>
      </c>
      <c r="I2362" t="s">
        <v>7806</v>
      </c>
    </row>
    <row r="2363">
      <c r="A2363" s="125" t="s">
        <v>5744</v>
      </c>
      <c r="B2363" s="526" t="s">
        <v>5743</v>
      </c>
      <c r="C2363" s="527">
        <v>1339.0</v>
      </c>
      <c r="D2363" s="527">
        <v>1901.75</v>
      </c>
      <c r="E2363" s="528">
        <v>1.4203</v>
      </c>
      <c r="F2363" s="36" t="s">
        <v>7798</v>
      </c>
      <c r="G2363" s="125" t="s">
        <v>913</v>
      </c>
      <c r="H2363" s="125" t="s">
        <v>7819</v>
      </c>
      <c r="I2363" t="s">
        <v>7806</v>
      </c>
    </row>
    <row r="2364">
      <c r="A2364" s="125" t="s">
        <v>5746</v>
      </c>
      <c r="B2364" s="526" t="s">
        <v>5745</v>
      </c>
      <c r="C2364" s="527">
        <v>1011.0</v>
      </c>
      <c r="D2364" s="527">
        <v>1425.41</v>
      </c>
      <c r="E2364" s="528">
        <v>1.4099</v>
      </c>
      <c r="F2364" s="36" t="s">
        <v>7798</v>
      </c>
      <c r="G2364" s="125" t="s">
        <v>913</v>
      </c>
      <c r="H2364" s="125" t="s">
        <v>7819</v>
      </c>
      <c r="I2364" t="s">
        <v>7806</v>
      </c>
    </row>
    <row r="2365">
      <c r="A2365" s="125" t="s">
        <v>5748</v>
      </c>
      <c r="B2365" s="526" t="s">
        <v>5747</v>
      </c>
      <c r="C2365" s="527">
        <v>2215.0</v>
      </c>
      <c r="D2365" s="527">
        <v>3122.09</v>
      </c>
      <c r="E2365" s="528">
        <v>1.4095</v>
      </c>
      <c r="F2365" s="36" t="s">
        <v>7798</v>
      </c>
      <c r="G2365" s="125" t="s">
        <v>913</v>
      </c>
      <c r="H2365" s="125" t="s">
        <v>7819</v>
      </c>
      <c r="I2365" t="s">
        <v>7806</v>
      </c>
    </row>
    <row r="2366">
      <c r="A2366" s="125" t="s">
        <v>5750</v>
      </c>
      <c r="B2366" s="526" t="s">
        <v>5749</v>
      </c>
      <c r="C2366" s="527">
        <v>864.0</v>
      </c>
      <c r="D2366" s="527">
        <v>1228.56</v>
      </c>
      <c r="E2366" s="528">
        <v>1.4219</v>
      </c>
      <c r="F2366" s="36" t="s">
        <v>7798</v>
      </c>
      <c r="G2366" s="125" t="s">
        <v>913</v>
      </c>
      <c r="H2366" s="125" t="s">
        <v>7819</v>
      </c>
      <c r="I2366" t="s">
        <v>7806</v>
      </c>
    </row>
    <row r="2367">
      <c r="A2367" s="125" t="s">
        <v>5752</v>
      </c>
      <c r="B2367" s="526" t="s">
        <v>5751</v>
      </c>
      <c r="C2367" s="527">
        <v>3373.0</v>
      </c>
      <c r="D2367" s="527">
        <v>4819.19</v>
      </c>
      <c r="E2367" s="528">
        <v>1.4288</v>
      </c>
      <c r="F2367" s="36" t="s">
        <v>7798</v>
      </c>
      <c r="G2367" s="125" t="s">
        <v>913</v>
      </c>
      <c r="H2367" s="125" t="s">
        <v>7819</v>
      </c>
      <c r="I2367" t="s">
        <v>7806</v>
      </c>
    </row>
    <row r="2368">
      <c r="A2368" s="125" t="s">
        <v>5754</v>
      </c>
      <c r="B2368" s="526" t="s">
        <v>5753</v>
      </c>
      <c r="C2368" s="527">
        <v>1638.0</v>
      </c>
      <c r="D2368" s="527">
        <v>2349.57</v>
      </c>
      <c r="E2368" s="528">
        <v>1.4344</v>
      </c>
      <c r="F2368" s="36" t="s">
        <v>7798</v>
      </c>
      <c r="G2368" s="125" t="s">
        <v>913</v>
      </c>
      <c r="H2368" s="125" t="s">
        <v>7819</v>
      </c>
      <c r="I2368" t="s">
        <v>7806</v>
      </c>
    </row>
    <row r="2369">
      <c r="A2369" s="125" t="s">
        <v>5756</v>
      </c>
      <c r="B2369" s="526" t="s">
        <v>5755</v>
      </c>
      <c r="C2369" s="527">
        <v>1184.0</v>
      </c>
      <c r="D2369" s="527">
        <v>1687.07</v>
      </c>
      <c r="E2369" s="528">
        <v>1.4249</v>
      </c>
      <c r="F2369" s="36" t="s">
        <v>7798</v>
      </c>
      <c r="G2369" s="125" t="s">
        <v>913</v>
      </c>
      <c r="H2369" s="125" t="s">
        <v>7819</v>
      </c>
      <c r="I2369" t="s">
        <v>7806</v>
      </c>
    </row>
    <row r="2370">
      <c r="A2370" s="125" t="s">
        <v>5760</v>
      </c>
      <c r="B2370" s="526" t="s">
        <v>5759</v>
      </c>
      <c r="C2370" s="527">
        <v>1799.0</v>
      </c>
      <c r="D2370" s="527">
        <v>2535.64</v>
      </c>
      <c r="E2370" s="528">
        <v>1.4095</v>
      </c>
      <c r="F2370" s="36" t="s">
        <v>7798</v>
      </c>
      <c r="G2370" s="125" t="s">
        <v>913</v>
      </c>
      <c r="H2370" s="125" t="s">
        <v>7819</v>
      </c>
      <c r="I2370" t="s">
        <v>7806</v>
      </c>
    </row>
    <row r="2371">
      <c r="A2371" s="125" t="s">
        <v>5762</v>
      </c>
      <c r="B2371" s="526" t="s">
        <v>5761</v>
      </c>
      <c r="C2371" s="527">
        <v>1648.0</v>
      </c>
      <c r="D2371" s="527">
        <v>2364.41</v>
      </c>
      <c r="E2371" s="528">
        <v>1.4347</v>
      </c>
      <c r="F2371" s="36" t="s">
        <v>7798</v>
      </c>
      <c r="G2371" s="125" t="s">
        <v>913</v>
      </c>
      <c r="H2371" s="125" t="s">
        <v>7819</v>
      </c>
      <c r="I2371" t="s">
        <v>7806</v>
      </c>
    </row>
    <row r="2372">
      <c r="A2372" s="125" t="s">
        <v>5764</v>
      </c>
      <c r="B2372" s="526" t="s">
        <v>5763</v>
      </c>
      <c r="C2372" s="527">
        <v>1356.0</v>
      </c>
      <c r="D2372" s="527">
        <v>1947.47</v>
      </c>
      <c r="E2372" s="528">
        <v>1.4362</v>
      </c>
      <c r="F2372" s="36" t="s">
        <v>7798</v>
      </c>
      <c r="G2372" s="125" t="s">
        <v>913</v>
      </c>
      <c r="H2372" s="125" t="s">
        <v>7819</v>
      </c>
      <c r="I2372" t="s">
        <v>7806</v>
      </c>
    </row>
    <row r="2373">
      <c r="A2373" s="125" t="s">
        <v>5766</v>
      </c>
      <c r="B2373" s="526" t="s">
        <v>5765</v>
      </c>
      <c r="C2373" s="527">
        <v>2248.0</v>
      </c>
      <c r="D2373" s="527">
        <v>3212.35</v>
      </c>
      <c r="E2373" s="528">
        <v>1.429</v>
      </c>
      <c r="F2373" s="36" t="s">
        <v>7798</v>
      </c>
      <c r="G2373" s="125" t="s">
        <v>913</v>
      </c>
      <c r="H2373" s="125" t="s">
        <v>7819</v>
      </c>
      <c r="I2373" t="s">
        <v>7806</v>
      </c>
    </row>
    <row r="2374">
      <c r="A2374" s="125" t="s">
        <v>5768</v>
      </c>
      <c r="B2374" s="526" t="s">
        <v>5767</v>
      </c>
      <c r="C2374" s="527">
        <v>5190.0</v>
      </c>
      <c r="D2374" s="527">
        <v>7444.91</v>
      </c>
      <c r="E2374" s="528">
        <v>1.4345</v>
      </c>
      <c r="F2374" s="36" t="s">
        <v>7798</v>
      </c>
      <c r="G2374" s="125" t="s">
        <v>913</v>
      </c>
      <c r="H2374" s="125" t="s">
        <v>7819</v>
      </c>
      <c r="I2374" t="s">
        <v>7806</v>
      </c>
    </row>
    <row r="2375">
      <c r="A2375" s="125" t="s">
        <v>5770</v>
      </c>
      <c r="B2375" s="526" t="s">
        <v>5769</v>
      </c>
      <c r="C2375" s="527">
        <v>1317.0</v>
      </c>
      <c r="D2375" s="527">
        <v>1888.45</v>
      </c>
      <c r="E2375" s="528">
        <v>1.4339</v>
      </c>
      <c r="F2375" s="36" t="s">
        <v>7798</v>
      </c>
      <c r="G2375" s="125" t="s">
        <v>913</v>
      </c>
      <c r="H2375" s="125" t="s">
        <v>7819</v>
      </c>
      <c r="I2375" t="s">
        <v>7806</v>
      </c>
    </row>
    <row r="2376">
      <c r="A2376" s="125" t="s">
        <v>5772</v>
      </c>
      <c r="B2376" s="526" t="s">
        <v>5771</v>
      </c>
      <c r="C2376" s="527">
        <v>0.0</v>
      </c>
      <c r="D2376" s="527">
        <v>0.0</v>
      </c>
      <c r="F2376" s="36" t="s">
        <v>7798</v>
      </c>
      <c r="G2376" s="125" t="s">
        <v>913</v>
      </c>
      <c r="H2376" s="125" t="s">
        <v>7885</v>
      </c>
    </row>
    <row r="2377">
      <c r="A2377" s="125" t="s">
        <v>5774</v>
      </c>
      <c r="B2377" s="526" t="s">
        <v>5773</v>
      </c>
      <c r="C2377" s="527">
        <v>2.0</v>
      </c>
      <c r="D2377" s="527">
        <v>150.48</v>
      </c>
      <c r="E2377" s="528">
        <v>75.24</v>
      </c>
      <c r="F2377" s="36" t="s">
        <v>7798</v>
      </c>
      <c r="G2377" s="125" t="s">
        <v>913</v>
      </c>
      <c r="H2377" s="125" t="s">
        <v>7819</v>
      </c>
      <c r="I2377" t="s">
        <v>7806</v>
      </c>
    </row>
    <row r="2378">
      <c r="A2378" s="125" t="s">
        <v>5776</v>
      </c>
      <c r="B2378" s="526" t="s">
        <v>5775</v>
      </c>
      <c r="C2378" s="527">
        <v>1.0</v>
      </c>
      <c r="D2378" s="527">
        <v>74.64</v>
      </c>
      <c r="E2378" s="528">
        <v>74.64</v>
      </c>
      <c r="F2378" s="36" t="s">
        <v>7798</v>
      </c>
      <c r="G2378" s="125" t="s">
        <v>913</v>
      </c>
      <c r="H2378" s="125" t="s">
        <v>7819</v>
      </c>
      <c r="I2378" t="s">
        <v>7806</v>
      </c>
    </row>
    <row r="2379">
      <c r="A2379" s="125" t="s">
        <v>5780</v>
      </c>
      <c r="B2379" s="526" t="s">
        <v>5779</v>
      </c>
      <c r="C2379" s="527">
        <v>0.0</v>
      </c>
      <c r="D2379" s="527">
        <v>0.0</v>
      </c>
      <c r="F2379" s="36" t="s">
        <v>7798</v>
      </c>
      <c r="G2379" s="125" t="s">
        <v>893</v>
      </c>
      <c r="H2379" s="125" t="s">
        <v>7799</v>
      </c>
      <c r="I2379" t="s">
        <v>163</v>
      </c>
    </row>
    <row r="2380">
      <c r="A2380" s="125" t="s">
        <v>5782</v>
      </c>
      <c r="B2380" s="526" t="s">
        <v>5781</v>
      </c>
      <c r="C2380" s="527">
        <v>0.0</v>
      </c>
      <c r="D2380" s="527">
        <v>0.0</v>
      </c>
      <c r="F2380" s="36" t="s">
        <v>7798</v>
      </c>
      <c r="G2380" s="125" t="s">
        <v>893</v>
      </c>
      <c r="H2380" s="125" t="s">
        <v>7799</v>
      </c>
      <c r="I2380" t="s">
        <v>163</v>
      </c>
    </row>
    <row r="2381">
      <c r="A2381" s="125" t="s">
        <v>5784</v>
      </c>
      <c r="B2381" s="526" t="s">
        <v>5783</v>
      </c>
      <c r="C2381" s="527">
        <v>0.0</v>
      </c>
      <c r="D2381" s="527">
        <v>0.0</v>
      </c>
      <c r="F2381" s="36" t="s">
        <v>7798</v>
      </c>
      <c r="G2381" s="125" t="s">
        <v>893</v>
      </c>
      <c r="H2381" s="125" t="s">
        <v>7799</v>
      </c>
      <c r="I2381" t="s">
        <v>163</v>
      </c>
    </row>
    <row r="2382">
      <c r="A2382" s="125" t="s">
        <v>5786</v>
      </c>
      <c r="B2382" s="526" t="s">
        <v>5785</v>
      </c>
      <c r="C2382" s="527">
        <v>0.0</v>
      </c>
      <c r="D2382" s="527">
        <v>0.0</v>
      </c>
      <c r="F2382" s="36" t="s">
        <v>7798</v>
      </c>
      <c r="G2382" s="125" t="s">
        <v>893</v>
      </c>
      <c r="H2382" s="125" t="s">
        <v>7799</v>
      </c>
      <c r="I2382" t="s">
        <v>163</v>
      </c>
    </row>
    <row r="2383">
      <c r="A2383" s="125" t="s">
        <v>5788</v>
      </c>
      <c r="B2383" s="526" t="s">
        <v>5787</v>
      </c>
      <c r="C2383" s="527">
        <v>0.0</v>
      </c>
      <c r="D2383" s="527">
        <v>0.0</v>
      </c>
      <c r="F2383" s="36" t="s">
        <v>7798</v>
      </c>
      <c r="G2383" s="125" t="s">
        <v>893</v>
      </c>
      <c r="H2383" s="125" t="s">
        <v>7799</v>
      </c>
      <c r="I2383" t="s">
        <v>163</v>
      </c>
    </row>
    <row r="2384">
      <c r="A2384" s="125" t="s">
        <v>5790</v>
      </c>
      <c r="B2384" s="526" t="s">
        <v>5789</v>
      </c>
      <c r="C2384" s="527">
        <v>0.0</v>
      </c>
      <c r="D2384" s="527">
        <v>0.0</v>
      </c>
      <c r="F2384" s="36" t="s">
        <v>7798</v>
      </c>
      <c r="G2384" s="125" t="s">
        <v>893</v>
      </c>
      <c r="H2384" s="125" t="s">
        <v>7799</v>
      </c>
      <c r="I2384" t="s">
        <v>163</v>
      </c>
    </row>
    <row r="2385">
      <c r="A2385" s="125" t="s">
        <v>5792</v>
      </c>
      <c r="B2385" s="526" t="s">
        <v>5791</v>
      </c>
      <c r="C2385" s="527">
        <v>1.0</v>
      </c>
      <c r="D2385" s="527">
        <v>0.0</v>
      </c>
      <c r="E2385" s="528">
        <v>0.0</v>
      </c>
      <c r="F2385" s="36" t="s">
        <v>7798</v>
      </c>
      <c r="G2385" s="125" t="s">
        <v>893</v>
      </c>
      <c r="H2385" s="125" t="s">
        <v>7799</v>
      </c>
      <c r="I2385" t="s">
        <v>163</v>
      </c>
    </row>
    <row r="2386">
      <c r="A2386" s="125" t="s">
        <v>5794</v>
      </c>
      <c r="B2386" s="526" t="s">
        <v>5793</v>
      </c>
      <c r="C2386" s="527">
        <v>0.0</v>
      </c>
      <c r="D2386" s="527">
        <v>0.0</v>
      </c>
      <c r="F2386" s="36" t="s">
        <v>7798</v>
      </c>
      <c r="G2386" s="125" t="s">
        <v>893</v>
      </c>
      <c r="H2386" s="125" t="s">
        <v>7799</v>
      </c>
      <c r="I2386" t="s">
        <v>163</v>
      </c>
    </row>
    <row r="2387">
      <c r="A2387" s="125" t="s">
        <v>5796</v>
      </c>
      <c r="B2387" s="526" t="s">
        <v>5795</v>
      </c>
      <c r="C2387" s="527">
        <v>0.0</v>
      </c>
      <c r="D2387" s="527">
        <v>0.0</v>
      </c>
      <c r="F2387" s="36" t="s">
        <v>7798</v>
      </c>
      <c r="G2387" s="125" t="s">
        <v>893</v>
      </c>
      <c r="H2387" s="125" t="s">
        <v>7799</v>
      </c>
      <c r="I2387" t="s">
        <v>163</v>
      </c>
    </row>
    <row r="2388">
      <c r="A2388" s="125" t="s">
        <v>5797</v>
      </c>
      <c r="B2388" s="526">
        <v>400402.0</v>
      </c>
      <c r="C2388" s="527">
        <v>0.0</v>
      </c>
      <c r="D2388" s="527">
        <v>0.0</v>
      </c>
      <c r="F2388" s="36" t="s">
        <v>7807</v>
      </c>
      <c r="G2388" s="125" t="s">
        <v>893</v>
      </c>
      <c r="H2388" s="125" t="s">
        <v>7799</v>
      </c>
    </row>
    <row r="2389">
      <c r="A2389" s="125" t="s">
        <v>5799</v>
      </c>
      <c r="B2389" s="526" t="s">
        <v>5798</v>
      </c>
      <c r="C2389" s="527">
        <v>0.0</v>
      </c>
      <c r="D2389" s="527">
        <v>0.0</v>
      </c>
      <c r="F2389" s="36" t="s">
        <v>7798</v>
      </c>
      <c r="G2389" s="125" t="s">
        <v>893</v>
      </c>
      <c r="H2389" s="125" t="s">
        <v>7799</v>
      </c>
      <c r="I2389" t="s">
        <v>163</v>
      </c>
    </row>
    <row r="2390">
      <c r="A2390" s="125" t="s">
        <v>5801</v>
      </c>
      <c r="B2390" s="526" t="s">
        <v>5800</v>
      </c>
      <c r="C2390" s="527">
        <v>0.0</v>
      </c>
      <c r="D2390" s="527">
        <v>0.0</v>
      </c>
      <c r="F2390" s="36" t="s">
        <v>7798</v>
      </c>
      <c r="G2390" s="125" t="s">
        <v>893</v>
      </c>
      <c r="H2390" s="125" t="s">
        <v>7799</v>
      </c>
      <c r="I2390" t="s">
        <v>7891</v>
      </c>
    </row>
    <row r="2391">
      <c r="A2391" s="125" t="s">
        <v>5803</v>
      </c>
      <c r="B2391" s="526" t="s">
        <v>5802</v>
      </c>
      <c r="C2391" s="527">
        <v>0.0</v>
      </c>
      <c r="D2391" s="527">
        <v>0.0</v>
      </c>
      <c r="F2391" s="36" t="s">
        <v>7798</v>
      </c>
      <c r="G2391" s="125" t="s">
        <v>893</v>
      </c>
      <c r="H2391" s="125" t="s">
        <v>7799</v>
      </c>
      <c r="I2391" t="s">
        <v>7891</v>
      </c>
    </row>
    <row r="2392">
      <c r="A2392" s="125" t="s">
        <v>5805</v>
      </c>
      <c r="B2392" s="526" t="s">
        <v>5804</v>
      </c>
      <c r="C2392" s="527">
        <v>0.0</v>
      </c>
      <c r="D2392" s="527">
        <v>0.0</v>
      </c>
      <c r="F2392" s="36" t="s">
        <v>7798</v>
      </c>
      <c r="G2392" s="125" t="s">
        <v>893</v>
      </c>
      <c r="H2392" s="125" t="s">
        <v>7799</v>
      </c>
      <c r="I2392" t="s">
        <v>7891</v>
      </c>
    </row>
    <row r="2393">
      <c r="A2393" s="125" t="s">
        <v>5807</v>
      </c>
      <c r="B2393" s="526" t="s">
        <v>5806</v>
      </c>
      <c r="C2393" s="527">
        <v>44.0</v>
      </c>
      <c r="D2393" s="527">
        <v>135.68</v>
      </c>
      <c r="E2393" s="528">
        <v>3.0836</v>
      </c>
      <c r="F2393" s="36" t="s">
        <v>7798</v>
      </c>
      <c r="G2393" s="125" t="s">
        <v>913</v>
      </c>
      <c r="H2393" s="125" t="s">
        <v>7872</v>
      </c>
      <c r="I2393" t="s">
        <v>7837</v>
      </c>
    </row>
    <row r="2394">
      <c r="A2394" s="125" t="s">
        <v>5809</v>
      </c>
      <c r="B2394" s="526" t="s">
        <v>5808</v>
      </c>
      <c r="C2394" s="527">
        <v>247.0</v>
      </c>
      <c r="D2394" s="527">
        <v>793.57</v>
      </c>
      <c r="E2394" s="528">
        <v>3.2128</v>
      </c>
      <c r="F2394" s="36" t="s">
        <v>7798</v>
      </c>
      <c r="G2394" s="125" t="s">
        <v>913</v>
      </c>
      <c r="H2394" s="125" t="s">
        <v>7872</v>
      </c>
      <c r="I2394" t="s">
        <v>7837</v>
      </c>
    </row>
    <row r="2395">
      <c r="A2395" s="125" t="s">
        <v>5811</v>
      </c>
      <c r="B2395" s="526" t="s">
        <v>5810</v>
      </c>
      <c r="C2395" s="527">
        <v>369.0</v>
      </c>
      <c r="D2395" s="527">
        <v>1277.26</v>
      </c>
      <c r="E2395" s="528">
        <v>3.4614</v>
      </c>
      <c r="F2395" s="36" t="s">
        <v>7798</v>
      </c>
      <c r="G2395" s="125" t="s">
        <v>913</v>
      </c>
      <c r="H2395" s="125" t="s">
        <v>7872</v>
      </c>
      <c r="I2395" t="s">
        <v>7837</v>
      </c>
    </row>
    <row r="2396">
      <c r="A2396" s="125" t="s">
        <v>5819</v>
      </c>
      <c r="B2396" s="526" t="s">
        <v>5818</v>
      </c>
      <c r="C2396" s="527">
        <v>406.0</v>
      </c>
      <c r="D2396" s="527">
        <v>1109.4</v>
      </c>
      <c r="E2396" s="528">
        <v>2.7325</v>
      </c>
      <c r="F2396" s="36" t="s">
        <v>7798</v>
      </c>
      <c r="G2396" s="125" t="s">
        <v>913</v>
      </c>
      <c r="H2396" s="125" t="s">
        <v>7872</v>
      </c>
      <c r="I2396" t="s">
        <v>7837</v>
      </c>
    </row>
    <row r="2397">
      <c r="A2397" s="125" t="s">
        <v>5821</v>
      </c>
      <c r="B2397" s="526" t="s">
        <v>5820</v>
      </c>
      <c r="C2397" s="527">
        <v>184.0</v>
      </c>
      <c r="D2397" s="527">
        <v>527.35</v>
      </c>
      <c r="E2397" s="528">
        <v>2.866</v>
      </c>
      <c r="F2397" s="36" t="s">
        <v>7798</v>
      </c>
      <c r="G2397" s="125" t="s">
        <v>913</v>
      </c>
      <c r="H2397" s="125" t="s">
        <v>7872</v>
      </c>
      <c r="I2397" t="s">
        <v>7837</v>
      </c>
    </row>
    <row r="2398">
      <c r="A2398" s="125" t="s">
        <v>5823</v>
      </c>
      <c r="B2398" s="526" t="s">
        <v>5822</v>
      </c>
      <c r="C2398" s="527">
        <v>398.0</v>
      </c>
      <c r="D2398" s="527">
        <v>1410.85</v>
      </c>
      <c r="E2398" s="528">
        <v>3.5448</v>
      </c>
      <c r="F2398" s="36" t="s">
        <v>7798</v>
      </c>
      <c r="G2398" s="125" t="s">
        <v>913</v>
      </c>
      <c r="H2398" s="125" t="s">
        <v>7872</v>
      </c>
      <c r="I2398" t="s">
        <v>7837</v>
      </c>
    </row>
    <row r="2399">
      <c r="A2399" s="125" t="s">
        <v>5825</v>
      </c>
      <c r="B2399" s="526" t="s">
        <v>5824</v>
      </c>
      <c r="C2399" s="527">
        <v>0.0</v>
      </c>
      <c r="D2399" s="527">
        <v>0.0</v>
      </c>
      <c r="F2399" s="36" t="s">
        <v>7798</v>
      </c>
      <c r="G2399" s="125" t="s">
        <v>893</v>
      </c>
      <c r="H2399" s="125" t="s">
        <v>7799</v>
      </c>
      <c r="I2399" t="s">
        <v>7891</v>
      </c>
    </row>
    <row r="2400">
      <c r="A2400" s="125" t="s">
        <v>5827</v>
      </c>
      <c r="B2400" s="526" t="s">
        <v>5826</v>
      </c>
      <c r="C2400" s="527">
        <v>0.0</v>
      </c>
      <c r="D2400" s="527">
        <v>0.0</v>
      </c>
      <c r="F2400" s="36" t="s">
        <v>7798</v>
      </c>
      <c r="G2400" s="125" t="s">
        <v>893</v>
      </c>
      <c r="H2400" s="125" t="s">
        <v>7799</v>
      </c>
      <c r="I2400" t="s">
        <v>7891</v>
      </c>
    </row>
    <row r="2401">
      <c r="A2401" s="125" t="s">
        <v>5829</v>
      </c>
      <c r="B2401" s="526" t="s">
        <v>5828</v>
      </c>
      <c r="C2401" s="527">
        <v>1036.0</v>
      </c>
      <c r="D2401" s="527">
        <v>3423.69</v>
      </c>
      <c r="E2401" s="528">
        <v>3.3047</v>
      </c>
      <c r="F2401" s="36" t="s">
        <v>7798</v>
      </c>
      <c r="G2401" s="125" t="s">
        <v>913</v>
      </c>
      <c r="H2401" s="125" t="s">
        <v>7872</v>
      </c>
      <c r="I2401" t="s">
        <v>7837</v>
      </c>
    </row>
    <row r="2402">
      <c r="A2402" s="125" t="s">
        <v>5831</v>
      </c>
      <c r="B2402" s="526" t="s">
        <v>5830</v>
      </c>
      <c r="C2402" s="527">
        <v>201.0</v>
      </c>
      <c r="D2402" s="527">
        <v>664.08</v>
      </c>
      <c r="E2402" s="528">
        <v>3.3039</v>
      </c>
      <c r="F2402" s="36" t="s">
        <v>7798</v>
      </c>
      <c r="G2402" s="125" t="s">
        <v>913</v>
      </c>
      <c r="H2402" s="125" t="s">
        <v>7872</v>
      </c>
      <c r="I2402" t="s">
        <v>7837</v>
      </c>
    </row>
    <row r="2403">
      <c r="A2403" s="125" t="s">
        <v>5833</v>
      </c>
      <c r="B2403" s="526" t="s">
        <v>5832</v>
      </c>
      <c r="C2403" s="527">
        <v>503.0</v>
      </c>
      <c r="D2403" s="527">
        <v>1374.45</v>
      </c>
      <c r="E2403" s="528">
        <v>2.7325</v>
      </c>
      <c r="F2403" s="36" t="s">
        <v>7798</v>
      </c>
      <c r="G2403" s="125" t="s">
        <v>913</v>
      </c>
      <c r="H2403" s="125" t="s">
        <v>7872</v>
      </c>
      <c r="I2403" t="s">
        <v>7837</v>
      </c>
    </row>
    <row r="2404">
      <c r="A2404" s="125" t="s">
        <v>5835</v>
      </c>
      <c r="B2404" s="526" t="s">
        <v>5834</v>
      </c>
      <c r="C2404" s="527">
        <v>0.0</v>
      </c>
      <c r="D2404" s="527">
        <v>0.0</v>
      </c>
      <c r="F2404" s="36" t="s">
        <v>7798</v>
      </c>
      <c r="G2404" s="125" t="s">
        <v>893</v>
      </c>
      <c r="H2404" s="125" t="s">
        <v>7799</v>
      </c>
      <c r="I2404" t="s">
        <v>7891</v>
      </c>
    </row>
    <row r="2405">
      <c r="A2405" s="125" t="s">
        <v>5837</v>
      </c>
      <c r="B2405" s="526" t="s">
        <v>5836</v>
      </c>
      <c r="C2405" s="527">
        <v>284.0</v>
      </c>
      <c r="D2405" s="527">
        <v>951.01</v>
      </c>
      <c r="E2405" s="528">
        <v>3.3486</v>
      </c>
      <c r="F2405" s="36" t="s">
        <v>7798</v>
      </c>
      <c r="G2405" s="125" t="s">
        <v>913</v>
      </c>
      <c r="H2405" s="125" t="s">
        <v>7872</v>
      </c>
      <c r="I2405" t="s">
        <v>7837</v>
      </c>
    </row>
    <row r="2406">
      <c r="A2406" s="125" t="s">
        <v>5849</v>
      </c>
      <c r="B2406" s="526" t="s">
        <v>5848</v>
      </c>
      <c r="C2406" s="527">
        <v>0.0</v>
      </c>
      <c r="D2406" s="527">
        <v>0.0</v>
      </c>
      <c r="F2406" s="36" t="s">
        <v>7798</v>
      </c>
      <c r="G2406" s="125" t="s">
        <v>913</v>
      </c>
      <c r="H2406" s="125" t="s">
        <v>7801</v>
      </c>
      <c r="I2406" t="s">
        <v>7837</v>
      </c>
    </row>
    <row r="2407">
      <c r="A2407" s="125" t="s">
        <v>5853</v>
      </c>
      <c r="B2407" s="526" t="s">
        <v>5852</v>
      </c>
      <c r="C2407" s="527">
        <v>51.0</v>
      </c>
      <c r="D2407" s="527">
        <v>176.15</v>
      </c>
      <c r="E2407" s="528">
        <v>3.4539</v>
      </c>
      <c r="F2407" s="36" t="s">
        <v>7798</v>
      </c>
      <c r="G2407" s="125" t="s">
        <v>913</v>
      </c>
      <c r="H2407" s="125" t="s">
        <v>7872</v>
      </c>
      <c r="I2407" t="s">
        <v>7837</v>
      </c>
    </row>
    <row r="2408">
      <c r="A2408" s="125" t="s">
        <v>5855</v>
      </c>
      <c r="B2408" s="526" t="s">
        <v>5854</v>
      </c>
      <c r="C2408" s="527">
        <v>97.0</v>
      </c>
      <c r="D2408" s="527">
        <v>335.54</v>
      </c>
      <c r="E2408" s="528">
        <v>3.4592</v>
      </c>
      <c r="F2408" s="36" t="s">
        <v>7798</v>
      </c>
      <c r="G2408" s="125" t="s">
        <v>913</v>
      </c>
      <c r="H2408" s="125" t="s">
        <v>7872</v>
      </c>
      <c r="I2408" t="s">
        <v>7837</v>
      </c>
    </row>
    <row r="2409">
      <c r="A2409" s="125" t="s">
        <v>5857</v>
      </c>
      <c r="B2409" s="526" t="s">
        <v>5856</v>
      </c>
      <c r="C2409" s="527">
        <v>533.0</v>
      </c>
      <c r="D2409" s="527">
        <v>1919.06</v>
      </c>
      <c r="E2409" s="528">
        <v>3.6005</v>
      </c>
      <c r="F2409" s="36" t="s">
        <v>7798</v>
      </c>
      <c r="G2409" s="125" t="s">
        <v>913</v>
      </c>
      <c r="H2409" s="125" t="s">
        <v>7872</v>
      </c>
      <c r="I2409" t="s">
        <v>7837</v>
      </c>
    </row>
    <row r="2410">
      <c r="A2410" s="125" t="s">
        <v>5859</v>
      </c>
      <c r="B2410" s="526" t="s">
        <v>5858</v>
      </c>
      <c r="C2410" s="527">
        <v>252.0</v>
      </c>
      <c r="D2410" s="527">
        <v>912.15</v>
      </c>
      <c r="E2410" s="528">
        <v>3.6196</v>
      </c>
      <c r="F2410" s="36" t="s">
        <v>7798</v>
      </c>
      <c r="G2410" s="125" t="s">
        <v>913</v>
      </c>
      <c r="H2410" s="125" t="s">
        <v>7872</v>
      </c>
      <c r="I2410" t="s">
        <v>7837</v>
      </c>
    </row>
    <row r="2411">
      <c r="A2411" s="125" t="s">
        <v>5861</v>
      </c>
      <c r="B2411" s="526" t="s">
        <v>5860</v>
      </c>
      <c r="C2411" s="527">
        <v>307.0</v>
      </c>
      <c r="D2411" s="527">
        <v>838.88</v>
      </c>
      <c r="E2411" s="528">
        <v>2.7325</v>
      </c>
      <c r="F2411" s="36" t="s">
        <v>7798</v>
      </c>
      <c r="G2411" s="125" t="s">
        <v>913</v>
      </c>
      <c r="H2411" s="125" t="s">
        <v>7872</v>
      </c>
      <c r="I2411" t="s">
        <v>7837</v>
      </c>
    </row>
    <row r="2412">
      <c r="A2412" s="125" t="s">
        <v>5863</v>
      </c>
      <c r="B2412" s="526" t="s">
        <v>5862</v>
      </c>
      <c r="C2412" s="527">
        <v>434.0</v>
      </c>
      <c r="D2412" s="527">
        <v>1338.19</v>
      </c>
      <c r="E2412" s="528">
        <v>3.0834</v>
      </c>
      <c r="F2412" s="36" t="s">
        <v>7798</v>
      </c>
      <c r="G2412" s="125" t="s">
        <v>913</v>
      </c>
      <c r="H2412" s="125" t="s">
        <v>7872</v>
      </c>
      <c r="I2412" t="s">
        <v>7837</v>
      </c>
    </row>
    <row r="2413">
      <c r="A2413" s="125" t="s">
        <v>5869</v>
      </c>
      <c r="B2413" s="526" t="s">
        <v>5868</v>
      </c>
      <c r="C2413" s="527">
        <v>0.0</v>
      </c>
      <c r="D2413" s="527">
        <v>0.0</v>
      </c>
      <c r="F2413" s="36" t="s">
        <v>7798</v>
      </c>
      <c r="G2413" s="125" t="s">
        <v>893</v>
      </c>
      <c r="H2413" s="125" t="s">
        <v>7801</v>
      </c>
      <c r="I2413" t="s">
        <v>7837</v>
      </c>
    </row>
    <row r="2414">
      <c r="A2414" s="125" t="s">
        <v>5871</v>
      </c>
      <c r="B2414" s="526" t="s">
        <v>5870</v>
      </c>
      <c r="C2414" s="527">
        <v>0.0</v>
      </c>
      <c r="D2414" s="527">
        <v>0.0</v>
      </c>
      <c r="F2414" s="36" t="s">
        <v>7798</v>
      </c>
      <c r="G2414" s="125" t="s">
        <v>893</v>
      </c>
      <c r="H2414" s="125" t="s">
        <v>7799</v>
      </c>
      <c r="I2414" t="s">
        <v>7837</v>
      </c>
    </row>
    <row r="2415">
      <c r="A2415" s="125" t="s">
        <v>5873</v>
      </c>
      <c r="B2415" s="526" t="s">
        <v>5872</v>
      </c>
      <c r="C2415" s="527">
        <v>0.0</v>
      </c>
      <c r="D2415" s="527">
        <v>0.0</v>
      </c>
      <c r="F2415" s="36" t="s">
        <v>7798</v>
      </c>
      <c r="G2415" s="125" t="s">
        <v>893</v>
      </c>
      <c r="H2415" s="125" t="s">
        <v>7801</v>
      </c>
      <c r="I2415" t="s">
        <v>7837</v>
      </c>
    </row>
    <row r="2416">
      <c r="A2416" s="125" t="s">
        <v>5875</v>
      </c>
      <c r="B2416" s="526" t="s">
        <v>5874</v>
      </c>
      <c r="C2416" s="527">
        <v>285.0</v>
      </c>
      <c r="D2416" s="527">
        <v>1047.06</v>
      </c>
      <c r="E2416" s="528">
        <v>3.6739</v>
      </c>
      <c r="F2416" s="36" t="s">
        <v>7798</v>
      </c>
      <c r="G2416" s="125" t="s">
        <v>913</v>
      </c>
      <c r="H2416" s="125" t="s">
        <v>7872</v>
      </c>
      <c r="I2416" t="s">
        <v>7837</v>
      </c>
    </row>
    <row r="2417">
      <c r="A2417" s="125" t="s">
        <v>5877</v>
      </c>
      <c r="B2417" s="526" t="s">
        <v>5876</v>
      </c>
      <c r="C2417" s="527">
        <v>0.0</v>
      </c>
      <c r="D2417" s="527">
        <v>0.0</v>
      </c>
      <c r="F2417" s="36" t="s">
        <v>7798</v>
      </c>
      <c r="G2417" s="125" t="s">
        <v>893</v>
      </c>
      <c r="H2417" s="125" t="s">
        <v>7801</v>
      </c>
      <c r="I2417" t="s">
        <v>7837</v>
      </c>
    </row>
    <row r="2418">
      <c r="A2418" s="125" t="s">
        <v>5879</v>
      </c>
      <c r="B2418" s="526" t="s">
        <v>5878</v>
      </c>
      <c r="C2418" s="527">
        <v>0.0</v>
      </c>
      <c r="D2418" s="527">
        <v>0.0</v>
      </c>
      <c r="F2418" s="36" t="s">
        <v>7798</v>
      </c>
      <c r="G2418" s="125" t="s">
        <v>893</v>
      </c>
      <c r="H2418" s="125" t="s">
        <v>7799</v>
      </c>
      <c r="I2418" t="s">
        <v>7891</v>
      </c>
    </row>
    <row r="2419">
      <c r="A2419" s="125" t="s">
        <v>5881</v>
      </c>
      <c r="B2419" s="526" t="s">
        <v>5880</v>
      </c>
      <c r="C2419" s="527">
        <v>568.0</v>
      </c>
      <c r="D2419" s="527">
        <v>1971.91</v>
      </c>
      <c r="E2419" s="528">
        <v>3.4717</v>
      </c>
      <c r="F2419" s="36" t="s">
        <v>7798</v>
      </c>
      <c r="G2419" s="125" t="s">
        <v>913</v>
      </c>
      <c r="H2419" s="125" t="s">
        <v>7872</v>
      </c>
      <c r="I2419" t="s">
        <v>7837</v>
      </c>
    </row>
    <row r="2420">
      <c r="A2420" s="125" t="s">
        <v>5883</v>
      </c>
      <c r="B2420" s="526" t="s">
        <v>5882</v>
      </c>
      <c r="C2420" s="527">
        <v>0.0</v>
      </c>
      <c r="D2420" s="527">
        <v>0.0</v>
      </c>
      <c r="F2420" s="36" t="s">
        <v>7798</v>
      </c>
      <c r="G2420" s="125" t="s">
        <v>913</v>
      </c>
      <c r="H2420" s="125" t="s">
        <v>7872</v>
      </c>
      <c r="I2420" t="s">
        <v>7837</v>
      </c>
    </row>
    <row r="2421">
      <c r="A2421" s="125" t="s">
        <v>5885</v>
      </c>
      <c r="B2421" s="526" t="s">
        <v>5884</v>
      </c>
      <c r="C2421" s="527">
        <v>228.0</v>
      </c>
      <c r="D2421" s="527">
        <v>821.09</v>
      </c>
      <c r="E2421" s="528">
        <v>3.6013</v>
      </c>
      <c r="F2421" s="36" t="s">
        <v>7798</v>
      </c>
      <c r="G2421" s="125" t="s">
        <v>913</v>
      </c>
      <c r="H2421" s="125" t="s">
        <v>7872</v>
      </c>
      <c r="I2421" t="s">
        <v>7837</v>
      </c>
    </row>
    <row r="2422">
      <c r="A2422" s="125" t="s">
        <v>5887</v>
      </c>
      <c r="B2422" s="526" t="s">
        <v>5886</v>
      </c>
      <c r="C2422" s="527">
        <v>164.0</v>
      </c>
      <c r="D2422" s="527">
        <v>593.59</v>
      </c>
      <c r="E2422" s="528">
        <v>3.6195</v>
      </c>
      <c r="F2422" s="36" t="s">
        <v>7798</v>
      </c>
      <c r="G2422" s="125" t="s">
        <v>913</v>
      </c>
      <c r="H2422" s="125" t="s">
        <v>7872</v>
      </c>
      <c r="I2422" t="s">
        <v>7837</v>
      </c>
    </row>
    <row r="2423">
      <c r="A2423" s="125" t="s">
        <v>5889</v>
      </c>
      <c r="B2423" s="526" t="s">
        <v>5888</v>
      </c>
      <c r="C2423" s="527">
        <v>132.0</v>
      </c>
      <c r="D2423" s="527">
        <v>482.66</v>
      </c>
      <c r="E2423" s="528">
        <v>3.6565</v>
      </c>
      <c r="F2423" s="36" t="s">
        <v>7798</v>
      </c>
      <c r="G2423" s="125" t="s">
        <v>913</v>
      </c>
      <c r="H2423" s="125" t="s">
        <v>7872</v>
      </c>
      <c r="I2423" t="s">
        <v>7837</v>
      </c>
    </row>
    <row r="2424">
      <c r="A2424" s="125" t="s">
        <v>5891</v>
      </c>
      <c r="B2424" s="526" t="s">
        <v>5890</v>
      </c>
      <c r="C2424" s="527">
        <v>0.0</v>
      </c>
      <c r="D2424" s="527">
        <v>0.0</v>
      </c>
      <c r="F2424" s="36" t="s">
        <v>7798</v>
      </c>
      <c r="G2424" s="125" t="s">
        <v>893</v>
      </c>
      <c r="H2424" s="125" t="s">
        <v>7872</v>
      </c>
      <c r="I2424" t="s">
        <v>7837</v>
      </c>
    </row>
    <row r="2425">
      <c r="A2425" s="125" t="s">
        <v>5893</v>
      </c>
      <c r="B2425" s="526" t="s">
        <v>5892</v>
      </c>
      <c r="C2425" s="527">
        <v>0.0</v>
      </c>
      <c r="D2425" s="527">
        <v>0.0</v>
      </c>
      <c r="F2425" s="36" t="s">
        <v>7798</v>
      </c>
      <c r="G2425" s="125" t="s">
        <v>893</v>
      </c>
      <c r="H2425" s="125" t="s">
        <v>7799</v>
      </c>
      <c r="I2425" t="s">
        <v>7837</v>
      </c>
    </row>
    <row r="2426">
      <c r="A2426" s="125" t="s">
        <v>5895</v>
      </c>
      <c r="B2426" s="526" t="s">
        <v>5894</v>
      </c>
      <c r="C2426" s="527">
        <v>3.0</v>
      </c>
      <c r="D2426" s="527">
        <v>225.69</v>
      </c>
      <c r="E2426" s="528">
        <v>75.23</v>
      </c>
      <c r="F2426" s="36" t="s">
        <v>7798</v>
      </c>
      <c r="G2426" s="125" t="s">
        <v>913</v>
      </c>
      <c r="H2426" s="125" t="s">
        <v>7801</v>
      </c>
      <c r="I2426" t="s">
        <v>45</v>
      </c>
    </row>
    <row r="2427">
      <c r="A2427" s="125" t="s">
        <v>5897</v>
      </c>
      <c r="B2427" s="526" t="s">
        <v>5896</v>
      </c>
      <c r="C2427" s="527">
        <v>0.0</v>
      </c>
      <c r="D2427" s="527">
        <v>0.0</v>
      </c>
      <c r="F2427" s="36" t="s">
        <v>7798</v>
      </c>
      <c r="G2427" s="125" t="s">
        <v>893</v>
      </c>
      <c r="H2427" s="125" t="s">
        <v>7799</v>
      </c>
      <c r="I2427" t="s">
        <v>7891</v>
      </c>
    </row>
    <row r="2428">
      <c r="A2428" s="125" t="s">
        <v>5899</v>
      </c>
      <c r="B2428" s="526" t="s">
        <v>5898</v>
      </c>
      <c r="C2428" s="527">
        <v>0.0</v>
      </c>
      <c r="D2428" s="527">
        <v>0.0</v>
      </c>
      <c r="F2428" s="36" t="s">
        <v>7798</v>
      </c>
      <c r="G2428" s="125" t="s">
        <v>893</v>
      </c>
      <c r="H2428" s="125" t="s">
        <v>7799</v>
      </c>
      <c r="I2428" t="s">
        <v>7837</v>
      </c>
    </row>
    <row r="2429">
      <c r="A2429" s="125" t="s">
        <v>5901</v>
      </c>
      <c r="B2429" s="526" t="s">
        <v>5900</v>
      </c>
      <c r="C2429" s="527">
        <v>0.0</v>
      </c>
      <c r="D2429" s="527">
        <v>0.0</v>
      </c>
      <c r="F2429" s="36" t="s">
        <v>7798</v>
      </c>
      <c r="G2429" s="125" t="s">
        <v>893</v>
      </c>
      <c r="H2429" s="125" t="s">
        <v>7872</v>
      </c>
      <c r="I2429" t="s">
        <v>7837</v>
      </c>
    </row>
    <row r="2430">
      <c r="A2430" s="125" t="s">
        <v>5903</v>
      </c>
      <c r="B2430" s="526" t="s">
        <v>5902</v>
      </c>
      <c r="C2430" s="527">
        <v>2.0</v>
      </c>
      <c r="D2430" s="527">
        <v>903.75</v>
      </c>
      <c r="E2430" s="528">
        <v>451.875</v>
      </c>
      <c r="F2430" s="36" t="s">
        <v>7798</v>
      </c>
      <c r="G2430" s="125" t="s">
        <v>913</v>
      </c>
      <c r="H2430" s="125" t="s">
        <v>7872</v>
      </c>
      <c r="I2430" t="s">
        <v>7837</v>
      </c>
    </row>
    <row r="2431">
      <c r="A2431" s="125" t="s">
        <v>5905</v>
      </c>
      <c r="B2431" s="526" t="s">
        <v>5904</v>
      </c>
      <c r="C2431" s="527">
        <v>0.0</v>
      </c>
      <c r="D2431" s="527">
        <v>0.0</v>
      </c>
      <c r="F2431" s="36" t="s">
        <v>7798</v>
      </c>
      <c r="G2431" s="125" t="s">
        <v>893</v>
      </c>
      <c r="H2431" s="125" t="s">
        <v>7799</v>
      </c>
      <c r="I2431" t="s">
        <v>7837</v>
      </c>
    </row>
    <row r="2432">
      <c r="A2432" s="125" t="s">
        <v>5907</v>
      </c>
      <c r="B2432" s="526" t="s">
        <v>5906</v>
      </c>
      <c r="C2432" s="527">
        <v>0.0</v>
      </c>
      <c r="D2432" s="527">
        <v>0.0</v>
      </c>
      <c r="F2432" s="36" t="s">
        <v>7798</v>
      </c>
      <c r="G2432" s="125" t="s">
        <v>893</v>
      </c>
      <c r="H2432" s="125" t="s">
        <v>7872</v>
      </c>
      <c r="I2432" t="s">
        <v>7837</v>
      </c>
    </row>
    <row r="2433">
      <c r="A2433" s="125" t="s">
        <v>5909</v>
      </c>
      <c r="B2433" s="526" t="s">
        <v>5908</v>
      </c>
      <c r="C2433" s="527">
        <v>1.0</v>
      </c>
      <c r="D2433" s="527">
        <v>503.72</v>
      </c>
      <c r="E2433" s="528">
        <v>503.72</v>
      </c>
      <c r="F2433" s="36" t="s">
        <v>7798</v>
      </c>
      <c r="G2433" s="125" t="s">
        <v>913</v>
      </c>
      <c r="H2433" s="125" t="s">
        <v>7872</v>
      </c>
      <c r="I2433" t="s">
        <v>7837</v>
      </c>
    </row>
    <row r="2434">
      <c r="A2434" s="125" t="s">
        <v>5911</v>
      </c>
      <c r="B2434" s="526" t="s">
        <v>5910</v>
      </c>
      <c r="C2434" s="527">
        <v>0.0</v>
      </c>
      <c r="D2434" s="527">
        <v>0.0</v>
      </c>
      <c r="F2434" s="36" t="s">
        <v>7798</v>
      </c>
      <c r="G2434" s="125" t="s">
        <v>893</v>
      </c>
      <c r="H2434" s="125" t="s">
        <v>7799</v>
      </c>
      <c r="I2434" t="s">
        <v>7837</v>
      </c>
    </row>
    <row r="2435">
      <c r="A2435" s="125" t="s">
        <v>5913</v>
      </c>
      <c r="B2435" s="526" t="s">
        <v>5912</v>
      </c>
      <c r="C2435" s="527">
        <v>0.0</v>
      </c>
      <c r="D2435" s="527">
        <v>0.0</v>
      </c>
      <c r="F2435" s="36" t="s">
        <v>7798</v>
      </c>
      <c r="G2435" s="125" t="s">
        <v>893</v>
      </c>
      <c r="H2435" s="125" t="s">
        <v>7872</v>
      </c>
      <c r="I2435" t="s">
        <v>7837</v>
      </c>
    </row>
    <row r="2436">
      <c r="A2436" s="125" t="s">
        <v>5915</v>
      </c>
      <c r="B2436" s="526" t="s">
        <v>5914</v>
      </c>
      <c r="C2436" s="527">
        <v>0.0</v>
      </c>
      <c r="D2436" s="527">
        <v>0.0</v>
      </c>
      <c r="F2436" s="36" t="s">
        <v>7798</v>
      </c>
      <c r="G2436" s="125" t="s">
        <v>913</v>
      </c>
      <c r="H2436" s="125" t="s">
        <v>7872</v>
      </c>
      <c r="I2436" t="s">
        <v>7837</v>
      </c>
    </row>
    <row r="2437">
      <c r="A2437" s="125" t="s">
        <v>5917</v>
      </c>
      <c r="B2437" s="526" t="s">
        <v>5916</v>
      </c>
      <c r="C2437" s="527">
        <v>2.0</v>
      </c>
      <c r="D2437" s="527">
        <v>644.47</v>
      </c>
      <c r="E2437" s="528">
        <v>322.235</v>
      </c>
      <c r="F2437" s="36" t="s">
        <v>7798</v>
      </c>
      <c r="G2437" s="125" t="s">
        <v>913</v>
      </c>
      <c r="H2437" s="125" t="s">
        <v>7872</v>
      </c>
      <c r="I2437" t="s">
        <v>7837</v>
      </c>
    </row>
    <row r="2438">
      <c r="A2438" s="125" t="s">
        <v>5919</v>
      </c>
      <c r="B2438" s="526" t="s">
        <v>5918</v>
      </c>
      <c r="C2438" s="527">
        <v>1.0</v>
      </c>
      <c r="D2438" s="527">
        <v>1596.96</v>
      </c>
      <c r="E2438" s="528">
        <v>1596.96</v>
      </c>
      <c r="F2438" s="36" t="s">
        <v>7798</v>
      </c>
      <c r="G2438" s="125" t="s">
        <v>913</v>
      </c>
      <c r="H2438" s="125" t="s">
        <v>7872</v>
      </c>
      <c r="I2438" t="s">
        <v>7891</v>
      </c>
    </row>
    <row r="2439">
      <c r="A2439" s="125" t="s">
        <v>5921</v>
      </c>
      <c r="B2439" s="526" t="s">
        <v>5920</v>
      </c>
      <c r="C2439" s="527">
        <v>0.0</v>
      </c>
      <c r="D2439" s="527">
        <v>0.0</v>
      </c>
      <c r="F2439" s="36" t="s">
        <v>7798</v>
      </c>
      <c r="G2439" s="125" t="s">
        <v>893</v>
      </c>
      <c r="H2439" s="125" t="s">
        <v>7872</v>
      </c>
      <c r="I2439" t="s">
        <v>7837</v>
      </c>
    </row>
    <row r="2440">
      <c r="A2440" s="125" t="s">
        <v>5923</v>
      </c>
      <c r="B2440" s="526" t="s">
        <v>5922</v>
      </c>
      <c r="C2440" s="527">
        <v>0.0</v>
      </c>
      <c r="D2440" s="527">
        <v>0.0</v>
      </c>
      <c r="F2440" s="36" t="s">
        <v>7798</v>
      </c>
      <c r="G2440" s="125" t="s">
        <v>913</v>
      </c>
      <c r="H2440" s="125" t="s">
        <v>7872</v>
      </c>
      <c r="I2440" t="s">
        <v>7891</v>
      </c>
    </row>
    <row r="2441">
      <c r="A2441" s="125" t="s">
        <v>5930</v>
      </c>
      <c r="B2441" s="526">
        <v>5111.0</v>
      </c>
      <c r="C2441" s="527">
        <v>0.0</v>
      </c>
      <c r="D2441" s="527">
        <v>0.0</v>
      </c>
      <c r="F2441" s="36" t="s">
        <v>7798</v>
      </c>
      <c r="G2441" s="125" t="s">
        <v>893</v>
      </c>
      <c r="H2441" s="125" t="s">
        <v>7799</v>
      </c>
      <c r="I2441" t="s">
        <v>7817</v>
      </c>
    </row>
    <row r="2442">
      <c r="A2442" s="125" t="s">
        <v>5931</v>
      </c>
      <c r="B2442" s="526">
        <v>5107.0</v>
      </c>
      <c r="C2442" s="527">
        <v>0.0</v>
      </c>
      <c r="D2442" s="527">
        <v>0.0</v>
      </c>
      <c r="F2442" s="36" t="s">
        <v>7798</v>
      </c>
      <c r="G2442" s="125" t="s">
        <v>893</v>
      </c>
      <c r="H2442" s="125" t="s">
        <v>7799</v>
      </c>
      <c r="I2442" t="s">
        <v>7817</v>
      </c>
    </row>
    <row r="2443">
      <c r="A2443" s="125" t="s">
        <v>5932</v>
      </c>
      <c r="B2443" s="526">
        <v>5113.0</v>
      </c>
      <c r="C2443" s="527">
        <v>0.0</v>
      </c>
      <c r="D2443" s="527">
        <v>0.0</v>
      </c>
      <c r="F2443" s="36" t="s">
        <v>7798</v>
      </c>
      <c r="G2443" s="125" t="s">
        <v>893</v>
      </c>
      <c r="H2443" s="125" t="s">
        <v>7799</v>
      </c>
      <c r="I2443" t="s">
        <v>7817</v>
      </c>
    </row>
    <row r="2444">
      <c r="A2444" s="125" t="s">
        <v>5933</v>
      </c>
      <c r="B2444" s="526">
        <v>5102.0</v>
      </c>
      <c r="C2444" s="527">
        <v>0.0</v>
      </c>
      <c r="D2444" s="527">
        <v>0.0</v>
      </c>
      <c r="F2444" s="36" t="s">
        <v>7798</v>
      </c>
      <c r="G2444" s="125" t="s">
        <v>893</v>
      </c>
      <c r="H2444" s="125" t="s">
        <v>7799</v>
      </c>
      <c r="I2444" t="s">
        <v>7817</v>
      </c>
    </row>
    <row r="2445">
      <c r="A2445" s="125" t="s">
        <v>5934</v>
      </c>
      <c r="B2445" s="526">
        <v>5101.0</v>
      </c>
      <c r="C2445" s="527">
        <v>0.0</v>
      </c>
      <c r="D2445" s="527">
        <v>0.0</v>
      </c>
      <c r="F2445" s="36" t="s">
        <v>7798</v>
      </c>
      <c r="G2445" s="125" t="s">
        <v>893</v>
      </c>
      <c r="H2445" s="125" t="s">
        <v>7799</v>
      </c>
      <c r="I2445" t="s">
        <v>7817</v>
      </c>
    </row>
    <row r="2446">
      <c r="A2446" s="125" t="s">
        <v>5936</v>
      </c>
      <c r="B2446" s="526">
        <v>5115.0</v>
      </c>
      <c r="C2446" s="527">
        <v>0.0</v>
      </c>
      <c r="D2446" s="527">
        <v>0.0</v>
      </c>
      <c r="F2446" s="36" t="s">
        <v>7798</v>
      </c>
      <c r="G2446" s="125" t="s">
        <v>893</v>
      </c>
      <c r="H2446" s="125" t="s">
        <v>7799</v>
      </c>
      <c r="I2446" t="s">
        <v>7817</v>
      </c>
    </row>
    <row r="2447">
      <c r="A2447" s="125" t="s">
        <v>5940</v>
      </c>
      <c r="B2447" s="526" t="s">
        <v>5939</v>
      </c>
      <c r="C2447" s="527">
        <v>0.0</v>
      </c>
      <c r="D2447" s="527">
        <v>0.0</v>
      </c>
      <c r="F2447" s="36" t="s">
        <v>7807</v>
      </c>
      <c r="G2447" s="125" t="s">
        <v>893</v>
      </c>
      <c r="H2447" s="125" t="s">
        <v>7799</v>
      </c>
      <c r="I2447" t="s">
        <v>7817</v>
      </c>
    </row>
    <row r="2448">
      <c r="A2448" s="125" t="s">
        <v>5942</v>
      </c>
      <c r="B2448" s="526" t="s">
        <v>5941</v>
      </c>
      <c r="C2448" s="527">
        <v>0.0</v>
      </c>
      <c r="D2448" s="527">
        <v>0.0</v>
      </c>
      <c r="F2448" s="36" t="s">
        <v>7798</v>
      </c>
      <c r="G2448" s="125" t="s">
        <v>893</v>
      </c>
      <c r="H2448" s="125" t="s">
        <v>7799</v>
      </c>
      <c r="I2448" t="s">
        <v>45</v>
      </c>
    </row>
    <row r="2449">
      <c r="A2449" s="125" t="s">
        <v>5956</v>
      </c>
      <c r="B2449" s="526" t="s">
        <v>5955</v>
      </c>
      <c r="C2449" s="527">
        <v>0.0</v>
      </c>
      <c r="D2449" s="527">
        <v>0.0</v>
      </c>
      <c r="F2449" s="36" t="s">
        <v>7798</v>
      </c>
      <c r="G2449" s="125" t="s">
        <v>893</v>
      </c>
      <c r="H2449" s="125" t="s">
        <v>7799</v>
      </c>
      <c r="I2449" t="s">
        <v>7804</v>
      </c>
    </row>
    <row r="2450">
      <c r="A2450" s="125" t="s">
        <v>337</v>
      </c>
      <c r="B2450" s="526" t="s">
        <v>338</v>
      </c>
      <c r="C2450" s="527">
        <v>448.0</v>
      </c>
      <c r="D2450" s="527">
        <v>900.96</v>
      </c>
      <c r="E2450" s="528">
        <v>2.0111</v>
      </c>
      <c r="F2450" s="36" t="s">
        <v>7798</v>
      </c>
      <c r="G2450" s="125" t="s">
        <v>913</v>
      </c>
      <c r="H2450" s="125" t="s">
        <v>569</v>
      </c>
      <c r="I2450" t="s">
        <v>110</v>
      </c>
    </row>
    <row r="2451">
      <c r="A2451" s="125" t="s">
        <v>324</v>
      </c>
      <c r="B2451" s="526" t="s">
        <v>325</v>
      </c>
      <c r="C2451" s="527">
        <v>881.0</v>
      </c>
      <c r="D2451" s="527">
        <v>1855.81</v>
      </c>
      <c r="E2451" s="528">
        <v>2.1065</v>
      </c>
      <c r="F2451" s="36" t="s">
        <v>7798</v>
      </c>
      <c r="G2451" s="125" t="s">
        <v>913</v>
      </c>
      <c r="H2451" s="125" t="s">
        <v>569</v>
      </c>
      <c r="I2451" t="s">
        <v>110</v>
      </c>
    </row>
    <row r="2452">
      <c r="A2452" s="125" t="s">
        <v>339</v>
      </c>
      <c r="B2452" s="526" t="s">
        <v>340</v>
      </c>
      <c r="C2452" s="527">
        <v>998.0</v>
      </c>
      <c r="D2452" s="527">
        <v>2008.16</v>
      </c>
      <c r="E2452" s="528">
        <v>2.0122</v>
      </c>
      <c r="F2452" s="36" t="s">
        <v>7798</v>
      </c>
      <c r="G2452" s="125" t="s">
        <v>913</v>
      </c>
      <c r="H2452" s="125" t="s">
        <v>569</v>
      </c>
      <c r="I2452" t="s">
        <v>110</v>
      </c>
    </row>
    <row r="2453">
      <c r="A2453" s="125" t="s">
        <v>328</v>
      </c>
      <c r="B2453" s="526" t="s">
        <v>329</v>
      </c>
      <c r="C2453" s="527">
        <v>26.0</v>
      </c>
      <c r="D2453" s="527">
        <v>52.05</v>
      </c>
      <c r="E2453" s="528">
        <v>2.0019</v>
      </c>
      <c r="F2453" s="36" t="s">
        <v>7798</v>
      </c>
      <c r="G2453" s="125" t="s">
        <v>913</v>
      </c>
      <c r="H2453" s="125" t="s">
        <v>569</v>
      </c>
      <c r="I2453" t="s">
        <v>110</v>
      </c>
    </row>
    <row r="2454">
      <c r="A2454" s="125" t="s">
        <v>326</v>
      </c>
      <c r="B2454" s="526" t="s">
        <v>327</v>
      </c>
      <c r="C2454" s="527">
        <v>635.0</v>
      </c>
      <c r="D2454" s="527">
        <v>1337.57</v>
      </c>
      <c r="E2454" s="528">
        <v>2.1064</v>
      </c>
      <c r="F2454" s="36" t="s">
        <v>7798</v>
      </c>
      <c r="G2454" s="125" t="s">
        <v>913</v>
      </c>
      <c r="H2454" s="125" t="s">
        <v>569</v>
      </c>
      <c r="I2454" t="s">
        <v>110</v>
      </c>
    </row>
    <row r="2455">
      <c r="A2455" s="125" t="s">
        <v>322</v>
      </c>
      <c r="B2455" s="526" t="s">
        <v>323</v>
      </c>
      <c r="C2455" s="527">
        <v>110.0</v>
      </c>
      <c r="D2455" s="527">
        <v>231.54</v>
      </c>
      <c r="E2455" s="528">
        <v>2.1049</v>
      </c>
      <c r="F2455" s="36" t="s">
        <v>7798</v>
      </c>
      <c r="G2455" s="125" t="s">
        <v>913</v>
      </c>
      <c r="H2455" s="125" t="s">
        <v>569</v>
      </c>
      <c r="I2455" t="s">
        <v>110</v>
      </c>
    </row>
    <row r="2456">
      <c r="A2456" s="125" t="s">
        <v>335</v>
      </c>
      <c r="B2456" s="526" t="s">
        <v>336</v>
      </c>
      <c r="C2456" s="527">
        <v>77.0</v>
      </c>
      <c r="D2456" s="527">
        <v>155.12</v>
      </c>
      <c r="E2456" s="528">
        <v>2.0145</v>
      </c>
      <c r="F2456" s="36" t="s">
        <v>7798</v>
      </c>
      <c r="G2456" s="125" t="s">
        <v>913</v>
      </c>
      <c r="H2456" s="125" t="s">
        <v>7801</v>
      </c>
      <c r="I2456" t="s">
        <v>110</v>
      </c>
    </row>
    <row r="2457">
      <c r="A2457" s="125" t="s">
        <v>331</v>
      </c>
      <c r="B2457" s="526" t="s">
        <v>332</v>
      </c>
      <c r="C2457" s="527">
        <v>350.0</v>
      </c>
      <c r="D2457" s="527">
        <v>737.17</v>
      </c>
      <c r="E2457" s="528">
        <v>2.1062</v>
      </c>
      <c r="F2457" s="36" t="s">
        <v>7798</v>
      </c>
      <c r="G2457" s="125" t="s">
        <v>913</v>
      </c>
      <c r="H2457" s="125" t="s">
        <v>7801</v>
      </c>
      <c r="I2457" t="s">
        <v>110</v>
      </c>
    </row>
    <row r="2458">
      <c r="A2458" s="125" t="s">
        <v>582</v>
      </c>
      <c r="B2458" s="526" t="s">
        <v>583</v>
      </c>
      <c r="C2458" s="527">
        <v>688.0</v>
      </c>
      <c r="D2458" s="527">
        <v>2091.5</v>
      </c>
      <c r="E2458" s="528">
        <v>3.04</v>
      </c>
      <c r="F2458" s="36" t="s">
        <v>7798</v>
      </c>
      <c r="G2458" s="125" t="s">
        <v>913</v>
      </c>
      <c r="H2458" s="125" t="s">
        <v>569</v>
      </c>
      <c r="I2458" t="s">
        <v>110</v>
      </c>
    </row>
    <row r="2459">
      <c r="A2459" s="125" t="s">
        <v>333</v>
      </c>
      <c r="B2459" s="526" t="s">
        <v>334</v>
      </c>
      <c r="C2459" s="527">
        <v>362.0</v>
      </c>
      <c r="D2459" s="527">
        <v>762.45</v>
      </c>
      <c r="E2459" s="528">
        <v>2.1062</v>
      </c>
      <c r="F2459" s="36" t="s">
        <v>7798</v>
      </c>
      <c r="G2459" s="125" t="s">
        <v>913</v>
      </c>
      <c r="H2459" s="125" t="s">
        <v>569</v>
      </c>
      <c r="I2459" t="s">
        <v>110</v>
      </c>
    </row>
    <row r="2460">
      <c r="A2460" s="125" t="s">
        <v>345</v>
      </c>
      <c r="B2460" s="526" t="s">
        <v>346</v>
      </c>
      <c r="C2460" s="527">
        <v>4.0</v>
      </c>
      <c r="D2460" s="527">
        <v>212.34</v>
      </c>
      <c r="E2460" s="528">
        <v>53.085</v>
      </c>
      <c r="F2460" s="36" t="s">
        <v>7798</v>
      </c>
      <c r="G2460" s="125" t="s">
        <v>913</v>
      </c>
      <c r="H2460" s="125" t="s">
        <v>569</v>
      </c>
      <c r="I2460" t="s">
        <v>110</v>
      </c>
    </row>
    <row r="2461">
      <c r="A2461" s="125" t="s">
        <v>5964</v>
      </c>
      <c r="B2461" s="526" t="s">
        <v>5963</v>
      </c>
      <c r="C2461" s="527">
        <v>5.0</v>
      </c>
      <c r="D2461" s="527">
        <v>16.63</v>
      </c>
      <c r="E2461" s="528">
        <v>3.326</v>
      </c>
      <c r="F2461" s="36" t="s">
        <v>7798</v>
      </c>
      <c r="G2461" s="125" t="s">
        <v>913</v>
      </c>
      <c r="I2461" t="s">
        <v>45</v>
      </c>
    </row>
    <row r="2462">
      <c r="A2462" s="125" t="s">
        <v>5966</v>
      </c>
      <c r="B2462" s="526" t="s">
        <v>5965</v>
      </c>
      <c r="C2462" s="527">
        <v>1.0</v>
      </c>
      <c r="D2462" s="527">
        <v>60.28</v>
      </c>
      <c r="E2462" s="528">
        <v>60.28</v>
      </c>
      <c r="F2462" s="36" t="s">
        <v>7798</v>
      </c>
      <c r="G2462" s="125" t="s">
        <v>913</v>
      </c>
      <c r="H2462" s="125" t="s">
        <v>7801</v>
      </c>
      <c r="I2462" t="s">
        <v>7853</v>
      </c>
    </row>
    <row r="2463">
      <c r="A2463" s="125" t="s">
        <v>5968</v>
      </c>
      <c r="B2463" s="526" t="s">
        <v>5967</v>
      </c>
      <c r="C2463" s="527">
        <v>0.0</v>
      </c>
      <c r="D2463" s="527">
        <v>0.0</v>
      </c>
      <c r="F2463" s="36" t="s">
        <v>7798</v>
      </c>
      <c r="G2463" s="125" t="s">
        <v>913</v>
      </c>
      <c r="I2463" t="s">
        <v>45</v>
      </c>
    </row>
    <row r="2464">
      <c r="A2464" s="125" t="s">
        <v>592</v>
      </c>
      <c r="B2464" s="526" t="s">
        <v>593</v>
      </c>
      <c r="C2464" s="527">
        <v>0.0</v>
      </c>
      <c r="D2464" s="527">
        <v>0.0</v>
      </c>
      <c r="F2464" s="36" t="s">
        <v>7807</v>
      </c>
      <c r="G2464" s="125" t="s">
        <v>913</v>
      </c>
      <c r="H2464" s="125" t="s">
        <v>569</v>
      </c>
      <c r="I2464" t="s">
        <v>7898</v>
      </c>
    </row>
    <row r="2465">
      <c r="A2465" s="125" t="s">
        <v>604</v>
      </c>
      <c r="B2465" s="526" t="s">
        <v>605</v>
      </c>
      <c r="C2465" s="527">
        <v>301.0</v>
      </c>
      <c r="D2465" s="527">
        <v>1436.08</v>
      </c>
      <c r="E2465" s="528">
        <v>4.771</v>
      </c>
      <c r="F2465" s="36" t="s">
        <v>7798</v>
      </c>
      <c r="G2465" s="125" t="s">
        <v>913</v>
      </c>
      <c r="H2465" s="125" t="s">
        <v>569</v>
      </c>
      <c r="I2465" t="s">
        <v>397</v>
      </c>
    </row>
    <row r="2466">
      <c r="A2466" s="125" t="s">
        <v>602</v>
      </c>
      <c r="B2466" s="526" t="s">
        <v>603</v>
      </c>
      <c r="C2466" s="527">
        <v>330.0</v>
      </c>
      <c r="D2466" s="527">
        <v>1574.45</v>
      </c>
      <c r="E2466" s="528">
        <v>4.7711</v>
      </c>
      <c r="F2466" s="36" t="s">
        <v>7798</v>
      </c>
      <c r="G2466" s="125" t="s">
        <v>913</v>
      </c>
      <c r="H2466" s="125" t="s">
        <v>569</v>
      </c>
      <c r="I2466" t="s">
        <v>397</v>
      </c>
    </row>
    <row r="2467">
      <c r="A2467" s="125" t="s">
        <v>600</v>
      </c>
      <c r="B2467" s="526" t="s">
        <v>601</v>
      </c>
      <c r="C2467" s="527">
        <v>375.0</v>
      </c>
      <c r="D2467" s="527">
        <v>1789.11</v>
      </c>
      <c r="E2467" s="528">
        <v>4.771</v>
      </c>
      <c r="F2467" s="36" t="s">
        <v>7798</v>
      </c>
      <c r="G2467" s="125" t="s">
        <v>913</v>
      </c>
      <c r="H2467" s="125" t="s">
        <v>569</v>
      </c>
      <c r="I2467" t="s">
        <v>397</v>
      </c>
    </row>
    <row r="2468">
      <c r="A2468" s="125" t="s">
        <v>598</v>
      </c>
      <c r="B2468" s="526" t="s">
        <v>599</v>
      </c>
      <c r="C2468" s="527">
        <v>342.0</v>
      </c>
      <c r="D2468" s="527">
        <v>1631.68</v>
      </c>
      <c r="E2468" s="528">
        <v>4.771</v>
      </c>
      <c r="F2468" s="36" t="s">
        <v>7798</v>
      </c>
      <c r="G2468" s="125" t="s">
        <v>913</v>
      </c>
      <c r="H2468" s="125" t="s">
        <v>569</v>
      </c>
      <c r="I2468" t="s">
        <v>397</v>
      </c>
    </row>
    <row r="2469">
      <c r="A2469" s="125" t="s">
        <v>596</v>
      </c>
      <c r="B2469" s="526" t="s">
        <v>597</v>
      </c>
      <c r="C2469" s="527">
        <v>128.0</v>
      </c>
      <c r="D2469" s="527">
        <v>610.71</v>
      </c>
      <c r="E2469" s="528">
        <v>4.7712</v>
      </c>
      <c r="F2469" s="36" t="s">
        <v>7798</v>
      </c>
      <c r="G2469" s="125" t="s">
        <v>913</v>
      </c>
      <c r="H2469" s="125" t="s">
        <v>569</v>
      </c>
      <c r="I2469" t="s">
        <v>397</v>
      </c>
    </row>
    <row r="2470">
      <c r="A2470" s="125" t="s">
        <v>594</v>
      </c>
      <c r="B2470" s="526" t="s">
        <v>595</v>
      </c>
      <c r="C2470" s="527">
        <v>327.0</v>
      </c>
      <c r="D2470" s="527">
        <v>1560.18</v>
      </c>
      <c r="E2470" s="528">
        <v>4.7712</v>
      </c>
      <c r="F2470" s="36" t="s">
        <v>7798</v>
      </c>
      <c r="G2470" s="125" t="s">
        <v>913</v>
      </c>
      <c r="H2470" s="125" t="s">
        <v>569</v>
      </c>
      <c r="I2470" t="s">
        <v>397</v>
      </c>
    </row>
    <row r="2471">
      <c r="A2471" s="125" t="s">
        <v>5970</v>
      </c>
      <c r="B2471" s="526" t="s">
        <v>5969</v>
      </c>
      <c r="C2471" s="527">
        <v>418.0</v>
      </c>
      <c r="D2471" s="527">
        <v>229.9</v>
      </c>
      <c r="E2471" s="528">
        <v>0.55</v>
      </c>
      <c r="F2471" s="36" t="s">
        <v>7798</v>
      </c>
      <c r="G2471" s="125" t="s">
        <v>913</v>
      </c>
      <c r="H2471" s="125" t="s">
        <v>7821</v>
      </c>
      <c r="I2471" t="s">
        <v>7823</v>
      </c>
    </row>
    <row r="2472">
      <c r="A2472" s="125" t="s">
        <v>5972</v>
      </c>
      <c r="B2472" s="526" t="s">
        <v>5971</v>
      </c>
      <c r="C2472" s="527">
        <v>232.0</v>
      </c>
      <c r="D2472" s="527">
        <v>116.0</v>
      </c>
      <c r="E2472" s="528">
        <v>0.5</v>
      </c>
      <c r="F2472" s="36" t="s">
        <v>7798</v>
      </c>
      <c r="G2472" s="125" t="s">
        <v>913</v>
      </c>
      <c r="H2472" s="125" t="s">
        <v>7821</v>
      </c>
      <c r="I2472" t="s">
        <v>7838</v>
      </c>
    </row>
    <row r="2473">
      <c r="A2473" s="125" t="s">
        <v>5974</v>
      </c>
      <c r="B2473" s="526" t="s">
        <v>5973</v>
      </c>
      <c r="C2473" s="527">
        <v>0.0</v>
      </c>
      <c r="D2473" s="527">
        <v>0.0</v>
      </c>
      <c r="F2473" s="36" t="s">
        <v>7798</v>
      </c>
      <c r="G2473" s="125" t="s">
        <v>893</v>
      </c>
      <c r="H2473" s="125" t="s">
        <v>7799</v>
      </c>
      <c r="I2473" t="s">
        <v>7820</v>
      </c>
    </row>
    <row r="2474">
      <c r="A2474" s="125" t="s">
        <v>5976</v>
      </c>
      <c r="B2474" s="526" t="s">
        <v>5975</v>
      </c>
      <c r="C2474" s="527">
        <v>0.0</v>
      </c>
      <c r="D2474" s="527">
        <v>0.0</v>
      </c>
      <c r="F2474" s="36" t="s">
        <v>7807</v>
      </c>
      <c r="G2474" s="125" t="s">
        <v>893</v>
      </c>
      <c r="H2474" s="125" t="s">
        <v>7799</v>
      </c>
      <c r="I2474" t="s">
        <v>7891</v>
      </c>
    </row>
    <row r="2475">
      <c r="A2475" s="125" t="s">
        <v>5978</v>
      </c>
      <c r="B2475" s="526" t="s">
        <v>5977</v>
      </c>
      <c r="C2475" s="527">
        <v>0.0</v>
      </c>
      <c r="D2475" s="527">
        <v>0.0</v>
      </c>
      <c r="F2475" s="36" t="s">
        <v>7798</v>
      </c>
      <c r="G2475" s="125" t="s">
        <v>893</v>
      </c>
      <c r="H2475" s="125" t="s">
        <v>7799</v>
      </c>
      <c r="I2475" t="s">
        <v>489</v>
      </c>
    </row>
    <row r="2476">
      <c r="A2476" s="125" t="s">
        <v>5980</v>
      </c>
      <c r="B2476" s="526" t="s">
        <v>5979</v>
      </c>
      <c r="C2476" s="527">
        <v>0.0</v>
      </c>
      <c r="D2476" s="527">
        <v>0.0</v>
      </c>
      <c r="F2476" s="36" t="s">
        <v>7798</v>
      </c>
      <c r="G2476" s="125" t="s">
        <v>893</v>
      </c>
      <c r="H2476" s="125" t="s">
        <v>7799</v>
      </c>
      <c r="I2476" t="s">
        <v>489</v>
      </c>
    </row>
    <row r="2477">
      <c r="A2477" s="125" t="s">
        <v>5982</v>
      </c>
      <c r="B2477" s="526" t="s">
        <v>5981</v>
      </c>
      <c r="C2477" s="527">
        <v>0.0</v>
      </c>
      <c r="D2477" s="527">
        <v>0.0</v>
      </c>
      <c r="F2477" s="36" t="s">
        <v>7798</v>
      </c>
      <c r="G2477" s="125" t="s">
        <v>893</v>
      </c>
      <c r="H2477" s="125" t="s">
        <v>7799</v>
      </c>
      <c r="I2477" t="s">
        <v>489</v>
      </c>
    </row>
    <row r="2478">
      <c r="A2478" s="125" t="s">
        <v>5984</v>
      </c>
      <c r="B2478" s="526" t="s">
        <v>5983</v>
      </c>
      <c r="C2478" s="527">
        <v>0.0</v>
      </c>
      <c r="D2478" s="527">
        <v>0.0</v>
      </c>
      <c r="F2478" s="36" t="s">
        <v>7798</v>
      </c>
      <c r="G2478" s="125" t="s">
        <v>893</v>
      </c>
      <c r="H2478" s="125" t="s">
        <v>7799</v>
      </c>
      <c r="I2478" t="s">
        <v>489</v>
      </c>
    </row>
    <row r="2479">
      <c r="A2479" s="125" t="s">
        <v>5986</v>
      </c>
      <c r="B2479" s="526" t="s">
        <v>5985</v>
      </c>
      <c r="C2479" s="527">
        <v>0.0</v>
      </c>
      <c r="D2479" s="527">
        <v>0.0</v>
      </c>
      <c r="F2479" s="36" t="s">
        <v>7798</v>
      </c>
      <c r="G2479" s="125" t="s">
        <v>893</v>
      </c>
      <c r="H2479" s="125" t="s">
        <v>7799</v>
      </c>
      <c r="I2479" t="s">
        <v>489</v>
      </c>
    </row>
    <row r="2480">
      <c r="A2480" s="125" t="s">
        <v>5988</v>
      </c>
      <c r="B2480" s="526" t="s">
        <v>5987</v>
      </c>
      <c r="C2480" s="527">
        <v>0.0</v>
      </c>
      <c r="D2480" s="527">
        <v>0.0</v>
      </c>
      <c r="F2480" s="36" t="s">
        <v>7798</v>
      </c>
      <c r="G2480" s="125" t="s">
        <v>893</v>
      </c>
      <c r="H2480" s="125" t="s">
        <v>7799</v>
      </c>
      <c r="I2480" t="s">
        <v>489</v>
      </c>
    </row>
    <row r="2481">
      <c r="A2481" s="125" t="s">
        <v>5990</v>
      </c>
      <c r="B2481" s="526" t="s">
        <v>5989</v>
      </c>
      <c r="C2481" s="527">
        <v>0.0</v>
      </c>
      <c r="D2481" s="527">
        <v>0.0</v>
      </c>
      <c r="F2481" s="36" t="s">
        <v>7798</v>
      </c>
      <c r="G2481" s="125" t="s">
        <v>893</v>
      </c>
      <c r="H2481" s="125" t="s">
        <v>7799</v>
      </c>
      <c r="I2481" t="s">
        <v>489</v>
      </c>
    </row>
    <row r="2482">
      <c r="A2482" s="125" t="s">
        <v>5992</v>
      </c>
      <c r="B2482" s="526" t="s">
        <v>5991</v>
      </c>
      <c r="C2482" s="527">
        <v>0.0</v>
      </c>
      <c r="D2482" s="527">
        <v>0.0</v>
      </c>
      <c r="F2482" s="36" t="s">
        <v>7798</v>
      </c>
      <c r="G2482" s="125" t="s">
        <v>893</v>
      </c>
      <c r="H2482" s="125" t="s">
        <v>7799</v>
      </c>
      <c r="I2482" t="s">
        <v>489</v>
      </c>
    </row>
    <row r="2483">
      <c r="A2483" s="125" t="s">
        <v>5994</v>
      </c>
      <c r="B2483" s="526" t="s">
        <v>5993</v>
      </c>
      <c r="C2483" s="527">
        <v>0.0</v>
      </c>
      <c r="D2483" s="527">
        <v>0.0</v>
      </c>
      <c r="F2483" s="36" t="s">
        <v>7807</v>
      </c>
      <c r="G2483" s="125" t="s">
        <v>913</v>
      </c>
      <c r="H2483" s="125" t="s">
        <v>7821</v>
      </c>
      <c r="I2483" t="s">
        <v>489</v>
      </c>
    </row>
    <row r="2484">
      <c r="A2484" s="125" t="s">
        <v>5996</v>
      </c>
      <c r="B2484" s="526" t="s">
        <v>5995</v>
      </c>
      <c r="C2484" s="527">
        <v>306.0</v>
      </c>
      <c r="D2484" s="527">
        <v>165.24</v>
      </c>
      <c r="E2484" s="528">
        <v>0.54</v>
      </c>
      <c r="F2484" s="36" t="s">
        <v>7798</v>
      </c>
      <c r="G2484" s="125" t="s">
        <v>913</v>
      </c>
      <c r="H2484" s="125" t="s">
        <v>7821</v>
      </c>
      <c r="I2484" t="s">
        <v>7834</v>
      </c>
    </row>
    <row r="2485">
      <c r="A2485" s="125" t="s">
        <v>5998</v>
      </c>
      <c r="B2485" s="526" t="s">
        <v>5997</v>
      </c>
      <c r="C2485" s="527">
        <v>24.0</v>
      </c>
      <c r="D2485" s="527">
        <v>12.96</v>
      </c>
      <c r="E2485" s="528">
        <v>0.54</v>
      </c>
      <c r="F2485" s="36" t="s">
        <v>7798</v>
      </c>
      <c r="G2485" s="125" t="s">
        <v>913</v>
      </c>
      <c r="H2485" s="125" t="s">
        <v>7821</v>
      </c>
      <c r="I2485" t="s">
        <v>7834</v>
      </c>
    </row>
    <row r="2486">
      <c r="A2486" s="125" t="s">
        <v>6000</v>
      </c>
      <c r="B2486" s="526" t="s">
        <v>5999</v>
      </c>
      <c r="C2486" s="527">
        <v>280.0</v>
      </c>
      <c r="D2486" s="527">
        <v>1354.51</v>
      </c>
      <c r="E2486" s="528">
        <v>4.8375</v>
      </c>
      <c r="F2486" s="36" t="s">
        <v>7798</v>
      </c>
      <c r="G2486" s="125" t="s">
        <v>913</v>
      </c>
      <c r="H2486" s="125" t="s">
        <v>7801</v>
      </c>
      <c r="I2486" t="s">
        <v>7899</v>
      </c>
    </row>
    <row r="2487">
      <c r="A2487" s="125" t="s">
        <v>6002</v>
      </c>
      <c r="B2487" s="526" t="s">
        <v>6001</v>
      </c>
      <c r="C2487" s="527">
        <v>0.0</v>
      </c>
      <c r="D2487" s="527">
        <v>0.0</v>
      </c>
      <c r="F2487" s="36" t="s">
        <v>7798</v>
      </c>
      <c r="G2487" s="125" t="s">
        <v>913</v>
      </c>
      <c r="H2487" s="125" t="s">
        <v>7801</v>
      </c>
      <c r="I2487" t="s">
        <v>7899</v>
      </c>
    </row>
    <row r="2488">
      <c r="A2488" s="125" t="s">
        <v>6004</v>
      </c>
      <c r="B2488" s="526" t="s">
        <v>6003</v>
      </c>
      <c r="C2488" s="527">
        <v>0.0</v>
      </c>
      <c r="D2488" s="527">
        <v>0.0</v>
      </c>
      <c r="F2488" s="36" t="s">
        <v>7798</v>
      </c>
      <c r="G2488" s="125" t="s">
        <v>893</v>
      </c>
      <c r="H2488" s="125" t="s">
        <v>7799</v>
      </c>
      <c r="I2488" t="s">
        <v>7899</v>
      </c>
    </row>
    <row r="2489">
      <c r="A2489" s="125" t="s">
        <v>6006</v>
      </c>
      <c r="B2489" s="526" t="s">
        <v>6005</v>
      </c>
      <c r="C2489" s="527">
        <v>0.0</v>
      </c>
      <c r="D2489" s="527">
        <v>0.0</v>
      </c>
      <c r="F2489" s="36" t="s">
        <v>7798</v>
      </c>
      <c r="G2489" s="125" t="s">
        <v>893</v>
      </c>
      <c r="H2489" s="125" t="s">
        <v>7799</v>
      </c>
      <c r="I2489" t="s">
        <v>7899</v>
      </c>
    </row>
    <row r="2490">
      <c r="A2490" s="125" t="s">
        <v>6008</v>
      </c>
      <c r="B2490" s="526" t="s">
        <v>6007</v>
      </c>
      <c r="C2490" s="527">
        <v>152.0</v>
      </c>
      <c r="D2490" s="527">
        <v>731.59</v>
      </c>
      <c r="E2490" s="528">
        <v>4.8131</v>
      </c>
      <c r="F2490" s="36" t="s">
        <v>7798</v>
      </c>
      <c r="G2490" s="125" t="s">
        <v>913</v>
      </c>
      <c r="H2490" s="125" t="s">
        <v>7801</v>
      </c>
      <c r="I2490" t="s">
        <v>7899</v>
      </c>
    </row>
    <row r="2491">
      <c r="A2491" s="125" t="s">
        <v>6010</v>
      </c>
      <c r="B2491" s="526" t="s">
        <v>6009</v>
      </c>
      <c r="C2491" s="527">
        <v>0.0</v>
      </c>
      <c r="D2491" s="527">
        <v>0.0</v>
      </c>
      <c r="F2491" s="36" t="s">
        <v>7798</v>
      </c>
      <c r="G2491" s="125" t="s">
        <v>893</v>
      </c>
      <c r="H2491" s="125" t="s">
        <v>7799</v>
      </c>
      <c r="I2491" t="s">
        <v>7899</v>
      </c>
    </row>
    <row r="2492">
      <c r="A2492" s="125" t="s">
        <v>6012</v>
      </c>
      <c r="B2492" s="526" t="s">
        <v>6011</v>
      </c>
      <c r="C2492" s="527">
        <v>0.0</v>
      </c>
      <c r="D2492" s="527">
        <v>0.0</v>
      </c>
      <c r="F2492" s="36" t="s">
        <v>7798</v>
      </c>
      <c r="G2492" s="125" t="s">
        <v>893</v>
      </c>
      <c r="H2492" s="125" t="s">
        <v>7799</v>
      </c>
      <c r="I2492" t="s">
        <v>7848</v>
      </c>
    </row>
    <row r="2493">
      <c r="A2493" s="125" t="s">
        <v>6014</v>
      </c>
      <c r="B2493" s="526" t="s">
        <v>6013</v>
      </c>
      <c r="C2493" s="527">
        <v>84.0</v>
      </c>
      <c r="D2493" s="527">
        <v>229.84</v>
      </c>
      <c r="E2493" s="528">
        <v>2.7362</v>
      </c>
      <c r="F2493" s="36" t="s">
        <v>7798</v>
      </c>
      <c r="G2493" s="125" t="s">
        <v>913</v>
      </c>
      <c r="H2493" s="125" t="s">
        <v>7801</v>
      </c>
      <c r="I2493" t="s">
        <v>7848</v>
      </c>
    </row>
    <row r="2494">
      <c r="A2494" s="125" t="s">
        <v>6016</v>
      </c>
      <c r="B2494" s="526" t="s">
        <v>6015</v>
      </c>
      <c r="C2494" s="527">
        <v>0.0</v>
      </c>
      <c r="D2494" s="527">
        <v>0.0</v>
      </c>
      <c r="F2494" s="36" t="s">
        <v>7798</v>
      </c>
      <c r="G2494" s="125" t="s">
        <v>893</v>
      </c>
      <c r="H2494" s="125" t="s">
        <v>7801</v>
      </c>
      <c r="I2494" t="s">
        <v>7848</v>
      </c>
    </row>
    <row r="2495">
      <c r="A2495" s="125" t="s">
        <v>6018</v>
      </c>
      <c r="B2495" s="526" t="s">
        <v>6017</v>
      </c>
      <c r="C2495" s="527">
        <v>123.0</v>
      </c>
      <c r="D2495" s="527">
        <v>695.3</v>
      </c>
      <c r="E2495" s="528">
        <v>5.6528</v>
      </c>
      <c r="F2495" s="36" t="s">
        <v>7798</v>
      </c>
      <c r="G2495" s="125" t="s">
        <v>913</v>
      </c>
      <c r="H2495" s="125" t="s">
        <v>7801</v>
      </c>
      <c r="I2495" t="s">
        <v>7849</v>
      </c>
    </row>
    <row r="2496">
      <c r="A2496" s="125" t="s">
        <v>6020</v>
      </c>
      <c r="B2496" s="526" t="s">
        <v>6019</v>
      </c>
      <c r="C2496" s="527">
        <v>163.0</v>
      </c>
      <c r="D2496" s="527">
        <v>921.41</v>
      </c>
      <c r="E2496" s="528">
        <v>5.6528</v>
      </c>
      <c r="F2496" s="36" t="s">
        <v>7798</v>
      </c>
      <c r="G2496" s="125" t="s">
        <v>913</v>
      </c>
      <c r="H2496" s="125" t="s">
        <v>7808</v>
      </c>
      <c r="I2496" t="s">
        <v>7849</v>
      </c>
    </row>
    <row r="2497">
      <c r="A2497" s="125" t="s">
        <v>6022</v>
      </c>
      <c r="B2497" s="526" t="s">
        <v>6021</v>
      </c>
      <c r="C2497" s="527">
        <v>15.0</v>
      </c>
      <c r="D2497" s="527">
        <v>77.82</v>
      </c>
      <c r="E2497" s="528">
        <v>5.188</v>
      </c>
      <c r="F2497" s="36" t="s">
        <v>7798</v>
      </c>
      <c r="G2497" s="125" t="s">
        <v>913</v>
      </c>
      <c r="H2497" s="125" t="s">
        <v>7808</v>
      </c>
      <c r="I2497" t="s">
        <v>7849</v>
      </c>
    </row>
    <row r="2498">
      <c r="A2498" s="125" t="s">
        <v>6024</v>
      </c>
      <c r="B2498" s="526" t="s">
        <v>6023</v>
      </c>
      <c r="C2498" s="527">
        <v>70.0</v>
      </c>
      <c r="D2498" s="527">
        <v>395.73</v>
      </c>
      <c r="E2498" s="528">
        <v>5.6533</v>
      </c>
      <c r="F2498" s="36" t="s">
        <v>7798</v>
      </c>
      <c r="G2498" s="125" t="s">
        <v>913</v>
      </c>
      <c r="H2498" s="125" t="s">
        <v>7801</v>
      </c>
      <c r="I2498" t="s">
        <v>7849</v>
      </c>
    </row>
    <row r="2499">
      <c r="A2499" s="125" t="s">
        <v>6026</v>
      </c>
      <c r="B2499" s="526" t="s">
        <v>6025</v>
      </c>
      <c r="C2499" s="527">
        <v>256.0</v>
      </c>
      <c r="D2499" s="527">
        <v>1447.1</v>
      </c>
      <c r="E2499" s="528">
        <v>5.6527</v>
      </c>
      <c r="F2499" s="36" t="s">
        <v>7798</v>
      </c>
      <c r="G2499" s="125" t="s">
        <v>913</v>
      </c>
      <c r="H2499" s="125" t="s">
        <v>7801</v>
      </c>
      <c r="I2499" t="s">
        <v>7849</v>
      </c>
    </row>
    <row r="2500">
      <c r="A2500" s="125" t="s">
        <v>6028</v>
      </c>
      <c r="B2500" s="526" t="s">
        <v>6027</v>
      </c>
      <c r="C2500" s="527">
        <v>3.0</v>
      </c>
      <c r="D2500" s="527">
        <v>435.74</v>
      </c>
      <c r="E2500" s="528">
        <v>145.2467</v>
      </c>
      <c r="F2500" s="36" t="s">
        <v>7798</v>
      </c>
      <c r="G2500" s="125" t="s">
        <v>913</v>
      </c>
      <c r="H2500" s="125" t="s">
        <v>7808</v>
      </c>
      <c r="I2500" t="s">
        <v>7849</v>
      </c>
    </row>
    <row r="2501">
      <c r="A2501" s="125" t="s">
        <v>6030</v>
      </c>
      <c r="B2501" s="526" t="s">
        <v>6029</v>
      </c>
      <c r="C2501" s="527">
        <v>0.0</v>
      </c>
      <c r="D2501" s="527">
        <v>0.0</v>
      </c>
      <c r="F2501" s="36" t="s">
        <v>7798</v>
      </c>
      <c r="G2501" s="125" t="s">
        <v>893</v>
      </c>
      <c r="H2501" s="125" t="s">
        <v>7821</v>
      </c>
      <c r="I2501" t="s">
        <v>45</v>
      </c>
    </row>
    <row r="2502">
      <c r="A2502" s="125" t="s">
        <v>6032</v>
      </c>
      <c r="B2502" s="526" t="s">
        <v>6031</v>
      </c>
      <c r="C2502" s="527">
        <v>0.0</v>
      </c>
      <c r="D2502" s="527">
        <v>0.0</v>
      </c>
      <c r="F2502" s="36" t="s">
        <v>7798</v>
      </c>
      <c r="G2502" s="125" t="s">
        <v>893</v>
      </c>
      <c r="H2502" s="125" t="s">
        <v>7801</v>
      </c>
      <c r="I2502" t="s">
        <v>7850</v>
      </c>
    </row>
    <row r="2503">
      <c r="A2503" s="125" t="s">
        <v>6034</v>
      </c>
      <c r="B2503" s="526" t="s">
        <v>6033</v>
      </c>
      <c r="C2503" s="527">
        <v>2.0</v>
      </c>
      <c r="D2503" s="527">
        <v>0.02</v>
      </c>
      <c r="E2503" s="528">
        <v>0.01</v>
      </c>
      <c r="F2503" s="36" t="s">
        <v>7798</v>
      </c>
      <c r="G2503" s="125" t="s">
        <v>893</v>
      </c>
      <c r="H2503" s="125" t="s">
        <v>7821</v>
      </c>
      <c r="I2503" t="s">
        <v>45</v>
      </c>
    </row>
    <row r="2504">
      <c r="A2504" s="125" t="s">
        <v>6036</v>
      </c>
      <c r="B2504" s="526" t="s">
        <v>6035</v>
      </c>
      <c r="C2504" s="527">
        <v>0.0</v>
      </c>
      <c r="D2504" s="527">
        <v>0.0</v>
      </c>
      <c r="F2504" s="36" t="s">
        <v>7798</v>
      </c>
      <c r="G2504" s="125" t="s">
        <v>893</v>
      </c>
      <c r="H2504" s="125" t="s">
        <v>7799</v>
      </c>
      <c r="I2504" t="s">
        <v>7892</v>
      </c>
    </row>
    <row r="2505">
      <c r="A2505" s="125" t="s">
        <v>6038</v>
      </c>
      <c r="B2505" s="526" t="s">
        <v>6037</v>
      </c>
      <c r="C2505" s="527">
        <v>0.0</v>
      </c>
      <c r="D2505" s="527">
        <v>0.0</v>
      </c>
      <c r="F2505" s="36" t="s">
        <v>7798</v>
      </c>
      <c r="G2505" s="125" t="s">
        <v>893</v>
      </c>
      <c r="H2505" s="125" t="s">
        <v>7799</v>
      </c>
      <c r="I2505" t="s">
        <v>7892</v>
      </c>
    </row>
    <row r="2506">
      <c r="A2506" s="125" t="s">
        <v>6040</v>
      </c>
      <c r="B2506" s="526" t="s">
        <v>6039</v>
      </c>
      <c r="C2506" s="527">
        <v>0.0</v>
      </c>
      <c r="D2506" s="527">
        <v>0.0</v>
      </c>
      <c r="F2506" s="36" t="s">
        <v>7798</v>
      </c>
      <c r="G2506" s="125" t="s">
        <v>893</v>
      </c>
      <c r="H2506" s="125" t="s">
        <v>7799</v>
      </c>
      <c r="I2506" t="s">
        <v>7842</v>
      </c>
    </row>
    <row r="2507">
      <c r="A2507" s="125" t="s">
        <v>6042</v>
      </c>
      <c r="B2507" s="526" t="s">
        <v>6041</v>
      </c>
      <c r="C2507" s="527">
        <v>0.0</v>
      </c>
      <c r="D2507" s="527">
        <v>0.0</v>
      </c>
      <c r="F2507" s="36" t="s">
        <v>7798</v>
      </c>
      <c r="G2507" s="125" t="s">
        <v>893</v>
      </c>
      <c r="H2507" s="125" t="s">
        <v>7799</v>
      </c>
      <c r="I2507" t="s">
        <v>7842</v>
      </c>
    </row>
    <row r="2508">
      <c r="A2508" s="125" t="s">
        <v>6044</v>
      </c>
      <c r="B2508" s="526" t="s">
        <v>6043</v>
      </c>
      <c r="C2508" s="527">
        <v>0.0</v>
      </c>
      <c r="D2508" s="527">
        <v>0.0</v>
      </c>
      <c r="F2508" s="36" t="s">
        <v>7798</v>
      </c>
      <c r="G2508" s="125" t="s">
        <v>893</v>
      </c>
      <c r="H2508" s="125" t="s">
        <v>7799</v>
      </c>
      <c r="I2508" t="s">
        <v>7842</v>
      </c>
    </row>
    <row r="2509">
      <c r="A2509" s="125" t="s">
        <v>6048</v>
      </c>
      <c r="B2509" s="526" t="s">
        <v>6047</v>
      </c>
      <c r="C2509" s="527">
        <v>0.0</v>
      </c>
      <c r="D2509" s="527">
        <v>0.0</v>
      </c>
      <c r="F2509" s="36" t="s">
        <v>7798</v>
      </c>
      <c r="G2509" s="125" t="s">
        <v>893</v>
      </c>
      <c r="H2509" s="125" t="s">
        <v>7799</v>
      </c>
      <c r="I2509" t="s">
        <v>7842</v>
      </c>
    </row>
    <row r="2510">
      <c r="A2510" s="125" t="s">
        <v>6050</v>
      </c>
      <c r="B2510" s="526" t="s">
        <v>6049</v>
      </c>
      <c r="C2510" s="527">
        <v>0.0</v>
      </c>
      <c r="D2510" s="527">
        <v>0.0</v>
      </c>
      <c r="F2510" s="36" t="s">
        <v>7798</v>
      </c>
      <c r="G2510" s="125" t="s">
        <v>893</v>
      </c>
      <c r="H2510" s="125" t="s">
        <v>7799</v>
      </c>
      <c r="I2510" t="s">
        <v>7842</v>
      </c>
    </row>
    <row r="2511">
      <c r="A2511" s="125" t="s">
        <v>6052</v>
      </c>
      <c r="B2511" s="526" t="s">
        <v>6051</v>
      </c>
      <c r="C2511" s="527">
        <v>0.0</v>
      </c>
      <c r="D2511" s="527">
        <v>0.0</v>
      </c>
      <c r="F2511" s="36" t="s">
        <v>7798</v>
      </c>
      <c r="G2511" s="125" t="s">
        <v>893</v>
      </c>
      <c r="H2511" s="125" t="s">
        <v>7799</v>
      </c>
      <c r="I2511" t="s">
        <v>7842</v>
      </c>
    </row>
    <row r="2512">
      <c r="A2512" s="125" t="s">
        <v>6054</v>
      </c>
      <c r="B2512" s="526" t="s">
        <v>6053</v>
      </c>
      <c r="C2512" s="527">
        <v>0.0</v>
      </c>
      <c r="D2512" s="527">
        <v>0.0</v>
      </c>
      <c r="F2512" s="36" t="s">
        <v>7798</v>
      </c>
      <c r="G2512" s="125" t="s">
        <v>893</v>
      </c>
      <c r="H2512" s="125" t="s">
        <v>7799</v>
      </c>
      <c r="I2512" t="s">
        <v>7842</v>
      </c>
    </row>
    <row r="2513">
      <c r="A2513" s="125" t="s">
        <v>6056</v>
      </c>
      <c r="B2513" s="526" t="s">
        <v>6055</v>
      </c>
      <c r="C2513" s="527">
        <v>0.0</v>
      </c>
      <c r="D2513" s="527">
        <v>0.0</v>
      </c>
      <c r="F2513" s="36" t="s">
        <v>7798</v>
      </c>
      <c r="G2513" s="125" t="s">
        <v>893</v>
      </c>
      <c r="H2513" s="125" t="s">
        <v>7799</v>
      </c>
      <c r="I2513" t="s">
        <v>7842</v>
      </c>
    </row>
    <row r="2514">
      <c r="A2514" s="125" t="s">
        <v>359</v>
      </c>
      <c r="B2514" s="526" t="s">
        <v>360</v>
      </c>
      <c r="C2514" s="527">
        <v>271.0</v>
      </c>
      <c r="D2514" s="527">
        <v>914.26</v>
      </c>
      <c r="E2514" s="528">
        <v>3.3737</v>
      </c>
      <c r="F2514" s="36" t="s">
        <v>7798</v>
      </c>
      <c r="G2514" s="125" t="s">
        <v>913</v>
      </c>
      <c r="H2514" s="125" t="s">
        <v>569</v>
      </c>
      <c r="I2514" t="s">
        <v>356</v>
      </c>
    </row>
    <row r="2515">
      <c r="A2515" s="125" t="s">
        <v>6058</v>
      </c>
      <c r="B2515" s="526" t="s">
        <v>6057</v>
      </c>
      <c r="C2515" s="527">
        <v>262.0</v>
      </c>
      <c r="D2515" s="527">
        <v>870.64</v>
      </c>
      <c r="E2515" s="528">
        <v>3.3231</v>
      </c>
      <c r="F2515" s="36" t="s">
        <v>7798</v>
      </c>
      <c r="G2515" s="125" t="s">
        <v>913</v>
      </c>
      <c r="H2515" s="125" t="s">
        <v>7801</v>
      </c>
      <c r="I2515" t="s">
        <v>356</v>
      </c>
    </row>
    <row r="2516">
      <c r="A2516" s="125" t="s">
        <v>6060</v>
      </c>
      <c r="B2516" s="526" t="s">
        <v>6059</v>
      </c>
      <c r="C2516" s="527">
        <v>0.0</v>
      </c>
      <c r="D2516" s="527">
        <v>0.0</v>
      </c>
      <c r="F2516" s="36" t="s">
        <v>7798</v>
      </c>
      <c r="G2516" s="125" t="s">
        <v>893</v>
      </c>
      <c r="H2516" s="125" t="s">
        <v>7801</v>
      </c>
      <c r="I2516" t="s">
        <v>356</v>
      </c>
    </row>
    <row r="2517">
      <c r="A2517" s="125" t="s">
        <v>6062</v>
      </c>
      <c r="B2517" s="526" t="s">
        <v>6061</v>
      </c>
      <c r="C2517" s="527">
        <v>30.0</v>
      </c>
      <c r="D2517" s="527">
        <v>99.84</v>
      </c>
      <c r="E2517" s="528">
        <v>3.328</v>
      </c>
      <c r="F2517" s="36" t="s">
        <v>7798</v>
      </c>
      <c r="G2517" s="125" t="s">
        <v>913</v>
      </c>
      <c r="H2517" s="125" t="s">
        <v>7801</v>
      </c>
      <c r="I2517" t="s">
        <v>356</v>
      </c>
    </row>
    <row r="2518">
      <c r="A2518" s="125" t="s">
        <v>6066</v>
      </c>
      <c r="B2518" s="526" t="s">
        <v>6065</v>
      </c>
      <c r="C2518" s="527">
        <v>0.0</v>
      </c>
      <c r="D2518" s="527">
        <v>0.0</v>
      </c>
      <c r="F2518" s="36" t="s">
        <v>7798</v>
      </c>
      <c r="G2518" s="125" t="s">
        <v>913</v>
      </c>
      <c r="H2518" s="125" t="s">
        <v>7801</v>
      </c>
      <c r="I2518" t="s">
        <v>356</v>
      </c>
    </row>
    <row r="2519">
      <c r="A2519" s="125" t="s">
        <v>357</v>
      </c>
      <c r="B2519" s="526" t="s">
        <v>358</v>
      </c>
      <c r="C2519" s="527">
        <v>775.0</v>
      </c>
      <c r="D2519" s="527">
        <v>2615.16</v>
      </c>
      <c r="E2519" s="528">
        <v>3.3744</v>
      </c>
      <c r="F2519" s="36" t="s">
        <v>7798</v>
      </c>
      <c r="G2519" s="125" t="s">
        <v>913</v>
      </c>
      <c r="H2519" s="125" t="s">
        <v>569</v>
      </c>
      <c r="I2519" t="s">
        <v>356</v>
      </c>
    </row>
    <row r="2520">
      <c r="A2520" s="125" t="s">
        <v>6068</v>
      </c>
      <c r="B2520" s="526" t="s">
        <v>6067</v>
      </c>
      <c r="C2520" s="527">
        <v>81.0</v>
      </c>
      <c r="D2520" s="527">
        <v>251.29</v>
      </c>
      <c r="E2520" s="528">
        <v>3.1023</v>
      </c>
      <c r="F2520" s="36" t="s">
        <v>7798</v>
      </c>
      <c r="G2520" s="125" t="s">
        <v>913</v>
      </c>
      <c r="H2520" s="125" t="s">
        <v>7801</v>
      </c>
      <c r="I2520" t="s">
        <v>356</v>
      </c>
    </row>
    <row r="2521">
      <c r="A2521" s="125" t="s">
        <v>6070</v>
      </c>
      <c r="B2521" s="526" t="s">
        <v>6069</v>
      </c>
      <c r="C2521" s="527">
        <v>163.0</v>
      </c>
      <c r="D2521" s="527">
        <v>541.72</v>
      </c>
      <c r="E2521" s="528">
        <v>3.3234</v>
      </c>
      <c r="F2521" s="36" t="s">
        <v>7798</v>
      </c>
      <c r="G2521" s="125" t="s">
        <v>913</v>
      </c>
      <c r="H2521" s="125" t="s">
        <v>7801</v>
      </c>
      <c r="I2521" t="s">
        <v>356</v>
      </c>
    </row>
    <row r="2522">
      <c r="A2522" s="125" t="s">
        <v>6072</v>
      </c>
      <c r="B2522" s="526" t="s">
        <v>6071</v>
      </c>
      <c r="C2522" s="527">
        <v>0.0</v>
      </c>
      <c r="D2522" s="527">
        <v>0.0</v>
      </c>
      <c r="F2522" s="36" t="s">
        <v>7798</v>
      </c>
      <c r="G2522" s="125" t="s">
        <v>893</v>
      </c>
      <c r="H2522" s="125" t="s">
        <v>7801</v>
      </c>
      <c r="I2522" t="s">
        <v>356</v>
      </c>
    </row>
    <row r="2523">
      <c r="A2523" s="125" t="s">
        <v>6074</v>
      </c>
      <c r="B2523" s="526" t="s">
        <v>6073</v>
      </c>
      <c r="C2523" s="527">
        <v>338.0</v>
      </c>
      <c r="D2523" s="527">
        <v>1123.16</v>
      </c>
      <c r="E2523" s="528">
        <v>3.323</v>
      </c>
      <c r="F2523" s="36" t="s">
        <v>7798</v>
      </c>
      <c r="G2523" s="125" t="s">
        <v>913</v>
      </c>
      <c r="H2523" s="125" t="s">
        <v>7808</v>
      </c>
      <c r="I2523" t="s">
        <v>356</v>
      </c>
    </row>
    <row r="2524">
      <c r="A2524" s="125" t="s">
        <v>6076</v>
      </c>
      <c r="B2524" s="526" t="s">
        <v>6075</v>
      </c>
      <c r="C2524" s="527">
        <v>341.0</v>
      </c>
      <c r="D2524" s="527">
        <v>1199.3</v>
      </c>
      <c r="E2524" s="528">
        <v>3.517</v>
      </c>
      <c r="F2524" s="36" t="s">
        <v>7798</v>
      </c>
      <c r="G2524" s="125" t="s">
        <v>913</v>
      </c>
      <c r="H2524" s="125" t="s">
        <v>7801</v>
      </c>
      <c r="I2524" t="s">
        <v>356</v>
      </c>
    </row>
    <row r="2525">
      <c r="A2525" s="125" t="s">
        <v>6078</v>
      </c>
      <c r="B2525" s="526" t="s">
        <v>6077</v>
      </c>
      <c r="C2525" s="527">
        <v>233.0</v>
      </c>
      <c r="D2525" s="527">
        <v>786.12</v>
      </c>
      <c r="E2525" s="528">
        <v>3.3739</v>
      </c>
      <c r="F2525" s="36" t="s">
        <v>7798</v>
      </c>
      <c r="G2525" s="125" t="s">
        <v>913</v>
      </c>
      <c r="H2525" s="125" t="s">
        <v>7808</v>
      </c>
      <c r="I2525" t="s">
        <v>356</v>
      </c>
    </row>
    <row r="2526">
      <c r="A2526" s="125" t="s">
        <v>6082</v>
      </c>
      <c r="B2526" s="526" t="s">
        <v>6081</v>
      </c>
      <c r="C2526" s="527">
        <v>0.0</v>
      </c>
      <c r="D2526" s="527">
        <v>0.0</v>
      </c>
      <c r="F2526" s="36" t="s">
        <v>7798</v>
      </c>
      <c r="G2526" s="125" t="s">
        <v>893</v>
      </c>
      <c r="H2526" s="125" t="s">
        <v>7799</v>
      </c>
      <c r="I2526" t="s">
        <v>7813</v>
      </c>
    </row>
    <row r="2527">
      <c r="A2527" s="125" t="s">
        <v>6084</v>
      </c>
      <c r="B2527" s="526" t="s">
        <v>6083</v>
      </c>
      <c r="C2527" s="527">
        <v>0.0</v>
      </c>
      <c r="D2527" s="527">
        <v>0.0</v>
      </c>
      <c r="F2527" s="36" t="s">
        <v>7798</v>
      </c>
      <c r="G2527" s="125" t="s">
        <v>893</v>
      </c>
      <c r="H2527" s="125" t="s">
        <v>7799</v>
      </c>
      <c r="I2527" t="s">
        <v>7813</v>
      </c>
    </row>
    <row r="2528">
      <c r="A2528" s="125" t="s">
        <v>6086</v>
      </c>
      <c r="B2528" s="526" t="s">
        <v>6085</v>
      </c>
      <c r="C2528" s="527">
        <v>0.0</v>
      </c>
      <c r="D2528" s="527">
        <v>0.0</v>
      </c>
      <c r="F2528" s="36" t="s">
        <v>7798</v>
      </c>
      <c r="G2528" s="125" t="s">
        <v>893</v>
      </c>
      <c r="H2528" s="125" t="s">
        <v>7799</v>
      </c>
      <c r="I2528" t="s">
        <v>7813</v>
      </c>
    </row>
    <row r="2529">
      <c r="A2529" s="125" t="s">
        <v>6088</v>
      </c>
      <c r="B2529" s="526" t="s">
        <v>6087</v>
      </c>
      <c r="C2529" s="527">
        <v>233.0</v>
      </c>
      <c r="D2529" s="527">
        <v>771.03</v>
      </c>
      <c r="E2529" s="528">
        <v>3.3091</v>
      </c>
      <c r="F2529" s="36" t="s">
        <v>7798</v>
      </c>
      <c r="G2529" s="125" t="s">
        <v>913</v>
      </c>
      <c r="H2529" s="125" t="s">
        <v>7808</v>
      </c>
      <c r="I2529" t="s">
        <v>356</v>
      </c>
    </row>
    <row r="2530">
      <c r="A2530" s="125" t="s">
        <v>6090</v>
      </c>
      <c r="B2530" s="526" t="s">
        <v>6089</v>
      </c>
      <c r="C2530" s="527">
        <v>776.0</v>
      </c>
      <c r="D2530" s="527">
        <v>2571.97</v>
      </c>
      <c r="E2530" s="528">
        <v>3.3144</v>
      </c>
      <c r="F2530" s="36" t="s">
        <v>7798</v>
      </c>
      <c r="G2530" s="125" t="s">
        <v>913</v>
      </c>
      <c r="H2530" s="125" t="s">
        <v>7801</v>
      </c>
      <c r="I2530" t="s">
        <v>356</v>
      </c>
    </row>
    <row r="2531">
      <c r="A2531" s="125" t="s">
        <v>584</v>
      </c>
      <c r="B2531" s="526" t="s">
        <v>585</v>
      </c>
      <c r="C2531" s="527">
        <v>330.0</v>
      </c>
      <c r="D2531" s="527">
        <v>1113.53</v>
      </c>
      <c r="E2531" s="528">
        <v>3.3743</v>
      </c>
      <c r="F2531" s="36" t="s">
        <v>7798</v>
      </c>
      <c r="G2531" s="125" t="s">
        <v>913</v>
      </c>
      <c r="H2531" s="125" t="s">
        <v>569</v>
      </c>
      <c r="I2531" t="s">
        <v>356</v>
      </c>
    </row>
    <row r="2532">
      <c r="A2532" s="125" t="s">
        <v>6092</v>
      </c>
      <c r="B2532" s="526" t="s">
        <v>6091</v>
      </c>
      <c r="C2532" s="527">
        <v>80.0</v>
      </c>
      <c r="D2532" s="527">
        <v>264.6</v>
      </c>
      <c r="E2532" s="528">
        <v>3.3075</v>
      </c>
      <c r="F2532" s="36" t="s">
        <v>7798</v>
      </c>
      <c r="G2532" s="125" t="s">
        <v>913</v>
      </c>
      <c r="H2532" s="125" t="s">
        <v>7801</v>
      </c>
      <c r="I2532" t="s">
        <v>356</v>
      </c>
    </row>
    <row r="2533">
      <c r="A2533" s="125" t="s">
        <v>6094</v>
      </c>
      <c r="B2533" s="526" t="s">
        <v>6093</v>
      </c>
      <c r="C2533" s="527">
        <v>346.0</v>
      </c>
      <c r="D2533" s="527">
        <v>1180.32</v>
      </c>
      <c r="E2533" s="528">
        <v>3.4113</v>
      </c>
      <c r="F2533" s="36" t="s">
        <v>7798</v>
      </c>
      <c r="G2533" s="125" t="s">
        <v>913</v>
      </c>
      <c r="H2533" s="125" t="s">
        <v>7801</v>
      </c>
      <c r="I2533" t="s">
        <v>356</v>
      </c>
    </row>
    <row r="2534">
      <c r="A2534" s="125" t="s">
        <v>6096</v>
      </c>
      <c r="B2534" s="526" t="s">
        <v>6095</v>
      </c>
      <c r="C2534" s="527">
        <v>0.0</v>
      </c>
      <c r="D2534" s="527">
        <v>0.0</v>
      </c>
      <c r="F2534" s="36" t="s">
        <v>7798</v>
      </c>
      <c r="G2534" s="125" t="s">
        <v>893</v>
      </c>
      <c r="H2534" s="125" t="s">
        <v>7799</v>
      </c>
      <c r="I2534" t="s">
        <v>7812</v>
      </c>
    </row>
    <row r="2535">
      <c r="A2535" s="125" t="s">
        <v>6098</v>
      </c>
      <c r="B2535" s="526" t="s">
        <v>6097</v>
      </c>
      <c r="C2535" s="527">
        <v>0.0</v>
      </c>
      <c r="D2535" s="527">
        <v>0.0</v>
      </c>
      <c r="F2535" s="36" t="s">
        <v>7798</v>
      </c>
      <c r="G2535" s="125" t="s">
        <v>893</v>
      </c>
      <c r="H2535" s="125" t="s">
        <v>7799</v>
      </c>
      <c r="I2535" t="s">
        <v>7812</v>
      </c>
    </row>
    <row r="2536">
      <c r="A2536" s="125" t="s">
        <v>6100</v>
      </c>
      <c r="B2536" s="526" t="s">
        <v>6099</v>
      </c>
      <c r="C2536" s="527">
        <v>1.0</v>
      </c>
      <c r="D2536" s="527">
        <v>154.96</v>
      </c>
      <c r="E2536" s="528">
        <v>154.96</v>
      </c>
      <c r="F2536" s="36" t="s">
        <v>7798</v>
      </c>
      <c r="G2536" s="125" t="s">
        <v>913</v>
      </c>
      <c r="H2536" s="125" t="s">
        <v>7808</v>
      </c>
      <c r="I2536" t="s">
        <v>356</v>
      </c>
    </row>
    <row r="2537">
      <c r="A2537" s="125" t="s">
        <v>6110</v>
      </c>
      <c r="B2537" s="526" t="s">
        <v>6109</v>
      </c>
      <c r="C2537" s="527">
        <v>3.0</v>
      </c>
      <c r="D2537" s="527">
        <v>108.15</v>
      </c>
      <c r="E2537" s="528">
        <v>36.05</v>
      </c>
      <c r="F2537" s="36" t="s">
        <v>7798</v>
      </c>
      <c r="G2537" s="125" t="s">
        <v>913</v>
      </c>
      <c r="H2537" s="125" t="s">
        <v>7801</v>
      </c>
      <c r="I2537" t="s">
        <v>7847</v>
      </c>
    </row>
    <row r="2538">
      <c r="A2538" s="125" t="s">
        <v>6112</v>
      </c>
      <c r="B2538" s="526" t="s">
        <v>6111</v>
      </c>
      <c r="C2538" s="527">
        <v>3.0</v>
      </c>
      <c r="D2538" s="527">
        <v>13.5</v>
      </c>
      <c r="E2538" s="528">
        <v>4.5</v>
      </c>
      <c r="F2538" s="36" t="s">
        <v>7798</v>
      </c>
      <c r="G2538" s="125" t="s">
        <v>913</v>
      </c>
      <c r="I2538" t="s">
        <v>45</v>
      </c>
    </row>
    <row r="2539">
      <c r="A2539" s="125" t="s">
        <v>6114</v>
      </c>
      <c r="B2539" s="526" t="s">
        <v>6113</v>
      </c>
      <c r="C2539" s="527">
        <v>500.0</v>
      </c>
      <c r="D2539" s="527">
        <v>193.95</v>
      </c>
      <c r="E2539" s="528">
        <v>0.3879</v>
      </c>
      <c r="F2539" s="36" t="s">
        <v>7827</v>
      </c>
      <c r="G2539" s="125" t="s">
        <v>913</v>
      </c>
      <c r="H2539" s="125" t="s">
        <v>7840</v>
      </c>
    </row>
    <row r="2540">
      <c r="A2540" s="125" t="s">
        <v>6116</v>
      </c>
      <c r="B2540" s="526" t="s">
        <v>6115</v>
      </c>
      <c r="C2540" s="527">
        <v>500.0</v>
      </c>
      <c r="D2540" s="527">
        <v>193.95</v>
      </c>
      <c r="E2540" s="528">
        <v>0.3879</v>
      </c>
      <c r="F2540" s="36" t="s">
        <v>7827</v>
      </c>
      <c r="G2540" s="125" t="s">
        <v>913</v>
      </c>
      <c r="H2540" s="125" t="s">
        <v>7840</v>
      </c>
    </row>
    <row r="2541">
      <c r="A2541" s="125" t="s">
        <v>6118</v>
      </c>
      <c r="B2541" s="526" t="s">
        <v>6117</v>
      </c>
      <c r="C2541" s="527">
        <v>500.0</v>
      </c>
      <c r="D2541" s="527">
        <v>193.95</v>
      </c>
      <c r="E2541" s="528">
        <v>0.3879</v>
      </c>
      <c r="F2541" s="36" t="s">
        <v>7827</v>
      </c>
      <c r="G2541" s="125" t="s">
        <v>913</v>
      </c>
      <c r="H2541" s="125" t="s">
        <v>7840</v>
      </c>
    </row>
    <row r="2542">
      <c r="A2542" s="125" t="s">
        <v>6120</v>
      </c>
      <c r="B2542" s="526" t="s">
        <v>6119</v>
      </c>
      <c r="C2542" s="527">
        <v>500.0</v>
      </c>
      <c r="D2542" s="527">
        <v>193.95</v>
      </c>
      <c r="E2542" s="528">
        <v>0.3879</v>
      </c>
      <c r="F2542" s="36" t="s">
        <v>7827</v>
      </c>
      <c r="G2542" s="125" t="s">
        <v>913</v>
      </c>
      <c r="H2542" s="125" t="s">
        <v>7840</v>
      </c>
    </row>
    <row r="2543">
      <c r="A2543" s="125" t="s">
        <v>6122</v>
      </c>
      <c r="B2543" s="526" t="s">
        <v>6121</v>
      </c>
      <c r="C2543" s="527">
        <v>500.0</v>
      </c>
      <c r="D2543" s="527">
        <v>193.95</v>
      </c>
      <c r="E2543" s="528">
        <v>0.3879</v>
      </c>
      <c r="F2543" s="36" t="s">
        <v>7827</v>
      </c>
      <c r="G2543" s="125" t="s">
        <v>913</v>
      </c>
      <c r="H2543" s="125" t="s">
        <v>7840</v>
      </c>
    </row>
    <row r="2544">
      <c r="A2544" s="125" t="s">
        <v>6124</v>
      </c>
      <c r="B2544" s="526" t="s">
        <v>6123</v>
      </c>
      <c r="C2544" s="527">
        <v>500.0</v>
      </c>
      <c r="D2544" s="527">
        <v>193.95</v>
      </c>
      <c r="E2544" s="528">
        <v>0.3879</v>
      </c>
      <c r="F2544" s="36" t="s">
        <v>7827</v>
      </c>
      <c r="G2544" s="125" t="s">
        <v>913</v>
      </c>
      <c r="H2544" s="125" t="s">
        <v>7840</v>
      </c>
    </row>
    <row r="2545">
      <c r="A2545" s="125" t="s">
        <v>6126</v>
      </c>
      <c r="B2545" s="526" t="s">
        <v>6125</v>
      </c>
      <c r="C2545" s="527">
        <v>500.0</v>
      </c>
      <c r="D2545" s="527">
        <v>193.95</v>
      </c>
      <c r="E2545" s="528">
        <v>0.3879</v>
      </c>
      <c r="F2545" s="36" t="s">
        <v>7827</v>
      </c>
      <c r="G2545" s="125" t="s">
        <v>913</v>
      </c>
      <c r="H2545" s="125" t="s">
        <v>7840</v>
      </c>
    </row>
    <row r="2546">
      <c r="A2546" s="125" t="s">
        <v>6128</v>
      </c>
      <c r="B2546" s="526" t="s">
        <v>6127</v>
      </c>
      <c r="C2546" s="527">
        <v>500.0</v>
      </c>
      <c r="D2546" s="527">
        <v>193.95</v>
      </c>
      <c r="E2546" s="528">
        <v>0.3879</v>
      </c>
      <c r="F2546" s="36" t="s">
        <v>7827</v>
      </c>
      <c r="G2546" s="125" t="s">
        <v>913</v>
      </c>
      <c r="H2546" s="125" t="s">
        <v>7840</v>
      </c>
    </row>
    <row r="2547">
      <c r="A2547" s="125" t="s">
        <v>6130</v>
      </c>
      <c r="B2547" s="526" t="s">
        <v>6129</v>
      </c>
      <c r="C2547" s="527">
        <v>500.0</v>
      </c>
      <c r="D2547" s="527">
        <v>193.95</v>
      </c>
      <c r="E2547" s="528">
        <v>0.3879</v>
      </c>
      <c r="F2547" s="36" t="s">
        <v>7827</v>
      </c>
      <c r="G2547" s="125" t="s">
        <v>913</v>
      </c>
      <c r="H2547" s="125" t="s">
        <v>7840</v>
      </c>
    </row>
    <row r="2548">
      <c r="A2548" s="125" t="s">
        <v>6133</v>
      </c>
      <c r="B2548" s="526" t="s">
        <v>6132</v>
      </c>
      <c r="C2548" s="527">
        <v>0.0</v>
      </c>
      <c r="D2548" s="527">
        <v>0.0</v>
      </c>
      <c r="F2548" s="36" t="s">
        <v>7798</v>
      </c>
      <c r="G2548" s="125" t="s">
        <v>893</v>
      </c>
      <c r="H2548" s="125" t="s">
        <v>7799</v>
      </c>
      <c r="I2548" t="s">
        <v>7842</v>
      </c>
    </row>
    <row r="2549">
      <c r="A2549" s="125" t="s">
        <v>6135</v>
      </c>
      <c r="B2549" s="526" t="s">
        <v>6134</v>
      </c>
      <c r="C2549" s="527">
        <v>0.0</v>
      </c>
      <c r="D2549" s="527">
        <v>0.0</v>
      </c>
      <c r="F2549" s="36" t="s">
        <v>7798</v>
      </c>
      <c r="G2549" s="125" t="s">
        <v>893</v>
      </c>
      <c r="H2549" s="125" t="s">
        <v>7799</v>
      </c>
      <c r="I2549" t="s">
        <v>7826</v>
      </c>
    </row>
    <row r="2550">
      <c r="A2550" s="125" t="s">
        <v>6137</v>
      </c>
      <c r="B2550" s="526" t="s">
        <v>6136</v>
      </c>
      <c r="C2550" s="527">
        <v>0.0</v>
      </c>
      <c r="D2550" s="527">
        <v>0.0</v>
      </c>
      <c r="F2550" s="36" t="s">
        <v>7798</v>
      </c>
      <c r="G2550" s="125" t="s">
        <v>893</v>
      </c>
      <c r="H2550" s="125" t="s">
        <v>7799</v>
      </c>
      <c r="I2550" t="s">
        <v>45</v>
      </c>
    </row>
    <row r="2551">
      <c r="A2551" s="125" t="s">
        <v>6138</v>
      </c>
      <c r="B2551" s="526">
        <v>32719.0</v>
      </c>
      <c r="C2551" s="527">
        <v>0.0</v>
      </c>
      <c r="D2551" s="527">
        <v>0.0</v>
      </c>
      <c r="F2551" s="36" t="s">
        <v>7798</v>
      </c>
      <c r="G2551" s="125" t="s">
        <v>893</v>
      </c>
      <c r="H2551" s="125" t="s">
        <v>7799</v>
      </c>
      <c r="I2551" t="s">
        <v>7838</v>
      </c>
    </row>
    <row r="2552">
      <c r="A2552" s="125" t="s">
        <v>6139</v>
      </c>
      <c r="B2552" s="526">
        <v>32701.0</v>
      </c>
      <c r="C2552" s="527">
        <v>0.0</v>
      </c>
      <c r="D2552" s="527">
        <v>0.0</v>
      </c>
      <c r="F2552" s="36" t="s">
        <v>7798</v>
      </c>
      <c r="G2552" s="125" t="s">
        <v>893</v>
      </c>
      <c r="H2552" s="125" t="s">
        <v>7799</v>
      </c>
      <c r="I2552" t="s">
        <v>7838</v>
      </c>
    </row>
    <row r="2553">
      <c r="A2553" s="125" t="s">
        <v>6140</v>
      </c>
      <c r="B2553" s="526">
        <v>32702.0</v>
      </c>
      <c r="C2553" s="527">
        <v>0.0</v>
      </c>
      <c r="D2553" s="527">
        <v>0.0</v>
      </c>
      <c r="F2553" s="36" t="s">
        <v>7798</v>
      </c>
      <c r="G2553" s="125" t="s">
        <v>893</v>
      </c>
      <c r="H2553" s="125" t="s">
        <v>7799</v>
      </c>
      <c r="I2553" t="s">
        <v>7838</v>
      </c>
    </row>
    <row r="2554">
      <c r="A2554" s="125" t="s">
        <v>6141</v>
      </c>
      <c r="B2554" s="526">
        <v>32720.0</v>
      </c>
      <c r="C2554" s="527">
        <v>0.0</v>
      </c>
      <c r="D2554" s="527">
        <v>0.0</v>
      </c>
      <c r="F2554" s="36" t="s">
        <v>7798</v>
      </c>
      <c r="G2554" s="125" t="s">
        <v>893</v>
      </c>
      <c r="H2554" s="125" t="s">
        <v>7799</v>
      </c>
      <c r="I2554" t="s">
        <v>7838</v>
      </c>
    </row>
    <row r="2555">
      <c r="A2555" s="125" t="s">
        <v>6142</v>
      </c>
      <c r="B2555" s="526">
        <v>32703.0</v>
      </c>
      <c r="C2555" s="527">
        <v>0.0</v>
      </c>
      <c r="D2555" s="527">
        <v>0.0</v>
      </c>
      <c r="F2555" s="36" t="s">
        <v>7798</v>
      </c>
      <c r="G2555" s="125" t="s">
        <v>893</v>
      </c>
      <c r="H2555" s="125" t="s">
        <v>7799</v>
      </c>
      <c r="I2555" t="s">
        <v>7838</v>
      </c>
    </row>
    <row r="2556">
      <c r="A2556" s="125" t="s">
        <v>6143</v>
      </c>
      <c r="B2556" s="526">
        <v>32722.0</v>
      </c>
      <c r="C2556" s="527">
        <v>0.0</v>
      </c>
      <c r="D2556" s="527">
        <v>0.0</v>
      </c>
      <c r="F2556" s="36" t="s">
        <v>7798</v>
      </c>
      <c r="G2556" s="125" t="s">
        <v>893</v>
      </c>
      <c r="H2556" s="125" t="s">
        <v>7799</v>
      </c>
      <c r="I2556" t="s">
        <v>7838</v>
      </c>
    </row>
    <row r="2557">
      <c r="A2557" s="125" t="s">
        <v>6144</v>
      </c>
      <c r="B2557" s="526">
        <v>32723.0</v>
      </c>
      <c r="C2557" s="527">
        <v>0.0</v>
      </c>
      <c r="D2557" s="527">
        <v>0.0</v>
      </c>
      <c r="F2557" s="36" t="s">
        <v>7798</v>
      </c>
      <c r="G2557" s="125" t="s">
        <v>893</v>
      </c>
      <c r="H2557" s="125" t="s">
        <v>7799</v>
      </c>
      <c r="I2557" t="s">
        <v>7838</v>
      </c>
    </row>
    <row r="2558">
      <c r="A2558" s="125" t="s">
        <v>6145</v>
      </c>
      <c r="B2558" s="526">
        <v>32705.0</v>
      </c>
      <c r="C2558" s="527">
        <v>0.0</v>
      </c>
      <c r="D2558" s="527">
        <v>0.0</v>
      </c>
      <c r="F2558" s="36" t="s">
        <v>7798</v>
      </c>
      <c r="G2558" s="125" t="s">
        <v>893</v>
      </c>
      <c r="H2558" s="125" t="s">
        <v>7799</v>
      </c>
      <c r="I2558" t="s">
        <v>7838</v>
      </c>
    </row>
    <row r="2559">
      <c r="A2559" s="125" t="s">
        <v>6146</v>
      </c>
      <c r="B2559" s="526">
        <v>32724.0</v>
      </c>
      <c r="C2559" s="527">
        <v>0.0</v>
      </c>
      <c r="D2559" s="527">
        <v>0.0</v>
      </c>
      <c r="F2559" s="36" t="s">
        <v>7798</v>
      </c>
      <c r="G2559" s="125" t="s">
        <v>893</v>
      </c>
      <c r="H2559" s="125" t="s">
        <v>7799</v>
      </c>
      <c r="I2559" t="s">
        <v>7838</v>
      </c>
    </row>
    <row r="2560">
      <c r="A2560" s="125" t="s">
        <v>6147</v>
      </c>
      <c r="B2560" s="526">
        <v>32708.0</v>
      </c>
      <c r="C2560" s="527">
        <v>0.0</v>
      </c>
      <c r="D2560" s="527">
        <v>0.0</v>
      </c>
      <c r="F2560" s="36" t="s">
        <v>7798</v>
      </c>
      <c r="G2560" s="125" t="s">
        <v>893</v>
      </c>
      <c r="H2560" s="125" t="s">
        <v>7799</v>
      </c>
      <c r="I2560" t="s">
        <v>7838</v>
      </c>
    </row>
    <row r="2561">
      <c r="A2561" s="125" t="s">
        <v>6148</v>
      </c>
      <c r="B2561" s="526">
        <v>32725.0</v>
      </c>
      <c r="C2561" s="527">
        <v>0.0</v>
      </c>
      <c r="D2561" s="527">
        <v>0.0</v>
      </c>
      <c r="F2561" s="36" t="s">
        <v>7798</v>
      </c>
      <c r="G2561" s="125" t="s">
        <v>893</v>
      </c>
      <c r="H2561" s="125" t="s">
        <v>7799</v>
      </c>
      <c r="I2561" t="s">
        <v>7838</v>
      </c>
    </row>
    <row r="2562">
      <c r="A2562" s="125" t="s">
        <v>6149</v>
      </c>
      <c r="B2562" s="526">
        <v>32726.0</v>
      </c>
      <c r="C2562" s="527">
        <v>0.0</v>
      </c>
      <c r="D2562" s="527">
        <v>0.0</v>
      </c>
      <c r="F2562" s="36" t="s">
        <v>7798</v>
      </c>
      <c r="G2562" s="125" t="s">
        <v>893</v>
      </c>
      <c r="H2562" s="125" t="s">
        <v>7799</v>
      </c>
      <c r="I2562" t="s">
        <v>7838</v>
      </c>
    </row>
    <row r="2563">
      <c r="A2563" s="125" t="s">
        <v>6150</v>
      </c>
      <c r="B2563" s="526">
        <v>32727.0</v>
      </c>
      <c r="C2563" s="527">
        <v>0.0</v>
      </c>
      <c r="D2563" s="527">
        <v>0.0</v>
      </c>
      <c r="F2563" s="36" t="s">
        <v>7798</v>
      </c>
      <c r="G2563" s="125" t="s">
        <v>893</v>
      </c>
      <c r="H2563" s="125" t="s">
        <v>7799</v>
      </c>
      <c r="I2563" t="s">
        <v>7838</v>
      </c>
    </row>
    <row r="2564">
      <c r="A2564" s="125" t="s">
        <v>6151</v>
      </c>
      <c r="B2564" s="526">
        <v>32728.0</v>
      </c>
      <c r="C2564" s="527">
        <v>0.0</v>
      </c>
      <c r="D2564" s="527">
        <v>0.0</v>
      </c>
      <c r="F2564" s="36" t="s">
        <v>7798</v>
      </c>
      <c r="G2564" s="125" t="s">
        <v>893</v>
      </c>
      <c r="H2564" s="125" t="s">
        <v>7799</v>
      </c>
      <c r="I2564" t="s">
        <v>7838</v>
      </c>
    </row>
    <row r="2565">
      <c r="A2565" s="125" t="s">
        <v>6152</v>
      </c>
      <c r="B2565" s="526">
        <v>32709.0</v>
      </c>
      <c r="C2565" s="527">
        <v>0.0</v>
      </c>
      <c r="D2565" s="527">
        <v>0.0</v>
      </c>
      <c r="F2565" s="36" t="s">
        <v>7798</v>
      </c>
      <c r="G2565" s="125" t="s">
        <v>893</v>
      </c>
      <c r="H2565" s="125" t="s">
        <v>7799</v>
      </c>
      <c r="I2565" t="s">
        <v>7838</v>
      </c>
    </row>
    <row r="2566">
      <c r="A2566" s="125" t="s">
        <v>6153</v>
      </c>
      <c r="B2566" s="526">
        <v>32710.0</v>
      </c>
      <c r="C2566" s="527">
        <v>0.0</v>
      </c>
      <c r="D2566" s="527">
        <v>0.0</v>
      </c>
      <c r="F2566" s="36" t="s">
        <v>7798</v>
      </c>
      <c r="G2566" s="125" t="s">
        <v>893</v>
      </c>
      <c r="H2566" s="125" t="s">
        <v>7799</v>
      </c>
      <c r="I2566" t="s">
        <v>7838</v>
      </c>
    </row>
    <row r="2567">
      <c r="A2567" s="125" t="s">
        <v>6154</v>
      </c>
      <c r="B2567" s="526">
        <v>32729.0</v>
      </c>
      <c r="C2567" s="527">
        <v>0.0</v>
      </c>
      <c r="D2567" s="527">
        <v>0.0</v>
      </c>
      <c r="F2567" s="36" t="s">
        <v>7798</v>
      </c>
      <c r="G2567" s="125" t="s">
        <v>893</v>
      </c>
      <c r="H2567" s="125" t="s">
        <v>7799</v>
      </c>
      <c r="I2567" t="s">
        <v>7838</v>
      </c>
    </row>
    <row r="2568">
      <c r="A2568" s="125" t="s">
        <v>6155</v>
      </c>
      <c r="B2568" s="526">
        <v>32711.0</v>
      </c>
      <c r="C2568" s="527">
        <v>0.0</v>
      </c>
      <c r="D2568" s="527">
        <v>0.0</v>
      </c>
      <c r="F2568" s="36" t="s">
        <v>7798</v>
      </c>
      <c r="G2568" s="125" t="s">
        <v>893</v>
      </c>
      <c r="H2568" s="125" t="s">
        <v>7799</v>
      </c>
      <c r="I2568" t="s">
        <v>7838</v>
      </c>
    </row>
    <row r="2569">
      <c r="A2569" s="125" t="s">
        <v>6157</v>
      </c>
      <c r="B2569" s="526" t="s">
        <v>6156</v>
      </c>
      <c r="C2569" s="527">
        <v>0.0</v>
      </c>
      <c r="D2569" s="527">
        <v>0.0</v>
      </c>
      <c r="F2569" s="36" t="s">
        <v>7807</v>
      </c>
      <c r="G2569" s="125" t="s">
        <v>893</v>
      </c>
      <c r="H2569" s="125" t="s">
        <v>7799</v>
      </c>
    </row>
    <row r="2570">
      <c r="A2570" s="125" t="s">
        <v>6158</v>
      </c>
      <c r="B2570" s="526">
        <v>32730.0</v>
      </c>
      <c r="C2570" s="527">
        <v>0.0</v>
      </c>
      <c r="D2570" s="527">
        <v>0.0</v>
      </c>
      <c r="F2570" s="36" t="s">
        <v>7798</v>
      </c>
      <c r="G2570" s="125" t="s">
        <v>893</v>
      </c>
      <c r="H2570" s="125" t="s">
        <v>7799</v>
      </c>
      <c r="I2570" t="s">
        <v>7838</v>
      </c>
    </row>
    <row r="2571">
      <c r="A2571" s="125" t="s">
        <v>6160</v>
      </c>
      <c r="B2571" s="526">
        <v>32714.0</v>
      </c>
      <c r="C2571" s="527">
        <v>0.0</v>
      </c>
      <c r="D2571" s="527">
        <v>0.0</v>
      </c>
      <c r="F2571" s="36" t="s">
        <v>7798</v>
      </c>
      <c r="G2571" s="125" t="s">
        <v>893</v>
      </c>
      <c r="H2571" s="125" t="s">
        <v>7799</v>
      </c>
      <c r="I2571" t="s">
        <v>7838</v>
      </c>
    </row>
    <row r="2572">
      <c r="A2572" s="125" t="s">
        <v>6161</v>
      </c>
      <c r="B2572" s="526">
        <v>32721.0</v>
      </c>
      <c r="C2572" s="527">
        <v>0.0</v>
      </c>
      <c r="D2572" s="527">
        <v>0.0</v>
      </c>
      <c r="F2572" s="36" t="s">
        <v>7798</v>
      </c>
      <c r="G2572" s="125" t="s">
        <v>893</v>
      </c>
      <c r="H2572" s="125" t="s">
        <v>7799</v>
      </c>
      <c r="I2572" t="s">
        <v>7838</v>
      </c>
    </row>
    <row r="2573">
      <c r="A2573" s="125" t="s">
        <v>6162</v>
      </c>
      <c r="B2573" s="526">
        <v>32718.0</v>
      </c>
      <c r="C2573" s="527">
        <v>0.0</v>
      </c>
      <c r="D2573" s="527">
        <v>0.0</v>
      </c>
      <c r="F2573" s="36" t="s">
        <v>7798</v>
      </c>
      <c r="G2573" s="125" t="s">
        <v>893</v>
      </c>
      <c r="H2573" s="125" t="s">
        <v>7799</v>
      </c>
      <c r="I2573" t="s">
        <v>7838</v>
      </c>
    </row>
    <row r="2574">
      <c r="A2574" s="125" t="s">
        <v>6163</v>
      </c>
      <c r="B2574" s="526">
        <v>32715.0</v>
      </c>
      <c r="C2574" s="527">
        <v>0.0</v>
      </c>
      <c r="D2574" s="527">
        <v>0.0</v>
      </c>
      <c r="F2574" s="36" t="s">
        <v>7798</v>
      </c>
      <c r="G2574" s="125" t="s">
        <v>893</v>
      </c>
      <c r="H2574" s="125" t="s">
        <v>7799</v>
      </c>
      <c r="I2574" t="s">
        <v>7838</v>
      </c>
    </row>
    <row r="2575">
      <c r="A2575" s="125" t="s">
        <v>6164</v>
      </c>
      <c r="B2575" s="526">
        <v>32716.0</v>
      </c>
      <c r="C2575" s="527">
        <v>0.0</v>
      </c>
      <c r="D2575" s="527">
        <v>0.0</v>
      </c>
      <c r="F2575" s="36" t="s">
        <v>7798</v>
      </c>
      <c r="G2575" s="125" t="s">
        <v>893</v>
      </c>
      <c r="H2575" s="125" t="s">
        <v>7799</v>
      </c>
      <c r="I2575" t="s">
        <v>7838</v>
      </c>
    </row>
    <row r="2576">
      <c r="A2576" s="125" t="s">
        <v>6165</v>
      </c>
      <c r="B2576" s="526">
        <v>32731.0</v>
      </c>
      <c r="C2576" s="527">
        <v>0.0</v>
      </c>
      <c r="D2576" s="527">
        <v>0.0</v>
      </c>
      <c r="F2576" s="36" t="s">
        <v>7798</v>
      </c>
      <c r="G2576" s="125" t="s">
        <v>893</v>
      </c>
      <c r="H2576" s="125" t="s">
        <v>7799</v>
      </c>
      <c r="I2576" t="s">
        <v>7838</v>
      </c>
    </row>
    <row r="2577">
      <c r="A2577" s="125" t="s">
        <v>6167</v>
      </c>
      <c r="B2577" s="526" t="s">
        <v>6166</v>
      </c>
      <c r="C2577" s="527">
        <v>0.0</v>
      </c>
      <c r="D2577" s="527">
        <v>0.0</v>
      </c>
      <c r="F2577" s="36" t="s">
        <v>7807</v>
      </c>
      <c r="G2577" s="125" t="s">
        <v>893</v>
      </c>
      <c r="H2577" s="125" t="s">
        <v>7799</v>
      </c>
      <c r="I2577" t="s">
        <v>7838</v>
      </c>
    </row>
    <row r="2578">
      <c r="A2578" s="125" t="s">
        <v>6171</v>
      </c>
      <c r="B2578" s="526" t="s">
        <v>6170</v>
      </c>
      <c r="C2578" s="527">
        <v>1.0</v>
      </c>
      <c r="D2578" s="527">
        <v>78.59</v>
      </c>
      <c r="E2578" s="528">
        <v>78.59</v>
      </c>
      <c r="F2578" s="36" t="s">
        <v>7798</v>
      </c>
      <c r="G2578" s="125" t="s">
        <v>913</v>
      </c>
      <c r="H2578" s="125" t="s">
        <v>7801</v>
      </c>
      <c r="I2578" t="s">
        <v>7851</v>
      </c>
    </row>
    <row r="2579">
      <c r="A2579" s="125" t="s">
        <v>6173</v>
      </c>
      <c r="B2579" s="526" t="s">
        <v>6172</v>
      </c>
      <c r="C2579" s="527">
        <v>0.0</v>
      </c>
      <c r="D2579" s="527">
        <v>0.0</v>
      </c>
      <c r="F2579" s="36" t="s">
        <v>7798</v>
      </c>
      <c r="G2579" s="125" t="s">
        <v>893</v>
      </c>
      <c r="H2579" s="125" t="s">
        <v>7821</v>
      </c>
      <c r="I2579" t="s">
        <v>7851</v>
      </c>
    </row>
    <row r="2580">
      <c r="A2580" s="125" t="s">
        <v>6175</v>
      </c>
      <c r="B2580" s="526" t="s">
        <v>6174</v>
      </c>
      <c r="C2580" s="527">
        <v>0.0</v>
      </c>
      <c r="D2580" s="527">
        <v>0.0</v>
      </c>
      <c r="F2580" s="36" t="s">
        <v>7798</v>
      </c>
      <c r="G2580" s="125" t="s">
        <v>913</v>
      </c>
      <c r="H2580" s="125" t="s">
        <v>7840</v>
      </c>
      <c r="I2580" t="s">
        <v>7817</v>
      </c>
    </row>
    <row r="2581">
      <c r="A2581" s="125" t="s">
        <v>6177</v>
      </c>
      <c r="B2581" s="526" t="s">
        <v>6176</v>
      </c>
      <c r="C2581" s="527">
        <v>0.0</v>
      </c>
      <c r="D2581" s="527">
        <v>0.0</v>
      </c>
      <c r="F2581" s="36" t="s">
        <v>7798</v>
      </c>
      <c r="G2581" s="125" t="s">
        <v>913</v>
      </c>
      <c r="H2581" s="125" t="s">
        <v>7840</v>
      </c>
      <c r="I2581" t="s">
        <v>7817</v>
      </c>
    </row>
    <row r="2582">
      <c r="A2582" s="125" t="s">
        <v>6183</v>
      </c>
      <c r="B2582" s="526" t="s">
        <v>6182</v>
      </c>
      <c r="C2582" s="527">
        <v>0.0</v>
      </c>
      <c r="D2582" s="527">
        <v>0.0</v>
      </c>
      <c r="F2582" s="36" t="s">
        <v>7798</v>
      </c>
      <c r="G2582" s="125" t="s">
        <v>913</v>
      </c>
      <c r="H2582" s="125" t="s">
        <v>7840</v>
      </c>
      <c r="I2582" t="s">
        <v>7817</v>
      </c>
    </row>
    <row r="2583">
      <c r="A2583" s="125" t="s">
        <v>245</v>
      </c>
      <c r="B2583" s="526" t="s">
        <v>246</v>
      </c>
      <c r="C2583" s="527">
        <v>138.0</v>
      </c>
      <c r="D2583" s="527">
        <v>745.6</v>
      </c>
      <c r="E2583" s="528">
        <v>5.4029</v>
      </c>
      <c r="F2583" s="36" t="s">
        <v>7798</v>
      </c>
      <c r="G2583" s="125" t="s">
        <v>913</v>
      </c>
      <c r="H2583" s="125" t="s">
        <v>569</v>
      </c>
      <c r="I2583" t="s">
        <v>241</v>
      </c>
    </row>
    <row r="2584">
      <c r="A2584" s="125" t="s">
        <v>250</v>
      </c>
      <c r="B2584" s="526" t="s">
        <v>251</v>
      </c>
      <c r="C2584" s="527">
        <v>13.0</v>
      </c>
      <c r="D2584" s="527">
        <v>70.62</v>
      </c>
      <c r="E2584" s="528">
        <v>5.4323</v>
      </c>
      <c r="F2584" s="36" t="s">
        <v>7798</v>
      </c>
      <c r="G2584" s="125" t="s">
        <v>913</v>
      </c>
      <c r="H2584" s="125" t="s">
        <v>569</v>
      </c>
      <c r="I2584" t="s">
        <v>241</v>
      </c>
    </row>
    <row r="2585">
      <c r="A2585" s="125" t="s">
        <v>242</v>
      </c>
      <c r="B2585" s="526" t="s">
        <v>243</v>
      </c>
      <c r="C2585" s="527">
        <v>0.0</v>
      </c>
      <c r="D2585" s="527">
        <v>0.0</v>
      </c>
      <c r="F2585" s="36" t="s">
        <v>7798</v>
      </c>
      <c r="G2585" s="125" t="s">
        <v>913</v>
      </c>
      <c r="H2585" s="125" t="s">
        <v>569</v>
      </c>
      <c r="I2585" t="s">
        <v>241</v>
      </c>
    </row>
    <row r="2586">
      <c r="A2586" s="125" t="s">
        <v>247</v>
      </c>
      <c r="B2586" s="526" t="s">
        <v>248</v>
      </c>
      <c r="C2586" s="527">
        <v>61.0</v>
      </c>
      <c r="D2586" s="527">
        <v>329.79</v>
      </c>
      <c r="E2586" s="528">
        <v>5.4064</v>
      </c>
      <c r="F2586" s="36" t="s">
        <v>7798</v>
      </c>
      <c r="G2586" s="125" t="s">
        <v>913</v>
      </c>
      <c r="H2586" s="125" t="s">
        <v>7801</v>
      </c>
      <c r="I2586" t="s">
        <v>241</v>
      </c>
    </row>
    <row r="2587">
      <c r="A2587" s="125" t="s">
        <v>6195</v>
      </c>
      <c r="B2587" s="526" t="s">
        <v>6194</v>
      </c>
      <c r="C2587" s="527">
        <v>0.0</v>
      </c>
      <c r="D2587" s="527">
        <v>0.0</v>
      </c>
      <c r="F2587" s="36" t="s">
        <v>7798</v>
      </c>
      <c r="G2587" s="125" t="s">
        <v>913</v>
      </c>
      <c r="H2587" s="125" t="s">
        <v>7840</v>
      </c>
      <c r="I2587" t="s">
        <v>7817</v>
      </c>
    </row>
    <row r="2588">
      <c r="A2588" s="125" t="s">
        <v>6197</v>
      </c>
      <c r="B2588" s="526" t="s">
        <v>6196</v>
      </c>
      <c r="C2588" s="527">
        <v>0.0</v>
      </c>
      <c r="D2588" s="527">
        <v>0.0</v>
      </c>
      <c r="F2588" s="36" t="s">
        <v>7798</v>
      </c>
      <c r="G2588" s="125" t="s">
        <v>913</v>
      </c>
      <c r="H2588" s="125" t="s">
        <v>7840</v>
      </c>
      <c r="I2588" t="s">
        <v>7817</v>
      </c>
    </row>
    <row r="2589">
      <c r="A2589" s="125" t="s">
        <v>6197</v>
      </c>
      <c r="B2589" s="526" t="s">
        <v>6198</v>
      </c>
      <c r="C2589" s="527">
        <v>0.0</v>
      </c>
      <c r="D2589" s="527">
        <v>0.0</v>
      </c>
      <c r="F2589" s="36" t="s">
        <v>7798</v>
      </c>
      <c r="G2589" s="125" t="s">
        <v>913</v>
      </c>
      <c r="H2589" s="125" t="s">
        <v>7840</v>
      </c>
      <c r="I2589" t="s">
        <v>7817</v>
      </c>
    </row>
    <row r="2590">
      <c r="A2590" s="125" t="s">
        <v>6202</v>
      </c>
      <c r="B2590" s="526" t="s">
        <v>6201</v>
      </c>
      <c r="C2590" s="527">
        <v>60.0</v>
      </c>
      <c r="D2590" s="527">
        <v>28.8</v>
      </c>
      <c r="E2590" s="528">
        <v>0.48</v>
      </c>
      <c r="F2590" s="36" t="s">
        <v>7798</v>
      </c>
      <c r="G2590" s="125" t="s">
        <v>913</v>
      </c>
      <c r="H2590" s="125" t="s">
        <v>7821</v>
      </c>
      <c r="I2590" t="s">
        <v>7834</v>
      </c>
    </row>
    <row r="2591">
      <c r="A2591" s="125" t="s">
        <v>6204</v>
      </c>
      <c r="B2591" s="526" t="s">
        <v>6203</v>
      </c>
      <c r="C2591" s="527">
        <v>0.0</v>
      </c>
      <c r="D2591" s="527">
        <v>0.0</v>
      </c>
      <c r="F2591" s="36" t="s">
        <v>7798</v>
      </c>
      <c r="G2591" s="125" t="s">
        <v>893</v>
      </c>
      <c r="H2591" s="125" t="s">
        <v>7799</v>
      </c>
      <c r="I2591" t="s">
        <v>7826</v>
      </c>
    </row>
    <row r="2592">
      <c r="A2592" s="125" t="s">
        <v>6208</v>
      </c>
      <c r="B2592" s="526" t="s">
        <v>6207</v>
      </c>
      <c r="C2592" s="527">
        <v>0.0</v>
      </c>
      <c r="D2592" s="527">
        <v>0.0</v>
      </c>
      <c r="F2592" s="36" t="s">
        <v>7798</v>
      </c>
      <c r="G2592" s="125" t="s">
        <v>893</v>
      </c>
      <c r="H2592" s="125" t="s">
        <v>7799</v>
      </c>
      <c r="I2592" t="s">
        <v>7804</v>
      </c>
    </row>
    <row r="2593">
      <c r="A2593" s="125" t="s">
        <v>6210</v>
      </c>
      <c r="B2593" s="526" t="s">
        <v>6209</v>
      </c>
      <c r="C2593" s="527">
        <v>0.0</v>
      </c>
      <c r="D2593" s="527">
        <v>0.0</v>
      </c>
      <c r="F2593" s="36" t="s">
        <v>7798</v>
      </c>
      <c r="G2593" s="125" t="s">
        <v>893</v>
      </c>
      <c r="H2593" s="125" t="s">
        <v>7799</v>
      </c>
      <c r="I2593" t="s">
        <v>7804</v>
      </c>
    </row>
    <row r="2594">
      <c r="A2594" s="125" t="s">
        <v>6212</v>
      </c>
      <c r="B2594" s="526" t="s">
        <v>6211</v>
      </c>
      <c r="C2594" s="527">
        <v>0.0</v>
      </c>
      <c r="D2594" s="527">
        <v>0.0</v>
      </c>
      <c r="F2594" s="36" t="s">
        <v>7798</v>
      </c>
      <c r="G2594" s="125" t="s">
        <v>893</v>
      </c>
      <c r="H2594" s="125" t="s">
        <v>7799</v>
      </c>
      <c r="I2594" t="s">
        <v>7842</v>
      </c>
    </row>
    <row r="2595">
      <c r="A2595" s="125" t="s">
        <v>736</v>
      </c>
      <c r="B2595" s="526" t="s">
        <v>737</v>
      </c>
      <c r="C2595" s="527">
        <v>735.0</v>
      </c>
      <c r="D2595" s="527">
        <v>979.98</v>
      </c>
      <c r="E2595" s="528">
        <v>1.3333</v>
      </c>
      <c r="F2595" s="36" t="s">
        <v>7798</v>
      </c>
      <c r="G2595" s="125" t="s">
        <v>913</v>
      </c>
      <c r="H2595" s="125" t="s">
        <v>569</v>
      </c>
      <c r="I2595" t="s">
        <v>725</v>
      </c>
    </row>
    <row r="2596">
      <c r="A2596" s="125" t="s">
        <v>6214</v>
      </c>
      <c r="B2596" s="526" t="s">
        <v>6213</v>
      </c>
      <c r="C2596" s="527">
        <v>691.0</v>
      </c>
      <c r="D2596" s="527">
        <v>954.11</v>
      </c>
      <c r="E2596" s="528">
        <v>1.3808</v>
      </c>
      <c r="F2596" s="36" t="s">
        <v>7798</v>
      </c>
      <c r="G2596" s="125" t="s">
        <v>913</v>
      </c>
      <c r="H2596" s="125" t="s">
        <v>7808</v>
      </c>
      <c r="I2596" t="s">
        <v>725</v>
      </c>
    </row>
    <row r="2597">
      <c r="A2597" s="125" t="s">
        <v>734</v>
      </c>
      <c r="B2597" s="526" t="s">
        <v>735</v>
      </c>
      <c r="C2597" s="527">
        <v>872.0</v>
      </c>
      <c r="D2597" s="527">
        <v>1162.54</v>
      </c>
      <c r="E2597" s="528">
        <v>1.3332</v>
      </c>
      <c r="F2597" s="36" t="s">
        <v>7798</v>
      </c>
      <c r="G2597" s="125" t="s">
        <v>913</v>
      </c>
      <c r="H2597" s="125" t="s">
        <v>569</v>
      </c>
      <c r="I2597" t="s">
        <v>725</v>
      </c>
    </row>
    <row r="2598">
      <c r="A2598" s="125" t="s">
        <v>6216</v>
      </c>
      <c r="B2598" s="526" t="s">
        <v>6215</v>
      </c>
      <c r="C2598" s="527">
        <v>495.0</v>
      </c>
      <c r="D2598" s="527">
        <v>683.62</v>
      </c>
      <c r="E2598" s="528">
        <v>1.3811</v>
      </c>
      <c r="F2598" s="36" t="s">
        <v>7798</v>
      </c>
      <c r="G2598" s="125" t="s">
        <v>913</v>
      </c>
      <c r="H2598" s="125" t="s">
        <v>7808</v>
      </c>
      <c r="I2598" t="s">
        <v>725</v>
      </c>
    </row>
    <row r="2599">
      <c r="A2599" s="125" t="s">
        <v>6218</v>
      </c>
      <c r="B2599" s="526" t="s">
        <v>6217</v>
      </c>
      <c r="C2599" s="527">
        <v>314.0</v>
      </c>
      <c r="D2599" s="527">
        <v>433.83</v>
      </c>
      <c r="E2599" s="528">
        <v>1.3816</v>
      </c>
      <c r="F2599" s="36" t="s">
        <v>7798</v>
      </c>
      <c r="G2599" s="125" t="s">
        <v>913</v>
      </c>
      <c r="H2599" s="125" t="s">
        <v>7808</v>
      </c>
      <c r="I2599" t="s">
        <v>725</v>
      </c>
    </row>
    <row r="2600">
      <c r="A2600" s="125" t="s">
        <v>732</v>
      </c>
      <c r="B2600" s="526" t="s">
        <v>733</v>
      </c>
      <c r="C2600" s="527">
        <v>952.0</v>
      </c>
      <c r="D2600" s="527">
        <v>1269.17</v>
      </c>
      <c r="E2600" s="528">
        <v>1.3332</v>
      </c>
      <c r="F2600" s="36" t="s">
        <v>7798</v>
      </c>
      <c r="G2600" s="125" t="s">
        <v>913</v>
      </c>
      <c r="H2600" s="125" t="s">
        <v>569</v>
      </c>
      <c r="I2600" t="s">
        <v>725</v>
      </c>
    </row>
    <row r="2601">
      <c r="A2601" s="125" t="s">
        <v>6220</v>
      </c>
      <c r="B2601" s="526" t="s">
        <v>6219</v>
      </c>
      <c r="C2601" s="527">
        <v>486.0</v>
      </c>
      <c r="D2601" s="527">
        <v>671.21</v>
      </c>
      <c r="E2601" s="528">
        <v>1.3811</v>
      </c>
      <c r="F2601" s="36" t="s">
        <v>7798</v>
      </c>
      <c r="G2601" s="125" t="s">
        <v>913</v>
      </c>
      <c r="H2601" s="125" t="s">
        <v>7801</v>
      </c>
      <c r="I2601" t="s">
        <v>725</v>
      </c>
    </row>
    <row r="2602">
      <c r="A2602" s="125" t="s">
        <v>6222</v>
      </c>
      <c r="B2602" s="526" t="s">
        <v>6221</v>
      </c>
      <c r="C2602" s="527">
        <v>370.0</v>
      </c>
      <c r="D2602" s="527">
        <v>1496.67</v>
      </c>
      <c r="E2602" s="528">
        <v>4.0451</v>
      </c>
      <c r="F2602" s="36" t="s">
        <v>7798</v>
      </c>
      <c r="G2602" s="125" t="s">
        <v>913</v>
      </c>
      <c r="H2602" s="125" t="s">
        <v>7808</v>
      </c>
      <c r="I2602" t="s">
        <v>7900</v>
      </c>
    </row>
    <row r="2603">
      <c r="A2603" s="125" t="s">
        <v>6224</v>
      </c>
      <c r="B2603" s="526" t="s">
        <v>6223</v>
      </c>
      <c r="C2603" s="527">
        <v>650.0</v>
      </c>
      <c r="D2603" s="527">
        <v>2969.23</v>
      </c>
      <c r="E2603" s="528">
        <v>4.568</v>
      </c>
      <c r="F2603" s="36" t="s">
        <v>7798</v>
      </c>
      <c r="G2603" s="125" t="s">
        <v>913</v>
      </c>
      <c r="H2603" s="125" t="s">
        <v>7808</v>
      </c>
      <c r="I2603" t="s">
        <v>7900</v>
      </c>
    </row>
    <row r="2604">
      <c r="A2604" s="125" t="s">
        <v>6226</v>
      </c>
      <c r="B2604" s="526" t="s">
        <v>6225</v>
      </c>
      <c r="C2604" s="527">
        <v>620.0</v>
      </c>
      <c r="D2604" s="527">
        <v>2590.81</v>
      </c>
      <c r="E2604" s="528">
        <v>4.1787</v>
      </c>
      <c r="F2604" s="36" t="s">
        <v>7798</v>
      </c>
      <c r="G2604" s="125" t="s">
        <v>913</v>
      </c>
      <c r="H2604" s="125" t="s">
        <v>7808</v>
      </c>
      <c r="I2604" t="s">
        <v>7900</v>
      </c>
    </row>
    <row r="2605">
      <c r="A2605" s="125" t="s">
        <v>6228</v>
      </c>
      <c r="B2605" s="526" t="s">
        <v>6227</v>
      </c>
      <c r="C2605" s="527">
        <v>771.0</v>
      </c>
      <c r="D2605" s="527">
        <v>3384.42</v>
      </c>
      <c r="E2605" s="528">
        <v>4.3896</v>
      </c>
      <c r="F2605" s="36" t="s">
        <v>7798</v>
      </c>
      <c r="G2605" s="125" t="s">
        <v>913</v>
      </c>
      <c r="H2605" s="125" t="s">
        <v>7808</v>
      </c>
      <c r="I2605" t="s">
        <v>7900</v>
      </c>
    </row>
    <row r="2606">
      <c r="A2606" s="125" t="s">
        <v>6230</v>
      </c>
      <c r="B2606" s="526" t="s">
        <v>6229</v>
      </c>
      <c r="C2606" s="527">
        <v>103.0</v>
      </c>
      <c r="D2606" s="527">
        <v>454.01</v>
      </c>
      <c r="E2606" s="528">
        <v>4.4079</v>
      </c>
      <c r="F2606" s="36" t="s">
        <v>7798</v>
      </c>
      <c r="G2606" s="125" t="s">
        <v>913</v>
      </c>
      <c r="H2606" s="125" t="s">
        <v>7808</v>
      </c>
      <c r="I2606" t="s">
        <v>7900</v>
      </c>
    </row>
    <row r="2607">
      <c r="A2607" s="125" t="s">
        <v>6232</v>
      </c>
      <c r="B2607" s="526" t="s">
        <v>6231</v>
      </c>
      <c r="C2607" s="527">
        <v>256.0</v>
      </c>
      <c r="D2607" s="527">
        <v>1200.14</v>
      </c>
      <c r="E2607" s="528">
        <v>4.688</v>
      </c>
      <c r="F2607" s="36" t="s">
        <v>7798</v>
      </c>
      <c r="G2607" s="125" t="s">
        <v>913</v>
      </c>
      <c r="H2607" s="125" t="s">
        <v>7808</v>
      </c>
      <c r="I2607" t="s">
        <v>7900</v>
      </c>
    </row>
    <row r="2608">
      <c r="A2608" s="125" t="s">
        <v>6234</v>
      </c>
      <c r="B2608" s="526" t="s">
        <v>6233</v>
      </c>
      <c r="C2608" s="527">
        <v>2.0</v>
      </c>
      <c r="D2608" s="527">
        <v>105.23</v>
      </c>
      <c r="E2608" s="528">
        <v>52.615</v>
      </c>
      <c r="F2608" s="36" t="s">
        <v>7798</v>
      </c>
      <c r="G2608" s="125" t="s">
        <v>913</v>
      </c>
      <c r="H2608" s="125" t="s">
        <v>7808</v>
      </c>
      <c r="I2608" t="s">
        <v>7900</v>
      </c>
    </row>
    <row r="2609">
      <c r="A2609" s="125" t="s">
        <v>374</v>
      </c>
      <c r="B2609" s="526" t="s">
        <v>375</v>
      </c>
      <c r="C2609" s="527">
        <v>135.0</v>
      </c>
      <c r="D2609" s="527">
        <v>441.79</v>
      </c>
      <c r="E2609" s="528">
        <v>3.2725</v>
      </c>
      <c r="F2609" s="36" t="s">
        <v>7798</v>
      </c>
      <c r="G2609" s="125" t="s">
        <v>913</v>
      </c>
      <c r="H2609" s="125" t="s">
        <v>569</v>
      </c>
      <c r="I2609" t="s">
        <v>361</v>
      </c>
    </row>
    <row r="2610">
      <c r="A2610" s="125" t="s">
        <v>364</v>
      </c>
      <c r="B2610" s="526" t="s">
        <v>365</v>
      </c>
      <c r="C2610" s="527">
        <v>167.0</v>
      </c>
      <c r="D2610" s="527">
        <v>553.64</v>
      </c>
      <c r="E2610" s="528">
        <v>3.3152</v>
      </c>
      <c r="F2610" s="36" t="s">
        <v>7798</v>
      </c>
      <c r="G2610" s="125" t="s">
        <v>913</v>
      </c>
      <c r="H2610" s="125" t="s">
        <v>569</v>
      </c>
      <c r="I2610" t="s">
        <v>361</v>
      </c>
    </row>
    <row r="2611">
      <c r="A2611" s="125" t="s">
        <v>376</v>
      </c>
      <c r="B2611" s="526" t="s">
        <v>377</v>
      </c>
      <c r="C2611" s="527">
        <v>564.0</v>
      </c>
      <c r="D2611" s="527">
        <v>1843.31</v>
      </c>
      <c r="E2611" s="528">
        <v>3.2683</v>
      </c>
      <c r="F2611" s="36" t="s">
        <v>7798</v>
      </c>
      <c r="G2611" s="125" t="s">
        <v>913</v>
      </c>
      <c r="H2611" s="125" t="s">
        <v>569</v>
      </c>
      <c r="I2611" t="s">
        <v>361</v>
      </c>
    </row>
    <row r="2612">
      <c r="A2612" s="125" t="s">
        <v>368</v>
      </c>
      <c r="B2612" s="526" t="s">
        <v>369</v>
      </c>
      <c r="C2612" s="527">
        <v>238.0</v>
      </c>
      <c r="D2612" s="527">
        <v>789.13</v>
      </c>
      <c r="E2612" s="528">
        <v>3.3157</v>
      </c>
      <c r="F2612" s="36" t="s">
        <v>7798</v>
      </c>
      <c r="G2612" s="125" t="s">
        <v>913</v>
      </c>
      <c r="H2612" s="125" t="s">
        <v>569</v>
      </c>
      <c r="I2612" t="s">
        <v>361</v>
      </c>
    </row>
    <row r="2613">
      <c r="A2613" s="125" t="s">
        <v>366</v>
      </c>
      <c r="B2613" s="526" t="s">
        <v>367</v>
      </c>
      <c r="C2613" s="527">
        <v>94.0</v>
      </c>
      <c r="D2613" s="527">
        <v>311.53</v>
      </c>
      <c r="E2613" s="528">
        <v>3.3141</v>
      </c>
      <c r="F2613" s="36" t="s">
        <v>7798</v>
      </c>
      <c r="G2613" s="125" t="s">
        <v>913</v>
      </c>
      <c r="H2613" s="125" t="s">
        <v>569</v>
      </c>
      <c r="I2613" t="s">
        <v>361</v>
      </c>
    </row>
    <row r="2614">
      <c r="A2614" s="125" t="s">
        <v>362</v>
      </c>
      <c r="B2614" s="526" t="s">
        <v>363</v>
      </c>
      <c r="C2614" s="527">
        <v>129.0</v>
      </c>
      <c r="D2614" s="527">
        <v>453.02</v>
      </c>
      <c r="E2614" s="528">
        <v>3.5118</v>
      </c>
      <c r="F2614" s="36" t="s">
        <v>7798</v>
      </c>
      <c r="G2614" s="125" t="s">
        <v>913</v>
      </c>
      <c r="H2614" s="125" t="s">
        <v>569</v>
      </c>
      <c r="I2614" t="s">
        <v>361</v>
      </c>
    </row>
    <row r="2615">
      <c r="A2615" s="125" t="s">
        <v>370</v>
      </c>
      <c r="B2615" s="526" t="s">
        <v>371</v>
      </c>
      <c r="C2615" s="527">
        <v>188.0</v>
      </c>
      <c r="D2615" s="527">
        <v>660.32</v>
      </c>
      <c r="E2615" s="528">
        <v>3.5123</v>
      </c>
      <c r="F2615" s="36" t="s">
        <v>7798</v>
      </c>
      <c r="G2615" s="125" t="s">
        <v>913</v>
      </c>
      <c r="H2615" s="125" t="s">
        <v>7801</v>
      </c>
      <c r="I2615" t="s">
        <v>361</v>
      </c>
    </row>
    <row r="2616">
      <c r="A2616" s="125" t="s">
        <v>668</v>
      </c>
      <c r="B2616" s="526" t="s">
        <v>669</v>
      </c>
      <c r="C2616" s="527">
        <v>296.0</v>
      </c>
      <c r="D2616" s="527">
        <v>967.78</v>
      </c>
      <c r="E2616" s="528">
        <v>3.2695</v>
      </c>
      <c r="F2616" s="36" t="s">
        <v>7798</v>
      </c>
      <c r="G2616" s="125" t="s">
        <v>913</v>
      </c>
      <c r="H2616" s="125" t="s">
        <v>569</v>
      </c>
      <c r="I2616" t="s">
        <v>361</v>
      </c>
    </row>
    <row r="2617">
      <c r="A2617" s="125" t="s">
        <v>372</v>
      </c>
      <c r="B2617" s="526" t="s">
        <v>373</v>
      </c>
      <c r="C2617" s="527">
        <v>421.0</v>
      </c>
      <c r="D2617" s="527">
        <v>1479.7</v>
      </c>
      <c r="E2617" s="528">
        <v>3.5147</v>
      </c>
      <c r="F2617" s="36" t="s">
        <v>7798</v>
      </c>
      <c r="G2617" s="125" t="s">
        <v>913</v>
      </c>
      <c r="H2617" s="125" t="s">
        <v>569</v>
      </c>
      <c r="I2617" t="s">
        <v>361</v>
      </c>
    </row>
    <row r="2618">
      <c r="A2618" s="125" t="s">
        <v>6244</v>
      </c>
      <c r="B2618" s="526" t="s">
        <v>6243</v>
      </c>
      <c r="C2618" s="527">
        <v>155.0</v>
      </c>
      <c r="D2618" s="527">
        <v>932.98</v>
      </c>
      <c r="E2618" s="528">
        <v>6.0192</v>
      </c>
      <c r="F2618" s="36" t="s">
        <v>7798</v>
      </c>
      <c r="G2618" s="125" t="s">
        <v>913</v>
      </c>
      <c r="H2618" s="125" t="s">
        <v>7801</v>
      </c>
      <c r="I2618" t="s">
        <v>7901</v>
      </c>
    </row>
    <row r="2619">
      <c r="A2619" s="125" t="s">
        <v>6246</v>
      </c>
      <c r="B2619" s="526" t="s">
        <v>6245</v>
      </c>
      <c r="C2619" s="527">
        <v>77.0</v>
      </c>
      <c r="D2619" s="527">
        <v>463.22</v>
      </c>
      <c r="E2619" s="528">
        <v>6.0158</v>
      </c>
      <c r="F2619" s="36" t="s">
        <v>7798</v>
      </c>
      <c r="G2619" s="125" t="s">
        <v>913</v>
      </c>
      <c r="H2619" s="125" t="s">
        <v>7801</v>
      </c>
      <c r="I2619" t="s">
        <v>7901</v>
      </c>
    </row>
    <row r="2620">
      <c r="A2620" s="125" t="s">
        <v>6248</v>
      </c>
      <c r="B2620" s="526" t="s">
        <v>6247</v>
      </c>
      <c r="C2620" s="527">
        <v>87.0</v>
      </c>
      <c r="D2620" s="527">
        <v>523.74</v>
      </c>
      <c r="E2620" s="528">
        <v>6.02</v>
      </c>
      <c r="F2620" s="36" t="s">
        <v>7798</v>
      </c>
      <c r="G2620" s="125" t="s">
        <v>913</v>
      </c>
      <c r="H2620" s="125" t="s">
        <v>7801</v>
      </c>
      <c r="I2620" t="s">
        <v>7901</v>
      </c>
    </row>
    <row r="2621">
      <c r="A2621" s="125" t="s">
        <v>6250</v>
      </c>
      <c r="B2621" s="526" t="s">
        <v>6249</v>
      </c>
      <c r="C2621" s="527">
        <v>127.0</v>
      </c>
      <c r="D2621" s="527">
        <v>764.36</v>
      </c>
      <c r="E2621" s="528">
        <v>6.0186</v>
      </c>
      <c r="F2621" s="36" t="s">
        <v>7798</v>
      </c>
      <c r="G2621" s="125" t="s">
        <v>913</v>
      </c>
      <c r="H2621" s="125" t="s">
        <v>7801</v>
      </c>
      <c r="I2621" t="s">
        <v>7901</v>
      </c>
    </row>
    <row r="2622">
      <c r="A2622" s="125" t="s">
        <v>6252</v>
      </c>
      <c r="B2622" s="526" t="s">
        <v>6251</v>
      </c>
      <c r="C2622" s="527">
        <v>187.0</v>
      </c>
      <c r="D2622" s="527">
        <v>1125.7</v>
      </c>
      <c r="E2622" s="528">
        <v>6.0198</v>
      </c>
      <c r="F2622" s="36" t="s">
        <v>7798</v>
      </c>
      <c r="G2622" s="125" t="s">
        <v>913</v>
      </c>
      <c r="H2622" s="125" t="s">
        <v>7801</v>
      </c>
      <c r="I2622" t="s">
        <v>7901</v>
      </c>
    </row>
    <row r="2623">
      <c r="A2623" s="125" t="s">
        <v>6254</v>
      </c>
      <c r="B2623" s="526" t="s">
        <v>6253</v>
      </c>
      <c r="C2623" s="527">
        <v>1.0</v>
      </c>
      <c r="D2623" s="527">
        <v>144.51</v>
      </c>
      <c r="E2623" s="528">
        <v>144.51</v>
      </c>
      <c r="F2623" s="36" t="s">
        <v>7798</v>
      </c>
      <c r="G2623" s="125" t="s">
        <v>913</v>
      </c>
      <c r="H2623" s="125" t="s">
        <v>7801</v>
      </c>
      <c r="I2623" t="s">
        <v>7901</v>
      </c>
    </row>
    <row r="2624">
      <c r="A2624" s="125" t="s">
        <v>6256</v>
      </c>
      <c r="B2624" s="526" t="s">
        <v>6255</v>
      </c>
      <c r="C2624" s="527">
        <v>170.0</v>
      </c>
      <c r="D2624" s="527">
        <v>1023.31</v>
      </c>
      <c r="E2624" s="528">
        <v>6.0195</v>
      </c>
      <c r="F2624" s="36" t="s">
        <v>7798</v>
      </c>
      <c r="G2624" s="125" t="s">
        <v>913</v>
      </c>
      <c r="H2624" s="125" t="s">
        <v>7801</v>
      </c>
      <c r="I2624" t="s">
        <v>7901</v>
      </c>
    </row>
    <row r="2625">
      <c r="A2625" s="125" t="s">
        <v>6258</v>
      </c>
      <c r="B2625" s="526" t="s">
        <v>6257</v>
      </c>
      <c r="C2625" s="527">
        <v>123.0</v>
      </c>
      <c r="D2625" s="527">
        <v>194.9</v>
      </c>
      <c r="E2625" s="528">
        <v>1.5846</v>
      </c>
      <c r="F2625" s="36" t="s">
        <v>7798</v>
      </c>
      <c r="G2625" s="125" t="s">
        <v>913</v>
      </c>
      <c r="H2625" s="125" t="s">
        <v>7801</v>
      </c>
      <c r="I2625" t="s">
        <v>7837</v>
      </c>
    </row>
    <row r="2626">
      <c r="A2626" s="125" t="s">
        <v>6260</v>
      </c>
      <c r="B2626" s="526" t="s">
        <v>6259</v>
      </c>
      <c r="C2626" s="527">
        <v>370.0</v>
      </c>
      <c r="D2626" s="527">
        <v>586.77</v>
      </c>
      <c r="E2626" s="528">
        <v>1.5859</v>
      </c>
      <c r="F2626" s="36" t="s">
        <v>7798</v>
      </c>
      <c r="G2626" s="125" t="s">
        <v>913</v>
      </c>
      <c r="H2626" s="125" t="s">
        <v>7801</v>
      </c>
      <c r="I2626" t="s">
        <v>7837</v>
      </c>
    </row>
    <row r="2627">
      <c r="A2627" s="125" t="s">
        <v>6262</v>
      </c>
      <c r="B2627" s="526" t="s">
        <v>6261</v>
      </c>
      <c r="C2627" s="527">
        <v>0.0</v>
      </c>
      <c r="D2627" s="527">
        <v>0.0</v>
      </c>
      <c r="F2627" s="36" t="s">
        <v>7798</v>
      </c>
      <c r="G2627" s="125" t="s">
        <v>893</v>
      </c>
      <c r="H2627" s="125" t="s">
        <v>7801</v>
      </c>
      <c r="I2627" t="s">
        <v>7837</v>
      </c>
    </row>
    <row r="2628">
      <c r="A2628" s="125" t="s">
        <v>6264</v>
      </c>
      <c r="B2628" s="526" t="s">
        <v>6263</v>
      </c>
      <c r="C2628" s="527">
        <v>0.0</v>
      </c>
      <c r="D2628" s="527">
        <v>0.0</v>
      </c>
      <c r="F2628" s="36" t="s">
        <v>7798</v>
      </c>
      <c r="G2628" s="125" t="s">
        <v>893</v>
      </c>
      <c r="H2628" s="125" t="s">
        <v>7801</v>
      </c>
      <c r="I2628" t="s">
        <v>7837</v>
      </c>
    </row>
    <row r="2629">
      <c r="A2629" s="125" t="s">
        <v>6266</v>
      </c>
      <c r="B2629" s="526" t="s">
        <v>6265</v>
      </c>
      <c r="C2629" s="527">
        <v>454.0</v>
      </c>
      <c r="D2629" s="527">
        <v>720.07</v>
      </c>
      <c r="E2629" s="528">
        <v>1.5861</v>
      </c>
      <c r="F2629" s="36" t="s">
        <v>7798</v>
      </c>
      <c r="G2629" s="125" t="s">
        <v>913</v>
      </c>
      <c r="H2629" s="125" t="s">
        <v>7801</v>
      </c>
      <c r="I2629" t="s">
        <v>7837</v>
      </c>
    </row>
    <row r="2630">
      <c r="A2630" s="125" t="s">
        <v>6268</v>
      </c>
      <c r="B2630" s="526" t="s">
        <v>6267</v>
      </c>
      <c r="C2630" s="527">
        <v>0.0</v>
      </c>
      <c r="D2630" s="527">
        <v>0.0</v>
      </c>
      <c r="F2630" s="36" t="s">
        <v>7798</v>
      </c>
      <c r="G2630" s="125" t="s">
        <v>893</v>
      </c>
      <c r="H2630" s="125" t="s">
        <v>7801</v>
      </c>
      <c r="I2630" t="s">
        <v>7837</v>
      </c>
    </row>
    <row r="2631">
      <c r="A2631" s="125" t="s">
        <v>6270</v>
      </c>
      <c r="B2631" s="526" t="s">
        <v>6269</v>
      </c>
      <c r="C2631" s="527">
        <v>125.0</v>
      </c>
      <c r="D2631" s="527">
        <v>198.0</v>
      </c>
      <c r="E2631" s="528">
        <v>1.584</v>
      </c>
      <c r="F2631" s="36" t="s">
        <v>7798</v>
      </c>
      <c r="G2631" s="125" t="s">
        <v>913</v>
      </c>
      <c r="H2631" s="125" t="s">
        <v>7801</v>
      </c>
      <c r="I2631" t="s">
        <v>7837</v>
      </c>
    </row>
    <row r="2632">
      <c r="A2632" s="125" t="s">
        <v>6272</v>
      </c>
      <c r="B2632" s="526" t="s">
        <v>6271</v>
      </c>
      <c r="C2632" s="527">
        <v>0.0</v>
      </c>
      <c r="D2632" s="527">
        <v>0.0</v>
      </c>
      <c r="F2632" s="36" t="s">
        <v>7798</v>
      </c>
      <c r="G2632" s="125" t="s">
        <v>893</v>
      </c>
      <c r="H2632" s="125" t="s">
        <v>7799</v>
      </c>
      <c r="I2632" t="s">
        <v>7837</v>
      </c>
    </row>
    <row r="2633">
      <c r="A2633" s="125" t="s">
        <v>6274</v>
      </c>
      <c r="B2633" s="526" t="s">
        <v>6273</v>
      </c>
      <c r="C2633" s="527">
        <v>0.0</v>
      </c>
      <c r="D2633" s="527">
        <v>0.0</v>
      </c>
      <c r="F2633" s="36" t="s">
        <v>7798</v>
      </c>
      <c r="G2633" s="125" t="s">
        <v>893</v>
      </c>
      <c r="H2633" s="125" t="s">
        <v>7801</v>
      </c>
      <c r="I2633" t="s">
        <v>7837</v>
      </c>
    </row>
    <row r="2634">
      <c r="A2634" s="125" t="s">
        <v>6276</v>
      </c>
      <c r="B2634" s="526" t="s">
        <v>6275</v>
      </c>
      <c r="C2634" s="527">
        <v>0.0</v>
      </c>
      <c r="D2634" s="527">
        <v>0.0</v>
      </c>
      <c r="F2634" s="36" t="s">
        <v>7798</v>
      </c>
      <c r="G2634" s="125" t="s">
        <v>893</v>
      </c>
      <c r="H2634" s="125" t="s">
        <v>7801</v>
      </c>
      <c r="I2634" t="s">
        <v>7837</v>
      </c>
    </row>
    <row r="2635">
      <c r="A2635" s="125" t="s">
        <v>6278</v>
      </c>
      <c r="B2635" s="526" t="s">
        <v>6277</v>
      </c>
      <c r="C2635" s="527">
        <v>0.0</v>
      </c>
      <c r="D2635" s="527">
        <v>0.0</v>
      </c>
      <c r="F2635" s="36" t="s">
        <v>7798</v>
      </c>
      <c r="G2635" s="125" t="s">
        <v>893</v>
      </c>
      <c r="H2635" s="125" t="s">
        <v>7801</v>
      </c>
      <c r="I2635" t="s">
        <v>7837</v>
      </c>
    </row>
    <row r="2636">
      <c r="A2636" s="125" t="s">
        <v>6280</v>
      </c>
      <c r="B2636" s="526" t="s">
        <v>6279</v>
      </c>
      <c r="C2636" s="527">
        <v>0.0</v>
      </c>
      <c r="D2636" s="527">
        <v>0.0</v>
      </c>
      <c r="F2636" s="36" t="s">
        <v>7798</v>
      </c>
      <c r="G2636" s="125" t="s">
        <v>893</v>
      </c>
      <c r="H2636" s="125" t="s">
        <v>7799</v>
      </c>
      <c r="I2636" t="s">
        <v>7860</v>
      </c>
    </row>
    <row r="2637">
      <c r="A2637" s="125" t="s">
        <v>6282</v>
      </c>
      <c r="B2637" s="526" t="s">
        <v>6281</v>
      </c>
      <c r="C2637" s="527">
        <v>0.0</v>
      </c>
      <c r="D2637" s="527">
        <v>0.0</v>
      </c>
      <c r="F2637" s="36" t="s">
        <v>7798</v>
      </c>
      <c r="G2637" s="125" t="s">
        <v>893</v>
      </c>
      <c r="H2637" s="125" t="s">
        <v>7799</v>
      </c>
      <c r="I2637" t="s">
        <v>7860</v>
      </c>
    </row>
    <row r="2638">
      <c r="A2638" s="125" t="s">
        <v>6284</v>
      </c>
      <c r="B2638" s="526" t="s">
        <v>6283</v>
      </c>
      <c r="C2638" s="527">
        <v>0.0</v>
      </c>
      <c r="D2638" s="527">
        <v>0.0</v>
      </c>
      <c r="F2638" s="36" t="s">
        <v>7798</v>
      </c>
      <c r="G2638" s="125" t="s">
        <v>893</v>
      </c>
      <c r="H2638" s="125" t="s">
        <v>7799</v>
      </c>
      <c r="I2638" t="s">
        <v>7860</v>
      </c>
    </row>
    <row r="2639">
      <c r="A2639" s="125" t="s">
        <v>6286</v>
      </c>
      <c r="B2639" s="526" t="s">
        <v>6285</v>
      </c>
      <c r="C2639" s="527">
        <v>0.0</v>
      </c>
      <c r="D2639" s="527">
        <v>0.0</v>
      </c>
      <c r="F2639" s="36" t="s">
        <v>7798</v>
      </c>
      <c r="G2639" s="125" t="s">
        <v>893</v>
      </c>
      <c r="H2639" s="125" t="s">
        <v>7799</v>
      </c>
      <c r="I2639" t="s">
        <v>7860</v>
      </c>
    </row>
    <row r="2640">
      <c r="A2640" s="125" t="s">
        <v>6288</v>
      </c>
      <c r="B2640" s="526" t="s">
        <v>6287</v>
      </c>
      <c r="C2640" s="527">
        <v>600.0</v>
      </c>
      <c r="D2640" s="527">
        <v>317.22</v>
      </c>
      <c r="E2640" s="528">
        <v>0.5287</v>
      </c>
      <c r="F2640" s="36" t="s">
        <v>7798</v>
      </c>
      <c r="G2640" s="125" t="s">
        <v>913</v>
      </c>
      <c r="H2640" s="125" t="s">
        <v>7828</v>
      </c>
    </row>
    <row r="2641">
      <c r="A2641" s="125" t="s">
        <v>167</v>
      </c>
      <c r="B2641" s="526">
        <v>40407.0</v>
      </c>
      <c r="C2641" s="527">
        <v>45.0</v>
      </c>
      <c r="D2641" s="527">
        <v>396.29</v>
      </c>
      <c r="E2641" s="528">
        <v>8.8064</v>
      </c>
      <c r="F2641" s="36" t="s">
        <v>7798</v>
      </c>
      <c r="G2641" s="125" t="s">
        <v>913</v>
      </c>
      <c r="H2641" s="125" t="s">
        <v>32</v>
      </c>
      <c r="I2641" t="s">
        <v>163</v>
      </c>
    </row>
    <row r="2642">
      <c r="A2642" s="125" t="s">
        <v>168</v>
      </c>
      <c r="B2642" s="526">
        <v>40408.0</v>
      </c>
      <c r="C2642" s="527">
        <v>72.0</v>
      </c>
      <c r="D2642" s="527">
        <v>645.95</v>
      </c>
      <c r="E2642" s="528">
        <v>8.9715</v>
      </c>
      <c r="F2642" s="36" t="s">
        <v>7798</v>
      </c>
      <c r="G2642" s="125" t="s">
        <v>913</v>
      </c>
      <c r="H2642" s="125" t="s">
        <v>32</v>
      </c>
      <c r="I2642" t="s">
        <v>163</v>
      </c>
    </row>
    <row r="2643">
      <c r="A2643" s="125" t="s">
        <v>169</v>
      </c>
      <c r="B2643" s="526">
        <v>40409.0</v>
      </c>
      <c r="C2643" s="527">
        <v>39.0</v>
      </c>
      <c r="D2643" s="527">
        <v>351.32</v>
      </c>
      <c r="E2643" s="528">
        <v>9.0082</v>
      </c>
      <c r="F2643" s="36" t="s">
        <v>7798</v>
      </c>
      <c r="G2643" s="125" t="s">
        <v>913</v>
      </c>
      <c r="H2643" s="125" t="s">
        <v>32</v>
      </c>
      <c r="I2643" t="s">
        <v>163</v>
      </c>
    </row>
    <row r="2644">
      <c r="A2644" s="125" t="s">
        <v>164</v>
      </c>
      <c r="B2644" s="526">
        <v>40402.0</v>
      </c>
      <c r="C2644" s="527">
        <v>66.0</v>
      </c>
      <c r="D2644" s="527">
        <v>589.33</v>
      </c>
      <c r="E2644" s="528">
        <v>8.9292</v>
      </c>
      <c r="F2644" s="36" t="s">
        <v>7798</v>
      </c>
      <c r="G2644" s="125" t="s">
        <v>913</v>
      </c>
      <c r="H2644" s="125" t="s">
        <v>32</v>
      </c>
      <c r="I2644" t="s">
        <v>163</v>
      </c>
    </row>
    <row r="2645">
      <c r="A2645" s="125" t="s">
        <v>165</v>
      </c>
      <c r="B2645" s="526">
        <v>40403.0</v>
      </c>
      <c r="C2645" s="527">
        <v>100.0</v>
      </c>
      <c r="D2645" s="527">
        <v>878.35</v>
      </c>
      <c r="E2645" s="528">
        <v>8.7835</v>
      </c>
      <c r="F2645" s="36" t="s">
        <v>7798</v>
      </c>
      <c r="G2645" s="125" t="s">
        <v>913</v>
      </c>
      <c r="H2645" s="125" t="s">
        <v>32</v>
      </c>
      <c r="I2645" t="s">
        <v>163</v>
      </c>
    </row>
    <row r="2646">
      <c r="A2646" s="125" t="s">
        <v>166</v>
      </c>
      <c r="B2646" s="526">
        <v>40404.0</v>
      </c>
      <c r="C2646" s="527">
        <v>61.0</v>
      </c>
      <c r="D2646" s="527">
        <v>538.64</v>
      </c>
      <c r="E2646" s="528">
        <v>8.8302</v>
      </c>
      <c r="F2646" s="36" t="s">
        <v>7798</v>
      </c>
      <c r="G2646" s="125" t="s">
        <v>913</v>
      </c>
      <c r="H2646" s="125" t="s">
        <v>32</v>
      </c>
      <c r="I2646" t="s">
        <v>163</v>
      </c>
    </row>
    <row r="2647">
      <c r="A2647" s="125" t="s">
        <v>845</v>
      </c>
      <c r="B2647" s="526" t="s">
        <v>6290</v>
      </c>
      <c r="C2647" s="527">
        <v>0.0</v>
      </c>
      <c r="D2647" s="527">
        <v>0.0</v>
      </c>
      <c r="F2647" s="36" t="s">
        <v>7798</v>
      </c>
      <c r="G2647" s="125" t="s">
        <v>913</v>
      </c>
      <c r="H2647" s="125" t="s">
        <v>32</v>
      </c>
      <c r="I2647" t="s">
        <v>33</v>
      </c>
    </row>
    <row r="2648">
      <c r="A2648" s="125" t="s">
        <v>6294</v>
      </c>
      <c r="B2648" s="526" t="s">
        <v>6293</v>
      </c>
      <c r="C2648" s="527">
        <v>0.0</v>
      </c>
      <c r="D2648" s="527">
        <v>0.0</v>
      </c>
      <c r="F2648" s="36" t="s">
        <v>7798</v>
      </c>
      <c r="G2648" s="125" t="s">
        <v>893</v>
      </c>
      <c r="H2648" s="125" t="s">
        <v>7801</v>
      </c>
      <c r="I2648" t="s">
        <v>7814</v>
      </c>
    </row>
    <row r="2649">
      <c r="A2649" s="125" t="s">
        <v>6297</v>
      </c>
      <c r="B2649" s="526">
        <v>33004.0</v>
      </c>
      <c r="C2649" s="527">
        <v>0.0</v>
      </c>
      <c r="D2649" s="527">
        <v>0.0</v>
      </c>
      <c r="F2649" s="36" t="s">
        <v>7798</v>
      </c>
      <c r="G2649" s="125" t="s">
        <v>893</v>
      </c>
      <c r="H2649" s="125" t="s">
        <v>7799</v>
      </c>
      <c r="I2649" t="s">
        <v>7806</v>
      </c>
    </row>
    <row r="2650">
      <c r="A2650" s="125" t="s">
        <v>6298</v>
      </c>
      <c r="B2650" s="526">
        <v>33001.0</v>
      </c>
      <c r="C2650" s="527">
        <v>0.0</v>
      </c>
      <c r="D2650" s="527">
        <v>0.0</v>
      </c>
      <c r="F2650" s="36" t="s">
        <v>7798</v>
      </c>
      <c r="G2650" s="125" t="s">
        <v>893</v>
      </c>
      <c r="H2650" s="125" t="s">
        <v>7799</v>
      </c>
      <c r="I2650" t="s">
        <v>7806</v>
      </c>
    </row>
    <row r="2651">
      <c r="A2651" s="125" t="s">
        <v>6299</v>
      </c>
      <c r="B2651" s="526">
        <v>33003.0</v>
      </c>
      <c r="C2651" s="527">
        <v>0.0</v>
      </c>
      <c r="D2651" s="527">
        <v>0.0</v>
      </c>
      <c r="F2651" s="36" t="s">
        <v>7798</v>
      </c>
      <c r="G2651" s="125" t="s">
        <v>893</v>
      </c>
      <c r="H2651" s="125" t="s">
        <v>7799</v>
      </c>
      <c r="I2651" t="s">
        <v>7806</v>
      </c>
    </row>
    <row r="2652">
      <c r="A2652" s="125" t="s">
        <v>6300</v>
      </c>
      <c r="B2652" s="526">
        <v>33005.0</v>
      </c>
      <c r="C2652" s="527">
        <v>0.0</v>
      </c>
      <c r="D2652" s="527">
        <v>0.0</v>
      </c>
      <c r="F2652" s="36" t="s">
        <v>7798</v>
      </c>
      <c r="G2652" s="125" t="s">
        <v>893</v>
      </c>
      <c r="H2652" s="125" t="s">
        <v>7799</v>
      </c>
      <c r="I2652" t="s">
        <v>7806</v>
      </c>
    </row>
    <row r="2653">
      <c r="A2653" s="125" t="s">
        <v>6307</v>
      </c>
      <c r="B2653" s="526" t="s">
        <v>6306</v>
      </c>
      <c r="C2653" s="527">
        <v>0.0</v>
      </c>
      <c r="D2653" s="527">
        <v>0.0</v>
      </c>
      <c r="F2653" s="36" t="s">
        <v>7798</v>
      </c>
      <c r="G2653" s="125" t="s">
        <v>893</v>
      </c>
      <c r="H2653" s="125" t="s">
        <v>7799</v>
      </c>
      <c r="I2653" t="s">
        <v>7804</v>
      </c>
    </row>
    <row r="2654">
      <c r="A2654" s="125" t="s">
        <v>6309</v>
      </c>
      <c r="B2654" s="526" t="s">
        <v>6308</v>
      </c>
      <c r="C2654" s="527">
        <v>0.0</v>
      </c>
      <c r="D2654" s="527">
        <v>0.0</v>
      </c>
      <c r="F2654" s="36" t="s">
        <v>7798</v>
      </c>
      <c r="G2654" s="125" t="s">
        <v>893</v>
      </c>
      <c r="H2654" s="125" t="s">
        <v>7799</v>
      </c>
      <c r="I2654" t="s">
        <v>7883</v>
      </c>
    </row>
    <row r="2655">
      <c r="A2655" s="125" t="s">
        <v>6311</v>
      </c>
      <c r="B2655" s="526" t="s">
        <v>6310</v>
      </c>
      <c r="C2655" s="527">
        <v>0.0</v>
      </c>
      <c r="D2655" s="527">
        <v>0.0</v>
      </c>
      <c r="F2655" s="36" t="s">
        <v>7798</v>
      </c>
      <c r="G2655" s="125" t="s">
        <v>893</v>
      </c>
      <c r="H2655" s="125" t="s">
        <v>7799</v>
      </c>
      <c r="I2655" t="s">
        <v>7883</v>
      </c>
    </row>
    <row r="2656">
      <c r="A2656" s="125" t="s">
        <v>6313</v>
      </c>
      <c r="B2656" s="526" t="s">
        <v>6312</v>
      </c>
      <c r="C2656" s="527">
        <v>0.0</v>
      </c>
      <c r="D2656" s="527">
        <v>0.0</v>
      </c>
      <c r="F2656" s="36" t="s">
        <v>7798</v>
      </c>
      <c r="G2656" s="125" t="s">
        <v>893</v>
      </c>
      <c r="H2656" s="125" t="s">
        <v>7799</v>
      </c>
    </row>
    <row r="2657">
      <c r="A2657" s="125" t="s">
        <v>6315</v>
      </c>
      <c r="B2657" s="526" t="s">
        <v>6314</v>
      </c>
      <c r="C2657" s="527">
        <v>0.0</v>
      </c>
      <c r="D2657" s="527">
        <v>0.0</v>
      </c>
      <c r="F2657" s="36" t="s">
        <v>7798</v>
      </c>
      <c r="G2657" s="125" t="s">
        <v>893</v>
      </c>
      <c r="H2657" s="125" t="s">
        <v>7799</v>
      </c>
    </row>
    <row r="2658">
      <c r="A2658" s="125" t="s">
        <v>6317</v>
      </c>
      <c r="B2658" s="526" t="s">
        <v>6316</v>
      </c>
      <c r="C2658" s="527">
        <v>0.0</v>
      </c>
      <c r="D2658" s="527">
        <v>0.0</v>
      </c>
      <c r="F2658" s="36" t="s">
        <v>7798</v>
      </c>
      <c r="G2658" s="125" t="s">
        <v>893</v>
      </c>
      <c r="H2658" s="125" t="s">
        <v>7799</v>
      </c>
      <c r="I2658" t="s">
        <v>7883</v>
      </c>
    </row>
    <row r="2659">
      <c r="A2659" s="125" t="s">
        <v>6319</v>
      </c>
      <c r="B2659" s="526" t="s">
        <v>6318</v>
      </c>
      <c r="C2659" s="527">
        <v>0.0</v>
      </c>
      <c r="D2659" s="527">
        <v>0.0</v>
      </c>
      <c r="F2659" s="36" t="s">
        <v>7798</v>
      </c>
      <c r="G2659" s="125" t="s">
        <v>893</v>
      </c>
      <c r="H2659" s="125" t="s">
        <v>7799</v>
      </c>
      <c r="I2659" t="s">
        <v>7883</v>
      </c>
    </row>
    <row r="2660">
      <c r="A2660" s="125" t="s">
        <v>6321</v>
      </c>
      <c r="B2660" s="526" t="s">
        <v>6320</v>
      </c>
      <c r="C2660" s="527">
        <v>0.0</v>
      </c>
      <c r="D2660" s="527">
        <v>0.0</v>
      </c>
      <c r="F2660" s="36" t="s">
        <v>7798</v>
      </c>
      <c r="G2660" s="125" t="s">
        <v>893</v>
      </c>
      <c r="H2660" s="125" t="s">
        <v>7799</v>
      </c>
      <c r="I2660" t="s">
        <v>7811</v>
      </c>
    </row>
    <row r="2661">
      <c r="A2661" s="125" t="s">
        <v>6323</v>
      </c>
      <c r="B2661" s="526" t="s">
        <v>6322</v>
      </c>
      <c r="C2661" s="527">
        <v>0.0</v>
      </c>
      <c r="D2661" s="527">
        <v>0.0</v>
      </c>
      <c r="F2661" s="36" t="s">
        <v>7798</v>
      </c>
      <c r="G2661" s="125" t="s">
        <v>893</v>
      </c>
      <c r="H2661" s="125" t="s">
        <v>7799</v>
      </c>
      <c r="I2661" t="s">
        <v>7820</v>
      </c>
    </row>
    <row r="2662">
      <c r="A2662" s="125" t="s">
        <v>6325</v>
      </c>
      <c r="B2662" s="526" t="s">
        <v>6324</v>
      </c>
      <c r="C2662" s="527">
        <v>0.0</v>
      </c>
      <c r="D2662" s="527">
        <v>0.0</v>
      </c>
      <c r="F2662" s="36" t="s">
        <v>7798</v>
      </c>
      <c r="G2662" s="125" t="s">
        <v>913</v>
      </c>
      <c r="H2662" s="125" t="s">
        <v>7821</v>
      </c>
    </row>
    <row r="2663">
      <c r="A2663" s="125" t="s">
        <v>6327</v>
      </c>
      <c r="B2663" s="526" t="s">
        <v>6326</v>
      </c>
      <c r="C2663" s="527">
        <v>0.0</v>
      </c>
      <c r="D2663" s="527">
        <v>0.0</v>
      </c>
      <c r="F2663" s="36" t="s">
        <v>7798</v>
      </c>
      <c r="G2663" s="125" t="s">
        <v>893</v>
      </c>
      <c r="H2663" s="125" t="s">
        <v>7799</v>
      </c>
      <c r="I2663" t="s">
        <v>45</v>
      </c>
    </row>
    <row r="2664">
      <c r="A2664" s="125" t="s">
        <v>6329</v>
      </c>
      <c r="B2664" s="526" t="s">
        <v>6328</v>
      </c>
      <c r="C2664" s="527">
        <v>0.0</v>
      </c>
      <c r="D2664" s="527">
        <v>0.0</v>
      </c>
      <c r="F2664" s="36" t="s">
        <v>7798</v>
      </c>
      <c r="G2664" s="125" t="s">
        <v>893</v>
      </c>
      <c r="H2664" s="125" t="s">
        <v>7799</v>
      </c>
      <c r="I2664" t="s">
        <v>45</v>
      </c>
    </row>
    <row r="2665">
      <c r="A2665" s="125" t="s">
        <v>6331</v>
      </c>
      <c r="B2665" s="526" t="s">
        <v>6330</v>
      </c>
      <c r="C2665" s="527">
        <v>66.0</v>
      </c>
      <c r="D2665" s="527">
        <v>21.84</v>
      </c>
      <c r="E2665" s="528">
        <v>0.3309</v>
      </c>
      <c r="F2665" s="36" t="s">
        <v>7798</v>
      </c>
      <c r="G2665" s="125" t="s">
        <v>913</v>
      </c>
      <c r="H2665" s="125" t="s">
        <v>7801</v>
      </c>
      <c r="I2665" t="s">
        <v>7806</v>
      </c>
    </row>
    <row r="2666">
      <c r="A2666" s="125" t="s">
        <v>6333</v>
      </c>
      <c r="B2666" s="526" t="s">
        <v>6332</v>
      </c>
      <c r="C2666" s="527">
        <v>0.0</v>
      </c>
      <c r="D2666" s="527">
        <v>0.0</v>
      </c>
      <c r="F2666" s="36" t="s">
        <v>7807</v>
      </c>
      <c r="G2666" s="125" t="s">
        <v>893</v>
      </c>
      <c r="H2666" s="125" t="s">
        <v>7799</v>
      </c>
      <c r="I2666" t="s">
        <v>7806</v>
      </c>
    </row>
    <row r="2667">
      <c r="A2667" s="125" t="s">
        <v>6335</v>
      </c>
      <c r="B2667" s="526" t="s">
        <v>6334</v>
      </c>
      <c r="C2667" s="527">
        <v>0.0</v>
      </c>
      <c r="D2667" s="527">
        <v>0.0</v>
      </c>
      <c r="F2667" s="36" t="s">
        <v>7798</v>
      </c>
      <c r="G2667" s="125" t="s">
        <v>893</v>
      </c>
      <c r="H2667" s="125" t="s">
        <v>7799</v>
      </c>
      <c r="I2667" t="s">
        <v>45</v>
      </c>
    </row>
    <row r="2668">
      <c r="A2668" s="125" t="s">
        <v>6337</v>
      </c>
      <c r="B2668" s="526" t="s">
        <v>6336</v>
      </c>
      <c r="C2668" s="527">
        <v>0.0</v>
      </c>
      <c r="D2668" s="527">
        <v>0.0</v>
      </c>
      <c r="F2668" s="36" t="s">
        <v>7807</v>
      </c>
      <c r="G2668" s="125" t="s">
        <v>893</v>
      </c>
      <c r="H2668" s="125" t="s">
        <v>7799</v>
      </c>
    </row>
    <row r="2669">
      <c r="A2669" s="125" t="s">
        <v>6339</v>
      </c>
      <c r="B2669" s="526" t="s">
        <v>6338</v>
      </c>
      <c r="C2669" s="527">
        <v>0.0</v>
      </c>
      <c r="D2669" s="527">
        <v>0.0</v>
      </c>
      <c r="F2669" s="36" t="s">
        <v>7798</v>
      </c>
      <c r="G2669" s="125" t="s">
        <v>893</v>
      </c>
      <c r="H2669" s="125" t="s">
        <v>7799</v>
      </c>
      <c r="I2669" t="s">
        <v>7806</v>
      </c>
    </row>
    <row r="2670">
      <c r="A2670" s="125" t="s">
        <v>6341</v>
      </c>
      <c r="B2670" s="526" t="s">
        <v>6340</v>
      </c>
      <c r="C2670" s="527">
        <v>0.0</v>
      </c>
      <c r="D2670" s="527">
        <v>0.0</v>
      </c>
      <c r="F2670" s="36" t="s">
        <v>7798</v>
      </c>
      <c r="G2670" s="125" t="s">
        <v>893</v>
      </c>
      <c r="H2670" s="125" t="s">
        <v>7801</v>
      </c>
      <c r="I2670" t="s">
        <v>7806</v>
      </c>
    </row>
    <row r="2671">
      <c r="A2671" s="125" t="s">
        <v>6343</v>
      </c>
      <c r="B2671" s="526" t="s">
        <v>6342</v>
      </c>
      <c r="C2671" s="527">
        <v>0.0</v>
      </c>
      <c r="D2671" s="527">
        <v>0.0</v>
      </c>
      <c r="F2671" s="36" t="s">
        <v>7798</v>
      </c>
      <c r="G2671" s="125" t="s">
        <v>893</v>
      </c>
      <c r="H2671" s="125" t="s">
        <v>7801</v>
      </c>
      <c r="I2671" t="s">
        <v>7806</v>
      </c>
    </row>
    <row r="2672">
      <c r="A2672" s="125" t="s">
        <v>6345</v>
      </c>
      <c r="B2672" s="526" t="s">
        <v>6344</v>
      </c>
      <c r="C2672" s="527">
        <v>744.0</v>
      </c>
      <c r="D2672" s="527">
        <v>242.53</v>
      </c>
      <c r="E2672" s="528">
        <v>0.326</v>
      </c>
      <c r="F2672" s="36" t="s">
        <v>7798</v>
      </c>
      <c r="G2672" s="125" t="s">
        <v>913</v>
      </c>
      <c r="H2672" s="125" t="s">
        <v>7801</v>
      </c>
      <c r="I2672" t="s">
        <v>7806</v>
      </c>
    </row>
    <row r="2673">
      <c r="A2673" s="125" t="s">
        <v>6347</v>
      </c>
      <c r="B2673" s="526" t="s">
        <v>6346</v>
      </c>
      <c r="C2673" s="527">
        <v>0.0</v>
      </c>
      <c r="D2673" s="527">
        <v>0.0</v>
      </c>
      <c r="F2673" s="36" t="s">
        <v>7798</v>
      </c>
      <c r="G2673" s="125" t="s">
        <v>893</v>
      </c>
      <c r="H2673" s="125" t="s">
        <v>7801</v>
      </c>
      <c r="I2673" t="s">
        <v>7806</v>
      </c>
    </row>
    <row r="2674">
      <c r="A2674" s="125" t="s">
        <v>6349</v>
      </c>
      <c r="B2674" s="526" t="s">
        <v>6348</v>
      </c>
      <c r="C2674" s="527">
        <v>90.0</v>
      </c>
      <c r="D2674" s="527">
        <v>29.71</v>
      </c>
      <c r="E2674" s="528">
        <v>0.3301</v>
      </c>
      <c r="F2674" s="36" t="s">
        <v>7798</v>
      </c>
      <c r="G2674" s="125" t="s">
        <v>913</v>
      </c>
      <c r="H2674" s="125" t="s">
        <v>7801</v>
      </c>
      <c r="I2674" t="s">
        <v>7806</v>
      </c>
    </row>
    <row r="2675">
      <c r="A2675" s="125" t="s">
        <v>6351</v>
      </c>
      <c r="B2675" s="526" t="s">
        <v>6350</v>
      </c>
      <c r="C2675" s="527">
        <v>0.0</v>
      </c>
      <c r="D2675" s="527">
        <v>0.0</v>
      </c>
      <c r="F2675" s="36" t="s">
        <v>7798</v>
      </c>
      <c r="G2675" s="125" t="s">
        <v>893</v>
      </c>
      <c r="H2675" s="125" t="s">
        <v>7801</v>
      </c>
      <c r="I2675" t="s">
        <v>7806</v>
      </c>
    </row>
    <row r="2676">
      <c r="A2676" s="125" t="s">
        <v>6353</v>
      </c>
      <c r="B2676" s="526" t="s">
        <v>6352</v>
      </c>
      <c r="C2676" s="527">
        <v>0.0</v>
      </c>
      <c r="D2676" s="527">
        <v>0.0</v>
      </c>
      <c r="F2676" s="36" t="s">
        <v>7798</v>
      </c>
      <c r="G2676" s="125" t="s">
        <v>893</v>
      </c>
      <c r="H2676" s="125" t="s">
        <v>7801</v>
      </c>
      <c r="I2676" t="s">
        <v>7806</v>
      </c>
    </row>
    <row r="2677">
      <c r="A2677" s="125" t="s">
        <v>6355</v>
      </c>
      <c r="B2677" s="526" t="s">
        <v>6354</v>
      </c>
      <c r="C2677" s="527">
        <v>0.0</v>
      </c>
      <c r="D2677" s="527">
        <v>0.0</v>
      </c>
      <c r="F2677" s="36" t="s">
        <v>7798</v>
      </c>
      <c r="G2677" s="125" t="s">
        <v>893</v>
      </c>
      <c r="H2677" s="125" t="s">
        <v>7801</v>
      </c>
      <c r="I2677" t="s">
        <v>7806</v>
      </c>
    </row>
    <row r="2678">
      <c r="A2678" s="125" t="s">
        <v>6357</v>
      </c>
      <c r="B2678" s="526" t="s">
        <v>6356</v>
      </c>
      <c r="C2678" s="527">
        <v>0.0</v>
      </c>
      <c r="D2678" s="527">
        <v>0.0</v>
      </c>
      <c r="F2678" s="36" t="s">
        <v>7798</v>
      </c>
      <c r="G2678" s="125" t="s">
        <v>893</v>
      </c>
      <c r="H2678" s="125" t="s">
        <v>7801</v>
      </c>
      <c r="I2678" t="s">
        <v>7806</v>
      </c>
    </row>
    <row r="2679">
      <c r="A2679" s="125" t="s">
        <v>6359</v>
      </c>
      <c r="B2679" s="526" t="s">
        <v>6358</v>
      </c>
      <c r="C2679" s="527">
        <v>60.0</v>
      </c>
      <c r="D2679" s="527">
        <v>19.98</v>
      </c>
      <c r="E2679" s="528">
        <v>0.333</v>
      </c>
      <c r="F2679" s="36" t="s">
        <v>7798</v>
      </c>
      <c r="G2679" s="125" t="s">
        <v>913</v>
      </c>
      <c r="H2679" s="125" t="s">
        <v>7801</v>
      </c>
      <c r="I2679" t="s">
        <v>7806</v>
      </c>
    </row>
    <row r="2680">
      <c r="A2680" s="125" t="s">
        <v>730</v>
      </c>
      <c r="B2680" s="526" t="s">
        <v>731</v>
      </c>
      <c r="C2680" s="527">
        <v>839.0</v>
      </c>
      <c r="D2680" s="527">
        <v>2095.4</v>
      </c>
      <c r="E2680" s="528">
        <v>2.4975</v>
      </c>
      <c r="F2680" s="36" t="s">
        <v>7798</v>
      </c>
      <c r="G2680" s="125" t="s">
        <v>913</v>
      </c>
      <c r="H2680" s="125" t="s">
        <v>569</v>
      </c>
      <c r="I2680" t="s">
        <v>725</v>
      </c>
    </row>
    <row r="2681">
      <c r="A2681" s="125" t="s">
        <v>6361</v>
      </c>
      <c r="B2681" s="526" t="s">
        <v>6360</v>
      </c>
      <c r="C2681" s="527">
        <v>610.0</v>
      </c>
      <c r="D2681" s="527">
        <v>1577.33</v>
      </c>
      <c r="E2681" s="528">
        <v>2.5858</v>
      </c>
      <c r="F2681" s="36" t="s">
        <v>7798</v>
      </c>
      <c r="G2681" s="125" t="s">
        <v>913</v>
      </c>
      <c r="H2681" s="125" t="s">
        <v>7808</v>
      </c>
      <c r="I2681" t="s">
        <v>725</v>
      </c>
    </row>
    <row r="2682">
      <c r="A2682" s="125" t="s">
        <v>728</v>
      </c>
      <c r="B2682" s="526" t="s">
        <v>729</v>
      </c>
      <c r="C2682" s="527">
        <v>912.0</v>
      </c>
      <c r="D2682" s="527">
        <v>2277.72</v>
      </c>
      <c r="E2682" s="528">
        <v>2.4975</v>
      </c>
      <c r="F2682" s="36" t="s">
        <v>7798</v>
      </c>
      <c r="G2682" s="125" t="s">
        <v>913</v>
      </c>
      <c r="H2682" s="125" t="s">
        <v>569</v>
      </c>
      <c r="I2682" t="s">
        <v>725</v>
      </c>
    </row>
    <row r="2683">
      <c r="A2683" s="125" t="s">
        <v>6363</v>
      </c>
      <c r="B2683" s="526" t="s">
        <v>6362</v>
      </c>
      <c r="C2683" s="527">
        <v>575.0</v>
      </c>
      <c r="D2683" s="527">
        <v>1486.86</v>
      </c>
      <c r="E2683" s="528">
        <v>2.5858</v>
      </c>
      <c r="F2683" s="36" t="s">
        <v>7798</v>
      </c>
      <c r="G2683" s="125" t="s">
        <v>913</v>
      </c>
      <c r="H2683" s="125" t="s">
        <v>7808</v>
      </c>
      <c r="I2683" t="s">
        <v>725</v>
      </c>
    </row>
    <row r="2684">
      <c r="A2684" s="125" t="s">
        <v>6365</v>
      </c>
      <c r="B2684" s="526" t="s">
        <v>6364</v>
      </c>
      <c r="C2684" s="527">
        <v>445.0</v>
      </c>
      <c r="D2684" s="527">
        <v>1150.43</v>
      </c>
      <c r="E2684" s="528">
        <v>2.5852</v>
      </c>
      <c r="F2684" s="36" t="s">
        <v>7798</v>
      </c>
      <c r="G2684" s="125" t="s">
        <v>913</v>
      </c>
      <c r="H2684" s="125" t="s">
        <v>7808</v>
      </c>
      <c r="I2684" t="s">
        <v>725</v>
      </c>
    </row>
    <row r="2685">
      <c r="A2685" s="125" t="s">
        <v>726</v>
      </c>
      <c r="B2685" s="526" t="s">
        <v>727</v>
      </c>
      <c r="C2685" s="527">
        <v>956.0</v>
      </c>
      <c r="D2685" s="527">
        <v>2387.61</v>
      </c>
      <c r="E2685" s="528">
        <v>2.4975</v>
      </c>
      <c r="F2685" s="36" t="s">
        <v>7798</v>
      </c>
      <c r="G2685" s="125" t="s">
        <v>913</v>
      </c>
      <c r="H2685" s="125" t="s">
        <v>569</v>
      </c>
      <c r="I2685" t="s">
        <v>725</v>
      </c>
    </row>
    <row r="2686">
      <c r="A2686" s="125" t="s">
        <v>6367</v>
      </c>
      <c r="B2686" s="526" t="s">
        <v>6366</v>
      </c>
      <c r="C2686" s="527">
        <v>531.0</v>
      </c>
      <c r="D2686" s="527">
        <v>1373.01</v>
      </c>
      <c r="E2686" s="528">
        <v>2.5857</v>
      </c>
      <c r="F2686" s="36" t="s">
        <v>7798</v>
      </c>
      <c r="G2686" s="125" t="s">
        <v>913</v>
      </c>
      <c r="H2686" s="125" t="s">
        <v>7801</v>
      </c>
      <c r="I2686" t="s">
        <v>725</v>
      </c>
    </row>
    <row r="2687">
      <c r="A2687" s="125" t="s">
        <v>6371</v>
      </c>
      <c r="B2687" s="526" t="s">
        <v>6370</v>
      </c>
      <c r="C2687" s="527">
        <v>522.0</v>
      </c>
      <c r="D2687" s="527">
        <v>287.1</v>
      </c>
      <c r="E2687" s="528">
        <v>0.55</v>
      </c>
      <c r="F2687" s="36" t="s">
        <v>7798</v>
      </c>
      <c r="G2687" s="125" t="s">
        <v>913</v>
      </c>
      <c r="H2687" s="125" t="s">
        <v>7821</v>
      </c>
      <c r="I2687" t="s">
        <v>7823</v>
      </c>
    </row>
    <row r="2688">
      <c r="A2688" s="125" t="s">
        <v>6373</v>
      </c>
      <c r="B2688" s="526" t="s">
        <v>6372</v>
      </c>
      <c r="C2688" s="527">
        <v>462.0</v>
      </c>
      <c r="D2688" s="527">
        <v>231.0</v>
      </c>
      <c r="E2688" s="528">
        <v>0.5</v>
      </c>
      <c r="F2688" s="36" t="s">
        <v>7798</v>
      </c>
      <c r="G2688" s="125" t="s">
        <v>913</v>
      </c>
      <c r="H2688" s="125" t="s">
        <v>7821</v>
      </c>
      <c r="I2688" t="s">
        <v>7838</v>
      </c>
    </row>
    <row r="2689">
      <c r="A2689" s="125" t="s">
        <v>6377</v>
      </c>
      <c r="B2689" s="526" t="s">
        <v>6376</v>
      </c>
      <c r="C2689" s="527">
        <v>102.0</v>
      </c>
      <c r="D2689" s="527">
        <v>43.86</v>
      </c>
      <c r="E2689" s="528">
        <v>0.43</v>
      </c>
      <c r="F2689" s="36" t="s">
        <v>7798</v>
      </c>
      <c r="G2689" s="125" t="s">
        <v>913</v>
      </c>
      <c r="H2689" s="125" t="s">
        <v>7821</v>
      </c>
      <c r="I2689" t="s">
        <v>7834</v>
      </c>
    </row>
    <row r="2690">
      <c r="A2690" s="125" t="s">
        <v>6379</v>
      </c>
      <c r="B2690" s="526" t="s">
        <v>6378</v>
      </c>
      <c r="C2690" s="527">
        <v>0.0</v>
      </c>
      <c r="D2690" s="527">
        <v>0.0</v>
      </c>
      <c r="F2690" s="36" t="s">
        <v>7798</v>
      </c>
      <c r="G2690" s="125" t="s">
        <v>893</v>
      </c>
      <c r="H2690" s="125" t="s">
        <v>7799</v>
      </c>
      <c r="I2690" t="s">
        <v>7804</v>
      </c>
    </row>
    <row r="2691">
      <c r="A2691" s="125" t="s">
        <v>6381</v>
      </c>
      <c r="B2691" s="526" t="s">
        <v>6380</v>
      </c>
      <c r="C2691" s="527">
        <v>0.0</v>
      </c>
      <c r="D2691" s="527">
        <v>0.0</v>
      </c>
      <c r="F2691" s="36" t="s">
        <v>7798</v>
      </c>
      <c r="G2691" s="125" t="s">
        <v>893</v>
      </c>
      <c r="H2691" s="125" t="s">
        <v>7799</v>
      </c>
      <c r="I2691" t="s">
        <v>7804</v>
      </c>
    </row>
    <row r="2692">
      <c r="A2692" s="125" t="s">
        <v>6383</v>
      </c>
      <c r="B2692" s="526" t="s">
        <v>6382</v>
      </c>
      <c r="C2692" s="527">
        <v>493.0</v>
      </c>
      <c r="D2692" s="527">
        <v>271.15</v>
      </c>
      <c r="E2692" s="528">
        <v>0.55</v>
      </c>
      <c r="F2692" s="36" t="s">
        <v>7798</v>
      </c>
      <c r="G2692" s="125" t="s">
        <v>913</v>
      </c>
      <c r="H2692" s="125" t="s">
        <v>7821</v>
      </c>
      <c r="I2692" t="s">
        <v>7823</v>
      </c>
    </row>
    <row r="2693">
      <c r="A2693" s="125" t="s">
        <v>6385</v>
      </c>
      <c r="B2693" s="526" t="s">
        <v>6384</v>
      </c>
      <c r="C2693" s="527">
        <v>463.0</v>
      </c>
      <c r="D2693" s="527">
        <v>231.5</v>
      </c>
      <c r="E2693" s="528">
        <v>0.5</v>
      </c>
      <c r="F2693" s="36" t="s">
        <v>7798</v>
      </c>
      <c r="G2693" s="125" t="s">
        <v>913</v>
      </c>
      <c r="H2693" s="125" t="s">
        <v>7821</v>
      </c>
      <c r="I2693" t="s">
        <v>7838</v>
      </c>
    </row>
    <row r="2694">
      <c r="A2694" s="125" t="s">
        <v>6387</v>
      </c>
      <c r="B2694" s="526" t="s">
        <v>6386</v>
      </c>
      <c r="C2694" s="527">
        <v>491.0</v>
      </c>
      <c r="D2694" s="527">
        <v>265.14</v>
      </c>
      <c r="E2694" s="528">
        <v>0.54</v>
      </c>
      <c r="F2694" s="36" t="s">
        <v>7798</v>
      </c>
      <c r="G2694" s="125" t="s">
        <v>913</v>
      </c>
      <c r="H2694" s="125" t="s">
        <v>7821</v>
      </c>
      <c r="I2694" t="s">
        <v>7834</v>
      </c>
    </row>
    <row r="2695">
      <c r="A2695" s="125" t="s">
        <v>307</v>
      </c>
      <c r="B2695" s="526" t="s">
        <v>308</v>
      </c>
      <c r="C2695" s="527">
        <v>279.0</v>
      </c>
      <c r="D2695" s="527">
        <v>2152.76</v>
      </c>
      <c r="E2695" s="528">
        <v>7.716</v>
      </c>
      <c r="F2695" s="36" t="s">
        <v>7798</v>
      </c>
      <c r="G2695" s="125" t="s">
        <v>913</v>
      </c>
      <c r="H2695" s="125" t="s">
        <v>569</v>
      </c>
      <c r="I2695" t="s">
        <v>278</v>
      </c>
    </row>
    <row r="2696">
      <c r="A2696" s="125" t="s">
        <v>311</v>
      </c>
      <c r="B2696" s="526" t="s">
        <v>312</v>
      </c>
      <c r="C2696" s="527">
        <v>333.0</v>
      </c>
      <c r="D2696" s="527">
        <v>2569.49</v>
      </c>
      <c r="E2696" s="528">
        <v>7.7162</v>
      </c>
      <c r="F2696" s="36" t="s">
        <v>7798</v>
      </c>
      <c r="G2696" s="125" t="s">
        <v>913</v>
      </c>
      <c r="H2696" s="125" t="s">
        <v>569</v>
      </c>
      <c r="I2696" t="s">
        <v>278</v>
      </c>
    </row>
    <row r="2697">
      <c r="A2697" s="125" t="s">
        <v>305</v>
      </c>
      <c r="B2697" s="526" t="s">
        <v>306</v>
      </c>
      <c r="C2697" s="527">
        <v>995.0</v>
      </c>
      <c r="D2697" s="527">
        <v>6880.58</v>
      </c>
      <c r="E2697" s="528">
        <v>6.9152</v>
      </c>
      <c r="F2697" s="36" t="s">
        <v>7798</v>
      </c>
      <c r="G2697" s="125" t="s">
        <v>913</v>
      </c>
      <c r="H2697" s="125" t="s">
        <v>569</v>
      </c>
      <c r="I2697" t="s">
        <v>278</v>
      </c>
    </row>
    <row r="2698">
      <c r="A2698" s="125" t="s">
        <v>309</v>
      </c>
      <c r="B2698" s="526" t="s">
        <v>310</v>
      </c>
      <c r="C2698" s="527">
        <v>317.0</v>
      </c>
      <c r="D2698" s="527">
        <v>2446.02</v>
      </c>
      <c r="E2698" s="528">
        <v>7.7162</v>
      </c>
      <c r="F2698" s="36" t="s">
        <v>7798</v>
      </c>
      <c r="G2698" s="125" t="s">
        <v>913</v>
      </c>
      <c r="H2698" s="125" t="s">
        <v>7801</v>
      </c>
      <c r="I2698" t="s">
        <v>278</v>
      </c>
    </row>
    <row r="2699">
      <c r="A2699" s="125" t="s">
        <v>295</v>
      </c>
      <c r="B2699" s="526" t="s">
        <v>296</v>
      </c>
      <c r="C2699" s="527">
        <v>500.0</v>
      </c>
      <c r="D2699" s="527">
        <v>2090.75</v>
      </c>
      <c r="E2699" s="528">
        <v>4.1815</v>
      </c>
      <c r="F2699" s="36" t="s">
        <v>7798</v>
      </c>
      <c r="G2699" s="125" t="s">
        <v>913</v>
      </c>
      <c r="H2699" s="125" t="s">
        <v>569</v>
      </c>
      <c r="I2699" t="s">
        <v>278</v>
      </c>
    </row>
    <row r="2700">
      <c r="A2700" s="125" t="s">
        <v>6389</v>
      </c>
      <c r="B2700" s="526" t="s">
        <v>6388</v>
      </c>
      <c r="C2700" s="527">
        <v>1.0</v>
      </c>
      <c r="D2700" s="527">
        <v>4.47</v>
      </c>
      <c r="E2700" s="528">
        <v>4.47</v>
      </c>
      <c r="F2700" s="36" t="s">
        <v>7798</v>
      </c>
      <c r="G2700" s="125" t="s">
        <v>913</v>
      </c>
      <c r="H2700" s="125" t="s">
        <v>7801</v>
      </c>
      <c r="I2700" t="s">
        <v>278</v>
      </c>
    </row>
    <row r="2701">
      <c r="A2701" s="125" t="s">
        <v>786</v>
      </c>
      <c r="B2701" s="526" t="s">
        <v>787</v>
      </c>
      <c r="C2701" s="527">
        <v>221.0</v>
      </c>
      <c r="D2701" s="527">
        <v>1007.59</v>
      </c>
      <c r="E2701" s="528">
        <v>4.5592</v>
      </c>
      <c r="F2701" s="36" t="s">
        <v>7798</v>
      </c>
      <c r="G2701" s="125" t="s">
        <v>913</v>
      </c>
      <c r="H2701" s="125" t="s">
        <v>569</v>
      </c>
      <c r="I2701" t="s">
        <v>278</v>
      </c>
    </row>
    <row r="2702">
      <c r="A2702" s="125" t="s">
        <v>784</v>
      </c>
      <c r="B2702" s="526" t="s">
        <v>785</v>
      </c>
      <c r="C2702" s="527">
        <v>348.0</v>
      </c>
      <c r="D2702" s="527">
        <v>1586.71</v>
      </c>
      <c r="E2702" s="528">
        <v>4.5595</v>
      </c>
      <c r="F2702" s="36" t="s">
        <v>7798</v>
      </c>
      <c r="G2702" s="125" t="s">
        <v>913</v>
      </c>
      <c r="H2702" s="125" t="s">
        <v>569</v>
      </c>
      <c r="I2702" t="s">
        <v>278</v>
      </c>
    </row>
    <row r="2703">
      <c r="A2703" s="125" t="s">
        <v>283</v>
      </c>
      <c r="B2703" s="526" t="s">
        <v>284</v>
      </c>
      <c r="C2703" s="527">
        <v>504.0</v>
      </c>
      <c r="D2703" s="527">
        <v>2351.95</v>
      </c>
      <c r="E2703" s="528">
        <v>4.6666</v>
      </c>
      <c r="F2703" s="36" t="s">
        <v>7798</v>
      </c>
      <c r="G2703" s="125" t="s">
        <v>913</v>
      </c>
      <c r="H2703" s="125" t="s">
        <v>569</v>
      </c>
      <c r="I2703" t="s">
        <v>278</v>
      </c>
    </row>
    <row r="2704">
      <c r="A2704" s="125" t="s">
        <v>297</v>
      </c>
      <c r="B2704" s="526" t="s">
        <v>298</v>
      </c>
      <c r="C2704" s="527">
        <v>411.0</v>
      </c>
      <c r="D2704" s="527">
        <v>1718.76</v>
      </c>
      <c r="E2704" s="528">
        <v>4.1819</v>
      </c>
      <c r="F2704" s="36" t="s">
        <v>7798</v>
      </c>
      <c r="G2704" s="125" t="s">
        <v>913</v>
      </c>
      <c r="H2704" s="125" t="s">
        <v>569</v>
      </c>
      <c r="I2704" t="s">
        <v>278</v>
      </c>
    </row>
    <row r="2705">
      <c r="A2705" s="125" t="s">
        <v>285</v>
      </c>
      <c r="B2705" s="526" t="s">
        <v>286</v>
      </c>
      <c r="C2705" s="527">
        <v>245.0</v>
      </c>
      <c r="D2705" s="527">
        <v>1096.06</v>
      </c>
      <c r="E2705" s="528">
        <v>4.4737</v>
      </c>
      <c r="F2705" s="36" t="s">
        <v>7798</v>
      </c>
      <c r="G2705" s="125" t="s">
        <v>913</v>
      </c>
      <c r="H2705" s="125" t="s">
        <v>569</v>
      </c>
      <c r="I2705" t="s">
        <v>278</v>
      </c>
    </row>
    <row r="2706">
      <c r="A2706" s="125" t="s">
        <v>301</v>
      </c>
      <c r="B2706" s="526" t="s">
        <v>302</v>
      </c>
      <c r="C2706" s="527">
        <v>504.0</v>
      </c>
      <c r="D2706" s="527">
        <v>2107.73</v>
      </c>
      <c r="E2706" s="528">
        <v>4.182</v>
      </c>
      <c r="F2706" s="36" t="s">
        <v>7798</v>
      </c>
      <c r="G2706" s="125" t="s">
        <v>913</v>
      </c>
      <c r="H2706" s="125" t="s">
        <v>569</v>
      </c>
      <c r="I2706" t="s">
        <v>278</v>
      </c>
    </row>
    <row r="2707">
      <c r="A2707" s="125" t="s">
        <v>287</v>
      </c>
      <c r="B2707" s="526" t="s">
        <v>288</v>
      </c>
      <c r="C2707" s="527">
        <v>440.0</v>
      </c>
      <c r="D2707" s="527">
        <v>2053.24</v>
      </c>
      <c r="E2707" s="528">
        <v>4.6665</v>
      </c>
      <c r="F2707" s="36" t="s">
        <v>7798</v>
      </c>
      <c r="G2707" s="125" t="s">
        <v>913</v>
      </c>
      <c r="H2707" s="125" t="s">
        <v>569</v>
      </c>
      <c r="I2707" t="s">
        <v>278</v>
      </c>
    </row>
    <row r="2708">
      <c r="A2708" s="125" t="s">
        <v>6393</v>
      </c>
      <c r="B2708" s="526" t="s">
        <v>6392</v>
      </c>
      <c r="C2708" s="527">
        <v>0.0</v>
      </c>
      <c r="D2708" s="527">
        <v>0.0</v>
      </c>
      <c r="F2708" s="36" t="s">
        <v>7798</v>
      </c>
      <c r="G2708" s="125" t="s">
        <v>893</v>
      </c>
      <c r="H2708" s="125" t="s">
        <v>7801</v>
      </c>
      <c r="I2708" t="s">
        <v>278</v>
      </c>
    </row>
    <row r="2709">
      <c r="A2709" s="125" t="s">
        <v>291</v>
      </c>
      <c r="B2709" s="526" t="s">
        <v>292</v>
      </c>
      <c r="C2709" s="527">
        <v>544.0</v>
      </c>
      <c r="D2709" s="527">
        <v>2541.88</v>
      </c>
      <c r="E2709" s="528">
        <v>4.6726</v>
      </c>
      <c r="F2709" s="36" t="s">
        <v>7798</v>
      </c>
      <c r="G2709" s="125" t="s">
        <v>913</v>
      </c>
      <c r="H2709" s="125" t="s">
        <v>569</v>
      </c>
      <c r="I2709" t="s">
        <v>278</v>
      </c>
    </row>
    <row r="2710">
      <c r="A2710" s="125" t="s">
        <v>303</v>
      </c>
      <c r="B2710" s="526" t="s">
        <v>304</v>
      </c>
      <c r="C2710" s="527">
        <v>282.0</v>
      </c>
      <c r="D2710" s="527">
        <v>1179.21</v>
      </c>
      <c r="E2710" s="528">
        <v>4.1816</v>
      </c>
      <c r="F2710" s="36" t="s">
        <v>7798</v>
      </c>
      <c r="G2710" s="125" t="s">
        <v>913</v>
      </c>
      <c r="H2710" s="125" t="s">
        <v>569</v>
      </c>
      <c r="I2710" t="s">
        <v>278</v>
      </c>
    </row>
    <row r="2711">
      <c r="A2711" s="125" t="s">
        <v>782</v>
      </c>
      <c r="B2711" s="526" t="s">
        <v>783</v>
      </c>
      <c r="C2711" s="527">
        <v>372.0</v>
      </c>
      <c r="D2711" s="527">
        <v>1696.17</v>
      </c>
      <c r="E2711" s="528">
        <v>4.5596</v>
      </c>
      <c r="F2711" s="36" t="s">
        <v>7798</v>
      </c>
      <c r="G2711" s="125" t="s">
        <v>913</v>
      </c>
      <c r="H2711" s="125" t="s">
        <v>569</v>
      </c>
      <c r="I2711" t="s">
        <v>278</v>
      </c>
    </row>
    <row r="2712">
      <c r="A2712" s="125" t="s">
        <v>279</v>
      </c>
      <c r="B2712" s="526" t="s">
        <v>280</v>
      </c>
      <c r="C2712" s="527">
        <v>367.0</v>
      </c>
      <c r="D2712" s="527">
        <v>1712.46</v>
      </c>
      <c r="E2712" s="528">
        <v>4.6661</v>
      </c>
      <c r="F2712" s="36" t="s">
        <v>7798</v>
      </c>
      <c r="G2712" s="125" t="s">
        <v>913</v>
      </c>
      <c r="H2712" s="125" t="s">
        <v>569</v>
      </c>
      <c r="I2712" t="s">
        <v>278</v>
      </c>
    </row>
    <row r="2713">
      <c r="A2713" s="125" t="s">
        <v>299</v>
      </c>
      <c r="B2713" s="526" t="s">
        <v>300</v>
      </c>
      <c r="C2713" s="527">
        <v>64.0</v>
      </c>
      <c r="D2713" s="527">
        <v>267.46</v>
      </c>
      <c r="E2713" s="528">
        <v>4.1791</v>
      </c>
      <c r="F2713" s="36" t="s">
        <v>7798</v>
      </c>
      <c r="G2713" s="125" t="s">
        <v>913</v>
      </c>
      <c r="H2713" s="125" t="s">
        <v>569</v>
      </c>
      <c r="I2713" t="s">
        <v>278</v>
      </c>
    </row>
    <row r="2714">
      <c r="A2714" s="125" t="s">
        <v>780</v>
      </c>
      <c r="B2714" s="526" t="s">
        <v>781</v>
      </c>
      <c r="C2714" s="527">
        <v>405.0</v>
      </c>
      <c r="D2714" s="527">
        <v>1846.63</v>
      </c>
      <c r="E2714" s="528">
        <v>4.5596</v>
      </c>
      <c r="F2714" s="36" t="s">
        <v>7798</v>
      </c>
      <c r="G2714" s="125" t="s">
        <v>913</v>
      </c>
      <c r="H2714" s="125" t="s">
        <v>569</v>
      </c>
      <c r="I2714" t="s">
        <v>278</v>
      </c>
    </row>
    <row r="2715">
      <c r="A2715" s="125" t="s">
        <v>289</v>
      </c>
      <c r="B2715" s="526" t="s">
        <v>290</v>
      </c>
      <c r="C2715" s="527">
        <v>505.0</v>
      </c>
      <c r="D2715" s="527">
        <v>2356.48</v>
      </c>
      <c r="E2715" s="528">
        <v>4.6663</v>
      </c>
      <c r="F2715" s="36" t="s">
        <v>7798</v>
      </c>
      <c r="G2715" s="125" t="s">
        <v>913</v>
      </c>
      <c r="H2715" s="125" t="s">
        <v>7801</v>
      </c>
      <c r="I2715" t="s">
        <v>278</v>
      </c>
    </row>
    <row r="2716">
      <c r="A2716" s="125" t="s">
        <v>281</v>
      </c>
      <c r="B2716" s="526" t="s">
        <v>282</v>
      </c>
      <c r="C2716" s="527">
        <v>494.0</v>
      </c>
      <c r="D2716" s="527">
        <v>2304.69</v>
      </c>
      <c r="E2716" s="528">
        <v>4.6654</v>
      </c>
      <c r="F2716" s="36" t="s">
        <v>7798</v>
      </c>
      <c r="G2716" s="125" t="s">
        <v>913</v>
      </c>
      <c r="H2716" s="125" t="s">
        <v>569</v>
      </c>
      <c r="I2716" t="s">
        <v>278</v>
      </c>
    </row>
    <row r="2717">
      <c r="A2717" s="125" t="s">
        <v>580</v>
      </c>
      <c r="B2717" s="526" t="s">
        <v>581</v>
      </c>
      <c r="C2717" s="527">
        <v>320.0</v>
      </c>
      <c r="D2717" s="527">
        <v>1338.16</v>
      </c>
      <c r="E2717" s="528">
        <v>4.1818</v>
      </c>
      <c r="F2717" s="36" t="s">
        <v>7798</v>
      </c>
      <c r="G2717" s="125" t="s">
        <v>913</v>
      </c>
      <c r="H2717" s="125" t="s">
        <v>569</v>
      </c>
      <c r="I2717" t="s">
        <v>278</v>
      </c>
    </row>
    <row r="2718">
      <c r="A2718" s="125" t="s">
        <v>293</v>
      </c>
      <c r="B2718" s="526" t="s">
        <v>294</v>
      </c>
      <c r="C2718" s="527">
        <v>4.0</v>
      </c>
      <c r="D2718" s="527">
        <v>18.8</v>
      </c>
      <c r="E2718" s="528">
        <v>4.7</v>
      </c>
      <c r="F2718" s="36" t="s">
        <v>7798</v>
      </c>
      <c r="G2718" s="125" t="s">
        <v>913</v>
      </c>
      <c r="H2718" s="125" t="s">
        <v>7801</v>
      </c>
      <c r="I2718" t="s">
        <v>278</v>
      </c>
    </row>
    <row r="2719">
      <c r="A2719" s="125" t="s">
        <v>788</v>
      </c>
      <c r="B2719" s="526" t="s">
        <v>789</v>
      </c>
      <c r="C2719" s="527">
        <v>0.0</v>
      </c>
      <c r="D2719" s="527">
        <v>0.0</v>
      </c>
      <c r="F2719" s="36" t="s">
        <v>7798</v>
      </c>
      <c r="G2719" s="125" t="s">
        <v>913</v>
      </c>
      <c r="H2719" s="125" t="s">
        <v>569</v>
      </c>
      <c r="I2719" t="s">
        <v>278</v>
      </c>
    </row>
    <row r="2720">
      <c r="A2720" s="125" t="s">
        <v>393</v>
      </c>
      <c r="B2720" s="526" t="s">
        <v>394</v>
      </c>
      <c r="C2720" s="527">
        <v>467.0</v>
      </c>
      <c r="D2720" s="527">
        <v>1299.74</v>
      </c>
      <c r="E2720" s="528">
        <v>2.7832</v>
      </c>
      <c r="F2720" s="36" t="s">
        <v>7798</v>
      </c>
      <c r="G2720" s="125" t="s">
        <v>913</v>
      </c>
      <c r="H2720" s="125" t="s">
        <v>569</v>
      </c>
      <c r="I2720" t="s">
        <v>378</v>
      </c>
    </row>
    <row r="2721">
      <c r="A2721" s="125" t="s">
        <v>6397</v>
      </c>
      <c r="B2721" s="526" t="s">
        <v>6396</v>
      </c>
      <c r="C2721" s="527">
        <v>0.0</v>
      </c>
      <c r="D2721" s="527">
        <v>0.0</v>
      </c>
      <c r="F2721" s="36" t="s">
        <v>7798</v>
      </c>
      <c r="G2721" s="125" t="s">
        <v>893</v>
      </c>
      <c r="H2721" s="125" t="s">
        <v>7799</v>
      </c>
      <c r="I2721" t="s">
        <v>7826</v>
      </c>
    </row>
    <row r="2722">
      <c r="A2722" s="125" t="s">
        <v>6399</v>
      </c>
      <c r="B2722" s="526" t="s">
        <v>6398</v>
      </c>
      <c r="C2722" s="527">
        <v>0.0</v>
      </c>
      <c r="D2722" s="527">
        <v>0.0</v>
      </c>
      <c r="F2722" s="36" t="s">
        <v>7798</v>
      </c>
      <c r="G2722" s="125" t="s">
        <v>893</v>
      </c>
      <c r="H2722" s="125" t="s">
        <v>7799</v>
      </c>
      <c r="I2722" t="s">
        <v>7825</v>
      </c>
    </row>
    <row r="2723">
      <c r="A2723" s="125" t="s">
        <v>383</v>
      </c>
      <c r="B2723" s="526" t="s">
        <v>384</v>
      </c>
      <c r="C2723" s="527">
        <v>48.0</v>
      </c>
      <c r="D2723" s="527">
        <v>154.59</v>
      </c>
      <c r="E2723" s="528">
        <v>3.2206</v>
      </c>
      <c r="F2723" s="36" t="s">
        <v>7798</v>
      </c>
      <c r="G2723" s="125" t="s">
        <v>913</v>
      </c>
      <c r="H2723" s="125" t="s">
        <v>569</v>
      </c>
      <c r="I2723" t="s">
        <v>378</v>
      </c>
    </row>
    <row r="2724">
      <c r="A2724" s="125" t="s">
        <v>395</v>
      </c>
      <c r="B2724" s="526" t="s">
        <v>396</v>
      </c>
      <c r="C2724" s="527">
        <v>667.0</v>
      </c>
      <c r="D2724" s="527">
        <v>1932.48</v>
      </c>
      <c r="E2724" s="528">
        <v>2.8973</v>
      </c>
      <c r="F2724" s="36" t="s">
        <v>7798</v>
      </c>
      <c r="G2724" s="125" t="s">
        <v>913</v>
      </c>
      <c r="H2724" s="125" t="s">
        <v>569</v>
      </c>
      <c r="I2724" t="s">
        <v>378</v>
      </c>
    </row>
    <row r="2725">
      <c r="A2725" s="125" t="s">
        <v>6405</v>
      </c>
      <c r="B2725" s="526" t="s">
        <v>6404</v>
      </c>
      <c r="C2725" s="527">
        <v>0.0</v>
      </c>
      <c r="D2725" s="527">
        <v>0.0</v>
      </c>
      <c r="F2725" s="36" t="s">
        <v>7798</v>
      </c>
      <c r="G2725" s="125" t="s">
        <v>893</v>
      </c>
      <c r="H2725" s="125" t="s">
        <v>7799</v>
      </c>
      <c r="I2725" t="s">
        <v>7826</v>
      </c>
    </row>
    <row r="2726">
      <c r="A2726" s="125" t="s">
        <v>6407</v>
      </c>
      <c r="B2726" s="526" t="s">
        <v>6406</v>
      </c>
      <c r="C2726" s="527">
        <v>0.0</v>
      </c>
      <c r="D2726" s="527">
        <v>0.0</v>
      </c>
      <c r="F2726" s="36" t="s">
        <v>7798</v>
      </c>
      <c r="G2726" s="125" t="s">
        <v>893</v>
      </c>
      <c r="H2726" s="125" t="s">
        <v>7799</v>
      </c>
      <c r="I2726" t="s">
        <v>7826</v>
      </c>
    </row>
    <row r="2727">
      <c r="A2727" s="125" t="s">
        <v>6409</v>
      </c>
      <c r="B2727" s="526" t="s">
        <v>6408</v>
      </c>
      <c r="C2727" s="527">
        <v>0.0</v>
      </c>
      <c r="D2727" s="527">
        <v>0.0</v>
      </c>
      <c r="F2727" s="36" t="s">
        <v>7798</v>
      </c>
      <c r="G2727" s="125" t="s">
        <v>893</v>
      </c>
      <c r="H2727" s="125" t="s">
        <v>7799</v>
      </c>
      <c r="I2727" t="s">
        <v>7826</v>
      </c>
    </row>
    <row r="2728">
      <c r="A2728" s="125" t="s">
        <v>385</v>
      </c>
      <c r="B2728" s="526" t="s">
        <v>386</v>
      </c>
      <c r="C2728" s="527">
        <v>214.0</v>
      </c>
      <c r="D2728" s="527">
        <v>687.88</v>
      </c>
      <c r="E2728" s="528">
        <v>3.2144</v>
      </c>
      <c r="F2728" s="36" t="s">
        <v>7798</v>
      </c>
      <c r="G2728" s="125" t="s">
        <v>913</v>
      </c>
      <c r="H2728" s="125" t="s">
        <v>569</v>
      </c>
      <c r="I2728" t="s">
        <v>378</v>
      </c>
    </row>
    <row r="2729">
      <c r="A2729" s="125" t="s">
        <v>391</v>
      </c>
      <c r="B2729" s="526" t="s">
        <v>392</v>
      </c>
      <c r="C2729" s="527">
        <v>442.0</v>
      </c>
      <c r="D2729" s="527">
        <v>1437.69</v>
      </c>
      <c r="E2729" s="528">
        <v>3.2527</v>
      </c>
      <c r="F2729" s="36" t="s">
        <v>7798</v>
      </c>
      <c r="G2729" s="125" t="s">
        <v>913</v>
      </c>
      <c r="H2729" s="125" t="s">
        <v>569</v>
      </c>
      <c r="I2729" t="s">
        <v>378</v>
      </c>
    </row>
    <row r="2730">
      <c r="A2730" s="125" t="s">
        <v>6415</v>
      </c>
      <c r="B2730" s="526" t="s">
        <v>6414</v>
      </c>
      <c r="C2730" s="527">
        <v>0.0</v>
      </c>
      <c r="D2730" s="527">
        <v>0.0</v>
      </c>
      <c r="F2730" s="36" t="s">
        <v>7798</v>
      </c>
      <c r="G2730" s="125" t="s">
        <v>893</v>
      </c>
      <c r="H2730" s="125" t="s">
        <v>7799</v>
      </c>
      <c r="I2730" t="s">
        <v>7826</v>
      </c>
    </row>
    <row r="2731">
      <c r="A2731" s="125" t="s">
        <v>387</v>
      </c>
      <c r="B2731" s="526" t="s">
        <v>388</v>
      </c>
      <c r="C2731" s="527">
        <v>60.0</v>
      </c>
      <c r="D2731" s="527">
        <v>193.16</v>
      </c>
      <c r="E2731" s="528">
        <v>3.2193</v>
      </c>
      <c r="F2731" s="36" t="s">
        <v>7798</v>
      </c>
      <c r="G2731" s="125" t="s">
        <v>913</v>
      </c>
      <c r="H2731" s="125" t="s">
        <v>569</v>
      </c>
      <c r="I2731" t="s">
        <v>378</v>
      </c>
    </row>
    <row r="2732">
      <c r="A2732" s="125" t="s">
        <v>6417</v>
      </c>
      <c r="B2732" s="526" t="s">
        <v>6416</v>
      </c>
      <c r="C2732" s="527">
        <v>0.0</v>
      </c>
      <c r="D2732" s="527">
        <v>0.0</v>
      </c>
      <c r="F2732" s="36" t="s">
        <v>7798</v>
      </c>
      <c r="G2732" s="125" t="s">
        <v>893</v>
      </c>
      <c r="H2732" s="125" t="s">
        <v>7799</v>
      </c>
      <c r="I2732" t="s">
        <v>7811</v>
      </c>
    </row>
    <row r="2733">
      <c r="A2733" s="125" t="s">
        <v>381</v>
      </c>
      <c r="B2733" s="526" t="s">
        <v>382</v>
      </c>
      <c r="C2733" s="527">
        <v>223.0</v>
      </c>
      <c r="D2733" s="527">
        <v>725.4</v>
      </c>
      <c r="E2733" s="528">
        <v>3.2529</v>
      </c>
      <c r="F2733" s="36" t="s">
        <v>7798</v>
      </c>
      <c r="G2733" s="125" t="s">
        <v>913</v>
      </c>
      <c r="H2733" s="125" t="s">
        <v>569</v>
      </c>
      <c r="I2733" t="s">
        <v>378</v>
      </c>
    </row>
    <row r="2734">
      <c r="A2734" s="125" t="s">
        <v>586</v>
      </c>
      <c r="B2734" s="526" t="s">
        <v>587</v>
      </c>
      <c r="C2734" s="527">
        <v>390.0</v>
      </c>
      <c r="D2734" s="527">
        <v>1085.51</v>
      </c>
      <c r="E2734" s="528">
        <v>2.7834</v>
      </c>
      <c r="F2734" s="36" t="s">
        <v>7798</v>
      </c>
      <c r="G2734" s="125" t="s">
        <v>913</v>
      </c>
      <c r="H2734" s="125" t="s">
        <v>569</v>
      </c>
      <c r="I2734" t="s">
        <v>378</v>
      </c>
    </row>
    <row r="2735">
      <c r="A2735" s="125" t="s">
        <v>389</v>
      </c>
      <c r="B2735" s="526" t="s">
        <v>390</v>
      </c>
      <c r="C2735" s="527">
        <v>328.0</v>
      </c>
      <c r="D2735" s="527">
        <v>1066.91</v>
      </c>
      <c r="E2735" s="528">
        <v>3.2528</v>
      </c>
      <c r="F2735" s="36" t="s">
        <v>7798</v>
      </c>
      <c r="G2735" s="125" t="s">
        <v>913</v>
      </c>
      <c r="H2735" s="125" t="s">
        <v>7801</v>
      </c>
      <c r="I2735" t="s">
        <v>378</v>
      </c>
    </row>
    <row r="2736">
      <c r="A2736" s="125" t="s">
        <v>6419</v>
      </c>
      <c r="B2736" s="526" t="s">
        <v>6418</v>
      </c>
      <c r="C2736" s="527">
        <v>0.0</v>
      </c>
      <c r="D2736" s="527">
        <v>0.0</v>
      </c>
      <c r="F2736" s="36" t="s">
        <v>7798</v>
      </c>
      <c r="G2736" s="125" t="s">
        <v>893</v>
      </c>
      <c r="H2736" s="125" t="s">
        <v>7799</v>
      </c>
      <c r="I2736" t="s">
        <v>7826</v>
      </c>
    </row>
    <row r="2737">
      <c r="A2737" s="125" t="s">
        <v>379</v>
      </c>
      <c r="B2737" s="526" t="s">
        <v>380</v>
      </c>
      <c r="C2737" s="527">
        <v>1.0</v>
      </c>
      <c r="D2737" s="527">
        <v>77.6</v>
      </c>
      <c r="E2737" s="528">
        <v>77.6</v>
      </c>
      <c r="F2737" s="36" t="s">
        <v>7798</v>
      </c>
      <c r="G2737" s="125" t="s">
        <v>913</v>
      </c>
      <c r="H2737" s="125" t="s">
        <v>569</v>
      </c>
      <c r="I2737" t="s">
        <v>378</v>
      </c>
    </row>
    <row r="2738">
      <c r="A2738" s="125" t="s">
        <v>6421</v>
      </c>
      <c r="B2738" s="526">
        <v>36901.0</v>
      </c>
      <c r="C2738" s="527">
        <v>0.0</v>
      </c>
      <c r="D2738" s="527">
        <v>0.0</v>
      </c>
      <c r="F2738" s="36" t="s">
        <v>7798</v>
      </c>
      <c r="G2738" s="125" t="s">
        <v>893</v>
      </c>
      <c r="H2738" s="125" t="s">
        <v>7799</v>
      </c>
      <c r="I2738" t="s">
        <v>7806</v>
      </c>
    </row>
    <row r="2739">
      <c r="A2739" s="125" t="s">
        <v>6425</v>
      </c>
      <c r="B2739" s="526" t="s">
        <v>6424</v>
      </c>
      <c r="C2739" s="527">
        <v>0.0</v>
      </c>
      <c r="D2739" s="527">
        <v>0.0</v>
      </c>
      <c r="F2739" s="36" t="s">
        <v>7807</v>
      </c>
      <c r="G2739" s="125" t="s">
        <v>893</v>
      </c>
      <c r="H2739" s="125" t="s">
        <v>7799</v>
      </c>
      <c r="I2739" t="s">
        <v>7806</v>
      </c>
    </row>
    <row r="2740">
      <c r="A2740" s="125" t="s">
        <v>6426</v>
      </c>
      <c r="B2740" s="526">
        <v>36902.0</v>
      </c>
      <c r="C2740" s="527">
        <v>0.0</v>
      </c>
      <c r="D2740" s="527">
        <v>0.0</v>
      </c>
      <c r="F2740" s="36" t="s">
        <v>7798</v>
      </c>
      <c r="G2740" s="125" t="s">
        <v>893</v>
      </c>
      <c r="H2740" s="125" t="s">
        <v>7799</v>
      </c>
      <c r="I2740" t="s">
        <v>7806</v>
      </c>
    </row>
    <row r="2741">
      <c r="A2741" s="125" t="s">
        <v>6427</v>
      </c>
      <c r="B2741" s="526">
        <v>36903.0</v>
      </c>
      <c r="C2741" s="527">
        <v>0.0</v>
      </c>
      <c r="D2741" s="527">
        <v>0.0</v>
      </c>
      <c r="F2741" s="36" t="s">
        <v>7798</v>
      </c>
      <c r="G2741" s="125" t="s">
        <v>893</v>
      </c>
      <c r="H2741" s="125" t="s">
        <v>7799</v>
      </c>
      <c r="I2741" t="s">
        <v>7806</v>
      </c>
    </row>
    <row r="2742">
      <c r="A2742" s="125" t="s">
        <v>6428</v>
      </c>
      <c r="B2742" s="526">
        <v>36904.0</v>
      </c>
      <c r="C2742" s="527">
        <v>0.0</v>
      </c>
      <c r="D2742" s="527">
        <v>0.0</v>
      </c>
      <c r="F2742" s="36" t="s">
        <v>7798</v>
      </c>
      <c r="G2742" s="125" t="s">
        <v>893</v>
      </c>
      <c r="H2742" s="125" t="s">
        <v>7799</v>
      </c>
      <c r="I2742" t="s">
        <v>7806</v>
      </c>
    </row>
    <row r="2743">
      <c r="A2743" s="125" t="s">
        <v>6429</v>
      </c>
      <c r="B2743" s="526">
        <v>36905.0</v>
      </c>
      <c r="C2743" s="527">
        <v>0.0</v>
      </c>
      <c r="D2743" s="527">
        <v>0.0</v>
      </c>
      <c r="F2743" s="36" t="s">
        <v>7798</v>
      </c>
      <c r="G2743" s="125" t="s">
        <v>893</v>
      </c>
      <c r="H2743" s="125" t="s">
        <v>7799</v>
      </c>
      <c r="I2743" t="s">
        <v>7806</v>
      </c>
    </row>
    <row r="2744">
      <c r="A2744" s="125" t="s">
        <v>6430</v>
      </c>
      <c r="B2744" s="526">
        <v>36906.0</v>
      </c>
      <c r="C2744" s="527">
        <v>0.0</v>
      </c>
      <c r="D2744" s="527">
        <v>0.0</v>
      </c>
      <c r="F2744" s="36" t="s">
        <v>7798</v>
      </c>
      <c r="G2744" s="125" t="s">
        <v>893</v>
      </c>
      <c r="H2744" s="125" t="s">
        <v>7799</v>
      </c>
      <c r="I2744" t="s">
        <v>7806</v>
      </c>
    </row>
    <row r="2745">
      <c r="A2745" s="125" t="s">
        <v>6432</v>
      </c>
      <c r="B2745" s="526" t="s">
        <v>6431</v>
      </c>
      <c r="C2745" s="527">
        <v>0.0</v>
      </c>
      <c r="D2745" s="527">
        <v>0.0</v>
      </c>
      <c r="F2745" s="36" t="s">
        <v>7798</v>
      </c>
      <c r="G2745" s="125" t="s">
        <v>893</v>
      </c>
      <c r="H2745" s="125" t="s">
        <v>7799</v>
      </c>
      <c r="I2745" t="s">
        <v>45</v>
      </c>
    </row>
    <row r="2746">
      <c r="A2746" s="125" t="s">
        <v>6435</v>
      </c>
      <c r="B2746" s="526" t="s">
        <v>6434</v>
      </c>
      <c r="C2746" s="527">
        <v>135.0</v>
      </c>
      <c r="D2746" s="527">
        <v>447.52</v>
      </c>
      <c r="E2746" s="528">
        <v>3.315</v>
      </c>
      <c r="F2746" s="36" t="s">
        <v>7798</v>
      </c>
      <c r="G2746" s="125" t="s">
        <v>913</v>
      </c>
      <c r="H2746" s="125" t="s">
        <v>7801</v>
      </c>
      <c r="I2746" t="s">
        <v>7902</v>
      </c>
    </row>
    <row r="2747">
      <c r="A2747" s="125" t="s">
        <v>6437</v>
      </c>
      <c r="B2747" s="526" t="s">
        <v>6436</v>
      </c>
      <c r="C2747" s="527">
        <v>127.0</v>
      </c>
      <c r="D2747" s="527">
        <v>421.06</v>
      </c>
      <c r="E2747" s="528">
        <v>3.3154</v>
      </c>
      <c r="F2747" s="36" t="s">
        <v>7798</v>
      </c>
      <c r="G2747" s="125" t="s">
        <v>913</v>
      </c>
      <c r="H2747" s="125" t="s">
        <v>7801</v>
      </c>
      <c r="I2747" t="s">
        <v>7902</v>
      </c>
    </row>
    <row r="2748">
      <c r="A2748" s="125" t="s">
        <v>6439</v>
      </c>
      <c r="B2748" s="526" t="s">
        <v>6438</v>
      </c>
      <c r="C2748" s="527">
        <v>251.0</v>
      </c>
      <c r="D2748" s="527">
        <v>832.22</v>
      </c>
      <c r="E2748" s="528">
        <v>3.3156</v>
      </c>
      <c r="F2748" s="36" t="s">
        <v>7798</v>
      </c>
      <c r="G2748" s="125" t="s">
        <v>913</v>
      </c>
      <c r="H2748" s="125" t="s">
        <v>7801</v>
      </c>
      <c r="I2748" t="s">
        <v>7902</v>
      </c>
    </row>
    <row r="2749">
      <c r="A2749" s="125" t="s">
        <v>6441</v>
      </c>
      <c r="B2749" s="526" t="s">
        <v>6440</v>
      </c>
      <c r="C2749" s="527">
        <v>135.0</v>
      </c>
      <c r="D2749" s="527">
        <v>447.67</v>
      </c>
      <c r="E2749" s="528">
        <v>3.3161</v>
      </c>
      <c r="F2749" s="36" t="s">
        <v>7798</v>
      </c>
      <c r="G2749" s="125" t="s">
        <v>913</v>
      </c>
      <c r="H2749" s="125" t="s">
        <v>7801</v>
      </c>
      <c r="I2749" t="s">
        <v>7902</v>
      </c>
    </row>
    <row r="2750">
      <c r="A2750" s="125" t="s">
        <v>6443</v>
      </c>
      <c r="B2750" s="526" t="s">
        <v>6442</v>
      </c>
      <c r="C2750" s="527">
        <v>0.0</v>
      </c>
      <c r="D2750" s="527">
        <v>0.0</v>
      </c>
      <c r="F2750" s="36" t="s">
        <v>7798</v>
      </c>
      <c r="G2750" s="125" t="s">
        <v>893</v>
      </c>
      <c r="H2750" s="125" t="s">
        <v>7801</v>
      </c>
      <c r="I2750" t="s">
        <v>7902</v>
      </c>
    </row>
    <row r="2751">
      <c r="A2751" s="125" t="s">
        <v>6445</v>
      </c>
      <c r="B2751" s="526" t="s">
        <v>6444</v>
      </c>
      <c r="C2751" s="527">
        <v>79.0</v>
      </c>
      <c r="D2751" s="527">
        <v>261.79</v>
      </c>
      <c r="E2751" s="528">
        <v>3.3138</v>
      </c>
      <c r="F2751" s="36" t="s">
        <v>7798</v>
      </c>
      <c r="G2751" s="125" t="s">
        <v>913</v>
      </c>
      <c r="H2751" s="125" t="s">
        <v>7801</v>
      </c>
      <c r="I2751" t="s">
        <v>7902</v>
      </c>
    </row>
    <row r="2752">
      <c r="A2752" s="125" t="s">
        <v>6447</v>
      </c>
      <c r="B2752" s="526" t="s">
        <v>6446</v>
      </c>
      <c r="C2752" s="527">
        <v>0.0</v>
      </c>
      <c r="D2752" s="527">
        <v>0.0</v>
      </c>
      <c r="F2752" s="36" t="s">
        <v>7798</v>
      </c>
      <c r="G2752" s="125" t="s">
        <v>893</v>
      </c>
      <c r="H2752" s="125" t="s">
        <v>7799</v>
      </c>
      <c r="I2752" t="s">
        <v>7806</v>
      </c>
    </row>
    <row r="2753">
      <c r="A2753" s="125" t="s">
        <v>6449</v>
      </c>
      <c r="B2753" s="526" t="s">
        <v>6448</v>
      </c>
      <c r="C2753" s="527">
        <v>0.0</v>
      </c>
      <c r="D2753" s="527">
        <v>0.0</v>
      </c>
      <c r="F2753" s="36" t="s">
        <v>7798</v>
      </c>
      <c r="G2753" s="125" t="s">
        <v>893</v>
      </c>
      <c r="H2753" s="125" t="s">
        <v>7799</v>
      </c>
      <c r="I2753" t="s">
        <v>7806</v>
      </c>
    </row>
    <row r="2754">
      <c r="A2754" s="125" t="s">
        <v>6451</v>
      </c>
      <c r="B2754" s="526" t="s">
        <v>6450</v>
      </c>
      <c r="C2754" s="527">
        <v>0.0</v>
      </c>
      <c r="D2754" s="527">
        <v>0.0</v>
      </c>
      <c r="F2754" s="36" t="s">
        <v>7798</v>
      </c>
      <c r="G2754" s="125" t="s">
        <v>893</v>
      </c>
      <c r="H2754" s="125" t="s">
        <v>7799</v>
      </c>
      <c r="I2754" t="s">
        <v>7806</v>
      </c>
    </row>
    <row r="2755">
      <c r="A2755" s="125" t="s">
        <v>6453</v>
      </c>
      <c r="B2755" s="526" t="s">
        <v>6452</v>
      </c>
      <c r="C2755" s="527">
        <v>0.0</v>
      </c>
      <c r="D2755" s="527">
        <v>0.0</v>
      </c>
      <c r="F2755" s="36" t="s">
        <v>7798</v>
      </c>
      <c r="G2755" s="125" t="s">
        <v>893</v>
      </c>
      <c r="H2755" s="125" t="s">
        <v>7799</v>
      </c>
      <c r="I2755" t="s">
        <v>7806</v>
      </c>
    </row>
    <row r="2756">
      <c r="A2756" s="125" t="s">
        <v>6455</v>
      </c>
      <c r="B2756" s="526" t="s">
        <v>6454</v>
      </c>
      <c r="C2756" s="527">
        <v>0.0</v>
      </c>
      <c r="D2756" s="527">
        <v>0.0</v>
      </c>
      <c r="F2756" s="36" t="s">
        <v>7798</v>
      </c>
      <c r="G2756" s="125" t="s">
        <v>893</v>
      </c>
      <c r="H2756" s="125" t="s">
        <v>7799</v>
      </c>
      <c r="I2756" t="s">
        <v>7806</v>
      </c>
    </row>
    <row r="2757">
      <c r="A2757" s="125" t="s">
        <v>6457</v>
      </c>
      <c r="B2757" s="526" t="s">
        <v>6456</v>
      </c>
      <c r="C2757" s="527">
        <v>0.0</v>
      </c>
      <c r="D2757" s="527">
        <v>0.0</v>
      </c>
      <c r="F2757" s="36" t="s">
        <v>7798</v>
      </c>
      <c r="G2757" s="125" t="s">
        <v>893</v>
      </c>
      <c r="H2757" s="125" t="s">
        <v>7799</v>
      </c>
      <c r="I2757" t="s">
        <v>7806</v>
      </c>
    </row>
    <row r="2758">
      <c r="A2758" s="125" t="s">
        <v>6459</v>
      </c>
      <c r="B2758" s="526" t="s">
        <v>6458</v>
      </c>
      <c r="C2758" s="527">
        <v>0.0</v>
      </c>
      <c r="D2758" s="527">
        <v>0.0</v>
      </c>
      <c r="F2758" s="36" t="s">
        <v>7798</v>
      </c>
      <c r="G2758" s="125" t="s">
        <v>893</v>
      </c>
      <c r="H2758" s="125" t="s">
        <v>7799</v>
      </c>
      <c r="I2758" t="s">
        <v>7806</v>
      </c>
    </row>
    <row r="2759">
      <c r="A2759" s="125" t="s">
        <v>6461</v>
      </c>
      <c r="B2759" s="526" t="s">
        <v>6460</v>
      </c>
      <c r="C2759" s="527">
        <v>0.0</v>
      </c>
      <c r="D2759" s="527">
        <v>0.0</v>
      </c>
      <c r="F2759" s="36" t="s">
        <v>7798</v>
      </c>
      <c r="G2759" s="125" t="s">
        <v>893</v>
      </c>
      <c r="H2759" s="125" t="s">
        <v>7799</v>
      </c>
      <c r="I2759" t="s">
        <v>7806</v>
      </c>
    </row>
    <row r="2760">
      <c r="A2760" s="125" t="s">
        <v>6463</v>
      </c>
      <c r="B2760" s="526" t="s">
        <v>6462</v>
      </c>
      <c r="C2760" s="527">
        <v>0.0</v>
      </c>
      <c r="D2760" s="527">
        <v>0.0</v>
      </c>
      <c r="F2760" s="36" t="s">
        <v>7798</v>
      </c>
      <c r="G2760" s="125" t="s">
        <v>893</v>
      </c>
      <c r="H2760" s="125" t="s">
        <v>7799</v>
      </c>
      <c r="I2760" t="s">
        <v>7806</v>
      </c>
    </row>
    <row r="2761">
      <c r="A2761" s="125" t="s">
        <v>6465</v>
      </c>
      <c r="B2761" s="526" t="s">
        <v>6464</v>
      </c>
      <c r="C2761" s="527">
        <v>0.0</v>
      </c>
      <c r="D2761" s="527">
        <v>0.0</v>
      </c>
      <c r="F2761" s="36" t="s">
        <v>7798</v>
      </c>
      <c r="G2761" s="125" t="s">
        <v>893</v>
      </c>
      <c r="H2761" s="125" t="s">
        <v>7799</v>
      </c>
      <c r="I2761" t="s">
        <v>7806</v>
      </c>
    </row>
    <row r="2762">
      <c r="A2762" s="125" t="s">
        <v>6467</v>
      </c>
      <c r="B2762" s="526" t="s">
        <v>6466</v>
      </c>
      <c r="C2762" s="527">
        <v>0.0</v>
      </c>
      <c r="D2762" s="527">
        <v>0.0</v>
      </c>
      <c r="F2762" s="36" t="s">
        <v>7798</v>
      </c>
      <c r="G2762" s="125" t="s">
        <v>893</v>
      </c>
      <c r="H2762" s="125" t="s">
        <v>7799</v>
      </c>
      <c r="I2762" t="s">
        <v>7806</v>
      </c>
    </row>
    <row r="2763">
      <c r="A2763" s="125" t="s">
        <v>6469</v>
      </c>
      <c r="B2763" s="526" t="s">
        <v>6468</v>
      </c>
      <c r="C2763" s="527">
        <v>0.0</v>
      </c>
      <c r="D2763" s="527">
        <v>0.0</v>
      </c>
      <c r="F2763" s="36" t="s">
        <v>7798</v>
      </c>
      <c r="G2763" s="125" t="s">
        <v>893</v>
      </c>
      <c r="H2763" s="125" t="s">
        <v>7799</v>
      </c>
      <c r="I2763" t="s">
        <v>7806</v>
      </c>
    </row>
    <row r="2764">
      <c r="A2764" s="125" t="s">
        <v>6471</v>
      </c>
      <c r="B2764" s="526" t="s">
        <v>6470</v>
      </c>
      <c r="C2764" s="527">
        <v>0.0</v>
      </c>
      <c r="D2764" s="527">
        <v>0.0</v>
      </c>
      <c r="F2764" s="36" t="s">
        <v>7807</v>
      </c>
      <c r="G2764" s="125" t="s">
        <v>893</v>
      </c>
      <c r="H2764" s="125" t="s">
        <v>7799</v>
      </c>
      <c r="I2764" t="s">
        <v>7806</v>
      </c>
    </row>
    <row r="2765">
      <c r="A2765" s="125" t="s">
        <v>6473</v>
      </c>
      <c r="B2765" s="526" t="s">
        <v>6472</v>
      </c>
      <c r="C2765" s="527">
        <v>0.0</v>
      </c>
      <c r="D2765" s="527">
        <v>0.0</v>
      </c>
      <c r="F2765" s="36" t="s">
        <v>7798</v>
      </c>
      <c r="G2765" s="125" t="s">
        <v>893</v>
      </c>
      <c r="H2765" s="125" t="s">
        <v>7799</v>
      </c>
      <c r="I2765" t="s">
        <v>45</v>
      </c>
    </row>
    <row r="2766">
      <c r="A2766" s="125" t="s">
        <v>6475</v>
      </c>
      <c r="B2766" s="526" t="s">
        <v>6474</v>
      </c>
      <c r="C2766" s="527">
        <v>0.0</v>
      </c>
      <c r="D2766" s="527">
        <v>0.0</v>
      </c>
      <c r="F2766" s="36" t="s">
        <v>7798</v>
      </c>
      <c r="G2766" s="125" t="s">
        <v>893</v>
      </c>
      <c r="H2766" s="125" t="s">
        <v>7799</v>
      </c>
      <c r="I2766" t="s">
        <v>163</v>
      </c>
    </row>
    <row r="2767">
      <c r="A2767" s="125" t="s">
        <v>6481</v>
      </c>
      <c r="B2767" s="526" t="s">
        <v>6480</v>
      </c>
      <c r="C2767" s="527">
        <v>0.0</v>
      </c>
      <c r="D2767" s="527">
        <v>0.0</v>
      </c>
      <c r="F2767" s="36" t="s">
        <v>7807</v>
      </c>
      <c r="G2767" s="125" t="s">
        <v>893</v>
      </c>
      <c r="H2767" s="125" t="s">
        <v>7799</v>
      </c>
      <c r="I2767" t="s">
        <v>7859</v>
      </c>
    </row>
    <row r="2768">
      <c r="A2768" s="125" t="s">
        <v>6482</v>
      </c>
      <c r="B2768" s="526">
        <v>94404.0</v>
      </c>
      <c r="C2768" s="527">
        <v>0.0</v>
      </c>
      <c r="D2768" s="527">
        <v>0.0</v>
      </c>
      <c r="F2768" s="36" t="s">
        <v>7798</v>
      </c>
      <c r="G2768" s="125" t="s">
        <v>893</v>
      </c>
      <c r="H2768" s="125" t="s">
        <v>7799</v>
      </c>
      <c r="I2768" t="s">
        <v>7817</v>
      </c>
    </row>
    <row r="2769">
      <c r="A2769" s="125" t="s">
        <v>6483</v>
      </c>
      <c r="B2769" s="526">
        <v>94403.0</v>
      </c>
      <c r="C2769" s="527">
        <v>0.0</v>
      </c>
      <c r="D2769" s="527">
        <v>0.0</v>
      </c>
      <c r="F2769" s="36" t="s">
        <v>7798</v>
      </c>
      <c r="G2769" s="125" t="s">
        <v>893</v>
      </c>
      <c r="H2769" s="125" t="s">
        <v>7799</v>
      </c>
      <c r="I2769" t="s">
        <v>7817</v>
      </c>
    </row>
    <row r="2770">
      <c r="A2770" s="125" t="s">
        <v>6485</v>
      </c>
      <c r="B2770" s="526" t="s">
        <v>6484</v>
      </c>
      <c r="C2770" s="527">
        <v>12.0</v>
      </c>
      <c r="D2770" s="527">
        <v>36.13</v>
      </c>
      <c r="E2770" s="528">
        <v>3.0108</v>
      </c>
      <c r="F2770" s="36" t="s">
        <v>7798</v>
      </c>
      <c r="G2770" s="125" t="s">
        <v>913</v>
      </c>
      <c r="H2770" s="125" t="s">
        <v>7801</v>
      </c>
      <c r="I2770" t="s">
        <v>7817</v>
      </c>
    </row>
    <row r="2771">
      <c r="A2771" s="125" t="s">
        <v>6487</v>
      </c>
      <c r="B2771" s="526" t="s">
        <v>6486</v>
      </c>
      <c r="C2771" s="527">
        <v>7.0</v>
      </c>
      <c r="D2771" s="527">
        <v>22.16</v>
      </c>
      <c r="E2771" s="528">
        <v>3.1657</v>
      </c>
      <c r="F2771" s="36" t="s">
        <v>7798</v>
      </c>
      <c r="G2771" s="125" t="s">
        <v>913</v>
      </c>
      <c r="H2771" s="125" t="s">
        <v>7801</v>
      </c>
      <c r="I2771" t="s">
        <v>7817</v>
      </c>
    </row>
    <row r="2772">
      <c r="A2772" s="125" t="s">
        <v>6489</v>
      </c>
      <c r="B2772" s="526" t="s">
        <v>6488</v>
      </c>
      <c r="C2772" s="527">
        <v>0.0</v>
      </c>
      <c r="D2772" s="527">
        <v>0.0</v>
      </c>
      <c r="F2772" s="36" t="s">
        <v>7798</v>
      </c>
      <c r="G2772" s="125" t="s">
        <v>893</v>
      </c>
      <c r="H2772" s="125" t="s">
        <v>7801</v>
      </c>
      <c r="I2772" t="s">
        <v>7817</v>
      </c>
    </row>
    <row r="2773">
      <c r="A2773" s="125" t="s">
        <v>6491</v>
      </c>
      <c r="B2773" s="526" t="s">
        <v>6490</v>
      </c>
      <c r="C2773" s="527">
        <v>17.0</v>
      </c>
      <c r="D2773" s="527">
        <v>51.19</v>
      </c>
      <c r="E2773" s="528">
        <v>3.0112</v>
      </c>
      <c r="F2773" s="36" t="s">
        <v>7798</v>
      </c>
      <c r="G2773" s="125" t="s">
        <v>913</v>
      </c>
      <c r="H2773" s="125" t="s">
        <v>7801</v>
      </c>
      <c r="I2773" t="s">
        <v>7817</v>
      </c>
    </row>
    <row r="2774">
      <c r="A2774" s="125" t="s">
        <v>6493</v>
      </c>
      <c r="B2774" s="526" t="s">
        <v>6492</v>
      </c>
      <c r="C2774" s="527">
        <v>10.0</v>
      </c>
      <c r="D2774" s="527">
        <v>43.74</v>
      </c>
      <c r="E2774" s="528">
        <v>4.374</v>
      </c>
      <c r="F2774" s="36" t="s">
        <v>7798</v>
      </c>
      <c r="G2774" s="125" t="s">
        <v>913</v>
      </c>
      <c r="H2774" s="125" t="s">
        <v>7801</v>
      </c>
      <c r="I2774" t="s">
        <v>7817</v>
      </c>
    </row>
    <row r="2775">
      <c r="A2775" s="125" t="s">
        <v>6495</v>
      </c>
      <c r="B2775" s="526" t="s">
        <v>6494</v>
      </c>
      <c r="C2775" s="527">
        <v>0.0</v>
      </c>
      <c r="D2775" s="527">
        <v>0.0</v>
      </c>
      <c r="F2775" s="36" t="s">
        <v>7798</v>
      </c>
      <c r="G2775" s="125" t="s">
        <v>893</v>
      </c>
      <c r="H2775" s="125" t="s">
        <v>7801</v>
      </c>
      <c r="I2775" t="s">
        <v>7817</v>
      </c>
    </row>
    <row r="2776">
      <c r="A2776" s="125" t="s">
        <v>6497</v>
      </c>
      <c r="B2776" s="526" t="s">
        <v>6496</v>
      </c>
      <c r="C2776" s="527">
        <v>0.0</v>
      </c>
      <c r="D2776" s="527">
        <v>0.0</v>
      </c>
      <c r="F2776" s="36" t="s">
        <v>7798</v>
      </c>
      <c r="G2776" s="125" t="s">
        <v>913</v>
      </c>
      <c r="H2776" s="125" t="s">
        <v>7801</v>
      </c>
      <c r="I2776" t="s">
        <v>7817</v>
      </c>
    </row>
    <row r="2777">
      <c r="A2777" s="125" t="s">
        <v>6499</v>
      </c>
      <c r="B2777" s="526" t="s">
        <v>6498</v>
      </c>
      <c r="C2777" s="527">
        <v>4.0</v>
      </c>
      <c r="D2777" s="527">
        <v>17.48</v>
      </c>
      <c r="E2777" s="528">
        <v>4.37</v>
      </c>
      <c r="F2777" s="36" t="s">
        <v>7798</v>
      </c>
      <c r="G2777" s="125" t="s">
        <v>893</v>
      </c>
      <c r="H2777" s="125" t="s">
        <v>7801</v>
      </c>
      <c r="I2777" t="s">
        <v>7817</v>
      </c>
    </row>
    <row r="2778">
      <c r="A2778" s="125" t="s">
        <v>6501</v>
      </c>
      <c r="B2778" s="526" t="s">
        <v>6500</v>
      </c>
      <c r="C2778" s="527">
        <v>6810.0</v>
      </c>
      <c r="D2778" s="527">
        <v>26160.92</v>
      </c>
      <c r="E2778" s="528">
        <v>3.8415</v>
      </c>
      <c r="F2778" s="36" t="s">
        <v>7798</v>
      </c>
      <c r="G2778" s="125" t="s">
        <v>913</v>
      </c>
      <c r="H2778" s="125" t="s">
        <v>7819</v>
      </c>
      <c r="I2778" t="s">
        <v>7817</v>
      </c>
    </row>
    <row r="2779">
      <c r="A2779" s="125" t="s">
        <v>6503</v>
      </c>
      <c r="B2779" s="526" t="s">
        <v>6502</v>
      </c>
      <c r="C2779" s="527">
        <v>2860.0</v>
      </c>
      <c r="D2779" s="527">
        <v>10910.12</v>
      </c>
      <c r="E2779" s="528">
        <v>3.8147</v>
      </c>
      <c r="F2779" s="36" t="s">
        <v>7798</v>
      </c>
      <c r="G2779" s="125" t="s">
        <v>913</v>
      </c>
      <c r="H2779" s="125" t="s">
        <v>7819</v>
      </c>
      <c r="I2779" t="s">
        <v>7817</v>
      </c>
    </row>
    <row r="2780">
      <c r="A2780" s="125" t="s">
        <v>6505</v>
      </c>
      <c r="B2780" s="526" t="s">
        <v>6504</v>
      </c>
      <c r="C2780" s="527">
        <v>2108.0</v>
      </c>
      <c r="D2780" s="527">
        <v>8043.95</v>
      </c>
      <c r="E2780" s="528">
        <v>3.8159</v>
      </c>
      <c r="F2780" s="36" t="s">
        <v>7798</v>
      </c>
      <c r="G2780" s="125" t="s">
        <v>913</v>
      </c>
      <c r="H2780" s="125" t="s">
        <v>7819</v>
      </c>
      <c r="I2780" t="s">
        <v>7817</v>
      </c>
    </row>
    <row r="2781">
      <c r="A2781" s="125" t="s">
        <v>6507</v>
      </c>
      <c r="B2781" s="526" t="s">
        <v>6506</v>
      </c>
      <c r="C2781" s="527">
        <v>3513.0</v>
      </c>
      <c r="D2781" s="527">
        <v>13406.9</v>
      </c>
      <c r="E2781" s="528">
        <v>3.8164</v>
      </c>
      <c r="F2781" s="36" t="s">
        <v>7798</v>
      </c>
      <c r="G2781" s="125" t="s">
        <v>913</v>
      </c>
      <c r="H2781" s="125" t="s">
        <v>7819</v>
      </c>
      <c r="I2781" t="s">
        <v>7817</v>
      </c>
    </row>
    <row r="2782">
      <c r="A2782" s="125" t="s">
        <v>6509</v>
      </c>
      <c r="B2782" s="526" t="s">
        <v>6508</v>
      </c>
      <c r="C2782" s="527">
        <v>0.0</v>
      </c>
      <c r="D2782" s="527">
        <v>0.0</v>
      </c>
      <c r="F2782" s="36" t="s">
        <v>7807</v>
      </c>
      <c r="G2782" s="125" t="s">
        <v>893</v>
      </c>
      <c r="H2782" s="125" t="s">
        <v>7819</v>
      </c>
      <c r="I2782" t="s">
        <v>7817</v>
      </c>
    </row>
    <row r="2783">
      <c r="A2783" s="125" t="s">
        <v>6510</v>
      </c>
      <c r="B2783" s="526">
        <v>94201.0</v>
      </c>
      <c r="C2783" s="527">
        <v>0.0</v>
      </c>
      <c r="D2783" s="527">
        <v>0.0</v>
      </c>
      <c r="F2783" s="36" t="s">
        <v>7798</v>
      </c>
      <c r="G2783" s="125" t="s">
        <v>893</v>
      </c>
      <c r="H2783" s="125" t="s">
        <v>7799</v>
      </c>
      <c r="I2783" t="s">
        <v>33</v>
      </c>
    </row>
    <row r="2784">
      <c r="A2784" s="125" t="s">
        <v>6512</v>
      </c>
      <c r="B2784" s="526">
        <v>94205.0</v>
      </c>
      <c r="C2784" s="527">
        <v>0.0</v>
      </c>
      <c r="D2784" s="527">
        <v>0.0</v>
      </c>
      <c r="F2784" s="36" t="s">
        <v>7798</v>
      </c>
      <c r="G2784" s="125" t="s">
        <v>893</v>
      </c>
      <c r="H2784" s="125" t="s">
        <v>7799</v>
      </c>
      <c r="I2784" t="s">
        <v>33</v>
      </c>
    </row>
    <row r="2785">
      <c r="A2785" s="125" t="s">
        <v>448</v>
      </c>
      <c r="B2785" s="526" t="s">
        <v>449</v>
      </c>
      <c r="C2785" s="527">
        <v>156.0</v>
      </c>
      <c r="D2785" s="527">
        <v>771.0</v>
      </c>
      <c r="E2785" s="528">
        <v>4.9423</v>
      </c>
      <c r="F2785" s="36" t="s">
        <v>7798</v>
      </c>
      <c r="G2785" s="125" t="s">
        <v>913</v>
      </c>
      <c r="H2785" s="125" t="s">
        <v>7809</v>
      </c>
      <c r="I2785" t="s">
        <v>438</v>
      </c>
    </row>
    <row r="2786">
      <c r="A2786" s="125" t="s">
        <v>483</v>
      </c>
      <c r="B2786" s="526" t="s">
        <v>484</v>
      </c>
      <c r="C2786" s="527">
        <v>1910.0</v>
      </c>
      <c r="D2786" s="527">
        <v>18818.77</v>
      </c>
      <c r="E2786" s="528">
        <v>9.8528</v>
      </c>
      <c r="F2786" s="36" t="s">
        <v>7798</v>
      </c>
      <c r="G2786" s="125" t="s">
        <v>913</v>
      </c>
      <c r="H2786" s="125" t="s">
        <v>7809</v>
      </c>
      <c r="I2786" t="s">
        <v>53</v>
      </c>
    </row>
    <row r="2787">
      <c r="A2787" s="125" t="s">
        <v>6521</v>
      </c>
      <c r="B2787" s="526" t="s">
        <v>6520</v>
      </c>
      <c r="C2787" s="527">
        <v>0.0</v>
      </c>
      <c r="D2787" s="527">
        <v>0.0</v>
      </c>
      <c r="F2787" s="36" t="s">
        <v>7807</v>
      </c>
      <c r="G2787" s="125" t="s">
        <v>893</v>
      </c>
      <c r="H2787" s="125" t="s">
        <v>7799</v>
      </c>
    </row>
    <row r="2788">
      <c r="A2788" s="125" t="s">
        <v>6523</v>
      </c>
      <c r="B2788" s="526" t="s">
        <v>6522</v>
      </c>
      <c r="C2788" s="527">
        <v>0.0</v>
      </c>
      <c r="D2788" s="527">
        <v>0.0</v>
      </c>
      <c r="F2788" s="36" t="s">
        <v>7798</v>
      </c>
      <c r="G2788" s="125" t="s">
        <v>893</v>
      </c>
      <c r="H2788" s="125" t="s">
        <v>7799</v>
      </c>
      <c r="I2788" t="s">
        <v>7817</v>
      </c>
    </row>
    <row r="2789">
      <c r="A2789" s="125" t="s">
        <v>6525</v>
      </c>
      <c r="B2789" s="526" t="s">
        <v>6524</v>
      </c>
      <c r="C2789" s="527">
        <v>0.0</v>
      </c>
      <c r="D2789" s="527">
        <v>0.0</v>
      </c>
      <c r="F2789" s="36" t="s">
        <v>7798</v>
      </c>
      <c r="G2789" s="125" t="s">
        <v>893</v>
      </c>
      <c r="H2789" s="125" t="s">
        <v>7799</v>
      </c>
      <c r="I2789" t="s">
        <v>7817</v>
      </c>
    </row>
    <row r="2790">
      <c r="A2790" s="125" t="s">
        <v>6527</v>
      </c>
      <c r="B2790" s="526" t="s">
        <v>6526</v>
      </c>
      <c r="C2790" s="527">
        <v>0.0</v>
      </c>
      <c r="D2790" s="527">
        <v>0.0</v>
      </c>
      <c r="F2790" s="36" t="s">
        <v>7798</v>
      </c>
      <c r="G2790" s="125" t="s">
        <v>893</v>
      </c>
      <c r="H2790" s="125" t="s">
        <v>7799</v>
      </c>
      <c r="I2790" t="s">
        <v>7817</v>
      </c>
    </row>
    <row r="2791">
      <c r="A2791" s="125" t="s">
        <v>6529</v>
      </c>
      <c r="B2791" s="526" t="s">
        <v>6528</v>
      </c>
      <c r="C2791" s="527">
        <v>0.0</v>
      </c>
      <c r="D2791" s="527">
        <v>0.0</v>
      </c>
      <c r="F2791" s="36" t="s">
        <v>7798</v>
      </c>
      <c r="G2791" s="125" t="s">
        <v>893</v>
      </c>
      <c r="H2791" s="125" t="s">
        <v>7799</v>
      </c>
      <c r="I2791" t="s">
        <v>7817</v>
      </c>
    </row>
    <row r="2792">
      <c r="A2792" s="125" t="s">
        <v>6531</v>
      </c>
      <c r="B2792" s="526" t="s">
        <v>6530</v>
      </c>
      <c r="C2792" s="527">
        <v>0.0</v>
      </c>
      <c r="D2792" s="527">
        <v>0.0</v>
      </c>
      <c r="F2792" s="36" t="s">
        <v>7798</v>
      </c>
      <c r="G2792" s="125" t="s">
        <v>893</v>
      </c>
      <c r="H2792" s="125" t="s">
        <v>7799</v>
      </c>
      <c r="I2792" t="s">
        <v>7817</v>
      </c>
    </row>
    <row r="2793">
      <c r="A2793" s="125" t="s">
        <v>6533</v>
      </c>
      <c r="B2793" s="526" t="s">
        <v>6532</v>
      </c>
      <c r="C2793" s="527">
        <v>0.0</v>
      </c>
      <c r="D2793" s="527">
        <v>0.0</v>
      </c>
      <c r="F2793" s="36" t="s">
        <v>7798</v>
      </c>
      <c r="G2793" s="125" t="s">
        <v>893</v>
      </c>
      <c r="H2793" s="125" t="s">
        <v>7799</v>
      </c>
      <c r="I2793" t="s">
        <v>7817</v>
      </c>
    </row>
    <row r="2794">
      <c r="A2794" s="125" t="s">
        <v>436</v>
      </c>
      <c r="B2794" s="526" t="s">
        <v>437</v>
      </c>
      <c r="C2794" s="527">
        <v>281.0</v>
      </c>
      <c r="D2794" s="527">
        <v>1873.62</v>
      </c>
      <c r="E2794" s="528">
        <v>6.6677</v>
      </c>
      <c r="F2794" s="36" t="s">
        <v>7798</v>
      </c>
      <c r="G2794" s="125" t="s">
        <v>913</v>
      </c>
      <c r="H2794" s="125" t="s">
        <v>7809</v>
      </c>
      <c r="I2794" t="s">
        <v>431</v>
      </c>
    </row>
    <row r="2795">
      <c r="A2795" s="125" t="s">
        <v>6534</v>
      </c>
      <c r="B2795" s="526">
        <v>32511.0</v>
      </c>
      <c r="C2795" s="527">
        <v>0.0</v>
      </c>
      <c r="D2795" s="527">
        <v>0.0</v>
      </c>
      <c r="F2795" s="36" t="s">
        <v>7798</v>
      </c>
      <c r="G2795" s="125" t="s">
        <v>893</v>
      </c>
      <c r="H2795" s="125" t="s">
        <v>7799</v>
      </c>
      <c r="I2795" t="s">
        <v>33</v>
      </c>
    </row>
    <row r="2796">
      <c r="A2796" s="125" t="s">
        <v>6535</v>
      </c>
      <c r="B2796" s="526">
        <v>32502.0</v>
      </c>
      <c r="C2796" s="527">
        <v>0.0</v>
      </c>
      <c r="D2796" s="527">
        <v>0.0</v>
      </c>
      <c r="F2796" s="36" t="s">
        <v>7798</v>
      </c>
      <c r="G2796" s="125" t="s">
        <v>893</v>
      </c>
      <c r="H2796" s="125" t="s">
        <v>7799</v>
      </c>
      <c r="I2796" t="s">
        <v>33</v>
      </c>
    </row>
    <row r="2797">
      <c r="A2797" s="125" t="s">
        <v>6537</v>
      </c>
      <c r="B2797" s="526" t="s">
        <v>6536</v>
      </c>
      <c r="C2797" s="527">
        <v>0.0</v>
      </c>
      <c r="D2797" s="527">
        <v>0.0</v>
      </c>
      <c r="F2797" s="36" t="s">
        <v>7798</v>
      </c>
      <c r="G2797" s="125" t="s">
        <v>893</v>
      </c>
      <c r="H2797" s="125" t="s">
        <v>7799</v>
      </c>
      <c r="I2797" t="s">
        <v>7817</v>
      </c>
    </row>
    <row r="2798">
      <c r="A2798" s="125" t="s">
        <v>6539</v>
      </c>
      <c r="B2798" s="526" t="s">
        <v>6538</v>
      </c>
      <c r="C2798" s="527">
        <v>0.0</v>
      </c>
      <c r="D2798" s="527">
        <v>0.0</v>
      </c>
      <c r="F2798" s="36" t="s">
        <v>7798</v>
      </c>
      <c r="G2798" s="125" t="s">
        <v>893</v>
      </c>
      <c r="H2798" s="125" t="s">
        <v>7799</v>
      </c>
      <c r="I2798" t="s">
        <v>7817</v>
      </c>
    </row>
    <row r="2799">
      <c r="A2799" s="125" t="s">
        <v>6541</v>
      </c>
      <c r="B2799" s="526" t="s">
        <v>6540</v>
      </c>
      <c r="C2799" s="527">
        <v>0.0</v>
      </c>
      <c r="D2799" s="527">
        <v>0.0</v>
      </c>
      <c r="F2799" s="36" t="s">
        <v>7798</v>
      </c>
      <c r="G2799" s="125" t="s">
        <v>893</v>
      </c>
      <c r="H2799" s="125" t="s">
        <v>7799</v>
      </c>
      <c r="I2799" t="s">
        <v>7817</v>
      </c>
    </row>
    <row r="2800">
      <c r="A2800" s="125" t="s">
        <v>6543</v>
      </c>
      <c r="B2800" s="526" t="s">
        <v>6542</v>
      </c>
      <c r="C2800" s="527">
        <v>0.0</v>
      </c>
      <c r="D2800" s="527">
        <v>0.0</v>
      </c>
      <c r="F2800" s="36" t="s">
        <v>7798</v>
      </c>
      <c r="G2800" s="125" t="s">
        <v>893</v>
      </c>
      <c r="H2800" s="125" t="s">
        <v>7799</v>
      </c>
      <c r="I2800" t="s">
        <v>7817</v>
      </c>
    </row>
    <row r="2801">
      <c r="A2801" s="125" t="s">
        <v>547</v>
      </c>
      <c r="B2801" s="526" t="s">
        <v>548</v>
      </c>
      <c r="C2801" s="527">
        <v>345.0</v>
      </c>
      <c r="D2801" s="527">
        <v>1658.32</v>
      </c>
      <c r="E2801" s="528">
        <v>4.8067</v>
      </c>
      <c r="F2801" s="36" t="s">
        <v>7798</v>
      </c>
      <c r="G2801" s="125" t="s">
        <v>913</v>
      </c>
      <c r="H2801" s="125" t="s">
        <v>7809</v>
      </c>
      <c r="I2801" t="s">
        <v>438</v>
      </c>
    </row>
    <row r="2802">
      <c r="A2802" s="125" t="s">
        <v>6547</v>
      </c>
      <c r="B2802" s="526" t="s">
        <v>6546</v>
      </c>
      <c r="C2802" s="527">
        <v>6.0</v>
      </c>
      <c r="D2802" s="527">
        <v>2.4</v>
      </c>
      <c r="E2802" s="528">
        <v>0.4</v>
      </c>
      <c r="F2802" s="36" t="s">
        <v>7798</v>
      </c>
      <c r="G2802" s="125" t="s">
        <v>913</v>
      </c>
      <c r="H2802" s="125" t="s">
        <v>7821</v>
      </c>
      <c r="I2802" t="s">
        <v>7834</v>
      </c>
    </row>
    <row r="2803">
      <c r="A2803" s="125" t="s">
        <v>468</v>
      </c>
      <c r="B2803" s="526" t="s">
        <v>469</v>
      </c>
      <c r="C2803" s="527">
        <v>185.0</v>
      </c>
      <c r="D2803" s="527">
        <v>1258.22</v>
      </c>
      <c r="E2803" s="528">
        <v>6.8012</v>
      </c>
      <c r="F2803" s="36" t="s">
        <v>7798</v>
      </c>
      <c r="G2803" s="125" t="s">
        <v>913</v>
      </c>
      <c r="H2803" s="125" t="s">
        <v>7809</v>
      </c>
      <c r="I2803" t="s">
        <v>53</v>
      </c>
    </row>
    <row r="2804">
      <c r="A2804" s="125" t="s">
        <v>472</v>
      </c>
      <c r="B2804" s="526" t="s">
        <v>473</v>
      </c>
      <c r="C2804" s="527">
        <v>326.0</v>
      </c>
      <c r="D2804" s="527">
        <v>2215.63</v>
      </c>
      <c r="E2804" s="528">
        <v>6.7964</v>
      </c>
      <c r="F2804" s="36" t="s">
        <v>7798</v>
      </c>
      <c r="G2804" s="125" t="s">
        <v>913</v>
      </c>
      <c r="H2804" s="125" t="s">
        <v>7809</v>
      </c>
      <c r="I2804" t="s">
        <v>53</v>
      </c>
    </row>
    <row r="2805">
      <c r="A2805" s="125" t="s">
        <v>470</v>
      </c>
      <c r="B2805" s="526" t="s">
        <v>471</v>
      </c>
      <c r="C2805" s="527">
        <v>267.0</v>
      </c>
      <c r="D2805" s="527">
        <v>1783.51</v>
      </c>
      <c r="E2805" s="528">
        <v>6.6798</v>
      </c>
      <c r="F2805" s="36" t="s">
        <v>7798</v>
      </c>
      <c r="G2805" s="125" t="s">
        <v>913</v>
      </c>
      <c r="H2805" s="125" t="s">
        <v>7809</v>
      </c>
      <c r="I2805" t="s">
        <v>53</v>
      </c>
    </row>
    <row r="2806">
      <c r="A2806" s="125" t="s">
        <v>466</v>
      </c>
      <c r="B2806" s="526" t="s">
        <v>467</v>
      </c>
      <c r="C2806" s="527">
        <v>474.0</v>
      </c>
      <c r="D2806" s="527">
        <v>3166.23</v>
      </c>
      <c r="E2806" s="528">
        <v>6.6798</v>
      </c>
      <c r="F2806" s="36" t="s">
        <v>7798</v>
      </c>
      <c r="G2806" s="125" t="s">
        <v>913</v>
      </c>
      <c r="H2806" s="125" t="s">
        <v>7809</v>
      </c>
      <c r="I2806" t="s">
        <v>53</v>
      </c>
    </row>
    <row r="2807">
      <c r="A2807" s="125" t="s">
        <v>6555</v>
      </c>
      <c r="B2807" s="526" t="s">
        <v>6554</v>
      </c>
      <c r="C2807" s="527">
        <v>0.0</v>
      </c>
      <c r="D2807" s="527">
        <v>0.0</v>
      </c>
      <c r="F2807" s="36" t="s">
        <v>7798</v>
      </c>
      <c r="G2807" s="125" t="s">
        <v>893</v>
      </c>
      <c r="H2807" s="125" t="s">
        <v>7799</v>
      </c>
      <c r="I2807" t="s">
        <v>7817</v>
      </c>
    </row>
    <row r="2808">
      <c r="A2808" s="125" t="s">
        <v>6559</v>
      </c>
      <c r="B2808" s="526" t="s">
        <v>6558</v>
      </c>
      <c r="C2808" s="527">
        <v>0.0</v>
      </c>
      <c r="D2808" s="527">
        <v>0.0</v>
      </c>
      <c r="F2808" s="36" t="s">
        <v>7807</v>
      </c>
      <c r="G2808" s="125" t="s">
        <v>913</v>
      </c>
      <c r="H2808" s="125" t="s">
        <v>7821</v>
      </c>
      <c r="I2808" t="s">
        <v>489</v>
      </c>
    </row>
    <row r="2809">
      <c r="A2809" s="125" t="s">
        <v>6585</v>
      </c>
      <c r="B2809" s="526" t="s">
        <v>6584</v>
      </c>
      <c r="C2809" s="527">
        <v>0.0</v>
      </c>
      <c r="D2809" s="527">
        <v>0.0</v>
      </c>
      <c r="F2809" s="36" t="s">
        <v>7798</v>
      </c>
      <c r="G2809" s="125" t="s">
        <v>913</v>
      </c>
      <c r="H2809" s="125" t="s">
        <v>7801</v>
      </c>
      <c r="I2809" t="s">
        <v>7857</v>
      </c>
    </row>
    <row r="2810">
      <c r="A2810" s="125" t="s">
        <v>6587</v>
      </c>
      <c r="B2810" s="526" t="s">
        <v>6586</v>
      </c>
      <c r="C2810" s="527">
        <v>0.0</v>
      </c>
      <c r="D2810" s="527">
        <v>0.0</v>
      </c>
      <c r="F2810" s="36" t="s">
        <v>7798</v>
      </c>
      <c r="G2810" s="125" t="s">
        <v>893</v>
      </c>
      <c r="H2810" s="125" t="s">
        <v>7801</v>
      </c>
      <c r="I2810" t="s">
        <v>7857</v>
      </c>
    </row>
    <row r="2811">
      <c r="A2811" s="125" t="s">
        <v>6589</v>
      </c>
      <c r="B2811" s="526" t="s">
        <v>6588</v>
      </c>
      <c r="C2811" s="527">
        <v>0.0</v>
      </c>
      <c r="D2811" s="527">
        <v>0.0</v>
      </c>
      <c r="F2811" s="36" t="s">
        <v>7798</v>
      </c>
      <c r="G2811" s="125" t="s">
        <v>893</v>
      </c>
      <c r="H2811" s="125" t="s">
        <v>7801</v>
      </c>
      <c r="I2811" t="s">
        <v>7857</v>
      </c>
    </row>
    <row r="2812">
      <c r="A2812" s="125" t="s">
        <v>408</v>
      </c>
      <c r="B2812" s="526" t="s">
        <v>409</v>
      </c>
      <c r="C2812" s="527">
        <v>313.0</v>
      </c>
      <c r="D2812" s="527">
        <v>1324.43</v>
      </c>
      <c r="E2812" s="528">
        <v>4.2314</v>
      </c>
      <c r="F2812" s="36" t="s">
        <v>7798</v>
      </c>
      <c r="G2812" s="125" t="s">
        <v>913</v>
      </c>
      <c r="H2812" s="125" t="s">
        <v>569</v>
      </c>
      <c r="I2812" t="s">
        <v>397</v>
      </c>
    </row>
    <row r="2813">
      <c r="A2813" s="125" t="s">
        <v>6597</v>
      </c>
      <c r="B2813" s="526" t="s">
        <v>6596</v>
      </c>
      <c r="C2813" s="527">
        <v>0.0</v>
      </c>
      <c r="D2813" s="527">
        <v>0.0</v>
      </c>
      <c r="F2813" s="36" t="s">
        <v>7798</v>
      </c>
      <c r="G2813" s="125" t="s">
        <v>893</v>
      </c>
      <c r="H2813" s="125" t="s">
        <v>7799</v>
      </c>
      <c r="I2813" t="s">
        <v>7894</v>
      </c>
    </row>
    <row r="2814">
      <c r="A2814" s="125" t="s">
        <v>6601</v>
      </c>
      <c r="B2814" s="526" t="s">
        <v>6600</v>
      </c>
      <c r="C2814" s="527">
        <v>505.0</v>
      </c>
      <c r="D2814" s="527">
        <v>2113.86</v>
      </c>
      <c r="E2814" s="528">
        <v>4.1859</v>
      </c>
      <c r="F2814" s="36" t="s">
        <v>7798</v>
      </c>
      <c r="G2814" s="125" t="s">
        <v>913</v>
      </c>
      <c r="H2814" s="125" t="s">
        <v>7808</v>
      </c>
      <c r="I2814" t="s">
        <v>397</v>
      </c>
    </row>
    <row r="2815">
      <c r="A2815" s="125" t="s">
        <v>6603</v>
      </c>
      <c r="B2815" s="526" t="s">
        <v>6602</v>
      </c>
      <c r="C2815" s="527">
        <v>466.0</v>
      </c>
      <c r="D2815" s="527">
        <v>1929.83</v>
      </c>
      <c r="E2815" s="528">
        <v>4.1413</v>
      </c>
      <c r="F2815" s="36" t="s">
        <v>7798</v>
      </c>
      <c r="G2815" s="125" t="s">
        <v>913</v>
      </c>
      <c r="H2815" s="125" t="s">
        <v>7808</v>
      </c>
      <c r="I2815" t="s">
        <v>397</v>
      </c>
    </row>
    <row r="2816">
      <c r="A2816" s="125" t="s">
        <v>6605</v>
      </c>
      <c r="B2816" s="526" t="s">
        <v>6604</v>
      </c>
      <c r="C2816" s="527">
        <v>0.0</v>
      </c>
      <c r="D2816" s="527">
        <v>0.0</v>
      </c>
      <c r="F2816" s="36" t="s">
        <v>7798</v>
      </c>
      <c r="G2816" s="125" t="s">
        <v>913</v>
      </c>
      <c r="H2816" s="125" t="s">
        <v>7801</v>
      </c>
      <c r="I2816" t="s">
        <v>397</v>
      </c>
    </row>
    <row r="2817">
      <c r="A2817" s="125" t="s">
        <v>400</v>
      </c>
      <c r="B2817" s="526" t="s">
        <v>401</v>
      </c>
      <c r="C2817" s="527">
        <v>0.0</v>
      </c>
      <c r="D2817" s="527">
        <v>0.0</v>
      </c>
      <c r="F2817" s="36" t="s">
        <v>7798</v>
      </c>
      <c r="G2817" s="125" t="s">
        <v>913</v>
      </c>
      <c r="H2817" s="125" t="s">
        <v>7801</v>
      </c>
      <c r="I2817" t="s">
        <v>397</v>
      </c>
    </row>
    <row r="2818">
      <c r="A2818" s="125" t="s">
        <v>6607</v>
      </c>
      <c r="B2818" s="526" t="s">
        <v>6606</v>
      </c>
      <c r="C2818" s="527">
        <v>130.0</v>
      </c>
      <c r="D2818" s="527">
        <v>538.73</v>
      </c>
      <c r="E2818" s="528">
        <v>4.1441</v>
      </c>
      <c r="F2818" s="36" t="s">
        <v>7798</v>
      </c>
      <c r="G2818" s="125" t="s">
        <v>913</v>
      </c>
      <c r="H2818" s="125" t="s">
        <v>7808</v>
      </c>
      <c r="I2818" t="s">
        <v>397</v>
      </c>
    </row>
    <row r="2819">
      <c r="A2819" s="125" t="s">
        <v>398</v>
      </c>
      <c r="B2819" s="526" t="s">
        <v>399</v>
      </c>
      <c r="C2819" s="527">
        <v>5.0</v>
      </c>
      <c r="D2819" s="527">
        <v>22.01</v>
      </c>
      <c r="E2819" s="528">
        <v>4.402</v>
      </c>
      <c r="F2819" s="36" t="s">
        <v>7798</v>
      </c>
      <c r="G2819" s="125" t="s">
        <v>913</v>
      </c>
      <c r="H2819" s="125" t="s">
        <v>7801</v>
      </c>
      <c r="I2819" t="s">
        <v>397</v>
      </c>
    </row>
    <row r="2820">
      <c r="A2820" s="125" t="s">
        <v>6609</v>
      </c>
      <c r="B2820" s="526" t="s">
        <v>6608</v>
      </c>
      <c r="C2820" s="527">
        <v>3.0</v>
      </c>
      <c r="D2820" s="527">
        <v>8.27</v>
      </c>
      <c r="E2820" s="528">
        <v>2.7567</v>
      </c>
      <c r="F2820" s="36" t="s">
        <v>7798</v>
      </c>
      <c r="G2820" s="125" t="s">
        <v>893</v>
      </c>
      <c r="H2820" s="125" t="s">
        <v>7801</v>
      </c>
      <c r="I2820" t="s">
        <v>397</v>
      </c>
    </row>
    <row r="2821">
      <c r="A2821" s="125" t="s">
        <v>6611</v>
      </c>
      <c r="B2821" s="526" t="s">
        <v>6610</v>
      </c>
      <c r="C2821" s="527">
        <v>0.0</v>
      </c>
      <c r="D2821" s="527">
        <v>0.0</v>
      </c>
      <c r="F2821" s="36" t="s">
        <v>7798</v>
      </c>
      <c r="G2821" s="125" t="s">
        <v>893</v>
      </c>
      <c r="H2821" s="125" t="s">
        <v>7801</v>
      </c>
      <c r="I2821" t="s">
        <v>397</v>
      </c>
    </row>
    <row r="2822">
      <c r="A2822" s="125" t="s">
        <v>402</v>
      </c>
      <c r="B2822" s="526" t="s">
        <v>403</v>
      </c>
      <c r="C2822" s="527">
        <v>32.0</v>
      </c>
      <c r="D2822" s="527">
        <v>135.69</v>
      </c>
      <c r="E2822" s="528">
        <v>4.2403</v>
      </c>
      <c r="F2822" s="36" t="s">
        <v>7798</v>
      </c>
      <c r="G2822" s="125" t="s">
        <v>913</v>
      </c>
      <c r="H2822" s="125" t="s">
        <v>569</v>
      </c>
      <c r="I2822" t="s">
        <v>397</v>
      </c>
    </row>
    <row r="2823">
      <c r="A2823" s="125" t="s">
        <v>404</v>
      </c>
      <c r="B2823" s="526" t="s">
        <v>405</v>
      </c>
      <c r="C2823" s="527">
        <v>35.0</v>
      </c>
      <c r="D2823" s="527">
        <v>148.35</v>
      </c>
      <c r="E2823" s="528">
        <v>4.2386</v>
      </c>
      <c r="F2823" s="36" t="s">
        <v>7798</v>
      </c>
      <c r="G2823" s="125" t="s">
        <v>913</v>
      </c>
      <c r="H2823" s="125" t="s">
        <v>569</v>
      </c>
      <c r="I2823" t="s">
        <v>397</v>
      </c>
    </row>
    <row r="2824">
      <c r="A2824" s="125" t="s">
        <v>410</v>
      </c>
      <c r="B2824" s="526" t="s">
        <v>411</v>
      </c>
      <c r="C2824" s="527">
        <v>429.0</v>
      </c>
      <c r="D2824" s="527">
        <v>1814.47</v>
      </c>
      <c r="E2824" s="528">
        <v>4.2295</v>
      </c>
      <c r="F2824" s="36" t="s">
        <v>7798</v>
      </c>
      <c r="G2824" s="125" t="s">
        <v>913</v>
      </c>
      <c r="H2824" s="125" t="s">
        <v>569</v>
      </c>
      <c r="I2824" t="s">
        <v>397</v>
      </c>
    </row>
    <row r="2825">
      <c r="A2825" s="125" t="s">
        <v>6615</v>
      </c>
      <c r="B2825" s="526" t="s">
        <v>6614</v>
      </c>
      <c r="C2825" s="527">
        <v>0.0</v>
      </c>
      <c r="D2825" s="527">
        <v>0.0</v>
      </c>
      <c r="F2825" s="36" t="s">
        <v>7798</v>
      </c>
      <c r="G2825" s="125" t="s">
        <v>893</v>
      </c>
      <c r="H2825" s="125" t="s">
        <v>7808</v>
      </c>
      <c r="I2825" t="s">
        <v>397</v>
      </c>
    </row>
    <row r="2826">
      <c r="A2826" s="125" t="s">
        <v>6617</v>
      </c>
      <c r="B2826" s="526" t="s">
        <v>6616</v>
      </c>
      <c r="C2826" s="527">
        <v>29.0</v>
      </c>
      <c r="D2826" s="527">
        <v>87.57</v>
      </c>
      <c r="E2826" s="528">
        <v>3.0197</v>
      </c>
      <c r="F2826" s="36" t="s">
        <v>7798</v>
      </c>
      <c r="G2826" s="125" t="s">
        <v>913</v>
      </c>
      <c r="H2826" s="125" t="s">
        <v>7808</v>
      </c>
      <c r="I2826" t="s">
        <v>397</v>
      </c>
    </row>
    <row r="2827">
      <c r="A2827" s="125" t="s">
        <v>6619</v>
      </c>
      <c r="B2827" s="526" t="s">
        <v>6618</v>
      </c>
      <c r="C2827" s="527">
        <v>554.0</v>
      </c>
      <c r="D2827" s="527">
        <v>2237.97</v>
      </c>
      <c r="E2827" s="528">
        <v>4.0397</v>
      </c>
      <c r="F2827" s="36" t="s">
        <v>7798</v>
      </c>
      <c r="G2827" s="125" t="s">
        <v>913</v>
      </c>
      <c r="H2827" s="125" t="s">
        <v>7808</v>
      </c>
      <c r="I2827" t="s">
        <v>397</v>
      </c>
    </row>
    <row r="2828">
      <c r="A2828" s="125" t="s">
        <v>590</v>
      </c>
      <c r="B2828" s="526" t="s">
        <v>591</v>
      </c>
      <c r="C2828" s="527">
        <v>323.0</v>
      </c>
      <c r="D2828" s="527">
        <v>1541.12</v>
      </c>
      <c r="E2828" s="528">
        <v>4.7713</v>
      </c>
      <c r="F2828" s="36" t="s">
        <v>7798</v>
      </c>
      <c r="G2828" s="125" t="s">
        <v>913</v>
      </c>
      <c r="H2828" s="125" t="s">
        <v>569</v>
      </c>
      <c r="I2828" t="s">
        <v>397</v>
      </c>
    </row>
    <row r="2829">
      <c r="A2829" s="125" t="s">
        <v>6621</v>
      </c>
      <c r="B2829" s="526" t="s">
        <v>6620</v>
      </c>
      <c r="C2829" s="527">
        <v>0.0</v>
      </c>
      <c r="D2829" s="527">
        <v>0.0</v>
      </c>
      <c r="F2829" s="36" t="s">
        <v>7798</v>
      </c>
      <c r="G2829" s="125" t="s">
        <v>893</v>
      </c>
      <c r="H2829" s="125" t="s">
        <v>7801</v>
      </c>
      <c r="I2829" t="s">
        <v>397</v>
      </c>
    </row>
    <row r="2830">
      <c r="A2830" s="125" t="s">
        <v>6623</v>
      </c>
      <c r="B2830" s="526" t="s">
        <v>6622</v>
      </c>
      <c r="C2830" s="527">
        <v>0.0</v>
      </c>
      <c r="D2830" s="527">
        <v>0.0</v>
      </c>
      <c r="F2830" s="36" t="s">
        <v>7798</v>
      </c>
      <c r="G2830" s="125" t="s">
        <v>893</v>
      </c>
      <c r="H2830" s="125" t="s">
        <v>7799</v>
      </c>
      <c r="I2830" t="s">
        <v>7894</v>
      </c>
    </row>
    <row r="2831">
      <c r="A2831" s="125" t="s">
        <v>406</v>
      </c>
      <c r="B2831" s="526" t="s">
        <v>407</v>
      </c>
      <c r="C2831" s="527">
        <v>12.0</v>
      </c>
      <c r="D2831" s="527">
        <v>51.21</v>
      </c>
      <c r="E2831" s="528">
        <v>4.2675</v>
      </c>
      <c r="F2831" s="36" t="s">
        <v>7798</v>
      </c>
      <c r="G2831" s="125" t="s">
        <v>913</v>
      </c>
      <c r="H2831" s="125" t="s">
        <v>569</v>
      </c>
      <c r="I2831" t="s">
        <v>397</v>
      </c>
    </row>
    <row r="2832">
      <c r="A2832" s="125" t="s">
        <v>6625</v>
      </c>
      <c r="B2832" s="526" t="s">
        <v>6624</v>
      </c>
      <c r="C2832" s="527">
        <v>3.0</v>
      </c>
      <c r="D2832" s="527">
        <v>8.27</v>
      </c>
      <c r="E2832" s="528">
        <v>2.7567</v>
      </c>
      <c r="F2832" s="36" t="s">
        <v>7798</v>
      </c>
      <c r="G2832" s="125" t="s">
        <v>893</v>
      </c>
      <c r="H2832" s="125" t="s">
        <v>7801</v>
      </c>
      <c r="I2832" t="s">
        <v>397</v>
      </c>
    </row>
    <row r="2833">
      <c r="A2833" s="125" t="s">
        <v>6629</v>
      </c>
      <c r="B2833" s="526" t="s">
        <v>6628</v>
      </c>
      <c r="C2833" s="527">
        <v>2.0</v>
      </c>
      <c r="D2833" s="527">
        <v>5.95</v>
      </c>
      <c r="E2833" s="528">
        <v>2.975</v>
      </c>
      <c r="F2833" s="36" t="s">
        <v>7798</v>
      </c>
      <c r="G2833" s="125" t="s">
        <v>893</v>
      </c>
      <c r="H2833" s="125" t="s">
        <v>7801</v>
      </c>
      <c r="I2833" t="s">
        <v>397</v>
      </c>
    </row>
    <row r="2834">
      <c r="A2834" s="125" t="s">
        <v>412</v>
      </c>
      <c r="B2834" s="526" t="s">
        <v>413</v>
      </c>
      <c r="C2834" s="527">
        <v>296.0</v>
      </c>
      <c r="D2834" s="527">
        <v>1303.62</v>
      </c>
      <c r="E2834" s="528">
        <v>4.4041</v>
      </c>
      <c r="F2834" s="36" t="s">
        <v>7798</v>
      </c>
      <c r="G2834" s="125" t="s">
        <v>913</v>
      </c>
      <c r="H2834" s="125" t="s">
        <v>569</v>
      </c>
      <c r="I2834" t="s">
        <v>397</v>
      </c>
    </row>
    <row r="2835">
      <c r="A2835" s="125" t="s">
        <v>6631</v>
      </c>
      <c r="B2835" s="526" t="s">
        <v>6630</v>
      </c>
      <c r="C2835" s="527">
        <v>0.0</v>
      </c>
      <c r="D2835" s="527">
        <v>0.0</v>
      </c>
      <c r="F2835" s="36" t="s">
        <v>7798</v>
      </c>
      <c r="G2835" s="125" t="s">
        <v>893</v>
      </c>
      <c r="H2835" s="125" t="s">
        <v>7799</v>
      </c>
      <c r="I2835" t="s">
        <v>7894</v>
      </c>
    </row>
    <row r="2836">
      <c r="A2836" s="125" t="s">
        <v>6633</v>
      </c>
      <c r="B2836" s="526" t="s">
        <v>6632</v>
      </c>
      <c r="C2836" s="527">
        <v>0.0</v>
      </c>
      <c r="D2836" s="527">
        <v>0.0</v>
      </c>
      <c r="F2836" s="36" t="s">
        <v>7798</v>
      </c>
      <c r="G2836" s="125" t="s">
        <v>893</v>
      </c>
      <c r="H2836" s="125" t="s">
        <v>7801</v>
      </c>
      <c r="I2836" t="s">
        <v>397</v>
      </c>
    </row>
    <row r="2837">
      <c r="A2837" s="125" t="s">
        <v>588</v>
      </c>
      <c r="B2837" s="526" t="s">
        <v>589</v>
      </c>
      <c r="C2837" s="527">
        <v>134.0</v>
      </c>
      <c r="D2837" s="527">
        <v>566.97</v>
      </c>
      <c r="E2837" s="528">
        <v>4.2311</v>
      </c>
      <c r="F2837" s="36" t="s">
        <v>7798</v>
      </c>
      <c r="G2837" s="125" t="s">
        <v>913</v>
      </c>
      <c r="H2837" s="125" t="s">
        <v>569</v>
      </c>
      <c r="I2837" t="s">
        <v>397</v>
      </c>
    </row>
    <row r="2838">
      <c r="A2838" s="125" t="s">
        <v>6635</v>
      </c>
      <c r="B2838" s="526" t="s">
        <v>6634</v>
      </c>
      <c r="C2838" s="527">
        <v>334.0</v>
      </c>
      <c r="D2838" s="527">
        <v>1383.3</v>
      </c>
      <c r="E2838" s="528">
        <v>4.1416</v>
      </c>
      <c r="F2838" s="36" t="s">
        <v>7798</v>
      </c>
      <c r="G2838" s="125" t="s">
        <v>913</v>
      </c>
      <c r="H2838" s="125" t="s">
        <v>7801</v>
      </c>
      <c r="I2838" t="s">
        <v>397</v>
      </c>
    </row>
    <row r="2839">
      <c r="A2839" s="125" t="s">
        <v>6637</v>
      </c>
      <c r="B2839" s="526" t="s">
        <v>6636</v>
      </c>
      <c r="C2839" s="527">
        <v>54.0</v>
      </c>
      <c r="D2839" s="527">
        <v>223.98</v>
      </c>
      <c r="E2839" s="528">
        <v>4.1478</v>
      </c>
      <c r="F2839" s="36" t="s">
        <v>7798</v>
      </c>
      <c r="G2839" s="125" t="s">
        <v>913</v>
      </c>
      <c r="H2839" s="125" t="s">
        <v>7808</v>
      </c>
      <c r="I2839" t="s">
        <v>397</v>
      </c>
    </row>
    <row r="2840">
      <c r="A2840" s="125" t="s">
        <v>6639</v>
      </c>
      <c r="B2840" s="526" t="s">
        <v>6638</v>
      </c>
      <c r="C2840" s="527">
        <v>4.0</v>
      </c>
      <c r="D2840" s="527">
        <v>16.0</v>
      </c>
      <c r="E2840" s="528">
        <v>4.0</v>
      </c>
      <c r="F2840" s="36" t="s">
        <v>7798</v>
      </c>
      <c r="G2840" s="125" t="s">
        <v>913</v>
      </c>
      <c r="H2840" s="125" t="s">
        <v>7808</v>
      </c>
      <c r="I2840" t="s">
        <v>397</v>
      </c>
    </row>
    <row r="2841">
      <c r="A2841" s="125" t="s">
        <v>6641</v>
      </c>
      <c r="B2841" s="526" t="s">
        <v>6640</v>
      </c>
      <c r="C2841" s="527">
        <v>166.0</v>
      </c>
      <c r="D2841" s="527">
        <v>688.17</v>
      </c>
      <c r="E2841" s="528">
        <v>4.1456</v>
      </c>
      <c r="F2841" s="36" t="s">
        <v>7798</v>
      </c>
      <c r="G2841" s="125" t="s">
        <v>913</v>
      </c>
      <c r="H2841" s="125" t="s">
        <v>7801</v>
      </c>
      <c r="I2841" t="s">
        <v>397</v>
      </c>
    </row>
    <row r="2842">
      <c r="A2842" s="125" t="s">
        <v>6643</v>
      </c>
      <c r="B2842" s="526" t="s">
        <v>6642</v>
      </c>
      <c r="C2842" s="527">
        <v>12.0</v>
      </c>
      <c r="D2842" s="527">
        <v>41.28</v>
      </c>
      <c r="E2842" s="528">
        <v>3.44</v>
      </c>
      <c r="F2842" s="36" t="s">
        <v>7798</v>
      </c>
      <c r="G2842" s="125" t="s">
        <v>913</v>
      </c>
      <c r="H2842" s="125" t="s">
        <v>7801</v>
      </c>
      <c r="I2842" t="s">
        <v>397</v>
      </c>
    </row>
    <row r="2843">
      <c r="A2843" s="125" t="s">
        <v>6645</v>
      </c>
      <c r="B2843" s="526" t="s">
        <v>6644</v>
      </c>
      <c r="C2843" s="527">
        <v>168.0</v>
      </c>
      <c r="D2843" s="527">
        <v>85.68</v>
      </c>
      <c r="E2843" s="528">
        <v>0.51</v>
      </c>
      <c r="F2843" s="36" t="s">
        <v>7798</v>
      </c>
      <c r="G2843" s="125" t="s">
        <v>913</v>
      </c>
      <c r="H2843" s="125" t="s">
        <v>7821</v>
      </c>
      <c r="I2843" t="s">
        <v>7834</v>
      </c>
    </row>
    <row r="2844">
      <c r="A2844" s="125" t="s">
        <v>6647</v>
      </c>
      <c r="B2844" s="526" t="s">
        <v>6646</v>
      </c>
      <c r="C2844" s="527">
        <v>36.0</v>
      </c>
      <c r="D2844" s="527">
        <v>19.44</v>
      </c>
      <c r="E2844" s="528">
        <v>0.54</v>
      </c>
      <c r="F2844" s="36" t="s">
        <v>7798</v>
      </c>
      <c r="G2844" s="125" t="s">
        <v>913</v>
      </c>
      <c r="H2844" s="125" t="s">
        <v>7821</v>
      </c>
      <c r="I2844" t="s">
        <v>7834</v>
      </c>
    </row>
    <row r="2845">
      <c r="A2845" s="125" t="s">
        <v>38</v>
      </c>
      <c r="B2845" s="526">
        <v>35801.0</v>
      </c>
      <c r="C2845" s="527">
        <v>15.0</v>
      </c>
      <c r="D2845" s="527">
        <v>93.59</v>
      </c>
      <c r="E2845" s="528">
        <v>6.2393</v>
      </c>
      <c r="F2845" s="36" t="s">
        <v>7798</v>
      </c>
      <c r="G2845" s="125" t="s">
        <v>913</v>
      </c>
      <c r="H2845" s="125" t="s">
        <v>32</v>
      </c>
      <c r="I2845" t="s">
        <v>33</v>
      </c>
    </row>
    <row r="2846">
      <c r="A2846" s="125" t="s">
        <v>39</v>
      </c>
      <c r="B2846" s="526">
        <v>35804.0</v>
      </c>
      <c r="C2846" s="527">
        <v>0.0</v>
      </c>
      <c r="D2846" s="527">
        <v>0.0</v>
      </c>
      <c r="F2846" s="36" t="s">
        <v>7798</v>
      </c>
      <c r="G2846" s="125" t="s">
        <v>913</v>
      </c>
      <c r="H2846" s="125" t="s">
        <v>32</v>
      </c>
      <c r="I2846" t="s">
        <v>33</v>
      </c>
    </row>
    <row r="2847">
      <c r="A2847" s="125" t="s">
        <v>41</v>
      </c>
      <c r="B2847" s="526">
        <v>35805.0</v>
      </c>
      <c r="C2847" s="527">
        <v>56.0</v>
      </c>
      <c r="D2847" s="527">
        <v>349.23</v>
      </c>
      <c r="E2847" s="528">
        <v>6.2363</v>
      </c>
      <c r="F2847" s="36" t="s">
        <v>7798</v>
      </c>
      <c r="G2847" s="125" t="s">
        <v>913</v>
      </c>
      <c r="H2847" s="125" t="s">
        <v>32</v>
      </c>
      <c r="I2847" t="s">
        <v>33</v>
      </c>
    </row>
    <row r="2848">
      <c r="A2848" s="125" t="s">
        <v>36</v>
      </c>
      <c r="B2848" s="526" t="s">
        <v>37</v>
      </c>
      <c r="C2848" s="527">
        <v>0.0</v>
      </c>
      <c r="D2848" s="527">
        <v>0.0</v>
      </c>
      <c r="F2848" s="36" t="s">
        <v>7807</v>
      </c>
      <c r="G2848" s="125" t="s">
        <v>913</v>
      </c>
      <c r="H2848" s="125" t="s">
        <v>32</v>
      </c>
      <c r="I2848" t="s">
        <v>33</v>
      </c>
    </row>
    <row r="2849">
      <c r="A2849" s="125" t="s">
        <v>34</v>
      </c>
      <c r="B2849" s="526" t="s">
        <v>35</v>
      </c>
      <c r="C2849" s="527">
        <v>79.0</v>
      </c>
      <c r="D2849" s="527">
        <v>32.89</v>
      </c>
      <c r="E2849" s="528">
        <v>0.4163</v>
      </c>
      <c r="F2849" s="36" t="s">
        <v>7798</v>
      </c>
      <c r="G2849" s="125" t="s">
        <v>913</v>
      </c>
      <c r="H2849" s="125" t="s">
        <v>32</v>
      </c>
      <c r="I2849" t="s">
        <v>33</v>
      </c>
    </row>
    <row r="2850">
      <c r="A2850" s="125" t="s">
        <v>237</v>
      </c>
      <c r="B2850" s="526" t="s">
        <v>238</v>
      </c>
      <c r="C2850" s="527">
        <v>0.0</v>
      </c>
      <c r="D2850" s="527">
        <v>0.0</v>
      </c>
      <c r="F2850" s="36" t="s">
        <v>7798</v>
      </c>
      <c r="G2850" s="125" t="s">
        <v>913</v>
      </c>
      <c r="H2850" s="125" t="s">
        <v>569</v>
      </c>
      <c r="I2850" t="s">
        <v>63</v>
      </c>
    </row>
    <row r="2851">
      <c r="A2851" s="125" t="s">
        <v>6651</v>
      </c>
      <c r="B2851" s="526" t="s">
        <v>6650</v>
      </c>
      <c r="C2851" s="527">
        <v>0.0</v>
      </c>
      <c r="D2851" s="527">
        <v>0.0</v>
      </c>
      <c r="F2851" s="36" t="s">
        <v>7798</v>
      </c>
      <c r="G2851" s="125" t="s">
        <v>893</v>
      </c>
      <c r="H2851" s="125" t="s">
        <v>7801</v>
      </c>
      <c r="I2851" t="s">
        <v>63</v>
      </c>
    </row>
    <row r="2852">
      <c r="A2852" s="125" t="s">
        <v>239</v>
      </c>
      <c r="B2852" s="526" t="s">
        <v>240</v>
      </c>
      <c r="C2852" s="527">
        <v>177.0</v>
      </c>
      <c r="D2852" s="527">
        <v>170.25</v>
      </c>
      <c r="E2852" s="528">
        <v>0.9619</v>
      </c>
      <c r="F2852" s="36" t="s">
        <v>7798</v>
      </c>
      <c r="G2852" s="125" t="s">
        <v>913</v>
      </c>
      <c r="H2852" s="125" t="s">
        <v>569</v>
      </c>
      <c r="I2852" t="s">
        <v>63</v>
      </c>
    </row>
    <row r="2853">
      <c r="A2853" s="125" t="s">
        <v>6655</v>
      </c>
      <c r="B2853" s="526" t="s">
        <v>6654</v>
      </c>
      <c r="C2853" s="527">
        <v>0.0</v>
      </c>
      <c r="D2853" s="527">
        <v>0.0</v>
      </c>
      <c r="F2853" s="36" t="s">
        <v>7798</v>
      </c>
      <c r="G2853" s="125" t="s">
        <v>893</v>
      </c>
      <c r="H2853" s="125" t="s">
        <v>7801</v>
      </c>
      <c r="I2853" t="s">
        <v>63</v>
      </c>
    </row>
    <row r="2854">
      <c r="A2854" s="125" t="s">
        <v>235</v>
      </c>
      <c r="B2854" s="526" t="s">
        <v>236</v>
      </c>
      <c r="C2854" s="527">
        <v>0.0</v>
      </c>
      <c r="D2854" s="527">
        <v>0.0</v>
      </c>
      <c r="F2854" s="36" t="s">
        <v>7798</v>
      </c>
      <c r="G2854" s="125" t="s">
        <v>913</v>
      </c>
      <c r="H2854" s="125" t="s">
        <v>569</v>
      </c>
      <c r="I2854" t="s">
        <v>63</v>
      </c>
    </row>
    <row r="2855">
      <c r="A2855" s="125" t="s">
        <v>6661</v>
      </c>
      <c r="B2855" s="526" t="s">
        <v>6660</v>
      </c>
      <c r="C2855" s="527">
        <v>0.0</v>
      </c>
      <c r="D2855" s="527">
        <v>0.0</v>
      </c>
      <c r="F2855" s="36" t="s">
        <v>7798</v>
      </c>
      <c r="G2855" s="125" t="s">
        <v>893</v>
      </c>
      <c r="H2855" s="125" t="s">
        <v>7801</v>
      </c>
      <c r="I2855" t="s">
        <v>63</v>
      </c>
    </row>
    <row r="2856">
      <c r="A2856" s="125" t="s">
        <v>231</v>
      </c>
      <c r="B2856" s="526" t="s">
        <v>232</v>
      </c>
      <c r="C2856" s="527">
        <v>0.0</v>
      </c>
      <c r="D2856" s="527">
        <v>0.0</v>
      </c>
      <c r="F2856" s="36" t="s">
        <v>7798</v>
      </c>
      <c r="G2856" s="125" t="s">
        <v>913</v>
      </c>
      <c r="H2856" s="125" t="s">
        <v>569</v>
      </c>
      <c r="I2856" t="s">
        <v>63</v>
      </c>
    </row>
    <row r="2857">
      <c r="A2857" s="125" t="s">
        <v>574</v>
      </c>
      <c r="B2857" s="526" t="s">
        <v>575</v>
      </c>
      <c r="C2857" s="527">
        <v>42.0</v>
      </c>
      <c r="D2857" s="527">
        <v>40.26</v>
      </c>
      <c r="E2857" s="528">
        <v>0.9586</v>
      </c>
      <c r="F2857" s="36" t="s">
        <v>7798</v>
      </c>
      <c r="G2857" s="125" t="s">
        <v>913</v>
      </c>
      <c r="H2857" s="125" t="s">
        <v>569</v>
      </c>
      <c r="I2857" t="s">
        <v>63</v>
      </c>
    </row>
    <row r="2858">
      <c r="A2858" s="125" t="s">
        <v>233</v>
      </c>
      <c r="B2858" s="526" t="s">
        <v>234</v>
      </c>
      <c r="C2858" s="527">
        <v>73.0</v>
      </c>
      <c r="D2858" s="527">
        <v>70.85</v>
      </c>
      <c r="E2858" s="528">
        <v>0.9705</v>
      </c>
      <c r="F2858" s="36" t="s">
        <v>7798</v>
      </c>
      <c r="G2858" s="125" t="s">
        <v>913</v>
      </c>
      <c r="H2858" s="125" t="s">
        <v>7801</v>
      </c>
      <c r="I2858" t="s">
        <v>63</v>
      </c>
    </row>
    <row r="2859">
      <c r="A2859" s="125" t="s">
        <v>6667</v>
      </c>
      <c r="B2859" s="526" t="s">
        <v>6666</v>
      </c>
      <c r="C2859" s="527">
        <v>28.0</v>
      </c>
      <c r="D2859" s="527">
        <v>126.0</v>
      </c>
      <c r="E2859" s="528">
        <v>4.5</v>
      </c>
      <c r="F2859" s="36" t="s">
        <v>7798</v>
      </c>
      <c r="G2859" s="125" t="s">
        <v>913</v>
      </c>
      <c r="I2859" t="s">
        <v>45</v>
      </c>
    </row>
    <row r="2860">
      <c r="A2860" s="125" t="s">
        <v>229</v>
      </c>
      <c r="B2860" s="526" t="s">
        <v>230</v>
      </c>
      <c r="C2860" s="527">
        <v>1.0</v>
      </c>
      <c r="D2860" s="527">
        <v>14.49</v>
      </c>
      <c r="E2860" s="528">
        <v>14.49</v>
      </c>
      <c r="F2860" s="36" t="s">
        <v>7798</v>
      </c>
      <c r="G2860" s="125" t="s">
        <v>913</v>
      </c>
      <c r="H2860" s="125" t="s">
        <v>569</v>
      </c>
      <c r="I2860" t="s">
        <v>63</v>
      </c>
    </row>
    <row r="2861">
      <c r="A2861" s="125" t="s">
        <v>6669</v>
      </c>
      <c r="B2861" s="526" t="s">
        <v>6668</v>
      </c>
      <c r="C2861" s="527">
        <v>0.0</v>
      </c>
      <c r="D2861" s="527">
        <v>0.0</v>
      </c>
      <c r="F2861" s="36" t="s">
        <v>7798</v>
      </c>
      <c r="G2861" s="125" t="s">
        <v>893</v>
      </c>
      <c r="H2861" s="125" t="s">
        <v>7799</v>
      </c>
      <c r="I2861" t="s">
        <v>45</v>
      </c>
    </row>
    <row r="2862">
      <c r="A2862" s="125" t="s">
        <v>6671</v>
      </c>
      <c r="B2862" s="526" t="s">
        <v>6670</v>
      </c>
      <c r="C2862" s="527">
        <v>0.0</v>
      </c>
      <c r="D2862" s="527">
        <v>0.0</v>
      </c>
      <c r="F2862" s="36" t="s">
        <v>7798</v>
      </c>
      <c r="G2862" s="125" t="s">
        <v>893</v>
      </c>
      <c r="H2862" s="125" t="s">
        <v>7799</v>
      </c>
      <c r="I2862" t="s">
        <v>278</v>
      </c>
    </row>
    <row r="2863">
      <c r="A2863" s="125" t="s">
        <v>6672</v>
      </c>
      <c r="B2863" s="526">
        <v>35803.0</v>
      </c>
      <c r="C2863" s="527">
        <v>0.0</v>
      </c>
      <c r="D2863" s="527">
        <v>0.0</v>
      </c>
      <c r="F2863" s="36" t="s">
        <v>7798</v>
      </c>
      <c r="G2863" s="125" t="s">
        <v>893</v>
      </c>
      <c r="H2863" s="125" t="s">
        <v>7799</v>
      </c>
      <c r="I2863" t="s">
        <v>33</v>
      </c>
    </row>
    <row r="2864">
      <c r="A2864" s="125" t="s">
        <v>6673</v>
      </c>
      <c r="B2864" s="526">
        <v>35802.0</v>
      </c>
      <c r="C2864" s="527">
        <v>0.0</v>
      </c>
      <c r="D2864" s="527">
        <v>0.0</v>
      </c>
      <c r="F2864" s="36" t="s">
        <v>7798</v>
      </c>
      <c r="G2864" s="125" t="s">
        <v>893</v>
      </c>
      <c r="H2864" s="125" t="s">
        <v>7799</v>
      </c>
      <c r="I2864" t="s">
        <v>33</v>
      </c>
    </row>
    <row r="2865">
      <c r="A2865" s="125" t="s">
        <v>6675</v>
      </c>
      <c r="B2865" s="526" t="s">
        <v>6674</v>
      </c>
      <c r="C2865" s="527">
        <v>1998.0</v>
      </c>
      <c r="D2865" s="527">
        <v>7561.36</v>
      </c>
      <c r="E2865" s="528">
        <v>3.7845</v>
      </c>
      <c r="F2865" s="36" t="s">
        <v>7798</v>
      </c>
      <c r="G2865" s="125" t="s">
        <v>913</v>
      </c>
      <c r="H2865" s="125" t="s">
        <v>569</v>
      </c>
      <c r="I2865" t="s">
        <v>7817</v>
      </c>
    </row>
    <row r="2866">
      <c r="A2866" s="125" t="s">
        <v>6677</v>
      </c>
      <c r="B2866" s="526" t="s">
        <v>6676</v>
      </c>
      <c r="C2866" s="527">
        <v>2777.0</v>
      </c>
      <c r="D2866" s="527">
        <v>10505.03</v>
      </c>
      <c r="E2866" s="528">
        <v>3.7829</v>
      </c>
      <c r="F2866" s="36" t="s">
        <v>7798</v>
      </c>
      <c r="G2866" s="125" t="s">
        <v>913</v>
      </c>
      <c r="H2866" s="125" t="s">
        <v>569</v>
      </c>
      <c r="I2866" t="s">
        <v>7817</v>
      </c>
    </row>
    <row r="2867">
      <c r="A2867" s="125" t="s">
        <v>6679</v>
      </c>
      <c r="B2867" s="526" t="s">
        <v>6678</v>
      </c>
      <c r="C2867" s="527">
        <v>0.0</v>
      </c>
      <c r="D2867" s="527">
        <v>0.0</v>
      </c>
      <c r="F2867" s="36" t="s">
        <v>7807</v>
      </c>
      <c r="G2867" s="125" t="s">
        <v>893</v>
      </c>
      <c r="H2867" s="125" t="s">
        <v>7819</v>
      </c>
      <c r="I2867" t="s">
        <v>7817</v>
      </c>
    </row>
    <row r="2868">
      <c r="A2868" s="125" t="s">
        <v>6681</v>
      </c>
      <c r="B2868" s="526" t="s">
        <v>6680</v>
      </c>
      <c r="C2868" s="527">
        <v>10001.0</v>
      </c>
      <c r="D2868" s="527">
        <v>554.83</v>
      </c>
      <c r="E2868" s="528">
        <v>0.0555</v>
      </c>
      <c r="F2868" s="36" t="s">
        <v>7827</v>
      </c>
      <c r="G2868" s="125" t="s">
        <v>913</v>
      </c>
      <c r="H2868" s="125" t="s">
        <v>7829</v>
      </c>
    </row>
    <row r="2869">
      <c r="A2869" s="125" t="s">
        <v>6683</v>
      </c>
      <c r="B2869" s="526" t="s">
        <v>6682</v>
      </c>
      <c r="C2869" s="527">
        <v>534.0</v>
      </c>
      <c r="D2869" s="527">
        <v>293.7</v>
      </c>
      <c r="E2869" s="528">
        <v>0.55</v>
      </c>
      <c r="F2869" s="36" t="s">
        <v>7798</v>
      </c>
      <c r="G2869" s="125" t="s">
        <v>913</v>
      </c>
      <c r="H2869" s="125" t="s">
        <v>7821</v>
      </c>
      <c r="I2869" t="s">
        <v>7823</v>
      </c>
    </row>
    <row r="2870">
      <c r="A2870" s="125" t="s">
        <v>6685</v>
      </c>
      <c r="B2870" s="526" t="s">
        <v>6684</v>
      </c>
      <c r="C2870" s="527">
        <v>498.0</v>
      </c>
      <c r="D2870" s="527">
        <v>249.0</v>
      </c>
      <c r="E2870" s="528">
        <v>0.5</v>
      </c>
      <c r="F2870" s="36" t="s">
        <v>7798</v>
      </c>
      <c r="G2870" s="125" t="s">
        <v>913</v>
      </c>
      <c r="H2870" s="125" t="s">
        <v>7821</v>
      </c>
      <c r="I2870" t="s">
        <v>7838</v>
      </c>
    </row>
    <row r="2871">
      <c r="A2871" s="125" t="s">
        <v>6691</v>
      </c>
      <c r="B2871" s="526" t="s">
        <v>6690</v>
      </c>
      <c r="C2871" s="527">
        <v>183.0</v>
      </c>
      <c r="D2871" s="527">
        <v>918.59</v>
      </c>
      <c r="E2871" s="528">
        <v>5.0196</v>
      </c>
      <c r="F2871" s="36" t="s">
        <v>7798</v>
      </c>
      <c r="G2871" s="125" t="s">
        <v>913</v>
      </c>
      <c r="H2871" s="125" t="s">
        <v>7801</v>
      </c>
      <c r="I2871" t="s">
        <v>7851</v>
      </c>
    </row>
    <row r="2872">
      <c r="A2872" s="125" t="s">
        <v>6693</v>
      </c>
      <c r="B2872" s="526" t="s">
        <v>6692</v>
      </c>
      <c r="C2872" s="527">
        <v>13.0</v>
      </c>
      <c r="D2872" s="527">
        <v>65.26</v>
      </c>
      <c r="E2872" s="528">
        <v>5.02</v>
      </c>
      <c r="F2872" s="36" t="s">
        <v>7798</v>
      </c>
      <c r="G2872" s="125" t="s">
        <v>913</v>
      </c>
      <c r="H2872" s="125" t="s">
        <v>7801</v>
      </c>
      <c r="I2872" t="s">
        <v>7851</v>
      </c>
    </row>
    <row r="2873">
      <c r="A2873" s="125" t="s">
        <v>6695</v>
      </c>
      <c r="B2873" s="526" t="s">
        <v>6694</v>
      </c>
      <c r="C2873" s="527">
        <v>58.0</v>
      </c>
      <c r="D2873" s="527">
        <v>266.14</v>
      </c>
      <c r="E2873" s="528">
        <v>4.5886</v>
      </c>
      <c r="F2873" s="36" t="s">
        <v>7798</v>
      </c>
      <c r="G2873" s="125" t="s">
        <v>913</v>
      </c>
      <c r="H2873" s="125" t="s">
        <v>7801</v>
      </c>
      <c r="I2873" t="s">
        <v>7851</v>
      </c>
    </row>
    <row r="2874">
      <c r="A2874" s="125" t="s">
        <v>6697</v>
      </c>
      <c r="B2874" s="526" t="s">
        <v>6696</v>
      </c>
      <c r="C2874" s="527">
        <v>0.0</v>
      </c>
      <c r="D2874" s="527">
        <v>0.0</v>
      </c>
      <c r="F2874" s="36" t="s">
        <v>7798</v>
      </c>
      <c r="G2874" s="125" t="s">
        <v>913</v>
      </c>
      <c r="H2874" s="125" t="s">
        <v>7801</v>
      </c>
      <c r="I2874" t="s">
        <v>7851</v>
      </c>
    </row>
    <row r="2875">
      <c r="A2875" s="125" t="s">
        <v>6699</v>
      </c>
      <c r="B2875" s="526" t="s">
        <v>6698</v>
      </c>
      <c r="C2875" s="527">
        <v>280.0</v>
      </c>
      <c r="D2875" s="527">
        <v>1405.6</v>
      </c>
      <c r="E2875" s="528">
        <v>5.02</v>
      </c>
      <c r="F2875" s="36" t="s">
        <v>7798</v>
      </c>
      <c r="G2875" s="125" t="s">
        <v>913</v>
      </c>
      <c r="H2875" s="125" t="s">
        <v>7801</v>
      </c>
      <c r="I2875" t="s">
        <v>7851</v>
      </c>
    </row>
    <row r="2876">
      <c r="A2876" s="125" t="s">
        <v>662</v>
      </c>
      <c r="B2876" s="526" t="s">
        <v>663</v>
      </c>
      <c r="C2876" s="527">
        <v>510.0</v>
      </c>
      <c r="D2876" s="527">
        <v>713.58</v>
      </c>
      <c r="E2876" s="528">
        <v>1.3992</v>
      </c>
      <c r="F2876" s="36" t="s">
        <v>7798</v>
      </c>
      <c r="G2876" s="125" t="s">
        <v>913</v>
      </c>
      <c r="H2876" s="125" t="s">
        <v>569</v>
      </c>
      <c r="I2876" t="s">
        <v>180</v>
      </c>
    </row>
    <row r="2877">
      <c r="A2877" s="125" t="s">
        <v>664</v>
      </c>
      <c r="B2877" s="526" t="s">
        <v>665</v>
      </c>
      <c r="C2877" s="527">
        <v>582.0</v>
      </c>
      <c r="D2877" s="527">
        <v>814.29</v>
      </c>
      <c r="E2877" s="528">
        <v>1.3991</v>
      </c>
      <c r="F2877" s="36" t="s">
        <v>7798</v>
      </c>
      <c r="G2877" s="125" t="s">
        <v>913</v>
      </c>
      <c r="H2877" s="125" t="s">
        <v>569</v>
      </c>
      <c r="I2877" t="s">
        <v>180</v>
      </c>
    </row>
    <row r="2878">
      <c r="A2878" s="125" t="s">
        <v>660</v>
      </c>
      <c r="B2878" s="526" t="s">
        <v>661</v>
      </c>
      <c r="C2878" s="527">
        <v>177.0</v>
      </c>
      <c r="D2878" s="527">
        <v>247.66</v>
      </c>
      <c r="E2878" s="528">
        <v>1.3992</v>
      </c>
      <c r="F2878" s="36" t="s">
        <v>7798</v>
      </c>
      <c r="G2878" s="125" t="s">
        <v>913</v>
      </c>
      <c r="H2878" s="125" t="s">
        <v>569</v>
      </c>
      <c r="I2878" t="s">
        <v>180</v>
      </c>
    </row>
    <row r="2879">
      <c r="A2879" s="125" t="s">
        <v>656</v>
      </c>
      <c r="B2879" s="526" t="s">
        <v>657</v>
      </c>
      <c r="C2879" s="527">
        <v>594.0</v>
      </c>
      <c r="D2879" s="527">
        <v>831.07</v>
      </c>
      <c r="E2879" s="528">
        <v>1.3991</v>
      </c>
      <c r="F2879" s="36" t="s">
        <v>7798</v>
      </c>
      <c r="G2879" s="125" t="s">
        <v>913</v>
      </c>
      <c r="H2879" s="125" t="s">
        <v>569</v>
      </c>
      <c r="I2879" t="s">
        <v>180</v>
      </c>
    </row>
    <row r="2880">
      <c r="A2880" s="125" t="s">
        <v>658</v>
      </c>
      <c r="B2880" s="526" t="s">
        <v>659</v>
      </c>
      <c r="C2880" s="527">
        <v>189.0</v>
      </c>
      <c r="D2880" s="527">
        <v>264.44</v>
      </c>
      <c r="E2880" s="528">
        <v>1.3992</v>
      </c>
      <c r="F2880" s="36" t="s">
        <v>7798</v>
      </c>
      <c r="G2880" s="125" t="s">
        <v>913</v>
      </c>
      <c r="H2880" s="125" t="s">
        <v>569</v>
      </c>
      <c r="I2880" t="s">
        <v>180</v>
      </c>
    </row>
    <row r="2881">
      <c r="A2881" s="125" t="s">
        <v>666</v>
      </c>
      <c r="B2881" s="526" t="s">
        <v>667</v>
      </c>
      <c r="C2881" s="527">
        <v>708.0</v>
      </c>
      <c r="D2881" s="527">
        <v>990.56</v>
      </c>
      <c r="E2881" s="528">
        <v>1.3991</v>
      </c>
      <c r="F2881" s="36" t="s">
        <v>7798</v>
      </c>
      <c r="G2881" s="125" t="s">
        <v>913</v>
      </c>
      <c r="H2881" s="125" t="s">
        <v>569</v>
      </c>
      <c r="I2881" t="s">
        <v>180</v>
      </c>
    </row>
    <row r="2882">
      <c r="A2882" s="125" t="s">
        <v>654</v>
      </c>
      <c r="B2882" s="526" t="s">
        <v>655</v>
      </c>
      <c r="C2882" s="527">
        <v>144.0</v>
      </c>
      <c r="D2882" s="527">
        <v>384.55</v>
      </c>
      <c r="E2882" s="528">
        <v>2.6705</v>
      </c>
      <c r="F2882" s="36" t="s">
        <v>7798</v>
      </c>
      <c r="G2882" s="125" t="s">
        <v>913</v>
      </c>
      <c r="H2882" s="125" t="s">
        <v>569</v>
      </c>
      <c r="I2882" t="s">
        <v>45</v>
      </c>
    </row>
    <row r="2883">
      <c r="A2883" s="125" t="s">
        <v>651</v>
      </c>
      <c r="B2883" s="526" t="s">
        <v>652</v>
      </c>
      <c r="C2883" s="527">
        <v>8.0</v>
      </c>
      <c r="D2883" s="527">
        <v>424.28</v>
      </c>
      <c r="E2883" s="528">
        <v>53.035</v>
      </c>
      <c r="F2883" s="36" t="s">
        <v>7798</v>
      </c>
      <c r="G2883" s="125" t="s">
        <v>913</v>
      </c>
      <c r="H2883" s="125" t="s">
        <v>569</v>
      </c>
      <c r="I2883" t="s">
        <v>180</v>
      </c>
    </row>
    <row r="2884">
      <c r="A2884" s="125" t="s">
        <v>6701</v>
      </c>
      <c r="B2884" s="526" t="s">
        <v>6700</v>
      </c>
      <c r="C2884" s="527">
        <v>1674.0</v>
      </c>
      <c r="D2884" s="527">
        <v>11154.71</v>
      </c>
      <c r="E2884" s="528">
        <v>6.6635</v>
      </c>
      <c r="F2884" s="36" t="s">
        <v>7798</v>
      </c>
      <c r="G2884" s="125" t="s">
        <v>913</v>
      </c>
      <c r="H2884" s="125" t="s">
        <v>7819</v>
      </c>
      <c r="I2884" t="s">
        <v>7817</v>
      </c>
    </row>
    <row r="2885">
      <c r="A2885" s="125" t="s">
        <v>648</v>
      </c>
      <c r="B2885" s="526" t="s">
        <v>649</v>
      </c>
      <c r="C2885" s="527">
        <v>340.0</v>
      </c>
      <c r="D2885" s="527">
        <v>1942.87</v>
      </c>
      <c r="E2885" s="528">
        <v>5.7143</v>
      </c>
      <c r="F2885" s="36" t="s">
        <v>7798</v>
      </c>
      <c r="G2885" s="125" t="s">
        <v>913</v>
      </c>
      <c r="H2885" s="125" t="s">
        <v>569</v>
      </c>
      <c r="I2885" t="s">
        <v>630</v>
      </c>
    </row>
    <row r="2886">
      <c r="A2886" s="125" t="s">
        <v>6703</v>
      </c>
      <c r="B2886" s="526" t="s">
        <v>6702</v>
      </c>
      <c r="C2886" s="527">
        <v>178.0</v>
      </c>
      <c r="D2886" s="527">
        <v>908.36</v>
      </c>
      <c r="E2886" s="528">
        <v>5.1031</v>
      </c>
      <c r="F2886" s="36" t="s">
        <v>7798</v>
      </c>
      <c r="G2886" s="125" t="s">
        <v>913</v>
      </c>
      <c r="H2886" s="125" t="s">
        <v>7808</v>
      </c>
      <c r="I2886" t="s">
        <v>630</v>
      </c>
    </row>
    <row r="2887">
      <c r="A2887" s="125" t="s">
        <v>6705</v>
      </c>
      <c r="B2887" s="526" t="s">
        <v>6704</v>
      </c>
      <c r="C2887" s="527">
        <v>83.0</v>
      </c>
      <c r="D2887" s="527">
        <v>521.78</v>
      </c>
      <c r="E2887" s="528">
        <v>6.2865</v>
      </c>
      <c r="F2887" s="36" t="s">
        <v>7798</v>
      </c>
      <c r="G2887" s="125" t="s">
        <v>913</v>
      </c>
      <c r="H2887" s="125" t="s">
        <v>7808</v>
      </c>
      <c r="I2887" t="s">
        <v>630</v>
      </c>
    </row>
    <row r="2888">
      <c r="A2888" s="125" t="s">
        <v>6707</v>
      </c>
      <c r="B2888" s="526" t="s">
        <v>6706</v>
      </c>
      <c r="C2888" s="527">
        <v>23.0</v>
      </c>
      <c r="D2888" s="527">
        <v>144.97</v>
      </c>
      <c r="E2888" s="528">
        <v>6.303</v>
      </c>
      <c r="F2888" s="36" t="s">
        <v>7798</v>
      </c>
      <c r="G2888" s="125" t="s">
        <v>913</v>
      </c>
      <c r="H2888" s="125" t="s">
        <v>7801</v>
      </c>
      <c r="I2888" t="s">
        <v>630</v>
      </c>
    </row>
    <row r="2889">
      <c r="A2889" s="125" t="s">
        <v>6709</v>
      </c>
      <c r="B2889" s="526" t="s">
        <v>6708</v>
      </c>
      <c r="C2889" s="527">
        <v>0.0</v>
      </c>
      <c r="D2889" s="527">
        <v>0.0</v>
      </c>
      <c r="F2889" s="36" t="s">
        <v>7798</v>
      </c>
      <c r="G2889" s="125" t="s">
        <v>893</v>
      </c>
      <c r="H2889" s="125" t="s">
        <v>7801</v>
      </c>
      <c r="I2889" t="s">
        <v>630</v>
      </c>
    </row>
    <row r="2890">
      <c r="A2890" s="125" t="s">
        <v>6711</v>
      </c>
      <c r="B2890" s="526" t="s">
        <v>6710</v>
      </c>
      <c r="C2890" s="527">
        <v>252.0</v>
      </c>
      <c r="D2890" s="527">
        <v>1855.36</v>
      </c>
      <c r="E2890" s="528">
        <v>7.3625</v>
      </c>
      <c r="F2890" s="36" t="s">
        <v>7798</v>
      </c>
      <c r="G2890" s="125" t="s">
        <v>913</v>
      </c>
      <c r="H2890" s="125" t="s">
        <v>7808</v>
      </c>
      <c r="I2890" t="s">
        <v>630</v>
      </c>
    </row>
    <row r="2891">
      <c r="A2891" s="125" t="s">
        <v>6713</v>
      </c>
      <c r="B2891" s="526" t="s">
        <v>6712</v>
      </c>
      <c r="C2891" s="527">
        <v>203.0</v>
      </c>
      <c r="D2891" s="527">
        <v>1494.31</v>
      </c>
      <c r="E2891" s="528">
        <v>7.3611</v>
      </c>
      <c r="F2891" s="36" t="s">
        <v>7798</v>
      </c>
      <c r="G2891" s="125" t="s">
        <v>913</v>
      </c>
      <c r="H2891" s="125" t="s">
        <v>7808</v>
      </c>
      <c r="I2891" t="s">
        <v>630</v>
      </c>
    </row>
    <row r="2892">
      <c r="A2892" s="125" t="s">
        <v>6715</v>
      </c>
      <c r="B2892" s="526" t="s">
        <v>6714</v>
      </c>
      <c r="C2892" s="527">
        <v>362.0</v>
      </c>
      <c r="D2892" s="527">
        <v>2665.44</v>
      </c>
      <c r="E2892" s="528">
        <v>7.3631</v>
      </c>
      <c r="F2892" s="36" t="s">
        <v>7798</v>
      </c>
      <c r="G2892" s="125" t="s">
        <v>913</v>
      </c>
      <c r="H2892" s="125" t="s">
        <v>7801</v>
      </c>
      <c r="I2892" t="s">
        <v>630</v>
      </c>
    </row>
    <row r="2893">
      <c r="A2893" s="125" t="s">
        <v>646</v>
      </c>
      <c r="B2893" s="526" t="s">
        <v>647</v>
      </c>
      <c r="C2893" s="527">
        <v>384.0</v>
      </c>
      <c r="D2893" s="527">
        <v>2194.21</v>
      </c>
      <c r="E2893" s="528">
        <v>5.7141</v>
      </c>
      <c r="F2893" s="36" t="s">
        <v>7798</v>
      </c>
      <c r="G2893" s="125" t="s">
        <v>913</v>
      </c>
      <c r="H2893" s="125" t="s">
        <v>569</v>
      </c>
      <c r="I2893" t="s">
        <v>630</v>
      </c>
    </row>
    <row r="2894">
      <c r="A2894" s="125" t="s">
        <v>6717</v>
      </c>
      <c r="B2894" s="526" t="s">
        <v>6716</v>
      </c>
      <c r="C2894" s="527">
        <v>451.0</v>
      </c>
      <c r="D2894" s="527">
        <v>2251.07</v>
      </c>
      <c r="E2894" s="528">
        <v>4.9913</v>
      </c>
      <c r="F2894" s="36" t="s">
        <v>7798</v>
      </c>
      <c r="G2894" s="125" t="s">
        <v>913</v>
      </c>
      <c r="H2894" s="125" t="s">
        <v>7808</v>
      </c>
      <c r="I2894" t="s">
        <v>630</v>
      </c>
    </row>
    <row r="2895">
      <c r="A2895" s="125" t="s">
        <v>6719</v>
      </c>
      <c r="B2895" s="526" t="s">
        <v>6718</v>
      </c>
      <c r="C2895" s="527">
        <v>371.0</v>
      </c>
      <c r="D2895" s="527">
        <v>1894.32</v>
      </c>
      <c r="E2895" s="528">
        <v>5.106</v>
      </c>
      <c r="F2895" s="36" t="s">
        <v>7798</v>
      </c>
      <c r="G2895" s="125" t="s">
        <v>913</v>
      </c>
      <c r="H2895" s="125" t="s">
        <v>7808</v>
      </c>
      <c r="I2895" t="s">
        <v>630</v>
      </c>
    </row>
    <row r="2896">
      <c r="A2896" s="125" t="s">
        <v>6721</v>
      </c>
      <c r="B2896" s="526" t="s">
        <v>6720</v>
      </c>
      <c r="C2896" s="527">
        <v>184.0</v>
      </c>
      <c r="D2896" s="527">
        <v>961.93</v>
      </c>
      <c r="E2896" s="528">
        <v>5.2279</v>
      </c>
      <c r="F2896" s="36" t="s">
        <v>7798</v>
      </c>
      <c r="G2896" s="125" t="s">
        <v>913</v>
      </c>
      <c r="H2896" s="125" t="s">
        <v>7808</v>
      </c>
      <c r="I2896" t="s">
        <v>630</v>
      </c>
    </row>
    <row r="2897">
      <c r="A2897" s="125" t="s">
        <v>6723</v>
      </c>
      <c r="B2897" s="526" t="s">
        <v>6722</v>
      </c>
      <c r="C2897" s="527">
        <v>0.0</v>
      </c>
      <c r="D2897" s="527">
        <v>0.0</v>
      </c>
      <c r="F2897" s="36" t="s">
        <v>7798</v>
      </c>
      <c r="G2897" s="125" t="s">
        <v>893</v>
      </c>
      <c r="H2897" s="125" t="s">
        <v>7799</v>
      </c>
      <c r="I2897" t="s">
        <v>630</v>
      </c>
    </row>
    <row r="2898">
      <c r="A2898" s="125" t="s">
        <v>644</v>
      </c>
      <c r="B2898" s="526" t="s">
        <v>645</v>
      </c>
      <c r="C2898" s="527">
        <v>440.0</v>
      </c>
      <c r="D2898" s="527">
        <v>2513.99</v>
      </c>
      <c r="E2898" s="528">
        <v>5.7136</v>
      </c>
      <c r="F2898" s="36" t="s">
        <v>7798</v>
      </c>
      <c r="G2898" s="125" t="s">
        <v>913</v>
      </c>
      <c r="H2898" s="125" t="s">
        <v>569</v>
      </c>
      <c r="I2898" t="s">
        <v>630</v>
      </c>
    </row>
    <row r="2899">
      <c r="A2899" s="125" t="s">
        <v>6725</v>
      </c>
      <c r="B2899" s="526" t="s">
        <v>6724</v>
      </c>
      <c r="C2899" s="527">
        <v>935.0</v>
      </c>
      <c r="D2899" s="527">
        <v>6885.3</v>
      </c>
      <c r="E2899" s="528">
        <v>7.364</v>
      </c>
      <c r="F2899" s="36" t="s">
        <v>7798</v>
      </c>
      <c r="G2899" s="125" t="s">
        <v>913</v>
      </c>
      <c r="H2899" s="125" t="s">
        <v>7801</v>
      </c>
      <c r="I2899" t="s">
        <v>630</v>
      </c>
    </row>
    <row r="2900">
      <c r="A2900" s="125" t="s">
        <v>6727</v>
      </c>
      <c r="B2900" s="526" t="s">
        <v>6726</v>
      </c>
      <c r="C2900" s="527">
        <v>307.0</v>
      </c>
      <c r="D2900" s="527">
        <v>1928.47</v>
      </c>
      <c r="E2900" s="528">
        <v>6.2817</v>
      </c>
      <c r="F2900" s="36" t="s">
        <v>7798</v>
      </c>
      <c r="G2900" s="125" t="s">
        <v>913</v>
      </c>
      <c r="H2900" s="125" t="s">
        <v>7808</v>
      </c>
      <c r="I2900" t="s">
        <v>630</v>
      </c>
    </row>
    <row r="2901">
      <c r="A2901" s="125" t="s">
        <v>6729</v>
      </c>
      <c r="B2901" s="526" t="s">
        <v>6728</v>
      </c>
      <c r="C2901" s="527">
        <v>0.0</v>
      </c>
      <c r="D2901" s="527">
        <v>0.0</v>
      </c>
      <c r="F2901" s="36" t="s">
        <v>7798</v>
      </c>
      <c r="G2901" s="125" t="s">
        <v>893</v>
      </c>
      <c r="H2901" s="125" t="s">
        <v>7799</v>
      </c>
      <c r="I2901" t="s">
        <v>630</v>
      </c>
    </row>
    <row r="2902">
      <c r="A2902" s="125" t="s">
        <v>6731</v>
      </c>
      <c r="B2902" s="526" t="s">
        <v>6730</v>
      </c>
      <c r="C2902" s="527">
        <v>407.0</v>
      </c>
      <c r="D2902" s="527">
        <v>2325.56</v>
      </c>
      <c r="E2902" s="528">
        <v>5.7139</v>
      </c>
      <c r="F2902" s="36" t="s">
        <v>7798</v>
      </c>
      <c r="G2902" s="125" t="s">
        <v>913</v>
      </c>
      <c r="H2902" s="125" t="s">
        <v>7808</v>
      </c>
      <c r="I2902" t="s">
        <v>630</v>
      </c>
    </row>
    <row r="2903">
      <c r="A2903" s="125" t="s">
        <v>6733</v>
      </c>
      <c r="B2903" s="526" t="s">
        <v>6732</v>
      </c>
      <c r="C2903" s="527">
        <v>322.0</v>
      </c>
      <c r="D2903" s="527">
        <v>2022.71</v>
      </c>
      <c r="E2903" s="528">
        <v>6.2817</v>
      </c>
      <c r="F2903" s="36" t="s">
        <v>7798</v>
      </c>
      <c r="G2903" s="125" t="s">
        <v>913</v>
      </c>
      <c r="H2903" s="125" t="s">
        <v>7801</v>
      </c>
      <c r="I2903" t="s">
        <v>630</v>
      </c>
    </row>
    <row r="2904">
      <c r="A2904" s="125" t="s">
        <v>6735</v>
      </c>
      <c r="B2904" s="526" t="s">
        <v>6734</v>
      </c>
      <c r="C2904" s="527">
        <v>0.0</v>
      </c>
      <c r="D2904" s="527">
        <v>0.0</v>
      </c>
      <c r="F2904" s="36" t="s">
        <v>7798</v>
      </c>
      <c r="G2904" s="125" t="s">
        <v>893</v>
      </c>
      <c r="H2904" s="125" t="s">
        <v>7799</v>
      </c>
      <c r="I2904" t="s">
        <v>630</v>
      </c>
    </row>
    <row r="2905">
      <c r="A2905" s="125" t="s">
        <v>6737</v>
      </c>
      <c r="B2905" s="526" t="s">
        <v>6736</v>
      </c>
      <c r="C2905" s="527">
        <v>1055.0</v>
      </c>
      <c r="D2905" s="527">
        <v>7803.78</v>
      </c>
      <c r="E2905" s="528">
        <v>7.3969</v>
      </c>
      <c r="F2905" s="36" t="s">
        <v>7798</v>
      </c>
      <c r="G2905" s="125" t="s">
        <v>913</v>
      </c>
      <c r="H2905" s="125" t="s">
        <v>7801</v>
      </c>
      <c r="I2905" t="s">
        <v>630</v>
      </c>
    </row>
    <row r="2906">
      <c r="A2906" s="125" t="s">
        <v>6739</v>
      </c>
      <c r="B2906" s="526" t="s">
        <v>6738</v>
      </c>
      <c r="C2906" s="527">
        <v>917.0</v>
      </c>
      <c r="D2906" s="527">
        <v>6752.62</v>
      </c>
      <c r="E2906" s="528">
        <v>7.3638</v>
      </c>
      <c r="F2906" s="36" t="s">
        <v>7798</v>
      </c>
      <c r="G2906" s="125" t="s">
        <v>913</v>
      </c>
      <c r="H2906" s="125" t="s">
        <v>7801</v>
      </c>
      <c r="I2906" t="s">
        <v>630</v>
      </c>
    </row>
    <row r="2907">
      <c r="A2907" s="125" t="s">
        <v>6741</v>
      </c>
      <c r="B2907" s="526" t="s">
        <v>6740</v>
      </c>
      <c r="C2907" s="527">
        <v>0.0</v>
      </c>
      <c r="D2907" s="527">
        <v>0.0</v>
      </c>
      <c r="F2907" s="36" t="s">
        <v>7798</v>
      </c>
      <c r="G2907" s="125" t="s">
        <v>893</v>
      </c>
      <c r="H2907" s="125" t="s">
        <v>7799</v>
      </c>
      <c r="I2907" t="s">
        <v>630</v>
      </c>
    </row>
    <row r="2908">
      <c r="A2908" s="125" t="s">
        <v>6743</v>
      </c>
      <c r="B2908" s="526" t="s">
        <v>6742</v>
      </c>
      <c r="C2908" s="527">
        <v>0.0</v>
      </c>
      <c r="D2908" s="527">
        <v>0.0</v>
      </c>
      <c r="F2908" s="36" t="s">
        <v>7798</v>
      </c>
      <c r="G2908" s="125" t="s">
        <v>893</v>
      </c>
      <c r="H2908" s="125" t="s">
        <v>7799</v>
      </c>
      <c r="I2908" t="s">
        <v>630</v>
      </c>
    </row>
    <row r="2909">
      <c r="A2909" s="125" t="s">
        <v>6745</v>
      </c>
      <c r="B2909" s="526" t="s">
        <v>6744</v>
      </c>
      <c r="C2909" s="527">
        <v>1.0</v>
      </c>
      <c r="D2909" s="527">
        <v>451.53</v>
      </c>
      <c r="E2909" s="528">
        <v>451.53</v>
      </c>
      <c r="F2909" s="36" t="s">
        <v>7798</v>
      </c>
      <c r="G2909" s="125" t="s">
        <v>913</v>
      </c>
      <c r="H2909" s="125" t="s">
        <v>7808</v>
      </c>
      <c r="I2909" t="s">
        <v>630</v>
      </c>
    </row>
    <row r="2910">
      <c r="A2910" s="125" t="s">
        <v>6747</v>
      </c>
      <c r="B2910" s="526" t="s">
        <v>6746</v>
      </c>
      <c r="C2910" s="527">
        <v>0.0</v>
      </c>
      <c r="D2910" s="527">
        <v>0.0</v>
      </c>
      <c r="F2910" s="36" t="s">
        <v>7798</v>
      </c>
      <c r="G2910" s="125" t="s">
        <v>893</v>
      </c>
      <c r="H2910" s="125" t="s">
        <v>7799</v>
      </c>
      <c r="I2910" t="s">
        <v>45</v>
      </c>
    </row>
    <row r="2911">
      <c r="A2911" s="125" t="s">
        <v>6749</v>
      </c>
      <c r="B2911" s="526" t="s">
        <v>6748</v>
      </c>
      <c r="C2911" s="527">
        <v>0.0</v>
      </c>
      <c r="D2911" s="527">
        <v>0.0</v>
      </c>
      <c r="F2911" s="36" t="s">
        <v>7798</v>
      </c>
      <c r="G2911" s="125" t="s">
        <v>913</v>
      </c>
      <c r="H2911" s="125" t="s">
        <v>7808</v>
      </c>
      <c r="I2911" t="s">
        <v>630</v>
      </c>
    </row>
    <row r="2912">
      <c r="A2912" s="125" t="s">
        <v>6751</v>
      </c>
      <c r="B2912" s="526" t="s">
        <v>6750</v>
      </c>
      <c r="C2912" s="527">
        <v>0.0</v>
      </c>
      <c r="D2912" s="527">
        <v>0.0</v>
      </c>
      <c r="F2912" s="36" t="s">
        <v>7798</v>
      </c>
      <c r="G2912" s="125" t="s">
        <v>893</v>
      </c>
      <c r="H2912" s="125" t="s">
        <v>7799</v>
      </c>
      <c r="I2912" t="s">
        <v>630</v>
      </c>
    </row>
    <row r="2913">
      <c r="A2913" s="125" t="s">
        <v>6753</v>
      </c>
      <c r="B2913" s="526" t="s">
        <v>6752</v>
      </c>
      <c r="C2913" s="527">
        <v>0.0</v>
      </c>
      <c r="D2913" s="527">
        <v>0.0</v>
      </c>
      <c r="F2913" s="36" t="s">
        <v>7798</v>
      </c>
      <c r="G2913" s="125" t="s">
        <v>913</v>
      </c>
      <c r="H2913" s="125" t="s">
        <v>7808</v>
      </c>
      <c r="I2913" t="s">
        <v>630</v>
      </c>
    </row>
    <row r="2914">
      <c r="A2914" s="125" t="s">
        <v>6755</v>
      </c>
      <c r="B2914" s="526" t="s">
        <v>6754</v>
      </c>
      <c r="C2914" s="527">
        <v>1.0</v>
      </c>
      <c r="D2914" s="527">
        <v>114.71</v>
      </c>
      <c r="E2914" s="528">
        <v>114.71</v>
      </c>
      <c r="F2914" s="36" t="s">
        <v>7807</v>
      </c>
      <c r="G2914" s="125" t="s">
        <v>913</v>
      </c>
      <c r="H2914" s="125" t="s">
        <v>7808</v>
      </c>
      <c r="I2914" t="s">
        <v>630</v>
      </c>
    </row>
    <row r="2915">
      <c r="A2915" s="125" t="s">
        <v>641</v>
      </c>
      <c r="B2915" s="526" t="s">
        <v>642</v>
      </c>
      <c r="C2915" s="527">
        <v>0.0</v>
      </c>
      <c r="D2915" s="527">
        <v>0.0</v>
      </c>
      <c r="F2915" s="36" t="s">
        <v>7798</v>
      </c>
      <c r="G2915" s="125" t="s">
        <v>913</v>
      </c>
      <c r="H2915" s="125" t="s">
        <v>569</v>
      </c>
      <c r="I2915" t="s">
        <v>630</v>
      </c>
    </row>
    <row r="2916">
      <c r="A2916" s="125" t="s">
        <v>639</v>
      </c>
      <c r="B2916" s="526" t="s">
        <v>640</v>
      </c>
      <c r="C2916" s="527">
        <v>228.0</v>
      </c>
      <c r="D2916" s="527">
        <v>1231.5</v>
      </c>
      <c r="E2916" s="528">
        <v>5.4013</v>
      </c>
      <c r="F2916" s="36" t="s">
        <v>7798</v>
      </c>
      <c r="G2916" s="125" t="s">
        <v>913</v>
      </c>
      <c r="H2916" s="125" t="s">
        <v>569</v>
      </c>
      <c r="I2916" t="s">
        <v>630</v>
      </c>
    </row>
    <row r="2917">
      <c r="A2917" s="125" t="s">
        <v>637</v>
      </c>
      <c r="B2917" s="526" t="s">
        <v>638</v>
      </c>
      <c r="C2917" s="527">
        <v>304.0</v>
      </c>
      <c r="D2917" s="527">
        <v>1641.89</v>
      </c>
      <c r="E2917" s="528">
        <v>5.401</v>
      </c>
      <c r="F2917" s="36" t="s">
        <v>7798</v>
      </c>
      <c r="G2917" s="125" t="s">
        <v>913</v>
      </c>
      <c r="H2917" s="125" t="s">
        <v>569</v>
      </c>
      <c r="I2917" t="s">
        <v>630</v>
      </c>
    </row>
    <row r="2918">
      <c r="A2918" s="125" t="s">
        <v>635</v>
      </c>
      <c r="B2918" s="526" t="s">
        <v>636</v>
      </c>
      <c r="C2918" s="527">
        <v>242.0</v>
      </c>
      <c r="D2918" s="527">
        <v>1307.1</v>
      </c>
      <c r="E2918" s="528">
        <v>5.4012</v>
      </c>
      <c r="F2918" s="36" t="s">
        <v>7798</v>
      </c>
      <c r="G2918" s="125" t="s">
        <v>913</v>
      </c>
      <c r="H2918" s="125" t="s">
        <v>569</v>
      </c>
      <c r="I2918" t="s">
        <v>630</v>
      </c>
    </row>
    <row r="2919">
      <c r="A2919" s="125" t="s">
        <v>633</v>
      </c>
      <c r="B2919" s="526" t="s">
        <v>634</v>
      </c>
      <c r="C2919" s="527">
        <v>114.0</v>
      </c>
      <c r="D2919" s="527">
        <v>615.88</v>
      </c>
      <c r="E2919" s="528">
        <v>5.4025</v>
      </c>
      <c r="F2919" s="36" t="s">
        <v>7798</v>
      </c>
      <c r="G2919" s="125" t="s">
        <v>913</v>
      </c>
      <c r="H2919" s="125" t="s">
        <v>569</v>
      </c>
      <c r="I2919" t="s">
        <v>630</v>
      </c>
    </row>
    <row r="2920">
      <c r="A2920" s="125" t="s">
        <v>631</v>
      </c>
      <c r="B2920" s="526" t="s">
        <v>632</v>
      </c>
      <c r="C2920" s="527">
        <v>309.0</v>
      </c>
      <c r="D2920" s="527">
        <v>1668.9</v>
      </c>
      <c r="E2920" s="528">
        <v>5.401</v>
      </c>
      <c r="F2920" s="36" t="s">
        <v>7798</v>
      </c>
      <c r="G2920" s="125" t="s">
        <v>913</v>
      </c>
      <c r="H2920" s="125" t="s">
        <v>7801</v>
      </c>
      <c r="I2920" t="s">
        <v>630</v>
      </c>
    </row>
    <row r="2921">
      <c r="A2921" s="125" t="s">
        <v>6769</v>
      </c>
      <c r="B2921" s="526" t="s">
        <v>6768</v>
      </c>
      <c r="C2921" s="527">
        <v>0.0</v>
      </c>
      <c r="D2921" s="527">
        <v>0.0</v>
      </c>
      <c r="F2921" s="36" t="s">
        <v>7798</v>
      </c>
      <c r="G2921" s="125" t="s">
        <v>893</v>
      </c>
      <c r="H2921" s="125" t="s">
        <v>7799</v>
      </c>
      <c r="I2921" t="s">
        <v>7860</v>
      </c>
    </row>
    <row r="2922">
      <c r="A2922" s="125" t="s">
        <v>6771</v>
      </c>
      <c r="B2922" s="526" t="s">
        <v>6770</v>
      </c>
      <c r="C2922" s="527">
        <v>0.0</v>
      </c>
      <c r="D2922" s="527">
        <v>0.0</v>
      </c>
      <c r="F2922" s="36" t="s">
        <v>7798</v>
      </c>
      <c r="G2922" s="125" t="s">
        <v>893</v>
      </c>
      <c r="H2922" s="125" t="s">
        <v>7799</v>
      </c>
      <c r="I2922" t="s">
        <v>7860</v>
      </c>
    </row>
    <row r="2923">
      <c r="A2923" s="125" t="s">
        <v>6773</v>
      </c>
      <c r="B2923" s="526" t="s">
        <v>6772</v>
      </c>
      <c r="C2923" s="527">
        <v>0.0</v>
      </c>
      <c r="D2923" s="527">
        <v>0.0</v>
      </c>
      <c r="F2923" s="36" t="s">
        <v>7798</v>
      </c>
      <c r="G2923" s="125" t="s">
        <v>913</v>
      </c>
      <c r="H2923" s="125" t="s">
        <v>7885</v>
      </c>
      <c r="I2923" t="s">
        <v>7860</v>
      </c>
    </row>
    <row r="2924">
      <c r="A2924" s="125" t="s">
        <v>6775</v>
      </c>
      <c r="B2924" s="526" t="s">
        <v>6774</v>
      </c>
      <c r="C2924" s="527">
        <v>863.0</v>
      </c>
      <c r="D2924" s="527">
        <v>360.51</v>
      </c>
      <c r="E2924" s="528">
        <v>0.4177</v>
      </c>
      <c r="F2924" s="36" t="s">
        <v>7827</v>
      </c>
      <c r="G2924" s="125" t="s">
        <v>913</v>
      </c>
      <c r="H2924" s="125" t="s">
        <v>7840</v>
      </c>
    </row>
    <row r="2925">
      <c r="A2925" s="125" t="s">
        <v>6777</v>
      </c>
      <c r="B2925" s="526" t="s">
        <v>6776</v>
      </c>
      <c r="C2925" s="527">
        <v>0.0</v>
      </c>
      <c r="D2925" s="527">
        <v>0.0</v>
      </c>
      <c r="F2925" s="36" t="s">
        <v>7798</v>
      </c>
      <c r="G2925" s="125" t="s">
        <v>913</v>
      </c>
      <c r="H2925" s="125" t="s">
        <v>7885</v>
      </c>
      <c r="I2925" t="s">
        <v>7903</v>
      </c>
    </row>
    <row r="2926">
      <c r="A2926" s="125" t="s">
        <v>6779</v>
      </c>
      <c r="B2926" s="526" t="s">
        <v>6778</v>
      </c>
      <c r="C2926" s="527">
        <v>0.0</v>
      </c>
      <c r="D2926" s="527">
        <v>0.0</v>
      </c>
      <c r="F2926" s="36" t="s">
        <v>7798</v>
      </c>
      <c r="G2926" s="125" t="s">
        <v>913</v>
      </c>
      <c r="H2926" s="125" t="s">
        <v>7885</v>
      </c>
      <c r="I2926" t="s">
        <v>7803</v>
      </c>
    </row>
    <row r="2927">
      <c r="A2927" s="125" t="s">
        <v>6781</v>
      </c>
      <c r="B2927" s="526" t="s">
        <v>6780</v>
      </c>
      <c r="C2927" s="527">
        <v>0.0</v>
      </c>
      <c r="D2927" s="527">
        <v>0.0</v>
      </c>
      <c r="F2927" s="36" t="s">
        <v>7798</v>
      </c>
      <c r="G2927" s="125" t="s">
        <v>913</v>
      </c>
      <c r="H2927" s="125" t="s">
        <v>7885</v>
      </c>
      <c r="I2927" t="s">
        <v>7817</v>
      </c>
    </row>
    <row r="2928">
      <c r="A2928" s="125" t="s">
        <v>6783</v>
      </c>
      <c r="B2928" s="526" t="s">
        <v>6782</v>
      </c>
      <c r="C2928" s="527">
        <v>0.0</v>
      </c>
      <c r="D2928" s="527">
        <v>0.0</v>
      </c>
      <c r="F2928" s="36" t="s">
        <v>7798</v>
      </c>
      <c r="G2928" s="125" t="s">
        <v>913</v>
      </c>
      <c r="H2928" s="125" t="s">
        <v>7885</v>
      </c>
      <c r="I2928" t="s">
        <v>7904</v>
      </c>
    </row>
    <row r="2929">
      <c r="A2929" s="125" t="s">
        <v>6785</v>
      </c>
      <c r="B2929" s="526" t="s">
        <v>6784</v>
      </c>
      <c r="C2929" s="527">
        <v>0.0</v>
      </c>
      <c r="D2929" s="527">
        <v>0.0</v>
      </c>
      <c r="F2929" s="36" t="s">
        <v>7798</v>
      </c>
      <c r="G2929" s="125" t="s">
        <v>913</v>
      </c>
      <c r="H2929" s="125" t="s">
        <v>7885</v>
      </c>
      <c r="I2929" t="s">
        <v>7860</v>
      </c>
    </row>
    <row r="2930">
      <c r="A2930" s="125" t="s">
        <v>6787</v>
      </c>
      <c r="B2930" s="526" t="s">
        <v>6786</v>
      </c>
      <c r="C2930" s="527">
        <v>0.0</v>
      </c>
      <c r="D2930" s="527">
        <v>0.0</v>
      </c>
      <c r="F2930" s="36" t="s">
        <v>7798</v>
      </c>
      <c r="G2930" s="125" t="s">
        <v>913</v>
      </c>
      <c r="H2930" s="125" t="s">
        <v>7885</v>
      </c>
      <c r="I2930" t="s">
        <v>7860</v>
      </c>
    </row>
    <row r="2931">
      <c r="A2931" s="125" t="s">
        <v>6789</v>
      </c>
      <c r="B2931" s="526" t="s">
        <v>6788</v>
      </c>
      <c r="C2931" s="527">
        <v>0.0</v>
      </c>
      <c r="D2931" s="527">
        <v>0.0</v>
      </c>
      <c r="F2931" s="36" t="s">
        <v>7798</v>
      </c>
      <c r="G2931" s="125" t="s">
        <v>913</v>
      </c>
      <c r="H2931" s="125" t="s">
        <v>7885</v>
      </c>
      <c r="I2931" t="s">
        <v>7860</v>
      </c>
    </row>
    <row r="2932">
      <c r="A2932" s="125" t="s">
        <v>6791</v>
      </c>
      <c r="B2932" s="526" t="s">
        <v>6790</v>
      </c>
      <c r="C2932" s="527">
        <v>0.0</v>
      </c>
      <c r="D2932" s="527">
        <v>0.0</v>
      </c>
      <c r="F2932" s="36" t="s">
        <v>7798</v>
      </c>
      <c r="G2932" s="125" t="s">
        <v>913</v>
      </c>
      <c r="H2932" s="125" t="s">
        <v>7885</v>
      </c>
      <c r="I2932" t="s">
        <v>7860</v>
      </c>
    </row>
    <row r="2933">
      <c r="A2933" s="125" t="s">
        <v>6793</v>
      </c>
      <c r="B2933" s="526" t="s">
        <v>6792</v>
      </c>
      <c r="C2933" s="527">
        <v>0.0</v>
      </c>
      <c r="D2933" s="527">
        <v>0.0</v>
      </c>
      <c r="F2933" s="36" t="s">
        <v>7798</v>
      </c>
      <c r="G2933" s="125" t="s">
        <v>913</v>
      </c>
      <c r="H2933" s="125" t="s">
        <v>7885</v>
      </c>
      <c r="I2933" t="s">
        <v>7860</v>
      </c>
    </row>
    <row r="2934">
      <c r="A2934" s="125" t="s">
        <v>6795</v>
      </c>
      <c r="B2934" s="526" t="s">
        <v>6794</v>
      </c>
      <c r="C2934" s="527">
        <v>0.0</v>
      </c>
      <c r="D2934" s="527">
        <v>0.0</v>
      </c>
      <c r="F2934" s="36" t="s">
        <v>7798</v>
      </c>
      <c r="G2934" s="125" t="s">
        <v>913</v>
      </c>
      <c r="H2934" s="125" t="s">
        <v>7885</v>
      </c>
      <c r="I2934" t="s">
        <v>7860</v>
      </c>
    </row>
    <row r="2935">
      <c r="A2935" s="125" t="s">
        <v>6797</v>
      </c>
      <c r="B2935" s="526" t="s">
        <v>6796</v>
      </c>
      <c r="C2935" s="527">
        <v>0.0</v>
      </c>
      <c r="D2935" s="527">
        <v>0.0</v>
      </c>
      <c r="F2935" s="36" t="s">
        <v>7798</v>
      </c>
      <c r="G2935" s="125" t="s">
        <v>913</v>
      </c>
      <c r="H2935" s="125" t="s">
        <v>7885</v>
      </c>
      <c r="I2935" t="s">
        <v>7860</v>
      </c>
    </row>
    <row r="2936">
      <c r="A2936" s="125" t="s">
        <v>6799</v>
      </c>
      <c r="B2936" s="526" t="s">
        <v>6798</v>
      </c>
      <c r="C2936" s="527">
        <v>0.0</v>
      </c>
      <c r="D2936" s="527">
        <v>0.0</v>
      </c>
      <c r="F2936" s="36" t="s">
        <v>7798</v>
      </c>
      <c r="G2936" s="125" t="s">
        <v>913</v>
      </c>
      <c r="H2936" s="125" t="s">
        <v>7885</v>
      </c>
      <c r="I2936" t="s">
        <v>7860</v>
      </c>
    </row>
    <row r="2937">
      <c r="A2937" s="125" t="s">
        <v>6801</v>
      </c>
      <c r="B2937" s="526" t="s">
        <v>6800</v>
      </c>
      <c r="C2937" s="527">
        <v>0.0</v>
      </c>
      <c r="D2937" s="527">
        <v>0.0</v>
      </c>
      <c r="F2937" s="36" t="s">
        <v>7798</v>
      </c>
      <c r="G2937" s="125" t="s">
        <v>913</v>
      </c>
      <c r="H2937" s="125" t="s">
        <v>7885</v>
      </c>
      <c r="I2937" t="s">
        <v>7860</v>
      </c>
    </row>
    <row r="2938">
      <c r="A2938" s="125" t="s">
        <v>6803</v>
      </c>
      <c r="B2938" s="526" t="s">
        <v>6802</v>
      </c>
      <c r="C2938" s="527">
        <v>0.0</v>
      </c>
      <c r="D2938" s="527">
        <v>0.0</v>
      </c>
      <c r="F2938" s="36" t="s">
        <v>7798</v>
      </c>
      <c r="G2938" s="125" t="s">
        <v>913</v>
      </c>
      <c r="H2938" s="125" t="s">
        <v>7885</v>
      </c>
      <c r="I2938" t="s">
        <v>7860</v>
      </c>
    </row>
    <row r="2939">
      <c r="A2939" s="125" t="s">
        <v>6805</v>
      </c>
      <c r="B2939" s="526" t="s">
        <v>6804</v>
      </c>
      <c r="C2939" s="527">
        <v>0.0</v>
      </c>
      <c r="D2939" s="527">
        <v>0.0</v>
      </c>
      <c r="F2939" s="36" t="s">
        <v>7798</v>
      </c>
      <c r="G2939" s="125" t="s">
        <v>913</v>
      </c>
      <c r="H2939" s="125" t="s">
        <v>7885</v>
      </c>
      <c r="I2939" t="s">
        <v>7860</v>
      </c>
    </row>
    <row r="2940">
      <c r="A2940" s="125" t="s">
        <v>6807</v>
      </c>
      <c r="B2940" s="526" t="s">
        <v>6806</v>
      </c>
      <c r="C2940" s="527">
        <v>0.0</v>
      </c>
      <c r="D2940" s="527">
        <v>0.0</v>
      </c>
      <c r="F2940" s="36" t="s">
        <v>7798</v>
      </c>
      <c r="G2940" s="125" t="s">
        <v>913</v>
      </c>
      <c r="H2940" s="125" t="s">
        <v>7885</v>
      </c>
      <c r="I2940" t="s">
        <v>33</v>
      </c>
    </row>
    <row r="2941">
      <c r="A2941" s="125" t="s">
        <v>6809</v>
      </c>
      <c r="B2941" s="526" t="s">
        <v>6808</v>
      </c>
      <c r="C2941" s="527">
        <v>0.0</v>
      </c>
      <c r="D2941" s="527">
        <v>0.0</v>
      </c>
      <c r="F2941" s="36" t="s">
        <v>7798</v>
      </c>
      <c r="G2941" s="125" t="s">
        <v>913</v>
      </c>
      <c r="H2941" s="125" t="s">
        <v>7885</v>
      </c>
      <c r="I2941" t="s">
        <v>7886</v>
      </c>
    </row>
    <row r="2942">
      <c r="A2942" s="125" t="s">
        <v>6811</v>
      </c>
      <c r="B2942" s="526" t="s">
        <v>6810</v>
      </c>
      <c r="C2942" s="527">
        <v>0.0</v>
      </c>
      <c r="D2942" s="527">
        <v>0.0</v>
      </c>
      <c r="F2942" s="36" t="s">
        <v>7798</v>
      </c>
      <c r="G2942" s="125" t="s">
        <v>913</v>
      </c>
      <c r="H2942" s="125" t="s">
        <v>7885</v>
      </c>
      <c r="I2942" t="s">
        <v>7860</v>
      </c>
    </row>
    <row r="2943">
      <c r="A2943" s="125" t="s">
        <v>6813</v>
      </c>
      <c r="B2943" s="526" t="s">
        <v>6812</v>
      </c>
      <c r="C2943" s="527">
        <v>0.0</v>
      </c>
      <c r="D2943" s="527">
        <v>0.0</v>
      </c>
      <c r="F2943" s="36" t="s">
        <v>7798</v>
      </c>
      <c r="G2943" s="125" t="s">
        <v>913</v>
      </c>
      <c r="H2943" s="125" t="s">
        <v>7885</v>
      </c>
      <c r="I2943" t="s">
        <v>7860</v>
      </c>
    </row>
    <row r="2944">
      <c r="A2944" s="125" t="s">
        <v>6815</v>
      </c>
      <c r="B2944" s="526" t="s">
        <v>6814</v>
      </c>
      <c r="C2944" s="527">
        <v>0.0</v>
      </c>
      <c r="D2944" s="527">
        <v>0.0</v>
      </c>
      <c r="F2944" s="36" t="s">
        <v>7798</v>
      </c>
      <c r="G2944" s="125" t="s">
        <v>913</v>
      </c>
      <c r="H2944" s="125" t="s">
        <v>7885</v>
      </c>
      <c r="I2944" t="s">
        <v>7860</v>
      </c>
    </row>
    <row r="2945">
      <c r="A2945" s="125" t="s">
        <v>6817</v>
      </c>
      <c r="B2945" s="526" t="s">
        <v>6816</v>
      </c>
      <c r="C2945" s="527">
        <v>0.0</v>
      </c>
      <c r="D2945" s="527">
        <v>0.0</v>
      </c>
      <c r="F2945" s="36" t="s">
        <v>7798</v>
      </c>
      <c r="G2945" s="125" t="s">
        <v>913</v>
      </c>
      <c r="H2945" s="125" t="s">
        <v>7885</v>
      </c>
      <c r="I2945" t="s">
        <v>7860</v>
      </c>
    </row>
    <row r="2946">
      <c r="A2946" s="125" t="s">
        <v>6819</v>
      </c>
      <c r="B2946" s="526" t="s">
        <v>6818</v>
      </c>
      <c r="C2946" s="527">
        <v>0.0</v>
      </c>
      <c r="D2946" s="527">
        <v>0.0</v>
      </c>
      <c r="F2946" s="36" t="s">
        <v>7798</v>
      </c>
      <c r="G2946" s="125" t="s">
        <v>913</v>
      </c>
      <c r="H2946" s="125" t="s">
        <v>7885</v>
      </c>
      <c r="I2946" t="s">
        <v>7888</v>
      </c>
    </row>
    <row r="2947">
      <c r="A2947" s="125" t="s">
        <v>6821</v>
      </c>
      <c r="B2947" s="526" t="s">
        <v>6820</v>
      </c>
      <c r="C2947" s="527">
        <v>0.0</v>
      </c>
      <c r="D2947" s="527">
        <v>0.0</v>
      </c>
      <c r="F2947" s="36" t="s">
        <v>7798</v>
      </c>
      <c r="G2947" s="125" t="s">
        <v>913</v>
      </c>
      <c r="H2947" s="125" t="s">
        <v>7885</v>
      </c>
      <c r="I2947" t="s">
        <v>7888</v>
      </c>
    </row>
    <row r="2948">
      <c r="A2948" s="125" t="s">
        <v>6823</v>
      </c>
      <c r="B2948" s="526" t="s">
        <v>6822</v>
      </c>
      <c r="C2948" s="527">
        <v>0.0</v>
      </c>
      <c r="D2948" s="527">
        <v>0.0</v>
      </c>
      <c r="F2948" s="36" t="s">
        <v>7798</v>
      </c>
      <c r="G2948" s="125" t="s">
        <v>913</v>
      </c>
      <c r="H2948" s="125" t="s">
        <v>7885</v>
      </c>
      <c r="I2948" t="s">
        <v>7860</v>
      </c>
    </row>
    <row r="2949">
      <c r="A2949" s="125" t="s">
        <v>6825</v>
      </c>
      <c r="B2949" s="526" t="s">
        <v>6824</v>
      </c>
      <c r="C2949" s="527">
        <v>0.0</v>
      </c>
      <c r="D2949" s="527">
        <v>0.0</v>
      </c>
      <c r="F2949" s="36" t="s">
        <v>7798</v>
      </c>
      <c r="G2949" s="125" t="s">
        <v>913</v>
      </c>
      <c r="H2949" s="125" t="s">
        <v>7885</v>
      </c>
      <c r="I2949" t="s">
        <v>7860</v>
      </c>
    </row>
    <row r="2950">
      <c r="A2950" s="125" t="s">
        <v>6827</v>
      </c>
      <c r="B2950" s="526" t="s">
        <v>6826</v>
      </c>
      <c r="C2950" s="527">
        <v>0.0</v>
      </c>
      <c r="D2950" s="527">
        <v>0.0</v>
      </c>
      <c r="F2950" s="36" t="s">
        <v>7798</v>
      </c>
      <c r="G2950" s="125" t="s">
        <v>913</v>
      </c>
      <c r="H2950" s="125" t="s">
        <v>7885</v>
      </c>
      <c r="I2950" t="s">
        <v>7860</v>
      </c>
    </row>
    <row r="2951">
      <c r="A2951" s="125" t="s">
        <v>6829</v>
      </c>
      <c r="B2951" s="526" t="s">
        <v>6828</v>
      </c>
      <c r="C2951" s="527">
        <v>0.0</v>
      </c>
      <c r="D2951" s="527">
        <v>0.0</v>
      </c>
      <c r="F2951" s="36" t="s">
        <v>7798</v>
      </c>
      <c r="G2951" s="125" t="s">
        <v>913</v>
      </c>
      <c r="H2951" s="125" t="s">
        <v>7885</v>
      </c>
      <c r="I2951" t="s">
        <v>7860</v>
      </c>
    </row>
    <row r="2952">
      <c r="A2952" s="125" t="s">
        <v>6831</v>
      </c>
      <c r="B2952" s="526" t="s">
        <v>6830</v>
      </c>
      <c r="C2952" s="527">
        <v>0.0</v>
      </c>
      <c r="D2952" s="527">
        <v>0.0</v>
      </c>
      <c r="F2952" s="36" t="s">
        <v>7798</v>
      </c>
      <c r="G2952" s="125" t="s">
        <v>913</v>
      </c>
      <c r="H2952" s="125" t="s">
        <v>7885</v>
      </c>
      <c r="I2952" t="s">
        <v>7903</v>
      </c>
    </row>
    <row r="2953">
      <c r="A2953" s="125" t="s">
        <v>6833</v>
      </c>
      <c r="B2953" s="526" t="s">
        <v>6832</v>
      </c>
      <c r="C2953" s="527">
        <v>0.0</v>
      </c>
      <c r="D2953" s="527">
        <v>0.0</v>
      </c>
      <c r="F2953" s="36" t="s">
        <v>7798</v>
      </c>
      <c r="G2953" s="125" t="s">
        <v>913</v>
      </c>
      <c r="H2953" s="125" t="s">
        <v>7885</v>
      </c>
      <c r="I2953" t="s">
        <v>7903</v>
      </c>
    </row>
    <row r="2954">
      <c r="A2954" s="125" t="s">
        <v>6835</v>
      </c>
      <c r="B2954" s="526" t="s">
        <v>6834</v>
      </c>
      <c r="C2954" s="527">
        <v>0.0</v>
      </c>
      <c r="D2954" s="527">
        <v>0.0</v>
      </c>
      <c r="F2954" s="36" t="s">
        <v>7798</v>
      </c>
      <c r="G2954" s="125" t="s">
        <v>913</v>
      </c>
      <c r="H2954" s="125" t="s">
        <v>7885</v>
      </c>
      <c r="I2954" t="s">
        <v>7903</v>
      </c>
    </row>
    <row r="2955">
      <c r="A2955" s="125" t="s">
        <v>6837</v>
      </c>
      <c r="B2955" s="526" t="s">
        <v>6836</v>
      </c>
      <c r="C2955" s="527">
        <v>0.0</v>
      </c>
      <c r="D2955" s="527">
        <v>0.0</v>
      </c>
      <c r="F2955" s="36" t="s">
        <v>7798</v>
      </c>
      <c r="G2955" s="125" t="s">
        <v>913</v>
      </c>
      <c r="H2955" s="125" t="s">
        <v>7885</v>
      </c>
      <c r="I2955" t="s">
        <v>7903</v>
      </c>
    </row>
    <row r="2956">
      <c r="A2956" s="125" t="s">
        <v>6839</v>
      </c>
      <c r="B2956" s="526" t="s">
        <v>6838</v>
      </c>
      <c r="C2956" s="527">
        <v>0.0</v>
      </c>
      <c r="D2956" s="527">
        <v>0.0</v>
      </c>
      <c r="F2956" s="36" t="s">
        <v>7798</v>
      </c>
      <c r="G2956" s="125" t="s">
        <v>913</v>
      </c>
      <c r="H2956" s="125" t="s">
        <v>7885</v>
      </c>
      <c r="I2956" t="s">
        <v>7806</v>
      </c>
    </row>
    <row r="2957">
      <c r="A2957" s="125" t="s">
        <v>6841</v>
      </c>
      <c r="B2957" s="526" t="s">
        <v>6840</v>
      </c>
      <c r="C2957" s="527">
        <v>0.0</v>
      </c>
      <c r="D2957" s="527">
        <v>0.0</v>
      </c>
      <c r="F2957" s="36" t="s">
        <v>7798</v>
      </c>
      <c r="G2957" s="125" t="s">
        <v>913</v>
      </c>
      <c r="H2957" s="125" t="s">
        <v>7885</v>
      </c>
      <c r="I2957" t="s">
        <v>7860</v>
      </c>
    </row>
    <row r="2958">
      <c r="A2958" s="125" t="s">
        <v>6843</v>
      </c>
      <c r="B2958" s="526" t="s">
        <v>6842</v>
      </c>
      <c r="C2958" s="527">
        <v>0.0</v>
      </c>
      <c r="D2958" s="527">
        <v>0.0</v>
      </c>
      <c r="F2958" s="36" t="s">
        <v>7798</v>
      </c>
      <c r="G2958" s="125" t="s">
        <v>913</v>
      </c>
      <c r="H2958" s="125" t="s">
        <v>7885</v>
      </c>
    </row>
    <row r="2959">
      <c r="A2959" s="125" t="s">
        <v>6845</v>
      </c>
      <c r="B2959" s="526" t="s">
        <v>6844</v>
      </c>
      <c r="C2959" s="527">
        <v>0.0</v>
      </c>
      <c r="D2959" s="527">
        <v>0.0</v>
      </c>
      <c r="F2959" s="36" t="s">
        <v>7798</v>
      </c>
      <c r="G2959" s="125" t="s">
        <v>913</v>
      </c>
      <c r="H2959" s="125" t="s">
        <v>7885</v>
      </c>
    </row>
    <row r="2960">
      <c r="A2960" s="125" t="s">
        <v>6847</v>
      </c>
      <c r="B2960" s="526" t="s">
        <v>6846</v>
      </c>
      <c r="C2960" s="527">
        <v>0.0</v>
      </c>
      <c r="D2960" s="527">
        <v>0.0</v>
      </c>
      <c r="F2960" s="36" t="s">
        <v>7798</v>
      </c>
      <c r="G2960" s="125" t="s">
        <v>913</v>
      </c>
      <c r="H2960" s="125" t="s">
        <v>7885</v>
      </c>
      <c r="I2960" t="s">
        <v>7817</v>
      </c>
    </row>
    <row r="2961">
      <c r="A2961" s="125" t="s">
        <v>6849</v>
      </c>
      <c r="B2961" s="526" t="s">
        <v>6848</v>
      </c>
      <c r="C2961" s="527">
        <v>0.0</v>
      </c>
      <c r="D2961" s="527">
        <v>0.0</v>
      </c>
      <c r="F2961" s="36" t="s">
        <v>7798</v>
      </c>
      <c r="G2961" s="125" t="s">
        <v>913</v>
      </c>
      <c r="H2961" s="125" t="s">
        <v>7885</v>
      </c>
      <c r="I2961" t="s">
        <v>7817</v>
      </c>
    </row>
    <row r="2962">
      <c r="A2962" s="125" t="s">
        <v>6851</v>
      </c>
      <c r="B2962" s="526" t="s">
        <v>6850</v>
      </c>
      <c r="C2962" s="527">
        <v>0.0</v>
      </c>
      <c r="D2962" s="527">
        <v>0.0</v>
      </c>
      <c r="F2962" s="36" t="s">
        <v>7798</v>
      </c>
      <c r="G2962" s="125" t="s">
        <v>913</v>
      </c>
      <c r="H2962" s="125" t="s">
        <v>7885</v>
      </c>
      <c r="I2962" t="s">
        <v>7860</v>
      </c>
    </row>
    <row r="2963">
      <c r="A2963" s="125" t="s">
        <v>6853</v>
      </c>
      <c r="B2963" s="526" t="s">
        <v>6852</v>
      </c>
      <c r="C2963" s="527">
        <v>0.0</v>
      </c>
      <c r="D2963" s="527">
        <v>0.0</v>
      </c>
      <c r="F2963" s="36" t="s">
        <v>7798</v>
      </c>
      <c r="G2963" s="125" t="s">
        <v>913</v>
      </c>
      <c r="H2963" s="125" t="s">
        <v>7885</v>
      </c>
      <c r="I2963" t="s">
        <v>7860</v>
      </c>
    </row>
    <row r="2964">
      <c r="A2964" s="125" t="s">
        <v>6855</v>
      </c>
      <c r="B2964" s="526" t="s">
        <v>6854</v>
      </c>
      <c r="C2964" s="527">
        <v>0.0</v>
      </c>
      <c r="D2964" s="527">
        <v>0.0</v>
      </c>
      <c r="F2964" s="36" t="s">
        <v>7798</v>
      </c>
      <c r="G2964" s="125" t="s">
        <v>913</v>
      </c>
      <c r="H2964" s="125" t="s">
        <v>7885</v>
      </c>
      <c r="I2964" t="s">
        <v>7803</v>
      </c>
    </row>
    <row r="2965">
      <c r="A2965" s="125" t="s">
        <v>6857</v>
      </c>
      <c r="B2965" s="526" t="s">
        <v>6856</v>
      </c>
      <c r="C2965" s="527">
        <v>0.0</v>
      </c>
      <c r="D2965" s="527">
        <v>0.0</v>
      </c>
      <c r="F2965" s="36" t="s">
        <v>7798</v>
      </c>
      <c r="G2965" s="125" t="s">
        <v>913</v>
      </c>
      <c r="H2965" s="125" t="s">
        <v>7885</v>
      </c>
      <c r="I2965" t="s">
        <v>7860</v>
      </c>
    </row>
    <row r="2966">
      <c r="A2966" s="125" t="s">
        <v>6859</v>
      </c>
      <c r="B2966" s="526" t="s">
        <v>6858</v>
      </c>
      <c r="C2966" s="527">
        <v>0.0</v>
      </c>
      <c r="D2966" s="527">
        <v>0.0</v>
      </c>
      <c r="F2966" s="36" t="s">
        <v>7798</v>
      </c>
      <c r="G2966" s="125" t="s">
        <v>913</v>
      </c>
      <c r="H2966" s="125" t="s">
        <v>7885</v>
      </c>
      <c r="I2966" t="s">
        <v>7860</v>
      </c>
    </row>
    <row r="2967">
      <c r="A2967" s="125" t="s">
        <v>6861</v>
      </c>
      <c r="B2967" s="526" t="s">
        <v>6860</v>
      </c>
      <c r="C2967" s="527">
        <v>0.0</v>
      </c>
      <c r="D2967" s="527">
        <v>0.0</v>
      </c>
      <c r="F2967" s="36" t="s">
        <v>7798</v>
      </c>
      <c r="G2967" s="125" t="s">
        <v>913</v>
      </c>
      <c r="H2967" s="125" t="s">
        <v>7885</v>
      </c>
      <c r="I2967" t="s">
        <v>7803</v>
      </c>
    </row>
    <row r="2968">
      <c r="A2968" s="125" t="s">
        <v>6863</v>
      </c>
      <c r="B2968" s="526" t="s">
        <v>6862</v>
      </c>
      <c r="C2968" s="527">
        <v>0.0</v>
      </c>
      <c r="D2968" s="527">
        <v>0.0</v>
      </c>
      <c r="F2968" s="36" t="s">
        <v>7798</v>
      </c>
      <c r="G2968" s="125" t="s">
        <v>913</v>
      </c>
      <c r="H2968" s="125" t="s">
        <v>7885</v>
      </c>
      <c r="I2968" t="s">
        <v>7860</v>
      </c>
    </row>
    <row r="2969">
      <c r="A2969" s="125" t="s">
        <v>6865</v>
      </c>
      <c r="B2969" s="526" t="s">
        <v>6864</v>
      </c>
      <c r="C2969" s="527">
        <v>0.0</v>
      </c>
      <c r="D2969" s="527">
        <v>0.0</v>
      </c>
      <c r="F2969" s="36" t="s">
        <v>7798</v>
      </c>
      <c r="G2969" s="125" t="s">
        <v>913</v>
      </c>
      <c r="H2969" s="125" t="s">
        <v>7885</v>
      </c>
      <c r="I2969" t="s">
        <v>7860</v>
      </c>
    </row>
    <row r="2970">
      <c r="A2970" s="125" t="s">
        <v>6867</v>
      </c>
      <c r="B2970" s="526" t="s">
        <v>6866</v>
      </c>
      <c r="C2970" s="527">
        <v>0.0</v>
      </c>
      <c r="D2970" s="527">
        <v>0.0</v>
      </c>
      <c r="F2970" s="36" t="s">
        <v>7798</v>
      </c>
      <c r="G2970" s="125" t="s">
        <v>913</v>
      </c>
      <c r="H2970" s="125" t="s">
        <v>7885</v>
      </c>
      <c r="I2970" t="s">
        <v>7860</v>
      </c>
    </row>
    <row r="2971">
      <c r="A2971" s="125" t="s">
        <v>6869</v>
      </c>
      <c r="B2971" s="526" t="s">
        <v>6868</v>
      </c>
      <c r="C2971" s="527">
        <v>0.0</v>
      </c>
      <c r="D2971" s="527">
        <v>0.0</v>
      </c>
      <c r="F2971" s="36" t="s">
        <v>7798</v>
      </c>
      <c r="G2971" s="125" t="s">
        <v>913</v>
      </c>
      <c r="H2971" s="125" t="s">
        <v>7885</v>
      </c>
      <c r="I2971" t="s">
        <v>7860</v>
      </c>
    </row>
    <row r="2972">
      <c r="A2972" s="125" t="s">
        <v>6871</v>
      </c>
      <c r="B2972" s="526" t="s">
        <v>6870</v>
      </c>
      <c r="C2972" s="527">
        <v>0.0</v>
      </c>
      <c r="D2972" s="527">
        <v>0.0</v>
      </c>
      <c r="F2972" s="36" t="s">
        <v>7798</v>
      </c>
      <c r="G2972" s="125" t="s">
        <v>913</v>
      </c>
      <c r="H2972" s="125" t="s">
        <v>7885</v>
      </c>
      <c r="I2972" t="s">
        <v>7860</v>
      </c>
    </row>
    <row r="2973">
      <c r="A2973" s="125" t="s">
        <v>6873</v>
      </c>
      <c r="B2973" s="526" t="s">
        <v>6872</v>
      </c>
      <c r="C2973" s="527">
        <v>0.0</v>
      </c>
      <c r="D2973" s="527">
        <v>0.0</v>
      </c>
      <c r="F2973" s="36" t="s">
        <v>7798</v>
      </c>
      <c r="G2973" s="125" t="s">
        <v>913</v>
      </c>
      <c r="H2973" s="125" t="s">
        <v>7885</v>
      </c>
      <c r="I2973" t="s">
        <v>7860</v>
      </c>
    </row>
    <row r="2974">
      <c r="A2974" s="125" t="s">
        <v>6875</v>
      </c>
      <c r="B2974" s="526" t="s">
        <v>6874</v>
      </c>
      <c r="C2974" s="527">
        <v>0.0</v>
      </c>
      <c r="D2974" s="527">
        <v>0.0</v>
      </c>
      <c r="F2974" s="36" t="s">
        <v>7798</v>
      </c>
      <c r="G2974" s="125" t="s">
        <v>913</v>
      </c>
      <c r="H2974" s="125" t="s">
        <v>7885</v>
      </c>
      <c r="I2974" t="s">
        <v>7905</v>
      </c>
    </row>
    <row r="2975">
      <c r="A2975" s="125" t="s">
        <v>6877</v>
      </c>
      <c r="B2975" s="526" t="s">
        <v>6876</v>
      </c>
      <c r="C2975" s="527">
        <v>0.0</v>
      </c>
      <c r="D2975" s="527">
        <v>0.0</v>
      </c>
      <c r="F2975" s="36" t="s">
        <v>7798</v>
      </c>
      <c r="G2975" s="125" t="s">
        <v>913</v>
      </c>
      <c r="H2975" s="125" t="s">
        <v>7885</v>
      </c>
      <c r="I2975" t="s">
        <v>7860</v>
      </c>
    </row>
    <row r="2976">
      <c r="A2976" s="125" t="s">
        <v>6879</v>
      </c>
      <c r="B2976" s="526" t="s">
        <v>6878</v>
      </c>
      <c r="C2976" s="527">
        <v>0.0</v>
      </c>
      <c r="D2976" s="527">
        <v>0.0</v>
      </c>
      <c r="F2976" s="36" t="s">
        <v>7798</v>
      </c>
      <c r="G2976" s="125" t="s">
        <v>913</v>
      </c>
      <c r="H2976" s="125" t="s">
        <v>7885</v>
      </c>
      <c r="I2976" t="s">
        <v>7803</v>
      </c>
    </row>
    <row r="2977">
      <c r="A2977" s="125" t="s">
        <v>6881</v>
      </c>
      <c r="B2977" s="526" t="s">
        <v>6880</v>
      </c>
      <c r="C2977" s="527">
        <v>0.0</v>
      </c>
      <c r="D2977" s="527">
        <v>0.0</v>
      </c>
      <c r="F2977" s="36" t="s">
        <v>7798</v>
      </c>
      <c r="G2977" s="125" t="s">
        <v>913</v>
      </c>
      <c r="H2977" s="125" t="s">
        <v>7885</v>
      </c>
      <c r="I2977" t="s">
        <v>7903</v>
      </c>
    </row>
    <row r="2978">
      <c r="A2978" s="125" t="s">
        <v>6883</v>
      </c>
      <c r="B2978" s="526" t="s">
        <v>6882</v>
      </c>
      <c r="C2978" s="527">
        <v>0.0</v>
      </c>
      <c r="D2978" s="527">
        <v>0.0</v>
      </c>
      <c r="F2978" s="36" t="s">
        <v>7798</v>
      </c>
      <c r="G2978" s="125" t="s">
        <v>913</v>
      </c>
      <c r="H2978" s="125" t="s">
        <v>7885</v>
      </c>
      <c r="I2978" t="s">
        <v>7803</v>
      </c>
    </row>
    <row r="2979">
      <c r="A2979" s="125" t="s">
        <v>6885</v>
      </c>
      <c r="B2979" s="526" t="s">
        <v>6884</v>
      </c>
      <c r="C2979" s="527">
        <v>0.0</v>
      </c>
      <c r="D2979" s="527">
        <v>0.0</v>
      </c>
      <c r="F2979" s="36" t="s">
        <v>7798</v>
      </c>
      <c r="G2979" s="125" t="s">
        <v>913</v>
      </c>
      <c r="H2979" s="125" t="s">
        <v>7885</v>
      </c>
      <c r="I2979" t="s">
        <v>7903</v>
      </c>
    </row>
    <row r="2980">
      <c r="A2980" s="125" t="s">
        <v>6887</v>
      </c>
      <c r="B2980" s="526" t="s">
        <v>6886</v>
      </c>
      <c r="C2980" s="527">
        <v>0.0</v>
      </c>
      <c r="D2980" s="527">
        <v>0.0</v>
      </c>
      <c r="F2980" s="36" t="s">
        <v>7798</v>
      </c>
      <c r="G2980" s="125" t="s">
        <v>913</v>
      </c>
      <c r="H2980" s="125" t="s">
        <v>7885</v>
      </c>
      <c r="I2980" t="s">
        <v>7903</v>
      </c>
    </row>
    <row r="2981">
      <c r="A2981" s="125" t="s">
        <v>6889</v>
      </c>
      <c r="B2981" s="526" t="s">
        <v>6888</v>
      </c>
      <c r="C2981" s="527">
        <v>0.0</v>
      </c>
      <c r="D2981" s="527">
        <v>0.0</v>
      </c>
      <c r="F2981" s="36" t="s">
        <v>7798</v>
      </c>
      <c r="G2981" s="125" t="s">
        <v>913</v>
      </c>
      <c r="H2981" s="125" t="s">
        <v>7885</v>
      </c>
      <c r="I2981" t="s">
        <v>7903</v>
      </c>
    </row>
    <row r="2982">
      <c r="A2982" s="125" t="s">
        <v>6891</v>
      </c>
      <c r="B2982" s="526" t="s">
        <v>6890</v>
      </c>
      <c r="C2982" s="527">
        <v>0.0</v>
      </c>
      <c r="D2982" s="527">
        <v>0.0</v>
      </c>
      <c r="F2982" s="36" t="s">
        <v>7798</v>
      </c>
      <c r="G2982" s="125" t="s">
        <v>913</v>
      </c>
      <c r="H2982" s="125" t="s">
        <v>7885</v>
      </c>
      <c r="I2982" t="s">
        <v>7903</v>
      </c>
    </row>
    <row r="2983">
      <c r="A2983" s="125" t="s">
        <v>6893</v>
      </c>
      <c r="B2983" s="526" t="s">
        <v>6892</v>
      </c>
      <c r="C2983" s="527">
        <v>0.0</v>
      </c>
      <c r="D2983" s="527">
        <v>0.0</v>
      </c>
      <c r="F2983" s="36" t="s">
        <v>7798</v>
      </c>
      <c r="G2983" s="125" t="s">
        <v>913</v>
      </c>
      <c r="H2983" s="125" t="s">
        <v>7885</v>
      </c>
      <c r="I2983" t="s">
        <v>7903</v>
      </c>
    </row>
    <row r="2984">
      <c r="A2984" s="125" t="s">
        <v>6895</v>
      </c>
      <c r="B2984" s="526" t="s">
        <v>6894</v>
      </c>
      <c r="C2984" s="527">
        <v>0.0</v>
      </c>
      <c r="D2984" s="527">
        <v>0.0</v>
      </c>
      <c r="F2984" s="36" t="s">
        <v>7798</v>
      </c>
      <c r="G2984" s="125" t="s">
        <v>913</v>
      </c>
      <c r="H2984" s="125" t="s">
        <v>7885</v>
      </c>
      <c r="I2984" t="s">
        <v>7891</v>
      </c>
    </row>
    <row r="2985">
      <c r="A2985" s="125" t="s">
        <v>6897</v>
      </c>
      <c r="B2985" s="526" t="s">
        <v>6896</v>
      </c>
      <c r="C2985" s="527">
        <v>0.0</v>
      </c>
      <c r="D2985" s="527">
        <v>0.0</v>
      </c>
      <c r="F2985" s="36" t="s">
        <v>7798</v>
      </c>
      <c r="G2985" s="125" t="s">
        <v>913</v>
      </c>
      <c r="H2985" s="125" t="s">
        <v>7885</v>
      </c>
      <c r="I2985" t="s">
        <v>7891</v>
      </c>
    </row>
    <row r="2986">
      <c r="A2986" s="125" t="s">
        <v>6899</v>
      </c>
      <c r="B2986" s="526" t="s">
        <v>6898</v>
      </c>
      <c r="C2986" s="527">
        <v>0.0</v>
      </c>
      <c r="D2986" s="527">
        <v>0.0</v>
      </c>
      <c r="F2986" s="36" t="s">
        <v>7798</v>
      </c>
      <c r="G2986" s="125" t="s">
        <v>913</v>
      </c>
      <c r="H2986" s="125" t="s">
        <v>7885</v>
      </c>
      <c r="I2986" t="s">
        <v>7891</v>
      </c>
    </row>
    <row r="2987">
      <c r="A2987" s="125" t="s">
        <v>6901</v>
      </c>
      <c r="B2987" s="526" t="s">
        <v>6900</v>
      </c>
      <c r="C2987" s="527">
        <v>0.0</v>
      </c>
      <c r="D2987" s="527">
        <v>0.0</v>
      </c>
      <c r="F2987" s="36" t="s">
        <v>7798</v>
      </c>
      <c r="G2987" s="125" t="s">
        <v>913</v>
      </c>
      <c r="H2987" s="125" t="s">
        <v>7885</v>
      </c>
      <c r="I2987" t="s">
        <v>7891</v>
      </c>
    </row>
    <row r="2988">
      <c r="A2988" s="125" t="s">
        <v>6903</v>
      </c>
      <c r="B2988" s="526" t="s">
        <v>6902</v>
      </c>
      <c r="C2988" s="527">
        <v>0.0</v>
      </c>
      <c r="D2988" s="527">
        <v>0.0</v>
      </c>
      <c r="F2988" s="36" t="s">
        <v>7798</v>
      </c>
      <c r="G2988" s="125" t="s">
        <v>913</v>
      </c>
      <c r="H2988" s="125" t="s">
        <v>7885</v>
      </c>
      <c r="I2988" t="s">
        <v>7891</v>
      </c>
    </row>
    <row r="2989">
      <c r="A2989" s="125" t="s">
        <v>6905</v>
      </c>
      <c r="B2989" s="526" t="s">
        <v>6904</v>
      </c>
      <c r="C2989" s="527">
        <v>0.0</v>
      </c>
      <c r="D2989" s="527">
        <v>0.0</v>
      </c>
      <c r="F2989" s="36" t="s">
        <v>7798</v>
      </c>
      <c r="G2989" s="125" t="s">
        <v>913</v>
      </c>
      <c r="H2989" s="125" t="s">
        <v>7885</v>
      </c>
      <c r="I2989" t="s">
        <v>7891</v>
      </c>
    </row>
    <row r="2990">
      <c r="A2990" s="125" t="s">
        <v>6907</v>
      </c>
      <c r="B2990" s="526" t="s">
        <v>6906</v>
      </c>
      <c r="C2990" s="527">
        <v>0.0</v>
      </c>
      <c r="D2990" s="527">
        <v>0.0</v>
      </c>
      <c r="F2990" s="36" t="s">
        <v>7798</v>
      </c>
      <c r="G2990" s="125" t="s">
        <v>913</v>
      </c>
      <c r="H2990" s="125" t="s">
        <v>7885</v>
      </c>
      <c r="I2990" t="s">
        <v>7803</v>
      </c>
    </row>
    <row r="2991">
      <c r="A2991" s="125" t="s">
        <v>6909</v>
      </c>
      <c r="B2991" s="526" t="s">
        <v>6908</v>
      </c>
      <c r="C2991" s="527">
        <v>0.0</v>
      </c>
      <c r="D2991" s="527">
        <v>0.0</v>
      </c>
      <c r="F2991" s="36" t="s">
        <v>7798</v>
      </c>
      <c r="G2991" s="125" t="s">
        <v>913</v>
      </c>
      <c r="H2991" s="125" t="s">
        <v>7885</v>
      </c>
      <c r="I2991" t="s">
        <v>7817</v>
      </c>
    </row>
    <row r="2992">
      <c r="A2992" s="125" t="s">
        <v>6911</v>
      </c>
      <c r="B2992" s="526" t="s">
        <v>6910</v>
      </c>
      <c r="C2992" s="527">
        <v>0.0</v>
      </c>
      <c r="D2992" s="527">
        <v>0.0</v>
      </c>
      <c r="F2992" s="36" t="s">
        <v>7798</v>
      </c>
      <c r="G2992" s="125" t="s">
        <v>913</v>
      </c>
      <c r="H2992" s="125" t="s">
        <v>7885</v>
      </c>
      <c r="I2992" t="s">
        <v>7817</v>
      </c>
    </row>
    <row r="2993">
      <c r="A2993" s="125" t="s">
        <v>6913</v>
      </c>
      <c r="B2993" s="526" t="s">
        <v>6912</v>
      </c>
      <c r="C2993" s="527">
        <v>0.0</v>
      </c>
      <c r="D2993" s="527">
        <v>0.0</v>
      </c>
      <c r="F2993" s="36" t="s">
        <v>7798</v>
      </c>
      <c r="G2993" s="125" t="s">
        <v>913</v>
      </c>
      <c r="H2993" s="125" t="s">
        <v>7885</v>
      </c>
      <c r="I2993" t="s">
        <v>7817</v>
      </c>
    </row>
    <row r="2994">
      <c r="A2994" s="125" t="s">
        <v>6915</v>
      </c>
      <c r="B2994" s="526" t="s">
        <v>6914</v>
      </c>
      <c r="C2994" s="527">
        <v>0.0</v>
      </c>
      <c r="D2994" s="527">
        <v>0.0</v>
      </c>
      <c r="F2994" s="36" t="s">
        <v>7798</v>
      </c>
      <c r="G2994" s="125" t="s">
        <v>913</v>
      </c>
      <c r="H2994" s="125" t="s">
        <v>7885</v>
      </c>
      <c r="I2994" t="s">
        <v>7817</v>
      </c>
    </row>
    <row r="2995">
      <c r="A2995" s="125" t="s">
        <v>6917</v>
      </c>
      <c r="B2995" s="526" t="s">
        <v>6916</v>
      </c>
      <c r="C2995" s="527">
        <v>0.0</v>
      </c>
      <c r="D2995" s="527">
        <v>0.0</v>
      </c>
      <c r="F2995" s="36" t="s">
        <v>7798</v>
      </c>
      <c r="G2995" s="125" t="s">
        <v>913</v>
      </c>
      <c r="H2995" s="125" t="s">
        <v>7885</v>
      </c>
      <c r="I2995" t="s">
        <v>7817</v>
      </c>
    </row>
    <row r="2996">
      <c r="A2996" s="125" t="s">
        <v>6919</v>
      </c>
      <c r="B2996" s="526" t="s">
        <v>6918</v>
      </c>
      <c r="C2996" s="527">
        <v>0.0</v>
      </c>
      <c r="D2996" s="527">
        <v>0.0</v>
      </c>
      <c r="F2996" s="36" t="s">
        <v>7798</v>
      </c>
      <c r="G2996" s="125" t="s">
        <v>913</v>
      </c>
      <c r="H2996" s="125" t="s">
        <v>7885</v>
      </c>
      <c r="I2996" t="s">
        <v>7817</v>
      </c>
    </row>
    <row r="2997">
      <c r="A2997" s="125" t="s">
        <v>6921</v>
      </c>
      <c r="B2997" s="526" t="s">
        <v>6920</v>
      </c>
      <c r="C2997" s="527">
        <v>0.0</v>
      </c>
      <c r="D2997" s="527">
        <v>0.0</v>
      </c>
      <c r="F2997" s="36" t="s">
        <v>7798</v>
      </c>
      <c r="G2997" s="125" t="s">
        <v>913</v>
      </c>
      <c r="H2997" s="125" t="s">
        <v>7885</v>
      </c>
      <c r="I2997" t="s">
        <v>7817</v>
      </c>
    </row>
    <row r="2998">
      <c r="A2998" s="125" t="s">
        <v>6923</v>
      </c>
      <c r="B2998" s="526" t="s">
        <v>6922</v>
      </c>
      <c r="C2998" s="527">
        <v>0.0</v>
      </c>
      <c r="D2998" s="527">
        <v>0.0</v>
      </c>
      <c r="F2998" s="36" t="s">
        <v>7798</v>
      </c>
      <c r="G2998" s="125" t="s">
        <v>913</v>
      </c>
      <c r="H2998" s="125" t="s">
        <v>7885</v>
      </c>
      <c r="I2998" t="s">
        <v>7817</v>
      </c>
    </row>
    <row r="2999">
      <c r="A2999" s="125" t="s">
        <v>6925</v>
      </c>
      <c r="B2999" s="526" t="s">
        <v>6924</v>
      </c>
      <c r="C2999" s="527">
        <v>0.0</v>
      </c>
      <c r="D2999" s="527">
        <v>0.0</v>
      </c>
      <c r="F2999" s="36" t="s">
        <v>7798</v>
      </c>
      <c r="G2999" s="125" t="s">
        <v>913</v>
      </c>
      <c r="H2999" s="125" t="s">
        <v>7885</v>
      </c>
      <c r="I2999" t="s">
        <v>7817</v>
      </c>
    </row>
    <row r="3000">
      <c r="A3000" s="125" t="s">
        <v>6927</v>
      </c>
      <c r="B3000" s="526" t="s">
        <v>6926</v>
      </c>
      <c r="C3000" s="527">
        <v>0.0</v>
      </c>
      <c r="D3000" s="527">
        <v>0.0</v>
      </c>
      <c r="F3000" s="36" t="s">
        <v>7798</v>
      </c>
      <c r="G3000" s="125" t="s">
        <v>913</v>
      </c>
      <c r="H3000" s="125" t="s">
        <v>7885</v>
      </c>
      <c r="I3000" t="s">
        <v>7817</v>
      </c>
    </row>
    <row r="3001">
      <c r="A3001" s="125" t="s">
        <v>6928</v>
      </c>
      <c r="B3001" s="526">
        <v>97202.0</v>
      </c>
      <c r="C3001" s="527">
        <v>0.0</v>
      </c>
      <c r="D3001" s="527">
        <v>0.0</v>
      </c>
      <c r="F3001" s="36" t="s">
        <v>7798</v>
      </c>
      <c r="G3001" s="125" t="s">
        <v>893</v>
      </c>
      <c r="H3001" s="125" t="s">
        <v>7799</v>
      </c>
      <c r="I3001" t="s">
        <v>7844</v>
      </c>
    </row>
    <row r="3002">
      <c r="A3002" s="125" t="s">
        <v>6929</v>
      </c>
      <c r="B3002" s="526">
        <v>97204.0</v>
      </c>
      <c r="C3002" s="527">
        <v>0.0</v>
      </c>
      <c r="D3002" s="527">
        <v>0.0</v>
      </c>
      <c r="F3002" s="36" t="s">
        <v>7798</v>
      </c>
      <c r="G3002" s="125" t="s">
        <v>893</v>
      </c>
      <c r="H3002" s="125" t="s">
        <v>7799</v>
      </c>
      <c r="I3002" t="s">
        <v>7844</v>
      </c>
    </row>
    <row r="3003">
      <c r="A3003" s="125" t="s">
        <v>6930</v>
      </c>
      <c r="B3003" s="526">
        <v>97203.0</v>
      </c>
      <c r="C3003" s="527">
        <v>0.0</v>
      </c>
      <c r="D3003" s="527">
        <v>0.0</v>
      </c>
      <c r="F3003" s="36" t="s">
        <v>7798</v>
      </c>
      <c r="G3003" s="125" t="s">
        <v>893</v>
      </c>
      <c r="H3003" s="125" t="s">
        <v>7799</v>
      </c>
      <c r="I3003" t="s">
        <v>7844</v>
      </c>
    </row>
    <row r="3004">
      <c r="A3004" s="125" t="s">
        <v>6931</v>
      </c>
      <c r="B3004" s="526">
        <v>97201.0</v>
      </c>
      <c r="C3004" s="527">
        <v>0.0</v>
      </c>
      <c r="D3004" s="527">
        <v>0.0</v>
      </c>
      <c r="F3004" s="36" t="s">
        <v>7798</v>
      </c>
      <c r="G3004" s="125" t="s">
        <v>893</v>
      </c>
      <c r="H3004" s="125" t="s">
        <v>7799</v>
      </c>
      <c r="I3004" t="s">
        <v>7844</v>
      </c>
    </row>
    <row r="3005">
      <c r="A3005" s="125" t="s">
        <v>6934</v>
      </c>
      <c r="B3005" s="526">
        <v>97306.0</v>
      </c>
      <c r="C3005" s="527">
        <v>0.0</v>
      </c>
      <c r="D3005" s="527">
        <v>0.0</v>
      </c>
      <c r="F3005" s="36" t="s">
        <v>7798</v>
      </c>
      <c r="G3005" s="125" t="s">
        <v>893</v>
      </c>
      <c r="H3005" s="125" t="s">
        <v>7799</v>
      </c>
      <c r="I3005" t="s">
        <v>7806</v>
      </c>
    </row>
    <row r="3006">
      <c r="A3006" s="125" t="s">
        <v>6935</v>
      </c>
      <c r="B3006" s="526">
        <v>97305.0</v>
      </c>
      <c r="C3006" s="527">
        <v>0.0</v>
      </c>
      <c r="D3006" s="527">
        <v>0.0</v>
      </c>
      <c r="F3006" s="36" t="s">
        <v>7798</v>
      </c>
      <c r="G3006" s="125" t="s">
        <v>893</v>
      </c>
      <c r="H3006" s="125" t="s">
        <v>7799</v>
      </c>
      <c r="I3006" t="s">
        <v>7806</v>
      </c>
    </row>
    <row r="3007">
      <c r="A3007" s="125" t="s">
        <v>6936</v>
      </c>
      <c r="B3007" s="526">
        <v>97307.0</v>
      </c>
      <c r="C3007" s="527">
        <v>0.0</v>
      </c>
      <c r="D3007" s="527">
        <v>0.0</v>
      </c>
      <c r="F3007" s="36" t="s">
        <v>7798</v>
      </c>
      <c r="G3007" s="125" t="s">
        <v>893</v>
      </c>
      <c r="H3007" s="125" t="s">
        <v>7799</v>
      </c>
      <c r="I3007" t="s">
        <v>7806</v>
      </c>
    </row>
    <row r="3008">
      <c r="A3008" s="125" t="s">
        <v>6937</v>
      </c>
      <c r="B3008" s="526">
        <v>97304.0</v>
      </c>
      <c r="C3008" s="527">
        <v>0.0</v>
      </c>
      <c r="D3008" s="527">
        <v>0.0</v>
      </c>
      <c r="F3008" s="36" t="s">
        <v>7798</v>
      </c>
      <c r="G3008" s="125" t="s">
        <v>893</v>
      </c>
      <c r="H3008" s="125" t="s">
        <v>7799</v>
      </c>
      <c r="I3008" t="s">
        <v>7806</v>
      </c>
    </row>
    <row r="3009">
      <c r="A3009" s="125" t="s">
        <v>6938</v>
      </c>
      <c r="B3009" s="526">
        <v>97302.0</v>
      </c>
      <c r="C3009" s="527">
        <v>0.0</v>
      </c>
      <c r="D3009" s="527">
        <v>0.0</v>
      </c>
      <c r="F3009" s="36" t="s">
        <v>7798</v>
      </c>
      <c r="G3009" s="125" t="s">
        <v>893</v>
      </c>
      <c r="H3009" s="125" t="s">
        <v>7799</v>
      </c>
      <c r="I3009" t="s">
        <v>7806</v>
      </c>
    </row>
    <row r="3010">
      <c r="A3010" s="125" t="s">
        <v>6939</v>
      </c>
      <c r="B3010" s="526">
        <v>97303.0</v>
      </c>
      <c r="C3010" s="527">
        <v>0.0</v>
      </c>
      <c r="D3010" s="527">
        <v>0.0</v>
      </c>
      <c r="F3010" s="36" t="s">
        <v>7798</v>
      </c>
      <c r="G3010" s="125" t="s">
        <v>893</v>
      </c>
      <c r="H3010" s="125" t="s">
        <v>7799</v>
      </c>
      <c r="I3010" t="s">
        <v>7806</v>
      </c>
    </row>
    <row r="3011">
      <c r="A3011" s="125" t="s">
        <v>6941</v>
      </c>
      <c r="B3011" s="526">
        <v>97301.0</v>
      </c>
      <c r="C3011" s="527">
        <v>0.0</v>
      </c>
      <c r="D3011" s="527">
        <v>0.0</v>
      </c>
      <c r="F3011" s="36" t="s">
        <v>7798</v>
      </c>
      <c r="G3011" s="125" t="s">
        <v>893</v>
      </c>
      <c r="H3011" s="125" t="s">
        <v>7799</v>
      </c>
      <c r="I3011" t="s">
        <v>7806</v>
      </c>
    </row>
    <row r="3012">
      <c r="A3012" s="125" t="s">
        <v>6943</v>
      </c>
      <c r="B3012" s="526" t="s">
        <v>6942</v>
      </c>
      <c r="C3012" s="527">
        <v>0.0</v>
      </c>
      <c r="D3012" s="527">
        <v>0.0</v>
      </c>
      <c r="F3012" s="36" t="s">
        <v>7798</v>
      </c>
      <c r="G3012" s="125" t="s">
        <v>893</v>
      </c>
      <c r="H3012" s="125" t="s">
        <v>7799</v>
      </c>
      <c r="I3012" t="s">
        <v>7804</v>
      </c>
    </row>
    <row r="3013">
      <c r="A3013" s="125" t="s">
        <v>6945</v>
      </c>
      <c r="B3013" s="526" t="s">
        <v>6944</v>
      </c>
      <c r="C3013" s="527">
        <v>0.0</v>
      </c>
      <c r="D3013" s="527">
        <v>0.0</v>
      </c>
      <c r="F3013" s="36" t="s">
        <v>7798</v>
      </c>
      <c r="G3013" s="125" t="s">
        <v>893</v>
      </c>
      <c r="H3013" s="125" t="s">
        <v>7799</v>
      </c>
      <c r="I3013" t="s">
        <v>7842</v>
      </c>
    </row>
    <row r="3014">
      <c r="A3014" s="125" t="s">
        <v>6947</v>
      </c>
      <c r="B3014" s="526" t="s">
        <v>6946</v>
      </c>
      <c r="C3014" s="527">
        <v>14.0</v>
      </c>
      <c r="D3014" s="527">
        <v>70.59</v>
      </c>
      <c r="E3014" s="528">
        <v>5.0421</v>
      </c>
      <c r="F3014" s="36" t="s">
        <v>7798</v>
      </c>
      <c r="G3014" s="125" t="s">
        <v>913</v>
      </c>
      <c r="H3014" s="125" t="s">
        <v>7801</v>
      </c>
      <c r="I3014" t="s">
        <v>7897</v>
      </c>
    </row>
    <row r="3015">
      <c r="A3015" s="125" t="s">
        <v>6949</v>
      </c>
      <c r="B3015" s="526" t="s">
        <v>6948</v>
      </c>
      <c r="C3015" s="527">
        <v>442.0</v>
      </c>
      <c r="D3015" s="527">
        <v>3851.19</v>
      </c>
      <c r="E3015" s="528">
        <v>8.7131</v>
      </c>
      <c r="F3015" s="36" t="s">
        <v>7798</v>
      </c>
      <c r="G3015" s="125" t="s">
        <v>913</v>
      </c>
      <c r="H3015" s="125" t="s">
        <v>7801</v>
      </c>
      <c r="I3015" t="s">
        <v>7897</v>
      </c>
    </row>
    <row r="3016">
      <c r="A3016" s="125" t="s">
        <v>6951</v>
      </c>
      <c r="B3016" s="526" t="s">
        <v>6950</v>
      </c>
      <c r="C3016" s="527">
        <v>63.0</v>
      </c>
      <c r="D3016" s="527">
        <v>325.94</v>
      </c>
      <c r="E3016" s="528">
        <v>5.1737</v>
      </c>
      <c r="F3016" s="36" t="s">
        <v>7798</v>
      </c>
      <c r="G3016" s="125" t="s">
        <v>913</v>
      </c>
      <c r="H3016" s="125" t="s">
        <v>7801</v>
      </c>
      <c r="I3016" t="s">
        <v>7897</v>
      </c>
    </row>
    <row r="3017">
      <c r="A3017" s="125" t="s">
        <v>6953</v>
      </c>
      <c r="B3017" s="526" t="s">
        <v>6952</v>
      </c>
      <c r="C3017" s="527">
        <v>0.0</v>
      </c>
      <c r="D3017" s="527">
        <v>0.0</v>
      </c>
      <c r="F3017" s="36" t="s">
        <v>7798</v>
      </c>
      <c r="G3017" s="125" t="s">
        <v>893</v>
      </c>
      <c r="H3017" s="125" t="s">
        <v>7801</v>
      </c>
      <c r="I3017" t="s">
        <v>7897</v>
      </c>
    </row>
    <row r="3018">
      <c r="A3018" s="125" t="s">
        <v>6955</v>
      </c>
      <c r="B3018" s="526" t="s">
        <v>6954</v>
      </c>
      <c r="C3018" s="527">
        <v>80.0</v>
      </c>
      <c r="D3018" s="527">
        <v>273.2</v>
      </c>
      <c r="E3018" s="528">
        <v>3.415</v>
      </c>
      <c r="F3018" s="36" t="s">
        <v>7798</v>
      </c>
      <c r="G3018" s="125" t="s">
        <v>913</v>
      </c>
      <c r="H3018" s="125" t="s">
        <v>7801</v>
      </c>
      <c r="I3018" t="s">
        <v>7897</v>
      </c>
    </row>
    <row r="3019">
      <c r="A3019" s="125" t="s">
        <v>6957</v>
      </c>
      <c r="B3019" s="526" t="s">
        <v>6956</v>
      </c>
      <c r="C3019" s="527">
        <v>0.0</v>
      </c>
      <c r="D3019" s="527">
        <v>0.0</v>
      </c>
      <c r="F3019" s="36" t="s">
        <v>7798</v>
      </c>
      <c r="G3019" s="125" t="s">
        <v>913</v>
      </c>
      <c r="H3019" s="125" t="s">
        <v>7801</v>
      </c>
      <c r="I3019" t="s">
        <v>7897</v>
      </c>
    </row>
    <row r="3020">
      <c r="A3020" s="125" t="s">
        <v>6959</v>
      </c>
      <c r="B3020" s="526" t="s">
        <v>6958</v>
      </c>
      <c r="C3020" s="527">
        <v>0.0</v>
      </c>
      <c r="D3020" s="527">
        <v>0.0</v>
      </c>
      <c r="F3020" s="36" t="s">
        <v>7798</v>
      </c>
      <c r="G3020" s="125" t="s">
        <v>893</v>
      </c>
      <c r="H3020" s="125" t="s">
        <v>7801</v>
      </c>
      <c r="I3020" t="s">
        <v>7897</v>
      </c>
    </row>
    <row r="3021">
      <c r="A3021" s="125" t="s">
        <v>6961</v>
      </c>
      <c r="B3021" s="526" t="s">
        <v>6960</v>
      </c>
      <c r="C3021" s="527">
        <v>455.0</v>
      </c>
      <c r="D3021" s="527">
        <v>1161.35</v>
      </c>
      <c r="E3021" s="528">
        <v>2.5524</v>
      </c>
      <c r="F3021" s="36" t="s">
        <v>7798</v>
      </c>
      <c r="G3021" s="125" t="s">
        <v>913</v>
      </c>
      <c r="H3021" s="125" t="s">
        <v>7801</v>
      </c>
      <c r="I3021" t="s">
        <v>7897</v>
      </c>
    </row>
    <row r="3022">
      <c r="A3022" s="125" t="s">
        <v>6963</v>
      </c>
      <c r="B3022" s="526" t="s">
        <v>6962</v>
      </c>
      <c r="C3022" s="527">
        <v>28.0</v>
      </c>
      <c r="D3022" s="527">
        <v>71.5</v>
      </c>
      <c r="E3022" s="528">
        <v>2.5536</v>
      </c>
      <c r="F3022" s="36" t="s">
        <v>7798</v>
      </c>
      <c r="G3022" s="125" t="s">
        <v>913</v>
      </c>
      <c r="H3022" s="125" t="s">
        <v>7801</v>
      </c>
      <c r="I3022" t="s">
        <v>7897</v>
      </c>
    </row>
    <row r="3023">
      <c r="A3023" s="125" t="s">
        <v>6965</v>
      </c>
      <c r="B3023" s="526" t="s">
        <v>6964</v>
      </c>
      <c r="C3023" s="527">
        <v>4.0</v>
      </c>
      <c r="D3023" s="527">
        <v>10.61</v>
      </c>
      <c r="E3023" s="528">
        <v>2.6525</v>
      </c>
      <c r="F3023" s="36" t="s">
        <v>7798</v>
      </c>
      <c r="G3023" s="125" t="s">
        <v>913</v>
      </c>
      <c r="H3023" s="125" t="s">
        <v>7801</v>
      </c>
      <c r="I3023" t="s">
        <v>7897</v>
      </c>
    </row>
    <row r="3024">
      <c r="A3024" s="125" t="s">
        <v>6967</v>
      </c>
      <c r="B3024" s="526" t="s">
        <v>6966</v>
      </c>
      <c r="C3024" s="527">
        <v>156.0</v>
      </c>
      <c r="D3024" s="527">
        <v>558.17</v>
      </c>
      <c r="E3024" s="528">
        <v>3.578</v>
      </c>
      <c r="F3024" s="36" t="s">
        <v>7798</v>
      </c>
      <c r="G3024" s="125" t="s">
        <v>913</v>
      </c>
      <c r="H3024" s="125" t="s">
        <v>7801</v>
      </c>
      <c r="I3024" t="s">
        <v>7897</v>
      </c>
    </row>
    <row r="3025">
      <c r="A3025" s="125" t="s">
        <v>6969</v>
      </c>
      <c r="B3025" s="526" t="s">
        <v>6968</v>
      </c>
      <c r="C3025" s="527">
        <v>0.0</v>
      </c>
      <c r="D3025" s="527">
        <v>0.0</v>
      </c>
      <c r="F3025" s="36" t="s">
        <v>7798</v>
      </c>
      <c r="G3025" s="125" t="s">
        <v>893</v>
      </c>
      <c r="H3025" s="125" t="s">
        <v>7801</v>
      </c>
      <c r="I3025" t="s">
        <v>7897</v>
      </c>
    </row>
    <row r="3026">
      <c r="A3026" s="125" t="s">
        <v>6971</v>
      </c>
      <c r="B3026" s="526" t="s">
        <v>6970</v>
      </c>
      <c r="C3026" s="527">
        <v>187.0</v>
      </c>
      <c r="D3026" s="527">
        <v>805.53</v>
      </c>
      <c r="E3026" s="528">
        <v>4.3076</v>
      </c>
      <c r="F3026" s="36" t="s">
        <v>7798</v>
      </c>
      <c r="G3026" s="125" t="s">
        <v>913</v>
      </c>
      <c r="H3026" s="125" t="s">
        <v>7801</v>
      </c>
      <c r="I3026" t="s">
        <v>7897</v>
      </c>
    </row>
    <row r="3027">
      <c r="A3027" s="125" t="s">
        <v>6973</v>
      </c>
      <c r="B3027" s="526" t="s">
        <v>6972</v>
      </c>
      <c r="C3027" s="527">
        <v>0.0</v>
      </c>
      <c r="D3027" s="527">
        <v>0.0</v>
      </c>
      <c r="F3027" s="36" t="s">
        <v>7798</v>
      </c>
      <c r="G3027" s="125" t="s">
        <v>893</v>
      </c>
      <c r="H3027" s="125" t="s">
        <v>7801</v>
      </c>
      <c r="I3027" t="s">
        <v>7897</v>
      </c>
    </row>
    <row r="3028">
      <c r="A3028" s="125" t="s">
        <v>6977</v>
      </c>
      <c r="B3028" s="526" t="s">
        <v>6976</v>
      </c>
      <c r="C3028" s="527">
        <v>15.0</v>
      </c>
      <c r="D3028" s="527">
        <v>47.08</v>
      </c>
      <c r="E3028" s="528">
        <v>3.1387</v>
      </c>
      <c r="F3028" s="36" t="s">
        <v>7798</v>
      </c>
      <c r="G3028" s="125" t="s">
        <v>913</v>
      </c>
      <c r="H3028" s="125" t="s">
        <v>7801</v>
      </c>
      <c r="I3028" t="s">
        <v>7897</v>
      </c>
    </row>
    <row r="3029">
      <c r="A3029" s="125" t="s">
        <v>6979</v>
      </c>
      <c r="B3029" s="526" t="s">
        <v>6978</v>
      </c>
      <c r="C3029" s="527">
        <v>256.0</v>
      </c>
      <c r="D3029" s="527">
        <v>618.01</v>
      </c>
      <c r="E3029" s="528">
        <v>2.4141</v>
      </c>
      <c r="F3029" s="36" t="s">
        <v>7798</v>
      </c>
      <c r="G3029" s="125" t="s">
        <v>913</v>
      </c>
      <c r="H3029" s="125" t="s">
        <v>7801</v>
      </c>
      <c r="I3029" t="s">
        <v>7897</v>
      </c>
    </row>
    <row r="3030">
      <c r="A3030" s="125" t="s">
        <v>6981</v>
      </c>
      <c r="B3030" s="526" t="s">
        <v>6980</v>
      </c>
      <c r="C3030" s="527">
        <v>214.0</v>
      </c>
      <c r="D3030" s="527">
        <v>576.23</v>
      </c>
      <c r="E3030" s="528">
        <v>2.6927</v>
      </c>
      <c r="F3030" s="36" t="s">
        <v>7798</v>
      </c>
      <c r="G3030" s="125" t="s">
        <v>913</v>
      </c>
      <c r="H3030" s="125" t="s">
        <v>7801</v>
      </c>
      <c r="I3030" t="s">
        <v>7897</v>
      </c>
    </row>
    <row r="3031">
      <c r="A3031" s="125" t="s">
        <v>6984</v>
      </c>
      <c r="B3031" s="526" t="s">
        <v>6983</v>
      </c>
      <c r="C3031" s="527">
        <v>1.0</v>
      </c>
      <c r="D3031" s="527">
        <v>32.47</v>
      </c>
      <c r="E3031" s="528">
        <v>32.47</v>
      </c>
      <c r="F3031" s="36" t="s">
        <v>7798</v>
      </c>
      <c r="G3031" s="125" t="s">
        <v>913</v>
      </c>
      <c r="H3031" s="125" t="s">
        <v>7801</v>
      </c>
      <c r="I3031" t="s">
        <v>7897</v>
      </c>
    </row>
    <row r="3032">
      <c r="A3032" s="125" t="s">
        <v>6986</v>
      </c>
      <c r="B3032" s="526" t="s">
        <v>6985</v>
      </c>
      <c r="C3032" s="527">
        <v>4.0</v>
      </c>
      <c r="D3032" s="527">
        <v>0.04</v>
      </c>
      <c r="E3032" s="528">
        <v>0.01</v>
      </c>
      <c r="F3032" s="36" t="s">
        <v>7798</v>
      </c>
      <c r="G3032" s="125" t="s">
        <v>913</v>
      </c>
      <c r="H3032" s="125" t="s">
        <v>7821</v>
      </c>
      <c r="I3032" t="s">
        <v>7897</v>
      </c>
    </row>
    <row r="3033">
      <c r="A3033" s="125" t="s">
        <v>6990</v>
      </c>
      <c r="B3033" s="526" t="s">
        <v>6989</v>
      </c>
      <c r="C3033" s="527">
        <v>0.0</v>
      </c>
      <c r="D3033" s="527">
        <v>0.0</v>
      </c>
      <c r="F3033" s="36" t="s">
        <v>7798</v>
      </c>
      <c r="G3033" s="125" t="s">
        <v>893</v>
      </c>
      <c r="H3033" s="125" t="s">
        <v>7799</v>
      </c>
      <c r="I3033" t="s">
        <v>7839</v>
      </c>
    </row>
    <row r="3034">
      <c r="A3034" s="125" t="s">
        <v>6992</v>
      </c>
      <c r="B3034" s="526" t="s">
        <v>6991</v>
      </c>
      <c r="C3034" s="527">
        <v>530.0</v>
      </c>
      <c r="D3034" s="527">
        <v>291.5</v>
      </c>
      <c r="E3034" s="528">
        <v>0.55</v>
      </c>
      <c r="F3034" s="36" t="s">
        <v>7798</v>
      </c>
      <c r="G3034" s="125" t="s">
        <v>913</v>
      </c>
      <c r="H3034" s="125" t="s">
        <v>7821</v>
      </c>
      <c r="I3034" t="s">
        <v>7823</v>
      </c>
    </row>
    <row r="3035">
      <c r="A3035" s="125" t="s">
        <v>6994</v>
      </c>
      <c r="B3035" s="526" t="s">
        <v>6993</v>
      </c>
      <c r="C3035" s="527">
        <v>89.0</v>
      </c>
      <c r="D3035" s="527">
        <v>44.5</v>
      </c>
      <c r="E3035" s="528">
        <v>0.5</v>
      </c>
      <c r="F3035" s="36" t="s">
        <v>7798</v>
      </c>
      <c r="G3035" s="125" t="s">
        <v>913</v>
      </c>
      <c r="H3035" s="125" t="s">
        <v>7821</v>
      </c>
      <c r="I3035" t="s">
        <v>7838</v>
      </c>
    </row>
    <row r="3036">
      <c r="A3036" s="125" t="s">
        <v>6996</v>
      </c>
      <c r="B3036" s="526" t="s">
        <v>6995</v>
      </c>
      <c r="C3036" s="527">
        <v>216.0</v>
      </c>
      <c r="D3036" s="527">
        <v>355.1</v>
      </c>
      <c r="E3036" s="528">
        <v>1.644</v>
      </c>
      <c r="F3036" s="36" t="s">
        <v>7798</v>
      </c>
      <c r="G3036" s="125" t="s">
        <v>913</v>
      </c>
      <c r="H3036" s="125" t="s">
        <v>7801</v>
      </c>
      <c r="I3036" t="s">
        <v>7815</v>
      </c>
    </row>
    <row r="3037">
      <c r="A3037" s="125" t="s">
        <v>6998</v>
      </c>
      <c r="B3037" s="526" t="s">
        <v>6997</v>
      </c>
      <c r="C3037" s="527">
        <v>18.0</v>
      </c>
      <c r="D3037" s="527">
        <v>378.0</v>
      </c>
      <c r="E3037" s="528">
        <v>21.0</v>
      </c>
      <c r="F3037" s="36" t="s">
        <v>7798</v>
      </c>
      <c r="G3037" s="125" t="s">
        <v>913</v>
      </c>
      <c r="H3037" s="125" t="s">
        <v>7801</v>
      </c>
      <c r="I3037" t="s">
        <v>45</v>
      </c>
    </row>
    <row r="3038">
      <c r="A3038" s="125" t="s">
        <v>7000</v>
      </c>
      <c r="B3038" s="526" t="s">
        <v>6999</v>
      </c>
      <c r="C3038" s="527">
        <v>0.0</v>
      </c>
      <c r="D3038" s="527">
        <v>0.0</v>
      </c>
      <c r="F3038" s="36" t="s">
        <v>7798</v>
      </c>
      <c r="G3038" s="125" t="s">
        <v>893</v>
      </c>
      <c r="H3038" s="125" t="s">
        <v>7801</v>
      </c>
      <c r="I3038" t="s">
        <v>7815</v>
      </c>
    </row>
    <row r="3039">
      <c r="A3039" s="125" t="s">
        <v>7002</v>
      </c>
      <c r="B3039" s="526" t="s">
        <v>7001</v>
      </c>
      <c r="C3039" s="527">
        <v>822.0</v>
      </c>
      <c r="D3039" s="527">
        <v>1446.2</v>
      </c>
      <c r="E3039" s="528">
        <v>1.7594</v>
      </c>
      <c r="F3039" s="36" t="s">
        <v>7798</v>
      </c>
      <c r="G3039" s="125" t="s">
        <v>913</v>
      </c>
      <c r="H3039" s="125" t="s">
        <v>7801</v>
      </c>
      <c r="I3039" t="s">
        <v>7815</v>
      </c>
    </row>
    <row r="3040">
      <c r="A3040" s="125" t="s">
        <v>7004</v>
      </c>
      <c r="B3040" s="526" t="s">
        <v>7003</v>
      </c>
      <c r="C3040" s="527">
        <v>0.0</v>
      </c>
      <c r="D3040" s="527">
        <v>0.0</v>
      </c>
      <c r="F3040" s="36" t="s">
        <v>7798</v>
      </c>
      <c r="G3040" s="125" t="s">
        <v>913</v>
      </c>
      <c r="H3040" s="125" t="s">
        <v>7801</v>
      </c>
      <c r="I3040" t="s">
        <v>7815</v>
      </c>
    </row>
    <row r="3041">
      <c r="A3041" s="125" t="s">
        <v>7006</v>
      </c>
      <c r="B3041" s="526" t="s">
        <v>7005</v>
      </c>
      <c r="C3041" s="527">
        <v>0.0</v>
      </c>
      <c r="D3041" s="527">
        <v>0.0</v>
      </c>
      <c r="F3041" s="36" t="s">
        <v>7798</v>
      </c>
      <c r="G3041" s="125" t="s">
        <v>913</v>
      </c>
      <c r="H3041" s="125" t="s">
        <v>7801</v>
      </c>
      <c r="I3041" t="s">
        <v>7815</v>
      </c>
    </row>
    <row r="3042">
      <c r="A3042" s="125" t="s">
        <v>7008</v>
      </c>
      <c r="B3042" s="526" t="s">
        <v>7007</v>
      </c>
      <c r="C3042" s="527">
        <v>0.0</v>
      </c>
      <c r="D3042" s="527">
        <v>0.0</v>
      </c>
      <c r="F3042" s="36" t="s">
        <v>7798</v>
      </c>
      <c r="G3042" s="125" t="s">
        <v>893</v>
      </c>
      <c r="H3042" s="125" t="s">
        <v>7801</v>
      </c>
      <c r="I3042" t="s">
        <v>7815</v>
      </c>
    </row>
    <row r="3043">
      <c r="A3043" s="125" t="s">
        <v>7010</v>
      </c>
      <c r="B3043" s="526" t="s">
        <v>7009</v>
      </c>
      <c r="C3043" s="527">
        <v>546.0</v>
      </c>
      <c r="D3043" s="527">
        <v>894.21</v>
      </c>
      <c r="E3043" s="528">
        <v>1.6377</v>
      </c>
      <c r="F3043" s="36" t="s">
        <v>7798</v>
      </c>
      <c r="G3043" s="125" t="s">
        <v>913</v>
      </c>
      <c r="H3043" s="125" t="s">
        <v>7801</v>
      </c>
      <c r="I3043" t="s">
        <v>7815</v>
      </c>
    </row>
    <row r="3044">
      <c r="A3044" s="125" t="s">
        <v>7012</v>
      </c>
      <c r="B3044" s="526" t="s">
        <v>7011</v>
      </c>
      <c r="C3044" s="527">
        <v>846.0</v>
      </c>
      <c r="D3044" s="527">
        <v>1383.71</v>
      </c>
      <c r="E3044" s="528">
        <v>1.6356</v>
      </c>
      <c r="F3044" s="36" t="s">
        <v>7798</v>
      </c>
      <c r="G3044" s="125" t="s">
        <v>913</v>
      </c>
      <c r="H3044" s="125" t="s">
        <v>7801</v>
      </c>
      <c r="I3044" t="s">
        <v>7815</v>
      </c>
    </row>
    <row r="3045">
      <c r="A3045" s="125" t="s">
        <v>7014</v>
      </c>
      <c r="B3045" s="526" t="s">
        <v>7013</v>
      </c>
      <c r="C3045" s="527">
        <v>378.0</v>
      </c>
      <c r="D3045" s="527">
        <v>619.77</v>
      </c>
      <c r="E3045" s="528">
        <v>1.6396</v>
      </c>
      <c r="F3045" s="36" t="s">
        <v>7798</v>
      </c>
      <c r="G3045" s="125" t="s">
        <v>913</v>
      </c>
      <c r="H3045" s="125" t="s">
        <v>7801</v>
      </c>
      <c r="I3045" t="s">
        <v>7815</v>
      </c>
    </row>
    <row r="3046">
      <c r="A3046" s="125" t="s">
        <v>7016</v>
      </c>
      <c r="B3046" s="526" t="s">
        <v>7015</v>
      </c>
      <c r="C3046" s="527">
        <v>0.0</v>
      </c>
      <c r="D3046" s="527">
        <v>0.0</v>
      </c>
      <c r="F3046" s="36" t="s">
        <v>7798</v>
      </c>
      <c r="G3046" s="125" t="s">
        <v>893</v>
      </c>
      <c r="H3046" s="125" t="s">
        <v>7801</v>
      </c>
      <c r="I3046" t="s">
        <v>7815</v>
      </c>
    </row>
    <row r="3047">
      <c r="A3047" s="125" t="s">
        <v>7018</v>
      </c>
      <c r="B3047" s="526" t="s">
        <v>7017</v>
      </c>
      <c r="C3047" s="527">
        <v>276.0</v>
      </c>
      <c r="D3047" s="527">
        <v>453.25</v>
      </c>
      <c r="E3047" s="528">
        <v>1.6422</v>
      </c>
      <c r="F3047" s="36" t="s">
        <v>7798</v>
      </c>
      <c r="G3047" s="125" t="s">
        <v>913</v>
      </c>
      <c r="H3047" s="125" t="s">
        <v>7801</v>
      </c>
      <c r="I3047" t="s">
        <v>7815</v>
      </c>
    </row>
    <row r="3048">
      <c r="A3048" s="125" t="s">
        <v>7020</v>
      </c>
      <c r="B3048" s="526" t="s">
        <v>7019</v>
      </c>
      <c r="C3048" s="527">
        <v>0.0</v>
      </c>
      <c r="D3048" s="527">
        <v>0.0</v>
      </c>
      <c r="F3048" s="36" t="s">
        <v>7798</v>
      </c>
      <c r="G3048" s="125" t="s">
        <v>893</v>
      </c>
      <c r="H3048" s="125" t="s">
        <v>7801</v>
      </c>
      <c r="I3048" t="s">
        <v>7815</v>
      </c>
    </row>
    <row r="3049">
      <c r="A3049" s="125" t="s">
        <v>7022</v>
      </c>
      <c r="B3049" s="526" t="s">
        <v>7021</v>
      </c>
      <c r="C3049" s="527">
        <v>3.0</v>
      </c>
      <c r="D3049" s="527">
        <v>239.64</v>
      </c>
      <c r="E3049" s="528">
        <v>79.88</v>
      </c>
      <c r="F3049" s="36" t="s">
        <v>7798</v>
      </c>
      <c r="G3049" s="125" t="s">
        <v>913</v>
      </c>
      <c r="H3049" s="125" t="s">
        <v>7801</v>
      </c>
      <c r="I3049" t="s">
        <v>7815</v>
      </c>
    </row>
    <row r="3050">
      <c r="A3050" s="125" t="s">
        <v>7024</v>
      </c>
      <c r="B3050" s="526" t="s">
        <v>7023</v>
      </c>
      <c r="C3050" s="527">
        <v>900.0</v>
      </c>
      <c r="D3050" s="527">
        <v>1472.02</v>
      </c>
      <c r="E3050" s="528">
        <v>1.6356</v>
      </c>
      <c r="F3050" s="36" t="s">
        <v>7798</v>
      </c>
      <c r="G3050" s="125" t="s">
        <v>913</v>
      </c>
      <c r="H3050" s="125" t="s">
        <v>7801</v>
      </c>
      <c r="I3050" t="s">
        <v>7815</v>
      </c>
    </row>
    <row r="3051">
      <c r="A3051" s="125" t="s">
        <v>7034</v>
      </c>
      <c r="B3051" s="526" t="s">
        <v>7033</v>
      </c>
      <c r="C3051" s="527">
        <v>0.0</v>
      </c>
      <c r="D3051" s="527">
        <v>0.0</v>
      </c>
      <c r="F3051" s="36" t="s">
        <v>7798</v>
      </c>
      <c r="G3051" s="125" t="s">
        <v>893</v>
      </c>
      <c r="H3051" s="125" t="s">
        <v>7799</v>
      </c>
      <c r="I3051" t="s">
        <v>7811</v>
      </c>
    </row>
    <row r="3052">
      <c r="A3052" s="125" t="s">
        <v>7036</v>
      </c>
      <c r="B3052" s="526" t="s">
        <v>7035</v>
      </c>
      <c r="C3052" s="527">
        <v>0.0</v>
      </c>
      <c r="D3052" s="527">
        <v>0.0</v>
      </c>
      <c r="F3052" s="36" t="s">
        <v>7798</v>
      </c>
      <c r="G3052" s="125" t="s">
        <v>893</v>
      </c>
      <c r="H3052" s="125" t="s">
        <v>7801</v>
      </c>
      <c r="I3052" t="s">
        <v>7856</v>
      </c>
    </row>
    <row r="3053">
      <c r="A3053" s="125" t="s">
        <v>7038</v>
      </c>
      <c r="B3053" s="526" t="s">
        <v>7037</v>
      </c>
      <c r="C3053" s="527">
        <v>0.0</v>
      </c>
      <c r="D3053" s="527">
        <v>0.0</v>
      </c>
      <c r="F3053" s="36" t="s">
        <v>7798</v>
      </c>
      <c r="G3053" s="125" t="s">
        <v>893</v>
      </c>
      <c r="H3053" s="125" t="s">
        <v>7799</v>
      </c>
      <c r="I3053" t="s">
        <v>7811</v>
      </c>
    </row>
    <row r="3054">
      <c r="A3054" s="125" t="s">
        <v>7040</v>
      </c>
      <c r="B3054" s="526" t="s">
        <v>7039</v>
      </c>
      <c r="C3054" s="527">
        <v>0.0</v>
      </c>
      <c r="D3054" s="527">
        <v>0.0</v>
      </c>
      <c r="F3054" s="36" t="s">
        <v>7798</v>
      </c>
      <c r="G3054" s="125" t="s">
        <v>893</v>
      </c>
      <c r="H3054" s="125" t="s">
        <v>7799</v>
      </c>
      <c r="I3054" t="s">
        <v>7811</v>
      </c>
    </row>
    <row r="3055">
      <c r="A3055" s="125" t="s">
        <v>606</v>
      </c>
      <c r="B3055" s="526" t="s">
        <v>607</v>
      </c>
      <c r="C3055" s="527">
        <v>0.0</v>
      </c>
      <c r="D3055" s="527">
        <v>0.0</v>
      </c>
      <c r="F3055" s="36" t="s">
        <v>7798</v>
      </c>
      <c r="G3055" s="125" t="s">
        <v>913</v>
      </c>
      <c r="H3055" s="125" t="s">
        <v>569</v>
      </c>
      <c r="I3055" t="s">
        <v>414</v>
      </c>
    </row>
    <row r="3056">
      <c r="A3056" s="125" t="s">
        <v>415</v>
      </c>
      <c r="B3056" s="526" t="s">
        <v>416</v>
      </c>
      <c r="C3056" s="527">
        <v>183.0</v>
      </c>
      <c r="D3056" s="527">
        <v>1459.61</v>
      </c>
      <c r="E3056" s="528">
        <v>7.976</v>
      </c>
      <c r="F3056" s="36" t="s">
        <v>7798</v>
      </c>
      <c r="G3056" s="125" t="s">
        <v>913</v>
      </c>
      <c r="H3056" s="125" t="s">
        <v>569</v>
      </c>
      <c r="I3056" t="s">
        <v>414</v>
      </c>
    </row>
    <row r="3057">
      <c r="A3057" s="125" t="s">
        <v>608</v>
      </c>
      <c r="B3057" s="526" t="s">
        <v>609</v>
      </c>
      <c r="C3057" s="527">
        <v>53.0</v>
      </c>
      <c r="D3057" s="527">
        <v>434.83</v>
      </c>
      <c r="E3057" s="528">
        <v>8.2043</v>
      </c>
      <c r="F3057" s="36" t="s">
        <v>7798</v>
      </c>
      <c r="G3057" s="125" t="s">
        <v>913</v>
      </c>
      <c r="H3057" s="125" t="s">
        <v>569</v>
      </c>
      <c r="I3057" t="s">
        <v>414</v>
      </c>
    </row>
    <row r="3058">
      <c r="A3058" s="125" t="s">
        <v>421</v>
      </c>
      <c r="B3058" s="526" t="s">
        <v>422</v>
      </c>
      <c r="C3058" s="527">
        <v>271.0</v>
      </c>
      <c r="D3058" s="527">
        <v>2156.06</v>
      </c>
      <c r="E3058" s="528">
        <v>7.9559</v>
      </c>
      <c r="F3058" s="36" t="s">
        <v>7798</v>
      </c>
      <c r="G3058" s="125" t="s">
        <v>913</v>
      </c>
      <c r="H3058" s="125" t="s">
        <v>569</v>
      </c>
      <c r="I3058" t="s">
        <v>414</v>
      </c>
    </row>
    <row r="3059">
      <c r="A3059" s="125" t="s">
        <v>425</v>
      </c>
      <c r="B3059" s="526" t="s">
        <v>426</v>
      </c>
      <c r="C3059" s="527">
        <v>263.0</v>
      </c>
      <c r="D3059" s="527">
        <v>2097.84</v>
      </c>
      <c r="E3059" s="528">
        <v>7.9766</v>
      </c>
      <c r="F3059" s="36" t="s">
        <v>7798</v>
      </c>
      <c r="G3059" s="125" t="s">
        <v>913</v>
      </c>
      <c r="H3059" s="125" t="s">
        <v>569</v>
      </c>
      <c r="I3059" t="s">
        <v>414</v>
      </c>
    </row>
    <row r="3060">
      <c r="A3060" s="125" t="s">
        <v>417</v>
      </c>
      <c r="B3060" s="526" t="s">
        <v>418</v>
      </c>
      <c r="C3060" s="527">
        <v>151.0</v>
      </c>
      <c r="D3060" s="527">
        <v>1258.1</v>
      </c>
      <c r="E3060" s="528">
        <v>8.3318</v>
      </c>
      <c r="F3060" s="36" t="s">
        <v>7798</v>
      </c>
      <c r="G3060" s="125" t="s">
        <v>913</v>
      </c>
      <c r="H3060" s="125" t="s">
        <v>569</v>
      </c>
      <c r="I3060" t="s">
        <v>414</v>
      </c>
    </row>
    <row r="3061">
      <c r="A3061" s="125" t="s">
        <v>419</v>
      </c>
      <c r="B3061" s="526" t="s">
        <v>420</v>
      </c>
      <c r="C3061" s="527">
        <v>95.0</v>
      </c>
      <c r="D3061" s="527">
        <v>792.91</v>
      </c>
      <c r="E3061" s="528">
        <v>8.3464</v>
      </c>
      <c r="F3061" s="36" t="s">
        <v>7798</v>
      </c>
      <c r="G3061" s="125" t="s">
        <v>913</v>
      </c>
      <c r="H3061" s="125" t="s">
        <v>569</v>
      </c>
      <c r="I3061" t="s">
        <v>414</v>
      </c>
    </row>
    <row r="3062">
      <c r="A3062" s="125" t="s">
        <v>423</v>
      </c>
      <c r="B3062" s="526" t="s">
        <v>424</v>
      </c>
      <c r="C3062" s="527">
        <v>270.0</v>
      </c>
      <c r="D3062" s="527">
        <v>2153.61</v>
      </c>
      <c r="E3062" s="528">
        <v>7.9763</v>
      </c>
      <c r="F3062" s="36" t="s">
        <v>7798</v>
      </c>
      <c r="G3062" s="125" t="s">
        <v>913</v>
      </c>
      <c r="H3062" s="125" t="s">
        <v>7801</v>
      </c>
      <c r="I3062" t="s">
        <v>414</v>
      </c>
    </row>
    <row r="3063">
      <c r="A3063" s="125" t="s">
        <v>7054</v>
      </c>
      <c r="B3063" s="526" t="s">
        <v>7053</v>
      </c>
      <c r="C3063" s="527">
        <v>650.0</v>
      </c>
      <c r="D3063" s="527">
        <v>0.0</v>
      </c>
      <c r="E3063" s="528">
        <v>0.0</v>
      </c>
      <c r="F3063" s="36" t="s">
        <v>7798</v>
      </c>
      <c r="G3063" s="125" t="s">
        <v>913</v>
      </c>
      <c r="H3063" s="125" t="s">
        <v>7828</v>
      </c>
      <c r="I3063" t="s">
        <v>414</v>
      </c>
    </row>
    <row r="3064">
      <c r="A3064" s="125" t="s">
        <v>7058</v>
      </c>
      <c r="B3064" s="526" t="s">
        <v>7057</v>
      </c>
      <c r="C3064" s="527">
        <v>0.0</v>
      </c>
      <c r="D3064" s="527">
        <v>0.0</v>
      </c>
      <c r="F3064" s="36" t="s">
        <v>7807</v>
      </c>
      <c r="G3064" s="125" t="s">
        <v>893</v>
      </c>
      <c r="H3064" s="125" t="s">
        <v>7799</v>
      </c>
    </row>
    <row r="3065">
      <c r="A3065" s="125" t="s">
        <v>441</v>
      </c>
      <c r="B3065" s="526" t="s">
        <v>442</v>
      </c>
      <c r="C3065" s="527">
        <v>437.0</v>
      </c>
      <c r="D3065" s="527">
        <v>2054.0</v>
      </c>
      <c r="E3065" s="528">
        <v>4.7002</v>
      </c>
      <c r="F3065" s="36" t="s">
        <v>7798</v>
      </c>
      <c r="G3065" s="125" t="s">
        <v>913</v>
      </c>
      <c r="H3065" s="125" t="s">
        <v>7809</v>
      </c>
      <c r="I3065" t="s">
        <v>438</v>
      </c>
    </row>
    <row r="3066">
      <c r="A3066" s="125" t="s">
        <v>7062</v>
      </c>
      <c r="B3066" s="526" t="s">
        <v>7061</v>
      </c>
      <c r="C3066" s="527">
        <v>0.0</v>
      </c>
      <c r="D3066" s="527">
        <v>0.0</v>
      </c>
      <c r="F3066" s="36" t="s">
        <v>7798</v>
      </c>
      <c r="G3066" s="125" t="s">
        <v>893</v>
      </c>
      <c r="H3066" s="125" t="s">
        <v>7799</v>
      </c>
      <c r="I3066" t="s">
        <v>7906</v>
      </c>
    </row>
    <row r="3067">
      <c r="A3067" s="125" t="s">
        <v>7066</v>
      </c>
      <c r="B3067" s="526" t="s">
        <v>7065</v>
      </c>
      <c r="C3067" s="527">
        <v>0.0</v>
      </c>
      <c r="D3067" s="527">
        <v>0.0</v>
      </c>
      <c r="F3067" s="36" t="s">
        <v>7798</v>
      </c>
      <c r="G3067" s="125" t="s">
        <v>893</v>
      </c>
      <c r="H3067" s="125" t="s">
        <v>7799</v>
      </c>
      <c r="I3067" t="s">
        <v>7906</v>
      </c>
    </row>
    <row r="3068">
      <c r="A3068" s="125" t="s">
        <v>7070</v>
      </c>
      <c r="B3068" s="526" t="s">
        <v>7069</v>
      </c>
      <c r="C3068" s="527">
        <v>0.0</v>
      </c>
      <c r="D3068" s="527">
        <v>0.0</v>
      </c>
      <c r="F3068" s="36" t="s">
        <v>7798</v>
      </c>
      <c r="G3068" s="125" t="s">
        <v>893</v>
      </c>
      <c r="H3068" s="125" t="s">
        <v>7801</v>
      </c>
      <c r="I3068" t="s">
        <v>7818</v>
      </c>
    </row>
    <row r="3069">
      <c r="A3069" s="125" t="s">
        <v>7072</v>
      </c>
      <c r="B3069" s="526" t="s">
        <v>7071</v>
      </c>
      <c r="C3069" s="527">
        <v>0.0</v>
      </c>
      <c r="D3069" s="527">
        <v>0.0</v>
      </c>
      <c r="F3069" s="36" t="s">
        <v>7798</v>
      </c>
      <c r="G3069" s="125" t="s">
        <v>893</v>
      </c>
      <c r="H3069" s="125" t="s">
        <v>7799</v>
      </c>
      <c r="I3069" t="s">
        <v>45</v>
      </c>
    </row>
    <row r="3070">
      <c r="A3070" s="125" t="s">
        <v>7074</v>
      </c>
      <c r="B3070" s="526" t="s">
        <v>7073</v>
      </c>
      <c r="C3070" s="527">
        <v>0.0</v>
      </c>
      <c r="D3070" s="527">
        <v>0.0</v>
      </c>
      <c r="F3070" s="36" t="s">
        <v>7798</v>
      </c>
      <c r="G3070" s="125" t="s">
        <v>893</v>
      </c>
      <c r="H3070" s="125" t="s">
        <v>7801</v>
      </c>
      <c r="I3070" t="s">
        <v>7806</v>
      </c>
    </row>
    <row r="3071">
      <c r="A3071" s="125" t="s">
        <v>7076</v>
      </c>
      <c r="B3071" s="526" t="s">
        <v>7075</v>
      </c>
      <c r="C3071" s="527">
        <v>0.0</v>
      </c>
      <c r="D3071" s="527">
        <v>0.0</v>
      </c>
      <c r="F3071" s="36" t="s">
        <v>7798</v>
      </c>
      <c r="G3071" s="125" t="s">
        <v>913</v>
      </c>
      <c r="H3071" s="125" t="s">
        <v>7801</v>
      </c>
      <c r="I3071" t="s">
        <v>7806</v>
      </c>
    </row>
    <row r="3072">
      <c r="A3072" s="125" t="s">
        <v>7078</v>
      </c>
      <c r="B3072" s="526" t="s">
        <v>7077</v>
      </c>
      <c r="C3072" s="527">
        <v>0.0</v>
      </c>
      <c r="D3072" s="527">
        <v>0.0</v>
      </c>
      <c r="F3072" s="36" t="s">
        <v>7798</v>
      </c>
      <c r="G3072" s="125" t="s">
        <v>913</v>
      </c>
      <c r="H3072" s="125" t="s">
        <v>7801</v>
      </c>
      <c r="I3072" t="s">
        <v>7806</v>
      </c>
    </row>
    <row r="3073">
      <c r="A3073" s="125" t="s">
        <v>7080</v>
      </c>
      <c r="B3073" s="526" t="s">
        <v>7079</v>
      </c>
      <c r="C3073" s="527">
        <v>0.0</v>
      </c>
      <c r="D3073" s="527">
        <v>0.0</v>
      </c>
      <c r="F3073" s="36" t="s">
        <v>7798</v>
      </c>
      <c r="G3073" s="125" t="s">
        <v>913</v>
      </c>
      <c r="H3073" s="125" t="s">
        <v>7801</v>
      </c>
      <c r="I3073" t="s">
        <v>7806</v>
      </c>
    </row>
    <row r="3074">
      <c r="A3074" s="125" t="s">
        <v>7082</v>
      </c>
      <c r="B3074" s="526" t="s">
        <v>7081</v>
      </c>
      <c r="C3074" s="527">
        <v>516.0</v>
      </c>
      <c r="D3074" s="527">
        <v>197.56</v>
      </c>
      <c r="E3074" s="528">
        <v>0.3829</v>
      </c>
      <c r="F3074" s="36" t="s">
        <v>7798</v>
      </c>
      <c r="G3074" s="125" t="s">
        <v>913</v>
      </c>
      <c r="H3074" s="125" t="s">
        <v>7801</v>
      </c>
      <c r="I3074" t="s">
        <v>7806</v>
      </c>
    </row>
    <row r="3075">
      <c r="A3075" s="125" t="s">
        <v>7084</v>
      </c>
      <c r="B3075" s="526" t="s">
        <v>7083</v>
      </c>
      <c r="C3075" s="527">
        <v>324.0</v>
      </c>
      <c r="D3075" s="527">
        <v>159.73</v>
      </c>
      <c r="E3075" s="528">
        <v>0.493</v>
      </c>
      <c r="F3075" s="36" t="s">
        <v>7798</v>
      </c>
      <c r="G3075" s="125" t="s">
        <v>913</v>
      </c>
      <c r="H3075" s="125" t="s">
        <v>7801</v>
      </c>
      <c r="I3075" t="s">
        <v>7806</v>
      </c>
    </row>
    <row r="3076">
      <c r="A3076" s="125" t="s">
        <v>7086</v>
      </c>
      <c r="B3076" s="526" t="s">
        <v>7085</v>
      </c>
      <c r="C3076" s="527">
        <v>504.0</v>
      </c>
      <c r="D3076" s="527">
        <v>190.05</v>
      </c>
      <c r="E3076" s="528">
        <v>0.3771</v>
      </c>
      <c r="F3076" s="36" t="s">
        <v>7798</v>
      </c>
      <c r="G3076" s="125" t="s">
        <v>913</v>
      </c>
      <c r="H3076" s="125" t="s">
        <v>7801</v>
      </c>
      <c r="I3076" t="s">
        <v>7806</v>
      </c>
    </row>
    <row r="3077">
      <c r="A3077" s="125" t="s">
        <v>7088</v>
      </c>
      <c r="B3077" s="526" t="s">
        <v>7087</v>
      </c>
      <c r="C3077" s="527">
        <v>252.0</v>
      </c>
      <c r="D3077" s="527">
        <v>124.1</v>
      </c>
      <c r="E3077" s="528">
        <v>0.4925</v>
      </c>
      <c r="F3077" s="36" t="s">
        <v>7798</v>
      </c>
      <c r="G3077" s="125" t="s">
        <v>913</v>
      </c>
      <c r="H3077" s="125" t="s">
        <v>7801</v>
      </c>
      <c r="I3077" t="s">
        <v>7806</v>
      </c>
    </row>
    <row r="3078">
      <c r="A3078" s="125" t="s">
        <v>7090</v>
      </c>
      <c r="B3078" s="526" t="s">
        <v>7089</v>
      </c>
      <c r="C3078" s="527">
        <v>396.0</v>
      </c>
      <c r="D3078" s="527">
        <v>151.58</v>
      </c>
      <c r="E3078" s="528">
        <v>0.3828</v>
      </c>
      <c r="F3078" s="36" t="s">
        <v>7798</v>
      </c>
      <c r="G3078" s="125" t="s">
        <v>913</v>
      </c>
      <c r="H3078" s="125" t="s">
        <v>7801</v>
      </c>
      <c r="I3078" t="s">
        <v>7806</v>
      </c>
    </row>
    <row r="3079">
      <c r="A3079" s="125" t="s">
        <v>7092</v>
      </c>
      <c r="B3079" s="526" t="s">
        <v>7091</v>
      </c>
      <c r="C3079" s="527">
        <v>42.0</v>
      </c>
      <c r="D3079" s="527">
        <v>15.85</v>
      </c>
      <c r="E3079" s="528">
        <v>0.3774</v>
      </c>
      <c r="F3079" s="36" t="s">
        <v>7798</v>
      </c>
      <c r="G3079" s="125" t="s">
        <v>913</v>
      </c>
      <c r="H3079" s="125" t="s">
        <v>7801</v>
      </c>
      <c r="I3079" t="s">
        <v>7806</v>
      </c>
    </row>
    <row r="3080">
      <c r="A3080" s="125" t="s">
        <v>7094</v>
      </c>
      <c r="B3080" s="526" t="s">
        <v>7093</v>
      </c>
      <c r="C3080" s="527">
        <v>270.0</v>
      </c>
      <c r="D3080" s="527">
        <v>133.08</v>
      </c>
      <c r="E3080" s="528">
        <v>0.4929</v>
      </c>
      <c r="F3080" s="36" t="s">
        <v>7798</v>
      </c>
      <c r="G3080" s="125" t="s">
        <v>913</v>
      </c>
      <c r="H3080" s="125" t="s">
        <v>7801</v>
      </c>
      <c r="I3080" t="s">
        <v>7806</v>
      </c>
    </row>
    <row r="3081">
      <c r="A3081" s="125" t="s">
        <v>7096</v>
      </c>
      <c r="B3081" s="526" t="s">
        <v>7095</v>
      </c>
      <c r="C3081" s="527">
        <v>0.0</v>
      </c>
      <c r="D3081" s="527">
        <v>0.0</v>
      </c>
      <c r="F3081" s="36" t="s">
        <v>7798</v>
      </c>
      <c r="G3081" s="125" t="s">
        <v>913</v>
      </c>
      <c r="H3081" s="125" t="s">
        <v>7801</v>
      </c>
      <c r="I3081" t="s">
        <v>7806</v>
      </c>
    </row>
    <row r="3082">
      <c r="A3082" s="125" t="s">
        <v>7098</v>
      </c>
      <c r="B3082" s="526" t="s">
        <v>7097</v>
      </c>
      <c r="C3082" s="527">
        <v>0.0</v>
      </c>
      <c r="D3082" s="527">
        <v>0.0</v>
      </c>
      <c r="F3082" s="36" t="s">
        <v>7807</v>
      </c>
      <c r="G3082" s="125" t="s">
        <v>913</v>
      </c>
      <c r="H3082" s="125" t="s">
        <v>7801</v>
      </c>
      <c r="I3082" t="s">
        <v>7806</v>
      </c>
    </row>
    <row r="3083">
      <c r="A3083" s="125" t="s">
        <v>7100</v>
      </c>
      <c r="B3083" s="526" t="s">
        <v>7099</v>
      </c>
      <c r="C3083" s="527">
        <v>0.0</v>
      </c>
      <c r="D3083" s="527">
        <v>0.0</v>
      </c>
      <c r="F3083" s="36" t="s">
        <v>7798</v>
      </c>
      <c r="G3083" s="125" t="s">
        <v>893</v>
      </c>
      <c r="H3083" s="125" t="s">
        <v>7799</v>
      </c>
      <c r="I3083" t="s">
        <v>356</v>
      </c>
    </row>
    <row r="3084">
      <c r="A3084" s="125" t="s">
        <v>7105</v>
      </c>
      <c r="B3084" s="526">
        <v>78358.0</v>
      </c>
      <c r="C3084" s="527">
        <v>0.0</v>
      </c>
      <c r="D3084" s="527">
        <v>0.0</v>
      </c>
      <c r="F3084" s="36" t="s">
        <v>7798</v>
      </c>
      <c r="G3084" s="125" t="s">
        <v>893</v>
      </c>
      <c r="H3084" s="125" t="s">
        <v>7799</v>
      </c>
      <c r="I3084" t="s">
        <v>7866</v>
      </c>
    </row>
    <row r="3085">
      <c r="A3085" s="125" t="s">
        <v>7106</v>
      </c>
      <c r="B3085" s="526">
        <v>78354.0</v>
      </c>
      <c r="C3085" s="527">
        <v>0.0</v>
      </c>
      <c r="D3085" s="527">
        <v>0.0</v>
      </c>
      <c r="F3085" s="36" t="s">
        <v>7798</v>
      </c>
      <c r="G3085" s="125" t="s">
        <v>893</v>
      </c>
      <c r="H3085" s="125" t="s">
        <v>7799</v>
      </c>
      <c r="I3085" t="s">
        <v>7866</v>
      </c>
    </row>
    <row r="3086">
      <c r="A3086" s="125" t="s">
        <v>7108</v>
      </c>
      <c r="B3086" s="526" t="s">
        <v>7107</v>
      </c>
      <c r="C3086" s="527">
        <v>1.0</v>
      </c>
      <c r="D3086" s="527">
        <v>0.0</v>
      </c>
      <c r="E3086" s="528">
        <v>0.0</v>
      </c>
      <c r="F3086" s="36" t="s">
        <v>7798</v>
      </c>
      <c r="G3086" s="125" t="s">
        <v>913</v>
      </c>
      <c r="H3086" s="125" t="s">
        <v>7821</v>
      </c>
    </row>
    <row r="3087">
      <c r="A3087" s="125" t="s">
        <v>7109</v>
      </c>
      <c r="B3087" s="526">
        <v>78799.0</v>
      </c>
      <c r="C3087" s="527">
        <v>0.0</v>
      </c>
      <c r="D3087" s="527">
        <v>0.0</v>
      </c>
      <c r="F3087" s="36" t="s">
        <v>7798</v>
      </c>
      <c r="G3087" s="125" t="s">
        <v>893</v>
      </c>
      <c r="H3087" s="125" t="s">
        <v>7799</v>
      </c>
      <c r="I3087" t="s">
        <v>7866</v>
      </c>
    </row>
    <row r="3088">
      <c r="A3088" s="125" t="s">
        <v>7110</v>
      </c>
      <c r="B3088" s="526">
        <v>78795.0</v>
      </c>
      <c r="C3088" s="527">
        <v>0.0</v>
      </c>
      <c r="D3088" s="527">
        <v>0.0</v>
      </c>
      <c r="F3088" s="36" t="s">
        <v>7798</v>
      </c>
      <c r="G3088" s="125" t="s">
        <v>893</v>
      </c>
      <c r="H3088" s="125" t="s">
        <v>7799</v>
      </c>
      <c r="I3088" t="s">
        <v>7866</v>
      </c>
    </row>
    <row r="3089">
      <c r="A3089" s="125" t="s">
        <v>7112</v>
      </c>
      <c r="B3089" s="526" t="s">
        <v>7111</v>
      </c>
      <c r="C3089" s="527">
        <v>0.0</v>
      </c>
      <c r="D3089" s="527">
        <v>0.0</v>
      </c>
      <c r="F3089" s="36" t="s">
        <v>7798</v>
      </c>
      <c r="G3089" s="125" t="s">
        <v>893</v>
      </c>
      <c r="H3089" s="125" t="s">
        <v>7801</v>
      </c>
      <c r="I3089" t="s">
        <v>45</v>
      </c>
    </row>
    <row r="3090">
      <c r="A3090" s="125" t="s">
        <v>7114</v>
      </c>
      <c r="B3090" s="526" t="s">
        <v>7113</v>
      </c>
      <c r="C3090" s="527">
        <v>304.0</v>
      </c>
      <c r="D3090" s="527">
        <v>7192.23</v>
      </c>
      <c r="E3090" s="528">
        <v>23.6587</v>
      </c>
      <c r="F3090" s="36" t="s">
        <v>7798</v>
      </c>
      <c r="G3090" s="125" t="s">
        <v>913</v>
      </c>
      <c r="H3090" s="125" t="s">
        <v>7808</v>
      </c>
      <c r="I3090" t="s">
        <v>45</v>
      </c>
    </row>
    <row r="3091">
      <c r="A3091" s="125" t="s">
        <v>7116</v>
      </c>
      <c r="B3091" s="526" t="s">
        <v>7115</v>
      </c>
      <c r="C3091" s="527">
        <v>0.0</v>
      </c>
      <c r="D3091" s="527">
        <v>0.0</v>
      </c>
      <c r="F3091" s="36" t="s">
        <v>7798</v>
      </c>
      <c r="G3091" s="125" t="s">
        <v>913</v>
      </c>
      <c r="H3091" s="125" t="s">
        <v>7801</v>
      </c>
    </row>
    <row r="3092">
      <c r="A3092" s="125" t="s">
        <v>7118</v>
      </c>
      <c r="B3092" s="526" t="s">
        <v>7117</v>
      </c>
      <c r="C3092" s="527">
        <v>6.0</v>
      </c>
      <c r="D3092" s="527">
        <v>2.88</v>
      </c>
      <c r="E3092" s="528">
        <v>0.48</v>
      </c>
      <c r="F3092" s="36" t="s">
        <v>7798</v>
      </c>
      <c r="G3092" s="125" t="s">
        <v>913</v>
      </c>
      <c r="H3092" s="125" t="s">
        <v>7821</v>
      </c>
      <c r="I3092" t="s">
        <v>7834</v>
      </c>
    </row>
    <row r="3093">
      <c r="A3093" s="125" t="s">
        <v>7120</v>
      </c>
      <c r="B3093" s="526" t="s">
        <v>7119</v>
      </c>
      <c r="C3093" s="527">
        <v>0.0</v>
      </c>
      <c r="D3093" s="527">
        <v>0.0</v>
      </c>
      <c r="F3093" s="36" t="s">
        <v>7798</v>
      </c>
      <c r="G3093" s="125" t="s">
        <v>893</v>
      </c>
      <c r="H3093" s="125" t="s">
        <v>7799</v>
      </c>
      <c r="I3093" t="s">
        <v>7907</v>
      </c>
    </row>
    <row r="3094">
      <c r="A3094" s="125" t="s">
        <v>7122</v>
      </c>
      <c r="B3094" s="526" t="s">
        <v>7121</v>
      </c>
      <c r="C3094" s="527">
        <v>0.0</v>
      </c>
      <c r="D3094" s="527">
        <v>0.0</v>
      </c>
      <c r="F3094" s="36" t="s">
        <v>7807</v>
      </c>
      <c r="G3094" s="125" t="s">
        <v>893</v>
      </c>
      <c r="H3094" s="125" t="s">
        <v>7799</v>
      </c>
    </row>
    <row r="3095">
      <c r="A3095" s="125" t="s">
        <v>7124</v>
      </c>
      <c r="B3095" s="526" t="s">
        <v>7123</v>
      </c>
      <c r="C3095" s="527">
        <v>0.0</v>
      </c>
      <c r="D3095" s="527">
        <v>0.0</v>
      </c>
      <c r="F3095" s="36" t="s">
        <v>7798</v>
      </c>
      <c r="G3095" s="125" t="s">
        <v>893</v>
      </c>
      <c r="H3095" s="125" t="s">
        <v>7801</v>
      </c>
      <c r="I3095" t="s">
        <v>7907</v>
      </c>
    </row>
    <row r="3096">
      <c r="A3096" s="125" t="s">
        <v>7126</v>
      </c>
      <c r="B3096" s="526" t="s">
        <v>7125</v>
      </c>
      <c r="C3096" s="527">
        <v>0.0</v>
      </c>
      <c r="D3096" s="527">
        <v>0.0</v>
      </c>
      <c r="F3096" s="36" t="s">
        <v>7807</v>
      </c>
      <c r="G3096" s="125" t="s">
        <v>893</v>
      </c>
      <c r="H3096" s="125" t="s">
        <v>7799</v>
      </c>
    </row>
    <row r="3097">
      <c r="A3097" s="125" t="s">
        <v>7128</v>
      </c>
      <c r="B3097" s="526" t="s">
        <v>7127</v>
      </c>
      <c r="C3097" s="527">
        <v>0.0</v>
      </c>
      <c r="D3097" s="527">
        <v>0.0</v>
      </c>
      <c r="F3097" s="36" t="s">
        <v>7798</v>
      </c>
      <c r="G3097" s="125" t="s">
        <v>913</v>
      </c>
      <c r="H3097" s="125" t="s">
        <v>7801</v>
      </c>
      <c r="I3097" t="s">
        <v>7907</v>
      </c>
    </row>
    <row r="3098">
      <c r="A3098" s="125" t="s">
        <v>7130</v>
      </c>
      <c r="B3098" s="526" t="s">
        <v>7129</v>
      </c>
      <c r="C3098" s="527">
        <v>0.0</v>
      </c>
      <c r="D3098" s="527">
        <v>0.0</v>
      </c>
      <c r="F3098" s="36" t="s">
        <v>7798</v>
      </c>
      <c r="G3098" s="125" t="s">
        <v>893</v>
      </c>
      <c r="H3098" s="125" t="s">
        <v>7799</v>
      </c>
    </row>
    <row r="3099">
      <c r="A3099" s="125" t="s">
        <v>7138</v>
      </c>
      <c r="B3099" s="526" t="s">
        <v>7137</v>
      </c>
      <c r="C3099" s="527">
        <v>0.0</v>
      </c>
      <c r="D3099" s="527">
        <v>0.0</v>
      </c>
      <c r="F3099" s="36" t="s">
        <v>7798</v>
      </c>
      <c r="G3099" s="125" t="s">
        <v>893</v>
      </c>
      <c r="H3099" s="125" t="s">
        <v>7799</v>
      </c>
      <c r="I3099" t="s">
        <v>7907</v>
      </c>
    </row>
    <row r="3100">
      <c r="A3100" t="s">
        <v>7146</v>
      </c>
      <c r="B3100" s="526" t="s">
        <v>7145</v>
      </c>
      <c r="C3100" s="527">
        <v>15.0</v>
      </c>
      <c r="D3100" s="527">
        <v>37.05</v>
      </c>
      <c r="E3100" s="528">
        <v>2.47</v>
      </c>
      <c r="F3100" s="36" t="s">
        <v>7798</v>
      </c>
      <c r="G3100" s="36" t="s">
        <v>913</v>
      </c>
      <c r="I3100" t="s">
        <v>45</v>
      </c>
    </row>
    <row r="3101">
      <c r="A3101" t="s">
        <v>7148</v>
      </c>
      <c r="B3101" s="526" t="s">
        <v>7147</v>
      </c>
      <c r="C3101" s="527">
        <v>4000.0</v>
      </c>
      <c r="D3101" s="527">
        <v>721.44</v>
      </c>
      <c r="E3101" s="528">
        <v>0.1804</v>
      </c>
      <c r="F3101" s="36" t="s">
        <v>7827</v>
      </c>
      <c r="G3101" s="36" t="s">
        <v>913</v>
      </c>
      <c r="H3101" s="125" t="s">
        <v>7840</v>
      </c>
    </row>
    <row r="3102">
      <c r="A3102" t="s">
        <v>7152</v>
      </c>
      <c r="B3102" s="526" t="s">
        <v>7151</v>
      </c>
      <c r="C3102" s="527">
        <v>1.0</v>
      </c>
      <c r="D3102" s="527">
        <v>0.0</v>
      </c>
      <c r="E3102" s="528">
        <v>0.0</v>
      </c>
      <c r="F3102" s="36" t="s">
        <v>7798</v>
      </c>
      <c r="G3102" s="36" t="s">
        <v>913</v>
      </c>
      <c r="H3102" s="125" t="s">
        <v>7799</v>
      </c>
      <c r="I3102" t="s">
        <v>45</v>
      </c>
    </row>
    <row r="3103">
      <c r="A3103" t="s">
        <v>490</v>
      </c>
      <c r="B3103" s="526" t="s">
        <v>491</v>
      </c>
      <c r="C3103" s="527">
        <v>0.0</v>
      </c>
      <c r="D3103" s="527">
        <v>0.0</v>
      </c>
      <c r="F3103" s="36" t="s">
        <v>7798</v>
      </c>
      <c r="G3103" s="36" t="s">
        <v>913</v>
      </c>
      <c r="H3103" s="125" t="s">
        <v>7809</v>
      </c>
      <c r="I3103" t="s">
        <v>489</v>
      </c>
    </row>
    <row r="3104">
      <c r="A3104" t="s">
        <v>7160</v>
      </c>
      <c r="B3104" s="526" t="s">
        <v>7159</v>
      </c>
      <c r="C3104" s="527">
        <v>20.0</v>
      </c>
      <c r="D3104" s="527">
        <v>178.58</v>
      </c>
      <c r="E3104" s="528">
        <v>8.929</v>
      </c>
      <c r="F3104" s="36" t="s">
        <v>7798</v>
      </c>
      <c r="G3104" s="36" t="s">
        <v>913</v>
      </c>
      <c r="I3104" t="s">
        <v>45</v>
      </c>
    </row>
    <row r="3105">
      <c r="A3105" t="s">
        <v>492</v>
      </c>
      <c r="B3105" s="526" t="s">
        <v>493</v>
      </c>
      <c r="C3105" s="527">
        <v>408.0</v>
      </c>
      <c r="D3105" s="527">
        <v>1808.41</v>
      </c>
      <c r="E3105" s="528">
        <v>4.4324</v>
      </c>
      <c r="F3105" s="36" t="s">
        <v>7798</v>
      </c>
      <c r="G3105" s="36" t="s">
        <v>913</v>
      </c>
      <c r="H3105" s="125" t="s">
        <v>7809</v>
      </c>
      <c r="I3105" t="s">
        <v>489</v>
      </c>
    </row>
    <row r="3106">
      <c r="A3106" t="s">
        <v>495</v>
      </c>
      <c r="B3106" s="526" t="s">
        <v>496</v>
      </c>
      <c r="C3106" s="527">
        <v>348.0</v>
      </c>
      <c r="D3106" s="527">
        <v>1520.66</v>
      </c>
      <c r="E3106" s="528">
        <v>4.3697</v>
      </c>
      <c r="F3106" s="36" t="s">
        <v>7798</v>
      </c>
      <c r="G3106" s="36" t="s">
        <v>913</v>
      </c>
      <c r="H3106" s="125" t="s">
        <v>7809</v>
      </c>
      <c r="I3106" t="s">
        <v>489</v>
      </c>
    </row>
    <row r="3107">
      <c r="A3107" t="s">
        <v>497</v>
      </c>
      <c r="B3107" s="526" t="s">
        <v>498</v>
      </c>
      <c r="C3107" s="527">
        <v>264.0</v>
      </c>
      <c r="D3107" s="527">
        <v>1114.86</v>
      </c>
      <c r="E3107" s="528">
        <v>4.223</v>
      </c>
      <c r="F3107" s="36" t="s">
        <v>7798</v>
      </c>
      <c r="G3107" s="36" t="s">
        <v>913</v>
      </c>
      <c r="H3107" s="125" t="s">
        <v>7809</v>
      </c>
      <c r="I3107" t="s">
        <v>489</v>
      </c>
    </row>
    <row r="3108">
      <c r="A3108" t="s">
        <v>499</v>
      </c>
      <c r="B3108" s="526" t="s">
        <v>500</v>
      </c>
      <c r="C3108" s="527">
        <v>200.0</v>
      </c>
      <c r="D3108" s="527">
        <v>864.75</v>
      </c>
      <c r="E3108" s="528">
        <v>4.3238</v>
      </c>
      <c r="F3108" s="36" t="s">
        <v>7798</v>
      </c>
      <c r="G3108" s="36" t="s">
        <v>913</v>
      </c>
      <c r="H3108" s="125" t="s">
        <v>7809</v>
      </c>
      <c r="I3108" t="s">
        <v>489</v>
      </c>
    </row>
    <row r="3109">
      <c r="A3109" t="s">
        <v>501</v>
      </c>
      <c r="B3109" s="526" t="s">
        <v>502</v>
      </c>
      <c r="C3109" s="527">
        <v>305.0</v>
      </c>
      <c r="D3109" s="527">
        <v>1433.1</v>
      </c>
      <c r="E3109" s="528">
        <v>4.6987</v>
      </c>
      <c r="F3109" s="36" t="s">
        <v>7798</v>
      </c>
      <c r="G3109" s="36" t="s">
        <v>913</v>
      </c>
      <c r="H3109" s="125" t="s">
        <v>7809</v>
      </c>
      <c r="I3109" t="s">
        <v>489</v>
      </c>
    </row>
    <row r="3110">
      <c r="A3110" t="s">
        <v>503</v>
      </c>
      <c r="B3110" s="526" t="s">
        <v>504</v>
      </c>
      <c r="C3110" s="527">
        <v>177.0</v>
      </c>
      <c r="D3110" s="527">
        <v>773.44</v>
      </c>
      <c r="E3110" s="528">
        <v>4.3697</v>
      </c>
      <c r="F3110" s="36" t="s">
        <v>7798</v>
      </c>
      <c r="G3110" s="36" t="s">
        <v>913</v>
      </c>
      <c r="H3110" s="125" t="s">
        <v>7809</v>
      </c>
      <c r="I3110" t="s">
        <v>489</v>
      </c>
    </row>
    <row r="3111">
      <c r="A3111" t="s">
        <v>7162</v>
      </c>
      <c r="B3111" s="526" t="s">
        <v>7161</v>
      </c>
      <c r="C3111" s="527">
        <v>0.0</v>
      </c>
      <c r="D3111" s="527">
        <v>0.0</v>
      </c>
      <c r="F3111" s="36" t="s">
        <v>7798</v>
      </c>
      <c r="G3111" s="36" t="s">
        <v>893</v>
      </c>
      <c r="H3111" s="125" t="s">
        <v>7799</v>
      </c>
      <c r="I3111" t="s">
        <v>7817</v>
      </c>
    </row>
    <row r="3112">
      <c r="A3112" t="s">
        <v>7164</v>
      </c>
      <c r="B3112" s="526" t="s">
        <v>7163</v>
      </c>
      <c r="C3112" s="527">
        <v>1425.0</v>
      </c>
      <c r="D3112" s="527">
        <v>11551.52</v>
      </c>
      <c r="E3112" s="528">
        <v>8.1063</v>
      </c>
      <c r="F3112" s="36" t="s">
        <v>7798</v>
      </c>
      <c r="G3112" s="36" t="s">
        <v>913</v>
      </c>
      <c r="H3112" s="125" t="s">
        <v>7819</v>
      </c>
      <c r="I3112" t="s">
        <v>7817</v>
      </c>
    </row>
    <row r="3113">
      <c r="A3113" t="s">
        <v>7166</v>
      </c>
      <c r="B3113" s="526" t="s">
        <v>7165</v>
      </c>
      <c r="C3113" s="527">
        <v>657.0</v>
      </c>
      <c r="D3113" s="527">
        <v>5227.45</v>
      </c>
      <c r="E3113" s="528">
        <v>7.9565</v>
      </c>
      <c r="F3113" s="36" t="s">
        <v>7798</v>
      </c>
      <c r="G3113" s="36" t="s">
        <v>913</v>
      </c>
      <c r="H3113" s="125" t="s">
        <v>7819</v>
      </c>
      <c r="I3113" t="s">
        <v>7817</v>
      </c>
    </row>
    <row r="3114">
      <c r="A3114" t="s">
        <v>7168</v>
      </c>
      <c r="B3114" s="526" t="s">
        <v>7167</v>
      </c>
      <c r="C3114" s="527">
        <v>0.0</v>
      </c>
      <c r="D3114" s="527">
        <v>0.0</v>
      </c>
      <c r="F3114" s="36" t="s">
        <v>7798</v>
      </c>
      <c r="G3114" s="36" t="s">
        <v>893</v>
      </c>
      <c r="H3114" s="125" t="s">
        <v>7799</v>
      </c>
      <c r="I3114" t="s">
        <v>7813</v>
      </c>
    </row>
    <row r="3115">
      <c r="A3115" t="s">
        <v>7170</v>
      </c>
      <c r="B3115" s="526" t="s">
        <v>7169</v>
      </c>
      <c r="C3115" s="527">
        <v>0.0</v>
      </c>
      <c r="D3115" s="527">
        <v>0.0</v>
      </c>
      <c r="F3115" s="36" t="s">
        <v>7798</v>
      </c>
      <c r="G3115" s="36" t="s">
        <v>893</v>
      </c>
      <c r="H3115" s="125" t="s">
        <v>7799</v>
      </c>
      <c r="I3115" t="s">
        <v>7842</v>
      </c>
    </row>
    <row r="3116">
      <c r="A3116" t="s">
        <v>7182</v>
      </c>
      <c r="B3116" s="526" t="s">
        <v>7181</v>
      </c>
      <c r="C3116" s="527">
        <v>0.0</v>
      </c>
      <c r="D3116" s="527">
        <v>0.0</v>
      </c>
      <c r="F3116" s="36" t="s">
        <v>7798</v>
      </c>
      <c r="G3116" s="36" t="s">
        <v>893</v>
      </c>
      <c r="H3116" s="125" t="s">
        <v>7821</v>
      </c>
      <c r="I3116" t="s">
        <v>7806</v>
      </c>
    </row>
    <row r="3117">
      <c r="A3117" t="s">
        <v>7184</v>
      </c>
      <c r="B3117" s="526" t="s">
        <v>7183</v>
      </c>
      <c r="C3117" s="527">
        <v>0.0</v>
      </c>
      <c r="D3117" s="527">
        <v>0.0</v>
      </c>
      <c r="F3117" s="36" t="s">
        <v>7798</v>
      </c>
      <c r="G3117" s="36" t="s">
        <v>893</v>
      </c>
      <c r="H3117" s="125" t="s">
        <v>7821</v>
      </c>
      <c r="I3117" t="s">
        <v>81</v>
      </c>
    </row>
    <row r="3118">
      <c r="A3118" t="s">
        <v>7186</v>
      </c>
      <c r="B3118" s="526" t="s">
        <v>7185</v>
      </c>
      <c r="C3118" s="527">
        <v>0.0</v>
      </c>
      <c r="D3118" s="527">
        <v>0.0</v>
      </c>
      <c r="F3118" s="36" t="s">
        <v>7798</v>
      </c>
      <c r="G3118" s="36" t="s">
        <v>893</v>
      </c>
      <c r="H3118" s="125" t="s">
        <v>7821</v>
      </c>
      <c r="I3118" t="s">
        <v>81</v>
      </c>
    </row>
    <row r="3119">
      <c r="A3119" t="s">
        <v>7188</v>
      </c>
      <c r="B3119" s="526" t="s">
        <v>7187</v>
      </c>
      <c r="C3119" s="527">
        <v>0.0</v>
      </c>
      <c r="D3119" s="527">
        <v>0.0</v>
      </c>
      <c r="F3119" s="36" t="s">
        <v>7798</v>
      </c>
      <c r="G3119" s="36" t="s">
        <v>893</v>
      </c>
      <c r="H3119" s="125" t="s">
        <v>7821</v>
      </c>
      <c r="I3119" t="s">
        <v>45</v>
      </c>
    </row>
    <row r="3120">
      <c r="A3120" t="s">
        <v>7190</v>
      </c>
      <c r="B3120" s="526" t="s">
        <v>7189</v>
      </c>
      <c r="C3120" s="527">
        <v>0.0</v>
      </c>
      <c r="D3120" s="527">
        <v>0.0</v>
      </c>
      <c r="F3120" s="36" t="s">
        <v>7798</v>
      </c>
      <c r="G3120" s="36" t="s">
        <v>893</v>
      </c>
      <c r="H3120" s="125" t="s">
        <v>7821</v>
      </c>
      <c r="I3120" t="s">
        <v>45</v>
      </c>
    </row>
    <row r="3121">
      <c r="A3121" t="s">
        <v>7192</v>
      </c>
      <c r="B3121" s="526" t="s">
        <v>7191</v>
      </c>
      <c r="C3121" s="527">
        <v>0.0</v>
      </c>
      <c r="D3121" s="527">
        <v>0.0</v>
      </c>
      <c r="F3121" s="36" t="s">
        <v>7798</v>
      </c>
      <c r="G3121" s="36" t="s">
        <v>893</v>
      </c>
      <c r="H3121" s="125" t="s">
        <v>7821</v>
      </c>
      <c r="I3121" t="s">
        <v>7806</v>
      </c>
    </row>
    <row r="3122">
      <c r="A3122" t="s">
        <v>7194</v>
      </c>
      <c r="B3122" s="526" t="s">
        <v>7193</v>
      </c>
      <c r="C3122" s="527">
        <v>0.0</v>
      </c>
      <c r="D3122" s="527">
        <v>0.0</v>
      </c>
      <c r="F3122" s="36" t="s">
        <v>7798</v>
      </c>
      <c r="G3122" s="36" t="s">
        <v>893</v>
      </c>
      <c r="H3122" s="125" t="s">
        <v>7821</v>
      </c>
      <c r="I3122" t="s">
        <v>7834</v>
      </c>
    </row>
    <row r="3123">
      <c r="A3123" t="s">
        <v>7196</v>
      </c>
      <c r="B3123" s="526" t="s">
        <v>7195</v>
      </c>
      <c r="C3123" s="527">
        <v>0.0</v>
      </c>
      <c r="D3123" s="527">
        <v>0.0</v>
      </c>
      <c r="F3123" s="36" t="s">
        <v>7798</v>
      </c>
      <c r="G3123" s="36" t="s">
        <v>893</v>
      </c>
      <c r="H3123" s="125" t="s">
        <v>7821</v>
      </c>
      <c r="I3123" t="s">
        <v>7806</v>
      </c>
    </row>
    <row r="3124">
      <c r="A3124" t="s">
        <v>7198</v>
      </c>
      <c r="B3124" s="526" t="s">
        <v>7197</v>
      </c>
      <c r="C3124" s="527">
        <v>0.0</v>
      </c>
      <c r="D3124" s="527">
        <v>0.0</v>
      </c>
      <c r="F3124" s="36" t="s">
        <v>7798</v>
      </c>
      <c r="G3124" s="36" t="s">
        <v>893</v>
      </c>
      <c r="H3124" s="125" t="s">
        <v>7821</v>
      </c>
      <c r="I3124" t="s">
        <v>7834</v>
      </c>
    </row>
    <row r="3125">
      <c r="A3125" t="s">
        <v>7200</v>
      </c>
      <c r="B3125" s="526" t="s">
        <v>7199</v>
      </c>
      <c r="C3125" s="527">
        <v>0.0</v>
      </c>
      <c r="D3125" s="527">
        <v>0.0</v>
      </c>
      <c r="F3125" s="36" t="s">
        <v>7798</v>
      </c>
      <c r="G3125" s="36" t="s">
        <v>893</v>
      </c>
      <c r="H3125" s="125" t="s">
        <v>7821</v>
      </c>
      <c r="I3125" t="s">
        <v>7834</v>
      </c>
    </row>
    <row r="3126">
      <c r="A3126" t="s">
        <v>7202</v>
      </c>
      <c r="B3126" s="526" t="s">
        <v>7201</v>
      </c>
      <c r="C3126" s="527">
        <v>0.0</v>
      </c>
      <c r="D3126" s="527">
        <v>0.0</v>
      </c>
      <c r="F3126" s="36" t="s">
        <v>7798</v>
      </c>
      <c r="G3126" s="36" t="s">
        <v>893</v>
      </c>
      <c r="H3126" s="125" t="s">
        <v>7821</v>
      </c>
      <c r="I3126" t="s">
        <v>7834</v>
      </c>
    </row>
    <row r="3127">
      <c r="A3127" t="s">
        <v>7204</v>
      </c>
      <c r="B3127" s="526" t="s">
        <v>7203</v>
      </c>
      <c r="C3127" s="527">
        <v>0.0</v>
      </c>
      <c r="D3127" s="527">
        <v>0.0</v>
      </c>
      <c r="F3127" s="36" t="s">
        <v>7798</v>
      </c>
      <c r="G3127" s="36" t="s">
        <v>893</v>
      </c>
      <c r="H3127" s="125" t="s">
        <v>7821</v>
      </c>
      <c r="I3127" t="s">
        <v>7834</v>
      </c>
    </row>
    <row r="3128">
      <c r="A3128" t="s">
        <v>7206</v>
      </c>
      <c r="B3128" s="526" t="s">
        <v>7205</v>
      </c>
      <c r="C3128" s="527">
        <v>0.0</v>
      </c>
      <c r="D3128" s="527">
        <v>0.0</v>
      </c>
      <c r="F3128" s="36" t="s">
        <v>7798</v>
      </c>
      <c r="G3128" s="36" t="s">
        <v>893</v>
      </c>
      <c r="H3128" s="125" t="s">
        <v>7821</v>
      </c>
      <c r="I3128" t="s">
        <v>7834</v>
      </c>
    </row>
    <row r="3129">
      <c r="A3129" t="s">
        <v>7208</v>
      </c>
      <c r="B3129" s="526" t="s">
        <v>7207</v>
      </c>
      <c r="C3129" s="527">
        <v>0.0</v>
      </c>
      <c r="D3129" s="527">
        <v>0.0</v>
      </c>
      <c r="F3129" s="36" t="s">
        <v>7798</v>
      </c>
      <c r="G3129" s="36" t="s">
        <v>893</v>
      </c>
      <c r="H3129" s="125" t="s">
        <v>7821</v>
      </c>
      <c r="I3129" t="s">
        <v>7834</v>
      </c>
    </row>
    <row r="3130">
      <c r="A3130" t="s">
        <v>7210</v>
      </c>
      <c r="B3130" s="526" t="s">
        <v>7209</v>
      </c>
      <c r="C3130" s="527">
        <v>0.0</v>
      </c>
      <c r="D3130" s="527">
        <v>0.0</v>
      </c>
      <c r="F3130" s="36" t="s">
        <v>7798</v>
      </c>
      <c r="G3130" s="36" t="s">
        <v>893</v>
      </c>
      <c r="H3130" s="125" t="s">
        <v>7821</v>
      </c>
      <c r="I3130" t="s">
        <v>7834</v>
      </c>
    </row>
    <row r="3131">
      <c r="A3131" t="s">
        <v>7212</v>
      </c>
      <c r="B3131" s="526" t="s">
        <v>7211</v>
      </c>
      <c r="C3131" s="527">
        <v>0.0</v>
      </c>
      <c r="D3131" s="527">
        <v>0.0</v>
      </c>
      <c r="F3131" s="36" t="s">
        <v>7798</v>
      </c>
      <c r="G3131" s="36" t="s">
        <v>893</v>
      </c>
      <c r="H3131" s="125" t="s">
        <v>7821</v>
      </c>
      <c r="I3131" t="s">
        <v>7834</v>
      </c>
    </row>
    <row r="3132">
      <c r="A3132" t="s">
        <v>7214</v>
      </c>
      <c r="B3132" s="526" t="s">
        <v>7213</v>
      </c>
      <c r="C3132" s="527">
        <v>0.0</v>
      </c>
      <c r="D3132" s="527">
        <v>0.0</v>
      </c>
      <c r="F3132" s="36" t="s">
        <v>7798</v>
      </c>
      <c r="G3132" s="36" t="s">
        <v>893</v>
      </c>
      <c r="H3132" s="125" t="s">
        <v>7821</v>
      </c>
      <c r="I3132" t="s">
        <v>7834</v>
      </c>
    </row>
    <row r="3133">
      <c r="A3133" t="s">
        <v>7216</v>
      </c>
      <c r="B3133" s="526" t="s">
        <v>7215</v>
      </c>
      <c r="C3133" s="527">
        <v>0.0</v>
      </c>
      <c r="D3133" s="527">
        <v>0.0</v>
      </c>
      <c r="F3133" s="36" t="s">
        <v>7798</v>
      </c>
      <c r="G3133" s="36" t="s">
        <v>893</v>
      </c>
      <c r="H3133" s="125" t="s">
        <v>7821</v>
      </c>
      <c r="I3133" t="s">
        <v>7834</v>
      </c>
    </row>
    <row r="3134">
      <c r="A3134" t="s">
        <v>7218</v>
      </c>
      <c r="B3134" s="526" t="s">
        <v>7217</v>
      </c>
      <c r="C3134" s="527">
        <v>0.0</v>
      </c>
      <c r="D3134" s="527">
        <v>0.0</v>
      </c>
      <c r="F3134" s="36" t="s">
        <v>7798</v>
      </c>
      <c r="G3134" s="36" t="s">
        <v>893</v>
      </c>
      <c r="H3134" s="125" t="s">
        <v>7821</v>
      </c>
      <c r="I3134" t="s">
        <v>7834</v>
      </c>
    </row>
    <row r="3135">
      <c r="A3135" t="s">
        <v>7220</v>
      </c>
      <c r="B3135" s="526" t="s">
        <v>7219</v>
      </c>
      <c r="C3135" s="527">
        <v>0.0</v>
      </c>
      <c r="D3135" s="527">
        <v>0.0</v>
      </c>
      <c r="F3135" s="36" t="s">
        <v>7798</v>
      </c>
      <c r="G3135" s="36" t="s">
        <v>893</v>
      </c>
      <c r="H3135" s="125" t="s">
        <v>7821</v>
      </c>
      <c r="I3135" t="s">
        <v>7834</v>
      </c>
    </row>
    <row r="3136">
      <c r="A3136" t="s">
        <v>7222</v>
      </c>
      <c r="B3136" s="526" t="s">
        <v>7221</v>
      </c>
      <c r="C3136" s="527">
        <v>0.0</v>
      </c>
      <c r="D3136" s="527">
        <v>0.0</v>
      </c>
      <c r="F3136" s="36" t="s">
        <v>7798</v>
      </c>
      <c r="G3136" s="36" t="s">
        <v>893</v>
      </c>
      <c r="H3136" s="125" t="s">
        <v>7821</v>
      </c>
      <c r="I3136" t="s">
        <v>7834</v>
      </c>
    </row>
    <row r="3137">
      <c r="A3137" t="s">
        <v>7224</v>
      </c>
      <c r="B3137" s="526" t="s">
        <v>7223</v>
      </c>
      <c r="C3137" s="527">
        <v>0.0</v>
      </c>
      <c r="D3137" s="527">
        <v>0.0</v>
      </c>
      <c r="F3137" s="36" t="s">
        <v>7798</v>
      </c>
      <c r="G3137" s="36" t="s">
        <v>893</v>
      </c>
      <c r="H3137" s="125" t="s">
        <v>7821</v>
      </c>
      <c r="I3137" t="s">
        <v>7834</v>
      </c>
    </row>
    <row r="3138">
      <c r="A3138" t="s">
        <v>7226</v>
      </c>
      <c r="B3138" s="526" t="s">
        <v>7225</v>
      </c>
      <c r="C3138" s="527">
        <v>0.0</v>
      </c>
      <c r="D3138" s="527">
        <v>0.0</v>
      </c>
      <c r="F3138" s="36" t="s">
        <v>7798</v>
      </c>
      <c r="G3138" s="36" t="s">
        <v>893</v>
      </c>
      <c r="H3138" s="125" t="s">
        <v>7821</v>
      </c>
      <c r="I3138" t="s">
        <v>7834</v>
      </c>
    </row>
    <row r="3139">
      <c r="A3139" t="s">
        <v>7228</v>
      </c>
      <c r="B3139" s="526" t="s">
        <v>7227</v>
      </c>
      <c r="C3139" s="527">
        <v>0.0</v>
      </c>
      <c r="D3139" s="527">
        <v>0.0</v>
      </c>
      <c r="F3139" s="36" t="s">
        <v>7798</v>
      </c>
      <c r="G3139" s="36" t="s">
        <v>893</v>
      </c>
      <c r="H3139" s="125" t="s">
        <v>7821</v>
      </c>
      <c r="I3139" t="s">
        <v>7834</v>
      </c>
    </row>
    <row r="3140">
      <c r="A3140" t="s">
        <v>7230</v>
      </c>
      <c r="B3140" s="526" t="s">
        <v>7229</v>
      </c>
      <c r="C3140" s="527">
        <v>0.0</v>
      </c>
      <c r="D3140" s="527">
        <v>0.0</v>
      </c>
      <c r="F3140" s="36" t="s">
        <v>7798</v>
      </c>
      <c r="G3140" s="36" t="s">
        <v>893</v>
      </c>
      <c r="H3140" s="125" t="s">
        <v>7821</v>
      </c>
      <c r="I3140" t="s">
        <v>7834</v>
      </c>
    </row>
    <row r="3141">
      <c r="A3141" t="s">
        <v>7232</v>
      </c>
      <c r="B3141" s="526" t="s">
        <v>7231</v>
      </c>
      <c r="C3141" s="527">
        <v>0.0</v>
      </c>
      <c r="D3141" s="527">
        <v>0.0</v>
      </c>
      <c r="F3141" s="36" t="s">
        <v>7798</v>
      </c>
      <c r="G3141" s="36" t="s">
        <v>893</v>
      </c>
      <c r="H3141" s="125" t="s">
        <v>7821</v>
      </c>
      <c r="I3141" t="s">
        <v>7834</v>
      </c>
    </row>
    <row r="3142">
      <c r="A3142" t="s">
        <v>7234</v>
      </c>
      <c r="B3142" s="526" t="s">
        <v>7233</v>
      </c>
      <c r="C3142" s="527">
        <v>0.0</v>
      </c>
      <c r="D3142" s="527">
        <v>0.0</v>
      </c>
      <c r="F3142" s="36" t="s">
        <v>7798</v>
      </c>
      <c r="G3142" s="36" t="s">
        <v>893</v>
      </c>
      <c r="H3142" s="125" t="s">
        <v>7821</v>
      </c>
      <c r="I3142" t="s">
        <v>7834</v>
      </c>
    </row>
    <row r="3143">
      <c r="A3143" t="s">
        <v>7236</v>
      </c>
      <c r="B3143" s="526" t="s">
        <v>7235</v>
      </c>
      <c r="C3143" s="527">
        <v>0.0</v>
      </c>
      <c r="D3143" s="527">
        <v>0.0</v>
      </c>
      <c r="F3143" s="36" t="s">
        <v>7798</v>
      </c>
      <c r="G3143" s="36" t="s">
        <v>893</v>
      </c>
      <c r="H3143" s="125" t="s">
        <v>7821</v>
      </c>
      <c r="I3143" t="s">
        <v>7834</v>
      </c>
    </row>
    <row r="3144">
      <c r="A3144" t="s">
        <v>7238</v>
      </c>
      <c r="B3144" s="526" t="s">
        <v>7237</v>
      </c>
      <c r="C3144" s="527">
        <v>0.0</v>
      </c>
      <c r="D3144" s="527">
        <v>0.0</v>
      </c>
      <c r="F3144" s="36" t="s">
        <v>7798</v>
      </c>
      <c r="G3144" s="36" t="s">
        <v>893</v>
      </c>
      <c r="H3144" s="125" t="s">
        <v>7821</v>
      </c>
      <c r="I3144" t="s">
        <v>7834</v>
      </c>
    </row>
    <row r="3145">
      <c r="A3145" t="s">
        <v>7240</v>
      </c>
      <c r="B3145" s="526" t="s">
        <v>7239</v>
      </c>
      <c r="C3145" s="527">
        <v>0.0</v>
      </c>
      <c r="D3145" s="527">
        <v>0.0</v>
      </c>
      <c r="F3145" s="36" t="s">
        <v>7798</v>
      </c>
      <c r="G3145" s="36" t="s">
        <v>893</v>
      </c>
      <c r="H3145" s="125" t="s">
        <v>7821</v>
      </c>
      <c r="I3145" t="s">
        <v>7834</v>
      </c>
    </row>
    <row r="3146">
      <c r="A3146" t="s">
        <v>7242</v>
      </c>
      <c r="B3146" s="526" t="s">
        <v>7241</v>
      </c>
      <c r="C3146" s="527">
        <v>0.0</v>
      </c>
      <c r="D3146" s="527">
        <v>0.0</v>
      </c>
      <c r="F3146" s="36" t="s">
        <v>7798</v>
      </c>
      <c r="G3146" s="36" t="s">
        <v>893</v>
      </c>
      <c r="H3146" s="125" t="s">
        <v>7821</v>
      </c>
      <c r="I3146" t="s">
        <v>7834</v>
      </c>
    </row>
    <row r="3147">
      <c r="A3147" t="s">
        <v>7244</v>
      </c>
      <c r="B3147" s="526" t="s">
        <v>7243</v>
      </c>
      <c r="C3147" s="527">
        <v>0.0</v>
      </c>
      <c r="D3147" s="527">
        <v>0.0</v>
      </c>
      <c r="F3147" s="36" t="s">
        <v>7798</v>
      </c>
      <c r="G3147" s="36" t="s">
        <v>893</v>
      </c>
      <c r="H3147" s="125" t="s">
        <v>7821</v>
      </c>
      <c r="I3147" t="s">
        <v>7834</v>
      </c>
    </row>
    <row r="3148">
      <c r="A3148" t="s">
        <v>7246</v>
      </c>
      <c r="B3148" s="526" t="s">
        <v>7245</v>
      </c>
      <c r="C3148" s="527">
        <v>0.0</v>
      </c>
      <c r="D3148" s="527">
        <v>0.0</v>
      </c>
      <c r="F3148" s="36" t="s">
        <v>7798</v>
      </c>
      <c r="G3148" s="36" t="s">
        <v>893</v>
      </c>
      <c r="H3148" s="125" t="s">
        <v>7821</v>
      </c>
      <c r="I3148" t="s">
        <v>7834</v>
      </c>
    </row>
    <row r="3149">
      <c r="A3149" t="s">
        <v>7248</v>
      </c>
      <c r="B3149" s="526" t="s">
        <v>7247</v>
      </c>
      <c r="C3149" s="527">
        <v>0.0</v>
      </c>
      <c r="D3149" s="527">
        <v>0.0</v>
      </c>
      <c r="F3149" s="36" t="s">
        <v>7798</v>
      </c>
      <c r="G3149" s="36" t="s">
        <v>893</v>
      </c>
      <c r="H3149" s="125" t="s">
        <v>7821</v>
      </c>
      <c r="I3149" t="s">
        <v>7834</v>
      </c>
    </row>
    <row r="3150">
      <c r="A3150" t="s">
        <v>7250</v>
      </c>
      <c r="B3150" s="526" t="s">
        <v>7249</v>
      </c>
      <c r="C3150" s="527">
        <v>0.0</v>
      </c>
      <c r="D3150" s="527">
        <v>0.0</v>
      </c>
      <c r="F3150" s="36" t="s">
        <v>7798</v>
      </c>
      <c r="G3150" s="36" t="s">
        <v>893</v>
      </c>
      <c r="H3150" s="125" t="s">
        <v>7821</v>
      </c>
      <c r="I3150" t="s">
        <v>7834</v>
      </c>
    </row>
    <row r="3151">
      <c r="A3151" t="s">
        <v>7252</v>
      </c>
      <c r="B3151" s="526" t="s">
        <v>7251</v>
      </c>
      <c r="C3151" s="527">
        <v>0.0</v>
      </c>
      <c r="D3151" s="527">
        <v>0.0</v>
      </c>
      <c r="F3151" s="36" t="s">
        <v>7798</v>
      </c>
      <c r="G3151" s="36" t="s">
        <v>893</v>
      </c>
      <c r="H3151" s="125" t="s">
        <v>7821</v>
      </c>
      <c r="I3151" t="s">
        <v>7834</v>
      </c>
    </row>
    <row r="3152">
      <c r="A3152" t="s">
        <v>7254</v>
      </c>
      <c r="B3152" s="526" t="s">
        <v>7253</v>
      </c>
      <c r="C3152" s="527">
        <v>0.0</v>
      </c>
      <c r="D3152" s="527">
        <v>0.0</v>
      </c>
      <c r="F3152" s="36" t="s">
        <v>7798</v>
      </c>
      <c r="G3152" s="36" t="s">
        <v>893</v>
      </c>
      <c r="H3152" s="125" t="s">
        <v>7821</v>
      </c>
      <c r="I3152" t="s">
        <v>7834</v>
      </c>
    </row>
    <row r="3153">
      <c r="A3153" t="s">
        <v>7256</v>
      </c>
      <c r="B3153" s="526" t="s">
        <v>7255</v>
      </c>
      <c r="C3153" s="527">
        <v>0.0</v>
      </c>
      <c r="D3153" s="527">
        <v>0.0</v>
      </c>
      <c r="F3153" s="36" t="s">
        <v>7798</v>
      </c>
      <c r="G3153" s="36" t="s">
        <v>893</v>
      </c>
      <c r="H3153" s="125" t="s">
        <v>7821</v>
      </c>
      <c r="I3153" t="s">
        <v>7834</v>
      </c>
    </row>
    <row r="3154">
      <c r="A3154" t="s">
        <v>7258</v>
      </c>
      <c r="B3154" s="526" t="s">
        <v>7257</v>
      </c>
      <c r="C3154" s="527">
        <v>0.0</v>
      </c>
      <c r="D3154" s="527">
        <v>0.0</v>
      </c>
      <c r="F3154" s="36" t="s">
        <v>7798</v>
      </c>
      <c r="G3154" s="36" t="s">
        <v>893</v>
      </c>
      <c r="H3154" s="125" t="s">
        <v>7821</v>
      </c>
      <c r="I3154" t="s">
        <v>7834</v>
      </c>
    </row>
    <row r="3155">
      <c r="A3155" t="s">
        <v>7260</v>
      </c>
      <c r="B3155" s="526" t="s">
        <v>7259</v>
      </c>
      <c r="C3155" s="527">
        <v>0.0</v>
      </c>
      <c r="D3155" s="527">
        <v>0.0</v>
      </c>
      <c r="F3155" s="36" t="s">
        <v>7798</v>
      </c>
      <c r="G3155" s="36" t="s">
        <v>893</v>
      </c>
      <c r="H3155" s="125" t="s">
        <v>7821</v>
      </c>
      <c r="I3155" t="s">
        <v>7834</v>
      </c>
    </row>
    <row r="3156">
      <c r="A3156" t="s">
        <v>7262</v>
      </c>
      <c r="B3156" s="526" t="s">
        <v>7261</v>
      </c>
      <c r="C3156" s="527">
        <v>0.0</v>
      </c>
      <c r="D3156" s="527">
        <v>0.0</v>
      </c>
      <c r="F3156" s="36" t="s">
        <v>7798</v>
      </c>
      <c r="G3156" s="36" t="s">
        <v>893</v>
      </c>
      <c r="H3156" s="125" t="s">
        <v>7821</v>
      </c>
      <c r="I3156" t="s">
        <v>7834</v>
      </c>
    </row>
    <row r="3157">
      <c r="A3157" t="s">
        <v>7264</v>
      </c>
      <c r="B3157" s="526" t="s">
        <v>7263</v>
      </c>
      <c r="C3157" s="527">
        <v>0.0</v>
      </c>
      <c r="D3157" s="527">
        <v>0.0</v>
      </c>
      <c r="F3157" s="36" t="s">
        <v>7798</v>
      </c>
      <c r="G3157" s="36" t="s">
        <v>893</v>
      </c>
      <c r="H3157" s="125" t="s">
        <v>7821</v>
      </c>
      <c r="I3157" t="s">
        <v>7834</v>
      </c>
    </row>
    <row r="3158">
      <c r="A3158" t="s">
        <v>7266</v>
      </c>
      <c r="B3158" s="526" t="s">
        <v>7265</v>
      </c>
      <c r="C3158" s="527">
        <v>0.0</v>
      </c>
      <c r="D3158" s="527">
        <v>0.0</v>
      </c>
      <c r="F3158" s="36" t="s">
        <v>7798</v>
      </c>
      <c r="G3158" s="36" t="s">
        <v>893</v>
      </c>
      <c r="H3158" s="125" t="s">
        <v>7821</v>
      </c>
      <c r="I3158" t="s">
        <v>180</v>
      </c>
    </row>
    <row r="3159">
      <c r="A3159" t="s">
        <v>7268</v>
      </c>
      <c r="B3159" s="526" t="s">
        <v>7267</v>
      </c>
      <c r="C3159" s="527">
        <v>0.0</v>
      </c>
      <c r="D3159" s="527">
        <v>0.0</v>
      </c>
      <c r="F3159" s="36" t="s">
        <v>7798</v>
      </c>
      <c r="G3159" s="36" t="s">
        <v>893</v>
      </c>
      <c r="H3159" s="125" t="s">
        <v>7821</v>
      </c>
      <c r="I3159" t="s">
        <v>7806</v>
      </c>
    </row>
    <row r="3160">
      <c r="A3160" t="s">
        <v>7270</v>
      </c>
      <c r="B3160" s="526" t="s">
        <v>7269</v>
      </c>
      <c r="C3160" s="527">
        <v>0.0</v>
      </c>
      <c r="D3160" s="527">
        <v>0.0</v>
      </c>
      <c r="F3160" s="36" t="s">
        <v>7798</v>
      </c>
      <c r="G3160" s="36" t="s">
        <v>893</v>
      </c>
      <c r="H3160" s="125" t="s">
        <v>7821</v>
      </c>
      <c r="I3160" t="s">
        <v>7823</v>
      </c>
    </row>
    <row r="3161">
      <c r="A3161" t="s">
        <v>7272</v>
      </c>
      <c r="B3161" s="526" t="s">
        <v>7271</v>
      </c>
      <c r="C3161" s="527">
        <v>0.0</v>
      </c>
      <c r="D3161" s="527">
        <v>0.0</v>
      </c>
      <c r="F3161" s="36" t="s">
        <v>7798</v>
      </c>
      <c r="G3161" s="36" t="s">
        <v>893</v>
      </c>
      <c r="H3161" s="125" t="s">
        <v>7821</v>
      </c>
      <c r="I3161" t="s">
        <v>7838</v>
      </c>
    </row>
    <row r="3162">
      <c r="A3162" t="s">
        <v>7274</v>
      </c>
      <c r="B3162" s="526" t="s">
        <v>7273</v>
      </c>
      <c r="C3162" s="527">
        <v>0.0</v>
      </c>
      <c r="D3162" s="527">
        <v>0.0</v>
      </c>
      <c r="F3162" s="36" t="s">
        <v>7798</v>
      </c>
      <c r="G3162" s="36" t="s">
        <v>893</v>
      </c>
      <c r="H3162" s="125" t="s">
        <v>7821</v>
      </c>
      <c r="I3162" t="s">
        <v>7806</v>
      </c>
    </row>
    <row r="3163">
      <c r="A3163" t="s">
        <v>7276</v>
      </c>
      <c r="B3163" s="526" t="s">
        <v>7275</v>
      </c>
      <c r="C3163" s="527">
        <v>0.0</v>
      </c>
      <c r="D3163" s="527">
        <v>0.0</v>
      </c>
      <c r="F3163" s="36" t="s">
        <v>7798</v>
      </c>
      <c r="G3163" s="36" t="s">
        <v>893</v>
      </c>
      <c r="H3163" s="125" t="s">
        <v>7821</v>
      </c>
      <c r="I3163" t="s">
        <v>7834</v>
      </c>
    </row>
    <row r="3164">
      <c r="A3164" t="s">
        <v>7278</v>
      </c>
      <c r="B3164" s="526" t="s">
        <v>7277</v>
      </c>
      <c r="C3164" s="527">
        <v>0.0</v>
      </c>
      <c r="D3164" s="527">
        <v>0.0</v>
      </c>
      <c r="F3164" s="36" t="s">
        <v>7798</v>
      </c>
      <c r="G3164" s="36" t="s">
        <v>893</v>
      </c>
      <c r="H3164" s="125" t="s">
        <v>7821</v>
      </c>
      <c r="I3164" t="s">
        <v>7834</v>
      </c>
    </row>
    <row r="3165">
      <c r="A3165" t="s">
        <v>7280</v>
      </c>
      <c r="B3165" s="526" t="s">
        <v>7279</v>
      </c>
      <c r="C3165" s="527">
        <v>0.0</v>
      </c>
      <c r="D3165" s="527">
        <v>0.0</v>
      </c>
      <c r="F3165" s="36" t="s">
        <v>7798</v>
      </c>
      <c r="G3165" s="36" t="s">
        <v>893</v>
      </c>
      <c r="H3165" s="125" t="s">
        <v>7821</v>
      </c>
      <c r="I3165" t="s">
        <v>7806</v>
      </c>
    </row>
    <row r="3166">
      <c r="A3166" t="s">
        <v>7282</v>
      </c>
      <c r="B3166" s="526" t="s">
        <v>7281</v>
      </c>
      <c r="C3166" s="527">
        <v>0.0</v>
      </c>
      <c r="D3166" s="527">
        <v>0.0</v>
      </c>
      <c r="F3166" s="36" t="s">
        <v>7798</v>
      </c>
      <c r="G3166" s="36" t="s">
        <v>893</v>
      </c>
      <c r="H3166" s="125" t="s">
        <v>7821</v>
      </c>
      <c r="I3166" t="s">
        <v>7823</v>
      </c>
    </row>
    <row r="3167">
      <c r="A3167" t="s">
        <v>7284</v>
      </c>
      <c r="B3167" s="526" t="s">
        <v>7283</v>
      </c>
      <c r="C3167" s="527">
        <v>0.0</v>
      </c>
      <c r="D3167" s="527">
        <v>0.0</v>
      </c>
      <c r="F3167" s="36" t="s">
        <v>7798</v>
      </c>
      <c r="G3167" s="36" t="s">
        <v>893</v>
      </c>
      <c r="H3167" s="125" t="s">
        <v>7821</v>
      </c>
      <c r="I3167" t="s">
        <v>7806</v>
      </c>
    </row>
    <row r="3168">
      <c r="A3168" t="s">
        <v>7286</v>
      </c>
      <c r="B3168" s="526" t="s">
        <v>7285</v>
      </c>
      <c r="C3168" s="527">
        <v>0.0</v>
      </c>
      <c r="D3168" s="527">
        <v>0.0</v>
      </c>
      <c r="F3168" s="36" t="s">
        <v>7798</v>
      </c>
      <c r="G3168" s="36" t="s">
        <v>893</v>
      </c>
      <c r="H3168" s="125" t="s">
        <v>7821</v>
      </c>
      <c r="I3168" t="s">
        <v>7823</v>
      </c>
    </row>
    <row r="3169">
      <c r="A3169" t="s">
        <v>7288</v>
      </c>
      <c r="B3169" s="526" t="s">
        <v>7287</v>
      </c>
      <c r="C3169" s="527">
        <v>0.0</v>
      </c>
      <c r="D3169" s="527">
        <v>0.0</v>
      </c>
      <c r="F3169" s="36" t="s">
        <v>7798</v>
      </c>
      <c r="G3169" s="36" t="s">
        <v>893</v>
      </c>
      <c r="H3169" s="125" t="s">
        <v>7821</v>
      </c>
      <c r="I3169" t="s">
        <v>7806</v>
      </c>
    </row>
    <row r="3170">
      <c r="A3170" t="s">
        <v>7290</v>
      </c>
      <c r="B3170" s="526" t="s">
        <v>7289</v>
      </c>
      <c r="C3170" s="527">
        <v>0.0</v>
      </c>
      <c r="D3170" s="527">
        <v>0.0</v>
      </c>
      <c r="F3170" s="36" t="s">
        <v>7798</v>
      </c>
      <c r="G3170" s="36" t="s">
        <v>893</v>
      </c>
      <c r="H3170" s="125" t="s">
        <v>7821</v>
      </c>
      <c r="I3170" t="s">
        <v>7823</v>
      </c>
    </row>
    <row r="3171">
      <c r="A3171" t="s">
        <v>7292</v>
      </c>
      <c r="B3171" s="526" t="s">
        <v>7291</v>
      </c>
      <c r="C3171" s="527">
        <v>0.0</v>
      </c>
      <c r="D3171" s="527">
        <v>0.0</v>
      </c>
      <c r="F3171" s="36" t="s">
        <v>7798</v>
      </c>
      <c r="G3171" s="36" t="s">
        <v>893</v>
      </c>
      <c r="H3171" s="125" t="s">
        <v>7821</v>
      </c>
      <c r="I3171" t="s">
        <v>7806</v>
      </c>
    </row>
    <row r="3172">
      <c r="A3172" t="s">
        <v>7294</v>
      </c>
      <c r="B3172" s="526" t="s">
        <v>7293</v>
      </c>
      <c r="C3172" s="527">
        <v>0.0</v>
      </c>
      <c r="D3172" s="527">
        <v>0.0</v>
      </c>
      <c r="F3172" s="36" t="s">
        <v>7798</v>
      </c>
      <c r="G3172" s="36" t="s">
        <v>893</v>
      </c>
      <c r="H3172" s="125" t="s">
        <v>7821</v>
      </c>
      <c r="I3172" t="s">
        <v>7823</v>
      </c>
    </row>
    <row r="3173">
      <c r="A3173" t="s">
        <v>7296</v>
      </c>
      <c r="B3173" s="526" t="s">
        <v>7295</v>
      </c>
      <c r="C3173" s="527">
        <v>0.0</v>
      </c>
      <c r="D3173" s="527">
        <v>0.0</v>
      </c>
      <c r="F3173" s="36" t="s">
        <v>7798</v>
      </c>
      <c r="G3173" s="36" t="s">
        <v>893</v>
      </c>
      <c r="H3173" s="125" t="s">
        <v>7821</v>
      </c>
      <c r="I3173" t="s">
        <v>7806</v>
      </c>
    </row>
    <row r="3174">
      <c r="A3174" t="s">
        <v>7298</v>
      </c>
      <c r="B3174" s="526" t="s">
        <v>7297</v>
      </c>
      <c r="C3174" s="527">
        <v>0.0</v>
      </c>
      <c r="D3174" s="527">
        <v>0.0</v>
      </c>
      <c r="F3174" s="36" t="s">
        <v>7798</v>
      </c>
      <c r="G3174" s="36" t="s">
        <v>893</v>
      </c>
      <c r="H3174" s="125" t="s">
        <v>7821</v>
      </c>
      <c r="I3174" t="s">
        <v>7823</v>
      </c>
    </row>
    <row r="3175">
      <c r="A3175" t="s">
        <v>7300</v>
      </c>
      <c r="B3175" s="526" t="s">
        <v>7299</v>
      </c>
      <c r="C3175" s="527">
        <v>0.0</v>
      </c>
      <c r="D3175" s="527">
        <v>0.0</v>
      </c>
      <c r="F3175" s="36" t="s">
        <v>7798</v>
      </c>
      <c r="G3175" s="36" t="s">
        <v>893</v>
      </c>
      <c r="H3175" s="125" t="s">
        <v>7821</v>
      </c>
      <c r="I3175" t="s">
        <v>7806</v>
      </c>
    </row>
    <row r="3176">
      <c r="A3176" t="s">
        <v>7302</v>
      </c>
      <c r="B3176" s="526" t="s">
        <v>7301</v>
      </c>
      <c r="C3176" s="527">
        <v>0.0</v>
      </c>
      <c r="D3176" s="527">
        <v>0.0</v>
      </c>
      <c r="F3176" s="36" t="s">
        <v>7798</v>
      </c>
      <c r="G3176" s="36" t="s">
        <v>893</v>
      </c>
      <c r="H3176" s="125" t="s">
        <v>7821</v>
      </c>
      <c r="I3176" t="s">
        <v>7823</v>
      </c>
    </row>
    <row r="3177">
      <c r="A3177" t="s">
        <v>7304</v>
      </c>
      <c r="B3177" s="526" t="s">
        <v>7303</v>
      </c>
      <c r="C3177" s="527">
        <v>0.0</v>
      </c>
      <c r="D3177" s="527">
        <v>0.0</v>
      </c>
      <c r="F3177" s="36" t="s">
        <v>7798</v>
      </c>
      <c r="G3177" s="36" t="s">
        <v>893</v>
      </c>
      <c r="H3177" s="125" t="s">
        <v>7821</v>
      </c>
      <c r="I3177" t="s">
        <v>7806</v>
      </c>
    </row>
    <row r="3178">
      <c r="A3178" t="s">
        <v>7306</v>
      </c>
      <c r="B3178" s="526" t="s">
        <v>7305</v>
      </c>
      <c r="C3178" s="527">
        <v>0.0</v>
      </c>
      <c r="D3178" s="527">
        <v>0.0</v>
      </c>
      <c r="F3178" s="36" t="s">
        <v>7798</v>
      </c>
      <c r="G3178" s="36" t="s">
        <v>893</v>
      </c>
      <c r="H3178" s="125" t="s">
        <v>7821</v>
      </c>
      <c r="I3178" t="s">
        <v>7823</v>
      </c>
    </row>
    <row r="3179">
      <c r="A3179" t="s">
        <v>7308</v>
      </c>
      <c r="B3179" s="526" t="s">
        <v>7307</v>
      </c>
      <c r="C3179" s="527">
        <v>0.0</v>
      </c>
      <c r="D3179" s="527">
        <v>0.0</v>
      </c>
      <c r="F3179" s="36" t="s">
        <v>7798</v>
      </c>
      <c r="G3179" s="36" t="s">
        <v>893</v>
      </c>
      <c r="H3179" s="125" t="s">
        <v>7821</v>
      </c>
      <c r="I3179" t="s">
        <v>7834</v>
      </c>
    </row>
    <row r="3180">
      <c r="A3180" t="s">
        <v>7310</v>
      </c>
      <c r="B3180" s="526" t="s">
        <v>7309</v>
      </c>
      <c r="C3180" s="527">
        <v>0.0</v>
      </c>
      <c r="D3180" s="527">
        <v>0.0</v>
      </c>
      <c r="F3180" s="36" t="s">
        <v>7798</v>
      </c>
      <c r="G3180" s="36" t="s">
        <v>893</v>
      </c>
      <c r="H3180" s="125" t="s">
        <v>7821</v>
      </c>
      <c r="I3180" t="s">
        <v>7806</v>
      </c>
    </row>
    <row r="3181">
      <c r="A3181" t="s">
        <v>7312</v>
      </c>
      <c r="B3181" s="526" t="s">
        <v>7311</v>
      </c>
      <c r="C3181" s="527">
        <v>0.0</v>
      </c>
      <c r="D3181" s="527">
        <v>0.0</v>
      </c>
      <c r="F3181" s="36" t="s">
        <v>7798</v>
      </c>
      <c r="G3181" s="36" t="s">
        <v>893</v>
      </c>
      <c r="H3181" s="125" t="s">
        <v>7821</v>
      </c>
      <c r="I3181" t="s">
        <v>7823</v>
      </c>
    </row>
    <row r="3182">
      <c r="A3182" t="s">
        <v>7314</v>
      </c>
      <c r="B3182" s="526" t="s">
        <v>7313</v>
      </c>
      <c r="C3182" s="527">
        <v>1.0</v>
      </c>
      <c r="D3182" s="527">
        <v>1.0</v>
      </c>
      <c r="E3182" s="528">
        <v>1.0</v>
      </c>
      <c r="F3182" s="36" t="s">
        <v>7798</v>
      </c>
      <c r="G3182" s="36" t="s">
        <v>893</v>
      </c>
      <c r="H3182" s="125" t="s">
        <v>7821</v>
      </c>
      <c r="I3182" t="s">
        <v>7838</v>
      </c>
    </row>
    <row r="3183">
      <c r="A3183" t="s">
        <v>7316</v>
      </c>
      <c r="B3183" s="526" t="s">
        <v>7315</v>
      </c>
      <c r="C3183" s="527">
        <v>0.0</v>
      </c>
      <c r="D3183" s="527">
        <v>0.0</v>
      </c>
      <c r="F3183" s="36" t="s">
        <v>7798</v>
      </c>
      <c r="G3183" s="36" t="s">
        <v>893</v>
      </c>
      <c r="H3183" s="125" t="s">
        <v>7821</v>
      </c>
      <c r="I3183" t="s">
        <v>7834</v>
      </c>
    </row>
    <row r="3184">
      <c r="A3184" t="s">
        <v>7318</v>
      </c>
      <c r="B3184" s="526" t="s">
        <v>7317</v>
      </c>
      <c r="C3184" s="527">
        <v>0.0</v>
      </c>
      <c r="D3184" s="527">
        <v>0.0</v>
      </c>
      <c r="F3184" s="36" t="s">
        <v>7798</v>
      </c>
      <c r="G3184" s="36" t="s">
        <v>893</v>
      </c>
      <c r="H3184" s="125" t="s">
        <v>7821</v>
      </c>
      <c r="I3184" t="s">
        <v>7806</v>
      </c>
    </row>
    <row r="3185">
      <c r="A3185" t="s">
        <v>7320</v>
      </c>
      <c r="B3185" s="526" t="s">
        <v>7319</v>
      </c>
      <c r="C3185" s="527">
        <v>0.0</v>
      </c>
      <c r="D3185" s="527">
        <v>0.0</v>
      </c>
      <c r="F3185" s="36" t="s">
        <v>7798</v>
      </c>
      <c r="G3185" s="36" t="s">
        <v>893</v>
      </c>
      <c r="H3185" s="125" t="s">
        <v>7821</v>
      </c>
      <c r="I3185" t="s">
        <v>7823</v>
      </c>
    </row>
    <row r="3186">
      <c r="A3186" t="s">
        <v>7322</v>
      </c>
      <c r="B3186" s="526" t="s">
        <v>7321</v>
      </c>
      <c r="C3186" s="527">
        <v>0.0</v>
      </c>
      <c r="D3186" s="527">
        <v>0.0</v>
      </c>
      <c r="F3186" s="36" t="s">
        <v>7798</v>
      </c>
      <c r="G3186" s="36" t="s">
        <v>893</v>
      </c>
      <c r="H3186" s="125" t="s">
        <v>7821</v>
      </c>
      <c r="I3186" t="s">
        <v>7838</v>
      </c>
    </row>
    <row r="3187">
      <c r="A3187" t="s">
        <v>7324</v>
      </c>
      <c r="B3187" s="526" t="s">
        <v>7323</v>
      </c>
      <c r="C3187" s="527">
        <v>0.0</v>
      </c>
      <c r="D3187" s="527">
        <v>0.0</v>
      </c>
      <c r="F3187" s="36" t="s">
        <v>7798</v>
      </c>
      <c r="G3187" s="36" t="s">
        <v>893</v>
      </c>
      <c r="H3187" s="125" t="s">
        <v>7821</v>
      </c>
      <c r="I3187" t="s">
        <v>7806</v>
      </c>
    </row>
    <row r="3188">
      <c r="A3188" t="s">
        <v>7326</v>
      </c>
      <c r="B3188" s="526" t="s">
        <v>7325</v>
      </c>
      <c r="C3188" s="527">
        <v>0.0</v>
      </c>
      <c r="D3188" s="527">
        <v>0.0</v>
      </c>
      <c r="F3188" s="36" t="s">
        <v>7798</v>
      </c>
      <c r="G3188" s="36" t="s">
        <v>893</v>
      </c>
      <c r="H3188" s="125" t="s">
        <v>7821</v>
      </c>
      <c r="I3188" t="s">
        <v>7823</v>
      </c>
    </row>
    <row r="3189">
      <c r="A3189" t="s">
        <v>7328</v>
      </c>
      <c r="B3189" s="526" t="s">
        <v>7327</v>
      </c>
      <c r="C3189" s="527">
        <v>0.0</v>
      </c>
      <c r="D3189" s="527">
        <v>0.0</v>
      </c>
      <c r="F3189" s="36" t="s">
        <v>7798</v>
      </c>
      <c r="G3189" s="36" t="s">
        <v>893</v>
      </c>
      <c r="H3189" s="125" t="s">
        <v>7821</v>
      </c>
      <c r="I3189" t="s">
        <v>7838</v>
      </c>
    </row>
    <row r="3190">
      <c r="A3190" t="s">
        <v>7330</v>
      </c>
      <c r="B3190" s="526" t="s">
        <v>7329</v>
      </c>
      <c r="C3190" s="527">
        <v>2.0</v>
      </c>
      <c r="D3190" s="527">
        <v>2.0</v>
      </c>
      <c r="E3190" s="528">
        <v>1.0</v>
      </c>
      <c r="F3190" s="36" t="s">
        <v>7798</v>
      </c>
      <c r="G3190" s="36" t="s">
        <v>893</v>
      </c>
      <c r="H3190" s="125" t="s">
        <v>7821</v>
      </c>
      <c r="I3190" t="s">
        <v>7806</v>
      </c>
    </row>
    <row r="3191">
      <c r="A3191" t="s">
        <v>7332</v>
      </c>
      <c r="B3191" s="526" t="s">
        <v>7331</v>
      </c>
      <c r="C3191" s="527">
        <v>0.0</v>
      </c>
      <c r="D3191" s="527">
        <v>0.0</v>
      </c>
      <c r="F3191" s="36" t="s">
        <v>7798</v>
      </c>
      <c r="G3191" s="36" t="s">
        <v>893</v>
      </c>
      <c r="H3191" s="125" t="s">
        <v>7821</v>
      </c>
      <c r="I3191" t="s">
        <v>7823</v>
      </c>
    </row>
    <row r="3192">
      <c r="A3192" t="s">
        <v>7334</v>
      </c>
      <c r="B3192" s="526" t="s">
        <v>7333</v>
      </c>
      <c r="C3192" s="527">
        <v>0.0</v>
      </c>
      <c r="D3192" s="527">
        <v>0.0</v>
      </c>
      <c r="F3192" s="36" t="s">
        <v>7798</v>
      </c>
      <c r="G3192" s="36" t="s">
        <v>893</v>
      </c>
      <c r="H3192" s="125" t="s">
        <v>7821</v>
      </c>
      <c r="I3192" t="s">
        <v>7838</v>
      </c>
    </row>
    <row r="3193">
      <c r="A3193" t="s">
        <v>7336</v>
      </c>
      <c r="B3193" s="526" t="s">
        <v>7335</v>
      </c>
      <c r="C3193" s="527">
        <v>0.0</v>
      </c>
      <c r="D3193" s="527">
        <v>0.0</v>
      </c>
      <c r="F3193" s="36" t="s">
        <v>7798</v>
      </c>
      <c r="G3193" s="36" t="s">
        <v>893</v>
      </c>
      <c r="H3193" s="125" t="s">
        <v>7821</v>
      </c>
      <c r="I3193" t="s">
        <v>7834</v>
      </c>
    </row>
    <row r="3194">
      <c r="A3194" t="s">
        <v>7338</v>
      </c>
      <c r="B3194" s="526" t="s">
        <v>7337</v>
      </c>
      <c r="C3194" s="527">
        <v>0.0</v>
      </c>
      <c r="D3194" s="527">
        <v>0.0</v>
      </c>
      <c r="F3194" s="36" t="s">
        <v>7798</v>
      </c>
      <c r="G3194" s="36" t="s">
        <v>893</v>
      </c>
      <c r="H3194" s="125" t="s">
        <v>7821</v>
      </c>
      <c r="I3194" t="s">
        <v>53</v>
      </c>
    </row>
    <row r="3195">
      <c r="A3195" t="s">
        <v>7340</v>
      </c>
      <c r="B3195" s="526" t="s">
        <v>7339</v>
      </c>
      <c r="C3195" s="527">
        <v>0.0</v>
      </c>
      <c r="D3195" s="527">
        <v>0.0</v>
      </c>
      <c r="F3195" s="36" t="s">
        <v>7798</v>
      </c>
      <c r="G3195" s="36" t="s">
        <v>893</v>
      </c>
      <c r="H3195" s="125" t="s">
        <v>7821</v>
      </c>
      <c r="I3195" t="s">
        <v>53</v>
      </c>
    </row>
    <row r="3196">
      <c r="A3196" t="s">
        <v>7342</v>
      </c>
      <c r="B3196" s="526" t="s">
        <v>7341</v>
      </c>
      <c r="C3196" s="527">
        <v>0.0</v>
      </c>
      <c r="D3196" s="527">
        <v>0.0</v>
      </c>
      <c r="F3196" s="36" t="s">
        <v>7798</v>
      </c>
      <c r="G3196" s="36" t="s">
        <v>893</v>
      </c>
      <c r="H3196" s="125" t="s">
        <v>7821</v>
      </c>
      <c r="I3196" t="s">
        <v>7837</v>
      </c>
    </row>
    <row r="3197">
      <c r="A3197" t="s">
        <v>7344</v>
      </c>
      <c r="B3197" s="526" t="s">
        <v>7343</v>
      </c>
      <c r="C3197" s="527">
        <v>2.0</v>
      </c>
      <c r="D3197" s="527">
        <v>2.0</v>
      </c>
      <c r="E3197" s="528">
        <v>1.0</v>
      </c>
      <c r="F3197" s="36" t="s">
        <v>7798</v>
      </c>
      <c r="G3197" s="36" t="s">
        <v>893</v>
      </c>
      <c r="H3197" s="125" t="s">
        <v>7821</v>
      </c>
      <c r="I3197" t="s">
        <v>7806</v>
      </c>
    </row>
    <row r="3198">
      <c r="A3198" t="s">
        <v>7346</v>
      </c>
      <c r="B3198" s="526" t="s">
        <v>7345</v>
      </c>
      <c r="C3198" s="527">
        <v>0.0</v>
      </c>
      <c r="D3198" s="527">
        <v>0.0</v>
      </c>
      <c r="F3198" s="36" t="s">
        <v>7798</v>
      </c>
      <c r="G3198" s="36" t="s">
        <v>893</v>
      </c>
      <c r="H3198" s="125" t="s">
        <v>7821</v>
      </c>
      <c r="I3198" t="s">
        <v>7823</v>
      </c>
    </row>
    <row r="3199">
      <c r="A3199" t="s">
        <v>7348</v>
      </c>
      <c r="B3199" s="526" t="s">
        <v>7347</v>
      </c>
      <c r="C3199" s="527">
        <v>0.0</v>
      </c>
      <c r="D3199" s="527">
        <v>0.0</v>
      </c>
      <c r="F3199" s="36" t="s">
        <v>7798</v>
      </c>
      <c r="G3199" s="36" t="s">
        <v>893</v>
      </c>
      <c r="H3199" s="125" t="s">
        <v>7821</v>
      </c>
      <c r="I3199" t="s">
        <v>7838</v>
      </c>
    </row>
    <row r="3200">
      <c r="A3200" t="s">
        <v>7350</v>
      </c>
      <c r="B3200" s="526" t="s">
        <v>7349</v>
      </c>
      <c r="C3200" s="527">
        <v>0.0</v>
      </c>
      <c r="D3200" s="527">
        <v>0.0</v>
      </c>
      <c r="F3200" s="36" t="s">
        <v>7798</v>
      </c>
      <c r="G3200" s="36" t="s">
        <v>893</v>
      </c>
      <c r="H3200" s="125" t="s">
        <v>7821</v>
      </c>
      <c r="I3200" t="s">
        <v>7834</v>
      </c>
    </row>
    <row r="3201">
      <c r="A3201" t="s">
        <v>7352</v>
      </c>
      <c r="B3201" s="526" t="s">
        <v>7351</v>
      </c>
      <c r="C3201" s="527">
        <v>0.0</v>
      </c>
      <c r="D3201" s="527">
        <v>0.0</v>
      </c>
      <c r="F3201" s="36" t="s">
        <v>7798</v>
      </c>
      <c r="G3201" s="36" t="s">
        <v>893</v>
      </c>
      <c r="H3201" s="125" t="s">
        <v>7821</v>
      </c>
      <c r="I3201" t="s">
        <v>7834</v>
      </c>
    </row>
    <row r="3202">
      <c r="A3202" t="s">
        <v>7354</v>
      </c>
      <c r="B3202" s="526" t="s">
        <v>7353</v>
      </c>
      <c r="C3202" s="527">
        <v>4.0</v>
      </c>
      <c r="D3202" s="527">
        <v>4.0</v>
      </c>
      <c r="E3202" s="528">
        <v>1.0</v>
      </c>
      <c r="F3202" s="36" t="s">
        <v>7798</v>
      </c>
      <c r="G3202" s="36" t="s">
        <v>893</v>
      </c>
      <c r="H3202" s="125" t="s">
        <v>7821</v>
      </c>
      <c r="I3202" t="s">
        <v>7806</v>
      </c>
    </row>
    <row r="3203">
      <c r="A3203" t="s">
        <v>7356</v>
      </c>
      <c r="B3203" s="526" t="s">
        <v>7355</v>
      </c>
      <c r="C3203" s="527">
        <v>0.0</v>
      </c>
      <c r="D3203" s="527">
        <v>0.0</v>
      </c>
      <c r="F3203" s="36" t="s">
        <v>7798</v>
      </c>
      <c r="G3203" s="36" t="s">
        <v>893</v>
      </c>
      <c r="H3203" s="125" t="s">
        <v>7821</v>
      </c>
      <c r="I3203" t="s">
        <v>7823</v>
      </c>
    </row>
    <row r="3204">
      <c r="A3204" t="s">
        <v>7358</v>
      </c>
      <c r="B3204" s="526" t="s">
        <v>7357</v>
      </c>
      <c r="C3204" s="527">
        <v>0.0</v>
      </c>
      <c r="D3204" s="527">
        <v>0.0</v>
      </c>
      <c r="F3204" s="36" t="s">
        <v>7798</v>
      </c>
      <c r="G3204" s="36" t="s">
        <v>893</v>
      </c>
      <c r="H3204" s="125" t="s">
        <v>7821</v>
      </c>
      <c r="I3204" t="s">
        <v>7838</v>
      </c>
    </row>
    <row r="3205">
      <c r="A3205" t="s">
        <v>7360</v>
      </c>
      <c r="B3205" s="526" t="s">
        <v>7359</v>
      </c>
      <c r="C3205" s="527">
        <v>0.0</v>
      </c>
      <c r="D3205" s="527">
        <v>0.0</v>
      </c>
      <c r="F3205" s="36" t="s">
        <v>7798</v>
      </c>
      <c r="G3205" s="36" t="s">
        <v>893</v>
      </c>
      <c r="H3205" s="125" t="s">
        <v>7821</v>
      </c>
      <c r="I3205" t="s">
        <v>7834</v>
      </c>
    </row>
    <row r="3206">
      <c r="A3206" t="s">
        <v>7362</v>
      </c>
      <c r="B3206" s="526" t="s">
        <v>7361</v>
      </c>
      <c r="C3206" s="527">
        <v>4.0</v>
      </c>
      <c r="D3206" s="527">
        <v>4.0</v>
      </c>
      <c r="E3206" s="528">
        <v>1.0</v>
      </c>
      <c r="F3206" s="36" t="s">
        <v>7798</v>
      </c>
      <c r="G3206" s="36" t="s">
        <v>893</v>
      </c>
      <c r="H3206" s="125" t="s">
        <v>7821</v>
      </c>
      <c r="I3206" t="s">
        <v>7806</v>
      </c>
    </row>
    <row r="3207">
      <c r="A3207" t="s">
        <v>7364</v>
      </c>
      <c r="B3207" s="526" t="s">
        <v>7363</v>
      </c>
      <c r="C3207" s="527">
        <v>0.0</v>
      </c>
      <c r="D3207" s="527">
        <v>0.0</v>
      </c>
      <c r="F3207" s="36" t="s">
        <v>7798</v>
      </c>
      <c r="G3207" s="36" t="s">
        <v>893</v>
      </c>
      <c r="H3207" s="125" t="s">
        <v>7821</v>
      </c>
      <c r="I3207" t="s">
        <v>7823</v>
      </c>
    </row>
    <row r="3208">
      <c r="A3208" t="s">
        <v>7366</v>
      </c>
      <c r="B3208" s="526" t="s">
        <v>7365</v>
      </c>
      <c r="C3208" s="527">
        <v>0.0</v>
      </c>
      <c r="D3208" s="527">
        <v>0.0</v>
      </c>
      <c r="F3208" s="36" t="s">
        <v>7798</v>
      </c>
      <c r="G3208" s="36" t="s">
        <v>893</v>
      </c>
      <c r="H3208" s="125" t="s">
        <v>7821</v>
      </c>
      <c r="I3208" t="s">
        <v>7838</v>
      </c>
    </row>
    <row r="3209">
      <c r="A3209" t="s">
        <v>7368</v>
      </c>
      <c r="B3209" s="526" t="s">
        <v>7367</v>
      </c>
      <c r="C3209" s="527">
        <v>0.0</v>
      </c>
      <c r="D3209" s="527">
        <v>0.0</v>
      </c>
      <c r="F3209" s="36" t="s">
        <v>7798</v>
      </c>
      <c r="G3209" s="36" t="s">
        <v>893</v>
      </c>
      <c r="H3209" s="125" t="s">
        <v>7821</v>
      </c>
      <c r="I3209" t="s">
        <v>7834</v>
      </c>
    </row>
    <row r="3210">
      <c r="A3210" t="s">
        <v>7370</v>
      </c>
      <c r="B3210" s="526" t="s">
        <v>7369</v>
      </c>
      <c r="C3210" s="527">
        <v>0.0</v>
      </c>
      <c r="D3210" s="527">
        <v>0.0</v>
      </c>
      <c r="F3210" s="36" t="s">
        <v>7798</v>
      </c>
      <c r="G3210" s="36" t="s">
        <v>893</v>
      </c>
      <c r="H3210" s="125" t="s">
        <v>7821</v>
      </c>
      <c r="I3210" t="s">
        <v>7806</v>
      </c>
    </row>
    <row r="3211">
      <c r="A3211" t="s">
        <v>7372</v>
      </c>
      <c r="B3211" s="526" t="s">
        <v>7371</v>
      </c>
      <c r="C3211" s="527">
        <v>0.0</v>
      </c>
      <c r="D3211" s="527">
        <v>0.0</v>
      </c>
      <c r="F3211" s="36" t="s">
        <v>7798</v>
      </c>
      <c r="G3211" s="36" t="s">
        <v>893</v>
      </c>
      <c r="H3211" s="125" t="s">
        <v>7821</v>
      </c>
      <c r="I3211" t="s">
        <v>7908</v>
      </c>
    </row>
    <row r="3212">
      <c r="A3212" t="s">
        <v>7374</v>
      </c>
      <c r="B3212" s="526" t="s">
        <v>7373</v>
      </c>
      <c r="C3212" s="527">
        <v>2.0</v>
      </c>
      <c r="D3212" s="527">
        <v>2.0</v>
      </c>
      <c r="E3212" s="528">
        <v>1.0</v>
      </c>
      <c r="F3212" s="36" t="s">
        <v>7798</v>
      </c>
      <c r="G3212" s="36" t="s">
        <v>893</v>
      </c>
      <c r="H3212" s="125" t="s">
        <v>7821</v>
      </c>
      <c r="I3212" t="s">
        <v>7806</v>
      </c>
    </row>
    <row r="3213">
      <c r="A3213" t="s">
        <v>7376</v>
      </c>
      <c r="B3213" s="526" t="s">
        <v>7375</v>
      </c>
      <c r="C3213" s="527">
        <v>0.0</v>
      </c>
      <c r="D3213" s="527">
        <v>0.0</v>
      </c>
      <c r="F3213" s="36" t="s">
        <v>7798</v>
      </c>
      <c r="G3213" s="36" t="s">
        <v>893</v>
      </c>
      <c r="H3213" s="125" t="s">
        <v>7821</v>
      </c>
      <c r="I3213" t="s">
        <v>7823</v>
      </c>
    </row>
    <row r="3214">
      <c r="A3214" t="s">
        <v>7378</v>
      </c>
      <c r="B3214" s="526" t="s">
        <v>7377</v>
      </c>
      <c r="C3214" s="527">
        <v>0.0</v>
      </c>
      <c r="D3214" s="527">
        <v>0.0</v>
      </c>
      <c r="F3214" s="36" t="s">
        <v>7798</v>
      </c>
      <c r="G3214" s="36" t="s">
        <v>893</v>
      </c>
      <c r="H3214" s="125" t="s">
        <v>7821</v>
      </c>
      <c r="I3214" t="s">
        <v>7838</v>
      </c>
    </row>
    <row r="3215">
      <c r="A3215" t="s">
        <v>7380</v>
      </c>
      <c r="B3215" s="526" t="s">
        <v>7379</v>
      </c>
      <c r="C3215" s="527">
        <v>0.0</v>
      </c>
      <c r="D3215" s="527">
        <v>0.0</v>
      </c>
      <c r="F3215" s="36" t="s">
        <v>7798</v>
      </c>
      <c r="G3215" s="36" t="s">
        <v>893</v>
      </c>
      <c r="H3215" s="125" t="s">
        <v>7821</v>
      </c>
      <c r="I3215" t="s">
        <v>7834</v>
      </c>
    </row>
    <row r="3216">
      <c r="A3216" t="s">
        <v>7382</v>
      </c>
      <c r="B3216" s="526" t="s">
        <v>7381</v>
      </c>
      <c r="C3216" s="527">
        <v>126.0</v>
      </c>
      <c r="D3216" s="527">
        <v>702.47</v>
      </c>
      <c r="E3216" s="528">
        <v>5.5752</v>
      </c>
      <c r="F3216" s="36" t="s">
        <v>7798</v>
      </c>
      <c r="G3216" s="36" t="s">
        <v>893</v>
      </c>
      <c r="H3216" s="125" t="s">
        <v>7821</v>
      </c>
      <c r="I3216" t="s">
        <v>45</v>
      </c>
    </row>
    <row r="3217">
      <c r="A3217" t="s">
        <v>7384</v>
      </c>
      <c r="B3217" s="526" t="s">
        <v>7383</v>
      </c>
      <c r="C3217" s="527">
        <v>0.0</v>
      </c>
      <c r="D3217" s="527">
        <v>0.0</v>
      </c>
      <c r="F3217" s="36" t="s">
        <v>7798</v>
      </c>
      <c r="G3217" s="36" t="s">
        <v>893</v>
      </c>
      <c r="H3217" s="125" t="s">
        <v>7821</v>
      </c>
      <c r="I3217" t="s">
        <v>7806</v>
      </c>
    </row>
    <row r="3218">
      <c r="A3218" t="s">
        <v>7386</v>
      </c>
      <c r="B3218" s="526" t="s">
        <v>7385</v>
      </c>
      <c r="C3218" s="527">
        <v>0.0</v>
      </c>
      <c r="D3218" s="527">
        <v>0.0</v>
      </c>
      <c r="F3218" s="36" t="s">
        <v>7798</v>
      </c>
      <c r="G3218" s="36" t="s">
        <v>893</v>
      </c>
      <c r="H3218" s="125" t="s">
        <v>7821</v>
      </c>
      <c r="I3218" t="s">
        <v>7806</v>
      </c>
    </row>
    <row r="3219">
      <c r="A3219" t="s">
        <v>7388</v>
      </c>
      <c r="B3219" s="526" t="s">
        <v>7387</v>
      </c>
      <c r="C3219" s="527">
        <v>0.0</v>
      </c>
      <c r="D3219" s="527">
        <v>0.0</v>
      </c>
      <c r="F3219" s="36" t="s">
        <v>7798</v>
      </c>
      <c r="G3219" s="36" t="s">
        <v>893</v>
      </c>
      <c r="H3219" s="125" t="s">
        <v>7821</v>
      </c>
      <c r="I3219" t="s">
        <v>7837</v>
      </c>
    </row>
    <row r="3220">
      <c r="A3220" t="s">
        <v>7390</v>
      </c>
      <c r="B3220" s="526" t="s">
        <v>7389</v>
      </c>
      <c r="C3220" s="527">
        <v>1.0</v>
      </c>
      <c r="D3220" s="527">
        <v>1.0</v>
      </c>
      <c r="E3220" s="528">
        <v>1.0</v>
      </c>
      <c r="F3220" s="36" t="s">
        <v>7798</v>
      </c>
      <c r="G3220" s="36" t="s">
        <v>893</v>
      </c>
      <c r="H3220" s="125" t="s">
        <v>7821</v>
      </c>
      <c r="I3220" t="s">
        <v>7806</v>
      </c>
    </row>
    <row r="3221">
      <c r="A3221" t="s">
        <v>7392</v>
      </c>
      <c r="B3221" s="526" t="s">
        <v>7391</v>
      </c>
      <c r="C3221" s="527">
        <v>0.0</v>
      </c>
      <c r="D3221" s="527">
        <v>0.0</v>
      </c>
      <c r="F3221" s="36" t="s">
        <v>7798</v>
      </c>
      <c r="G3221" s="36" t="s">
        <v>893</v>
      </c>
      <c r="H3221" s="125" t="s">
        <v>7821</v>
      </c>
      <c r="I3221" t="s">
        <v>7823</v>
      </c>
    </row>
    <row r="3222">
      <c r="A3222" t="s">
        <v>7394</v>
      </c>
      <c r="B3222" s="526" t="s">
        <v>7393</v>
      </c>
      <c r="C3222" s="527">
        <v>0.0</v>
      </c>
      <c r="D3222" s="527">
        <v>0.0</v>
      </c>
      <c r="F3222" s="36" t="s">
        <v>7798</v>
      </c>
      <c r="G3222" s="36" t="s">
        <v>893</v>
      </c>
      <c r="H3222" s="125" t="s">
        <v>7821</v>
      </c>
      <c r="I3222" t="s">
        <v>7838</v>
      </c>
    </row>
    <row r="3223">
      <c r="A3223" t="s">
        <v>7396</v>
      </c>
      <c r="B3223" s="526" t="s">
        <v>7395</v>
      </c>
      <c r="C3223" s="527">
        <v>0.0</v>
      </c>
      <c r="D3223" s="527">
        <v>0.0</v>
      </c>
      <c r="F3223" s="36" t="s">
        <v>7798</v>
      </c>
      <c r="G3223" s="36" t="s">
        <v>893</v>
      </c>
      <c r="H3223" s="125" t="s">
        <v>7821</v>
      </c>
      <c r="I3223" t="s">
        <v>7834</v>
      </c>
    </row>
    <row r="3224">
      <c r="A3224" t="s">
        <v>7398</v>
      </c>
      <c r="B3224" s="526" t="s">
        <v>7397</v>
      </c>
      <c r="C3224" s="527">
        <v>0.0</v>
      </c>
      <c r="D3224" s="527">
        <v>0.0</v>
      </c>
      <c r="F3224" s="36" t="s">
        <v>7798</v>
      </c>
      <c r="G3224" s="36" t="s">
        <v>893</v>
      </c>
      <c r="H3224" s="125" t="s">
        <v>7821</v>
      </c>
      <c r="I3224" t="s">
        <v>45</v>
      </c>
    </row>
    <row r="3225">
      <c r="A3225" t="s">
        <v>7400</v>
      </c>
      <c r="B3225" s="526" t="s">
        <v>7399</v>
      </c>
      <c r="C3225" s="527">
        <v>0.0</v>
      </c>
      <c r="D3225" s="527">
        <v>0.0</v>
      </c>
      <c r="F3225" s="36" t="s">
        <v>7798</v>
      </c>
      <c r="G3225" s="36" t="s">
        <v>893</v>
      </c>
      <c r="H3225" s="125" t="s">
        <v>7821</v>
      </c>
      <c r="I3225" t="s">
        <v>45</v>
      </c>
    </row>
    <row r="3226">
      <c r="A3226" t="s">
        <v>7402</v>
      </c>
      <c r="B3226" s="526" t="s">
        <v>7401</v>
      </c>
      <c r="C3226" s="527">
        <v>1.0</v>
      </c>
      <c r="D3226" s="527">
        <v>1.0</v>
      </c>
      <c r="E3226" s="528">
        <v>1.0</v>
      </c>
      <c r="F3226" s="36" t="s">
        <v>7798</v>
      </c>
      <c r="G3226" s="36" t="s">
        <v>893</v>
      </c>
      <c r="H3226" s="125" t="s">
        <v>7821</v>
      </c>
      <c r="I3226" t="s">
        <v>7806</v>
      </c>
    </row>
    <row r="3227">
      <c r="A3227" t="s">
        <v>7404</v>
      </c>
      <c r="B3227" s="526" t="s">
        <v>7403</v>
      </c>
      <c r="C3227" s="527">
        <v>0.0</v>
      </c>
      <c r="D3227" s="527">
        <v>0.0</v>
      </c>
      <c r="F3227" s="36" t="s">
        <v>7798</v>
      </c>
      <c r="G3227" s="36" t="s">
        <v>893</v>
      </c>
      <c r="H3227" s="125" t="s">
        <v>7821</v>
      </c>
      <c r="I3227" t="s">
        <v>7823</v>
      </c>
    </row>
    <row r="3228">
      <c r="A3228" t="s">
        <v>7406</v>
      </c>
      <c r="B3228" s="526" t="s">
        <v>7405</v>
      </c>
      <c r="C3228" s="527">
        <v>0.0</v>
      </c>
      <c r="D3228" s="527">
        <v>0.0</v>
      </c>
      <c r="F3228" s="36" t="s">
        <v>7798</v>
      </c>
      <c r="G3228" s="36" t="s">
        <v>893</v>
      </c>
      <c r="H3228" s="125" t="s">
        <v>7821</v>
      </c>
      <c r="I3228" t="s">
        <v>7838</v>
      </c>
    </row>
    <row r="3229">
      <c r="A3229" t="s">
        <v>7408</v>
      </c>
      <c r="B3229" s="526" t="s">
        <v>7407</v>
      </c>
      <c r="C3229" s="527">
        <v>0.0</v>
      </c>
      <c r="D3229" s="527">
        <v>0.0</v>
      </c>
      <c r="F3229" s="36" t="s">
        <v>7798</v>
      </c>
      <c r="G3229" s="36" t="s">
        <v>893</v>
      </c>
      <c r="H3229" s="125" t="s">
        <v>7821</v>
      </c>
      <c r="I3229" t="s">
        <v>7806</v>
      </c>
    </row>
    <row r="3230">
      <c r="A3230" t="s">
        <v>7410</v>
      </c>
      <c r="B3230" s="526" t="s">
        <v>7409</v>
      </c>
      <c r="C3230" s="527">
        <v>0.0</v>
      </c>
      <c r="D3230" s="527">
        <v>0.0</v>
      </c>
      <c r="F3230" s="36" t="s">
        <v>7798</v>
      </c>
      <c r="G3230" s="36" t="s">
        <v>893</v>
      </c>
      <c r="H3230" s="125" t="s">
        <v>7821</v>
      </c>
      <c r="I3230" t="s">
        <v>45</v>
      </c>
    </row>
    <row r="3231">
      <c r="A3231" t="s">
        <v>7412</v>
      </c>
      <c r="B3231" s="526" t="s">
        <v>7411</v>
      </c>
      <c r="C3231" s="527">
        <v>1.0</v>
      </c>
      <c r="D3231" s="527">
        <v>0.01</v>
      </c>
      <c r="E3231" s="528">
        <v>0.01</v>
      </c>
      <c r="F3231" s="36" t="s">
        <v>7798</v>
      </c>
      <c r="G3231" s="36" t="s">
        <v>893</v>
      </c>
      <c r="H3231" s="125" t="s">
        <v>7821</v>
      </c>
      <c r="I3231" t="s">
        <v>45</v>
      </c>
    </row>
    <row r="3232">
      <c r="A3232" t="s">
        <v>7414</v>
      </c>
      <c r="B3232" s="526" t="s">
        <v>7413</v>
      </c>
      <c r="C3232" s="527">
        <v>0.0</v>
      </c>
      <c r="D3232" s="527">
        <v>0.0</v>
      </c>
      <c r="F3232" s="36" t="s">
        <v>7798</v>
      </c>
      <c r="G3232" s="36" t="s">
        <v>893</v>
      </c>
      <c r="H3232" s="125" t="s">
        <v>7821</v>
      </c>
      <c r="I3232" t="s">
        <v>7806</v>
      </c>
    </row>
    <row r="3233">
      <c r="A3233" t="s">
        <v>7416</v>
      </c>
      <c r="B3233" s="526" t="s">
        <v>7415</v>
      </c>
      <c r="C3233" s="527">
        <v>0.0</v>
      </c>
      <c r="D3233" s="527">
        <v>0.0</v>
      </c>
      <c r="F3233" s="36" t="s">
        <v>7798</v>
      </c>
      <c r="G3233" s="36" t="s">
        <v>893</v>
      </c>
      <c r="H3233" s="125" t="s">
        <v>7821</v>
      </c>
      <c r="I3233" t="s">
        <v>7806</v>
      </c>
    </row>
    <row r="3234">
      <c r="A3234" t="s">
        <v>7418</v>
      </c>
      <c r="B3234" s="526" t="s">
        <v>7417</v>
      </c>
      <c r="C3234" s="527">
        <v>0.0</v>
      </c>
      <c r="D3234" s="527">
        <v>0.0</v>
      </c>
      <c r="F3234" s="36" t="s">
        <v>7798</v>
      </c>
      <c r="G3234" s="36" t="s">
        <v>893</v>
      </c>
      <c r="H3234" s="125" t="s">
        <v>7821</v>
      </c>
      <c r="I3234" t="s">
        <v>7806</v>
      </c>
    </row>
    <row r="3235">
      <c r="A3235" t="s">
        <v>7420</v>
      </c>
      <c r="B3235" s="526" t="s">
        <v>7419</v>
      </c>
      <c r="C3235" s="527">
        <v>0.0</v>
      </c>
      <c r="D3235" s="527">
        <v>0.0</v>
      </c>
      <c r="F3235" s="36" t="s">
        <v>7798</v>
      </c>
      <c r="G3235" s="36" t="s">
        <v>893</v>
      </c>
      <c r="H3235" s="125" t="s">
        <v>7821</v>
      </c>
      <c r="I3235" t="s">
        <v>7806</v>
      </c>
    </row>
    <row r="3236">
      <c r="A3236" t="s">
        <v>7422</v>
      </c>
      <c r="B3236" s="526" t="s">
        <v>7421</v>
      </c>
      <c r="C3236" s="527">
        <v>0.0</v>
      </c>
      <c r="D3236" s="527">
        <v>0.0</v>
      </c>
      <c r="F3236" s="36" t="s">
        <v>7798</v>
      </c>
      <c r="G3236" s="36" t="s">
        <v>893</v>
      </c>
      <c r="H3236" s="125" t="s">
        <v>7821</v>
      </c>
      <c r="I3236" t="s">
        <v>7806</v>
      </c>
    </row>
    <row r="3237">
      <c r="A3237" t="s">
        <v>7424</v>
      </c>
      <c r="B3237" s="526" t="s">
        <v>7423</v>
      </c>
      <c r="C3237" s="527">
        <v>0.0</v>
      </c>
      <c r="D3237" s="527">
        <v>0.0</v>
      </c>
      <c r="F3237" s="36" t="s">
        <v>7798</v>
      </c>
      <c r="G3237" s="36" t="s">
        <v>893</v>
      </c>
      <c r="H3237" s="125" t="s">
        <v>7821</v>
      </c>
      <c r="I3237" t="s">
        <v>7806</v>
      </c>
    </row>
    <row r="3238">
      <c r="A3238" t="s">
        <v>7426</v>
      </c>
      <c r="B3238" s="526" t="s">
        <v>7425</v>
      </c>
      <c r="C3238" s="527">
        <v>0.0</v>
      </c>
      <c r="D3238" s="527">
        <v>0.0</v>
      </c>
      <c r="F3238" s="36" t="s">
        <v>7798</v>
      </c>
      <c r="G3238" s="36" t="s">
        <v>893</v>
      </c>
      <c r="H3238" s="125" t="s">
        <v>7821</v>
      </c>
      <c r="I3238" t="s">
        <v>7909</v>
      </c>
    </row>
    <row r="3239">
      <c r="A3239" t="s">
        <v>7428</v>
      </c>
      <c r="B3239" s="526" t="s">
        <v>7427</v>
      </c>
      <c r="C3239" s="527">
        <v>0.0</v>
      </c>
      <c r="D3239" s="527">
        <v>0.0</v>
      </c>
      <c r="F3239" s="36" t="s">
        <v>7798</v>
      </c>
      <c r="G3239" s="36" t="s">
        <v>893</v>
      </c>
      <c r="H3239" s="125" t="s">
        <v>7821</v>
      </c>
      <c r="I3239" t="s">
        <v>7806</v>
      </c>
    </row>
    <row r="3240">
      <c r="A3240" t="s">
        <v>7430</v>
      </c>
      <c r="B3240" s="526" t="s">
        <v>7429</v>
      </c>
      <c r="C3240" s="527">
        <v>0.0</v>
      </c>
      <c r="D3240" s="527">
        <v>0.0</v>
      </c>
      <c r="F3240" s="36" t="s">
        <v>7798</v>
      </c>
      <c r="G3240" s="36" t="s">
        <v>893</v>
      </c>
      <c r="H3240" s="125" t="s">
        <v>7821</v>
      </c>
      <c r="I3240" t="s">
        <v>7823</v>
      </c>
    </row>
    <row r="3241">
      <c r="A3241" t="s">
        <v>7432</v>
      </c>
      <c r="B3241" s="526" t="s">
        <v>7431</v>
      </c>
      <c r="C3241" s="527">
        <v>0.0</v>
      </c>
      <c r="D3241" s="527">
        <v>0.0</v>
      </c>
      <c r="F3241" s="36" t="s">
        <v>7798</v>
      </c>
      <c r="G3241" s="36" t="s">
        <v>893</v>
      </c>
      <c r="H3241" s="125" t="s">
        <v>7821</v>
      </c>
      <c r="I3241" t="s">
        <v>7838</v>
      </c>
    </row>
    <row r="3242">
      <c r="A3242" t="s">
        <v>7434</v>
      </c>
      <c r="B3242" s="526" t="s">
        <v>7433</v>
      </c>
      <c r="C3242" s="527">
        <v>0.0</v>
      </c>
      <c r="D3242" s="527">
        <v>0.0</v>
      </c>
      <c r="F3242" s="36" t="s">
        <v>7798</v>
      </c>
      <c r="G3242" s="36" t="s">
        <v>893</v>
      </c>
      <c r="H3242" s="125" t="s">
        <v>7821</v>
      </c>
    </row>
    <row r="3243">
      <c r="A3243" t="s">
        <v>7436</v>
      </c>
      <c r="B3243" s="526" t="s">
        <v>7435</v>
      </c>
      <c r="C3243" s="527">
        <v>0.0</v>
      </c>
      <c r="D3243" s="527">
        <v>0.0</v>
      </c>
      <c r="F3243" s="36" t="s">
        <v>7798</v>
      </c>
      <c r="G3243" s="36" t="s">
        <v>893</v>
      </c>
      <c r="H3243" s="125" t="s">
        <v>7821</v>
      </c>
      <c r="I3243" t="s">
        <v>7806</v>
      </c>
    </row>
    <row r="3244">
      <c r="A3244" t="s">
        <v>7438</v>
      </c>
      <c r="B3244" s="526" t="s">
        <v>7437</v>
      </c>
      <c r="C3244" s="527">
        <v>0.0</v>
      </c>
      <c r="D3244" s="527">
        <v>0.0</v>
      </c>
      <c r="F3244" s="36" t="s">
        <v>7798</v>
      </c>
      <c r="G3244" s="36" t="s">
        <v>893</v>
      </c>
      <c r="H3244" s="125" t="s">
        <v>7821</v>
      </c>
      <c r="I3244" t="s">
        <v>7806</v>
      </c>
    </row>
    <row r="3245">
      <c r="A3245" t="s">
        <v>7440</v>
      </c>
      <c r="B3245" s="526" t="s">
        <v>7439</v>
      </c>
      <c r="C3245" s="527">
        <v>0.0</v>
      </c>
      <c r="D3245" s="527">
        <v>0.0</v>
      </c>
      <c r="F3245" s="36" t="s">
        <v>7798</v>
      </c>
      <c r="G3245" s="36" t="s">
        <v>893</v>
      </c>
      <c r="H3245" s="125" t="s">
        <v>7821</v>
      </c>
      <c r="I3245" t="s">
        <v>7806</v>
      </c>
    </row>
    <row r="3246">
      <c r="A3246" t="s">
        <v>7442</v>
      </c>
      <c r="B3246" s="526" t="s">
        <v>7441</v>
      </c>
      <c r="C3246" s="527">
        <v>1.0</v>
      </c>
      <c r="D3246" s="527">
        <v>1.0</v>
      </c>
      <c r="E3246" s="528">
        <v>1.0</v>
      </c>
      <c r="F3246" s="36" t="s">
        <v>7798</v>
      </c>
      <c r="G3246" s="36" t="s">
        <v>893</v>
      </c>
      <c r="H3246" s="125" t="s">
        <v>7821</v>
      </c>
      <c r="I3246" t="s">
        <v>7806</v>
      </c>
    </row>
    <row r="3247">
      <c r="A3247" t="s">
        <v>7444</v>
      </c>
      <c r="B3247" s="526" t="s">
        <v>7443</v>
      </c>
      <c r="C3247" s="527">
        <v>0.0</v>
      </c>
      <c r="D3247" s="527">
        <v>0.0</v>
      </c>
      <c r="F3247" s="36" t="s">
        <v>7798</v>
      </c>
      <c r="G3247" s="36" t="s">
        <v>893</v>
      </c>
      <c r="H3247" s="125" t="s">
        <v>7821</v>
      </c>
      <c r="I3247" t="s">
        <v>7823</v>
      </c>
    </row>
    <row r="3248">
      <c r="A3248" t="s">
        <v>7446</v>
      </c>
      <c r="B3248" s="526" t="s">
        <v>7445</v>
      </c>
      <c r="C3248" s="527">
        <v>0.0</v>
      </c>
      <c r="D3248" s="527">
        <v>0.0</v>
      </c>
      <c r="F3248" s="36" t="s">
        <v>7798</v>
      </c>
      <c r="G3248" s="36" t="s">
        <v>893</v>
      </c>
      <c r="H3248" s="125" t="s">
        <v>7821</v>
      </c>
      <c r="I3248" t="s">
        <v>7838</v>
      </c>
    </row>
    <row r="3249">
      <c r="A3249" t="s">
        <v>7448</v>
      </c>
      <c r="B3249" s="526" t="s">
        <v>7447</v>
      </c>
      <c r="C3249" s="527">
        <v>0.0</v>
      </c>
      <c r="D3249" s="527">
        <v>0.0</v>
      </c>
      <c r="F3249" s="36" t="s">
        <v>7798</v>
      </c>
      <c r="G3249" s="36" t="s">
        <v>893</v>
      </c>
      <c r="H3249" s="125" t="s">
        <v>7821</v>
      </c>
      <c r="I3249" t="s">
        <v>7834</v>
      </c>
    </row>
    <row r="3250">
      <c r="A3250" t="s">
        <v>7450</v>
      </c>
      <c r="B3250" s="526" t="s">
        <v>7449</v>
      </c>
      <c r="C3250" s="527">
        <v>0.0</v>
      </c>
      <c r="D3250" s="527">
        <v>0.0</v>
      </c>
      <c r="F3250" s="36" t="s">
        <v>7798</v>
      </c>
      <c r="G3250" s="36" t="s">
        <v>893</v>
      </c>
      <c r="H3250" s="125" t="s">
        <v>7821</v>
      </c>
      <c r="I3250" t="s">
        <v>7834</v>
      </c>
    </row>
    <row r="3251">
      <c r="A3251" t="s">
        <v>7452</v>
      </c>
      <c r="B3251" s="526" t="s">
        <v>7451</v>
      </c>
      <c r="C3251" s="527">
        <v>1.0</v>
      </c>
      <c r="D3251" s="527">
        <v>1.0</v>
      </c>
      <c r="E3251" s="528">
        <v>1.0</v>
      </c>
      <c r="F3251" s="36" t="s">
        <v>7798</v>
      </c>
      <c r="G3251" s="36" t="s">
        <v>893</v>
      </c>
      <c r="H3251" s="125" t="s">
        <v>7821</v>
      </c>
      <c r="I3251" t="s">
        <v>7806</v>
      </c>
    </row>
    <row r="3252">
      <c r="A3252" t="s">
        <v>7454</v>
      </c>
      <c r="B3252" s="526" t="s">
        <v>7453</v>
      </c>
      <c r="C3252" s="527">
        <v>0.0</v>
      </c>
      <c r="D3252" s="527">
        <v>0.0</v>
      </c>
      <c r="F3252" s="36" t="s">
        <v>7798</v>
      </c>
      <c r="G3252" s="36" t="s">
        <v>893</v>
      </c>
      <c r="H3252" s="125" t="s">
        <v>7821</v>
      </c>
      <c r="I3252" t="s">
        <v>7823</v>
      </c>
    </row>
    <row r="3253">
      <c r="A3253" t="s">
        <v>7456</v>
      </c>
      <c r="B3253" s="526" t="s">
        <v>7455</v>
      </c>
      <c r="C3253" s="527">
        <v>0.0</v>
      </c>
      <c r="D3253" s="527">
        <v>0.0</v>
      </c>
      <c r="F3253" s="36" t="s">
        <v>7798</v>
      </c>
      <c r="G3253" s="36" t="s">
        <v>893</v>
      </c>
      <c r="H3253" s="125" t="s">
        <v>7821</v>
      </c>
      <c r="I3253" t="s">
        <v>7838</v>
      </c>
    </row>
    <row r="3254">
      <c r="A3254" t="s">
        <v>7458</v>
      </c>
      <c r="B3254" s="526" t="s">
        <v>7457</v>
      </c>
      <c r="C3254" s="527">
        <v>0.0</v>
      </c>
      <c r="D3254" s="527">
        <v>0.0</v>
      </c>
      <c r="F3254" s="36" t="s">
        <v>7798</v>
      </c>
      <c r="G3254" s="36" t="s">
        <v>893</v>
      </c>
      <c r="H3254" s="125" t="s">
        <v>7821</v>
      </c>
      <c r="I3254" t="s">
        <v>7834</v>
      </c>
    </row>
    <row r="3255">
      <c r="A3255" t="s">
        <v>7460</v>
      </c>
      <c r="B3255" s="526" t="s">
        <v>7459</v>
      </c>
      <c r="C3255" s="527">
        <v>0.0</v>
      </c>
      <c r="D3255" s="527">
        <v>0.0</v>
      </c>
      <c r="F3255" s="36" t="s">
        <v>7798</v>
      </c>
      <c r="G3255" s="36" t="s">
        <v>893</v>
      </c>
      <c r="H3255" s="125" t="s">
        <v>7821</v>
      </c>
      <c r="I3255" t="s">
        <v>7822</v>
      </c>
    </row>
    <row r="3256">
      <c r="A3256" t="s">
        <v>7462</v>
      </c>
      <c r="B3256" s="526" t="s">
        <v>7461</v>
      </c>
      <c r="C3256" s="527">
        <v>0.0</v>
      </c>
      <c r="D3256" s="527">
        <v>0.0</v>
      </c>
      <c r="F3256" s="36" t="s">
        <v>7798</v>
      </c>
      <c r="G3256" s="36" t="s">
        <v>893</v>
      </c>
      <c r="H3256" s="125" t="s">
        <v>7821</v>
      </c>
      <c r="I3256" t="s">
        <v>7834</v>
      </c>
    </row>
    <row r="3257">
      <c r="A3257" t="s">
        <v>7464</v>
      </c>
      <c r="B3257" s="526" t="s">
        <v>7463</v>
      </c>
      <c r="C3257" s="527">
        <v>0.0</v>
      </c>
      <c r="D3257" s="527">
        <v>0.0</v>
      </c>
      <c r="F3257" s="36" t="s">
        <v>7798</v>
      </c>
      <c r="G3257" s="36" t="s">
        <v>893</v>
      </c>
      <c r="H3257" s="125" t="s">
        <v>7821</v>
      </c>
      <c r="I3257" t="s">
        <v>7806</v>
      </c>
    </row>
    <row r="3258">
      <c r="A3258" t="s">
        <v>7466</v>
      </c>
      <c r="B3258" s="526" t="s">
        <v>7465</v>
      </c>
      <c r="C3258" s="527">
        <v>0.0</v>
      </c>
      <c r="D3258" s="527">
        <v>0.0</v>
      </c>
      <c r="F3258" s="36" t="s">
        <v>7798</v>
      </c>
      <c r="G3258" s="36" t="s">
        <v>893</v>
      </c>
      <c r="H3258" s="125" t="s">
        <v>7821</v>
      </c>
      <c r="I3258" t="s">
        <v>7823</v>
      </c>
    </row>
    <row r="3259">
      <c r="A3259" t="s">
        <v>7468</v>
      </c>
      <c r="B3259" s="526" t="s">
        <v>7467</v>
      </c>
      <c r="C3259" s="527">
        <v>0.0</v>
      </c>
      <c r="D3259" s="527">
        <v>0.0</v>
      </c>
      <c r="F3259" s="36" t="s">
        <v>7798</v>
      </c>
      <c r="G3259" s="36" t="s">
        <v>893</v>
      </c>
      <c r="H3259" s="125" t="s">
        <v>7821</v>
      </c>
      <c r="I3259" t="s">
        <v>7838</v>
      </c>
    </row>
    <row r="3260">
      <c r="A3260" t="s">
        <v>7470</v>
      </c>
      <c r="B3260" s="526" t="s">
        <v>7469</v>
      </c>
      <c r="C3260" s="527">
        <v>0.0</v>
      </c>
      <c r="D3260" s="527">
        <v>0.0</v>
      </c>
      <c r="F3260" s="36" t="s">
        <v>7798</v>
      </c>
      <c r="G3260" s="36" t="s">
        <v>893</v>
      </c>
      <c r="H3260" s="125" t="s">
        <v>7821</v>
      </c>
      <c r="I3260" t="s">
        <v>7834</v>
      </c>
    </row>
    <row r="3261">
      <c r="A3261" t="s">
        <v>7472</v>
      </c>
      <c r="B3261" s="526" t="s">
        <v>7471</v>
      </c>
      <c r="C3261" s="527">
        <v>0.0</v>
      </c>
      <c r="D3261" s="527">
        <v>0.0</v>
      </c>
      <c r="F3261" s="36" t="s">
        <v>7798</v>
      </c>
      <c r="G3261" s="36" t="s">
        <v>893</v>
      </c>
      <c r="H3261" s="125" t="s">
        <v>7821</v>
      </c>
      <c r="I3261" t="s">
        <v>7834</v>
      </c>
    </row>
    <row r="3262">
      <c r="A3262" t="s">
        <v>7474</v>
      </c>
      <c r="B3262" s="526" t="s">
        <v>7473</v>
      </c>
      <c r="C3262" s="527">
        <v>0.0</v>
      </c>
      <c r="D3262" s="527">
        <v>0.0</v>
      </c>
      <c r="F3262" s="36" t="s">
        <v>7798</v>
      </c>
      <c r="G3262" s="36" t="s">
        <v>893</v>
      </c>
      <c r="H3262" s="125" t="s">
        <v>7821</v>
      </c>
      <c r="I3262" t="s">
        <v>7834</v>
      </c>
    </row>
    <row r="3263">
      <c r="A3263" t="s">
        <v>7476</v>
      </c>
      <c r="B3263" s="526" t="s">
        <v>7475</v>
      </c>
      <c r="C3263" s="527">
        <v>0.0</v>
      </c>
      <c r="D3263" s="527">
        <v>0.0</v>
      </c>
      <c r="F3263" s="36" t="s">
        <v>7798</v>
      </c>
      <c r="G3263" s="36" t="s">
        <v>893</v>
      </c>
      <c r="H3263" s="125" t="s">
        <v>7821</v>
      </c>
      <c r="I3263" t="s">
        <v>7806</v>
      </c>
    </row>
    <row r="3264">
      <c r="A3264" t="s">
        <v>7478</v>
      </c>
      <c r="B3264" s="526" t="s">
        <v>7477</v>
      </c>
      <c r="C3264" s="527">
        <v>0.0</v>
      </c>
      <c r="D3264" s="527">
        <v>0.0</v>
      </c>
      <c r="F3264" s="36" t="s">
        <v>7798</v>
      </c>
      <c r="G3264" s="36" t="s">
        <v>893</v>
      </c>
      <c r="H3264" s="125" t="s">
        <v>7821</v>
      </c>
      <c r="I3264" t="s">
        <v>7823</v>
      </c>
    </row>
    <row r="3265">
      <c r="A3265" t="s">
        <v>7480</v>
      </c>
      <c r="B3265" s="526" t="s">
        <v>7479</v>
      </c>
      <c r="C3265" s="527">
        <v>0.0</v>
      </c>
      <c r="D3265" s="527">
        <v>0.0</v>
      </c>
      <c r="F3265" s="36" t="s">
        <v>7798</v>
      </c>
      <c r="G3265" s="36" t="s">
        <v>893</v>
      </c>
      <c r="H3265" s="125" t="s">
        <v>7821</v>
      </c>
      <c r="I3265" t="s">
        <v>7834</v>
      </c>
    </row>
    <row r="3266">
      <c r="A3266" t="s">
        <v>7482</v>
      </c>
      <c r="B3266" s="526" t="s">
        <v>7481</v>
      </c>
      <c r="C3266" s="527">
        <v>0.0</v>
      </c>
      <c r="D3266" s="527">
        <v>0.0</v>
      </c>
      <c r="F3266" s="36" t="s">
        <v>7798</v>
      </c>
      <c r="G3266" s="36" t="s">
        <v>893</v>
      </c>
      <c r="H3266" s="125" t="s">
        <v>7821</v>
      </c>
      <c r="I3266" t="s">
        <v>45</v>
      </c>
    </row>
    <row r="3267">
      <c r="A3267" t="s">
        <v>7484</v>
      </c>
      <c r="B3267" s="526" t="s">
        <v>7483</v>
      </c>
      <c r="C3267" s="527">
        <v>0.0</v>
      </c>
      <c r="D3267" s="527">
        <v>0.0</v>
      </c>
      <c r="F3267" s="36" t="s">
        <v>7798</v>
      </c>
      <c r="G3267" s="36" t="s">
        <v>893</v>
      </c>
      <c r="H3267" s="125" t="s">
        <v>7821</v>
      </c>
      <c r="I3267" t="s">
        <v>45</v>
      </c>
    </row>
    <row r="3268">
      <c r="A3268" t="s">
        <v>7486</v>
      </c>
      <c r="B3268" s="526" t="s">
        <v>7485</v>
      </c>
      <c r="C3268" s="527">
        <v>0.0</v>
      </c>
      <c r="D3268" s="527">
        <v>0.0</v>
      </c>
      <c r="F3268" s="36" t="s">
        <v>7798</v>
      </c>
      <c r="G3268" s="36" t="s">
        <v>893</v>
      </c>
      <c r="H3268" s="125" t="s">
        <v>7821</v>
      </c>
      <c r="I3268" t="s">
        <v>45</v>
      </c>
    </row>
    <row r="3269">
      <c r="A3269" t="s">
        <v>7490</v>
      </c>
      <c r="B3269" s="526" t="s">
        <v>7489</v>
      </c>
      <c r="C3269" s="527">
        <v>0.0</v>
      </c>
      <c r="D3269" s="527">
        <v>0.0</v>
      </c>
      <c r="F3269" s="36" t="s">
        <v>7798</v>
      </c>
      <c r="G3269" s="36" t="s">
        <v>893</v>
      </c>
      <c r="H3269" s="125" t="s">
        <v>7821</v>
      </c>
      <c r="I3269" t="s">
        <v>7910</v>
      </c>
    </row>
    <row r="3270">
      <c r="A3270" t="s">
        <v>7492</v>
      </c>
      <c r="B3270" s="526" t="s">
        <v>7491</v>
      </c>
      <c r="C3270" s="527">
        <v>0.0</v>
      </c>
      <c r="D3270" s="527">
        <v>0.0</v>
      </c>
      <c r="F3270" s="36" t="s">
        <v>7798</v>
      </c>
      <c r="G3270" s="36" t="s">
        <v>893</v>
      </c>
      <c r="H3270" s="125" t="s">
        <v>7821</v>
      </c>
      <c r="I3270" t="s">
        <v>7823</v>
      </c>
    </row>
    <row r="3271">
      <c r="A3271" t="s">
        <v>7494</v>
      </c>
      <c r="B3271" s="526" t="s">
        <v>7493</v>
      </c>
      <c r="C3271" s="527">
        <v>0.0</v>
      </c>
      <c r="D3271" s="527">
        <v>0.0</v>
      </c>
      <c r="F3271" s="36" t="s">
        <v>7798</v>
      </c>
      <c r="G3271" s="36" t="s">
        <v>893</v>
      </c>
      <c r="H3271" s="125" t="s">
        <v>7821</v>
      </c>
      <c r="I3271" t="s">
        <v>7838</v>
      </c>
    </row>
    <row r="3272">
      <c r="A3272" t="s">
        <v>7496</v>
      </c>
      <c r="B3272" s="526" t="s">
        <v>7495</v>
      </c>
      <c r="C3272" s="527">
        <v>0.0</v>
      </c>
      <c r="D3272" s="527">
        <v>0.0</v>
      </c>
      <c r="F3272" s="36" t="s">
        <v>7798</v>
      </c>
      <c r="G3272" s="36" t="s">
        <v>893</v>
      </c>
      <c r="H3272" s="125" t="s">
        <v>7821</v>
      </c>
      <c r="I3272" t="s">
        <v>7823</v>
      </c>
    </row>
    <row r="3273">
      <c r="A3273" t="s">
        <v>7498</v>
      </c>
      <c r="B3273" s="526" t="s">
        <v>7497</v>
      </c>
      <c r="C3273" s="527">
        <v>0.0</v>
      </c>
      <c r="D3273" s="527">
        <v>0.0</v>
      </c>
      <c r="F3273" s="36" t="s">
        <v>7798</v>
      </c>
      <c r="G3273" s="36" t="s">
        <v>893</v>
      </c>
      <c r="H3273" s="125" t="s">
        <v>7821</v>
      </c>
      <c r="I3273" t="s">
        <v>7838</v>
      </c>
    </row>
    <row r="3274">
      <c r="A3274" t="s">
        <v>7500</v>
      </c>
      <c r="B3274" s="526" t="s">
        <v>7499</v>
      </c>
      <c r="C3274" s="527">
        <v>0.0</v>
      </c>
      <c r="D3274" s="527">
        <v>0.0</v>
      </c>
      <c r="F3274" s="36" t="s">
        <v>7798</v>
      </c>
      <c r="G3274" s="36" t="s">
        <v>893</v>
      </c>
      <c r="H3274" s="125" t="s">
        <v>7821</v>
      </c>
      <c r="I3274" t="s">
        <v>7806</v>
      </c>
    </row>
    <row r="3275">
      <c r="A3275" t="s">
        <v>7502</v>
      </c>
      <c r="B3275" s="526" t="s">
        <v>7501</v>
      </c>
      <c r="C3275" s="527">
        <v>0.0</v>
      </c>
      <c r="D3275" s="527">
        <v>0.0</v>
      </c>
      <c r="F3275" s="36" t="s">
        <v>7798</v>
      </c>
      <c r="G3275" s="36" t="s">
        <v>893</v>
      </c>
      <c r="H3275" s="125" t="s">
        <v>7821</v>
      </c>
      <c r="I3275" t="s">
        <v>7834</v>
      </c>
    </row>
    <row r="3276">
      <c r="A3276" t="s">
        <v>7504</v>
      </c>
      <c r="B3276" s="526" t="s">
        <v>7503</v>
      </c>
      <c r="C3276" s="527">
        <v>0.0</v>
      </c>
      <c r="D3276" s="527">
        <v>0.0</v>
      </c>
      <c r="F3276" s="36" t="s">
        <v>7798</v>
      </c>
      <c r="G3276" s="36" t="s">
        <v>893</v>
      </c>
      <c r="H3276" s="125" t="s">
        <v>7821</v>
      </c>
      <c r="I3276" t="s">
        <v>7834</v>
      </c>
    </row>
    <row r="3277">
      <c r="A3277" t="s">
        <v>7506</v>
      </c>
      <c r="B3277" s="526" t="s">
        <v>7505</v>
      </c>
      <c r="C3277" s="527">
        <v>0.0</v>
      </c>
      <c r="D3277" s="527">
        <v>0.0</v>
      </c>
      <c r="F3277" s="36" t="s">
        <v>7798</v>
      </c>
      <c r="G3277" s="36" t="s">
        <v>893</v>
      </c>
      <c r="H3277" s="125" t="s">
        <v>7821</v>
      </c>
      <c r="I3277" t="s">
        <v>7806</v>
      </c>
    </row>
    <row r="3278">
      <c r="A3278" t="s">
        <v>7508</v>
      </c>
      <c r="B3278" s="526" t="s">
        <v>7507</v>
      </c>
      <c r="C3278" s="527">
        <v>0.0</v>
      </c>
      <c r="D3278" s="527">
        <v>0.0</v>
      </c>
      <c r="F3278" s="36" t="s">
        <v>7798</v>
      </c>
      <c r="G3278" s="36" t="s">
        <v>893</v>
      </c>
      <c r="H3278" s="125" t="s">
        <v>7821</v>
      </c>
      <c r="I3278" t="s">
        <v>7823</v>
      </c>
    </row>
    <row r="3279">
      <c r="A3279" t="s">
        <v>7510</v>
      </c>
      <c r="B3279" s="526" t="s">
        <v>7509</v>
      </c>
      <c r="C3279" s="527">
        <v>0.0</v>
      </c>
      <c r="D3279" s="527">
        <v>0.0</v>
      </c>
      <c r="F3279" s="36" t="s">
        <v>7798</v>
      </c>
      <c r="G3279" s="36" t="s">
        <v>893</v>
      </c>
      <c r="H3279" s="125" t="s">
        <v>7821</v>
      </c>
      <c r="I3279" t="s">
        <v>7838</v>
      </c>
    </row>
    <row r="3280">
      <c r="A3280" t="s">
        <v>7512</v>
      </c>
      <c r="B3280" s="526" t="s">
        <v>7511</v>
      </c>
      <c r="C3280" s="527">
        <v>0.0</v>
      </c>
      <c r="D3280" s="527">
        <v>0.0</v>
      </c>
      <c r="F3280" s="36" t="s">
        <v>7798</v>
      </c>
      <c r="G3280" s="36" t="s">
        <v>893</v>
      </c>
      <c r="H3280" s="125" t="s">
        <v>7821</v>
      </c>
      <c r="I3280" t="s">
        <v>7806</v>
      </c>
    </row>
    <row r="3281">
      <c r="A3281" t="s">
        <v>7514</v>
      </c>
      <c r="B3281" s="526" t="s">
        <v>7513</v>
      </c>
      <c r="C3281" s="527">
        <v>0.0</v>
      </c>
      <c r="D3281" s="527">
        <v>0.0</v>
      </c>
      <c r="F3281" s="36" t="s">
        <v>7798</v>
      </c>
      <c r="G3281" s="36" t="s">
        <v>893</v>
      </c>
      <c r="H3281" s="125" t="s">
        <v>7821</v>
      </c>
      <c r="I3281" t="s">
        <v>7823</v>
      </c>
    </row>
    <row r="3282">
      <c r="A3282" t="s">
        <v>7516</v>
      </c>
      <c r="B3282" s="526" t="s">
        <v>7515</v>
      </c>
      <c r="C3282" s="527">
        <v>0.0</v>
      </c>
      <c r="D3282" s="527">
        <v>0.0</v>
      </c>
      <c r="F3282" s="36" t="s">
        <v>7798</v>
      </c>
      <c r="G3282" s="36" t="s">
        <v>893</v>
      </c>
      <c r="H3282" s="125" t="s">
        <v>7821</v>
      </c>
      <c r="I3282" t="s">
        <v>7838</v>
      </c>
    </row>
    <row r="3283">
      <c r="A3283" t="s">
        <v>7518</v>
      </c>
      <c r="B3283" s="526" t="s">
        <v>7517</v>
      </c>
      <c r="C3283" s="527">
        <v>0.0</v>
      </c>
      <c r="D3283" s="527">
        <v>0.0</v>
      </c>
      <c r="F3283" s="36" t="s">
        <v>7798</v>
      </c>
      <c r="G3283" s="36" t="s">
        <v>893</v>
      </c>
      <c r="H3283" s="125" t="s">
        <v>7821</v>
      </c>
      <c r="I3283" t="s">
        <v>7834</v>
      </c>
    </row>
    <row r="3284">
      <c r="A3284" t="s">
        <v>7520</v>
      </c>
      <c r="B3284" s="526" t="s">
        <v>7519</v>
      </c>
      <c r="C3284" s="527">
        <v>0.0</v>
      </c>
      <c r="D3284" s="527">
        <v>0.0</v>
      </c>
      <c r="F3284" s="36" t="s">
        <v>7798</v>
      </c>
      <c r="G3284" s="36" t="s">
        <v>893</v>
      </c>
      <c r="H3284" s="125" t="s">
        <v>7821</v>
      </c>
      <c r="I3284" t="s">
        <v>7852</v>
      </c>
    </row>
    <row r="3285">
      <c r="A3285" t="s">
        <v>7522</v>
      </c>
      <c r="B3285" s="526" t="s">
        <v>7521</v>
      </c>
      <c r="C3285" s="527">
        <v>0.0</v>
      </c>
      <c r="D3285" s="527">
        <v>0.0</v>
      </c>
      <c r="F3285" s="36" t="s">
        <v>7798</v>
      </c>
      <c r="G3285" s="36" t="s">
        <v>893</v>
      </c>
      <c r="H3285" s="125" t="s">
        <v>7821</v>
      </c>
      <c r="I3285" t="s">
        <v>7834</v>
      </c>
    </row>
    <row r="3286">
      <c r="A3286" t="s">
        <v>7524</v>
      </c>
      <c r="B3286" s="526" t="s">
        <v>7523</v>
      </c>
      <c r="C3286" s="527">
        <v>0.0</v>
      </c>
      <c r="D3286" s="527">
        <v>0.0</v>
      </c>
      <c r="F3286" s="36" t="s">
        <v>7798</v>
      </c>
      <c r="G3286" s="36" t="s">
        <v>893</v>
      </c>
      <c r="H3286" s="125" t="s">
        <v>7821</v>
      </c>
      <c r="I3286" t="s">
        <v>7806</v>
      </c>
    </row>
    <row r="3287">
      <c r="A3287" t="s">
        <v>7526</v>
      </c>
      <c r="B3287" s="526" t="s">
        <v>7525</v>
      </c>
      <c r="C3287" s="527">
        <v>0.0</v>
      </c>
      <c r="D3287" s="527">
        <v>0.0</v>
      </c>
      <c r="F3287" s="36" t="s">
        <v>7798</v>
      </c>
      <c r="G3287" s="36" t="s">
        <v>893</v>
      </c>
      <c r="H3287" s="125" t="s">
        <v>7821</v>
      </c>
      <c r="I3287" t="s">
        <v>7823</v>
      </c>
    </row>
    <row r="3288">
      <c r="A3288" t="s">
        <v>7528</v>
      </c>
      <c r="B3288" s="526" t="s">
        <v>7527</v>
      </c>
      <c r="C3288" s="527">
        <v>0.0</v>
      </c>
      <c r="D3288" s="527">
        <v>0.0</v>
      </c>
      <c r="F3288" s="36" t="s">
        <v>7798</v>
      </c>
      <c r="G3288" s="36" t="s">
        <v>893</v>
      </c>
      <c r="H3288" s="125" t="s">
        <v>7821</v>
      </c>
      <c r="I3288" t="s">
        <v>7838</v>
      </c>
    </row>
    <row r="3289">
      <c r="A3289" t="s">
        <v>7530</v>
      </c>
      <c r="B3289" s="526" t="s">
        <v>7529</v>
      </c>
      <c r="C3289" s="527">
        <v>0.0</v>
      </c>
      <c r="D3289" s="527">
        <v>0.0</v>
      </c>
      <c r="F3289" s="36" t="s">
        <v>7798</v>
      </c>
      <c r="G3289" s="36" t="s">
        <v>893</v>
      </c>
      <c r="H3289" s="125" t="s">
        <v>7821</v>
      </c>
      <c r="I3289" t="s">
        <v>7834</v>
      </c>
    </row>
    <row r="3290">
      <c r="A3290" t="s">
        <v>7532</v>
      </c>
      <c r="B3290" s="526" t="s">
        <v>7531</v>
      </c>
      <c r="C3290" s="527">
        <v>0.0</v>
      </c>
      <c r="D3290" s="527">
        <v>0.0</v>
      </c>
      <c r="F3290" s="36" t="s">
        <v>7798</v>
      </c>
      <c r="G3290" s="36" t="s">
        <v>893</v>
      </c>
      <c r="H3290" s="125" t="s">
        <v>7821</v>
      </c>
      <c r="I3290" t="s">
        <v>7903</v>
      </c>
    </row>
    <row r="3291">
      <c r="A3291" t="s">
        <v>7534</v>
      </c>
      <c r="B3291" s="526" t="s">
        <v>7533</v>
      </c>
      <c r="C3291" s="527">
        <v>0.0</v>
      </c>
      <c r="D3291" s="527">
        <v>0.0</v>
      </c>
      <c r="F3291" s="36" t="s">
        <v>7798</v>
      </c>
      <c r="G3291" s="36" t="s">
        <v>893</v>
      </c>
      <c r="H3291" s="125" t="s">
        <v>7821</v>
      </c>
      <c r="I3291" t="s">
        <v>45</v>
      </c>
    </row>
    <row r="3292">
      <c r="A3292" t="s">
        <v>7536</v>
      </c>
      <c r="B3292" s="526" t="s">
        <v>7535</v>
      </c>
      <c r="C3292" s="527">
        <v>0.0</v>
      </c>
      <c r="D3292" s="527">
        <v>0.0</v>
      </c>
      <c r="F3292" s="36" t="s">
        <v>7798</v>
      </c>
      <c r="G3292" s="36" t="s">
        <v>893</v>
      </c>
      <c r="H3292" s="125" t="s">
        <v>7821</v>
      </c>
      <c r="I3292" t="s">
        <v>539</v>
      </c>
    </row>
    <row r="3293">
      <c r="A3293" t="s">
        <v>7538</v>
      </c>
      <c r="B3293" s="526" t="s">
        <v>7537</v>
      </c>
      <c r="C3293" s="527">
        <v>0.0</v>
      </c>
      <c r="D3293" s="527">
        <v>0.0</v>
      </c>
      <c r="F3293" s="36" t="s">
        <v>7798</v>
      </c>
      <c r="G3293" s="36" t="s">
        <v>893</v>
      </c>
      <c r="H3293" s="125" t="s">
        <v>7821</v>
      </c>
      <c r="I3293" t="s">
        <v>7853</v>
      </c>
    </row>
    <row r="3294">
      <c r="A3294" t="s">
        <v>7540</v>
      </c>
      <c r="B3294" s="526" t="s">
        <v>7539</v>
      </c>
      <c r="C3294" s="527">
        <v>0.0</v>
      </c>
      <c r="D3294" s="527">
        <v>0.0</v>
      </c>
      <c r="F3294" s="36" t="s">
        <v>7798</v>
      </c>
      <c r="G3294" s="36" t="s">
        <v>893</v>
      </c>
      <c r="H3294" s="125" t="s">
        <v>7821</v>
      </c>
      <c r="I3294" t="s">
        <v>7806</v>
      </c>
    </row>
    <row r="3295">
      <c r="A3295" t="s">
        <v>7542</v>
      </c>
      <c r="B3295" s="526" t="s">
        <v>7541</v>
      </c>
      <c r="C3295" s="527">
        <v>0.0</v>
      </c>
      <c r="D3295" s="527">
        <v>0.0</v>
      </c>
      <c r="F3295" s="36" t="s">
        <v>7798</v>
      </c>
      <c r="G3295" s="36" t="s">
        <v>893</v>
      </c>
      <c r="H3295" s="125" t="s">
        <v>7821</v>
      </c>
      <c r="I3295" t="s">
        <v>7823</v>
      </c>
    </row>
    <row r="3296">
      <c r="A3296" t="s">
        <v>7544</v>
      </c>
      <c r="B3296" s="526" t="s">
        <v>7543</v>
      </c>
      <c r="C3296" s="527">
        <v>0.0</v>
      </c>
      <c r="D3296" s="527">
        <v>0.0</v>
      </c>
      <c r="F3296" s="36" t="s">
        <v>7798</v>
      </c>
      <c r="G3296" s="36" t="s">
        <v>893</v>
      </c>
      <c r="H3296" s="125" t="s">
        <v>7821</v>
      </c>
      <c r="I3296" t="s">
        <v>7838</v>
      </c>
    </row>
    <row r="3297">
      <c r="A3297" t="s">
        <v>7546</v>
      </c>
      <c r="B3297" s="526" t="s">
        <v>7545</v>
      </c>
      <c r="C3297" s="527">
        <v>0.0</v>
      </c>
      <c r="D3297" s="527">
        <v>0.0</v>
      </c>
      <c r="F3297" s="36" t="s">
        <v>7798</v>
      </c>
      <c r="G3297" s="36" t="s">
        <v>893</v>
      </c>
      <c r="H3297" s="125" t="s">
        <v>7821</v>
      </c>
      <c r="I3297" t="s">
        <v>7834</v>
      </c>
    </row>
    <row r="3298">
      <c r="A3298" t="s">
        <v>7548</v>
      </c>
      <c r="B3298" s="526" t="s">
        <v>7547</v>
      </c>
      <c r="C3298" s="527">
        <v>0.0</v>
      </c>
      <c r="D3298" s="527">
        <v>0.0</v>
      </c>
      <c r="F3298" s="36" t="s">
        <v>7798</v>
      </c>
      <c r="G3298" s="36" t="s">
        <v>893</v>
      </c>
      <c r="H3298" s="125" t="s">
        <v>7821</v>
      </c>
      <c r="I3298" t="s">
        <v>7834</v>
      </c>
    </row>
    <row r="3299">
      <c r="A3299" t="s">
        <v>7550</v>
      </c>
      <c r="B3299" s="526" t="s">
        <v>7549</v>
      </c>
      <c r="C3299" s="527">
        <v>0.0</v>
      </c>
      <c r="D3299" s="527">
        <v>0.0</v>
      </c>
      <c r="F3299" s="36" t="s">
        <v>7798</v>
      </c>
      <c r="G3299" s="36" t="s">
        <v>893</v>
      </c>
      <c r="H3299" s="125" t="s">
        <v>7821</v>
      </c>
      <c r="I3299" t="s">
        <v>7847</v>
      </c>
    </row>
    <row r="3300">
      <c r="A3300" t="s">
        <v>7552</v>
      </c>
      <c r="B3300" s="526" t="s">
        <v>7551</v>
      </c>
      <c r="C3300" s="527">
        <v>0.0</v>
      </c>
      <c r="D3300" s="527">
        <v>0.0</v>
      </c>
      <c r="F3300" s="36" t="s">
        <v>7798</v>
      </c>
      <c r="G3300" s="36" t="s">
        <v>893</v>
      </c>
      <c r="H3300" s="125" t="s">
        <v>7821</v>
      </c>
      <c r="I3300" t="s">
        <v>7834</v>
      </c>
    </row>
    <row r="3301">
      <c r="A3301" t="s">
        <v>7554</v>
      </c>
      <c r="B3301" s="526" t="s">
        <v>7553</v>
      </c>
      <c r="C3301" s="527">
        <v>0.0</v>
      </c>
      <c r="D3301" s="527">
        <v>0.0</v>
      </c>
      <c r="F3301" s="36" t="s">
        <v>7798</v>
      </c>
      <c r="G3301" s="36" t="s">
        <v>893</v>
      </c>
      <c r="H3301" s="125" t="s">
        <v>7821</v>
      </c>
      <c r="I3301" t="s">
        <v>7806</v>
      </c>
    </row>
    <row r="3302">
      <c r="A3302" t="s">
        <v>7556</v>
      </c>
      <c r="B3302" s="526" t="s">
        <v>7555</v>
      </c>
      <c r="C3302" s="527">
        <v>0.0</v>
      </c>
      <c r="D3302" s="527">
        <v>0.0</v>
      </c>
      <c r="F3302" s="36" t="s">
        <v>7798</v>
      </c>
      <c r="G3302" s="36" t="s">
        <v>893</v>
      </c>
      <c r="H3302" s="125" t="s">
        <v>7821</v>
      </c>
      <c r="I3302" t="s">
        <v>7806</v>
      </c>
    </row>
    <row r="3303">
      <c r="A3303" t="s">
        <v>7558</v>
      </c>
      <c r="B3303" s="526" t="s">
        <v>7557</v>
      </c>
      <c r="C3303" s="527">
        <v>0.0</v>
      </c>
      <c r="D3303" s="527">
        <v>0.0</v>
      </c>
      <c r="F3303" s="36" t="s">
        <v>7798</v>
      </c>
      <c r="G3303" s="36" t="s">
        <v>893</v>
      </c>
      <c r="H3303" s="125" t="s">
        <v>7821</v>
      </c>
      <c r="I3303" t="s">
        <v>7823</v>
      </c>
    </row>
    <row r="3304">
      <c r="A3304" t="s">
        <v>7560</v>
      </c>
      <c r="B3304" s="526" t="s">
        <v>7559</v>
      </c>
      <c r="C3304" s="527">
        <v>0.0</v>
      </c>
      <c r="D3304" s="527">
        <v>0.0</v>
      </c>
      <c r="F3304" s="36" t="s">
        <v>7798</v>
      </c>
      <c r="G3304" s="36" t="s">
        <v>893</v>
      </c>
      <c r="H3304" s="125" t="s">
        <v>7821</v>
      </c>
      <c r="I3304" t="s">
        <v>7838</v>
      </c>
    </row>
    <row r="3305">
      <c r="A3305" t="s">
        <v>7562</v>
      </c>
      <c r="B3305" s="526" t="s">
        <v>7561</v>
      </c>
      <c r="C3305" s="527">
        <v>0.0</v>
      </c>
      <c r="D3305" s="527">
        <v>0.0</v>
      </c>
      <c r="F3305" s="36" t="s">
        <v>7798</v>
      </c>
      <c r="G3305" s="36" t="s">
        <v>893</v>
      </c>
      <c r="H3305" s="125" t="s">
        <v>7821</v>
      </c>
      <c r="I3305" t="s">
        <v>7834</v>
      </c>
    </row>
    <row r="3306">
      <c r="A3306" t="s">
        <v>7564</v>
      </c>
      <c r="B3306" s="526" t="s">
        <v>7563</v>
      </c>
      <c r="C3306" s="527">
        <v>0.0</v>
      </c>
      <c r="D3306" s="527">
        <v>0.0</v>
      </c>
      <c r="F3306" s="36" t="s">
        <v>7798</v>
      </c>
      <c r="G3306" s="36" t="s">
        <v>893</v>
      </c>
      <c r="H3306" s="125" t="s">
        <v>7821</v>
      </c>
      <c r="I3306" t="s">
        <v>7806</v>
      </c>
    </row>
    <row r="3307">
      <c r="A3307" t="s">
        <v>7566</v>
      </c>
      <c r="B3307" s="526" t="s">
        <v>7565</v>
      </c>
      <c r="C3307" s="527">
        <v>0.0</v>
      </c>
      <c r="D3307" s="527">
        <v>0.0</v>
      </c>
      <c r="F3307" s="36" t="s">
        <v>7798</v>
      </c>
      <c r="G3307" s="36" t="s">
        <v>893</v>
      </c>
      <c r="H3307" s="125" t="s">
        <v>7821</v>
      </c>
      <c r="I3307" t="s">
        <v>7806</v>
      </c>
    </row>
    <row r="3308">
      <c r="A3308" t="s">
        <v>7568</v>
      </c>
      <c r="B3308" s="526" t="s">
        <v>7567</v>
      </c>
      <c r="C3308" s="527">
        <v>0.0</v>
      </c>
      <c r="D3308" s="527">
        <v>0.0</v>
      </c>
      <c r="F3308" s="36" t="s">
        <v>7798</v>
      </c>
      <c r="G3308" s="36" t="s">
        <v>893</v>
      </c>
      <c r="H3308" s="125" t="s">
        <v>7821</v>
      </c>
      <c r="I3308" t="s">
        <v>7806</v>
      </c>
    </row>
    <row r="3309">
      <c r="A3309" t="s">
        <v>7570</v>
      </c>
      <c r="B3309" s="526" t="s">
        <v>7569</v>
      </c>
      <c r="C3309" s="527">
        <v>0.0</v>
      </c>
      <c r="D3309" s="527">
        <v>0.0</v>
      </c>
      <c r="F3309" s="36" t="s">
        <v>7798</v>
      </c>
      <c r="G3309" s="36" t="s">
        <v>893</v>
      </c>
      <c r="H3309" s="125" t="s">
        <v>7821</v>
      </c>
      <c r="I3309" t="s">
        <v>7806</v>
      </c>
    </row>
    <row r="3310">
      <c r="A3310" t="s">
        <v>7572</v>
      </c>
      <c r="B3310" s="526" t="s">
        <v>7571</v>
      </c>
      <c r="C3310" s="527">
        <v>0.0</v>
      </c>
      <c r="D3310" s="527">
        <v>0.0</v>
      </c>
      <c r="F3310" s="36" t="s">
        <v>7798</v>
      </c>
      <c r="G3310" s="36" t="s">
        <v>893</v>
      </c>
      <c r="H3310" s="125" t="s">
        <v>7821</v>
      </c>
      <c r="I3310" t="s">
        <v>7823</v>
      </c>
    </row>
    <row r="3311">
      <c r="A3311" t="s">
        <v>7574</v>
      </c>
      <c r="B3311" s="526" t="s">
        <v>7573</v>
      </c>
      <c r="C3311" s="527">
        <v>1.0</v>
      </c>
      <c r="D3311" s="527">
        <v>1.0</v>
      </c>
      <c r="E3311" s="528">
        <v>1.0</v>
      </c>
      <c r="F3311" s="36" t="s">
        <v>7798</v>
      </c>
      <c r="G3311" s="36" t="s">
        <v>893</v>
      </c>
      <c r="H3311" s="125" t="s">
        <v>7821</v>
      </c>
      <c r="I3311" t="s">
        <v>7838</v>
      </c>
    </row>
    <row r="3312">
      <c r="A3312" t="s">
        <v>7576</v>
      </c>
      <c r="B3312" s="526" t="s">
        <v>7575</v>
      </c>
      <c r="C3312" s="527">
        <v>0.0</v>
      </c>
      <c r="D3312" s="527">
        <v>0.0</v>
      </c>
      <c r="F3312" s="36" t="s">
        <v>7798</v>
      </c>
      <c r="G3312" s="36" t="s">
        <v>893</v>
      </c>
      <c r="H3312" s="125" t="s">
        <v>7821</v>
      </c>
      <c r="I3312" t="s">
        <v>7834</v>
      </c>
    </row>
    <row r="3313">
      <c r="A3313" t="s">
        <v>7578</v>
      </c>
      <c r="B3313" s="526" t="s">
        <v>7577</v>
      </c>
      <c r="C3313" s="527">
        <v>0.0</v>
      </c>
      <c r="D3313" s="527">
        <v>0.0</v>
      </c>
      <c r="F3313" s="36" t="s">
        <v>7798</v>
      </c>
      <c r="G3313" s="36" t="s">
        <v>893</v>
      </c>
      <c r="H3313" s="125" t="s">
        <v>7821</v>
      </c>
      <c r="I3313" t="s">
        <v>7834</v>
      </c>
    </row>
    <row r="3314">
      <c r="A3314" t="s">
        <v>7580</v>
      </c>
      <c r="B3314" s="526" t="s">
        <v>7579</v>
      </c>
      <c r="C3314" s="527">
        <v>0.0</v>
      </c>
      <c r="D3314" s="527">
        <v>0.0</v>
      </c>
      <c r="F3314" s="36" t="s">
        <v>7798</v>
      </c>
      <c r="G3314" s="36" t="s">
        <v>893</v>
      </c>
      <c r="H3314" s="125" t="s">
        <v>7821</v>
      </c>
      <c r="I3314" t="s">
        <v>7806</v>
      </c>
    </row>
    <row r="3315">
      <c r="A3315" t="s">
        <v>7582</v>
      </c>
      <c r="B3315" s="526" t="s">
        <v>7581</v>
      </c>
      <c r="C3315" s="527">
        <v>0.0</v>
      </c>
      <c r="D3315" s="527">
        <v>0.0</v>
      </c>
      <c r="F3315" s="36" t="s">
        <v>7798</v>
      </c>
      <c r="G3315" s="36" t="s">
        <v>893</v>
      </c>
      <c r="H3315" s="125" t="s">
        <v>7821</v>
      </c>
      <c r="I3315" t="s">
        <v>7806</v>
      </c>
    </row>
    <row r="3316">
      <c r="A3316" t="s">
        <v>7584</v>
      </c>
      <c r="B3316" s="526" t="s">
        <v>7583</v>
      </c>
      <c r="C3316" s="527">
        <v>0.0</v>
      </c>
      <c r="D3316" s="527">
        <v>0.0</v>
      </c>
      <c r="F3316" s="36" t="s">
        <v>7798</v>
      </c>
      <c r="G3316" s="36" t="s">
        <v>893</v>
      </c>
      <c r="H3316" s="125" t="s">
        <v>7821</v>
      </c>
      <c r="I3316" t="s">
        <v>7806</v>
      </c>
    </row>
    <row r="3317">
      <c r="A3317" t="s">
        <v>7586</v>
      </c>
      <c r="B3317" s="526" t="s">
        <v>7585</v>
      </c>
      <c r="C3317" s="527">
        <v>0.0</v>
      </c>
      <c r="D3317" s="527">
        <v>0.0</v>
      </c>
      <c r="F3317" s="36" t="s">
        <v>7798</v>
      </c>
      <c r="G3317" s="36" t="s">
        <v>893</v>
      </c>
      <c r="H3317" s="125" t="s">
        <v>7821</v>
      </c>
      <c r="I3317" t="s">
        <v>7834</v>
      </c>
    </row>
    <row r="3318">
      <c r="A3318" t="s">
        <v>7588</v>
      </c>
      <c r="B3318" s="526" t="s">
        <v>7587</v>
      </c>
      <c r="C3318" s="527">
        <v>0.0</v>
      </c>
      <c r="D3318" s="527">
        <v>0.0</v>
      </c>
      <c r="F3318" s="36" t="s">
        <v>7798</v>
      </c>
      <c r="G3318" s="36" t="s">
        <v>893</v>
      </c>
      <c r="H3318" s="125" t="s">
        <v>7821</v>
      </c>
      <c r="I3318" t="s">
        <v>7834</v>
      </c>
    </row>
    <row r="3319">
      <c r="A3319" t="s">
        <v>7590</v>
      </c>
      <c r="B3319" s="526" t="s">
        <v>7589</v>
      </c>
      <c r="C3319" s="527">
        <v>0.0</v>
      </c>
      <c r="D3319" s="527">
        <v>0.0</v>
      </c>
      <c r="F3319" s="36" t="s">
        <v>7798</v>
      </c>
      <c r="G3319" s="36" t="s">
        <v>893</v>
      </c>
      <c r="H3319" s="125" t="s">
        <v>7821</v>
      </c>
      <c r="I3319" t="s">
        <v>63</v>
      </c>
    </row>
    <row r="3320">
      <c r="A3320" t="s">
        <v>7592</v>
      </c>
      <c r="B3320" s="526" t="s">
        <v>7591</v>
      </c>
      <c r="C3320" s="527">
        <v>0.0</v>
      </c>
      <c r="D3320" s="527">
        <v>0.0</v>
      </c>
      <c r="F3320" s="36" t="s">
        <v>7798</v>
      </c>
      <c r="G3320" s="36" t="s">
        <v>893</v>
      </c>
      <c r="H3320" s="125" t="s">
        <v>7821</v>
      </c>
      <c r="I3320" t="s">
        <v>7806</v>
      </c>
    </row>
    <row r="3321">
      <c r="A3321" t="s">
        <v>7594</v>
      </c>
      <c r="B3321" s="526" t="s">
        <v>7593</v>
      </c>
      <c r="C3321" s="527">
        <v>0.0</v>
      </c>
      <c r="D3321" s="527">
        <v>0.0</v>
      </c>
      <c r="F3321" s="36" t="s">
        <v>7798</v>
      </c>
      <c r="G3321" s="36" t="s">
        <v>893</v>
      </c>
      <c r="H3321" s="125" t="s">
        <v>7821</v>
      </c>
      <c r="I3321" t="s">
        <v>7823</v>
      </c>
    </row>
    <row r="3322">
      <c r="A3322" t="s">
        <v>7596</v>
      </c>
      <c r="B3322" s="526" t="s">
        <v>7595</v>
      </c>
      <c r="C3322" s="527">
        <v>0.0</v>
      </c>
      <c r="D3322" s="527">
        <v>0.0</v>
      </c>
      <c r="F3322" s="36" t="s">
        <v>7798</v>
      </c>
      <c r="G3322" s="36" t="s">
        <v>893</v>
      </c>
      <c r="H3322" s="125" t="s">
        <v>7821</v>
      </c>
      <c r="I3322" t="s">
        <v>7838</v>
      </c>
    </row>
    <row r="3323">
      <c r="A3323" t="s">
        <v>7598</v>
      </c>
      <c r="B3323" s="526" t="s">
        <v>7597</v>
      </c>
      <c r="C3323" s="527">
        <v>0.0</v>
      </c>
      <c r="D3323" s="527">
        <v>0.0</v>
      </c>
      <c r="F3323" s="36" t="s">
        <v>7798</v>
      </c>
      <c r="G3323" s="36" t="s">
        <v>893</v>
      </c>
      <c r="H3323" s="125" t="s">
        <v>7821</v>
      </c>
      <c r="I3323" t="s">
        <v>7806</v>
      </c>
    </row>
    <row r="3324">
      <c r="A3324" t="s">
        <v>7600</v>
      </c>
      <c r="B3324" s="526" t="s">
        <v>7599</v>
      </c>
      <c r="C3324" s="527">
        <v>0.0</v>
      </c>
      <c r="D3324" s="527">
        <v>0.0</v>
      </c>
      <c r="F3324" s="36" t="s">
        <v>7798</v>
      </c>
      <c r="G3324" s="36" t="s">
        <v>893</v>
      </c>
      <c r="H3324" s="125" t="s">
        <v>7821</v>
      </c>
      <c r="I3324" t="s">
        <v>7806</v>
      </c>
    </row>
    <row r="3325">
      <c r="A3325" t="s">
        <v>7602</v>
      </c>
      <c r="B3325" s="526" t="s">
        <v>7601</v>
      </c>
      <c r="C3325" s="527">
        <v>0.0</v>
      </c>
      <c r="D3325" s="527">
        <v>0.0</v>
      </c>
      <c r="F3325" s="36" t="s">
        <v>7798</v>
      </c>
      <c r="G3325" s="36" t="s">
        <v>893</v>
      </c>
      <c r="H3325" s="125" t="s">
        <v>7821</v>
      </c>
      <c r="I3325" t="s">
        <v>7834</v>
      </c>
    </row>
    <row r="3326">
      <c r="A3326" t="s">
        <v>7604</v>
      </c>
      <c r="B3326" s="526" t="s">
        <v>7603</v>
      </c>
      <c r="C3326" s="527">
        <v>0.0</v>
      </c>
      <c r="D3326" s="527">
        <v>0.0</v>
      </c>
      <c r="F3326" s="36" t="s">
        <v>7798</v>
      </c>
      <c r="G3326" s="36" t="s">
        <v>893</v>
      </c>
      <c r="H3326" s="125" t="s">
        <v>7821</v>
      </c>
      <c r="I3326" t="s">
        <v>7806</v>
      </c>
    </row>
    <row r="3327">
      <c r="A3327" t="s">
        <v>7606</v>
      </c>
      <c r="B3327" s="526" t="s">
        <v>7605</v>
      </c>
      <c r="C3327" s="527">
        <v>0.0</v>
      </c>
      <c r="D3327" s="527">
        <v>0.0</v>
      </c>
      <c r="F3327" s="36" t="s">
        <v>7798</v>
      </c>
      <c r="G3327" s="36" t="s">
        <v>893</v>
      </c>
      <c r="H3327" s="125" t="s">
        <v>7821</v>
      </c>
      <c r="I3327" t="s">
        <v>7823</v>
      </c>
    </row>
    <row r="3328">
      <c r="A3328" t="s">
        <v>7608</v>
      </c>
      <c r="B3328" s="526" t="s">
        <v>7607</v>
      </c>
      <c r="C3328" s="527">
        <v>0.0</v>
      </c>
      <c r="D3328" s="527">
        <v>0.0</v>
      </c>
      <c r="F3328" s="36" t="s">
        <v>7798</v>
      </c>
      <c r="G3328" s="36" t="s">
        <v>893</v>
      </c>
      <c r="H3328" s="125" t="s">
        <v>7821</v>
      </c>
      <c r="I3328" t="s">
        <v>7838</v>
      </c>
    </row>
    <row r="3329">
      <c r="A3329" t="s">
        <v>7610</v>
      </c>
      <c r="B3329" s="526" t="s">
        <v>7609</v>
      </c>
      <c r="C3329" s="527">
        <v>0.0</v>
      </c>
      <c r="D3329" s="527">
        <v>0.0</v>
      </c>
      <c r="F3329" s="36" t="s">
        <v>7798</v>
      </c>
      <c r="G3329" s="36" t="s">
        <v>893</v>
      </c>
      <c r="H3329" s="125" t="s">
        <v>7821</v>
      </c>
      <c r="I3329" t="s">
        <v>7834</v>
      </c>
    </row>
    <row r="3330">
      <c r="A3330" t="s">
        <v>7612</v>
      </c>
      <c r="B3330" s="526" t="s">
        <v>7611</v>
      </c>
      <c r="C3330" s="527">
        <v>0.0</v>
      </c>
      <c r="D3330" s="527">
        <v>0.0</v>
      </c>
      <c r="F3330" s="36" t="s">
        <v>7798</v>
      </c>
      <c r="G3330" s="36" t="s">
        <v>893</v>
      </c>
      <c r="H3330" s="125" t="s">
        <v>7821</v>
      </c>
      <c r="I3330" t="s">
        <v>45</v>
      </c>
    </row>
    <row r="3331">
      <c r="A3331" t="s">
        <v>7614</v>
      </c>
      <c r="B3331" s="526" t="s">
        <v>7613</v>
      </c>
      <c r="C3331" s="527">
        <v>0.0</v>
      </c>
      <c r="D3331" s="527">
        <v>0.0</v>
      </c>
      <c r="F3331" s="36" t="s">
        <v>7798</v>
      </c>
      <c r="G3331" s="36" t="s">
        <v>893</v>
      </c>
      <c r="H3331" s="125" t="s">
        <v>7821</v>
      </c>
      <c r="I3331" t="s">
        <v>489</v>
      </c>
    </row>
    <row r="3332">
      <c r="A3332" t="s">
        <v>443</v>
      </c>
      <c r="B3332" s="526" t="s">
        <v>444</v>
      </c>
      <c r="C3332" s="527">
        <v>348.0</v>
      </c>
      <c r="D3332" s="527">
        <v>1645.24</v>
      </c>
      <c r="E3332" s="528">
        <v>4.7277</v>
      </c>
      <c r="F3332" s="36" t="s">
        <v>7798</v>
      </c>
      <c r="G3332" s="36" t="s">
        <v>913</v>
      </c>
      <c r="H3332" s="125" t="s">
        <v>7809</v>
      </c>
      <c r="I3332" t="s">
        <v>438</v>
      </c>
    </row>
    <row r="3333">
      <c r="A3333" t="s">
        <v>7636</v>
      </c>
      <c r="B3333" s="526" t="s">
        <v>7635</v>
      </c>
      <c r="C3333" s="527">
        <v>0.0</v>
      </c>
      <c r="D3333" s="527">
        <v>0.0</v>
      </c>
      <c r="F3333" s="36" t="s">
        <v>7798</v>
      </c>
      <c r="G3333" s="36" t="s">
        <v>893</v>
      </c>
      <c r="H3333" s="125" t="s">
        <v>7799</v>
      </c>
      <c r="I3333" t="s">
        <v>81</v>
      </c>
    </row>
    <row r="3334">
      <c r="A3334" t="s">
        <v>7638</v>
      </c>
      <c r="B3334" s="526" t="s">
        <v>7637</v>
      </c>
      <c r="C3334" s="527">
        <v>0.0</v>
      </c>
      <c r="D3334" s="527">
        <v>0.0</v>
      </c>
      <c r="F3334" s="36" t="s">
        <v>7798</v>
      </c>
      <c r="G3334" s="36" t="s">
        <v>893</v>
      </c>
      <c r="H3334" s="125" t="s">
        <v>7799</v>
      </c>
      <c r="I3334" t="s">
        <v>81</v>
      </c>
    </row>
    <row r="3335">
      <c r="A3335" t="s">
        <v>7640</v>
      </c>
      <c r="B3335" s="526" t="s">
        <v>7639</v>
      </c>
      <c r="C3335" s="527">
        <v>0.0</v>
      </c>
      <c r="D3335" s="527">
        <v>0.0</v>
      </c>
      <c r="F3335" s="36" t="s">
        <v>7798</v>
      </c>
      <c r="G3335" s="36" t="s">
        <v>893</v>
      </c>
      <c r="H3335" s="125" t="s">
        <v>7801</v>
      </c>
      <c r="I3335" t="s">
        <v>81</v>
      </c>
    </row>
    <row r="3336">
      <c r="A3336" t="s">
        <v>7642</v>
      </c>
      <c r="B3336" s="526" t="s">
        <v>7641</v>
      </c>
      <c r="C3336" s="527">
        <v>0.0</v>
      </c>
      <c r="D3336" s="527">
        <v>0.0</v>
      </c>
      <c r="F3336" s="36" t="s">
        <v>7798</v>
      </c>
      <c r="G3336" s="36" t="s">
        <v>893</v>
      </c>
      <c r="H3336" s="125" t="s">
        <v>7799</v>
      </c>
      <c r="I3336" t="s">
        <v>81</v>
      </c>
    </row>
    <row r="3337">
      <c r="A3337" t="s">
        <v>7644</v>
      </c>
      <c r="B3337" s="526" t="s">
        <v>7643</v>
      </c>
      <c r="C3337" s="527">
        <v>0.0</v>
      </c>
      <c r="D3337" s="527">
        <v>0.0</v>
      </c>
      <c r="F3337" s="36" t="s">
        <v>7798</v>
      </c>
      <c r="G3337" s="36" t="s">
        <v>893</v>
      </c>
      <c r="H3337" s="125" t="s">
        <v>7799</v>
      </c>
      <c r="I3337" t="s">
        <v>81</v>
      </c>
    </row>
    <row r="3338">
      <c r="A3338" t="s">
        <v>7646</v>
      </c>
      <c r="B3338" s="526" t="s">
        <v>7645</v>
      </c>
      <c r="C3338" s="527">
        <v>0.0</v>
      </c>
      <c r="D3338" s="527">
        <v>0.0</v>
      </c>
      <c r="F3338" s="36" t="s">
        <v>7798</v>
      </c>
      <c r="G3338" s="36" t="s">
        <v>893</v>
      </c>
      <c r="H3338" s="125" t="s">
        <v>7799</v>
      </c>
      <c r="I3338" t="s">
        <v>81</v>
      </c>
    </row>
    <row r="3339">
      <c r="A3339" t="s">
        <v>7648</v>
      </c>
      <c r="B3339" s="526" t="s">
        <v>7647</v>
      </c>
      <c r="C3339" s="527">
        <v>0.0</v>
      </c>
      <c r="D3339" s="527">
        <v>0.0</v>
      </c>
      <c r="F3339" s="36" t="s">
        <v>7798</v>
      </c>
      <c r="G3339" s="36" t="s">
        <v>893</v>
      </c>
      <c r="H3339" s="125" t="s">
        <v>7799</v>
      </c>
      <c r="I3339" t="s">
        <v>81</v>
      </c>
    </row>
    <row r="3340">
      <c r="A3340" t="s">
        <v>7650</v>
      </c>
      <c r="B3340" s="526" t="s">
        <v>7649</v>
      </c>
      <c r="C3340" s="527">
        <v>0.0</v>
      </c>
      <c r="D3340" s="527">
        <v>0.0</v>
      </c>
      <c r="F3340" s="36" t="s">
        <v>7798</v>
      </c>
      <c r="G3340" s="36" t="s">
        <v>893</v>
      </c>
      <c r="H3340" s="125" t="s">
        <v>7799</v>
      </c>
      <c r="I3340" t="s">
        <v>81</v>
      </c>
    </row>
    <row r="3341">
      <c r="F3341" s="36"/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2026-02-26T09:02:15Z</dcterms:created>
</cp:coreProperties>
</file>